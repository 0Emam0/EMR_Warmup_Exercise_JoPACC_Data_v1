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mah.AbuHammad\Downloads\"/>
    </mc:Choice>
  </mc:AlternateContent>
  <xr:revisionPtr revIDLastSave="0" documentId="13_ncr:1_{6B63E8E2-B8C6-4122-806B-E36D5A22E219}" xr6:coauthVersionLast="47" xr6:coauthVersionMax="47" xr10:uidLastSave="{00000000-0000-0000-0000-000000000000}"/>
  <bookViews>
    <workbookView xWindow="-120" yWindow="-120" windowWidth="20730" windowHeight="11160" tabRatio="500" firstSheet="1" activeTab="1" xr2:uid="{00000000-000D-0000-FFFF-FFFF00000000}"/>
  </bookViews>
  <sheets>
    <sheet name="README" sheetId="1" r:id="rId1"/>
    <sheet name="CliQ" sheetId="2" r:id="rId2"/>
    <sheet name="JoMoPay" sheetId="3" r:id="rId3"/>
    <sheet name="eFAWATEERcom" sheetId="4" r:id="rId4"/>
    <sheet name="ACH" sheetId="5" r:id="rId5"/>
    <sheet name="ECCU" sheetId="6" r:id="rId6"/>
    <sheet name="CliQ_JoMoPay_Intero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4" i="2" l="1"/>
  <c r="I44" i="2"/>
  <c r="H44" i="2"/>
  <c r="G44" i="2"/>
  <c r="F44" i="2"/>
  <c r="E44" i="2"/>
  <c r="D44" i="2"/>
  <c r="C44" i="2"/>
  <c r="J38" i="2"/>
  <c r="I38" i="2"/>
  <c r="H38" i="2"/>
  <c r="G38" i="2"/>
  <c r="F38" i="2"/>
  <c r="E38" i="2"/>
  <c r="D38" i="2"/>
  <c r="C38" i="2"/>
</calcChain>
</file>

<file path=xl/sharedStrings.xml><?xml version="1.0" encoding="utf-8"?>
<sst xmlns="http://schemas.openxmlformats.org/spreadsheetml/2006/main" count="402" uniqueCount="171">
  <si>
    <t>JOPACC Payment Systems Quarterly Report - Consolidated Dataset</t>
  </si>
  <si>
    <t>Source: Jordan Payments &amp; Clearing Company (JOPACC) "Payment Systems Quarterly Report" PDFs for Q3 2024, Q4 2024, Q1 2025, Q2 2025, Q3 2025, Q4 2025, Q1 2026 and Q2 2026.</t>
  </si>
  <si>
    <t>Sheets in this workbook:</t>
  </si>
  <si>
    <t xml:space="preserve">  • CliQ - instant/person-to-person payments (users + transactions)</t>
  </si>
  <si>
    <t xml:space="preserve">  • JoMoPay - mobile wallet payments (users + transactions)</t>
  </si>
  <si>
    <t xml:space="preserve">  • eFAWATEERcom - bill payment platform (users + transactions + billers)</t>
  </si>
  <si>
    <t xml:space="preserve">  • ACH - Automated Clearing House (JOD + foreign-currency transactions)</t>
  </si>
  <si>
    <t xml:space="preserve">  • ECCU - Electronic Cheque Clearing Unit (cheques + returned cheques)</t>
  </si>
  <si>
    <t xml:space="preserve">  • CliQ_JoMoPay_Interop - cross-system money-transfer interoperability</t>
  </si>
  <si>
    <t>Layout:</t>
  </si>
  <si>
    <t xml:space="preserve">  Each sheet lists one metric per row (grouped under shaded section headers) with the eight quarters running left-to-right in columns C:J. Counts and JOD values are stored as raw numbers (not text with "M"/"B" suffixes) so they can be charted, filtered, or fed into further formulas directly.</t>
  </si>
  <si>
    <t xml:space="preserve">  Percentage rows are stored as true Excel percentages (e.g. 96.3%), and light-grey "Check" rows use live formulas (e.g. Money Transfer + Purchases) to verify that the component figures reconcile with the reported totals.</t>
  </si>
  <si>
    <t>Data-quality notes:</t>
  </si>
  <si>
    <t xml:space="preserve">  • Where a quarter's breakdown appears in more than one source report (as both a "current" and a "comparison" quarter), the figures from the report where that quarter is the CURRENT one were used, and cross-checked for consistency against the neighbouring reports.</t>
  </si>
  <si>
    <t xml:space="preserve">  • eFAWATEER.com's per-biller VALUE (JOD) breakdown was excluded because the "Government Service" figure is inconsistent between consecutive source PDFs (varies from ~₤700M to ~₤2.5B for what should be the same quarter) - likely a charting artifact in JOPACC's originals. The per-biller transaction COUNT, which reconciles cleanly against reported totals, is included.</t>
  </si>
  <si>
    <t xml:space="preserve">  • All other figures reconcile against the "Total Over the Quarters" bar-chart figures printed in every report and against each other across consecutive reports.</t>
  </si>
  <si>
    <t>CliQ (Instant Payments) - Quarterly Data (Q3 2024 - Q2 2026)</t>
  </si>
  <si>
    <t>Category</t>
  </si>
  <si>
    <t>Metric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</si>
  <si>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</si>
  <si>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</si>
  <si>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</si>
  <si>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</si>
  <si>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</si>
  <si>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</si>
  <si>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</si>
  <si>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</si>
  <si>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USERS</t>
  </si>
  <si>
    <t>Users</t>
  </si>
  <si>
    <t>Total Registered Users</t>
  </si>
  <si>
    <t>USERS BY NATIONALITY</t>
  </si>
  <si>
    <t>Nationality</t>
  </si>
  <si>
    <t>Jordanian (count)</t>
  </si>
  <si>
    <t>Jordanian (% of users)</t>
  </si>
  <si>
    <t>Non-Jordanian (count)</t>
  </si>
  <si>
    <t>Non-Jordanian (% of users)</t>
  </si>
  <si>
    <t>USERS BY GENDER</t>
  </si>
  <si>
    <t>Gender</t>
  </si>
  <si>
    <t>Male (count)</t>
  </si>
  <si>
    <t>Male (%)</t>
  </si>
  <si>
    <t>Female (count)</t>
  </si>
  <si>
    <t>Female (%)</t>
  </si>
  <si>
    <t>USERS BY AGE BRACKET (count)</t>
  </si>
  <si>
    <t>Age</t>
  </si>
  <si>
    <t>&lt;18</t>
  </si>
  <si>
    <t>18-30</t>
  </si>
  <si>
    <t>31-40</t>
  </si>
  <si>
    <t>41-50</t>
  </si>
  <si>
    <t>51-60</t>
  </si>
  <si>
    <t>61-70</t>
  </si>
  <si>
    <t>71-80</t>
  </si>
  <si>
    <t>81-90</t>
  </si>
  <si>
    <t>USERS BY TYPE</t>
  </si>
  <si>
    <t>User Type</t>
  </si>
  <si>
    <t>Individual (count)</t>
  </si>
  <si>
    <t>Individual (%)</t>
  </si>
  <si>
    <t>Legal / Entities (count)</t>
  </si>
  <si>
    <t>Legal / Entities (%)</t>
  </si>
  <si>
    <t>TRANSACTIONS - OVERVIEW</t>
  </si>
  <si>
    <t>Transactions</t>
  </si>
  <si>
    <t>Total Number of Transactions</t>
  </si>
  <si>
    <t>Total Value of Transactions (JOD)</t>
  </si>
  <si>
    <t>TRANSACTIONS BY TYPE (Number)</t>
  </si>
  <si>
    <t>Txn Type (#)</t>
  </si>
  <si>
    <t>Money Transfer</t>
  </si>
  <si>
    <t>Money Transfer (%)</t>
  </si>
  <si>
    <t>Purchases</t>
  </si>
  <si>
    <t>Purchases (%)</t>
  </si>
  <si>
    <t>Check</t>
  </si>
  <si>
    <t>Money Transfer + Purchases (should = Total Number)</t>
  </si>
  <si>
    <t>TRANSACTIONS BY TYPE (Value, JOD)</t>
  </si>
  <si>
    <t>Txn Type (JOD)</t>
  </si>
  <si>
    <t>Money Transfer (JOD)</t>
  </si>
  <si>
    <t>Purchases (JOD)</t>
  </si>
  <si>
    <t>Money Transfer + Purchases (JOD) (should = Total Value)</t>
  </si>
  <si>
    <t>MONEY TRANSFER BY DIRECTION (Number)</t>
  </si>
  <si>
    <t>Direction (#)</t>
  </si>
  <si>
    <t>On Us (same bank)</t>
  </si>
  <si>
    <t>On Us (%)</t>
  </si>
  <si>
    <t>Off Us (different banks)</t>
  </si>
  <si>
    <t>Off Us (%)</t>
  </si>
  <si>
    <t>MONEY TRANSFER BY DIRECTION (Value, JOD)</t>
  </si>
  <si>
    <t>Direction (JOD)</t>
  </si>
  <si>
    <t>On Us (JOD)</t>
  </si>
  <si>
    <t>Off Us (JOD)</t>
  </si>
  <si>
    <t>JoMoPay (Mobile Wallets) - Quarterly Data (Q3 2024 - Q2 2026)</t>
  </si>
  <si>
    <t>Jordanian (%)</t>
  </si>
  <si>
    <t>Non-Jordanian (%)</t>
  </si>
  <si>
    <t>USERS BY WALLET TYPE (count)</t>
  </si>
  <si>
    <t>Wallet Type</t>
  </si>
  <si>
    <t>Personal Wallet</t>
  </si>
  <si>
    <t>Merchant Wallet</t>
  </si>
  <si>
    <t>Agent Wallet</t>
  </si>
  <si>
    <t>Business Wallet</t>
  </si>
  <si>
    <t>Government Wallet</t>
  </si>
  <si>
    <t>Cash In</t>
  </si>
  <si>
    <t>Cash In (%)</t>
  </si>
  <si>
    <t>Cash Out</t>
  </si>
  <si>
    <t>Cash Out (%)</t>
  </si>
  <si>
    <t>Cash In (JOD)</t>
  </si>
  <si>
    <t>Cash Out (JOD)</t>
  </si>
  <si>
    <t>On Us (same PSP)</t>
  </si>
  <si>
    <t>Off Us (different PSPs)</t>
  </si>
  <si>
    <t>eFAWATEER.com (Bill Payments) - Quarterly Data (Q3 2024 - Q2 2026)</t>
  </si>
  <si>
    <t>TRANSACTIONS BY BILLER TYPE (Number)</t>
  </si>
  <si>
    <t>Biller Type (#)</t>
  </si>
  <si>
    <t>Telecommunication</t>
  </si>
  <si>
    <t>Water and Electricity</t>
  </si>
  <si>
    <t>Government Service</t>
  </si>
  <si>
    <t>Wallets and PSPs</t>
  </si>
  <si>
    <t>Financial Services</t>
  </si>
  <si>
    <t>Education</t>
  </si>
  <si>
    <t>Travel &amp; Transportation</t>
  </si>
  <si>
    <t>Trading and Services</t>
  </si>
  <si>
    <t>Associations and Organizations</t>
  </si>
  <si>
    <t>Gas and Energy</t>
  </si>
  <si>
    <t>TRANSACTIONS BY PAYMENT METHOD (Number)</t>
  </si>
  <si>
    <t>Payment Method (#)</t>
  </si>
  <si>
    <t>Digital</t>
  </si>
  <si>
    <t>Digital (%)</t>
  </si>
  <si>
    <t>Cash</t>
  </si>
  <si>
    <t>Cash (%)</t>
  </si>
  <si>
    <t>TRANSACTIONS BY PAYMENT METHOD (Value, JOD)</t>
  </si>
  <si>
    <t>Payment Method (JOD)</t>
  </si>
  <si>
    <t>Digital (JOD)</t>
  </si>
  <si>
    <t>Cash (JOD)</t>
  </si>
  <si>
    <t>Note: Per-biller VALUE (JOD) breakdown is intentionally omitted - the source PDFs show inconsistent figures for the 'Government Service' value across different quarterly reports (a likely charting artifact in JOPACC's originals), so only the more reliable per-biller transaction COUNT is included here.</t>
  </si>
  <si>
    <t>ACH (Automated Clearing House) - Quarterly Data (Q3 2024 - Q2 2026)</t>
  </si>
  <si>
    <t>JOD TRANSACTIONS - OVERVIEW</t>
  </si>
  <si>
    <t>Total Number of JOD Transactions</t>
  </si>
  <si>
    <t>Total Value of JOD Transactions (JOD)</t>
  </si>
  <si>
    <t>TRANSACTIONS BY FOREIGN CURRENCY (Number)</t>
  </si>
  <si>
    <t>Currency (#)</t>
  </si>
  <si>
    <t>USD</t>
  </si>
  <si>
    <t>EUR</t>
  </si>
  <si>
    <t>GBP</t>
  </si>
  <si>
    <t>TRANSACTIONS BY FOREIGN CURRENCY (Value, in millions of currency unit)</t>
  </si>
  <si>
    <t>Currency (Value)</t>
  </si>
  <si>
    <t>USD ($ millions)</t>
  </si>
  <si>
    <t>EUR (€ millions)</t>
  </si>
  <si>
    <t>GBP (£ millions)</t>
  </si>
  <si>
    <t>Note: JOD totals and USD/EUR/GBP transaction counts form a fully consistent chain across all eight source reports. Foreign-currency VALUE figures show minor rounding differences (&lt;10%) between consecutive reports; the current quarter's own report is used in each case.</t>
  </si>
  <si>
    <t>ECCU (Electronic Cheque Clearing Unit) - Quarterly Data (Q3 2024 - Q2 2026)</t>
  </si>
  <si>
    <t>CHEQUES - OVERVIEW</t>
  </si>
  <si>
    <t>Cheques</t>
  </si>
  <si>
    <t>Total Number of Cheques</t>
  </si>
  <si>
    <t>Total Value of Cheques (JOD)</t>
  </si>
  <si>
    <t>RETURNED CHEQUES</t>
  </si>
  <si>
    <t>Returned Cheques</t>
  </si>
  <si>
    <t>Number of Returned Cheques</t>
  </si>
  <si>
    <t>Value of Returned Cheques (JOD)</t>
  </si>
  <si>
    <t>Returned as % of Total Cheques (#)</t>
  </si>
  <si>
    <t>Note: Returned cheques are due to Technical or Financial reasons, among others (per source reports; sub-reason breakdown is not published).</t>
  </si>
  <si>
    <t>CliQ &amp; JoMoPay Interoperability - Quarterly Data (Q3 2024 - Q2 2026)</t>
  </si>
  <si>
    <t>MONEY TRANSFER TRANSACTIONS - OVERVIEW</t>
  </si>
  <si>
    <t>Total Number of MT Transactions</t>
  </si>
  <si>
    <t>Total Value of MT Transactions (JOD)</t>
  </si>
  <si>
    <t>BY INSTITUTION (On Us / Off Us) - Number</t>
  </si>
  <si>
    <t>On/Off Us (#)</t>
  </si>
  <si>
    <t>On Us (same financial institution)</t>
  </si>
  <si>
    <t>Off Us (different institutions)</t>
  </si>
  <si>
    <t>BY INSTITUTION (On Us / Off Us) - Value, JOD</t>
  </si>
  <si>
    <t>On/Off Us (JOD)</t>
  </si>
  <si>
    <t>BY DIRECTION (PSP&lt;-&gt;Bank) - Number</t>
  </si>
  <si>
    <t>mPSP to Bank</t>
  </si>
  <si>
    <t>mPSP to Bank (%)</t>
  </si>
  <si>
    <t>Bank to mPSP</t>
  </si>
  <si>
    <t>Bank to mPSP (%)</t>
  </si>
  <si>
    <t>BY DIRECTION (PSP&lt;-&gt;Bank) - Value, JOD</t>
  </si>
  <si>
    <t>mPSP to Bank (JOD)</t>
  </si>
  <si>
    <t>Bank to mPSP (JOD)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</si>
</sst>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10"/>
      <color rgb="FF777777"/>
      <name val="Arial"/>
      <charset val="1"/>
    </font>
    <font>
      <i/>
      <sz val="9"/>
      <color rgb="FF777777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CE4B6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3" fontId="5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B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zoomScaleNormal="100" workbookViewId="0"/>
  </sheetViews>
  <sheetFormatPr defaultColWidth="8.7109375" defaultRowHeight="15" x14ac:dyDescent="0.25"/>
  <cols>
    <col min="1" max="1" width="100" customWidth="1"/>
  </cols>
  <sheetData>
    <row r="1" spans="1:1" ht="24" customHeight="1" x14ac:dyDescent="0.25">
      <c r="A1" s="3" t="s">
        <v>0</v>
      </c>
    </row>
    <row r="2" spans="1:1" ht="7.5" customHeight="1" x14ac:dyDescent="0.25">
      <c r="A2" s="4"/>
    </row>
    <row r="3" spans="1:1" ht="15.75" customHeight="1" x14ac:dyDescent="0.25">
      <c r="A3" s="4" t="s">
        <v>1</v>
      </c>
    </row>
    <row r="4" spans="1:1" ht="7.5" customHeight="1" x14ac:dyDescent="0.25">
      <c r="A4" s="4"/>
    </row>
    <row r="5" spans="1:1" ht="15.75" customHeight="1" x14ac:dyDescent="0.25">
      <c r="A5" s="5" t="s">
        <v>2</v>
      </c>
    </row>
    <row r="6" spans="1:1" ht="15.75" customHeight="1" x14ac:dyDescent="0.25">
      <c r="A6" s="4" t="s">
        <v>3</v>
      </c>
    </row>
    <row r="7" spans="1:1" ht="15.75" customHeight="1" x14ac:dyDescent="0.25">
      <c r="A7" s="4" t="s">
        <v>4</v>
      </c>
    </row>
    <row r="8" spans="1:1" ht="15.75" customHeight="1" x14ac:dyDescent="0.25">
      <c r="A8" s="4" t="s">
        <v>5</v>
      </c>
    </row>
    <row r="9" spans="1:1" ht="15.75" customHeight="1" x14ac:dyDescent="0.25">
      <c r="A9" s="4" t="s">
        <v>6</v>
      </c>
    </row>
    <row r="10" spans="1:1" ht="15.75" customHeight="1" x14ac:dyDescent="0.25">
      <c r="A10" s="4" t="s">
        <v>7</v>
      </c>
    </row>
    <row r="11" spans="1:1" ht="15.75" customHeight="1" x14ac:dyDescent="0.25">
      <c r="A11" s="4" t="s">
        <v>8</v>
      </c>
    </row>
    <row r="12" spans="1:1" ht="7.5" customHeight="1" x14ac:dyDescent="0.25">
      <c r="A12" s="4"/>
    </row>
    <row r="13" spans="1:1" ht="15.75" customHeight="1" x14ac:dyDescent="0.25">
      <c r="A13" s="5" t="s">
        <v>9</v>
      </c>
    </row>
    <row r="14" spans="1:1" ht="15.75" customHeight="1" x14ac:dyDescent="0.25">
      <c r="A14" s="4" t="s">
        <v>10</v>
      </c>
    </row>
    <row r="15" spans="1:1" ht="15.75" customHeight="1" x14ac:dyDescent="0.25">
      <c r="A15" s="4" t="s">
        <v>11</v>
      </c>
    </row>
    <row r="16" spans="1:1" ht="7.5" customHeight="1" x14ac:dyDescent="0.25">
      <c r="A16" s="4"/>
    </row>
    <row r="17" spans="1:1" ht="15.75" customHeight="1" x14ac:dyDescent="0.25">
      <c r="A17" s="5" t="s">
        <v>12</v>
      </c>
    </row>
    <row r="18" spans="1:1" ht="15.75" customHeight="1" x14ac:dyDescent="0.25">
      <c r="A18" s="4" t="s">
        <v>13</v>
      </c>
    </row>
    <row r="19" spans="1:1" ht="15.75" customHeight="1" x14ac:dyDescent="0.25">
      <c r="A19" s="4" t="s">
        <v>14</v>
      </c>
    </row>
    <row r="20" spans="1:1" ht="15.75" customHeight="1" x14ac:dyDescent="0.25">
      <c r="A20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zoomScaleNormal="100" workbookViewId="0">
      <pane xSplit="2" ySplit="2" topLeftCell="C44" activePane="bottomRight" state="frozen"/>
      <selection pane="topRight" activeCell="C1" sqref="C1"/>
      <selection pane="bottomLeft" activeCell="A3" sqref="A3"/>
      <selection pane="bottomRight" activeCell="L13" sqref="L13"/>
    </sheetView>
  </sheetViews>
  <sheetFormatPr defaultColWidth="8.7109375" defaultRowHeight="15" x14ac:dyDescent="0.25"/>
  <cols>
    <col min="1" max="1" width="26" customWidth="1"/>
    <col min="2" max="2" width="52.42578125" bestFit="1" customWidth="1"/>
    <col min="3" max="10" width="13" customWidth="1"/>
  </cols>
  <sheetData>
    <row r="1" spans="1:10" ht="25.5" customHeight="1" x14ac:dyDescent="0.25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3" spans="1:10" ht="19.5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7" t="s">
        <v>28</v>
      </c>
      <c r="B5" s="7" t="s">
        <v>29</v>
      </c>
      <c r="C5" s="8">
        <v>1560000</v>
      </c>
      <c r="D5" s="8">
        <v>1670000</v>
      </c>
      <c r="E5" s="8">
        <v>1780000</v>
      </c>
      <c r="F5" s="8">
        <v>1880000</v>
      </c>
      <c r="G5" s="8">
        <v>2000000</v>
      </c>
      <c r="H5" s="8">
        <v>2130000</v>
      </c>
      <c r="I5" s="8">
        <v>2220000</v>
      </c>
      <c r="J5" s="8">
        <v>2310000</v>
      </c>
    </row>
    <row r="6" spans="1:10" x14ac:dyDescent="0.25">
      <c r="A6" s="1" t="s">
        <v>30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9" t="s">
        <v>31</v>
      </c>
      <c r="B7" s="9" t="s">
        <v>32</v>
      </c>
      <c r="C7" s="10">
        <v>1500000</v>
      </c>
      <c r="D7" s="10">
        <v>1610000</v>
      </c>
      <c r="E7" s="10">
        <v>1710000</v>
      </c>
      <c r="F7" s="10">
        <v>1810000</v>
      </c>
      <c r="G7" s="10">
        <v>1930000</v>
      </c>
      <c r="H7" s="10">
        <v>2040000</v>
      </c>
      <c r="I7" s="10">
        <v>2130000</v>
      </c>
      <c r="J7" s="10">
        <v>2220000</v>
      </c>
    </row>
    <row r="8" spans="1:10" x14ac:dyDescent="0.25">
      <c r="A8" s="9" t="s">
        <v>31</v>
      </c>
      <c r="B8" s="9" t="s">
        <v>33</v>
      </c>
      <c r="C8" s="11">
        <v>0.96499999999999997</v>
      </c>
      <c r="D8" s="11">
        <v>0.96299999999999997</v>
      </c>
      <c r="E8" s="11">
        <v>0.96299999999999997</v>
      </c>
      <c r="F8" s="11">
        <v>0.96199999999999997</v>
      </c>
      <c r="G8" s="11">
        <v>0.96099999999999997</v>
      </c>
      <c r="H8" s="11">
        <v>0.96099999999999997</v>
      </c>
      <c r="I8" s="11">
        <v>0.96</v>
      </c>
      <c r="J8" s="11">
        <v>0.95899999999999996</v>
      </c>
    </row>
    <row r="9" spans="1:10" x14ac:dyDescent="0.25">
      <c r="A9" s="9" t="s">
        <v>31</v>
      </c>
      <c r="B9" s="9" t="s">
        <v>34</v>
      </c>
      <c r="C9" s="10">
        <v>55000</v>
      </c>
      <c r="D9" s="10">
        <v>61000</v>
      </c>
      <c r="E9" s="10">
        <v>67000</v>
      </c>
      <c r="F9" s="10">
        <v>71800</v>
      </c>
      <c r="G9" s="10">
        <v>78000</v>
      </c>
      <c r="H9" s="10">
        <v>84000</v>
      </c>
      <c r="I9" s="10">
        <v>89200</v>
      </c>
      <c r="J9" s="10">
        <v>94500</v>
      </c>
    </row>
    <row r="10" spans="1:10" x14ac:dyDescent="0.25">
      <c r="A10" s="9" t="s">
        <v>31</v>
      </c>
      <c r="B10" s="9" t="s">
        <v>35</v>
      </c>
      <c r="C10" s="11">
        <v>3.5000000000000003E-2</v>
      </c>
      <c r="D10" s="11">
        <v>3.6999999999999998E-2</v>
      </c>
      <c r="E10" s="11">
        <v>3.6999999999999998E-2</v>
      </c>
      <c r="F10" s="11">
        <v>3.7999999999999999E-2</v>
      </c>
      <c r="G10" s="11">
        <v>3.9E-2</v>
      </c>
      <c r="H10" s="11">
        <v>3.9E-2</v>
      </c>
      <c r="I10" s="11">
        <v>0.04</v>
      </c>
      <c r="J10" s="11">
        <v>4.1000000000000002E-2</v>
      </c>
    </row>
    <row r="11" spans="1:10" x14ac:dyDescent="0.25">
      <c r="A11" s="1" t="s">
        <v>36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9" t="s">
        <v>37</v>
      </c>
      <c r="B12" s="9" t="s">
        <v>38</v>
      </c>
      <c r="C12" s="10">
        <v>973400</v>
      </c>
      <c r="D12" s="10">
        <v>1040000</v>
      </c>
      <c r="E12" s="10">
        <v>1110000</v>
      </c>
      <c r="F12" s="10">
        <v>1160000</v>
      </c>
      <c r="G12" s="10">
        <v>1240000</v>
      </c>
      <c r="H12" s="10">
        <v>1300000</v>
      </c>
      <c r="I12" s="10">
        <v>1350000</v>
      </c>
      <c r="J12" s="10">
        <v>1400000</v>
      </c>
    </row>
    <row r="13" spans="1:10" x14ac:dyDescent="0.25">
      <c r="A13" s="9" t="s">
        <v>37</v>
      </c>
      <c r="B13" s="9" t="s">
        <v>39</v>
      </c>
      <c r="C13" s="11">
        <v>0.626</v>
      </c>
      <c r="D13" s="11">
        <v>0.623</v>
      </c>
      <c r="E13" s="11">
        <v>0.621</v>
      </c>
      <c r="F13" s="11">
        <v>0.62</v>
      </c>
      <c r="G13" s="11">
        <v>0.61699999999999999</v>
      </c>
      <c r="H13" s="11">
        <v>0.61199999999999999</v>
      </c>
      <c r="I13" s="11">
        <v>0.60899999999999999</v>
      </c>
      <c r="J13" s="11">
        <v>0.60699999999999998</v>
      </c>
    </row>
    <row r="14" spans="1:10" x14ac:dyDescent="0.25">
      <c r="A14" s="9" t="s">
        <v>37</v>
      </c>
      <c r="B14" s="9" t="s">
        <v>40</v>
      </c>
      <c r="C14" s="10">
        <v>541300</v>
      </c>
      <c r="D14" s="10">
        <v>583100</v>
      </c>
      <c r="E14" s="10">
        <v>623200</v>
      </c>
      <c r="F14" s="10">
        <v>661200</v>
      </c>
      <c r="G14" s="10">
        <v>709400</v>
      </c>
      <c r="H14" s="10">
        <v>763600</v>
      </c>
      <c r="I14" s="10">
        <v>803600</v>
      </c>
      <c r="J14" s="10">
        <v>840900</v>
      </c>
    </row>
    <row r="15" spans="1:10" x14ac:dyDescent="0.25">
      <c r="A15" s="9" t="s">
        <v>37</v>
      </c>
      <c r="B15" s="9" t="s">
        <v>41</v>
      </c>
      <c r="C15" s="11">
        <v>0.34799999999999998</v>
      </c>
      <c r="D15" s="11">
        <v>0.34899999999999998</v>
      </c>
      <c r="E15" s="11">
        <v>0.35</v>
      </c>
      <c r="F15" s="11">
        <v>0.35199999999999998</v>
      </c>
      <c r="G15" s="11">
        <v>0.35399999999999998</v>
      </c>
      <c r="H15" s="11">
        <v>0.35899999999999999</v>
      </c>
      <c r="I15" s="11">
        <v>0.36199999999999999</v>
      </c>
      <c r="J15" s="11">
        <v>0.36399999999999999</v>
      </c>
    </row>
    <row r="16" spans="1:10" x14ac:dyDescent="0.25">
      <c r="A16" s="1" t="s">
        <v>42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9" t="s">
        <v>43</v>
      </c>
      <c r="B17" s="9" t="s">
        <v>44</v>
      </c>
      <c r="C17" s="10">
        <v>5800</v>
      </c>
      <c r="D17" s="10">
        <v>6200</v>
      </c>
      <c r="E17" s="10">
        <v>6700</v>
      </c>
      <c r="F17" s="10">
        <v>8600</v>
      </c>
      <c r="G17" s="10">
        <v>9200</v>
      </c>
      <c r="H17" s="10">
        <v>9700</v>
      </c>
      <c r="I17" s="10">
        <v>10400</v>
      </c>
      <c r="J17" s="10">
        <v>11200</v>
      </c>
    </row>
    <row r="18" spans="1:10" x14ac:dyDescent="0.25">
      <c r="A18" s="9" t="s">
        <v>43</v>
      </c>
      <c r="B18" s="9" t="s">
        <v>45</v>
      </c>
      <c r="C18" s="10">
        <v>591000</v>
      </c>
      <c r="D18" s="10">
        <v>626000</v>
      </c>
      <c r="E18" s="10">
        <v>657000</v>
      </c>
      <c r="F18" s="10">
        <v>684600</v>
      </c>
      <c r="G18" s="10">
        <v>729700</v>
      </c>
      <c r="H18" s="10">
        <v>775500</v>
      </c>
      <c r="I18" s="10">
        <v>795100</v>
      </c>
      <c r="J18" s="10">
        <v>816500</v>
      </c>
    </row>
    <row r="19" spans="1:10" x14ac:dyDescent="0.25">
      <c r="A19" s="9" t="s">
        <v>43</v>
      </c>
      <c r="B19" s="9" t="s">
        <v>46</v>
      </c>
      <c r="C19" s="10">
        <v>409200</v>
      </c>
      <c r="D19" s="10">
        <v>437900</v>
      </c>
      <c r="E19" s="10">
        <v>465900</v>
      </c>
      <c r="F19" s="10">
        <v>490000</v>
      </c>
      <c r="G19" s="10">
        <v>516000</v>
      </c>
      <c r="H19" s="10">
        <v>542000</v>
      </c>
      <c r="I19" s="10">
        <v>567000</v>
      </c>
      <c r="J19" s="10">
        <v>589000</v>
      </c>
    </row>
    <row r="20" spans="1:10" x14ac:dyDescent="0.25">
      <c r="A20" s="9" t="s">
        <v>43</v>
      </c>
      <c r="B20" s="9" t="s">
        <v>47</v>
      </c>
      <c r="C20" s="10">
        <v>267100</v>
      </c>
      <c r="D20" s="10">
        <v>289300</v>
      </c>
      <c r="E20" s="10">
        <v>311700</v>
      </c>
      <c r="F20" s="10">
        <v>331600</v>
      </c>
      <c r="G20" s="10">
        <v>354300</v>
      </c>
      <c r="H20" s="10">
        <v>375400</v>
      </c>
      <c r="I20" s="10">
        <v>397000</v>
      </c>
      <c r="J20" s="10">
        <v>415300</v>
      </c>
    </row>
    <row r="21" spans="1:10" x14ac:dyDescent="0.25">
      <c r="A21" s="9" t="s">
        <v>43</v>
      </c>
      <c r="B21" s="9" t="s">
        <v>48</v>
      </c>
      <c r="C21" s="10">
        <v>162500</v>
      </c>
      <c r="D21" s="10">
        <v>176600</v>
      </c>
      <c r="E21" s="10">
        <v>190700</v>
      </c>
      <c r="F21" s="10">
        <v>203500</v>
      </c>
      <c r="G21" s="10">
        <v>218100</v>
      </c>
      <c r="H21" s="10">
        <v>232200</v>
      </c>
      <c r="I21" s="10">
        <v>246200</v>
      </c>
      <c r="J21" s="10">
        <v>258400</v>
      </c>
    </row>
    <row r="22" spans="1:10" x14ac:dyDescent="0.25">
      <c r="A22" s="9" t="s">
        <v>43</v>
      </c>
      <c r="B22" s="9" t="s">
        <v>49</v>
      </c>
      <c r="C22" s="10">
        <v>71100</v>
      </c>
      <c r="D22" s="10">
        <v>78100</v>
      </c>
      <c r="E22" s="10">
        <v>85500</v>
      </c>
      <c r="F22" s="10">
        <v>92500</v>
      </c>
      <c r="G22" s="10">
        <v>99800</v>
      </c>
      <c r="H22" s="10">
        <v>107100</v>
      </c>
      <c r="I22" s="10">
        <v>115500</v>
      </c>
      <c r="J22" s="10">
        <v>122800</v>
      </c>
    </row>
    <row r="23" spans="1:10" x14ac:dyDescent="0.25">
      <c r="A23" s="9" t="s">
        <v>43</v>
      </c>
      <c r="B23" s="9" t="s">
        <v>50</v>
      </c>
      <c r="C23" s="10">
        <v>18100</v>
      </c>
      <c r="D23" s="10">
        <v>20100</v>
      </c>
      <c r="E23" s="10">
        <v>22100</v>
      </c>
      <c r="F23" s="10">
        <v>24200</v>
      </c>
      <c r="G23" s="10">
        <v>26500</v>
      </c>
      <c r="H23" s="10">
        <v>28800</v>
      </c>
      <c r="I23" s="10">
        <v>31500</v>
      </c>
      <c r="J23" s="10">
        <v>34000</v>
      </c>
    </row>
    <row r="24" spans="1:10" x14ac:dyDescent="0.25">
      <c r="A24" s="9" t="s">
        <v>43</v>
      </c>
      <c r="B24" s="9" t="s">
        <v>51</v>
      </c>
      <c r="C24" s="10">
        <v>3700</v>
      </c>
      <c r="D24" s="10">
        <v>4000</v>
      </c>
      <c r="E24" s="10">
        <v>4000</v>
      </c>
      <c r="F24" s="10">
        <v>5500</v>
      </c>
      <c r="G24" s="10">
        <v>6000</v>
      </c>
      <c r="H24" s="10">
        <v>6400</v>
      </c>
      <c r="I24" s="10">
        <v>7000</v>
      </c>
      <c r="J24" s="10">
        <v>8400</v>
      </c>
    </row>
    <row r="25" spans="1:10" x14ac:dyDescent="0.25">
      <c r="A25" s="1" t="s">
        <v>52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9" t="s">
        <v>53</v>
      </c>
      <c r="B26" s="9" t="s">
        <v>54</v>
      </c>
      <c r="C26" s="10">
        <v>1530000</v>
      </c>
      <c r="D26" s="10">
        <v>1640000</v>
      </c>
      <c r="E26" s="10">
        <v>1740000</v>
      </c>
      <c r="F26" s="10">
        <v>1840000</v>
      </c>
      <c r="G26" s="10">
        <v>1950000</v>
      </c>
      <c r="H26" s="10">
        <v>2080000</v>
      </c>
      <c r="I26" s="10">
        <v>2170000</v>
      </c>
      <c r="J26" s="10">
        <v>2260000</v>
      </c>
    </row>
    <row r="27" spans="1:10" x14ac:dyDescent="0.25">
      <c r="A27" s="9" t="s">
        <v>53</v>
      </c>
      <c r="B27" s="9" t="s">
        <v>55</v>
      </c>
      <c r="C27" s="11">
        <v>0.98299999999999998</v>
      </c>
      <c r="D27" s="11">
        <v>0.98199999999999998</v>
      </c>
      <c r="E27" s="11">
        <v>0.98099999999999998</v>
      </c>
      <c r="F27" s="11">
        <v>0.98</v>
      </c>
      <c r="G27" s="11">
        <v>0.97199999999999998</v>
      </c>
      <c r="H27" s="11">
        <v>0.97699999999999998</v>
      </c>
      <c r="I27" s="11">
        <v>0.97699999999999998</v>
      </c>
      <c r="J27" s="11">
        <v>0.97599999999999998</v>
      </c>
    </row>
    <row r="28" spans="1:10" x14ac:dyDescent="0.25">
      <c r="A28" s="9" t="s">
        <v>53</v>
      </c>
      <c r="B28" s="9" t="s">
        <v>56</v>
      </c>
      <c r="C28" s="10">
        <v>26500</v>
      </c>
      <c r="D28" s="10">
        <v>30400</v>
      </c>
      <c r="E28" s="10">
        <v>34000</v>
      </c>
      <c r="F28" s="10">
        <v>37600</v>
      </c>
      <c r="G28" s="10">
        <v>55300</v>
      </c>
      <c r="H28" s="10">
        <v>48300</v>
      </c>
      <c r="I28" s="10">
        <v>52100</v>
      </c>
      <c r="J28" s="10">
        <v>56000</v>
      </c>
    </row>
    <row r="29" spans="1:10" x14ac:dyDescent="0.25">
      <c r="A29" s="9" t="s">
        <v>53</v>
      </c>
      <c r="B29" s="9" t="s">
        <v>57</v>
      </c>
      <c r="C29" s="11">
        <v>1.7000000000000001E-2</v>
      </c>
      <c r="D29" s="11">
        <v>1.7999999999999999E-2</v>
      </c>
      <c r="E29" s="11">
        <v>1.9E-2</v>
      </c>
      <c r="F29" s="11">
        <v>0.02</v>
      </c>
      <c r="G29" s="11">
        <v>2.8000000000000001E-2</v>
      </c>
      <c r="H29" s="11">
        <v>2.3E-2</v>
      </c>
      <c r="I29" s="11">
        <v>2.3E-2</v>
      </c>
      <c r="J29" s="11">
        <v>2.4E-2</v>
      </c>
    </row>
    <row r="30" spans="1:10" x14ac:dyDescent="0.25">
      <c r="A30" s="1" t="s">
        <v>58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7" t="s">
        <v>59</v>
      </c>
      <c r="B31" s="7" t="s">
        <v>60</v>
      </c>
      <c r="C31" s="8">
        <v>23210000</v>
      </c>
      <c r="D31" s="8">
        <v>27850000</v>
      </c>
      <c r="E31" s="8">
        <v>32330000</v>
      </c>
      <c r="F31" s="8">
        <v>38330000</v>
      </c>
      <c r="G31" s="8">
        <v>46650000</v>
      </c>
      <c r="H31" s="8">
        <v>50610000</v>
      </c>
      <c r="I31" s="8">
        <v>53290000</v>
      </c>
      <c r="J31" s="8">
        <v>61720000</v>
      </c>
    </row>
    <row r="32" spans="1:10" x14ac:dyDescent="0.25">
      <c r="A32" s="7" t="s">
        <v>59</v>
      </c>
      <c r="B32" s="7" t="s">
        <v>61</v>
      </c>
      <c r="C32" s="8">
        <v>3420000000</v>
      </c>
      <c r="D32" s="8">
        <v>3730000000</v>
      </c>
      <c r="E32" s="8">
        <v>4170000000</v>
      </c>
      <c r="F32" s="8">
        <v>4720000000</v>
      </c>
      <c r="G32" s="8">
        <v>5610000000</v>
      </c>
      <c r="H32" s="8">
        <v>5460000000</v>
      </c>
      <c r="I32" s="8">
        <v>5710000000</v>
      </c>
      <c r="J32" s="8">
        <v>6170000000</v>
      </c>
    </row>
    <row r="33" spans="1:10" x14ac:dyDescent="0.25">
      <c r="A33" s="1" t="s">
        <v>62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9" t="s">
        <v>63</v>
      </c>
      <c r="B34" s="9" t="s">
        <v>64</v>
      </c>
      <c r="C34" s="10">
        <v>20000000</v>
      </c>
      <c r="D34" s="10">
        <v>23900000</v>
      </c>
      <c r="E34" s="10">
        <v>27600000</v>
      </c>
      <c r="F34" s="10">
        <v>32500000</v>
      </c>
      <c r="G34" s="10">
        <v>37400000</v>
      </c>
      <c r="H34" s="10">
        <v>40700000</v>
      </c>
      <c r="I34" s="10">
        <v>43200000</v>
      </c>
      <c r="J34" s="10">
        <v>49500000</v>
      </c>
    </row>
    <row r="35" spans="1:10" x14ac:dyDescent="0.25">
      <c r="A35" s="9" t="s">
        <v>63</v>
      </c>
      <c r="B35" s="9" t="s">
        <v>65</v>
      </c>
      <c r="C35" s="11">
        <v>0.86199999999999999</v>
      </c>
      <c r="D35" s="11">
        <v>0.85899999999999999</v>
      </c>
      <c r="E35" s="11">
        <v>0.85399999999999998</v>
      </c>
      <c r="F35" s="11">
        <v>0.84899999999999998</v>
      </c>
      <c r="G35" s="11">
        <v>0.80300000000000005</v>
      </c>
      <c r="H35" s="11">
        <v>0.80500000000000005</v>
      </c>
      <c r="I35" s="11">
        <v>0.81299999999999994</v>
      </c>
      <c r="J35" s="11">
        <v>0.80200000000000005</v>
      </c>
    </row>
    <row r="36" spans="1:10" x14ac:dyDescent="0.25">
      <c r="A36" s="9" t="s">
        <v>63</v>
      </c>
      <c r="B36" s="9" t="s">
        <v>66</v>
      </c>
      <c r="C36" s="10">
        <v>3210000</v>
      </c>
      <c r="D36" s="10">
        <v>3940000</v>
      </c>
      <c r="E36" s="10">
        <v>4700000</v>
      </c>
      <c r="F36" s="10">
        <v>5790000</v>
      </c>
      <c r="G36" s="10">
        <v>9210000</v>
      </c>
      <c r="H36" s="10">
        <v>9870000</v>
      </c>
      <c r="I36" s="10">
        <v>10110000</v>
      </c>
      <c r="J36" s="10">
        <v>12220000</v>
      </c>
    </row>
    <row r="37" spans="1:10" x14ac:dyDescent="0.25">
      <c r="A37" s="9" t="s">
        <v>63</v>
      </c>
      <c r="B37" s="9" t="s">
        <v>67</v>
      </c>
      <c r="C37" s="11">
        <v>0.13850000000000001</v>
      </c>
      <c r="D37" s="11">
        <v>0.14099999999999999</v>
      </c>
      <c r="E37" s="11">
        <v>0.14599999999999999</v>
      </c>
      <c r="F37" s="11">
        <v>0.151</v>
      </c>
      <c r="G37" s="11">
        <v>0.19800000000000001</v>
      </c>
      <c r="H37" s="11">
        <v>0.19500000000000001</v>
      </c>
      <c r="I37" s="11">
        <v>0.189</v>
      </c>
      <c r="J37" s="11">
        <v>0.19800000000000001</v>
      </c>
    </row>
    <row r="38" spans="1:10" x14ac:dyDescent="0.25">
      <c r="A38" s="12" t="s">
        <v>68</v>
      </c>
      <c r="B38" s="12" t="s">
        <v>69</v>
      </c>
      <c r="C38" s="13">
        <f t="shared" ref="C38:J38" si="0">C34+C36</f>
        <v>23210000</v>
      </c>
      <c r="D38" s="13">
        <f t="shared" si="0"/>
        <v>27840000</v>
      </c>
      <c r="E38" s="13">
        <f t="shared" si="0"/>
        <v>32300000</v>
      </c>
      <c r="F38" s="13">
        <f t="shared" si="0"/>
        <v>38290000</v>
      </c>
      <c r="G38" s="13">
        <f t="shared" si="0"/>
        <v>46610000</v>
      </c>
      <c r="H38" s="13">
        <f t="shared" si="0"/>
        <v>50570000</v>
      </c>
      <c r="I38" s="13">
        <f t="shared" si="0"/>
        <v>53310000</v>
      </c>
      <c r="J38" s="13">
        <f t="shared" si="0"/>
        <v>61720000</v>
      </c>
    </row>
    <row r="39" spans="1:10" x14ac:dyDescent="0.25">
      <c r="A39" s="1" t="s">
        <v>70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9" t="s">
        <v>71</v>
      </c>
      <c r="B40" s="9" t="s">
        <v>72</v>
      </c>
      <c r="C40" s="10">
        <v>2790000000</v>
      </c>
      <c r="D40" s="10">
        <v>3030000000</v>
      </c>
      <c r="E40" s="10">
        <v>3370000000</v>
      </c>
      <c r="F40" s="10">
        <v>3730000000</v>
      </c>
      <c r="G40" s="10">
        <v>4090000000</v>
      </c>
      <c r="H40" s="10">
        <v>4000000000</v>
      </c>
      <c r="I40" s="10">
        <v>4230000000</v>
      </c>
      <c r="J40" s="10">
        <v>4480000000</v>
      </c>
    </row>
    <row r="41" spans="1:10" x14ac:dyDescent="0.25">
      <c r="A41" s="9" t="s">
        <v>71</v>
      </c>
      <c r="B41" s="9" t="s">
        <v>65</v>
      </c>
      <c r="C41" s="11">
        <v>0.81699999999999995</v>
      </c>
      <c r="D41" s="11">
        <v>0.81200000000000006</v>
      </c>
      <c r="E41" s="11">
        <v>0.80700000000000005</v>
      </c>
      <c r="F41" s="11">
        <v>0.78900000000000003</v>
      </c>
      <c r="G41" s="11">
        <v>0.72899999999999998</v>
      </c>
      <c r="H41" s="11">
        <v>0.73199999999999998</v>
      </c>
      <c r="I41" s="11">
        <v>0.74099999999999999</v>
      </c>
      <c r="J41" s="11">
        <v>0.72699999999999998</v>
      </c>
    </row>
    <row r="42" spans="1:10" x14ac:dyDescent="0.25">
      <c r="A42" s="9" t="s">
        <v>71</v>
      </c>
      <c r="B42" s="9" t="s">
        <v>73</v>
      </c>
      <c r="C42" s="10">
        <v>626000000</v>
      </c>
      <c r="D42" s="10">
        <v>702000000</v>
      </c>
      <c r="E42" s="10">
        <v>808000000</v>
      </c>
      <c r="F42" s="10">
        <v>994000000</v>
      </c>
      <c r="G42" s="10">
        <v>1520000000</v>
      </c>
      <c r="H42" s="10">
        <v>1470000000</v>
      </c>
      <c r="I42" s="10">
        <v>1480000000</v>
      </c>
      <c r="J42" s="10">
        <v>1690000000</v>
      </c>
    </row>
    <row r="43" spans="1:10" x14ac:dyDescent="0.25">
      <c r="A43" s="9" t="s">
        <v>71</v>
      </c>
      <c r="B43" s="9" t="s">
        <v>67</v>
      </c>
      <c r="C43" s="11">
        <v>0.183</v>
      </c>
      <c r="D43" s="11">
        <v>0.188</v>
      </c>
      <c r="E43" s="11">
        <v>0.193</v>
      </c>
      <c r="F43" s="11">
        <v>0.21099999999999999</v>
      </c>
      <c r="G43" s="11">
        <v>0.27100000000000002</v>
      </c>
      <c r="H43" s="11">
        <v>0.26800000000000002</v>
      </c>
      <c r="I43" s="11">
        <v>0.25900000000000001</v>
      </c>
      <c r="J43" s="11">
        <v>0.27300000000000002</v>
      </c>
    </row>
    <row r="44" spans="1:10" x14ac:dyDescent="0.25">
      <c r="A44" s="12" t="s">
        <v>68</v>
      </c>
      <c r="B44" s="12" t="s">
        <v>74</v>
      </c>
      <c r="C44" s="13">
        <f t="shared" ref="C44:J44" si="1">C40+C42</f>
        <v>3416000000</v>
      </c>
      <c r="D44" s="13">
        <f t="shared" si="1"/>
        <v>3732000000</v>
      </c>
      <c r="E44" s="13">
        <f t="shared" si="1"/>
        <v>4178000000</v>
      </c>
      <c r="F44" s="13">
        <f t="shared" si="1"/>
        <v>4724000000</v>
      </c>
      <c r="G44" s="13">
        <f t="shared" si="1"/>
        <v>5610000000</v>
      </c>
      <c r="H44" s="13">
        <f t="shared" si="1"/>
        <v>5470000000</v>
      </c>
      <c r="I44" s="13">
        <f t="shared" si="1"/>
        <v>5710000000</v>
      </c>
      <c r="J44" s="13">
        <f t="shared" si="1"/>
        <v>6170000000</v>
      </c>
    </row>
    <row r="45" spans="1:10" x14ac:dyDescent="0.25">
      <c r="A45" s="1" t="s">
        <v>75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9" t="s">
        <v>76</v>
      </c>
      <c r="B46" s="9" t="s">
        <v>77</v>
      </c>
      <c r="C46" s="10">
        <v>3780000</v>
      </c>
      <c r="D46" s="10">
        <v>4520000</v>
      </c>
      <c r="E46" s="10">
        <v>5200000</v>
      </c>
      <c r="F46" s="10">
        <v>6090000</v>
      </c>
      <c r="G46" s="10">
        <v>7080000</v>
      </c>
      <c r="H46" s="10">
        <v>7700000</v>
      </c>
      <c r="I46" s="10">
        <v>8160000</v>
      </c>
      <c r="J46" s="10">
        <v>9280000</v>
      </c>
    </row>
    <row r="47" spans="1:10" x14ac:dyDescent="0.25">
      <c r="A47" s="9" t="s">
        <v>76</v>
      </c>
      <c r="B47" s="9" t="s">
        <v>78</v>
      </c>
      <c r="C47" s="11">
        <v>0.25600000000000001</v>
      </c>
      <c r="D47" s="11">
        <v>0.25800000000000001</v>
      </c>
      <c r="E47" s="11">
        <v>0.26100000000000001</v>
      </c>
      <c r="F47" s="11">
        <v>0.26300000000000001</v>
      </c>
      <c r="G47" s="11">
        <v>0.26900000000000002</v>
      </c>
      <c r="H47" s="11">
        <v>0.27</v>
      </c>
      <c r="I47" s="11">
        <v>0.27100000000000002</v>
      </c>
      <c r="J47" s="11">
        <v>0.27400000000000002</v>
      </c>
    </row>
    <row r="48" spans="1:10" x14ac:dyDescent="0.25">
      <c r="A48" s="9" t="s">
        <v>76</v>
      </c>
      <c r="B48" s="9" t="s">
        <v>79</v>
      </c>
      <c r="C48" s="10">
        <v>10970000</v>
      </c>
      <c r="D48" s="10">
        <v>13000000</v>
      </c>
      <c r="E48" s="10">
        <v>14740000</v>
      </c>
      <c r="F48" s="10">
        <v>17070000</v>
      </c>
      <c r="G48" s="10">
        <v>19260000</v>
      </c>
      <c r="H48" s="10">
        <v>20800000</v>
      </c>
      <c r="I48" s="10">
        <v>21910000</v>
      </c>
      <c r="J48" s="10">
        <v>24610000</v>
      </c>
    </row>
    <row r="49" spans="1:10" x14ac:dyDescent="0.25">
      <c r="A49" s="9" t="s">
        <v>76</v>
      </c>
      <c r="B49" s="9" t="s">
        <v>80</v>
      </c>
      <c r="C49" s="11">
        <v>0.74399999999999999</v>
      </c>
      <c r="D49" s="11">
        <v>0.74199999999999999</v>
      </c>
      <c r="E49" s="11">
        <v>0.73899999999999999</v>
      </c>
      <c r="F49" s="11">
        <v>0.73699999999999999</v>
      </c>
      <c r="G49" s="11">
        <v>0.73099999999999998</v>
      </c>
      <c r="H49" s="11">
        <v>0.73</v>
      </c>
      <c r="I49" s="11">
        <v>0.72899999999999998</v>
      </c>
      <c r="J49" s="11">
        <v>0.72599999999999998</v>
      </c>
    </row>
    <row r="50" spans="1:10" x14ac:dyDescent="0.25">
      <c r="A50" s="1" t="s">
        <v>81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9" t="s">
        <v>82</v>
      </c>
      <c r="B51" s="9" t="s">
        <v>83</v>
      </c>
      <c r="C51" s="10">
        <v>483000000</v>
      </c>
      <c r="D51" s="10">
        <v>530000000</v>
      </c>
      <c r="E51" s="10">
        <v>595000000</v>
      </c>
      <c r="F51" s="10">
        <v>668000000</v>
      </c>
      <c r="G51" s="10">
        <v>762000000</v>
      </c>
      <c r="H51" s="10">
        <v>735000000</v>
      </c>
      <c r="I51" s="10">
        <v>790000000</v>
      </c>
      <c r="J51" s="10">
        <v>840000000</v>
      </c>
    </row>
    <row r="52" spans="1:10" x14ac:dyDescent="0.25">
      <c r="A52" s="9" t="s">
        <v>82</v>
      </c>
      <c r="B52" s="9" t="s">
        <v>78</v>
      </c>
      <c r="C52" s="11">
        <v>0.20200000000000001</v>
      </c>
      <c r="D52" s="11">
        <v>0.20399999999999999</v>
      </c>
      <c r="E52" s="11">
        <v>0.20599999999999999</v>
      </c>
      <c r="F52" s="11">
        <v>0.20899999999999999</v>
      </c>
      <c r="G52" s="11">
        <v>0.218</v>
      </c>
      <c r="H52" s="11">
        <v>0.215</v>
      </c>
      <c r="I52" s="11">
        <v>0.217</v>
      </c>
      <c r="J52" s="11">
        <v>0.22</v>
      </c>
    </row>
    <row r="53" spans="1:10" x14ac:dyDescent="0.25">
      <c r="A53" s="9" t="s">
        <v>82</v>
      </c>
      <c r="B53" s="9" t="s">
        <v>84</v>
      </c>
      <c r="C53" s="10">
        <v>1910000000</v>
      </c>
      <c r="D53" s="10">
        <v>2070000000</v>
      </c>
      <c r="E53" s="10">
        <v>2290000000</v>
      </c>
      <c r="F53" s="10">
        <v>2520000000</v>
      </c>
      <c r="G53" s="10">
        <v>2730000000</v>
      </c>
      <c r="H53" s="10">
        <v>2680000000</v>
      </c>
      <c r="I53" s="10">
        <v>2840000000</v>
      </c>
      <c r="J53" s="10">
        <v>2970000000</v>
      </c>
    </row>
    <row r="54" spans="1:10" x14ac:dyDescent="0.25">
      <c r="A54" s="9" t="s">
        <v>82</v>
      </c>
      <c r="B54" s="9" t="s">
        <v>80</v>
      </c>
      <c r="C54" s="11">
        <v>0.79800000000000004</v>
      </c>
      <c r="D54" s="11">
        <v>0.79600000000000004</v>
      </c>
      <c r="E54" s="11">
        <v>0.79400000000000004</v>
      </c>
      <c r="F54" s="11">
        <v>0.79100000000000004</v>
      </c>
      <c r="G54" s="11">
        <v>0.78200000000000003</v>
      </c>
      <c r="H54" s="11">
        <v>0.78500000000000003</v>
      </c>
      <c r="I54" s="11">
        <v>0.78300000000000003</v>
      </c>
      <c r="J54" s="11">
        <v>0.78</v>
      </c>
    </row>
  </sheetData>
  <mergeCells count="11">
    <mergeCell ref="A50:J50"/>
    <mergeCell ref="A25:J25"/>
    <mergeCell ref="A30:J30"/>
    <mergeCell ref="A33:J33"/>
    <mergeCell ref="A39:J39"/>
    <mergeCell ref="A45:J45"/>
    <mergeCell ref="A1:J1"/>
    <mergeCell ref="A4:J4"/>
    <mergeCell ref="A6:J6"/>
    <mergeCell ref="A11:J11"/>
    <mergeCell ref="A16:J1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ColWidth="8.7109375" defaultRowHeight="15" x14ac:dyDescent="0.25"/>
  <cols>
    <col min="1" max="1" width="26" customWidth="1"/>
    <col min="2" max="2" width="24" customWidth="1"/>
    <col min="3" max="10" width="13" customWidth="1"/>
  </cols>
  <sheetData>
    <row r="1" spans="1:10" ht="25.5" customHeight="1" x14ac:dyDescent="0.25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</row>
    <row r="3" spans="1:10" ht="19.5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7" t="s">
        <v>28</v>
      </c>
      <c r="B5" s="7" t="s">
        <v>29</v>
      </c>
      <c r="C5" s="8">
        <v>2330000</v>
      </c>
      <c r="D5" s="8">
        <v>2590000</v>
      </c>
      <c r="E5" s="8">
        <v>2600000</v>
      </c>
      <c r="F5" s="8">
        <v>2670000</v>
      </c>
      <c r="G5" s="8">
        <v>2700000</v>
      </c>
      <c r="H5" s="8">
        <v>2810000</v>
      </c>
      <c r="I5" s="8">
        <v>2910000</v>
      </c>
      <c r="J5" s="8">
        <v>3000000</v>
      </c>
    </row>
    <row r="6" spans="1:10" x14ac:dyDescent="0.25">
      <c r="A6" s="1" t="s">
        <v>30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9" t="s">
        <v>31</v>
      </c>
      <c r="B7" s="9" t="s">
        <v>32</v>
      </c>
      <c r="C7" s="10">
        <v>2050000</v>
      </c>
      <c r="D7" s="10">
        <v>2290000</v>
      </c>
      <c r="E7" s="10">
        <v>2290000</v>
      </c>
      <c r="F7" s="10">
        <v>2350000</v>
      </c>
      <c r="G7" s="10">
        <v>2370000</v>
      </c>
      <c r="H7" s="10">
        <v>2470000</v>
      </c>
      <c r="I7" s="10">
        <v>2550000</v>
      </c>
      <c r="J7" s="10">
        <v>2630000</v>
      </c>
    </row>
    <row r="8" spans="1:10" x14ac:dyDescent="0.25">
      <c r="A8" s="9" t="s">
        <v>31</v>
      </c>
      <c r="B8" s="9" t="s">
        <v>86</v>
      </c>
      <c r="C8" s="11">
        <v>0.88100000000000001</v>
      </c>
      <c r="D8" s="11">
        <v>0.88400000000000001</v>
      </c>
      <c r="E8" s="11">
        <v>0.88100000000000001</v>
      </c>
      <c r="F8" s="11">
        <v>0.88</v>
      </c>
      <c r="G8" s="11">
        <v>0.878</v>
      </c>
      <c r="H8" s="11">
        <v>0.878</v>
      </c>
      <c r="I8" s="11">
        <v>0.878</v>
      </c>
      <c r="J8" s="11">
        <v>0.876</v>
      </c>
    </row>
    <row r="9" spans="1:10" x14ac:dyDescent="0.25">
      <c r="A9" s="9" t="s">
        <v>31</v>
      </c>
      <c r="B9" s="9" t="s">
        <v>34</v>
      </c>
      <c r="C9" s="10">
        <v>280000</v>
      </c>
      <c r="D9" s="10">
        <v>300000</v>
      </c>
      <c r="E9" s="10">
        <v>310000</v>
      </c>
      <c r="F9" s="10">
        <v>320000</v>
      </c>
      <c r="G9" s="10">
        <v>330000</v>
      </c>
      <c r="H9" s="10">
        <v>340000</v>
      </c>
      <c r="I9" s="10">
        <v>360000</v>
      </c>
      <c r="J9" s="10">
        <v>370000</v>
      </c>
    </row>
    <row r="10" spans="1:10" x14ac:dyDescent="0.25">
      <c r="A10" s="9" t="s">
        <v>31</v>
      </c>
      <c r="B10" s="9" t="s">
        <v>87</v>
      </c>
      <c r="C10" s="11">
        <v>0.11899999999999999</v>
      </c>
      <c r="D10" s="11">
        <v>0.11600000000000001</v>
      </c>
      <c r="E10" s="11">
        <v>0.11899999999999999</v>
      </c>
      <c r="F10" s="11">
        <v>0.12</v>
      </c>
      <c r="G10" s="11">
        <v>0.122</v>
      </c>
      <c r="H10" s="11">
        <v>0.122</v>
      </c>
      <c r="I10" s="11">
        <v>0.123</v>
      </c>
      <c r="J10" s="11">
        <v>0.124</v>
      </c>
    </row>
    <row r="11" spans="1:10" x14ac:dyDescent="0.25">
      <c r="A11" s="1" t="s">
        <v>36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9" t="s">
        <v>37</v>
      </c>
      <c r="B12" s="9" t="s">
        <v>38</v>
      </c>
      <c r="C12" s="10">
        <v>1180000</v>
      </c>
      <c r="D12" s="10">
        <v>1310000</v>
      </c>
      <c r="E12" s="10">
        <v>1300000</v>
      </c>
      <c r="F12" s="10">
        <v>1360000</v>
      </c>
      <c r="G12" s="10">
        <v>1410000</v>
      </c>
      <c r="H12" s="10">
        <v>1490000</v>
      </c>
      <c r="I12" s="10">
        <v>1550000</v>
      </c>
      <c r="J12" s="10">
        <v>1620000</v>
      </c>
    </row>
    <row r="13" spans="1:10" x14ac:dyDescent="0.25">
      <c r="A13" s="9" t="s">
        <v>37</v>
      </c>
      <c r="B13" s="9" t="s">
        <v>39</v>
      </c>
      <c r="C13" s="11">
        <v>0.505</v>
      </c>
      <c r="D13" s="11">
        <v>0.50800000000000001</v>
      </c>
      <c r="E13" s="11">
        <v>0.498</v>
      </c>
      <c r="F13" s="11">
        <v>0.51</v>
      </c>
      <c r="G13" s="11">
        <v>0.52200000000000002</v>
      </c>
      <c r="H13" s="11">
        <v>0.52800000000000002</v>
      </c>
      <c r="I13" s="11">
        <v>0.53400000000000003</v>
      </c>
      <c r="J13" s="11">
        <v>0.53900000000000003</v>
      </c>
    </row>
    <row r="14" spans="1:10" x14ac:dyDescent="0.25">
      <c r="A14" s="9" t="s">
        <v>37</v>
      </c>
      <c r="B14" s="9" t="s">
        <v>40</v>
      </c>
      <c r="C14" s="10">
        <v>1140000</v>
      </c>
      <c r="D14" s="10">
        <v>1260000</v>
      </c>
      <c r="E14" s="10">
        <v>1310000</v>
      </c>
      <c r="F14" s="10">
        <v>1300000</v>
      </c>
      <c r="G14" s="10">
        <v>1280000</v>
      </c>
      <c r="H14" s="10">
        <v>1320000</v>
      </c>
      <c r="I14" s="10">
        <v>1340000</v>
      </c>
      <c r="J14" s="10">
        <v>1370000</v>
      </c>
    </row>
    <row r="15" spans="1:10" x14ac:dyDescent="0.25">
      <c r="A15" s="9" t="s">
        <v>37</v>
      </c>
      <c r="B15" s="9" t="s">
        <v>41</v>
      </c>
      <c r="C15" s="11">
        <v>0.49</v>
      </c>
      <c r="D15" s="11">
        <v>0.48799999999999999</v>
      </c>
      <c r="E15" s="11">
        <v>0.50800000000000001</v>
      </c>
      <c r="F15" s="11">
        <v>0.498</v>
      </c>
      <c r="G15" s="11">
        <v>0.47399999999999998</v>
      </c>
      <c r="H15" s="11">
        <v>0.46800000000000003</v>
      </c>
      <c r="I15" s="11">
        <v>0.46200000000000002</v>
      </c>
      <c r="J15" s="11">
        <v>0.45700000000000002</v>
      </c>
    </row>
    <row r="16" spans="1:10" x14ac:dyDescent="0.25">
      <c r="A16" s="1" t="s">
        <v>42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9" t="s">
        <v>43</v>
      </c>
      <c r="B17" s="9" t="s">
        <v>44</v>
      </c>
      <c r="C17" s="10">
        <v>1400</v>
      </c>
      <c r="D17" s="10">
        <v>1500</v>
      </c>
      <c r="E17" s="10">
        <v>1300</v>
      </c>
      <c r="F17" s="10">
        <v>1000</v>
      </c>
      <c r="G17" s="10">
        <v>1000</v>
      </c>
      <c r="H17" s="10">
        <v>1000</v>
      </c>
      <c r="I17" s="10">
        <v>830</v>
      </c>
      <c r="J17" s="10">
        <v>915</v>
      </c>
    </row>
    <row r="18" spans="1:10" x14ac:dyDescent="0.25">
      <c r="A18" s="9" t="s">
        <v>43</v>
      </c>
      <c r="B18" s="9" t="s">
        <v>45</v>
      </c>
      <c r="C18" s="10">
        <v>828200</v>
      </c>
      <c r="D18" s="10">
        <v>971400</v>
      </c>
      <c r="E18" s="10">
        <v>938100</v>
      </c>
      <c r="F18" s="10">
        <v>951500</v>
      </c>
      <c r="G18" s="10">
        <v>976500</v>
      </c>
      <c r="H18" s="10">
        <v>1030000</v>
      </c>
      <c r="I18" s="10">
        <v>1050000</v>
      </c>
      <c r="J18" s="10">
        <v>1080000</v>
      </c>
    </row>
    <row r="19" spans="1:10" x14ac:dyDescent="0.25">
      <c r="A19" s="9" t="s">
        <v>43</v>
      </c>
      <c r="B19" s="9" t="s">
        <v>46</v>
      </c>
      <c r="C19" s="10">
        <v>603200</v>
      </c>
      <c r="D19" s="10">
        <v>667100</v>
      </c>
      <c r="E19" s="10">
        <v>668500</v>
      </c>
      <c r="F19" s="10">
        <v>685800</v>
      </c>
      <c r="G19" s="10">
        <v>693600</v>
      </c>
      <c r="H19" s="10">
        <v>719700</v>
      </c>
      <c r="I19" s="10">
        <v>746000</v>
      </c>
      <c r="J19" s="10">
        <v>768400</v>
      </c>
    </row>
    <row r="20" spans="1:10" x14ac:dyDescent="0.25">
      <c r="A20" s="9" t="s">
        <v>43</v>
      </c>
      <c r="B20" s="9" t="s">
        <v>47</v>
      </c>
      <c r="C20" s="10">
        <v>455900</v>
      </c>
      <c r="D20" s="10">
        <v>502800</v>
      </c>
      <c r="E20" s="10">
        <v>504500</v>
      </c>
      <c r="F20" s="10">
        <v>518800</v>
      </c>
      <c r="G20" s="10">
        <v>521600</v>
      </c>
      <c r="H20" s="10">
        <v>539900</v>
      </c>
      <c r="I20" s="10">
        <v>560000</v>
      </c>
      <c r="J20" s="10">
        <v>577500</v>
      </c>
    </row>
    <row r="21" spans="1:10" x14ac:dyDescent="0.25">
      <c r="A21" s="9" t="s">
        <v>43</v>
      </c>
      <c r="B21" s="9" t="s">
        <v>48</v>
      </c>
      <c r="C21" s="10">
        <v>285100</v>
      </c>
      <c r="D21" s="10">
        <v>318300</v>
      </c>
      <c r="E21" s="10">
        <v>317000</v>
      </c>
      <c r="F21" s="10">
        <v>326600</v>
      </c>
      <c r="G21" s="10">
        <v>325500</v>
      </c>
      <c r="H21" s="10">
        <v>338700</v>
      </c>
      <c r="I21" s="10">
        <v>352100</v>
      </c>
      <c r="J21" s="10">
        <v>364100</v>
      </c>
    </row>
    <row r="22" spans="1:10" x14ac:dyDescent="0.25">
      <c r="A22" s="9" t="s">
        <v>43</v>
      </c>
      <c r="B22" s="9" t="s">
        <v>49</v>
      </c>
      <c r="C22" s="10">
        <v>102900</v>
      </c>
      <c r="D22" s="10">
        <v>118700</v>
      </c>
      <c r="E22" s="10">
        <v>100000</v>
      </c>
      <c r="F22" s="10">
        <v>123000</v>
      </c>
      <c r="G22" s="10">
        <v>123000</v>
      </c>
      <c r="H22" s="10">
        <v>129000</v>
      </c>
      <c r="I22" s="10">
        <v>138000</v>
      </c>
      <c r="J22" s="10">
        <v>145000</v>
      </c>
    </row>
    <row r="23" spans="1:10" x14ac:dyDescent="0.25">
      <c r="A23" s="9" t="s">
        <v>43</v>
      </c>
      <c r="B23" s="9" t="s">
        <v>50</v>
      </c>
      <c r="C23" s="10">
        <v>34400</v>
      </c>
      <c r="D23" s="10">
        <v>39800</v>
      </c>
      <c r="E23" s="10">
        <v>35000</v>
      </c>
      <c r="F23" s="10">
        <v>37500</v>
      </c>
      <c r="G23" s="10">
        <v>35800</v>
      </c>
      <c r="H23" s="10">
        <v>37600</v>
      </c>
      <c r="I23" s="10">
        <v>39800</v>
      </c>
      <c r="J23" s="10">
        <v>41400</v>
      </c>
    </row>
    <row r="24" spans="1:10" x14ac:dyDescent="0.25">
      <c r="A24" s="9" t="s">
        <v>43</v>
      </c>
      <c r="B24" s="9" t="s">
        <v>51</v>
      </c>
      <c r="C24" s="10">
        <v>12600</v>
      </c>
      <c r="D24" s="10">
        <v>14400</v>
      </c>
      <c r="E24" s="10">
        <v>12500</v>
      </c>
      <c r="F24" s="10">
        <v>13900</v>
      </c>
      <c r="G24" s="10">
        <v>12700</v>
      </c>
      <c r="H24" s="10">
        <v>13000</v>
      </c>
      <c r="I24" s="10">
        <v>13300</v>
      </c>
      <c r="J24" s="10">
        <v>15000</v>
      </c>
    </row>
    <row r="25" spans="1:10" x14ac:dyDescent="0.25">
      <c r="A25" s="1" t="s">
        <v>88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9" t="s">
        <v>89</v>
      </c>
      <c r="B26" s="9" t="s">
        <v>90</v>
      </c>
      <c r="C26" s="10">
        <v>2240000</v>
      </c>
      <c r="D26" s="10">
        <v>2510000</v>
      </c>
      <c r="E26" s="10">
        <v>2520000</v>
      </c>
      <c r="F26" s="10">
        <v>2610000</v>
      </c>
      <c r="G26" s="10">
        <v>2670000</v>
      </c>
      <c r="H26" s="10">
        <v>2780000</v>
      </c>
      <c r="I26" s="10">
        <v>2880000</v>
      </c>
      <c r="J26" s="10">
        <v>2950000</v>
      </c>
    </row>
    <row r="27" spans="1:10" x14ac:dyDescent="0.25">
      <c r="A27" s="9" t="s">
        <v>89</v>
      </c>
      <c r="B27" s="9" t="s">
        <v>91</v>
      </c>
      <c r="C27" s="10">
        <v>4122</v>
      </c>
      <c r="D27" s="10">
        <v>3415</v>
      </c>
      <c r="E27" s="10">
        <v>3329</v>
      </c>
      <c r="F27" s="10">
        <v>3465</v>
      </c>
      <c r="G27" s="10">
        <v>3574</v>
      </c>
      <c r="H27" s="10">
        <v>3716</v>
      </c>
      <c r="I27" s="10">
        <v>4020</v>
      </c>
      <c r="J27" s="10">
        <v>4480</v>
      </c>
    </row>
    <row r="28" spans="1:10" x14ac:dyDescent="0.25">
      <c r="A28" s="9" t="s">
        <v>89</v>
      </c>
      <c r="B28" s="9" t="s">
        <v>92</v>
      </c>
      <c r="C28" s="10">
        <v>1376</v>
      </c>
      <c r="D28" s="10">
        <v>1077</v>
      </c>
      <c r="E28" s="10">
        <v>918</v>
      </c>
      <c r="F28" s="10">
        <v>962</v>
      </c>
      <c r="G28" s="10">
        <v>992</v>
      </c>
      <c r="H28" s="10">
        <v>1045</v>
      </c>
      <c r="I28" s="10">
        <v>1064</v>
      </c>
      <c r="J28" s="10">
        <v>1077</v>
      </c>
    </row>
    <row r="29" spans="1:10" x14ac:dyDescent="0.25">
      <c r="A29" s="9" t="s">
        <v>89</v>
      </c>
      <c r="B29" s="9" t="s">
        <v>93</v>
      </c>
      <c r="C29" s="10">
        <v>1088</v>
      </c>
      <c r="D29" s="10">
        <v>1149</v>
      </c>
      <c r="E29" s="10">
        <v>1176</v>
      </c>
      <c r="F29" s="10">
        <v>1262</v>
      </c>
      <c r="G29" s="10">
        <v>1388</v>
      </c>
      <c r="H29" s="10">
        <v>1511</v>
      </c>
      <c r="I29" s="10">
        <v>1662</v>
      </c>
      <c r="J29" s="10">
        <v>2035</v>
      </c>
    </row>
    <row r="30" spans="1:10" x14ac:dyDescent="0.25">
      <c r="A30" s="9" t="s">
        <v>89</v>
      </c>
      <c r="B30" s="9" t="s">
        <v>94</v>
      </c>
      <c r="C30" s="10">
        <v>8</v>
      </c>
      <c r="D30" s="10">
        <v>7</v>
      </c>
      <c r="E30" s="10">
        <v>6</v>
      </c>
      <c r="F30" s="10">
        <v>7</v>
      </c>
      <c r="G30" s="10">
        <v>7</v>
      </c>
      <c r="H30" s="10">
        <v>8</v>
      </c>
      <c r="I30" s="10">
        <v>8</v>
      </c>
      <c r="J30" s="10">
        <v>8</v>
      </c>
    </row>
    <row r="31" spans="1:10" x14ac:dyDescent="0.25">
      <c r="A31" s="1" t="s">
        <v>58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7" t="s">
        <v>59</v>
      </c>
      <c r="B32" s="7" t="s">
        <v>60</v>
      </c>
      <c r="C32" s="8">
        <v>15190000</v>
      </c>
      <c r="D32" s="8">
        <v>17410000</v>
      </c>
      <c r="E32" s="8">
        <v>19590000</v>
      </c>
      <c r="F32" s="8">
        <v>23190000</v>
      </c>
      <c r="G32" s="8">
        <v>28100000</v>
      </c>
      <c r="H32" s="8">
        <v>31160000</v>
      </c>
      <c r="I32" s="8">
        <v>35430000</v>
      </c>
      <c r="J32" s="8">
        <v>43060000</v>
      </c>
    </row>
    <row r="33" spans="1:10" x14ac:dyDescent="0.25">
      <c r="A33" s="7" t="s">
        <v>59</v>
      </c>
      <c r="B33" s="7" t="s">
        <v>61</v>
      </c>
      <c r="C33" s="8">
        <v>1380000000</v>
      </c>
      <c r="D33" s="8">
        <v>1410000000</v>
      </c>
      <c r="E33" s="8">
        <v>1440000000</v>
      </c>
      <c r="F33" s="8">
        <v>1540000000</v>
      </c>
      <c r="G33" s="8">
        <v>1720000000</v>
      </c>
      <c r="H33" s="8">
        <v>1650000000</v>
      </c>
      <c r="I33" s="8">
        <v>1790000000</v>
      </c>
      <c r="J33" s="8">
        <v>1970000000</v>
      </c>
    </row>
    <row r="34" spans="1:10" x14ac:dyDescent="0.25">
      <c r="A34" s="1" t="s">
        <v>62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9" t="s">
        <v>63</v>
      </c>
      <c r="B35" s="9" t="s">
        <v>64</v>
      </c>
      <c r="C35" s="10">
        <v>13750000</v>
      </c>
      <c r="D35" s="10">
        <v>15890000</v>
      </c>
      <c r="E35" s="10">
        <v>18140000</v>
      </c>
      <c r="F35" s="10">
        <v>21330000</v>
      </c>
      <c r="G35" s="10">
        <v>24800000</v>
      </c>
      <c r="H35" s="10">
        <v>26360000</v>
      </c>
      <c r="I35" s="10">
        <v>29950000</v>
      </c>
      <c r="J35" s="10">
        <v>36050000</v>
      </c>
    </row>
    <row r="36" spans="1:10" x14ac:dyDescent="0.25">
      <c r="A36" s="9" t="s">
        <v>63</v>
      </c>
      <c r="B36" s="9" t="s">
        <v>65</v>
      </c>
      <c r="C36" s="11">
        <v>0.90500000000000003</v>
      </c>
      <c r="D36" s="11">
        <v>0.91300000000000003</v>
      </c>
      <c r="E36" s="11">
        <v>0.92600000000000005</v>
      </c>
      <c r="F36" s="11">
        <v>0.92</v>
      </c>
      <c r="G36" s="11">
        <v>0.88300000000000001</v>
      </c>
      <c r="H36" s="11">
        <v>0.84599999999999997</v>
      </c>
      <c r="I36" s="11">
        <v>0.84499999999999997</v>
      </c>
      <c r="J36" s="11">
        <v>0.83699999999999997</v>
      </c>
    </row>
    <row r="37" spans="1:10" x14ac:dyDescent="0.25">
      <c r="A37" s="9" t="s">
        <v>63</v>
      </c>
      <c r="B37" s="9" t="s">
        <v>66</v>
      </c>
      <c r="C37" s="10">
        <v>583000</v>
      </c>
      <c r="D37" s="10">
        <v>597000</v>
      </c>
      <c r="E37" s="10">
        <v>599000</v>
      </c>
      <c r="F37" s="10">
        <v>1005000</v>
      </c>
      <c r="G37" s="10">
        <v>2490000</v>
      </c>
      <c r="H37" s="10">
        <v>4510000</v>
      </c>
      <c r="I37" s="10">
        <v>5210000</v>
      </c>
      <c r="J37" s="10">
        <v>6760000</v>
      </c>
    </row>
    <row r="38" spans="1:10" x14ac:dyDescent="0.25">
      <c r="A38" s="9" t="s">
        <v>63</v>
      </c>
      <c r="B38" s="9" t="s">
        <v>67</v>
      </c>
      <c r="C38" s="11">
        <v>3.7999999999999999E-2</v>
      </c>
      <c r="D38" s="11">
        <v>3.4000000000000002E-2</v>
      </c>
      <c r="E38" s="11">
        <v>3.1E-2</v>
      </c>
      <c r="F38" s="11">
        <v>4.2999999999999997E-2</v>
      </c>
      <c r="G38" s="11">
        <v>8.7999999999999995E-2</v>
      </c>
      <c r="H38" s="11">
        <v>0.14499999999999999</v>
      </c>
      <c r="I38" s="11">
        <v>0.14699999999999999</v>
      </c>
      <c r="J38" s="11">
        <v>0.157</v>
      </c>
    </row>
    <row r="39" spans="1:10" x14ac:dyDescent="0.25">
      <c r="A39" s="9" t="s">
        <v>63</v>
      </c>
      <c r="B39" s="9" t="s">
        <v>95</v>
      </c>
      <c r="C39" s="10">
        <v>339000</v>
      </c>
      <c r="D39" s="10">
        <v>367000</v>
      </c>
      <c r="E39" s="10">
        <v>340000</v>
      </c>
      <c r="F39" s="10">
        <v>357000</v>
      </c>
      <c r="G39" s="10">
        <v>329000</v>
      </c>
      <c r="H39" s="10">
        <v>66000</v>
      </c>
      <c r="I39" s="10">
        <v>62000</v>
      </c>
      <c r="J39" s="10">
        <v>62000</v>
      </c>
    </row>
    <row r="40" spans="1:10" x14ac:dyDescent="0.25">
      <c r="A40" s="9" t="s">
        <v>63</v>
      </c>
      <c r="B40" s="9" t="s">
        <v>96</v>
      </c>
      <c r="C40" s="11">
        <v>2.1999999999999999E-2</v>
      </c>
      <c r="D40" s="11">
        <v>2.1000000000000001E-2</v>
      </c>
      <c r="E40" s="11">
        <v>1.7000000000000001E-2</v>
      </c>
      <c r="F40" s="11">
        <v>1.4999999999999999E-2</v>
      </c>
      <c r="G40" s="11">
        <v>1.2E-2</v>
      </c>
      <c r="H40" s="11">
        <v>2E-3</v>
      </c>
      <c r="I40" s="11">
        <v>2E-3</v>
      </c>
      <c r="J40" s="11">
        <v>1E-3</v>
      </c>
    </row>
    <row r="41" spans="1:10" x14ac:dyDescent="0.25">
      <c r="A41" s="9" t="s">
        <v>63</v>
      </c>
      <c r="B41" s="9" t="s">
        <v>97</v>
      </c>
      <c r="C41" s="10">
        <v>517000</v>
      </c>
      <c r="D41" s="10">
        <v>551000</v>
      </c>
      <c r="E41" s="10">
        <v>507000</v>
      </c>
      <c r="F41" s="10">
        <v>498000</v>
      </c>
      <c r="G41" s="10">
        <v>485000</v>
      </c>
      <c r="H41" s="10">
        <v>227000</v>
      </c>
      <c r="I41" s="10">
        <v>215000</v>
      </c>
      <c r="J41" s="10">
        <v>189000</v>
      </c>
    </row>
    <row r="42" spans="1:10" x14ac:dyDescent="0.25">
      <c r="A42" s="9" t="s">
        <v>63</v>
      </c>
      <c r="B42" s="9" t="s">
        <v>98</v>
      </c>
      <c r="C42" s="11">
        <v>3.4000000000000002E-2</v>
      </c>
      <c r="D42" s="11">
        <v>3.2000000000000001E-2</v>
      </c>
      <c r="E42" s="11">
        <v>2.5999999999999999E-2</v>
      </c>
      <c r="F42" s="11">
        <v>2.1000000000000001E-2</v>
      </c>
      <c r="G42" s="11">
        <v>1.7000000000000001E-2</v>
      </c>
      <c r="H42" s="11">
        <v>7.0000000000000001E-3</v>
      </c>
      <c r="I42" s="11">
        <v>6.0000000000000001E-3</v>
      </c>
      <c r="J42" s="11">
        <v>4.0000000000000001E-3</v>
      </c>
    </row>
    <row r="43" spans="1:10" x14ac:dyDescent="0.25">
      <c r="A43" s="1" t="s">
        <v>70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9" t="s">
        <v>71</v>
      </c>
      <c r="B44" s="9" t="s">
        <v>72</v>
      </c>
      <c r="C44" s="10">
        <v>1190000000</v>
      </c>
      <c r="D44" s="10">
        <v>1210000000</v>
      </c>
      <c r="E44" s="10">
        <v>1290000000</v>
      </c>
      <c r="F44" s="10">
        <v>1370000000</v>
      </c>
      <c r="G44" s="10">
        <v>1460000000</v>
      </c>
      <c r="H44" s="10">
        <v>1320000000</v>
      </c>
      <c r="I44" s="10">
        <v>1400000000</v>
      </c>
      <c r="J44" s="10">
        <v>1520000000</v>
      </c>
    </row>
    <row r="45" spans="1:10" x14ac:dyDescent="0.25">
      <c r="A45" s="9" t="s">
        <v>71</v>
      </c>
      <c r="B45" s="9" t="s">
        <v>65</v>
      </c>
      <c r="C45" s="11">
        <v>0.85840000000000005</v>
      </c>
      <c r="D45" s="11">
        <v>0.86499999999999999</v>
      </c>
      <c r="E45" s="11">
        <v>0.89500000000000002</v>
      </c>
      <c r="F45" s="11">
        <v>0.89</v>
      </c>
      <c r="G45" s="11">
        <v>0.84699999999999998</v>
      </c>
      <c r="H45" s="11">
        <v>0.8</v>
      </c>
      <c r="I45" s="11">
        <v>0.78300000000000003</v>
      </c>
      <c r="J45" s="11">
        <v>0.77</v>
      </c>
    </row>
    <row r="46" spans="1:10" x14ac:dyDescent="0.25">
      <c r="A46" s="9" t="s">
        <v>71</v>
      </c>
      <c r="B46" s="9" t="s">
        <v>73</v>
      </c>
      <c r="C46" s="10">
        <v>46000000</v>
      </c>
      <c r="D46" s="10">
        <v>45000000</v>
      </c>
      <c r="E46" s="10">
        <v>16000000</v>
      </c>
      <c r="F46" s="10">
        <v>38000000</v>
      </c>
      <c r="G46" s="10">
        <v>137000000</v>
      </c>
      <c r="H46" s="10">
        <v>287000000</v>
      </c>
      <c r="I46" s="10">
        <v>347000000</v>
      </c>
      <c r="J46" s="10">
        <v>414000000</v>
      </c>
    </row>
    <row r="47" spans="1:10" x14ac:dyDescent="0.25">
      <c r="A47" s="9" t="s">
        <v>71</v>
      </c>
      <c r="B47" s="9" t="s">
        <v>67</v>
      </c>
      <c r="C47" s="11">
        <v>3.3500000000000002E-2</v>
      </c>
      <c r="D47" s="11">
        <v>3.2000000000000001E-2</v>
      </c>
      <c r="E47" s="11">
        <v>1.0999999999999999E-2</v>
      </c>
      <c r="F47" s="11">
        <v>2.5000000000000001E-2</v>
      </c>
      <c r="G47" s="11">
        <v>0.08</v>
      </c>
      <c r="H47" s="11">
        <v>0.17399999999999999</v>
      </c>
      <c r="I47" s="11">
        <v>0.19400000000000001</v>
      </c>
      <c r="J47" s="11">
        <v>0.21</v>
      </c>
    </row>
    <row r="48" spans="1:10" x14ac:dyDescent="0.25">
      <c r="A48" s="9" t="s">
        <v>71</v>
      </c>
      <c r="B48" s="9" t="s">
        <v>99</v>
      </c>
      <c r="C48" s="10">
        <v>60000000</v>
      </c>
      <c r="D48" s="10">
        <v>57000000</v>
      </c>
      <c r="E48" s="10">
        <v>54000000</v>
      </c>
      <c r="F48" s="10">
        <v>56000000</v>
      </c>
      <c r="G48" s="10">
        <v>52000000</v>
      </c>
      <c r="H48" s="10">
        <v>10000000</v>
      </c>
      <c r="I48" s="10">
        <v>11000000</v>
      </c>
      <c r="J48" s="10">
        <v>11000000</v>
      </c>
    </row>
    <row r="49" spans="1:10" x14ac:dyDescent="0.25">
      <c r="A49" s="9" t="s">
        <v>71</v>
      </c>
      <c r="B49" s="9" t="s">
        <v>96</v>
      </c>
      <c r="C49" s="11">
        <v>4.3200000000000002E-2</v>
      </c>
      <c r="D49" s="11">
        <v>0.04</v>
      </c>
      <c r="E49" s="11">
        <v>3.7999999999999999E-2</v>
      </c>
      <c r="F49" s="11">
        <v>3.5999999999999997E-2</v>
      </c>
      <c r="G49" s="11">
        <v>0.03</v>
      </c>
      <c r="H49" s="11">
        <v>6.0000000000000001E-3</v>
      </c>
      <c r="I49" s="11">
        <v>6.0000000000000001E-3</v>
      </c>
      <c r="J49" s="11">
        <v>5.0000000000000001E-3</v>
      </c>
    </row>
    <row r="50" spans="1:10" x14ac:dyDescent="0.25">
      <c r="A50" s="9" t="s">
        <v>71</v>
      </c>
      <c r="B50" s="9" t="s">
        <v>100</v>
      </c>
      <c r="C50" s="10">
        <v>90000000</v>
      </c>
      <c r="D50" s="10">
        <v>88000000</v>
      </c>
      <c r="E50" s="10">
        <v>80000000</v>
      </c>
      <c r="F50" s="10">
        <v>74000000</v>
      </c>
      <c r="G50" s="10">
        <v>74000000</v>
      </c>
      <c r="H50" s="10">
        <v>32000000</v>
      </c>
      <c r="I50" s="10">
        <v>30000000</v>
      </c>
      <c r="J50" s="10">
        <v>28000000</v>
      </c>
    </row>
    <row r="51" spans="1:10" x14ac:dyDescent="0.25">
      <c r="A51" s="9" t="s">
        <v>71</v>
      </c>
      <c r="B51" s="9" t="s">
        <v>98</v>
      </c>
      <c r="C51" s="11">
        <v>6.4899999999999999E-2</v>
      </c>
      <c r="D51" s="11">
        <v>6.3E-2</v>
      </c>
      <c r="E51" s="11">
        <v>5.5E-2</v>
      </c>
      <c r="F51" s="11">
        <v>4.8000000000000001E-2</v>
      </c>
      <c r="G51" s="11">
        <v>4.2999999999999997E-2</v>
      </c>
      <c r="H51" s="11">
        <v>0.02</v>
      </c>
      <c r="I51" s="11">
        <v>1.7000000000000001E-2</v>
      </c>
      <c r="J51" s="11">
        <v>1.4E-2</v>
      </c>
    </row>
    <row r="52" spans="1:10" x14ac:dyDescent="0.25">
      <c r="A52" s="1" t="s">
        <v>75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9" t="s">
        <v>76</v>
      </c>
      <c r="B53" s="9" t="s">
        <v>101</v>
      </c>
      <c r="C53" s="10">
        <v>4900000</v>
      </c>
      <c r="D53" s="10">
        <v>5600000</v>
      </c>
      <c r="E53" s="10">
        <v>6700000</v>
      </c>
      <c r="F53" s="10">
        <v>8100000</v>
      </c>
      <c r="G53" s="10">
        <v>9900000</v>
      </c>
      <c r="H53" s="10">
        <v>10700000</v>
      </c>
      <c r="I53" s="10">
        <v>13500000</v>
      </c>
      <c r="J53" s="10">
        <v>16700000</v>
      </c>
    </row>
    <row r="54" spans="1:10" x14ac:dyDescent="0.25">
      <c r="A54" s="9" t="s">
        <v>76</v>
      </c>
      <c r="B54" s="9" t="s">
        <v>78</v>
      </c>
      <c r="C54" s="11">
        <v>0.52200000000000002</v>
      </c>
      <c r="D54" s="11">
        <v>0.52900000000000003</v>
      </c>
      <c r="E54" s="11">
        <v>0.55000000000000004</v>
      </c>
      <c r="F54" s="11">
        <v>0.56799999999999995</v>
      </c>
      <c r="G54" s="11">
        <v>0.59199999999999997</v>
      </c>
      <c r="H54" s="11">
        <v>0.59799999999999998</v>
      </c>
      <c r="I54" s="11">
        <v>0.64100000000000001</v>
      </c>
      <c r="J54" s="11">
        <v>0.65500000000000003</v>
      </c>
    </row>
    <row r="55" spans="1:10" x14ac:dyDescent="0.25">
      <c r="A55" s="9" t="s">
        <v>76</v>
      </c>
      <c r="B55" s="9" t="s">
        <v>102</v>
      </c>
      <c r="C55" s="10">
        <v>4500000</v>
      </c>
      <c r="D55" s="10">
        <v>5000000</v>
      </c>
      <c r="E55" s="10">
        <v>5400000</v>
      </c>
      <c r="F55" s="10">
        <v>6200000</v>
      </c>
      <c r="G55" s="10">
        <v>6800000</v>
      </c>
      <c r="H55" s="10">
        <v>7200000</v>
      </c>
      <c r="I55" s="10">
        <v>7500000</v>
      </c>
      <c r="J55" s="10">
        <v>8800000</v>
      </c>
    </row>
    <row r="56" spans="1:10" x14ac:dyDescent="0.25">
      <c r="A56" s="9" t="s">
        <v>76</v>
      </c>
      <c r="B56" s="9" t="s">
        <v>80</v>
      </c>
      <c r="C56" s="11">
        <v>0.47799999999999998</v>
      </c>
      <c r="D56" s="11">
        <v>0.47099999999999997</v>
      </c>
      <c r="E56" s="11">
        <v>0.45</v>
      </c>
      <c r="F56" s="11">
        <v>0.432</v>
      </c>
      <c r="G56" s="11">
        <v>0.40799999999999997</v>
      </c>
      <c r="H56" s="11">
        <v>0.40200000000000002</v>
      </c>
      <c r="I56" s="11">
        <v>0.35899999999999999</v>
      </c>
      <c r="J56" s="11">
        <v>0.34499999999999997</v>
      </c>
    </row>
    <row r="57" spans="1:10" x14ac:dyDescent="0.25">
      <c r="A57" s="1" t="s">
        <v>81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9" t="s">
        <v>82</v>
      </c>
      <c r="B58" s="9" t="s">
        <v>83</v>
      </c>
      <c r="C58" s="10">
        <v>294000000</v>
      </c>
      <c r="D58" s="10">
        <v>280000000</v>
      </c>
      <c r="E58" s="10">
        <v>314000000</v>
      </c>
      <c r="F58" s="10">
        <v>331000000</v>
      </c>
      <c r="G58" s="10">
        <v>366000000</v>
      </c>
      <c r="H58" s="10">
        <v>340000000</v>
      </c>
      <c r="I58" s="10">
        <v>402000000</v>
      </c>
      <c r="J58" s="10">
        <v>427000000</v>
      </c>
    </row>
    <row r="59" spans="1:10" x14ac:dyDescent="0.25">
      <c r="A59" s="9" t="s">
        <v>82</v>
      </c>
      <c r="B59" s="9" t="s">
        <v>78</v>
      </c>
      <c r="C59" s="11">
        <v>0.51300000000000001</v>
      </c>
      <c r="D59" s="11">
        <v>0.50700000000000001</v>
      </c>
      <c r="E59" s="11">
        <v>0.53400000000000003</v>
      </c>
      <c r="F59" s="11">
        <v>0.54200000000000004</v>
      </c>
      <c r="G59" s="11">
        <v>0.56200000000000006</v>
      </c>
      <c r="H59" s="11">
        <v>0.56200000000000006</v>
      </c>
      <c r="I59" s="11">
        <v>0.59099999999999997</v>
      </c>
      <c r="J59" s="11">
        <v>0.59099999999999997</v>
      </c>
    </row>
    <row r="60" spans="1:10" x14ac:dyDescent="0.25">
      <c r="A60" s="9" t="s">
        <v>82</v>
      </c>
      <c r="B60" s="9" t="s">
        <v>84</v>
      </c>
      <c r="C60" s="10">
        <v>279000000</v>
      </c>
      <c r="D60" s="10">
        <v>272000000</v>
      </c>
      <c r="E60" s="10">
        <v>274000000</v>
      </c>
      <c r="F60" s="10">
        <v>280000000</v>
      </c>
      <c r="G60" s="10">
        <v>286000000</v>
      </c>
      <c r="H60" s="10">
        <v>265000000</v>
      </c>
      <c r="I60" s="10">
        <v>278000000</v>
      </c>
      <c r="J60" s="10">
        <v>296000000</v>
      </c>
    </row>
    <row r="61" spans="1:10" x14ac:dyDescent="0.25">
      <c r="A61" s="9" t="s">
        <v>82</v>
      </c>
      <c r="B61" s="9" t="s">
        <v>80</v>
      </c>
      <c r="C61" s="11">
        <v>0.48699999999999999</v>
      </c>
      <c r="D61" s="11">
        <v>0.49299999999999999</v>
      </c>
      <c r="E61" s="11">
        <v>0.46600000000000003</v>
      </c>
      <c r="F61" s="11">
        <v>0.45800000000000002</v>
      </c>
      <c r="G61" s="11">
        <v>0.438</v>
      </c>
      <c r="H61" s="11">
        <v>0.438</v>
      </c>
      <c r="I61" s="11">
        <v>0.40899999999999997</v>
      </c>
      <c r="J61" s="11">
        <v>0.40899999999999997</v>
      </c>
    </row>
  </sheetData>
  <mergeCells count="11">
    <mergeCell ref="A57:J57"/>
    <mergeCell ref="A25:J25"/>
    <mergeCell ref="A31:J31"/>
    <mergeCell ref="A34:J34"/>
    <mergeCell ref="A43:J43"/>
    <mergeCell ref="A52:J52"/>
    <mergeCell ref="A1:J1"/>
    <mergeCell ref="A4:J4"/>
    <mergeCell ref="A6:J6"/>
    <mergeCell ref="A11:J11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ColWidth="8.7109375" defaultRowHeight="15" x14ac:dyDescent="0.25"/>
  <cols>
    <col min="1" max="1" width="26" customWidth="1"/>
    <col min="2" max="2" width="24" customWidth="1"/>
    <col min="3" max="10" width="13" customWidth="1"/>
  </cols>
  <sheetData>
    <row r="1" spans="1:10" ht="25.5" customHeight="1" x14ac:dyDescent="0.25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</row>
    <row r="3" spans="1:10" ht="19.5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7" t="s">
        <v>28</v>
      </c>
      <c r="B5" s="7" t="s">
        <v>29</v>
      </c>
      <c r="C5" s="8">
        <v>4430000</v>
      </c>
      <c r="D5" s="8">
        <v>4540000</v>
      </c>
      <c r="E5" s="8">
        <v>4650000</v>
      </c>
      <c r="F5" s="8">
        <v>4760000</v>
      </c>
      <c r="G5" s="8">
        <v>4900000</v>
      </c>
      <c r="H5" s="8">
        <v>5040000</v>
      </c>
      <c r="I5" s="8">
        <v>5170000</v>
      </c>
      <c r="J5" s="8">
        <v>5290000</v>
      </c>
    </row>
    <row r="6" spans="1:10" x14ac:dyDescent="0.25">
      <c r="A6" s="1" t="s">
        <v>58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7" t="s">
        <v>59</v>
      </c>
      <c r="B7" s="7" t="s">
        <v>60</v>
      </c>
      <c r="C7" s="8">
        <v>17430000</v>
      </c>
      <c r="D7" s="8">
        <v>17610000</v>
      </c>
      <c r="E7" s="8">
        <v>17090000</v>
      </c>
      <c r="F7" s="8">
        <v>18420000</v>
      </c>
      <c r="G7" s="8">
        <v>19670000</v>
      </c>
      <c r="H7" s="8">
        <v>20240000</v>
      </c>
      <c r="I7" s="8">
        <v>20470000</v>
      </c>
      <c r="J7" s="8">
        <v>20520000</v>
      </c>
    </row>
    <row r="8" spans="1:10" x14ac:dyDescent="0.25">
      <c r="A8" s="7" t="s">
        <v>59</v>
      </c>
      <c r="B8" s="7" t="s">
        <v>61</v>
      </c>
      <c r="C8" s="8">
        <v>3520000000</v>
      </c>
      <c r="D8" s="8">
        <v>3420000000</v>
      </c>
      <c r="E8" s="8">
        <v>3670000000</v>
      </c>
      <c r="F8" s="8">
        <v>3830000000</v>
      </c>
      <c r="G8" s="8">
        <v>4070000000</v>
      </c>
      <c r="H8" s="8">
        <v>4420000000</v>
      </c>
      <c r="I8" s="8">
        <v>3890000000</v>
      </c>
      <c r="J8" s="8">
        <v>3890000000</v>
      </c>
    </row>
    <row r="9" spans="1:10" x14ac:dyDescent="0.25">
      <c r="A9" s="1" t="s">
        <v>104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9" t="s">
        <v>105</v>
      </c>
      <c r="B10" s="9" t="s">
        <v>106</v>
      </c>
      <c r="C10" s="10">
        <v>5680000</v>
      </c>
      <c r="D10" s="10">
        <v>5740000</v>
      </c>
      <c r="E10" s="10">
        <v>5460000</v>
      </c>
      <c r="F10" s="10">
        <v>6280000</v>
      </c>
      <c r="G10" s="10">
        <v>6250000</v>
      </c>
      <c r="H10" s="10">
        <v>6320000</v>
      </c>
      <c r="I10" s="10">
        <v>6310000</v>
      </c>
      <c r="J10" s="10">
        <v>6530000</v>
      </c>
    </row>
    <row r="11" spans="1:10" x14ac:dyDescent="0.25">
      <c r="A11" s="9" t="s">
        <v>105</v>
      </c>
      <c r="B11" s="9" t="s">
        <v>107</v>
      </c>
      <c r="C11" s="10">
        <v>4710000</v>
      </c>
      <c r="D11" s="10">
        <v>5040000</v>
      </c>
      <c r="E11" s="10">
        <v>4740000</v>
      </c>
      <c r="F11" s="10">
        <v>5280000</v>
      </c>
      <c r="G11" s="10">
        <v>5490000</v>
      </c>
      <c r="H11" s="10">
        <v>5650000</v>
      </c>
      <c r="I11" s="10">
        <v>5680000</v>
      </c>
      <c r="J11" s="10">
        <v>5820000</v>
      </c>
    </row>
    <row r="12" spans="1:10" x14ac:dyDescent="0.25">
      <c r="A12" s="9" t="s">
        <v>105</v>
      </c>
      <c r="B12" s="9" t="s">
        <v>108</v>
      </c>
      <c r="C12" s="10">
        <v>3460000</v>
      </c>
      <c r="D12" s="10">
        <v>3370000</v>
      </c>
      <c r="E12" s="10">
        <v>3460000</v>
      </c>
      <c r="F12" s="10">
        <v>3210000</v>
      </c>
      <c r="G12" s="10">
        <v>3920000</v>
      </c>
      <c r="H12" s="10">
        <v>4410000</v>
      </c>
      <c r="I12" s="10">
        <v>4590000</v>
      </c>
      <c r="J12" s="10">
        <v>4430000</v>
      </c>
    </row>
    <row r="13" spans="1:10" x14ac:dyDescent="0.25">
      <c r="A13" s="9" t="s">
        <v>105</v>
      </c>
      <c r="B13" s="9" t="s">
        <v>109</v>
      </c>
      <c r="C13" s="10">
        <v>1590000</v>
      </c>
      <c r="D13" s="10">
        <v>1580000</v>
      </c>
      <c r="E13" s="10">
        <v>1500000</v>
      </c>
      <c r="F13" s="10">
        <v>1660000</v>
      </c>
      <c r="G13" s="10">
        <v>1710000</v>
      </c>
      <c r="H13" s="10">
        <v>1740000</v>
      </c>
      <c r="I13" s="10">
        <v>1690000</v>
      </c>
      <c r="J13" s="10">
        <v>1690000</v>
      </c>
    </row>
    <row r="14" spans="1:10" x14ac:dyDescent="0.25">
      <c r="A14" s="9" t="s">
        <v>105</v>
      </c>
      <c r="B14" s="9" t="s">
        <v>110</v>
      </c>
      <c r="C14" s="10">
        <v>900000</v>
      </c>
      <c r="D14" s="10">
        <v>920000</v>
      </c>
      <c r="E14" s="10">
        <v>870000</v>
      </c>
      <c r="F14" s="10">
        <v>990000</v>
      </c>
      <c r="G14" s="10">
        <v>920000</v>
      </c>
      <c r="H14" s="10">
        <v>970000</v>
      </c>
      <c r="I14" s="10">
        <v>950000</v>
      </c>
      <c r="J14" s="10">
        <v>940000</v>
      </c>
    </row>
    <row r="15" spans="1:10" x14ac:dyDescent="0.25">
      <c r="A15" s="9" t="s">
        <v>105</v>
      </c>
      <c r="B15" s="9" t="s">
        <v>111</v>
      </c>
      <c r="C15" s="10">
        <v>440000</v>
      </c>
      <c r="D15" s="10">
        <v>290000</v>
      </c>
      <c r="E15" s="10">
        <v>360000</v>
      </c>
      <c r="F15" s="10">
        <v>270000</v>
      </c>
      <c r="G15" s="10">
        <v>570000</v>
      </c>
      <c r="H15" s="10">
        <v>360000</v>
      </c>
      <c r="I15" s="10">
        <v>470000</v>
      </c>
      <c r="J15" s="10">
        <v>340000</v>
      </c>
    </row>
    <row r="16" spans="1:10" x14ac:dyDescent="0.25">
      <c r="A16" s="9" t="s">
        <v>105</v>
      </c>
      <c r="B16" s="9" t="s">
        <v>112</v>
      </c>
      <c r="C16" s="10">
        <v>120000</v>
      </c>
      <c r="D16" s="10">
        <v>130000</v>
      </c>
      <c r="E16" s="10">
        <v>120000</v>
      </c>
      <c r="F16" s="10">
        <v>160000</v>
      </c>
      <c r="G16" s="10">
        <v>190000</v>
      </c>
      <c r="H16" s="10">
        <v>180000</v>
      </c>
      <c r="I16" s="10">
        <v>160000</v>
      </c>
      <c r="J16" s="10">
        <v>170000</v>
      </c>
    </row>
    <row r="17" spans="1:10" x14ac:dyDescent="0.25">
      <c r="A17" s="9" t="s">
        <v>105</v>
      </c>
      <c r="B17" s="9" t="s">
        <v>113</v>
      </c>
      <c r="C17" s="10">
        <v>120000</v>
      </c>
      <c r="D17" s="10">
        <v>110000</v>
      </c>
      <c r="E17" s="10">
        <v>100000</v>
      </c>
      <c r="F17" s="10">
        <v>110000</v>
      </c>
      <c r="G17" s="10">
        <v>140000</v>
      </c>
      <c r="H17" s="10">
        <v>140000</v>
      </c>
      <c r="I17" s="10">
        <v>160000</v>
      </c>
      <c r="J17" s="10">
        <v>110000</v>
      </c>
    </row>
    <row r="18" spans="1:10" x14ac:dyDescent="0.25">
      <c r="A18" s="9" t="s">
        <v>105</v>
      </c>
      <c r="B18" s="9" t="s">
        <v>114</v>
      </c>
      <c r="C18" s="10">
        <v>90000</v>
      </c>
      <c r="D18" s="10">
        <v>100000</v>
      </c>
      <c r="E18" s="10">
        <v>150000</v>
      </c>
      <c r="F18" s="10">
        <v>100000</v>
      </c>
      <c r="G18" s="10">
        <v>100000</v>
      </c>
      <c r="H18" s="10">
        <v>110000</v>
      </c>
      <c r="I18" s="10">
        <v>80000</v>
      </c>
      <c r="J18" s="10">
        <v>110000</v>
      </c>
    </row>
    <row r="19" spans="1:10" x14ac:dyDescent="0.25">
      <c r="A19" s="9" t="s">
        <v>105</v>
      </c>
      <c r="B19" s="9" t="s">
        <v>115</v>
      </c>
      <c r="C19" s="10">
        <v>70000</v>
      </c>
      <c r="D19" s="10">
        <v>80000</v>
      </c>
      <c r="E19" s="10">
        <v>80000</v>
      </c>
      <c r="F19" s="10">
        <v>90000</v>
      </c>
      <c r="G19" s="10">
        <v>100000</v>
      </c>
      <c r="H19" s="10">
        <v>110000</v>
      </c>
      <c r="I19" s="10">
        <v>110000</v>
      </c>
      <c r="J19" s="10">
        <v>90000</v>
      </c>
    </row>
    <row r="20" spans="1:10" x14ac:dyDescent="0.25">
      <c r="A20" s="1" t="s">
        <v>116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9" t="s">
        <v>117</v>
      </c>
      <c r="B21" s="9" t="s">
        <v>118</v>
      </c>
      <c r="C21" s="10">
        <v>13800000</v>
      </c>
      <c r="D21" s="10">
        <v>14000000</v>
      </c>
      <c r="E21" s="10">
        <v>13800000</v>
      </c>
      <c r="F21" s="10">
        <v>15200000</v>
      </c>
      <c r="G21" s="10">
        <v>16000000</v>
      </c>
      <c r="H21" s="10">
        <v>16000000</v>
      </c>
      <c r="I21" s="10">
        <v>16700000</v>
      </c>
      <c r="J21" s="10">
        <v>16900000</v>
      </c>
    </row>
    <row r="22" spans="1:10" x14ac:dyDescent="0.25">
      <c r="A22" s="9" t="s">
        <v>117</v>
      </c>
      <c r="B22" s="9" t="s">
        <v>119</v>
      </c>
      <c r="C22" s="11">
        <v>0.79</v>
      </c>
      <c r="D22" s="11">
        <v>0.79700000000000004</v>
      </c>
      <c r="E22" s="11">
        <v>0.80700000000000005</v>
      </c>
      <c r="F22" s="11">
        <v>0.82599999999999996</v>
      </c>
      <c r="G22" s="11">
        <v>0.81599999999999995</v>
      </c>
      <c r="H22" s="11">
        <v>0.80300000000000005</v>
      </c>
      <c r="I22" s="11">
        <v>0.81699999999999995</v>
      </c>
      <c r="J22" s="11">
        <v>0.82599999999999996</v>
      </c>
    </row>
    <row r="23" spans="1:10" x14ac:dyDescent="0.25">
      <c r="A23" s="9" t="s">
        <v>117</v>
      </c>
      <c r="B23" s="9" t="s">
        <v>120</v>
      </c>
      <c r="C23" s="10">
        <v>3700000</v>
      </c>
      <c r="D23" s="10">
        <v>3600000</v>
      </c>
      <c r="E23" s="10">
        <v>3300000</v>
      </c>
      <c r="F23" s="10">
        <v>3200000</v>
      </c>
      <c r="G23" s="10">
        <v>3600000</v>
      </c>
      <c r="H23" s="10">
        <v>4000000</v>
      </c>
      <c r="I23" s="10">
        <v>3700000</v>
      </c>
      <c r="J23" s="10">
        <v>3600000</v>
      </c>
    </row>
    <row r="24" spans="1:10" x14ac:dyDescent="0.25">
      <c r="A24" s="9" t="s">
        <v>117</v>
      </c>
      <c r="B24" s="9" t="s">
        <v>121</v>
      </c>
      <c r="C24" s="11">
        <v>0.21</v>
      </c>
      <c r="D24" s="11">
        <v>0.20300000000000001</v>
      </c>
      <c r="E24" s="11">
        <v>0.193</v>
      </c>
      <c r="F24" s="11">
        <v>0.17399999999999999</v>
      </c>
      <c r="G24" s="11">
        <v>0.184</v>
      </c>
      <c r="H24" s="11">
        <v>0.19700000000000001</v>
      </c>
      <c r="I24" s="11">
        <v>0.183</v>
      </c>
      <c r="J24" s="11">
        <v>0.17399999999999999</v>
      </c>
    </row>
    <row r="25" spans="1:10" x14ac:dyDescent="0.25">
      <c r="A25" s="1" t="s">
        <v>122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9" t="s">
        <v>123</v>
      </c>
      <c r="B26" s="9" t="s">
        <v>124</v>
      </c>
      <c r="C26" s="10">
        <v>2800000000</v>
      </c>
      <c r="D26" s="10">
        <v>2800000000</v>
      </c>
      <c r="E26" s="10">
        <v>2900000000</v>
      </c>
      <c r="F26" s="10">
        <v>3100000000</v>
      </c>
      <c r="G26" s="10">
        <v>3200000000</v>
      </c>
      <c r="H26" s="10">
        <v>3300000000</v>
      </c>
      <c r="I26" s="10">
        <v>3300000000</v>
      </c>
      <c r="J26" s="10">
        <v>3400000000</v>
      </c>
    </row>
    <row r="27" spans="1:10" x14ac:dyDescent="0.25">
      <c r="A27" s="9" t="s">
        <v>123</v>
      </c>
      <c r="B27" s="9" t="s">
        <v>119</v>
      </c>
      <c r="C27" s="11">
        <v>0.79800000000000004</v>
      </c>
      <c r="D27" s="11">
        <v>0.80900000000000005</v>
      </c>
      <c r="E27" s="11">
        <v>0.79</v>
      </c>
      <c r="F27" s="11">
        <v>0.80500000000000005</v>
      </c>
      <c r="G27" s="11">
        <v>0.78500000000000003</v>
      </c>
      <c r="H27" s="11">
        <v>0.747</v>
      </c>
      <c r="I27" s="11">
        <v>0.85399999999999998</v>
      </c>
      <c r="J27" s="11">
        <v>0.88200000000000001</v>
      </c>
    </row>
    <row r="28" spans="1:10" x14ac:dyDescent="0.25">
      <c r="A28" s="9" t="s">
        <v>123</v>
      </c>
      <c r="B28" s="9" t="s">
        <v>125</v>
      </c>
      <c r="C28" s="10">
        <v>709000000</v>
      </c>
      <c r="D28" s="10">
        <v>655000000</v>
      </c>
      <c r="E28" s="10">
        <v>772000000</v>
      </c>
      <c r="F28" s="10">
        <v>747000000</v>
      </c>
      <c r="G28" s="10">
        <v>875000000</v>
      </c>
      <c r="H28" s="10">
        <v>1100000000</v>
      </c>
      <c r="I28" s="10">
        <v>568000000</v>
      </c>
      <c r="J28" s="10">
        <v>459000000</v>
      </c>
    </row>
    <row r="29" spans="1:10" x14ac:dyDescent="0.25">
      <c r="A29" s="9" t="s">
        <v>123</v>
      </c>
      <c r="B29" s="9" t="s">
        <v>121</v>
      </c>
      <c r="C29" s="11">
        <v>0.20200000000000001</v>
      </c>
      <c r="D29" s="11">
        <v>0.191</v>
      </c>
      <c r="E29" s="11">
        <v>0.21</v>
      </c>
      <c r="F29" s="11">
        <v>0.19500000000000001</v>
      </c>
      <c r="G29" s="11">
        <v>0.215</v>
      </c>
      <c r="H29" s="11">
        <v>0.253</v>
      </c>
      <c r="I29" s="11">
        <v>0.14599999999999999</v>
      </c>
      <c r="J29" s="11">
        <v>0.11799999999999999</v>
      </c>
    </row>
    <row r="31" spans="1:10" x14ac:dyDescent="0.25">
      <c r="A31" s="14" t="s">
        <v>126</v>
      </c>
    </row>
  </sheetData>
  <mergeCells count="6">
    <mergeCell ref="A25:J25"/>
    <mergeCell ref="A1:J1"/>
    <mergeCell ref="A4:J4"/>
    <mergeCell ref="A6:J6"/>
    <mergeCell ref="A9:J9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ColWidth="8.7109375" defaultRowHeight="15" x14ac:dyDescent="0.25"/>
  <cols>
    <col min="1" max="1" width="26" customWidth="1"/>
    <col min="2" max="2" width="24" customWidth="1"/>
    <col min="3" max="10" width="13" customWidth="1"/>
  </cols>
  <sheetData>
    <row r="1" spans="1:10" ht="25.5" customHeight="1" x14ac:dyDescent="0.25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</row>
    <row r="3" spans="1:10" ht="19.5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1" t="s">
        <v>128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7" t="s">
        <v>59</v>
      </c>
      <c r="B5" s="7" t="s">
        <v>129</v>
      </c>
      <c r="C5" s="8">
        <v>2800000</v>
      </c>
      <c r="D5" s="8">
        <v>2970000</v>
      </c>
      <c r="E5" s="8">
        <v>2980000</v>
      </c>
      <c r="F5" s="8">
        <v>2870000</v>
      </c>
      <c r="G5" s="8">
        <v>3060000</v>
      </c>
      <c r="H5" s="8">
        <v>3260000</v>
      </c>
      <c r="I5" s="8">
        <v>3240000</v>
      </c>
      <c r="J5" s="8">
        <v>3290000</v>
      </c>
    </row>
    <row r="6" spans="1:10" x14ac:dyDescent="0.25">
      <c r="A6" s="7" t="s">
        <v>59</v>
      </c>
      <c r="B6" s="7" t="s">
        <v>130</v>
      </c>
      <c r="C6" s="8">
        <v>2360000000</v>
      </c>
      <c r="D6" s="8">
        <v>2420000000</v>
      </c>
      <c r="E6" s="8">
        <v>2410000000</v>
      </c>
      <c r="F6" s="8">
        <v>2350000000</v>
      </c>
      <c r="G6" s="8">
        <v>2610000000</v>
      </c>
      <c r="H6" s="8">
        <v>2630000000</v>
      </c>
      <c r="I6" s="8">
        <v>2690000000</v>
      </c>
      <c r="J6" s="8">
        <v>2750000000</v>
      </c>
    </row>
    <row r="7" spans="1:10" x14ac:dyDescent="0.25">
      <c r="A7" s="1" t="s">
        <v>131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9" t="s">
        <v>132</v>
      </c>
      <c r="B8" s="9" t="s">
        <v>133</v>
      </c>
      <c r="C8" s="10">
        <v>17056</v>
      </c>
      <c r="D8" s="10">
        <v>17543</v>
      </c>
      <c r="E8" s="10">
        <v>16918</v>
      </c>
      <c r="F8" s="10">
        <v>17236</v>
      </c>
      <c r="G8" s="10">
        <v>17556</v>
      </c>
      <c r="H8" s="10">
        <v>18897</v>
      </c>
      <c r="I8" s="10">
        <v>16863</v>
      </c>
      <c r="J8" s="10">
        <v>17329</v>
      </c>
    </row>
    <row r="9" spans="1:10" x14ac:dyDescent="0.25">
      <c r="A9" s="9" t="s">
        <v>132</v>
      </c>
      <c r="B9" s="9" t="s">
        <v>134</v>
      </c>
      <c r="C9" s="10">
        <v>901</v>
      </c>
      <c r="D9" s="10">
        <v>941</v>
      </c>
      <c r="E9" s="10">
        <v>1003</v>
      </c>
      <c r="F9" s="10">
        <v>844</v>
      </c>
      <c r="G9" s="10">
        <v>989</v>
      </c>
      <c r="H9" s="10">
        <v>922</v>
      </c>
      <c r="I9" s="10">
        <v>828</v>
      </c>
      <c r="J9" s="10">
        <v>898</v>
      </c>
    </row>
    <row r="10" spans="1:10" x14ac:dyDescent="0.25">
      <c r="A10" s="9" t="s">
        <v>132</v>
      </c>
      <c r="B10" s="9" t="s">
        <v>135</v>
      </c>
      <c r="C10" s="10">
        <v>116</v>
      </c>
      <c r="D10" s="10">
        <v>113</v>
      </c>
      <c r="E10" s="10">
        <v>107</v>
      </c>
      <c r="F10" s="10">
        <v>86</v>
      </c>
      <c r="G10" s="10">
        <v>133</v>
      </c>
      <c r="H10" s="10">
        <v>120</v>
      </c>
      <c r="I10" s="10">
        <v>103</v>
      </c>
      <c r="J10" s="10">
        <v>113</v>
      </c>
    </row>
    <row r="11" spans="1:10" x14ac:dyDescent="0.25">
      <c r="A11" s="1" t="s">
        <v>136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9" t="s">
        <v>137</v>
      </c>
      <c r="B12" s="9" t="s">
        <v>138</v>
      </c>
      <c r="C12" s="15">
        <v>119.3</v>
      </c>
      <c r="D12" s="15">
        <v>117.2</v>
      </c>
      <c r="E12" s="15">
        <v>113</v>
      </c>
      <c r="F12" s="15">
        <v>110</v>
      </c>
      <c r="G12" s="15">
        <v>123</v>
      </c>
      <c r="H12" s="15">
        <v>122</v>
      </c>
      <c r="I12" s="15">
        <v>112</v>
      </c>
      <c r="J12" s="15">
        <v>116</v>
      </c>
    </row>
    <row r="13" spans="1:10" x14ac:dyDescent="0.25">
      <c r="A13" s="9" t="s">
        <v>137</v>
      </c>
      <c r="B13" s="9" t="s">
        <v>139</v>
      </c>
      <c r="C13" s="15">
        <v>9.3000000000000007</v>
      </c>
      <c r="D13" s="15">
        <v>8.1999999999999993</v>
      </c>
      <c r="E13" s="15">
        <v>8.9</v>
      </c>
      <c r="F13" s="15">
        <v>7.9</v>
      </c>
      <c r="G13" s="15">
        <v>9.3000000000000007</v>
      </c>
      <c r="H13" s="15">
        <v>7.9</v>
      </c>
      <c r="I13" s="15">
        <v>8.9</v>
      </c>
      <c r="J13" s="15">
        <v>8.3000000000000007</v>
      </c>
    </row>
    <row r="14" spans="1:10" x14ac:dyDescent="0.25">
      <c r="A14" s="9" t="s">
        <v>137</v>
      </c>
      <c r="B14" s="9" t="s">
        <v>140</v>
      </c>
      <c r="C14" s="15">
        <v>0.8</v>
      </c>
      <c r="D14" s="15">
        <v>0.9</v>
      </c>
      <c r="E14" s="15">
        <v>1</v>
      </c>
      <c r="F14" s="15">
        <v>0.9</v>
      </c>
      <c r="G14" s="15">
        <v>1.1000000000000001</v>
      </c>
      <c r="H14" s="15">
        <v>1</v>
      </c>
      <c r="I14" s="15">
        <v>1</v>
      </c>
      <c r="J14" s="15">
        <v>0.9</v>
      </c>
    </row>
    <row r="16" spans="1:10" x14ac:dyDescent="0.25">
      <c r="A16" s="14" t="s">
        <v>141</v>
      </c>
    </row>
  </sheetData>
  <mergeCells count="4">
    <mergeCell ref="A1:J1"/>
    <mergeCell ref="A4:J4"/>
    <mergeCell ref="A7:J7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ColWidth="8.7109375" defaultRowHeight="15" x14ac:dyDescent="0.25"/>
  <cols>
    <col min="1" max="1" width="26" customWidth="1"/>
    <col min="2" max="2" width="24" customWidth="1"/>
    <col min="3" max="10" width="13" customWidth="1"/>
  </cols>
  <sheetData>
    <row r="1" spans="1:10" ht="25.5" customHeight="1" x14ac:dyDescent="0.25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</row>
    <row r="3" spans="1:10" ht="19.5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1" t="s">
        <v>143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7" t="s">
        <v>144</v>
      </c>
      <c r="B5" s="7" t="s">
        <v>145</v>
      </c>
      <c r="C5" s="8">
        <v>1670000</v>
      </c>
      <c r="D5" s="8">
        <v>1700000</v>
      </c>
      <c r="E5" s="8">
        <v>1430000</v>
      </c>
      <c r="F5" s="8">
        <v>1590000</v>
      </c>
      <c r="G5" s="8">
        <v>1610000</v>
      </c>
      <c r="H5" s="8">
        <v>1650000</v>
      </c>
      <c r="I5" s="8">
        <v>1450000</v>
      </c>
      <c r="J5" s="8">
        <v>1500000</v>
      </c>
    </row>
    <row r="6" spans="1:10" x14ac:dyDescent="0.25">
      <c r="A6" s="7" t="s">
        <v>144</v>
      </c>
      <c r="B6" s="7" t="s">
        <v>146</v>
      </c>
      <c r="C6" s="8">
        <v>10410000000</v>
      </c>
      <c r="D6" s="8">
        <v>10610000000</v>
      </c>
      <c r="E6" s="8">
        <v>9670000000</v>
      </c>
      <c r="F6" s="8">
        <v>9920000000</v>
      </c>
      <c r="G6" s="8">
        <v>10560000000</v>
      </c>
      <c r="H6" s="8">
        <v>10810000000</v>
      </c>
      <c r="I6" s="8">
        <v>9740000000</v>
      </c>
      <c r="J6" s="8">
        <v>9990000000</v>
      </c>
    </row>
    <row r="7" spans="1:10" x14ac:dyDescent="0.25">
      <c r="A7" s="1" t="s">
        <v>147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9" t="s">
        <v>148</v>
      </c>
      <c r="B8" s="9" t="s">
        <v>149</v>
      </c>
      <c r="C8" s="10">
        <v>53900</v>
      </c>
      <c r="D8" s="10">
        <v>55500</v>
      </c>
      <c r="E8" s="10">
        <v>46000</v>
      </c>
      <c r="F8" s="10">
        <v>57000</v>
      </c>
      <c r="G8" s="10">
        <v>49000</v>
      </c>
      <c r="H8" s="10">
        <v>51000</v>
      </c>
      <c r="I8" s="10">
        <v>45800</v>
      </c>
      <c r="J8" s="10">
        <v>47200</v>
      </c>
    </row>
    <row r="9" spans="1:10" x14ac:dyDescent="0.25">
      <c r="A9" s="9" t="s">
        <v>148</v>
      </c>
      <c r="B9" s="9" t="s">
        <v>150</v>
      </c>
      <c r="C9" s="10">
        <v>389300000</v>
      </c>
      <c r="D9" s="10">
        <v>367600000</v>
      </c>
      <c r="E9" s="10">
        <v>256700000</v>
      </c>
      <c r="F9" s="10">
        <v>324900000</v>
      </c>
      <c r="G9" s="10">
        <v>268600000</v>
      </c>
      <c r="H9" s="10">
        <v>265900000</v>
      </c>
      <c r="I9" s="10">
        <v>260700000</v>
      </c>
      <c r="J9" s="10">
        <v>275000000</v>
      </c>
    </row>
    <row r="10" spans="1:10" x14ac:dyDescent="0.25">
      <c r="A10" s="9" t="s">
        <v>148</v>
      </c>
      <c r="B10" s="9" t="s">
        <v>151</v>
      </c>
      <c r="C10" s="11">
        <v>3.2275449101796402E-2</v>
      </c>
      <c r="D10" s="11">
        <v>3.2647058823529397E-2</v>
      </c>
      <c r="E10" s="11">
        <v>3.21678321678322E-2</v>
      </c>
      <c r="F10" s="11">
        <v>3.5849056603773598E-2</v>
      </c>
      <c r="G10" s="11">
        <v>3.0434782608695699E-2</v>
      </c>
      <c r="H10" s="11">
        <v>3.09090909090909E-2</v>
      </c>
      <c r="I10" s="11">
        <v>3.15862068965517E-2</v>
      </c>
      <c r="J10" s="11">
        <v>3.1466666666666698E-2</v>
      </c>
    </row>
    <row r="12" spans="1:10" x14ac:dyDescent="0.25">
      <c r="A12" s="14" t="s">
        <v>152</v>
      </c>
    </row>
  </sheetData>
  <mergeCells count="3">
    <mergeCell ref="A1:J1"/>
    <mergeCell ref="A4:J4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ColWidth="8.7109375" defaultRowHeight="15" x14ac:dyDescent="0.25"/>
  <cols>
    <col min="1" max="1" width="26" customWidth="1"/>
    <col min="2" max="2" width="24" customWidth="1"/>
    <col min="3" max="10" width="13" customWidth="1"/>
  </cols>
  <sheetData>
    <row r="1" spans="1:10" ht="25.5" customHeight="1" x14ac:dyDescent="0.25">
      <c r="A1" s="2" t="s">
        <v>153</v>
      </c>
      <c r="B1" s="2"/>
      <c r="C1" s="2"/>
      <c r="D1" s="2"/>
      <c r="E1" s="2"/>
      <c r="F1" s="2"/>
      <c r="G1" s="2"/>
      <c r="H1" s="2"/>
      <c r="I1" s="2"/>
      <c r="J1" s="2"/>
    </row>
    <row r="3" spans="1:10" ht="19.5" customHeigh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x14ac:dyDescent="0.25">
      <c r="A4" s="1" t="s">
        <v>154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7" t="s">
        <v>59</v>
      </c>
      <c r="B5" s="7" t="s">
        <v>155</v>
      </c>
      <c r="C5" s="8">
        <v>33740000</v>
      </c>
      <c r="D5" s="8">
        <v>39800000</v>
      </c>
      <c r="E5" s="8">
        <v>45770000</v>
      </c>
      <c r="F5" s="8">
        <v>53880000</v>
      </c>
      <c r="G5" s="8">
        <v>62230000</v>
      </c>
      <c r="H5" s="8">
        <v>67090000</v>
      </c>
      <c r="I5" s="8">
        <v>73120000</v>
      </c>
      <c r="J5" s="8">
        <v>85550000</v>
      </c>
    </row>
    <row r="6" spans="1:10" x14ac:dyDescent="0.25">
      <c r="A6" s="7" t="s">
        <v>59</v>
      </c>
      <c r="B6" s="7" t="s">
        <v>156</v>
      </c>
      <c r="C6" s="8">
        <v>3980000000</v>
      </c>
      <c r="D6" s="8">
        <v>4240000000</v>
      </c>
      <c r="E6" s="8">
        <v>4650000000</v>
      </c>
      <c r="F6" s="8">
        <v>5090000000</v>
      </c>
      <c r="G6" s="8">
        <v>5540000000</v>
      </c>
      <c r="H6" s="8">
        <v>5310000000</v>
      </c>
      <c r="I6" s="8">
        <v>5630000000</v>
      </c>
      <c r="J6" s="8">
        <v>6000000000</v>
      </c>
    </row>
    <row r="7" spans="1:10" x14ac:dyDescent="0.25">
      <c r="A7" s="1" t="s">
        <v>157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9" t="s">
        <v>158</v>
      </c>
      <c r="B8" s="9" t="s">
        <v>159</v>
      </c>
      <c r="C8" s="10">
        <v>8700000</v>
      </c>
      <c r="D8" s="10">
        <v>10130000</v>
      </c>
      <c r="E8" s="10">
        <v>11860000</v>
      </c>
      <c r="F8" s="10">
        <v>14180000</v>
      </c>
      <c r="G8" s="10">
        <v>16960000</v>
      </c>
      <c r="H8" s="10">
        <v>18380000</v>
      </c>
      <c r="I8" s="10">
        <v>21640000</v>
      </c>
      <c r="J8" s="10">
        <v>26000000</v>
      </c>
    </row>
    <row r="9" spans="1:10" x14ac:dyDescent="0.25">
      <c r="A9" s="9" t="s">
        <v>158</v>
      </c>
      <c r="B9" s="9" t="s">
        <v>78</v>
      </c>
      <c r="C9" s="11">
        <v>0.25800000000000001</v>
      </c>
      <c r="D9" s="11">
        <v>0.255</v>
      </c>
      <c r="E9" s="11">
        <v>0.25900000000000001</v>
      </c>
      <c r="F9" s="11">
        <v>0.26300000000000001</v>
      </c>
      <c r="G9" s="11">
        <v>0.27200000000000002</v>
      </c>
      <c r="H9" s="11">
        <v>0.27400000000000002</v>
      </c>
      <c r="I9" s="11">
        <v>0.29599999999999999</v>
      </c>
      <c r="J9" s="11">
        <v>0.30399999999999999</v>
      </c>
    </row>
    <row r="10" spans="1:10" x14ac:dyDescent="0.25">
      <c r="A10" s="9" t="s">
        <v>158</v>
      </c>
      <c r="B10" s="9" t="s">
        <v>160</v>
      </c>
      <c r="C10" s="10">
        <v>25040000</v>
      </c>
      <c r="D10" s="10">
        <v>29670000</v>
      </c>
      <c r="E10" s="10">
        <v>33910000</v>
      </c>
      <c r="F10" s="10">
        <v>39700000</v>
      </c>
      <c r="G10" s="10">
        <v>45270000</v>
      </c>
      <c r="H10" s="10">
        <v>48720000</v>
      </c>
      <c r="I10" s="10">
        <v>51490000</v>
      </c>
      <c r="J10" s="10">
        <v>59550000</v>
      </c>
    </row>
    <row r="11" spans="1:10" x14ac:dyDescent="0.25">
      <c r="A11" s="9" t="s">
        <v>158</v>
      </c>
      <c r="B11" s="9" t="s">
        <v>80</v>
      </c>
      <c r="C11" s="11">
        <v>0.74199999999999999</v>
      </c>
      <c r="D11" s="11">
        <v>0.745</v>
      </c>
      <c r="E11" s="11">
        <v>0.74099999999999999</v>
      </c>
      <c r="F11" s="11">
        <v>0.73699999999999999</v>
      </c>
      <c r="G11" s="11">
        <v>0.72799999999999998</v>
      </c>
      <c r="H11" s="11">
        <v>0.72599999999999998</v>
      </c>
      <c r="I11" s="11">
        <v>0.70399999999999996</v>
      </c>
      <c r="J11" s="11">
        <v>0.69599999999999995</v>
      </c>
    </row>
    <row r="12" spans="1:10" x14ac:dyDescent="0.25">
      <c r="A12" s="1" t="s">
        <v>161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9" t="s">
        <v>162</v>
      </c>
      <c r="B13" s="9" t="s">
        <v>83</v>
      </c>
      <c r="C13" s="10">
        <v>777000000</v>
      </c>
      <c r="D13" s="10">
        <v>810000000</v>
      </c>
      <c r="E13" s="10">
        <v>909000000</v>
      </c>
      <c r="F13" s="10">
        <v>998000000</v>
      </c>
      <c r="G13" s="10">
        <v>1130000000</v>
      </c>
      <c r="H13" s="10">
        <v>1080000000</v>
      </c>
      <c r="I13" s="10">
        <v>1190000000</v>
      </c>
      <c r="J13" s="10">
        <v>1270000000</v>
      </c>
    </row>
    <row r="14" spans="1:10" x14ac:dyDescent="0.25">
      <c r="A14" s="9" t="s">
        <v>162</v>
      </c>
      <c r="B14" s="9" t="s">
        <v>78</v>
      </c>
      <c r="C14" s="11">
        <v>0.19500000000000001</v>
      </c>
      <c r="D14" s="11">
        <v>0.191</v>
      </c>
      <c r="E14" s="11">
        <v>0.19500000000000001</v>
      </c>
      <c r="F14" s="11">
        <v>0.19600000000000001</v>
      </c>
      <c r="G14" s="11">
        <v>0.20399999999999999</v>
      </c>
      <c r="H14" s="11">
        <v>0.20200000000000001</v>
      </c>
      <c r="I14" s="11">
        <v>0.21099999999999999</v>
      </c>
      <c r="J14" s="11">
        <v>0.21099999999999999</v>
      </c>
    </row>
    <row r="15" spans="1:10" x14ac:dyDescent="0.25">
      <c r="A15" s="9" t="s">
        <v>162</v>
      </c>
      <c r="B15" s="9" t="s">
        <v>84</v>
      </c>
      <c r="C15" s="10">
        <v>3200000000</v>
      </c>
      <c r="D15" s="10">
        <v>3430000000</v>
      </c>
      <c r="E15" s="10">
        <v>3740000000</v>
      </c>
      <c r="F15" s="10">
        <v>4100000000</v>
      </c>
      <c r="G15" s="10">
        <v>4410000000</v>
      </c>
      <c r="H15" s="10">
        <v>4240000000</v>
      </c>
      <c r="I15" s="10">
        <v>4450000000</v>
      </c>
      <c r="J15" s="10">
        <v>4730000000</v>
      </c>
    </row>
    <row r="16" spans="1:10" x14ac:dyDescent="0.25">
      <c r="A16" s="9" t="s">
        <v>162</v>
      </c>
      <c r="B16" s="9" t="s">
        <v>80</v>
      </c>
      <c r="C16" s="11">
        <v>0.80500000000000005</v>
      </c>
      <c r="D16" s="11">
        <v>0.80900000000000005</v>
      </c>
      <c r="E16" s="11">
        <v>0.80500000000000005</v>
      </c>
      <c r="F16" s="11">
        <v>0.80400000000000005</v>
      </c>
      <c r="G16" s="11">
        <v>0.79600000000000004</v>
      </c>
      <c r="H16" s="11">
        <v>0.79800000000000004</v>
      </c>
      <c r="I16" s="11">
        <v>0.78900000000000003</v>
      </c>
      <c r="J16" s="11">
        <v>0.78900000000000003</v>
      </c>
    </row>
    <row r="17" spans="1:10" x14ac:dyDescent="0.25">
      <c r="A17" s="1" t="s">
        <v>163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9" t="s">
        <v>76</v>
      </c>
      <c r="B18" s="9" t="s">
        <v>164</v>
      </c>
      <c r="C18" s="10">
        <v>4300000</v>
      </c>
      <c r="D18" s="10">
        <v>5200000</v>
      </c>
      <c r="E18" s="10">
        <v>5900000</v>
      </c>
      <c r="F18" s="10">
        <v>7100000</v>
      </c>
      <c r="G18" s="10">
        <v>8100000</v>
      </c>
      <c r="H18" s="10">
        <v>8500000</v>
      </c>
      <c r="I18" s="10">
        <v>8900000</v>
      </c>
      <c r="J18" s="10">
        <v>10500000</v>
      </c>
    </row>
    <row r="19" spans="1:10" x14ac:dyDescent="0.25">
      <c r="A19" s="9" t="s">
        <v>76</v>
      </c>
      <c r="B19" s="9" t="s">
        <v>165</v>
      </c>
      <c r="C19" s="11">
        <v>0.44800000000000001</v>
      </c>
      <c r="D19" s="11">
        <v>0.44800000000000001</v>
      </c>
      <c r="E19" s="11">
        <v>0.435</v>
      </c>
      <c r="F19" s="11">
        <v>0.43</v>
      </c>
      <c r="G19" s="11">
        <v>0.42199999999999999</v>
      </c>
      <c r="H19" s="11">
        <v>0.40899999999999997</v>
      </c>
      <c r="I19" s="11">
        <v>0.40500000000000003</v>
      </c>
      <c r="J19" s="11">
        <v>0.40300000000000002</v>
      </c>
    </row>
    <row r="20" spans="1:10" x14ac:dyDescent="0.25">
      <c r="A20" s="9" t="s">
        <v>76</v>
      </c>
      <c r="B20" s="9" t="s">
        <v>166</v>
      </c>
      <c r="C20" s="10">
        <v>5200000</v>
      </c>
      <c r="D20" s="10">
        <v>6400000</v>
      </c>
      <c r="E20" s="10">
        <v>7700000</v>
      </c>
      <c r="F20" s="10">
        <v>9400000</v>
      </c>
      <c r="G20" s="10">
        <v>11100000</v>
      </c>
      <c r="H20" s="10">
        <v>12200000</v>
      </c>
      <c r="I20" s="10">
        <v>13100000</v>
      </c>
      <c r="J20" s="10">
        <v>15600000</v>
      </c>
    </row>
    <row r="21" spans="1:10" x14ac:dyDescent="0.25">
      <c r="A21" s="9" t="s">
        <v>76</v>
      </c>
      <c r="B21" s="9" t="s">
        <v>167</v>
      </c>
      <c r="C21" s="11">
        <v>0.55200000000000005</v>
      </c>
      <c r="D21" s="11">
        <v>0.55200000000000005</v>
      </c>
      <c r="E21" s="11">
        <v>0.56499999999999995</v>
      </c>
      <c r="F21" s="11">
        <v>0.56999999999999995</v>
      </c>
      <c r="G21" s="11">
        <v>0.57799999999999996</v>
      </c>
      <c r="H21" s="11">
        <v>0.59099999999999997</v>
      </c>
      <c r="I21" s="11">
        <v>0.59499999999999997</v>
      </c>
      <c r="J21" s="11">
        <v>0.59699999999999998</v>
      </c>
    </row>
    <row r="22" spans="1:10" x14ac:dyDescent="0.25">
      <c r="A22" s="1" t="s">
        <v>168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9" t="s">
        <v>82</v>
      </c>
      <c r="B23" s="9" t="s">
        <v>169</v>
      </c>
      <c r="C23" s="10">
        <v>615000000</v>
      </c>
      <c r="D23" s="10">
        <v>661000000</v>
      </c>
      <c r="E23" s="10">
        <v>698000000</v>
      </c>
      <c r="F23" s="10">
        <v>758000000</v>
      </c>
      <c r="G23" s="10">
        <v>805000000</v>
      </c>
      <c r="H23" s="10">
        <v>712000000</v>
      </c>
      <c r="I23" s="10">
        <v>721000000</v>
      </c>
      <c r="J23" s="10">
        <v>794000000</v>
      </c>
    </row>
    <row r="24" spans="1:10" x14ac:dyDescent="0.25">
      <c r="A24" s="9" t="s">
        <v>82</v>
      </c>
      <c r="B24" s="9" t="s">
        <v>165</v>
      </c>
      <c r="C24" s="11">
        <v>0.60499999999999998</v>
      </c>
      <c r="D24" s="11">
        <v>0.61</v>
      </c>
      <c r="E24" s="11">
        <v>0.59299999999999997</v>
      </c>
      <c r="F24" s="11">
        <v>0.58599999999999997</v>
      </c>
      <c r="G24" s="11">
        <v>0.57699999999999996</v>
      </c>
      <c r="H24" s="11">
        <v>0.55100000000000005</v>
      </c>
      <c r="I24" s="11">
        <v>0.54300000000000004</v>
      </c>
      <c r="J24" s="11">
        <v>0.54300000000000004</v>
      </c>
    </row>
    <row r="25" spans="1:10" x14ac:dyDescent="0.25">
      <c r="A25" s="9" t="s">
        <v>82</v>
      </c>
      <c r="B25" s="9" t="s">
        <v>170</v>
      </c>
      <c r="C25" s="10">
        <v>401000000</v>
      </c>
      <c r="D25" s="10">
        <v>422000000</v>
      </c>
      <c r="E25" s="10">
        <v>478000000</v>
      </c>
      <c r="F25" s="10">
        <v>536000000</v>
      </c>
      <c r="G25" s="10">
        <v>591000000</v>
      </c>
      <c r="H25" s="10">
        <v>580000000</v>
      </c>
      <c r="I25" s="10">
        <v>605000000</v>
      </c>
      <c r="J25" s="10">
        <v>669000000</v>
      </c>
    </row>
    <row r="26" spans="1:10" x14ac:dyDescent="0.25">
      <c r="A26" s="9" t="s">
        <v>82</v>
      </c>
      <c r="B26" s="9" t="s">
        <v>167</v>
      </c>
      <c r="C26" s="11">
        <v>0.39500000000000002</v>
      </c>
      <c r="D26" s="11">
        <v>0.39</v>
      </c>
      <c r="E26" s="11">
        <v>0.40699999999999997</v>
      </c>
      <c r="F26" s="11">
        <v>0.41399999999999998</v>
      </c>
      <c r="G26" s="11">
        <v>0.42299999999999999</v>
      </c>
      <c r="H26" s="11">
        <v>0.44900000000000001</v>
      </c>
      <c r="I26" s="11">
        <v>0.45700000000000002</v>
      </c>
      <c r="J26" s="11">
        <v>0.45700000000000002</v>
      </c>
    </row>
  </sheetData>
  <mergeCells count="6">
    <mergeCell ref="A22:J22"/>
    <mergeCell ref="A1:J1"/>
    <mergeCell ref="A4:J4"/>
    <mergeCell ref="A7:J7"/>
    <mergeCell ref="A12:J12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CliQ</vt:lpstr>
      <vt:lpstr>JoMoPay</vt:lpstr>
      <vt:lpstr>eFAWATEERcom</vt:lpstr>
      <vt:lpstr>ACH</vt:lpstr>
      <vt:lpstr>ECCU</vt:lpstr>
      <vt:lpstr>CliQ_JoMoPay_Interop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Karmah AbuHammad</cp:lastModifiedBy>
  <cp:revision>0</cp:revision>
  <dcterms:created xsi:type="dcterms:W3CDTF">2026-09-17T07:21:13Z</dcterms:created>
  <dcterms:modified xsi:type="dcterms:W3CDTF">2026-09-17T07:30:21Z</dcterms:modified>
  <dc:language>en-US</dc:language>
</cp:coreProperties>
</file>