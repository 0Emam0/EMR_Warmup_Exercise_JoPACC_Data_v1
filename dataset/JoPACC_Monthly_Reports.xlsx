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aser.almagarbi\Downloads\"/>
    </mc:Choice>
  </mc:AlternateContent>
  <xr:revisionPtr revIDLastSave="0" documentId="13_ncr:1_{196EDFA5-268D-47E4-B34A-01290F77544A}" xr6:coauthVersionLast="47" xr6:coauthVersionMax="47" xr10:uidLastSave="{00000000-0000-0000-0000-000000000000}"/>
  <bookViews>
    <workbookView xWindow="-120" yWindow="-120" windowWidth="20730" windowHeight="11160" tabRatio="500" firstSheet="7" activeTab="8" xr2:uid="{00000000-000D-0000-FFFF-FFFF00000000}"/>
  </bookViews>
  <sheets>
    <sheet name="README" sheetId="1" state="hidden" r:id="rId1"/>
    <sheet name="CliQ" sheetId="2" r:id="rId2"/>
    <sheet name="JoMoPay" sheetId="3" r:id="rId3"/>
    <sheet name="eFAWATEERcom" sheetId="4" r:id="rId4"/>
    <sheet name="ACH" sheetId="5" r:id="rId5"/>
    <sheet name="ECCU" sheetId="6" r:id="rId6"/>
    <sheet name="Interoperability" sheetId="7" r:id="rId7"/>
    <sheet name="Instant Payments" sheetId="8" r:id="rId8"/>
    <sheet name="Summary" sheetId="9" r:id="rId9"/>
    <sheet name="Raw Data" sheetId="10" r:id="rId10"/>
    <sheet name="charts" sheetId="12" r:id="rId11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Z18" i="2" l="1"/>
  <c r="G16" i="9"/>
  <c r="G8" i="9"/>
  <c r="G7" i="9"/>
  <c r="G6" i="9"/>
  <c r="R40" i="7"/>
  <c r="S40" i="7"/>
  <c r="T40" i="7"/>
  <c r="U40" i="7"/>
  <c r="V40" i="7"/>
  <c r="W40" i="7"/>
  <c r="X40" i="7"/>
  <c r="Z40" i="7"/>
  <c r="Y40" i="7"/>
  <c r="Z70" i="3"/>
  <c r="Z66" i="3"/>
  <c r="Z36" i="3"/>
  <c r="Z35" i="3"/>
  <c r="Z31" i="3"/>
  <c r="W34" i="4"/>
  <c r="S33" i="4"/>
  <c r="H33" i="4"/>
  <c r="U18" i="4"/>
  <c r="I18" i="4"/>
  <c r="N41" i="7"/>
  <c r="M41" i="7"/>
  <c r="O41" i="7"/>
  <c r="P41" i="7"/>
  <c r="Q41" i="7"/>
  <c r="R41" i="7"/>
  <c r="S41" i="7"/>
  <c r="T41" i="7"/>
  <c r="U41" i="7"/>
  <c r="V41" i="7"/>
  <c r="W41" i="7"/>
  <c r="X41" i="7"/>
  <c r="Y41" i="7"/>
  <c r="M40" i="7"/>
  <c r="N40" i="7"/>
  <c r="O40" i="7"/>
  <c r="P40" i="7"/>
  <c r="Q40" i="7"/>
  <c r="M36" i="7"/>
  <c r="N36" i="7"/>
  <c r="O36" i="7"/>
  <c r="P36" i="7"/>
  <c r="Q36" i="7"/>
  <c r="R36" i="7"/>
  <c r="S36" i="7"/>
  <c r="T36" i="7"/>
  <c r="U36" i="7"/>
  <c r="V36" i="7"/>
  <c r="W36" i="7"/>
  <c r="X36" i="7"/>
  <c r="M35" i="7"/>
  <c r="N35" i="7"/>
  <c r="O35" i="7"/>
  <c r="P35" i="7"/>
  <c r="Q35" i="7"/>
  <c r="R35" i="7"/>
  <c r="S35" i="7"/>
  <c r="T35" i="7"/>
  <c r="U35" i="7"/>
  <c r="V35" i="7"/>
  <c r="W35" i="7"/>
  <c r="X35" i="7"/>
  <c r="H39" i="7"/>
  <c r="H41" i="7"/>
  <c r="H40" i="7"/>
  <c r="T38" i="7"/>
  <c r="N38" i="7"/>
  <c r="O38" i="7"/>
  <c r="P38" i="7"/>
  <c r="Q38" i="7"/>
  <c r="R38" i="7"/>
  <c r="S38" i="7"/>
  <c r="U38" i="7"/>
  <c r="V38" i="7"/>
  <c r="W38" i="7"/>
  <c r="X38" i="7"/>
  <c r="Y38" i="7"/>
  <c r="Z38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Y36" i="7"/>
  <c r="Z36" i="7"/>
  <c r="Y35" i="7"/>
  <c r="Z35" i="7"/>
  <c r="E2" i="2"/>
  <c r="E5" i="2" s="1"/>
  <c r="D2" i="2"/>
  <c r="D23" i="2" s="1"/>
  <c r="K11" i="8"/>
  <c r="T12" i="8"/>
  <c r="J12" i="8"/>
  <c r="K12" i="8"/>
  <c r="L12" i="8"/>
  <c r="M12" i="8"/>
  <c r="N12" i="8"/>
  <c r="O12" i="8"/>
  <c r="P12" i="8"/>
  <c r="Q12" i="8"/>
  <c r="R12" i="8"/>
  <c r="S12" i="8"/>
  <c r="U12" i="8"/>
  <c r="V12" i="8"/>
  <c r="J11" i="8"/>
  <c r="L11" i="8"/>
  <c r="M11" i="8"/>
  <c r="N11" i="8"/>
  <c r="O11" i="8"/>
  <c r="P11" i="8"/>
  <c r="Q11" i="8"/>
  <c r="R11" i="8"/>
  <c r="S11" i="8"/>
  <c r="T11" i="8"/>
  <c r="U11" i="8"/>
  <c r="V11" i="8"/>
  <c r="C11" i="8"/>
  <c r="K8" i="8"/>
  <c r="K9" i="8"/>
  <c r="J9" i="8"/>
  <c r="L9" i="8"/>
  <c r="M9" i="8"/>
  <c r="N9" i="8"/>
  <c r="O9" i="8"/>
  <c r="P9" i="8"/>
  <c r="Q9" i="8"/>
  <c r="R9" i="8"/>
  <c r="S9" i="8"/>
  <c r="T9" i="8"/>
  <c r="U9" i="8"/>
  <c r="V9" i="8"/>
  <c r="J8" i="8"/>
  <c r="L8" i="8"/>
  <c r="M8" i="8"/>
  <c r="N8" i="8"/>
  <c r="O8" i="8"/>
  <c r="P8" i="8"/>
  <c r="Q8" i="8"/>
  <c r="R8" i="8"/>
  <c r="S8" i="8"/>
  <c r="T8" i="8"/>
  <c r="U8" i="8"/>
  <c r="V8" i="8"/>
  <c r="L6" i="8"/>
  <c r="K6" i="8"/>
  <c r="J6" i="8"/>
  <c r="I6" i="8"/>
  <c r="M6" i="8"/>
  <c r="N6" i="8"/>
  <c r="O6" i="8"/>
  <c r="P6" i="8"/>
  <c r="Q6" i="8"/>
  <c r="R6" i="8"/>
  <c r="S6" i="8"/>
  <c r="T6" i="8"/>
  <c r="U6" i="8"/>
  <c r="V6" i="8"/>
  <c r="J5" i="8"/>
  <c r="L5" i="8"/>
  <c r="K5" i="8"/>
  <c r="M5" i="8"/>
  <c r="N5" i="8"/>
  <c r="O5" i="8"/>
  <c r="P5" i="8"/>
  <c r="Q5" i="8"/>
  <c r="R5" i="8"/>
  <c r="S5" i="8"/>
  <c r="T5" i="8"/>
  <c r="U5" i="8"/>
  <c r="V5" i="8"/>
  <c r="I5" i="8"/>
  <c r="J2" i="8"/>
  <c r="K2" i="8"/>
  <c r="U2" i="8"/>
  <c r="T2" i="8"/>
  <c r="S2" i="8"/>
  <c r="R2" i="8"/>
  <c r="Q2" i="8"/>
  <c r="P2" i="8"/>
  <c r="O2" i="8"/>
  <c r="N2" i="8"/>
  <c r="M2" i="8"/>
  <c r="L2" i="8"/>
  <c r="Q5" i="7"/>
  <c r="V2" i="8"/>
  <c r="C8" i="7"/>
  <c r="K8" i="9"/>
  <c r="J8" i="9"/>
  <c r="Z31" i="9"/>
  <c r="Y31" i="9"/>
  <c r="X31" i="9"/>
  <c r="W31" i="9"/>
  <c r="W37" i="9" s="1"/>
  <c r="V31" i="9"/>
  <c r="U31" i="9"/>
  <c r="T31" i="9"/>
  <c r="S31" i="9"/>
  <c r="R31" i="9"/>
  <c r="Q31" i="9"/>
  <c r="P31" i="9"/>
  <c r="O31" i="9"/>
  <c r="O37" i="9" s="1"/>
  <c r="N31" i="9"/>
  <c r="M31" i="9"/>
  <c r="L31" i="9"/>
  <c r="K31" i="9"/>
  <c r="J31" i="9"/>
  <c r="I31" i="9"/>
  <c r="H31" i="9"/>
  <c r="G31" i="9"/>
  <c r="G37" i="9" s="1"/>
  <c r="F31" i="9"/>
  <c r="E31" i="9"/>
  <c r="D31" i="9"/>
  <c r="C31" i="9"/>
  <c r="Z30" i="9"/>
  <c r="Y30" i="9"/>
  <c r="X30" i="9"/>
  <c r="W30" i="9"/>
  <c r="W36" i="9" s="1"/>
  <c r="V30" i="9"/>
  <c r="U30" i="9"/>
  <c r="T30" i="9"/>
  <c r="S30" i="9"/>
  <c r="R30" i="9"/>
  <c r="Q30" i="9"/>
  <c r="P30" i="9"/>
  <c r="O30" i="9"/>
  <c r="O36" i="9" s="1"/>
  <c r="N30" i="9"/>
  <c r="M30" i="9"/>
  <c r="L30" i="9"/>
  <c r="K30" i="9"/>
  <c r="J30" i="9"/>
  <c r="I30" i="9"/>
  <c r="H30" i="9"/>
  <c r="G30" i="9"/>
  <c r="G36" i="9" s="1"/>
  <c r="F30" i="9"/>
  <c r="E30" i="9"/>
  <c r="D30" i="9"/>
  <c r="C30" i="9"/>
  <c r="Z29" i="9"/>
  <c r="Y29" i="9"/>
  <c r="X29" i="9"/>
  <c r="W29" i="9"/>
  <c r="W35" i="9" s="1"/>
  <c r="V29" i="9"/>
  <c r="U29" i="9"/>
  <c r="T29" i="9"/>
  <c r="S29" i="9"/>
  <c r="R29" i="9"/>
  <c r="Q29" i="9"/>
  <c r="P29" i="9"/>
  <c r="O29" i="9"/>
  <c r="O35" i="9" s="1"/>
  <c r="N29" i="9"/>
  <c r="M29" i="9"/>
  <c r="L29" i="9"/>
  <c r="K29" i="9"/>
  <c r="J29" i="9"/>
  <c r="I29" i="9"/>
  <c r="H29" i="9"/>
  <c r="G29" i="9"/>
  <c r="G35" i="9" s="1"/>
  <c r="F29" i="9"/>
  <c r="E29" i="9"/>
  <c r="D29" i="9"/>
  <c r="C29" i="9"/>
  <c r="Z28" i="9"/>
  <c r="Z27" i="9" s="1"/>
  <c r="Y28" i="9"/>
  <c r="Y27" i="9" s="1"/>
  <c r="X28" i="9"/>
  <c r="X27" i="9" s="1"/>
  <c r="W28" i="9"/>
  <c r="W27" i="9" s="1"/>
  <c r="W33" i="9" s="1"/>
  <c r="V28" i="9"/>
  <c r="V27" i="9" s="1"/>
  <c r="U28" i="9"/>
  <c r="U27" i="9" s="1"/>
  <c r="T28" i="9"/>
  <c r="S28" i="9"/>
  <c r="S27" i="9" s="1"/>
  <c r="R28" i="9"/>
  <c r="R27" i="9" s="1"/>
  <c r="Q28" i="9"/>
  <c r="Q27" i="9" s="1"/>
  <c r="P28" i="9"/>
  <c r="P27" i="9" s="1"/>
  <c r="O28" i="9"/>
  <c r="O27" i="9" s="1"/>
  <c r="N28" i="9"/>
  <c r="M28" i="9"/>
  <c r="M27" i="9" s="1"/>
  <c r="L28" i="9"/>
  <c r="L27" i="9" s="1"/>
  <c r="K28" i="9"/>
  <c r="K27" i="9" s="1"/>
  <c r="J28" i="9"/>
  <c r="J27" i="9" s="1"/>
  <c r="I28" i="9"/>
  <c r="I27" i="9" s="1"/>
  <c r="H28" i="9"/>
  <c r="H27" i="9" s="1"/>
  <c r="G28" i="9"/>
  <c r="G27" i="9" s="1"/>
  <c r="G33" i="9" s="1"/>
  <c r="F28" i="9"/>
  <c r="F27" i="9" s="1"/>
  <c r="E28" i="9"/>
  <c r="E27" i="9" s="1"/>
  <c r="D28" i="9"/>
  <c r="D27" i="9" s="1"/>
  <c r="C28" i="9"/>
  <c r="C27" i="9" s="1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Z18" i="9"/>
  <c r="Y18" i="9"/>
  <c r="X18" i="9"/>
  <c r="W18" i="9"/>
  <c r="W24" i="9" s="1"/>
  <c r="V18" i="9"/>
  <c r="U18" i="9"/>
  <c r="T18" i="9"/>
  <c r="S18" i="9"/>
  <c r="R18" i="9"/>
  <c r="Q18" i="9"/>
  <c r="P18" i="9"/>
  <c r="O18" i="9"/>
  <c r="O24" i="9" s="1"/>
  <c r="N18" i="9"/>
  <c r="M18" i="9"/>
  <c r="L18" i="9"/>
  <c r="K18" i="9"/>
  <c r="J18" i="9"/>
  <c r="I18" i="9"/>
  <c r="H18" i="9"/>
  <c r="G18" i="9"/>
  <c r="G24" i="9" s="1"/>
  <c r="F18" i="9"/>
  <c r="E18" i="9"/>
  <c r="D18" i="9"/>
  <c r="C18" i="9"/>
  <c r="Z17" i="9"/>
  <c r="Y17" i="9"/>
  <c r="X17" i="9"/>
  <c r="W17" i="9"/>
  <c r="W23" i="9" s="1"/>
  <c r="V17" i="9"/>
  <c r="U17" i="9"/>
  <c r="T17" i="9"/>
  <c r="S17" i="9"/>
  <c r="R17" i="9"/>
  <c r="Q17" i="9"/>
  <c r="P17" i="9"/>
  <c r="O17" i="9"/>
  <c r="O23" i="9" s="1"/>
  <c r="N17" i="9"/>
  <c r="M17" i="9"/>
  <c r="L17" i="9"/>
  <c r="K17" i="9"/>
  <c r="J17" i="9"/>
  <c r="I17" i="9"/>
  <c r="H17" i="9"/>
  <c r="G17" i="9"/>
  <c r="G23" i="9" s="1"/>
  <c r="F17" i="9"/>
  <c r="E17" i="9"/>
  <c r="D17" i="9"/>
  <c r="C17" i="9"/>
  <c r="Z16" i="9"/>
  <c r="Z15" i="9" s="1"/>
  <c r="Y16" i="9"/>
  <c r="Y15" i="9" s="1"/>
  <c r="X16" i="9"/>
  <c r="X15" i="9" s="1"/>
  <c r="W16" i="9"/>
  <c r="W22" i="9" s="1"/>
  <c r="V16" i="9"/>
  <c r="V15" i="9" s="1"/>
  <c r="U16" i="9"/>
  <c r="T16" i="9"/>
  <c r="S16" i="9"/>
  <c r="S15" i="9" s="1"/>
  <c r="R16" i="9"/>
  <c r="R15" i="9" s="1"/>
  <c r="Q16" i="9"/>
  <c r="Q15" i="9" s="1"/>
  <c r="P16" i="9"/>
  <c r="P15" i="9" s="1"/>
  <c r="O16" i="9"/>
  <c r="O15" i="9" s="1"/>
  <c r="O21" i="9" s="1"/>
  <c r="N16" i="9"/>
  <c r="N15" i="9" s="1"/>
  <c r="M16" i="9"/>
  <c r="M15" i="9" s="1"/>
  <c r="L16" i="9"/>
  <c r="L15" i="9" s="1"/>
  <c r="K16" i="9"/>
  <c r="K15" i="9" s="1"/>
  <c r="J16" i="9"/>
  <c r="J15" i="9" s="1"/>
  <c r="I16" i="9"/>
  <c r="I15" i="9" s="1"/>
  <c r="H16" i="9"/>
  <c r="H15" i="9" s="1"/>
  <c r="F16" i="9"/>
  <c r="F22" i="9" s="1"/>
  <c r="E16" i="9"/>
  <c r="D16" i="9"/>
  <c r="C16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L13" i="9" s="1"/>
  <c r="I8" i="9"/>
  <c r="H8" i="9"/>
  <c r="H13" i="9" s="1"/>
  <c r="F8" i="9"/>
  <c r="E8" i="9"/>
  <c r="D8" i="9"/>
  <c r="C8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H12" i="9" s="1"/>
  <c r="F7" i="9"/>
  <c r="E7" i="9"/>
  <c r="D7" i="9"/>
  <c r="C7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H11" i="9" s="1"/>
  <c r="F6" i="9"/>
  <c r="E6" i="9"/>
  <c r="D6" i="9"/>
  <c r="C6" i="9"/>
  <c r="I11" i="8"/>
  <c r="G6" i="8"/>
  <c r="I2" i="8"/>
  <c r="H2" i="8"/>
  <c r="H12" i="8" s="1"/>
  <c r="G2" i="8"/>
  <c r="G11" i="8" s="1"/>
  <c r="F2" i="8"/>
  <c r="F12" i="8" s="1"/>
  <c r="E2" i="8"/>
  <c r="D2" i="8"/>
  <c r="D6" i="8" s="1"/>
  <c r="C2" i="8"/>
  <c r="C5" i="8" s="1"/>
  <c r="M38" i="7"/>
  <c r="F38" i="7"/>
  <c r="E38" i="7"/>
  <c r="F37" i="7"/>
  <c r="E36" i="7"/>
  <c r="F35" i="7"/>
  <c r="N33" i="7"/>
  <c r="N32" i="7"/>
  <c r="F32" i="7"/>
  <c r="V30" i="7"/>
  <c r="N30" i="7"/>
  <c r="V29" i="7"/>
  <c r="V27" i="7"/>
  <c r="N27" i="7"/>
  <c r="V26" i="7"/>
  <c r="U26" i="7"/>
  <c r="N26" i="7"/>
  <c r="M26" i="7"/>
  <c r="L26" i="7"/>
  <c r="V23" i="7"/>
  <c r="S23" i="7"/>
  <c r="H23" i="7"/>
  <c r="F23" i="7"/>
  <c r="V22" i="7"/>
  <c r="T22" i="7"/>
  <c r="N22" i="7"/>
  <c r="F22" i="7"/>
  <c r="V21" i="7"/>
  <c r="H21" i="7"/>
  <c r="F21" i="7"/>
  <c r="N20" i="7"/>
  <c r="H20" i="7"/>
  <c r="F20" i="7"/>
  <c r="X18" i="7"/>
  <c r="V18" i="7"/>
  <c r="T18" i="7"/>
  <c r="N18" i="7"/>
  <c r="H18" i="7"/>
  <c r="F18" i="7"/>
  <c r="D18" i="7"/>
  <c r="N17" i="7"/>
  <c r="H17" i="7"/>
  <c r="D17" i="7"/>
  <c r="X15" i="7"/>
  <c r="V15" i="7"/>
  <c r="P15" i="7"/>
  <c r="N15" i="7"/>
  <c r="L15" i="7"/>
  <c r="F15" i="7"/>
  <c r="D15" i="7"/>
  <c r="V14" i="7"/>
  <c r="P14" i="7"/>
  <c r="N14" i="7"/>
  <c r="D14" i="7"/>
  <c r="X12" i="7"/>
  <c r="V12" i="7"/>
  <c r="P12" i="7"/>
  <c r="V11" i="7"/>
  <c r="U11" i="7"/>
  <c r="M11" i="7"/>
  <c r="L11" i="7"/>
  <c r="H10" i="7"/>
  <c r="X8" i="7"/>
  <c r="V8" i="7"/>
  <c r="N8" i="7"/>
  <c r="L8" i="7"/>
  <c r="F8" i="7"/>
  <c r="D8" i="7"/>
  <c r="X7" i="7"/>
  <c r="V7" i="7"/>
  <c r="T7" i="7"/>
  <c r="P7" i="7"/>
  <c r="L7" i="7"/>
  <c r="H7" i="7"/>
  <c r="F7" i="7"/>
  <c r="X6" i="7"/>
  <c r="V6" i="7"/>
  <c r="T6" i="7"/>
  <c r="P6" i="7"/>
  <c r="N6" i="7"/>
  <c r="K6" i="7"/>
  <c r="H6" i="7"/>
  <c r="F6" i="7"/>
  <c r="D6" i="7"/>
  <c r="C6" i="7"/>
  <c r="X5" i="7"/>
  <c r="V5" i="7"/>
  <c r="S5" i="7"/>
  <c r="N5" i="7"/>
  <c r="L5" i="7"/>
  <c r="K5" i="7"/>
  <c r="H5" i="7"/>
  <c r="F5" i="7"/>
  <c r="Z2" i="7"/>
  <c r="Y2" i="7"/>
  <c r="X2" i="7"/>
  <c r="X27" i="7" s="1"/>
  <c r="W2" i="7"/>
  <c r="V2" i="7"/>
  <c r="V32" i="7" s="1"/>
  <c r="U2" i="7"/>
  <c r="U33" i="7" s="1"/>
  <c r="T2" i="7"/>
  <c r="T21" i="7" s="1"/>
  <c r="S2" i="7"/>
  <c r="S21" i="7" s="1"/>
  <c r="R2" i="7"/>
  <c r="R14" i="7" s="1"/>
  <c r="Q2" i="7"/>
  <c r="P2" i="7"/>
  <c r="P23" i="7" s="1"/>
  <c r="O2" i="7"/>
  <c r="N2" i="7"/>
  <c r="N29" i="7" s="1"/>
  <c r="M2" i="7"/>
  <c r="M37" i="7" s="1"/>
  <c r="L2" i="7"/>
  <c r="K2" i="7"/>
  <c r="J2" i="7"/>
  <c r="J7" i="7" s="1"/>
  <c r="I2" i="7"/>
  <c r="I6" i="7" s="1"/>
  <c r="H2" i="7"/>
  <c r="G2" i="7"/>
  <c r="F2" i="7"/>
  <c r="F29" i="7" s="1"/>
  <c r="E2" i="7"/>
  <c r="E37" i="7" s="1"/>
  <c r="D2" i="7"/>
  <c r="C2" i="7"/>
  <c r="C36" i="7" s="1"/>
  <c r="Z9" i="6"/>
  <c r="W9" i="6"/>
  <c r="R9" i="6"/>
  <c r="O9" i="6"/>
  <c r="K9" i="6"/>
  <c r="J9" i="6"/>
  <c r="G9" i="6"/>
  <c r="Z8" i="6"/>
  <c r="X8" i="6"/>
  <c r="W8" i="6"/>
  <c r="O8" i="6"/>
  <c r="J8" i="6"/>
  <c r="H8" i="6"/>
  <c r="G8" i="6"/>
  <c r="Z6" i="6"/>
  <c r="W6" i="6"/>
  <c r="R6" i="6"/>
  <c r="P6" i="6"/>
  <c r="K6" i="6"/>
  <c r="J6" i="6"/>
  <c r="H6" i="6"/>
  <c r="G6" i="6"/>
  <c r="C6" i="6"/>
  <c r="Z5" i="6"/>
  <c r="S5" i="6"/>
  <c r="R5" i="6"/>
  <c r="O5" i="6"/>
  <c r="N5" i="6"/>
  <c r="J5" i="6"/>
  <c r="H5" i="6"/>
  <c r="G5" i="6"/>
  <c r="Z2" i="6"/>
  <c r="Y2" i="6"/>
  <c r="X2" i="6"/>
  <c r="X5" i="6" s="1"/>
  <c r="W2" i="6"/>
  <c r="W5" i="6" s="1"/>
  <c r="V2" i="6"/>
  <c r="U2" i="6"/>
  <c r="U9" i="6" s="1"/>
  <c r="T2" i="6"/>
  <c r="T5" i="6" s="1"/>
  <c r="S2" i="6"/>
  <c r="R2" i="6"/>
  <c r="R8" i="6" s="1"/>
  <c r="Q2" i="6"/>
  <c r="P2" i="6"/>
  <c r="P5" i="6" s="1"/>
  <c r="O2" i="6"/>
  <c r="O6" i="6" s="1"/>
  <c r="N2" i="6"/>
  <c r="N9" i="6" s="1"/>
  <c r="M2" i="6"/>
  <c r="M9" i="6" s="1"/>
  <c r="L2" i="6"/>
  <c r="K2" i="6"/>
  <c r="K5" i="6" s="1"/>
  <c r="J2" i="6"/>
  <c r="I2" i="6"/>
  <c r="H2" i="6"/>
  <c r="H9" i="6" s="1"/>
  <c r="G2" i="6"/>
  <c r="F2" i="6"/>
  <c r="F9" i="6" s="1"/>
  <c r="E2" i="6"/>
  <c r="E9" i="6" s="1"/>
  <c r="D2" i="6"/>
  <c r="C2" i="6"/>
  <c r="C9" i="6" s="1"/>
  <c r="X15" i="5"/>
  <c r="W15" i="5"/>
  <c r="T15" i="5"/>
  <c r="P15" i="5"/>
  <c r="L15" i="5"/>
  <c r="H15" i="5"/>
  <c r="D15" i="5"/>
  <c r="X14" i="5"/>
  <c r="W14" i="5"/>
  <c r="T14" i="5"/>
  <c r="P14" i="5"/>
  <c r="H14" i="5"/>
  <c r="D14" i="5"/>
  <c r="X13" i="5"/>
  <c r="T13" i="5"/>
  <c r="P13" i="5"/>
  <c r="L13" i="5"/>
  <c r="D13" i="5"/>
  <c r="X11" i="5"/>
  <c r="T11" i="5"/>
  <c r="L11" i="5"/>
  <c r="H11" i="5"/>
  <c r="D11" i="5"/>
  <c r="X10" i="5"/>
  <c r="Q10" i="5"/>
  <c r="P10" i="5"/>
  <c r="O10" i="5"/>
  <c r="I10" i="5"/>
  <c r="H10" i="5"/>
  <c r="X9" i="5"/>
  <c r="R9" i="5"/>
  <c r="Q9" i="5"/>
  <c r="I9" i="5"/>
  <c r="H9" i="5"/>
  <c r="Y7" i="5"/>
  <c r="X7" i="5"/>
  <c r="S7" i="5"/>
  <c r="P7" i="5"/>
  <c r="I7" i="5"/>
  <c r="H7" i="5"/>
  <c r="Z5" i="5"/>
  <c r="Y5" i="5"/>
  <c r="X5" i="5"/>
  <c r="Q5" i="5"/>
  <c r="P5" i="5"/>
  <c r="H5" i="5"/>
  <c r="G5" i="5"/>
  <c r="Z2" i="5"/>
  <c r="Z10" i="5" s="1"/>
  <c r="Y2" i="5"/>
  <c r="X2" i="5"/>
  <c r="W2" i="5"/>
  <c r="W5" i="5" s="1"/>
  <c r="V2" i="5"/>
  <c r="U2" i="5"/>
  <c r="T2" i="5"/>
  <c r="T10" i="5" s="1"/>
  <c r="S2" i="5"/>
  <c r="R2" i="5"/>
  <c r="Q2" i="5"/>
  <c r="Q7" i="5" s="1"/>
  <c r="P2" i="5"/>
  <c r="P11" i="5" s="1"/>
  <c r="O2" i="5"/>
  <c r="N2" i="5"/>
  <c r="M2" i="5"/>
  <c r="L2" i="5"/>
  <c r="L14" i="5" s="1"/>
  <c r="K2" i="5"/>
  <c r="K15" i="5" s="1"/>
  <c r="J2" i="5"/>
  <c r="I2" i="5"/>
  <c r="H2" i="5"/>
  <c r="H13" i="5" s="1"/>
  <c r="G2" i="5"/>
  <c r="F2" i="5"/>
  <c r="E2" i="5"/>
  <c r="D2" i="5"/>
  <c r="D10" i="5" s="1"/>
  <c r="C2" i="5"/>
  <c r="C10" i="5" s="1"/>
  <c r="W37" i="4"/>
  <c r="S37" i="4"/>
  <c r="K37" i="4"/>
  <c r="G37" i="4"/>
  <c r="W36" i="4"/>
  <c r="S36" i="4"/>
  <c r="O36" i="4"/>
  <c r="G36" i="4"/>
  <c r="C36" i="4"/>
  <c r="S32" i="4"/>
  <c r="Q32" i="4"/>
  <c r="S31" i="4"/>
  <c r="K31" i="4"/>
  <c r="C31" i="4"/>
  <c r="O30" i="4"/>
  <c r="K30" i="4"/>
  <c r="G30" i="4"/>
  <c r="C30" i="4"/>
  <c r="W29" i="4"/>
  <c r="O29" i="4"/>
  <c r="K29" i="4"/>
  <c r="G29" i="4"/>
  <c r="C29" i="4"/>
  <c r="W28" i="4"/>
  <c r="S28" i="4"/>
  <c r="O28" i="4"/>
  <c r="K28" i="4"/>
  <c r="G28" i="4"/>
  <c r="C28" i="4"/>
  <c r="W27" i="4"/>
  <c r="S27" i="4"/>
  <c r="O27" i="4"/>
  <c r="G27" i="4"/>
  <c r="W26" i="4"/>
  <c r="S26" i="4"/>
  <c r="O26" i="4"/>
  <c r="K26" i="4"/>
  <c r="G26" i="4"/>
  <c r="C26" i="4"/>
  <c r="W25" i="4"/>
  <c r="S25" i="4"/>
  <c r="O25" i="4"/>
  <c r="K25" i="4"/>
  <c r="I25" i="4"/>
  <c r="G25" i="4"/>
  <c r="C25" i="4"/>
  <c r="W24" i="4"/>
  <c r="O24" i="4"/>
  <c r="I24" i="4"/>
  <c r="G24" i="4"/>
  <c r="C24" i="4"/>
  <c r="S23" i="4"/>
  <c r="K23" i="4"/>
  <c r="C23" i="4"/>
  <c r="S21" i="4"/>
  <c r="S20" i="4"/>
  <c r="K20" i="4"/>
  <c r="C20" i="4"/>
  <c r="W17" i="4"/>
  <c r="S17" i="4"/>
  <c r="O17" i="4"/>
  <c r="K17" i="4"/>
  <c r="G17" i="4"/>
  <c r="C17" i="4"/>
  <c r="W16" i="4"/>
  <c r="S16" i="4"/>
  <c r="O16" i="4"/>
  <c r="K16" i="4"/>
  <c r="G16" i="4"/>
  <c r="W15" i="4"/>
  <c r="S15" i="4"/>
  <c r="O15" i="4"/>
  <c r="K15" i="4"/>
  <c r="G15" i="4"/>
  <c r="C15" i="4"/>
  <c r="W14" i="4"/>
  <c r="S14" i="4"/>
  <c r="O14" i="4"/>
  <c r="K14" i="4"/>
  <c r="I14" i="4"/>
  <c r="G14" i="4"/>
  <c r="C14" i="4"/>
  <c r="Y13" i="4"/>
  <c r="W13" i="4"/>
  <c r="O13" i="4"/>
  <c r="K13" i="4"/>
  <c r="G13" i="4"/>
  <c r="C13" i="4"/>
  <c r="W12" i="4"/>
  <c r="S12" i="4"/>
  <c r="Q12" i="4"/>
  <c r="O12" i="4"/>
  <c r="K12" i="4"/>
  <c r="I12" i="4"/>
  <c r="G12" i="4"/>
  <c r="C12" i="4"/>
  <c r="W11" i="4"/>
  <c r="T11" i="4"/>
  <c r="S11" i="4"/>
  <c r="Q11" i="4"/>
  <c r="O11" i="4"/>
  <c r="K11" i="4"/>
  <c r="C11" i="4"/>
  <c r="Y10" i="4"/>
  <c r="U10" i="4"/>
  <c r="S10" i="4"/>
  <c r="L10" i="4"/>
  <c r="K10" i="4"/>
  <c r="D10" i="4"/>
  <c r="C10" i="4"/>
  <c r="Y9" i="4"/>
  <c r="S9" i="4"/>
  <c r="Q9" i="4"/>
  <c r="N9" i="4"/>
  <c r="K9" i="4"/>
  <c r="I9" i="4"/>
  <c r="C9" i="4"/>
  <c r="Y8" i="4"/>
  <c r="U8" i="4"/>
  <c r="T8" i="4"/>
  <c r="Q8" i="4"/>
  <c r="K8" i="4"/>
  <c r="I8" i="4"/>
  <c r="F8" i="4"/>
  <c r="D8" i="4"/>
  <c r="C8" i="4"/>
  <c r="U6" i="4"/>
  <c r="T6" i="4"/>
  <c r="S6" i="4"/>
  <c r="N6" i="4"/>
  <c r="L6" i="4"/>
  <c r="K6" i="4"/>
  <c r="D6" i="4"/>
  <c r="C6" i="4"/>
  <c r="X5" i="4"/>
  <c r="T5" i="4"/>
  <c r="S5" i="4"/>
  <c r="Q5" i="4"/>
  <c r="P5" i="4"/>
  <c r="N5" i="4"/>
  <c r="K5" i="4"/>
  <c r="J5" i="4"/>
  <c r="D5" i="4"/>
  <c r="Z2" i="4"/>
  <c r="Y2" i="4"/>
  <c r="X2" i="4"/>
  <c r="X6" i="4" s="1"/>
  <c r="W2" i="4"/>
  <c r="V2" i="4"/>
  <c r="V11" i="4" s="1"/>
  <c r="U2" i="4"/>
  <c r="U9" i="4" s="1"/>
  <c r="T2" i="4"/>
  <c r="T25" i="4" s="1"/>
  <c r="S2" i="4"/>
  <c r="S29" i="4" s="1"/>
  <c r="R2" i="4"/>
  <c r="R29" i="4" s="1"/>
  <c r="Q2" i="4"/>
  <c r="P2" i="4"/>
  <c r="P15" i="4" s="1"/>
  <c r="O2" i="4"/>
  <c r="N2" i="4"/>
  <c r="N10" i="4" s="1"/>
  <c r="M2" i="4"/>
  <c r="M10" i="4" s="1"/>
  <c r="L2" i="4"/>
  <c r="K2" i="4"/>
  <c r="J2" i="4"/>
  <c r="I2" i="4"/>
  <c r="I28" i="4" s="1"/>
  <c r="H2" i="4"/>
  <c r="H5" i="4" s="1"/>
  <c r="G2" i="4"/>
  <c r="F2" i="4"/>
  <c r="F26" i="4" s="1"/>
  <c r="E2" i="4"/>
  <c r="E20" i="4" s="1"/>
  <c r="D2" i="4"/>
  <c r="D13" i="4" s="1"/>
  <c r="C2" i="4"/>
  <c r="C37" i="4" s="1"/>
  <c r="U76" i="3"/>
  <c r="F76" i="3"/>
  <c r="E76" i="3"/>
  <c r="U75" i="3"/>
  <c r="M75" i="3"/>
  <c r="U73" i="3"/>
  <c r="N73" i="3"/>
  <c r="E73" i="3"/>
  <c r="M66" i="3"/>
  <c r="M64" i="3"/>
  <c r="M63" i="3"/>
  <c r="I63" i="3"/>
  <c r="E63" i="3"/>
  <c r="E61" i="3"/>
  <c r="F59" i="3"/>
  <c r="E59" i="3"/>
  <c r="E58" i="3"/>
  <c r="M57" i="3"/>
  <c r="M56" i="3"/>
  <c r="I56" i="3"/>
  <c r="E56" i="3"/>
  <c r="E55" i="3"/>
  <c r="E54" i="3"/>
  <c r="Q52" i="3"/>
  <c r="E52" i="3"/>
  <c r="M51" i="3"/>
  <c r="V50" i="3"/>
  <c r="U50" i="3"/>
  <c r="M50" i="3"/>
  <c r="U49" i="3"/>
  <c r="M49" i="3"/>
  <c r="F49" i="3"/>
  <c r="E49" i="3"/>
  <c r="M42" i="3"/>
  <c r="M41" i="3"/>
  <c r="E41" i="3"/>
  <c r="E40" i="3"/>
  <c r="M39" i="3"/>
  <c r="E39" i="3"/>
  <c r="M38" i="3"/>
  <c r="E38" i="3"/>
  <c r="E37" i="3"/>
  <c r="I36" i="3"/>
  <c r="M35" i="3"/>
  <c r="E35" i="3"/>
  <c r="I34" i="3"/>
  <c r="M33" i="3"/>
  <c r="E33" i="3"/>
  <c r="M32" i="3"/>
  <c r="F32" i="3"/>
  <c r="M31" i="3"/>
  <c r="E31" i="3"/>
  <c r="U29" i="3"/>
  <c r="Q29" i="3"/>
  <c r="I29" i="3"/>
  <c r="E29" i="3"/>
  <c r="X28" i="3"/>
  <c r="U28" i="3"/>
  <c r="M28" i="3"/>
  <c r="X27" i="3"/>
  <c r="U27" i="3"/>
  <c r="M27" i="3"/>
  <c r="E27" i="3"/>
  <c r="Y26" i="3"/>
  <c r="P26" i="3"/>
  <c r="M26" i="3"/>
  <c r="E26" i="3"/>
  <c r="W24" i="3"/>
  <c r="U24" i="3"/>
  <c r="Q24" i="3"/>
  <c r="M24" i="3"/>
  <c r="H24" i="3"/>
  <c r="E24" i="3"/>
  <c r="W23" i="3"/>
  <c r="U23" i="3"/>
  <c r="P23" i="3"/>
  <c r="M23" i="3"/>
  <c r="Y22" i="3"/>
  <c r="X22" i="3"/>
  <c r="Q22" i="3"/>
  <c r="O22" i="3"/>
  <c r="M22" i="3"/>
  <c r="H22" i="3"/>
  <c r="G22" i="3"/>
  <c r="E22" i="3"/>
  <c r="U21" i="3"/>
  <c r="P21" i="3"/>
  <c r="I21" i="3"/>
  <c r="E21" i="3"/>
  <c r="Y20" i="3"/>
  <c r="X20" i="3"/>
  <c r="U20" i="3"/>
  <c r="I20" i="3"/>
  <c r="E20" i="3"/>
  <c r="Y18" i="3"/>
  <c r="W18" i="3"/>
  <c r="U18" i="3"/>
  <c r="Q18" i="3"/>
  <c r="P18" i="3"/>
  <c r="O18" i="3"/>
  <c r="M18" i="3"/>
  <c r="G18" i="3"/>
  <c r="E18" i="3"/>
  <c r="W17" i="3"/>
  <c r="U17" i="3"/>
  <c r="M17" i="3"/>
  <c r="E17" i="3"/>
  <c r="Y16" i="3"/>
  <c r="X16" i="3"/>
  <c r="Q16" i="3"/>
  <c r="P16" i="3"/>
  <c r="Y15" i="3"/>
  <c r="X15" i="3"/>
  <c r="Q15" i="3"/>
  <c r="P15" i="3"/>
  <c r="O15" i="3"/>
  <c r="I15" i="3"/>
  <c r="H15" i="3"/>
  <c r="Q14" i="3"/>
  <c r="P14" i="3"/>
  <c r="I14" i="3"/>
  <c r="H14" i="3"/>
  <c r="G14" i="3"/>
  <c r="Y13" i="3"/>
  <c r="X13" i="3"/>
  <c r="J13" i="3"/>
  <c r="I13" i="3"/>
  <c r="H13" i="3"/>
  <c r="Y12" i="3"/>
  <c r="X12" i="3"/>
  <c r="W12" i="3"/>
  <c r="Q12" i="3"/>
  <c r="P12" i="3"/>
  <c r="Z11" i="3"/>
  <c r="Y11" i="3"/>
  <c r="X11" i="3"/>
  <c r="Q11" i="3"/>
  <c r="P11" i="3"/>
  <c r="O11" i="3"/>
  <c r="I11" i="3"/>
  <c r="H11" i="3"/>
  <c r="R9" i="3"/>
  <c r="Q9" i="3"/>
  <c r="P9" i="3"/>
  <c r="I9" i="3"/>
  <c r="H9" i="3"/>
  <c r="G9" i="3"/>
  <c r="Y8" i="3"/>
  <c r="X8" i="3"/>
  <c r="W8" i="3"/>
  <c r="J8" i="3"/>
  <c r="I8" i="3"/>
  <c r="H8" i="3"/>
  <c r="Y6" i="3"/>
  <c r="X6" i="3"/>
  <c r="W6" i="3"/>
  <c r="Q6" i="3"/>
  <c r="P6" i="3"/>
  <c r="O6" i="3"/>
  <c r="Z5" i="3"/>
  <c r="Y5" i="3"/>
  <c r="X5" i="3"/>
  <c r="Q5" i="3"/>
  <c r="P5" i="3"/>
  <c r="O5" i="3"/>
  <c r="I5" i="3"/>
  <c r="H5" i="3"/>
  <c r="G5" i="3"/>
  <c r="Z2" i="3"/>
  <c r="Z26" i="3" s="1"/>
  <c r="Y2" i="3"/>
  <c r="Y49" i="3" s="1"/>
  <c r="X2" i="3"/>
  <c r="X18" i="3" s="1"/>
  <c r="W2" i="3"/>
  <c r="W14" i="3" s="1"/>
  <c r="V2" i="3"/>
  <c r="V73" i="3" s="1"/>
  <c r="U2" i="3"/>
  <c r="T2" i="3"/>
  <c r="T23" i="3" s="1"/>
  <c r="S2" i="3"/>
  <c r="S24" i="3" s="1"/>
  <c r="R2" i="3"/>
  <c r="R22" i="3" s="1"/>
  <c r="Q2" i="3"/>
  <c r="Q26" i="3" s="1"/>
  <c r="P2" i="3"/>
  <c r="P22" i="3" s="1"/>
  <c r="O2" i="3"/>
  <c r="O27" i="3" s="1"/>
  <c r="N2" i="3"/>
  <c r="N49" i="3" s="1"/>
  <c r="M2" i="3"/>
  <c r="L2" i="3"/>
  <c r="L34" i="3" s="1"/>
  <c r="K2" i="3"/>
  <c r="K55" i="3" s="1"/>
  <c r="J2" i="3"/>
  <c r="J50" i="3" s="1"/>
  <c r="I2" i="3"/>
  <c r="I42" i="3" s="1"/>
  <c r="H2" i="3"/>
  <c r="H39" i="3" s="1"/>
  <c r="G2" i="3"/>
  <c r="G62" i="3" s="1"/>
  <c r="F2" i="3"/>
  <c r="F57" i="3" s="1"/>
  <c r="E2" i="3"/>
  <c r="D2" i="3"/>
  <c r="D60" i="3" s="1"/>
  <c r="C2" i="3"/>
  <c r="C72" i="3" s="1"/>
  <c r="Z2" i="2"/>
  <c r="Z35" i="2" s="1"/>
  <c r="Y2" i="2"/>
  <c r="Y18" i="2" s="1"/>
  <c r="X2" i="2"/>
  <c r="X42" i="2" s="1"/>
  <c r="W2" i="2"/>
  <c r="W42" i="2" s="1"/>
  <c r="V2" i="2"/>
  <c r="V6" i="2" s="1"/>
  <c r="U2" i="2"/>
  <c r="U46" i="2" s="1"/>
  <c r="T2" i="2"/>
  <c r="T42" i="2" s="1"/>
  <c r="S2" i="2"/>
  <c r="S43" i="2" s="1"/>
  <c r="R2" i="2"/>
  <c r="R14" i="2" s="1"/>
  <c r="Q2" i="2"/>
  <c r="Q8" i="2" s="1"/>
  <c r="P2" i="2"/>
  <c r="P46" i="2" s="1"/>
  <c r="O2" i="2"/>
  <c r="O32" i="2" s="1"/>
  <c r="N2" i="2"/>
  <c r="M2" i="2"/>
  <c r="M46" i="2" s="1"/>
  <c r="L2" i="2"/>
  <c r="L46" i="2" s="1"/>
  <c r="K2" i="2"/>
  <c r="K42" i="2" s="1"/>
  <c r="J2" i="2"/>
  <c r="J46" i="2" s="1"/>
  <c r="I2" i="2"/>
  <c r="I28" i="2" s="1"/>
  <c r="H2" i="2"/>
  <c r="H45" i="2" s="1"/>
  <c r="G2" i="2"/>
  <c r="G46" i="2" s="1"/>
  <c r="F2" i="2"/>
  <c r="C2" i="2"/>
  <c r="C46" i="2" s="1"/>
  <c r="L21" i="9" l="1"/>
  <c r="D23" i="9"/>
  <c r="L23" i="9"/>
  <c r="D24" i="9"/>
  <c r="L24" i="9"/>
  <c r="D25" i="9"/>
  <c r="D33" i="9"/>
  <c r="L33" i="9"/>
  <c r="D35" i="9"/>
  <c r="L35" i="9"/>
  <c r="D36" i="9"/>
  <c r="L36" i="9"/>
  <c r="D37" i="9"/>
  <c r="L37" i="9"/>
  <c r="L11" i="9"/>
  <c r="I21" i="9"/>
  <c r="Q21" i="9"/>
  <c r="Y21" i="9"/>
  <c r="I23" i="9"/>
  <c r="Q23" i="9"/>
  <c r="Y23" i="9"/>
  <c r="I24" i="9"/>
  <c r="Q24" i="9"/>
  <c r="Y24" i="9"/>
  <c r="I33" i="9"/>
  <c r="Q33" i="9"/>
  <c r="Y33" i="9"/>
  <c r="I35" i="9"/>
  <c r="Q35" i="9"/>
  <c r="Y35" i="9"/>
  <c r="I36" i="9"/>
  <c r="Q36" i="9"/>
  <c r="Y36" i="9"/>
  <c r="I37" i="9"/>
  <c r="Q37" i="9"/>
  <c r="Y37" i="9"/>
  <c r="J33" i="9"/>
  <c r="R33" i="9"/>
  <c r="Z33" i="9"/>
  <c r="J35" i="9"/>
  <c r="R35" i="9"/>
  <c r="Z35" i="9"/>
  <c r="J36" i="9"/>
  <c r="R36" i="9"/>
  <c r="Z36" i="9"/>
  <c r="J37" i="9"/>
  <c r="R37" i="9"/>
  <c r="Z37" i="9"/>
  <c r="D22" i="9"/>
  <c r="M21" i="9"/>
  <c r="E23" i="9"/>
  <c r="M23" i="9"/>
  <c r="E24" i="9"/>
  <c r="M24" i="9"/>
  <c r="E25" i="9"/>
  <c r="E33" i="9"/>
  <c r="M33" i="9"/>
  <c r="E35" i="9"/>
  <c r="M35" i="9"/>
  <c r="E36" i="9"/>
  <c r="M36" i="9"/>
  <c r="E37" i="9"/>
  <c r="M37" i="9"/>
  <c r="D11" i="9"/>
  <c r="J21" i="9"/>
  <c r="R21" i="9"/>
  <c r="Z21" i="9"/>
  <c r="J23" i="9"/>
  <c r="R23" i="9"/>
  <c r="Z23" i="9"/>
  <c r="J24" i="9"/>
  <c r="R24" i="9"/>
  <c r="Z24" i="9"/>
  <c r="K21" i="9"/>
  <c r="S21" i="9"/>
  <c r="K23" i="9"/>
  <c r="S23" i="9"/>
  <c r="K24" i="9"/>
  <c r="S24" i="9"/>
  <c r="K33" i="9"/>
  <c r="S33" i="9"/>
  <c r="K35" i="9"/>
  <c r="S35" i="9"/>
  <c r="K36" i="9"/>
  <c r="S36" i="9"/>
  <c r="K37" i="9"/>
  <c r="S37" i="9"/>
  <c r="E22" i="9"/>
  <c r="N21" i="9"/>
  <c r="F23" i="9"/>
  <c r="N23" i="9"/>
  <c r="V23" i="9"/>
  <c r="F24" i="9"/>
  <c r="N24" i="9"/>
  <c r="V24" i="9"/>
  <c r="F33" i="9"/>
  <c r="N34" i="9"/>
  <c r="V33" i="9"/>
  <c r="F35" i="9"/>
  <c r="N35" i="9"/>
  <c r="V35" i="9"/>
  <c r="F36" i="9"/>
  <c r="N36" i="9"/>
  <c r="V36" i="9"/>
  <c r="F37" i="9"/>
  <c r="N37" i="9"/>
  <c r="V37" i="9"/>
  <c r="P21" i="9"/>
  <c r="H23" i="9"/>
  <c r="P23" i="9"/>
  <c r="X23" i="9"/>
  <c r="H24" i="9"/>
  <c r="P24" i="9"/>
  <c r="X24" i="9"/>
  <c r="H33" i="9"/>
  <c r="P33" i="9"/>
  <c r="X33" i="9"/>
  <c r="H35" i="9"/>
  <c r="P35" i="9"/>
  <c r="X35" i="9"/>
  <c r="H36" i="9"/>
  <c r="P36" i="9"/>
  <c r="X36" i="9"/>
  <c r="H37" i="9"/>
  <c r="P37" i="9"/>
  <c r="X37" i="9"/>
  <c r="G22" i="9"/>
  <c r="R22" i="9"/>
  <c r="J22" i="9"/>
  <c r="W34" i="9"/>
  <c r="M34" i="9"/>
  <c r="E34" i="9"/>
  <c r="Q22" i="9"/>
  <c r="I22" i="9"/>
  <c r="V34" i="9"/>
  <c r="L34" i="9"/>
  <c r="D34" i="9"/>
  <c r="Z22" i="9"/>
  <c r="P22" i="9"/>
  <c r="H22" i="9"/>
  <c r="S34" i="9"/>
  <c r="K34" i="9"/>
  <c r="Y22" i="9"/>
  <c r="O22" i="9"/>
  <c r="R34" i="9"/>
  <c r="J34" i="9"/>
  <c r="J25" i="9"/>
  <c r="R25" i="9"/>
  <c r="Z25" i="9"/>
  <c r="X22" i="9"/>
  <c r="N22" i="9"/>
  <c r="Q34" i="9"/>
  <c r="I34" i="9"/>
  <c r="M22" i="9"/>
  <c r="Z34" i="9"/>
  <c r="P34" i="9"/>
  <c r="H34" i="9"/>
  <c r="T22" i="9"/>
  <c r="U23" i="9"/>
  <c r="T24" i="9"/>
  <c r="L25" i="9"/>
  <c r="T25" i="9"/>
  <c r="T34" i="9"/>
  <c r="T35" i="9"/>
  <c r="T36" i="9"/>
  <c r="T37" i="9"/>
  <c r="V22" i="9"/>
  <c r="L22" i="9"/>
  <c r="Y34" i="9"/>
  <c r="O34" i="9"/>
  <c r="G34" i="9"/>
  <c r="S22" i="9"/>
  <c r="K22" i="9"/>
  <c r="X34" i="9"/>
  <c r="F34" i="9"/>
  <c r="L35" i="2"/>
  <c r="T17" i="2"/>
  <c r="G5" i="2"/>
  <c r="T8" i="2"/>
  <c r="L11" i="2"/>
  <c r="L16" i="2"/>
  <c r="J11" i="2"/>
  <c r="K26" i="2"/>
  <c r="P5" i="2"/>
  <c r="K11" i="2"/>
  <c r="S17" i="2"/>
  <c r="L26" i="2"/>
  <c r="M39" i="2"/>
  <c r="Z27" i="2"/>
  <c r="C27" i="2"/>
  <c r="C42" i="2"/>
  <c r="K6" i="2"/>
  <c r="L12" i="2"/>
  <c r="C20" i="2"/>
  <c r="J28" i="2"/>
  <c r="K43" i="2"/>
  <c r="J6" i="2"/>
  <c r="L6" i="2"/>
  <c r="T13" i="2"/>
  <c r="K21" i="2"/>
  <c r="L28" i="2"/>
  <c r="L43" i="2"/>
  <c r="R8" i="2"/>
  <c r="C14" i="2"/>
  <c r="L21" i="2"/>
  <c r="T32" i="2"/>
  <c r="T43" i="2"/>
  <c r="S8" i="2"/>
  <c r="C15" i="2"/>
  <c r="T23" i="2"/>
  <c r="U32" i="2"/>
  <c r="T45" i="2"/>
  <c r="W5" i="2"/>
  <c r="K16" i="2"/>
  <c r="C24" i="2"/>
  <c r="C33" i="2"/>
  <c r="J20" i="2"/>
  <c r="Z23" i="2"/>
  <c r="K28" i="2"/>
  <c r="I36" i="2"/>
  <c r="Z39" i="2"/>
  <c r="Q46" i="2"/>
  <c r="E45" i="2"/>
  <c r="R46" i="2"/>
  <c r="Z8" i="2"/>
  <c r="H5" i="2"/>
  <c r="S5" i="2"/>
  <c r="S6" i="2"/>
  <c r="C9" i="2"/>
  <c r="T11" i="2"/>
  <c r="T12" i="2"/>
  <c r="D14" i="2"/>
  <c r="L15" i="2"/>
  <c r="S16" i="2"/>
  <c r="C18" i="2"/>
  <c r="L20" i="2"/>
  <c r="S21" i="2"/>
  <c r="L24" i="2"/>
  <c r="D27" i="2"/>
  <c r="K29" i="2"/>
  <c r="L33" i="2"/>
  <c r="K36" i="2"/>
  <c r="L42" i="2"/>
  <c r="I45" i="2"/>
  <c r="S46" i="2"/>
  <c r="Z9" i="2"/>
  <c r="C39" i="2"/>
  <c r="S12" i="2"/>
  <c r="K15" i="2"/>
  <c r="R16" i="2"/>
  <c r="K20" i="2"/>
  <c r="J36" i="2"/>
  <c r="I5" i="2"/>
  <c r="T5" i="2"/>
  <c r="T6" i="2"/>
  <c r="L9" i="2"/>
  <c r="H12" i="2"/>
  <c r="P13" i="2"/>
  <c r="L14" i="2"/>
  <c r="T15" i="2"/>
  <c r="T16" i="2"/>
  <c r="L18" i="2"/>
  <c r="T20" i="2"/>
  <c r="T21" i="2"/>
  <c r="Y24" i="2"/>
  <c r="K27" i="2"/>
  <c r="L29" i="2"/>
  <c r="M33" i="2"/>
  <c r="L36" i="2"/>
  <c r="Y42" i="2"/>
  <c r="J45" i="2"/>
  <c r="T46" i="2"/>
  <c r="Z26" i="2"/>
  <c r="M35" i="2"/>
  <c r="R12" i="2"/>
  <c r="Z13" i="2"/>
  <c r="J15" i="2"/>
  <c r="J5" i="2"/>
  <c r="Y5" i="2"/>
  <c r="D8" i="2"/>
  <c r="X9" i="2"/>
  <c r="I12" i="2"/>
  <c r="Q13" i="2"/>
  <c r="X14" i="2"/>
  <c r="H16" i="2"/>
  <c r="P17" i="2"/>
  <c r="X18" i="2"/>
  <c r="H21" i="2"/>
  <c r="Q23" i="2"/>
  <c r="Z24" i="2"/>
  <c r="L27" i="2"/>
  <c r="M29" i="2"/>
  <c r="U33" i="2"/>
  <c r="K37" i="2"/>
  <c r="Z42" i="2"/>
  <c r="K45" i="2"/>
  <c r="T26" i="2"/>
  <c r="M36" i="2"/>
  <c r="R5" i="2"/>
  <c r="K5" i="2"/>
  <c r="Z5" i="2"/>
  <c r="P8" i="2"/>
  <c r="Y9" i="2"/>
  <c r="J12" i="2"/>
  <c r="R13" i="2"/>
  <c r="Y14" i="2"/>
  <c r="I16" i="2"/>
  <c r="Q17" i="2"/>
  <c r="I21" i="2"/>
  <c r="R23" i="2"/>
  <c r="C26" i="2"/>
  <c r="M27" i="2"/>
  <c r="M32" i="2"/>
  <c r="C35" i="2"/>
  <c r="L37" i="2"/>
  <c r="C43" i="2"/>
  <c r="L45" i="2"/>
  <c r="M37" i="2"/>
  <c r="Q5" i="2"/>
  <c r="Z17" i="2"/>
  <c r="R21" i="2"/>
  <c r="L5" i="2"/>
  <c r="C6" i="2"/>
  <c r="C11" i="2"/>
  <c r="K12" i="2"/>
  <c r="S13" i="2"/>
  <c r="Z14" i="2"/>
  <c r="J16" i="2"/>
  <c r="R17" i="2"/>
  <c r="J21" i="2"/>
  <c r="S23" i="2"/>
  <c r="J26" i="2"/>
  <c r="S32" i="2"/>
  <c r="K35" i="2"/>
  <c r="D38" i="2"/>
  <c r="J43" i="2"/>
  <c r="S45" i="2"/>
  <c r="M26" i="2"/>
  <c r="U22" i="9"/>
  <c r="T23" i="9"/>
  <c r="U35" i="9"/>
  <c r="U36" i="9"/>
  <c r="T27" i="9"/>
  <c r="T15" i="9"/>
  <c r="U37" i="9"/>
  <c r="U24" i="9"/>
  <c r="U34" i="9"/>
  <c r="H25" i="9"/>
  <c r="P25" i="9"/>
  <c r="X25" i="9"/>
  <c r="I25" i="9"/>
  <c r="Q25" i="9"/>
  <c r="Y25" i="9"/>
  <c r="K25" i="9"/>
  <c r="S25" i="9"/>
  <c r="W25" i="9"/>
  <c r="O25" i="9"/>
  <c r="G25" i="9"/>
  <c r="V25" i="9"/>
  <c r="N25" i="9"/>
  <c r="F25" i="9"/>
  <c r="U25" i="9"/>
  <c r="M25" i="9"/>
  <c r="Y12" i="9"/>
  <c r="T13" i="9"/>
  <c r="X11" i="9"/>
  <c r="Q12" i="9"/>
  <c r="P11" i="9"/>
  <c r="K11" i="9"/>
  <c r="S11" i="9"/>
  <c r="L12" i="9"/>
  <c r="T12" i="9"/>
  <c r="D13" i="9"/>
  <c r="O13" i="9"/>
  <c r="W13" i="9"/>
  <c r="K13" i="9"/>
  <c r="Y13" i="9"/>
  <c r="I12" i="9"/>
  <c r="U11" i="9"/>
  <c r="E12" i="9"/>
  <c r="N12" i="9"/>
  <c r="V12" i="9"/>
  <c r="F13" i="9"/>
  <c r="Q13" i="9"/>
  <c r="M11" i="9"/>
  <c r="J11" i="9"/>
  <c r="R11" i="9"/>
  <c r="Z11" i="9"/>
  <c r="K12" i="9"/>
  <c r="S12" i="9"/>
  <c r="N13" i="9"/>
  <c r="V13" i="9"/>
  <c r="E11" i="9"/>
  <c r="I11" i="9"/>
  <c r="Q11" i="9"/>
  <c r="Y11" i="9"/>
  <c r="J12" i="9"/>
  <c r="R12" i="9"/>
  <c r="Z12" i="9"/>
  <c r="M13" i="9"/>
  <c r="U13" i="9"/>
  <c r="J13" i="9"/>
  <c r="T11" i="9"/>
  <c r="D12" i="9"/>
  <c r="M12" i="9"/>
  <c r="U12" i="9"/>
  <c r="E13" i="9"/>
  <c r="P13" i="9"/>
  <c r="X13" i="9"/>
  <c r="G11" i="9"/>
  <c r="N11" i="9"/>
  <c r="V11" i="9"/>
  <c r="F12" i="9"/>
  <c r="O12" i="9"/>
  <c r="W12" i="9"/>
  <c r="R13" i="9"/>
  <c r="Z13" i="9"/>
  <c r="G13" i="9"/>
  <c r="F11" i="9"/>
  <c r="O11" i="9"/>
  <c r="W11" i="9"/>
  <c r="P12" i="9"/>
  <c r="X12" i="9"/>
  <c r="I13" i="9"/>
  <c r="S13" i="9"/>
  <c r="G12" i="9"/>
  <c r="U15" i="9"/>
  <c r="V21" i="9" s="1"/>
  <c r="W15" i="9"/>
  <c r="W21" i="9" s="1"/>
  <c r="F15" i="9"/>
  <c r="N27" i="9"/>
  <c r="N33" i="9" s="1"/>
  <c r="J5" i="9"/>
  <c r="R5" i="9"/>
  <c r="Z5" i="9"/>
  <c r="E5" i="9"/>
  <c r="N5" i="9"/>
  <c r="V5" i="9"/>
  <c r="C15" i="9"/>
  <c r="H5" i="9"/>
  <c r="P5" i="9"/>
  <c r="X5" i="9"/>
  <c r="D15" i="9"/>
  <c r="E15" i="9"/>
  <c r="K5" i="9"/>
  <c r="S5" i="9"/>
  <c r="M5" i="9"/>
  <c r="U5" i="9"/>
  <c r="D5" i="9"/>
  <c r="G15" i="9"/>
  <c r="I5" i="9"/>
  <c r="Q5" i="9"/>
  <c r="Y5" i="9"/>
  <c r="C5" i="9"/>
  <c r="L5" i="9"/>
  <c r="T5" i="9"/>
  <c r="G5" i="9"/>
  <c r="F5" i="9"/>
  <c r="O5" i="9"/>
  <c r="W5" i="9"/>
  <c r="E46" i="2"/>
  <c r="E27" i="2"/>
  <c r="E33" i="2"/>
  <c r="E39" i="2"/>
  <c r="E29" i="2"/>
  <c r="E32" i="2"/>
  <c r="E35" i="2"/>
  <c r="E37" i="2"/>
  <c r="D13" i="2"/>
  <c r="D6" i="2"/>
  <c r="D20" i="2"/>
  <c r="D26" i="2"/>
  <c r="D35" i="2"/>
  <c r="D43" i="2"/>
  <c r="D11" i="2"/>
  <c r="D17" i="2"/>
  <c r="D18" i="2"/>
  <c r="D45" i="2"/>
  <c r="D30" i="2"/>
  <c r="D33" i="2"/>
  <c r="D39" i="2"/>
  <c r="D24" i="2"/>
  <c r="D32" i="2"/>
  <c r="D42" i="2"/>
  <c r="D46" i="2"/>
  <c r="D9" i="2"/>
  <c r="D15" i="2"/>
  <c r="G8" i="8"/>
  <c r="I12" i="8"/>
  <c r="H8" i="8"/>
  <c r="G9" i="8"/>
  <c r="H9" i="8"/>
  <c r="I9" i="8"/>
  <c r="H11" i="8"/>
  <c r="W15" i="2"/>
  <c r="G29" i="2"/>
  <c r="O42" i="2"/>
  <c r="H8" i="2"/>
  <c r="H13" i="2"/>
  <c r="H17" i="2"/>
  <c r="P24" i="2"/>
  <c r="L6" i="3"/>
  <c r="D11" i="3"/>
  <c r="L12" i="3"/>
  <c r="T13" i="3"/>
  <c r="R14" i="3"/>
  <c r="D15" i="3"/>
  <c r="Z15" i="3"/>
  <c r="L16" i="3"/>
  <c r="L17" i="3"/>
  <c r="D18" i="3"/>
  <c r="R21" i="3"/>
  <c r="Z22" i="3"/>
  <c r="J24" i="3"/>
  <c r="G31" i="3"/>
  <c r="D33" i="3"/>
  <c r="J36" i="3"/>
  <c r="Z38" i="3"/>
  <c r="J49" i="3"/>
  <c r="P72" i="3"/>
  <c r="F46" i="2"/>
  <c r="F45" i="2"/>
  <c r="F43" i="2"/>
  <c r="F42" i="2"/>
  <c r="F38" i="2"/>
  <c r="F36" i="2"/>
  <c r="F30" i="2"/>
  <c r="F28" i="2"/>
  <c r="F26" i="2"/>
  <c r="F24" i="2"/>
  <c r="F23" i="2"/>
  <c r="F21" i="2"/>
  <c r="F20" i="2"/>
  <c r="F18" i="2"/>
  <c r="F17" i="2"/>
  <c r="F16" i="2"/>
  <c r="F15" i="2"/>
  <c r="F14" i="2"/>
  <c r="F13" i="2"/>
  <c r="F12" i="2"/>
  <c r="F11" i="2"/>
  <c r="F9" i="2"/>
  <c r="F8" i="2"/>
  <c r="N46" i="2"/>
  <c r="N45" i="2"/>
  <c r="N43" i="2"/>
  <c r="N42" i="2"/>
  <c r="N24" i="2"/>
  <c r="N23" i="2"/>
  <c r="N21" i="2"/>
  <c r="N20" i="2"/>
  <c r="N18" i="2"/>
  <c r="N17" i="2"/>
  <c r="N16" i="2"/>
  <c r="N15" i="2"/>
  <c r="N14" i="2"/>
  <c r="N13" i="2"/>
  <c r="N12" i="2"/>
  <c r="N11" i="2"/>
  <c r="N9" i="2"/>
  <c r="N8" i="2"/>
  <c r="V46" i="2"/>
  <c r="V45" i="2"/>
  <c r="V43" i="2"/>
  <c r="V42" i="2"/>
  <c r="V24" i="2"/>
  <c r="V23" i="2"/>
  <c r="V21" i="2"/>
  <c r="V20" i="2"/>
  <c r="V18" i="2"/>
  <c r="V17" i="2"/>
  <c r="V16" i="2"/>
  <c r="V15" i="2"/>
  <c r="V14" i="2"/>
  <c r="V13" i="2"/>
  <c r="V12" i="2"/>
  <c r="V11" i="2"/>
  <c r="V9" i="2"/>
  <c r="V8" i="2"/>
  <c r="G37" i="2"/>
  <c r="G38" i="2"/>
  <c r="X20" i="2"/>
  <c r="P42" i="2"/>
  <c r="D59" i="3"/>
  <c r="D57" i="3"/>
  <c r="D55" i="3"/>
  <c r="D65" i="3"/>
  <c r="D62" i="3"/>
  <c r="D58" i="3"/>
  <c r="D40" i="3"/>
  <c r="D37" i="3"/>
  <c r="D36" i="3"/>
  <c r="D75" i="3"/>
  <c r="D64" i="3"/>
  <c r="D63" i="3"/>
  <c r="D61" i="3"/>
  <c r="D52" i="3"/>
  <c r="D49" i="3"/>
  <c r="D29" i="3"/>
  <c r="D20" i="3"/>
  <c r="D54" i="3"/>
  <c r="D42" i="3"/>
  <c r="D41" i="3"/>
  <c r="D76" i="3"/>
  <c r="D21" i="3"/>
  <c r="D56" i="3"/>
  <c r="D50" i="3"/>
  <c r="D35" i="3"/>
  <c r="D24" i="3"/>
  <c r="D72" i="3"/>
  <c r="D34" i="3"/>
  <c r="D28" i="3"/>
  <c r="D73" i="3"/>
  <c r="L59" i="3"/>
  <c r="L57" i="3"/>
  <c r="L55" i="3"/>
  <c r="L52" i="3"/>
  <c r="L76" i="3"/>
  <c r="L49" i="3"/>
  <c r="L38" i="3"/>
  <c r="L36" i="3"/>
  <c r="L75" i="3"/>
  <c r="L26" i="3"/>
  <c r="L72" i="3"/>
  <c r="L65" i="3"/>
  <c r="L64" i="3"/>
  <c r="L58" i="3"/>
  <c r="L73" i="3"/>
  <c r="L31" i="3"/>
  <c r="L22" i="3"/>
  <c r="L60" i="3"/>
  <c r="L40" i="3"/>
  <c r="L39" i="3"/>
  <c r="L29" i="3"/>
  <c r="L61" i="3"/>
  <c r="L54" i="3"/>
  <c r="L21" i="3"/>
  <c r="L63" i="3"/>
  <c r="L56" i="3"/>
  <c r="L50" i="3"/>
  <c r="T73" i="3"/>
  <c r="T49" i="3"/>
  <c r="T22" i="3"/>
  <c r="T72" i="3"/>
  <c r="T50" i="3"/>
  <c r="T27" i="3"/>
  <c r="T18" i="3"/>
  <c r="T51" i="3"/>
  <c r="T26" i="3"/>
  <c r="T75" i="3"/>
  <c r="D5" i="3"/>
  <c r="I39" i="2"/>
  <c r="I37" i="2"/>
  <c r="I35" i="2"/>
  <c r="I33" i="2"/>
  <c r="I32" i="2"/>
  <c r="I29" i="2"/>
  <c r="I27" i="2"/>
  <c r="Q33" i="2"/>
  <c r="Q32" i="2"/>
  <c r="Y33" i="2"/>
  <c r="Y32" i="2"/>
  <c r="G9" i="2"/>
  <c r="Q9" i="2"/>
  <c r="O15" i="2"/>
  <c r="Y15" i="2"/>
  <c r="G24" i="2"/>
  <c r="Q24" i="2"/>
  <c r="I30" i="2"/>
  <c r="G32" i="2"/>
  <c r="O33" i="2"/>
  <c r="I38" i="2"/>
  <c r="G39" i="2"/>
  <c r="G42" i="2"/>
  <c r="Q42" i="2"/>
  <c r="O43" i="2"/>
  <c r="Y43" i="2"/>
  <c r="W45" i="2"/>
  <c r="I46" i="2"/>
  <c r="C6" i="3"/>
  <c r="K8" i="3"/>
  <c r="S9" i="3"/>
  <c r="G11" i="3"/>
  <c r="C12" i="3"/>
  <c r="O12" i="3"/>
  <c r="K13" i="3"/>
  <c r="W13" i="3"/>
  <c r="S14" i="3"/>
  <c r="G15" i="3"/>
  <c r="C16" i="3"/>
  <c r="O16" i="3"/>
  <c r="Z16" i="3"/>
  <c r="J20" i="3"/>
  <c r="S21" i="3"/>
  <c r="C23" i="3"/>
  <c r="K24" i="3"/>
  <c r="D26" i="3"/>
  <c r="K27" i="3"/>
  <c r="Z27" i="3"/>
  <c r="W28" i="3"/>
  <c r="R29" i="3"/>
  <c r="Z34" i="3"/>
  <c r="K36" i="3"/>
  <c r="D39" i="3"/>
  <c r="L41" i="3"/>
  <c r="D51" i="3"/>
  <c r="T52" i="3"/>
  <c r="H60" i="3"/>
  <c r="K64" i="3"/>
  <c r="X72" i="3"/>
  <c r="W33" i="2"/>
  <c r="H37" i="2"/>
  <c r="H38" i="2"/>
  <c r="F39" i="2"/>
  <c r="H46" i="2"/>
  <c r="G14" i="2"/>
  <c r="Q14" i="2"/>
  <c r="W21" i="2"/>
  <c r="I23" i="2"/>
  <c r="H9" i="2"/>
  <c r="R9" i="2"/>
  <c r="P15" i="2"/>
  <c r="Z15" i="2"/>
  <c r="X21" i="2"/>
  <c r="J23" i="2"/>
  <c r="J30" i="2"/>
  <c r="H32" i="2"/>
  <c r="J38" i="2"/>
  <c r="H39" i="2"/>
  <c r="H42" i="2"/>
  <c r="R42" i="2"/>
  <c r="Z6" i="3"/>
  <c r="L8" i="3"/>
  <c r="J14" i="3"/>
  <c r="T14" i="3"/>
  <c r="K20" i="3"/>
  <c r="R26" i="3"/>
  <c r="L27" i="3"/>
  <c r="C28" i="3"/>
  <c r="J57" i="3"/>
  <c r="X11" i="2"/>
  <c r="X15" i="2"/>
  <c r="W12" i="2"/>
  <c r="I13" i="2"/>
  <c r="O20" i="2"/>
  <c r="Y20" i="2"/>
  <c r="F6" i="2"/>
  <c r="O6" i="2"/>
  <c r="X6" i="2"/>
  <c r="J8" i="2"/>
  <c r="H14" i="2"/>
  <c r="P20" i="2"/>
  <c r="Z20" i="2"/>
  <c r="X45" i="2"/>
  <c r="R5" i="3"/>
  <c r="D6" i="3"/>
  <c r="Z12" i="3"/>
  <c r="L13" i="3"/>
  <c r="L24" i="3"/>
  <c r="V5" i="2"/>
  <c r="G6" i="2"/>
  <c r="P6" i="2"/>
  <c r="Y6" i="2"/>
  <c r="K8" i="2"/>
  <c r="W8" i="2"/>
  <c r="I9" i="2"/>
  <c r="S9" i="2"/>
  <c r="G11" i="2"/>
  <c r="Q11" i="2"/>
  <c r="C12" i="2"/>
  <c r="O12" i="2"/>
  <c r="Y12" i="2"/>
  <c r="K13" i="2"/>
  <c r="W13" i="2"/>
  <c r="I14" i="2"/>
  <c r="S14" i="2"/>
  <c r="G15" i="2"/>
  <c r="Q15" i="2"/>
  <c r="C16" i="2"/>
  <c r="O16" i="2"/>
  <c r="Y16" i="2"/>
  <c r="K17" i="2"/>
  <c r="W17" i="2"/>
  <c r="I18" i="2"/>
  <c r="S18" i="2"/>
  <c r="G20" i="2"/>
  <c r="Q20" i="2"/>
  <c r="C21" i="2"/>
  <c r="O21" i="2"/>
  <c r="Y21" i="2"/>
  <c r="K23" i="2"/>
  <c r="W23" i="2"/>
  <c r="I24" i="2"/>
  <c r="S24" i="2"/>
  <c r="G26" i="2"/>
  <c r="G33" i="2"/>
  <c r="S33" i="2"/>
  <c r="S5" i="3"/>
  <c r="G6" i="3"/>
  <c r="K9" i="3"/>
  <c r="W9" i="3"/>
  <c r="C13" i="3"/>
  <c r="O13" i="3"/>
  <c r="S15" i="3"/>
  <c r="G16" i="3"/>
  <c r="D17" i="3"/>
  <c r="S17" i="3"/>
  <c r="H18" i="3"/>
  <c r="L20" i="3"/>
  <c r="G21" i="3"/>
  <c r="J23" i="3"/>
  <c r="Y23" i="3"/>
  <c r="G26" i="3"/>
  <c r="S26" i="3"/>
  <c r="I28" i="3"/>
  <c r="T29" i="3"/>
  <c r="D32" i="3"/>
  <c r="L33" i="3"/>
  <c r="J35" i="3"/>
  <c r="L37" i="3"/>
  <c r="K54" i="3"/>
  <c r="J61" i="3"/>
  <c r="Z64" i="3"/>
  <c r="T76" i="3"/>
  <c r="O14" i="2"/>
  <c r="O18" i="2"/>
  <c r="O24" i="2"/>
  <c r="W43" i="2"/>
  <c r="P9" i="2"/>
  <c r="P14" i="2"/>
  <c r="P18" i="2"/>
  <c r="H29" i="2"/>
  <c r="H30" i="2"/>
  <c r="F32" i="2"/>
  <c r="P32" i="2"/>
  <c r="O11" i="2"/>
  <c r="Y11" i="2"/>
  <c r="G18" i="2"/>
  <c r="Q18" i="2"/>
  <c r="J39" i="2"/>
  <c r="J37" i="2"/>
  <c r="J35" i="2"/>
  <c r="J33" i="2"/>
  <c r="J32" i="2"/>
  <c r="J29" i="2"/>
  <c r="J27" i="2"/>
  <c r="R33" i="2"/>
  <c r="R32" i="2"/>
  <c r="Z38" i="2"/>
  <c r="Z36" i="2"/>
  <c r="Z33" i="2"/>
  <c r="Z32" i="2"/>
  <c r="Z30" i="2"/>
  <c r="Z28" i="2"/>
  <c r="P11" i="2"/>
  <c r="Z11" i="2"/>
  <c r="X16" i="2"/>
  <c r="J17" i="2"/>
  <c r="H24" i="2"/>
  <c r="R24" i="2"/>
  <c r="R11" i="3"/>
  <c r="D12" i="3"/>
  <c r="C17" i="3"/>
  <c r="R17" i="3"/>
  <c r="D23" i="3"/>
  <c r="S49" i="3"/>
  <c r="L51" i="3"/>
  <c r="C5" i="2"/>
  <c r="K30" i="2"/>
  <c r="K32" i="2"/>
  <c r="C36" i="2"/>
  <c r="C37" i="2"/>
  <c r="C8" i="3"/>
  <c r="O8" i="3"/>
  <c r="S11" i="3"/>
  <c r="G12" i="3"/>
  <c r="K14" i="3"/>
  <c r="D5" i="2"/>
  <c r="N5" i="2"/>
  <c r="H6" i="2"/>
  <c r="Q6" i="2"/>
  <c r="Z6" i="2"/>
  <c r="L8" i="2"/>
  <c r="X8" i="2"/>
  <c r="J9" i="2"/>
  <c r="T9" i="2"/>
  <c r="H11" i="2"/>
  <c r="R11" i="2"/>
  <c r="D12" i="2"/>
  <c r="P12" i="2"/>
  <c r="Z12" i="2"/>
  <c r="L13" i="2"/>
  <c r="X13" i="2"/>
  <c r="J14" i="2"/>
  <c r="T14" i="2"/>
  <c r="H15" i="2"/>
  <c r="R15" i="2"/>
  <c r="D16" i="2"/>
  <c r="P16" i="2"/>
  <c r="Z16" i="2"/>
  <c r="L17" i="2"/>
  <c r="X17" i="2"/>
  <c r="J18" i="2"/>
  <c r="T18" i="2"/>
  <c r="H20" i="2"/>
  <c r="R20" i="2"/>
  <c r="D21" i="2"/>
  <c r="P21" i="2"/>
  <c r="Z21" i="2"/>
  <c r="L23" i="2"/>
  <c r="X23" i="2"/>
  <c r="J24" i="2"/>
  <c r="T24" i="2"/>
  <c r="H26" i="2"/>
  <c r="F27" i="2"/>
  <c r="D28" i="2"/>
  <c r="D29" i="2"/>
  <c r="Z29" i="2"/>
  <c r="L30" i="2"/>
  <c r="L32" i="2"/>
  <c r="V32" i="2"/>
  <c r="H33" i="2"/>
  <c r="T33" i="2"/>
  <c r="F35" i="2"/>
  <c r="D36" i="2"/>
  <c r="D37" i="2"/>
  <c r="Z37" i="2"/>
  <c r="L38" i="2"/>
  <c r="L39" i="2"/>
  <c r="J42" i="2"/>
  <c r="H43" i="2"/>
  <c r="R43" i="2"/>
  <c r="P45" i="2"/>
  <c r="Z45" i="2"/>
  <c r="X46" i="2"/>
  <c r="H58" i="3"/>
  <c r="H56" i="3"/>
  <c r="H54" i="3"/>
  <c r="H52" i="3"/>
  <c r="H51" i="3"/>
  <c r="H50" i="3"/>
  <c r="H49" i="3"/>
  <c r="H72" i="3"/>
  <c r="H42" i="3"/>
  <c r="H73" i="3"/>
  <c r="H63" i="3"/>
  <c r="H55" i="3"/>
  <c r="H34" i="3"/>
  <c r="H31" i="3"/>
  <c r="H21" i="3"/>
  <c r="H76" i="3"/>
  <c r="H62" i="3"/>
  <c r="H61" i="3"/>
  <c r="H41" i="3"/>
  <c r="H36" i="3"/>
  <c r="H35" i="3"/>
  <c r="H28" i="3"/>
  <c r="H64" i="3"/>
  <c r="H57" i="3"/>
  <c r="H33" i="3"/>
  <c r="H20" i="3"/>
  <c r="H17" i="3"/>
  <c r="H65" i="3"/>
  <c r="H59" i="3"/>
  <c r="H37" i="3"/>
  <c r="H32" i="3"/>
  <c r="H23" i="3"/>
  <c r="H38" i="3"/>
  <c r="H27" i="3"/>
  <c r="H75" i="3"/>
  <c r="H40" i="3"/>
  <c r="P52" i="3"/>
  <c r="P51" i="3"/>
  <c r="P50" i="3"/>
  <c r="P49" i="3"/>
  <c r="P75" i="3"/>
  <c r="P27" i="3"/>
  <c r="P73" i="3"/>
  <c r="P29" i="3"/>
  <c r="P24" i="3"/>
  <c r="P76" i="3"/>
  <c r="P28" i="3"/>
  <c r="P17" i="3"/>
  <c r="P20" i="3"/>
  <c r="X52" i="3"/>
  <c r="X51" i="3"/>
  <c r="X50" i="3"/>
  <c r="X49" i="3"/>
  <c r="X75" i="3"/>
  <c r="X23" i="3"/>
  <c r="X73" i="3"/>
  <c r="X26" i="3"/>
  <c r="X29" i="3"/>
  <c r="X21" i="3"/>
  <c r="X24" i="3"/>
  <c r="X17" i="3"/>
  <c r="X76" i="3"/>
  <c r="J5" i="3"/>
  <c r="T5" i="3"/>
  <c r="H6" i="3"/>
  <c r="R6" i="3"/>
  <c r="D8" i="3"/>
  <c r="P8" i="3"/>
  <c r="Z8" i="3"/>
  <c r="L9" i="3"/>
  <c r="X9" i="3"/>
  <c r="J11" i="3"/>
  <c r="T11" i="3"/>
  <c r="H12" i="3"/>
  <c r="R12" i="3"/>
  <c r="D13" i="3"/>
  <c r="P13" i="3"/>
  <c r="Z13" i="3"/>
  <c r="L14" i="3"/>
  <c r="X14" i="3"/>
  <c r="J15" i="3"/>
  <c r="T15" i="3"/>
  <c r="H16" i="3"/>
  <c r="R16" i="3"/>
  <c r="T17" i="3"/>
  <c r="L18" i="3"/>
  <c r="O20" i="3"/>
  <c r="C22" i="3"/>
  <c r="K23" i="3"/>
  <c r="Z23" i="3"/>
  <c r="H26" i="3"/>
  <c r="K28" i="3"/>
  <c r="G29" i="3"/>
  <c r="K35" i="3"/>
  <c r="C38" i="3"/>
  <c r="L42" i="3"/>
  <c r="S51" i="3"/>
  <c r="K65" i="3"/>
  <c r="G8" i="2"/>
  <c r="W11" i="2"/>
  <c r="W20" i="2"/>
  <c r="G30" i="2"/>
  <c r="H23" i="2"/>
  <c r="N33" i="2"/>
  <c r="X33" i="2"/>
  <c r="X43" i="2"/>
  <c r="T8" i="3"/>
  <c r="N6" i="2"/>
  <c r="W6" i="2"/>
  <c r="I8" i="2"/>
  <c r="W16" i="2"/>
  <c r="I17" i="2"/>
  <c r="X12" i="2"/>
  <c r="J13" i="2"/>
  <c r="H18" i="2"/>
  <c r="R18" i="2"/>
  <c r="F33" i="2"/>
  <c r="P33" i="2"/>
  <c r="P43" i="2"/>
  <c r="Z43" i="2"/>
  <c r="J9" i="3"/>
  <c r="T9" i="3"/>
  <c r="R15" i="3"/>
  <c r="D16" i="3"/>
  <c r="T21" i="3"/>
  <c r="S29" i="3"/>
  <c r="C32" i="3"/>
  <c r="J33" i="3"/>
  <c r="C28" i="2"/>
  <c r="C29" i="2"/>
  <c r="K38" i="2"/>
  <c r="K39" i="2"/>
  <c r="I42" i="2"/>
  <c r="S42" i="2"/>
  <c r="G43" i="2"/>
  <c r="Q43" i="2"/>
  <c r="C45" i="2"/>
  <c r="O45" i="2"/>
  <c r="Y45" i="2"/>
  <c r="K46" i="2"/>
  <c r="W46" i="2"/>
  <c r="G76" i="3"/>
  <c r="G75" i="3"/>
  <c r="G73" i="3"/>
  <c r="G72" i="3"/>
  <c r="G42" i="3"/>
  <c r="G40" i="3"/>
  <c r="G38" i="3"/>
  <c r="G64" i="3"/>
  <c r="G61" i="3"/>
  <c r="G57" i="3"/>
  <c r="G39" i="3"/>
  <c r="G35" i="3"/>
  <c r="G41" i="3"/>
  <c r="G37" i="3"/>
  <c r="G27" i="3"/>
  <c r="G54" i="3"/>
  <c r="G49" i="3"/>
  <c r="G63" i="3"/>
  <c r="G56" i="3"/>
  <c r="G50" i="3"/>
  <c r="G34" i="3"/>
  <c r="G36" i="3"/>
  <c r="G28" i="3"/>
  <c r="G58" i="3"/>
  <c r="G51" i="3"/>
  <c r="G33" i="3"/>
  <c r="G20" i="3"/>
  <c r="G17" i="3"/>
  <c r="G65" i="3"/>
  <c r="G59" i="3"/>
  <c r="G32" i="3"/>
  <c r="G23" i="3"/>
  <c r="G60" i="3"/>
  <c r="O76" i="3"/>
  <c r="O75" i="3"/>
  <c r="O73" i="3"/>
  <c r="O72" i="3"/>
  <c r="O51" i="3"/>
  <c r="O52" i="3"/>
  <c r="O50" i="3"/>
  <c r="O49" i="3"/>
  <c r="O23" i="3"/>
  <c r="O29" i="3"/>
  <c r="O21" i="3"/>
  <c r="O24" i="3"/>
  <c r="O28" i="3"/>
  <c r="O17" i="3"/>
  <c r="W76" i="3"/>
  <c r="W75" i="3"/>
  <c r="W73" i="3"/>
  <c r="W72" i="3"/>
  <c r="W50" i="3"/>
  <c r="W52" i="3"/>
  <c r="W29" i="3"/>
  <c r="W20" i="3"/>
  <c r="W51" i="3"/>
  <c r="W22" i="3"/>
  <c r="W16" i="3"/>
  <c r="W26" i="3"/>
  <c r="W21" i="3"/>
  <c r="W49" i="3"/>
  <c r="F5" i="2"/>
  <c r="O5" i="2"/>
  <c r="X5" i="2"/>
  <c r="I6" i="2"/>
  <c r="R6" i="2"/>
  <c r="C8" i="2"/>
  <c r="O8" i="2"/>
  <c r="Y8" i="2"/>
  <c r="K9" i="2"/>
  <c r="W9" i="2"/>
  <c r="I11" i="2"/>
  <c r="S11" i="2"/>
  <c r="G12" i="2"/>
  <c r="Q12" i="2"/>
  <c r="C13" i="2"/>
  <c r="O13" i="2"/>
  <c r="Y13" i="2"/>
  <c r="K14" i="2"/>
  <c r="W14" i="2"/>
  <c r="I15" i="2"/>
  <c r="S15" i="2"/>
  <c r="G16" i="2"/>
  <c r="Q16" i="2"/>
  <c r="C17" i="2"/>
  <c r="O17" i="2"/>
  <c r="Y17" i="2"/>
  <c r="K18" i="2"/>
  <c r="W18" i="2"/>
  <c r="I20" i="2"/>
  <c r="S20" i="2"/>
  <c r="G21" i="2"/>
  <c r="Q21" i="2"/>
  <c r="C23" i="2"/>
  <c r="O23" i="2"/>
  <c r="Y23" i="2"/>
  <c r="K24" i="2"/>
  <c r="W24" i="2"/>
  <c r="I26" i="2"/>
  <c r="G27" i="2"/>
  <c r="G28" i="2"/>
  <c r="C30" i="2"/>
  <c r="C32" i="2"/>
  <c r="W32" i="2"/>
  <c r="K33" i="2"/>
  <c r="G35" i="2"/>
  <c r="G36" i="2"/>
  <c r="C38" i="2"/>
  <c r="I43" i="2"/>
  <c r="G45" i="2"/>
  <c r="Q45" i="2"/>
  <c r="O46" i="2"/>
  <c r="Y46" i="2"/>
  <c r="I35" i="3"/>
  <c r="I76" i="3"/>
  <c r="I60" i="3"/>
  <c r="I51" i="3"/>
  <c r="I62" i="3"/>
  <c r="I50" i="3"/>
  <c r="I40" i="3"/>
  <c r="I24" i="3"/>
  <c r="I55" i="3"/>
  <c r="I72" i="3"/>
  <c r="I64" i="3"/>
  <c r="I57" i="3"/>
  <c r="I33" i="3"/>
  <c r="I65" i="3"/>
  <c r="I59" i="3"/>
  <c r="I58" i="3"/>
  <c r="I37" i="3"/>
  <c r="I32" i="3"/>
  <c r="I23" i="3"/>
  <c r="I73" i="3"/>
  <c r="I38" i="3"/>
  <c r="I27" i="3"/>
  <c r="I52" i="3"/>
  <c r="I31" i="3"/>
  <c r="I22" i="3"/>
  <c r="I39" i="3"/>
  <c r="I18" i="3"/>
  <c r="I75" i="3"/>
  <c r="I61" i="3"/>
  <c r="I54" i="3"/>
  <c r="I49" i="3"/>
  <c r="I41" i="3"/>
  <c r="Q72" i="3"/>
  <c r="Q21" i="3"/>
  <c r="Q75" i="3"/>
  <c r="Q76" i="3"/>
  <c r="Q49" i="3"/>
  <c r="Q28" i="3"/>
  <c r="Q17" i="3"/>
  <c r="Q20" i="3"/>
  <c r="Q50" i="3"/>
  <c r="Q23" i="3"/>
  <c r="Q73" i="3"/>
  <c r="Q51" i="3"/>
  <c r="Y76" i="3"/>
  <c r="Y75" i="3"/>
  <c r="Y73" i="3"/>
  <c r="Y72" i="3"/>
  <c r="Y27" i="3"/>
  <c r="Y50" i="3"/>
  <c r="Y29" i="3"/>
  <c r="Y21" i="3"/>
  <c r="Y52" i="3"/>
  <c r="Y24" i="3"/>
  <c r="Y17" i="3"/>
  <c r="Y28" i="3"/>
  <c r="K5" i="3"/>
  <c r="W5" i="3"/>
  <c r="I6" i="3"/>
  <c r="S6" i="3"/>
  <c r="G8" i="3"/>
  <c r="Q8" i="3"/>
  <c r="C9" i="3"/>
  <c r="O9" i="3"/>
  <c r="Y9" i="3"/>
  <c r="K11" i="3"/>
  <c r="W11" i="3"/>
  <c r="I12" i="3"/>
  <c r="S12" i="3"/>
  <c r="G13" i="3"/>
  <c r="Q13" i="3"/>
  <c r="C14" i="3"/>
  <c r="O14" i="3"/>
  <c r="Y14" i="3"/>
  <c r="K15" i="3"/>
  <c r="W15" i="3"/>
  <c r="I16" i="3"/>
  <c r="S16" i="3"/>
  <c r="I17" i="3"/>
  <c r="Z18" i="3"/>
  <c r="S20" i="3"/>
  <c r="J21" i="3"/>
  <c r="D22" i="3"/>
  <c r="L23" i="3"/>
  <c r="I26" i="3"/>
  <c r="Q27" i="3"/>
  <c r="L28" i="3"/>
  <c r="H29" i="3"/>
  <c r="C31" i="3"/>
  <c r="L32" i="3"/>
  <c r="C34" i="3"/>
  <c r="L35" i="3"/>
  <c r="D38" i="3"/>
  <c r="C40" i="3"/>
  <c r="Y51" i="3"/>
  <c r="G55" i="3"/>
  <c r="K58" i="3"/>
  <c r="L62" i="3"/>
  <c r="C75" i="3"/>
  <c r="P23" i="2"/>
  <c r="X24" i="2"/>
  <c r="H27" i="2"/>
  <c r="H28" i="2"/>
  <c r="F29" i="2"/>
  <c r="N32" i="2"/>
  <c r="X32" i="2"/>
  <c r="V33" i="2"/>
  <c r="H35" i="2"/>
  <c r="H36" i="2"/>
  <c r="F37" i="2"/>
  <c r="R45" i="2"/>
  <c r="Z46" i="2"/>
  <c r="J64" i="3"/>
  <c r="J62" i="3"/>
  <c r="J60" i="3"/>
  <c r="J63" i="3"/>
  <c r="J59" i="3"/>
  <c r="J56" i="3"/>
  <c r="J41" i="3"/>
  <c r="J38" i="3"/>
  <c r="J34" i="3"/>
  <c r="J32" i="3"/>
  <c r="J54" i="3"/>
  <c r="J39" i="3"/>
  <c r="J28" i="3"/>
  <c r="J42" i="3"/>
  <c r="J65" i="3"/>
  <c r="J58" i="3"/>
  <c r="J37" i="3"/>
  <c r="J73" i="3"/>
  <c r="J51" i="3"/>
  <c r="J27" i="3"/>
  <c r="J52" i="3"/>
  <c r="J31" i="3"/>
  <c r="J22" i="3"/>
  <c r="J18" i="3"/>
  <c r="J75" i="3"/>
  <c r="J26" i="3"/>
  <c r="J76" i="3"/>
  <c r="J55" i="3"/>
  <c r="R76" i="3"/>
  <c r="R51" i="3"/>
  <c r="R73" i="3"/>
  <c r="R24" i="3"/>
  <c r="R52" i="3"/>
  <c r="R49" i="3"/>
  <c r="R28" i="3"/>
  <c r="R20" i="3"/>
  <c r="R50" i="3"/>
  <c r="R23" i="3"/>
  <c r="R72" i="3"/>
  <c r="R27" i="3"/>
  <c r="R18" i="3"/>
  <c r="Z65" i="3"/>
  <c r="Z63" i="3"/>
  <c r="Z61" i="3"/>
  <c r="Z72" i="3"/>
  <c r="Z47" i="3"/>
  <c r="Z33" i="3"/>
  <c r="Z75" i="3"/>
  <c r="Z58" i="3"/>
  <c r="Z51" i="3"/>
  <c r="Z43" i="3"/>
  <c r="Z37" i="3"/>
  <c r="Z57" i="3"/>
  <c r="Z56" i="3"/>
  <c r="Z54" i="3"/>
  <c r="Z32" i="3"/>
  <c r="Z21" i="3"/>
  <c r="Z73" i="3"/>
  <c r="Z39" i="3"/>
  <c r="Z29" i="3"/>
  <c r="Z60" i="3"/>
  <c r="Z52" i="3"/>
  <c r="Z40" i="3"/>
  <c r="Z24" i="3"/>
  <c r="Z17" i="3"/>
  <c r="Z42" i="3"/>
  <c r="Z41" i="3"/>
  <c r="Z28" i="3"/>
  <c r="Z62" i="3"/>
  <c r="Z55" i="3"/>
  <c r="Z49" i="3"/>
  <c r="Z20" i="3"/>
  <c r="Z76" i="3"/>
  <c r="Z50" i="3"/>
  <c r="L5" i="3"/>
  <c r="J6" i="3"/>
  <c r="T6" i="3"/>
  <c r="R8" i="3"/>
  <c r="D9" i="3"/>
  <c r="Z9" i="3"/>
  <c r="L11" i="3"/>
  <c r="J12" i="3"/>
  <c r="T12" i="3"/>
  <c r="R13" i="3"/>
  <c r="D14" i="3"/>
  <c r="Z14" i="3"/>
  <c r="L15" i="3"/>
  <c r="J16" i="3"/>
  <c r="T16" i="3"/>
  <c r="J17" i="3"/>
  <c r="C20" i="3"/>
  <c r="T20" i="3"/>
  <c r="K21" i="3"/>
  <c r="G24" i="3"/>
  <c r="T24" i="3"/>
  <c r="C27" i="3"/>
  <c r="D31" i="3"/>
  <c r="O9" i="2"/>
  <c r="G13" i="2"/>
  <c r="G17" i="2"/>
  <c r="G23" i="2"/>
  <c r="C41" i="3"/>
  <c r="C39" i="3"/>
  <c r="C37" i="3"/>
  <c r="C55" i="3"/>
  <c r="C52" i="3"/>
  <c r="C60" i="3"/>
  <c r="C58" i="3"/>
  <c r="C65" i="3"/>
  <c r="C59" i="3"/>
  <c r="C56" i="3"/>
  <c r="C54" i="3"/>
  <c r="C51" i="3"/>
  <c r="C50" i="3"/>
  <c r="C26" i="3"/>
  <c r="C73" i="3"/>
  <c r="C61" i="3"/>
  <c r="C62" i="3"/>
  <c r="C49" i="3"/>
  <c r="C42" i="3"/>
  <c r="C29" i="3"/>
  <c r="C76" i="3"/>
  <c r="C63" i="3"/>
  <c r="C36" i="3"/>
  <c r="C21" i="3"/>
  <c r="C64" i="3"/>
  <c r="C57" i="3"/>
  <c r="C24" i="3"/>
  <c r="C35" i="3"/>
  <c r="K41" i="3"/>
  <c r="K39" i="3"/>
  <c r="K37" i="3"/>
  <c r="K73" i="3"/>
  <c r="K49" i="3"/>
  <c r="K72" i="3"/>
  <c r="K61" i="3"/>
  <c r="K33" i="3"/>
  <c r="K22" i="3"/>
  <c r="K63" i="3"/>
  <c r="K57" i="3"/>
  <c r="K56" i="3"/>
  <c r="K50" i="3"/>
  <c r="K59" i="3"/>
  <c r="K51" i="3"/>
  <c r="K32" i="3"/>
  <c r="K52" i="3"/>
  <c r="K38" i="3"/>
  <c r="K31" i="3"/>
  <c r="K18" i="3"/>
  <c r="K75" i="3"/>
  <c r="K26" i="3"/>
  <c r="K60" i="3"/>
  <c r="K40" i="3"/>
  <c r="K29" i="3"/>
  <c r="K76" i="3"/>
  <c r="K62" i="3"/>
  <c r="K42" i="3"/>
  <c r="S50" i="3"/>
  <c r="S28" i="3"/>
  <c r="S18" i="3"/>
  <c r="S75" i="3"/>
  <c r="S76" i="3"/>
  <c r="S23" i="3"/>
  <c r="S72" i="3"/>
  <c r="S27" i="3"/>
  <c r="S22" i="3"/>
  <c r="S73" i="3"/>
  <c r="S52" i="3"/>
  <c r="C5" i="3"/>
  <c r="K6" i="3"/>
  <c r="S8" i="3"/>
  <c r="C11" i="3"/>
  <c r="K12" i="3"/>
  <c r="S13" i="3"/>
  <c r="C15" i="3"/>
  <c r="K16" i="3"/>
  <c r="K17" i="3"/>
  <c r="C18" i="3"/>
  <c r="O26" i="3"/>
  <c r="D27" i="3"/>
  <c r="W27" i="3"/>
  <c r="T28" i="3"/>
  <c r="J29" i="3"/>
  <c r="C33" i="3"/>
  <c r="K34" i="3"/>
  <c r="J40" i="3"/>
  <c r="G52" i="3"/>
  <c r="J72" i="3"/>
  <c r="R75" i="3"/>
  <c r="F52" i="3"/>
  <c r="N72" i="3"/>
  <c r="H8" i="4"/>
  <c r="V8" i="4"/>
  <c r="P9" i="4"/>
  <c r="E10" i="4"/>
  <c r="X10" i="4"/>
  <c r="V14" i="4"/>
  <c r="U17" i="4"/>
  <c r="J29" i="4"/>
  <c r="J24" i="4"/>
  <c r="J13" i="4"/>
  <c r="J8" i="4"/>
  <c r="J36" i="4"/>
  <c r="J32" i="4"/>
  <c r="J16" i="4"/>
  <c r="J9" i="4"/>
  <c r="J37" i="4"/>
  <c r="J27" i="4"/>
  <c r="J21" i="4"/>
  <c r="J15" i="4"/>
  <c r="J12" i="4"/>
  <c r="J30" i="4"/>
  <c r="J28" i="4"/>
  <c r="J26" i="4"/>
  <c r="J23" i="4"/>
  <c r="J20" i="4"/>
  <c r="J31" i="4"/>
  <c r="J10" i="4"/>
  <c r="J14" i="4"/>
  <c r="R30" i="4"/>
  <c r="R26" i="4"/>
  <c r="R20" i="4"/>
  <c r="R15" i="4"/>
  <c r="R25" i="4"/>
  <c r="R17" i="4"/>
  <c r="R13" i="4"/>
  <c r="R10" i="4"/>
  <c r="R16" i="4"/>
  <c r="R31" i="4"/>
  <c r="R36" i="4"/>
  <c r="R32" i="4"/>
  <c r="R37" i="4"/>
  <c r="R28" i="4"/>
  <c r="R27" i="4"/>
  <c r="R24" i="4"/>
  <c r="R23" i="4"/>
  <c r="R14" i="4"/>
  <c r="R11" i="4"/>
  <c r="R9" i="4"/>
  <c r="R21" i="4"/>
  <c r="Z31" i="4"/>
  <c r="Z29" i="4"/>
  <c r="Z23" i="4"/>
  <c r="Z17" i="4"/>
  <c r="Z36" i="4"/>
  <c r="Z26" i="4"/>
  <c r="Z20" i="4"/>
  <c r="Z10" i="4"/>
  <c r="Z32" i="4"/>
  <c r="Z28" i="4"/>
  <c r="Z37" i="4"/>
  <c r="Z27" i="4"/>
  <c r="Z21" i="4"/>
  <c r="Z14" i="4"/>
  <c r="Z11" i="4"/>
  <c r="Z25" i="4"/>
  <c r="Z24" i="4"/>
  <c r="Z30" i="4"/>
  <c r="Z13" i="4"/>
  <c r="Z16" i="4"/>
  <c r="Z8" i="4"/>
  <c r="Z15" i="4"/>
  <c r="Z6" i="4"/>
  <c r="E16" i="4"/>
  <c r="X16" i="4"/>
  <c r="F37" i="3"/>
  <c r="V75" i="3"/>
  <c r="N76" i="3"/>
  <c r="F51" i="3"/>
  <c r="V52" i="3"/>
  <c r="F58" i="3"/>
  <c r="F73" i="3"/>
  <c r="H6" i="4"/>
  <c r="H23" i="4"/>
  <c r="M5" i="2"/>
  <c r="U5" i="2"/>
  <c r="E6" i="2"/>
  <c r="M6" i="2"/>
  <c r="U6" i="2"/>
  <c r="E8" i="2"/>
  <c r="M8" i="2"/>
  <c r="U8" i="2"/>
  <c r="E9" i="2"/>
  <c r="M9" i="2"/>
  <c r="U9" i="2"/>
  <c r="E11" i="2"/>
  <c r="M11" i="2"/>
  <c r="U11" i="2"/>
  <c r="E12" i="2"/>
  <c r="M12" i="2"/>
  <c r="U12" i="2"/>
  <c r="E13" i="2"/>
  <c r="M13" i="2"/>
  <c r="U13" i="2"/>
  <c r="E14" i="2"/>
  <c r="M14" i="2"/>
  <c r="U14" i="2"/>
  <c r="E15" i="2"/>
  <c r="M15" i="2"/>
  <c r="U15" i="2"/>
  <c r="E16" i="2"/>
  <c r="M16" i="2"/>
  <c r="U16" i="2"/>
  <c r="E17" i="2"/>
  <c r="M17" i="2"/>
  <c r="U17" i="2"/>
  <c r="E18" i="2"/>
  <c r="M18" i="2"/>
  <c r="U18" i="2"/>
  <c r="E20" i="2"/>
  <c r="M20" i="2"/>
  <c r="U20" i="2"/>
  <c r="E21" i="2"/>
  <c r="M21" i="2"/>
  <c r="U21" i="2"/>
  <c r="E23" i="2"/>
  <c r="M23" i="2"/>
  <c r="U23" i="2"/>
  <c r="E24" i="2"/>
  <c r="M24" i="2"/>
  <c r="U24" i="2"/>
  <c r="E26" i="2"/>
  <c r="E28" i="2"/>
  <c r="M28" i="2"/>
  <c r="E30" i="2"/>
  <c r="M30" i="2"/>
  <c r="E36" i="2"/>
  <c r="E38" i="2"/>
  <c r="M38" i="2"/>
  <c r="E42" i="2"/>
  <c r="M42" i="2"/>
  <c r="U42" i="2"/>
  <c r="E43" i="2"/>
  <c r="M43" i="2"/>
  <c r="U43" i="2"/>
  <c r="M45" i="2"/>
  <c r="U45" i="2"/>
  <c r="E36" i="3"/>
  <c r="E75" i="3"/>
  <c r="E50" i="3"/>
  <c r="E65" i="3"/>
  <c r="E57" i="3"/>
  <c r="E51" i="3"/>
  <c r="E42" i="3"/>
  <c r="E62" i="3"/>
  <c r="E60" i="3"/>
  <c r="E32" i="3"/>
  <c r="E23" i="3"/>
  <c r="M43" i="3"/>
  <c r="M34" i="3"/>
  <c r="M65" i="3"/>
  <c r="M62" i="3"/>
  <c r="M58" i="3"/>
  <c r="M55" i="3"/>
  <c r="M40" i="3"/>
  <c r="M37" i="3"/>
  <c r="M60" i="3"/>
  <c r="M52" i="3"/>
  <c r="M76" i="3"/>
  <c r="M73" i="3"/>
  <c r="M72" i="3"/>
  <c r="M29" i="3"/>
  <c r="M20" i="3"/>
  <c r="U52" i="3"/>
  <c r="U72" i="3"/>
  <c r="U26" i="3"/>
  <c r="E5" i="3"/>
  <c r="M5" i="3"/>
  <c r="U5" i="3"/>
  <c r="E6" i="3"/>
  <c r="M6" i="3"/>
  <c r="U6" i="3"/>
  <c r="E8" i="3"/>
  <c r="M8" i="3"/>
  <c r="U8" i="3"/>
  <c r="E9" i="3"/>
  <c r="M9" i="3"/>
  <c r="U9" i="3"/>
  <c r="E11" i="3"/>
  <c r="M11" i="3"/>
  <c r="U11" i="3"/>
  <c r="E12" i="3"/>
  <c r="M12" i="3"/>
  <c r="U12" i="3"/>
  <c r="E13" i="3"/>
  <c r="M13" i="3"/>
  <c r="U13" i="3"/>
  <c r="E14" i="3"/>
  <c r="M14" i="3"/>
  <c r="U14" i="3"/>
  <c r="E15" i="3"/>
  <c r="M15" i="3"/>
  <c r="U15" i="3"/>
  <c r="E16" i="3"/>
  <c r="M16" i="3"/>
  <c r="U16" i="3"/>
  <c r="M21" i="3"/>
  <c r="U22" i="3"/>
  <c r="E28" i="3"/>
  <c r="E34" i="3"/>
  <c r="U51" i="3"/>
  <c r="M54" i="3"/>
  <c r="M61" i="3"/>
  <c r="E64" i="3"/>
  <c r="E72" i="3"/>
  <c r="D37" i="4"/>
  <c r="D36" i="4"/>
  <c r="D31" i="4"/>
  <c r="D25" i="4"/>
  <c r="D14" i="4"/>
  <c r="D9" i="4"/>
  <c r="D27" i="4"/>
  <c r="D26" i="4"/>
  <c r="D21" i="4"/>
  <c r="D24" i="4"/>
  <c r="D11" i="4"/>
  <c r="D17" i="4"/>
  <c r="D29" i="4"/>
  <c r="D30" i="4"/>
  <c r="D28" i="4"/>
  <c r="D23" i="4"/>
  <c r="D20" i="4"/>
  <c r="D15" i="4"/>
  <c r="D12" i="4"/>
  <c r="D32" i="4"/>
  <c r="D16" i="4"/>
  <c r="L37" i="4"/>
  <c r="L36" i="4"/>
  <c r="L30" i="4"/>
  <c r="L27" i="4"/>
  <c r="L21" i="4"/>
  <c r="L32" i="4"/>
  <c r="L16" i="4"/>
  <c r="L11" i="4"/>
  <c r="L5" i="4"/>
  <c r="L29" i="4"/>
  <c r="L15" i="4"/>
  <c r="L12" i="4"/>
  <c r="L28" i="4"/>
  <c r="L26" i="4"/>
  <c r="L23" i="4"/>
  <c r="L20" i="4"/>
  <c r="L25" i="4"/>
  <c r="L14" i="4"/>
  <c r="L24" i="4"/>
  <c r="L17" i="4"/>
  <c r="L9" i="4"/>
  <c r="L31" i="4"/>
  <c r="T37" i="4"/>
  <c r="T36" i="4"/>
  <c r="T32" i="4"/>
  <c r="T29" i="4"/>
  <c r="T24" i="4"/>
  <c r="T27" i="4"/>
  <c r="T21" i="4"/>
  <c r="T16" i="4"/>
  <c r="T13" i="4"/>
  <c r="T31" i="4"/>
  <c r="T9" i="4"/>
  <c r="T12" i="4"/>
  <c r="T15" i="4"/>
  <c r="T28" i="4"/>
  <c r="T30" i="4"/>
  <c r="T10" i="4"/>
  <c r="T26" i="4"/>
  <c r="T23" i="4"/>
  <c r="T20" i="4"/>
  <c r="T17" i="4"/>
  <c r="E5" i="4"/>
  <c r="R5" i="4"/>
  <c r="J6" i="4"/>
  <c r="V6" i="4"/>
  <c r="L8" i="4"/>
  <c r="F9" i="4"/>
  <c r="E11" i="4"/>
  <c r="R12" i="4"/>
  <c r="L13" i="4"/>
  <c r="F65" i="3"/>
  <c r="F63" i="3"/>
  <c r="F61" i="3"/>
  <c r="F54" i="3"/>
  <c r="F33" i="3"/>
  <c r="F31" i="3"/>
  <c r="F29" i="3"/>
  <c r="F28" i="3"/>
  <c r="F27" i="3"/>
  <c r="F26" i="3"/>
  <c r="F24" i="3"/>
  <c r="F23" i="3"/>
  <c r="F22" i="3"/>
  <c r="F21" i="3"/>
  <c r="F20" i="3"/>
  <c r="F18" i="3"/>
  <c r="F17" i="3"/>
  <c r="F64" i="3"/>
  <c r="F56" i="3"/>
  <c r="F42" i="3"/>
  <c r="F41" i="3"/>
  <c r="F40" i="3"/>
  <c r="F39" i="3"/>
  <c r="F38" i="3"/>
  <c r="F36" i="3"/>
  <c r="F35" i="3"/>
  <c r="N75" i="3"/>
  <c r="N50" i="3"/>
  <c r="N29" i="3"/>
  <c r="N28" i="3"/>
  <c r="N27" i="3"/>
  <c r="N26" i="3"/>
  <c r="N24" i="3"/>
  <c r="N23" i="3"/>
  <c r="N22" i="3"/>
  <c r="N21" i="3"/>
  <c r="N20" i="3"/>
  <c r="N18" i="3"/>
  <c r="N17" i="3"/>
  <c r="N51" i="3"/>
  <c r="V29" i="3"/>
  <c r="V28" i="3"/>
  <c r="V27" i="3"/>
  <c r="V26" i="3"/>
  <c r="V24" i="3"/>
  <c r="V23" i="3"/>
  <c r="V22" i="3"/>
  <c r="V21" i="3"/>
  <c r="V20" i="3"/>
  <c r="V18" i="3"/>
  <c r="V17" i="3"/>
  <c r="V16" i="3"/>
  <c r="V76" i="3"/>
  <c r="V49" i="3"/>
  <c r="F5" i="3"/>
  <c r="N5" i="3"/>
  <c r="V5" i="3"/>
  <c r="F6" i="3"/>
  <c r="N6" i="3"/>
  <c r="V6" i="3"/>
  <c r="F8" i="3"/>
  <c r="N8" i="3"/>
  <c r="V8" i="3"/>
  <c r="F9" i="3"/>
  <c r="N9" i="3"/>
  <c r="V9" i="3"/>
  <c r="F11" i="3"/>
  <c r="N11" i="3"/>
  <c r="V11" i="3"/>
  <c r="F12" i="3"/>
  <c r="N12" i="3"/>
  <c r="V12" i="3"/>
  <c r="F13" i="3"/>
  <c r="N13" i="3"/>
  <c r="V13" i="3"/>
  <c r="F14" i="3"/>
  <c r="N14" i="3"/>
  <c r="V14" i="3"/>
  <c r="F15" i="3"/>
  <c r="N15" i="3"/>
  <c r="V15" i="3"/>
  <c r="F16" i="3"/>
  <c r="N16" i="3"/>
  <c r="F34" i="3"/>
  <c r="F50" i="3"/>
  <c r="V51" i="3"/>
  <c r="F72" i="3"/>
  <c r="E30" i="4"/>
  <c r="E31" i="4"/>
  <c r="E25" i="4"/>
  <c r="E28" i="4"/>
  <c r="E23" i="4"/>
  <c r="E24" i="4"/>
  <c r="E17" i="4"/>
  <c r="E14" i="4"/>
  <c r="E6" i="4"/>
  <c r="E13" i="4"/>
  <c r="E36" i="4"/>
  <c r="E32" i="4"/>
  <c r="E37" i="4"/>
  <c r="E27" i="4"/>
  <c r="E26" i="4"/>
  <c r="E21" i="4"/>
  <c r="E8" i="4"/>
  <c r="E15" i="4"/>
  <c r="E12" i="4"/>
  <c r="E9" i="4"/>
  <c r="E29" i="4"/>
  <c r="M29" i="4"/>
  <c r="M32" i="4"/>
  <c r="M37" i="4"/>
  <c r="M25" i="4"/>
  <c r="M14" i="4"/>
  <c r="M9" i="4"/>
  <c r="M15" i="4"/>
  <c r="M12" i="4"/>
  <c r="M28" i="4"/>
  <c r="M26" i="4"/>
  <c r="M23" i="4"/>
  <c r="M20" i="4"/>
  <c r="M8" i="4"/>
  <c r="M30" i="4"/>
  <c r="M27" i="4"/>
  <c r="M21" i="4"/>
  <c r="M24" i="4"/>
  <c r="M17" i="4"/>
  <c r="M31" i="4"/>
  <c r="M36" i="4"/>
  <c r="M11" i="4"/>
  <c r="M6" i="4"/>
  <c r="M5" i="4"/>
  <c r="U29" i="4"/>
  <c r="U36" i="4"/>
  <c r="U27" i="4"/>
  <c r="U21" i="4"/>
  <c r="U16" i="4"/>
  <c r="U11" i="4"/>
  <c r="U5" i="4"/>
  <c r="U31" i="4"/>
  <c r="U12" i="4"/>
  <c r="U32" i="4"/>
  <c r="U15" i="4"/>
  <c r="U28" i="4"/>
  <c r="U37" i="4"/>
  <c r="U26" i="4"/>
  <c r="U23" i="4"/>
  <c r="U20" i="4"/>
  <c r="U30" i="4"/>
  <c r="U13" i="4"/>
  <c r="U24" i="4"/>
  <c r="U25" i="4"/>
  <c r="F5" i="4"/>
  <c r="H9" i="4"/>
  <c r="H11" i="4"/>
  <c r="M13" i="4"/>
  <c r="M16" i="4"/>
  <c r="J17" i="4"/>
  <c r="F20" i="4"/>
  <c r="N52" i="3"/>
  <c r="F55" i="3"/>
  <c r="F62" i="3"/>
  <c r="V72" i="3"/>
  <c r="F37" i="4"/>
  <c r="F28" i="4"/>
  <c r="F23" i="4"/>
  <c r="F36" i="4"/>
  <c r="F30" i="4"/>
  <c r="F17" i="4"/>
  <c r="F12" i="4"/>
  <c r="F6" i="4"/>
  <c r="F25" i="4"/>
  <c r="F14" i="4"/>
  <c r="F31" i="4"/>
  <c r="F10" i="4"/>
  <c r="F13" i="4"/>
  <c r="F32" i="4"/>
  <c r="F16" i="4"/>
  <c r="F29" i="4"/>
  <c r="F27" i="4"/>
  <c r="F24" i="4"/>
  <c r="F11" i="4"/>
  <c r="F15" i="4"/>
  <c r="N30" i="4"/>
  <c r="N37" i="4"/>
  <c r="N25" i="4"/>
  <c r="N31" i="4"/>
  <c r="N28" i="4"/>
  <c r="N23" i="4"/>
  <c r="N29" i="4"/>
  <c r="N26" i="4"/>
  <c r="N20" i="4"/>
  <c r="N27" i="4"/>
  <c r="N21" i="4"/>
  <c r="N24" i="4"/>
  <c r="N17" i="4"/>
  <c r="N14" i="4"/>
  <c r="N11" i="4"/>
  <c r="N36" i="4"/>
  <c r="N32" i="4"/>
  <c r="N15" i="4"/>
  <c r="N12" i="4"/>
  <c r="N13" i="4"/>
  <c r="N8" i="4"/>
  <c r="V30" i="4"/>
  <c r="V32" i="4"/>
  <c r="V25" i="4"/>
  <c r="V9" i="4"/>
  <c r="V12" i="4"/>
  <c r="V15" i="4"/>
  <c r="V36" i="4"/>
  <c r="V28" i="4"/>
  <c r="V37" i="4"/>
  <c r="V26" i="4"/>
  <c r="V23" i="4"/>
  <c r="V20" i="4"/>
  <c r="V29" i="4"/>
  <c r="V27" i="4"/>
  <c r="V21" i="4"/>
  <c r="V17" i="4"/>
  <c r="V31" i="4"/>
  <c r="V16" i="4"/>
  <c r="V5" i="4"/>
  <c r="V10" i="4"/>
  <c r="V24" i="4"/>
  <c r="R8" i="4"/>
  <c r="Z9" i="4"/>
  <c r="P10" i="4"/>
  <c r="J11" i="4"/>
  <c r="N16" i="4"/>
  <c r="J25" i="4"/>
  <c r="Z12" i="4"/>
  <c r="V13" i="4"/>
  <c r="F60" i="3"/>
  <c r="F75" i="3"/>
  <c r="H31" i="4"/>
  <c r="H29" i="4"/>
  <c r="H28" i="4"/>
  <c r="H27" i="4"/>
  <c r="H26" i="4"/>
  <c r="H25" i="4"/>
  <c r="H24" i="4"/>
  <c r="H14" i="4"/>
  <c r="H13" i="4"/>
  <c r="H12" i="4"/>
  <c r="H20" i="4"/>
  <c r="H15" i="4"/>
  <c r="H10" i="4"/>
  <c r="H16" i="4"/>
  <c r="H36" i="4"/>
  <c r="H32" i="4"/>
  <c r="H37" i="4"/>
  <c r="H17" i="4"/>
  <c r="H21" i="4"/>
  <c r="P28" i="4"/>
  <c r="P27" i="4"/>
  <c r="P26" i="4"/>
  <c r="P25" i="4"/>
  <c r="P24" i="4"/>
  <c r="P14" i="4"/>
  <c r="P13" i="4"/>
  <c r="P12" i="4"/>
  <c r="P11" i="4"/>
  <c r="P31" i="4"/>
  <c r="P23" i="4"/>
  <c r="P17" i="4"/>
  <c r="P36" i="4"/>
  <c r="P6" i="4"/>
  <c r="P37" i="4"/>
  <c r="P30" i="4"/>
  <c r="P21" i="4"/>
  <c r="P16" i="4"/>
  <c r="P32" i="4"/>
  <c r="P29" i="4"/>
  <c r="P20" i="4"/>
  <c r="P8" i="4"/>
  <c r="X37" i="4"/>
  <c r="X28" i="4"/>
  <c r="X27" i="4"/>
  <c r="X26" i="4"/>
  <c r="X25" i="4"/>
  <c r="X24" i="4"/>
  <c r="X23" i="4"/>
  <c r="X13" i="4"/>
  <c r="X12" i="4"/>
  <c r="X11" i="4"/>
  <c r="X32" i="4"/>
  <c r="X17" i="4"/>
  <c r="X36" i="4"/>
  <c r="X8" i="4"/>
  <c r="X29" i="4"/>
  <c r="X20" i="4"/>
  <c r="X14" i="4"/>
  <c r="X21" i="4"/>
  <c r="X31" i="4"/>
  <c r="X15" i="4"/>
  <c r="X9" i="4"/>
  <c r="X30" i="4"/>
  <c r="Z5" i="4"/>
  <c r="R6" i="4"/>
  <c r="T14" i="4"/>
  <c r="F21" i="4"/>
  <c r="I30" i="4"/>
  <c r="F15" i="5"/>
  <c r="F11" i="5"/>
  <c r="F14" i="5"/>
  <c r="F13" i="5"/>
  <c r="F10" i="5"/>
  <c r="F9" i="5"/>
  <c r="F7" i="5"/>
  <c r="F5" i="5"/>
  <c r="N11" i="5"/>
  <c r="N9" i="5"/>
  <c r="N15" i="5"/>
  <c r="N14" i="5"/>
  <c r="N13" i="5"/>
  <c r="N5" i="5"/>
  <c r="N10" i="5"/>
  <c r="N7" i="5"/>
  <c r="V7" i="5"/>
  <c r="V15" i="5"/>
  <c r="V14" i="5"/>
  <c r="V13" i="5"/>
  <c r="V11" i="5"/>
  <c r="V5" i="5"/>
  <c r="V10" i="5"/>
  <c r="V9" i="5"/>
  <c r="I17" i="4"/>
  <c r="I16" i="4"/>
  <c r="I15" i="4"/>
  <c r="I26" i="4"/>
  <c r="I20" i="4"/>
  <c r="I29" i="4"/>
  <c r="I31" i="4"/>
  <c r="I13" i="4"/>
  <c r="I36" i="4"/>
  <c r="I32" i="4"/>
  <c r="I5" i="4"/>
  <c r="I37" i="4"/>
  <c r="I27" i="4"/>
  <c r="I21" i="4"/>
  <c r="I6" i="4"/>
  <c r="Q31" i="4"/>
  <c r="Q29" i="4"/>
  <c r="Q17" i="4"/>
  <c r="Q16" i="4"/>
  <c r="Q15" i="4"/>
  <c r="Q36" i="4"/>
  <c r="Q30" i="4"/>
  <c r="Q26" i="4"/>
  <c r="Q20" i="4"/>
  <c r="Q10" i="4"/>
  <c r="Q24" i="4"/>
  <c r="Q23" i="4"/>
  <c r="Q14" i="4"/>
  <c r="Q25" i="4"/>
  <c r="Q6" i="4"/>
  <c r="Q13" i="4"/>
  <c r="Q37" i="4"/>
  <c r="Q28" i="4"/>
  <c r="Q27" i="4"/>
  <c r="Q21" i="4"/>
  <c r="Y17" i="4"/>
  <c r="Y16" i="4"/>
  <c r="Y15" i="4"/>
  <c r="Y14" i="4"/>
  <c r="Y37" i="4"/>
  <c r="Y28" i="4"/>
  <c r="Y31" i="4"/>
  <c r="Y23" i="4"/>
  <c r="Y12" i="4"/>
  <c r="Y6" i="4"/>
  <c r="Y32" i="4"/>
  <c r="Y29" i="4"/>
  <c r="Y26" i="4"/>
  <c r="Y20" i="4"/>
  <c r="Y27" i="4"/>
  <c r="Y21" i="4"/>
  <c r="Y11" i="4"/>
  <c r="Y25" i="4"/>
  <c r="Y24" i="4"/>
  <c r="Y30" i="4"/>
  <c r="Y36" i="4"/>
  <c r="Y5" i="4"/>
  <c r="I10" i="4"/>
  <c r="I23" i="4"/>
  <c r="E11" i="5"/>
  <c r="E9" i="5"/>
  <c r="E15" i="5"/>
  <c r="E7" i="5"/>
  <c r="E14" i="5"/>
  <c r="E13" i="5"/>
  <c r="E5" i="5"/>
  <c r="M13" i="5"/>
  <c r="M7" i="5"/>
  <c r="M10" i="5"/>
  <c r="M9" i="5"/>
  <c r="M15" i="5"/>
  <c r="U15" i="5"/>
  <c r="U14" i="5"/>
  <c r="U13" i="5"/>
  <c r="U11" i="5"/>
  <c r="U5" i="5"/>
  <c r="U10" i="5"/>
  <c r="U9" i="5"/>
  <c r="M11" i="5"/>
  <c r="I8" i="6"/>
  <c r="I6" i="6"/>
  <c r="I9" i="6"/>
  <c r="I5" i="6"/>
  <c r="Q8" i="6"/>
  <c r="Q6" i="6"/>
  <c r="Q5" i="6"/>
  <c r="Q9" i="6"/>
  <c r="Y5" i="6"/>
  <c r="Y9" i="6"/>
  <c r="Y6" i="6"/>
  <c r="Y8" i="6"/>
  <c r="G15" i="5"/>
  <c r="G9" i="5"/>
  <c r="G7" i="5"/>
  <c r="G14" i="5"/>
  <c r="G13" i="5"/>
  <c r="G11" i="5"/>
  <c r="G10" i="5"/>
  <c r="O15" i="5"/>
  <c r="O9" i="5"/>
  <c r="O7" i="5"/>
  <c r="O14" i="5"/>
  <c r="O13" i="5"/>
  <c r="O11" i="5"/>
  <c r="O5" i="5"/>
  <c r="W11" i="5"/>
  <c r="W13" i="5"/>
  <c r="W10" i="5"/>
  <c r="W9" i="5"/>
  <c r="W7" i="5"/>
  <c r="M5" i="5"/>
  <c r="U7" i="5"/>
  <c r="Z13" i="5"/>
  <c r="Z11" i="5"/>
  <c r="E10" i="5"/>
  <c r="J14" i="5"/>
  <c r="J10" i="5"/>
  <c r="J15" i="5"/>
  <c r="J13" i="5"/>
  <c r="J11" i="5"/>
  <c r="J5" i="5"/>
  <c r="J9" i="5"/>
  <c r="R13" i="5"/>
  <c r="R15" i="5"/>
  <c r="R5" i="5"/>
  <c r="R7" i="5"/>
  <c r="R14" i="5"/>
  <c r="R10" i="5"/>
  <c r="R11" i="5"/>
  <c r="Z15" i="5"/>
  <c r="Z9" i="5"/>
  <c r="Z7" i="5"/>
  <c r="Z14" i="5"/>
  <c r="M14" i="5"/>
  <c r="C14" i="5"/>
  <c r="C13" i="5"/>
  <c r="C7" i="5"/>
  <c r="C9" i="5"/>
  <c r="C15" i="5"/>
  <c r="C11" i="5"/>
  <c r="K14" i="5"/>
  <c r="K13" i="5"/>
  <c r="K11" i="5"/>
  <c r="K5" i="5"/>
  <c r="K10" i="5"/>
  <c r="K9" i="5"/>
  <c r="K7" i="5"/>
  <c r="S10" i="5"/>
  <c r="S15" i="5"/>
  <c r="S14" i="5"/>
  <c r="S13" i="5"/>
  <c r="S11" i="5"/>
  <c r="S9" i="5"/>
  <c r="C5" i="5"/>
  <c r="S5" i="5"/>
  <c r="J7" i="5"/>
  <c r="S6" i="6"/>
  <c r="S9" i="6"/>
  <c r="C5" i="6"/>
  <c r="T6" i="6"/>
  <c r="K8" i="6"/>
  <c r="D9" i="6"/>
  <c r="D8" i="6"/>
  <c r="D6" i="6"/>
  <c r="L9" i="6"/>
  <c r="L5" i="6"/>
  <c r="D5" i="6"/>
  <c r="L8" i="6"/>
  <c r="N8" i="6"/>
  <c r="T9" i="6"/>
  <c r="G36" i="7"/>
  <c r="G33" i="7"/>
  <c r="G21" i="7"/>
  <c r="G5" i="7"/>
  <c r="G38" i="7"/>
  <c r="G35" i="7"/>
  <c r="G18" i="7"/>
  <c r="G23" i="7"/>
  <c r="G29" i="7"/>
  <c r="G6" i="7"/>
  <c r="G30" i="7"/>
  <c r="G32" i="7"/>
  <c r="G8" i="7"/>
  <c r="G14" i="7"/>
  <c r="G37" i="7"/>
  <c r="G22" i="7"/>
  <c r="G20" i="7"/>
  <c r="G17" i="7"/>
  <c r="G15" i="7"/>
  <c r="G7" i="7"/>
  <c r="O29" i="7"/>
  <c r="O33" i="7"/>
  <c r="O17" i="7"/>
  <c r="O30" i="7"/>
  <c r="O14" i="7"/>
  <c r="O27" i="7"/>
  <c r="O18" i="7"/>
  <c r="O15" i="7"/>
  <c r="O12" i="7"/>
  <c r="O7" i="7"/>
  <c r="O32" i="7"/>
  <c r="O22" i="7"/>
  <c r="O21" i="7"/>
  <c r="O20" i="7"/>
  <c r="O23" i="7"/>
  <c r="O26" i="7"/>
  <c r="O5" i="7"/>
  <c r="O6" i="7"/>
  <c r="O11" i="7"/>
  <c r="O8" i="7"/>
  <c r="W29" i="7"/>
  <c r="W23" i="7"/>
  <c r="W12" i="7"/>
  <c r="W11" i="7"/>
  <c r="W7" i="7"/>
  <c r="W21" i="7"/>
  <c r="W33" i="7"/>
  <c r="W30" i="7"/>
  <c r="W18" i="7"/>
  <c r="W17" i="7"/>
  <c r="W15" i="7"/>
  <c r="W27" i="7"/>
  <c r="W22" i="7"/>
  <c r="W20" i="7"/>
  <c r="W6" i="7"/>
  <c r="W32" i="7"/>
  <c r="W8" i="7"/>
  <c r="W5" i="7"/>
  <c r="W14" i="7"/>
  <c r="W26" i="7"/>
  <c r="F6" i="6"/>
  <c r="F8" i="6"/>
  <c r="F5" i="6"/>
  <c r="V9" i="6"/>
  <c r="V8" i="6"/>
  <c r="V6" i="6"/>
  <c r="V5" i="6"/>
  <c r="K36" i="4"/>
  <c r="K32" i="4"/>
  <c r="C5" i="4"/>
  <c r="S8" i="4"/>
  <c r="S13" i="4"/>
  <c r="C16" i="4"/>
  <c r="K21" i="4"/>
  <c r="S24" i="4"/>
  <c r="K27" i="4"/>
  <c r="L6" i="6"/>
  <c r="C8" i="6"/>
  <c r="S8" i="6"/>
  <c r="I40" i="7"/>
  <c r="I38" i="7"/>
  <c r="I36" i="7"/>
  <c r="I30" i="7"/>
  <c r="I35" i="7"/>
  <c r="I18" i="7"/>
  <c r="I32" i="7"/>
  <c r="I26" i="7"/>
  <c r="I15" i="7"/>
  <c r="I33" i="7"/>
  <c r="I41" i="7"/>
  <c r="I27" i="7"/>
  <c r="I37" i="7"/>
  <c r="I20" i="7"/>
  <c r="I17" i="7"/>
  <c r="I14" i="7"/>
  <c r="I7" i="7"/>
  <c r="I23" i="7"/>
  <c r="I22" i="7"/>
  <c r="I21" i="7"/>
  <c r="I5" i="7"/>
  <c r="I29" i="7"/>
  <c r="I12" i="7"/>
  <c r="I11" i="7"/>
  <c r="I8" i="7"/>
  <c r="Q30" i="7"/>
  <c r="Q14" i="7"/>
  <c r="Q8" i="7"/>
  <c r="Q27" i="7"/>
  <c r="Q22" i="7"/>
  <c r="Q32" i="7"/>
  <c r="Q23" i="7"/>
  <c r="Q21" i="7"/>
  <c r="Q6" i="7"/>
  <c r="Q29" i="7"/>
  <c r="Q26" i="7"/>
  <c r="Q33" i="7"/>
  <c r="Q11" i="7"/>
  <c r="Q7" i="7"/>
  <c r="Q20" i="7"/>
  <c r="Q17" i="7"/>
  <c r="Q15" i="7"/>
  <c r="Q18" i="7"/>
  <c r="Q12" i="7"/>
  <c r="Y33" i="7"/>
  <c r="Y21" i="7"/>
  <c r="Y5" i="7"/>
  <c r="Y18" i="7"/>
  <c r="Y30" i="7"/>
  <c r="Y7" i="7"/>
  <c r="Y15" i="7"/>
  <c r="Y14" i="7"/>
  <c r="Y12" i="7"/>
  <c r="Y27" i="7"/>
  <c r="Y22" i="7"/>
  <c r="Y20" i="7"/>
  <c r="Y17" i="7"/>
  <c r="Y32" i="7"/>
  <c r="Y23" i="7"/>
  <c r="Y26" i="7"/>
  <c r="Y29" i="7"/>
  <c r="Y6" i="7"/>
  <c r="Y11" i="7"/>
  <c r="Y8" i="7"/>
  <c r="C21" i="4"/>
  <c r="K24" i="4"/>
  <c r="C27" i="4"/>
  <c r="C32" i="4"/>
  <c r="I15" i="5"/>
  <c r="I14" i="5"/>
  <c r="I13" i="5"/>
  <c r="I11" i="5"/>
  <c r="I5" i="5"/>
  <c r="Q15" i="5"/>
  <c r="Q14" i="5"/>
  <c r="Q13" i="5"/>
  <c r="Q11" i="5"/>
  <c r="Y14" i="5"/>
  <c r="Y13" i="5"/>
  <c r="Y11" i="5"/>
  <c r="Y10" i="5"/>
  <c r="Y15" i="5"/>
  <c r="Y9" i="5"/>
  <c r="P8" i="6"/>
  <c r="P9" i="6"/>
  <c r="X6" i="6"/>
  <c r="X9" i="6"/>
  <c r="N6" i="6"/>
  <c r="T8" i="6"/>
  <c r="J41" i="7"/>
  <c r="J35" i="7"/>
  <c r="J38" i="7"/>
  <c r="J27" i="7"/>
  <c r="J22" i="7"/>
  <c r="J6" i="7"/>
  <c r="J40" i="7"/>
  <c r="J37" i="7"/>
  <c r="J20" i="7"/>
  <c r="J26" i="7"/>
  <c r="J5" i="7"/>
  <c r="J30" i="7"/>
  <c r="J11" i="7"/>
  <c r="J8" i="7"/>
  <c r="J36" i="7"/>
  <c r="J32" i="7"/>
  <c r="J17" i="7"/>
  <c r="J15" i="7"/>
  <c r="J14" i="7"/>
  <c r="J23" i="7"/>
  <c r="J21" i="7"/>
  <c r="J18" i="7"/>
  <c r="J29" i="7"/>
  <c r="J12" i="7"/>
  <c r="J33" i="7"/>
  <c r="R30" i="7"/>
  <c r="R18" i="7"/>
  <c r="R32" i="7"/>
  <c r="R26" i="7"/>
  <c r="R15" i="7"/>
  <c r="R23" i="7"/>
  <c r="R22" i="7"/>
  <c r="R29" i="7"/>
  <c r="R33" i="7"/>
  <c r="R11" i="7"/>
  <c r="R7" i="7"/>
  <c r="R20" i="7"/>
  <c r="R17" i="7"/>
  <c r="R8" i="7"/>
  <c r="R27" i="7"/>
  <c r="R5" i="7"/>
  <c r="R12" i="7"/>
  <c r="R6" i="7"/>
  <c r="R21" i="7"/>
  <c r="Z41" i="7"/>
  <c r="Z30" i="7"/>
  <c r="Z14" i="7"/>
  <c r="Z8" i="7"/>
  <c r="Z27" i="7"/>
  <c r="Z22" i="7"/>
  <c r="Z15" i="7"/>
  <c r="Z12" i="7"/>
  <c r="Z20" i="7"/>
  <c r="Z18" i="7"/>
  <c r="Z17" i="7"/>
  <c r="Z32" i="7"/>
  <c r="Z23" i="7"/>
  <c r="Z21" i="7"/>
  <c r="Z26" i="7"/>
  <c r="Z5" i="7"/>
  <c r="Z29" i="7"/>
  <c r="Z33" i="7"/>
  <c r="Z6" i="7"/>
  <c r="Z11" i="7"/>
  <c r="Z7" i="7"/>
  <c r="S11" i="7"/>
  <c r="G32" i="4"/>
  <c r="G31" i="4"/>
  <c r="O32" i="4"/>
  <c r="O31" i="4"/>
  <c r="W32" i="4"/>
  <c r="W31" i="4"/>
  <c r="W30" i="4"/>
  <c r="G5" i="4"/>
  <c r="O5" i="4"/>
  <c r="W5" i="4"/>
  <c r="G6" i="4"/>
  <c r="O6" i="4"/>
  <c r="W6" i="4"/>
  <c r="G8" i="4"/>
  <c r="O8" i="4"/>
  <c r="W8" i="4"/>
  <c r="G9" i="4"/>
  <c r="O9" i="4"/>
  <c r="W9" i="4"/>
  <c r="G10" i="4"/>
  <c r="O10" i="4"/>
  <c r="W10" i="4"/>
  <c r="G11" i="4"/>
  <c r="G20" i="4"/>
  <c r="O20" i="4"/>
  <c r="W20" i="4"/>
  <c r="G21" i="4"/>
  <c r="O21" i="4"/>
  <c r="W21" i="4"/>
  <c r="G23" i="4"/>
  <c r="O23" i="4"/>
  <c r="O37" i="4"/>
  <c r="P9" i="5"/>
  <c r="C32" i="7"/>
  <c r="C37" i="7"/>
  <c r="C20" i="7"/>
  <c r="C33" i="7"/>
  <c r="C17" i="7"/>
  <c r="C21" i="7"/>
  <c r="C18" i="7"/>
  <c r="C15" i="7"/>
  <c r="C7" i="7"/>
  <c r="C29" i="7"/>
  <c r="C23" i="7"/>
  <c r="C22" i="7"/>
  <c r="C38" i="7"/>
  <c r="C30" i="7"/>
  <c r="C35" i="7"/>
  <c r="K38" i="7"/>
  <c r="K27" i="7"/>
  <c r="K40" i="7"/>
  <c r="K32" i="7"/>
  <c r="K26" i="7"/>
  <c r="K15" i="7"/>
  <c r="K37" i="7"/>
  <c r="K41" i="7"/>
  <c r="K29" i="7"/>
  <c r="K23" i="7"/>
  <c r="K12" i="7"/>
  <c r="K30" i="7"/>
  <c r="K11" i="7"/>
  <c r="K8" i="7"/>
  <c r="K35" i="7"/>
  <c r="K36" i="7"/>
  <c r="K17" i="7"/>
  <c r="K21" i="7"/>
  <c r="K20" i="7"/>
  <c r="K18" i="7"/>
  <c r="K22" i="7"/>
  <c r="K33" i="7"/>
  <c r="S27" i="7"/>
  <c r="S22" i="7"/>
  <c r="S6" i="7"/>
  <c r="S20" i="7"/>
  <c r="S29" i="7"/>
  <c r="S33" i="7"/>
  <c r="S26" i="7"/>
  <c r="S30" i="7"/>
  <c r="S12" i="7"/>
  <c r="S7" i="7"/>
  <c r="C5" i="7"/>
  <c r="K7" i="7"/>
  <c r="S14" i="7"/>
  <c r="C6" i="8"/>
  <c r="C8" i="8"/>
  <c r="C9" i="8"/>
  <c r="C12" i="8"/>
  <c r="C14" i="7"/>
  <c r="S18" i="7"/>
  <c r="S32" i="7"/>
  <c r="S8" i="7"/>
  <c r="S15" i="7"/>
  <c r="S17" i="7"/>
  <c r="K14" i="7"/>
  <c r="T20" i="7"/>
  <c r="P30" i="7"/>
  <c r="H37" i="7"/>
  <c r="D8" i="8"/>
  <c r="D9" i="8"/>
  <c r="D11" i="8"/>
  <c r="D12" i="8"/>
  <c r="D5" i="8"/>
  <c r="D37" i="7"/>
  <c r="D29" i="7"/>
  <c r="D23" i="7"/>
  <c r="D7" i="7"/>
  <c r="D36" i="7"/>
  <c r="D21" i="7"/>
  <c r="L40" i="7"/>
  <c r="L32" i="7"/>
  <c r="L37" i="7"/>
  <c r="L20" i="7"/>
  <c r="L41" i="7"/>
  <c r="L33" i="7"/>
  <c r="L17" i="7"/>
  <c r="T27" i="7"/>
  <c r="T32" i="7"/>
  <c r="T26" i="7"/>
  <c r="T15" i="7"/>
  <c r="T29" i="7"/>
  <c r="T23" i="7"/>
  <c r="T12" i="7"/>
  <c r="D5" i="7"/>
  <c r="L6" i="7"/>
  <c r="P8" i="7"/>
  <c r="H9" i="7"/>
  <c r="H12" i="7"/>
  <c r="T14" i="7"/>
  <c r="H15" i="7"/>
  <c r="T17" i="7"/>
  <c r="X23" i="7"/>
  <c r="L29" i="7"/>
  <c r="H32" i="7"/>
  <c r="X32" i="7"/>
  <c r="D35" i="7"/>
  <c r="H36" i="7"/>
  <c r="E9" i="8"/>
  <c r="E11" i="8"/>
  <c r="E12" i="8"/>
  <c r="E5" i="8"/>
  <c r="X20" i="7"/>
  <c r="X21" i="7"/>
  <c r="L22" i="7"/>
  <c r="X22" i="7"/>
  <c r="L23" i="7"/>
  <c r="P29" i="7"/>
  <c r="D30" i="7"/>
  <c r="T30" i="7"/>
  <c r="L18" i="7"/>
  <c r="L21" i="7"/>
  <c r="L27" i="7"/>
  <c r="H35" i="7"/>
  <c r="D38" i="7"/>
  <c r="E6" i="8"/>
  <c r="T8" i="7"/>
  <c r="T11" i="7"/>
  <c r="L12" i="7"/>
  <c r="L14" i="7"/>
  <c r="H24" i="7"/>
  <c r="D33" i="7"/>
  <c r="L36" i="7"/>
  <c r="D5" i="5"/>
  <c r="L5" i="5"/>
  <c r="T5" i="5"/>
  <c r="D7" i="5"/>
  <c r="L7" i="5"/>
  <c r="T7" i="5"/>
  <c r="D9" i="5"/>
  <c r="L9" i="5"/>
  <c r="T9" i="5"/>
  <c r="L10" i="5"/>
  <c r="H26" i="7"/>
  <c r="H11" i="7"/>
  <c r="H30" i="7"/>
  <c r="H14" i="7"/>
  <c r="H8" i="7"/>
  <c r="H38" i="7"/>
  <c r="H27" i="7"/>
  <c r="H22" i="7"/>
  <c r="P26" i="7"/>
  <c r="P11" i="7"/>
  <c r="P33" i="7"/>
  <c r="P21" i="7"/>
  <c r="P5" i="7"/>
  <c r="P18" i="7"/>
  <c r="X26" i="7"/>
  <c r="X11" i="7"/>
  <c r="X29" i="7"/>
  <c r="X33" i="7"/>
  <c r="X17" i="7"/>
  <c r="X30" i="7"/>
  <c r="X14" i="7"/>
  <c r="T5" i="7"/>
  <c r="P17" i="7"/>
  <c r="D20" i="7"/>
  <c r="P20" i="7"/>
  <c r="D22" i="7"/>
  <c r="P22" i="7"/>
  <c r="H25" i="7"/>
  <c r="P32" i="7"/>
  <c r="H33" i="7"/>
  <c r="T33" i="7"/>
  <c r="L35" i="7"/>
  <c r="E8" i="8"/>
  <c r="P27" i="7"/>
  <c r="H29" i="7"/>
  <c r="L30" i="7"/>
  <c r="D32" i="7"/>
  <c r="L38" i="7"/>
  <c r="G5" i="8"/>
  <c r="H6" i="8"/>
  <c r="I8" i="8"/>
  <c r="F14" i="7"/>
  <c r="V17" i="7"/>
  <c r="N21" i="7"/>
  <c r="F30" i="7"/>
  <c r="V33" i="7"/>
  <c r="H5" i="8"/>
  <c r="N7" i="7"/>
  <c r="N11" i="7"/>
  <c r="N12" i="7"/>
  <c r="F17" i="7"/>
  <c r="V20" i="7"/>
  <c r="N23" i="7"/>
  <c r="F33" i="7"/>
  <c r="F36" i="7"/>
  <c r="G12" i="8"/>
  <c r="E5" i="6"/>
  <c r="M5" i="6"/>
  <c r="U5" i="6"/>
  <c r="E6" i="6"/>
  <c r="M6" i="6"/>
  <c r="U6" i="6"/>
  <c r="E8" i="6"/>
  <c r="M8" i="6"/>
  <c r="U8" i="6"/>
  <c r="E5" i="7"/>
  <c r="M5" i="7"/>
  <c r="U5" i="7"/>
  <c r="E6" i="7"/>
  <c r="M6" i="7"/>
  <c r="U6" i="7"/>
  <c r="E7" i="7"/>
  <c r="M7" i="7"/>
  <c r="U7" i="7"/>
  <c r="E8" i="7"/>
  <c r="M8" i="7"/>
  <c r="U8" i="7"/>
  <c r="M12" i="7"/>
  <c r="U12" i="7"/>
  <c r="E14" i="7"/>
  <c r="M14" i="7"/>
  <c r="U14" i="7"/>
  <c r="E15" i="7"/>
  <c r="M15" i="7"/>
  <c r="U15" i="7"/>
  <c r="E17" i="7"/>
  <c r="M17" i="7"/>
  <c r="U17" i="7"/>
  <c r="E18" i="7"/>
  <c r="M18" i="7"/>
  <c r="U18" i="7"/>
  <c r="E20" i="7"/>
  <c r="M20" i="7"/>
  <c r="U20" i="7"/>
  <c r="E21" i="7"/>
  <c r="M21" i="7"/>
  <c r="U21" i="7"/>
  <c r="E22" i="7"/>
  <c r="M22" i="7"/>
  <c r="U22" i="7"/>
  <c r="E23" i="7"/>
  <c r="M23" i="7"/>
  <c r="U23" i="7"/>
  <c r="M27" i="7"/>
  <c r="U27" i="7"/>
  <c r="E29" i="7"/>
  <c r="M29" i="7"/>
  <c r="U29" i="7"/>
  <c r="E30" i="7"/>
  <c r="M30" i="7"/>
  <c r="U30" i="7"/>
  <c r="E32" i="7"/>
  <c r="M32" i="7"/>
  <c r="U32" i="7"/>
  <c r="E33" i="7"/>
  <c r="M33" i="7"/>
  <c r="E35" i="7"/>
  <c r="F5" i="8"/>
  <c r="F6" i="8"/>
  <c r="F8" i="8"/>
  <c r="F9" i="8"/>
  <c r="F11" i="8"/>
  <c r="E21" i="9" l="1"/>
  <c r="D21" i="9"/>
  <c r="G21" i="9"/>
  <c r="G10" i="9"/>
  <c r="D10" i="9"/>
  <c r="X21" i="9"/>
  <c r="H21" i="9"/>
  <c r="M10" i="9"/>
  <c r="F21" i="9"/>
  <c r="O33" i="9"/>
  <c r="T21" i="9"/>
  <c r="U21" i="9"/>
  <c r="T33" i="9"/>
  <c r="U33" i="9"/>
  <c r="W10" i="9"/>
  <c r="T10" i="9"/>
  <c r="Q10" i="9"/>
  <c r="I10" i="9"/>
  <c r="P10" i="9"/>
  <c r="J10" i="9"/>
  <c r="Y10" i="9"/>
  <c r="N10" i="9"/>
  <c r="E10" i="9"/>
  <c r="O10" i="9"/>
  <c r="Z10" i="9"/>
  <c r="F10" i="9"/>
  <c r="X10" i="9"/>
  <c r="R10" i="9"/>
  <c r="U10" i="9"/>
  <c r="H10" i="9"/>
  <c r="L10" i="9"/>
  <c r="S10" i="9"/>
  <c r="V10" i="9"/>
  <c r="K10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T3" authorId="0" shapeId="0" xr:uid="{00000000-0006-0000-0800-000001000000}">
      <text>
        <r>
          <rPr>
            <sz val="10"/>
            <rFont val="Arial"/>
            <family val="2"/>
          </rPr>
          <t>Header was '2025-02' (typo, duplicate of column H). Corrected to 2026-02 so the lookup key is right.</t>
        </r>
      </text>
    </comment>
  </commentList>
</comments>
</file>

<file path=xl/sharedStrings.xml><?xml version="1.0" encoding="utf-8"?>
<sst xmlns="http://schemas.openxmlformats.org/spreadsheetml/2006/main" count="71719" uniqueCount="4337">
  <si>
    <t>JOPACC Payment Systems Monthly Report — Consolidated Dataset</t>
  </si>
  <si>
    <t>Source: extracted data from JOPACC monthly Payment Systems Report PDFs (Sep 2024 – Aug 2026).</t>
  </si>
  <si>
    <t>Sheets in this workbook:</t>
  </si>
  <si>
    <t xml:space="preserve">  • CliQ - instant/person-to-person payments (users + transactions)</t>
  </si>
  <si>
    <t xml:space="preserve">  • JoMoPay - mobile wallet payments (users + transactions)</t>
  </si>
  <si>
    <t xml:space="preserve">  • eFAWATEERcom - bill payment platform (users + transactions by biller)</t>
  </si>
  <si>
    <t xml:space="preserve">  • ACH - Automated Clearing House (JOD + foreign-currency transactions)</t>
  </si>
  <si>
    <t xml:space="preserve">  • ECCU - Electronic Cheque Clearing Unit (cheques + returned cheques)</t>
  </si>
  <si>
    <t xml:space="preserve">  • Interoperability - cross-system / cross-institution money-transfer flows</t>
  </si>
  <si>
    <t xml:space="preserve">  • Instant Payments - bank-account vs mobile-wallet instant payment channel (partial history)</t>
  </si>
  <si>
    <t xml:space="preserve">  • Summary - monthly headline totals (users, transactions) side-by-side across systems</t>
  </si>
  <si>
    <t>Layout:</t>
  </si>
  <si>
    <t xml:space="preserve">  Each sheet lists one metric per row (grouped under shaded section headers) with months</t>
  </si>
  <si>
    <t xml:space="preserve">  running left-to-right in columns C onward. Counts and JOD values are raw numbers; rows</t>
  </si>
  <si>
    <t xml:space="preserve">  ending in (%) are true Excel percentages.</t>
  </si>
  <si>
    <t>Data-quality notes:</t>
  </si>
  <si>
    <t xml:space="preserve">  • The source data was extracted per-report from monthly PDFs; metric names and page</t>
  </si>
  <si>
    <t xml:space="preserve">    numbers drift slightly over time as report layouts changed. Rows here were reconciled by</t>
  </si>
  <si>
    <t xml:space="preserve">    matching each recurring chart/category across months rather than by exact metric text or</t>
  </si>
  <si>
    <t xml:space="preserve">    page number, then merging near-duplicate labels (e.g. "Male" / "Male Users").</t>
  </si>
  <si>
    <t xml:space="preserve">  • ACH has no per-category breakdown charts in the source reports, so its monthly figures</t>
  </si>
  <si>
    <t xml:space="preserve">    were taken from each report’s own trailing trend-chart point for that month.</t>
  </si>
  <si>
    <t xml:space="preserve">  • The Summary sheet’s monthly totals were cross-checked against the per-system category</t>
  </si>
  <si>
    <t xml:space="preserve">    breakdowns (e.g. CliQ Money Transfers + Purchases) where both exist, and matched.</t>
  </si>
  <si>
    <t xml:space="preserve">  • Instant Payments only appears in reports from 2025-01 onward, so its sheet covers a</t>
  </si>
  <si>
    <t xml:space="preserve">    shorter window than the others.</t>
  </si>
  <si>
    <t xml:space="preserve">  • This reconciliation was done programmatically; spot-check a few months against the</t>
  </si>
  <si>
    <t xml:space="preserve">    source PDFs before treating this as final.</t>
  </si>
  <si>
    <t>Formula notes (added):</t>
  </si>
  <si>
    <t xml:space="preserve">  • Every number on the CliQ, JoMoPay, eFAWATEERcom, ACH, ECCU, Interoperability, Instant Payments and Summary sheets is now a SUMIFS on the 'Raw Data' sheet (no hardcoded values).</t>
  </si>
  <si>
    <t xml:space="preserve">  • Row 2 of each sheet holds the lookup keys: B2 = Raw Data 'system' name, C2:Z2 = period key built from the month header in row 3.</t>
  </si>
  <si>
    <t xml:space="preserve">  • Category sheets read content rows with period_scope = native; ACH and Summary read trailing chart points from the report of the same month (report_period = period).</t>
  </si>
  <si>
    <t xml:space="preserve">  • Rows labelled (%) divide the raw percent-point value by 100 so they are true Excel percentages.</t>
  </si>
  <si>
    <t xml:space="preserve">  • Cells that were blank in the original stay blank (no formula), so a month with no source data is not shown as 0.</t>
  </si>
  <si>
    <t>Raw Data keys →  (system | period)</t>
  </si>
  <si>
    <t>cliq</t>
  </si>
  <si>
    <t>Category</t>
  </si>
  <si>
    <t>Metric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</si>
  <si>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</si>
  <si>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</si>
  <si>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</si>
  <si>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</si>
  <si>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</si>
  <si>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</si>
  <si>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</si>
  <si>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</si>
  <si>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</si>
  <si>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</si>
  <si>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</si>
  <si>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</si>
  <si>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</si>
  <si>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</si>
  <si>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</si>
  <si>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</si>
  <si>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</si>
  <si>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</si>
  <si>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</si>
  <si>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</si>
  <si>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</si>
  <si>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</si>
  <si>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</si>
  <si>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</si>
  <si>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USERS BY NATIONALITY (Number)</t>
  </si>
  <si>
    <t>Users</t>
  </si>
  <si>
    <t>Jordanian</t>
  </si>
  <si>
    <t>Non-Jordanian</t>
  </si>
  <si>
    <t>USERS BY GENDER (Number)</t>
  </si>
  <si>
    <t>Female Users</t>
  </si>
  <si>
    <t>Male Users</t>
  </si>
  <si>
    <t>USERS BY AGE BRACKET (Number)</t>
  </si>
  <si>
    <t>18-30</t>
  </si>
  <si>
    <t>31-40</t>
  </si>
  <si>
    <t>41-50</t>
  </si>
  <si>
    <t>51-60</t>
  </si>
  <si>
    <t>61-70</t>
  </si>
  <si>
    <t>71-80</t>
  </si>
  <si>
    <t>81-90</t>
  </si>
  <si>
    <t>&lt;18</t>
  </si>
  <si>
    <t>USERS BY USER TYPE (Number)</t>
  </si>
  <si>
    <t>Individual</t>
  </si>
  <si>
    <t>Legal (entities)</t>
  </si>
  <si>
    <t>TRANSACTIONS BY TRANSACTION TYPE (Number)</t>
  </si>
  <si>
    <t>Transactions</t>
  </si>
  <si>
    <t>Money Transfers</t>
  </si>
  <si>
    <t>Purchases</t>
  </si>
  <si>
    <t>TRANSACTIONS BY TYPE — DETAIL (%)</t>
  </si>
  <si>
    <t>Money Transfers: Other</t>
  </si>
  <si>
    <t>Money Transfers: Transfer to Family/Friends</t>
  </si>
  <si>
    <t>Money Transfers: Transfer to Own Account</t>
  </si>
  <si>
    <t>Purchases: Non-QR Purchases</t>
  </si>
  <si>
    <t>Purchases: QR Purchases</t>
  </si>
  <si>
    <t>TRANSACTIONS BY TRANSACTION TYPE (Value, JOD)</t>
  </si>
  <si>
    <t>Purchases: Non-QR</t>
  </si>
  <si>
    <t>TRANSACTIONS BY DIRECTION (ON US / OFF US) (Number)</t>
  </si>
  <si>
    <t>Off Us</t>
  </si>
  <si>
    <t>On Us</t>
  </si>
  <si>
    <t>TRANSACTIONS BY DIRECTION (ON US / OFF US) (Value, JOD)</t>
  </si>
  <si>
    <t>jomopay</t>
  </si>
  <si>
    <t>WALLETS BY WALLET TYPE (Number)</t>
  </si>
  <si>
    <t>Wallets</t>
  </si>
  <si>
    <t>Agent Wallet</t>
  </si>
  <si>
    <t>Business Wallet</t>
  </si>
  <si>
    <t>Government Wallet</t>
  </si>
  <si>
    <t>Individual Wallet</t>
  </si>
  <si>
    <t>Merchant Wallet</t>
  </si>
  <si>
    <t>Cash In</t>
  </si>
  <si>
    <t>Cash Out</t>
  </si>
  <si>
    <t>Cash In: ATM/Kiosk</t>
  </si>
  <si>
    <t>Cash In: Agent/Teller</t>
  </si>
  <si>
    <t>Cash Out: ATM/Kiosk</t>
  </si>
  <si>
    <t>Cash Out: Agent/Teller</t>
  </si>
  <si>
    <t>Money Transfers: Aid/Charity/Grant</t>
  </si>
  <si>
    <t>Money Transfers: Cross Border Remittances</t>
  </si>
  <si>
    <t>Money Transfers: Loan/Loan Installment</t>
  </si>
  <si>
    <t>Money Transfers: Salary/Bonus/Dividends</t>
  </si>
  <si>
    <t>Purchases: Purchases</t>
  </si>
  <si>
    <t>Money Transfers: Loan/Loan Disbursement</t>
  </si>
  <si>
    <t>Money Transfers: Loan Disbursement</t>
  </si>
  <si>
    <t>Money Transfers: Loan Installment</t>
  </si>
  <si>
    <t>Money Transfers: Goods/Services</t>
  </si>
  <si>
    <t>efawateercom</t>
  </si>
  <si>
    <t>USERS BY USER STATUS (Number)</t>
  </si>
  <si>
    <t>Existing Users</t>
  </si>
  <si>
    <t>New Users</t>
  </si>
  <si>
    <t>TRANSACTIONS BY BILLER CATEGORY (Number)</t>
  </si>
  <si>
    <t>Associations and Organizations</t>
  </si>
  <si>
    <t>Education</t>
  </si>
  <si>
    <t>Financial Services</t>
  </si>
  <si>
    <t>Gas And Energy</t>
  </si>
  <si>
    <t>Government Service</t>
  </si>
  <si>
    <t>Telecommunication</t>
  </si>
  <si>
    <t>Trading and Services</t>
  </si>
  <si>
    <t>Travel &amp; Transportation</t>
  </si>
  <si>
    <t>Wallets and PSPs</t>
  </si>
  <si>
    <t>Water and Electricity</t>
  </si>
  <si>
    <t>Charities</t>
  </si>
  <si>
    <t>TRANSACTIONS BY PAYMENT METHOD (Number)</t>
  </si>
  <si>
    <t>Cash Payments</t>
  </si>
  <si>
    <t>Digital Payments</t>
  </si>
  <si>
    <t>TRANSACTIONS BY BILLER CATEGORY (Value, JOD)</t>
  </si>
  <si>
    <t>Banks</t>
  </si>
  <si>
    <t>TRANSACTIONS BY PAYMENT METHOD (Value, JOD)</t>
  </si>
  <si>
    <t>ach</t>
  </si>
  <si>
    <t>JOD TRANSACTIONS - OVERVIEW (Number)</t>
  </si>
  <si>
    <t>Total Number of JOD Transactions</t>
  </si>
  <si>
    <t>JOD TRANSACTIONS - OVERVIEW (Value, JOD)</t>
  </si>
  <si>
    <t>Total Value of JOD Transactions (JOD)</t>
  </si>
  <si>
    <t>BY FOREIGN CURRENCY (Number)</t>
  </si>
  <si>
    <t>Currency</t>
  </si>
  <si>
    <t>USD</t>
  </si>
  <si>
    <t>EUR</t>
  </si>
  <si>
    <t>GBP</t>
  </si>
  <si>
    <t>BY FOREIGN CURRENCY (Value, in millions of currency unit)</t>
  </si>
  <si>
    <t>USD (millions)</t>
  </si>
  <si>
    <t>EUR (millions)</t>
  </si>
  <si>
    <t>GBP (millions)</t>
  </si>
  <si>
    <t>eccu</t>
  </si>
  <si>
    <t>CHEQUES BY RETURN REASON (Number)</t>
  </si>
  <si>
    <t>Cheques</t>
  </si>
  <si>
    <t>Financial Reasons</t>
  </si>
  <si>
    <t>Technical Reasons</t>
  </si>
  <si>
    <t>CHEQUES BY RETURN REASON (Value, JOD)</t>
  </si>
  <si>
    <t>interoperability</t>
  </si>
  <si>
    <t>TRANSACTIONS BY DIRECTION (BANK/PSP/ACQUIRER) (Number)</t>
  </si>
  <si>
    <t>Bank to Bank</t>
  </si>
  <si>
    <t>Bank to PSP</t>
  </si>
  <si>
    <t>PSP to Bank</t>
  </si>
  <si>
    <t>PSP to PSP</t>
  </si>
  <si>
    <t>Acquirer to Bank</t>
  </si>
  <si>
    <t>Acquirer to PSP</t>
  </si>
  <si>
    <t>Bank to Acquirer</t>
  </si>
  <si>
    <t>PSP to Acquirer</t>
  </si>
  <si>
    <t>TRANSACTIONS BY DIRECTION (BANK &lt;-&gt; mPSP) (Number)</t>
  </si>
  <si>
    <t>Bank to mPSP</t>
  </si>
  <si>
    <t>mPSP to Bank</t>
  </si>
  <si>
    <t>TRANSACTIONS BY DIRECTION (BANK/PSP/ACQUIRER) (Value, JOD)</t>
  </si>
  <si>
    <t>TRANSACTIONS BY DIRECTION (BANK &lt;-&gt; mPSP) (Value, JOD)</t>
  </si>
  <si>
    <t>AVERAGE TRANSACTIONS BY DIRECTION (BANK/PSP/ACQUIRER) (Value, JOD)</t>
  </si>
  <si>
    <t>mPSP to mPSP</t>
  </si>
  <si>
    <t>mPSP to Acquirer</t>
  </si>
  <si>
    <t>Instant Payments - Monthly Data (Jan 2025 - Aug 2026)</t>
  </si>
  <si>
    <t>instant?payments</t>
  </si>
  <si>
    <t>BY CHANNEL — TRANSACTIONS (Number)</t>
  </si>
  <si>
    <t>Channel</t>
  </si>
  <si>
    <t>Through Bank Accounts</t>
  </si>
  <si>
    <t>Through Mobile Wallets</t>
  </si>
  <si>
    <t>BY CHANNEL — TRANSACTIONS (Value, JOD)</t>
  </si>
  <si>
    <t>BY CHANNEL — AVERAGE TRANSACTION VALUE (JOD)</t>
  </si>
  <si>
    <t>Executive Summary - Monthly Headline Totals by System (Sep 2024 - Aug 2026)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</si>
  <si>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</si>
  <si>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</si>
  <si>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</si>
  <si>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</si>
  <si>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</si>
  <si>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</si>
  <si>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</si>
  <si>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</si>
  <si>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</si>
  <si>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</si>
  <si>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</si>
  <si>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</si>
  <si>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</si>
  <si>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</si>
  <si>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</si>
  <si>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</si>
  <si>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</si>
  <si>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</si>
  <si>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</si>
  <si>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</si>
  <si>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</si>
  <si>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</si>
  <si>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</si>
  <si>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</si>
  <si>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BY SYSTEM — REGISTERED USERS (Number)</t>
  </si>
  <si>
    <t>System</t>
  </si>
  <si>
    <t>CliQ</t>
  </si>
  <si>
    <t>JoMoPay</t>
  </si>
  <si>
    <t>eFAWATEERcom</t>
  </si>
  <si>
    <t>BY SYSTEM — TRANSACTIONS (Number)</t>
  </si>
  <si>
    <t>ACH</t>
  </si>
  <si>
    <t>BY SYSTEM — TRANSACTIONS (Value, JOD)</t>
  </si>
  <si>
    <t>report_period</t>
  </si>
  <si>
    <t>system</t>
  </si>
  <si>
    <t>page</t>
  </si>
  <si>
    <t>content_type</t>
  </si>
  <si>
    <t>extracted_from</t>
  </si>
  <si>
    <t>metric</t>
  </si>
  <si>
    <t>system_title</t>
  </si>
  <si>
    <t>dimension_L1</t>
  </si>
  <si>
    <t>dimension_L2</t>
  </si>
  <si>
    <t>period</t>
  </si>
  <si>
    <t>period_scope</t>
  </si>
  <si>
    <t>value</t>
  </si>
  <si>
    <t>unit</t>
  </si>
  <si>
    <t>raw_text</t>
  </si>
  <si>
    <t>labeled_chart</t>
  </si>
  <si>
    <t>reading_rank</t>
  </si>
  <si>
    <t>note</t>
  </si>
  <si>
    <t>kpi</t>
  </si>
  <si>
    <t>stat box</t>
  </si>
  <si>
    <t>Number of Transactions</t>
  </si>
  <si>
    <t>ytd</t>
  </si>
  <si>
    <t>count</t>
  </si>
  <si>
    <t>8.33M</t>
  </si>
  <si>
    <t>Value of Transactions</t>
  </si>
  <si>
    <t>JOD</t>
  </si>
  <si>
    <t>6.71B JOD</t>
  </si>
  <si>
    <t>mom_change</t>
  </si>
  <si>
    <t>trend chart</t>
  </si>
  <si>
    <t>decrease</t>
  </si>
  <si>
    <t>native</t>
  </si>
  <si>
    <t>percent</t>
  </si>
  <si>
    <t>4.3%</t>
  </si>
  <si>
    <t>chart_point</t>
  </si>
  <si>
    <t>2024-07</t>
  </si>
  <si>
    <t>trailing_chart_point</t>
  </si>
  <si>
    <t>1003 K</t>
  </si>
  <si>
    <t>restated</t>
  </si>
  <si>
    <t>2024-08</t>
  </si>
  <si>
    <t>918 K</t>
  </si>
  <si>
    <t>878 K</t>
  </si>
  <si>
    <t>newest</t>
  </si>
  <si>
    <t>318</t>
  </si>
  <si>
    <t>279</t>
  </si>
  <si>
    <t>304</t>
  </si>
  <si>
    <t>34</t>
  </si>
  <si>
    <t>42</t>
  </si>
  <si>
    <t>40</t>
  </si>
  <si>
    <t>6,208</t>
  </si>
  <si>
    <t>5,318</t>
  </si>
  <si>
    <t>5,530</t>
  </si>
  <si>
    <t>1.4%</t>
  </si>
  <si>
    <t>842 M</t>
  </si>
  <si>
    <t>764 M</t>
  </si>
  <si>
    <t>753 M</t>
  </si>
  <si>
    <t>€3.3 M</t>
  </si>
  <si>
    <t>€3 M</t>
  </si>
  <si>
    <t>£0.27 M</t>
  </si>
  <si>
    <t>£0.31 M</t>
  </si>
  <si>
    <t>£0.25 M</t>
  </si>
  <si>
    <t>$41.3 M</t>
  </si>
  <si>
    <t>$41 M</t>
  </si>
  <si>
    <t>$37 M</t>
  </si>
  <si>
    <t>56.11M</t>
  </si>
  <si>
    <t>8.37B JOD</t>
  </si>
  <si>
    <t>Number of Users</t>
  </si>
  <si>
    <t>increase</t>
  </si>
  <si>
    <t>2.5%</t>
  </si>
  <si>
    <t>1.47 M</t>
  </si>
  <si>
    <t>1.52 M</t>
  </si>
  <si>
    <t>1.56 M</t>
  </si>
  <si>
    <t>category</t>
  </si>
  <si>
    <t>category chart</t>
  </si>
  <si>
    <t>1.5M</t>
  </si>
  <si>
    <t>55K</t>
  </si>
  <si>
    <t>541.3K</t>
  </si>
  <si>
    <t>973.4K</t>
  </si>
  <si>
    <t>591 K</t>
  </si>
  <si>
    <t>409 K</t>
  </si>
  <si>
    <t>267 K</t>
  </si>
  <si>
    <t>163 K</t>
  </si>
  <si>
    <t>71 K</t>
  </si>
  <si>
    <t>18 K</t>
  </si>
  <si>
    <t>4 K</t>
  </si>
  <si>
    <t>6 K</t>
  </si>
  <si>
    <t>1.53M</t>
  </si>
  <si>
    <t>26.5K</t>
  </si>
  <si>
    <t>0.2%</t>
  </si>
  <si>
    <t>7.42 M</t>
  </si>
  <si>
    <t>7.9 M</t>
  </si>
  <si>
    <t>7.89 M</t>
  </si>
  <si>
    <t>6.8M</t>
  </si>
  <si>
    <t>1.09M</t>
  </si>
  <si>
    <t>Other</t>
  </si>
  <si>
    <t>3.4%</t>
  </si>
  <si>
    <t>Transfer to Family/Friends</t>
  </si>
  <si>
    <t>85%</t>
  </si>
  <si>
    <t>Transfer to Own Account</t>
  </si>
  <si>
    <t>11.6%</t>
  </si>
  <si>
    <t>Non-QR Purchases</t>
  </si>
  <si>
    <t>99.5%</t>
  </si>
  <si>
    <t>QR Purchases</t>
  </si>
  <si>
    <t>0.5%</t>
  </si>
  <si>
    <t>1%</t>
  </si>
  <si>
    <t>1.12B</t>
  </si>
  <si>
    <t>1.16B</t>
  </si>
  <si>
    <t>1.14B</t>
  </si>
  <si>
    <t>936.1M JOD</t>
  </si>
  <si>
    <t>208.2M JOD</t>
  </si>
  <si>
    <t>5.3%</t>
  </si>
  <si>
    <t>73.8%</t>
  </si>
  <si>
    <t>20.9%</t>
  </si>
  <si>
    <t>99.92%</t>
  </si>
  <si>
    <t>0.08%</t>
  </si>
  <si>
    <t>Average Value of Transactions</t>
  </si>
  <si>
    <t>151</t>
  </si>
  <si>
    <t>146</t>
  </si>
  <si>
    <t>145</t>
  </si>
  <si>
    <t>3.71M</t>
  </si>
  <si>
    <t>1.28M</t>
  </si>
  <si>
    <t>640.4M JOD</t>
  </si>
  <si>
    <t>162.9M JOD</t>
  </si>
  <si>
    <t>4.81M</t>
  </si>
  <si>
    <t>29.69B JOD</t>
  </si>
  <si>
    <t>Number of Inward Cheques</t>
  </si>
  <si>
    <t>31.6%</t>
  </si>
  <si>
    <t>569 K</t>
  </si>
  <si>
    <t>474 K</t>
  </si>
  <si>
    <t>624 K</t>
  </si>
  <si>
    <t>Number of Returned Cheques</t>
  </si>
  <si>
    <t>52.1%</t>
  </si>
  <si>
    <t>19.2 K</t>
  </si>
  <si>
    <t>13.8 K</t>
  </si>
  <si>
    <t>20.9 K</t>
  </si>
  <si>
    <t>14,443</t>
  </si>
  <si>
    <t>6,505</t>
  </si>
  <si>
    <t>Value of Inward Cheques</t>
  </si>
  <si>
    <t>8.7%</t>
  </si>
  <si>
    <t>3.65B</t>
  </si>
  <si>
    <t>3.24B</t>
  </si>
  <si>
    <t>3.53B</t>
  </si>
  <si>
    <t>Value of Returned Cheques</t>
  </si>
  <si>
    <t>11.8%</t>
  </si>
  <si>
    <t>142 M</t>
  </si>
  <si>
    <t>117 M</t>
  </si>
  <si>
    <t>130 M</t>
  </si>
  <si>
    <t>95.4M JOD</t>
  </si>
  <si>
    <t>34.9M JOD</t>
  </si>
  <si>
    <t>48.46M</t>
  </si>
  <si>
    <t>9.77B JOD</t>
  </si>
  <si>
    <t>0.8%</t>
  </si>
  <si>
    <t>4.35 M</t>
  </si>
  <si>
    <t>4.39 M</t>
  </si>
  <si>
    <t>4.43 M</t>
  </si>
  <si>
    <t>4.39M</t>
  </si>
  <si>
    <t>38.8K</t>
  </si>
  <si>
    <t>Total Users</t>
  </si>
  <si>
    <t>4.43M</t>
  </si>
  <si>
    <t>Number of Billers</t>
  </si>
  <si>
    <t>Billers</t>
  </si>
  <si>
    <t>562</t>
  </si>
  <si>
    <t>Number of Services</t>
  </si>
  <si>
    <t>Services</t>
  </si>
  <si>
    <t>1,925</t>
  </si>
  <si>
    <t>5.4%</t>
  </si>
  <si>
    <t>5.91 M</t>
  </si>
  <si>
    <t>5.61 M</t>
  </si>
  <si>
    <t>30 K</t>
  </si>
  <si>
    <t>177 K</t>
  </si>
  <si>
    <t>302 K</t>
  </si>
  <si>
    <t>26 K</t>
  </si>
  <si>
    <t>1099 K</t>
  </si>
  <si>
    <t>1959 K</t>
  </si>
  <si>
    <t>36 K</t>
  </si>
  <si>
    <t>41 K</t>
  </si>
  <si>
    <t>547 K</t>
  </si>
  <si>
    <t>1601 K</t>
  </si>
  <si>
    <t>1.23M</t>
  </si>
  <si>
    <t>4.68M</t>
  </si>
  <si>
    <t>13.2%</t>
  </si>
  <si>
    <t>1.24 B</t>
  </si>
  <si>
    <t>1.07 B</t>
  </si>
  <si>
    <t>1.21 B</t>
  </si>
  <si>
    <t>13 M JOD</t>
  </si>
  <si>
    <t>73 M JOD</t>
  </si>
  <si>
    <t>42 M JOD</t>
  </si>
  <si>
    <t>14 M JOD</t>
  </si>
  <si>
    <t>714 M JOD</t>
  </si>
  <si>
    <t>31 M JOD</t>
  </si>
  <si>
    <t>12 M JOD</t>
  </si>
  <si>
    <t>7 M JOD</t>
  </si>
  <si>
    <t>219 M JOD</t>
  </si>
  <si>
    <t>75 M JOD</t>
  </si>
  <si>
    <t>231.4M JOD</t>
  </si>
  <si>
    <t>976.3M JOD</t>
  </si>
  <si>
    <t>210</t>
  </si>
  <si>
    <t>190</t>
  </si>
  <si>
    <t>204</t>
  </si>
  <si>
    <t>95.49M</t>
  </si>
  <si>
    <t>12.19B JOD</t>
  </si>
  <si>
    <t>0.1%</t>
  </si>
  <si>
    <t>12.55 M</t>
  </si>
  <si>
    <t>12.92 M</t>
  </si>
  <si>
    <t>12.93 M</t>
  </si>
  <si>
    <t>5.72M</t>
  </si>
  <si>
    <t>2.16M</t>
  </si>
  <si>
    <t>1.51M</t>
  </si>
  <si>
    <t>3.45M</t>
  </si>
  <si>
    <t>Number of Money Transfer Transactions</t>
  </si>
  <si>
    <t>0.3%</t>
  </si>
  <si>
    <t>11.01 M</t>
  </si>
  <si>
    <t>11.35 M</t>
  </si>
  <si>
    <t>11.38 M</t>
  </si>
  <si>
    <t>8.53M</t>
  </si>
  <si>
    <t>2.85M</t>
  </si>
  <si>
    <t>1.8M</t>
  </si>
  <si>
    <t>1.49M</t>
  </si>
  <si>
    <t>1.6%</t>
  </si>
  <si>
    <t>1.6 B</t>
  </si>
  <si>
    <t>1.62 B</t>
  </si>
  <si>
    <t>1.59 B</t>
  </si>
  <si>
    <t>975M JOD</t>
  </si>
  <si>
    <t>169M JOD</t>
  </si>
  <si>
    <t>206M JOD</t>
  </si>
  <si>
    <t>230M JOD</t>
  </si>
  <si>
    <t>Value of Money Transfer Transactions</t>
  </si>
  <si>
    <t>1.5%</t>
  </si>
  <si>
    <t>1.32 B</t>
  </si>
  <si>
    <t>1.34 B</t>
  </si>
  <si>
    <t>1.06B JOD</t>
  </si>
  <si>
    <t>254.1M JOD</t>
  </si>
  <si>
    <t>132.9M JOD</t>
  </si>
  <si>
    <t>201.5M JOD</t>
  </si>
  <si>
    <t>171 JOD</t>
  </si>
  <si>
    <t>78 JOD</t>
  </si>
  <si>
    <t>Transaction Average</t>
  </si>
  <si>
    <t>113 JOD</t>
  </si>
  <si>
    <t>136 JOD</t>
  </si>
  <si>
    <t>67 JOD</t>
  </si>
  <si>
    <t>39.38M</t>
  </si>
  <si>
    <t>3.82B JOD</t>
  </si>
  <si>
    <t>1.8%</t>
  </si>
  <si>
    <t>2.3 M</t>
  </si>
  <si>
    <t>2.29 M</t>
  </si>
  <si>
    <t>2.33 M</t>
  </si>
  <si>
    <t>2.05M</t>
  </si>
  <si>
    <t>278K</t>
  </si>
  <si>
    <t>1.14M</t>
  </si>
  <si>
    <t>1.18M</t>
  </si>
  <si>
    <t>828 K</t>
  </si>
  <si>
    <t>603 K</t>
  </si>
  <si>
    <t>456 K</t>
  </si>
  <si>
    <t>285 K</t>
  </si>
  <si>
    <t>103 K</t>
  </si>
  <si>
    <t>34 K</t>
  </si>
  <si>
    <t>13 K</t>
  </si>
  <si>
    <t>1 K</t>
  </si>
  <si>
    <t>Number of Wallets</t>
  </si>
  <si>
    <t>1,376</t>
  </si>
  <si>
    <t>1,088</t>
  </si>
  <si>
    <t>8</t>
  </si>
  <si>
    <t>2.24 M</t>
  </si>
  <si>
    <t>4,122</t>
  </si>
  <si>
    <t>0.6%</t>
  </si>
  <si>
    <t>5.13 M</t>
  </si>
  <si>
    <t>5.02 M</t>
  </si>
  <si>
    <t>5.04 M</t>
  </si>
  <si>
    <t>111.8K</t>
  </si>
  <si>
    <t>172.3K</t>
  </si>
  <si>
    <t>4.58M</t>
  </si>
  <si>
    <t>177.9K</t>
  </si>
  <si>
    <t>ATM/Kiosk</t>
  </si>
  <si>
    <t>1.73%</t>
  </si>
  <si>
    <t>Agent/Teller</t>
  </si>
  <si>
    <t>98.27%</t>
  </si>
  <si>
    <t>8.78%</t>
  </si>
  <si>
    <t>91.22%</t>
  </si>
  <si>
    <t>Aid/Charity/Grant</t>
  </si>
  <si>
    <t>2.62%</t>
  </si>
  <si>
    <t>Cross Border Remittances</t>
  </si>
  <si>
    <t>0.01%</t>
  </si>
  <si>
    <t>Loan/Loan Installment</t>
  </si>
  <si>
    <t>0.67%</t>
  </si>
  <si>
    <t>Salary/Bonus/Dividends</t>
  </si>
  <si>
    <t>3.43%</t>
  </si>
  <si>
    <t>86.81%</t>
  </si>
  <si>
    <t>6.46%</t>
  </si>
  <si>
    <t>84.44%</t>
  </si>
  <si>
    <t>15.56%</t>
  </si>
  <si>
    <t>3.2%</t>
  </si>
  <si>
    <t>476 M</t>
  </si>
  <si>
    <t>461 M</t>
  </si>
  <si>
    <t>447 M</t>
  </si>
  <si>
    <t>19.6M JOD</t>
  </si>
  <si>
    <t>29.3M JOD</t>
  </si>
  <si>
    <t>382.8M JOD</t>
  </si>
  <si>
    <t>14.8M JOD</t>
  </si>
  <si>
    <t>1.79%</t>
  </si>
  <si>
    <t>98.21%</t>
  </si>
  <si>
    <t>7.77%</t>
  </si>
  <si>
    <t>92.23%</t>
  </si>
  <si>
    <t>4.57%</t>
  </si>
  <si>
    <t>0.03%</t>
  </si>
  <si>
    <t>2.96%</t>
  </si>
  <si>
    <t>4.75%</t>
  </si>
  <si>
    <t>73.69%</t>
  </si>
  <si>
    <t>14%</t>
  </si>
  <si>
    <t>96.77%</t>
  </si>
  <si>
    <t>3.23%</t>
  </si>
  <si>
    <t>93</t>
  </si>
  <si>
    <t>92</t>
  </si>
  <si>
    <t>89</t>
  </si>
  <si>
    <t>1.6M</t>
  </si>
  <si>
    <t>89.6M JOD</t>
  </si>
  <si>
    <t>91.2M JOD</t>
  </si>
  <si>
    <t>summary</t>
  </si>
  <si>
    <t>7.89M</t>
  </si>
  <si>
    <t>1.56M</t>
  </si>
  <si>
    <t>1.14B JOD</t>
  </si>
  <si>
    <t>5.04M</t>
  </si>
  <si>
    <t>2.33M</t>
  </si>
  <si>
    <t>447M JOD</t>
  </si>
  <si>
    <t>5.91M</t>
  </si>
  <si>
    <t>1.21B JOD</t>
  </si>
  <si>
    <t>Number of JOD Transactions</t>
  </si>
  <si>
    <t>878K</t>
  </si>
  <si>
    <t>884K</t>
  </si>
  <si>
    <t>753M JOD</t>
  </si>
  <si>
    <t>Number of Cheques</t>
  </si>
  <si>
    <t>624K</t>
  </si>
  <si>
    <t>20.9K</t>
  </si>
  <si>
    <t>Value of Cheques</t>
  </si>
  <si>
    <t>3.53B JOD</t>
  </si>
  <si>
    <t>130M JOD</t>
  </si>
  <si>
    <t>9.38M</t>
  </si>
  <si>
    <t>7.54B JOD</t>
  </si>
  <si>
    <t>20.3%</t>
  </si>
  <si>
    <t>0.92 M</t>
  </si>
  <si>
    <t>0.88 M</t>
  </si>
  <si>
    <t>restated: 880000 vs 878000 in 2024-09</t>
  </si>
  <si>
    <t>1.06 M</t>
  </si>
  <si>
    <t>320</t>
  </si>
  <si>
    <t>50</t>
  </si>
  <si>
    <t>6,564</t>
  </si>
  <si>
    <t>10.3%</t>
  </si>
  <si>
    <t>831 M</t>
  </si>
  <si>
    <t>€3.03 M</t>
  </si>
  <si>
    <t>€2.97 M</t>
  </si>
  <si>
    <t>restated: 2.97e+06 vs 3e+06 in 2024-09</t>
  </si>
  <si>
    <t>€3.07 M</t>
  </si>
  <si>
    <t>£0.38 M</t>
  </si>
  <si>
    <t>$42.1 M</t>
  </si>
  <si>
    <t>64.97M</t>
  </si>
  <si>
    <t>9.59B JOD</t>
  </si>
  <si>
    <t>2.7%</t>
  </si>
  <si>
    <t>1.6 M</t>
  </si>
  <si>
    <t>1.54M</t>
  </si>
  <si>
    <t>57K</t>
  </si>
  <si>
    <t>556.5K</t>
  </si>
  <si>
    <t>997.4K</t>
  </si>
  <si>
    <t>605 K</t>
  </si>
  <si>
    <t>419 K</t>
  </si>
  <si>
    <t>275 K</t>
  </si>
  <si>
    <t>167 K</t>
  </si>
  <si>
    <t>74 K</t>
  </si>
  <si>
    <t>19 K</t>
  </si>
  <si>
    <t>1.57M</t>
  </si>
  <si>
    <t>28K</t>
  </si>
  <si>
    <t>12.4%</t>
  </si>
  <si>
    <t>8.86 M</t>
  </si>
  <si>
    <t>7.62M</t>
  </si>
  <si>
    <t>1.24M</t>
  </si>
  <si>
    <t>3.7%</t>
  </si>
  <si>
    <t>84.9%</t>
  </si>
  <si>
    <t>11.4%</t>
  </si>
  <si>
    <t>6.6%</t>
  </si>
  <si>
    <t>1.22B</t>
  </si>
  <si>
    <t>992.6M JOD</t>
  </si>
  <si>
    <t>227.2M JOD</t>
  </si>
  <si>
    <t>5.6%</t>
  </si>
  <si>
    <t>73.1%</t>
  </si>
  <si>
    <t>21.3%</t>
  </si>
  <si>
    <t>99.94%</t>
  </si>
  <si>
    <t>0.06%</t>
  </si>
  <si>
    <t>138</t>
  </si>
  <si>
    <t>4.17M</t>
  </si>
  <si>
    <t>1.44M</t>
  </si>
  <si>
    <t>680.8M JOD</t>
  </si>
  <si>
    <t>172.6M JOD</t>
  </si>
  <si>
    <t>5.39M</t>
  </si>
  <si>
    <t>33.3B JOD</t>
  </si>
  <si>
    <t>6.7%</t>
  </si>
  <si>
    <t>583 K</t>
  </si>
  <si>
    <t>10.8%</t>
  </si>
  <si>
    <t>18.7 K</t>
  </si>
  <si>
    <t>Percentage of Returned Cheques (By Number)</t>
  </si>
  <si>
    <t>2.9%</t>
  </si>
  <si>
    <t>12,744</t>
  </si>
  <si>
    <t>5,951</t>
  </si>
  <si>
    <t>2.3%</t>
  </si>
  <si>
    <t>3.61B</t>
  </si>
  <si>
    <t>123 M</t>
  </si>
  <si>
    <t>Percentage of Returned Cheques (By Value)</t>
  </si>
  <si>
    <t>3.59%</t>
  </si>
  <si>
    <t>3.70%</t>
  </si>
  <si>
    <t>3.42%</t>
  </si>
  <si>
    <t>87.2M JOD</t>
  </si>
  <si>
    <t>36.1M JOD</t>
  </si>
  <si>
    <t>54.47M</t>
  </si>
  <si>
    <t>10.88B JOD</t>
  </si>
  <si>
    <t>4.47 M</t>
  </si>
  <si>
    <t>40.6K</t>
  </si>
  <si>
    <t>4.47M</t>
  </si>
  <si>
    <t>568</t>
  </si>
  <si>
    <t>1,946</t>
  </si>
  <si>
    <t>1.7%</t>
  </si>
  <si>
    <t>6.01 M</t>
  </si>
  <si>
    <t>32 K</t>
  </si>
  <si>
    <t>135 K</t>
  </si>
  <si>
    <t>313 K</t>
  </si>
  <si>
    <t>27 K</t>
  </si>
  <si>
    <t>1195 K</t>
  </si>
  <si>
    <t>1927 K</t>
  </si>
  <si>
    <t>33 K</t>
  </si>
  <si>
    <t>43 K</t>
  </si>
  <si>
    <t>541 K</t>
  </si>
  <si>
    <t>1682 K</t>
  </si>
  <si>
    <t>1.27M</t>
  </si>
  <si>
    <t>4.74M</t>
  </si>
  <si>
    <t>8.2%</t>
  </si>
  <si>
    <t>1.11 B</t>
  </si>
  <si>
    <t>53 M JOD</t>
  </si>
  <si>
    <t>45 M JOD</t>
  </si>
  <si>
    <t>628 M JOD</t>
  </si>
  <si>
    <t>5 M JOD</t>
  </si>
  <si>
    <t>228 M JOD</t>
  </si>
  <si>
    <t>71 M JOD</t>
  </si>
  <si>
    <t>230.6M JOD</t>
  </si>
  <si>
    <t>878.5M JOD</t>
  </si>
  <si>
    <t>185</t>
  </si>
  <si>
    <t>109.94M</t>
  </si>
  <si>
    <t>13.88B JOD</t>
  </si>
  <si>
    <t>14.45 M</t>
  </si>
  <si>
    <t>6.43M</t>
  </si>
  <si>
    <t>2.43M</t>
  </si>
  <si>
    <t>1.70M</t>
  </si>
  <si>
    <t>3.79M</t>
  </si>
  <si>
    <t>12.7 M</t>
  </si>
  <si>
    <t>9.55M</t>
  </si>
  <si>
    <t>3.15M</t>
  </si>
  <si>
    <t>2.01M</t>
  </si>
  <si>
    <t>1.68M</t>
  </si>
  <si>
    <t>6%</t>
  </si>
  <si>
    <t>1.69 B</t>
  </si>
  <si>
    <t>1.04B JOD</t>
  </si>
  <si>
    <t>179M JOD</t>
  </si>
  <si>
    <t>222M JOD</t>
  </si>
  <si>
    <t>233M JOD</t>
  </si>
  <si>
    <t>1.39 B</t>
  </si>
  <si>
    <t>1.13B JOD</t>
  </si>
  <si>
    <t>261M JOD</t>
  </si>
  <si>
    <t>139.2M JOD</t>
  </si>
  <si>
    <t>218.6M JOD</t>
  </si>
  <si>
    <t>162 JOD</t>
  </si>
  <si>
    <t>74 JOD</t>
  </si>
  <si>
    <t>107 JOD</t>
  </si>
  <si>
    <t>130 JOD</t>
  </si>
  <si>
    <t>62 JOD</t>
  </si>
  <si>
    <t>44.97M</t>
  </si>
  <si>
    <t>4.29B JOD</t>
  </si>
  <si>
    <t>2.37 M</t>
  </si>
  <si>
    <t>2.09M</t>
  </si>
  <si>
    <t>282K</t>
  </si>
  <si>
    <t>1.17M</t>
  </si>
  <si>
    <t>1.19M</t>
  </si>
  <si>
    <t>842 K</t>
  </si>
  <si>
    <t>612 K</t>
  </si>
  <si>
    <t>463 K</t>
  </si>
  <si>
    <t>290 K</t>
  </si>
  <si>
    <t>105 K</t>
  </si>
  <si>
    <t>35 K</t>
  </si>
  <si>
    <t>1,390</t>
  </si>
  <si>
    <t>1,124</t>
  </si>
  <si>
    <t>2.28 M</t>
  </si>
  <si>
    <t>4,182</t>
  </si>
  <si>
    <t>5.59 M</t>
  </si>
  <si>
    <t>126.1K</t>
  </si>
  <si>
    <t>198.1K</t>
  </si>
  <si>
    <t>5.08M</t>
  </si>
  <si>
    <t>187.7K</t>
  </si>
  <si>
    <t>1.43%</t>
  </si>
  <si>
    <t>98.57%</t>
  </si>
  <si>
    <t>8.02%</t>
  </si>
  <si>
    <t>91.98%</t>
  </si>
  <si>
    <t>2.04%</t>
  </si>
  <si>
    <t>4.37%</t>
  </si>
  <si>
    <t>86.59%</t>
  </si>
  <si>
    <t>6.32%</t>
  </si>
  <si>
    <t>82.05%</t>
  </si>
  <si>
    <t>17.95%</t>
  </si>
  <si>
    <t>4.7%</t>
  </si>
  <si>
    <t>467 M</t>
  </si>
  <si>
    <t>20.3M JOD</t>
  </si>
  <si>
    <t>32M JOD</t>
  </si>
  <si>
    <t>399.7M JOD</t>
  </si>
  <si>
    <t>15.3M JOD</t>
  </si>
  <si>
    <t>1.71%</t>
  </si>
  <si>
    <t>98.29%</t>
  </si>
  <si>
    <t>7.48%</t>
  </si>
  <si>
    <t>92.52%</t>
  </si>
  <si>
    <t>4.06%</t>
  </si>
  <si>
    <t>0.02%</t>
  </si>
  <si>
    <t>3.07%</t>
  </si>
  <si>
    <t>5.60%</t>
  </si>
  <si>
    <t>71.88%</t>
  </si>
  <si>
    <t>15.37%</t>
  </si>
  <si>
    <t>96.13%</t>
  </si>
  <si>
    <t>3.87%</t>
  </si>
  <si>
    <t>84</t>
  </si>
  <si>
    <t>1.65M</t>
  </si>
  <si>
    <t>1.71M</t>
  </si>
  <si>
    <t>92.3M JOD</t>
  </si>
  <si>
    <t>88.4M JOD</t>
  </si>
  <si>
    <t>8.86M</t>
  </si>
  <si>
    <t>1.22B JOD</t>
  </si>
  <si>
    <t>5.59M</t>
  </si>
  <si>
    <t>2.37M</t>
  </si>
  <si>
    <t>467M JOD</t>
  </si>
  <si>
    <t>6.01M</t>
  </si>
  <si>
    <t>1.11B JOD</t>
  </si>
  <si>
    <t>1.06M</t>
  </si>
  <si>
    <t>831M JOD</t>
  </si>
  <si>
    <t>583K</t>
  </si>
  <si>
    <t>18.7K</t>
  </si>
  <si>
    <t>3.61B JOD</t>
  </si>
  <si>
    <t>123M JOD</t>
  </si>
  <si>
    <t>10.27M</t>
  </si>
  <si>
    <t>8.26B JOD</t>
  </si>
  <si>
    <t>15.9%</t>
  </si>
  <si>
    <t>0.89 M</t>
  </si>
  <si>
    <t>285</t>
  </si>
  <si>
    <t>30</t>
  </si>
  <si>
    <t>5,179</t>
  </si>
  <si>
    <t>13.9%</t>
  </si>
  <si>
    <t>715 M</t>
  </si>
  <si>
    <t>€2.3 M</t>
  </si>
  <si>
    <t>$33.7 M</t>
  </si>
  <si>
    <t>73.96M</t>
  </si>
  <si>
    <t>10.77B JOD</t>
  </si>
  <si>
    <t>2.2%</t>
  </si>
  <si>
    <t>1.63 M</t>
  </si>
  <si>
    <t>59K</t>
  </si>
  <si>
    <t>0.57M</t>
  </si>
  <si>
    <t>1.02M</t>
  </si>
  <si>
    <t>615 K</t>
  </si>
  <si>
    <t>428 K</t>
  </si>
  <si>
    <t>282 K</t>
  </si>
  <si>
    <t>172 K</t>
  </si>
  <si>
    <t>76 K</t>
  </si>
  <si>
    <t>29K</t>
  </si>
  <si>
    <t>8.99 M</t>
  </si>
  <si>
    <t>7.72M</t>
  </si>
  <si>
    <t>1.26M</t>
  </si>
  <si>
    <t>3.6%</t>
  </si>
  <si>
    <t>11.5%</t>
  </si>
  <si>
    <t>1.18B</t>
  </si>
  <si>
    <t>954.2M JOD</t>
  </si>
  <si>
    <t>220.9M JOD</t>
  </si>
  <si>
    <t>5.68%</t>
  </si>
  <si>
    <t>72.86%</t>
  </si>
  <si>
    <t>21.46%</t>
  </si>
  <si>
    <t>131</t>
  </si>
  <si>
    <t>4.19M</t>
  </si>
  <si>
    <t>1.46M</t>
  </si>
  <si>
    <t>651.1M JOD</t>
  </si>
  <si>
    <t>167.3M JOD</t>
  </si>
  <si>
    <t>5.84M</t>
  </si>
  <si>
    <t>36.34B JOD</t>
  </si>
  <si>
    <t>22.7%</t>
  </si>
  <si>
    <t>451 K</t>
  </si>
  <si>
    <t>8,711</t>
  </si>
  <si>
    <t>4,277</t>
  </si>
  <si>
    <t>15.5%</t>
  </si>
  <si>
    <t>3.05B</t>
  </si>
  <si>
    <t>82 M</t>
  </si>
  <si>
    <t>2.70%</t>
  </si>
  <si>
    <t>57.9M JOD</t>
  </si>
  <si>
    <t>24.3M JOD</t>
  </si>
  <si>
    <t>59.64M</t>
  </si>
  <si>
    <t>11.85B JOD</t>
  </si>
  <si>
    <t>0.7%</t>
  </si>
  <si>
    <t>4.5 M</t>
  </si>
  <si>
    <t>34.4K</t>
  </si>
  <si>
    <t>4.50M</t>
  </si>
  <si>
    <t>577</t>
  </si>
  <si>
    <t>1,973</t>
  </si>
  <si>
    <t>14.1%</t>
  </si>
  <si>
    <t>5.16 M</t>
  </si>
  <si>
    <t>283 K</t>
  </si>
  <si>
    <t>24 K</t>
  </si>
  <si>
    <t>954 K</t>
  </si>
  <si>
    <t>1732 K</t>
  </si>
  <si>
    <t>31 K</t>
  </si>
  <si>
    <t>40 K</t>
  </si>
  <si>
    <t>476 K</t>
  </si>
  <si>
    <t>1481 K</t>
  </si>
  <si>
    <t>1.03M</t>
  </si>
  <si>
    <t>4.13M</t>
  </si>
  <si>
    <t>12.3%</t>
  </si>
  <si>
    <t>0.97 B</t>
  </si>
  <si>
    <t>11 M JOD</t>
  </si>
  <si>
    <t>8 M JOD</t>
  </si>
  <si>
    <t>44 M JOD</t>
  </si>
  <si>
    <t>599 M JOD</t>
  </si>
  <si>
    <t>28 M JOD</t>
  </si>
  <si>
    <t>188 M JOD</t>
  </si>
  <si>
    <t>58 M JOD</t>
  </si>
  <si>
    <t>185M JOD</t>
  </si>
  <si>
    <t>787.4M JOD</t>
  </si>
  <si>
    <t>188</t>
  </si>
  <si>
    <t>124.49M</t>
  </si>
  <si>
    <t>15.5B JOD</t>
  </si>
  <si>
    <t>14.55 M</t>
  </si>
  <si>
    <t>6.48M</t>
  </si>
  <si>
    <t>2.50M</t>
  </si>
  <si>
    <t>0.9%</t>
  </si>
  <si>
    <t>12.81 M</t>
  </si>
  <si>
    <t>3.27M</t>
  </si>
  <si>
    <t>2.08M</t>
  </si>
  <si>
    <t>1.66M</t>
  </si>
  <si>
    <t>4%</t>
  </si>
  <si>
    <t>1B JOD</t>
  </si>
  <si>
    <t>174M JOD</t>
  </si>
  <si>
    <t>215M JOD</t>
  </si>
  <si>
    <t>218M JOD</t>
  </si>
  <si>
    <t>3.8%</t>
  </si>
  <si>
    <t>1.09B JOD</t>
  </si>
  <si>
    <t>136M JOD</t>
  </si>
  <si>
    <t>212M JOD</t>
  </si>
  <si>
    <t>154 JOD</t>
  </si>
  <si>
    <t>70 JOD</t>
  </si>
  <si>
    <t>103 JOD</t>
  </si>
  <si>
    <t>128 JOD</t>
  </si>
  <si>
    <t>58 JOD</t>
  </si>
  <si>
    <t>50.54M</t>
  </si>
  <si>
    <t>4.73B JOD</t>
  </si>
  <si>
    <t>2.4 M</t>
  </si>
  <si>
    <t>2.12M</t>
  </si>
  <si>
    <t>285K</t>
  </si>
  <si>
    <t>1.20M</t>
  </si>
  <si>
    <t>854 K</t>
  </si>
  <si>
    <t>621 K</t>
  </si>
  <si>
    <t>470 K</t>
  </si>
  <si>
    <t>294 K</t>
  </si>
  <si>
    <t>107 K</t>
  </si>
  <si>
    <t>1,255</t>
  </si>
  <si>
    <t>1,139</t>
  </si>
  <si>
    <t>2.32 M</t>
  </si>
  <si>
    <t>3,960</t>
  </si>
  <si>
    <t>0.4%</t>
  </si>
  <si>
    <t>5.56 M</t>
  </si>
  <si>
    <t>115.4K</t>
  </si>
  <si>
    <t>169.3K</t>
  </si>
  <si>
    <t>5.09M</t>
  </si>
  <si>
    <t>191.9K</t>
  </si>
  <si>
    <t>1.50%</t>
  </si>
  <si>
    <t>98.50%</t>
  </si>
  <si>
    <t>8.52%</t>
  </si>
  <si>
    <t>91.48%</t>
  </si>
  <si>
    <t>2.14%</t>
  </si>
  <si>
    <t>0.57%</t>
  </si>
  <si>
    <t>3.02%</t>
  </si>
  <si>
    <t>88.08%</t>
  </si>
  <si>
    <t>6.18%</t>
  </si>
  <si>
    <t>80.68%</t>
  </si>
  <si>
    <t>19.32%</t>
  </si>
  <si>
    <t>4.9%</t>
  </si>
  <si>
    <t>444 M</t>
  </si>
  <si>
    <t>17.7M JOD</t>
  </si>
  <si>
    <t>27.1M JOD</t>
  </si>
  <si>
    <t>385.2M JOD</t>
  </si>
  <si>
    <t>14.2M JOD</t>
  </si>
  <si>
    <t>1.70%</t>
  </si>
  <si>
    <t>98.30%</t>
  </si>
  <si>
    <t>8.39%</t>
  </si>
  <si>
    <t>91.61%</t>
  </si>
  <si>
    <t>0.04%</t>
  </si>
  <si>
    <t>2.75%</t>
  </si>
  <si>
    <t>4.05%</t>
  </si>
  <si>
    <t>73.39%</t>
  </si>
  <si>
    <t>15.41%</t>
  </si>
  <si>
    <t>95.28%</t>
  </si>
  <si>
    <t>4.72%</t>
  </si>
  <si>
    <t>80</t>
  </si>
  <si>
    <t>1.59M</t>
  </si>
  <si>
    <t>1.81M</t>
  </si>
  <si>
    <t>85.8M JOD</t>
  </si>
  <si>
    <t>86.8M JOD</t>
  </si>
  <si>
    <t>8.99M</t>
  </si>
  <si>
    <t>1.63M</t>
  </si>
  <si>
    <t>1.18B JOD</t>
  </si>
  <si>
    <t>5.56M</t>
  </si>
  <si>
    <t>2.4M</t>
  </si>
  <si>
    <t>444M JOD</t>
  </si>
  <si>
    <t>5.16M</t>
  </si>
  <si>
    <t>4.5M</t>
  </si>
  <si>
    <t>972M JOD</t>
  </si>
  <si>
    <t>888K</t>
  </si>
  <si>
    <t>893K</t>
  </si>
  <si>
    <t>Value of JOD Transactions</t>
  </si>
  <si>
    <t>715M JOD</t>
  </si>
  <si>
    <t>451K</t>
  </si>
  <si>
    <t>13K</t>
  </si>
  <si>
    <t>3.05B JOD</t>
  </si>
  <si>
    <t>82.2M JOD</t>
  </si>
  <si>
    <t>11.29M</t>
  </si>
  <si>
    <t>9.13B JOD</t>
  </si>
  <si>
    <t>1.02 M</t>
  </si>
  <si>
    <t>15%</t>
  </si>
  <si>
    <t>336</t>
  </si>
  <si>
    <t>33</t>
  </si>
  <si>
    <t>5,800</t>
  </si>
  <si>
    <t>870 M</t>
  </si>
  <si>
    <t>21.6%</t>
  </si>
  <si>
    <t>€2.79 M</t>
  </si>
  <si>
    <t>$41.5 M</t>
  </si>
  <si>
    <t>83.95M</t>
  </si>
  <si>
    <t>12.1B JOD</t>
  </si>
  <si>
    <t>1.67 M</t>
  </si>
  <si>
    <t>1.61M</t>
  </si>
  <si>
    <t>61K</t>
  </si>
  <si>
    <t>0.58M</t>
  </si>
  <si>
    <t>1.04M</t>
  </si>
  <si>
    <t>626 K</t>
  </si>
  <si>
    <t>438 K</t>
  </si>
  <si>
    <t>289 K</t>
  </si>
  <si>
    <t>78 K</t>
  </si>
  <si>
    <t>20 K</t>
  </si>
  <si>
    <t>1.64M</t>
  </si>
  <si>
    <t>30.4K</t>
  </si>
  <si>
    <t>10 M</t>
  </si>
  <si>
    <t>11.2%</t>
  </si>
  <si>
    <t>8.57M</t>
  </si>
  <si>
    <t>1.43M</t>
  </si>
  <si>
    <t>3.57%</t>
  </si>
  <si>
    <t>84.96%</t>
  </si>
  <si>
    <t>11.47%</t>
  </si>
  <si>
    <t>1.33B</t>
  </si>
  <si>
    <t>13.6%</t>
  </si>
  <si>
    <t>1.08B JOD</t>
  </si>
  <si>
    <t>253.7M JOD</t>
  </si>
  <si>
    <t>5.72%</t>
  </si>
  <si>
    <t>72.15%</t>
  </si>
  <si>
    <t>22.13%</t>
  </si>
  <si>
    <t>99.93%</t>
  </si>
  <si>
    <t>0.07%</t>
  </si>
  <si>
    <t>134</t>
  </si>
  <si>
    <t>4.65M</t>
  </si>
  <si>
    <t>1.62M</t>
  </si>
  <si>
    <t>743M JOD</t>
  </si>
  <si>
    <t>190.5M JOD</t>
  </si>
  <si>
    <t>6.51M</t>
  </si>
  <si>
    <t>40.3B JOD</t>
  </si>
  <si>
    <t>670 K</t>
  </si>
  <si>
    <t>48.7%</t>
  </si>
  <si>
    <t>23.8 K</t>
  </si>
  <si>
    <t>16,247</t>
  </si>
  <si>
    <t>7,560</t>
  </si>
  <si>
    <t>3.96B</t>
  </si>
  <si>
    <t>29.9%</t>
  </si>
  <si>
    <t>162 M</t>
  </si>
  <si>
    <t>4.10%</t>
  </si>
  <si>
    <t>111.6M JOD</t>
  </si>
  <si>
    <t>50.5M JOD</t>
  </si>
  <si>
    <t>66.07M</t>
  </si>
  <si>
    <t>13.19B JOD</t>
  </si>
  <si>
    <t>4.54 M</t>
  </si>
  <si>
    <t>38.1K</t>
  </si>
  <si>
    <t>4.54M</t>
  </si>
  <si>
    <t>589</t>
  </si>
  <si>
    <t>2,018</t>
  </si>
  <si>
    <t>6.43 M</t>
  </si>
  <si>
    <t>24.6%</t>
  </si>
  <si>
    <t>116 K</t>
  </si>
  <si>
    <t>321 K</t>
  </si>
  <si>
    <t>1218 K</t>
  </si>
  <si>
    <t>2082 K</t>
  </si>
  <si>
    <t>50 K</t>
  </si>
  <si>
    <t>46 K</t>
  </si>
  <si>
    <t>566 K</t>
  </si>
  <si>
    <t>1880 K</t>
  </si>
  <si>
    <t>5.15M</t>
  </si>
  <si>
    <t>37.9%</t>
  </si>
  <si>
    <t>32 M JOD</t>
  </si>
  <si>
    <t>46 M JOD</t>
  </si>
  <si>
    <t>19 M JOD</t>
  </si>
  <si>
    <t>866 M JOD</t>
  </si>
  <si>
    <t>33 M JOD</t>
  </si>
  <si>
    <t>15 M JOD</t>
  </si>
  <si>
    <t>6 M JOD</t>
  </si>
  <si>
    <t>231 M JOD</t>
  </si>
  <si>
    <t>72 M JOD</t>
  </si>
  <si>
    <t>239.2M JOD</t>
  </si>
  <si>
    <t>1.1B JOD</t>
  </si>
  <si>
    <t>209</t>
  </si>
  <si>
    <t>140.74M</t>
  </si>
  <si>
    <t>17.33B JOD</t>
  </si>
  <si>
    <t>16.25 M</t>
  </si>
  <si>
    <t>11.7%</t>
  </si>
  <si>
    <t>7.22M</t>
  </si>
  <si>
    <t>2.77M</t>
  </si>
  <si>
    <t>1.86M</t>
  </si>
  <si>
    <t>4.27M</t>
  </si>
  <si>
    <t>14.29 M</t>
  </si>
  <si>
    <t>10.6M</t>
  </si>
  <si>
    <t>2.29M</t>
  </si>
  <si>
    <t>1.84M</t>
  </si>
  <si>
    <t>1.83 B</t>
  </si>
  <si>
    <t>12.9%</t>
  </si>
  <si>
    <t>1.15B JOD</t>
  </si>
  <si>
    <t>189.3M JOD</t>
  </si>
  <si>
    <t>234.2M JOD</t>
  </si>
  <si>
    <t>247M JOD</t>
  </si>
  <si>
    <t>1.51 B</t>
  </si>
  <si>
    <t>12.8%</t>
  </si>
  <si>
    <t>295.4M JOD</t>
  </si>
  <si>
    <t>147.3M JOD</t>
  </si>
  <si>
    <t>159 JOD</t>
  </si>
  <si>
    <t>68 JOD</t>
  </si>
  <si>
    <t>126 JOD</t>
  </si>
  <si>
    <t>56.79M</t>
  </si>
  <si>
    <t>5.23B JOD</t>
  </si>
  <si>
    <t>2.59 M</t>
  </si>
  <si>
    <t>7.7%</t>
  </si>
  <si>
    <t>300.4K</t>
  </si>
  <si>
    <t>1.31M</t>
  </si>
  <si>
    <t>917 K</t>
  </si>
  <si>
    <t>667 K</t>
  </si>
  <si>
    <t>503 K</t>
  </si>
  <si>
    <t>318 K</t>
  </si>
  <si>
    <t>119 K</t>
  </si>
  <si>
    <t>14 K</t>
  </si>
  <si>
    <t>1,077</t>
  </si>
  <si>
    <t>1,149</t>
  </si>
  <si>
    <t>7</t>
  </si>
  <si>
    <t>2.51 M</t>
  </si>
  <si>
    <t>3,415</t>
  </si>
  <si>
    <t>6.25 M</t>
  </si>
  <si>
    <t>125.7K</t>
  </si>
  <si>
    <t>183.6K</t>
  </si>
  <si>
    <t>5.73M</t>
  </si>
  <si>
    <t>217.2K</t>
  </si>
  <si>
    <t>1.21%</t>
  </si>
  <si>
    <t>98.79%</t>
  </si>
  <si>
    <t>7.55%</t>
  </si>
  <si>
    <t>92.45%</t>
  </si>
  <si>
    <t>2.26%</t>
  </si>
  <si>
    <t>0.53%</t>
  </si>
  <si>
    <t>4.03%</t>
  </si>
  <si>
    <t>87.15%</t>
  </si>
  <si>
    <t>6.01%</t>
  </si>
  <si>
    <t>78.15%</t>
  </si>
  <si>
    <t>21.85%</t>
  </si>
  <si>
    <t>493 M</t>
  </si>
  <si>
    <t>11.1%</t>
  </si>
  <si>
    <t>18.8M JOD</t>
  </si>
  <si>
    <t>429.9M JOD</t>
  </si>
  <si>
    <t>15.5M JOD</t>
  </si>
  <si>
    <t>1.53%</t>
  </si>
  <si>
    <t>98.47%</t>
  </si>
  <si>
    <t>8.26%</t>
  </si>
  <si>
    <t>91.74%</t>
  </si>
  <si>
    <t>4.94%</t>
  </si>
  <si>
    <t>2.54%</t>
  </si>
  <si>
    <t>5.10%</t>
  </si>
  <si>
    <t>72.19%</t>
  </si>
  <si>
    <t>15.18%</t>
  </si>
  <si>
    <t>95.44%</t>
  </si>
  <si>
    <t>4.56%</t>
  </si>
  <si>
    <t>79</t>
  </si>
  <si>
    <t>1.75M</t>
  </si>
  <si>
    <t>93.8M JOD</t>
  </si>
  <si>
    <t>104.8M JOD</t>
  </si>
  <si>
    <t>10M</t>
  </si>
  <si>
    <t>1.67M</t>
  </si>
  <si>
    <t>1.33B JOD</t>
  </si>
  <si>
    <t>6.25M</t>
  </si>
  <si>
    <t>2.59M</t>
  </si>
  <si>
    <t>493M JOD</t>
  </si>
  <si>
    <t>1.34B JOD</t>
  </si>
  <si>
    <t>870M JOD</t>
  </si>
  <si>
    <t>670K</t>
  </si>
  <si>
    <t>23.8K</t>
  </si>
  <si>
    <t>3.96B JOD</t>
  </si>
  <si>
    <t>162M JOD</t>
  </si>
  <si>
    <t>935.6K</t>
  </si>
  <si>
    <t>767.2M JOD</t>
  </si>
  <si>
    <t>restated: 1.02e+06 vs 890000 in 2024-11</t>
  </si>
  <si>
    <t>restated: 890000 vs 1.02e+06 in 2024-12</t>
  </si>
  <si>
    <t>0.94 M</t>
  </si>
  <si>
    <t>8.4%</t>
  </si>
  <si>
    <t>372</t>
  </si>
  <si>
    <t>35</t>
  </si>
  <si>
    <t>5,986</t>
  </si>
  <si>
    <t>767 M</t>
  </si>
  <si>
    <t>€2.96 M</t>
  </si>
  <si>
    <t>£0.32 M</t>
  </si>
  <si>
    <t>$38.3 M</t>
  </si>
  <si>
    <t>10.32M</t>
  </si>
  <si>
    <t>1.71 M</t>
  </si>
  <si>
    <t>63K</t>
  </si>
  <si>
    <t>0.60M</t>
  </si>
  <si>
    <t>637 K</t>
  </si>
  <si>
    <t>448 K</t>
  </si>
  <si>
    <t>297 K</t>
  </si>
  <si>
    <t>181 K</t>
  </si>
  <si>
    <t>81 K</t>
  </si>
  <si>
    <t>21 K</t>
  </si>
  <si>
    <t>31.6K</t>
  </si>
  <si>
    <t>10.32 M</t>
  </si>
  <si>
    <t>8.82M</t>
  </si>
  <si>
    <t>3.5%</t>
  </si>
  <si>
    <t>85.2%</t>
  </si>
  <si>
    <t>11.3%</t>
  </si>
  <si>
    <t>259M JOD</t>
  </si>
  <si>
    <t>5.7%</t>
  </si>
  <si>
    <t>72.2%</t>
  </si>
  <si>
    <t>22.1%</t>
  </si>
  <si>
    <t>129</t>
  </si>
  <si>
    <t>4.72M</t>
  </si>
  <si>
    <t>736.6M JOD</t>
  </si>
  <si>
    <t>189.4M JOD</t>
  </si>
  <si>
    <t>477.2K</t>
  </si>
  <si>
    <t>3.37B JOD</t>
  </si>
  <si>
    <t>477 K</t>
  </si>
  <si>
    <t>28.8%</t>
  </si>
  <si>
    <t>15.3 K</t>
  </si>
  <si>
    <t>9,864</t>
  </si>
  <si>
    <t>5,386</t>
  </si>
  <si>
    <t>3.37B</t>
  </si>
  <si>
    <t>14.9%</t>
  </si>
  <si>
    <t>91 M</t>
  </si>
  <si>
    <t>2.69%</t>
  </si>
  <si>
    <t>58M JOD</t>
  </si>
  <si>
    <t>32.6M JOD</t>
  </si>
  <si>
    <t>5.89M</t>
  </si>
  <si>
    <t>1.35B JOD</t>
  </si>
  <si>
    <t>4.58 M</t>
  </si>
  <si>
    <t>37.1K</t>
  </si>
  <si>
    <t>591</t>
  </si>
  <si>
    <t>2,044</t>
  </si>
  <si>
    <t>5.89 M</t>
  </si>
  <si>
    <t>8.5%</t>
  </si>
  <si>
    <t>60 K</t>
  </si>
  <si>
    <t>95 K</t>
  </si>
  <si>
    <t>295 K</t>
  </si>
  <si>
    <t>29 K</t>
  </si>
  <si>
    <t>1309 K</t>
  </si>
  <si>
    <t>1846 K</t>
  </si>
  <si>
    <t>42 K</t>
  </si>
  <si>
    <t>509 K</t>
  </si>
  <si>
    <t>1592 K</t>
  </si>
  <si>
    <t>4.71M</t>
  </si>
  <si>
    <t>1.35 B</t>
  </si>
  <si>
    <t>43 M JOD</t>
  </si>
  <si>
    <t>16 M JOD</t>
  </si>
  <si>
    <t>877 M JOD</t>
  </si>
  <si>
    <t>30 M JOD</t>
  </si>
  <si>
    <t>236 M JOD</t>
  </si>
  <si>
    <t>67 M JOD</t>
  </si>
  <si>
    <t>255.6M JOD</t>
  </si>
  <si>
    <t>229</t>
  </si>
  <si>
    <t>instant payments</t>
  </si>
  <si>
    <t>6.42M</t>
  </si>
  <si>
    <t>Total Number of Transactions</t>
  </si>
  <si>
    <t>16.72M</t>
  </si>
  <si>
    <t>Total Value of Transactions</t>
  </si>
  <si>
    <t>1.80B JOD</t>
  </si>
  <si>
    <t>0.47M JOD</t>
  </si>
  <si>
    <t>Number of Instant Payment Users</t>
  </si>
  <si>
    <t>Bank Account &amp; Mobile Wallet</t>
  </si>
  <si>
    <t>836.8K</t>
  </si>
  <si>
    <t>Bank Account Only</t>
  </si>
  <si>
    <t>870.8K</t>
  </si>
  <si>
    <t>Mobile Wallet Only</t>
  </si>
  <si>
    <t>1,709K</t>
  </si>
  <si>
    <t>Total Number of Instant Payment Users</t>
  </si>
  <si>
    <t>All Users</t>
  </si>
  <si>
    <t>3.468M</t>
  </si>
  <si>
    <t>0.47B JOD</t>
  </si>
  <si>
    <t>Average Transaction Value</t>
  </si>
  <si>
    <t>129.4 JOD</t>
  </si>
  <si>
    <t>73.13 JOD</t>
  </si>
  <si>
    <t>Average Value of All Transactions</t>
  </si>
  <si>
    <t>All Transactions</t>
  </si>
  <si>
    <t>107.8 JOD</t>
  </si>
  <si>
    <t>16.73M</t>
  </si>
  <si>
    <t>1.8B JOD</t>
  </si>
  <si>
    <t>16.73 M</t>
  </si>
  <si>
    <t>7.38M</t>
  </si>
  <si>
    <t>2.93M</t>
  </si>
  <si>
    <t>1.93M</t>
  </si>
  <si>
    <t>4.38M</t>
  </si>
  <si>
    <t>14.75 M</t>
  </si>
  <si>
    <t>restated: 1.475e+07 vs 1.429e+07 in 2024-12</t>
  </si>
  <si>
    <t>restated: 1.429e+07 vs 1.281e+07 in 2024-11</t>
  </si>
  <si>
    <t>10.91M</t>
  </si>
  <si>
    <t>3.84M</t>
  </si>
  <si>
    <t>1.91M</t>
  </si>
  <si>
    <t>1.8 B</t>
  </si>
  <si>
    <t>1.3%</t>
  </si>
  <si>
    <t>191.8M JOD</t>
  </si>
  <si>
    <t>229.3M JOD</t>
  </si>
  <si>
    <t>237.9M JOD</t>
  </si>
  <si>
    <t>1.49 B</t>
  </si>
  <si>
    <t>1.1%</t>
  </si>
  <si>
    <t>1.20B JOD</t>
  </si>
  <si>
    <t>290.6M JOD</t>
  </si>
  <si>
    <t>149.9M JOD</t>
  </si>
  <si>
    <t>225.9M JOD</t>
  </si>
  <si>
    <t>155 JOD</t>
  </si>
  <si>
    <t>66 JOD</t>
  </si>
  <si>
    <t>99 JOD</t>
  </si>
  <si>
    <t>119 JOD</t>
  </si>
  <si>
    <t>54 JOD</t>
  </si>
  <si>
    <t>6.41M</t>
  </si>
  <si>
    <t>468.6M JOD</t>
  </si>
  <si>
    <t>2.55 M</t>
  </si>
  <si>
    <t>2.24M</t>
  </si>
  <si>
    <t>303.9K</t>
  </si>
  <si>
    <t>919 K</t>
  </si>
  <si>
    <t>653 K</t>
  </si>
  <si>
    <t>493 K</t>
  </si>
  <si>
    <t>309 K</t>
  </si>
  <si>
    <t>114 K</t>
  </si>
  <si>
    <t>12 K</t>
  </si>
  <si>
    <t>911</t>
  </si>
  <si>
    <t>6</t>
  </si>
  <si>
    <t>2.46 M</t>
  </si>
  <si>
    <t>3,268</t>
  </si>
  <si>
    <t>6.41 M</t>
  </si>
  <si>
    <t>restated: 6.41e+06 vs 6.25e+06 in 2024-12</t>
  </si>
  <si>
    <t>117.4K</t>
  </si>
  <si>
    <t>172.9K</t>
  </si>
  <si>
    <t>5.93M</t>
  </si>
  <si>
    <t>190.8K</t>
  </si>
  <si>
    <t>1.34%</t>
  </si>
  <si>
    <t>98.66%</t>
  </si>
  <si>
    <t>7.29%</t>
  </si>
  <si>
    <t>92.71%</t>
  </si>
  <si>
    <t>1.57%</t>
  </si>
  <si>
    <t>0.00%</t>
  </si>
  <si>
    <t>0.50%</t>
  </si>
  <si>
    <t>3.66%</t>
  </si>
  <si>
    <t>88.29%</t>
  </si>
  <si>
    <t>5.98%</t>
  </si>
  <si>
    <t>69.05%</t>
  </si>
  <si>
    <t>30.95%</t>
  </si>
  <si>
    <t>469 M</t>
  </si>
  <si>
    <t>5%</t>
  </si>
  <si>
    <t>18.08M JOD</t>
  </si>
  <si>
    <t>27.2M JOD</t>
  </si>
  <si>
    <t>418.19M JOD</t>
  </si>
  <si>
    <t>5.18M JOD</t>
  </si>
  <si>
    <t>1.39%</t>
  </si>
  <si>
    <t>98.61%</t>
  </si>
  <si>
    <t>7.69%</t>
  </si>
  <si>
    <t>92.31%</t>
  </si>
  <si>
    <t>3.80%</t>
  </si>
  <si>
    <t>2.47%</t>
  </si>
  <si>
    <t>4.68%</t>
  </si>
  <si>
    <t>73.52%</t>
  </si>
  <si>
    <t>15.52%</t>
  </si>
  <si>
    <t>84.49%</t>
  </si>
  <si>
    <t>15.51%</t>
  </si>
  <si>
    <t>73</t>
  </si>
  <si>
    <t>2.17M</t>
  </si>
  <si>
    <t>90.4M JOD</t>
  </si>
  <si>
    <t>101.3M JOD</t>
  </si>
  <si>
    <t>2.55M</t>
  </si>
  <si>
    <t>469M JOD</t>
  </si>
  <si>
    <t>935K</t>
  </si>
  <si>
    <t>942K</t>
  </si>
  <si>
    <t>767M JOD</t>
  </si>
  <si>
    <t>477K</t>
  </si>
  <si>
    <t>15.3K</t>
  </si>
  <si>
    <t>91M JOD</t>
  </si>
  <si>
    <t>1.92M</t>
  </si>
  <si>
    <t>1.55B JOD</t>
  </si>
  <si>
    <t>0.98 M</t>
  </si>
  <si>
    <t>37</t>
  </si>
  <si>
    <t>5,710</t>
  </si>
  <si>
    <t>783 M</t>
  </si>
  <si>
    <t>2%</t>
  </si>
  <si>
    <t>€2.66 M</t>
  </si>
  <si>
    <t>£0.41 M</t>
  </si>
  <si>
    <t>$37.7 M</t>
  </si>
  <si>
    <t>20.22M</t>
  </si>
  <si>
    <t>2.61B JOD</t>
  </si>
  <si>
    <t>1.74 M</t>
  </si>
  <si>
    <t>65K</t>
  </si>
  <si>
    <t>0.61M</t>
  </si>
  <si>
    <t>1.08M</t>
  </si>
  <si>
    <t>647 K</t>
  </si>
  <si>
    <t>457 K</t>
  </si>
  <si>
    <t>304 K</t>
  </si>
  <si>
    <t>186 K</t>
  </si>
  <si>
    <t>83 K</t>
  </si>
  <si>
    <t>7 K</t>
  </si>
  <si>
    <t>32.8K</t>
  </si>
  <si>
    <t>9.9 M</t>
  </si>
  <si>
    <t>8.45M</t>
  </si>
  <si>
    <t>1.45M</t>
  </si>
  <si>
    <t>99.4%</t>
  </si>
  <si>
    <t>1.28B</t>
  </si>
  <si>
    <t>1.03B JOD</t>
  </si>
  <si>
    <t>248.7M JOD</t>
  </si>
  <si>
    <t>5.8%</t>
  </si>
  <si>
    <t>72.4%</t>
  </si>
  <si>
    <t>21.8%</t>
  </si>
  <si>
    <t>4.51M</t>
  </si>
  <si>
    <t>700.8M JOD</t>
  </si>
  <si>
    <t>181.7M JOD</t>
  </si>
  <si>
    <t>941.2K</t>
  </si>
  <si>
    <t>6.57B JOD</t>
  </si>
  <si>
    <t>464 K</t>
  </si>
  <si>
    <t>2.8%</t>
  </si>
  <si>
    <t>14.4 K</t>
  </si>
  <si>
    <t>9,355</t>
  </si>
  <si>
    <t>5,062</t>
  </si>
  <si>
    <t>3.2B</t>
  </si>
  <si>
    <t>2.57%</t>
  </si>
  <si>
    <t>54.1M JOD</t>
  </si>
  <si>
    <t>28.1M JOD</t>
  </si>
  <si>
    <t>11.59M</t>
  </si>
  <si>
    <t>2.54B JOD</t>
  </si>
  <si>
    <t>4.62 M</t>
  </si>
  <si>
    <t>37.9K</t>
  </si>
  <si>
    <t>4.62M</t>
  </si>
  <si>
    <t>599</t>
  </si>
  <si>
    <t>2,078</t>
  </si>
  <si>
    <t>5.7 M</t>
  </si>
  <si>
    <t>210 K</t>
  </si>
  <si>
    <t>286 K</t>
  </si>
  <si>
    <t>28 K</t>
  </si>
  <si>
    <t>1179 K</t>
  </si>
  <si>
    <t>1770 K</t>
  </si>
  <si>
    <t>38 K</t>
  </si>
  <si>
    <t>492 K</t>
  </si>
  <si>
    <t>1547 K</t>
  </si>
  <si>
    <t>1.16M</t>
  </si>
  <si>
    <t>1.19 B</t>
  </si>
  <si>
    <t>4 M JOD</t>
  </si>
  <si>
    <t>17 M JOD</t>
  </si>
  <si>
    <t>665 M JOD</t>
  </si>
  <si>
    <t>29 M JOD</t>
  </si>
  <si>
    <t>10 M JOD</t>
  </si>
  <si>
    <t>261 M JOD</t>
  </si>
  <si>
    <t>279.7M JOD</t>
  </si>
  <si>
    <t>910.4M JOD</t>
  </si>
  <si>
    <t>12.29M</t>
  </si>
  <si>
    <t>32.51M</t>
  </si>
  <si>
    <t>3.51B JOD</t>
  </si>
  <si>
    <t>899.7M JOD</t>
  </si>
  <si>
    <t>0.858M</t>
  </si>
  <si>
    <t>0.884M</t>
  </si>
  <si>
    <t>1.718M</t>
  </si>
  <si>
    <t>3.513M</t>
  </si>
  <si>
    <t>15.79M</t>
  </si>
  <si>
    <t>1.71B JOD</t>
  </si>
  <si>
    <t>1.28B JOD</t>
  </si>
  <si>
    <t>0.43B JOD</t>
  </si>
  <si>
    <t>129 JOD</t>
  </si>
  <si>
    <t>73.2 JOD</t>
  </si>
  <si>
    <t>108.2 JOD</t>
  </si>
  <si>
    <t>15.79 M</t>
  </si>
  <si>
    <t>49.97 K</t>
  </si>
  <si>
    <t>0</t>
  </si>
  <si>
    <t>6.5 K</t>
  </si>
  <si>
    <t>7.07M</t>
  </si>
  <si>
    <t>2.82M</t>
  </si>
  <si>
    <t>45.08 K</t>
  </si>
  <si>
    <t>1.82M</t>
  </si>
  <si>
    <t>3.97M</t>
  </si>
  <si>
    <t>restated: 1.475e+07 vs 1.281e+07 in 2025-01</t>
  </si>
  <si>
    <t>13.9 M</t>
  </si>
  <si>
    <t>10.31M</t>
  </si>
  <si>
    <t>3.59M</t>
  </si>
  <si>
    <t>2.34M</t>
  </si>
  <si>
    <t>1.79M</t>
  </si>
  <si>
    <t>1.71 B</t>
  </si>
  <si>
    <t>681.8 K</t>
  </si>
  <si>
    <t>124.6 K</t>
  </si>
  <si>
    <t>186.7M JOD</t>
  </si>
  <si>
    <t>589.2 K</t>
  </si>
  <si>
    <t>215.3M JOD</t>
  </si>
  <si>
    <t>214.2M JOD</t>
  </si>
  <si>
    <t>1.41 B</t>
  </si>
  <si>
    <t>275.1M JOD</t>
  </si>
  <si>
    <t>146.3M JOD</t>
  </si>
  <si>
    <t>211.1M JOD</t>
  </si>
  <si>
    <t>14 JOD</t>
  </si>
  <si>
    <t>19 JOD</t>
  </si>
  <si>
    <t>108 JOD</t>
  </si>
  <si>
    <t>13 JOD</t>
  </si>
  <si>
    <t>118 JOD</t>
  </si>
  <si>
    <t>2.58 M</t>
  </si>
  <si>
    <t>1.2%</t>
  </si>
  <si>
    <t>2.27M</t>
  </si>
  <si>
    <t>307.1K</t>
  </si>
  <si>
    <t>1.3M</t>
  </si>
  <si>
    <t>929 K</t>
  </si>
  <si>
    <t>661 K</t>
  </si>
  <si>
    <t>499 K</t>
  </si>
  <si>
    <t>117 K</t>
  </si>
  <si>
    <t>909</t>
  </si>
  <si>
    <t>1,160</t>
  </si>
  <si>
    <t>2.49 M</t>
  </si>
  <si>
    <t>3,301</t>
  </si>
  <si>
    <t>restated: 6.41e+06 vs 6.25e+06 in 2025-01</t>
  </si>
  <si>
    <t>107.4K</t>
  </si>
  <si>
    <t>147.7K</t>
  </si>
  <si>
    <t>5.5M</t>
  </si>
  <si>
    <t>176.9K</t>
  </si>
  <si>
    <t>1.25%</t>
  </si>
  <si>
    <t>98.75%</t>
  </si>
  <si>
    <t>6.92%</t>
  </si>
  <si>
    <t>93.08%</t>
  </si>
  <si>
    <t>1.76%</t>
  </si>
  <si>
    <t>2.48%</t>
  </si>
  <si>
    <t>89.21%</t>
  </si>
  <si>
    <t>6.05%</t>
  </si>
  <si>
    <t>66.24%</t>
  </si>
  <si>
    <t>33.76%</t>
  </si>
  <si>
    <t>431 M</t>
  </si>
  <si>
    <t>8%</t>
  </si>
  <si>
    <t>17.3M JOD</t>
  </si>
  <si>
    <t>23.7M JOD</t>
  </si>
  <si>
    <t>4.76M JOD</t>
  </si>
  <si>
    <t>1.28%</t>
  </si>
  <si>
    <t>98.72%</t>
  </si>
  <si>
    <t>7.05%</t>
  </si>
  <si>
    <t>92.95%</t>
  </si>
  <si>
    <t>2.56%</t>
  </si>
  <si>
    <t>3.51%</t>
  </si>
  <si>
    <t>74.17%</t>
  </si>
  <si>
    <t>15.71%</t>
  </si>
  <si>
    <t>82.88%</t>
  </si>
  <si>
    <t>17.12%</t>
  </si>
  <si>
    <t>2M</t>
  </si>
  <si>
    <t>80.05M JOD</t>
  </si>
  <si>
    <t>93.43M JOD</t>
  </si>
  <si>
    <t>9.9M</t>
  </si>
  <si>
    <t>1.74M</t>
  </si>
  <si>
    <t>2.58M</t>
  </si>
  <si>
    <t>431M JOD</t>
  </si>
  <si>
    <t>5.7M</t>
  </si>
  <si>
    <t>1.19B JOD</t>
  </si>
  <si>
    <t>982K</t>
  </si>
  <si>
    <t>988K</t>
  </si>
  <si>
    <t>783M JOD</t>
  </si>
  <si>
    <t>464K</t>
  </si>
  <si>
    <t>14.4K</t>
  </si>
  <si>
    <t>3.2B JOD</t>
  </si>
  <si>
    <t>82M JOD</t>
  </si>
  <si>
    <t>2.98M</t>
  </si>
  <si>
    <t>2.41B JOD</t>
  </si>
  <si>
    <t>restated: 1.06e+06 vs 940000 in 2025-01</t>
  </si>
  <si>
    <t>restated: 940000 vs 980000 in 2025-02</t>
  </si>
  <si>
    <t>7.8%</t>
  </si>
  <si>
    <t>327</t>
  </si>
  <si>
    <t>5,222</t>
  </si>
  <si>
    <t>865 M</t>
  </si>
  <si>
    <t>10.4%</t>
  </si>
  <si>
    <t>€3.27 M</t>
  </si>
  <si>
    <t>32.33M</t>
  </si>
  <si>
    <t>4.17B JOD</t>
  </si>
  <si>
    <t>1.78 M</t>
  </si>
  <si>
    <t>2.1%</t>
  </si>
  <si>
    <t>67K</t>
  </si>
  <si>
    <t>0.62M</t>
  </si>
  <si>
    <t>1.11M</t>
  </si>
  <si>
    <t>657 K</t>
  </si>
  <si>
    <t>466 K</t>
  </si>
  <si>
    <t>312 K</t>
  </si>
  <si>
    <t>191 K</t>
  </si>
  <si>
    <t>86 K</t>
  </si>
  <si>
    <t>22 K</t>
  </si>
  <si>
    <t>34K</t>
  </si>
  <si>
    <t>12.11 M</t>
  </si>
  <si>
    <t>22.3%</t>
  </si>
  <si>
    <t>10.36M</t>
  </si>
  <si>
    <t>11%</t>
  </si>
  <si>
    <t>1.56B</t>
  </si>
  <si>
    <t>1.26B JOD</t>
  </si>
  <si>
    <t>300.14M JOD</t>
  </si>
  <si>
    <t>72.8%</t>
  </si>
  <si>
    <t>21.2%</t>
  </si>
  <si>
    <t>5.51M</t>
  </si>
  <si>
    <t>856.4M JOD</t>
  </si>
  <si>
    <t>223.9M JOD</t>
  </si>
  <si>
    <t>9.67B JOD</t>
  </si>
  <si>
    <t>491 K</t>
  </si>
  <si>
    <t>5.9%</t>
  </si>
  <si>
    <t>16.4 K</t>
  </si>
  <si>
    <t>3.1%</t>
  </si>
  <si>
    <t>restated: 3.1 vs 2.9 in 2025-02</t>
  </si>
  <si>
    <t>3.3%</t>
  </si>
  <si>
    <t>11,245</t>
  </si>
  <si>
    <t>5,116</t>
  </si>
  <si>
    <t>3.1B</t>
  </si>
  <si>
    <t>3%</t>
  </si>
  <si>
    <t>84 M</t>
  </si>
  <si>
    <t>59.1M JOD</t>
  </si>
  <si>
    <t>24.8M JOD</t>
  </si>
  <si>
    <t>17.09M</t>
  </si>
  <si>
    <t>3.67B JOD</t>
  </si>
  <si>
    <t>4.65 M</t>
  </si>
  <si>
    <t>35.5K</t>
  </si>
  <si>
    <t>605</t>
  </si>
  <si>
    <t>2,090</t>
  </si>
  <si>
    <t>5.5 M</t>
  </si>
  <si>
    <t>39 K</t>
  </si>
  <si>
    <t>51 K</t>
  </si>
  <si>
    <t>287 K</t>
  </si>
  <si>
    <t>974 K</t>
  </si>
  <si>
    <t>1847 K</t>
  </si>
  <si>
    <t>497 K</t>
  </si>
  <si>
    <t>1602 K</t>
  </si>
  <si>
    <t>969.7K</t>
  </si>
  <si>
    <t>4.53M</t>
  </si>
  <si>
    <t>1.13 B</t>
  </si>
  <si>
    <t>689 M JOD</t>
  </si>
  <si>
    <t>9 M JOD</t>
  </si>
  <si>
    <t>239 M JOD</t>
  </si>
  <si>
    <t>70 M JOD</t>
  </si>
  <si>
    <t>236.2M JOD</t>
  </si>
  <si>
    <t>898.2M JOD</t>
  </si>
  <si>
    <t>206</t>
  </si>
  <si>
    <t>19.59M</t>
  </si>
  <si>
    <t>51.92M</t>
  </si>
  <si>
    <t>5.61B JOD</t>
  </si>
  <si>
    <t>1.44B JOD</t>
  </si>
  <si>
    <t>0.879M</t>
  </si>
  <si>
    <t>0.900M</t>
  </si>
  <si>
    <t>1.726M</t>
  </si>
  <si>
    <t>3.557M</t>
  </si>
  <si>
    <t>7.29 M</t>
  </si>
  <si>
    <t>19.40M</t>
  </si>
  <si>
    <t>2.10B JOD</t>
  </si>
  <si>
    <t>1.56B JOD</t>
  </si>
  <si>
    <t>0.54B JOD</t>
  </si>
  <si>
    <t>73.7 JOD</t>
  </si>
  <si>
    <t>19.41 M</t>
  </si>
  <si>
    <t>22.9%</t>
  </si>
  <si>
    <t>6.86 K</t>
  </si>
  <si>
    <t>8.61M</t>
  </si>
  <si>
    <t>3.5M</t>
  </si>
  <si>
    <t>56.03 K</t>
  </si>
  <si>
    <t>2.26M</t>
  </si>
  <si>
    <t>4.97M</t>
  </si>
  <si>
    <t>17.12 M</t>
  </si>
  <si>
    <t>23.1%</t>
  </si>
  <si>
    <t>12.69M</t>
  </si>
  <si>
    <t>2.92M</t>
  </si>
  <si>
    <t>2.23M</t>
  </si>
  <si>
    <t>2.1 B</t>
  </si>
  <si>
    <t>143.7 K</t>
  </si>
  <si>
    <t>265M</t>
  </si>
  <si>
    <t>751.2 K</t>
  </si>
  <si>
    <t>230.7M</t>
  </si>
  <si>
    <t>271.5M</t>
  </si>
  <si>
    <t>1.75 B</t>
  </si>
  <si>
    <t>23.5%</t>
  </si>
  <si>
    <t>1.40B JOD</t>
  </si>
  <si>
    <t>343.4M JOD</t>
  </si>
  <si>
    <t>182.2M JOD</t>
  </si>
  <si>
    <t>260.6M JOD</t>
  </si>
  <si>
    <t>21 JOD</t>
  </si>
  <si>
    <t>117 JOD</t>
  </si>
  <si>
    <t>55 JOD</t>
  </si>
  <si>
    <t>2.6 M</t>
  </si>
  <si>
    <t>310.1K</t>
  </si>
  <si>
    <t>938 K</t>
  </si>
  <si>
    <t>668 K</t>
  </si>
  <si>
    <t>504 K</t>
  </si>
  <si>
    <t>317 K</t>
  </si>
  <si>
    <t>118 K</t>
  </si>
  <si>
    <t>37 K</t>
  </si>
  <si>
    <t>918</t>
  </si>
  <si>
    <t>1,176</t>
  </si>
  <si>
    <t>2.52 M</t>
  </si>
  <si>
    <t>3,329</t>
  </si>
  <si>
    <t>23.9%</t>
  </si>
  <si>
    <t>115.1K</t>
  </si>
  <si>
    <t>186.4K</t>
  </si>
  <si>
    <t>6.76M</t>
  </si>
  <si>
    <t>230.8K</t>
  </si>
  <si>
    <t>1.67%</t>
  </si>
  <si>
    <t>98.33%</t>
  </si>
  <si>
    <t>6.96%</t>
  </si>
  <si>
    <t>93.04%</t>
  </si>
  <si>
    <t>2.22%</t>
  </si>
  <si>
    <t>0.33%</t>
  </si>
  <si>
    <t>3.33%</t>
  </si>
  <si>
    <t>89.13%</t>
  </si>
  <si>
    <t>5.00%</t>
  </si>
  <si>
    <t>67.46%</t>
  </si>
  <si>
    <t>32.54%</t>
  </si>
  <si>
    <t>538 M</t>
  </si>
  <si>
    <t>24.7%</t>
  </si>
  <si>
    <t>19M JOD</t>
  </si>
  <si>
    <t>28.6M JOD</t>
  </si>
  <si>
    <t>483.5M JOD</t>
  </si>
  <si>
    <t>6.4M JOD</t>
  </si>
  <si>
    <t>7.52%</t>
  </si>
  <si>
    <t>92.48%</t>
  </si>
  <si>
    <t>5.21%</t>
  </si>
  <si>
    <t>1.80%</t>
  </si>
  <si>
    <t>4.26%</t>
  </si>
  <si>
    <t>73.93%</t>
  </si>
  <si>
    <t>14.80%</t>
  </si>
  <si>
    <t>83.98%</t>
  </si>
  <si>
    <t>16.02%</t>
  </si>
  <si>
    <t>74</t>
  </si>
  <si>
    <t>2.04M</t>
  </si>
  <si>
    <t>2.5M</t>
  </si>
  <si>
    <t>103.4M JOD</t>
  </si>
  <si>
    <t>119.6M JOD</t>
  </si>
  <si>
    <t>12.11M</t>
  </si>
  <si>
    <t>1.78M</t>
  </si>
  <si>
    <t>7.29M</t>
  </si>
  <si>
    <t>2.6M</t>
  </si>
  <si>
    <t>538M JOD</t>
  </si>
  <si>
    <t>865M JOD</t>
  </si>
  <si>
    <t>491K</t>
  </si>
  <si>
    <t>16.4K</t>
  </si>
  <si>
    <t>3.1B JOD</t>
  </si>
  <si>
    <t>83.9M JOD</t>
  </si>
  <si>
    <t>3.9M</t>
  </si>
  <si>
    <t>restated: 1.06e+06 vs 980000 in 2025-03</t>
  </si>
  <si>
    <t>0.93 M</t>
  </si>
  <si>
    <t>292</t>
  </si>
  <si>
    <t>24</t>
  </si>
  <si>
    <t>6,156</t>
  </si>
  <si>
    <t>782 M</t>
  </si>
  <si>
    <t>9.6%</t>
  </si>
  <si>
    <t>€2.62 M</t>
  </si>
  <si>
    <t>£0.16 M</t>
  </si>
  <si>
    <t>$38.9 M</t>
  </si>
  <si>
    <t>43.85M</t>
  </si>
  <si>
    <t>5.66B JOD</t>
  </si>
  <si>
    <t>1.81 M</t>
  </si>
  <si>
    <t>68.3K</t>
  </si>
  <si>
    <t>0.64M</t>
  </si>
  <si>
    <t>1.13M</t>
  </si>
  <si>
    <t>195 K</t>
  </si>
  <si>
    <t>88 K</t>
  </si>
  <si>
    <t>23 K</t>
  </si>
  <si>
    <t>5 K</t>
  </si>
  <si>
    <t>8 K</t>
  </si>
  <si>
    <t>35K</t>
  </si>
  <si>
    <t>11.52 M</t>
  </si>
  <si>
    <t>9.78M</t>
  </si>
  <si>
    <t>85.3%</t>
  </si>
  <si>
    <t>99.3%</t>
  </si>
  <si>
    <t>1.48B</t>
  </si>
  <si>
    <t>5.1%</t>
  </si>
  <si>
    <t>1.17B JOD</t>
  </si>
  <si>
    <t>312.8M JOD</t>
  </si>
  <si>
    <t>5.5%</t>
  </si>
  <si>
    <t>71.6%</t>
  </si>
  <si>
    <t>802.8M JOD</t>
  </si>
  <si>
    <t>207.8M JOD</t>
  </si>
  <si>
    <t>2.02M</t>
  </si>
  <si>
    <t>13.14B JOD</t>
  </si>
  <si>
    <t>588 K</t>
  </si>
  <si>
    <t>19.6%</t>
  </si>
  <si>
    <t>21.7 K</t>
  </si>
  <si>
    <t>15,286</t>
  </si>
  <si>
    <t>6,424</t>
  </si>
  <si>
    <t>3.48B</t>
  </si>
  <si>
    <t>12%</t>
  </si>
  <si>
    <t>119 M</t>
  </si>
  <si>
    <t>80.5M JOD</t>
  </si>
  <si>
    <t>38.3M JOD</t>
  </si>
  <si>
    <t>23.62M</t>
  </si>
  <si>
    <t>5.24B JOD</t>
  </si>
  <si>
    <t>4.68 M</t>
  </si>
  <si>
    <t>34.2K</t>
  </si>
  <si>
    <t>611</t>
  </si>
  <si>
    <t>2,104</t>
  </si>
  <si>
    <t>6.54 M</t>
  </si>
  <si>
    <t>18.9%</t>
  </si>
  <si>
    <t>79 K</t>
  </si>
  <si>
    <t>383 K</t>
  </si>
  <si>
    <t>1165 K</t>
  </si>
  <si>
    <t>2215 K</t>
  </si>
  <si>
    <t>54 K</t>
  </si>
  <si>
    <t>585 K</t>
  </si>
  <si>
    <t>1845 K</t>
  </si>
  <si>
    <t>5.38M</t>
  </si>
  <si>
    <t>1.57 B</t>
  </si>
  <si>
    <t>38.2%</t>
  </si>
  <si>
    <t>56 M JOD</t>
  </si>
  <si>
    <t>1077 M JOD</t>
  </si>
  <si>
    <t>35 M JOD</t>
  </si>
  <si>
    <t>259 M JOD</t>
  </si>
  <si>
    <t>74 M JOD</t>
  </si>
  <si>
    <t>282.8M JOD</t>
  </si>
  <si>
    <t>240</t>
  </si>
  <si>
    <t>26.58M</t>
  </si>
  <si>
    <t>70.43M</t>
  </si>
  <si>
    <t>7.56B JOD</t>
  </si>
  <si>
    <t>1.91B JOD</t>
  </si>
  <si>
    <t>0.899M</t>
  </si>
  <si>
    <t>0.915M</t>
  </si>
  <si>
    <t>1.735M</t>
  </si>
  <si>
    <t>3.60M</t>
  </si>
  <si>
    <t>6.99 M</t>
  </si>
  <si>
    <t>18.51M</t>
  </si>
  <si>
    <t>1.95B JOD</t>
  </si>
  <si>
    <t>1.48B JOD</t>
  </si>
  <si>
    <t>128.8 JOD</t>
  </si>
  <si>
    <t>67.1 JOD</t>
  </si>
  <si>
    <t>105.5 JOD</t>
  </si>
  <si>
    <t>18.51 M</t>
  </si>
  <si>
    <t>4.6%</t>
  </si>
  <si>
    <t>8.44 K</t>
  </si>
  <si>
    <t>8.15M</t>
  </si>
  <si>
    <t>3.37M</t>
  </si>
  <si>
    <t>68.43 K</t>
  </si>
  <si>
    <t>2.18M</t>
  </si>
  <si>
    <t>4.75M</t>
  </si>
  <si>
    <t>16.26 M</t>
  </si>
  <si>
    <t>12M</t>
  </si>
  <si>
    <t>4.3M</t>
  </si>
  <si>
    <t>2.79M</t>
  </si>
  <si>
    <t>2.14M</t>
  </si>
  <si>
    <t>1.95 B</t>
  </si>
  <si>
    <t>7%</t>
  </si>
  <si>
    <t>156.6 K</t>
  </si>
  <si>
    <t>206.3M</t>
  </si>
  <si>
    <t>800.2 K</t>
  </si>
  <si>
    <t>238.9M</t>
  </si>
  <si>
    <t>229M</t>
  </si>
  <si>
    <t>8.8%</t>
  </si>
  <si>
    <t>309.8M JOD</t>
  </si>
  <si>
    <t>160.2M JOD</t>
  </si>
  <si>
    <t>235.3M JOD</t>
  </si>
  <si>
    <t>157 JOD</t>
  </si>
  <si>
    <t>61 JOD</t>
  </si>
  <si>
    <t>105 JOD</t>
  </si>
  <si>
    <t>12 JOD</t>
  </si>
  <si>
    <t>110 JOD</t>
  </si>
  <si>
    <t>48 JOD</t>
  </si>
  <si>
    <t>2.63 M</t>
  </si>
  <si>
    <t>2.32M</t>
  </si>
  <si>
    <t>313.3K</t>
  </si>
  <si>
    <t>1.32M</t>
  </si>
  <si>
    <t>946 K</t>
  </si>
  <si>
    <t>676 K</t>
  </si>
  <si>
    <t>510 K</t>
  </si>
  <si>
    <t>322 K</t>
  </si>
  <si>
    <t>121 K</t>
  </si>
  <si>
    <t>939</t>
  </si>
  <si>
    <t>1,201</t>
  </si>
  <si>
    <t>2.56 M</t>
  </si>
  <si>
    <t>3,358</t>
  </si>
  <si>
    <t>4.1%</t>
  </si>
  <si>
    <t>116K</t>
  </si>
  <si>
    <t>152.4K</t>
  </si>
  <si>
    <t>243.1K</t>
  </si>
  <si>
    <t>1.74%</t>
  </si>
  <si>
    <t>98.26%</t>
  </si>
  <si>
    <t>7.25%</t>
  </si>
  <si>
    <t>92.75%</t>
  </si>
  <si>
    <t>0.37%</t>
  </si>
  <si>
    <t>2.63%</t>
  </si>
  <si>
    <t>90.66%</t>
  </si>
  <si>
    <t>4.91%</t>
  </si>
  <si>
    <t>62.10%</t>
  </si>
  <si>
    <t>37.90%</t>
  </si>
  <si>
    <t>17.8M JOD</t>
  </si>
  <si>
    <t>23M JOD</t>
  </si>
  <si>
    <t>422M JOD</t>
  </si>
  <si>
    <t>6.2M JOD</t>
  </si>
  <si>
    <t>1.56%</t>
  </si>
  <si>
    <t>98.44%</t>
  </si>
  <si>
    <t>6.85%</t>
  </si>
  <si>
    <t>93.15%</t>
  </si>
  <si>
    <t>3.21%</t>
  </si>
  <si>
    <t>2.15%</t>
  </si>
  <si>
    <t>3.86%</t>
  </si>
  <si>
    <t>75.13%</t>
  </si>
  <si>
    <t>15.65%</t>
  </si>
  <si>
    <t>81.87%</t>
  </si>
  <si>
    <t>18.13%</t>
  </si>
  <si>
    <t>67</t>
  </si>
  <si>
    <t>1.87M</t>
  </si>
  <si>
    <t>2.46M</t>
  </si>
  <si>
    <t>84.7M JOD</t>
  </si>
  <si>
    <t>102M JOD</t>
  </si>
  <si>
    <t>11.52M</t>
  </si>
  <si>
    <t>6.99M</t>
  </si>
  <si>
    <t>2.63M</t>
  </si>
  <si>
    <t>6.54M</t>
  </si>
  <si>
    <t>1.57B JOD</t>
  </si>
  <si>
    <t>0.93M</t>
  </si>
  <si>
    <t>0.94M</t>
  </si>
  <si>
    <t>782M JOD</t>
  </si>
  <si>
    <t>588K</t>
  </si>
  <si>
    <t>21.7K</t>
  </si>
  <si>
    <t>3.48B JOD</t>
  </si>
  <si>
    <t>119M JOD</t>
  </si>
  <si>
    <t>4.88M</t>
  </si>
  <si>
    <t>3.99B JOD</t>
  </si>
  <si>
    <t>0.97 M</t>
  </si>
  <si>
    <t>305</t>
  </si>
  <si>
    <t>6,153</t>
  </si>
  <si>
    <t>792 M</t>
  </si>
  <si>
    <t>€2.84 M</t>
  </si>
  <si>
    <t>$39 M</t>
  </si>
  <si>
    <t>57.58M</t>
  </si>
  <si>
    <t>7.29B JOD</t>
  </si>
  <si>
    <t>1.85 M</t>
  </si>
  <si>
    <t>1.9%</t>
  </si>
  <si>
    <t>70.1K</t>
  </si>
  <si>
    <t>0.65M</t>
  </si>
  <si>
    <t>1.15M</t>
  </si>
  <si>
    <t>483 K</t>
  </si>
  <si>
    <t>326 K</t>
  </si>
  <si>
    <t>199 K</t>
  </si>
  <si>
    <t>90 K</t>
  </si>
  <si>
    <t>36K</t>
  </si>
  <si>
    <t>13.73 M</t>
  </si>
  <si>
    <t>19.2%</t>
  </si>
  <si>
    <t>11.65M</t>
  </si>
  <si>
    <t>86.1%</t>
  </si>
  <si>
    <t>10.7%</t>
  </si>
  <si>
    <t>1.64B</t>
  </si>
  <si>
    <t>1.29B JOD</t>
  </si>
  <si>
    <t>341.6M JOD</t>
  </si>
  <si>
    <t>5.2%</t>
  </si>
  <si>
    <t>73.4%</t>
  </si>
  <si>
    <t>21.4%</t>
  </si>
  <si>
    <t>119</t>
  </si>
  <si>
    <t>6.11M</t>
  </si>
  <si>
    <t>870.6M JOD</t>
  </si>
  <si>
    <t>232.8M JOD</t>
  </si>
  <si>
    <t>16.24B JOD</t>
  </si>
  <si>
    <t>443 K</t>
  </si>
  <si>
    <t>13.9 K</t>
  </si>
  <si>
    <t>9,271</t>
  </si>
  <si>
    <t>4,635</t>
  </si>
  <si>
    <t>3.09B</t>
  </si>
  <si>
    <t>10.9%</t>
  </si>
  <si>
    <t>93 M</t>
  </si>
  <si>
    <t>3.00%</t>
  </si>
  <si>
    <t>61.8M JOD</t>
  </si>
  <si>
    <t>31.1M JOD</t>
  </si>
  <si>
    <t>29.38M</t>
  </si>
  <si>
    <t>6.37B JOD</t>
  </si>
  <si>
    <t>4.73 M</t>
  </si>
  <si>
    <t>40.2K</t>
  </si>
  <si>
    <t>4.73M</t>
  </si>
  <si>
    <t>620</t>
  </si>
  <si>
    <t>2,138</t>
  </si>
  <si>
    <t>5.76 M</t>
  </si>
  <si>
    <t>98 K</t>
  </si>
  <si>
    <t>1043 K</t>
  </si>
  <si>
    <t>1924 K</t>
  </si>
  <si>
    <t>49 K</t>
  </si>
  <si>
    <t>527 K</t>
  </si>
  <si>
    <t>1636 K</t>
  </si>
  <si>
    <t>27.8%</t>
  </si>
  <si>
    <t>676 M JOD</t>
  </si>
  <si>
    <t>245 M JOD</t>
  </si>
  <si>
    <t>63 M JOD</t>
  </si>
  <si>
    <t>240.1M JOD</t>
  </si>
  <si>
    <t>891.2M JOD</t>
  </si>
  <si>
    <t>196</t>
  </si>
  <si>
    <t>34.79M</t>
  </si>
  <si>
    <t>92.37M</t>
  </si>
  <si>
    <t>9.74B JOD</t>
  </si>
  <si>
    <t>2.45B JOD</t>
  </si>
  <si>
    <t>0.919M</t>
  </si>
  <si>
    <t>0.929M</t>
  </si>
  <si>
    <t>1.745M</t>
  </si>
  <si>
    <t>3.65M</t>
  </si>
  <si>
    <t>8.21 M</t>
  </si>
  <si>
    <t>21.94M</t>
  </si>
  <si>
    <t>2.18B JOD</t>
  </si>
  <si>
    <t>1.64B JOD</t>
  </si>
  <si>
    <t>119.16 JOD</t>
  </si>
  <si>
    <t>66.15 JOD</t>
  </si>
  <si>
    <t>99.32 JOD</t>
  </si>
  <si>
    <t>21.94 M</t>
  </si>
  <si>
    <t>18.5%</t>
  </si>
  <si>
    <t>10.61 K</t>
  </si>
  <si>
    <t>9.66M</t>
  </si>
  <si>
    <t>4.06M</t>
  </si>
  <si>
    <t>88.62 K</t>
  </si>
  <si>
    <t>2.62M</t>
  </si>
  <si>
    <t>19.26 M</t>
  </si>
  <si>
    <t>18.4%</t>
  </si>
  <si>
    <t>14.25M</t>
  </si>
  <si>
    <t>5.01M</t>
  </si>
  <si>
    <t>3.36M</t>
  </si>
  <si>
    <t>2.56M</t>
  </si>
  <si>
    <t>2.18 B</t>
  </si>
  <si>
    <t>182.2 K</t>
  </si>
  <si>
    <t>1.39B</t>
  </si>
  <si>
    <t>245.3M</t>
  </si>
  <si>
    <t>993 K</t>
  </si>
  <si>
    <t>276.4M</t>
  </si>
  <si>
    <t>1.78 B</t>
  </si>
  <si>
    <t>11.9%</t>
  </si>
  <si>
    <t>1.43B JOD</t>
  </si>
  <si>
    <t>349.4M JOD</t>
  </si>
  <si>
    <t>190.9M JOD</t>
  </si>
  <si>
    <t>269.4M JOD</t>
  </si>
  <si>
    <t>17 JOD</t>
  </si>
  <si>
    <t>144 JOD</t>
  </si>
  <si>
    <t>60 JOD</t>
  </si>
  <si>
    <t>11 JOD</t>
  </si>
  <si>
    <t>106 JOD</t>
  </si>
  <si>
    <t>2.66 M</t>
  </si>
  <si>
    <t>2.35M</t>
  </si>
  <si>
    <t>317K</t>
  </si>
  <si>
    <t>1.35M</t>
  </si>
  <si>
    <t>953 K</t>
  </si>
  <si>
    <t>685 K</t>
  </si>
  <si>
    <t>517 K</t>
  </si>
  <si>
    <t>123 K</t>
  </si>
  <si>
    <t>954</t>
  </si>
  <si>
    <t>1,224</t>
  </si>
  <si>
    <t>3,410</t>
  </si>
  <si>
    <t>17.4%</t>
  </si>
  <si>
    <t>124.1K</t>
  </si>
  <si>
    <t>180.6K</t>
  </si>
  <si>
    <t>7.61M</t>
  </si>
  <si>
    <t>300.9K</t>
  </si>
  <si>
    <t>1.54%</t>
  </si>
  <si>
    <t>98.46%</t>
  </si>
  <si>
    <t>6.24%</t>
  </si>
  <si>
    <t>93.76%</t>
  </si>
  <si>
    <t>1.78%</t>
  </si>
  <si>
    <t>0.38%</t>
  </si>
  <si>
    <t>2.76%</t>
  </si>
  <si>
    <t>90.30%</t>
  </si>
  <si>
    <t>4.77%</t>
  </si>
  <si>
    <t>60.15%</t>
  </si>
  <si>
    <t>39.85%</t>
  </si>
  <si>
    <t>543 M</t>
  </si>
  <si>
    <t>15.8%</t>
  </si>
  <si>
    <t>19.4M JOD</t>
  </si>
  <si>
    <t>26.3M JOD</t>
  </si>
  <si>
    <t>487.4M JOD</t>
  </si>
  <si>
    <t>10M JOD</t>
  </si>
  <si>
    <t>1.47%</t>
  </si>
  <si>
    <t>98.53%</t>
  </si>
  <si>
    <t>6.80%</t>
  </si>
  <si>
    <t>93.20%</t>
  </si>
  <si>
    <t>4.16%</t>
  </si>
  <si>
    <t>75.11%</t>
  </si>
  <si>
    <t>15.07%</t>
  </si>
  <si>
    <t>85.87%</t>
  </si>
  <si>
    <t>14.13%</t>
  </si>
  <si>
    <t>66</t>
  </si>
  <si>
    <t>2.22M</t>
  </si>
  <si>
    <t>2.83M</t>
  </si>
  <si>
    <t>116.6M JOD</t>
  </si>
  <si>
    <t>13.73M</t>
  </si>
  <si>
    <t>1.85M</t>
  </si>
  <si>
    <t>8.21M</t>
  </si>
  <si>
    <t>2.66M</t>
  </si>
  <si>
    <t>543M JOD</t>
  </si>
  <si>
    <t>5.76M</t>
  </si>
  <si>
    <t>0.97M</t>
  </si>
  <si>
    <t>0.98M</t>
  </si>
  <si>
    <t>792M JOD</t>
  </si>
  <si>
    <t>443K</t>
  </si>
  <si>
    <t>13.9K</t>
  </si>
  <si>
    <t>3.09B JOD</t>
  </si>
  <si>
    <t>93M JOD</t>
  </si>
  <si>
    <t>4.77B JOD</t>
  </si>
  <si>
    <t>restated: 929000 vs 930000 in 2025-04</t>
  </si>
  <si>
    <t>972 K</t>
  </si>
  <si>
    <t>restated: 972000 vs 970000 in 2025-05</t>
  </si>
  <si>
    <t>966 K</t>
  </si>
  <si>
    <t>247</t>
  </si>
  <si>
    <t>29</t>
  </si>
  <si>
    <t>4,927</t>
  </si>
  <si>
    <t>780 M</t>
  </si>
  <si>
    <t>€2.46 M</t>
  </si>
  <si>
    <t>£0.36 M</t>
  </si>
  <si>
    <t>$32.6 M</t>
  </si>
  <si>
    <t>70.66M</t>
  </si>
  <si>
    <t>8.89B JOD</t>
  </si>
  <si>
    <t>1.88 M</t>
  </si>
  <si>
    <t>71.8K</t>
  </si>
  <si>
    <t>0.66M</t>
  </si>
  <si>
    <t>490 K</t>
  </si>
  <si>
    <t>332 K</t>
  </si>
  <si>
    <t>204 K</t>
  </si>
  <si>
    <t>93 K</t>
  </si>
  <si>
    <t>9 K</t>
  </si>
  <si>
    <t>37.6K</t>
  </si>
  <si>
    <t>13.09 M</t>
  </si>
  <si>
    <t>11.11M</t>
  </si>
  <si>
    <t>1.97M</t>
  </si>
  <si>
    <t>87.4%</t>
  </si>
  <si>
    <t>99.2%</t>
  </si>
  <si>
    <t>1.6B</t>
  </si>
  <si>
    <t>339.2M JOD</t>
  </si>
  <si>
    <t>74.7%</t>
  </si>
  <si>
    <t>99.91%</t>
  </si>
  <si>
    <t>0.09%</t>
  </si>
  <si>
    <t>122</t>
  </si>
  <si>
    <t>5.79M</t>
  </si>
  <si>
    <t>2.07M</t>
  </si>
  <si>
    <t>849.1M JOD</t>
  </si>
  <si>
    <t>3.03M</t>
  </si>
  <si>
    <t>19.59B JOD</t>
  </si>
  <si>
    <t>562 K</t>
  </si>
  <si>
    <t>26.9%</t>
  </si>
  <si>
    <t>21.3 K</t>
  </si>
  <si>
    <t>14,882</t>
  </si>
  <si>
    <t>6,449</t>
  </si>
  <si>
    <t>3.35B</t>
  </si>
  <si>
    <t>113 M</t>
  </si>
  <si>
    <t>3.38%</t>
  </si>
  <si>
    <t>76.5M JOD</t>
  </si>
  <si>
    <t>36.7M JOD</t>
  </si>
  <si>
    <t>35.51M</t>
  </si>
  <si>
    <t>7.5B JOD</t>
  </si>
  <si>
    <t>4.76 M</t>
  </si>
  <si>
    <t>38.7K</t>
  </si>
  <si>
    <t>4.76M</t>
  </si>
  <si>
    <t>630</t>
  </si>
  <si>
    <t>2,156</t>
  </si>
  <si>
    <t>6.13 M</t>
  </si>
  <si>
    <t>6.3%</t>
  </si>
  <si>
    <t>94 K</t>
  </si>
  <si>
    <t>307 K</t>
  </si>
  <si>
    <t>1010 K</t>
  </si>
  <si>
    <t>2140 K</t>
  </si>
  <si>
    <t>544 K</t>
  </si>
  <si>
    <t>1800 K</t>
  </si>
  <si>
    <t>5.11M</t>
  </si>
  <si>
    <t>24 M JOD</t>
  </si>
  <si>
    <t>668 M JOD</t>
  </si>
  <si>
    <t>34 M JOD</t>
  </si>
  <si>
    <t>235 M JOD</t>
  </si>
  <si>
    <t>224.1M JOD</t>
  </si>
  <si>
    <t>905.5M JOD</t>
  </si>
  <si>
    <t>184</t>
  </si>
  <si>
    <t>42.78M</t>
  </si>
  <si>
    <t>113.4M</t>
  </si>
  <si>
    <t>11.9B JOD</t>
  </si>
  <si>
    <t>2.97B JOD</t>
  </si>
  <si>
    <t>0.937M</t>
  </si>
  <si>
    <t>0.942M</t>
  </si>
  <si>
    <t>1.729M</t>
  </si>
  <si>
    <t>3.67M</t>
  </si>
  <si>
    <t>7.99 M</t>
  </si>
  <si>
    <t>21.07M</t>
  </si>
  <si>
    <t>2.12B JOD</t>
  </si>
  <si>
    <t>1.6B JOD</t>
  </si>
  <si>
    <t>0.52B JOD</t>
  </si>
  <si>
    <t>122.3 JOD</t>
  </si>
  <si>
    <t>65.7 JOD</t>
  </si>
  <si>
    <t>100.8 JOD</t>
  </si>
  <si>
    <t>113.44M</t>
  </si>
  <si>
    <t>11.87B JOD</t>
  </si>
  <si>
    <t>21.07 M</t>
  </si>
  <si>
    <t>3.9%</t>
  </si>
  <si>
    <t>10.38 K</t>
  </si>
  <si>
    <t>9.16M</t>
  </si>
  <si>
    <t>3.92M</t>
  </si>
  <si>
    <t>94.4 K</t>
  </si>
  <si>
    <t>2.51M</t>
  </si>
  <si>
    <t>18.36 M</t>
  </si>
  <si>
    <t>13.49M</t>
  </si>
  <si>
    <t>4.87M</t>
  </si>
  <si>
    <t>3.25M</t>
  </si>
  <si>
    <t>2.12 B</t>
  </si>
  <si>
    <t>184.9 K</t>
  </si>
  <si>
    <t>1.36B</t>
  </si>
  <si>
    <t>269.3M</t>
  </si>
  <si>
    <t>1.1M</t>
  </si>
  <si>
    <t>236.5M</t>
  </si>
  <si>
    <t>254M</t>
  </si>
  <si>
    <t>1.72 B</t>
  </si>
  <si>
    <t>1.38B JOD</t>
  </si>
  <si>
    <t>184.5M JOD</t>
  </si>
  <si>
    <t>253.2M JOD</t>
  </si>
  <si>
    <t>18 JOD</t>
  </si>
  <si>
    <t>149 JOD</t>
  </si>
  <si>
    <t>101 JOD</t>
  </si>
  <si>
    <t>47 JOD</t>
  </si>
  <si>
    <t>2.67 M</t>
  </si>
  <si>
    <t>319.6K</t>
  </si>
  <si>
    <t>1.29M</t>
  </si>
  <si>
    <t>1.36M</t>
  </si>
  <si>
    <t>952 K</t>
  </si>
  <si>
    <t>686 K</t>
  </si>
  <si>
    <t>519 K</t>
  </si>
  <si>
    <t>327 K</t>
  </si>
  <si>
    <t>962</t>
  </si>
  <si>
    <t>1,262</t>
  </si>
  <si>
    <t>2.61 M</t>
  </si>
  <si>
    <t>3,465</t>
  </si>
  <si>
    <t>116.6K</t>
  </si>
  <si>
    <t>165K</t>
  </si>
  <si>
    <t>7.2M</t>
  </si>
  <si>
    <t>461.1K</t>
  </si>
  <si>
    <t>1.66%</t>
  </si>
  <si>
    <t>98.34%</t>
  </si>
  <si>
    <t>6.47%</t>
  </si>
  <si>
    <t>93.53%</t>
  </si>
  <si>
    <t>0.19%</t>
  </si>
  <si>
    <t>2.27%</t>
  </si>
  <si>
    <t>90.53%</t>
  </si>
  <si>
    <t>5.49%</t>
  </si>
  <si>
    <t>72.40%</t>
  </si>
  <si>
    <t>27.60%</t>
  </si>
  <si>
    <t>525 M</t>
  </si>
  <si>
    <t>18.5M JOD</t>
  </si>
  <si>
    <t>25.1M JOD</t>
  </si>
  <si>
    <t>459.1M JOD</t>
  </si>
  <si>
    <t>22.1M JOD</t>
  </si>
  <si>
    <t>1.52%</t>
  </si>
  <si>
    <t>98.48%</t>
  </si>
  <si>
    <t>7.26%</t>
  </si>
  <si>
    <t>92.74%</t>
  </si>
  <si>
    <t>0.88%</t>
  </si>
  <si>
    <t>3.72%</t>
  </si>
  <si>
    <t>74.53%</t>
  </si>
  <si>
    <t>16.37%</t>
  </si>
  <si>
    <t>92.96%</t>
  </si>
  <si>
    <t>7.04%</t>
  </si>
  <si>
    <t>2.80M</t>
  </si>
  <si>
    <t>93.94M JOD</t>
  </si>
  <si>
    <t>112.03M JOD</t>
  </si>
  <si>
    <t>13.09M</t>
  </si>
  <si>
    <t>1.88M</t>
  </si>
  <si>
    <t>7.99M</t>
  </si>
  <si>
    <t>2.67M</t>
  </si>
  <si>
    <t>525M JOD</t>
  </si>
  <si>
    <t>6.13M</t>
  </si>
  <si>
    <t>966K</t>
  </si>
  <si>
    <t>971K</t>
  </si>
  <si>
    <t>780M JOD</t>
  </si>
  <si>
    <t>562K</t>
  </si>
  <si>
    <t>21.3K</t>
  </si>
  <si>
    <t>3.35B JOD</t>
  </si>
  <si>
    <t>113M JOD</t>
  </si>
  <si>
    <t>6.89M</t>
  </si>
  <si>
    <t>5.67B JOD</t>
  </si>
  <si>
    <t>1048 K</t>
  </si>
  <si>
    <t>356</t>
  </si>
  <si>
    <t>45</t>
  </si>
  <si>
    <t>6,215</t>
  </si>
  <si>
    <t>903 M</t>
  </si>
  <si>
    <t>€3.35 M</t>
  </si>
  <si>
    <t>£0.43 M</t>
  </si>
  <si>
    <t>$40.3 M</t>
  </si>
  <si>
    <t>85.97M</t>
  </si>
  <si>
    <t>10.75B JOD</t>
  </si>
  <si>
    <t>1.92 M</t>
  </si>
  <si>
    <t>73.9K</t>
  </si>
  <si>
    <t>0.68M</t>
  </si>
  <si>
    <t>701 K</t>
  </si>
  <si>
    <t>339 K</t>
  </si>
  <si>
    <t>208 K</t>
  </si>
  <si>
    <t>25 K</t>
  </si>
  <si>
    <t>39K</t>
  </si>
  <si>
    <t>15.3 M</t>
  </si>
  <si>
    <t>16.9%</t>
  </si>
  <si>
    <t>12.6M</t>
  </si>
  <si>
    <t>2.7M</t>
  </si>
  <si>
    <t>88.4%</t>
  </si>
  <si>
    <t>1.86B</t>
  </si>
  <si>
    <t>16.3%</t>
  </si>
  <si>
    <t>1.4B JOD</t>
  </si>
  <si>
    <t>458.4M JOD</t>
  </si>
  <si>
    <t>75.3%</t>
  </si>
  <si>
    <t>21.7%</t>
  </si>
  <si>
    <t>6.53M</t>
  </si>
  <si>
    <t>2.36M</t>
  </si>
  <si>
    <t>939.2M JOD</t>
  </si>
  <si>
    <t>257.8M JOD</t>
  </si>
  <si>
    <t>3.58M</t>
  </si>
  <si>
    <t>23.26B JOD</t>
  </si>
  <si>
    <t>restated: 562000 vs 443000 in 2025-05</t>
  </si>
  <si>
    <t>551 K</t>
  </si>
  <si>
    <t>restated: 551000 vs 562000 in 2025-06</t>
  </si>
  <si>
    <t>17.3 K</t>
  </si>
  <si>
    <t>11,297</t>
  </si>
  <si>
    <t>6,023</t>
  </si>
  <si>
    <t>3.68B</t>
  </si>
  <si>
    <t>9.8%</t>
  </si>
  <si>
    <t>109 M</t>
  </si>
  <si>
    <t>2.97%</t>
  </si>
  <si>
    <t>74.4M JOD</t>
  </si>
  <si>
    <t>42.09M</t>
  </si>
  <si>
    <t>4.81 M</t>
  </si>
  <si>
    <t>43.4K</t>
  </si>
  <si>
    <t>636</t>
  </si>
  <si>
    <t>2,193</t>
  </si>
  <si>
    <t>6.58 M</t>
  </si>
  <si>
    <t>7.4%</t>
  </si>
  <si>
    <t>130 K</t>
  </si>
  <si>
    <t>311 K</t>
  </si>
  <si>
    <t>1280 K</t>
  </si>
  <si>
    <t>2130 K</t>
  </si>
  <si>
    <t>68 K</t>
  </si>
  <si>
    <t>1.2M</t>
  </si>
  <si>
    <t>1.4 B</t>
  </si>
  <si>
    <t>47 M JOD</t>
  </si>
  <si>
    <t>858 M JOD</t>
  </si>
  <si>
    <t>286 M JOD</t>
  </si>
  <si>
    <t>81 M JOD</t>
  </si>
  <si>
    <t>294.6M JOD</t>
  </si>
  <si>
    <t>212</t>
  </si>
  <si>
    <t>51.94M</t>
  </si>
  <si>
    <t>137.9M</t>
  </si>
  <si>
    <t>14.32B JOD</t>
  </si>
  <si>
    <t>3.56B JOD</t>
  </si>
  <si>
    <t>0.943M</t>
  </si>
  <si>
    <t>0.977M</t>
  </si>
  <si>
    <t>1.683M</t>
  </si>
  <si>
    <t>15.30 M</t>
  </si>
  <si>
    <t>9.15 M</t>
  </si>
  <si>
    <t>24.46M</t>
  </si>
  <si>
    <t>1.86B JOD</t>
  </si>
  <si>
    <t>0.59B JOD</t>
  </si>
  <si>
    <t>121.6 JOD</t>
  </si>
  <si>
    <t>64.2 JOD</t>
  </si>
  <si>
    <t>100.1 JOD</t>
  </si>
  <si>
    <t>24.46 M</t>
  </si>
  <si>
    <t>16%</t>
  </si>
  <si>
    <t>13.11 K</t>
  </si>
  <si>
    <t>10.65M</t>
  </si>
  <si>
    <t>4.64M</t>
  </si>
  <si>
    <t>120.38 K</t>
  </si>
  <si>
    <t>20.75 M</t>
  </si>
  <si>
    <t>13%</t>
  </si>
  <si>
    <t>15.2M</t>
  </si>
  <si>
    <t>5.58M</t>
  </si>
  <si>
    <t>3.74M</t>
  </si>
  <si>
    <t>2.45 B</t>
  </si>
  <si>
    <t>15.2%</t>
  </si>
  <si>
    <t>206 K</t>
  </si>
  <si>
    <t>1.59B</t>
  </si>
  <si>
    <t>273.4M</t>
  </si>
  <si>
    <t>303.9M</t>
  </si>
  <si>
    <t>283M</t>
  </si>
  <si>
    <t>1.9 B</t>
  </si>
  <si>
    <t>1.52B JOD</t>
  </si>
  <si>
    <t>383.3M JOD</t>
  </si>
  <si>
    <t>204.9M JOD</t>
  </si>
  <si>
    <t>278.1M JOD</t>
  </si>
  <si>
    <t>16 JOD</t>
  </si>
  <si>
    <t>59 JOD</t>
  </si>
  <si>
    <t>100 JOD</t>
  </si>
  <si>
    <t>104 JOD</t>
  </si>
  <si>
    <t>46 JOD</t>
  </si>
  <si>
    <t>2.31M</t>
  </si>
  <si>
    <t>320K</t>
  </si>
  <si>
    <t>675 K</t>
  </si>
  <si>
    <t>316 K</t>
  </si>
  <si>
    <t>972</t>
  </si>
  <si>
    <t>1,292</t>
  </si>
  <si>
    <t>3,496</t>
  </si>
  <si>
    <t>14.6%</t>
  </si>
  <si>
    <t>131.1K</t>
  </si>
  <si>
    <t>180K</t>
  </si>
  <si>
    <t>8.1M</t>
  </si>
  <si>
    <t>717.3K</t>
  </si>
  <si>
    <t>1.46%</t>
  </si>
  <si>
    <t>98.54%</t>
  </si>
  <si>
    <t>6.00%</t>
  </si>
  <si>
    <t>94.00%</t>
  </si>
  <si>
    <t>0.52%</t>
  </si>
  <si>
    <t>Loan/Loan Disbursement</t>
  </si>
  <si>
    <t>0.10%</t>
  </si>
  <si>
    <t>89.75%</t>
  </si>
  <si>
    <t>6.64%</t>
  </si>
  <si>
    <t>77.03%</t>
  </si>
  <si>
    <t>22.97%</t>
  </si>
  <si>
    <t>588 M</t>
  </si>
  <si>
    <t>12.1%</t>
  </si>
  <si>
    <t>1.38%</t>
  </si>
  <si>
    <t>98.62%</t>
  </si>
  <si>
    <t>6.54%</t>
  </si>
  <si>
    <t>93.46%</t>
  </si>
  <si>
    <t>2.73%</t>
  </si>
  <si>
    <t>0.80%</t>
  </si>
  <si>
    <t>5.38%</t>
  </si>
  <si>
    <t>70.13%</t>
  </si>
  <si>
    <t>20.89%</t>
  </si>
  <si>
    <t>94.87%</t>
  </si>
  <si>
    <t>5.13%</t>
  </si>
  <si>
    <t>64</t>
  </si>
  <si>
    <t>2.25M</t>
  </si>
  <si>
    <t>3.22M</t>
  </si>
  <si>
    <t>97.9M JOD</t>
  </si>
  <si>
    <t>125.5M JOD</t>
  </si>
  <si>
    <t>15.3M</t>
  </si>
  <si>
    <t>9.15M</t>
  </si>
  <si>
    <t>588M JOD</t>
  </si>
  <si>
    <t>6.58M</t>
  </si>
  <si>
    <t>1.05M</t>
  </si>
  <si>
    <t>903M JOD</t>
  </si>
  <si>
    <t>551K</t>
  </si>
  <si>
    <t>17.3K</t>
  </si>
  <si>
    <t>3.68B JOD</t>
  </si>
  <si>
    <t>109M JOD</t>
  </si>
  <si>
    <t>stat_box</t>
  </si>
  <si>
    <t>1.96M</t>
  </si>
  <si>
    <t>15.77M</t>
  </si>
  <si>
    <t>1.88B JOD</t>
  </si>
  <si>
    <t>9.45M</t>
  </si>
  <si>
    <t>573M JOD</t>
  </si>
  <si>
    <t>4.85M</t>
  </si>
  <si>
    <t>643</t>
  </si>
  <si>
    <t>2,212</t>
  </si>
  <si>
    <t>6.64M</t>
  </si>
  <si>
    <t>1.01M</t>
  </si>
  <si>
    <t>849M JOD</t>
  </si>
  <si>
    <t>525K</t>
  </si>
  <si>
    <t>3.44B JOD</t>
  </si>
  <si>
    <t>15.6K</t>
  </si>
  <si>
    <t>84M JOD</t>
  </si>
  <si>
    <t>2025-01:2025-08</t>
  </si>
  <si>
    <t>101.73M</t>
  </si>
  <si>
    <t>trend_chart</t>
  </si>
  <si>
    <t>1.96 M</t>
  </si>
  <si>
    <t>category_chart</t>
  </si>
  <si>
    <t>Percentage of Users</t>
  </si>
  <si>
    <t>75.8K</t>
  </si>
  <si>
    <t>Male</t>
  </si>
  <si>
    <t>1.21M</t>
  </si>
  <si>
    <t>Female</t>
  </si>
  <si>
    <t>0.69M</t>
  </si>
  <si>
    <t>9K</t>
  </si>
  <si>
    <t>709K</t>
  </si>
  <si>
    <t>509K</t>
  </si>
  <si>
    <t>348K</t>
  </si>
  <si>
    <t>214K</t>
  </si>
  <si>
    <t>98K</t>
  </si>
  <si>
    <t>26K</t>
  </si>
  <si>
    <t>6K</t>
  </si>
  <si>
    <t>40.4K</t>
  </si>
  <si>
    <t>15.77 M</t>
  </si>
  <si>
    <t>12.51M</t>
  </si>
  <si>
    <t>3.26M</t>
  </si>
  <si>
    <t>87.6%</t>
  </si>
  <si>
    <t>1.88 B</t>
  </si>
  <si>
    <t>1.35B</t>
  </si>
  <si>
    <t>530.8M</t>
  </si>
  <si>
    <t>23.3%</t>
  </si>
  <si>
    <t>Non-QR</t>
  </si>
  <si>
    <t>2.38M</t>
  </si>
  <si>
    <t>253.7M</t>
  </si>
  <si>
    <t>901.4M</t>
  </si>
  <si>
    <t>12.64B</t>
  </si>
  <si>
    <t>61.38M</t>
  </si>
  <si>
    <t>4.14B</t>
  </si>
  <si>
    <t>325K</t>
  </si>
  <si>
    <t>1.38M</t>
  </si>
  <si>
    <t>1K</t>
  </si>
  <si>
    <t>957K</t>
  </si>
  <si>
    <t>686K</t>
  </si>
  <si>
    <t>516K</t>
  </si>
  <si>
    <t>322K</t>
  </si>
  <si>
    <t>122K</t>
  </si>
  <si>
    <t>Percentage of Wallets</t>
  </si>
  <si>
    <t>3,540</t>
  </si>
  <si>
    <t>1,342</t>
  </si>
  <si>
    <t>980</t>
  </si>
  <si>
    <t>9.45 M</t>
  </si>
  <si>
    <t>8.4M</t>
  </si>
  <si>
    <t>738.5K</t>
  </si>
  <si>
    <t>177.2K</t>
  </si>
  <si>
    <t>124.4K</t>
  </si>
  <si>
    <t>90.41%</t>
  </si>
  <si>
    <t>6.41%</t>
  </si>
  <si>
    <t>2.42%</t>
  </si>
  <si>
    <t>0.66%</t>
  </si>
  <si>
    <t>Loan Disbursement</t>
  </si>
  <si>
    <t>Loan Installment</t>
  </si>
  <si>
    <t>74.72%</t>
  </si>
  <si>
    <t>25.28%</t>
  </si>
  <si>
    <t>94.16%</t>
  </si>
  <si>
    <t>5.84%</t>
  </si>
  <si>
    <t>98.64%</t>
  </si>
  <si>
    <t>1.36%</t>
  </si>
  <si>
    <t>573 M</t>
  </si>
  <si>
    <t>490.7M</t>
  </si>
  <si>
    <t>36.94M</t>
  </si>
  <si>
    <t>26.34M</t>
  </si>
  <si>
    <t>19.34M</t>
  </si>
  <si>
    <t>71.76%</t>
  </si>
  <si>
    <t>19.96%</t>
  </si>
  <si>
    <t>2.67%</t>
  </si>
  <si>
    <t>0.61%</t>
  </si>
  <si>
    <t>0.23%</t>
  </si>
  <si>
    <t>94.10%</t>
  </si>
  <si>
    <t>5.90%</t>
  </si>
  <si>
    <t>93.74%</t>
  </si>
  <si>
    <t>6.26%</t>
  </si>
  <si>
    <t>98.76%</t>
  </si>
  <si>
    <t>1.24%</t>
  </si>
  <si>
    <t>61</t>
  </si>
  <si>
    <t>3.34M</t>
  </si>
  <si>
    <t>2.3M</t>
  </si>
  <si>
    <t>122.3M</t>
  </si>
  <si>
    <t>95.8M</t>
  </si>
  <si>
    <t>163.11M</t>
  </si>
  <si>
    <t>16.77B</t>
  </si>
  <si>
    <t>25.21 M</t>
  </si>
  <si>
    <t>Total Number of Transactions between Banks and PSPs</t>
  </si>
  <si>
    <t>Bank</t>
  </si>
  <si>
    <t>To Bank</t>
  </si>
  <si>
    <t>10.96M</t>
  </si>
  <si>
    <t>PSP</t>
  </si>
  <si>
    <t>3.04M</t>
  </si>
  <si>
    <t>To PSP</t>
  </si>
  <si>
    <t>4.79M</t>
  </si>
  <si>
    <t>6.27M</t>
  </si>
  <si>
    <t>To Acquirer</t>
  </si>
  <si>
    <t>14.62K</t>
  </si>
  <si>
    <t>135.36K</t>
  </si>
  <si>
    <t>Total Number of Money Transfer Transactions</t>
  </si>
  <si>
    <t>20.92 M</t>
  </si>
  <si>
    <t>15.19M</t>
  </si>
  <si>
    <t>Number of Money Transfer Transactions Between Banks and PSPs</t>
  </si>
  <si>
    <t>3.70M</t>
  </si>
  <si>
    <t>Total Value of Banks and PSPs Transactions</t>
  </si>
  <si>
    <t>1.61B</t>
  </si>
  <si>
    <t>298.7M</t>
  </si>
  <si>
    <t>274.4M</t>
  </si>
  <si>
    <t>273M</t>
  </si>
  <si>
    <t>225K</t>
  </si>
  <si>
    <t>Total Value of Money Transfer Transactions</t>
  </si>
  <si>
    <t>1.84 B</t>
  </si>
  <si>
    <t>376.03M</t>
  </si>
  <si>
    <t>1.47B</t>
  </si>
  <si>
    <t>Value of Money Transfer Transactions Between Banks and PSPs</t>
  </si>
  <si>
    <t>272.6M</t>
  </si>
  <si>
    <t>195.3M</t>
  </si>
  <si>
    <t>15 JOD</t>
  </si>
  <si>
    <t>44 JOD</t>
  </si>
  <si>
    <t>57 JOD</t>
  </si>
  <si>
    <t>98 JOD</t>
  </si>
  <si>
    <t>147 JOD</t>
  </si>
  <si>
    <t>97 JOD</t>
  </si>
  <si>
    <t>instant_payments</t>
  </si>
  <si>
    <t>0.995M</t>
  </si>
  <si>
    <t>1.696M</t>
  </si>
  <si>
    <t>0.965M</t>
  </si>
  <si>
    <t>3.706M</t>
  </si>
  <si>
    <t>25.21M</t>
  </si>
  <si>
    <t>Number of Transactions through Bank Accounts</t>
  </si>
  <si>
    <t>Number of Transactions through Mobile Wallets</t>
  </si>
  <si>
    <t>Value of Transactions through Bank Accounts</t>
  </si>
  <si>
    <t>Value of Transactions through Mobile Wallets</t>
  </si>
  <si>
    <t>0.57B JOD</t>
  </si>
  <si>
    <t>97.4 JOD</t>
  </si>
  <si>
    <t>Average Transaction Value through Bank Accounts</t>
  </si>
  <si>
    <t>119.3 JOD</t>
  </si>
  <si>
    <t>Average Transaction Value through Mobile Wallets</t>
  </si>
  <si>
    <t>60.7 JOD</t>
  </si>
  <si>
    <t>48.73M</t>
  </si>
  <si>
    <t>10.17B</t>
  </si>
  <si>
    <t>4.85 M</t>
  </si>
  <si>
    <t>46.1K</t>
  </si>
  <si>
    <t>6.64 M</t>
  </si>
  <si>
    <t>Number of Transactions by Category</t>
  </si>
  <si>
    <t>33K</t>
  </si>
  <si>
    <t>45K</t>
  </si>
  <si>
    <t>188K</t>
  </si>
  <si>
    <t>305K</t>
  </si>
  <si>
    <t>581K</t>
  </si>
  <si>
    <t>1.83M</t>
  </si>
  <si>
    <t>2.1M</t>
  </si>
  <si>
    <t>Percentage Based on Payment Method</t>
  </si>
  <si>
    <t>5.42M</t>
  </si>
  <si>
    <t>1.22M</t>
  </si>
  <si>
    <t>1.28 B</t>
  </si>
  <si>
    <t>Value of Transactions by Category</t>
  </si>
  <si>
    <t>7M</t>
  </si>
  <si>
    <t>14M</t>
  </si>
  <si>
    <t>13M</t>
  </si>
  <si>
    <t>34M</t>
  </si>
  <si>
    <t>47M</t>
  </si>
  <si>
    <t>51M</t>
  </si>
  <si>
    <t>90M</t>
  </si>
  <si>
    <t>276M</t>
  </si>
  <si>
    <t>723M</t>
  </si>
  <si>
    <t>1.01B</t>
  </si>
  <si>
    <t>268.6M</t>
  </si>
  <si>
    <t>192</t>
  </si>
  <si>
    <t>7.9M</t>
  </si>
  <si>
    <t>6.52B</t>
  </si>
  <si>
    <t>1.01 M</t>
  </si>
  <si>
    <t>849 M</t>
  </si>
  <si>
    <t>Number of Foreign Currency Transactions</t>
  </si>
  <si>
    <t>5974</t>
  </si>
  <si>
    <t>Value of Foreign Currency Transactions</t>
  </si>
  <si>
    <t>42.4M</t>
  </si>
  <si>
    <t>2.86M</t>
  </si>
  <si>
    <t>0.28M</t>
  </si>
  <si>
    <t>4.1M</t>
  </si>
  <si>
    <t>26.7B</t>
  </si>
  <si>
    <t>525 K</t>
  </si>
  <si>
    <t>15.6 K</t>
  </si>
  <si>
    <t>10,032</t>
  </si>
  <si>
    <t>5,558</t>
  </si>
  <si>
    <t>3.44 B</t>
  </si>
  <si>
    <t>54.6M</t>
  </si>
  <si>
    <t>29.6M</t>
  </si>
  <si>
    <t>Percentage of Returned Cheques from Total Number</t>
  </si>
  <si>
    <t>3.0%</t>
  </si>
  <si>
    <t>Percentage of Returned Cheques from Total Value</t>
  </si>
  <si>
    <t>2.45%</t>
  </si>
  <si>
    <t>1.86 B</t>
  </si>
  <si>
    <t>1.05 M</t>
  </si>
  <si>
    <t>3.35 B</t>
  </si>
  <si>
    <t>3.68 B</t>
  </si>
  <si>
    <t>narrative_text</t>
  </si>
  <si>
    <t>Increase in number of users</t>
  </si>
  <si>
    <t>Increase in number of transactions</t>
  </si>
  <si>
    <t>Increase in value of transactions</t>
  </si>
  <si>
    <t>Decrease in value of transactions</t>
  </si>
  <si>
    <t>Decrease in number of transactions</t>
  </si>
  <si>
    <t>Decrease in number of cheques</t>
  </si>
  <si>
    <t>Increase in value of cheques</t>
  </si>
  <si>
    <t>6.4%</t>
  </si>
  <si>
    <t>32.6M</t>
  </si>
  <si>
    <t>40.3M</t>
  </si>
  <si>
    <t>3.35M</t>
  </si>
  <si>
    <t>0.36M</t>
  </si>
  <si>
    <t>0.43M</t>
  </si>
  <si>
    <t>15.58M</t>
  </si>
  <si>
    <t>1.87B JOD</t>
  </si>
  <si>
    <t>9.5M</t>
  </si>
  <si>
    <t>559M JOD</t>
  </si>
  <si>
    <t>4.9M</t>
  </si>
  <si>
    <t>652</t>
  </si>
  <si>
    <t>2,245</t>
  </si>
  <si>
    <t>6.45M</t>
  </si>
  <si>
    <t>858M JOD</t>
  </si>
  <si>
    <t>539K</t>
  </si>
  <si>
    <t>16K</t>
  </si>
  <si>
    <t>75M JOD</t>
  </si>
  <si>
    <t>2025-01:2025-09</t>
  </si>
  <si>
    <t>117.3M</t>
  </si>
  <si>
    <t>14.5B</t>
  </si>
  <si>
    <t>2.0 M</t>
  </si>
  <si>
    <t>77.98K</t>
  </si>
  <si>
    <t>0.71M</t>
  </si>
  <si>
    <t>730K</t>
  </si>
  <si>
    <t>354K</t>
  </si>
  <si>
    <t>218K</t>
  </si>
  <si>
    <t>100K</t>
  </si>
  <si>
    <t>27K</t>
  </si>
  <si>
    <t>1.95M</t>
  </si>
  <si>
    <t>55.3K</t>
  </si>
  <si>
    <t>15.58 M</t>
  </si>
  <si>
    <t>12.3M</t>
  </si>
  <si>
    <t>3.28M</t>
  </si>
  <si>
    <t>1.88B</t>
  </si>
  <si>
    <t>1.87B</t>
  </si>
  <si>
    <t>533.1M</t>
  </si>
  <si>
    <t>72.7%</t>
  </si>
  <si>
    <t>120</t>
  </si>
  <si>
    <t>6.30M</t>
  </si>
  <si>
    <t>250.1M</t>
  </si>
  <si>
    <t>891.8M</t>
  </si>
  <si>
    <t>70.88M</t>
  </si>
  <si>
    <t>4.69B</t>
  </si>
  <si>
    <t>2.7 M</t>
  </si>
  <si>
    <t>330K</t>
  </si>
  <si>
    <t>1.41M</t>
  </si>
  <si>
    <t>976K</t>
  </si>
  <si>
    <t>694K</t>
  </si>
  <si>
    <t>522K</t>
  </si>
  <si>
    <t>326K</t>
  </si>
  <si>
    <t>123K</t>
  </si>
  <si>
    <t>3,574</t>
  </si>
  <si>
    <t>1,388</t>
  </si>
  <si>
    <t>992</t>
  </si>
  <si>
    <t>9.5 M</t>
  </si>
  <si>
    <t>8.27M</t>
  </si>
  <si>
    <t>128.3K</t>
  </si>
  <si>
    <t>73.24K</t>
  </si>
  <si>
    <t>83.64%</t>
  </si>
  <si>
    <t>13.34%</t>
  </si>
  <si>
    <t>2.09%</t>
  </si>
  <si>
    <t>0.68%</t>
  </si>
  <si>
    <t>0.18%</t>
  </si>
  <si>
    <t>85.85%</t>
  </si>
  <si>
    <t>14.15%</t>
  </si>
  <si>
    <t>93.45%</t>
  </si>
  <si>
    <t>6.55%</t>
  </si>
  <si>
    <t>97.61%</t>
  </si>
  <si>
    <t>2.39%</t>
  </si>
  <si>
    <t>559 M</t>
  </si>
  <si>
    <t>464.89M</t>
  </si>
  <si>
    <t>62.30M</t>
  </si>
  <si>
    <t>19.38M</t>
  </si>
  <si>
    <t>12.17M</t>
  </si>
  <si>
    <t>66.32%</t>
  </si>
  <si>
    <t>24.17%</t>
  </si>
  <si>
    <t>4.00%</t>
  </si>
  <si>
    <t>3.06%</t>
  </si>
  <si>
    <t>1.05%</t>
  </si>
  <si>
    <t>97.30%</t>
  </si>
  <si>
    <t>97.83%</t>
  </si>
  <si>
    <t>2.17%</t>
  </si>
  <si>
    <t>59</t>
  </si>
  <si>
    <t>3.31M</t>
  </si>
  <si>
    <t>118.55M</t>
  </si>
  <si>
    <t>92.17M</t>
  </si>
  <si>
    <t>188.19M</t>
  </si>
  <si>
    <t>19.2B</t>
  </si>
  <si>
    <t>25.08 M</t>
  </si>
  <si>
    <t>10.81M</t>
  </si>
  <si>
    <t>3.05M</t>
  </si>
  <si>
    <t>6.34M</t>
  </si>
  <si>
    <t>14.35K</t>
  </si>
  <si>
    <t>108.32K</t>
  </si>
  <si>
    <t>20.57 M</t>
  </si>
  <si>
    <t>5.66M</t>
  </si>
  <si>
    <t>14.91M</t>
  </si>
  <si>
    <t>2.68M</t>
  </si>
  <si>
    <t>2.42 B</t>
  </si>
  <si>
    <t>290.2M</t>
  </si>
  <si>
    <t>270.8M</t>
  </si>
  <si>
    <t>267M</t>
  </si>
  <si>
    <t>182K</t>
  </si>
  <si>
    <t>2.4%</t>
  </si>
  <si>
    <t>368.7M</t>
  </si>
  <si>
    <t>1.43B</t>
  </si>
  <si>
    <t>254.2M</t>
  </si>
  <si>
    <t>190.7M</t>
  </si>
  <si>
    <t>42 JOD</t>
  </si>
  <si>
    <t>95 JOD</t>
  </si>
  <si>
    <t>148 JOD</t>
  </si>
  <si>
    <t>117.31M</t>
  </si>
  <si>
    <t>0.99M</t>
  </si>
  <si>
    <t>3.76M</t>
  </si>
  <si>
    <t>25.08M</t>
  </si>
  <si>
    <t>9.50M</t>
  </si>
  <si>
    <t>2.42B JOD</t>
  </si>
  <si>
    <t>0.56B JOD</t>
  </si>
  <si>
    <t>96.7 JOD</t>
  </si>
  <si>
    <t>119.8 JOD</t>
  </si>
  <si>
    <t>58.8 JOD</t>
  </si>
  <si>
    <t>55.19M</t>
  </si>
  <si>
    <t>11.57B</t>
  </si>
  <si>
    <t>4.9 M</t>
  </si>
  <si>
    <t>44.6K</t>
  </si>
  <si>
    <t>6.45 M</t>
  </si>
  <si>
    <t>46K</t>
  </si>
  <si>
    <t>247K</t>
  </si>
  <si>
    <t>307K</t>
  </si>
  <si>
    <t>566K</t>
  </si>
  <si>
    <t>5.24M</t>
  </si>
  <si>
    <t>9.4%</t>
  </si>
  <si>
    <t>6M</t>
  </si>
  <si>
    <t>17M</t>
  </si>
  <si>
    <t>33M</t>
  </si>
  <si>
    <t>91M</t>
  </si>
  <si>
    <t>96M</t>
  </si>
  <si>
    <t>309M</t>
  </si>
  <si>
    <t>758M</t>
  </si>
  <si>
    <t>1.09B</t>
  </si>
  <si>
    <t>311.4M</t>
  </si>
  <si>
    <t>217</t>
  </si>
  <si>
    <t>8.9M</t>
  </si>
  <si>
    <t>7.38B</t>
  </si>
  <si>
    <t>6215</t>
  </si>
  <si>
    <t>5367</t>
  </si>
  <si>
    <t>328</t>
  </si>
  <si>
    <t>53</t>
  </si>
  <si>
    <t>858 M</t>
  </si>
  <si>
    <t>39.8M</t>
  </si>
  <si>
    <t>3.12M</t>
  </si>
  <si>
    <t>30.14B</t>
  </si>
  <si>
    <t>539 K</t>
  </si>
  <si>
    <t>Increase in number of cheques</t>
  </si>
  <si>
    <t>2.6%</t>
  </si>
  <si>
    <t>16 K</t>
  </si>
  <si>
    <t>10,477</t>
  </si>
  <si>
    <t>5,529</t>
  </si>
  <si>
    <t>3.44B</t>
  </si>
  <si>
    <t>Decrease in value of cheques</t>
  </si>
  <si>
    <t>109M</t>
  </si>
  <si>
    <t>84M</t>
  </si>
  <si>
    <t>75M</t>
  </si>
  <si>
    <t>2.18%</t>
  </si>
  <si>
    <t>45.9M</t>
  </si>
  <si>
    <t>29.1M</t>
  </si>
  <si>
    <t>2.06M</t>
  </si>
  <si>
    <t>16.59M</t>
  </si>
  <si>
    <t>2.74M</t>
  </si>
  <si>
    <t>10.13M</t>
  </si>
  <si>
    <t>555M JOD</t>
  </si>
  <si>
    <t>4.95M</t>
  </si>
  <si>
    <t>665</t>
  </si>
  <si>
    <t>2,272</t>
  </si>
  <si>
    <t>6.69M</t>
  </si>
  <si>
    <t>1.42B JOD</t>
  </si>
  <si>
    <t>872M JOD</t>
  </si>
  <si>
    <t>15.1K</t>
  </si>
  <si>
    <t>3.66B JOD</t>
  </si>
  <si>
    <t>80M JOD</t>
  </si>
  <si>
    <t>2025-01:2025-10</t>
  </si>
  <si>
    <t>133.9M</t>
  </si>
  <si>
    <t>16.36B</t>
  </si>
  <si>
    <t>2.06 M</t>
  </si>
  <si>
    <t>1.98M</t>
  </si>
  <si>
    <t>80.3K</t>
  </si>
  <si>
    <t>0.73M</t>
  </si>
  <si>
    <t>748K</t>
  </si>
  <si>
    <t>528K</t>
  </si>
  <si>
    <t>364K</t>
  </si>
  <si>
    <t>104K</t>
  </si>
  <si>
    <t>45.6K</t>
  </si>
  <si>
    <t>16.59 M</t>
  </si>
  <si>
    <t>6.5%</t>
  </si>
  <si>
    <t>13.3M</t>
  </si>
  <si>
    <t>86.7%</t>
  </si>
  <si>
    <t>506.2M</t>
  </si>
  <si>
    <t>71.7%</t>
  </si>
  <si>
    <t>22.8%</t>
  </si>
  <si>
    <t>112</t>
  </si>
  <si>
    <t>247.4M</t>
  </si>
  <si>
    <t>907.2M</t>
  </si>
  <si>
    <t>81.01M</t>
  </si>
  <si>
    <t>5.25B</t>
  </si>
  <si>
    <t>2.74 M</t>
  </si>
  <si>
    <t>334.9K</t>
  </si>
  <si>
    <t>983K</t>
  </si>
  <si>
    <t>705K</t>
  </si>
  <si>
    <t>530K</t>
  </si>
  <si>
    <t>332K</t>
  </si>
  <si>
    <t>126K</t>
  </si>
  <si>
    <t>37K</t>
  </si>
  <si>
    <t>3,568</t>
  </si>
  <si>
    <t>1,420</t>
  </si>
  <si>
    <t>1,014</t>
  </si>
  <si>
    <t>10.13 M</t>
  </si>
  <si>
    <t>8.56M</t>
  </si>
  <si>
    <t>1.47M</t>
  </si>
  <si>
    <t>82.2K</t>
  </si>
  <si>
    <t>22.8K</t>
  </si>
  <si>
    <t>77.19%</t>
  </si>
  <si>
    <t>18.80%</t>
  </si>
  <si>
    <t>Goods/Services</t>
  </si>
  <si>
    <t>1.15%</t>
  </si>
  <si>
    <t>1.29%</t>
  </si>
  <si>
    <t>0.28%</t>
  </si>
  <si>
    <t>88.53%</t>
  </si>
  <si>
    <t>89.25%</t>
  </si>
  <si>
    <t>10.75%</t>
  </si>
  <si>
    <t>93.47%</t>
  </si>
  <si>
    <t>6.53%</t>
  </si>
  <si>
    <t>555 M</t>
  </si>
  <si>
    <t>445.85M</t>
  </si>
  <si>
    <t>94.01M</t>
  </si>
  <si>
    <t>11.63M</t>
  </si>
  <si>
    <t>3.52M</t>
  </si>
  <si>
    <t>58.76%</t>
  </si>
  <si>
    <t>25.52%</t>
  </si>
  <si>
    <t>5.82%</t>
  </si>
  <si>
    <t>2.06%</t>
  </si>
  <si>
    <t>1.12%</t>
  </si>
  <si>
    <t>97.96%</t>
  </si>
  <si>
    <t>87.39%</t>
  </si>
  <si>
    <t>12.61%</t>
  </si>
  <si>
    <t>94.45%</t>
  </si>
  <si>
    <t>5.55%</t>
  </si>
  <si>
    <t>55</t>
  </si>
  <si>
    <t>3.4M</t>
  </si>
  <si>
    <t>114.4M</t>
  </si>
  <si>
    <t>92.03M</t>
  </si>
  <si>
    <t>214.91M</t>
  </si>
  <si>
    <t>21.61B</t>
  </si>
  <si>
    <t>26.72 M</t>
  </si>
  <si>
    <t>11.44M</t>
  </si>
  <si>
    <t>5.13M</t>
  </si>
  <si>
    <t>6.73M</t>
  </si>
  <si>
    <t>13.87K</t>
  </si>
  <si>
    <t>120.36K</t>
  </si>
  <si>
    <t>21.87 M</t>
  </si>
  <si>
    <t>15.97M</t>
  </si>
  <si>
    <t>3.99M</t>
  </si>
  <si>
    <t>2.41 B</t>
  </si>
  <si>
    <t>1.58B</t>
  </si>
  <si>
    <t>290M</t>
  </si>
  <si>
    <t>274.7M</t>
  </si>
  <si>
    <t>264M</t>
  </si>
  <si>
    <t>174K</t>
  </si>
  <si>
    <t>361.8M</t>
  </si>
  <si>
    <t>239.4M</t>
  </si>
  <si>
    <t>195.4M</t>
  </si>
  <si>
    <t>39 JOD</t>
  </si>
  <si>
    <t>88 JOD</t>
  </si>
  <si>
    <t>138 JOD</t>
  </si>
  <si>
    <t>90 JOD</t>
  </si>
  <si>
    <t>3.82M</t>
  </si>
  <si>
    <t>26.72M</t>
  </si>
  <si>
    <t>111.9 JOD</t>
  </si>
  <si>
    <t>54.8 JOD</t>
  </si>
  <si>
    <t>61.88M</t>
  </si>
  <si>
    <t>12.99B</t>
  </si>
  <si>
    <t>4.95 M</t>
  </si>
  <si>
    <t>55.7K</t>
  </si>
  <si>
    <t>5M</t>
  </si>
  <si>
    <t>6.69 M</t>
  </si>
  <si>
    <t>139K</t>
  </si>
  <si>
    <t>579K</t>
  </si>
  <si>
    <t>5.36M</t>
  </si>
  <si>
    <t>1.34M</t>
  </si>
  <si>
    <t>1.42 B</t>
  </si>
  <si>
    <t>15M</t>
  </si>
  <si>
    <t>18M</t>
  </si>
  <si>
    <t>41M</t>
  </si>
  <si>
    <t>58M</t>
  </si>
  <si>
    <t>80M</t>
  </si>
  <si>
    <t>354M</t>
  </si>
  <si>
    <t>788M</t>
  </si>
  <si>
    <t>1.06B</t>
  </si>
  <si>
    <t>352M</t>
  </si>
  <si>
    <t>9.94M</t>
  </si>
  <si>
    <t>8.25B</t>
  </si>
  <si>
    <t>1.04 M</t>
  </si>
  <si>
    <t>6250</t>
  </si>
  <si>
    <t>332</t>
  </si>
  <si>
    <t>872 M</t>
  </si>
  <si>
    <t>40.6M</t>
  </si>
  <si>
    <t>2.8M</t>
  </si>
  <si>
    <t>0.39M</t>
  </si>
  <si>
    <t>33.81B</t>
  </si>
  <si>
    <t>516 K</t>
  </si>
  <si>
    <t>15.1 K</t>
  </si>
  <si>
    <t>9,735</t>
  </si>
  <si>
    <t>5,359</t>
  </si>
  <si>
    <t>3.66B</t>
  </si>
  <si>
    <t>45.2M</t>
  </si>
  <si>
    <t>34.5M</t>
  </si>
  <si>
    <t>16.35M</t>
  </si>
  <si>
    <t>1.73B JOD</t>
  </si>
  <si>
    <t>2.78M</t>
  </si>
  <si>
    <t>10.1M</t>
  </si>
  <si>
    <t>526M JOD</t>
  </si>
  <si>
    <t>676</t>
  </si>
  <si>
    <t>2,310</t>
  </si>
  <si>
    <t>6.52M</t>
  </si>
  <si>
    <t>1.41B JOD</t>
  </si>
  <si>
    <t>818M JOD</t>
  </si>
  <si>
    <t>17.9K</t>
  </si>
  <si>
    <t>3.3B JOD</t>
  </si>
  <si>
    <t>88M JOD</t>
  </si>
  <si>
    <t>2025-01:2025-11</t>
  </si>
  <si>
    <t>150.25M</t>
  </si>
  <si>
    <t>18.09B</t>
  </si>
  <si>
    <t>2.09 M</t>
  </si>
  <si>
    <t>82.4K</t>
  </si>
  <si>
    <t>0.75M</t>
  </si>
  <si>
    <t>761K</t>
  </si>
  <si>
    <t>536K</t>
  </si>
  <si>
    <t>371K</t>
  </si>
  <si>
    <t>229K</t>
  </si>
  <si>
    <t>106K</t>
  </si>
  <si>
    <t>47K</t>
  </si>
  <si>
    <t>16.35 M</t>
  </si>
  <si>
    <t>13.2M</t>
  </si>
  <si>
    <t>3.17M</t>
  </si>
  <si>
    <t>87%</t>
  </si>
  <si>
    <t>10.6%</t>
  </si>
  <si>
    <t>1.73B</t>
  </si>
  <si>
    <t>6.9%</t>
  </si>
  <si>
    <t>1.27B</t>
  </si>
  <si>
    <t>462.5M</t>
  </si>
  <si>
    <t>71.9%</t>
  </si>
  <si>
    <t>99.95%</t>
  </si>
  <si>
    <t>0.05%</t>
  </si>
  <si>
    <t>106</t>
  </si>
  <si>
    <t>2.49M</t>
  </si>
  <si>
    <t>232.2M</t>
  </si>
  <si>
    <t>846.5M</t>
  </si>
  <si>
    <t>91.11M</t>
  </si>
  <si>
    <t>5.78B</t>
  </si>
  <si>
    <t>2.78 M</t>
  </si>
  <si>
    <t>2.44M</t>
  </si>
  <si>
    <t>339.8K</t>
  </si>
  <si>
    <t>1.003M</t>
  </si>
  <si>
    <t>714K</t>
  </si>
  <si>
    <t>336K</t>
  </si>
  <si>
    <t>129K</t>
  </si>
  <si>
    <t>3,627</t>
  </si>
  <si>
    <t>1,469</t>
  </si>
  <si>
    <t>1,034</t>
  </si>
  <si>
    <t>10.1 M</t>
  </si>
  <si>
    <t>8.55M</t>
  </si>
  <si>
    <t>72.8K</t>
  </si>
  <si>
    <t>21.4K</t>
  </si>
  <si>
    <t>78.07%</t>
  </si>
  <si>
    <t>18.36%</t>
  </si>
  <si>
    <t>1.11%</t>
  </si>
  <si>
    <t>1.27%</t>
  </si>
  <si>
    <t>1.01%</t>
  </si>
  <si>
    <t>0.11%</t>
  </si>
  <si>
    <t>88.62%</t>
  </si>
  <si>
    <t>11.38%</t>
  </si>
  <si>
    <t>88.13%</t>
  </si>
  <si>
    <t>11.87%</t>
  </si>
  <si>
    <t>92.83%</t>
  </si>
  <si>
    <t>7.17%</t>
  </si>
  <si>
    <t>526 M</t>
  </si>
  <si>
    <t>421.98M</t>
  </si>
  <si>
    <t>90.98M</t>
  </si>
  <si>
    <t>10.06M</t>
  </si>
  <si>
    <t>59.74%</t>
  </si>
  <si>
    <t>25.35%</t>
  </si>
  <si>
    <t>6.2%</t>
  </si>
  <si>
    <t>4.38%</t>
  </si>
  <si>
    <t>1.95%</t>
  </si>
  <si>
    <t>1.41%</t>
  </si>
  <si>
    <t>0.98%</t>
  </si>
  <si>
    <t>98.00%</t>
  </si>
  <si>
    <t>2.00%</t>
  </si>
  <si>
    <t>85.95%</t>
  </si>
  <si>
    <t>14.05%</t>
  </si>
  <si>
    <t>93.25%</t>
  </si>
  <si>
    <t>6.75%</t>
  </si>
  <si>
    <t>52</t>
  </si>
  <si>
    <t>3.47M</t>
  </si>
  <si>
    <t>107.89M</t>
  </si>
  <si>
    <t>84.52M</t>
  </si>
  <si>
    <t>241.36M</t>
  </si>
  <si>
    <t>23.86B</t>
  </si>
  <si>
    <t>26.45 M</t>
  </si>
  <si>
    <t>11.24M</t>
  </si>
  <si>
    <t>5.1M</t>
  </si>
  <si>
    <t>6.72M</t>
  </si>
  <si>
    <t>12.04K</t>
  </si>
  <si>
    <t>112.9K</t>
  </si>
  <si>
    <t>21.73 M</t>
  </si>
  <si>
    <t>5.96M</t>
  </si>
  <si>
    <t>15.78M</t>
  </si>
  <si>
    <t>2.76M</t>
  </si>
  <si>
    <t>2.25 B</t>
  </si>
  <si>
    <t>279.2M</t>
  </si>
  <si>
    <t>262.9M</t>
  </si>
  <si>
    <t>245.7M</t>
  </si>
  <si>
    <t>148K</t>
  </si>
  <si>
    <t>340.05M</t>
  </si>
  <si>
    <t>229.6M</t>
  </si>
  <si>
    <t>187M</t>
  </si>
  <si>
    <t>10 JOD</t>
  </si>
  <si>
    <t>37 JOD</t>
  </si>
  <si>
    <t>52 JOD</t>
  </si>
  <si>
    <t>86 JOD</t>
  </si>
  <si>
    <t>85 JOD</t>
  </si>
  <si>
    <t>1.73M</t>
  </si>
  <si>
    <t>3.88M</t>
  </si>
  <si>
    <t>26.45M</t>
  </si>
  <si>
    <t>2.25B JOD</t>
  </si>
  <si>
    <t>0.53B JOD</t>
  </si>
  <si>
    <t>85.2 JOD</t>
  </si>
  <si>
    <t>105.7 JOD</t>
  </si>
  <si>
    <t>52.1 JOD</t>
  </si>
  <si>
    <t>68.4M</t>
  </si>
  <si>
    <t>14.39B</t>
  </si>
  <si>
    <t>5.0 M</t>
  </si>
  <si>
    <t>41.5K</t>
  </si>
  <si>
    <t>6.52 M</t>
  </si>
  <si>
    <t>43K</t>
  </si>
  <si>
    <t>60K</t>
  </si>
  <si>
    <t>321K</t>
  </si>
  <si>
    <t>573K</t>
  </si>
  <si>
    <t>1.37M</t>
  </si>
  <si>
    <t>5.25M</t>
  </si>
  <si>
    <t>8M</t>
  </si>
  <si>
    <t>54M</t>
  </si>
  <si>
    <t>74M</t>
  </si>
  <si>
    <t>341M</t>
  </si>
  <si>
    <t>836M</t>
  </si>
  <si>
    <t>1.07B</t>
  </si>
  <si>
    <t>338.5M</t>
  </si>
  <si>
    <t>216</t>
  </si>
  <si>
    <t>10.97M</t>
  </si>
  <si>
    <t>9.07B</t>
  </si>
  <si>
    <t>6350</t>
  </si>
  <si>
    <t>283</t>
  </si>
  <si>
    <t>818 M</t>
  </si>
  <si>
    <t>40.2M</t>
  </si>
  <si>
    <t>2.65M</t>
  </si>
  <si>
    <t>0.29M</t>
  </si>
  <si>
    <t>37.11B</t>
  </si>
  <si>
    <t>9%</t>
  </si>
  <si>
    <t>17.9 K</t>
  </si>
  <si>
    <t>11,728</t>
  </si>
  <si>
    <t>6,157</t>
  </si>
  <si>
    <t>3.3B</t>
  </si>
  <si>
    <t>9.9%</t>
  </si>
  <si>
    <t>88M</t>
  </si>
  <si>
    <t>2.68%</t>
  </si>
  <si>
    <t>49.7M</t>
  </si>
  <si>
    <t>38.7M</t>
  </si>
  <si>
    <t>2.13M</t>
  </si>
  <si>
    <t>17.67M</t>
  </si>
  <si>
    <t>2.81M</t>
  </si>
  <si>
    <t>10.93M</t>
  </si>
  <si>
    <t>566M JOD</t>
  </si>
  <si>
    <t>685</t>
  </si>
  <si>
    <t>2,323</t>
  </si>
  <si>
    <t>7.03M</t>
  </si>
  <si>
    <t>939M JOD</t>
  </si>
  <si>
    <t>570K</t>
  </si>
  <si>
    <t>17.7K</t>
  </si>
  <si>
    <t>3.85B JOD</t>
  </si>
  <si>
    <t>98M JOD</t>
  </si>
  <si>
    <t>2025-01:2025-12</t>
  </si>
  <si>
    <t>167.92M</t>
  </si>
  <si>
    <t>19.97B</t>
  </si>
  <si>
    <t>2.13 M</t>
  </si>
  <si>
    <t>84K</t>
  </si>
  <si>
    <t>0.76M</t>
  </si>
  <si>
    <t>10K</t>
  </si>
  <si>
    <t>775K</t>
  </si>
  <si>
    <t>542K</t>
  </si>
  <si>
    <t>375K</t>
  </si>
  <si>
    <t>232K</t>
  </si>
  <si>
    <t>107K</t>
  </si>
  <si>
    <t>48.3K</t>
  </si>
  <si>
    <t>17.67 M</t>
  </si>
  <si>
    <t>8.1%</t>
  </si>
  <si>
    <t>3.42M</t>
  </si>
  <si>
    <t>1.38B</t>
  </si>
  <si>
    <t>498.5M</t>
  </si>
  <si>
    <t>71.3%</t>
  </si>
  <si>
    <t>23%</t>
  </si>
  <si>
    <t>7.26M</t>
  </si>
  <si>
    <t>255.8M</t>
  </si>
  <si>
    <t>928.2M</t>
  </si>
  <si>
    <t>102.04M</t>
  </si>
  <si>
    <t>6.34B</t>
  </si>
  <si>
    <t>2.81 M</t>
  </si>
  <si>
    <t>2.47M</t>
  </si>
  <si>
    <t>344.2K</t>
  </si>
  <si>
    <t>1.026M</t>
  </si>
  <si>
    <t>720K</t>
  </si>
  <si>
    <t>540K</t>
  </si>
  <si>
    <t>339K</t>
  </si>
  <si>
    <t>38K</t>
  </si>
  <si>
    <t>3,716</t>
  </si>
  <si>
    <t>1,511</t>
  </si>
  <si>
    <t>1,045</t>
  </si>
  <si>
    <t>10.93 M</t>
  </si>
  <si>
    <t>9.24M</t>
  </si>
  <si>
    <t>72.39K</t>
  </si>
  <si>
    <t>18.21%</t>
  </si>
  <si>
    <t>1.22%</t>
  </si>
  <si>
    <t>0.93%</t>
  </si>
  <si>
    <t>88.99%</t>
  </si>
  <si>
    <t>11.01%</t>
  </si>
  <si>
    <t>90.05%</t>
  </si>
  <si>
    <t>9.95%</t>
  </si>
  <si>
    <t>566 M</t>
  </si>
  <si>
    <t>7.5%</t>
  </si>
  <si>
    <t>449.56M</t>
  </si>
  <si>
    <t>101.82M</t>
  </si>
  <si>
    <t>10.52M</t>
  </si>
  <si>
    <t>59.03%</t>
  </si>
  <si>
    <t>25.43%</t>
  </si>
  <si>
    <t>6.0%</t>
  </si>
  <si>
    <t>2.32%</t>
  </si>
  <si>
    <t>98.16%</t>
  </si>
  <si>
    <t>1.84%</t>
  </si>
  <si>
    <t>88.69%</t>
  </si>
  <si>
    <t>11.31%</t>
  </si>
  <si>
    <t>93.99%</t>
  </si>
  <si>
    <t>3.83M</t>
  </si>
  <si>
    <t>117.79M</t>
  </si>
  <si>
    <t>88.86M</t>
  </si>
  <si>
    <t>269.96M</t>
  </si>
  <si>
    <t>26.31B</t>
  </si>
  <si>
    <t>28.6 M</t>
  </si>
  <si>
    <t>12.14M</t>
  </si>
  <si>
    <t>5.52M</t>
  </si>
  <si>
    <t>7.32M</t>
  </si>
  <si>
    <t>10.8K</t>
  </si>
  <si>
    <t>114.72K</t>
  </si>
  <si>
    <t>23.49 M</t>
  </si>
  <si>
    <t>16.96M</t>
  </si>
  <si>
    <t>2.95M</t>
  </si>
  <si>
    <t>4.29M</t>
  </si>
  <si>
    <t>298.6M</t>
  </si>
  <si>
    <t>278.2M</t>
  </si>
  <si>
    <t>265.7M</t>
  </si>
  <si>
    <t>128K</t>
  </si>
  <si>
    <t>373.6M</t>
  </si>
  <si>
    <t>1.46B</t>
  </si>
  <si>
    <t>242.9M</t>
  </si>
  <si>
    <t>197.7M</t>
  </si>
  <si>
    <t>36 JOD</t>
  </si>
  <si>
    <t>50 JOD</t>
  </si>
  <si>
    <t>132 JOD</t>
  </si>
  <si>
    <t>1.07M</t>
  </si>
  <si>
    <t>3.93M</t>
  </si>
  <si>
    <t>28.6M</t>
  </si>
  <si>
    <t>2.44B JOD</t>
  </si>
  <si>
    <t>85.5 JOD</t>
  </si>
  <si>
    <t>106.4 JOD</t>
  </si>
  <si>
    <t>51.8 JOD</t>
  </si>
  <si>
    <t>75.43M</t>
  </si>
  <si>
    <t>15.99B</t>
  </si>
  <si>
    <t>44.3K</t>
  </si>
  <si>
    <t>7.03 M</t>
  </si>
  <si>
    <t>32K</t>
  </si>
  <si>
    <t>156K</t>
  </si>
  <si>
    <t>316K</t>
  </si>
  <si>
    <t>592K</t>
  </si>
  <si>
    <t>1.99M</t>
  </si>
  <si>
    <t>5.65M</t>
  </si>
  <si>
    <t>13.7%</t>
  </si>
  <si>
    <t>16M</t>
  </si>
  <si>
    <t>36M</t>
  </si>
  <si>
    <t>43M</t>
  </si>
  <si>
    <t>77M</t>
  </si>
  <si>
    <t>422M</t>
  </si>
  <si>
    <t>899M</t>
  </si>
  <si>
    <t>1.17B</t>
  </si>
  <si>
    <t>425.6M</t>
  </si>
  <si>
    <t>228</t>
  </si>
  <si>
    <t>12.16M</t>
  </si>
  <si>
    <t>10.01B</t>
  </si>
  <si>
    <t>1.19 M</t>
  </si>
  <si>
    <t>16.4%</t>
  </si>
  <si>
    <t>6297</t>
  </si>
  <si>
    <t>307</t>
  </si>
  <si>
    <t>41</t>
  </si>
  <si>
    <t>939 M</t>
  </si>
  <si>
    <t>14.8%</t>
  </si>
  <si>
    <t>41.2M</t>
  </si>
  <si>
    <t>0.33M</t>
  </si>
  <si>
    <t>6.29M</t>
  </si>
  <si>
    <t>40.96B</t>
  </si>
  <si>
    <t>570 K</t>
  </si>
  <si>
    <t>17.7 K</t>
  </si>
  <si>
    <t>11,698</t>
  </si>
  <si>
    <t>6,019</t>
  </si>
  <si>
    <t>3.85B</t>
  </si>
  <si>
    <t>16.8%</t>
  </si>
  <si>
    <t>98M</t>
  </si>
  <si>
    <t>64M</t>
  </si>
  <si>
    <t>33.8M</t>
  </si>
  <si>
    <t>17.7M</t>
  </si>
  <si>
    <t>1.9B JOD</t>
  </si>
  <si>
    <t>11.83M</t>
  </si>
  <si>
    <t>0.58B JOD</t>
  </si>
  <si>
    <t>686</t>
  </si>
  <si>
    <t>2,346</t>
  </si>
  <si>
    <t>1.39B JOD</t>
  </si>
  <si>
    <t>862M JOD</t>
  </si>
  <si>
    <t>407K</t>
  </si>
  <si>
    <t>11.4K</t>
  </si>
  <si>
    <t>3.07B JOD</t>
  </si>
  <si>
    <t>65.9M JOD</t>
  </si>
  <si>
    <t>2026-01:2026-01</t>
  </si>
  <si>
    <t>1.9B</t>
  </si>
  <si>
    <t>2.16 M</t>
  </si>
  <si>
    <t>85.6K</t>
  </si>
  <si>
    <t>0.78M</t>
  </si>
  <si>
    <t>785K</t>
  </si>
  <si>
    <t>550K</t>
  </si>
  <si>
    <t>382K</t>
  </si>
  <si>
    <t>237K</t>
  </si>
  <si>
    <t>110K</t>
  </si>
  <si>
    <t>30K</t>
  </si>
  <si>
    <t>7K</t>
  </si>
  <si>
    <t>2.11M</t>
  </si>
  <si>
    <t>49.4K</t>
  </si>
  <si>
    <t>17.7 M</t>
  </si>
  <si>
    <t>14.29M</t>
  </si>
  <si>
    <t>3.41M</t>
  </si>
  <si>
    <t>1.0%</t>
  </si>
  <si>
    <t>505.1M</t>
  </si>
  <si>
    <t>23.2%</t>
  </si>
  <si>
    <t>107</t>
  </si>
  <si>
    <t>2.69M</t>
  </si>
  <si>
    <t>260.2M</t>
  </si>
  <si>
    <t>938.4M</t>
  </si>
  <si>
    <t>0.58B</t>
  </si>
  <si>
    <t>2.85 M</t>
  </si>
  <si>
    <t>348.5K</t>
  </si>
  <si>
    <t>1.33M</t>
  </si>
  <si>
    <t>1.039M</t>
  </si>
  <si>
    <t>728K</t>
  </si>
  <si>
    <t>546K</t>
  </si>
  <si>
    <t>343K</t>
  </si>
  <si>
    <t>132K</t>
  </si>
  <si>
    <t>3,799</t>
  </si>
  <si>
    <t>1,577</t>
  </si>
  <si>
    <t>1,052</t>
  </si>
  <si>
    <t>11.83 M</t>
  </si>
  <si>
    <t>8.3%</t>
  </si>
  <si>
    <t>10.01M</t>
  </si>
  <si>
    <t>71.55K</t>
  </si>
  <si>
    <t>21.25K</t>
  </si>
  <si>
    <t>78.73%</t>
  </si>
  <si>
    <t>17.39%</t>
  </si>
  <si>
    <t>1.16%</t>
  </si>
  <si>
    <t>1.68%</t>
  </si>
  <si>
    <t>11.71%</t>
  </si>
  <si>
    <t>90.59%</t>
  </si>
  <si>
    <t>9.41%</t>
  </si>
  <si>
    <t>93.44%</t>
  </si>
  <si>
    <t>6.56%</t>
  </si>
  <si>
    <t>584 M</t>
  </si>
  <si>
    <t>460.72M</t>
  </si>
  <si>
    <t>109.61M</t>
  </si>
  <si>
    <t>3.75M</t>
  </si>
  <si>
    <t>60.77%</t>
  </si>
  <si>
    <t>24.24%</t>
  </si>
  <si>
    <t>5.99%</t>
  </si>
  <si>
    <t>4.65%</t>
  </si>
  <si>
    <t>1.92%</t>
  </si>
  <si>
    <t>1.45%</t>
  </si>
  <si>
    <t>0.97%</t>
  </si>
  <si>
    <t>98.04%</t>
  </si>
  <si>
    <t>1.96%</t>
  </si>
  <si>
    <t>90.20%</t>
  </si>
  <si>
    <t>9.80%</t>
  </si>
  <si>
    <t>94.30%</t>
  </si>
  <si>
    <t>5.70%</t>
  </si>
  <si>
    <t>49</t>
  </si>
  <si>
    <t>2.54M</t>
  </si>
  <si>
    <t>131.42M</t>
  </si>
  <si>
    <t>91.32M</t>
  </si>
  <si>
    <t>29.53M</t>
  </si>
  <si>
    <t>2.48B</t>
  </si>
  <si>
    <t>29.53 M</t>
  </si>
  <si>
    <t>12.1M</t>
  </si>
  <si>
    <t>3.55M</t>
  </si>
  <si>
    <t>11.95K</t>
  </si>
  <si>
    <t>136.11K</t>
  </si>
  <si>
    <t>24.3 M</t>
  </si>
  <si>
    <t>7.16M</t>
  </si>
  <si>
    <t>17.14M</t>
  </si>
  <si>
    <t>2.99M</t>
  </si>
  <si>
    <t>4.34M</t>
  </si>
  <si>
    <t>2.48 B</t>
  </si>
  <si>
    <t>1.62B</t>
  </si>
  <si>
    <t>297.1M</t>
  </si>
  <si>
    <t>285.6M</t>
  </si>
  <si>
    <t>143K</t>
  </si>
  <si>
    <t>1.85 B</t>
  </si>
  <si>
    <t>391.6M</t>
  </si>
  <si>
    <t>238M</t>
  </si>
  <si>
    <t>194.5M</t>
  </si>
  <si>
    <t>35 JOD</t>
  </si>
  <si>
    <t>49 JOD</t>
  </si>
  <si>
    <t>84 JOD</t>
  </si>
  <si>
    <t>134 JOD</t>
  </si>
  <si>
    <t>1.76M</t>
  </si>
  <si>
    <t>2.48B JOD</t>
  </si>
  <si>
    <t>84.1 JOD</t>
  </si>
  <si>
    <t>107.2 JOD</t>
  </si>
  <si>
    <t>49.4 JOD</t>
  </si>
  <si>
    <t>5.09 M</t>
  </si>
  <si>
    <t>46.2K</t>
  </si>
  <si>
    <t>6.53 M</t>
  </si>
  <si>
    <t>50K</t>
  </si>
  <si>
    <t>64K</t>
  </si>
  <si>
    <t>290K</t>
  </si>
  <si>
    <t>5.28M</t>
  </si>
  <si>
    <t>1.25M</t>
  </si>
  <si>
    <t>39M</t>
  </si>
  <si>
    <t>219M</t>
  </si>
  <si>
    <t>904M</t>
  </si>
  <si>
    <t>1.15B</t>
  </si>
  <si>
    <t>240M</t>
  </si>
  <si>
    <t>213</t>
  </si>
  <si>
    <t>0.86B</t>
  </si>
  <si>
    <t>1.03 M</t>
  </si>
  <si>
    <t>13.4%</t>
  </si>
  <si>
    <t>5923</t>
  </si>
  <si>
    <t>264</t>
  </si>
  <si>
    <t>28</t>
  </si>
  <si>
    <t>862 M</t>
  </si>
  <si>
    <t>38.8M</t>
  </si>
  <si>
    <t>0.24M</t>
  </si>
  <si>
    <t>407.5K</t>
  </si>
  <si>
    <t>3.07B</t>
  </si>
  <si>
    <t>408 K</t>
  </si>
  <si>
    <t>28.5%</t>
  </si>
  <si>
    <t>11.4 K</t>
  </si>
  <si>
    <t>7,284</t>
  </si>
  <si>
    <t>4,136</t>
  </si>
  <si>
    <t>66M</t>
  </si>
  <si>
    <t>37.3M</t>
  </si>
  <si>
    <t>2.2M</t>
  </si>
  <si>
    <t>16.58M</t>
  </si>
  <si>
    <t>1.79B JOD</t>
  </si>
  <si>
    <t>2.88M</t>
  </si>
  <si>
    <t>10.84M</t>
  </si>
  <si>
    <t>0.55B JOD</t>
  </si>
  <si>
    <t>698</t>
  </si>
  <si>
    <t>2,388</t>
  </si>
  <si>
    <t>1.24B JOD</t>
  </si>
  <si>
    <t>886M JOD</t>
  </si>
  <si>
    <t>479K</t>
  </si>
  <si>
    <t>14.3K</t>
  </si>
  <si>
    <t>3.23B JOD</t>
  </si>
  <si>
    <t>75.3M JOD</t>
  </si>
  <si>
    <t>2026-01:2026-02</t>
  </si>
  <si>
    <t>34.28M</t>
  </si>
  <si>
    <t>3.69B</t>
  </si>
  <si>
    <t>2.2 M</t>
  </si>
  <si>
    <t>87.9K</t>
  </si>
  <si>
    <t>0.8M</t>
  </si>
  <si>
    <t>791K</t>
  </si>
  <si>
    <t>392K</t>
  </si>
  <si>
    <t>243K</t>
  </si>
  <si>
    <t>113K</t>
  </si>
  <si>
    <t>31K</t>
  </si>
  <si>
    <t>2.15M</t>
  </si>
  <si>
    <t>51K</t>
  </si>
  <si>
    <t>16.58 M</t>
  </si>
  <si>
    <t>13.40M</t>
  </si>
  <si>
    <t>3.18M</t>
  </si>
  <si>
    <t>1.79B</t>
  </si>
  <si>
    <t>464.2M</t>
  </si>
  <si>
    <t>72.1%</t>
  </si>
  <si>
    <t>22.4%</t>
  </si>
  <si>
    <t>108</t>
  </si>
  <si>
    <t>6.83M</t>
  </si>
  <si>
    <t>246.9M</t>
  </si>
  <si>
    <t>889.5M</t>
  </si>
  <si>
    <t>22.67M</t>
  </si>
  <si>
    <t>2.88 M</t>
  </si>
  <si>
    <t>353.4K</t>
  </si>
  <si>
    <t>739K</t>
  </si>
  <si>
    <t>555K</t>
  </si>
  <si>
    <t>349K</t>
  </si>
  <si>
    <t>136K</t>
  </si>
  <si>
    <t>2.9M</t>
  </si>
  <si>
    <t>3,865</t>
  </si>
  <si>
    <t>1,639</t>
  </si>
  <si>
    <t>1,061</t>
  </si>
  <si>
    <t>10.84 M</t>
  </si>
  <si>
    <t>69.09K</t>
  </si>
  <si>
    <t>19.73K</t>
  </si>
  <si>
    <t>78.78%</t>
  </si>
  <si>
    <t>17.27%</t>
  </si>
  <si>
    <t>1.10%</t>
  </si>
  <si>
    <t>88.18%</t>
  </si>
  <si>
    <t>11.82%</t>
  </si>
  <si>
    <t>91.80%</t>
  </si>
  <si>
    <t>8.20%</t>
  </si>
  <si>
    <t>93.35%</t>
  </si>
  <si>
    <t>6.65%</t>
  </si>
  <si>
    <t>553 M</t>
  </si>
  <si>
    <t>437.18M</t>
  </si>
  <si>
    <t>103.03M</t>
  </si>
  <si>
    <t>9.71M</t>
  </si>
  <si>
    <t>3.48M</t>
  </si>
  <si>
    <t>61.45%</t>
  </si>
  <si>
    <t>24.06%</t>
  </si>
  <si>
    <t>5.57%</t>
  </si>
  <si>
    <t>4.31%</t>
  </si>
  <si>
    <t>98.02%</t>
  </si>
  <si>
    <t>1.98%</t>
  </si>
  <si>
    <t>90.93%</t>
  </si>
  <si>
    <t>9.07%</t>
  </si>
  <si>
    <t>93.81%</t>
  </si>
  <si>
    <t>6.19%</t>
  </si>
  <si>
    <t>51</t>
  </si>
  <si>
    <t>4.11M</t>
  </si>
  <si>
    <t>127.1M</t>
  </si>
  <si>
    <t>87.6M</t>
  </si>
  <si>
    <t>56.95M</t>
  </si>
  <si>
    <t>4.83B</t>
  </si>
  <si>
    <t>27.42 M</t>
  </si>
  <si>
    <t>7.1%</t>
  </si>
  <si>
    <t>11.39M</t>
  </si>
  <si>
    <t>5.18M</t>
  </si>
  <si>
    <t>7.46M</t>
  </si>
  <si>
    <t>11.82K</t>
  </si>
  <si>
    <t>127.34K</t>
  </si>
  <si>
    <t>22.56 M</t>
  </si>
  <si>
    <t>6.65M</t>
  </si>
  <si>
    <t>15.91M</t>
  </si>
  <si>
    <t>2.75M</t>
  </si>
  <si>
    <t>4.03M</t>
  </si>
  <si>
    <t>2.35 B</t>
  </si>
  <si>
    <t>1.52B</t>
  </si>
  <si>
    <t>277.7M</t>
  </si>
  <si>
    <t>269.6M</t>
  </si>
  <si>
    <t>274.2M</t>
  </si>
  <si>
    <t>147K</t>
  </si>
  <si>
    <t>1.77 B</t>
  </si>
  <si>
    <t>4.8%</t>
  </si>
  <si>
    <t>374M</t>
  </si>
  <si>
    <t>222.6M</t>
  </si>
  <si>
    <t>191.7M</t>
  </si>
  <si>
    <t>1.77M</t>
  </si>
  <si>
    <t>27.42M</t>
  </si>
  <si>
    <t>2.35B JOD</t>
  </si>
  <si>
    <t>108.1 JOD</t>
  </si>
  <si>
    <t>51.1 JOD</t>
  </si>
  <si>
    <t>13.11M</t>
  </si>
  <si>
    <t>2.63B</t>
  </si>
  <si>
    <t>43.5K</t>
  </si>
  <si>
    <t>48K</t>
  </si>
  <si>
    <t>244K</t>
  </si>
  <si>
    <t>297K</t>
  </si>
  <si>
    <t>1.52M</t>
  </si>
  <si>
    <t>5.33M</t>
  </si>
  <si>
    <t>11M</t>
  </si>
  <si>
    <t>32M</t>
  </si>
  <si>
    <t>79M</t>
  </si>
  <si>
    <t>83M</t>
  </si>
  <si>
    <t>174M</t>
  </si>
  <si>
    <t>755M</t>
  </si>
  <si>
    <t>170.8M</t>
  </si>
  <si>
    <t>1.75B</t>
  </si>
  <si>
    <t>1.08 M</t>
  </si>
  <si>
    <t>5442</t>
  </si>
  <si>
    <t>31</t>
  </si>
  <si>
    <t>886 M</t>
  </si>
  <si>
    <t>37.9M</t>
  </si>
  <si>
    <t>886.7K</t>
  </si>
  <si>
    <t>6.31B</t>
  </si>
  <si>
    <t>479 K</t>
  </si>
  <si>
    <t>17.6%</t>
  </si>
  <si>
    <t>14.3 K</t>
  </si>
  <si>
    <t>9,062</t>
  </si>
  <si>
    <t>5,276</t>
  </si>
  <si>
    <t>3.23B</t>
  </si>
  <si>
    <t>97.8M</t>
  </si>
  <si>
    <t>65.9M</t>
  </si>
  <si>
    <t>75.3M</t>
  </si>
  <si>
    <t>2.33%</t>
  </si>
  <si>
    <t>43.5M</t>
  </si>
  <si>
    <t>31.8M</t>
  </si>
  <si>
    <t>19.01M</t>
  </si>
  <si>
    <t>2.02B JOD</t>
  </si>
  <si>
    <t>2.91M</t>
  </si>
  <si>
    <t>12.76M</t>
  </si>
  <si>
    <t>652M JOD</t>
  </si>
  <si>
    <t>5.17M</t>
  </si>
  <si>
    <t>707</t>
  </si>
  <si>
    <t>2,429</t>
  </si>
  <si>
    <t>7.36M</t>
  </si>
  <si>
    <t>1.12M</t>
  </si>
  <si>
    <t>937M JOD</t>
  </si>
  <si>
    <t>567K</t>
  </si>
  <si>
    <t>20.1K</t>
  </si>
  <si>
    <t>3.43B JOD</t>
  </si>
  <si>
    <t>2026-01:2026-03</t>
  </si>
  <si>
    <t>53.29M</t>
  </si>
  <si>
    <t>5.71B</t>
  </si>
  <si>
    <t>2.22 M</t>
  </si>
  <si>
    <t>89.2K</t>
  </si>
  <si>
    <t>795K</t>
  </si>
  <si>
    <t>397K</t>
  </si>
  <si>
    <t>246K</t>
  </si>
  <si>
    <t>115K</t>
  </si>
  <si>
    <t>52.1K</t>
  </si>
  <si>
    <t>19.01 M</t>
  </si>
  <si>
    <t>15.48M</t>
  </si>
  <si>
    <t>3.53M</t>
  </si>
  <si>
    <t>2.02B</t>
  </si>
  <si>
    <t>1.51B</t>
  </si>
  <si>
    <t>510.7M</t>
  </si>
  <si>
    <t>22.6%</t>
  </si>
  <si>
    <t>7.82M</t>
  </si>
  <si>
    <t>279.1M</t>
  </si>
  <si>
    <t>35.43M</t>
  </si>
  <si>
    <t>2.91 M</t>
  </si>
  <si>
    <t>356.6K</t>
  </si>
  <si>
    <t>1.55M</t>
  </si>
  <si>
    <t>746K</t>
  </si>
  <si>
    <t>560K</t>
  </si>
  <si>
    <t>352K</t>
  </si>
  <si>
    <t>138K</t>
  </si>
  <si>
    <t>40K</t>
  </si>
  <si>
    <t>4,020</t>
  </si>
  <si>
    <t>1,662</t>
  </si>
  <si>
    <t>1,064</t>
  </si>
  <si>
    <t>12.76 M</t>
  </si>
  <si>
    <t>17.7%</t>
  </si>
  <si>
    <t>10.78M</t>
  </si>
  <si>
    <t>1.89M</t>
  </si>
  <si>
    <t>73.87K</t>
  </si>
  <si>
    <t>20.79K</t>
  </si>
  <si>
    <t>79.25%</t>
  </si>
  <si>
    <t>17.14%</t>
  </si>
  <si>
    <t>1.09%</t>
  </si>
  <si>
    <t>1.59%</t>
  </si>
  <si>
    <t>0.83%</t>
  </si>
  <si>
    <t>87.76%</t>
  </si>
  <si>
    <t>12.24%</t>
  </si>
  <si>
    <t>91.43%</t>
  </si>
  <si>
    <t>8.57%</t>
  </si>
  <si>
    <t>92.50%</t>
  </si>
  <si>
    <t>7.50%</t>
  </si>
  <si>
    <t>652 M</t>
  </si>
  <si>
    <t>17.8%</t>
  </si>
  <si>
    <t>502.75M</t>
  </si>
  <si>
    <t>134.84M</t>
  </si>
  <si>
    <t>10.46M</t>
  </si>
  <si>
    <t>3.81M</t>
  </si>
  <si>
    <t>62.18%</t>
  </si>
  <si>
    <t>23.89%</t>
  </si>
  <si>
    <t>5.91%</t>
  </si>
  <si>
    <t>4.22%</t>
  </si>
  <si>
    <t>2.38%</t>
  </si>
  <si>
    <t>1.13%</t>
  </si>
  <si>
    <t>0.29%</t>
  </si>
  <si>
    <t>98.11%</t>
  </si>
  <si>
    <t>1.89%</t>
  </si>
  <si>
    <t>89.83%</t>
  </si>
  <si>
    <t>10.17%</t>
  </si>
  <si>
    <t>94.05%</t>
  </si>
  <si>
    <t>5.95%</t>
  </si>
  <si>
    <t>143.59M</t>
  </si>
  <si>
    <t>98.96M</t>
  </si>
  <si>
    <t>88.72M</t>
  </si>
  <si>
    <t>7.5B</t>
  </si>
  <si>
    <t>31.77 M</t>
  </si>
  <si>
    <t>12.96M</t>
  </si>
  <si>
    <t>6.03M</t>
  </si>
  <si>
    <t>8.84M</t>
  </si>
  <si>
    <t>13.11K</t>
  </si>
  <si>
    <t>155.86K</t>
  </si>
  <si>
    <t>26.26 M</t>
  </si>
  <si>
    <t>18.44M</t>
  </si>
  <si>
    <t>2.67 B</t>
  </si>
  <si>
    <t>1.72B</t>
  </si>
  <si>
    <t>328.3M</t>
  </si>
  <si>
    <t>301.7M</t>
  </si>
  <si>
    <t>321.7M</t>
  </si>
  <si>
    <t>178K</t>
  </si>
  <si>
    <t>2.01 B</t>
  </si>
  <si>
    <t>422.7M</t>
  </si>
  <si>
    <t>219.4M</t>
  </si>
  <si>
    <t>87 JOD</t>
  </si>
  <si>
    <t>133 JOD</t>
  </si>
  <si>
    <t>31.77M</t>
  </si>
  <si>
    <t>2.67B JOD</t>
  </si>
  <si>
    <t>0.65B JOD</t>
  </si>
  <si>
    <t>84.2 JOD</t>
  </si>
  <si>
    <t>20.47M</t>
  </si>
  <si>
    <t>3.89B</t>
  </si>
  <si>
    <t>5.17 M</t>
  </si>
  <si>
    <t>41.8K</t>
  </si>
  <si>
    <t>7.36 M</t>
  </si>
  <si>
    <t>42K</t>
  </si>
  <si>
    <t>44K</t>
  </si>
  <si>
    <t>95K</t>
  </si>
  <si>
    <t>359K</t>
  </si>
  <si>
    <t>631K</t>
  </si>
  <si>
    <t>2.39M</t>
  </si>
  <si>
    <t>6.12M</t>
  </si>
  <si>
    <t>1.26 B</t>
  </si>
  <si>
    <t>19M</t>
  </si>
  <si>
    <t>20M</t>
  </si>
  <si>
    <t>72M</t>
  </si>
  <si>
    <t>173M</t>
  </si>
  <si>
    <t>797M</t>
  </si>
  <si>
    <t>1.1B</t>
  </si>
  <si>
    <t>157.1M</t>
  </si>
  <si>
    <t>171</t>
  </si>
  <si>
    <t>3.24M</t>
  </si>
  <si>
    <t>2.69B</t>
  </si>
  <si>
    <t>1.12 M</t>
  </si>
  <si>
    <t>5518</t>
  </si>
  <si>
    <t>272</t>
  </si>
  <si>
    <t>44</t>
  </si>
  <si>
    <t>937 M</t>
  </si>
  <si>
    <t>35.7M</t>
  </si>
  <si>
    <t>2.48M</t>
  </si>
  <si>
    <t>0.32M</t>
  </si>
  <si>
    <t>9.74B</t>
  </si>
  <si>
    <t>567 K</t>
  </si>
  <si>
    <t>20.1 K</t>
  </si>
  <si>
    <t>13,778</t>
  </si>
  <si>
    <t>6,273</t>
  </si>
  <si>
    <t>3.43B</t>
  </si>
  <si>
    <t>6.1%</t>
  </si>
  <si>
    <t>119.6M</t>
  </si>
  <si>
    <t>3.48%</t>
  </si>
  <si>
    <t>76M</t>
  </si>
  <si>
    <t>19.33M</t>
  </si>
  <si>
    <t>1.89B JOD</t>
  </si>
  <si>
    <t>13.29M</t>
  </si>
  <si>
    <t>601M JOD</t>
  </si>
  <si>
    <t>5.21M</t>
  </si>
  <si>
    <t>716</t>
  </si>
  <si>
    <t>2,507</t>
  </si>
  <si>
    <t>6.6M</t>
  </si>
  <si>
    <t>896M JOD</t>
  </si>
  <si>
    <t>438K</t>
  </si>
  <si>
    <t>12.4K</t>
  </si>
  <si>
    <t>3.18B JOD</t>
  </si>
  <si>
    <t>72.4M JOD</t>
  </si>
  <si>
    <t>2026-01:2026-04</t>
  </si>
  <si>
    <t>72.62M</t>
  </si>
  <si>
    <t>7.6B</t>
  </si>
  <si>
    <t>2.25 M</t>
  </si>
  <si>
    <t>90.9K</t>
  </si>
  <si>
    <t>0.82M</t>
  </si>
  <si>
    <t>11K</t>
  </si>
  <si>
    <t>804K</t>
  </si>
  <si>
    <t>574K</t>
  </si>
  <si>
    <t>403K</t>
  </si>
  <si>
    <t>250K</t>
  </si>
  <si>
    <t>118K</t>
  </si>
  <si>
    <t>53.4K</t>
  </si>
  <si>
    <t>19.33 M</t>
  </si>
  <si>
    <t>15.56M</t>
  </si>
  <si>
    <t>3.77M</t>
  </si>
  <si>
    <t>87.8%</t>
  </si>
  <si>
    <t>10%</t>
  </si>
  <si>
    <t>1.89B</t>
  </si>
  <si>
    <t>504.9M</t>
  </si>
  <si>
    <t>98</t>
  </si>
  <si>
    <t>7.79M</t>
  </si>
  <si>
    <t>257.1M</t>
  </si>
  <si>
    <t>920M</t>
  </si>
  <si>
    <t>2.39B</t>
  </si>
  <si>
    <t>2.93 M</t>
  </si>
  <si>
    <t>2.57M</t>
  </si>
  <si>
    <t>361.2K</t>
  </si>
  <si>
    <t>753K</t>
  </si>
  <si>
    <t>565K</t>
  </si>
  <si>
    <t>356K</t>
  </si>
  <si>
    <t>140K</t>
  </si>
  <si>
    <t>4,208</t>
  </si>
  <si>
    <t>1,753</t>
  </si>
  <si>
    <t>1,072</t>
  </si>
  <si>
    <t>13.29 M</t>
  </si>
  <si>
    <t>11.25M</t>
  </si>
  <si>
    <t>63.48K</t>
  </si>
  <si>
    <t>20.41K</t>
  </si>
  <si>
    <t>79.66%</t>
  </si>
  <si>
    <t>16.98%</t>
  </si>
  <si>
    <t>1.42%</t>
  </si>
  <si>
    <t>0.74%</t>
  </si>
  <si>
    <t>85.96%</t>
  </si>
  <si>
    <t>14.04%</t>
  </si>
  <si>
    <t>89.58%</t>
  </si>
  <si>
    <t>10.42%</t>
  </si>
  <si>
    <t>92.76%</t>
  </si>
  <si>
    <t>7.24%</t>
  </si>
  <si>
    <t>601 M</t>
  </si>
  <si>
    <t>468.44M</t>
  </si>
  <si>
    <t>119.92M</t>
  </si>
  <si>
    <t>8.96M</t>
  </si>
  <si>
    <t>3.54M</t>
  </si>
  <si>
    <t>62.75%</t>
  </si>
  <si>
    <t>23.62%</t>
  </si>
  <si>
    <t>6.07%</t>
  </si>
  <si>
    <t>97.85%</t>
  </si>
  <si>
    <t>88.23%</t>
  </si>
  <si>
    <t>11.77%</t>
  </si>
  <si>
    <t>94.03%</t>
  </si>
  <si>
    <t>5.97%</t>
  </si>
  <si>
    <t>133.25M</t>
  </si>
  <si>
    <t>94.05M</t>
  </si>
  <si>
    <t>121.34M</t>
  </si>
  <si>
    <t>9.99B</t>
  </si>
  <si>
    <t>32.62 M</t>
  </si>
  <si>
    <t>13.07M</t>
  </si>
  <si>
    <t>3.86M</t>
  </si>
  <si>
    <t>15.7K</t>
  </si>
  <si>
    <t>190.66K</t>
  </si>
  <si>
    <t>26.81 M</t>
  </si>
  <si>
    <t>8.14M</t>
  </si>
  <si>
    <t>18.67M</t>
  </si>
  <si>
    <t>2.49 B</t>
  </si>
  <si>
    <t>304.3M</t>
  </si>
  <si>
    <t>288.7M</t>
  </si>
  <si>
    <t>294.6M</t>
  </si>
  <si>
    <t>167K</t>
  </si>
  <si>
    <t>1.7M</t>
  </si>
  <si>
    <t>390.4M</t>
  </si>
  <si>
    <t>241.1M</t>
  </si>
  <si>
    <t>205.4M</t>
  </si>
  <si>
    <t>9 JOD</t>
  </si>
  <si>
    <t>32 JOD</t>
  </si>
  <si>
    <t>79 JOD</t>
  </si>
  <si>
    <t>122 JOD</t>
  </si>
  <si>
    <t>76 JOD</t>
  </si>
  <si>
    <t>32.62M</t>
  </si>
  <si>
    <t>2.49B JOD</t>
  </si>
  <si>
    <t>0.60B JOD</t>
  </si>
  <si>
    <t>76.3 JOD</t>
  </si>
  <si>
    <t>97.6 JOD</t>
  </si>
  <si>
    <t>45.2 JOD</t>
  </si>
  <si>
    <t>27.07M</t>
  </si>
  <si>
    <t>5.32B</t>
  </si>
  <si>
    <t>5.21 M</t>
  </si>
  <si>
    <t>37.2K</t>
  </si>
  <si>
    <t>6.59 M</t>
  </si>
  <si>
    <t>52K</t>
  </si>
  <si>
    <t>76K</t>
  </si>
  <si>
    <t>538K</t>
  </si>
  <si>
    <t>5.4M</t>
  </si>
  <si>
    <t>1.43 B</t>
  </si>
  <si>
    <t>78M</t>
  </si>
  <si>
    <t>161M</t>
  </si>
  <si>
    <t>1.03B</t>
  </si>
  <si>
    <t>1.26B</t>
  </si>
  <si>
    <t>173.7M</t>
  </si>
  <si>
    <t>3.58B</t>
  </si>
  <si>
    <t>1.07 M</t>
  </si>
  <si>
    <t>5754</t>
  </si>
  <si>
    <t>249</t>
  </si>
  <si>
    <t>896 M</t>
  </si>
  <si>
    <t>4.4%</t>
  </si>
  <si>
    <t>36.2M</t>
  </si>
  <si>
    <t>0.23M</t>
  </si>
  <si>
    <t>12.92B</t>
  </si>
  <si>
    <t>12.4 K</t>
  </si>
  <si>
    <t>7,893</t>
  </si>
  <si>
    <t>4,539</t>
  </si>
  <si>
    <t>3.18B</t>
  </si>
  <si>
    <t>72.4M</t>
  </si>
  <si>
    <t>2.28%</t>
  </si>
  <si>
    <t>40M</t>
  </si>
  <si>
    <t>32.5M</t>
  </si>
  <si>
    <t>2.28M</t>
  </si>
  <si>
    <t>21.43M</t>
  </si>
  <si>
    <t>2.13B JOD</t>
  </si>
  <si>
    <t>2.97M</t>
  </si>
  <si>
    <t>14.98M</t>
  </si>
  <si>
    <t>698M JOD</t>
  </si>
  <si>
    <t>718</t>
  </si>
  <si>
    <t>2,513</t>
  </si>
  <si>
    <t>6.86M</t>
  </si>
  <si>
    <t>908M JOD</t>
  </si>
  <si>
    <t>552K</t>
  </si>
  <si>
    <t>18.6K</t>
  </si>
  <si>
    <t>3.33B JOD</t>
  </si>
  <si>
    <t>103.6M JOD</t>
  </si>
  <si>
    <t>2026-01:2026-05</t>
  </si>
  <si>
    <t>9.73B</t>
  </si>
  <si>
    <t>2.19M</t>
  </si>
  <si>
    <t>92.7K</t>
  </si>
  <si>
    <t>1.39M</t>
  </si>
  <si>
    <t>0.83M</t>
  </si>
  <si>
    <t>816K</t>
  </si>
  <si>
    <t>580K</t>
  </si>
  <si>
    <t>408K</t>
  </si>
  <si>
    <t>253K</t>
  </si>
  <si>
    <t>119K</t>
  </si>
  <si>
    <t>54.7K</t>
  </si>
  <si>
    <t>21.43 M</t>
  </si>
  <si>
    <t>17.23M</t>
  </si>
  <si>
    <t>4.21M</t>
  </si>
  <si>
    <t>88%</t>
  </si>
  <si>
    <t>2.13B</t>
  </si>
  <si>
    <t>572.5M</t>
  </si>
  <si>
    <t>72.6%</t>
  </si>
  <si>
    <t>99</t>
  </si>
  <si>
    <t>292.5M</t>
  </si>
  <si>
    <t>63.7M</t>
  </si>
  <si>
    <t>2.97 M</t>
  </si>
  <si>
    <t>366.1K</t>
  </si>
  <si>
    <t>758K</t>
  </si>
  <si>
    <t>569K</t>
  </si>
  <si>
    <t>358K</t>
  </si>
  <si>
    <t>141K</t>
  </si>
  <si>
    <t>41K</t>
  </si>
  <si>
    <t>4,325</t>
  </si>
  <si>
    <t>1,995</t>
  </si>
  <si>
    <t>1,073</t>
  </si>
  <si>
    <t>14.98 M</t>
  </si>
  <si>
    <t>12.7%</t>
  </si>
  <si>
    <t>66.82K</t>
  </si>
  <si>
    <t>21.35K</t>
  </si>
  <si>
    <t>80.79%</t>
  </si>
  <si>
    <t>16.30%</t>
  </si>
  <si>
    <t>1.30%</t>
  </si>
  <si>
    <t>0.41%</t>
  </si>
  <si>
    <t>86.46%</t>
  </si>
  <si>
    <t>13.54%</t>
  </si>
  <si>
    <t>88.75%</t>
  </si>
  <si>
    <t>11.25%</t>
  </si>
  <si>
    <t>91.69%</t>
  </si>
  <si>
    <t>8.31%</t>
  </si>
  <si>
    <t>698 M</t>
  </si>
  <si>
    <t>16.1%</t>
  </si>
  <si>
    <t>537.12M</t>
  </si>
  <si>
    <t>147.11M</t>
  </si>
  <si>
    <t>9.74M</t>
  </si>
  <si>
    <t>64.22%</t>
  </si>
  <si>
    <t>22.86%</t>
  </si>
  <si>
    <t>3.77%</t>
  </si>
  <si>
    <t>1.23%</t>
  </si>
  <si>
    <t>97.84%</t>
  </si>
  <si>
    <t>2.16%</t>
  </si>
  <si>
    <t>86.17%</t>
  </si>
  <si>
    <t>13.83%</t>
  </si>
  <si>
    <t>92.89%</t>
  </si>
  <si>
    <t>7.11%</t>
  </si>
  <si>
    <t>47</t>
  </si>
  <si>
    <t>5.77M</t>
  </si>
  <si>
    <t>3.06M</t>
  </si>
  <si>
    <t>150.9M</t>
  </si>
  <si>
    <t>104.5M</t>
  </si>
  <si>
    <t>157.76M</t>
  </si>
  <si>
    <t>12.82B</t>
  </si>
  <si>
    <t>36.41 M</t>
  </si>
  <si>
    <t>14.39M</t>
  </si>
  <si>
    <t>10.38M</t>
  </si>
  <si>
    <t>17.8K</t>
  </si>
  <si>
    <t>221.18K</t>
  </si>
  <si>
    <t>29.74 M</t>
  </si>
  <si>
    <t>9.01M</t>
  </si>
  <si>
    <t>20.73M</t>
  </si>
  <si>
    <t>3.68M</t>
  </si>
  <si>
    <t>5.43M</t>
  </si>
  <si>
    <t>2.83 B</t>
  </si>
  <si>
    <t>1.8B</t>
  </si>
  <si>
    <t>355M</t>
  </si>
  <si>
    <t>333.5M</t>
  </si>
  <si>
    <t>340.4M</t>
  </si>
  <si>
    <t>196K</t>
  </si>
  <si>
    <t>13.3%</t>
  </si>
  <si>
    <t>443.45M</t>
  </si>
  <si>
    <t>1.65B</t>
  </si>
  <si>
    <t>281.7M</t>
  </si>
  <si>
    <t>235.7M</t>
  </si>
  <si>
    <t>33 JOD</t>
  </si>
  <si>
    <t>81 JOD</t>
  </si>
  <si>
    <t>125 JOD</t>
  </si>
  <si>
    <t>4.15M</t>
  </si>
  <si>
    <t>36.41M</t>
  </si>
  <si>
    <t>2.83B JOD</t>
  </si>
  <si>
    <t>0.70B JOD</t>
  </si>
  <si>
    <t>77.7 JOD</t>
  </si>
  <si>
    <t>99.5 JOD</t>
  </si>
  <si>
    <t>46.6 JOD</t>
  </si>
  <si>
    <t>33.93M</t>
  </si>
  <si>
    <t>6.51B</t>
  </si>
  <si>
    <t>5.25 M</t>
  </si>
  <si>
    <t>40.46K</t>
  </si>
  <si>
    <t>6.86 M</t>
  </si>
  <si>
    <t>56K</t>
  </si>
  <si>
    <t>312K</t>
  </si>
  <si>
    <t>598K</t>
  </si>
  <si>
    <t>16.5%</t>
  </si>
  <si>
    <t>Gas and Energy</t>
  </si>
  <si>
    <t>23M</t>
  </si>
  <si>
    <t>63M</t>
  </si>
  <si>
    <t>159M</t>
  </si>
  <si>
    <t>775.7M</t>
  </si>
  <si>
    <t>133.87M</t>
  </si>
  <si>
    <t>174</t>
  </si>
  <si>
    <t>5.45M</t>
  </si>
  <si>
    <t>4.49B</t>
  </si>
  <si>
    <t>1.15 M</t>
  </si>
  <si>
    <t>5876</t>
  </si>
  <si>
    <t>301</t>
  </si>
  <si>
    <t>39</t>
  </si>
  <si>
    <t>908 M</t>
  </si>
  <si>
    <t>37.8M</t>
  </si>
  <si>
    <t>0.27M</t>
  </si>
  <si>
    <t>16.25B</t>
  </si>
  <si>
    <t>552 K</t>
  </si>
  <si>
    <t>26%</t>
  </si>
  <si>
    <t>18.6 K</t>
  </si>
  <si>
    <t>12,415</t>
  </si>
  <si>
    <t>6,190</t>
  </si>
  <si>
    <t>3.33B</t>
  </si>
  <si>
    <t>103.6M</t>
  </si>
  <si>
    <t>3.11%</t>
  </si>
  <si>
    <t>66.9M</t>
  </si>
  <si>
    <t>36.7M</t>
  </si>
  <si>
    <t>20.96M</t>
  </si>
  <si>
    <t>2.15B JOD</t>
  </si>
  <si>
    <t>3M</t>
  </si>
  <si>
    <t>14.79M</t>
  </si>
  <si>
    <t>671M JOD</t>
  </si>
  <si>
    <t>5.29M</t>
  </si>
  <si>
    <t>727</t>
  </si>
  <si>
    <t>2,528</t>
  </si>
  <si>
    <t>7.06M</t>
  </si>
  <si>
    <t>943M JOD</t>
  </si>
  <si>
    <t>510K</t>
  </si>
  <si>
    <t>16.1K</t>
  </si>
  <si>
    <t>98.9M JOD</t>
  </si>
  <si>
    <t>2026-01:2026-06</t>
  </si>
  <si>
    <t>115.01M</t>
  </si>
  <si>
    <t>11.88B</t>
  </si>
  <si>
    <t>2.31 M</t>
  </si>
  <si>
    <t>94.5K</t>
  </si>
  <si>
    <t>1.4M</t>
  </si>
  <si>
    <t>0.84M</t>
  </si>
  <si>
    <t>817K</t>
  </si>
  <si>
    <t>589K</t>
  </si>
  <si>
    <t>415K</t>
  </si>
  <si>
    <t>258K</t>
  </si>
  <si>
    <t>8K</t>
  </si>
  <si>
    <t>56.05K</t>
  </si>
  <si>
    <t>20.96 M</t>
  </si>
  <si>
    <t>4.24M</t>
  </si>
  <si>
    <t>10.1%</t>
  </si>
  <si>
    <t>2.15B</t>
  </si>
  <si>
    <t>1.54B</t>
  </si>
  <si>
    <t>609.5M</t>
  </si>
  <si>
    <t>103</t>
  </si>
  <si>
    <t>8.26M</t>
  </si>
  <si>
    <t>288.9M</t>
  </si>
  <si>
    <t>1.02B</t>
  </si>
  <si>
    <t>78.5M</t>
  </si>
  <si>
    <t>3.76B</t>
  </si>
  <si>
    <t>3.0 M</t>
  </si>
  <si>
    <t>371.4K</t>
  </si>
  <si>
    <t>768K</t>
  </si>
  <si>
    <t>577K</t>
  </si>
  <si>
    <t>145K</t>
  </si>
  <si>
    <t>15K</t>
  </si>
  <si>
    <t>4,480</t>
  </si>
  <si>
    <t>2,035</t>
  </si>
  <si>
    <t>14.79 M</t>
  </si>
  <si>
    <t>59.11K</t>
  </si>
  <si>
    <t>19.91K</t>
  </si>
  <si>
    <t>81.12%</t>
  </si>
  <si>
    <t>16.04%</t>
  </si>
  <si>
    <t>86.09%</t>
  </si>
  <si>
    <t>13.91%</t>
  </si>
  <si>
    <t>86.50%</t>
  </si>
  <si>
    <t>13.50%</t>
  </si>
  <si>
    <t>90.06%</t>
  </si>
  <si>
    <t>9.94%</t>
  </si>
  <si>
    <t>671 M</t>
  </si>
  <si>
    <t>511.98M</t>
  </si>
  <si>
    <t>146.59M</t>
  </si>
  <si>
    <t>9.36M</t>
  </si>
  <si>
    <t>64.07%</t>
  </si>
  <si>
    <t>22.88%</t>
  </si>
  <si>
    <t>3.60%</t>
  </si>
  <si>
    <t>1.40%</t>
  </si>
  <si>
    <t>97.79%</t>
  </si>
  <si>
    <t>2.21%</t>
  </si>
  <si>
    <t>78.60%</t>
  </si>
  <si>
    <t>21.40%</t>
  </si>
  <si>
    <t>90.95%</t>
  </si>
  <si>
    <t>9.05%</t>
  </si>
  <si>
    <t>2.96M</t>
  </si>
  <si>
    <t>143.15M</t>
  </si>
  <si>
    <t>97.26M</t>
  </si>
  <si>
    <t>193.51M</t>
  </si>
  <si>
    <t>15.64B</t>
  </si>
  <si>
    <t>35.75 M</t>
  </si>
  <si>
    <t>13.99M</t>
  </si>
  <si>
    <t>4.33M</t>
  </si>
  <si>
    <t>6.95M</t>
  </si>
  <si>
    <t>10.23M</t>
  </si>
  <si>
    <t>18.24K</t>
  </si>
  <si>
    <t>229.19K</t>
  </si>
  <si>
    <t>29.0 M</t>
  </si>
  <si>
    <t>8.85M</t>
  </si>
  <si>
    <t>20.15M</t>
  </si>
  <si>
    <t>3.6M</t>
  </si>
  <si>
    <t>5.34M</t>
  </si>
  <si>
    <t>2.82 B</t>
  </si>
  <si>
    <t>1.82B</t>
  </si>
  <si>
    <t>349.4M</t>
  </si>
  <si>
    <t>326.6M</t>
  </si>
  <si>
    <t>319.7M</t>
  </si>
  <si>
    <t>216K</t>
  </si>
  <si>
    <t>2.05 B</t>
  </si>
  <si>
    <t>432M</t>
  </si>
  <si>
    <t>271.6M</t>
  </si>
  <si>
    <t>227.4M</t>
  </si>
  <si>
    <t>31 JOD</t>
  </si>
  <si>
    <t>35.75M</t>
  </si>
  <si>
    <t>2.82B JOD</t>
  </si>
  <si>
    <t>0.67B JOD</t>
  </si>
  <si>
    <t>78.9 JOD</t>
  </si>
  <si>
    <t>102.5 JOD</t>
  </si>
  <si>
    <t>45.4 JOD</t>
  </si>
  <si>
    <t>40.99M</t>
  </si>
  <si>
    <t>7.78B</t>
  </si>
  <si>
    <t>5.29 M</t>
  </si>
  <si>
    <t>42.45K</t>
  </si>
  <si>
    <t>7.06 M</t>
  </si>
  <si>
    <t>323K</t>
  </si>
  <si>
    <t>557K</t>
  </si>
  <si>
    <t>5.8M</t>
  </si>
  <si>
    <t>37M</t>
  </si>
  <si>
    <t>69M</t>
  </si>
  <si>
    <t>166M</t>
  </si>
  <si>
    <t>816M</t>
  </si>
  <si>
    <t>151.9M</t>
  </si>
  <si>
    <t>179</t>
  </si>
  <si>
    <t>5.43B</t>
  </si>
  <si>
    <t>7.2%</t>
  </si>
  <si>
    <t>5699</t>
  </si>
  <si>
    <t>348</t>
  </si>
  <si>
    <t>943 M</t>
  </si>
  <si>
    <t>41.7M</t>
  </si>
  <si>
    <t>3.07M</t>
  </si>
  <si>
    <t>19.73B</t>
  </si>
  <si>
    <t>16.1 K</t>
  </si>
  <si>
    <t>10,759</t>
  </si>
  <si>
    <t>5,385</t>
  </si>
  <si>
    <t>98.9M</t>
  </si>
  <si>
    <t>2.85%</t>
  </si>
  <si>
    <t>57.2M</t>
  </si>
  <si>
    <t>41.8M</t>
  </si>
  <si>
    <t>23.17M</t>
  </si>
  <si>
    <t>2.34B JOD</t>
  </si>
  <si>
    <t>3.02M</t>
  </si>
  <si>
    <t>16.84M</t>
  </si>
  <si>
    <t>752M JOD</t>
  </si>
  <si>
    <t>738</t>
  </si>
  <si>
    <t>2,546</t>
  </si>
  <si>
    <t>949M JOD</t>
  </si>
  <si>
    <t>489K</t>
  </si>
  <si>
    <t>13.8K</t>
  </si>
  <si>
    <t>88.3M JOD</t>
  </si>
  <si>
    <t>2026-01:2026-07</t>
  </si>
  <si>
    <t>138.18M</t>
  </si>
  <si>
    <t>14.22B</t>
  </si>
  <si>
    <t>2.35 M</t>
  </si>
  <si>
    <t>96.6K</t>
  </si>
  <si>
    <t>1.42M</t>
  </si>
  <si>
    <t>0.86M</t>
  </si>
  <si>
    <t>12K</t>
  </si>
  <si>
    <t>827K</t>
  </si>
  <si>
    <t>423K</t>
  </si>
  <si>
    <t>264K</t>
  </si>
  <si>
    <t>57.6K</t>
  </si>
  <si>
    <t>23.17 M</t>
  </si>
  <si>
    <t>10.5%</t>
  </si>
  <si>
    <t>18.42M</t>
  </si>
  <si>
    <t>2.34B</t>
  </si>
  <si>
    <t>1.67B</t>
  </si>
  <si>
    <t>664.3M</t>
  </si>
  <si>
    <t>101</t>
  </si>
  <si>
    <t>9.02M</t>
  </si>
  <si>
    <t>316.1M</t>
  </si>
  <si>
    <t>95.34M</t>
  </si>
  <si>
    <t>4.51B</t>
  </si>
  <si>
    <t>3.02 M</t>
  </si>
  <si>
    <t>375.1K</t>
  </si>
  <si>
    <t>582K</t>
  </si>
  <si>
    <t>367K</t>
  </si>
  <si>
    <t>4,622</t>
  </si>
  <si>
    <t>2,093</t>
  </si>
  <si>
    <t>1,082</t>
  </si>
  <si>
    <t>16.84 M</t>
  </si>
  <si>
    <t>13.8%</t>
  </si>
  <si>
    <t>13.8M</t>
  </si>
  <si>
    <t>64.8K</t>
  </si>
  <si>
    <t>20.3K</t>
  </si>
  <si>
    <t>80.76%</t>
  </si>
  <si>
    <t>16.07%</t>
  </si>
  <si>
    <t>1.19%</t>
  </si>
  <si>
    <t>0.46%</t>
  </si>
  <si>
    <t>86.62%</t>
  </si>
  <si>
    <t>13.38%</t>
  </si>
  <si>
    <t>87.57%</t>
  </si>
  <si>
    <t>12.43%</t>
  </si>
  <si>
    <t>89.45%</t>
  </si>
  <si>
    <t>10.55%</t>
  </si>
  <si>
    <t>752 M</t>
  </si>
  <si>
    <t>568.61M</t>
  </si>
  <si>
    <t>169.55M</t>
  </si>
  <si>
    <t>9.73M</t>
  </si>
  <si>
    <t>63.96%</t>
  </si>
  <si>
    <t>22.58%</t>
  </si>
  <si>
    <t>6.67%</t>
  </si>
  <si>
    <t>4.02%</t>
  </si>
  <si>
    <t>97.75%</t>
  </si>
  <si>
    <t>2.25%</t>
  </si>
  <si>
    <t>82.84%</t>
  </si>
  <si>
    <t>17.16%</t>
  </si>
  <si>
    <t>91.62%</t>
  </si>
  <si>
    <t>8.38%</t>
  </si>
  <si>
    <t>6.4M</t>
  </si>
  <si>
    <t>3.3M</t>
  </si>
  <si>
    <t>160.27M</t>
  </si>
  <si>
    <t>109.56M</t>
  </si>
  <si>
    <t>233.52M</t>
  </si>
  <si>
    <t>18.73B</t>
  </si>
  <si>
    <t>40.01 M</t>
  </si>
  <si>
    <t>32.22 M</t>
  </si>
  <si>
    <t>9.81M</t>
  </si>
  <si>
    <t>22.41M</t>
  </si>
  <si>
    <t>4.05M</t>
  </si>
  <si>
    <t>5.99M</t>
  </si>
  <si>
    <t>3.09 B</t>
  </si>
  <si>
    <t>9.5%</t>
  </si>
  <si>
    <t>2.24 B</t>
  </si>
  <si>
    <t>9.2%</t>
  </si>
  <si>
    <t>476M</t>
  </si>
  <si>
    <t>1.76B</t>
  </si>
  <si>
    <t>298.78M</t>
  </si>
  <si>
    <t>254.96M</t>
  </si>
  <si>
    <t>77 JOD</t>
  </si>
  <si>
    <t>4.23M</t>
  </si>
  <si>
    <t>40.01M</t>
  </si>
  <si>
    <t>0.75B JOD</t>
  </si>
  <si>
    <t>77.2 JOD</t>
  </si>
  <si>
    <t>44.6 JOD</t>
  </si>
  <si>
    <t>48.31M</t>
  </si>
  <si>
    <t>9.19B</t>
  </si>
  <si>
    <t>5.34 M</t>
  </si>
  <si>
    <t>45.12K</t>
  </si>
  <si>
    <t>7.32 M</t>
  </si>
  <si>
    <t>69K</t>
  </si>
  <si>
    <t>154K</t>
  </si>
  <si>
    <t>327K</t>
  </si>
  <si>
    <t>73M</t>
  </si>
  <si>
    <t>85M</t>
  </si>
  <si>
    <t>941M</t>
  </si>
  <si>
    <t>1.25B</t>
  </si>
  <si>
    <t>165.05M</t>
  </si>
  <si>
    <t>193</t>
  </si>
  <si>
    <t>7.6M</t>
  </si>
  <si>
    <t>6.38B</t>
  </si>
  <si>
    <t>6255</t>
  </si>
  <si>
    <t>949 M</t>
  </si>
  <si>
    <t>41.4M</t>
  </si>
  <si>
    <t>0.35M</t>
  </si>
  <si>
    <t>3.44M</t>
  </si>
  <si>
    <t>23.39B</t>
  </si>
  <si>
    <t>489 K</t>
  </si>
  <si>
    <t>4.2%</t>
  </si>
  <si>
    <t>8,699</t>
  </si>
  <si>
    <t>5,077</t>
  </si>
  <si>
    <t>88.3M</t>
  </si>
  <si>
    <t>2.41%</t>
  </si>
  <si>
    <t>50.9M</t>
  </si>
  <si>
    <t>37.5M</t>
  </si>
  <si>
    <t>15.33M</t>
  </si>
  <si>
    <t>21.02K</t>
  </si>
  <si>
    <t>11.71M</t>
  </si>
  <si>
    <t>254.65K</t>
  </si>
  <si>
    <t>1.97B</t>
  </si>
  <si>
    <t>366.5M</t>
  </si>
  <si>
    <t>249K</t>
  </si>
  <si>
    <t>385.2M</t>
  </si>
  <si>
    <t>363.9M</t>
  </si>
  <si>
    <t>8.64M</t>
  </si>
  <si>
    <t>7.32B JOD</t>
  </si>
  <si>
    <t>4.5%</t>
  </si>
  <si>
    <t>330</t>
  </si>
  <si>
    <t>5,699</t>
  </si>
  <si>
    <t>6,255</t>
  </si>
  <si>
    <t>6,065</t>
  </si>
  <si>
    <t>€2.67 M</t>
  </si>
  <si>
    <t>€2.9 M</t>
  </si>
  <si>
    <t>£0.39 M</t>
  </si>
  <si>
    <t>£0.35 M</t>
  </si>
  <si>
    <t>£0.48 M</t>
  </si>
  <si>
    <t>$41.7 M</t>
  </si>
  <si>
    <t>$41.4 M</t>
  </si>
  <si>
    <t>$43.4 M</t>
  </si>
  <si>
    <t>162.18M</t>
  </si>
  <si>
    <t>16.64B JOD</t>
  </si>
  <si>
    <t>2.39 M</t>
  </si>
  <si>
    <t>98.6K</t>
  </si>
  <si>
    <t>0.87M</t>
  </si>
  <si>
    <t>839 K</t>
  </si>
  <si>
    <t>607 K</t>
  </si>
  <si>
    <t>431 K</t>
  </si>
  <si>
    <t>269 K</t>
  </si>
  <si>
    <t>129 K</t>
  </si>
  <si>
    <t>24 M</t>
  </si>
  <si>
    <t>19.02M</t>
  </si>
  <si>
    <t>88.1%</t>
  </si>
  <si>
    <t>2.43B</t>
  </si>
  <si>
    <t>694.7M JOD</t>
  </si>
  <si>
    <t>71.8%</t>
  </si>
  <si>
    <t>9.26M</t>
  </si>
  <si>
    <t>328.1M JOD</t>
  </si>
  <si>
    <t>4M</t>
  </si>
  <si>
    <t>27.2B JOD</t>
  </si>
  <si>
    <t>556 K</t>
  </si>
  <si>
    <t>9,969</t>
  </si>
  <si>
    <t>6,078</t>
  </si>
  <si>
    <t>3.81B</t>
  </si>
  <si>
    <t>98.9 M</t>
  </si>
  <si>
    <t>88.3 M</t>
  </si>
  <si>
    <t>114.7 M</t>
  </si>
  <si>
    <t>3.01%</t>
  </si>
  <si>
    <t>65.2M JOD</t>
  </si>
  <si>
    <t>49.5M JOD</t>
  </si>
  <si>
    <t>56.25M</t>
  </si>
  <si>
    <t>10.54B JOD</t>
  </si>
  <si>
    <t>5.39 M</t>
  </si>
  <si>
    <t>53.28K</t>
  </si>
  <si>
    <t>743</t>
  </si>
  <si>
    <t>2,601</t>
  </si>
  <si>
    <t>7.94 M</t>
  </si>
  <si>
    <t>197 K</t>
  </si>
  <si>
    <t>2010 K</t>
  </si>
  <si>
    <t>2300 K</t>
  </si>
  <si>
    <t>75 K</t>
  </si>
  <si>
    <t>628 K</t>
  </si>
  <si>
    <t>52 M JOD</t>
  </si>
  <si>
    <t>820 M JOD</t>
  </si>
  <si>
    <t>38 M JOD</t>
  </si>
  <si>
    <t>191 M JOD</t>
  </si>
  <si>
    <t>102 M JOD</t>
  </si>
  <si>
    <t>173M JOD</t>
  </si>
  <si>
    <t>170</t>
  </si>
  <si>
    <t>113.01M</t>
  </si>
  <si>
    <t>275.19M</t>
  </si>
  <si>
    <t>21.93B JOD</t>
  </si>
  <si>
    <t>5.28B JOD</t>
  </si>
  <si>
    <t>41.67M</t>
  </si>
  <si>
    <t>2.43B JOD</t>
  </si>
  <si>
    <t>0.77B JOD</t>
  </si>
  <si>
    <t>101.2 JOD</t>
  </si>
  <si>
    <t>43.6 JOD</t>
  </si>
  <si>
    <t>76.7 JOD</t>
  </si>
  <si>
    <t>41.67 M</t>
  </si>
  <si>
    <t>23.85 K</t>
  </si>
  <si>
    <t>15.81M</t>
  </si>
  <si>
    <t>8.16M</t>
  </si>
  <si>
    <t>302.81 K</t>
  </si>
  <si>
    <t>12.27M</t>
  </si>
  <si>
    <t>29 M</t>
  </si>
  <si>
    <t>33.41 M</t>
  </si>
  <si>
    <t>23.2M</t>
  </si>
  <si>
    <t>10.2M</t>
  </si>
  <si>
    <t>6.24M</t>
  </si>
  <si>
    <t>4.22M</t>
  </si>
  <si>
    <t>3.2 B</t>
  </si>
  <si>
    <t>291.14 K</t>
  </si>
  <si>
    <t>2.05B</t>
  </si>
  <si>
    <t>378.63M</t>
  </si>
  <si>
    <t>396.19M</t>
  </si>
  <si>
    <t>371.09M</t>
  </si>
  <si>
    <t>2.32 B</t>
  </si>
  <si>
    <t>1.83B JOD</t>
  </si>
  <si>
    <t>490M JOD</t>
  </si>
  <si>
    <t>263.4M JOD</t>
  </si>
  <si>
    <t>310M JOD</t>
  </si>
  <si>
    <t>30 JOD</t>
  </si>
  <si>
    <t>3 M</t>
  </si>
  <si>
    <t>3.06 M</t>
  </si>
  <si>
    <t>387.6K</t>
  </si>
  <si>
    <t>1100 K</t>
  </si>
  <si>
    <t>788 K</t>
  </si>
  <si>
    <t>589 K</t>
  </si>
  <si>
    <t>373 K</t>
  </si>
  <si>
    <t>149 K</t>
  </si>
  <si>
    <t>15 K</t>
  </si>
  <si>
    <t>1,087</t>
  </si>
  <si>
    <t>2,170</t>
  </si>
  <si>
    <t>4,813</t>
  </si>
  <si>
    <t>20.6K</t>
  </si>
  <si>
    <t>60.5K</t>
  </si>
  <si>
    <t>14.4M</t>
  </si>
  <si>
    <t>3.2M</t>
  </si>
  <si>
    <t>9.63%</t>
  </si>
  <si>
    <t>90.37%</t>
  </si>
  <si>
    <t>13.33%</t>
  </si>
  <si>
    <t>86.67%</t>
  </si>
  <si>
    <t>81.21%</t>
  </si>
  <si>
    <t>15.95%</t>
  </si>
  <si>
    <t>85.51%</t>
  </si>
  <si>
    <t>14.49%</t>
  </si>
  <si>
    <t>770 M</t>
  </si>
  <si>
    <t>3.9M JOD</t>
  </si>
  <si>
    <t>9.5M JOD</t>
  </si>
  <si>
    <t>582.3M JOD</t>
  </si>
  <si>
    <t>174.5M JOD</t>
  </si>
  <si>
    <t>7.84%</t>
  </si>
  <si>
    <t>92.16%</t>
  </si>
  <si>
    <t>19.20%</t>
  </si>
  <si>
    <t>80.80%</t>
  </si>
  <si>
    <t>3.62%</t>
  </si>
  <si>
    <t>1.17%</t>
  </si>
  <si>
    <t>64.23%</t>
  </si>
  <si>
    <t>22.65%</t>
  </si>
  <si>
    <t>97.46%</t>
  </si>
  <si>
    <t>6.68M</t>
  </si>
  <si>
    <t>110.36M JOD</t>
  </si>
  <si>
    <t>161.94M JOD</t>
  </si>
  <si>
    <t>24M</t>
  </si>
  <si>
    <t>770M JOD</t>
  </si>
  <si>
    <t>7.94M</t>
  </si>
  <si>
    <t>556K</t>
  </si>
  <si>
    <t>3.81B JOD</t>
  </si>
  <si>
    <t>114.7M JOD</t>
  </si>
  <si>
    <t>CliQ (Instant Payments)</t>
  </si>
  <si>
    <t xml:space="preserve">JoMoPay (Mobile Wallets) </t>
  </si>
  <si>
    <t>eFAWATEER.com (Bill Payments)</t>
  </si>
  <si>
    <t xml:space="preserve">ACH (Automated Clearing House) </t>
  </si>
  <si>
    <t xml:space="preserve">ECCU (Electronic Cheque Clearing Unit) </t>
  </si>
  <si>
    <t>CliQ &amp; JoMoPay Interoperability</t>
  </si>
  <si>
    <t>IPS</t>
  </si>
  <si>
    <t>BY SYSTEM — REGISTERED USERS (Number-MoM%)</t>
  </si>
  <si>
    <t>BY SYSTEM — TRANSACTIONS (Number-MoM%)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</si>
</sst>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yyyy\-mm\-dd;@"/>
    <numFmt numFmtId="166" formatCode="0.0000%"/>
  </numFmts>
  <fonts count="17" x14ac:knownFonts="1">
    <font>
      <sz val="11"/>
      <color theme="1"/>
      <name val="Calibri"/>
      <family val="2"/>
      <charset val="1"/>
    </font>
    <font>
      <b/>
      <sz val="14"/>
      <name val="Arial"/>
      <family val="2"/>
      <charset val="1"/>
    </font>
    <font>
      <sz val="10"/>
      <name val="Arial"/>
      <family val="2"/>
      <charset val="1"/>
    </font>
    <font>
      <b/>
      <sz val="11"/>
      <name val="Arial"/>
      <family val="2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4"/>
      <color rgb="FFFFFFFF"/>
      <name val="Arial"/>
      <family val="2"/>
      <charset val="1"/>
    </font>
    <font>
      <i/>
      <sz val="8"/>
      <color rgb="FF808080"/>
      <name val="Arial"/>
      <charset val="1"/>
    </font>
    <font>
      <i/>
      <sz val="8"/>
      <color rgb="FF0000FF"/>
      <name val="Arial"/>
      <charset val="1"/>
    </font>
    <font>
      <b/>
      <sz val="10"/>
      <color rgb="FFFFFFFF"/>
      <name val="Arial"/>
      <family val="2"/>
      <charset val="1"/>
    </font>
    <font>
      <b/>
      <sz val="10"/>
      <color rgb="FF1F3864"/>
      <name val="Arial"/>
      <family val="2"/>
      <charset val="1"/>
    </font>
    <font>
      <sz val="10"/>
      <name val="Arial"/>
      <family val="2"/>
    </font>
    <font>
      <b/>
      <sz val="11"/>
      <color theme="0"/>
      <name val="Calibri"/>
      <family val="2"/>
      <charset val="1"/>
    </font>
    <font>
      <sz val="10"/>
      <color theme="1"/>
      <name val="Arial"/>
      <family val="2"/>
      <charset val="1"/>
    </font>
    <font>
      <b/>
      <sz val="10"/>
      <color theme="0"/>
      <name val="Arial"/>
      <family val="2"/>
    </font>
    <font>
      <b/>
      <sz val="10"/>
      <color theme="0"/>
      <name val="Arial"/>
      <family val="2"/>
      <charset val="1"/>
    </font>
    <font>
      <sz val="11"/>
      <color theme="0"/>
      <name val="Calibri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374151"/>
      </patternFill>
    </fill>
    <fill>
      <patternFill patternType="solid">
        <fgColor rgb="FF2E75B6"/>
        <bgColor rgb="FF0E7490"/>
      </patternFill>
    </fill>
    <fill>
      <patternFill patternType="solid">
        <fgColor rgb="FFFCE4B6"/>
        <bgColor rgb="FFFFFF99"/>
      </patternFill>
    </fill>
    <fill>
      <patternFill patternType="solid">
        <fgColor theme="3" tint="-0.499984740745262"/>
        <bgColor rgb="FF1F3864"/>
      </patternFill>
    </fill>
    <fill>
      <patternFill patternType="solid">
        <fgColor theme="0"/>
        <bgColor rgb="FFCCFFFF"/>
      </patternFill>
    </fill>
    <fill>
      <patternFill patternType="solid">
        <fgColor rgb="FFFCE4B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9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499984740745262"/>
        <bgColor rgb="FFFFFF99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FFFF99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9" tint="0.39988402966399123"/>
      </left>
      <right/>
      <top style="thin">
        <color theme="9" tint="0.39988402966399123"/>
      </top>
      <bottom style="thin">
        <color theme="9" tint="0.39988402966399123"/>
      </bottom>
      <diagonal/>
    </border>
    <border>
      <left/>
      <right/>
      <top style="thin">
        <color theme="9" tint="0.39988402966399123"/>
      </top>
      <bottom style="thin">
        <color theme="9" tint="0.399884029663991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right"/>
    </xf>
    <xf numFmtId="0" fontId="9" fillId="3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164" fontId="2" fillId="0" borderId="1" xfId="0" applyNumberFormat="1" applyFont="1" applyBorder="1"/>
    <xf numFmtId="17" fontId="9" fillId="3" borderId="1" xfId="0" applyNumberFormat="1" applyFont="1" applyFill="1" applyBorder="1" applyAlignment="1">
      <alignment horizontal="center" vertical="center" wrapText="1"/>
    </xf>
    <xf numFmtId="165" fontId="12" fillId="5" borderId="2" xfId="0" applyNumberFormat="1" applyFont="1" applyFill="1" applyBorder="1" applyAlignment="1">
      <alignment horizontal="center" vertical="top"/>
    </xf>
    <xf numFmtId="0" fontId="12" fillId="5" borderId="2" xfId="0" applyFont="1" applyFill="1" applyBorder="1" applyAlignment="1">
      <alignment horizontal="center" vertical="top"/>
    </xf>
    <xf numFmtId="165" fontId="0" fillId="0" borderId="0" xfId="0" applyNumberFormat="1"/>
    <xf numFmtId="165" fontId="0" fillId="6" borderId="0" xfId="0" applyNumberFormat="1" applyFill="1"/>
    <xf numFmtId="0" fontId="0" fillId="6" borderId="0" xfId="0" applyFill="1"/>
    <xf numFmtId="165" fontId="0" fillId="6" borderId="3" xfId="0" applyNumberFormat="1" applyFill="1" applyBorder="1"/>
    <xf numFmtId="0" fontId="0" fillId="6" borderId="4" xfId="0" applyFill="1" applyBorder="1"/>
    <xf numFmtId="165" fontId="0" fillId="0" borderId="3" xfId="0" applyNumberFormat="1" applyBorder="1"/>
    <xf numFmtId="0" fontId="0" fillId="0" borderId="4" xfId="0" applyBorder="1"/>
    <xf numFmtId="0" fontId="6" fillId="2" borderId="0" xfId="0" applyFont="1" applyFill="1" applyAlignment="1">
      <alignment vertical="center"/>
    </xf>
    <xf numFmtId="0" fontId="0" fillId="7" borderId="0" xfId="0" applyFill="1"/>
    <xf numFmtId="0" fontId="0" fillId="0" borderId="5" xfId="0" applyBorder="1"/>
    <xf numFmtId="0" fontId="2" fillId="0" borderId="5" xfId="0" applyFont="1" applyBorder="1"/>
    <xf numFmtId="3" fontId="2" fillId="7" borderId="6" xfId="0" applyNumberFormat="1" applyFont="1" applyFill="1" applyBorder="1"/>
    <xf numFmtId="3" fontId="2" fillId="0" borderId="5" xfId="0" applyNumberFormat="1" applyFont="1" applyBorder="1"/>
    <xf numFmtId="3" fontId="2" fillId="7" borderId="7" xfId="0" applyNumberFormat="1" applyFont="1" applyFill="1" applyBorder="1"/>
    <xf numFmtId="3" fontId="0" fillId="0" borderId="5" xfId="0" applyNumberFormat="1" applyBorder="1"/>
    <xf numFmtId="0" fontId="0" fillId="8" borderId="0" xfId="0" applyFill="1"/>
    <xf numFmtId="0" fontId="2" fillId="9" borderId="1" xfId="0" applyFont="1" applyFill="1" applyBorder="1"/>
    <xf numFmtId="3" fontId="2" fillId="9" borderId="1" xfId="0" applyNumberFormat="1" applyFont="1" applyFill="1" applyBorder="1"/>
    <xf numFmtId="0" fontId="2" fillId="10" borderId="1" xfId="0" applyFont="1" applyFill="1" applyBorder="1"/>
    <xf numFmtId="3" fontId="13" fillId="11" borderId="1" xfId="0" applyNumberFormat="1" applyFont="1" applyFill="1" applyBorder="1"/>
    <xf numFmtId="0" fontId="2" fillId="12" borderId="1" xfId="0" applyFont="1" applyFill="1" applyBorder="1"/>
    <xf numFmtId="3" fontId="2" fillId="12" borderId="1" xfId="0" applyNumberFormat="1" applyFont="1" applyFill="1" applyBorder="1"/>
    <xf numFmtId="166" fontId="13" fillId="11" borderId="1" xfId="0" applyNumberFormat="1" applyFont="1" applyFill="1" applyBorder="1"/>
    <xf numFmtId="166" fontId="2" fillId="9" borderId="1" xfId="0" applyNumberFormat="1" applyFont="1" applyFill="1" applyBorder="1"/>
    <xf numFmtId="166" fontId="2" fillId="14" borderId="1" xfId="0" applyNumberFormat="1" applyFont="1" applyFill="1" applyBorder="1"/>
    <xf numFmtId="166" fontId="13" fillId="15" borderId="1" xfId="0" applyNumberFormat="1" applyFont="1" applyFill="1" applyBorder="1"/>
    <xf numFmtId="166" fontId="0" fillId="8" borderId="0" xfId="0" applyNumberFormat="1" applyFill="1"/>
    <xf numFmtId="0" fontId="2" fillId="16" borderId="1" xfId="0" applyFont="1" applyFill="1" applyBorder="1"/>
    <xf numFmtId="0" fontId="0" fillId="16" borderId="0" xfId="0" applyFill="1"/>
    <xf numFmtId="166" fontId="2" fillId="16" borderId="1" xfId="0" applyNumberFormat="1" applyFont="1" applyFill="1" applyBorder="1"/>
    <xf numFmtId="0" fontId="2" fillId="17" borderId="1" xfId="0" applyFont="1" applyFill="1" applyBorder="1"/>
    <xf numFmtId="166" fontId="2" fillId="17" borderId="1" xfId="0" applyNumberFormat="1" applyFont="1" applyFill="1" applyBorder="1"/>
    <xf numFmtId="0" fontId="0" fillId="17" borderId="0" xfId="0" applyFill="1"/>
    <xf numFmtId="3" fontId="2" fillId="17" borderId="1" xfId="0" applyNumberFormat="1" applyFont="1" applyFill="1" applyBorder="1"/>
    <xf numFmtId="3" fontId="2" fillId="16" borderId="1" xfId="0" applyNumberFormat="1" applyFont="1" applyFill="1" applyBorder="1"/>
    <xf numFmtId="0" fontId="15" fillId="13" borderId="1" xfId="0" applyFont="1" applyFill="1" applyBorder="1"/>
    <xf numFmtId="0" fontId="6" fillId="2" borderId="0" xfId="0" applyFont="1" applyFill="1" applyAlignment="1">
      <alignment horizontal="left" vertical="center" indent="1"/>
    </xf>
    <xf numFmtId="0" fontId="10" fillId="4" borderId="1" xfId="0" applyFont="1" applyFill="1" applyBorder="1"/>
    <xf numFmtId="0" fontId="14" fillId="13" borderId="1" xfId="0" applyFont="1" applyFill="1" applyBorder="1"/>
    <xf numFmtId="0" fontId="10" fillId="13" borderId="1" xfId="0" applyFont="1" applyFill="1" applyBorder="1"/>
    <xf numFmtId="0" fontId="10" fillId="4" borderId="8" xfId="0" applyFont="1" applyFill="1" applyBorder="1"/>
    <xf numFmtId="0" fontId="10" fillId="4" borderId="9" xfId="0" applyFont="1" applyFill="1" applyBorder="1"/>
    <xf numFmtId="0" fontId="10" fillId="4" borderId="10" xfId="0" applyFont="1" applyFill="1" applyBorder="1"/>
    <xf numFmtId="0" fontId="10" fillId="4" borderId="7" xfId="0" applyFont="1" applyFill="1" applyBorder="1"/>
    <xf numFmtId="0" fontId="0" fillId="0" borderId="0" xfId="0" applyFill="1"/>
    <xf numFmtId="0" fontId="16" fillId="0" borderId="0" xfId="0" applyFont="1" applyFill="1"/>
    <xf numFmtId="165" fontId="0" fillId="6" borderId="0" xfId="0" applyNumberFormat="1" applyFill="1" applyBorder="1"/>
    <xf numFmtId="165" fontId="0" fillId="0" borderId="0" xfId="0" applyNumberFormat="1" applyBorder="1"/>
    <xf numFmtId="0" fontId="0" fillId="6" borderId="0" xfId="0" applyFill="1" applyBorder="1"/>
    <xf numFmtId="0" fontId="0" fillId="0" borderId="0" xfId="0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490"/>
      <rgbColor rgb="FFC0C0C0"/>
      <rgbColor rgb="FF808080"/>
      <rgbColor rgb="FF9999FF"/>
      <rgbColor rgb="FF9D174D"/>
      <rgbColor rgb="FFFCE4B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090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2E7D32"/>
      <rgbColor rgb="FF10243E"/>
      <rgbColor rgb="FF333300"/>
      <rgbColor rgb="FFB91C1C"/>
      <rgbColor rgb="FFB45309"/>
      <rgbColor rgb="FF6D28D9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3B3B"/>
      <color rgb="FFFF9865"/>
      <color rgb="FF00FF00"/>
      <color rgb="FFD9D9D9"/>
      <color rgb="FFFCE4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accent1"/>
                </a:solidFill>
              </a:rPr>
              <a:t>SYSTEM — REGISTERED USERS (Number-MoM%)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Summary!$B$10</c:f>
              <c:strCache>
                <c:ptCount val="1"/>
                <c:pt idx="0">
                  <c:v>IPS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Summary!$C$3:$Z$3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Summary!$C$10:$Z$10</c:f>
              <c:numCache>
                <c:formatCode>0.0000%</c:formatCode>
                <c:ptCount val="24"/>
                <c:pt idx="1">
                  <c:v>2.056555269922879E-2</c:v>
                </c:pt>
                <c:pt idx="2">
                  <c:v>1.5113350125944584E-2</c:v>
                </c:pt>
                <c:pt idx="3">
                  <c:v>5.7071960297766747E-2</c:v>
                </c:pt>
                <c:pt idx="4">
                  <c:v>0</c:v>
                </c:pt>
                <c:pt idx="5">
                  <c:v>1.4084507042253521E-2</c:v>
                </c:pt>
                <c:pt idx="6">
                  <c:v>1.3888888888888888E-2</c:v>
                </c:pt>
                <c:pt idx="7">
                  <c:v>1.3698630136986301E-2</c:v>
                </c:pt>
                <c:pt idx="8">
                  <c:v>1.5765765765765764E-2</c:v>
                </c:pt>
                <c:pt idx="9">
                  <c:v>8.869179600886918E-3</c:v>
                </c:pt>
                <c:pt idx="10">
                  <c:v>0</c:v>
                </c:pt>
                <c:pt idx="11">
                  <c:v>1.5384615384615385E-2</c:v>
                </c:pt>
                <c:pt idx="12">
                  <c:v>1.7316017316017316E-2</c:v>
                </c:pt>
                <c:pt idx="13">
                  <c:v>2.1276595744680851E-2</c:v>
                </c:pt>
                <c:pt idx="14">
                  <c:v>1.4583333333333334E-2</c:v>
                </c:pt>
                <c:pt idx="15">
                  <c:v>1.4373716632443531E-2</c:v>
                </c:pt>
                <c:pt idx="16">
                  <c:v>1.417004048582996E-2</c:v>
                </c:pt>
                <c:pt idx="17">
                  <c:v>1.3972055888223553E-2</c:v>
                </c:pt>
                <c:pt idx="18">
                  <c:v>9.8425196850393699E-3</c:v>
                </c:pt>
                <c:pt idx="19">
                  <c:v>9.7465886939571145E-3</c:v>
                </c:pt>
                <c:pt idx="20">
                  <c:v>1.3513513513513514E-2</c:v>
                </c:pt>
                <c:pt idx="21">
                  <c:v>1.1428571428571429E-2</c:v>
                </c:pt>
                <c:pt idx="22">
                  <c:v>1.1299435028248588E-2</c:v>
                </c:pt>
                <c:pt idx="23">
                  <c:v>1.4897579143389199E-2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51-4558-8CC5-82AA2CCC14E3}"/>
            </c:ext>
          </c:extLst>
        </c:ser>
        <c:ser>
          <c:idx val="1"/>
          <c:order val="1"/>
          <c:tx>
            <c:strRef>
              <c:f>Summary!$B$11</c:f>
              <c:strCache>
                <c:ptCount val="1"/>
                <c:pt idx="0">
                  <c:v>CliQ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Summary!$C$3:$Z$3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Summary!$C$11:$Z$11</c:f>
              <c:numCache>
                <c:formatCode>0.0000%</c:formatCode>
                <c:ptCount val="24"/>
                <c:pt idx="1">
                  <c:v>2.564102564102564E-2</c:v>
                </c:pt>
                <c:pt idx="2">
                  <c:v>1.8749999999999999E-2</c:v>
                </c:pt>
                <c:pt idx="3">
                  <c:v>2.4539877300613498E-2</c:v>
                </c:pt>
                <c:pt idx="4">
                  <c:v>2.3952095808383235E-2</c:v>
                </c:pt>
                <c:pt idx="5">
                  <c:v>1.7543859649122806E-2</c:v>
                </c:pt>
                <c:pt idx="6">
                  <c:v>2.2988505747126436E-2</c:v>
                </c:pt>
                <c:pt idx="7">
                  <c:v>1.6853932584269662E-2</c:v>
                </c:pt>
                <c:pt idx="8">
                  <c:v>2.2099447513812154E-2</c:v>
                </c:pt>
                <c:pt idx="9">
                  <c:v>1.6216216216216217E-2</c:v>
                </c:pt>
                <c:pt idx="10">
                  <c:v>2.1276595744680851E-2</c:v>
                </c:pt>
                <c:pt idx="11">
                  <c:v>2.0833333333333332E-2</c:v>
                </c:pt>
                <c:pt idx="12">
                  <c:v>2.0408163265306121E-2</c:v>
                </c:pt>
                <c:pt idx="13">
                  <c:v>0.03</c:v>
                </c:pt>
                <c:pt idx="14">
                  <c:v>1.4563106796116505E-2</c:v>
                </c:pt>
                <c:pt idx="15">
                  <c:v>1.9138755980861243E-2</c:v>
                </c:pt>
                <c:pt idx="16">
                  <c:v>1.4084507042253521E-2</c:v>
                </c:pt>
                <c:pt idx="17">
                  <c:v>1.8518518518518517E-2</c:v>
                </c:pt>
                <c:pt idx="18">
                  <c:v>9.0909090909090905E-3</c:v>
                </c:pt>
                <c:pt idx="19">
                  <c:v>1.3513513513513514E-2</c:v>
                </c:pt>
                <c:pt idx="20">
                  <c:v>1.3333333333333334E-2</c:v>
                </c:pt>
                <c:pt idx="21">
                  <c:v>1.3157894736842105E-2</c:v>
                </c:pt>
                <c:pt idx="22">
                  <c:v>1.7316017316017316E-2</c:v>
                </c:pt>
                <c:pt idx="23">
                  <c:v>1.7021276595744681E-2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51-4558-8CC5-82AA2CCC14E3}"/>
            </c:ext>
          </c:extLst>
        </c:ser>
        <c:ser>
          <c:idx val="2"/>
          <c:order val="2"/>
          <c:tx>
            <c:strRef>
              <c:f>Summary!$B$12</c:f>
              <c:strCache>
                <c:ptCount val="1"/>
                <c:pt idx="0">
                  <c:v>JoMoPay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Summary!$C$3:$Z$3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Summary!$C$12:$Z$12</c:f>
              <c:numCache>
                <c:formatCode>0.0000%</c:formatCode>
                <c:ptCount val="24"/>
                <c:pt idx="1">
                  <c:v>1.7167381974248927E-2</c:v>
                </c:pt>
                <c:pt idx="2">
                  <c:v>1.2658227848101266E-2</c:v>
                </c:pt>
                <c:pt idx="3">
                  <c:v>7.9166666666666663E-2</c:v>
                </c:pt>
                <c:pt idx="4">
                  <c:v>-1.5444015444015444E-2</c:v>
                </c:pt>
                <c:pt idx="5">
                  <c:v>1.1764705882352941E-2</c:v>
                </c:pt>
                <c:pt idx="6">
                  <c:v>7.7519379844961239E-3</c:v>
                </c:pt>
                <c:pt idx="7">
                  <c:v>1.1538461538461539E-2</c:v>
                </c:pt>
                <c:pt idx="8">
                  <c:v>1.1406844106463879E-2</c:v>
                </c:pt>
                <c:pt idx="9">
                  <c:v>3.7593984962406013E-3</c:v>
                </c:pt>
                <c:pt idx="10">
                  <c:v>-1.4981273408239701E-2</c:v>
                </c:pt>
                <c:pt idx="11">
                  <c:v>1.1406844106463879E-2</c:v>
                </c:pt>
                <c:pt idx="12">
                  <c:v>1.5037593984962405E-2</c:v>
                </c:pt>
                <c:pt idx="13">
                  <c:v>1.4814814814814815E-2</c:v>
                </c:pt>
                <c:pt idx="14">
                  <c:v>1.4598540145985401E-2</c:v>
                </c:pt>
                <c:pt idx="15">
                  <c:v>1.0791366906474821E-2</c:v>
                </c:pt>
                <c:pt idx="16">
                  <c:v>1.4234875444839857E-2</c:v>
                </c:pt>
                <c:pt idx="17">
                  <c:v>1.0526315789473684E-2</c:v>
                </c:pt>
                <c:pt idx="18">
                  <c:v>1.0416666666666666E-2</c:v>
                </c:pt>
                <c:pt idx="19">
                  <c:v>6.8728522336769758E-3</c:v>
                </c:pt>
                <c:pt idx="20">
                  <c:v>1.3651877133105802E-2</c:v>
                </c:pt>
                <c:pt idx="21">
                  <c:v>1.0101010101010102E-2</c:v>
                </c:pt>
                <c:pt idx="22">
                  <c:v>6.6666666666666671E-3</c:v>
                </c:pt>
                <c:pt idx="23">
                  <c:v>1.3245033112582781E-2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51-4558-8CC5-82AA2CCC14E3}"/>
            </c:ext>
          </c:extLst>
        </c:ser>
        <c:ser>
          <c:idx val="3"/>
          <c:order val="3"/>
          <c:tx>
            <c:strRef>
              <c:f>Summary!$B$13</c:f>
              <c:strCache>
                <c:ptCount val="1"/>
                <c:pt idx="0">
                  <c:v>eFAWATEERcom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Summary!$C$3:$Z$3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Summary!$C$13:$Z$13</c:f>
              <c:numCache>
                <c:formatCode>0.0000%</c:formatCode>
                <c:ptCount val="24"/>
                <c:pt idx="1">
                  <c:v>9.0293453724604959E-3</c:v>
                </c:pt>
                <c:pt idx="2">
                  <c:v>6.7114093959731542E-3</c:v>
                </c:pt>
                <c:pt idx="3">
                  <c:v>8.8888888888888889E-3</c:v>
                </c:pt>
                <c:pt idx="4">
                  <c:v>8.8105726872246704E-3</c:v>
                </c:pt>
                <c:pt idx="5">
                  <c:v>8.7336244541484712E-3</c:v>
                </c:pt>
                <c:pt idx="6">
                  <c:v>6.4935064935064939E-3</c:v>
                </c:pt>
                <c:pt idx="7">
                  <c:v>6.4516129032258064E-3</c:v>
                </c:pt>
                <c:pt idx="8">
                  <c:v>1.0683760683760684E-2</c:v>
                </c:pt>
                <c:pt idx="9">
                  <c:v>6.3424947145877377E-3</c:v>
                </c:pt>
                <c:pt idx="10">
                  <c:v>1.050420168067227E-2</c:v>
                </c:pt>
                <c:pt idx="11">
                  <c:v>8.3160083160083165E-3</c:v>
                </c:pt>
                <c:pt idx="12">
                  <c:v>1.0309278350515464E-2</c:v>
                </c:pt>
                <c:pt idx="13">
                  <c:v>1.020408163265306E-2</c:v>
                </c:pt>
                <c:pt idx="14">
                  <c:v>1.0101010101010102E-2</c:v>
                </c:pt>
                <c:pt idx="15">
                  <c:v>8.0000000000000002E-3</c:v>
                </c:pt>
                <c:pt idx="16">
                  <c:v>9.9206349206349201E-3</c:v>
                </c:pt>
                <c:pt idx="17">
                  <c:v>7.8585461689587421E-3</c:v>
                </c:pt>
                <c:pt idx="18">
                  <c:v>7.7972709551656916E-3</c:v>
                </c:pt>
                <c:pt idx="19">
                  <c:v>7.7369439071566732E-3</c:v>
                </c:pt>
                <c:pt idx="20">
                  <c:v>7.677543186180422E-3</c:v>
                </c:pt>
                <c:pt idx="21">
                  <c:v>7.619047619047619E-3</c:v>
                </c:pt>
                <c:pt idx="22">
                  <c:v>9.4517958412098299E-3</c:v>
                </c:pt>
                <c:pt idx="23">
                  <c:v>9.3632958801498131E-3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51-4558-8CC5-82AA2CCC1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4666271"/>
        <c:axId val="1004345823"/>
      </c:lineChart>
      <c:catAx>
        <c:axId val="1154666271"/>
        <c:scaling>
          <c:orientation val="minMax"/>
        </c:scaling>
        <c:delete val="0"/>
        <c:axPos val="b"/>
        <c:numFmt formatCode="mm\-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345823"/>
        <c:crosses val="autoZero"/>
        <c:auto val="1"/>
        <c:lblAlgn val="ctr"/>
        <c:lblOffset val="100"/>
        <c:tickLblSkip val="1"/>
        <c:noMultiLvlLbl val="0"/>
      </c:catAx>
      <c:valAx>
        <c:axId val="100434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666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133350</xdr:colOff>
      <xdr:row>19</xdr:row>
      <xdr:rowOff>161924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6197CC-1680-4C37-838A-E56489A53C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5" displayName="Table25" ref="A1:Q7154" totalsRowShown="0">
  <autoFilter ref="A1:Q7154" xr:uid="{00000000-0009-0000-0100-000001000000}">
    <filterColumn colId="1">
      <filters>
        <filter val="cliq"/>
      </filters>
    </filterColumn>
    <filterColumn colId="6">
      <filters>
        <filter val="Users"/>
      </filters>
    </filterColumn>
    <filterColumn colId="7">
      <filters>
        <filter val="&lt;18"/>
        <filter val="18-30"/>
        <filter val="31-40"/>
        <filter val="41-50"/>
        <filter val="51-60"/>
        <filter val="61-70"/>
        <filter val="71-80"/>
        <filter val="81-90"/>
      </filters>
    </filterColumn>
  </autoFilter>
  <sortState xmlns:xlrd2="http://schemas.microsoft.com/office/spreadsheetml/2017/richdata2" ref="A40:Q6897">
    <sortCondition ref="A1:A7154"/>
  </sortState>
  <tableColumns count="17">
    <tableColumn id="1" xr3:uid="{00000000-0010-0000-0000-000001000000}" name="report_period"/>
    <tableColumn id="2" xr3:uid="{00000000-0010-0000-0000-000002000000}" name="system"/>
    <tableColumn id="3" xr3:uid="{00000000-0010-0000-0000-000003000000}" name="page"/>
    <tableColumn id="4" xr3:uid="{00000000-0010-0000-0000-000004000000}" name="content_type"/>
    <tableColumn id="5" xr3:uid="{00000000-0010-0000-0000-000005000000}" name="extracted_from"/>
    <tableColumn id="6" xr3:uid="{00000000-0010-0000-0000-000006000000}" name="metric"/>
    <tableColumn id="7" xr3:uid="{00000000-0010-0000-0000-000007000000}" name="system_title"/>
    <tableColumn id="8" xr3:uid="{00000000-0010-0000-0000-000008000000}" name="dimension_L1"/>
    <tableColumn id="9" xr3:uid="{00000000-0010-0000-0000-000009000000}" name="dimension_L2"/>
    <tableColumn id="10" xr3:uid="{00000000-0010-0000-0000-00000A000000}" name="period"/>
    <tableColumn id="11" xr3:uid="{00000000-0010-0000-0000-00000B000000}" name="period_scope"/>
    <tableColumn id="12" xr3:uid="{00000000-0010-0000-0000-00000C000000}" name="value"/>
    <tableColumn id="13" xr3:uid="{00000000-0010-0000-0000-00000D000000}" name="unit"/>
    <tableColumn id="14" xr3:uid="{00000000-0010-0000-0000-00000E000000}" name="raw_text"/>
    <tableColumn id="15" xr3:uid="{00000000-0010-0000-0000-00000F000000}" name="labeled_chart"/>
    <tableColumn id="16" xr3:uid="{00000000-0010-0000-0000-000010000000}" name="reading_rank"/>
    <tableColumn id="17" xr3:uid="{00000000-0010-0000-0000-000011000000}" name="no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/>
  </sheetViews>
  <sheetFormatPr defaultColWidth="8.7109375" defaultRowHeight="15" x14ac:dyDescent="0.25"/>
  <cols>
    <col min="1" max="1" width="110" customWidth="1"/>
  </cols>
  <sheetData>
    <row r="1" spans="1:1" ht="18" customHeight="1" x14ac:dyDescent="0.25">
      <c r="A1" s="1" t="s">
        <v>0</v>
      </c>
    </row>
    <row r="2" spans="1:1" x14ac:dyDescent="0.25">
      <c r="A2" s="2"/>
    </row>
    <row r="3" spans="1:1" x14ac:dyDescent="0.25">
      <c r="A3" s="2" t="s">
        <v>1</v>
      </c>
    </row>
    <row r="4" spans="1:1" x14ac:dyDescent="0.25">
      <c r="A4" s="2"/>
    </row>
    <row r="5" spans="1:1" x14ac:dyDescent="0.25">
      <c r="A5" s="3" t="s">
        <v>2</v>
      </c>
    </row>
    <row r="6" spans="1:1" x14ac:dyDescent="0.25">
      <c r="A6" s="2" t="s">
        <v>3</v>
      </c>
    </row>
    <row r="7" spans="1:1" x14ac:dyDescent="0.25">
      <c r="A7" s="2" t="s">
        <v>4</v>
      </c>
    </row>
    <row r="8" spans="1:1" x14ac:dyDescent="0.25">
      <c r="A8" s="2" t="s">
        <v>5</v>
      </c>
    </row>
    <row r="9" spans="1:1" x14ac:dyDescent="0.25">
      <c r="A9" s="2" t="s">
        <v>6</v>
      </c>
    </row>
    <row r="10" spans="1:1" x14ac:dyDescent="0.25">
      <c r="A10" s="2" t="s">
        <v>7</v>
      </c>
    </row>
    <row r="11" spans="1:1" x14ac:dyDescent="0.25">
      <c r="A11" s="2" t="s">
        <v>8</v>
      </c>
    </row>
    <row r="12" spans="1:1" x14ac:dyDescent="0.25">
      <c r="A12" s="2" t="s">
        <v>9</v>
      </c>
    </row>
    <row r="13" spans="1:1" x14ac:dyDescent="0.25">
      <c r="A13" s="2" t="s">
        <v>10</v>
      </c>
    </row>
    <row r="14" spans="1:1" x14ac:dyDescent="0.25">
      <c r="A14" s="2"/>
    </row>
    <row r="15" spans="1:1" x14ac:dyDescent="0.25">
      <c r="A15" s="3" t="s">
        <v>11</v>
      </c>
    </row>
    <row r="16" spans="1:1" x14ac:dyDescent="0.25">
      <c r="A16" s="2" t="s">
        <v>12</v>
      </c>
    </row>
    <row r="17" spans="1:1" x14ac:dyDescent="0.25">
      <c r="A17" s="2" t="s">
        <v>13</v>
      </c>
    </row>
    <row r="18" spans="1:1" x14ac:dyDescent="0.25">
      <c r="A18" s="2" t="s">
        <v>14</v>
      </c>
    </row>
    <row r="19" spans="1:1" x14ac:dyDescent="0.25">
      <c r="A19" s="2"/>
    </row>
    <row r="20" spans="1:1" x14ac:dyDescent="0.25">
      <c r="A20" s="3" t="s">
        <v>15</v>
      </c>
    </row>
    <row r="21" spans="1:1" x14ac:dyDescent="0.25">
      <c r="A21" s="2" t="s">
        <v>16</v>
      </c>
    </row>
    <row r="22" spans="1:1" x14ac:dyDescent="0.25">
      <c r="A22" s="2" t="s">
        <v>17</v>
      </c>
    </row>
    <row r="23" spans="1:1" x14ac:dyDescent="0.25">
      <c r="A23" s="2" t="s">
        <v>18</v>
      </c>
    </row>
    <row r="24" spans="1:1" x14ac:dyDescent="0.25">
      <c r="A24" s="2" t="s">
        <v>19</v>
      </c>
    </row>
    <row r="25" spans="1:1" x14ac:dyDescent="0.25">
      <c r="A25" s="2" t="s">
        <v>20</v>
      </c>
    </row>
    <row r="26" spans="1:1" x14ac:dyDescent="0.25">
      <c r="A26" s="2" t="s">
        <v>21</v>
      </c>
    </row>
    <row r="27" spans="1:1" x14ac:dyDescent="0.25">
      <c r="A27" s="2" t="s">
        <v>22</v>
      </c>
    </row>
    <row r="28" spans="1:1" x14ac:dyDescent="0.25">
      <c r="A28" s="2" t="s">
        <v>23</v>
      </c>
    </row>
    <row r="29" spans="1:1" x14ac:dyDescent="0.25">
      <c r="A29" s="2" t="s">
        <v>24</v>
      </c>
    </row>
    <row r="30" spans="1:1" x14ac:dyDescent="0.25">
      <c r="A30" s="2" t="s">
        <v>25</v>
      </c>
    </row>
    <row r="31" spans="1:1" x14ac:dyDescent="0.25">
      <c r="A31" s="2" t="s">
        <v>26</v>
      </c>
    </row>
    <row r="32" spans="1:1" x14ac:dyDescent="0.25">
      <c r="A32" s="2" t="s">
        <v>27</v>
      </c>
    </row>
    <row r="34" spans="1:1" x14ac:dyDescent="0.25">
      <c r="A34" s="4" t="s">
        <v>28</v>
      </c>
    </row>
    <row r="35" spans="1:1" x14ac:dyDescent="0.25">
      <c r="A35" s="5" t="s">
        <v>29</v>
      </c>
    </row>
    <row r="36" spans="1:1" x14ac:dyDescent="0.25">
      <c r="A36" s="5" t="s">
        <v>30</v>
      </c>
    </row>
    <row r="37" spans="1:1" x14ac:dyDescent="0.25">
      <c r="A37" s="5" t="s">
        <v>31</v>
      </c>
    </row>
    <row r="38" spans="1:1" x14ac:dyDescent="0.25">
      <c r="A38" s="5" t="s">
        <v>32</v>
      </c>
    </row>
    <row r="39" spans="1:1" x14ac:dyDescent="0.25">
      <c r="A39" s="5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D32"/>
  </sheetPr>
  <dimension ref="A1:Z46"/>
  <sheetViews>
    <sheetView showGridLines="0" zoomScaleNormal="100" workbookViewId="0">
      <pane xSplit="2" ySplit="3" topLeftCell="S4" activePane="bottomRight" state="frozen"/>
      <selection pane="topRight" activeCell="F1" sqref="F1"/>
      <selection pane="bottomLeft" activeCell="A4" sqref="A4"/>
      <selection pane="bottomRight" activeCell="AB18" sqref="AB18"/>
    </sheetView>
  </sheetViews>
  <sheetFormatPr defaultColWidth="8.7109375" defaultRowHeight="15" x14ac:dyDescent="0.25"/>
  <cols>
    <col min="1" max="1" width="27.28515625" bestFit="1" customWidth="1"/>
    <col min="2" max="2" width="38.42578125" bestFit="1" customWidth="1"/>
    <col min="3" max="5" width="11.140625" bestFit="1" customWidth="1"/>
    <col min="6" max="7" width="12.7109375" bestFit="1" customWidth="1"/>
    <col min="8" max="26" width="13" customWidth="1"/>
  </cols>
  <sheetData>
    <row r="1" spans="1:26" ht="24.75" customHeight="1" x14ac:dyDescent="0.25">
      <c r="A1" s="52" t="s">
        <v>4328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spans="1:26" ht="19.5" hidden="1" customHeight="1" x14ac:dyDescent="0.25">
      <c r="A2" s="6" t="s">
        <v>34</v>
      </c>
      <c r="B2" s="7" t="s">
        <v>35</v>
      </c>
      <c r="C2" s="8" t="str">
        <f>RIGHT(C$3,4)&amp;"-"&amp;TEXT(MATCH(LEFT(C$3,3),{"Jan","Feb","Mar","Apr","May","Jun","Jul","Aug","Sep","Oct","Nov","Dec"},0),"00")</f>
        <v>2024-09</v>
      </c>
      <c r="D2" s="8" t="str">
        <f>RIGHT(D$3,4)&amp;"-"&amp;TEXT(MATCH(LEFT(D$3,3),{"Jan","Feb","Mar","Apr","May","Jun","Jul","Aug","Sep","Oct","Nov","Dec"},0),"00")</f>
        <v>2024-10</v>
      </c>
      <c r="E2" s="8" t="str">
        <f>RIGHT(E$3,4)&amp;"-"&amp;TEXT(MATCH(LEFT($E3,3),{"Jan","Feb","Mar","Apr","May","Jun","Jul","Aug","Sep","Oct","Nov","Dec"},0),"00")</f>
        <v>2024-11</v>
      </c>
      <c r="F2" s="8" t="str">
        <f>RIGHT(F$3,4)&amp;"-"&amp;TEXT(MATCH(LEFT(F$3,3),{"Jan","Feb","Mar","Apr","May","Jun","Jul","Aug","Sep","Oct","Nov","Dec"},0),"00")</f>
        <v>2024-12</v>
      </c>
      <c r="G2" s="8" t="str">
        <f>RIGHT(G$3,4)&amp;"-"&amp;TEXT(MATCH(LEFT(G$3,3),{"Jan","Feb","Mar","Apr","May","Jun","Jul","Aug","Sep","Oct","Nov","Dec"},0),"00")</f>
        <v>2025-01</v>
      </c>
      <c r="H2" s="8" t="str">
        <f>RIGHT(H$3,4)&amp;"-"&amp;TEXT(MATCH(LEFT(H$3,3),{"Jan","Feb","Mar","Apr","May","Jun","Jul","Aug","Sep","Oct","Nov","Dec"},0),"00")</f>
        <v>2025-02</v>
      </c>
      <c r="I2" s="8" t="str">
        <f>RIGHT(I$3,4)&amp;"-"&amp;TEXT(MATCH(LEFT(I$3,3),{"Jan","Feb","Mar","Apr","May","Jun","Jul","Aug","Sep","Oct","Nov","Dec"},0),"00")</f>
        <v>2025-03</v>
      </c>
      <c r="J2" s="8" t="str">
        <f>RIGHT(J$3,4)&amp;"-"&amp;TEXT(MATCH(LEFT(J$3,3),{"Jan","Feb","Mar","Apr","May","Jun","Jul","Aug","Sep","Oct","Nov","Dec"},0),"00")</f>
        <v>2025-04</v>
      </c>
      <c r="K2" s="8" t="str">
        <f>RIGHT(K$3,4)&amp;"-"&amp;TEXT(MATCH(LEFT(K$3,3),{"Jan","Feb","Mar","Apr","May","Jun","Jul","Aug","Sep","Oct","Nov","Dec"},0),"00")</f>
        <v>2025-05</v>
      </c>
      <c r="L2" s="8" t="str">
        <f>RIGHT(L$3,4)&amp;"-"&amp;TEXT(MATCH(LEFT(L$3,3),{"Jan","Feb","Mar","Apr","May","Jun","Jul","Aug","Sep","Oct","Nov","Dec"},0),"00")</f>
        <v>2025-06</v>
      </c>
      <c r="M2" s="8" t="str">
        <f>RIGHT(M$3,4)&amp;"-"&amp;TEXT(MATCH(LEFT(M$3,3),{"Jan","Feb","Mar","Apr","May","Jun","Jul","Aug","Sep","Oct","Nov","Dec"},0),"00")</f>
        <v>2025-07</v>
      </c>
      <c r="N2" s="8" t="str">
        <f>RIGHT(N$3,4)&amp;"-"&amp;TEXT(MATCH(LEFT(N$3,3),{"Jan","Feb","Mar","Apr","May","Jun","Jul","Aug","Sep","Oct","Nov","Dec"},0),"00")</f>
        <v>2025-08</v>
      </c>
      <c r="O2" s="8" t="str">
        <f>RIGHT(O$3,4)&amp;"-"&amp;TEXT(MATCH(LEFT(O$3,3),{"Jan","Feb","Mar","Apr","May","Jun","Jul","Aug","Sep","Oct","Nov","Dec"},0),"00")</f>
        <v>2025-09</v>
      </c>
      <c r="P2" s="8" t="str">
        <f>RIGHT(P$3,4)&amp;"-"&amp;TEXT(MATCH(LEFT(P$3,3),{"Jan","Feb","Mar","Apr","May","Jun","Jul","Aug","Sep","Oct","Nov","Dec"},0),"00")</f>
        <v>2025-10</v>
      </c>
      <c r="Q2" s="8" t="str">
        <f>RIGHT(Q$3,4)&amp;"-"&amp;TEXT(MATCH(LEFT(Q$3,3),{"Jan","Feb","Mar","Apr","May","Jun","Jul","Aug","Sep","Oct","Nov","Dec"},0),"00")</f>
        <v>2025-11</v>
      </c>
      <c r="R2" s="8" t="str">
        <f>RIGHT(R$3,4)&amp;"-"&amp;TEXT(MATCH(LEFT(R$3,3),{"Jan","Feb","Mar","Apr","May","Jun","Jul","Aug","Sep","Oct","Nov","Dec"},0),"00")</f>
        <v>2025-12</v>
      </c>
      <c r="S2" s="8" t="str">
        <f>RIGHT(S$3,4)&amp;"-"&amp;TEXT(MATCH(LEFT(S$3,3),{"Jan","Feb","Mar","Apr","May","Jun","Jul","Aug","Sep","Oct","Nov","Dec"},0),"00")</f>
        <v>2026-01</v>
      </c>
      <c r="T2" s="8" t="str">
        <f>RIGHT(T$3,4)&amp;"-"&amp;TEXT(MATCH(LEFT(T$3,3),{"Jan","Feb","Mar","Apr","May","Jun","Jul","Aug","Sep","Oct","Nov","Dec"},0),"00")</f>
        <v>2026-02</v>
      </c>
      <c r="U2" s="8" t="str">
        <f>RIGHT(U$3,4)&amp;"-"&amp;TEXT(MATCH(LEFT(U$3,3),{"Jan","Feb","Mar","Apr","May","Jun","Jul","Aug","Sep","Oct","Nov","Dec"},0),"00")</f>
        <v>2026-03</v>
      </c>
      <c r="V2" s="8" t="str">
        <f>RIGHT(V$3,4)&amp;"-"&amp;TEXT(MATCH(LEFT(V$3,3),{"Jan","Feb","Mar","Apr","May","Jun","Jul","Aug","Sep","Oct","Nov","Dec"},0),"00")</f>
        <v>2026-04</v>
      </c>
      <c r="W2" s="8" t="str">
        <f>RIGHT(W$3,4)&amp;"-"&amp;TEXT(MATCH(LEFT(W$3,3),{"Jan","Feb","Mar","Apr","May","Jun","Jul","Aug","Sep","Oct","Nov","Dec"},0),"00")</f>
        <v>2026-05</v>
      </c>
      <c r="X2" s="8" t="str">
        <f>RIGHT(X$3,4)&amp;"-"&amp;TEXT(MATCH(LEFT(X$3,3),{"Jan","Feb","Mar","Apr","May","Jun","Jul","Aug","Sep","Oct","Nov","Dec"},0),"00")</f>
        <v>2026-06</v>
      </c>
      <c r="Y2" s="8" t="str">
        <f>RIGHT(Y$3,4)&amp;"-"&amp;TEXT(MATCH(LEFT(Y$3,3),{"Jan","Feb","Mar","Apr","May","Jun","Jul","Aug","Sep","Oct","Nov","Dec"},0),"00")</f>
        <v>2026-07</v>
      </c>
      <c r="Z2" s="8" t="str">
        <f>RIGHT(Z$3,4)&amp;"-"&amp;TEXT(MATCH(LEFT(Z$3,3),{"Jan","Feb","Mar","Apr","May","Jun","Jul","Aug","Sep","Oct","Nov","Dec"},0),"00")</f>
        <v>2026-08</v>
      </c>
    </row>
    <row r="3" spans="1:26" ht="19.5" customHeight="1" x14ac:dyDescent="0.25">
      <c r="A3" s="9" t="s">
        <v>36</v>
      </c>
      <c r="B3" s="9" t="s">
        <v>37</v>
      </c>
      <c r="C3" s="9" t="s">
        <v>38</v>
      </c>
      <c r="D3" s="9" t="s">
        <v>39</v>
      </c>
      <c r="E3" s="9" t="s">
        <v>40</v>
      </c>
      <c r="F3" s="9" t="s">
        <v>41</v>
      </c>
      <c r="G3" s="9" t="s">
        <v>42</v>
      </c>
      <c r="H3" s="9" t="s">
        <v>43</v>
      </c>
      <c r="I3" s="9" t="s">
        <v>44</v>
      </c>
      <c r="J3" s="9" t="s">
        <v>45</v>
      </c>
      <c r="K3" s="9" t="s">
        <v>46</v>
      </c>
      <c r="L3" s="9" t="s">
        <v>47</v>
      </c>
      <c r="M3" s="9" t="s">
        <v>48</v>
      </c>
      <c r="N3" s="9" t="s">
        <v>49</v>
      </c>
      <c r="O3" s="9" t="s">
        <v>50</v>
      </c>
      <c r="P3" s="9" t="s">
        <v>51</v>
      </c>
      <c r="Q3" s="9" t="s">
        <v>52</v>
      </c>
      <c r="R3" s="9" t="s">
        <v>53</v>
      </c>
      <c r="S3" s="9" t="s">
        <v>54</v>
      </c>
      <c r="T3" s="9" t="s">
        <v>55</v>
      </c>
      <c r="U3" s="9" t="s">
        <v>56</v>
      </c>
      <c r="V3" s="9" t="s">
        <v>57</v>
      </c>
      <c r="W3" s="9" t="s">
        <v>58</v>
      </c>
      <c r="X3" s="9" t="s">
        <v>59</v>
      </c>
      <c r="Y3" s="9" t="s">
        <v>60</v>
      </c>
      <c r="Z3" s="9" t="s">
        <v>61</v>
      </c>
    </row>
    <row r="4" spans="1:26" x14ac:dyDescent="0.25">
      <c r="A4" s="53" t="s">
        <v>62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x14ac:dyDescent="0.25">
      <c r="A5" s="10" t="s">
        <v>63</v>
      </c>
      <c r="B5" s="10" t="s">
        <v>64</v>
      </c>
      <c r="C5" s="11">
        <f>SUMIFS('Raw Data'!$L:$L,'Raw Data'!$B:$B,$B$2,'Raw Data'!$J:$J,C$2,'Raw Data'!$K:$K,"native",'Raw Data'!$H:$H,"Jordanian",'Raw Data'!$I:$I,"",'Raw Data'!$M:$M,"count")</f>
        <v>1500000</v>
      </c>
      <c r="D5" s="11">
        <f>SUMIFS('Raw Data'!$L:$L,'Raw Data'!$B:$B,$B$2,'Raw Data'!$J:$J,D$2,'Raw Data'!$K:$K,"native",'Raw Data'!$H:$H,"Jordanian",'Raw Data'!$I:$I,"",'Raw Data'!$M:$M,"count")</f>
        <v>1540000</v>
      </c>
      <c r="E5" s="11">
        <f>SUMIFS('Raw Data'!$L:$L,'Raw Data'!$B:$B,$B$2,'Raw Data'!$J:$J,E$2,'Raw Data'!$K:$K,"native",'Raw Data'!$H:$H,"Jordanian",'Raw Data'!$I:$I,"",'Raw Data'!$M:$M,"count")</f>
        <v>1570000</v>
      </c>
      <c r="F5" s="11">
        <f>SUMIFS('Raw Data'!$L:$L,'Raw Data'!$B:$B,$B$2,'Raw Data'!$J:$J,F$2,'Raw Data'!$K:$K,"native",'Raw Data'!$H:$H,"Jordanian",'Raw Data'!$I:$I,"",'Raw Data'!$M:$M,"count")</f>
        <v>1610000</v>
      </c>
      <c r="G5" s="11">
        <f>SUMIFS('Raw Data'!$L:$L,'Raw Data'!$B:$B,$B$2,'Raw Data'!$J:$J,G$2,'Raw Data'!$K:$K,"native",'Raw Data'!$H:$H,"Jordanian",'Raw Data'!$I:$I,"",'Raw Data'!$M:$M,"count")</f>
        <v>1640000</v>
      </c>
      <c r="H5" s="11">
        <f>SUMIFS('Raw Data'!$L:$L,'Raw Data'!$B:$B,$B$2,'Raw Data'!$J:$J,H$2,'Raw Data'!$K:$K,"native",'Raw Data'!$H:$H,"Jordanian",'Raw Data'!$I:$I,"",'Raw Data'!$M:$M,"count")</f>
        <v>1680000</v>
      </c>
      <c r="I5" s="11">
        <f>SUMIFS('Raw Data'!$L:$L,'Raw Data'!$B:$B,$B$2,'Raw Data'!$J:$J,I$2,'Raw Data'!$K:$K,"native",'Raw Data'!$H:$H,"Jordanian",'Raw Data'!$I:$I,"",'Raw Data'!$M:$M,"count")</f>
        <v>1710000</v>
      </c>
      <c r="J5" s="11">
        <f>SUMIFS('Raw Data'!$L:$L,'Raw Data'!$B:$B,$B$2,'Raw Data'!$J:$J,J$2,'Raw Data'!$K:$K,"native",'Raw Data'!$H:$H,"Jordanian",'Raw Data'!$I:$I,"",'Raw Data'!$M:$M,"count")</f>
        <v>1750000</v>
      </c>
      <c r="K5" s="11">
        <f>SUMIFS('Raw Data'!$L:$L,'Raw Data'!$B:$B,$B$2,'Raw Data'!$J:$J,K$2,'Raw Data'!$K:$K,"native",'Raw Data'!$H:$H,"Jordanian",'Raw Data'!$I:$I,"",'Raw Data'!$M:$M,"count")</f>
        <v>1780000</v>
      </c>
      <c r="L5" s="11">
        <f>SUMIFS('Raw Data'!$L:$L,'Raw Data'!$B:$B,$B$2,'Raw Data'!$J:$J,L$2,'Raw Data'!$K:$K,"native",'Raw Data'!$H:$H,"Jordanian",'Raw Data'!$I:$I,"",'Raw Data'!$M:$M,"count")</f>
        <v>1810000</v>
      </c>
      <c r="M5" s="11">
        <f>SUMIFS('Raw Data'!$L:$L,'Raw Data'!$B:$B,$B$2,'Raw Data'!$J:$J,M$2,'Raw Data'!$K:$K,"native",'Raw Data'!$H:$H,"Jordanian",'Raw Data'!$I:$I,"",'Raw Data'!$M:$M,"count")</f>
        <v>1850000</v>
      </c>
      <c r="N5" s="11">
        <f>SUMIFS('Raw Data'!$L:$L,'Raw Data'!$B:$B,$B$2,'Raw Data'!$J:$J,N$2,'Raw Data'!$K:$K,"native",'Raw Data'!$H:$H,"Jordanian",'Raw Data'!$I:$I,"",'Raw Data'!$M:$M,"count")</f>
        <v>1880000</v>
      </c>
      <c r="O5" s="11">
        <f>SUMIFS('Raw Data'!$L:$L,'Raw Data'!$B:$B,$B$2,'Raw Data'!$J:$J,O$2,'Raw Data'!$K:$K,"native",'Raw Data'!$H:$H,"Jordanian",'Raw Data'!$I:$I,"",'Raw Data'!$M:$M,"count")</f>
        <v>1930000</v>
      </c>
      <c r="P5" s="11">
        <f>SUMIFS('Raw Data'!$L:$L,'Raw Data'!$B:$B,$B$2,'Raw Data'!$J:$J,P$2,'Raw Data'!$K:$K,"native",'Raw Data'!$H:$H,"Jordanian",'Raw Data'!$I:$I,"",'Raw Data'!$M:$M,"count")</f>
        <v>1980000</v>
      </c>
      <c r="Q5" s="11">
        <f>SUMIFS('Raw Data'!$L:$L,'Raw Data'!$B:$B,$B$2,'Raw Data'!$J:$J,Q$2,'Raw Data'!$K:$K,"native",'Raw Data'!$H:$H,"Jordanian",'Raw Data'!$I:$I,"",'Raw Data'!$M:$M,"count")</f>
        <v>2010000</v>
      </c>
      <c r="R5" s="11">
        <f>SUMIFS('Raw Data'!$L:$L,'Raw Data'!$B:$B,$B$2,'Raw Data'!$J:$J,R$2,'Raw Data'!$K:$K,"native",'Raw Data'!$H:$H,"Jordanian",'Raw Data'!$I:$I,"",'Raw Data'!$M:$M,"count")</f>
        <v>2040000</v>
      </c>
      <c r="S5" s="11">
        <f>SUMIFS('Raw Data'!$L:$L,'Raw Data'!$B:$B,$B$2,'Raw Data'!$J:$J,S$2,'Raw Data'!$K:$K,"native",'Raw Data'!$H:$H,"Jordanian",'Raw Data'!$I:$I,"",'Raw Data'!$M:$M,"count")</f>
        <v>2070000</v>
      </c>
      <c r="T5" s="11">
        <f>SUMIFS('Raw Data'!$L:$L,'Raw Data'!$B:$B,$B$2,'Raw Data'!$J:$J,T$2,'Raw Data'!$K:$K,"native",'Raw Data'!$H:$H,"Jordanian",'Raw Data'!$I:$I,"",'Raw Data'!$M:$M,"count")</f>
        <v>2110000</v>
      </c>
      <c r="U5" s="11">
        <f>SUMIFS('Raw Data'!$L:$L,'Raw Data'!$B:$B,$B$2,'Raw Data'!$J:$J,U$2,'Raw Data'!$K:$K,"native",'Raw Data'!$H:$H,"Jordanian",'Raw Data'!$I:$I,"",'Raw Data'!$M:$M,"count")</f>
        <v>2130000</v>
      </c>
      <c r="V5" s="11">
        <f>SUMIFS('Raw Data'!$L:$L,'Raw Data'!$B:$B,$B$2,'Raw Data'!$J:$J,V$2,'Raw Data'!$K:$K,"native",'Raw Data'!$H:$H,"Jordanian",'Raw Data'!$I:$I,"",'Raw Data'!$M:$M,"count")</f>
        <v>2160000</v>
      </c>
      <c r="W5" s="11">
        <f>SUMIFS('Raw Data'!$L:$L,'Raw Data'!$B:$B,$B$2,'Raw Data'!$J:$J,W$2,'Raw Data'!$K:$K,"native",'Raw Data'!$H:$H,"Jordanian",'Raw Data'!$I:$I,"",'Raw Data'!$M:$M,"count")</f>
        <v>2190000</v>
      </c>
      <c r="X5" s="11">
        <f>SUMIFS('Raw Data'!$L:$L,'Raw Data'!$B:$B,$B$2,'Raw Data'!$J:$J,X$2,'Raw Data'!$K:$K,"native",'Raw Data'!$H:$H,"Jordanian",'Raw Data'!$I:$I,"",'Raw Data'!$M:$M,"count")</f>
        <v>2220000</v>
      </c>
      <c r="Y5" s="11">
        <f>SUMIFS('Raw Data'!$L:$L,'Raw Data'!$B:$B,$B$2,'Raw Data'!$J:$J,Y$2,'Raw Data'!$K:$K,"native",'Raw Data'!$H:$H,"Jordanian",'Raw Data'!$I:$I,"",'Raw Data'!$M:$M,"count")</f>
        <v>2260000</v>
      </c>
      <c r="Z5" s="11">
        <f>SUMIFS('Raw Data'!$L:$L,'Raw Data'!$B:$B,$B$2,'Raw Data'!$J:$J,Z$2,'Raw Data'!$K:$K,"native",'Raw Data'!$H:$H,"Jordanian",'Raw Data'!$I:$I,"",'Raw Data'!$M:$M,"count")</f>
        <v>2290000</v>
      </c>
    </row>
    <row r="6" spans="1:26" x14ac:dyDescent="0.25">
      <c r="A6" s="10" t="s">
        <v>63</v>
      </c>
      <c r="B6" s="10" t="s">
        <v>65</v>
      </c>
      <c r="C6" s="11">
        <f>SUMIFS('Raw Data'!$L:$L,'Raw Data'!$B:$B,$B$2,'Raw Data'!$J:$J,C$2,'Raw Data'!$K:$K,"native",'Raw Data'!$H:$H,"Non-Jordanian",'Raw Data'!$I:$I,"",'Raw Data'!$M:$M,"count")</f>
        <v>55000</v>
      </c>
      <c r="D6" s="11">
        <f>SUMIFS('Raw Data'!$L:$L,'Raw Data'!$B:$B,$B$2,'Raw Data'!$J:$J,D$2,'Raw Data'!$K:$K,"native",'Raw Data'!$H:$H,"Non-Jordanian",'Raw Data'!$I:$I,"",'Raw Data'!$M:$M,"count")</f>
        <v>57000</v>
      </c>
      <c r="E6" s="11">
        <f>SUMIFS('Raw Data'!$L:$L,'Raw Data'!$B:$B,$B$2,'Raw Data'!$J:$J,E$2,'Raw Data'!$K:$K,"native",'Raw Data'!$H:$H,"Non-Jordanian",'Raw Data'!$I:$I,"",'Raw Data'!$M:$M,"count")</f>
        <v>59000</v>
      </c>
      <c r="F6" s="11">
        <f>SUMIFS('Raw Data'!$L:$L,'Raw Data'!$B:$B,$B$2,'Raw Data'!$J:$J,F$2,'Raw Data'!$K:$K,"native",'Raw Data'!$H:$H,"Non-Jordanian",'Raw Data'!$I:$I,"",'Raw Data'!$M:$M,"count")</f>
        <v>61000</v>
      </c>
      <c r="G6" s="11">
        <f>SUMIFS('Raw Data'!$L:$L,'Raw Data'!$B:$B,$B$2,'Raw Data'!$J:$J,G$2,'Raw Data'!$K:$K,"native",'Raw Data'!$H:$H,"Non-Jordanian",'Raw Data'!$I:$I,"",'Raw Data'!$M:$M,"count")</f>
        <v>63000</v>
      </c>
      <c r="H6" s="11">
        <f>SUMIFS('Raw Data'!$L:$L,'Raw Data'!$B:$B,$B$2,'Raw Data'!$J:$J,H$2,'Raw Data'!$K:$K,"native",'Raw Data'!$H:$H,"Non-Jordanian",'Raw Data'!$I:$I,"",'Raw Data'!$M:$M,"count")</f>
        <v>65000</v>
      </c>
      <c r="I6" s="11">
        <f>SUMIFS('Raw Data'!$L:$L,'Raw Data'!$B:$B,$B$2,'Raw Data'!$J:$J,I$2,'Raw Data'!$K:$K,"native",'Raw Data'!$H:$H,"Non-Jordanian",'Raw Data'!$I:$I,"",'Raw Data'!$M:$M,"count")</f>
        <v>67000</v>
      </c>
      <c r="J6" s="11">
        <f>SUMIFS('Raw Data'!$L:$L,'Raw Data'!$B:$B,$B$2,'Raw Data'!$J:$J,J$2,'Raw Data'!$K:$K,"native",'Raw Data'!$H:$H,"Non-Jordanian",'Raw Data'!$I:$I,"",'Raw Data'!$M:$M,"count")</f>
        <v>68300</v>
      </c>
      <c r="K6" s="11">
        <f>SUMIFS('Raw Data'!$L:$L,'Raw Data'!$B:$B,$B$2,'Raw Data'!$J:$J,K$2,'Raw Data'!$K:$K,"native",'Raw Data'!$H:$H,"Non-Jordanian",'Raw Data'!$I:$I,"",'Raw Data'!$M:$M,"count")</f>
        <v>70100</v>
      </c>
      <c r="L6" s="11">
        <f>SUMIFS('Raw Data'!$L:$L,'Raw Data'!$B:$B,$B$2,'Raw Data'!$J:$J,L$2,'Raw Data'!$K:$K,"native",'Raw Data'!$H:$H,"Non-Jordanian",'Raw Data'!$I:$I,"",'Raw Data'!$M:$M,"count")</f>
        <v>71800</v>
      </c>
      <c r="M6" s="11">
        <f>SUMIFS('Raw Data'!$L:$L,'Raw Data'!$B:$B,$B$2,'Raw Data'!$J:$J,M$2,'Raw Data'!$K:$K,"native",'Raw Data'!$H:$H,"Non-Jordanian",'Raw Data'!$I:$I,"",'Raw Data'!$M:$M,"count")</f>
        <v>73900</v>
      </c>
      <c r="N6" s="11">
        <f>SUMIFS('Raw Data'!$L:$L,'Raw Data'!$B:$B,$B$2,'Raw Data'!$J:$J,N$2,'Raw Data'!$K:$K,"native",'Raw Data'!$H:$H,"Non-Jordanian",'Raw Data'!$I:$I,"",'Raw Data'!$M:$M,"count")</f>
        <v>75800</v>
      </c>
      <c r="O6" s="11">
        <f>SUMIFS('Raw Data'!$L:$L,'Raw Data'!$B:$B,$B$2,'Raw Data'!$J:$J,O$2,'Raw Data'!$K:$K,"native",'Raw Data'!$H:$H,"Non-Jordanian",'Raw Data'!$I:$I,"",'Raw Data'!$M:$M,"count")</f>
        <v>77980</v>
      </c>
      <c r="P6" s="11">
        <f>SUMIFS('Raw Data'!$L:$L,'Raw Data'!$B:$B,$B$2,'Raw Data'!$J:$J,P$2,'Raw Data'!$K:$K,"native",'Raw Data'!$H:$H,"Non-Jordanian",'Raw Data'!$I:$I,"",'Raw Data'!$M:$M,"count")</f>
        <v>80300</v>
      </c>
      <c r="Q6" s="11">
        <f>SUMIFS('Raw Data'!$L:$L,'Raw Data'!$B:$B,$B$2,'Raw Data'!$J:$J,Q$2,'Raw Data'!$K:$K,"native",'Raw Data'!$H:$H,"Non-Jordanian",'Raw Data'!$I:$I,"",'Raw Data'!$M:$M,"count")</f>
        <v>82400</v>
      </c>
      <c r="R6" s="11">
        <f>SUMIFS('Raw Data'!$L:$L,'Raw Data'!$B:$B,$B$2,'Raw Data'!$J:$J,R$2,'Raw Data'!$K:$K,"native",'Raw Data'!$H:$H,"Non-Jordanian",'Raw Data'!$I:$I,"",'Raw Data'!$M:$M,"count")</f>
        <v>84000</v>
      </c>
      <c r="S6" s="11">
        <f>SUMIFS('Raw Data'!$L:$L,'Raw Data'!$B:$B,$B$2,'Raw Data'!$J:$J,S$2,'Raw Data'!$K:$K,"native",'Raw Data'!$H:$H,"Non-Jordanian",'Raw Data'!$I:$I,"",'Raw Data'!$M:$M,"count")</f>
        <v>85600</v>
      </c>
      <c r="T6" s="11">
        <f>SUMIFS('Raw Data'!$L:$L,'Raw Data'!$B:$B,$B$2,'Raw Data'!$J:$J,T$2,'Raw Data'!$K:$K,"native",'Raw Data'!$H:$H,"Non-Jordanian",'Raw Data'!$I:$I,"",'Raw Data'!$M:$M,"count")</f>
        <v>87900</v>
      </c>
      <c r="U6" s="11">
        <f>SUMIFS('Raw Data'!$L:$L,'Raw Data'!$B:$B,$B$2,'Raw Data'!$J:$J,U$2,'Raw Data'!$K:$K,"native",'Raw Data'!$H:$H,"Non-Jordanian",'Raw Data'!$I:$I,"",'Raw Data'!$M:$M,"count")</f>
        <v>89200</v>
      </c>
      <c r="V6" s="11">
        <f>SUMIFS('Raw Data'!$L:$L,'Raw Data'!$B:$B,$B$2,'Raw Data'!$J:$J,V$2,'Raw Data'!$K:$K,"native",'Raw Data'!$H:$H,"Non-Jordanian",'Raw Data'!$I:$I,"",'Raw Data'!$M:$M,"count")</f>
        <v>90900</v>
      </c>
      <c r="W6" s="11">
        <f>SUMIFS('Raw Data'!$L:$L,'Raw Data'!$B:$B,$B$2,'Raw Data'!$J:$J,W$2,'Raw Data'!$K:$K,"native",'Raw Data'!$H:$H,"Non-Jordanian",'Raw Data'!$I:$I,"",'Raw Data'!$M:$M,"count")</f>
        <v>92700</v>
      </c>
      <c r="X6" s="11">
        <f>SUMIFS('Raw Data'!$L:$L,'Raw Data'!$B:$B,$B$2,'Raw Data'!$J:$J,X$2,'Raw Data'!$K:$K,"native",'Raw Data'!$H:$H,"Non-Jordanian",'Raw Data'!$I:$I,"",'Raw Data'!$M:$M,"count")</f>
        <v>94500</v>
      </c>
      <c r="Y6" s="11">
        <f>SUMIFS('Raw Data'!$L:$L,'Raw Data'!$B:$B,$B$2,'Raw Data'!$J:$J,Y$2,'Raw Data'!$K:$K,"native",'Raw Data'!$H:$H,"Non-Jordanian",'Raw Data'!$I:$I,"",'Raw Data'!$M:$M,"count")</f>
        <v>96600</v>
      </c>
      <c r="Z6" s="11">
        <f>SUMIFS('Raw Data'!$L:$L,'Raw Data'!$B:$B,$B$2,'Raw Data'!$J:$J,Z$2,'Raw Data'!$K:$K,"native",'Raw Data'!$H:$H,"Non-Jordanian",'Raw Data'!$I:$I,"",'Raw Data'!$M:$M,"count")</f>
        <v>98600</v>
      </c>
    </row>
    <row r="7" spans="1:26" x14ac:dyDescent="0.25">
      <c r="A7" s="53" t="s">
        <v>66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x14ac:dyDescent="0.25">
      <c r="A8" s="10" t="s">
        <v>63</v>
      </c>
      <c r="B8" s="10" t="s">
        <v>67</v>
      </c>
      <c r="C8" s="11">
        <f>SUMIFS('Raw Data'!$L:$L,'Raw Data'!$B:$B,$B$2,'Raw Data'!$J:$J,C$2,'Raw Data'!$K:$K,"native",'Raw Data'!$H:$H,"Female*",'Raw Data'!$I:$I,"",'Raw Data'!$M:$M,"count")</f>
        <v>541300</v>
      </c>
      <c r="D8" s="11">
        <f>SUMIFS('Raw Data'!$L:$L,'Raw Data'!$B:$B,$B$2,'Raw Data'!$J:$J,D$2,'Raw Data'!$K:$K,"native",'Raw Data'!$H:$H,"Female*",'Raw Data'!$I:$I,"",'Raw Data'!$M:$M,"count")</f>
        <v>556500</v>
      </c>
      <c r="E8" s="11">
        <f>SUMIFS('Raw Data'!$L:$L,'Raw Data'!$B:$B,$B$2,'Raw Data'!$J:$J,E$2,'Raw Data'!$K:$K,"native",'Raw Data'!$H:$H,"Female*",'Raw Data'!$I:$I,"",'Raw Data'!$M:$M,"count")</f>
        <v>570000</v>
      </c>
      <c r="F8" s="11">
        <f>SUMIFS('Raw Data'!$L:$L,'Raw Data'!$B:$B,$B$2,'Raw Data'!$J:$J,F$2,'Raw Data'!$K:$K,"native",'Raw Data'!$H:$H,"Female*",'Raw Data'!$I:$I,"",'Raw Data'!$M:$M,"count")</f>
        <v>580000</v>
      </c>
      <c r="G8" s="11">
        <f>SUMIFS('Raw Data'!$L:$L,'Raw Data'!$B:$B,$B$2,'Raw Data'!$J:$J,G$2,'Raw Data'!$K:$K,"native",'Raw Data'!$H:$H,"Female*",'Raw Data'!$I:$I,"",'Raw Data'!$M:$M,"count")</f>
        <v>600000</v>
      </c>
      <c r="H8" s="11">
        <f>SUMIFS('Raw Data'!$L:$L,'Raw Data'!$B:$B,$B$2,'Raw Data'!$J:$J,H$2,'Raw Data'!$K:$K,"native",'Raw Data'!$H:$H,"Female*",'Raw Data'!$I:$I,"",'Raw Data'!$M:$M,"count")</f>
        <v>610000</v>
      </c>
      <c r="I8" s="11">
        <f>SUMIFS('Raw Data'!$L:$L,'Raw Data'!$B:$B,$B$2,'Raw Data'!$J:$J,I$2,'Raw Data'!$K:$K,"native",'Raw Data'!$H:$H,"Female*",'Raw Data'!$I:$I,"",'Raw Data'!$M:$M,"count")</f>
        <v>620000</v>
      </c>
      <c r="J8" s="11">
        <f>SUMIFS('Raw Data'!$L:$L,'Raw Data'!$B:$B,$B$2,'Raw Data'!$J:$J,J$2,'Raw Data'!$K:$K,"native",'Raw Data'!$H:$H,"Female*",'Raw Data'!$I:$I,"",'Raw Data'!$M:$M,"count")</f>
        <v>640000</v>
      </c>
      <c r="K8" s="11">
        <f>SUMIFS('Raw Data'!$L:$L,'Raw Data'!$B:$B,$B$2,'Raw Data'!$J:$J,K$2,'Raw Data'!$K:$K,"native",'Raw Data'!$H:$H,"Female*",'Raw Data'!$I:$I,"",'Raw Data'!$M:$M,"count")</f>
        <v>650000</v>
      </c>
      <c r="L8" s="11">
        <f>SUMIFS('Raw Data'!$L:$L,'Raw Data'!$B:$B,$B$2,'Raw Data'!$J:$J,L$2,'Raw Data'!$K:$K,"native",'Raw Data'!$H:$H,"Female*",'Raw Data'!$I:$I,"",'Raw Data'!$M:$M,"count")</f>
        <v>660000</v>
      </c>
      <c r="M8" s="11">
        <f>SUMIFS('Raw Data'!$L:$L,'Raw Data'!$B:$B,$B$2,'Raw Data'!$J:$J,M$2,'Raw Data'!$K:$K,"native",'Raw Data'!$H:$H,"Female*",'Raw Data'!$I:$I,"",'Raw Data'!$M:$M,"count")</f>
        <v>680000</v>
      </c>
      <c r="N8" s="11">
        <f>SUMIFS('Raw Data'!$L:$L,'Raw Data'!$B:$B,$B$2,'Raw Data'!$J:$J,N$2,'Raw Data'!$K:$K,"native",'Raw Data'!$H:$H,"Female*",'Raw Data'!$I:$I,"",'Raw Data'!$M:$M,"count")</f>
        <v>690000</v>
      </c>
      <c r="O8" s="11">
        <f>SUMIFS('Raw Data'!$L:$L,'Raw Data'!$B:$B,$B$2,'Raw Data'!$J:$J,O$2,'Raw Data'!$K:$K,"native",'Raw Data'!$H:$H,"Female*",'Raw Data'!$I:$I,"",'Raw Data'!$M:$M,"count")</f>
        <v>710000</v>
      </c>
      <c r="P8" s="11">
        <f>SUMIFS('Raw Data'!$L:$L,'Raw Data'!$B:$B,$B$2,'Raw Data'!$J:$J,P$2,'Raw Data'!$K:$K,"native",'Raw Data'!$H:$H,"Female*",'Raw Data'!$I:$I,"",'Raw Data'!$M:$M,"count")</f>
        <v>730000</v>
      </c>
      <c r="Q8" s="11">
        <f>SUMIFS('Raw Data'!$L:$L,'Raw Data'!$B:$B,$B$2,'Raw Data'!$J:$J,Q$2,'Raw Data'!$K:$K,"native",'Raw Data'!$H:$H,"Female*",'Raw Data'!$I:$I,"",'Raw Data'!$M:$M,"count")</f>
        <v>750000</v>
      </c>
      <c r="R8" s="11">
        <f>SUMIFS('Raw Data'!$L:$L,'Raw Data'!$B:$B,$B$2,'Raw Data'!$J:$J,R$2,'Raw Data'!$K:$K,"native",'Raw Data'!$H:$H,"Female*",'Raw Data'!$I:$I,"",'Raw Data'!$M:$M,"count")</f>
        <v>760000</v>
      </c>
      <c r="S8" s="11">
        <f>SUMIFS('Raw Data'!$L:$L,'Raw Data'!$B:$B,$B$2,'Raw Data'!$J:$J,S$2,'Raw Data'!$K:$K,"native",'Raw Data'!$H:$H,"Female*",'Raw Data'!$I:$I,"",'Raw Data'!$M:$M,"count")</f>
        <v>780000</v>
      </c>
      <c r="T8" s="11">
        <f>SUMIFS('Raw Data'!$L:$L,'Raw Data'!$B:$B,$B$2,'Raw Data'!$J:$J,T$2,'Raw Data'!$K:$K,"native",'Raw Data'!$H:$H,"Female*",'Raw Data'!$I:$I,"",'Raw Data'!$M:$M,"count")</f>
        <v>800000</v>
      </c>
      <c r="U8" s="11">
        <f>SUMIFS('Raw Data'!$L:$L,'Raw Data'!$B:$B,$B$2,'Raw Data'!$J:$J,U$2,'Raw Data'!$K:$K,"native",'Raw Data'!$H:$H,"Female*",'Raw Data'!$I:$I,"",'Raw Data'!$M:$M,"count")</f>
        <v>800000</v>
      </c>
      <c r="V8" s="11">
        <f>SUMIFS('Raw Data'!$L:$L,'Raw Data'!$B:$B,$B$2,'Raw Data'!$J:$J,V$2,'Raw Data'!$K:$K,"native",'Raw Data'!$H:$H,"Female*",'Raw Data'!$I:$I,"",'Raw Data'!$M:$M,"count")</f>
        <v>820000</v>
      </c>
      <c r="W8" s="11">
        <f>SUMIFS('Raw Data'!$L:$L,'Raw Data'!$B:$B,$B$2,'Raw Data'!$J:$J,W$2,'Raw Data'!$K:$K,"native",'Raw Data'!$H:$H,"Female*",'Raw Data'!$I:$I,"",'Raw Data'!$M:$M,"count")</f>
        <v>830000</v>
      </c>
      <c r="X8" s="11">
        <f>SUMIFS('Raw Data'!$L:$L,'Raw Data'!$B:$B,$B$2,'Raw Data'!$J:$J,X$2,'Raw Data'!$K:$K,"native",'Raw Data'!$H:$H,"Female*",'Raw Data'!$I:$I,"",'Raw Data'!$M:$M,"count")</f>
        <v>840000</v>
      </c>
      <c r="Y8" s="11">
        <f>SUMIFS('Raw Data'!$L:$L,'Raw Data'!$B:$B,$B$2,'Raw Data'!$J:$J,Y$2,'Raw Data'!$K:$K,"native",'Raw Data'!$H:$H,"Female*",'Raw Data'!$I:$I,"",'Raw Data'!$M:$M,"count")</f>
        <v>860000</v>
      </c>
      <c r="Z8" s="11">
        <f>SUMIFS('Raw Data'!$L:$L,'Raw Data'!$B:$B,$B$2,'Raw Data'!$J:$J,Z$2,'Raw Data'!$K:$K,"native",'Raw Data'!$H:$H,"Female*",'Raw Data'!$I:$I,"",'Raw Data'!$M:$M,"count")</f>
        <v>870000</v>
      </c>
    </row>
    <row r="9" spans="1:26" x14ac:dyDescent="0.25">
      <c r="A9" s="10" t="s">
        <v>63</v>
      </c>
      <c r="B9" s="10" t="s">
        <v>68</v>
      </c>
      <c r="C9" s="11">
        <f>SUMIFS('Raw Data'!$L:$L,'Raw Data'!$B:$B,$B$2,'Raw Data'!$J:$J,C$2,'Raw Data'!$K:$K,"native",'Raw Data'!$H:$H,"Male*",'Raw Data'!$I:$I,"",'Raw Data'!$M:$M,"count")</f>
        <v>973400</v>
      </c>
      <c r="D9" s="11">
        <f>SUMIFS('Raw Data'!$L:$L,'Raw Data'!$B:$B,$B$2,'Raw Data'!$J:$J,D$2,'Raw Data'!$K:$K,"native",'Raw Data'!$H:$H,"Male*",'Raw Data'!$I:$I,"",'Raw Data'!$M:$M,"count")</f>
        <v>997400</v>
      </c>
      <c r="E9" s="11">
        <f>SUMIFS('Raw Data'!$L:$L,'Raw Data'!$B:$B,$B$2,'Raw Data'!$J:$J,E$2,'Raw Data'!$K:$K,"native",'Raw Data'!$H:$H,"Male*",'Raw Data'!$I:$I,"",'Raw Data'!$M:$M,"count")</f>
        <v>1020000</v>
      </c>
      <c r="F9" s="11">
        <f>SUMIFS('Raw Data'!$L:$L,'Raw Data'!$B:$B,$B$2,'Raw Data'!$J:$J,F$2,'Raw Data'!$K:$K,"native",'Raw Data'!$H:$H,"Male*",'Raw Data'!$I:$I,"",'Raw Data'!$M:$M,"count")</f>
        <v>1040000</v>
      </c>
      <c r="G9" s="11">
        <f>SUMIFS('Raw Data'!$L:$L,'Raw Data'!$B:$B,$B$2,'Raw Data'!$J:$J,G$2,'Raw Data'!$K:$K,"native",'Raw Data'!$H:$H,"Male*",'Raw Data'!$I:$I,"",'Raw Data'!$M:$M,"count")</f>
        <v>1060000</v>
      </c>
      <c r="H9" s="11">
        <f>SUMIFS('Raw Data'!$L:$L,'Raw Data'!$B:$B,$B$2,'Raw Data'!$J:$J,H$2,'Raw Data'!$K:$K,"native",'Raw Data'!$H:$H,"Male*",'Raw Data'!$I:$I,"",'Raw Data'!$M:$M,"count")</f>
        <v>1080000</v>
      </c>
      <c r="I9" s="11">
        <f>SUMIFS('Raw Data'!$L:$L,'Raw Data'!$B:$B,$B$2,'Raw Data'!$J:$J,I$2,'Raw Data'!$K:$K,"native",'Raw Data'!$H:$H,"Male*",'Raw Data'!$I:$I,"",'Raw Data'!$M:$M,"count")</f>
        <v>1110000</v>
      </c>
      <c r="J9" s="11">
        <f>SUMIFS('Raw Data'!$L:$L,'Raw Data'!$B:$B,$B$2,'Raw Data'!$J:$J,J$2,'Raw Data'!$K:$K,"native",'Raw Data'!$H:$H,"Male*",'Raw Data'!$I:$I,"",'Raw Data'!$M:$M,"count")</f>
        <v>1130000</v>
      </c>
      <c r="K9" s="11">
        <f>SUMIFS('Raw Data'!$L:$L,'Raw Data'!$B:$B,$B$2,'Raw Data'!$J:$J,K$2,'Raw Data'!$K:$K,"native",'Raw Data'!$H:$H,"Male*",'Raw Data'!$I:$I,"",'Raw Data'!$M:$M,"count")</f>
        <v>1150000</v>
      </c>
      <c r="L9" s="11">
        <f>SUMIFS('Raw Data'!$L:$L,'Raw Data'!$B:$B,$B$2,'Raw Data'!$J:$J,L$2,'Raw Data'!$K:$K,"native",'Raw Data'!$H:$H,"Male*",'Raw Data'!$I:$I,"",'Raw Data'!$M:$M,"count")</f>
        <v>1160000</v>
      </c>
      <c r="M9" s="11">
        <f>SUMIFS('Raw Data'!$L:$L,'Raw Data'!$B:$B,$B$2,'Raw Data'!$J:$J,M$2,'Raw Data'!$K:$K,"native",'Raw Data'!$H:$H,"Male*",'Raw Data'!$I:$I,"",'Raw Data'!$M:$M,"count")</f>
        <v>1190000</v>
      </c>
      <c r="N9" s="11">
        <f>SUMIFS('Raw Data'!$L:$L,'Raw Data'!$B:$B,$B$2,'Raw Data'!$J:$J,N$2,'Raw Data'!$K:$K,"native",'Raw Data'!$H:$H,"Male*",'Raw Data'!$I:$I,"",'Raw Data'!$M:$M,"count")</f>
        <v>1210000</v>
      </c>
      <c r="O9" s="11">
        <f>SUMIFS('Raw Data'!$L:$L,'Raw Data'!$B:$B,$B$2,'Raw Data'!$J:$J,O$2,'Raw Data'!$K:$K,"native",'Raw Data'!$H:$H,"Male*",'Raw Data'!$I:$I,"",'Raw Data'!$M:$M,"count")</f>
        <v>1240000</v>
      </c>
      <c r="P9" s="11">
        <f>SUMIFS('Raw Data'!$L:$L,'Raw Data'!$B:$B,$B$2,'Raw Data'!$J:$J,P$2,'Raw Data'!$K:$K,"native",'Raw Data'!$H:$H,"Male*",'Raw Data'!$I:$I,"",'Raw Data'!$M:$M,"count")</f>
        <v>1260000</v>
      </c>
      <c r="Q9" s="11">
        <f>SUMIFS('Raw Data'!$L:$L,'Raw Data'!$B:$B,$B$2,'Raw Data'!$J:$J,Q$2,'Raw Data'!$K:$K,"native",'Raw Data'!$H:$H,"Male*",'Raw Data'!$I:$I,"",'Raw Data'!$M:$M,"count")</f>
        <v>1280000</v>
      </c>
      <c r="R9" s="11">
        <f>SUMIFS('Raw Data'!$L:$L,'Raw Data'!$B:$B,$B$2,'Raw Data'!$J:$J,R$2,'Raw Data'!$K:$K,"native",'Raw Data'!$H:$H,"Male*",'Raw Data'!$I:$I,"",'Raw Data'!$M:$M,"count")</f>
        <v>1300000</v>
      </c>
      <c r="S9" s="11">
        <f>SUMIFS('Raw Data'!$L:$L,'Raw Data'!$B:$B,$B$2,'Raw Data'!$J:$J,S$2,'Raw Data'!$K:$K,"native",'Raw Data'!$H:$H,"Male*",'Raw Data'!$I:$I,"",'Raw Data'!$M:$M,"count")</f>
        <v>1320000</v>
      </c>
      <c r="T9" s="11">
        <f>SUMIFS('Raw Data'!$L:$L,'Raw Data'!$B:$B,$B$2,'Raw Data'!$J:$J,T$2,'Raw Data'!$K:$K,"native",'Raw Data'!$H:$H,"Male*",'Raw Data'!$I:$I,"",'Raw Data'!$M:$M,"count")</f>
        <v>1340000</v>
      </c>
      <c r="U9" s="11">
        <f>SUMIFS('Raw Data'!$L:$L,'Raw Data'!$B:$B,$B$2,'Raw Data'!$J:$J,U$2,'Raw Data'!$K:$K,"native",'Raw Data'!$H:$H,"Male*",'Raw Data'!$I:$I,"",'Raw Data'!$M:$M,"count")</f>
        <v>1350000</v>
      </c>
      <c r="V9" s="11">
        <f>SUMIFS('Raw Data'!$L:$L,'Raw Data'!$B:$B,$B$2,'Raw Data'!$J:$J,V$2,'Raw Data'!$K:$K,"native",'Raw Data'!$H:$H,"Male*",'Raw Data'!$I:$I,"",'Raw Data'!$M:$M,"count")</f>
        <v>1370000</v>
      </c>
      <c r="W9" s="11">
        <f>SUMIFS('Raw Data'!$L:$L,'Raw Data'!$B:$B,$B$2,'Raw Data'!$J:$J,W$2,'Raw Data'!$K:$K,"native",'Raw Data'!$H:$H,"Male*",'Raw Data'!$I:$I,"",'Raw Data'!$M:$M,"count")</f>
        <v>1390000</v>
      </c>
      <c r="X9" s="11">
        <f>SUMIFS('Raw Data'!$L:$L,'Raw Data'!$B:$B,$B$2,'Raw Data'!$J:$J,X$2,'Raw Data'!$K:$K,"native",'Raw Data'!$H:$H,"Male*",'Raw Data'!$I:$I,"",'Raw Data'!$M:$M,"count")</f>
        <v>1400000</v>
      </c>
      <c r="Y9" s="11">
        <f>SUMIFS('Raw Data'!$L:$L,'Raw Data'!$B:$B,$B$2,'Raw Data'!$J:$J,Y$2,'Raw Data'!$K:$K,"native",'Raw Data'!$H:$H,"Male*",'Raw Data'!$I:$I,"",'Raw Data'!$M:$M,"count")</f>
        <v>1420000</v>
      </c>
      <c r="Z9" s="11">
        <f>SUMIFS('Raw Data'!$L:$L,'Raw Data'!$B:$B,$B$2,'Raw Data'!$J:$J,Z$2,'Raw Data'!$K:$K,"native",'Raw Data'!$H:$H,"Male*",'Raw Data'!$I:$I,"",'Raw Data'!$M:$M,"count")</f>
        <v>1450000</v>
      </c>
    </row>
    <row r="10" spans="1:26" x14ac:dyDescent="0.25">
      <c r="A10" s="53" t="s">
        <v>69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x14ac:dyDescent="0.25">
      <c r="A11" s="10" t="s">
        <v>63</v>
      </c>
      <c r="B11" s="10" t="s">
        <v>70</v>
      </c>
      <c r="C11" s="11">
        <f>SUMIFS('Raw Data'!$L:$L,'Raw Data'!$B:$B,$B$2,'Raw Data'!$J:$J,C$2,'Raw Data'!$K:$K,"native",'Raw Data'!$H:$H,"18-30",'Raw Data'!$I:$I,"",'Raw Data'!$M:$M,"count")</f>
        <v>591000</v>
      </c>
      <c r="D11" s="11">
        <f>SUMIFS('Raw Data'!$L:$L,'Raw Data'!$B:$B,$B$2,'Raw Data'!$J:$J,D$2,'Raw Data'!$K:$K,"native",'Raw Data'!$H:$H,"18-30",'Raw Data'!$I:$I,"",'Raw Data'!$M:$M,"count")</f>
        <v>605000</v>
      </c>
      <c r="E11" s="11">
        <f>SUMIFS('Raw Data'!$L:$L,'Raw Data'!$B:$B,$B$2,'Raw Data'!$J:$J,E$2,'Raw Data'!$K:$K,"native",'Raw Data'!$H:$H,"18-30",'Raw Data'!$I:$I,"",'Raw Data'!$M:$M,"count")</f>
        <v>615000</v>
      </c>
      <c r="F11" s="11">
        <f>SUMIFS('Raw Data'!$L:$L,'Raw Data'!$B:$B,$B$2,'Raw Data'!$J:$J,F$2,'Raw Data'!$K:$K,"native",'Raw Data'!$H:$H,"18-30",'Raw Data'!$I:$I,"",'Raw Data'!$M:$M,"count")</f>
        <v>626000</v>
      </c>
      <c r="G11" s="11">
        <f>SUMIFS('Raw Data'!$L:$L,'Raw Data'!$B:$B,$B$2,'Raw Data'!$J:$J,G$2,'Raw Data'!$K:$K,"native",'Raw Data'!$H:$H,"18-30",'Raw Data'!$I:$I,"",'Raw Data'!$M:$M,"count")</f>
        <v>637000</v>
      </c>
      <c r="H11" s="11">
        <f>SUMIFS('Raw Data'!$L:$L,'Raw Data'!$B:$B,$B$2,'Raw Data'!$J:$J,H$2,'Raw Data'!$K:$K,"native",'Raw Data'!$H:$H,"18-30",'Raw Data'!$I:$I,"",'Raw Data'!$M:$M,"count")</f>
        <v>647000</v>
      </c>
      <c r="I11" s="11">
        <f>SUMIFS('Raw Data'!$L:$L,'Raw Data'!$B:$B,$B$2,'Raw Data'!$J:$J,I$2,'Raw Data'!$K:$K,"native",'Raw Data'!$H:$H,"18-30",'Raw Data'!$I:$I,"",'Raw Data'!$M:$M,"count")</f>
        <v>657000</v>
      </c>
      <c r="J11" s="11">
        <f>SUMIFS('Raw Data'!$L:$L,'Raw Data'!$B:$B,$B$2,'Raw Data'!$J:$J,J$2,'Raw Data'!$K:$K,"native",'Raw Data'!$H:$H,"18-30",'Raw Data'!$I:$I,"",'Raw Data'!$M:$M,"count")</f>
        <v>667000</v>
      </c>
      <c r="K11" s="11">
        <f>SUMIFS('Raw Data'!$L:$L,'Raw Data'!$B:$B,$B$2,'Raw Data'!$J:$J,K$2,'Raw Data'!$K:$K,"native",'Raw Data'!$H:$H,"18-30",'Raw Data'!$I:$I,"",'Raw Data'!$M:$M,"count")</f>
        <v>676000</v>
      </c>
      <c r="L11" s="11">
        <f>SUMIFS('Raw Data'!$L:$L,'Raw Data'!$B:$B,$B$2,'Raw Data'!$J:$J,L$2,'Raw Data'!$K:$K,"native",'Raw Data'!$H:$H,"18-30",'Raw Data'!$I:$I,"",'Raw Data'!$M:$M,"count")</f>
        <v>685000</v>
      </c>
      <c r="M11" s="11">
        <f>SUMIFS('Raw Data'!$L:$L,'Raw Data'!$B:$B,$B$2,'Raw Data'!$J:$J,M$2,'Raw Data'!$K:$K,"native",'Raw Data'!$H:$H,"18-30",'Raw Data'!$I:$I,"",'Raw Data'!$M:$M,"count")</f>
        <v>701000</v>
      </c>
      <c r="N11" s="11">
        <f>SUMIFS('Raw Data'!$L:$L,'Raw Data'!$B:$B,$B$2,'Raw Data'!$J:$J,N$2,'Raw Data'!$K:$K,"native",'Raw Data'!$H:$H,"18-30",'Raw Data'!$I:$I,"",'Raw Data'!$M:$M,"count")</f>
        <v>709000</v>
      </c>
      <c r="O11" s="11">
        <f>SUMIFS('Raw Data'!$L:$L,'Raw Data'!$B:$B,$B$2,'Raw Data'!$J:$J,O$2,'Raw Data'!$K:$K,"native",'Raw Data'!$H:$H,"18-30",'Raw Data'!$I:$I,"",'Raw Data'!$M:$M,"count")</f>
        <v>730000</v>
      </c>
      <c r="P11" s="11">
        <f>SUMIFS('Raw Data'!$L:$L,'Raw Data'!$B:$B,$B$2,'Raw Data'!$J:$J,P$2,'Raw Data'!$K:$K,"native",'Raw Data'!$H:$H,"18-30",'Raw Data'!$I:$I,"",'Raw Data'!$M:$M,"count")</f>
        <v>748000</v>
      </c>
      <c r="Q11" s="11">
        <f>SUMIFS('Raw Data'!$L:$L,'Raw Data'!$B:$B,$B$2,'Raw Data'!$J:$J,Q$2,'Raw Data'!$K:$K,"native",'Raw Data'!$H:$H,"18-30",'Raw Data'!$I:$I,"",'Raw Data'!$M:$M,"count")</f>
        <v>761000</v>
      </c>
      <c r="R11" s="11">
        <f>SUMIFS('Raw Data'!$L:$L,'Raw Data'!$B:$B,$B$2,'Raw Data'!$J:$J,R$2,'Raw Data'!$K:$K,"native",'Raw Data'!$H:$H,"18-30",'Raw Data'!$I:$I,"",'Raw Data'!$M:$M,"count")</f>
        <v>775000</v>
      </c>
      <c r="S11" s="11">
        <f>SUMIFS('Raw Data'!$L:$L,'Raw Data'!$B:$B,$B$2,'Raw Data'!$J:$J,S$2,'Raw Data'!$K:$K,"native",'Raw Data'!$H:$H,"18-30",'Raw Data'!$I:$I,"",'Raw Data'!$M:$M,"count")</f>
        <v>785000</v>
      </c>
      <c r="T11" s="11">
        <f>SUMIFS('Raw Data'!$L:$L,'Raw Data'!$B:$B,$B$2,'Raw Data'!$J:$J,T$2,'Raw Data'!$K:$K,"native",'Raw Data'!$H:$H,"18-30",'Raw Data'!$I:$I,"",'Raw Data'!$M:$M,"count")</f>
        <v>791000</v>
      </c>
      <c r="U11" s="11">
        <f>SUMIFS('Raw Data'!$L:$L,'Raw Data'!$B:$B,$B$2,'Raw Data'!$J:$J,U$2,'Raw Data'!$K:$K,"native",'Raw Data'!$H:$H,"18-30",'Raw Data'!$I:$I,"",'Raw Data'!$M:$M,"count")</f>
        <v>795000</v>
      </c>
      <c r="V11" s="11">
        <f>SUMIFS('Raw Data'!$L:$L,'Raw Data'!$B:$B,$B$2,'Raw Data'!$J:$J,V$2,'Raw Data'!$K:$K,"native",'Raw Data'!$H:$H,"18-30",'Raw Data'!$I:$I,"",'Raw Data'!$M:$M,"count")</f>
        <v>804000</v>
      </c>
      <c r="W11" s="11">
        <f>SUMIFS('Raw Data'!$L:$L,'Raw Data'!$B:$B,$B$2,'Raw Data'!$J:$J,W$2,'Raw Data'!$K:$K,"native",'Raw Data'!$H:$H,"18-30",'Raw Data'!$I:$I,"",'Raw Data'!$M:$M,"count")</f>
        <v>816000</v>
      </c>
      <c r="X11" s="11">
        <f>SUMIFS('Raw Data'!$L:$L,'Raw Data'!$B:$B,$B$2,'Raw Data'!$J:$J,X$2,'Raw Data'!$K:$K,"native",'Raw Data'!$H:$H,"18-30",'Raw Data'!$I:$I,"",'Raw Data'!$M:$M,"count")</f>
        <v>817000</v>
      </c>
      <c r="Y11" s="11">
        <f>SUMIFS('Raw Data'!$L:$L,'Raw Data'!$B:$B,$B$2,'Raw Data'!$J:$J,Y$2,'Raw Data'!$K:$K,"native",'Raw Data'!$H:$H,"18-30",'Raw Data'!$I:$I,"",'Raw Data'!$M:$M,"count")</f>
        <v>827000</v>
      </c>
      <c r="Z11" s="11">
        <f>SUMIFS('Raw Data'!$L:$L,'Raw Data'!$B:$B,$B$2,'Raw Data'!$J:$J,Z$2,'Raw Data'!$K:$K,"native",'Raw Data'!$H:$H,"18-30",'Raw Data'!$I:$I,"",'Raw Data'!$M:$M,"count")</f>
        <v>839000</v>
      </c>
    </row>
    <row r="12" spans="1:26" x14ac:dyDescent="0.25">
      <c r="A12" s="10" t="s">
        <v>63</v>
      </c>
      <c r="B12" s="10" t="s">
        <v>71</v>
      </c>
      <c r="C12" s="11">
        <f>SUMIFS('Raw Data'!$L:$L,'Raw Data'!$B:$B,$B$2,'Raw Data'!$J:$J,C$2,'Raw Data'!$K:$K,"native",'Raw Data'!$H:$H,"31-40",'Raw Data'!$I:$I,"",'Raw Data'!$M:$M,"count")</f>
        <v>409000</v>
      </c>
      <c r="D12" s="11">
        <f>SUMIFS('Raw Data'!$L:$L,'Raw Data'!$B:$B,$B$2,'Raw Data'!$J:$J,D$2,'Raw Data'!$K:$K,"native",'Raw Data'!$H:$H,"31-40",'Raw Data'!$I:$I,"",'Raw Data'!$M:$M,"count")</f>
        <v>419000</v>
      </c>
      <c r="E12" s="11">
        <f>SUMIFS('Raw Data'!$L:$L,'Raw Data'!$B:$B,$B$2,'Raw Data'!$J:$J,E$2,'Raw Data'!$K:$K,"native",'Raw Data'!$H:$H,"31-40",'Raw Data'!$I:$I,"",'Raw Data'!$M:$M,"count")</f>
        <v>428000</v>
      </c>
      <c r="F12" s="11">
        <f>SUMIFS('Raw Data'!$L:$L,'Raw Data'!$B:$B,$B$2,'Raw Data'!$J:$J,F$2,'Raw Data'!$K:$K,"native",'Raw Data'!$H:$H,"31-40",'Raw Data'!$I:$I,"",'Raw Data'!$M:$M,"count")</f>
        <v>438000</v>
      </c>
      <c r="G12" s="11">
        <f>SUMIFS('Raw Data'!$L:$L,'Raw Data'!$B:$B,$B$2,'Raw Data'!$J:$J,G$2,'Raw Data'!$K:$K,"native",'Raw Data'!$H:$H,"31-40",'Raw Data'!$I:$I,"",'Raw Data'!$M:$M,"count")</f>
        <v>448000</v>
      </c>
      <c r="H12" s="11">
        <f>SUMIFS('Raw Data'!$L:$L,'Raw Data'!$B:$B,$B$2,'Raw Data'!$J:$J,H$2,'Raw Data'!$K:$K,"native",'Raw Data'!$H:$H,"31-40",'Raw Data'!$I:$I,"",'Raw Data'!$M:$M,"count")</f>
        <v>457000</v>
      </c>
      <c r="I12" s="11">
        <f>SUMIFS('Raw Data'!$L:$L,'Raw Data'!$B:$B,$B$2,'Raw Data'!$J:$J,I$2,'Raw Data'!$K:$K,"native",'Raw Data'!$H:$H,"31-40",'Raw Data'!$I:$I,"",'Raw Data'!$M:$M,"count")</f>
        <v>466000</v>
      </c>
      <c r="J12" s="11">
        <f>SUMIFS('Raw Data'!$L:$L,'Raw Data'!$B:$B,$B$2,'Raw Data'!$J:$J,J$2,'Raw Data'!$K:$K,"native",'Raw Data'!$H:$H,"31-40",'Raw Data'!$I:$I,"",'Raw Data'!$M:$M,"count")</f>
        <v>474000</v>
      </c>
      <c r="K12" s="11">
        <f>SUMIFS('Raw Data'!$L:$L,'Raw Data'!$B:$B,$B$2,'Raw Data'!$J:$J,K$2,'Raw Data'!$K:$K,"native",'Raw Data'!$H:$H,"31-40",'Raw Data'!$I:$I,"",'Raw Data'!$M:$M,"count")</f>
        <v>483000</v>
      </c>
      <c r="L12" s="11">
        <f>SUMIFS('Raw Data'!$L:$L,'Raw Data'!$B:$B,$B$2,'Raw Data'!$J:$J,L$2,'Raw Data'!$K:$K,"native",'Raw Data'!$H:$H,"31-40",'Raw Data'!$I:$I,"",'Raw Data'!$M:$M,"count")</f>
        <v>490000</v>
      </c>
      <c r="M12" s="11">
        <f>SUMIFS('Raw Data'!$L:$L,'Raw Data'!$B:$B,$B$2,'Raw Data'!$J:$J,M$2,'Raw Data'!$K:$K,"native",'Raw Data'!$H:$H,"31-40",'Raw Data'!$I:$I,"",'Raw Data'!$M:$M,"count")</f>
        <v>499000</v>
      </c>
      <c r="N12" s="11">
        <f>SUMIFS('Raw Data'!$L:$L,'Raw Data'!$B:$B,$B$2,'Raw Data'!$J:$J,N$2,'Raw Data'!$K:$K,"native",'Raw Data'!$H:$H,"31-40",'Raw Data'!$I:$I,"",'Raw Data'!$M:$M,"count")</f>
        <v>509000</v>
      </c>
      <c r="O12" s="11">
        <f>SUMIFS('Raw Data'!$L:$L,'Raw Data'!$B:$B,$B$2,'Raw Data'!$J:$J,O$2,'Raw Data'!$K:$K,"native",'Raw Data'!$H:$H,"31-40",'Raw Data'!$I:$I,"",'Raw Data'!$M:$M,"count")</f>
        <v>516000</v>
      </c>
      <c r="P12" s="11">
        <f>SUMIFS('Raw Data'!$L:$L,'Raw Data'!$B:$B,$B$2,'Raw Data'!$J:$J,P$2,'Raw Data'!$K:$K,"native",'Raw Data'!$H:$H,"31-40",'Raw Data'!$I:$I,"",'Raw Data'!$M:$M,"count")</f>
        <v>528000</v>
      </c>
      <c r="Q12" s="11">
        <f>SUMIFS('Raw Data'!$L:$L,'Raw Data'!$B:$B,$B$2,'Raw Data'!$J:$J,Q$2,'Raw Data'!$K:$K,"native",'Raw Data'!$H:$H,"31-40",'Raw Data'!$I:$I,"",'Raw Data'!$M:$M,"count")</f>
        <v>536000</v>
      </c>
      <c r="R12" s="11">
        <f>SUMIFS('Raw Data'!$L:$L,'Raw Data'!$B:$B,$B$2,'Raw Data'!$J:$J,R$2,'Raw Data'!$K:$K,"native",'Raw Data'!$H:$H,"31-40",'Raw Data'!$I:$I,"",'Raw Data'!$M:$M,"count")</f>
        <v>542000</v>
      </c>
      <c r="S12" s="11">
        <f>SUMIFS('Raw Data'!$L:$L,'Raw Data'!$B:$B,$B$2,'Raw Data'!$J:$J,S$2,'Raw Data'!$K:$K,"native",'Raw Data'!$H:$H,"31-40",'Raw Data'!$I:$I,"",'Raw Data'!$M:$M,"count")</f>
        <v>550000</v>
      </c>
      <c r="T12" s="11">
        <f>SUMIFS('Raw Data'!$L:$L,'Raw Data'!$B:$B,$B$2,'Raw Data'!$J:$J,T$2,'Raw Data'!$K:$K,"native",'Raw Data'!$H:$H,"31-40",'Raw Data'!$I:$I,"",'Raw Data'!$M:$M,"count")</f>
        <v>562000</v>
      </c>
      <c r="U12" s="11">
        <f>SUMIFS('Raw Data'!$L:$L,'Raw Data'!$B:$B,$B$2,'Raw Data'!$J:$J,U$2,'Raw Data'!$K:$K,"native",'Raw Data'!$H:$H,"31-40",'Raw Data'!$I:$I,"",'Raw Data'!$M:$M,"count")</f>
        <v>567000</v>
      </c>
      <c r="V12" s="11">
        <f>SUMIFS('Raw Data'!$L:$L,'Raw Data'!$B:$B,$B$2,'Raw Data'!$J:$J,V$2,'Raw Data'!$K:$K,"native",'Raw Data'!$H:$H,"31-40",'Raw Data'!$I:$I,"",'Raw Data'!$M:$M,"count")</f>
        <v>574000</v>
      </c>
      <c r="W12" s="11">
        <f>SUMIFS('Raw Data'!$L:$L,'Raw Data'!$B:$B,$B$2,'Raw Data'!$J:$J,W$2,'Raw Data'!$K:$K,"native",'Raw Data'!$H:$H,"31-40",'Raw Data'!$I:$I,"",'Raw Data'!$M:$M,"count")</f>
        <v>580000</v>
      </c>
      <c r="X12" s="11">
        <f>SUMIFS('Raw Data'!$L:$L,'Raw Data'!$B:$B,$B$2,'Raw Data'!$J:$J,X$2,'Raw Data'!$K:$K,"native",'Raw Data'!$H:$H,"31-40",'Raw Data'!$I:$I,"",'Raw Data'!$M:$M,"count")</f>
        <v>589000</v>
      </c>
      <c r="Y12" s="11">
        <f>SUMIFS('Raw Data'!$L:$L,'Raw Data'!$B:$B,$B$2,'Raw Data'!$J:$J,Y$2,'Raw Data'!$K:$K,"native",'Raw Data'!$H:$H,"31-40",'Raw Data'!$I:$I,"",'Raw Data'!$M:$M,"count")</f>
        <v>598000</v>
      </c>
      <c r="Z12" s="11">
        <f>SUMIFS('Raw Data'!$L:$L,'Raw Data'!$B:$B,$B$2,'Raw Data'!$J:$J,Z$2,'Raw Data'!$K:$K,"native",'Raw Data'!$H:$H,"31-40",'Raw Data'!$I:$I,"",'Raw Data'!$M:$M,"count")</f>
        <v>607000</v>
      </c>
    </row>
    <row r="13" spans="1:26" x14ac:dyDescent="0.25">
      <c r="A13" s="10" t="s">
        <v>63</v>
      </c>
      <c r="B13" s="10" t="s">
        <v>72</v>
      </c>
      <c r="C13" s="11">
        <f>SUMIFS('Raw Data'!$L:$L,'Raw Data'!$B:$B,$B$2,'Raw Data'!$J:$J,C$2,'Raw Data'!$K:$K,"native",'Raw Data'!$H:$H,"41-50",'Raw Data'!$I:$I,"",'Raw Data'!$M:$M,"count")</f>
        <v>267000</v>
      </c>
      <c r="D13" s="11">
        <f>SUMIFS('Raw Data'!$L:$L,'Raw Data'!$B:$B,$B$2,'Raw Data'!$J:$J,D$2,'Raw Data'!$K:$K,"native",'Raw Data'!$H:$H,"41-50",'Raw Data'!$I:$I,"",'Raw Data'!$M:$M,"count")</f>
        <v>275000</v>
      </c>
      <c r="E13" s="11">
        <f>SUMIFS('Raw Data'!$L:$L,'Raw Data'!$B:$B,$B$2,'Raw Data'!$J:$J,E$2,'Raw Data'!$K:$K,"native",'Raw Data'!$H:$H,"41-50",'Raw Data'!$I:$I,"",'Raw Data'!$M:$M,"count")</f>
        <v>282000</v>
      </c>
      <c r="F13" s="11">
        <f>SUMIFS('Raw Data'!$L:$L,'Raw Data'!$B:$B,$B$2,'Raw Data'!$J:$J,F$2,'Raw Data'!$K:$K,"native",'Raw Data'!$H:$H,"41-50",'Raw Data'!$I:$I,"",'Raw Data'!$M:$M,"count")</f>
        <v>289000</v>
      </c>
      <c r="G13" s="11">
        <f>SUMIFS('Raw Data'!$L:$L,'Raw Data'!$B:$B,$B$2,'Raw Data'!$J:$J,G$2,'Raw Data'!$K:$K,"native",'Raw Data'!$H:$H,"41-50",'Raw Data'!$I:$I,"",'Raw Data'!$M:$M,"count")</f>
        <v>297000</v>
      </c>
      <c r="H13" s="11">
        <f>SUMIFS('Raw Data'!$L:$L,'Raw Data'!$B:$B,$B$2,'Raw Data'!$J:$J,H$2,'Raw Data'!$K:$K,"native",'Raw Data'!$H:$H,"41-50",'Raw Data'!$I:$I,"",'Raw Data'!$M:$M,"count")</f>
        <v>304000</v>
      </c>
      <c r="I13" s="11">
        <f>SUMIFS('Raw Data'!$L:$L,'Raw Data'!$B:$B,$B$2,'Raw Data'!$J:$J,I$2,'Raw Data'!$K:$K,"native",'Raw Data'!$H:$H,"41-50",'Raw Data'!$I:$I,"",'Raw Data'!$M:$M,"count")</f>
        <v>312000</v>
      </c>
      <c r="J13" s="11">
        <f>SUMIFS('Raw Data'!$L:$L,'Raw Data'!$B:$B,$B$2,'Raw Data'!$J:$J,J$2,'Raw Data'!$K:$K,"native",'Raw Data'!$H:$H,"41-50",'Raw Data'!$I:$I,"",'Raw Data'!$M:$M,"count")</f>
        <v>318000</v>
      </c>
      <c r="K13" s="11">
        <f>SUMIFS('Raw Data'!$L:$L,'Raw Data'!$B:$B,$B$2,'Raw Data'!$J:$J,K$2,'Raw Data'!$K:$K,"native",'Raw Data'!$H:$H,"41-50",'Raw Data'!$I:$I,"",'Raw Data'!$M:$M,"count")</f>
        <v>326000</v>
      </c>
      <c r="L13" s="11">
        <f>SUMIFS('Raw Data'!$L:$L,'Raw Data'!$B:$B,$B$2,'Raw Data'!$J:$J,L$2,'Raw Data'!$K:$K,"native",'Raw Data'!$H:$H,"41-50",'Raw Data'!$I:$I,"",'Raw Data'!$M:$M,"count")</f>
        <v>332000</v>
      </c>
      <c r="M13" s="11">
        <f>SUMIFS('Raw Data'!$L:$L,'Raw Data'!$B:$B,$B$2,'Raw Data'!$J:$J,M$2,'Raw Data'!$K:$K,"native",'Raw Data'!$H:$H,"41-50",'Raw Data'!$I:$I,"",'Raw Data'!$M:$M,"count")</f>
        <v>339000</v>
      </c>
      <c r="N13" s="11">
        <f>SUMIFS('Raw Data'!$L:$L,'Raw Data'!$B:$B,$B$2,'Raw Data'!$J:$J,N$2,'Raw Data'!$K:$K,"native",'Raw Data'!$H:$H,"41-50",'Raw Data'!$I:$I,"",'Raw Data'!$M:$M,"count")</f>
        <v>348000</v>
      </c>
      <c r="O13" s="11">
        <f>SUMIFS('Raw Data'!$L:$L,'Raw Data'!$B:$B,$B$2,'Raw Data'!$J:$J,O$2,'Raw Data'!$K:$K,"native",'Raw Data'!$H:$H,"41-50",'Raw Data'!$I:$I,"",'Raw Data'!$M:$M,"count")</f>
        <v>354000</v>
      </c>
      <c r="P13" s="11">
        <f>SUMIFS('Raw Data'!$L:$L,'Raw Data'!$B:$B,$B$2,'Raw Data'!$J:$J,P$2,'Raw Data'!$K:$K,"native",'Raw Data'!$H:$H,"41-50",'Raw Data'!$I:$I,"",'Raw Data'!$M:$M,"count")</f>
        <v>364000</v>
      </c>
      <c r="Q13" s="11">
        <f>SUMIFS('Raw Data'!$L:$L,'Raw Data'!$B:$B,$B$2,'Raw Data'!$J:$J,Q$2,'Raw Data'!$K:$K,"native",'Raw Data'!$H:$H,"41-50",'Raw Data'!$I:$I,"",'Raw Data'!$M:$M,"count")</f>
        <v>371000</v>
      </c>
      <c r="R13" s="11">
        <f>SUMIFS('Raw Data'!$L:$L,'Raw Data'!$B:$B,$B$2,'Raw Data'!$J:$J,R$2,'Raw Data'!$K:$K,"native",'Raw Data'!$H:$H,"41-50",'Raw Data'!$I:$I,"",'Raw Data'!$M:$M,"count")</f>
        <v>375000</v>
      </c>
      <c r="S13" s="11">
        <f>SUMIFS('Raw Data'!$L:$L,'Raw Data'!$B:$B,$B$2,'Raw Data'!$J:$J,S$2,'Raw Data'!$K:$K,"native",'Raw Data'!$H:$H,"41-50",'Raw Data'!$I:$I,"",'Raw Data'!$M:$M,"count")</f>
        <v>382000</v>
      </c>
      <c r="T13" s="11">
        <f>SUMIFS('Raw Data'!$L:$L,'Raw Data'!$B:$B,$B$2,'Raw Data'!$J:$J,T$2,'Raw Data'!$K:$K,"native",'Raw Data'!$H:$H,"41-50",'Raw Data'!$I:$I,"",'Raw Data'!$M:$M,"count")</f>
        <v>392000</v>
      </c>
      <c r="U13" s="11">
        <f>SUMIFS('Raw Data'!$L:$L,'Raw Data'!$B:$B,$B$2,'Raw Data'!$J:$J,U$2,'Raw Data'!$K:$K,"native",'Raw Data'!$H:$H,"41-50",'Raw Data'!$I:$I,"",'Raw Data'!$M:$M,"count")</f>
        <v>397000</v>
      </c>
      <c r="V13" s="11">
        <f>SUMIFS('Raw Data'!$L:$L,'Raw Data'!$B:$B,$B$2,'Raw Data'!$J:$J,V$2,'Raw Data'!$K:$K,"native",'Raw Data'!$H:$H,"41-50",'Raw Data'!$I:$I,"",'Raw Data'!$M:$M,"count")</f>
        <v>403000</v>
      </c>
      <c r="W13" s="11">
        <f>SUMIFS('Raw Data'!$L:$L,'Raw Data'!$B:$B,$B$2,'Raw Data'!$J:$J,W$2,'Raw Data'!$K:$K,"native",'Raw Data'!$H:$H,"41-50",'Raw Data'!$I:$I,"",'Raw Data'!$M:$M,"count")</f>
        <v>408000</v>
      </c>
      <c r="X13" s="11">
        <f>SUMIFS('Raw Data'!$L:$L,'Raw Data'!$B:$B,$B$2,'Raw Data'!$J:$J,X$2,'Raw Data'!$K:$K,"native",'Raw Data'!$H:$H,"41-50",'Raw Data'!$I:$I,"",'Raw Data'!$M:$M,"count")</f>
        <v>415000</v>
      </c>
      <c r="Y13" s="11">
        <f>SUMIFS('Raw Data'!$L:$L,'Raw Data'!$B:$B,$B$2,'Raw Data'!$J:$J,Y$2,'Raw Data'!$K:$K,"native",'Raw Data'!$H:$H,"41-50",'Raw Data'!$I:$I,"",'Raw Data'!$M:$M,"count")</f>
        <v>423000</v>
      </c>
      <c r="Z13" s="11">
        <f>SUMIFS('Raw Data'!$L:$L,'Raw Data'!$B:$B,$B$2,'Raw Data'!$J:$J,Z$2,'Raw Data'!$K:$K,"native",'Raw Data'!$H:$H,"41-50",'Raw Data'!$I:$I,"",'Raw Data'!$M:$M,"count")</f>
        <v>431000</v>
      </c>
    </row>
    <row r="14" spans="1:26" x14ac:dyDescent="0.25">
      <c r="A14" s="10" t="s">
        <v>63</v>
      </c>
      <c r="B14" s="10" t="s">
        <v>73</v>
      </c>
      <c r="C14" s="11">
        <f>SUMIFS('Raw Data'!$L:$L,'Raw Data'!$B:$B,$B$2,'Raw Data'!$J:$J,C$2,'Raw Data'!$K:$K,"native",'Raw Data'!$H:$H,"51-60",'Raw Data'!$I:$I,"",'Raw Data'!$M:$M,"count")</f>
        <v>163000</v>
      </c>
      <c r="D14" s="11">
        <f>SUMIFS('Raw Data'!$L:$L,'Raw Data'!$B:$B,$B$2,'Raw Data'!$J:$J,D$2,'Raw Data'!$K:$K,"native",'Raw Data'!$H:$H,"51-60",'Raw Data'!$I:$I,"",'Raw Data'!$M:$M,"count")</f>
        <v>167000</v>
      </c>
      <c r="E14" s="11">
        <f>SUMIFS('Raw Data'!$L:$L,'Raw Data'!$B:$B,$B$2,'Raw Data'!$J:$J,E$2,'Raw Data'!$K:$K,"native",'Raw Data'!$H:$H,"51-60",'Raw Data'!$I:$I,"",'Raw Data'!$M:$M,"count")</f>
        <v>172000</v>
      </c>
      <c r="F14" s="11">
        <f>SUMIFS('Raw Data'!$L:$L,'Raw Data'!$B:$B,$B$2,'Raw Data'!$J:$J,F$2,'Raw Data'!$K:$K,"native",'Raw Data'!$H:$H,"51-60",'Raw Data'!$I:$I,"",'Raw Data'!$M:$M,"count")</f>
        <v>177000</v>
      </c>
      <c r="G14" s="11">
        <f>SUMIFS('Raw Data'!$L:$L,'Raw Data'!$B:$B,$B$2,'Raw Data'!$J:$J,G$2,'Raw Data'!$K:$K,"native",'Raw Data'!$H:$H,"51-60",'Raw Data'!$I:$I,"",'Raw Data'!$M:$M,"count")</f>
        <v>181000</v>
      </c>
      <c r="H14" s="11">
        <f>SUMIFS('Raw Data'!$L:$L,'Raw Data'!$B:$B,$B$2,'Raw Data'!$J:$J,H$2,'Raw Data'!$K:$K,"native",'Raw Data'!$H:$H,"51-60",'Raw Data'!$I:$I,"",'Raw Data'!$M:$M,"count")</f>
        <v>186000</v>
      </c>
      <c r="I14" s="11">
        <f>SUMIFS('Raw Data'!$L:$L,'Raw Data'!$B:$B,$B$2,'Raw Data'!$J:$J,I$2,'Raw Data'!$K:$K,"native",'Raw Data'!$H:$H,"51-60",'Raw Data'!$I:$I,"",'Raw Data'!$M:$M,"count")</f>
        <v>191000</v>
      </c>
      <c r="J14" s="11">
        <f>SUMIFS('Raw Data'!$L:$L,'Raw Data'!$B:$B,$B$2,'Raw Data'!$J:$J,J$2,'Raw Data'!$K:$K,"native",'Raw Data'!$H:$H,"51-60",'Raw Data'!$I:$I,"",'Raw Data'!$M:$M,"count")</f>
        <v>195000</v>
      </c>
      <c r="K14" s="11">
        <f>SUMIFS('Raw Data'!$L:$L,'Raw Data'!$B:$B,$B$2,'Raw Data'!$J:$J,K$2,'Raw Data'!$K:$K,"native",'Raw Data'!$H:$H,"51-60",'Raw Data'!$I:$I,"",'Raw Data'!$M:$M,"count")</f>
        <v>199000</v>
      </c>
      <c r="L14" s="11">
        <f>SUMIFS('Raw Data'!$L:$L,'Raw Data'!$B:$B,$B$2,'Raw Data'!$J:$J,L$2,'Raw Data'!$K:$K,"native",'Raw Data'!$H:$H,"51-60",'Raw Data'!$I:$I,"",'Raw Data'!$M:$M,"count")</f>
        <v>204000</v>
      </c>
      <c r="M14" s="11">
        <f>SUMIFS('Raw Data'!$L:$L,'Raw Data'!$B:$B,$B$2,'Raw Data'!$J:$J,M$2,'Raw Data'!$K:$K,"native",'Raw Data'!$H:$H,"51-60",'Raw Data'!$I:$I,"",'Raw Data'!$M:$M,"count")</f>
        <v>208000</v>
      </c>
      <c r="N14" s="11">
        <f>SUMIFS('Raw Data'!$L:$L,'Raw Data'!$B:$B,$B$2,'Raw Data'!$J:$J,N$2,'Raw Data'!$K:$K,"native",'Raw Data'!$H:$H,"51-60",'Raw Data'!$I:$I,"",'Raw Data'!$M:$M,"count")</f>
        <v>214000</v>
      </c>
      <c r="O14" s="11">
        <f>SUMIFS('Raw Data'!$L:$L,'Raw Data'!$B:$B,$B$2,'Raw Data'!$J:$J,O$2,'Raw Data'!$K:$K,"native",'Raw Data'!$H:$H,"51-60",'Raw Data'!$I:$I,"",'Raw Data'!$M:$M,"count")</f>
        <v>218000</v>
      </c>
      <c r="P14" s="11">
        <f>SUMIFS('Raw Data'!$L:$L,'Raw Data'!$B:$B,$B$2,'Raw Data'!$J:$J,P$2,'Raw Data'!$K:$K,"native",'Raw Data'!$H:$H,"51-60",'Raw Data'!$I:$I,"",'Raw Data'!$M:$M,"count")</f>
        <v>225000</v>
      </c>
      <c r="Q14" s="11">
        <f>SUMIFS('Raw Data'!$L:$L,'Raw Data'!$B:$B,$B$2,'Raw Data'!$J:$J,Q$2,'Raw Data'!$K:$K,"native",'Raw Data'!$H:$H,"51-60",'Raw Data'!$I:$I,"",'Raw Data'!$M:$M,"count")</f>
        <v>229000</v>
      </c>
      <c r="R14" s="11">
        <f>SUMIFS('Raw Data'!$L:$L,'Raw Data'!$B:$B,$B$2,'Raw Data'!$J:$J,R$2,'Raw Data'!$K:$K,"native",'Raw Data'!$H:$H,"51-60",'Raw Data'!$I:$I,"",'Raw Data'!$M:$M,"count")</f>
        <v>232000</v>
      </c>
      <c r="S14" s="11">
        <f>SUMIFS('Raw Data'!$L:$L,'Raw Data'!$B:$B,$B$2,'Raw Data'!$J:$J,S$2,'Raw Data'!$K:$K,"native",'Raw Data'!$H:$H,"51-60",'Raw Data'!$I:$I,"",'Raw Data'!$M:$M,"count")</f>
        <v>237000</v>
      </c>
      <c r="T14" s="11">
        <f>SUMIFS('Raw Data'!$L:$L,'Raw Data'!$B:$B,$B$2,'Raw Data'!$J:$J,T$2,'Raw Data'!$K:$K,"native",'Raw Data'!$H:$H,"51-60",'Raw Data'!$I:$I,"",'Raw Data'!$M:$M,"count")</f>
        <v>243000</v>
      </c>
      <c r="U14" s="11">
        <f>SUMIFS('Raw Data'!$L:$L,'Raw Data'!$B:$B,$B$2,'Raw Data'!$J:$J,U$2,'Raw Data'!$K:$K,"native",'Raw Data'!$H:$H,"51-60",'Raw Data'!$I:$I,"",'Raw Data'!$M:$M,"count")</f>
        <v>246000</v>
      </c>
      <c r="V14" s="11">
        <f>SUMIFS('Raw Data'!$L:$L,'Raw Data'!$B:$B,$B$2,'Raw Data'!$J:$J,V$2,'Raw Data'!$K:$K,"native",'Raw Data'!$H:$H,"51-60",'Raw Data'!$I:$I,"",'Raw Data'!$M:$M,"count")</f>
        <v>250000</v>
      </c>
      <c r="W14" s="11">
        <f>SUMIFS('Raw Data'!$L:$L,'Raw Data'!$B:$B,$B$2,'Raw Data'!$J:$J,W$2,'Raw Data'!$K:$K,"native",'Raw Data'!$H:$H,"51-60",'Raw Data'!$I:$I,"",'Raw Data'!$M:$M,"count")</f>
        <v>253000</v>
      </c>
      <c r="X14" s="11">
        <f>SUMIFS('Raw Data'!$L:$L,'Raw Data'!$B:$B,$B$2,'Raw Data'!$J:$J,X$2,'Raw Data'!$K:$K,"native",'Raw Data'!$H:$H,"51-60",'Raw Data'!$I:$I,"",'Raw Data'!$M:$M,"count")</f>
        <v>258000</v>
      </c>
      <c r="Y14" s="11">
        <f>SUMIFS('Raw Data'!$L:$L,'Raw Data'!$B:$B,$B$2,'Raw Data'!$J:$J,Y$2,'Raw Data'!$K:$K,"native",'Raw Data'!$H:$H,"51-60",'Raw Data'!$I:$I,"",'Raw Data'!$M:$M,"count")</f>
        <v>264000</v>
      </c>
      <c r="Z14" s="11">
        <f>SUMIFS('Raw Data'!$L:$L,'Raw Data'!$B:$B,$B$2,'Raw Data'!$J:$J,Z$2,'Raw Data'!$K:$K,"native",'Raw Data'!$H:$H,"51-60",'Raw Data'!$I:$I,"",'Raw Data'!$M:$M,"count")</f>
        <v>269000</v>
      </c>
    </row>
    <row r="15" spans="1:26" x14ac:dyDescent="0.25">
      <c r="A15" s="10" t="s">
        <v>63</v>
      </c>
      <c r="B15" s="10" t="s">
        <v>74</v>
      </c>
      <c r="C15" s="11">
        <f>SUMIFS('Raw Data'!$L:$L,'Raw Data'!$B:$B,$B$2,'Raw Data'!$J:$J,C$2,'Raw Data'!$K:$K,"native",'Raw Data'!$H:$H,"61-70",'Raw Data'!$I:$I,"",'Raw Data'!$M:$M,"count")</f>
        <v>71000</v>
      </c>
      <c r="D15" s="11">
        <f>SUMIFS('Raw Data'!$L:$L,'Raw Data'!$B:$B,$B$2,'Raw Data'!$J:$J,D$2,'Raw Data'!$K:$K,"native",'Raw Data'!$H:$H,"61-70",'Raw Data'!$I:$I,"",'Raw Data'!$M:$M,"count")</f>
        <v>74000</v>
      </c>
      <c r="E15" s="11">
        <f>SUMIFS('Raw Data'!$L:$L,'Raw Data'!$B:$B,$B$2,'Raw Data'!$J:$J,E$2,'Raw Data'!$K:$K,"native",'Raw Data'!$H:$H,"61-70",'Raw Data'!$I:$I,"",'Raw Data'!$M:$M,"count")</f>
        <v>76000</v>
      </c>
      <c r="F15" s="11">
        <f>SUMIFS('Raw Data'!$L:$L,'Raw Data'!$B:$B,$B$2,'Raw Data'!$J:$J,F$2,'Raw Data'!$K:$K,"native",'Raw Data'!$H:$H,"61-70",'Raw Data'!$I:$I,"",'Raw Data'!$M:$M,"count")</f>
        <v>78000</v>
      </c>
      <c r="G15" s="11">
        <f>SUMIFS('Raw Data'!$L:$L,'Raw Data'!$B:$B,$B$2,'Raw Data'!$J:$J,G$2,'Raw Data'!$K:$K,"native",'Raw Data'!$H:$H,"61-70",'Raw Data'!$I:$I,"",'Raw Data'!$M:$M,"count")</f>
        <v>81000</v>
      </c>
      <c r="H15" s="11">
        <f>SUMIFS('Raw Data'!$L:$L,'Raw Data'!$B:$B,$B$2,'Raw Data'!$J:$J,H$2,'Raw Data'!$K:$K,"native",'Raw Data'!$H:$H,"61-70",'Raw Data'!$I:$I,"",'Raw Data'!$M:$M,"count")</f>
        <v>83000</v>
      </c>
      <c r="I15" s="11">
        <f>SUMIFS('Raw Data'!$L:$L,'Raw Data'!$B:$B,$B$2,'Raw Data'!$J:$J,I$2,'Raw Data'!$K:$K,"native",'Raw Data'!$H:$H,"61-70",'Raw Data'!$I:$I,"",'Raw Data'!$M:$M,"count")</f>
        <v>86000</v>
      </c>
      <c r="J15" s="11">
        <f>SUMIFS('Raw Data'!$L:$L,'Raw Data'!$B:$B,$B$2,'Raw Data'!$J:$J,J$2,'Raw Data'!$K:$K,"native",'Raw Data'!$H:$H,"61-70",'Raw Data'!$I:$I,"",'Raw Data'!$M:$M,"count")</f>
        <v>88000</v>
      </c>
      <c r="K15" s="11">
        <f>SUMIFS('Raw Data'!$L:$L,'Raw Data'!$B:$B,$B$2,'Raw Data'!$J:$J,K$2,'Raw Data'!$K:$K,"native",'Raw Data'!$H:$H,"61-70",'Raw Data'!$I:$I,"",'Raw Data'!$M:$M,"count")</f>
        <v>90000</v>
      </c>
      <c r="L15" s="11">
        <f>SUMIFS('Raw Data'!$L:$L,'Raw Data'!$B:$B,$B$2,'Raw Data'!$J:$J,L$2,'Raw Data'!$K:$K,"native",'Raw Data'!$H:$H,"61-70",'Raw Data'!$I:$I,"",'Raw Data'!$M:$M,"count")</f>
        <v>93000</v>
      </c>
      <c r="M15" s="11">
        <f>SUMIFS('Raw Data'!$L:$L,'Raw Data'!$B:$B,$B$2,'Raw Data'!$J:$J,M$2,'Raw Data'!$K:$K,"native",'Raw Data'!$H:$H,"61-70",'Raw Data'!$I:$I,"",'Raw Data'!$M:$M,"count")</f>
        <v>94000</v>
      </c>
      <c r="N15" s="11">
        <f>SUMIFS('Raw Data'!$L:$L,'Raw Data'!$B:$B,$B$2,'Raw Data'!$J:$J,N$2,'Raw Data'!$K:$K,"native",'Raw Data'!$H:$H,"61-70",'Raw Data'!$I:$I,"",'Raw Data'!$M:$M,"count")</f>
        <v>98000</v>
      </c>
      <c r="O15" s="11">
        <f>SUMIFS('Raw Data'!$L:$L,'Raw Data'!$B:$B,$B$2,'Raw Data'!$J:$J,O$2,'Raw Data'!$K:$K,"native",'Raw Data'!$H:$H,"61-70",'Raw Data'!$I:$I,"",'Raw Data'!$M:$M,"count")</f>
        <v>100000</v>
      </c>
      <c r="P15" s="11">
        <f>SUMIFS('Raw Data'!$L:$L,'Raw Data'!$B:$B,$B$2,'Raw Data'!$J:$J,P$2,'Raw Data'!$K:$K,"native",'Raw Data'!$H:$H,"61-70",'Raw Data'!$I:$I,"",'Raw Data'!$M:$M,"count")</f>
        <v>104000</v>
      </c>
      <c r="Q15" s="11">
        <f>SUMIFS('Raw Data'!$L:$L,'Raw Data'!$B:$B,$B$2,'Raw Data'!$J:$J,Q$2,'Raw Data'!$K:$K,"native",'Raw Data'!$H:$H,"61-70",'Raw Data'!$I:$I,"",'Raw Data'!$M:$M,"count")</f>
        <v>106000</v>
      </c>
      <c r="R15" s="11">
        <f>SUMIFS('Raw Data'!$L:$L,'Raw Data'!$B:$B,$B$2,'Raw Data'!$J:$J,R$2,'Raw Data'!$K:$K,"native",'Raw Data'!$H:$H,"61-70",'Raw Data'!$I:$I,"",'Raw Data'!$M:$M,"count")</f>
        <v>107000</v>
      </c>
      <c r="S15" s="11">
        <f>SUMIFS('Raw Data'!$L:$L,'Raw Data'!$B:$B,$B$2,'Raw Data'!$J:$J,S$2,'Raw Data'!$K:$K,"native",'Raw Data'!$H:$H,"61-70",'Raw Data'!$I:$I,"",'Raw Data'!$M:$M,"count")</f>
        <v>110000</v>
      </c>
      <c r="T15" s="11">
        <f>SUMIFS('Raw Data'!$L:$L,'Raw Data'!$B:$B,$B$2,'Raw Data'!$J:$J,T$2,'Raw Data'!$K:$K,"native",'Raw Data'!$H:$H,"61-70",'Raw Data'!$I:$I,"",'Raw Data'!$M:$M,"count")</f>
        <v>113000</v>
      </c>
      <c r="U15" s="11">
        <f>SUMIFS('Raw Data'!$L:$L,'Raw Data'!$B:$B,$B$2,'Raw Data'!$J:$J,U$2,'Raw Data'!$K:$K,"native",'Raw Data'!$H:$H,"61-70",'Raw Data'!$I:$I,"",'Raw Data'!$M:$M,"count")</f>
        <v>115000</v>
      </c>
      <c r="V15" s="11">
        <f>SUMIFS('Raw Data'!$L:$L,'Raw Data'!$B:$B,$B$2,'Raw Data'!$J:$J,V$2,'Raw Data'!$K:$K,"native",'Raw Data'!$H:$H,"61-70",'Raw Data'!$I:$I,"",'Raw Data'!$M:$M,"count")</f>
        <v>118000</v>
      </c>
      <c r="W15" s="11">
        <f>SUMIFS('Raw Data'!$L:$L,'Raw Data'!$B:$B,$B$2,'Raw Data'!$J:$J,W$2,'Raw Data'!$K:$K,"native",'Raw Data'!$H:$H,"61-70",'Raw Data'!$I:$I,"",'Raw Data'!$M:$M,"count")</f>
        <v>119000</v>
      </c>
      <c r="X15" s="11">
        <f>SUMIFS('Raw Data'!$L:$L,'Raw Data'!$B:$B,$B$2,'Raw Data'!$J:$J,X$2,'Raw Data'!$K:$K,"native",'Raw Data'!$H:$H,"61-70",'Raw Data'!$I:$I,"",'Raw Data'!$M:$M,"count")</f>
        <v>123000</v>
      </c>
      <c r="Y15" s="11">
        <f>SUMIFS('Raw Data'!$L:$L,'Raw Data'!$B:$B,$B$2,'Raw Data'!$J:$J,Y$2,'Raw Data'!$K:$K,"native",'Raw Data'!$H:$H,"61-70",'Raw Data'!$I:$I,"",'Raw Data'!$M:$M,"count")</f>
        <v>126000</v>
      </c>
      <c r="Z15" s="11">
        <f>SUMIFS('Raw Data'!$L:$L,'Raw Data'!$B:$B,$B$2,'Raw Data'!$J:$J,Z$2,'Raw Data'!$K:$K,"native",'Raw Data'!$H:$H,"61-70",'Raw Data'!$I:$I,"",'Raw Data'!$M:$M,"count")</f>
        <v>129000</v>
      </c>
    </row>
    <row r="16" spans="1:26" x14ac:dyDescent="0.25">
      <c r="A16" s="10" t="s">
        <v>63</v>
      </c>
      <c r="B16" s="10" t="s">
        <v>75</v>
      </c>
      <c r="C16" s="11">
        <f>SUMIFS('Raw Data'!$L:$L,'Raw Data'!$B:$B,$B$2,'Raw Data'!$J:$J,C$2,'Raw Data'!$K:$K,"native",'Raw Data'!$H:$H,"71-80",'Raw Data'!$I:$I,"",'Raw Data'!$M:$M,"count")</f>
        <v>18000</v>
      </c>
      <c r="D16" s="11">
        <f>SUMIFS('Raw Data'!$L:$L,'Raw Data'!$B:$B,$B$2,'Raw Data'!$J:$J,D$2,'Raw Data'!$K:$K,"native",'Raw Data'!$H:$H,"71-80",'Raw Data'!$I:$I,"",'Raw Data'!$M:$M,"count")</f>
        <v>19000</v>
      </c>
      <c r="E16" s="11">
        <f>SUMIFS('Raw Data'!$L:$L,'Raw Data'!$B:$B,$B$2,'Raw Data'!$J:$J,E$2,'Raw Data'!$K:$K,"native",'Raw Data'!$H:$H,"71-80",'Raw Data'!$I:$I,"",'Raw Data'!$M:$M,"count")</f>
        <v>19000</v>
      </c>
      <c r="F16" s="11">
        <f>SUMIFS('Raw Data'!$L:$L,'Raw Data'!$B:$B,$B$2,'Raw Data'!$J:$J,F$2,'Raw Data'!$K:$K,"native",'Raw Data'!$H:$H,"71-80",'Raw Data'!$I:$I,"",'Raw Data'!$M:$M,"count")</f>
        <v>20000</v>
      </c>
      <c r="G16" s="11">
        <f>SUMIFS('Raw Data'!$L:$L,'Raw Data'!$B:$B,$B$2,'Raw Data'!$J:$J,G$2,'Raw Data'!$K:$K,"native",'Raw Data'!$H:$H,"71-80",'Raw Data'!$I:$I,"",'Raw Data'!$M:$M,"count")</f>
        <v>21000</v>
      </c>
      <c r="H16" s="11">
        <f>SUMIFS('Raw Data'!$L:$L,'Raw Data'!$B:$B,$B$2,'Raw Data'!$J:$J,H$2,'Raw Data'!$K:$K,"native",'Raw Data'!$H:$H,"71-80",'Raw Data'!$I:$I,"",'Raw Data'!$M:$M,"count")</f>
        <v>21000</v>
      </c>
      <c r="I16" s="11">
        <f>SUMIFS('Raw Data'!$L:$L,'Raw Data'!$B:$B,$B$2,'Raw Data'!$J:$J,I$2,'Raw Data'!$K:$K,"native",'Raw Data'!$H:$H,"71-80",'Raw Data'!$I:$I,"",'Raw Data'!$M:$M,"count")</f>
        <v>22000</v>
      </c>
      <c r="J16" s="11">
        <f>SUMIFS('Raw Data'!$L:$L,'Raw Data'!$B:$B,$B$2,'Raw Data'!$J:$J,J$2,'Raw Data'!$K:$K,"native",'Raw Data'!$H:$H,"71-80",'Raw Data'!$I:$I,"",'Raw Data'!$M:$M,"count")</f>
        <v>23000</v>
      </c>
      <c r="K16" s="11">
        <f>SUMIFS('Raw Data'!$L:$L,'Raw Data'!$B:$B,$B$2,'Raw Data'!$J:$J,K$2,'Raw Data'!$K:$K,"native",'Raw Data'!$H:$H,"71-80",'Raw Data'!$I:$I,"",'Raw Data'!$M:$M,"count")</f>
        <v>23000</v>
      </c>
      <c r="L16" s="11">
        <f>SUMIFS('Raw Data'!$L:$L,'Raw Data'!$B:$B,$B$2,'Raw Data'!$J:$J,L$2,'Raw Data'!$K:$K,"native",'Raw Data'!$H:$H,"71-80",'Raw Data'!$I:$I,"",'Raw Data'!$M:$M,"count")</f>
        <v>24000</v>
      </c>
      <c r="M16" s="11">
        <f>SUMIFS('Raw Data'!$L:$L,'Raw Data'!$B:$B,$B$2,'Raw Data'!$J:$J,M$2,'Raw Data'!$K:$K,"native",'Raw Data'!$H:$H,"71-80",'Raw Data'!$I:$I,"",'Raw Data'!$M:$M,"count")</f>
        <v>25000</v>
      </c>
      <c r="N16" s="11">
        <f>SUMIFS('Raw Data'!$L:$L,'Raw Data'!$B:$B,$B$2,'Raw Data'!$J:$J,N$2,'Raw Data'!$K:$K,"native",'Raw Data'!$H:$H,"71-80",'Raw Data'!$I:$I,"",'Raw Data'!$M:$M,"count")</f>
        <v>26000</v>
      </c>
      <c r="O16" s="11">
        <f>SUMIFS('Raw Data'!$L:$L,'Raw Data'!$B:$B,$B$2,'Raw Data'!$J:$J,O$2,'Raw Data'!$K:$K,"native",'Raw Data'!$H:$H,"71-80",'Raw Data'!$I:$I,"",'Raw Data'!$M:$M,"count")</f>
        <v>27000</v>
      </c>
      <c r="P16" s="11">
        <f>SUMIFS('Raw Data'!$L:$L,'Raw Data'!$B:$B,$B$2,'Raw Data'!$J:$J,P$2,'Raw Data'!$K:$K,"native",'Raw Data'!$H:$H,"71-80",'Raw Data'!$I:$I,"",'Raw Data'!$M:$M,"count")</f>
        <v>28000</v>
      </c>
      <c r="Q16" s="11">
        <f>SUMIFS('Raw Data'!$L:$L,'Raw Data'!$B:$B,$B$2,'Raw Data'!$J:$J,Q$2,'Raw Data'!$K:$K,"native",'Raw Data'!$H:$H,"71-80",'Raw Data'!$I:$I,"",'Raw Data'!$M:$M,"count")</f>
        <v>28000</v>
      </c>
      <c r="R16" s="11">
        <f>SUMIFS('Raw Data'!$L:$L,'Raw Data'!$B:$B,$B$2,'Raw Data'!$J:$J,R$2,'Raw Data'!$K:$K,"native",'Raw Data'!$H:$H,"71-80",'Raw Data'!$I:$I,"",'Raw Data'!$M:$M,"count")</f>
        <v>29000</v>
      </c>
      <c r="S16" s="11">
        <f>SUMIFS('Raw Data'!$L:$L,'Raw Data'!$B:$B,$B$2,'Raw Data'!$J:$J,S$2,'Raw Data'!$K:$K,"native",'Raw Data'!$H:$H,"71-80",'Raw Data'!$I:$I,"",'Raw Data'!$M:$M,"count")</f>
        <v>30000</v>
      </c>
      <c r="T16" s="11">
        <f>SUMIFS('Raw Data'!$L:$L,'Raw Data'!$B:$B,$B$2,'Raw Data'!$J:$J,T$2,'Raw Data'!$K:$K,"native",'Raw Data'!$H:$H,"71-80",'Raw Data'!$I:$I,"",'Raw Data'!$M:$M,"count")</f>
        <v>31000</v>
      </c>
      <c r="U16" s="11">
        <f>SUMIFS('Raw Data'!$L:$L,'Raw Data'!$B:$B,$B$2,'Raw Data'!$J:$J,U$2,'Raw Data'!$K:$K,"native",'Raw Data'!$H:$H,"71-80",'Raw Data'!$I:$I,"",'Raw Data'!$M:$M,"count")</f>
        <v>32000</v>
      </c>
      <c r="V16" s="11">
        <f>SUMIFS('Raw Data'!$L:$L,'Raw Data'!$B:$B,$B$2,'Raw Data'!$J:$J,V$2,'Raw Data'!$K:$K,"native",'Raw Data'!$H:$H,"71-80",'Raw Data'!$I:$I,"",'Raw Data'!$M:$M,"count")</f>
        <v>32000</v>
      </c>
      <c r="W16" s="11">
        <f>SUMIFS('Raw Data'!$L:$L,'Raw Data'!$B:$B,$B$2,'Raw Data'!$J:$J,W$2,'Raw Data'!$K:$K,"native",'Raw Data'!$H:$H,"71-80",'Raw Data'!$I:$I,"",'Raw Data'!$M:$M,"count")</f>
        <v>33000</v>
      </c>
      <c r="X16" s="11">
        <f>SUMIFS('Raw Data'!$L:$L,'Raw Data'!$B:$B,$B$2,'Raw Data'!$J:$J,X$2,'Raw Data'!$K:$K,"native",'Raw Data'!$H:$H,"71-80",'Raw Data'!$I:$I,"",'Raw Data'!$M:$M,"count")</f>
        <v>34000</v>
      </c>
      <c r="Y16" s="11">
        <f>SUMIFS('Raw Data'!$L:$L,'Raw Data'!$B:$B,$B$2,'Raw Data'!$J:$J,Y$2,'Raw Data'!$K:$K,"native",'Raw Data'!$H:$H,"71-80",'Raw Data'!$I:$I,"",'Raw Data'!$M:$M,"count")</f>
        <v>35000</v>
      </c>
      <c r="Z16" s="11">
        <f>SUMIFS('Raw Data'!$L:$L,'Raw Data'!$B:$B,$B$2,'Raw Data'!$J:$J,Z$2,'Raw Data'!$K:$K,"native",'Raw Data'!$H:$H,"71-80",'Raw Data'!$I:$I,"",'Raw Data'!$M:$M,"count")</f>
        <v>36000</v>
      </c>
    </row>
    <row r="17" spans="1:26" x14ac:dyDescent="0.25">
      <c r="A17" s="10" t="s">
        <v>63</v>
      </c>
      <c r="B17" s="10" t="s">
        <v>76</v>
      </c>
      <c r="C17" s="11">
        <f>SUMIFS('Raw Data'!$L:$L,'Raw Data'!$B:$B,$B$2,'Raw Data'!$J:$J,C$2,'Raw Data'!$K:$K,"native",'Raw Data'!$H:$H,"81-90",'Raw Data'!$I:$I,"",'Raw Data'!$M:$M,"count")</f>
        <v>4000</v>
      </c>
      <c r="D17" s="11">
        <f>SUMIFS('Raw Data'!$L:$L,'Raw Data'!$B:$B,$B$2,'Raw Data'!$J:$J,D$2,'Raw Data'!$K:$K,"native",'Raw Data'!$H:$H,"81-90",'Raw Data'!$I:$I,"",'Raw Data'!$M:$M,"count")</f>
        <v>4000</v>
      </c>
      <c r="E17" s="11">
        <f>SUMIFS('Raw Data'!$L:$L,'Raw Data'!$B:$B,$B$2,'Raw Data'!$J:$J,E$2,'Raw Data'!$K:$K,"native",'Raw Data'!$H:$H,"81-90",'Raw Data'!$I:$I,"",'Raw Data'!$M:$M,"count")</f>
        <v>4000</v>
      </c>
      <c r="F17" s="11">
        <f>SUMIFS('Raw Data'!$L:$L,'Raw Data'!$B:$B,$B$2,'Raw Data'!$J:$J,F$2,'Raw Data'!$K:$K,"native",'Raw Data'!$H:$H,"81-90",'Raw Data'!$I:$I,"",'Raw Data'!$M:$M,"count")</f>
        <v>4000</v>
      </c>
      <c r="G17" s="11">
        <f>SUMIFS('Raw Data'!$L:$L,'Raw Data'!$B:$B,$B$2,'Raw Data'!$J:$J,G$2,'Raw Data'!$K:$K,"native",'Raw Data'!$H:$H,"81-90",'Raw Data'!$I:$I,"",'Raw Data'!$M:$M,"count")</f>
        <v>4000</v>
      </c>
      <c r="H17" s="11">
        <f>SUMIFS('Raw Data'!$L:$L,'Raw Data'!$B:$B,$B$2,'Raw Data'!$J:$J,H$2,'Raw Data'!$K:$K,"native",'Raw Data'!$H:$H,"81-90",'Raw Data'!$I:$I,"",'Raw Data'!$M:$M,"count")</f>
        <v>4000</v>
      </c>
      <c r="I17" s="11">
        <f>SUMIFS('Raw Data'!$L:$L,'Raw Data'!$B:$B,$B$2,'Raw Data'!$J:$J,I$2,'Raw Data'!$K:$K,"native",'Raw Data'!$H:$H,"81-90",'Raw Data'!$I:$I,"",'Raw Data'!$M:$M,"count")</f>
        <v>4000</v>
      </c>
      <c r="J17" s="11">
        <f>SUMIFS('Raw Data'!$L:$L,'Raw Data'!$B:$B,$B$2,'Raw Data'!$J:$J,J$2,'Raw Data'!$K:$K,"native",'Raw Data'!$H:$H,"81-90",'Raw Data'!$I:$I,"",'Raw Data'!$M:$M,"count")</f>
        <v>5000</v>
      </c>
      <c r="K17" s="11">
        <f>SUMIFS('Raw Data'!$L:$L,'Raw Data'!$B:$B,$B$2,'Raw Data'!$J:$J,K$2,'Raw Data'!$K:$K,"native",'Raw Data'!$H:$H,"81-90",'Raw Data'!$I:$I,"",'Raw Data'!$M:$M,"count")</f>
        <v>5000</v>
      </c>
      <c r="L17" s="11">
        <f>SUMIFS('Raw Data'!$L:$L,'Raw Data'!$B:$B,$B$2,'Raw Data'!$J:$J,L$2,'Raw Data'!$K:$K,"native",'Raw Data'!$H:$H,"81-90",'Raw Data'!$I:$I,"",'Raw Data'!$M:$M,"count")</f>
        <v>6000</v>
      </c>
      <c r="M17" s="11">
        <f>SUMIFS('Raw Data'!$L:$L,'Raw Data'!$B:$B,$B$2,'Raw Data'!$J:$J,M$2,'Raw Data'!$K:$K,"native",'Raw Data'!$H:$H,"81-90",'Raw Data'!$I:$I,"",'Raw Data'!$M:$M,"count")</f>
        <v>6000</v>
      </c>
      <c r="N17" s="11">
        <f>SUMIFS('Raw Data'!$L:$L,'Raw Data'!$B:$B,$B$2,'Raw Data'!$J:$J,N$2,'Raw Data'!$K:$K,"native",'Raw Data'!$H:$H,"81-90",'Raw Data'!$I:$I,"",'Raw Data'!$M:$M,"count")</f>
        <v>6000</v>
      </c>
      <c r="O17" s="11">
        <f>SUMIFS('Raw Data'!$L:$L,'Raw Data'!$B:$B,$B$2,'Raw Data'!$J:$J,O$2,'Raw Data'!$K:$K,"native",'Raw Data'!$H:$H,"81-90",'Raw Data'!$I:$I,"",'Raw Data'!$M:$M,"count")</f>
        <v>6000</v>
      </c>
      <c r="P17" s="11">
        <f>SUMIFS('Raw Data'!$L:$L,'Raw Data'!$B:$B,$B$2,'Raw Data'!$J:$J,P$2,'Raw Data'!$K:$K,"native",'Raw Data'!$H:$H,"81-90",'Raw Data'!$I:$I,"",'Raw Data'!$M:$M,"count")</f>
        <v>6000</v>
      </c>
      <c r="Q17" s="11">
        <f>SUMIFS('Raw Data'!$L:$L,'Raw Data'!$B:$B,$B$2,'Raw Data'!$J:$J,Q$2,'Raw Data'!$K:$K,"native",'Raw Data'!$H:$H,"81-90",'Raw Data'!$I:$I,"",'Raw Data'!$M:$M,"count")</f>
        <v>6000</v>
      </c>
      <c r="R17" s="11">
        <f>SUMIFS('Raw Data'!$L:$L,'Raw Data'!$B:$B,$B$2,'Raw Data'!$J:$J,R$2,'Raw Data'!$K:$K,"native",'Raw Data'!$H:$H,"81-90",'Raw Data'!$I:$I,"",'Raw Data'!$M:$M,"count")</f>
        <v>6000</v>
      </c>
      <c r="S17" s="11">
        <f>SUMIFS('Raw Data'!$L:$L,'Raw Data'!$B:$B,$B$2,'Raw Data'!$J:$J,S$2,'Raw Data'!$K:$K,"native",'Raw Data'!$H:$H,"81-90",'Raw Data'!$I:$I,"",'Raw Data'!$M:$M,"count")</f>
        <v>7000</v>
      </c>
      <c r="T17" s="11">
        <f>SUMIFS('Raw Data'!$L:$L,'Raw Data'!$B:$B,$B$2,'Raw Data'!$J:$J,T$2,'Raw Data'!$K:$K,"native",'Raw Data'!$H:$H,"81-90",'Raw Data'!$I:$I,"",'Raw Data'!$M:$M,"count")</f>
        <v>7000</v>
      </c>
      <c r="U17" s="11">
        <f>SUMIFS('Raw Data'!$L:$L,'Raw Data'!$B:$B,$B$2,'Raw Data'!$J:$J,U$2,'Raw Data'!$K:$K,"native",'Raw Data'!$H:$H,"81-90",'Raw Data'!$I:$I,"",'Raw Data'!$M:$M,"count")</f>
        <v>7000</v>
      </c>
      <c r="V17" s="11">
        <f>SUMIFS('Raw Data'!$L:$L,'Raw Data'!$B:$B,$B$2,'Raw Data'!$J:$J,V$2,'Raw Data'!$K:$K,"native",'Raw Data'!$H:$H,"81-90",'Raw Data'!$I:$I,"",'Raw Data'!$M:$M,"count")</f>
        <v>7000</v>
      </c>
      <c r="W17" s="11">
        <f>SUMIFS('Raw Data'!$L:$L,'Raw Data'!$B:$B,$B$2,'Raw Data'!$J:$J,W$2,'Raw Data'!$K:$K,"native",'Raw Data'!$H:$H,"81-90",'Raw Data'!$I:$I,"",'Raw Data'!$M:$M,"count")</f>
        <v>7000</v>
      </c>
      <c r="X17" s="11">
        <f>SUMIFS('Raw Data'!$L:$L,'Raw Data'!$B:$B,$B$2,'Raw Data'!$J:$J,X$2,'Raw Data'!$K:$K,"native",'Raw Data'!$H:$H,"81-90",'Raw Data'!$I:$I,"",'Raw Data'!$M:$M,"count")</f>
        <v>8000</v>
      </c>
      <c r="Y17" s="11">
        <f>SUMIFS('Raw Data'!$L:$L,'Raw Data'!$B:$B,$B$2,'Raw Data'!$J:$J,Y$2,'Raw Data'!$K:$K,"native",'Raw Data'!$H:$H,"81-90",'Raw Data'!$I:$I,"",'Raw Data'!$M:$M,"count")</f>
        <v>9000</v>
      </c>
      <c r="Z17" s="11">
        <f>SUMIFS('Raw Data'!$L:$L,'Raw Data'!$B:$B,$B$2,'Raw Data'!$J:$J,Z$2,'Raw Data'!$K:$K,"native",'Raw Data'!$H:$H,"81-90",'Raw Data'!$I:$I,"",'Raw Data'!$M:$M,"count")</f>
        <v>9000</v>
      </c>
    </row>
    <row r="18" spans="1:26" x14ac:dyDescent="0.25">
      <c r="A18" s="10" t="s">
        <v>63</v>
      </c>
      <c r="B18" s="10" t="s">
        <v>77</v>
      </c>
      <c r="C18" s="11">
        <f>SUMIFS('Raw Data'!$L:$L,'Raw Data'!$B:$B,$B$2,'Raw Data'!$J:$J,C$2,'Raw Data'!$K:$K,"native",'Raw Data'!$H:$H,"=&lt;18",'Raw Data'!$I:$I,"",'Raw Data'!$M:$M,"count")</f>
        <v>6000</v>
      </c>
      <c r="D18" s="11">
        <f>SUMIFS('Raw Data'!$L:$L,'Raw Data'!$B:$B,$B$2,'Raw Data'!$J:$J,D$2,'Raw Data'!$K:$K,"native",'Raw Data'!$H:$H,"=&lt;18",'Raw Data'!$I:$I,"",'Raw Data'!$M:$M,"count")</f>
        <v>6000</v>
      </c>
      <c r="E18" s="11">
        <f>SUMIFS('Raw Data'!$L:$L,'Raw Data'!$B:$B,$B$2,'Raw Data'!$J:$J,E$2,'Raw Data'!$K:$K,"native",'Raw Data'!$H:$H,"=&lt;18",'Raw Data'!$I:$I,"",'Raw Data'!$M:$M,"count")</f>
        <v>6000</v>
      </c>
      <c r="F18" s="11">
        <f>SUMIFS('Raw Data'!$L:$L,'Raw Data'!$B:$B,$B$2,'Raw Data'!$J:$J,F$2,'Raw Data'!$K:$K,"native",'Raw Data'!$H:$H,"=&lt;18",'Raw Data'!$I:$I,"",'Raw Data'!$M:$M,"count")</f>
        <v>6000</v>
      </c>
      <c r="G18" s="11">
        <f>SUMIFS('Raw Data'!$L:$L,'Raw Data'!$B:$B,$B$2,'Raw Data'!$J:$J,G$2,'Raw Data'!$K:$K,"native",'Raw Data'!$H:$H,"=&lt;18",'Raw Data'!$I:$I,"",'Raw Data'!$M:$M,"count")</f>
        <v>6000</v>
      </c>
      <c r="H18" s="11">
        <f>SUMIFS('Raw Data'!$L:$L,'Raw Data'!$B:$B,$B$2,'Raw Data'!$J:$J,H$2,'Raw Data'!$K:$K,"native",'Raw Data'!$H:$H,"=&lt;18",'Raw Data'!$I:$I,"",'Raw Data'!$M:$M,"count")</f>
        <v>7000</v>
      </c>
      <c r="I18" s="11">
        <f>SUMIFS('Raw Data'!$L:$L,'Raw Data'!$B:$B,$B$2,'Raw Data'!$J:$J,I$2,'Raw Data'!$K:$K,"native",'Raw Data'!$H:$H,"=&lt;18",'Raw Data'!$I:$I,"",'Raw Data'!$M:$M,"count")</f>
        <v>7000</v>
      </c>
      <c r="J18" s="11">
        <f>SUMIFS('Raw Data'!$L:$L,'Raw Data'!$B:$B,$B$2,'Raw Data'!$J:$J,J$2,'Raw Data'!$K:$K,"native",'Raw Data'!$H:$H,"=&lt;18",'Raw Data'!$I:$I,"",'Raw Data'!$M:$M,"count")</f>
        <v>8000</v>
      </c>
      <c r="K18" s="11">
        <f>SUMIFS('Raw Data'!$L:$L,'Raw Data'!$B:$B,$B$2,'Raw Data'!$J:$J,K$2,'Raw Data'!$K:$K,"native",'Raw Data'!$H:$H,"=&lt;18",'Raw Data'!$I:$I,"",'Raw Data'!$M:$M,"count")</f>
        <v>8000</v>
      </c>
      <c r="L18" s="11">
        <f>SUMIFS('Raw Data'!$L:$L,'Raw Data'!$B:$B,$B$2,'Raw Data'!$J:$J,L$2,'Raw Data'!$K:$K,"native",'Raw Data'!$H:$H,"=&lt;18",'Raw Data'!$I:$I,"",'Raw Data'!$M:$M,"count")</f>
        <v>9000</v>
      </c>
      <c r="M18" s="11">
        <f>SUMIFS('Raw Data'!$L:$L,'Raw Data'!$B:$B,$B$2,'Raw Data'!$J:$J,M$2,'Raw Data'!$K:$K,"native",'Raw Data'!$H:$H,"=&lt;18",'Raw Data'!$I:$I,"",'Raw Data'!$M:$M,"count")</f>
        <v>9000</v>
      </c>
      <c r="N18" s="11">
        <f>SUMIFS('Raw Data'!$L:$L,'Raw Data'!$B:$B,$B$2,'Raw Data'!$J:$J,N$2,'Raw Data'!$K:$K,"native",'Raw Data'!$H:$H,"=&lt;18",'Raw Data'!$I:$I,"",'Raw Data'!$M:$M,"count")</f>
        <v>9000</v>
      </c>
      <c r="O18" s="11">
        <f>SUMIFS('Raw Data'!$L:$L,'Raw Data'!$B:$B,$B$2,'Raw Data'!$J:$J,O$2,'Raw Data'!$K:$K,"native",'Raw Data'!$H:$H,"=&lt;18",'Raw Data'!$I:$I,"",'Raw Data'!$M:$M,"count")</f>
        <v>9000</v>
      </c>
      <c r="P18" s="11">
        <f>SUMIFS('Raw Data'!$L:$L,'Raw Data'!$B:$B,$B$2,'Raw Data'!$J:$J,P$2,'Raw Data'!$K:$K,"native",'Raw Data'!$H:$H,"=&lt;18",'Raw Data'!$I:$I,"",'Raw Data'!$M:$M,"count")</f>
        <v>9000</v>
      </c>
      <c r="Q18" s="11">
        <f>SUMIFS('Raw Data'!$L:$L,'Raw Data'!$B:$B,$B$2,'Raw Data'!$J:$J,Q$2,'Raw Data'!$K:$K,"native",'Raw Data'!$H:$H,"=&lt;18",'Raw Data'!$I:$I,"",'Raw Data'!$M:$M,"count")</f>
        <v>9000</v>
      </c>
      <c r="R18" s="11">
        <f>SUMIFS('Raw Data'!$L:$L,'Raw Data'!$B:$B,$B$2,'Raw Data'!$J:$J,R$2,'Raw Data'!$K:$K,"native",'Raw Data'!$H:$H,"=&lt;18",'Raw Data'!$I:$I,"",'Raw Data'!$M:$M,"count")</f>
        <v>10000</v>
      </c>
      <c r="S18" s="11">
        <f>SUMIFS('Raw Data'!$L:$L,'Raw Data'!$B:$B,$B$2,'Raw Data'!$J:$J,S$2,'Raw Data'!$K:$K,"native",'Raw Data'!$H:$H,"=&lt;18",'Raw Data'!$I:$I,"",'Raw Data'!$M:$M,"count")</f>
        <v>10000</v>
      </c>
      <c r="T18" s="11">
        <f>SUMIFS('Raw Data'!$L:$L,'Raw Data'!$B:$B,$B$2,'Raw Data'!$J:$J,T$2,'Raw Data'!$K:$K,"native",'Raw Data'!$H:$H,"=&lt;18",'Raw Data'!$I:$I,"",'Raw Data'!$M:$M,"count")</f>
        <v>10000</v>
      </c>
      <c r="U18" s="11">
        <f>SUMIFS('Raw Data'!$L:$L,'Raw Data'!$B:$B,$B$2,'Raw Data'!$J:$J,U$2,'Raw Data'!$K:$K,"native",'Raw Data'!$H:$H,"=&lt;18",'Raw Data'!$I:$I,"",'Raw Data'!$M:$M,"count")</f>
        <v>10000</v>
      </c>
      <c r="V18" s="11">
        <f>SUMIFS('Raw Data'!$L:$L,'Raw Data'!$B:$B,$B$2,'Raw Data'!$J:$J,V$2,'Raw Data'!$K:$K,"native",'Raw Data'!$H:$H,"=&lt;18",'Raw Data'!$I:$I,"",'Raw Data'!$M:$M,"count")</f>
        <v>11000</v>
      </c>
      <c r="W18" s="11">
        <f>SUMIFS('Raw Data'!$L:$L,'Raw Data'!$B:$B,$B$2,'Raw Data'!$J:$J,W$2,'Raw Data'!$K:$K,"native",'Raw Data'!$H:$H,"=&lt;18",'Raw Data'!$I:$I,"",'Raw Data'!$M:$M,"count")</f>
        <v>11000</v>
      </c>
      <c r="X18" s="11">
        <f>SUMIFS('Raw Data'!$L:$L,'Raw Data'!$B:$B,$B$2,'Raw Data'!$J:$J,X$2,'Raw Data'!$K:$K,"native",'Raw Data'!$H:$H,"=&lt;18",'Raw Data'!$I:$I,"",'Raw Data'!$M:$M,"count")</f>
        <v>11000</v>
      </c>
      <c r="Y18" s="11">
        <f>SUMIFS('Raw Data'!$L:$L,'Raw Data'!$B:$B,$B$2,'Raw Data'!$J:$J,Y$2,'Raw Data'!$K:$K,"native",'Raw Data'!$H:$H,"=&lt;18",'Raw Data'!$I:$I,"",'Raw Data'!$M:$M,"count")</f>
        <v>12000</v>
      </c>
      <c r="Z18" s="11">
        <f>SUMIFS('Raw Data'!$L:$L,'Raw Data'!$B:$B,$B$2,'Raw Data'!$J:$J,Z$2,'Raw Data'!$K:$K,"native",'Raw Data'!$H:$H,"=&lt;18",'Raw Data'!$I:$I,"",'Raw Data'!$M:$M,"count")</f>
        <v>12000</v>
      </c>
    </row>
    <row r="19" spans="1:26" x14ac:dyDescent="0.25">
      <c r="A19" s="53" t="s">
        <v>78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x14ac:dyDescent="0.25">
      <c r="A20" s="10" t="s">
        <v>63</v>
      </c>
      <c r="B20" s="10" t="s">
        <v>79</v>
      </c>
      <c r="C20" s="11">
        <f>SUMIFS('Raw Data'!$L:$L,'Raw Data'!$B:$B,$B$2,'Raw Data'!$J:$J,C$2,'Raw Data'!$K:$K,"native",'Raw Data'!$H:$H,"Individual",'Raw Data'!$I:$I,"",'Raw Data'!$M:$M,"count")</f>
        <v>1530000</v>
      </c>
      <c r="D20" s="11">
        <f>SUMIFS('Raw Data'!$L:$L,'Raw Data'!$B:$B,$B$2,'Raw Data'!$J:$J,D$2,'Raw Data'!$K:$K,"native",'Raw Data'!$H:$H,"Individual",'Raw Data'!$I:$I,"",'Raw Data'!$M:$M,"count")</f>
        <v>1570000</v>
      </c>
      <c r="E20" s="11">
        <f>SUMIFS('Raw Data'!$L:$L,'Raw Data'!$B:$B,$B$2,'Raw Data'!$J:$J,E$2,'Raw Data'!$K:$K,"native",'Raw Data'!$H:$H,"Individual",'Raw Data'!$I:$I,"",'Raw Data'!$M:$M,"count")</f>
        <v>1600000</v>
      </c>
      <c r="F20" s="11">
        <f>SUMIFS('Raw Data'!$L:$L,'Raw Data'!$B:$B,$B$2,'Raw Data'!$J:$J,F$2,'Raw Data'!$K:$K,"native",'Raw Data'!$H:$H,"Individual",'Raw Data'!$I:$I,"",'Raw Data'!$M:$M,"count")</f>
        <v>1640000</v>
      </c>
      <c r="G20" s="11">
        <f>SUMIFS('Raw Data'!$L:$L,'Raw Data'!$B:$B,$B$2,'Raw Data'!$J:$J,G$2,'Raw Data'!$K:$K,"native",'Raw Data'!$H:$H,"Individual",'Raw Data'!$I:$I,"",'Raw Data'!$M:$M,"count")</f>
        <v>1680000</v>
      </c>
      <c r="H20" s="11">
        <f>SUMIFS('Raw Data'!$L:$L,'Raw Data'!$B:$B,$B$2,'Raw Data'!$J:$J,H$2,'Raw Data'!$K:$K,"native",'Raw Data'!$H:$H,"Individual",'Raw Data'!$I:$I,"",'Raw Data'!$M:$M,"count")</f>
        <v>1710000</v>
      </c>
      <c r="I20" s="11">
        <f>SUMIFS('Raw Data'!$L:$L,'Raw Data'!$B:$B,$B$2,'Raw Data'!$J:$J,I$2,'Raw Data'!$K:$K,"native",'Raw Data'!$H:$H,"Individual",'Raw Data'!$I:$I,"",'Raw Data'!$M:$M,"count")</f>
        <v>1740000</v>
      </c>
      <c r="J20" s="11">
        <f>SUMIFS('Raw Data'!$L:$L,'Raw Data'!$B:$B,$B$2,'Raw Data'!$J:$J,J$2,'Raw Data'!$K:$K,"native",'Raw Data'!$H:$H,"Individual",'Raw Data'!$I:$I,"",'Raw Data'!$M:$M,"count")</f>
        <v>1780000</v>
      </c>
      <c r="K20" s="11">
        <f>SUMIFS('Raw Data'!$L:$L,'Raw Data'!$B:$B,$B$2,'Raw Data'!$J:$J,K$2,'Raw Data'!$K:$K,"native",'Raw Data'!$H:$H,"Individual",'Raw Data'!$I:$I,"",'Raw Data'!$M:$M,"count")</f>
        <v>1810000</v>
      </c>
      <c r="L20" s="11">
        <f>SUMIFS('Raw Data'!$L:$L,'Raw Data'!$B:$B,$B$2,'Raw Data'!$J:$J,L$2,'Raw Data'!$K:$K,"native",'Raw Data'!$H:$H,"Individual",'Raw Data'!$I:$I,"",'Raw Data'!$M:$M,"count")</f>
        <v>1840000</v>
      </c>
      <c r="M20" s="11">
        <f>SUMIFS('Raw Data'!$L:$L,'Raw Data'!$B:$B,$B$2,'Raw Data'!$J:$J,M$2,'Raw Data'!$K:$K,"native",'Raw Data'!$H:$H,"Individual",'Raw Data'!$I:$I,"",'Raw Data'!$M:$M,"count")</f>
        <v>1880000</v>
      </c>
      <c r="N20" s="11">
        <f>SUMIFS('Raw Data'!$L:$L,'Raw Data'!$B:$B,$B$2,'Raw Data'!$J:$J,N$2,'Raw Data'!$K:$K,"native",'Raw Data'!$H:$H,"Individual",'Raw Data'!$I:$I,"",'Raw Data'!$M:$M,"count")</f>
        <v>1920000</v>
      </c>
      <c r="O20" s="11">
        <f>SUMIFS('Raw Data'!$L:$L,'Raw Data'!$B:$B,$B$2,'Raw Data'!$J:$J,O$2,'Raw Data'!$K:$K,"native",'Raw Data'!$H:$H,"Individual",'Raw Data'!$I:$I,"",'Raw Data'!$M:$M,"count")</f>
        <v>1950000</v>
      </c>
      <c r="P20" s="11">
        <f>SUMIFS('Raw Data'!$L:$L,'Raw Data'!$B:$B,$B$2,'Raw Data'!$J:$J,P$2,'Raw Data'!$K:$K,"native",'Raw Data'!$H:$H,"Individual",'Raw Data'!$I:$I,"",'Raw Data'!$M:$M,"count")</f>
        <v>2010000</v>
      </c>
      <c r="Q20" s="11">
        <f>SUMIFS('Raw Data'!$L:$L,'Raw Data'!$B:$B,$B$2,'Raw Data'!$J:$J,Q$2,'Raw Data'!$K:$K,"native",'Raw Data'!$H:$H,"Individual",'Raw Data'!$I:$I,"",'Raw Data'!$M:$M,"count")</f>
        <v>2050000</v>
      </c>
      <c r="R20" s="11">
        <f>SUMIFS('Raw Data'!$L:$L,'Raw Data'!$B:$B,$B$2,'Raw Data'!$J:$J,R$2,'Raw Data'!$K:$K,"native",'Raw Data'!$H:$H,"Individual",'Raw Data'!$I:$I,"",'Raw Data'!$M:$M,"count")</f>
        <v>2080000</v>
      </c>
      <c r="S20" s="11">
        <f>SUMIFS('Raw Data'!$L:$L,'Raw Data'!$B:$B,$B$2,'Raw Data'!$J:$J,S$2,'Raw Data'!$K:$K,"native",'Raw Data'!$H:$H,"Individual",'Raw Data'!$I:$I,"",'Raw Data'!$M:$M,"count")</f>
        <v>2110000</v>
      </c>
      <c r="T20" s="11">
        <f>SUMIFS('Raw Data'!$L:$L,'Raw Data'!$B:$B,$B$2,'Raw Data'!$J:$J,T$2,'Raw Data'!$K:$K,"native",'Raw Data'!$H:$H,"Individual",'Raw Data'!$I:$I,"",'Raw Data'!$M:$M,"count")</f>
        <v>2150000</v>
      </c>
      <c r="U20" s="11">
        <f>SUMIFS('Raw Data'!$L:$L,'Raw Data'!$B:$B,$B$2,'Raw Data'!$J:$J,U$2,'Raw Data'!$K:$K,"native",'Raw Data'!$H:$H,"Individual",'Raw Data'!$I:$I,"",'Raw Data'!$M:$M,"count")</f>
        <v>2170000</v>
      </c>
      <c r="V20" s="11">
        <f>SUMIFS('Raw Data'!$L:$L,'Raw Data'!$B:$B,$B$2,'Raw Data'!$J:$J,V$2,'Raw Data'!$K:$K,"native",'Raw Data'!$H:$H,"Individual",'Raw Data'!$I:$I,"",'Raw Data'!$M:$M,"count")</f>
        <v>2200000</v>
      </c>
      <c r="W20" s="11">
        <f>SUMIFS('Raw Data'!$L:$L,'Raw Data'!$B:$B,$B$2,'Raw Data'!$J:$J,W$2,'Raw Data'!$K:$K,"native",'Raw Data'!$H:$H,"Individual",'Raw Data'!$I:$I,"",'Raw Data'!$M:$M,"count")</f>
        <v>2200000</v>
      </c>
      <c r="X20" s="11">
        <f>SUMIFS('Raw Data'!$L:$L,'Raw Data'!$B:$B,$B$2,'Raw Data'!$J:$J,X$2,'Raw Data'!$K:$K,"native",'Raw Data'!$H:$H,"Individual",'Raw Data'!$I:$I,"",'Raw Data'!$M:$M,"count")</f>
        <v>2260000</v>
      </c>
      <c r="Y20" s="11">
        <f>SUMIFS('Raw Data'!$L:$L,'Raw Data'!$B:$B,$B$2,'Raw Data'!$J:$J,Y$2,'Raw Data'!$K:$K,"native",'Raw Data'!$H:$H,"Individual",'Raw Data'!$I:$I,"",'Raw Data'!$M:$M,"count")</f>
        <v>2290000</v>
      </c>
      <c r="Z20" s="11">
        <f>SUMIFS('Raw Data'!$L:$L,'Raw Data'!$B:$B,$B$2,'Raw Data'!$J:$J,Z$2,'Raw Data'!$K:$K,"native",'Raw Data'!$H:$H,"Individual",'Raw Data'!$I:$I,"",'Raw Data'!$M:$M,"count")</f>
        <v>2330000</v>
      </c>
    </row>
    <row r="21" spans="1:26" x14ac:dyDescent="0.25">
      <c r="A21" s="10" t="s">
        <v>63</v>
      </c>
      <c r="B21" s="10" t="s">
        <v>80</v>
      </c>
      <c r="C21" s="11">
        <f>SUMIFS('Raw Data'!$L:$L,'Raw Data'!$B:$B,$B$2,'Raw Data'!$J:$J,C$2,'Raw Data'!$K:$K,"native",'Raw Data'!$H:$H,"Legal (entities)",'Raw Data'!$I:$I,"",'Raw Data'!$M:$M,"count")</f>
        <v>26500</v>
      </c>
      <c r="D21" s="11">
        <f>SUMIFS('Raw Data'!$L:$L,'Raw Data'!$B:$B,$B$2,'Raw Data'!$J:$J,D$2,'Raw Data'!$K:$K,"native",'Raw Data'!$H:$H,"Legal (entities)",'Raw Data'!$I:$I,"",'Raw Data'!$M:$M,"count")</f>
        <v>28000</v>
      </c>
      <c r="E21" s="11">
        <f>SUMIFS('Raw Data'!$L:$L,'Raw Data'!$B:$B,$B$2,'Raw Data'!$J:$J,E$2,'Raw Data'!$K:$K,"native",'Raw Data'!$H:$H,"Legal (entities)",'Raw Data'!$I:$I,"",'Raw Data'!$M:$M,"count")</f>
        <v>29000</v>
      </c>
      <c r="F21" s="11">
        <f>SUMIFS('Raw Data'!$L:$L,'Raw Data'!$B:$B,$B$2,'Raw Data'!$J:$J,F$2,'Raw Data'!$K:$K,"native",'Raw Data'!$H:$H,"Legal (entities)",'Raw Data'!$I:$I,"",'Raw Data'!$M:$M,"count")</f>
        <v>30400</v>
      </c>
      <c r="G21" s="11">
        <f>SUMIFS('Raw Data'!$L:$L,'Raw Data'!$B:$B,$B$2,'Raw Data'!$J:$J,G$2,'Raw Data'!$K:$K,"native",'Raw Data'!$H:$H,"Legal (entities)",'Raw Data'!$I:$I,"",'Raw Data'!$M:$M,"count")</f>
        <v>31600</v>
      </c>
      <c r="H21" s="11">
        <f>SUMIFS('Raw Data'!$L:$L,'Raw Data'!$B:$B,$B$2,'Raw Data'!$J:$J,H$2,'Raw Data'!$K:$K,"native",'Raw Data'!$H:$H,"Legal (entities)",'Raw Data'!$I:$I,"",'Raw Data'!$M:$M,"count")</f>
        <v>32800</v>
      </c>
      <c r="I21" s="11">
        <f>SUMIFS('Raw Data'!$L:$L,'Raw Data'!$B:$B,$B$2,'Raw Data'!$J:$J,I$2,'Raw Data'!$K:$K,"native",'Raw Data'!$H:$H,"Legal (entities)",'Raw Data'!$I:$I,"",'Raw Data'!$M:$M,"count")</f>
        <v>34000</v>
      </c>
      <c r="J21" s="11">
        <f>SUMIFS('Raw Data'!$L:$L,'Raw Data'!$B:$B,$B$2,'Raw Data'!$J:$J,J$2,'Raw Data'!$K:$K,"native",'Raw Data'!$H:$H,"Legal (entities)",'Raw Data'!$I:$I,"",'Raw Data'!$M:$M,"count")</f>
        <v>35000</v>
      </c>
      <c r="K21" s="11">
        <f>SUMIFS('Raw Data'!$L:$L,'Raw Data'!$B:$B,$B$2,'Raw Data'!$J:$J,K$2,'Raw Data'!$K:$K,"native",'Raw Data'!$H:$H,"Legal (entities)",'Raw Data'!$I:$I,"",'Raw Data'!$M:$M,"count")</f>
        <v>36000</v>
      </c>
      <c r="L21" s="11">
        <f>SUMIFS('Raw Data'!$L:$L,'Raw Data'!$B:$B,$B$2,'Raw Data'!$J:$J,L$2,'Raw Data'!$K:$K,"native",'Raw Data'!$H:$H,"Legal (entities)",'Raw Data'!$I:$I,"",'Raw Data'!$M:$M,"count")</f>
        <v>37600</v>
      </c>
      <c r="M21" s="11">
        <f>SUMIFS('Raw Data'!$L:$L,'Raw Data'!$B:$B,$B$2,'Raw Data'!$J:$J,M$2,'Raw Data'!$K:$K,"native",'Raw Data'!$H:$H,"Legal (entities)",'Raw Data'!$I:$I,"",'Raw Data'!$M:$M,"count")</f>
        <v>39000</v>
      </c>
      <c r="N21" s="11">
        <f>SUMIFS('Raw Data'!$L:$L,'Raw Data'!$B:$B,$B$2,'Raw Data'!$J:$J,N$2,'Raw Data'!$K:$K,"native",'Raw Data'!$H:$H,"Legal (entities)",'Raw Data'!$I:$I,"",'Raw Data'!$M:$M,"count")</f>
        <v>40400</v>
      </c>
      <c r="O21" s="11">
        <f>SUMIFS('Raw Data'!$L:$L,'Raw Data'!$B:$B,$B$2,'Raw Data'!$J:$J,O$2,'Raw Data'!$K:$K,"native",'Raw Data'!$H:$H,"Legal (entities)",'Raw Data'!$I:$I,"",'Raw Data'!$M:$M,"count")</f>
        <v>55300</v>
      </c>
      <c r="P21" s="11">
        <f>SUMIFS('Raw Data'!$L:$L,'Raw Data'!$B:$B,$B$2,'Raw Data'!$J:$J,P$2,'Raw Data'!$K:$K,"native",'Raw Data'!$H:$H,"Legal (entities)",'Raw Data'!$I:$I,"",'Raw Data'!$M:$M,"count")</f>
        <v>45600</v>
      </c>
      <c r="Q21" s="11">
        <f>SUMIFS('Raw Data'!$L:$L,'Raw Data'!$B:$B,$B$2,'Raw Data'!$J:$J,Q$2,'Raw Data'!$K:$K,"native",'Raw Data'!$H:$H,"Legal (entities)",'Raw Data'!$I:$I,"",'Raw Data'!$M:$M,"count")</f>
        <v>47000</v>
      </c>
      <c r="R21" s="11">
        <f>SUMIFS('Raw Data'!$L:$L,'Raw Data'!$B:$B,$B$2,'Raw Data'!$J:$J,R$2,'Raw Data'!$K:$K,"native",'Raw Data'!$H:$H,"Legal (entities)",'Raw Data'!$I:$I,"",'Raw Data'!$M:$M,"count")</f>
        <v>48300</v>
      </c>
      <c r="S21" s="11">
        <f>SUMIFS('Raw Data'!$L:$L,'Raw Data'!$B:$B,$B$2,'Raw Data'!$J:$J,S$2,'Raw Data'!$K:$K,"native",'Raw Data'!$H:$H,"Legal (entities)",'Raw Data'!$I:$I,"",'Raw Data'!$M:$M,"count")</f>
        <v>49400</v>
      </c>
      <c r="T21" s="11">
        <f>SUMIFS('Raw Data'!$L:$L,'Raw Data'!$B:$B,$B$2,'Raw Data'!$J:$J,T$2,'Raw Data'!$K:$K,"native",'Raw Data'!$H:$H,"Legal (entities)",'Raw Data'!$I:$I,"",'Raw Data'!$M:$M,"count")</f>
        <v>51000</v>
      </c>
      <c r="U21" s="11">
        <f>SUMIFS('Raw Data'!$L:$L,'Raw Data'!$B:$B,$B$2,'Raw Data'!$J:$J,U$2,'Raw Data'!$K:$K,"native",'Raw Data'!$H:$H,"Legal (entities)",'Raw Data'!$I:$I,"",'Raw Data'!$M:$M,"count")</f>
        <v>52100</v>
      </c>
      <c r="V21" s="11">
        <f>SUMIFS('Raw Data'!$L:$L,'Raw Data'!$B:$B,$B$2,'Raw Data'!$J:$J,V$2,'Raw Data'!$K:$K,"native",'Raw Data'!$H:$H,"Legal (entities)",'Raw Data'!$I:$I,"",'Raw Data'!$M:$M,"count")</f>
        <v>53400</v>
      </c>
      <c r="W21" s="11">
        <f>SUMIFS('Raw Data'!$L:$L,'Raw Data'!$B:$B,$B$2,'Raw Data'!$J:$J,W$2,'Raw Data'!$K:$K,"native",'Raw Data'!$H:$H,"Legal (entities)",'Raw Data'!$I:$I,"",'Raw Data'!$M:$M,"count")</f>
        <v>54700</v>
      </c>
      <c r="X21" s="11">
        <f>SUMIFS('Raw Data'!$L:$L,'Raw Data'!$B:$B,$B$2,'Raw Data'!$J:$J,X$2,'Raw Data'!$K:$K,"native",'Raw Data'!$H:$H,"Legal (entities)",'Raw Data'!$I:$I,"",'Raw Data'!$M:$M,"count")</f>
        <v>56050</v>
      </c>
      <c r="Y21" s="11">
        <f>SUMIFS('Raw Data'!$L:$L,'Raw Data'!$B:$B,$B$2,'Raw Data'!$J:$J,Y$2,'Raw Data'!$K:$K,"native",'Raw Data'!$H:$H,"Legal (entities)",'Raw Data'!$I:$I,"",'Raw Data'!$M:$M,"count")</f>
        <v>57600</v>
      </c>
      <c r="Z21" s="11">
        <f>SUMIFS('Raw Data'!$L:$L,'Raw Data'!$B:$B,$B$2,'Raw Data'!$J:$J,Z$2,'Raw Data'!$K:$K,"native",'Raw Data'!$H:$H,"Legal (entities)",'Raw Data'!$I:$I,"",'Raw Data'!$M:$M,"count")</f>
        <v>59000</v>
      </c>
    </row>
    <row r="22" spans="1:26" x14ac:dyDescent="0.25">
      <c r="A22" s="53" t="s">
        <v>81</v>
      </c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x14ac:dyDescent="0.25">
      <c r="A23" s="10" t="s">
        <v>82</v>
      </c>
      <c r="B23" s="10" t="s">
        <v>83</v>
      </c>
      <c r="C23" s="11">
        <f>SUMIFS('Raw Data'!$L:$L,'Raw Data'!$B:$B,$B$2,'Raw Data'!$J:$J,C$2,'Raw Data'!$K:$K,"native",'Raw Data'!$H:$H,"Money Transfers",'Raw Data'!$I:$I,"",'Raw Data'!$M:$M,"count")</f>
        <v>6800000</v>
      </c>
      <c r="D23" s="11">
        <f>SUMIFS('Raw Data'!$L:$L,'Raw Data'!$B:$B,$B$2,'Raw Data'!$J:$J,D$2,'Raw Data'!$K:$K,"native",'Raw Data'!$H:$H,"Money Transfers",'Raw Data'!$I:$I,"",'Raw Data'!$M:$M,"count")</f>
        <v>7620000</v>
      </c>
      <c r="E23" s="11">
        <f>SUMIFS('Raw Data'!$L:$L,'Raw Data'!$B:$B,$B$2,'Raw Data'!$J:$J,E$2,'Raw Data'!$K:$K,"native",'Raw Data'!$H:$H,"Money Transfers",'Raw Data'!$I:$I,"",'Raw Data'!$M:$M,"count")</f>
        <v>7720000</v>
      </c>
      <c r="F23" s="11">
        <f>SUMIFS('Raw Data'!$L:$L,'Raw Data'!$B:$B,$B$2,'Raw Data'!$J:$J,F$2,'Raw Data'!$K:$K,"native",'Raw Data'!$H:$H,"Money Transfers",'Raw Data'!$I:$I,"",'Raw Data'!$M:$M,"count")</f>
        <v>8570000</v>
      </c>
      <c r="G23" s="11">
        <f>SUMIFS('Raw Data'!$L:$L,'Raw Data'!$B:$B,$B$2,'Raw Data'!$J:$J,G$2,'Raw Data'!$K:$K,"native",'Raw Data'!$H:$H,"Money Transfers",'Raw Data'!$I:$I,"",'Raw Data'!$M:$M,"count")</f>
        <v>8820000</v>
      </c>
      <c r="H23" s="11">
        <f>SUMIFS('Raw Data'!$L:$L,'Raw Data'!$B:$B,$B$2,'Raw Data'!$J:$J,H$2,'Raw Data'!$K:$K,"native",'Raw Data'!$H:$H,"Money Transfers",'Raw Data'!$I:$I,"",'Raw Data'!$M:$M,"count")</f>
        <v>8450000</v>
      </c>
      <c r="I23" s="11">
        <f>SUMIFS('Raw Data'!$L:$L,'Raw Data'!$B:$B,$B$2,'Raw Data'!$J:$J,I$2,'Raw Data'!$K:$K,"native",'Raw Data'!$H:$H,"Money Transfers",'Raw Data'!$I:$I,"",'Raw Data'!$M:$M,"count")</f>
        <v>10360000</v>
      </c>
      <c r="J23" s="11">
        <f>SUMIFS('Raw Data'!$L:$L,'Raw Data'!$B:$B,$B$2,'Raw Data'!$J:$J,J$2,'Raw Data'!$K:$K,"native",'Raw Data'!$H:$H,"Money Transfers",'Raw Data'!$I:$I,"",'Raw Data'!$M:$M,"count")</f>
        <v>9780000</v>
      </c>
      <c r="K23" s="11">
        <f>SUMIFS('Raw Data'!$L:$L,'Raw Data'!$B:$B,$B$2,'Raw Data'!$J:$J,K$2,'Raw Data'!$K:$K,"native",'Raw Data'!$H:$H,"Money Transfers",'Raw Data'!$I:$I,"",'Raw Data'!$M:$M,"count")</f>
        <v>11650000</v>
      </c>
      <c r="L23" s="11">
        <f>SUMIFS('Raw Data'!$L:$L,'Raw Data'!$B:$B,$B$2,'Raw Data'!$J:$J,L$2,'Raw Data'!$K:$K,"native",'Raw Data'!$H:$H,"Money Transfers",'Raw Data'!$I:$I,"",'Raw Data'!$M:$M,"count")</f>
        <v>11110000</v>
      </c>
      <c r="M23" s="11">
        <f>SUMIFS('Raw Data'!$L:$L,'Raw Data'!$B:$B,$B$2,'Raw Data'!$J:$J,M$2,'Raw Data'!$K:$K,"native",'Raw Data'!$H:$H,"Money Transfers",'Raw Data'!$I:$I,"",'Raw Data'!$M:$M,"count")</f>
        <v>12600000</v>
      </c>
      <c r="N23" s="11">
        <f>SUMIFS('Raw Data'!$L:$L,'Raw Data'!$B:$B,$B$2,'Raw Data'!$J:$J,N$2,'Raw Data'!$K:$K,"native",'Raw Data'!$H:$H,"Money Transfers",'Raw Data'!$I:$I,"",'Raw Data'!$M:$M,"count")</f>
        <v>12510000</v>
      </c>
      <c r="O23" s="11">
        <f>SUMIFS('Raw Data'!$L:$L,'Raw Data'!$B:$B,$B$2,'Raw Data'!$J:$J,O$2,'Raw Data'!$K:$K,"native",'Raw Data'!$H:$H,"Money Transfers",'Raw Data'!$I:$I,"",'Raw Data'!$M:$M,"count")</f>
        <v>12300000</v>
      </c>
      <c r="P23" s="11">
        <f>SUMIFS('Raw Data'!$L:$L,'Raw Data'!$B:$B,$B$2,'Raw Data'!$J:$J,P$2,'Raw Data'!$K:$K,"native",'Raw Data'!$H:$H,"Money Transfers",'Raw Data'!$I:$I,"",'Raw Data'!$M:$M,"count")</f>
        <v>13300000</v>
      </c>
      <c r="Q23" s="11">
        <f>SUMIFS('Raw Data'!$L:$L,'Raw Data'!$B:$B,$B$2,'Raw Data'!$J:$J,Q$2,'Raw Data'!$K:$K,"native",'Raw Data'!$H:$H,"Money Transfers",'Raw Data'!$I:$I,"",'Raw Data'!$M:$M,"count")</f>
        <v>13200000</v>
      </c>
      <c r="R23" s="11">
        <f>SUMIFS('Raw Data'!$L:$L,'Raw Data'!$B:$B,$B$2,'Raw Data'!$J:$J,R$2,'Raw Data'!$K:$K,"native",'Raw Data'!$H:$H,"Money Transfers",'Raw Data'!$I:$I,"",'Raw Data'!$M:$M,"count")</f>
        <v>14250000</v>
      </c>
      <c r="S23" s="11">
        <f>SUMIFS('Raw Data'!$L:$L,'Raw Data'!$B:$B,$B$2,'Raw Data'!$J:$J,S$2,'Raw Data'!$K:$K,"native",'Raw Data'!$H:$H,"Money Transfers",'Raw Data'!$I:$I,"",'Raw Data'!$M:$M,"count")</f>
        <v>14290000</v>
      </c>
      <c r="T23" s="11">
        <f>SUMIFS('Raw Data'!$L:$L,'Raw Data'!$B:$B,$B$2,'Raw Data'!$J:$J,T$2,'Raw Data'!$K:$K,"native",'Raw Data'!$H:$H,"Money Transfers",'Raw Data'!$I:$I,"",'Raw Data'!$M:$M,"count")</f>
        <v>13400000</v>
      </c>
      <c r="U23" s="11">
        <f>SUMIFS('Raw Data'!$L:$L,'Raw Data'!$B:$B,$B$2,'Raw Data'!$J:$J,U$2,'Raw Data'!$K:$K,"native",'Raw Data'!$H:$H,"Money Transfers",'Raw Data'!$I:$I,"",'Raw Data'!$M:$M,"count")</f>
        <v>15480000</v>
      </c>
      <c r="V23" s="11">
        <f>SUMIFS('Raw Data'!$L:$L,'Raw Data'!$B:$B,$B$2,'Raw Data'!$J:$J,V$2,'Raw Data'!$K:$K,"native",'Raw Data'!$H:$H,"Money Transfers",'Raw Data'!$I:$I,"",'Raw Data'!$M:$M,"count")</f>
        <v>15560000</v>
      </c>
      <c r="W23" s="11">
        <f>SUMIFS('Raw Data'!$L:$L,'Raw Data'!$B:$B,$B$2,'Raw Data'!$J:$J,W$2,'Raw Data'!$K:$K,"native",'Raw Data'!$H:$H,"Money Transfers",'Raw Data'!$I:$I,"",'Raw Data'!$M:$M,"count")</f>
        <v>17230000</v>
      </c>
      <c r="X23" s="11">
        <f>SUMIFS('Raw Data'!$L:$L,'Raw Data'!$B:$B,$B$2,'Raw Data'!$J:$J,X$2,'Raw Data'!$K:$K,"native",'Raw Data'!$H:$H,"Money Transfers",'Raw Data'!$I:$I,"",'Raw Data'!$M:$M,"count")</f>
        <v>16720000</v>
      </c>
      <c r="Y23" s="11">
        <f>SUMIFS('Raw Data'!$L:$L,'Raw Data'!$B:$B,$B$2,'Raw Data'!$J:$J,Y$2,'Raw Data'!$K:$K,"native",'Raw Data'!$H:$H,"Money Transfers",'Raw Data'!$I:$I,"",'Raw Data'!$M:$M,"count")</f>
        <v>18420000</v>
      </c>
      <c r="Z23" s="11">
        <f>SUMIFS('Raw Data'!$L:$L,'Raw Data'!$B:$B,$B$2,'Raw Data'!$J:$J,Z$2,'Raw Data'!$K:$K,"native",'Raw Data'!$H:$H,"Money Transfers",'Raw Data'!$I:$I,"",'Raw Data'!$M:$M,"count")</f>
        <v>19020000</v>
      </c>
    </row>
    <row r="24" spans="1:26" x14ac:dyDescent="0.25">
      <c r="A24" s="10" t="s">
        <v>82</v>
      </c>
      <c r="B24" s="10" t="s">
        <v>84</v>
      </c>
      <c r="C24" s="11">
        <f>SUMIFS('Raw Data'!$L:$L,'Raw Data'!$B:$B,$B$2,'Raw Data'!$J:$J,C$2,'Raw Data'!$K:$K,"native",'Raw Data'!$H:$H,"Purchases",'Raw Data'!$I:$I,"",'Raw Data'!$M:$M,"count")</f>
        <v>1090000</v>
      </c>
      <c r="D24" s="11">
        <f>SUMIFS('Raw Data'!$L:$L,'Raw Data'!$B:$B,$B$2,'Raw Data'!$J:$J,D$2,'Raw Data'!$K:$K,"native",'Raw Data'!$H:$H,"Purchases",'Raw Data'!$I:$I,"",'Raw Data'!$M:$M,"count")</f>
        <v>1240000</v>
      </c>
      <c r="E24" s="11">
        <f>SUMIFS('Raw Data'!$L:$L,'Raw Data'!$B:$B,$B$2,'Raw Data'!$J:$J,E$2,'Raw Data'!$K:$K,"native",'Raw Data'!$H:$H,"Purchases",'Raw Data'!$I:$I,"",'Raw Data'!$M:$M,"count")</f>
        <v>1260000</v>
      </c>
      <c r="F24" s="11">
        <f>SUMIFS('Raw Data'!$L:$L,'Raw Data'!$B:$B,$B$2,'Raw Data'!$J:$J,F$2,'Raw Data'!$K:$K,"native",'Raw Data'!$H:$H,"Purchases",'Raw Data'!$I:$I,"",'Raw Data'!$M:$M,"count")</f>
        <v>1430000</v>
      </c>
      <c r="G24" s="11">
        <f>SUMIFS('Raw Data'!$L:$L,'Raw Data'!$B:$B,$B$2,'Raw Data'!$J:$J,G$2,'Raw Data'!$K:$K,"native",'Raw Data'!$H:$H,"Purchases",'Raw Data'!$I:$I,"",'Raw Data'!$M:$M,"count")</f>
        <v>1500000</v>
      </c>
      <c r="H24" s="11">
        <f>SUMIFS('Raw Data'!$L:$L,'Raw Data'!$B:$B,$B$2,'Raw Data'!$J:$J,H$2,'Raw Data'!$K:$K,"native",'Raw Data'!$H:$H,"Purchases",'Raw Data'!$I:$I,"",'Raw Data'!$M:$M,"count")</f>
        <v>1450000</v>
      </c>
      <c r="I24" s="11">
        <f>SUMIFS('Raw Data'!$L:$L,'Raw Data'!$B:$B,$B$2,'Raw Data'!$J:$J,I$2,'Raw Data'!$K:$K,"native",'Raw Data'!$H:$H,"Purchases",'Raw Data'!$I:$I,"",'Raw Data'!$M:$M,"count")</f>
        <v>1750000</v>
      </c>
      <c r="J24" s="11">
        <f>SUMIFS('Raw Data'!$L:$L,'Raw Data'!$B:$B,$B$2,'Raw Data'!$J:$J,J$2,'Raw Data'!$K:$K,"native",'Raw Data'!$H:$H,"Purchases",'Raw Data'!$I:$I,"",'Raw Data'!$M:$M,"count")</f>
        <v>1740000</v>
      </c>
      <c r="K24" s="11">
        <f>SUMIFS('Raw Data'!$L:$L,'Raw Data'!$B:$B,$B$2,'Raw Data'!$J:$J,K$2,'Raw Data'!$K:$K,"native",'Raw Data'!$H:$H,"Purchases",'Raw Data'!$I:$I,"",'Raw Data'!$M:$M,"count")</f>
        <v>2080000</v>
      </c>
      <c r="L24" s="11">
        <f>SUMIFS('Raw Data'!$L:$L,'Raw Data'!$B:$B,$B$2,'Raw Data'!$J:$J,L$2,'Raw Data'!$K:$K,"native",'Raw Data'!$H:$H,"Purchases",'Raw Data'!$I:$I,"",'Raw Data'!$M:$M,"count")</f>
        <v>1970000</v>
      </c>
      <c r="M24" s="11">
        <f>SUMIFS('Raw Data'!$L:$L,'Raw Data'!$B:$B,$B$2,'Raw Data'!$J:$J,M$2,'Raw Data'!$K:$K,"native",'Raw Data'!$H:$H,"Purchases",'Raw Data'!$I:$I,"",'Raw Data'!$M:$M,"count")</f>
        <v>2700000</v>
      </c>
      <c r="N24" s="11">
        <f>SUMIFS('Raw Data'!$L:$L,'Raw Data'!$B:$B,$B$2,'Raw Data'!$J:$J,N$2,'Raw Data'!$K:$K,"native",'Raw Data'!$H:$H,"Purchases",'Raw Data'!$I:$I,"",'Raw Data'!$M:$M,"count")</f>
        <v>3260000</v>
      </c>
      <c r="O24" s="11">
        <f>SUMIFS('Raw Data'!$L:$L,'Raw Data'!$B:$B,$B$2,'Raw Data'!$J:$J,O$2,'Raw Data'!$K:$K,"native",'Raw Data'!$H:$H,"Purchases",'Raw Data'!$I:$I,"",'Raw Data'!$M:$M,"count")</f>
        <v>3280000</v>
      </c>
      <c r="P24" s="11">
        <f>SUMIFS('Raw Data'!$L:$L,'Raw Data'!$B:$B,$B$2,'Raw Data'!$J:$J,P$2,'Raw Data'!$K:$K,"native",'Raw Data'!$H:$H,"Purchases",'Raw Data'!$I:$I,"",'Raw Data'!$M:$M,"count")</f>
        <v>3280000</v>
      </c>
      <c r="Q24" s="11">
        <f>SUMIFS('Raw Data'!$L:$L,'Raw Data'!$B:$B,$B$2,'Raw Data'!$J:$J,Q$2,'Raw Data'!$K:$K,"native",'Raw Data'!$H:$H,"Purchases",'Raw Data'!$I:$I,"",'Raw Data'!$M:$M,"count")</f>
        <v>3170000</v>
      </c>
      <c r="R24" s="11">
        <f>SUMIFS('Raw Data'!$L:$L,'Raw Data'!$B:$B,$B$2,'Raw Data'!$J:$J,R$2,'Raw Data'!$K:$K,"native",'Raw Data'!$H:$H,"Purchases",'Raw Data'!$I:$I,"",'Raw Data'!$M:$M,"count")</f>
        <v>3420000</v>
      </c>
      <c r="S24" s="11">
        <f>SUMIFS('Raw Data'!$L:$L,'Raw Data'!$B:$B,$B$2,'Raw Data'!$J:$J,S$2,'Raw Data'!$K:$K,"native",'Raw Data'!$H:$H,"Purchases",'Raw Data'!$I:$I,"",'Raw Data'!$M:$M,"count")</f>
        <v>3410000</v>
      </c>
      <c r="T24" s="11">
        <f>SUMIFS('Raw Data'!$L:$L,'Raw Data'!$B:$B,$B$2,'Raw Data'!$J:$J,T$2,'Raw Data'!$K:$K,"native",'Raw Data'!$H:$H,"Purchases",'Raw Data'!$I:$I,"",'Raw Data'!$M:$M,"count")</f>
        <v>3180000</v>
      </c>
      <c r="U24" s="11">
        <f>SUMIFS('Raw Data'!$L:$L,'Raw Data'!$B:$B,$B$2,'Raw Data'!$J:$J,U$2,'Raw Data'!$K:$K,"native",'Raw Data'!$H:$H,"Purchases",'Raw Data'!$I:$I,"",'Raw Data'!$M:$M,"count")</f>
        <v>3530000</v>
      </c>
      <c r="V24" s="11">
        <f>SUMIFS('Raw Data'!$L:$L,'Raw Data'!$B:$B,$B$2,'Raw Data'!$J:$J,V$2,'Raw Data'!$K:$K,"native",'Raw Data'!$H:$H,"Purchases",'Raw Data'!$I:$I,"",'Raw Data'!$M:$M,"count")</f>
        <v>3770000</v>
      </c>
      <c r="W24" s="11">
        <f>SUMIFS('Raw Data'!$L:$L,'Raw Data'!$B:$B,$B$2,'Raw Data'!$J:$J,W$2,'Raw Data'!$K:$K,"native",'Raw Data'!$H:$H,"Purchases",'Raw Data'!$I:$I,"",'Raw Data'!$M:$M,"count")</f>
        <v>4210000</v>
      </c>
      <c r="X24" s="11">
        <f>SUMIFS('Raw Data'!$L:$L,'Raw Data'!$B:$B,$B$2,'Raw Data'!$J:$J,X$2,'Raw Data'!$K:$K,"native",'Raw Data'!$H:$H,"Purchases",'Raw Data'!$I:$I,"",'Raw Data'!$M:$M,"count")</f>
        <v>4240000</v>
      </c>
      <c r="Y24" s="11">
        <f>SUMIFS('Raw Data'!$L:$L,'Raw Data'!$B:$B,$B$2,'Raw Data'!$J:$J,Y$2,'Raw Data'!$K:$K,"native",'Raw Data'!$H:$H,"Purchases",'Raw Data'!$I:$I,"",'Raw Data'!$M:$M,"count")</f>
        <v>4750000</v>
      </c>
      <c r="Z24" s="11">
        <f>SUMIFS('Raw Data'!$L:$L,'Raw Data'!$B:$B,$B$2,'Raw Data'!$J:$J,Z$2,'Raw Data'!$K:$K,"native",'Raw Data'!$H:$H,"Purchases",'Raw Data'!$I:$I,"",'Raw Data'!$M:$M,"count")</f>
        <v>4970000</v>
      </c>
    </row>
    <row r="25" spans="1:26" x14ac:dyDescent="0.25">
      <c r="A25" s="53" t="s">
        <v>85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x14ac:dyDescent="0.25">
      <c r="A26" s="10" t="s">
        <v>82</v>
      </c>
      <c r="B26" s="10" t="s">
        <v>86</v>
      </c>
      <c r="C26" s="12">
        <f>(SUMIFS('Raw Data'!$L:$L,'Raw Data'!$B:$B,$B$2,'Raw Data'!$J:$J,C$2,'Raw Data'!$K:$K,"native",'Raw Data'!$H:$H,"Money Transfers",'Raw Data'!$I:$I,"Other",'Raw Data'!$M:$M,"percent",'Raw Data'!$F:$F,"Number*"))/100</f>
        <v>3.4000000000000002E-2</v>
      </c>
      <c r="D26" s="12">
        <f>(SUMIFS('Raw Data'!$L:$L,'Raw Data'!$B:$B,$B$2,'Raw Data'!$J:$J,D$2,'Raw Data'!$K:$K,"native",'Raw Data'!$H:$H,"Money Transfers",'Raw Data'!$I:$I,"Other",'Raw Data'!$M:$M,"percent",'Raw Data'!$F:$F,"Number*"))/100</f>
        <v>3.7000000000000005E-2</v>
      </c>
      <c r="E26" s="12">
        <f>(SUMIFS('Raw Data'!$L:$L,'Raw Data'!$B:$B,$B$2,'Raw Data'!$J:$J,E$2,'Raw Data'!$K:$K,"native",'Raw Data'!$H:$H,"Money Transfers",'Raw Data'!$I:$I,"Other",'Raw Data'!$M:$M,"percent",'Raw Data'!$F:$F,"Number*"))/100</f>
        <v>3.6000000000000004E-2</v>
      </c>
      <c r="F26" s="12">
        <f>(SUMIFS('Raw Data'!$L:$L,'Raw Data'!$B:$B,$B$2,'Raw Data'!$J:$J,F$2,'Raw Data'!$K:$K,"native",'Raw Data'!$H:$H,"Money Transfers",'Raw Data'!$I:$I,"Other",'Raw Data'!$M:$M,"percent",'Raw Data'!$F:$F,"Number*"))/100</f>
        <v>3.5699999999999996E-2</v>
      </c>
      <c r="G26" s="12">
        <f>(SUMIFS('Raw Data'!$L:$L,'Raw Data'!$B:$B,$B$2,'Raw Data'!$J:$J,G$2,'Raw Data'!$K:$K,"native",'Raw Data'!$H:$H,"Money Transfers",'Raw Data'!$I:$I,"Other",'Raw Data'!$M:$M,"percent",'Raw Data'!$F:$F,"Number*"))/100</f>
        <v>3.5000000000000003E-2</v>
      </c>
      <c r="H26" s="12">
        <f>(SUMIFS('Raw Data'!$L:$L,'Raw Data'!$B:$B,$B$2,'Raw Data'!$J:$J,H$2,'Raw Data'!$K:$K,"native",'Raw Data'!$H:$H,"Money Transfers",'Raw Data'!$I:$I,"Other",'Raw Data'!$M:$M,"percent",'Raw Data'!$F:$F,"Number*"))/100</f>
        <v>3.6000000000000004E-2</v>
      </c>
      <c r="I26" s="12">
        <f>(SUMIFS('Raw Data'!$L:$L,'Raw Data'!$B:$B,$B$2,'Raw Data'!$J:$J,I$2,'Raw Data'!$K:$K,"native",'Raw Data'!$H:$H,"Money Transfers",'Raw Data'!$I:$I,"Other",'Raw Data'!$M:$M,"percent",'Raw Data'!$F:$F,"Number*"))/100</f>
        <v>0.04</v>
      </c>
      <c r="J26" s="12">
        <f>(SUMIFS('Raw Data'!$L:$L,'Raw Data'!$B:$B,$B$2,'Raw Data'!$J:$J,J$2,'Raw Data'!$K:$K,"native",'Raw Data'!$H:$H,"Money Transfers",'Raw Data'!$I:$I,"Other",'Raw Data'!$M:$M,"percent",'Raw Data'!$F:$F,"Number*"))/100</f>
        <v>3.4000000000000002E-2</v>
      </c>
      <c r="K26" s="12">
        <f>(SUMIFS('Raw Data'!$L:$L,'Raw Data'!$B:$B,$B$2,'Raw Data'!$J:$J,K$2,'Raw Data'!$K:$K,"native",'Raw Data'!$H:$H,"Money Transfers",'Raw Data'!$I:$I,"Other",'Raw Data'!$M:$M,"percent",'Raw Data'!$F:$F,"Number*"))/100</f>
        <v>3.2000000000000001E-2</v>
      </c>
      <c r="L26" s="12">
        <f>(SUMIFS('Raw Data'!$L:$L,'Raw Data'!$B:$B,$B$2,'Raw Data'!$J:$J,L$2,'Raw Data'!$K:$K,"native",'Raw Data'!$H:$H,"Money Transfers",'Raw Data'!$I:$I,"Other",'Raw Data'!$M:$M,"percent",'Raw Data'!$F:$F,"Number*"))/100</f>
        <v>2.2000000000000002E-2</v>
      </c>
      <c r="M26" s="12">
        <f>(SUMIFS('Raw Data'!$L:$L,'Raw Data'!$B:$B,$B$2,'Raw Data'!$J:$J,M$2,'Raw Data'!$K:$K,"native",'Raw Data'!$H:$H,"Money Transfers",'Raw Data'!$I:$I,"Other",'Raw Data'!$M:$M,"percent",'Raw Data'!$F:$F,"Number*"))/100</f>
        <v>1.2E-2</v>
      </c>
      <c r="N26" s="12"/>
      <c r="O26" s="12"/>
      <c r="P26" s="12"/>
      <c r="Q26" s="12"/>
      <c r="R26" s="12"/>
      <c r="S26" s="12"/>
      <c r="T26" s="12">
        <f>(SUMIFS('Raw Data'!$L:$L,'Raw Data'!$B:$B,$B$2,'Raw Data'!$J:$J,T$2,'Raw Data'!$K:$K,"native",'Raw Data'!$H:$H,"Money Transfers",'Raw Data'!$I:$I,"Other",'Raw Data'!$M:$M,"percent",'Raw Data'!$F:$F,"Number*"))/100</f>
        <v>0</v>
      </c>
      <c r="U26" s="12"/>
      <c r="V26" s="12"/>
      <c r="W26" s="12"/>
      <c r="X26" s="12"/>
      <c r="Y26" s="12"/>
      <c r="Z26" s="12">
        <f>(SUMIFS('Raw Data'!$L:$L,'Raw Data'!$B:$B,$B$2,'Raw Data'!$J:$J,Z$2,'Raw Data'!$K:$K,"native",'Raw Data'!$H:$H,"Money Transfers",'Raw Data'!$I:$I,"Other",'Raw Data'!$M:$M,"percent",'Raw Data'!$F:$F,"Number*"))/100</f>
        <v>2.1000000000000001E-2</v>
      </c>
    </row>
    <row r="27" spans="1:26" x14ac:dyDescent="0.25">
      <c r="A27" s="10" t="s">
        <v>82</v>
      </c>
      <c r="B27" s="10" t="s">
        <v>87</v>
      </c>
      <c r="C27" s="12">
        <f>(SUMIFS('Raw Data'!$L:$L,'Raw Data'!$B:$B,$B$2,'Raw Data'!$J:$J,C$2,'Raw Data'!$K:$K,"native",'Raw Data'!$H:$H,"Money Transfers",'Raw Data'!$I:$I,"Transfer to Family/Friends",'Raw Data'!$M:$M,"percent",'Raw Data'!$F:$F,"Number*"))/100</f>
        <v>0.85</v>
      </c>
      <c r="D27" s="12">
        <f>(SUMIFS('Raw Data'!$L:$L,'Raw Data'!$B:$B,$B$2,'Raw Data'!$J:$J,D$2,'Raw Data'!$K:$K,"native",'Raw Data'!$H:$H,"Money Transfers",'Raw Data'!$I:$I,"Transfer to Family/Friends",'Raw Data'!$M:$M,"percent",'Raw Data'!$F:$F,"Number*"))/100</f>
        <v>0.84900000000000009</v>
      </c>
      <c r="E27" s="12">
        <f>(SUMIFS('Raw Data'!$L:$L,'Raw Data'!$B:$B,$B$2,'Raw Data'!$J:$J,E$2,'Raw Data'!$K:$K,"native",'Raw Data'!$H:$H,"Money Transfers",'Raw Data'!$I:$I,"Transfer to Family/Friends",'Raw Data'!$M:$M,"percent",'Raw Data'!$F:$F,"Number*"))/100</f>
        <v>0.84900000000000009</v>
      </c>
      <c r="F27" s="12">
        <f>(SUMIFS('Raw Data'!$L:$L,'Raw Data'!$B:$B,$B$2,'Raw Data'!$J:$J,F$2,'Raw Data'!$K:$K,"native",'Raw Data'!$H:$H,"Money Transfers",'Raw Data'!$I:$I,"Transfer to Family/Friends",'Raw Data'!$M:$M,"percent",'Raw Data'!$F:$F,"Number*"))/100</f>
        <v>0.84959999999999991</v>
      </c>
      <c r="G27" s="12">
        <f>(SUMIFS('Raw Data'!$L:$L,'Raw Data'!$B:$B,$B$2,'Raw Data'!$J:$J,G$2,'Raw Data'!$K:$K,"native",'Raw Data'!$H:$H,"Money Transfers",'Raw Data'!$I:$I,"Transfer to Family/Friends",'Raw Data'!$M:$M,"percent",'Raw Data'!$F:$F,"Number*"))/100</f>
        <v>0.85199999999999998</v>
      </c>
      <c r="H27" s="12">
        <f>(SUMIFS('Raw Data'!$L:$L,'Raw Data'!$B:$B,$B$2,'Raw Data'!$J:$J,H$2,'Raw Data'!$K:$K,"native",'Raw Data'!$H:$H,"Money Transfers",'Raw Data'!$I:$I,"Transfer to Family/Friends",'Raw Data'!$M:$M,"percent",'Raw Data'!$F:$F,"Number*"))/100</f>
        <v>0.85199999999999998</v>
      </c>
      <c r="I27" s="12">
        <f>(SUMIFS('Raw Data'!$L:$L,'Raw Data'!$B:$B,$B$2,'Raw Data'!$J:$J,I$2,'Raw Data'!$K:$K,"native",'Raw Data'!$H:$H,"Money Transfers",'Raw Data'!$I:$I,"Transfer to Family/Friends",'Raw Data'!$M:$M,"percent",'Raw Data'!$F:$F,"Number*"))/100</f>
        <v>0.85</v>
      </c>
      <c r="J27" s="12">
        <f>(SUMIFS('Raw Data'!$L:$L,'Raw Data'!$B:$B,$B$2,'Raw Data'!$J:$J,J$2,'Raw Data'!$K:$K,"native",'Raw Data'!$H:$H,"Money Transfers",'Raw Data'!$I:$I,"Transfer to Family/Friends",'Raw Data'!$M:$M,"percent",'Raw Data'!$F:$F,"Number*"))/100</f>
        <v>0.85299999999999998</v>
      </c>
      <c r="K27" s="12">
        <f>(SUMIFS('Raw Data'!$L:$L,'Raw Data'!$B:$B,$B$2,'Raw Data'!$J:$J,K$2,'Raw Data'!$K:$K,"native",'Raw Data'!$H:$H,"Money Transfers",'Raw Data'!$I:$I,"Transfer to Family/Friends",'Raw Data'!$M:$M,"percent",'Raw Data'!$F:$F,"Number*"))/100</f>
        <v>0.86099999999999999</v>
      </c>
      <c r="L27" s="12">
        <f>(SUMIFS('Raw Data'!$L:$L,'Raw Data'!$B:$B,$B$2,'Raw Data'!$J:$J,L$2,'Raw Data'!$K:$K,"native",'Raw Data'!$H:$H,"Money Transfers",'Raw Data'!$I:$I,"Transfer to Family/Friends",'Raw Data'!$M:$M,"percent",'Raw Data'!$F:$F,"Number*"))/100</f>
        <v>0.87400000000000011</v>
      </c>
      <c r="M27" s="12">
        <f>(SUMIFS('Raw Data'!$L:$L,'Raw Data'!$B:$B,$B$2,'Raw Data'!$J:$J,M$2,'Raw Data'!$K:$K,"native",'Raw Data'!$H:$H,"Money Transfers",'Raw Data'!$I:$I,"Transfer to Family/Friends",'Raw Data'!$M:$M,"percent",'Raw Data'!$F:$F,"Number*"))/100</f>
        <v>0.88400000000000001</v>
      </c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>
        <f>(SUMIFS('Raw Data'!$L:$L,'Raw Data'!$B:$B,$B$2,'Raw Data'!$J:$J,Z$2,'Raw Data'!$K:$K,"native",'Raw Data'!$H:$H,"Money Transfers",'Raw Data'!$I:$I,"Transfer to Family/Friends",'Raw Data'!$M:$M,"percent",'Raw Data'!$F:$F,"Number*"))/100</f>
        <v>0.88099999999999989</v>
      </c>
    </row>
    <row r="28" spans="1:26" x14ac:dyDescent="0.25">
      <c r="A28" s="10" t="s">
        <v>82</v>
      </c>
      <c r="B28" s="10" t="s">
        <v>88</v>
      </c>
      <c r="C28" s="12">
        <f>(SUMIFS('Raw Data'!$L:$L,'Raw Data'!$B:$B,$B$2,'Raw Data'!$J:$J,C$2,'Raw Data'!$K:$K,"native",'Raw Data'!$H:$H,"Money Transfers",'Raw Data'!$I:$I,"Transfer to Own Account",'Raw Data'!$M:$M,"percent",'Raw Data'!$F:$F,"Number*"))/100</f>
        <v>0.11599999999999999</v>
      </c>
      <c r="D28" s="12">
        <f>(SUMIFS('Raw Data'!$L:$L,'Raw Data'!$B:$B,$B$2,'Raw Data'!$J:$J,D$2,'Raw Data'!$K:$K,"native",'Raw Data'!$H:$H,"Money Transfers",'Raw Data'!$I:$I,"Transfer to Own Account",'Raw Data'!$M:$M,"percent",'Raw Data'!$F:$F,"Number*"))/100</f>
        <v>0.114</v>
      </c>
      <c r="E28" s="12">
        <f>(SUMIFS('Raw Data'!$L:$L,'Raw Data'!$B:$B,$B$2,'Raw Data'!$J:$J,E$2,'Raw Data'!$K:$K,"native",'Raw Data'!$H:$H,"Money Transfers",'Raw Data'!$I:$I,"Transfer to Own Account",'Raw Data'!$M:$M,"percent",'Raw Data'!$F:$F,"Number*"))/100</f>
        <v>0.115</v>
      </c>
      <c r="F28" s="12">
        <f>(SUMIFS('Raw Data'!$L:$L,'Raw Data'!$B:$B,$B$2,'Raw Data'!$J:$J,F$2,'Raw Data'!$K:$K,"native",'Raw Data'!$H:$H,"Money Transfers",'Raw Data'!$I:$I,"Transfer to Own Account",'Raw Data'!$M:$M,"percent",'Raw Data'!$F:$F,"Number*"))/100</f>
        <v>0.11470000000000001</v>
      </c>
      <c r="G28" s="12">
        <f>(SUMIFS('Raw Data'!$L:$L,'Raw Data'!$B:$B,$B$2,'Raw Data'!$J:$J,G$2,'Raw Data'!$K:$K,"native",'Raw Data'!$H:$H,"Money Transfers",'Raw Data'!$I:$I,"Transfer to Own Account",'Raw Data'!$M:$M,"percent",'Raw Data'!$F:$F,"Number*"))/100</f>
        <v>0.113</v>
      </c>
      <c r="H28" s="12">
        <f>(SUMIFS('Raw Data'!$L:$L,'Raw Data'!$B:$B,$B$2,'Raw Data'!$J:$J,H$2,'Raw Data'!$K:$K,"native",'Raw Data'!$H:$H,"Money Transfers",'Raw Data'!$I:$I,"Transfer to Own Account",'Raw Data'!$M:$M,"percent",'Raw Data'!$F:$F,"Number*"))/100</f>
        <v>0.11199999999999999</v>
      </c>
      <c r="I28" s="12">
        <f>(SUMIFS('Raw Data'!$L:$L,'Raw Data'!$B:$B,$B$2,'Raw Data'!$J:$J,I$2,'Raw Data'!$K:$K,"native",'Raw Data'!$H:$H,"Money Transfers",'Raw Data'!$I:$I,"Transfer to Own Account",'Raw Data'!$M:$M,"percent",'Raw Data'!$F:$F,"Number*"))/100</f>
        <v>0.11</v>
      </c>
      <c r="J28" s="12">
        <f>(SUMIFS('Raw Data'!$L:$L,'Raw Data'!$B:$B,$B$2,'Raw Data'!$J:$J,J$2,'Raw Data'!$K:$K,"native",'Raw Data'!$H:$H,"Money Transfers",'Raw Data'!$I:$I,"Transfer to Own Account",'Raw Data'!$M:$M,"percent",'Raw Data'!$F:$F,"Number*"))/100</f>
        <v>0.11199999999999999</v>
      </c>
      <c r="K28" s="12">
        <f>(SUMIFS('Raw Data'!$L:$L,'Raw Data'!$B:$B,$B$2,'Raw Data'!$J:$J,K$2,'Raw Data'!$K:$K,"native",'Raw Data'!$H:$H,"Money Transfers",'Raw Data'!$I:$I,"Transfer to Own Account",'Raw Data'!$M:$M,"percent",'Raw Data'!$F:$F,"Number*"))/100</f>
        <v>0.107</v>
      </c>
      <c r="L28" s="12">
        <f>(SUMIFS('Raw Data'!$L:$L,'Raw Data'!$B:$B,$B$2,'Raw Data'!$J:$J,L$2,'Raw Data'!$K:$K,"native",'Raw Data'!$H:$H,"Money Transfers",'Raw Data'!$I:$I,"Transfer to Own Account",'Raw Data'!$M:$M,"percent",'Raw Data'!$F:$F,"Number*"))/100</f>
        <v>0.10400000000000001</v>
      </c>
      <c r="M28" s="12">
        <f>(SUMIFS('Raw Data'!$L:$L,'Raw Data'!$B:$B,$B$2,'Raw Data'!$J:$J,M$2,'Raw Data'!$K:$K,"native",'Raw Data'!$H:$H,"Money Transfers",'Raw Data'!$I:$I,"Transfer to Own Account",'Raw Data'!$M:$M,"percent",'Raw Data'!$F:$F,"Number*"))/100</f>
        <v>0.10400000000000001</v>
      </c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>
        <f>(SUMIFS('Raw Data'!$L:$L,'Raw Data'!$B:$B,$B$2,'Raw Data'!$J:$J,Z$2,'Raw Data'!$K:$K,"native",'Raw Data'!$H:$H,"Money Transfers",'Raw Data'!$I:$I,"Transfer to Own Account",'Raw Data'!$M:$M,"percent",'Raw Data'!$F:$F,"Number*"))/100</f>
        <v>9.8000000000000004E-2</v>
      </c>
    </row>
    <row r="29" spans="1:26" x14ac:dyDescent="0.25">
      <c r="A29" s="10" t="s">
        <v>82</v>
      </c>
      <c r="B29" s="10" t="s">
        <v>89</v>
      </c>
      <c r="C29" s="12">
        <f>(SUMIFS('Raw Data'!$L:$L,'Raw Data'!$B:$B,$B$2,'Raw Data'!$J:$J,C$2,'Raw Data'!$K:$K,"native",'Raw Data'!$H:$H,"Purchases",'Raw Data'!$I:$I,"Non-QR Purchases",'Raw Data'!$M:$M,"percent",'Raw Data'!$F:$F,"Number*"))/100</f>
        <v>0.995</v>
      </c>
      <c r="D29" s="12">
        <f>(SUMIFS('Raw Data'!$L:$L,'Raw Data'!$B:$B,$B$2,'Raw Data'!$J:$J,D$2,'Raw Data'!$K:$K,"native",'Raw Data'!$H:$H,"Purchases",'Raw Data'!$I:$I,"Non-QR Purchases",'Raw Data'!$M:$M,"percent",'Raw Data'!$F:$F,"Number*"))/100</f>
        <v>0.995</v>
      </c>
      <c r="E29" s="12">
        <f>(SUMIFS('Raw Data'!$L:$L,'Raw Data'!$B:$B,$B$2,'Raw Data'!$J:$J,E$2,'Raw Data'!$K:$K,"native",'Raw Data'!$H:$H,"Purchases",'Raw Data'!$I:$I,"Non-QR Purchases",'Raw Data'!$M:$M,"percent",'Raw Data'!$F:$F,"Number*"))/100</f>
        <v>0.995</v>
      </c>
      <c r="F29" s="12">
        <f>(SUMIFS('Raw Data'!$L:$L,'Raw Data'!$B:$B,$B$2,'Raw Data'!$J:$J,F$2,'Raw Data'!$K:$K,"native",'Raw Data'!$H:$H,"Purchases",'Raw Data'!$I:$I,"Non-QR Purchases",'Raw Data'!$M:$M,"percent",'Raw Data'!$F:$F,"Number*"))/100</f>
        <v>0.995</v>
      </c>
      <c r="G29" s="12">
        <f>(SUMIFS('Raw Data'!$L:$L,'Raw Data'!$B:$B,$B$2,'Raw Data'!$J:$J,G$2,'Raw Data'!$K:$K,"native",'Raw Data'!$H:$H,"Purchases",'Raw Data'!$I:$I,"Non-QR Purchases",'Raw Data'!$M:$M,"percent",'Raw Data'!$F:$F,"Number*"))/100</f>
        <v>0.995</v>
      </c>
      <c r="H29" s="12">
        <f>(SUMIFS('Raw Data'!$L:$L,'Raw Data'!$B:$B,$B$2,'Raw Data'!$J:$J,H$2,'Raw Data'!$K:$K,"native",'Raw Data'!$H:$H,"Purchases",'Raw Data'!$I:$I,"Non-QR Purchases",'Raw Data'!$M:$M,"percent",'Raw Data'!$F:$F,"Number*"))/100</f>
        <v>0.99400000000000011</v>
      </c>
      <c r="I29" s="12">
        <f>(SUMIFS('Raw Data'!$L:$L,'Raw Data'!$B:$B,$B$2,'Raw Data'!$J:$J,I$2,'Raw Data'!$K:$K,"native",'Raw Data'!$H:$H,"Purchases",'Raw Data'!$I:$I,"Non-QR Purchases",'Raw Data'!$M:$M,"percent",'Raw Data'!$F:$F,"Number*"))/100</f>
        <v>0.99400000000000011</v>
      </c>
      <c r="J29" s="12">
        <f>(SUMIFS('Raw Data'!$L:$L,'Raw Data'!$B:$B,$B$2,'Raw Data'!$J:$J,J$2,'Raw Data'!$K:$K,"native",'Raw Data'!$H:$H,"Purchases",'Raw Data'!$I:$I,"Non-QR Purchases",'Raw Data'!$M:$M,"percent",'Raw Data'!$F:$F,"Number*"))/100</f>
        <v>0.99299999999999999</v>
      </c>
      <c r="K29" s="12">
        <f>(SUMIFS('Raw Data'!$L:$L,'Raw Data'!$B:$B,$B$2,'Raw Data'!$J:$J,K$2,'Raw Data'!$K:$K,"native",'Raw Data'!$H:$H,"Purchases",'Raw Data'!$I:$I,"Non-QR Purchases",'Raw Data'!$M:$M,"percent",'Raw Data'!$F:$F,"Number*"))/100</f>
        <v>0.99299999999999999</v>
      </c>
      <c r="L29" s="12">
        <f>(SUMIFS('Raw Data'!$L:$L,'Raw Data'!$B:$B,$B$2,'Raw Data'!$J:$J,L$2,'Raw Data'!$K:$K,"native",'Raw Data'!$H:$H,"Purchases",'Raw Data'!$I:$I,"Non-QR Purchases",'Raw Data'!$M:$M,"percent",'Raw Data'!$F:$F,"Number*"))/100</f>
        <v>0.99199999999999999</v>
      </c>
      <c r="M29" s="12">
        <f>(SUMIFS('Raw Data'!$L:$L,'Raw Data'!$B:$B,$B$2,'Raw Data'!$J:$J,M$2,'Raw Data'!$K:$K,"native",'Raw Data'!$H:$H,"Purchases",'Raw Data'!$I:$I,"Non-QR Purchases",'Raw Data'!$M:$M,"percent",'Raw Data'!$F:$F,"Number*"))/100</f>
        <v>0.99299999999999999</v>
      </c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>
        <f>(SUMIFS('Raw Data'!$L:$L,'Raw Data'!$B:$B,$B$2,'Raw Data'!$J:$J,Z$2,'Raw Data'!$K:$K,"native",'Raw Data'!$H:$H,"Purchases",'Raw Data'!$I:$I,"Non-QR Purchases",'Raw Data'!$M:$M,"percent",'Raw Data'!$F:$F,"Number*"))/100</f>
        <v>0.99199999999999999</v>
      </c>
    </row>
    <row r="30" spans="1:26" x14ac:dyDescent="0.25">
      <c r="A30" s="10" t="s">
        <v>82</v>
      </c>
      <c r="B30" s="10" t="s">
        <v>90</v>
      </c>
      <c r="C30" s="12">
        <f>(SUMIFS('Raw Data'!$L:$L,'Raw Data'!$B:$B,$B$2,'Raw Data'!$J:$J,C$2,'Raw Data'!$K:$K,"native",'Raw Data'!$H:$H,"Purchases",'Raw Data'!$I:$I,"QR Purchases",'Raw Data'!$M:$M,"percent",'Raw Data'!$F:$F,"Number*"))/100</f>
        <v>5.0000000000000001E-3</v>
      </c>
      <c r="D30" s="12">
        <f>(SUMIFS('Raw Data'!$L:$L,'Raw Data'!$B:$B,$B$2,'Raw Data'!$J:$J,D$2,'Raw Data'!$K:$K,"native",'Raw Data'!$H:$H,"Purchases",'Raw Data'!$I:$I,"QR Purchases",'Raw Data'!$M:$M,"percent",'Raw Data'!$F:$F,"Number*"))/100</f>
        <v>5.0000000000000001E-3</v>
      </c>
      <c r="E30" s="12">
        <f>(SUMIFS('Raw Data'!$L:$L,'Raw Data'!$B:$B,$B$2,'Raw Data'!$J:$J,E$2,'Raw Data'!$K:$K,"native",'Raw Data'!$H:$H,"Purchases",'Raw Data'!$I:$I,"QR Purchases",'Raw Data'!$M:$M,"percent",'Raw Data'!$F:$F,"Number*"))/100</f>
        <v>5.0000000000000001E-3</v>
      </c>
      <c r="F30" s="12">
        <f>(SUMIFS('Raw Data'!$L:$L,'Raw Data'!$B:$B,$B$2,'Raw Data'!$J:$J,F$2,'Raw Data'!$K:$K,"native",'Raw Data'!$H:$H,"Purchases",'Raw Data'!$I:$I,"QR Purchases",'Raw Data'!$M:$M,"percent",'Raw Data'!$F:$F,"Number*"))/100</f>
        <v>5.0000000000000001E-3</v>
      </c>
      <c r="G30" s="12">
        <f>(SUMIFS('Raw Data'!$L:$L,'Raw Data'!$B:$B,$B$2,'Raw Data'!$J:$J,G$2,'Raw Data'!$K:$K,"native",'Raw Data'!$H:$H,"Purchases",'Raw Data'!$I:$I,"QR Purchases",'Raw Data'!$M:$M,"percent",'Raw Data'!$F:$F,"Number*"))/100</f>
        <v>5.0000000000000001E-3</v>
      </c>
      <c r="H30" s="12">
        <f>(SUMIFS('Raw Data'!$L:$L,'Raw Data'!$B:$B,$B$2,'Raw Data'!$J:$J,H$2,'Raw Data'!$K:$K,"native",'Raw Data'!$H:$H,"Purchases",'Raw Data'!$I:$I,"QR Purchases",'Raw Data'!$M:$M,"percent",'Raw Data'!$F:$F,"Number*"))/100</f>
        <v>6.0000000000000001E-3</v>
      </c>
      <c r="I30" s="12">
        <f>(SUMIFS('Raw Data'!$L:$L,'Raw Data'!$B:$B,$B$2,'Raw Data'!$J:$J,I$2,'Raw Data'!$K:$K,"native",'Raw Data'!$H:$H,"Purchases",'Raw Data'!$I:$I,"QR Purchases",'Raw Data'!$M:$M,"percent",'Raw Data'!$F:$F,"Number*"))/100</f>
        <v>6.0000000000000001E-3</v>
      </c>
      <c r="J30" s="12">
        <f>(SUMIFS('Raw Data'!$L:$L,'Raw Data'!$B:$B,$B$2,'Raw Data'!$J:$J,J$2,'Raw Data'!$K:$K,"native",'Raw Data'!$H:$H,"Purchases",'Raw Data'!$I:$I,"QR Purchases",'Raw Data'!$M:$M,"percent",'Raw Data'!$F:$F,"Number*"))/100</f>
        <v>6.9999999999999993E-3</v>
      </c>
      <c r="K30" s="12">
        <f>(SUMIFS('Raw Data'!$L:$L,'Raw Data'!$B:$B,$B$2,'Raw Data'!$J:$J,K$2,'Raw Data'!$K:$K,"native",'Raw Data'!$H:$H,"Purchases",'Raw Data'!$I:$I,"QR Purchases",'Raw Data'!$M:$M,"percent",'Raw Data'!$F:$F,"Number*"))/100</f>
        <v>6.9999999999999993E-3</v>
      </c>
      <c r="L30" s="12">
        <f>(SUMIFS('Raw Data'!$L:$L,'Raw Data'!$B:$B,$B$2,'Raw Data'!$J:$J,L$2,'Raw Data'!$K:$K,"native",'Raw Data'!$H:$H,"Purchases",'Raw Data'!$I:$I,"QR Purchases",'Raw Data'!$M:$M,"percent",'Raw Data'!$F:$F,"Number*"))/100</f>
        <v>8.0000000000000002E-3</v>
      </c>
      <c r="M30" s="12">
        <f>(SUMIFS('Raw Data'!$L:$L,'Raw Data'!$B:$B,$B$2,'Raw Data'!$J:$J,M$2,'Raw Data'!$K:$K,"native",'Raw Data'!$H:$H,"Purchases",'Raw Data'!$I:$I,"QR Purchases",'Raw Data'!$M:$M,"percent",'Raw Data'!$F:$F,"Number*"))/100</f>
        <v>6.9999999999999993E-3</v>
      </c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>
        <f>(SUMIFS('Raw Data'!$L:$L,'Raw Data'!$B:$B,$B$2,'Raw Data'!$J:$J,Z$2,'Raw Data'!$K:$K,"native",'Raw Data'!$H:$H,"Purchases",'Raw Data'!$I:$I,"QR Purchases",'Raw Data'!$M:$M,"percent",'Raw Data'!$F:$F,"Number*"))/100</f>
        <v>8.0000000000000002E-3</v>
      </c>
    </row>
    <row r="31" spans="1:26" x14ac:dyDescent="0.25">
      <c r="A31" s="53" t="s">
        <v>91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x14ac:dyDescent="0.25">
      <c r="A32" s="10" t="s">
        <v>82</v>
      </c>
      <c r="B32" s="10" t="s">
        <v>83</v>
      </c>
      <c r="C32" s="11">
        <f>SUMIFS('Raw Data'!$L:$L,'Raw Data'!$B:$B,$B$2,'Raw Data'!$J:$J,C$2,'Raw Data'!$K:$K,"native",'Raw Data'!$H:$H,"Money Transfers",'Raw Data'!$I:$I,"",'Raw Data'!$M:$M,"JOD")</f>
        <v>936100000</v>
      </c>
      <c r="D32" s="11">
        <f>SUMIFS('Raw Data'!$L:$L,'Raw Data'!$B:$B,$B$2,'Raw Data'!$J:$J,D$2,'Raw Data'!$K:$K,"native",'Raw Data'!$H:$H,"Money Transfers",'Raw Data'!$I:$I,"",'Raw Data'!$M:$M,"JOD")</f>
        <v>992600000</v>
      </c>
      <c r="E32" s="11">
        <f>SUMIFS('Raw Data'!$L:$L,'Raw Data'!$B:$B,$B$2,'Raw Data'!$J:$J,E$2,'Raw Data'!$K:$K,"native",'Raw Data'!$H:$H,"Money Transfers",'Raw Data'!$I:$I,"",'Raw Data'!$M:$M,"JOD")</f>
        <v>954200000</v>
      </c>
      <c r="F32" s="11">
        <f>SUMIFS('Raw Data'!$L:$L,'Raw Data'!$B:$B,$B$2,'Raw Data'!$J:$J,F$2,'Raw Data'!$K:$K,"native",'Raw Data'!$H:$H,"Money Transfers",'Raw Data'!$I:$I,"",'Raw Data'!$M:$M,"JOD")</f>
        <v>1080000000</v>
      </c>
      <c r="G32" s="11">
        <f>SUMIFS('Raw Data'!$L:$L,'Raw Data'!$B:$B,$B$2,'Raw Data'!$J:$J,G$2,'Raw Data'!$K:$K,"native",'Raw Data'!$H:$H,"Money Transfers",'Raw Data'!$I:$I,"",'Raw Data'!$M:$M,"JOD")</f>
        <v>1080000000</v>
      </c>
      <c r="H32" s="11">
        <f>SUMIFS('Raw Data'!$L:$L,'Raw Data'!$B:$B,$B$2,'Raw Data'!$J:$J,H$2,'Raw Data'!$K:$K,"native",'Raw Data'!$H:$H,"Money Transfers",'Raw Data'!$I:$I,"",'Raw Data'!$M:$M,"JOD")</f>
        <v>1030000000</v>
      </c>
      <c r="I32" s="11">
        <f>SUMIFS('Raw Data'!$L:$L,'Raw Data'!$B:$B,$B$2,'Raw Data'!$J:$J,I$2,'Raw Data'!$K:$K,"native",'Raw Data'!$H:$H,"Money Transfers",'Raw Data'!$I:$I,"",'Raw Data'!$M:$M,"JOD")</f>
        <v>1260000000</v>
      </c>
      <c r="J32" s="11">
        <f>SUMIFS('Raw Data'!$L:$L,'Raw Data'!$B:$B,$B$2,'Raw Data'!$J:$J,J$2,'Raw Data'!$K:$K,"native",'Raw Data'!$H:$H,"Money Transfers",'Raw Data'!$I:$I,"",'Raw Data'!$M:$M,"JOD")</f>
        <v>1170000000</v>
      </c>
      <c r="K32" s="11">
        <f>SUMIFS('Raw Data'!$L:$L,'Raw Data'!$B:$B,$B$2,'Raw Data'!$J:$J,K$2,'Raw Data'!$K:$K,"native",'Raw Data'!$H:$H,"Money Transfers",'Raw Data'!$I:$I,"",'Raw Data'!$M:$M,"JOD")</f>
        <v>1290000000</v>
      </c>
      <c r="L32" s="11">
        <f>SUMIFS('Raw Data'!$L:$L,'Raw Data'!$B:$B,$B$2,'Raw Data'!$J:$J,L$2,'Raw Data'!$K:$K,"native",'Raw Data'!$H:$H,"Money Transfers",'Raw Data'!$I:$I,"",'Raw Data'!$M:$M,"JOD")</f>
        <v>1260000000</v>
      </c>
      <c r="M32" s="11">
        <f>SUMIFS('Raw Data'!$L:$L,'Raw Data'!$B:$B,$B$2,'Raw Data'!$J:$J,M$2,'Raw Data'!$K:$K,"native",'Raw Data'!$H:$H,"Money Transfers",'Raw Data'!$I:$I,"",'Raw Data'!$M:$M,"JOD")</f>
        <v>1400000000</v>
      </c>
      <c r="N32" s="11">
        <f>SUMIFS('Raw Data'!$L:$L,'Raw Data'!$B:$B,$B$2,'Raw Data'!$J:$J,N$2,'Raw Data'!$K:$K,"native",'Raw Data'!$H:$H,"Money Transfers",'Raw Data'!$I:$I,"",'Raw Data'!$M:$M,"JOD")</f>
        <v>1350000000</v>
      </c>
      <c r="O32" s="11">
        <f>SUMIFS('Raw Data'!$L:$L,'Raw Data'!$B:$B,$B$2,'Raw Data'!$J:$J,O$2,'Raw Data'!$K:$K,"native",'Raw Data'!$H:$H,"Money Transfers",'Raw Data'!$I:$I,"",'Raw Data'!$M:$M,"JOD")</f>
        <v>1330000000</v>
      </c>
      <c r="P32" s="11">
        <f>SUMIFS('Raw Data'!$L:$L,'Raw Data'!$B:$B,$B$2,'Raw Data'!$J:$J,P$2,'Raw Data'!$K:$K,"native",'Raw Data'!$H:$H,"Money Transfers",'Raw Data'!$I:$I,"",'Raw Data'!$M:$M,"JOD")</f>
        <v>1350000000</v>
      </c>
      <c r="Q32" s="11">
        <f>SUMIFS('Raw Data'!$L:$L,'Raw Data'!$B:$B,$B$2,'Raw Data'!$J:$J,Q$2,'Raw Data'!$K:$K,"native",'Raw Data'!$H:$H,"Money Transfers",'Raw Data'!$I:$I,"",'Raw Data'!$M:$M,"JOD")</f>
        <v>1270000000</v>
      </c>
      <c r="R32" s="11">
        <f>SUMIFS('Raw Data'!$L:$L,'Raw Data'!$B:$B,$B$2,'Raw Data'!$J:$J,R$2,'Raw Data'!$K:$K,"native",'Raw Data'!$H:$H,"Money Transfers",'Raw Data'!$I:$I,"",'Raw Data'!$M:$M,"JOD")</f>
        <v>1380000000</v>
      </c>
      <c r="S32" s="11">
        <f>SUMIFS('Raw Data'!$L:$L,'Raw Data'!$B:$B,$B$2,'Raw Data'!$J:$J,S$2,'Raw Data'!$K:$K,"native",'Raw Data'!$H:$H,"Money Transfers",'Raw Data'!$I:$I,"",'Raw Data'!$M:$M,"JOD")</f>
        <v>1390000000</v>
      </c>
      <c r="T32" s="11">
        <f>SUMIFS('Raw Data'!$L:$L,'Raw Data'!$B:$B,$B$2,'Raw Data'!$J:$J,T$2,'Raw Data'!$K:$K,"native",'Raw Data'!$H:$H,"Money Transfers",'Raw Data'!$I:$I,"",'Raw Data'!$M:$M,"JOD")</f>
        <v>1330000000</v>
      </c>
      <c r="U32" s="11">
        <f>SUMIFS('Raw Data'!$L:$L,'Raw Data'!$B:$B,$B$2,'Raw Data'!$J:$J,U$2,'Raw Data'!$K:$K,"native",'Raw Data'!$H:$H,"Money Transfers",'Raw Data'!$I:$I,"",'Raw Data'!$M:$M,"JOD")</f>
        <v>1510000000</v>
      </c>
      <c r="V32" s="11">
        <f>SUMIFS('Raw Data'!$L:$L,'Raw Data'!$B:$B,$B$2,'Raw Data'!$J:$J,V$2,'Raw Data'!$K:$K,"native",'Raw Data'!$H:$H,"Money Transfers",'Raw Data'!$I:$I,"",'Raw Data'!$M:$M,"JOD")</f>
        <v>1380000000</v>
      </c>
      <c r="W32" s="11">
        <f>SUMIFS('Raw Data'!$L:$L,'Raw Data'!$B:$B,$B$2,'Raw Data'!$J:$J,W$2,'Raw Data'!$K:$K,"native",'Raw Data'!$H:$H,"Money Transfers",'Raw Data'!$I:$I,"",'Raw Data'!$M:$M,"JOD")</f>
        <v>1560000000</v>
      </c>
      <c r="X32" s="11">
        <f>SUMIFS('Raw Data'!$L:$L,'Raw Data'!$B:$B,$B$2,'Raw Data'!$J:$J,X$2,'Raw Data'!$K:$K,"native",'Raw Data'!$H:$H,"Money Transfers",'Raw Data'!$I:$I,"",'Raw Data'!$M:$M,"JOD")</f>
        <v>1540000000</v>
      </c>
      <c r="Y32" s="11">
        <f>SUMIFS('Raw Data'!$L:$L,'Raw Data'!$B:$B,$B$2,'Raw Data'!$J:$J,Y$2,'Raw Data'!$K:$K,"native",'Raw Data'!$H:$H,"Money Transfers",'Raw Data'!$I:$I,"",'Raw Data'!$M:$M,"JOD")</f>
        <v>1670000000</v>
      </c>
      <c r="Z32" s="11">
        <f>SUMIFS('Raw Data'!$L:$L,'Raw Data'!$B:$B,$B$2,'Raw Data'!$J:$J,Z$2,'Raw Data'!$K:$K,"native",'Raw Data'!$H:$H,"Money Transfers",'Raw Data'!$I:$I,"",'Raw Data'!$M:$M,"JOD")</f>
        <v>1730000000</v>
      </c>
    </row>
    <row r="33" spans="1:26" x14ac:dyDescent="0.25">
      <c r="A33" s="10" t="s">
        <v>82</v>
      </c>
      <c r="B33" s="10" t="s">
        <v>84</v>
      </c>
      <c r="C33" s="11">
        <f>SUMIFS('Raw Data'!$L:$L,'Raw Data'!$B:$B,$B$2,'Raw Data'!$J:$J,C$2,'Raw Data'!$K:$K,"native",'Raw Data'!$H:$H,"Purchases",'Raw Data'!$I:$I,"",'Raw Data'!$M:$M,"JOD")</f>
        <v>208200000</v>
      </c>
      <c r="D33" s="11">
        <f>SUMIFS('Raw Data'!$L:$L,'Raw Data'!$B:$B,$B$2,'Raw Data'!$J:$J,D$2,'Raw Data'!$K:$K,"native",'Raw Data'!$H:$H,"Purchases",'Raw Data'!$I:$I,"",'Raw Data'!$M:$M,"JOD")</f>
        <v>227200000</v>
      </c>
      <c r="E33" s="11">
        <f>SUMIFS('Raw Data'!$L:$L,'Raw Data'!$B:$B,$B$2,'Raw Data'!$J:$J,E$2,'Raw Data'!$K:$K,"native",'Raw Data'!$H:$H,"Purchases",'Raw Data'!$I:$I,"",'Raw Data'!$M:$M,"JOD")</f>
        <v>220900000</v>
      </c>
      <c r="F33" s="11">
        <f>SUMIFS('Raw Data'!$L:$L,'Raw Data'!$B:$B,$B$2,'Raw Data'!$J:$J,F$2,'Raw Data'!$K:$K,"native",'Raw Data'!$H:$H,"Purchases",'Raw Data'!$I:$I,"",'Raw Data'!$M:$M,"JOD")</f>
        <v>253700000</v>
      </c>
      <c r="G33" s="11">
        <f>SUMIFS('Raw Data'!$L:$L,'Raw Data'!$B:$B,$B$2,'Raw Data'!$J:$J,G$2,'Raw Data'!$K:$K,"native",'Raw Data'!$H:$H,"Purchases",'Raw Data'!$I:$I,"",'Raw Data'!$M:$M,"JOD")</f>
        <v>259000000</v>
      </c>
      <c r="H33" s="11">
        <f>SUMIFS('Raw Data'!$L:$L,'Raw Data'!$B:$B,$B$2,'Raw Data'!$J:$J,H$2,'Raw Data'!$K:$K,"native",'Raw Data'!$H:$H,"Purchases",'Raw Data'!$I:$I,"",'Raw Data'!$M:$M,"JOD")</f>
        <v>248700000</v>
      </c>
      <c r="I33" s="11">
        <f>SUMIFS('Raw Data'!$L:$L,'Raw Data'!$B:$B,$B$2,'Raw Data'!$J:$J,I$2,'Raw Data'!$K:$K,"native",'Raw Data'!$H:$H,"Purchases",'Raw Data'!$I:$I,"",'Raw Data'!$M:$M,"JOD")</f>
        <v>300140000</v>
      </c>
      <c r="J33" s="11">
        <f>SUMIFS('Raw Data'!$L:$L,'Raw Data'!$B:$B,$B$2,'Raw Data'!$J:$J,J$2,'Raw Data'!$K:$K,"native",'Raw Data'!$H:$H,"Purchases",'Raw Data'!$I:$I,"",'Raw Data'!$M:$M,"JOD")</f>
        <v>312800000</v>
      </c>
      <c r="K33" s="11">
        <f>SUMIFS('Raw Data'!$L:$L,'Raw Data'!$B:$B,$B$2,'Raw Data'!$J:$J,K$2,'Raw Data'!$K:$K,"native",'Raw Data'!$H:$H,"Purchases",'Raw Data'!$I:$I,"",'Raw Data'!$M:$M,"JOD")</f>
        <v>341600000</v>
      </c>
      <c r="L33" s="11">
        <f>SUMIFS('Raw Data'!$L:$L,'Raw Data'!$B:$B,$B$2,'Raw Data'!$J:$J,L$2,'Raw Data'!$K:$K,"native",'Raw Data'!$H:$H,"Purchases",'Raw Data'!$I:$I,"",'Raw Data'!$M:$M,"JOD")</f>
        <v>339200000</v>
      </c>
      <c r="M33" s="11">
        <f>SUMIFS('Raw Data'!$L:$L,'Raw Data'!$B:$B,$B$2,'Raw Data'!$J:$J,M$2,'Raw Data'!$K:$K,"native",'Raw Data'!$H:$H,"Purchases",'Raw Data'!$I:$I,"",'Raw Data'!$M:$M,"JOD")</f>
        <v>458400000</v>
      </c>
      <c r="N33" s="11">
        <f>SUMIFS('Raw Data'!$L:$L,'Raw Data'!$B:$B,$B$2,'Raw Data'!$J:$J,N$2,'Raw Data'!$K:$K,"native",'Raw Data'!$H:$H,"Purchases",'Raw Data'!$I:$I,"",'Raw Data'!$M:$M,"JOD")</f>
        <v>530800000</v>
      </c>
      <c r="O33" s="11">
        <f>SUMIFS('Raw Data'!$L:$L,'Raw Data'!$B:$B,$B$2,'Raw Data'!$J:$J,O$2,'Raw Data'!$K:$K,"native",'Raw Data'!$H:$H,"Purchases",'Raw Data'!$I:$I,"",'Raw Data'!$M:$M,"JOD")</f>
        <v>533100000</v>
      </c>
      <c r="P33" s="11">
        <f>SUMIFS('Raw Data'!$L:$L,'Raw Data'!$B:$B,$B$2,'Raw Data'!$J:$J,P$2,'Raw Data'!$K:$K,"native",'Raw Data'!$H:$H,"Purchases",'Raw Data'!$I:$I,"",'Raw Data'!$M:$M,"JOD")</f>
        <v>506200000</v>
      </c>
      <c r="Q33" s="11">
        <f>SUMIFS('Raw Data'!$L:$L,'Raw Data'!$B:$B,$B$2,'Raw Data'!$J:$J,Q$2,'Raw Data'!$K:$K,"native",'Raw Data'!$H:$H,"Purchases",'Raw Data'!$I:$I,"",'Raw Data'!$M:$M,"JOD")</f>
        <v>462500000</v>
      </c>
      <c r="R33" s="11">
        <f>SUMIFS('Raw Data'!$L:$L,'Raw Data'!$B:$B,$B$2,'Raw Data'!$J:$J,R$2,'Raw Data'!$K:$K,"native",'Raw Data'!$H:$H,"Purchases",'Raw Data'!$I:$I,"",'Raw Data'!$M:$M,"JOD")</f>
        <v>498500000</v>
      </c>
      <c r="S33" s="11">
        <f>SUMIFS('Raw Data'!$L:$L,'Raw Data'!$B:$B,$B$2,'Raw Data'!$J:$J,S$2,'Raw Data'!$K:$K,"native",'Raw Data'!$H:$H,"Purchases",'Raw Data'!$I:$I,"",'Raw Data'!$M:$M,"JOD")</f>
        <v>505100000</v>
      </c>
      <c r="T33" s="11">
        <f>SUMIFS('Raw Data'!$L:$L,'Raw Data'!$B:$B,$B$2,'Raw Data'!$J:$J,T$2,'Raw Data'!$K:$K,"native",'Raw Data'!$H:$H,"Purchases",'Raw Data'!$I:$I,"",'Raw Data'!$M:$M,"JOD")</f>
        <v>464200000</v>
      </c>
      <c r="U33" s="11">
        <f>SUMIFS('Raw Data'!$L:$L,'Raw Data'!$B:$B,$B$2,'Raw Data'!$J:$J,U$2,'Raw Data'!$K:$K,"native",'Raw Data'!$H:$H,"Purchases",'Raw Data'!$I:$I,"",'Raw Data'!$M:$M,"JOD")</f>
        <v>510700000</v>
      </c>
      <c r="V33" s="11">
        <f>SUMIFS('Raw Data'!$L:$L,'Raw Data'!$B:$B,$B$2,'Raw Data'!$J:$J,V$2,'Raw Data'!$K:$K,"native",'Raw Data'!$H:$H,"Purchases",'Raw Data'!$I:$I,"",'Raw Data'!$M:$M,"JOD")</f>
        <v>504900000</v>
      </c>
      <c r="W33" s="11">
        <f>SUMIFS('Raw Data'!$L:$L,'Raw Data'!$B:$B,$B$2,'Raw Data'!$J:$J,W$2,'Raw Data'!$K:$K,"native",'Raw Data'!$H:$H,"Purchases",'Raw Data'!$I:$I,"",'Raw Data'!$M:$M,"JOD")</f>
        <v>572500000</v>
      </c>
      <c r="X33" s="11">
        <f>SUMIFS('Raw Data'!$L:$L,'Raw Data'!$B:$B,$B$2,'Raw Data'!$J:$J,X$2,'Raw Data'!$K:$K,"native",'Raw Data'!$H:$H,"Purchases",'Raw Data'!$I:$I,"",'Raw Data'!$M:$M,"JOD")</f>
        <v>609500000</v>
      </c>
      <c r="Y33" s="11">
        <f>SUMIFS('Raw Data'!$L:$L,'Raw Data'!$B:$B,$B$2,'Raw Data'!$J:$J,Y$2,'Raw Data'!$K:$K,"native",'Raw Data'!$H:$H,"Purchases",'Raw Data'!$I:$I,"",'Raw Data'!$M:$M,"JOD")</f>
        <v>664300000</v>
      </c>
      <c r="Z33" s="11">
        <f>SUMIFS('Raw Data'!$L:$L,'Raw Data'!$B:$B,$B$2,'Raw Data'!$J:$J,Z$2,'Raw Data'!$K:$K,"native",'Raw Data'!$H:$H,"Purchases",'Raw Data'!$I:$I,"",'Raw Data'!$M:$M,"JOD")</f>
        <v>694700000</v>
      </c>
    </row>
    <row r="34" spans="1:26" x14ac:dyDescent="0.25">
      <c r="A34" s="53" t="s">
        <v>85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x14ac:dyDescent="0.25">
      <c r="A35" s="10" t="s">
        <v>82</v>
      </c>
      <c r="B35" s="10" t="s">
        <v>86</v>
      </c>
      <c r="C35" s="12">
        <f>(SUMIFS('Raw Data'!$L:$L,'Raw Data'!$B:$B,$B$2,'Raw Data'!$J:$J,C$2,'Raw Data'!$K:$K,"native",'Raw Data'!$H:$H,"Money Transfers",'Raw Data'!$I:$I,"Other",'Raw Data'!$M:$M,"percent",'Raw Data'!$F:$F,"Value*"))/100</f>
        <v>5.2999999999999999E-2</v>
      </c>
      <c r="D35" s="12">
        <f>(SUMIFS('Raw Data'!$L:$L,'Raw Data'!$B:$B,$B$2,'Raw Data'!$J:$J,D$2,'Raw Data'!$K:$K,"native",'Raw Data'!$H:$H,"Money Transfers",'Raw Data'!$I:$I,"Other",'Raw Data'!$M:$M,"percent",'Raw Data'!$F:$F,"Value*"))/100</f>
        <v>5.5999999999999994E-2</v>
      </c>
      <c r="E35" s="12">
        <f>(SUMIFS('Raw Data'!$L:$L,'Raw Data'!$B:$B,$B$2,'Raw Data'!$J:$J,E$2,'Raw Data'!$K:$K,"native",'Raw Data'!$H:$H,"Money Transfers",'Raw Data'!$I:$I,"Other",'Raw Data'!$M:$M,"percent",'Raw Data'!$F:$F,"Value*"))/100</f>
        <v>5.6799999999999996E-2</v>
      </c>
      <c r="F35" s="12">
        <f>(SUMIFS('Raw Data'!$L:$L,'Raw Data'!$B:$B,$B$2,'Raw Data'!$J:$J,F$2,'Raw Data'!$K:$K,"native",'Raw Data'!$H:$H,"Money Transfers",'Raw Data'!$I:$I,"Other",'Raw Data'!$M:$M,"percent",'Raw Data'!$F:$F,"Value*"))/100</f>
        <v>5.7200000000000001E-2</v>
      </c>
      <c r="G35" s="12">
        <f>(SUMIFS('Raw Data'!$L:$L,'Raw Data'!$B:$B,$B$2,'Raw Data'!$J:$J,G$2,'Raw Data'!$K:$K,"native",'Raw Data'!$H:$H,"Money Transfers",'Raw Data'!$I:$I,"Other",'Raw Data'!$M:$M,"percent",'Raw Data'!$F:$F,"Value*"))/100</f>
        <v>5.7000000000000002E-2</v>
      </c>
      <c r="H35" s="12">
        <f>(SUMIFS('Raw Data'!$L:$L,'Raw Data'!$B:$B,$B$2,'Raw Data'!$J:$J,H$2,'Raw Data'!$K:$K,"native",'Raw Data'!$H:$H,"Money Transfers",'Raw Data'!$I:$I,"Other",'Raw Data'!$M:$M,"percent",'Raw Data'!$F:$F,"Value*"))/100</f>
        <v>5.7999999999999996E-2</v>
      </c>
      <c r="I35" s="12">
        <f>(SUMIFS('Raw Data'!$L:$L,'Raw Data'!$B:$B,$B$2,'Raw Data'!$J:$J,I$2,'Raw Data'!$K:$K,"native",'Raw Data'!$H:$H,"Money Transfers",'Raw Data'!$I:$I,"Other",'Raw Data'!$M:$M,"percent",'Raw Data'!$F:$F,"Value*"))/100</f>
        <v>0.06</v>
      </c>
      <c r="J35" s="12">
        <f>(SUMIFS('Raw Data'!$L:$L,'Raw Data'!$B:$B,$B$2,'Raw Data'!$J:$J,J$2,'Raw Data'!$K:$K,"native",'Raw Data'!$H:$H,"Money Transfers",'Raw Data'!$I:$I,"Other",'Raw Data'!$M:$M,"percent",'Raw Data'!$F:$F,"Value*"))/100</f>
        <v>5.5E-2</v>
      </c>
      <c r="K35" s="12">
        <f>(SUMIFS('Raw Data'!$L:$L,'Raw Data'!$B:$B,$B$2,'Raw Data'!$J:$J,K$2,'Raw Data'!$K:$K,"native",'Raw Data'!$H:$H,"Money Transfers",'Raw Data'!$I:$I,"Other",'Raw Data'!$M:$M,"percent",'Raw Data'!$F:$F,"Value*"))/100</f>
        <v>5.2000000000000005E-2</v>
      </c>
      <c r="L35" s="12">
        <f>(SUMIFS('Raw Data'!$L:$L,'Raw Data'!$B:$B,$B$2,'Raw Data'!$J:$J,L$2,'Raw Data'!$K:$K,"native",'Raw Data'!$H:$H,"Money Transfers",'Raw Data'!$I:$I,"Other",'Raw Data'!$M:$M,"percent",'Raw Data'!$F:$F,"Value*"))/100</f>
        <v>4.0999999999999995E-2</v>
      </c>
      <c r="M35" s="12">
        <f>(SUMIFS('Raw Data'!$L:$L,'Raw Data'!$B:$B,$B$2,'Raw Data'!$J:$J,M$2,'Raw Data'!$K:$K,"native",'Raw Data'!$H:$H,"Money Transfers",'Raw Data'!$I:$I,"Other",'Raw Data'!$M:$M,"percent",'Raw Data'!$F:$F,"Value*"))/100</f>
        <v>0.03</v>
      </c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>
        <f>(SUMIFS('Raw Data'!$L:$L,'Raw Data'!$B:$B,$B$2,'Raw Data'!$J:$J,Z$2,'Raw Data'!$K:$K,"native",'Raw Data'!$H:$H,"Money Transfers",'Raw Data'!$I:$I,"Other",'Raw Data'!$M:$M,"percent",'Raw Data'!$F:$F,"Value*"))/100</f>
        <v>5.9000000000000004E-2</v>
      </c>
    </row>
    <row r="36" spans="1:26" x14ac:dyDescent="0.25">
      <c r="A36" s="10" t="s">
        <v>82</v>
      </c>
      <c r="B36" s="10" t="s">
        <v>87</v>
      </c>
      <c r="C36" s="12">
        <f>(SUMIFS('Raw Data'!$L:$L,'Raw Data'!$B:$B,$B$2,'Raw Data'!$J:$J,C$2,'Raw Data'!$K:$K,"native",'Raw Data'!$H:$H,"Money Transfers",'Raw Data'!$I:$I,"Transfer to Family/Friends",'Raw Data'!$M:$M,"percent",'Raw Data'!$F:$F,"Value*"))/100</f>
        <v>0.73799999999999999</v>
      </c>
      <c r="D36" s="12">
        <f>(SUMIFS('Raw Data'!$L:$L,'Raw Data'!$B:$B,$B$2,'Raw Data'!$J:$J,D$2,'Raw Data'!$K:$K,"native",'Raw Data'!$H:$H,"Money Transfers",'Raw Data'!$I:$I,"Transfer to Family/Friends",'Raw Data'!$M:$M,"percent",'Raw Data'!$F:$F,"Value*"))/100</f>
        <v>0.73099999999999998</v>
      </c>
      <c r="E36" s="12">
        <f>(SUMIFS('Raw Data'!$L:$L,'Raw Data'!$B:$B,$B$2,'Raw Data'!$J:$J,E$2,'Raw Data'!$K:$K,"native",'Raw Data'!$H:$H,"Money Transfers",'Raw Data'!$I:$I,"Transfer to Family/Friends",'Raw Data'!$M:$M,"percent",'Raw Data'!$F:$F,"Value*"))/100</f>
        <v>0.72860000000000003</v>
      </c>
      <c r="F36" s="12">
        <f>(SUMIFS('Raw Data'!$L:$L,'Raw Data'!$B:$B,$B$2,'Raw Data'!$J:$J,F$2,'Raw Data'!$K:$K,"native",'Raw Data'!$H:$H,"Money Transfers",'Raw Data'!$I:$I,"Transfer to Family/Friends",'Raw Data'!$M:$M,"percent",'Raw Data'!$F:$F,"Value*"))/100</f>
        <v>0.72150000000000003</v>
      </c>
      <c r="G36" s="12">
        <f>(SUMIFS('Raw Data'!$L:$L,'Raw Data'!$B:$B,$B$2,'Raw Data'!$J:$J,G$2,'Raw Data'!$K:$K,"native",'Raw Data'!$H:$H,"Money Transfers",'Raw Data'!$I:$I,"Transfer to Family/Friends",'Raw Data'!$M:$M,"percent",'Raw Data'!$F:$F,"Value*"))/100</f>
        <v>0.72199999999999998</v>
      </c>
      <c r="H36" s="12">
        <f>(SUMIFS('Raw Data'!$L:$L,'Raw Data'!$B:$B,$B$2,'Raw Data'!$J:$J,H$2,'Raw Data'!$K:$K,"native",'Raw Data'!$H:$H,"Money Transfers",'Raw Data'!$I:$I,"Transfer to Family/Friends",'Raw Data'!$M:$M,"percent",'Raw Data'!$F:$F,"Value*"))/100</f>
        <v>0.72400000000000009</v>
      </c>
      <c r="I36" s="12">
        <f>(SUMIFS('Raw Data'!$L:$L,'Raw Data'!$B:$B,$B$2,'Raw Data'!$J:$J,I$2,'Raw Data'!$K:$K,"native",'Raw Data'!$H:$H,"Money Transfers",'Raw Data'!$I:$I,"Transfer to Family/Friends",'Raw Data'!$M:$M,"percent",'Raw Data'!$F:$F,"Value*"))/100</f>
        <v>0.72799999999999998</v>
      </c>
      <c r="J36" s="12">
        <f>(SUMIFS('Raw Data'!$L:$L,'Raw Data'!$B:$B,$B$2,'Raw Data'!$J:$J,J$2,'Raw Data'!$K:$K,"native",'Raw Data'!$H:$H,"Money Transfers",'Raw Data'!$I:$I,"Transfer to Family/Friends",'Raw Data'!$M:$M,"percent",'Raw Data'!$F:$F,"Value*"))/100</f>
        <v>0.71599999999999997</v>
      </c>
      <c r="K36" s="12">
        <f>(SUMIFS('Raw Data'!$L:$L,'Raw Data'!$B:$B,$B$2,'Raw Data'!$J:$J,K$2,'Raw Data'!$K:$K,"native",'Raw Data'!$H:$H,"Money Transfers",'Raw Data'!$I:$I,"Transfer to Family/Friends",'Raw Data'!$M:$M,"percent",'Raw Data'!$F:$F,"Value*"))/100</f>
        <v>0.7340000000000001</v>
      </c>
      <c r="L36" s="12">
        <f>(SUMIFS('Raw Data'!$L:$L,'Raw Data'!$B:$B,$B$2,'Raw Data'!$J:$J,L$2,'Raw Data'!$K:$K,"native",'Raw Data'!$H:$H,"Money Transfers",'Raw Data'!$I:$I,"Transfer to Family/Friends",'Raw Data'!$M:$M,"percent",'Raw Data'!$F:$F,"Value*"))/100</f>
        <v>0.747</v>
      </c>
      <c r="M36" s="12">
        <f>(SUMIFS('Raw Data'!$L:$L,'Raw Data'!$B:$B,$B$2,'Raw Data'!$J:$J,M$2,'Raw Data'!$K:$K,"native",'Raw Data'!$H:$H,"Money Transfers",'Raw Data'!$I:$I,"Transfer to Family/Friends",'Raw Data'!$M:$M,"percent",'Raw Data'!$F:$F,"Value*"))/100</f>
        <v>0.753</v>
      </c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>
        <f>(SUMIFS('Raw Data'!$L:$L,'Raw Data'!$B:$B,$B$2,'Raw Data'!$J:$J,Z$2,'Raw Data'!$K:$K,"native",'Raw Data'!$H:$H,"Money Transfers",'Raw Data'!$I:$I,"Transfer to Family/Friends",'Raw Data'!$M:$M,"percent",'Raw Data'!$F:$F,"Value*"))/100</f>
        <v>0.71799999999999997</v>
      </c>
    </row>
    <row r="37" spans="1:26" x14ac:dyDescent="0.25">
      <c r="A37" s="10" t="s">
        <v>82</v>
      </c>
      <c r="B37" s="10" t="s">
        <v>88</v>
      </c>
      <c r="C37" s="12">
        <f>(SUMIFS('Raw Data'!$L:$L,'Raw Data'!$B:$B,$B$2,'Raw Data'!$J:$J,C$2,'Raw Data'!$K:$K,"native",'Raw Data'!$H:$H,"Money Transfers",'Raw Data'!$I:$I,"Transfer to Own Account",'Raw Data'!$M:$M,"percent",'Raw Data'!$F:$F,"Value*"))/100</f>
        <v>0.20899999999999999</v>
      </c>
      <c r="D37" s="12">
        <f>(SUMIFS('Raw Data'!$L:$L,'Raw Data'!$B:$B,$B$2,'Raw Data'!$J:$J,D$2,'Raw Data'!$K:$K,"native",'Raw Data'!$H:$H,"Money Transfers",'Raw Data'!$I:$I,"Transfer to Own Account",'Raw Data'!$M:$M,"percent",'Raw Data'!$F:$F,"Value*"))/100</f>
        <v>0.21299999999999999</v>
      </c>
      <c r="E37" s="12">
        <f>(SUMIFS('Raw Data'!$L:$L,'Raw Data'!$B:$B,$B$2,'Raw Data'!$J:$J,E$2,'Raw Data'!$K:$K,"native",'Raw Data'!$H:$H,"Money Transfers",'Raw Data'!$I:$I,"Transfer to Own Account",'Raw Data'!$M:$M,"percent",'Raw Data'!$F:$F,"Value*"))/100</f>
        <v>0.21460000000000001</v>
      </c>
      <c r="F37" s="12">
        <f>(SUMIFS('Raw Data'!$L:$L,'Raw Data'!$B:$B,$B$2,'Raw Data'!$J:$J,F$2,'Raw Data'!$K:$K,"native",'Raw Data'!$H:$H,"Money Transfers",'Raw Data'!$I:$I,"Transfer to Own Account",'Raw Data'!$M:$M,"percent",'Raw Data'!$F:$F,"Value*"))/100</f>
        <v>0.2213</v>
      </c>
      <c r="G37" s="12">
        <f>(SUMIFS('Raw Data'!$L:$L,'Raw Data'!$B:$B,$B$2,'Raw Data'!$J:$J,G$2,'Raw Data'!$K:$K,"native",'Raw Data'!$H:$H,"Money Transfers",'Raw Data'!$I:$I,"Transfer to Own Account",'Raw Data'!$M:$M,"percent",'Raw Data'!$F:$F,"Value*"))/100</f>
        <v>0.221</v>
      </c>
      <c r="H37" s="12">
        <f>(SUMIFS('Raw Data'!$L:$L,'Raw Data'!$B:$B,$B$2,'Raw Data'!$J:$J,H$2,'Raw Data'!$K:$K,"native",'Raw Data'!$H:$H,"Money Transfers",'Raw Data'!$I:$I,"Transfer to Own Account",'Raw Data'!$M:$M,"percent",'Raw Data'!$F:$F,"Value*"))/100</f>
        <v>0.218</v>
      </c>
      <c r="I37" s="12">
        <f>(SUMIFS('Raw Data'!$L:$L,'Raw Data'!$B:$B,$B$2,'Raw Data'!$J:$J,I$2,'Raw Data'!$K:$K,"native",'Raw Data'!$H:$H,"Money Transfers",'Raw Data'!$I:$I,"Transfer to Own Account",'Raw Data'!$M:$M,"percent",'Raw Data'!$F:$F,"Value*"))/100</f>
        <v>0.21199999999999999</v>
      </c>
      <c r="J37" s="12">
        <f>(SUMIFS('Raw Data'!$L:$L,'Raw Data'!$B:$B,$B$2,'Raw Data'!$J:$J,J$2,'Raw Data'!$K:$K,"native",'Raw Data'!$H:$H,"Money Transfers",'Raw Data'!$I:$I,"Transfer to Own Account",'Raw Data'!$M:$M,"percent",'Raw Data'!$F:$F,"Value*"))/100</f>
        <v>0.22899999999999998</v>
      </c>
      <c r="K37" s="12">
        <f>(SUMIFS('Raw Data'!$L:$L,'Raw Data'!$B:$B,$B$2,'Raw Data'!$J:$J,K$2,'Raw Data'!$K:$K,"native",'Raw Data'!$H:$H,"Money Transfers",'Raw Data'!$I:$I,"Transfer to Own Account",'Raw Data'!$M:$M,"percent",'Raw Data'!$F:$F,"Value*"))/100</f>
        <v>0.214</v>
      </c>
      <c r="L37" s="12">
        <f>(SUMIFS('Raw Data'!$L:$L,'Raw Data'!$B:$B,$B$2,'Raw Data'!$J:$J,L$2,'Raw Data'!$K:$K,"native",'Raw Data'!$H:$H,"Money Transfers",'Raw Data'!$I:$I,"Transfer to Own Account",'Raw Data'!$M:$M,"percent",'Raw Data'!$F:$F,"Value*"))/100</f>
        <v>0.21299999999999999</v>
      </c>
      <c r="M37" s="12">
        <f>(SUMIFS('Raw Data'!$L:$L,'Raw Data'!$B:$B,$B$2,'Raw Data'!$J:$J,M$2,'Raw Data'!$K:$K,"native",'Raw Data'!$H:$H,"Money Transfers",'Raw Data'!$I:$I,"Transfer to Own Account",'Raw Data'!$M:$M,"percent",'Raw Data'!$F:$F,"Value*"))/100</f>
        <v>0.217</v>
      </c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>
        <f>(SUMIFS('Raw Data'!$L:$L,'Raw Data'!$B:$B,$B$2,'Raw Data'!$J:$J,Z$2,'Raw Data'!$K:$K,"native",'Raw Data'!$H:$H,"Money Transfers",'Raw Data'!$I:$I,"Transfer to Own Account",'Raw Data'!$M:$M,"percent",'Raw Data'!$F:$F,"Value*"))/100</f>
        <v>0.223</v>
      </c>
    </row>
    <row r="38" spans="1:26" x14ac:dyDescent="0.25">
      <c r="A38" s="10" t="s">
        <v>82</v>
      </c>
      <c r="B38" s="10" t="s">
        <v>89</v>
      </c>
      <c r="C38" s="12">
        <f>(SUMIFS('Raw Data'!$L:$L,'Raw Data'!$B:$B,$B$2,'Raw Data'!$J:$J,C$2,'Raw Data'!$K:$K,"native",'Raw Data'!$H:$H,"Purchases",'Raw Data'!$I:$I,"Non-QR Purchases",'Raw Data'!$M:$M,"percent",'Raw Data'!$F:$F,"Value*"))/100</f>
        <v>0.99919999999999998</v>
      </c>
      <c r="D38" s="12">
        <f>(SUMIFS('Raw Data'!$L:$L,'Raw Data'!$B:$B,$B$2,'Raw Data'!$J:$J,D$2,'Raw Data'!$K:$K,"native",'Raw Data'!$H:$H,"Purchases",'Raw Data'!$I:$I,"Non-QR Purchases",'Raw Data'!$M:$M,"percent",'Raw Data'!$F:$F,"Value*"))/100</f>
        <v>0.99939999999999996</v>
      </c>
      <c r="E38" s="12">
        <f>(SUMIFS('Raw Data'!$L:$L,'Raw Data'!$B:$B,$B$2,'Raw Data'!$J:$J,E$2,'Raw Data'!$K:$K,"native",'Raw Data'!$H:$H,"Purchases",'Raw Data'!$I:$I,"Non-QR Purchases",'Raw Data'!$M:$M,"percent",'Raw Data'!$F:$F,"Value*"))/100</f>
        <v>0.99919999999999998</v>
      </c>
      <c r="F38" s="12">
        <f>(SUMIFS('Raw Data'!$L:$L,'Raw Data'!$B:$B,$B$2,'Raw Data'!$J:$J,F$2,'Raw Data'!$K:$K,"native",'Raw Data'!$H:$H,"Purchases",'Raw Data'!$I:$I,"Non-QR Purchases",'Raw Data'!$M:$M,"percent",'Raw Data'!$F:$F,"Value*"))/100</f>
        <v>0.99930000000000008</v>
      </c>
      <c r="G38" s="12">
        <f>(SUMIFS('Raw Data'!$L:$L,'Raw Data'!$B:$B,$B$2,'Raw Data'!$J:$J,G$2,'Raw Data'!$K:$K,"native",'Raw Data'!$H:$H,"Purchases",'Raw Data'!$I:$I,"Non-QR Purchases",'Raw Data'!$M:$M,"percent",'Raw Data'!$F:$F,"Value*"))/100</f>
        <v>0.99930000000000008</v>
      </c>
      <c r="H38" s="12">
        <f>(SUMIFS('Raw Data'!$L:$L,'Raw Data'!$B:$B,$B$2,'Raw Data'!$J:$J,H$2,'Raw Data'!$K:$K,"native",'Raw Data'!$H:$H,"Purchases",'Raw Data'!$I:$I,"Non-QR Purchases",'Raw Data'!$M:$M,"percent",'Raw Data'!$F:$F,"Value*"))/100</f>
        <v>0.99919999999999998</v>
      </c>
      <c r="I38" s="12">
        <f>(SUMIFS('Raw Data'!$L:$L,'Raw Data'!$B:$B,$B$2,'Raw Data'!$J:$J,I$2,'Raw Data'!$K:$K,"native",'Raw Data'!$H:$H,"Purchases",'Raw Data'!$I:$I,"Non-QR Purchases",'Raw Data'!$M:$M,"percent",'Raw Data'!$F:$F,"Value*"))/100</f>
        <v>0.99930000000000008</v>
      </c>
      <c r="J38" s="12">
        <f>(SUMIFS('Raw Data'!$L:$L,'Raw Data'!$B:$B,$B$2,'Raw Data'!$J:$J,J$2,'Raw Data'!$K:$K,"native",'Raw Data'!$H:$H,"Purchases",'Raw Data'!$I:$I,"Non-QR Purchases",'Raw Data'!$M:$M,"percent",'Raw Data'!$F:$F,"Value*"))/100</f>
        <v>0.99919999999999998</v>
      </c>
      <c r="K38" s="12">
        <f>(SUMIFS('Raw Data'!$L:$L,'Raw Data'!$B:$B,$B$2,'Raw Data'!$J:$J,K$2,'Raw Data'!$K:$K,"native",'Raw Data'!$H:$H,"Purchases",'Raw Data'!$I:$I,"Non-QR Purchases",'Raw Data'!$M:$M,"percent",'Raw Data'!$F:$F,"Value*"))/100</f>
        <v>0.99919999999999998</v>
      </c>
      <c r="L38" s="12">
        <f>(SUMIFS('Raw Data'!$L:$L,'Raw Data'!$B:$B,$B$2,'Raw Data'!$J:$J,L$2,'Raw Data'!$K:$K,"native",'Raw Data'!$H:$H,"Purchases",'Raw Data'!$I:$I,"Non-QR Purchases",'Raw Data'!$M:$M,"percent",'Raw Data'!$F:$F,"Value*"))/100</f>
        <v>0.99909999999999999</v>
      </c>
      <c r="M38" s="12">
        <f>(SUMIFS('Raw Data'!$L:$L,'Raw Data'!$B:$B,$B$2,'Raw Data'!$J:$J,M$2,'Raw Data'!$K:$K,"native",'Raw Data'!$H:$H,"Purchases",'Raw Data'!$I:$I,"Non-QR Purchases",'Raw Data'!$M:$M,"percent",'Raw Data'!$F:$F,"Value*"))/100</f>
        <v>0.99919999999999998</v>
      </c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>
        <f>(SUMIFS('Raw Data'!$L:$L,'Raw Data'!$B:$B,$B$2,'Raw Data'!$J:$J,Z$2,'Raw Data'!$K:$K,"native",'Raw Data'!$H:$H,"Purchases",'Raw Data'!$I:$I,"Non-QR Purchases",'Raw Data'!$M:$M,"percent",'Raw Data'!$F:$F,"Value*"))/100</f>
        <v>0.99909999999999999</v>
      </c>
    </row>
    <row r="39" spans="1:26" x14ac:dyDescent="0.25">
      <c r="A39" s="10" t="s">
        <v>82</v>
      </c>
      <c r="B39" s="10" t="s">
        <v>90</v>
      </c>
      <c r="C39" s="12">
        <f>(SUMIFS('Raw Data'!$L:$L,'Raw Data'!$B:$B,$B$2,'Raw Data'!$J:$J,C$2,'Raw Data'!$K:$K,"native",'Raw Data'!$H:$H,"Purchases",'Raw Data'!$I:$I,"QR Purchases",'Raw Data'!$M:$M,"percent",'Raw Data'!$F:$F,"Value*"))/100</f>
        <v>8.0000000000000004E-4</v>
      </c>
      <c r="D39" s="12">
        <f>(SUMIFS('Raw Data'!$L:$L,'Raw Data'!$B:$B,$B$2,'Raw Data'!$J:$J,D$2,'Raw Data'!$K:$K,"native",'Raw Data'!$H:$H,"Purchases",'Raw Data'!$I:$I,"QR Purchases",'Raw Data'!$M:$M,"percent",'Raw Data'!$F:$F,"Value*"))/100</f>
        <v>5.9999999999999995E-4</v>
      </c>
      <c r="E39" s="12">
        <f>(SUMIFS('Raw Data'!$L:$L,'Raw Data'!$B:$B,$B$2,'Raw Data'!$J:$J,E$2,'Raw Data'!$K:$K,"native",'Raw Data'!$H:$H,"Purchases",'Raw Data'!$I:$I,"QR Purchases",'Raw Data'!$M:$M,"percent",'Raw Data'!$F:$F,"Value*"))/100</f>
        <v>8.0000000000000004E-4</v>
      </c>
      <c r="F39" s="12">
        <f>(SUMIFS('Raw Data'!$L:$L,'Raw Data'!$B:$B,$B$2,'Raw Data'!$J:$J,F$2,'Raw Data'!$K:$K,"native",'Raw Data'!$H:$H,"Purchases",'Raw Data'!$I:$I,"QR Purchases",'Raw Data'!$M:$M,"percent",'Raw Data'!$F:$F,"Value*"))/100</f>
        <v>7.000000000000001E-4</v>
      </c>
      <c r="G39" s="12">
        <f>(SUMIFS('Raw Data'!$L:$L,'Raw Data'!$B:$B,$B$2,'Raw Data'!$J:$J,G$2,'Raw Data'!$K:$K,"native",'Raw Data'!$H:$H,"Purchases",'Raw Data'!$I:$I,"QR Purchases",'Raw Data'!$M:$M,"percent",'Raw Data'!$F:$F,"Value*"))/100</f>
        <v>7.000000000000001E-4</v>
      </c>
      <c r="H39" s="12">
        <f>(SUMIFS('Raw Data'!$L:$L,'Raw Data'!$B:$B,$B$2,'Raw Data'!$J:$J,H$2,'Raw Data'!$K:$K,"native",'Raw Data'!$H:$H,"Purchases",'Raw Data'!$I:$I,"QR Purchases",'Raw Data'!$M:$M,"percent",'Raw Data'!$F:$F,"Value*"))/100</f>
        <v>8.0000000000000004E-4</v>
      </c>
      <c r="I39" s="12">
        <f>(SUMIFS('Raw Data'!$L:$L,'Raw Data'!$B:$B,$B$2,'Raw Data'!$J:$J,I$2,'Raw Data'!$K:$K,"native",'Raw Data'!$H:$H,"Purchases",'Raw Data'!$I:$I,"QR Purchases",'Raw Data'!$M:$M,"percent",'Raw Data'!$F:$F,"Value*"))/100</f>
        <v>7.000000000000001E-4</v>
      </c>
      <c r="J39" s="12">
        <f>(SUMIFS('Raw Data'!$L:$L,'Raw Data'!$B:$B,$B$2,'Raw Data'!$J:$J,J$2,'Raw Data'!$K:$K,"native",'Raw Data'!$H:$H,"Purchases",'Raw Data'!$I:$I,"QR Purchases",'Raw Data'!$M:$M,"percent",'Raw Data'!$F:$F,"Value*"))/100</f>
        <v>8.0000000000000004E-4</v>
      </c>
      <c r="K39" s="12">
        <f>(SUMIFS('Raw Data'!$L:$L,'Raw Data'!$B:$B,$B$2,'Raw Data'!$J:$J,K$2,'Raw Data'!$K:$K,"native",'Raw Data'!$H:$H,"Purchases",'Raw Data'!$I:$I,"QR Purchases",'Raw Data'!$M:$M,"percent",'Raw Data'!$F:$F,"Value*"))/100</f>
        <v>8.0000000000000004E-4</v>
      </c>
      <c r="L39" s="12">
        <f>(SUMIFS('Raw Data'!$L:$L,'Raw Data'!$B:$B,$B$2,'Raw Data'!$J:$J,L$2,'Raw Data'!$K:$K,"native",'Raw Data'!$H:$H,"Purchases",'Raw Data'!$I:$I,"QR Purchases",'Raw Data'!$M:$M,"percent",'Raw Data'!$F:$F,"Value*"))/100</f>
        <v>8.9999999999999998E-4</v>
      </c>
      <c r="M39" s="12">
        <f>(SUMIFS('Raw Data'!$L:$L,'Raw Data'!$B:$B,$B$2,'Raw Data'!$J:$J,M$2,'Raw Data'!$K:$K,"native",'Raw Data'!$H:$H,"Purchases",'Raw Data'!$I:$I,"QR Purchases",'Raw Data'!$M:$M,"percent",'Raw Data'!$F:$F,"Value*"))/100</f>
        <v>8.0000000000000004E-4</v>
      </c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>
        <f>(SUMIFS('Raw Data'!$L:$L,'Raw Data'!$B:$B,$B$2,'Raw Data'!$J:$J,Z$2,'Raw Data'!$K:$K,"native",'Raw Data'!$H:$H,"Purchases",'Raw Data'!$I:$I,"QR Purchases",'Raw Data'!$M:$M,"percent",'Raw Data'!$F:$F,"Value*"))/100</f>
        <v>8.9999999999999998E-4</v>
      </c>
    </row>
    <row r="40" spans="1:26" x14ac:dyDescent="0.25">
      <c r="A40" s="10" t="s">
        <v>82</v>
      </c>
      <c r="B40" s="10" t="s">
        <v>92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x14ac:dyDescent="0.25">
      <c r="A41" s="53" t="s">
        <v>93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x14ac:dyDescent="0.25">
      <c r="A42" s="10" t="s">
        <v>82</v>
      </c>
      <c r="B42" s="10" t="s">
        <v>94</v>
      </c>
      <c r="C42" s="11">
        <f>SUMIFS('Raw Data'!$L:$L,'Raw Data'!$B:$B,$B$2,'Raw Data'!$J:$J,C$2,'Raw Data'!$K:$K,"native",'Raw Data'!$H:$H,"Off Us",'Raw Data'!$I:$I,"",'Raw Data'!$M:$M,"count")</f>
        <v>3710000</v>
      </c>
      <c r="D42" s="11">
        <f>SUMIFS('Raw Data'!$L:$L,'Raw Data'!$B:$B,$B$2,'Raw Data'!$J:$J,D$2,'Raw Data'!$K:$K,"native",'Raw Data'!$H:$H,"Off Us",'Raw Data'!$I:$I,"",'Raw Data'!$M:$M,"count")</f>
        <v>4170000</v>
      </c>
      <c r="E42" s="11">
        <f>SUMIFS('Raw Data'!$L:$L,'Raw Data'!$B:$B,$B$2,'Raw Data'!$J:$J,E$2,'Raw Data'!$K:$K,"native",'Raw Data'!$H:$H,"Off Us",'Raw Data'!$I:$I,"",'Raw Data'!$M:$M,"count")</f>
        <v>4190000</v>
      </c>
      <c r="F42" s="11">
        <f>SUMIFS('Raw Data'!$L:$L,'Raw Data'!$B:$B,$B$2,'Raw Data'!$J:$J,F$2,'Raw Data'!$K:$K,"native",'Raw Data'!$H:$H,"Off Us",'Raw Data'!$I:$I,"",'Raw Data'!$M:$M,"count")</f>
        <v>4650000</v>
      </c>
      <c r="G42" s="11">
        <f>SUMIFS('Raw Data'!$L:$L,'Raw Data'!$B:$B,$B$2,'Raw Data'!$J:$J,G$2,'Raw Data'!$K:$K,"native",'Raw Data'!$H:$H,"Off Us",'Raw Data'!$I:$I,"",'Raw Data'!$M:$M,"count")</f>
        <v>4720000</v>
      </c>
      <c r="H42" s="11">
        <f>SUMIFS('Raw Data'!$L:$L,'Raw Data'!$B:$B,$B$2,'Raw Data'!$J:$J,H$2,'Raw Data'!$K:$K,"native",'Raw Data'!$H:$H,"Off Us",'Raw Data'!$I:$I,"",'Raw Data'!$M:$M,"count")</f>
        <v>4510000</v>
      </c>
      <c r="I42" s="11">
        <f>SUMIFS('Raw Data'!$L:$L,'Raw Data'!$B:$B,$B$2,'Raw Data'!$J:$J,I$2,'Raw Data'!$K:$K,"native",'Raw Data'!$H:$H,"Off Us",'Raw Data'!$I:$I,"",'Raw Data'!$M:$M,"count")</f>
        <v>5510000</v>
      </c>
      <c r="J42" s="11">
        <f>SUMIFS('Raw Data'!$L:$L,'Raw Data'!$B:$B,$B$2,'Raw Data'!$J:$J,J$2,'Raw Data'!$K:$K,"native",'Raw Data'!$H:$H,"Off Us",'Raw Data'!$I:$I,"",'Raw Data'!$M:$M,"count")</f>
        <v>5160000</v>
      </c>
      <c r="K42" s="11">
        <f>SUMIFS('Raw Data'!$L:$L,'Raw Data'!$B:$B,$B$2,'Raw Data'!$J:$J,K$2,'Raw Data'!$K:$K,"native",'Raw Data'!$H:$H,"Off Us",'Raw Data'!$I:$I,"",'Raw Data'!$M:$M,"count")</f>
        <v>6110000</v>
      </c>
      <c r="L42" s="11">
        <f>SUMIFS('Raw Data'!$L:$L,'Raw Data'!$B:$B,$B$2,'Raw Data'!$J:$J,L$2,'Raw Data'!$K:$K,"native",'Raw Data'!$H:$H,"Off Us",'Raw Data'!$I:$I,"",'Raw Data'!$M:$M,"count")</f>
        <v>5790000</v>
      </c>
      <c r="M42" s="11">
        <f>SUMIFS('Raw Data'!$L:$L,'Raw Data'!$B:$B,$B$2,'Raw Data'!$J:$J,M$2,'Raw Data'!$K:$K,"native",'Raw Data'!$H:$H,"Off Us",'Raw Data'!$I:$I,"",'Raw Data'!$M:$M,"count")</f>
        <v>6530000</v>
      </c>
      <c r="N42" s="11">
        <f>SUMIFS('Raw Data'!$L:$L,'Raw Data'!$B:$B,$B$2,'Raw Data'!$J:$J,N$2,'Raw Data'!$K:$K,"native",'Raw Data'!$H:$H,"Off Us",'Raw Data'!$I:$I,"",'Raw Data'!$M:$M,"count")</f>
        <v>6420000</v>
      </c>
      <c r="O42" s="11">
        <f>SUMIFS('Raw Data'!$L:$L,'Raw Data'!$B:$B,$B$2,'Raw Data'!$J:$J,O$2,'Raw Data'!$K:$K,"native",'Raw Data'!$H:$H,"Off Us",'Raw Data'!$I:$I,"",'Raw Data'!$M:$M,"count")</f>
        <v>6300000</v>
      </c>
      <c r="P42" s="11">
        <f>SUMIFS('Raw Data'!$L:$L,'Raw Data'!$B:$B,$B$2,'Raw Data'!$J:$J,P$2,'Raw Data'!$K:$K,"native",'Raw Data'!$H:$H,"Off Us",'Raw Data'!$I:$I,"",'Raw Data'!$M:$M,"count")</f>
        <v>6800000</v>
      </c>
      <c r="Q42" s="11">
        <f>SUMIFS('Raw Data'!$L:$L,'Raw Data'!$B:$B,$B$2,'Raw Data'!$J:$J,Q$2,'Raw Data'!$K:$K,"native",'Raw Data'!$H:$H,"Off Us",'Raw Data'!$I:$I,"",'Raw Data'!$M:$M,"count")</f>
        <v>6730000</v>
      </c>
      <c r="R42" s="11">
        <f>SUMIFS('Raw Data'!$L:$L,'Raw Data'!$B:$B,$B$2,'Raw Data'!$J:$J,R$2,'Raw Data'!$K:$K,"native",'Raw Data'!$H:$H,"Off Us",'Raw Data'!$I:$I,"",'Raw Data'!$M:$M,"count")</f>
        <v>7260000</v>
      </c>
      <c r="S42" s="11">
        <f>SUMIFS('Raw Data'!$L:$L,'Raw Data'!$B:$B,$B$2,'Raw Data'!$J:$J,S$2,'Raw Data'!$K:$K,"native",'Raw Data'!$H:$H,"Off Us",'Raw Data'!$I:$I,"",'Raw Data'!$M:$M,"count")</f>
        <v>7260000</v>
      </c>
      <c r="T42" s="11">
        <f>SUMIFS('Raw Data'!$L:$L,'Raw Data'!$B:$B,$B$2,'Raw Data'!$J:$J,T$2,'Raw Data'!$K:$K,"native",'Raw Data'!$H:$H,"Off Us",'Raw Data'!$I:$I,"",'Raw Data'!$M:$M,"count")</f>
        <v>6830000</v>
      </c>
      <c r="U42" s="11">
        <f>SUMIFS('Raw Data'!$L:$L,'Raw Data'!$B:$B,$B$2,'Raw Data'!$J:$J,U$2,'Raw Data'!$K:$K,"native",'Raw Data'!$H:$H,"Off Us",'Raw Data'!$I:$I,"",'Raw Data'!$M:$M,"count")</f>
        <v>7820000</v>
      </c>
      <c r="V42" s="11">
        <f>SUMIFS('Raw Data'!$L:$L,'Raw Data'!$B:$B,$B$2,'Raw Data'!$J:$J,V$2,'Raw Data'!$K:$K,"native",'Raw Data'!$H:$H,"Off Us",'Raw Data'!$I:$I,"",'Raw Data'!$M:$M,"count")</f>
        <v>7790000</v>
      </c>
      <c r="W42" s="11">
        <f>SUMIFS('Raw Data'!$L:$L,'Raw Data'!$B:$B,$B$2,'Raw Data'!$J:$J,W$2,'Raw Data'!$K:$K,"native",'Raw Data'!$H:$H,"Off Us",'Raw Data'!$I:$I,"",'Raw Data'!$M:$M,"count")</f>
        <v>8560000</v>
      </c>
      <c r="X42" s="11">
        <f>SUMIFS('Raw Data'!$L:$L,'Raw Data'!$B:$B,$B$2,'Raw Data'!$J:$J,X$2,'Raw Data'!$K:$K,"native",'Raw Data'!$H:$H,"Off Us",'Raw Data'!$I:$I,"",'Raw Data'!$M:$M,"count")</f>
        <v>8260000</v>
      </c>
      <c r="Y42" s="11">
        <f>SUMIFS('Raw Data'!$L:$L,'Raw Data'!$B:$B,$B$2,'Raw Data'!$J:$J,Y$2,'Raw Data'!$K:$K,"native",'Raw Data'!$H:$H,"Off Us",'Raw Data'!$I:$I,"",'Raw Data'!$M:$M,"count")</f>
        <v>9020000</v>
      </c>
      <c r="Z42" s="11">
        <f>SUMIFS('Raw Data'!$L:$L,'Raw Data'!$B:$B,$B$2,'Raw Data'!$J:$J,Z$2,'Raw Data'!$K:$K,"native",'Raw Data'!$H:$H,"Off Us",'Raw Data'!$I:$I,"",'Raw Data'!$M:$M,"count")</f>
        <v>9260000</v>
      </c>
    </row>
    <row r="43" spans="1:26" x14ac:dyDescent="0.25">
      <c r="A43" s="10" t="s">
        <v>82</v>
      </c>
      <c r="B43" s="10" t="s">
        <v>95</v>
      </c>
      <c r="C43" s="11">
        <f>SUMIFS('Raw Data'!$L:$L,'Raw Data'!$B:$B,$B$2,'Raw Data'!$J:$J,C$2,'Raw Data'!$K:$K,"native",'Raw Data'!$H:$H,"On Us",'Raw Data'!$I:$I,"",'Raw Data'!$M:$M,"count")</f>
        <v>1280000</v>
      </c>
      <c r="D43" s="11">
        <f>SUMIFS('Raw Data'!$L:$L,'Raw Data'!$B:$B,$B$2,'Raw Data'!$J:$J,D$2,'Raw Data'!$K:$K,"native",'Raw Data'!$H:$H,"On Us",'Raw Data'!$I:$I,"",'Raw Data'!$M:$M,"count")</f>
        <v>1440000</v>
      </c>
      <c r="E43" s="11">
        <f>SUMIFS('Raw Data'!$L:$L,'Raw Data'!$B:$B,$B$2,'Raw Data'!$J:$J,E$2,'Raw Data'!$K:$K,"native",'Raw Data'!$H:$H,"On Us",'Raw Data'!$I:$I,"",'Raw Data'!$M:$M,"count")</f>
        <v>1460000</v>
      </c>
      <c r="F43" s="11">
        <f>SUMIFS('Raw Data'!$L:$L,'Raw Data'!$B:$B,$B$2,'Raw Data'!$J:$J,F$2,'Raw Data'!$K:$K,"native",'Raw Data'!$H:$H,"On Us",'Raw Data'!$I:$I,"",'Raw Data'!$M:$M,"count")</f>
        <v>1620000</v>
      </c>
      <c r="G43" s="11">
        <f>SUMIFS('Raw Data'!$L:$L,'Raw Data'!$B:$B,$B$2,'Raw Data'!$J:$J,G$2,'Raw Data'!$K:$K,"native",'Raw Data'!$H:$H,"On Us",'Raw Data'!$I:$I,"",'Raw Data'!$M:$M,"count")</f>
        <v>1670000</v>
      </c>
      <c r="H43" s="11">
        <f>SUMIFS('Raw Data'!$L:$L,'Raw Data'!$B:$B,$B$2,'Raw Data'!$J:$J,H$2,'Raw Data'!$K:$K,"native",'Raw Data'!$H:$H,"On Us",'Raw Data'!$I:$I,"",'Raw Data'!$M:$M,"count")</f>
        <v>1600000</v>
      </c>
      <c r="I43" s="11">
        <f>SUMIFS('Raw Data'!$L:$L,'Raw Data'!$B:$B,$B$2,'Raw Data'!$J:$J,I$2,'Raw Data'!$K:$K,"native",'Raw Data'!$H:$H,"On Us",'Raw Data'!$I:$I,"",'Raw Data'!$M:$M,"count")</f>
        <v>1930000</v>
      </c>
      <c r="J43" s="11">
        <f>SUMIFS('Raw Data'!$L:$L,'Raw Data'!$B:$B,$B$2,'Raw Data'!$J:$J,J$2,'Raw Data'!$K:$K,"native",'Raw Data'!$H:$H,"On Us",'Raw Data'!$I:$I,"",'Raw Data'!$M:$M,"count")</f>
        <v>1840000</v>
      </c>
      <c r="K43" s="11">
        <f>SUMIFS('Raw Data'!$L:$L,'Raw Data'!$B:$B,$B$2,'Raw Data'!$J:$J,K$2,'Raw Data'!$K:$K,"native",'Raw Data'!$H:$H,"On Us",'Raw Data'!$I:$I,"",'Raw Data'!$M:$M,"count")</f>
        <v>2180000</v>
      </c>
      <c r="L43" s="11">
        <f>SUMIFS('Raw Data'!$L:$L,'Raw Data'!$B:$B,$B$2,'Raw Data'!$J:$J,L$2,'Raw Data'!$K:$K,"native",'Raw Data'!$H:$H,"On Us",'Raw Data'!$I:$I,"",'Raw Data'!$M:$M,"count")</f>
        <v>2070000</v>
      </c>
      <c r="M43" s="11">
        <f>SUMIFS('Raw Data'!$L:$L,'Raw Data'!$B:$B,$B$2,'Raw Data'!$J:$J,M$2,'Raw Data'!$K:$K,"native",'Raw Data'!$H:$H,"On Us",'Raw Data'!$I:$I,"",'Raw Data'!$M:$M,"count")</f>
        <v>2360000</v>
      </c>
      <c r="N43" s="11">
        <f>SUMIFS('Raw Data'!$L:$L,'Raw Data'!$B:$B,$B$2,'Raw Data'!$J:$J,N$2,'Raw Data'!$K:$K,"native",'Raw Data'!$H:$H,"On Us",'Raw Data'!$I:$I,"",'Raw Data'!$M:$M,"count")</f>
        <v>2380000</v>
      </c>
      <c r="O43" s="11">
        <f>SUMIFS('Raw Data'!$L:$L,'Raw Data'!$B:$B,$B$2,'Raw Data'!$J:$J,O$2,'Raw Data'!$K:$K,"native",'Raw Data'!$H:$H,"On Us",'Raw Data'!$I:$I,"",'Raw Data'!$M:$M,"count")</f>
        <v>2350000</v>
      </c>
      <c r="P43" s="11">
        <f>SUMIFS('Raw Data'!$L:$L,'Raw Data'!$B:$B,$B$2,'Raw Data'!$J:$J,P$2,'Raw Data'!$K:$K,"native",'Raw Data'!$H:$H,"On Us",'Raw Data'!$I:$I,"",'Raw Data'!$M:$M,"count")</f>
        <v>2500000</v>
      </c>
      <c r="Q43" s="11">
        <f>SUMIFS('Raw Data'!$L:$L,'Raw Data'!$B:$B,$B$2,'Raw Data'!$J:$J,Q$2,'Raw Data'!$K:$K,"native",'Raw Data'!$H:$H,"On Us",'Raw Data'!$I:$I,"",'Raw Data'!$M:$M,"count")</f>
        <v>2490000</v>
      </c>
      <c r="R43" s="11">
        <f>SUMIFS('Raw Data'!$L:$L,'Raw Data'!$B:$B,$B$2,'Raw Data'!$J:$J,R$2,'Raw Data'!$K:$K,"native",'Raw Data'!$H:$H,"On Us",'Raw Data'!$I:$I,"",'Raw Data'!$M:$M,"count")</f>
        <v>2700000</v>
      </c>
      <c r="S43" s="11">
        <f>SUMIFS('Raw Data'!$L:$L,'Raw Data'!$B:$B,$B$2,'Raw Data'!$J:$J,S$2,'Raw Data'!$K:$K,"native",'Raw Data'!$H:$H,"On Us",'Raw Data'!$I:$I,"",'Raw Data'!$M:$M,"count")</f>
        <v>2690000</v>
      </c>
      <c r="T43" s="11">
        <f>SUMIFS('Raw Data'!$L:$L,'Raw Data'!$B:$B,$B$2,'Raw Data'!$J:$J,T$2,'Raw Data'!$K:$K,"native",'Raw Data'!$H:$H,"On Us",'Raw Data'!$I:$I,"",'Raw Data'!$M:$M,"count")</f>
        <v>2550000</v>
      </c>
      <c r="U43" s="11">
        <f>SUMIFS('Raw Data'!$L:$L,'Raw Data'!$B:$B,$B$2,'Raw Data'!$J:$J,U$2,'Raw Data'!$K:$K,"native",'Raw Data'!$H:$H,"On Us",'Raw Data'!$I:$I,"",'Raw Data'!$M:$M,"count")</f>
        <v>2930000</v>
      </c>
      <c r="V43" s="11">
        <f>SUMIFS('Raw Data'!$L:$L,'Raw Data'!$B:$B,$B$2,'Raw Data'!$J:$J,V$2,'Raw Data'!$K:$K,"native",'Raw Data'!$H:$H,"On Us",'Raw Data'!$I:$I,"",'Raw Data'!$M:$M,"count")</f>
        <v>2930000</v>
      </c>
      <c r="W43" s="11">
        <f>SUMIFS('Raw Data'!$L:$L,'Raw Data'!$B:$B,$B$2,'Raw Data'!$J:$J,W$2,'Raw Data'!$K:$K,"native",'Raw Data'!$H:$H,"On Us",'Raw Data'!$I:$I,"",'Raw Data'!$M:$M,"count")</f>
        <v>3240000</v>
      </c>
      <c r="X43" s="11">
        <f>SUMIFS('Raw Data'!$L:$L,'Raw Data'!$B:$B,$B$2,'Raw Data'!$J:$J,X$2,'Raw Data'!$K:$K,"native",'Raw Data'!$H:$H,"On Us",'Raw Data'!$I:$I,"",'Raw Data'!$M:$M,"count")</f>
        <v>3120000</v>
      </c>
      <c r="Y43" s="11">
        <f>SUMIFS('Raw Data'!$L:$L,'Raw Data'!$B:$B,$B$2,'Raw Data'!$J:$J,Y$2,'Raw Data'!$K:$K,"native",'Raw Data'!$H:$H,"On Us",'Raw Data'!$I:$I,"",'Raw Data'!$M:$M,"count")</f>
        <v>3410000</v>
      </c>
      <c r="Z43" s="11">
        <f>SUMIFS('Raw Data'!$L:$L,'Raw Data'!$B:$B,$B$2,'Raw Data'!$J:$J,Z$2,'Raw Data'!$K:$K,"native",'Raw Data'!$H:$H,"On Us",'Raw Data'!$I:$I,"",'Raw Data'!$M:$M,"count")</f>
        <v>3520000</v>
      </c>
    </row>
    <row r="44" spans="1:26" x14ac:dyDescent="0.25">
      <c r="A44" s="53" t="s">
        <v>96</v>
      </c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x14ac:dyDescent="0.25">
      <c r="A45" s="10" t="s">
        <v>82</v>
      </c>
      <c r="B45" s="10" t="s">
        <v>94</v>
      </c>
      <c r="C45" s="11">
        <f>SUMIFS('Raw Data'!$L:$L,'Raw Data'!$B:$B,$B$2,'Raw Data'!$J:$J,C$2,'Raw Data'!$K:$K,"native",'Raw Data'!$H:$H,"Off Us",'Raw Data'!$I:$I,"",'Raw Data'!$M:$M,"JOD")</f>
        <v>640400000</v>
      </c>
      <c r="D45" s="11">
        <f>SUMIFS('Raw Data'!$L:$L,'Raw Data'!$B:$B,$B$2,'Raw Data'!$J:$J,D$2,'Raw Data'!$K:$K,"native",'Raw Data'!$H:$H,"Off Us",'Raw Data'!$I:$I,"",'Raw Data'!$M:$M,"JOD")</f>
        <v>680800000</v>
      </c>
      <c r="E45" s="11">
        <f>SUMIFS('Raw Data'!$L:$L,'Raw Data'!$B:$B,$B$2,'Raw Data'!$J:$J,E$2,'Raw Data'!$K:$K,"native",'Raw Data'!$H:$H,"Off Us",'Raw Data'!$I:$I,"",'Raw Data'!$M:$M,"JOD")</f>
        <v>651100000</v>
      </c>
      <c r="F45" s="11">
        <f>SUMIFS('Raw Data'!$L:$L,'Raw Data'!$B:$B,$B$2,'Raw Data'!$J:$J,F$2,'Raw Data'!$K:$K,"native",'Raw Data'!$H:$H,"Off Us",'Raw Data'!$I:$I,"",'Raw Data'!$M:$M,"JOD")</f>
        <v>743000000</v>
      </c>
      <c r="G45" s="11">
        <f>SUMIFS('Raw Data'!$L:$L,'Raw Data'!$B:$B,$B$2,'Raw Data'!$J:$J,G$2,'Raw Data'!$K:$K,"native",'Raw Data'!$H:$H,"Off Us",'Raw Data'!$I:$I,"",'Raw Data'!$M:$M,"JOD")</f>
        <v>736600000</v>
      </c>
      <c r="H45" s="11">
        <f>SUMIFS('Raw Data'!$L:$L,'Raw Data'!$B:$B,$B$2,'Raw Data'!$J:$J,H$2,'Raw Data'!$K:$K,"native",'Raw Data'!$H:$H,"Off Us",'Raw Data'!$I:$I,"",'Raw Data'!$M:$M,"JOD")</f>
        <v>700800000</v>
      </c>
      <c r="I45" s="11">
        <f>SUMIFS('Raw Data'!$L:$L,'Raw Data'!$B:$B,$B$2,'Raw Data'!$J:$J,I$2,'Raw Data'!$K:$K,"native",'Raw Data'!$H:$H,"Off Us",'Raw Data'!$I:$I,"",'Raw Data'!$M:$M,"JOD")</f>
        <v>856400000</v>
      </c>
      <c r="J45" s="11">
        <f>SUMIFS('Raw Data'!$L:$L,'Raw Data'!$B:$B,$B$2,'Raw Data'!$J:$J,J$2,'Raw Data'!$K:$K,"native",'Raw Data'!$H:$H,"Off Us",'Raw Data'!$I:$I,"",'Raw Data'!$M:$M,"JOD")</f>
        <v>802800000</v>
      </c>
      <c r="K45" s="11">
        <f>SUMIFS('Raw Data'!$L:$L,'Raw Data'!$B:$B,$B$2,'Raw Data'!$J:$J,K$2,'Raw Data'!$K:$K,"native",'Raw Data'!$H:$H,"Off Us",'Raw Data'!$I:$I,"",'Raw Data'!$M:$M,"JOD")</f>
        <v>870600000</v>
      </c>
      <c r="L45" s="11">
        <f>SUMIFS('Raw Data'!$L:$L,'Raw Data'!$B:$B,$B$2,'Raw Data'!$J:$J,L$2,'Raw Data'!$K:$K,"native",'Raw Data'!$H:$H,"Off Us",'Raw Data'!$I:$I,"",'Raw Data'!$M:$M,"JOD")</f>
        <v>849100000</v>
      </c>
      <c r="M45" s="11">
        <f>SUMIFS('Raw Data'!$L:$L,'Raw Data'!$B:$B,$B$2,'Raw Data'!$J:$J,M$2,'Raw Data'!$K:$K,"native",'Raw Data'!$H:$H,"Off Us",'Raw Data'!$I:$I,"",'Raw Data'!$M:$M,"JOD")</f>
        <v>939200000</v>
      </c>
      <c r="N45" s="11">
        <f>SUMIFS('Raw Data'!$L:$L,'Raw Data'!$B:$B,$B$2,'Raw Data'!$J:$J,N$2,'Raw Data'!$K:$K,"native",'Raw Data'!$H:$H,"Off Us",'Raw Data'!$I:$I,"",'Raw Data'!$M:$M,"JOD")</f>
        <v>901400000</v>
      </c>
      <c r="O45" s="11">
        <f>SUMIFS('Raw Data'!$L:$L,'Raw Data'!$B:$B,$B$2,'Raw Data'!$J:$J,O$2,'Raw Data'!$K:$K,"native",'Raw Data'!$H:$H,"Off Us",'Raw Data'!$I:$I,"",'Raw Data'!$M:$M,"JOD")</f>
        <v>891800000</v>
      </c>
      <c r="P45" s="11">
        <f>SUMIFS('Raw Data'!$L:$L,'Raw Data'!$B:$B,$B$2,'Raw Data'!$J:$J,P$2,'Raw Data'!$K:$K,"native",'Raw Data'!$H:$H,"Off Us",'Raw Data'!$I:$I,"",'Raw Data'!$M:$M,"JOD")</f>
        <v>907200000</v>
      </c>
      <c r="Q45" s="11">
        <f>SUMIFS('Raw Data'!$L:$L,'Raw Data'!$B:$B,$B$2,'Raw Data'!$J:$J,Q$2,'Raw Data'!$K:$K,"native",'Raw Data'!$H:$H,"Off Us",'Raw Data'!$I:$I,"",'Raw Data'!$M:$M,"JOD")</f>
        <v>846500000</v>
      </c>
      <c r="R45" s="11">
        <f>SUMIFS('Raw Data'!$L:$L,'Raw Data'!$B:$B,$B$2,'Raw Data'!$J:$J,R$2,'Raw Data'!$K:$K,"native",'Raw Data'!$H:$H,"Off Us",'Raw Data'!$I:$I,"",'Raw Data'!$M:$M,"JOD")</f>
        <v>928200000</v>
      </c>
      <c r="S45" s="11">
        <f>SUMIFS('Raw Data'!$L:$L,'Raw Data'!$B:$B,$B$2,'Raw Data'!$J:$J,S$2,'Raw Data'!$K:$K,"native",'Raw Data'!$H:$H,"Off Us",'Raw Data'!$I:$I,"",'Raw Data'!$M:$M,"JOD")</f>
        <v>938400000</v>
      </c>
      <c r="T45" s="11">
        <f>SUMIFS('Raw Data'!$L:$L,'Raw Data'!$B:$B,$B$2,'Raw Data'!$J:$J,T$2,'Raw Data'!$K:$K,"native",'Raw Data'!$H:$H,"Off Us",'Raw Data'!$I:$I,"",'Raw Data'!$M:$M,"JOD")</f>
        <v>889500000</v>
      </c>
      <c r="U45" s="11">
        <f>SUMIFS('Raw Data'!$L:$L,'Raw Data'!$B:$B,$B$2,'Raw Data'!$J:$J,U$2,'Raw Data'!$K:$K,"native",'Raw Data'!$H:$H,"Off Us",'Raw Data'!$I:$I,"",'Raw Data'!$M:$M,"JOD")</f>
        <v>1010000000</v>
      </c>
      <c r="V45" s="11">
        <f>SUMIFS('Raw Data'!$L:$L,'Raw Data'!$B:$B,$B$2,'Raw Data'!$J:$J,V$2,'Raw Data'!$K:$K,"native",'Raw Data'!$H:$H,"Off Us",'Raw Data'!$I:$I,"",'Raw Data'!$M:$M,"JOD")</f>
        <v>920000000</v>
      </c>
      <c r="W45" s="11">
        <f>SUMIFS('Raw Data'!$L:$L,'Raw Data'!$B:$B,$B$2,'Raw Data'!$J:$J,W$2,'Raw Data'!$K:$K,"native",'Raw Data'!$H:$H,"Off Us",'Raw Data'!$I:$I,"",'Raw Data'!$M:$M,"JOD")</f>
        <v>1030000000</v>
      </c>
      <c r="X45" s="11">
        <f>SUMIFS('Raw Data'!$L:$L,'Raw Data'!$B:$B,$B$2,'Raw Data'!$J:$J,X$2,'Raw Data'!$K:$K,"native",'Raw Data'!$H:$H,"Off Us",'Raw Data'!$I:$I,"",'Raw Data'!$M:$M,"JOD")</f>
        <v>1020000000</v>
      </c>
      <c r="Y45" s="11">
        <f>SUMIFS('Raw Data'!$L:$L,'Raw Data'!$B:$B,$B$2,'Raw Data'!$J:$J,Y$2,'Raw Data'!$K:$K,"native",'Raw Data'!$H:$H,"Off Us",'Raw Data'!$I:$I,"",'Raw Data'!$M:$M,"JOD")</f>
        <v>1100000000</v>
      </c>
      <c r="Z45" s="11">
        <f>SUMIFS('Raw Data'!$L:$L,'Raw Data'!$B:$B,$B$2,'Raw Data'!$J:$J,Z$2,'Raw Data'!$K:$K,"native",'Raw Data'!$H:$H,"Off Us",'Raw Data'!$I:$I,"",'Raw Data'!$M:$M,"JOD")</f>
        <v>1140000000</v>
      </c>
    </row>
    <row r="46" spans="1:26" x14ac:dyDescent="0.25">
      <c r="A46" s="10" t="s">
        <v>82</v>
      </c>
      <c r="B46" s="10" t="s">
        <v>95</v>
      </c>
      <c r="C46" s="11">
        <f>SUMIFS('Raw Data'!$L:$L,'Raw Data'!$B:$B,$B$2,'Raw Data'!$J:$J,C$2,'Raw Data'!$K:$K,"native",'Raw Data'!$H:$H,"On Us",'Raw Data'!$I:$I,"",'Raw Data'!$M:$M,"JOD")</f>
        <v>162900000</v>
      </c>
      <c r="D46" s="11">
        <f>SUMIFS('Raw Data'!$L:$L,'Raw Data'!$B:$B,$B$2,'Raw Data'!$J:$J,D$2,'Raw Data'!$K:$K,"native",'Raw Data'!$H:$H,"On Us",'Raw Data'!$I:$I,"",'Raw Data'!$M:$M,"JOD")</f>
        <v>172600000</v>
      </c>
      <c r="E46" s="11">
        <f>SUMIFS('Raw Data'!$L:$L,'Raw Data'!$B:$B,$B$2,'Raw Data'!$J:$J,E$2,'Raw Data'!$K:$K,"native",'Raw Data'!$H:$H,"On Us",'Raw Data'!$I:$I,"",'Raw Data'!$M:$M,"JOD")</f>
        <v>167300000</v>
      </c>
      <c r="F46" s="11">
        <f>SUMIFS('Raw Data'!$L:$L,'Raw Data'!$B:$B,$B$2,'Raw Data'!$J:$J,F$2,'Raw Data'!$K:$K,"native",'Raw Data'!$H:$H,"On Us",'Raw Data'!$I:$I,"",'Raw Data'!$M:$M,"JOD")</f>
        <v>190500000</v>
      </c>
      <c r="G46" s="11">
        <f>SUMIFS('Raw Data'!$L:$L,'Raw Data'!$B:$B,$B$2,'Raw Data'!$J:$J,G$2,'Raw Data'!$K:$K,"native",'Raw Data'!$H:$H,"On Us",'Raw Data'!$I:$I,"",'Raw Data'!$M:$M,"JOD")</f>
        <v>189400000</v>
      </c>
      <c r="H46" s="11">
        <f>SUMIFS('Raw Data'!$L:$L,'Raw Data'!$B:$B,$B$2,'Raw Data'!$J:$J,H$2,'Raw Data'!$K:$K,"native",'Raw Data'!$H:$H,"On Us",'Raw Data'!$I:$I,"",'Raw Data'!$M:$M,"JOD")</f>
        <v>181700000</v>
      </c>
      <c r="I46" s="11">
        <f>SUMIFS('Raw Data'!$L:$L,'Raw Data'!$B:$B,$B$2,'Raw Data'!$J:$J,I$2,'Raw Data'!$K:$K,"native",'Raw Data'!$H:$H,"On Us",'Raw Data'!$I:$I,"",'Raw Data'!$M:$M,"JOD")</f>
        <v>223900000</v>
      </c>
      <c r="J46" s="11">
        <f>SUMIFS('Raw Data'!$L:$L,'Raw Data'!$B:$B,$B$2,'Raw Data'!$J:$J,J$2,'Raw Data'!$K:$K,"native",'Raw Data'!$H:$H,"On Us",'Raw Data'!$I:$I,"",'Raw Data'!$M:$M,"JOD")</f>
        <v>207800000</v>
      </c>
      <c r="K46" s="11">
        <f>SUMIFS('Raw Data'!$L:$L,'Raw Data'!$B:$B,$B$2,'Raw Data'!$J:$J,K$2,'Raw Data'!$K:$K,"native",'Raw Data'!$H:$H,"On Us",'Raw Data'!$I:$I,"",'Raw Data'!$M:$M,"JOD")</f>
        <v>232800000</v>
      </c>
      <c r="L46" s="11">
        <f>SUMIFS('Raw Data'!$L:$L,'Raw Data'!$B:$B,$B$2,'Raw Data'!$J:$J,L$2,'Raw Data'!$K:$K,"native",'Raw Data'!$H:$H,"On Us",'Raw Data'!$I:$I,"",'Raw Data'!$M:$M,"JOD")</f>
        <v>227200000</v>
      </c>
      <c r="M46" s="11">
        <f>SUMIFS('Raw Data'!$L:$L,'Raw Data'!$B:$B,$B$2,'Raw Data'!$J:$J,M$2,'Raw Data'!$K:$K,"native",'Raw Data'!$H:$H,"On Us",'Raw Data'!$I:$I,"",'Raw Data'!$M:$M,"JOD")</f>
        <v>257800000</v>
      </c>
      <c r="N46" s="11">
        <f>SUMIFS('Raw Data'!$L:$L,'Raw Data'!$B:$B,$B$2,'Raw Data'!$J:$J,N$2,'Raw Data'!$K:$K,"native",'Raw Data'!$H:$H,"On Us",'Raw Data'!$I:$I,"",'Raw Data'!$M:$M,"JOD")</f>
        <v>253700000</v>
      </c>
      <c r="O46" s="11">
        <f>SUMIFS('Raw Data'!$L:$L,'Raw Data'!$B:$B,$B$2,'Raw Data'!$J:$J,O$2,'Raw Data'!$K:$K,"native",'Raw Data'!$H:$H,"On Us",'Raw Data'!$I:$I,"",'Raw Data'!$M:$M,"JOD")</f>
        <v>250100000</v>
      </c>
      <c r="P46" s="11">
        <f>SUMIFS('Raw Data'!$L:$L,'Raw Data'!$B:$B,$B$2,'Raw Data'!$J:$J,P$2,'Raw Data'!$K:$K,"native",'Raw Data'!$H:$H,"On Us",'Raw Data'!$I:$I,"",'Raw Data'!$M:$M,"JOD")</f>
        <v>247400000</v>
      </c>
      <c r="Q46" s="11">
        <f>SUMIFS('Raw Data'!$L:$L,'Raw Data'!$B:$B,$B$2,'Raw Data'!$J:$J,Q$2,'Raw Data'!$K:$K,"native",'Raw Data'!$H:$H,"On Us",'Raw Data'!$I:$I,"",'Raw Data'!$M:$M,"JOD")</f>
        <v>232200000</v>
      </c>
      <c r="R46" s="11">
        <f>SUMIFS('Raw Data'!$L:$L,'Raw Data'!$B:$B,$B$2,'Raw Data'!$J:$J,R$2,'Raw Data'!$K:$K,"native",'Raw Data'!$H:$H,"On Us",'Raw Data'!$I:$I,"",'Raw Data'!$M:$M,"JOD")</f>
        <v>255800000</v>
      </c>
      <c r="S46" s="11">
        <f>SUMIFS('Raw Data'!$L:$L,'Raw Data'!$B:$B,$B$2,'Raw Data'!$J:$J,S$2,'Raw Data'!$K:$K,"native",'Raw Data'!$H:$H,"On Us",'Raw Data'!$I:$I,"",'Raw Data'!$M:$M,"JOD")</f>
        <v>260200000</v>
      </c>
      <c r="T46" s="11">
        <f>SUMIFS('Raw Data'!$L:$L,'Raw Data'!$B:$B,$B$2,'Raw Data'!$J:$J,T$2,'Raw Data'!$K:$K,"native",'Raw Data'!$H:$H,"On Us",'Raw Data'!$I:$I,"",'Raw Data'!$M:$M,"JOD")</f>
        <v>246900000</v>
      </c>
      <c r="U46" s="11">
        <f>SUMIFS('Raw Data'!$L:$L,'Raw Data'!$B:$B,$B$2,'Raw Data'!$J:$J,U$2,'Raw Data'!$K:$K,"native",'Raw Data'!$H:$H,"On Us",'Raw Data'!$I:$I,"",'Raw Data'!$M:$M,"JOD")</f>
        <v>279100000</v>
      </c>
      <c r="V46" s="11">
        <f>SUMIFS('Raw Data'!$L:$L,'Raw Data'!$B:$B,$B$2,'Raw Data'!$J:$J,V$2,'Raw Data'!$K:$K,"native",'Raw Data'!$H:$H,"On Us",'Raw Data'!$I:$I,"",'Raw Data'!$M:$M,"JOD")</f>
        <v>257100000</v>
      </c>
      <c r="W46" s="11">
        <f>SUMIFS('Raw Data'!$L:$L,'Raw Data'!$B:$B,$B$2,'Raw Data'!$J:$J,W$2,'Raw Data'!$K:$K,"native",'Raw Data'!$H:$H,"On Us",'Raw Data'!$I:$I,"",'Raw Data'!$M:$M,"JOD")</f>
        <v>292500000</v>
      </c>
      <c r="X46" s="11">
        <f>SUMIFS('Raw Data'!$L:$L,'Raw Data'!$B:$B,$B$2,'Raw Data'!$J:$J,X$2,'Raw Data'!$K:$K,"native",'Raw Data'!$H:$H,"On Us",'Raw Data'!$I:$I,"",'Raw Data'!$M:$M,"JOD")</f>
        <v>288900000</v>
      </c>
      <c r="Y46" s="11">
        <f>SUMIFS('Raw Data'!$L:$L,'Raw Data'!$B:$B,$B$2,'Raw Data'!$J:$J,Y$2,'Raw Data'!$K:$K,"native",'Raw Data'!$H:$H,"On Us",'Raw Data'!$I:$I,"",'Raw Data'!$M:$M,"JOD")</f>
        <v>316100000</v>
      </c>
      <c r="Z46" s="11">
        <f>SUMIFS('Raw Data'!$L:$L,'Raw Data'!$B:$B,$B$2,'Raw Data'!$J:$J,Z$2,'Raw Data'!$K:$K,"native",'Raw Data'!$H:$H,"On Us",'Raw Data'!$I:$I,"",'Raw Data'!$M:$M,"JOD")</f>
        <v>328100000</v>
      </c>
    </row>
  </sheetData>
  <mergeCells count="11">
    <mergeCell ref="A44:Z44"/>
    <mergeCell ref="A22:Z22"/>
    <mergeCell ref="A25:Z25"/>
    <mergeCell ref="A31:Z31"/>
    <mergeCell ref="A34:Z34"/>
    <mergeCell ref="A41:Z41"/>
    <mergeCell ref="A1:Z1"/>
    <mergeCell ref="A4:Z4"/>
    <mergeCell ref="A7:Z7"/>
    <mergeCell ref="A10:Z10"/>
    <mergeCell ref="A19:Z1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45309"/>
  </sheetPr>
  <dimension ref="A1:Z76"/>
  <sheetViews>
    <sheetView showGridLines="0" zoomScaleNormal="100" workbookViewId="0">
      <pane xSplit="2" ySplit="3" topLeftCell="T4" activePane="bottomRight" state="frozen"/>
      <selection pane="topRight" activeCell="C1" sqref="C1"/>
      <selection pane="bottomLeft" activeCell="A4" sqref="A4"/>
      <selection pane="bottomRight" activeCell="AC67" sqref="AC67"/>
    </sheetView>
  </sheetViews>
  <sheetFormatPr defaultColWidth="8.7109375" defaultRowHeight="15" x14ac:dyDescent="0.25"/>
  <cols>
    <col min="1" max="1" width="22" customWidth="1"/>
    <col min="2" max="2" width="40" customWidth="1"/>
    <col min="3" max="26" width="13" customWidth="1"/>
  </cols>
  <sheetData>
    <row r="1" spans="1:26" ht="25.5" customHeight="1" x14ac:dyDescent="0.25">
      <c r="A1" s="52" t="s">
        <v>4329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spans="1:26" hidden="1" x14ac:dyDescent="0.25">
      <c r="A2" s="6" t="s">
        <v>34</v>
      </c>
      <c r="B2" s="7" t="s">
        <v>97</v>
      </c>
      <c r="C2" s="8" t="str">
        <f>RIGHT(C$3,4)&amp;"-"&amp;TEXT(MATCH(LEFT(C$3,3),{"Jan","Feb","Mar","Apr","May","Jun","Jul","Aug","Sep","Oct","Nov","Dec"},0),"00")</f>
        <v>2024-09</v>
      </c>
      <c r="D2" s="8" t="str">
        <f>RIGHT(D$3,4)&amp;"-"&amp;TEXT(MATCH(LEFT(D$3,3),{"Jan","Feb","Mar","Apr","May","Jun","Jul","Aug","Sep","Oct","Nov","Dec"},0),"00")</f>
        <v>2024-10</v>
      </c>
      <c r="E2" s="8" t="str">
        <f>RIGHT(E$3,4)&amp;"-"&amp;TEXT(MATCH(LEFT(E$3,3),{"Jan","Feb","Mar","Apr","May","Jun","Jul","Aug","Sep","Oct","Nov","Dec"},0),"00")</f>
        <v>2024-11</v>
      </c>
      <c r="F2" s="8" t="str">
        <f>RIGHT(F$3,4)&amp;"-"&amp;TEXT(MATCH(LEFT(F$3,3),{"Jan","Feb","Mar","Apr","May","Jun","Jul","Aug","Sep","Oct","Nov","Dec"},0),"00")</f>
        <v>2024-12</v>
      </c>
      <c r="G2" s="8" t="str">
        <f>RIGHT(G$3,4)&amp;"-"&amp;TEXT(MATCH(LEFT(G$3,3),{"Jan","Feb","Mar","Apr","May","Jun","Jul","Aug","Sep","Oct","Nov","Dec"},0),"00")</f>
        <v>2025-01</v>
      </c>
      <c r="H2" s="8" t="str">
        <f>RIGHT(H$3,4)&amp;"-"&amp;TEXT(MATCH(LEFT(H$3,3),{"Jan","Feb","Mar","Apr","May","Jun","Jul","Aug","Sep","Oct","Nov","Dec"},0),"00")</f>
        <v>2025-02</v>
      </c>
      <c r="I2" s="8" t="str">
        <f>RIGHT(I$3,4)&amp;"-"&amp;TEXT(MATCH(LEFT(I$3,3),{"Jan","Feb","Mar","Apr","May","Jun","Jul","Aug","Sep","Oct","Nov","Dec"},0),"00")</f>
        <v>2025-03</v>
      </c>
      <c r="J2" s="8" t="str">
        <f>RIGHT(J$3,4)&amp;"-"&amp;TEXT(MATCH(LEFT(J$3,3),{"Jan","Feb","Mar","Apr","May","Jun","Jul","Aug","Sep","Oct","Nov","Dec"},0),"00")</f>
        <v>2025-04</v>
      </c>
      <c r="K2" s="8" t="str">
        <f>RIGHT(K$3,4)&amp;"-"&amp;TEXT(MATCH(LEFT(K$3,3),{"Jan","Feb","Mar","Apr","May","Jun","Jul","Aug","Sep","Oct","Nov","Dec"},0),"00")</f>
        <v>2025-05</v>
      </c>
      <c r="L2" s="8" t="str">
        <f>RIGHT(L$3,4)&amp;"-"&amp;TEXT(MATCH(LEFT(L$3,3),{"Jan","Feb","Mar","Apr","May","Jun","Jul","Aug","Sep","Oct","Nov","Dec"},0),"00")</f>
        <v>2025-06</v>
      </c>
      <c r="M2" s="8" t="str">
        <f>RIGHT(M$3,4)&amp;"-"&amp;TEXT(MATCH(LEFT(M$3,3),{"Jan","Feb","Mar","Apr","May","Jun","Jul","Aug","Sep","Oct","Nov","Dec"},0),"00")</f>
        <v>2025-07</v>
      </c>
      <c r="N2" s="8" t="str">
        <f>RIGHT(N$3,4)&amp;"-"&amp;TEXT(MATCH(LEFT(N$3,3),{"Jan","Feb","Mar","Apr","May","Jun","Jul","Aug","Sep","Oct","Nov","Dec"},0),"00")</f>
        <v>2025-08</v>
      </c>
      <c r="O2" s="8" t="str">
        <f>RIGHT(O$3,4)&amp;"-"&amp;TEXT(MATCH(LEFT(O$3,3),{"Jan","Feb","Mar","Apr","May","Jun","Jul","Aug","Sep","Oct","Nov","Dec"},0),"00")</f>
        <v>2025-09</v>
      </c>
      <c r="P2" s="8" t="str">
        <f>RIGHT(P$3,4)&amp;"-"&amp;TEXT(MATCH(LEFT(P$3,3),{"Jan","Feb","Mar","Apr","May","Jun","Jul","Aug","Sep","Oct","Nov","Dec"},0),"00")</f>
        <v>2025-10</v>
      </c>
      <c r="Q2" s="8" t="str">
        <f>RIGHT(Q$3,4)&amp;"-"&amp;TEXT(MATCH(LEFT(Q$3,3),{"Jan","Feb","Mar","Apr","May","Jun","Jul","Aug","Sep","Oct","Nov","Dec"},0),"00")</f>
        <v>2025-11</v>
      </c>
      <c r="R2" s="8" t="str">
        <f>RIGHT(R$3,4)&amp;"-"&amp;TEXT(MATCH(LEFT(R$3,3),{"Jan","Feb","Mar","Apr","May","Jun","Jul","Aug","Sep","Oct","Nov","Dec"},0),"00")</f>
        <v>2025-12</v>
      </c>
      <c r="S2" s="8" t="str">
        <f>RIGHT(S$3,4)&amp;"-"&amp;TEXT(MATCH(LEFT(S$3,3),{"Jan","Feb","Mar","Apr","May","Jun","Jul","Aug","Sep","Oct","Nov","Dec"},0),"00")</f>
        <v>2026-01</v>
      </c>
      <c r="T2" s="8" t="str">
        <f>RIGHT(T$3,4)&amp;"-"&amp;TEXT(MATCH(LEFT(T$3,3),{"Jan","Feb","Mar","Apr","May","Jun","Jul","Aug","Sep","Oct","Nov","Dec"},0),"00")</f>
        <v>2026-02</v>
      </c>
      <c r="U2" s="8" t="str">
        <f>RIGHT(U$3,4)&amp;"-"&amp;TEXT(MATCH(LEFT(U$3,3),{"Jan","Feb","Mar","Apr","May","Jun","Jul","Aug","Sep","Oct","Nov","Dec"},0),"00")</f>
        <v>2026-03</v>
      </c>
      <c r="V2" s="8" t="str">
        <f>RIGHT(V$3,4)&amp;"-"&amp;TEXT(MATCH(LEFT(V$3,3),{"Jan","Feb","Mar","Apr","May","Jun","Jul","Aug","Sep","Oct","Nov","Dec"},0),"00")</f>
        <v>2026-04</v>
      </c>
      <c r="W2" s="8" t="str">
        <f>RIGHT(W$3,4)&amp;"-"&amp;TEXT(MATCH(LEFT(W$3,3),{"Jan","Feb","Mar","Apr","May","Jun","Jul","Aug","Sep","Oct","Nov","Dec"},0),"00")</f>
        <v>2026-05</v>
      </c>
      <c r="X2" s="8" t="str">
        <f>RIGHT(X$3,4)&amp;"-"&amp;TEXT(MATCH(LEFT(X$3,3),{"Jan","Feb","Mar","Apr","May","Jun","Jul","Aug","Sep","Oct","Nov","Dec"},0),"00")</f>
        <v>2026-06</v>
      </c>
      <c r="Y2" s="8" t="str">
        <f>RIGHT(Y$3,4)&amp;"-"&amp;TEXT(MATCH(LEFT(Y$3,3),{"Jan","Feb","Mar","Apr","May","Jun","Jul","Aug","Sep","Oct","Nov","Dec"},0),"00")</f>
        <v>2026-07</v>
      </c>
      <c r="Z2" s="8" t="str">
        <f>RIGHT(Z$3,4)&amp;"-"&amp;TEXT(MATCH(LEFT(Z$3,3),{"Jan","Feb","Mar","Apr","May","Jun","Jul","Aug","Sep","Oct","Nov","Dec"},0),"00")</f>
        <v>2026-08</v>
      </c>
    </row>
    <row r="3" spans="1:26" ht="19.5" customHeight="1" x14ac:dyDescent="0.25">
      <c r="A3" s="9" t="s">
        <v>36</v>
      </c>
      <c r="B3" s="9" t="s">
        <v>37</v>
      </c>
      <c r="C3" s="9" t="s">
        <v>38</v>
      </c>
      <c r="D3" s="9" t="s">
        <v>39</v>
      </c>
      <c r="E3" s="9" t="s">
        <v>40</v>
      </c>
      <c r="F3" s="9" t="s">
        <v>41</v>
      </c>
      <c r="G3" s="9" t="s">
        <v>42</v>
      </c>
      <c r="H3" s="9" t="s">
        <v>43</v>
      </c>
      <c r="I3" s="9" t="s">
        <v>44</v>
      </c>
      <c r="J3" s="9" t="s">
        <v>45</v>
      </c>
      <c r="K3" s="9" t="s">
        <v>46</v>
      </c>
      <c r="L3" s="9" t="s">
        <v>47</v>
      </c>
      <c r="M3" s="9" t="s">
        <v>48</v>
      </c>
      <c r="N3" s="9" t="s">
        <v>49</v>
      </c>
      <c r="O3" s="9" t="s">
        <v>50</v>
      </c>
      <c r="P3" s="9" t="s">
        <v>51</v>
      </c>
      <c r="Q3" s="9" t="s">
        <v>52</v>
      </c>
      <c r="R3" s="9" t="s">
        <v>53</v>
      </c>
      <c r="S3" s="9" t="s">
        <v>54</v>
      </c>
      <c r="T3" s="9" t="s">
        <v>55</v>
      </c>
      <c r="U3" s="9" t="s">
        <v>56</v>
      </c>
      <c r="V3" s="9" t="s">
        <v>57</v>
      </c>
      <c r="W3" s="9" t="s">
        <v>58</v>
      </c>
      <c r="X3" s="9" t="s">
        <v>59</v>
      </c>
      <c r="Y3" s="9" t="s">
        <v>60</v>
      </c>
      <c r="Z3" s="9" t="s">
        <v>61</v>
      </c>
    </row>
    <row r="4" spans="1:26" x14ac:dyDescent="0.25">
      <c r="A4" s="53" t="s">
        <v>62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x14ac:dyDescent="0.25">
      <c r="A5" s="10" t="s">
        <v>63</v>
      </c>
      <c r="B5" s="10" t="s">
        <v>64</v>
      </c>
      <c r="C5" s="11">
        <f>SUMIFS('Raw Data'!$L:$L,'Raw Data'!$B:$B,$B$2,'Raw Data'!$J:$J,C$2,'Raw Data'!$K:$K,"native",'Raw Data'!$H:$H,"Jordanian",'Raw Data'!$I:$I,"",'Raw Data'!$M:$M,"count")</f>
        <v>2050000</v>
      </c>
      <c r="D5" s="11">
        <f>SUMIFS('Raw Data'!$L:$L,'Raw Data'!$B:$B,$B$2,'Raw Data'!$J:$J,D$2,'Raw Data'!$K:$K,"native",'Raw Data'!$H:$H,"Jordanian",'Raw Data'!$I:$I,"",'Raw Data'!$M:$M,"count")</f>
        <v>2090000</v>
      </c>
      <c r="E5" s="11">
        <f>SUMIFS('Raw Data'!$L:$L,'Raw Data'!$B:$B,$B$2,'Raw Data'!$J:$J,E$2,'Raw Data'!$K:$K,"native",'Raw Data'!$H:$H,"Jordanian",'Raw Data'!$I:$I,"",'Raw Data'!$M:$M,"count")</f>
        <v>2120000</v>
      </c>
      <c r="F5" s="11">
        <f>SUMIFS('Raw Data'!$L:$L,'Raw Data'!$B:$B,$B$2,'Raw Data'!$J:$J,F$2,'Raw Data'!$K:$K,"native",'Raw Data'!$H:$H,"Jordanian",'Raw Data'!$I:$I,"",'Raw Data'!$M:$M,"count")</f>
        <v>2290000</v>
      </c>
      <c r="G5" s="11">
        <f>SUMIFS('Raw Data'!$L:$L,'Raw Data'!$B:$B,$B$2,'Raw Data'!$J:$J,G$2,'Raw Data'!$K:$K,"native",'Raw Data'!$H:$H,"Jordanian",'Raw Data'!$I:$I,"",'Raw Data'!$M:$M,"count")</f>
        <v>2240000</v>
      </c>
      <c r="H5" s="11">
        <f>SUMIFS('Raw Data'!$L:$L,'Raw Data'!$B:$B,$B$2,'Raw Data'!$J:$J,H$2,'Raw Data'!$K:$K,"native",'Raw Data'!$H:$H,"Jordanian",'Raw Data'!$I:$I,"",'Raw Data'!$M:$M,"count")</f>
        <v>2270000</v>
      </c>
      <c r="I5" s="11">
        <f>SUMIFS('Raw Data'!$L:$L,'Raw Data'!$B:$B,$B$2,'Raw Data'!$J:$J,I$2,'Raw Data'!$K:$K,"native",'Raw Data'!$H:$H,"Jordanian",'Raw Data'!$I:$I,"",'Raw Data'!$M:$M,"count")</f>
        <v>2290000</v>
      </c>
      <c r="J5" s="11">
        <f>SUMIFS('Raw Data'!$L:$L,'Raw Data'!$B:$B,$B$2,'Raw Data'!$J:$J,J$2,'Raw Data'!$K:$K,"native",'Raw Data'!$H:$H,"Jordanian",'Raw Data'!$I:$I,"",'Raw Data'!$M:$M,"count")</f>
        <v>2320000</v>
      </c>
      <c r="K5" s="11">
        <f>SUMIFS('Raw Data'!$L:$L,'Raw Data'!$B:$B,$B$2,'Raw Data'!$J:$J,K$2,'Raw Data'!$K:$K,"native",'Raw Data'!$H:$H,"Jordanian",'Raw Data'!$I:$I,"",'Raw Data'!$M:$M,"count")</f>
        <v>2350000</v>
      </c>
      <c r="L5" s="11">
        <f>SUMIFS('Raw Data'!$L:$L,'Raw Data'!$B:$B,$B$2,'Raw Data'!$J:$J,L$2,'Raw Data'!$K:$K,"native",'Raw Data'!$H:$H,"Jordanian",'Raw Data'!$I:$I,"",'Raw Data'!$M:$M,"count")</f>
        <v>2350000</v>
      </c>
      <c r="M5" s="11">
        <f>SUMIFS('Raw Data'!$L:$L,'Raw Data'!$B:$B,$B$2,'Raw Data'!$J:$J,M$2,'Raw Data'!$K:$K,"native",'Raw Data'!$H:$H,"Jordanian",'Raw Data'!$I:$I,"",'Raw Data'!$M:$M,"count")</f>
        <v>2310000</v>
      </c>
      <c r="N5" s="11">
        <f>SUMIFS('Raw Data'!$L:$L,'Raw Data'!$B:$B,$B$2,'Raw Data'!$J:$J,N$2,'Raw Data'!$K:$K,"native",'Raw Data'!$H:$H,"Jordanian",'Raw Data'!$I:$I,"",'Raw Data'!$M:$M,"count")</f>
        <v>2340000</v>
      </c>
      <c r="O5" s="11">
        <f>SUMIFS('Raw Data'!$L:$L,'Raw Data'!$B:$B,$B$2,'Raw Data'!$J:$J,O$2,'Raw Data'!$K:$K,"native",'Raw Data'!$H:$H,"Jordanian",'Raw Data'!$I:$I,"",'Raw Data'!$M:$M,"count")</f>
        <v>2370000</v>
      </c>
      <c r="P5" s="11">
        <f>SUMIFS('Raw Data'!$L:$L,'Raw Data'!$B:$B,$B$2,'Raw Data'!$J:$J,P$2,'Raw Data'!$K:$K,"native",'Raw Data'!$H:$H,"Jordanian",'Raw Data'!$I:$I,"",'Raw Data'!$M:$M,"count")</f>
        <v>2400000</v>
      </c>
      <c r="Q5" s="11">
        <f>SUMIFS('Raw Data'!$L:$L,'Raw Data'!$B:$B,$B$2,'Raw Data'!$J:$J,Q$2,'Raw Data'!$K:$K,"native",'Raw Data'!$H:$H,"Jordanian",'Raw Data'!$I:$I,"",'Raw Data'!$M:$M,"count")</f>
        <v>2440000</v>
      </c>
      <c r="R5" s="11">
        <f>SUMIFS('Raw Data'!$L:$L,'Raw Data'!$B:$B,$B$2,'Raw Data'!$J:$J,R$2,'Raw Data'!$K:$K,"native",'Raw Data'!$H:$H,"Jordanian",'Raw Data'!$I:$I,"",'Raw Data'!$M:$M,"count")</f>
        <v>2470000</v>
      </c>
      <c r="S5" s="11">
        <f>SUMIFS('Raw Data'!$L:$L,'Raw Data'!$B:$B,$B$2,'Raw Data'!$J:$J,S$2,'Raw Data'!$K:$K,"native",'Raw Data'!$H:$H,"Jordanian",'Raw Data'!$I:$I,"",'Raw Data'!$M:$M,"count")</f>
        <v>2500000</v>
      </c>
      <c r="T5" s="11">
        <f>SUMIFS('Raw Data'!$L:$L,'Raw Data'!$B:$B,$B$2,'Raw Data'!$J:$J,T$2,'Raw Data'!$K:$K,"native",'Raw Data'!$H:$H,"Jordanian",'Raw Data'!$I:$I,"",'Raw Data'!$M:$M,"count")</f>
        <v>2500000</v>
      </c>
      <c r="U5" s="11">
        <f>SUMIFS('Raw Data'!$L:$L,'Raw Data'!$B:$B,$B$2,'Raw Data'!$J:$J,U$2,'Raw Data'!$K:$K,"native",'Raw Data'!$H:$H,"Jordanian",'Raw Data'!$I:$I,"",'Raw Data'!$M:$M,"count")</f>
        <v>2550000</v>
      </c>
      <c r="V5" s="11">
        <f>SUMIFS('Raw Data'!$L:$L,'Raw Data'!$B:$B,$B$2,'Raw Data'!$J:$J,V$2,'Raw Data'!$K:$K,"native",'Raw Data'!$H:$H,"Jordanian",'Raw Data'!$I:$I,"",'Raw Data'!$M:$M,"count")</f>
        <v>2570000</v>
      </c>
      <c r="W5" s="11">
        <f>SUMIFS('Raw Data'!$L:$L,'Raw Data'!$B:$B,$B$2,'Raw Data'!$J:$J,W$2,'Raw Data'!$K:$K,"native",'Raw Data'!$H:$H,"Jordanian",'Raw Data'!$I:$I,"",'Raw Data'!$M:$M,"count")</f>
        <v>2600000</v>
      </c>
      <c r="X5" s="11">
        <f>SUMIFS('Raw Data'!$L:$L,'Raw Data'!$B:$B,$B$2,'Raw Data'!$J:$J,X$2,'Raw Data'!$K:$K,"native",'Raw Data'!$H:$H,"Jordanian",'Raw Data'!$I:$I,"",'Raw Data'!$M:$M,"count")</f>
        <v>2630000</v>
      </c>
      <c r="Y5" s="11">
        <f>SUMIFS('Raw Data'!$L:$L,'Raw Data'!$B:$B,$B$2,'Raw Data'!$J:$J,Y$2,'Raw Data'!$K:$K,"native",'Raw Data'!$H:$H,"Jordanian",'Raw Data'!$I:$I,"",'Raw Data'!$M:$M,"count")</f>
        <v>2650000</v>
      </c>
      <c r="Z5" s="11">
        <f>SUMIFS('Raw Data'!$L:$L,'Raw Data'!$B:$B,$B$2,'Raw Data'!$J:$J,Z$2,'Raw Data'!$K:$K,"native",'Raw Data'!$H:$H,"Jordanian",'Raw Data'!$I:$I,"",'Raw Data'!$M:$M,"count")</f>
        <v>2680000</v>
      </c>
    </row>
    <row r="6" spans="1:26" x14ac:dyDescent="0.25">
      <c r="A6" s="10" t="s">
        <v>63</v>
      </c>
      <c r="B6" s="10" t="s">
        <v>65</v>
      </c>
      <c r="C6" s="11">
        <f>SUMIFS('Raw Data'!$L:$L,'Raw Data'!$B:$B,$B$2,'Raw Data'!$J:$J,C$2,'Raw Data'!$K:$K,"native",'Raw Data'!$H:$H,"Non-Jordanian",'Raw Data'!$I:$I,"",'Raw Data'!$M:$M,"count")</f>
        <v>278000</v>
      </c>
      <c r="D6" s="11">
        <f>SUMIFS('Raw Data'!$L:$L,'Raw Data'!$B:$B,$B$2,'Raw Data'!$J:$J,D$2,'Raw Data'!$K:$K,"native",'Raw Data'!$H:$H,"Non-Jordanian",'Raw Data'!$I:$I,"",'Raw Data'!$M:$M,"count")</f>
        <v>282000</v>
      </c>
      <c r="E6" s="11">
        <f>SUMIFS('Raw Data'!$L:$L,'Raw Data'!$B:$B,$B$2,'Raw Data'!$J:$J,E$2,'Raw Data'!$K:$K,"native",'Raw Data'!$H:$H,"Non-Jordanian",'Raw Data'!$I:$I,"",'Raw Data'!$M:$M,"count")</f>
        <v>285000</v>
      </c>
      <c r="F6" s="11">
        <f>SUMIFS('Raw Data'!$L:$L,'Raw Data'!$B:$B,$B$2,'Raw Data'!$J:$J,F$2,'Raw Data'!$K:$K,"native",'Raw Data'!$H:$H,"Non-Jordanian",'Raw Data'!$I:$I,"",'Raw Data'!$M:$M,"count")</f>
        <v>300400</v>
      </c>
      <c r="G6" s="11">
        <f>SUMIFS('Raw Data'!$L:$L,'Raw Data'!$B:$B,$B$2,'Raw Data'!$J:$J,G$2,'Raw Data'!$K:$K,"native",'Raw Data'!$H:$H,"Non-Jordanian",'Raw Data'!$I:$I,"",'Raw Data'!$M:$M,"count")</f>
        <v>303900</v>
      </c>
      <c r="H6" s="11">
        <f>SUMIFS('Raw Data'!$L:$L,'Raw Data'!$B:$B,$B$2,'Raw Data'!$J:$J,H$2,'Raw Data'!$K:$K,"native",'Raw Data'!$H:$H,"Non-Jordanian",'Raw Data'!$I:$I,"",'Raw Data'!$M:$M,"count")</f>
        <v>307100</v>
      </c>
      <c r="I6" s="11">
        <f>SUMIFS('Raw Data'!$L:$L,'Raw Data'!$B:$B,$B$2,'Raw Data'!$J:$J,I$2,'Raw Data'!$K:$K,"native",'Raw Data'!$H:$H,"Non-Jordanian",'Raw Data'!$I:$I,"",'Raw Data'!$M:$M,"count")</f>
        <v>310100</v>
      </c>
      <c r="J6" s="11">
        <f>SUMIFS('Raw Data'!$L:$L,'Raw Data'!$B:$B,$B$2,'Raw Data'!$J:$J,J$2,'Raw Data'!$K:$K,"native",'Raw Data'!$H:$H,"Non-Jordanian",'Raw Data'!$I:$I,"",'Raw Data'!$M:$M,"count")</f>
        <v>313300</v>
      </c>
      <c r="K6" s="11">
        <f>SUMIFS('Raw Data'!$L:$L,'Raw Data'!$B:$B,$B$2,'Raw Data'!$J:$J,K$2,'Raw Data'!$K:$K,"native",'Raw Data'!$H:$H,"Non-Jordanian",'Raw Data'!$I:$I,"",'Raw Data'!$M:$M,"count")</f>
        <v>317000</v>
      </c>
      <c r="L6" s="11">
        <f>SUMIFS('Raw Data'!$L:$L,'Raw Data'!$B:$B,$B$2,'Raw Data'!$J:$J,L$2,'Raw Data'!$K:$K,"native",'Raw Data'!$H:$H,"Non-Jordanian",'Raw Data'!$I:$I,"",'Raw Data'!$M:$M,"count")</f>
        <v>319600</v>
      </c>
      <c r="M6" s="11">
        <f>SUMIFS('Raw Data'!$L:$L,'Raw Data'!$B:$B,$B$2,'Raw Data'!$J:$J,M$2,'Raw Data'!$K:$K,"native",'Raw Data'!$H:$H,"Non-Jordanian",'Raw Data'!$I:$I,"",'Raw Data'!$M:$M,"count")</f>
        <v>320000</v>
      </c>
      <c r="N6" s="11">
        <f>SUMIFS('Raw Data'!$L:$L,'Raw Data'!$B:$B,$B$2,'Raw Data'!$J:$J,N$2,'Raw Data'!$K:$K,"native",'Raw Data'!$H:$H,"Non-Jordanian",'Raw Data'!$I:$I,"",'Raw Data'!$M:$M,"count")</f>
        <v>325000</v>
      </c>
      <c r="O6" s="11">
        <f>SUMIFS('Raw Data'!$L:$L,'Raw Data'!$B:$B,$B$2,'Raw Data'!$J:$J,O$2,'Raw Data'!$K:$K,"native",'Raw Data'!$H:$H,"Non-Jordanian",'Raw Data'!$I:$I,"",'Raw Data'!$M:$M,"count")</f>
        <v>330000</v>
      </c>
      <c r="P6" s="11">
        <f>SUMIFS('Raw Data'!$L:$L,'Raw Data'!$B:$B,$B$2,'Raw Data'!$J:$J,P$2,'Raw Data'!$K:$K,"native",'Raw Data'!$H:$H,"Non-Jordanian",'Raw Data'!$I:$I,"",'Raw Data'!$M:$M,"count")</f>
        <v>334900</v>
      </c>
      <c r="Q6" s="11">
        <f>SUMIFS('Raw Data'!$L:$L,'Raw Data'!$B:$B,$B$2,'Raw Data'!$J:$J,Q$2,'Raw Data'!$K:$K,"native",'Raw Data'!$H:$H,"Non-Jordanian",'Raw Data'!$I:$I,"",'Raw Data'!$M:$M,"count")</f>
        <v>339800</v>
      </c>
      <c r="R6" s="11">
        <f>SUMIFS('Raw Data'!$L:$L,'Raw Data'!$B:$B,$B$2,'Raw Data'!$J:$J,R$2,'Raw Data'!$K:$K,"native",'Raw Data'!$H:$H,"Non-Jordanian",'Raw Data'!$I:$I,"",'Raw Data'!$M:$M,"count")</f>
        <v>344200</v>
      </c>
      <c r="S6" s="11">
        <f>SUMIFS('Raw Data'!$L:$L,'Raw Data'!$B:$B,$B$2,'Raw Data'!$J:$J,S$2,'Raw Data'!$K:$K,"native",'Raw Data'!$H:$H,"Non-Jordanian",'Raw Data'!$I:$I,"",'Raw Data'!$M:$M,"count")</f>
        <v>348500</v>
      </c>
      <c r="T6" s="11">
        <f>SUMIFS('Raw Data'!$L:$L,'Raw Data'!$B:$B,$B$2,'Raw Data'!$J:$J,T$2,'Raw Data'!$K:$K,"native",'Raw Data'!$H:$H,"Non-Jordanian",'Raw Data'!$I:$I,"",'Raw Data'!$M:$M,"count")</f>
        <v>353400</v>
      </c>
      <c r="U6" s="11">
        <f>SUMIFS('Raw Data'!$L:$L,'Raw Data'!$B:$B,$B$2,'Raw Data'!$J:$J,U$2,'Raw Data'!$K:$K,"native",'Raw Data'!$H:$H,"Non-Jordanian",'Raw Data'!$I:$I,"",'Raw Data'!$M:$M,"count")</f>
        <v>356600</v>
      </c>
      <c r="V6" s="11">
        <f>SUMIFS('Raw Data'!$L:$L,'Raw Data'!$B:$B,$B$2,'Raw Data'!$J:$J,V$2,'Raw Data'!$K:$K,"native",'Raw Data'!$H:$H,"Non-Jordanian",'Raw Data'!$I:$I,"",'Raw Data'!$M:$M,"count")</f>
        <v>361200</v>
      </c>
      <c r="W6" s="11">
        <f>SUMIFS('Raw Data'!$L:$L,'Raw Data'!$B:$B,$B$2,'Raw Data'!$J:$J,W$2,'Raw Data'!$K:$K,"native",'Raw Data'!$H:$H,"Non-Jordanian",'Raw Data'!$I:$I,"",'Raw Data'!$M:$M,"count")</f>
        <v>366100</v>
      </c>
      <c r="X6" s="11">
        <f>SUMIFS('Raw Data'!$L:$L,'Raw Data'!$B:$B,$B$2,'Raw Data'!$J:$J,X$2,'Raw Data'!$K:$K,"native",'Raw Data'!$H:$H,"Non-Jordanian",'Raw Data'!$I:$I,"",'Raw Data'!$M:$M,"count")</f>
        <v>371400</v>
      </c>
      <c r="Y6" s="11">
        <f>SUMIFS('Raw Data'!$L:$L,'Raw Data'!$B:$B,$B$2,'Raw Data'!$J:$J,Y$2,'Raw Data'!$K:$K,"native",'Raw Data'!$H:$H,"Non-Jordanian",'Raw Data'!$I:$I,"",'Raw Data'!$M:$M,"count")</f>
        <v>375100</v>
      </c>
      <c r="Z6" s="11">
        <f>SUMIFS('Raw Data'!$L:$L,'Raw Data'!$B:$B,$B$2,'Raw Data'!$J:$J,Z$2,'Raw Data'!$K:$K,"native",'Raw Data'!$H:$H,"Non-Jordanian",'Raw Data'!$I:$I,"",'Raw Data'!$M:$M,"count")</f>
        <v>387600</v>
      </c>
    </row>
    <row r="7" spans="1:26" x14ac:dyDescent="0.25">
      <c r="A7" s="53" t="s">
        <v>66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x14ac:dyDescent="0.25">
      <c r="A8" s="10" t="s">
        <v>63</v>
      </c>
      <c r="B8" s="10" t="s">
        <v>67</v>
      </c>
      <c r="C8" s="11">
        <f>SUMIFS('Raw Data'!$L:$L,'Raw Data'!$B:$B,$B$2,'Raw Data'!$J:$J,C$2,'Raw Data'!$K:$K,"native",'Raw Data'!$H:$H,"Female*",'Raw Data'!$I:$I,"",'Raw Data'!$M:$M,"count")</f>
        <v>1140000</v>
      </c>
      <c r="D8" s="11">
        <f>SUMIFS('Raw Data'!$L:$L,'Raw Data'!$B:$B,$B$2,'Raw Data'!$J:$J,D$2,'Raw Data'!$K:$K,"native",'Raw Data'!$H:$H,"Female*",'Raw Data'!$I:$I,"",'Raw Data'!$M:$M,"count")</f>
        <v>1170000</v>
      </c>
      <c r="E8" s="11">
        <f>SUMIFS('Raw Data'!$L:$L,'Raw Data'!$B:$B,$B$2,'Raw Data'!$J:$J,E$2,'Raw Data'!$K:$K,"native",'Raw Data'!$H:$H,"Female*",'Raw Data'!$I:$I,"",'Raw Data'!$M:$M,"count")</f>
        <v>1190000</v>
      </c>
      <c r="F8" s="11">
        <f>SUMIFS('Raw Data'!$L:$L,'Raw Data'!$B:$B,$B$2,'Raw Data'!$J:$J,F$2,'Raw Data'!$K:$K,"native",'Raw Data'!$H:$H,"Female*",'Raw Data'!$I:$I,"",'Raw Data'!$M:$M,"count")</f>
        <v>1260000</v>
      </c>
      <c r="G8" s="11">
        <f>SUMIFS('Raw Data'!$L:$L,'Raw Data'!$B:$B,$B$2,'Raw Data'!$J:$J,G$2,'Raw Data'!$K:$K,"native",'Raw Data'!$H:$H,"Female*",'Raw Data'!$I:$I,"",'Raw Data'!$M:$M,"count")</f>
        <v>1280000</v>
      </c>
      <c r="H8" s="11">
        <f>SUMIFS('Raw Data'!$L:$L,'Raw Data'!$B:$B,$B$2,'Raw Data'!$J:$J,H$2,'Raw Data'!$K:$K,"native",'Raw Data'!$H:$H,"Female*",'Raw Data'!$I:$I,"",'Raw Data'!$M:$M,"count")</f>
        <v>1300000</v>
      </c>
      <c r="I8" s="11">
        <f>SUMIFS('Raw Data'!$L:$L,'Raw Data'!$B:$B,$B$2,'Raw Data'!$J:$J,I$2,'Raw Data'!$K:$K,"native",'Raw Data'!$H:$H,"Female*",'Raw Data'!$I:$I,"",'Raw Data'!$M:$M,"count")</f>
        <v>1300000</v>
      </c>
      <c r="J8" s="11">
        <f>SUMIFS('Raw Data'!$L:$L,'Raw Data'!$B:$B,$B$2,'Raw Data'!$J:$J,J$2,'Raw Data'!$K:$K,"native",'Raw Data'!$H:$H,"Female*",'Raw Data'!$I:$I,"",'Raw Data'!$M:$M,"count")</f>
        <v>1300000</v>
      </c>
      <c r="K8" s="11">
        <f>SUMIFS('Raw Data'!$L:$L,'Raw Data'!$B:$B,$B$2,'Raw Data'!$J:$J,K$2,'Raw Data'!$K:$K,"native",'Raw Data'!$H:$H,"Female*",'Raw Data'!$I:$I,"",'Raw Data'!$M:$M,"count")</f>
        <v>1300000</v>
      </c>
      <c r="L8" s="11">
        <f>SUMIFS('Raw Data'!$L:$L,'Raw Data'!$B:$B,$B$2,'Raw Data'!$J:$J,L$2,'Raw Data'!$K:$K,"native",'Raw Data'!$H:$H,"Female*",'Raw Data'!$I:$I,"",'Raw Data'!$M:$M,"count")</f>
        <v>1290000</v>
      </c>
      <c r="M8" s="11">
        <f>SUMIFS('Raw Data'!$L:$L,'Raw Data'!$B:$B,$B$2,'Raw Data'!$J:$J,M$2,'Raw Data'!$K:$K,"native",'Raw Data'!$H:$H,"Female*",'Raw Data'!$I:$I,"",'Raw Data'!$M:$M,"count")</f>
        <v>1260000</v>
      </c>
      <c r="N8" s="11">
        <f>SUMIFS('Raw Data'!$L:$L,'Raw Data'!$B:$B,$B$2,'Raw Data'!$J:$J,N$2,'Raw Data'!$K:$K,"native",'Raw Data'!$H:$H,"Female*",'Raw Data'!$I:$I,"",'Raw Data'!$M:$M,"count")</f>
        <v>1270000</v>
      </c>
      <c r="O8" s="11">
        <f>SUMIFS('Raw Data'!$L:$L,'Raw Data'!$B:$B,$B$2,'Raw Data'!$J:$J,O$2,'Raw Data'!$K:$K,"native",'Raw Data'!$H:$H,"Female*",'Raw Data'!$I:$I,"",'Raw Data'!$M:$M,"count")</f>
        <v>1280000</v>
      </c>
      <c r="P8" s="11">
        <f>SUMIFS('Raw Data'!$L:$L,'Raw Data'!$B:$B,$B$2,'Raw Data'!$J:$J,P$2,'Raw Data'!$K:$K,"native",'Raw Data'!$H:$H,"Female*",'Raw Data'!$I:$I,"",'Raw Data'!$M:$M,"count")</f>
        <v>1290000</v>
      </c>
      <c r="Q8" s="11">
        <f>SUMIFS('Raw Data'!$L:$L,'Raw Data'!$B:$B,$B$2,'Raw Data'!$J:$J,Q$2,'Raw Data'!$K:$K,"native",'Raw Data'!$H:$H,"Female*",'Raw Data'!$I:$I,"",'Raw Data'!$M:$M,"count")</f>
        <v>1300000</v>
      </c>
      <c r="R8" s="11">
        <f>SUMIFS('Raw Data'!$L:$L,'Raw Data'!$B:$B,$B$2,'Raw Data'!$J:$J,R$2,'Raw Data'!$K:$K,"native",'Raw Data'!$H:$H,"Female*",'Raw Data'!$I:$I,"",'Raw Data'!$M:$M,"count")</f>
        <v>1320000</v>
      </c>
      <c r="S8" s="11">
        <f>SUMIFS('Raw Data'!$L:$L,'Raw Data'!$B:$B,$B$2,'Raw Data'!$J:$J,S$2,'Raw Data'!$K:$K,"native",'Raw Data'!$H:$H,"Female*",'Raw Data'!$I:$I,"",'Raw Data'!$M:$M,"count")</f>
        <v>1330000</v>
      </c>
      <c r="T8" s="11">
        <f>SUMIFS('Raw Data'!$L:$L,'Raw Data'!$B:$B,$B$2,'Raw Data'!$J:$J,T$2,'Raw Data'!$K:$K,"native",'Raw Data'!$H:$H,"Female*",'Raw Data'!$I:$I,"",'Raw Data'!$M:$M,"count")</f>
        <v>1340000</v>
      </c>
      <c r="U8" s="11">
        <f>SUMIFS('Raw Data'!$L:$L,'Raw Data'!$B:$B,$B$2,'Raw Data'!$J:$J,U$2,'Raw Data'!$K:$K,"native",'Raw Data'!$H:$H,"Female*",'Raw Data'!$I:$I,"",'Raw Data'!$M:$M,"count")</f>
        <v>1340000</v>
      </c>
      <c r="V8" s="11">
        <f>SUMIFS('Raw Data'!$L:$L,'Raw Data'!$B:$B,$B$2,'Raw Data'!$J:$J,V$2,'Raw Data'!$K:$K,"native",'Raw Data'!$H:$H,"Female*",'Raw Data'!$I:$I,"",'Raw Data'!$M:$M,"count")</f>
        <v>1350000</v>
      </c>
      <c r="W8" s="11">
        <f>SUMIFS('Raw Data'!$L:$L,'Raw Data'!$B:$B,$B$2,'Raw Data'!$J:$J,W$2,'Raw Data'!$K:$K,"native",'Raw Data'!$H:$H,"Female*",'Raw Data'!$I:$I,"",'Raw Data'!$M:$M,"count")</f>
        <v>1360000</v>
      </c>
      <c r="X8" s="11">
        <f>SUMIFS('Raw Data'!$L:$L,'Raw Data'!$B:$B,$B$2,'Raw Data'!$J:$J,X$2,'Raw Data'!$K:$K,"native",'Raw Data'!$H:$H,"Female*",'Raw Data'!$I:$I,"",'Raw Data'!$M:$M,"count")</f>
        <v>1370000</v>
      </c>
      <c r="Y8" s="11">
        <f>SUMIFS('Raw Data'!$L:$L,'Raw Data'!$B:$B,$B$2,'Raw Data'!$J:$J,Y$2,'Raw Data'!$K:$K,"native",'Raw Data'!$H:$H,"Female*",'Raw Data'!$I:$I,"",'Raw Data'!$M:$M,"count")</f>
        <v>1160000</v>
      </c>
      <c r="Z8" s="11">
        <f>SUMIFS('Raw Data'!$L:$L,'Raw Data'!$B:$B,$B$2,'Raw Data'!$J:$J,Z$2,'Raw Data'!$K:$K,"native",'Raw Data'!$H:$H,"Female*",'Raw Data'!$I:$I,"",'Raw Data'!$M:$M,"count")</f>
        <v>1170000</v>
      </c>
    </row>
    <row r="9" spans="1:26" x14ac:dyDescent="0.25">
      <c r="A9" s="10" t="s">
        <v>63</v>
      </c>
      <c r="B9" s="10" t="s">
        <v>68</v>
      </c>
      <c r="C9" s="11">
        <f>SUMIFS('Raw Data'!$L:$L,'Raw Data'!$B:$B,$B$2,'Raw Data'!$J:$J,C$2,'Raw Data'!$K:$K,"native",'Raw Data'!$H:$H,"Male*",'Raw Data'!$I:$I,"",'Raw Data'!$M:$M,"count")</f>
        <v>1180000</v>
      </c>
      <c r="D9" s="11">
        <f>SUMIFS('Raw Data'!$L:$L,'Raw Data'!$B:$B,$B$2,'Raw Data'!$J:$J,D$2,'Raw Data'!$K:$K,"native",'Raw Data'!$H:$H,"Male*",'Raw Data'!$I:$I,"",'Raw Data'!$M:$M,"count")</f>
        <v>1190000</v>
      </c>
      <c r="E9" s="11">
        <f>SUMIFS('Raw Data'!$L:$L,'Raw Data'!$B:$B,$B$2,'Raw Data'!$J:$J,E$2,'Raw Data'!$K:$K,"native",'Raw Data'!$H:$H,"Male*",'Raw Data'!$I:$I,"",'Raw Data'!$M:$M,"count")</f>
        <v>1200000</v>
      </c>
      <c r="F9" s="11">
        <f>SUMIFS('Raw Data'!$L:$L,'Raw Data'!$B:$B,$B$2,'Raw Data'!$J:$J,F$2,'Raw Data'!$K:$K,"native",'Raw Data'!$H:$H,"Male*",'Raw Data'!$I:$I,"",'Raw Data'!$M:$M,"count")</f>
        <v>1310000</v>
      </c>
      <c r="G9" s="11">
        <f>SUMIFS('Raw Data'!$L:$L,'Raw Data'!$B:$B,$B$2,'Raw Data'!$J:$J,G$2,'Raw Data'!$K:$K,"native",'Raw Data'!$H:$H,"Male*",'Raw Data'!$I:$I,"",'Raw Data'!$M:$M,"count")</f>
        <v>1260000</v>
      </c>
      <c r="H9" s="11">
        <f>SUMIFS('Raw Data'!$L:$L,'Raw Data'!$B:$B,$B$2,'Raw Data'!$J:$J,H$2,'Raw Data'!$K:$K,"native",'Raw Data'!$H:$H,"Male*",'Raw Data'!$I:$I,"",'Raw Data'!$M:$M,"count")</f>
        <v>1270000</v>
      </c>
      <c r="I9" s="11">
        <f>SUMIFS('Raw Data'!$L:$L,'Raw Data'!$B:$B,$B$2,'Raw Data'!$J:$J,I$2,'Raw Data'!$K:$K,"native",'Raw Data'!$H:$H,"Male*",'Raw Data'!$I:$I,"",'Raw Data'!$M:$M,"count")</f>
        <v>1300000</v>
      </c>
      <c r="J9" s="11">
        <f>SUMIFS('Raw Data'!$L:$L,'Raw Data'!$B:$B,$B$2,'Raw Data'!$J:$J,J$2,'Raw Data'!$K:$K,"native",'Raw Data'!$H:$H,"Male*",'Raw Data'!$I:$I,"",'Raw Data'!$M:$M,"count")</f>
        <v>1320000</v>
      </c>
      <c r="K9" s="11">
        <f>SUMIFS('Raw Data'!$L:$L,'Raw Data'!$B:$B,$B$2,'Raw Data'!$J:$J,K$2,'Raw Data'!$K:$K,"native",'Raw Data'!$H:$H,"Male*",'Raw Data'!$I:$I,"",'Raw Data'!$M:$M,"count")</f>
        <v>1350000</v>
      </c>
      <c r="L9" s="11">
        <f>SUMIFS('Raw Data'!$L:$L,'Raw Data'!$B:$B,$B$2,'Raw Data'!$J:$J,L$2,'Raw Data'!$K:$K,"native",'Raw Data'!$H:$H,"Male*",'Raw Data'!$I:$I,"",'Raw Data'!$M:$M,"count")</f>
        <v>1360000</v>
      </c>
      <c r="M9" s="11">
        <f>SUMIFS('Raw Data'!$L:$L,'Raw Data'!$B:$B,$B$2,'Raw Data'!$J:$J,M$2,'Raw Data'!$K:$K,"native",'Raw Data'!$H:$H,"Male*",'Raw Data'!$I:$I,"",'Raw Data'!$M:$M,"count")</f>
        <v>1350000</v>
      </c>
      <c r="N9" s="11">
        <f>SUMIFS('Raw Data'!$L:$L,'Raw Data'!$B:$B,$B$2,'Raw Data'!$J:$J,N$2,'Raw Data'!$K:$K,"native",'Raw Data'!$H:$H,"Male*",'Raw Data'!$I:$I,"",'Raw Data'!$M:$M,"count")</f>
        <v>1380000</v>
      </c>
      <c r="O9" s="11">
        <f>SUMIFS('Raw Data'!$L:$L,'Raw Data'!$B:$B,$B$2,'Raw Data'!$J:$J,O$2,'Raw Data'!$K:$K,"native",'Raw Data'!$H:$H,"Male*",'Raw Data'!$I:$I,"",'Raw Data'!$M:$M,"count")</f>
        <v>1410000</v>
      </c>
      <c r="P9" s="11">
        <f>SUMIFS('Raw Data'!$L:$L,'Raw Data'!$B:$B,$B$2,'Raw Data'!$J:$J,P$2,'Raw Data'!$K:$K,"native",'Raw Data'!$H:$H,"Male*",'Raw Data'!$I:$I,"",'Raw Data'!$M:$M,"count")</f>
        <v>1440000</v>
      </c>
      <c r="Q9" s="11">
        <f>SUMIFS('Raw Data'!$L:$L,'Raw Data'!$B:$B,$B$2,'Raw Data'!$J:$J,Q$2,'Raw Data'!$K:$K,"native",'Raw Data'!$H:$H,"Male*",'Raw Data'!$I:$I,"",'Raw Data'!$M:$M,"count")</f>
        <v>1460000</v>
      </c>
      <c r="R9" s="11">
        <f>SUMIFS('Raw Data'!$L:$L,'Raw Data'!$B:$B,$B$2,'Raw Data'!$J:$J,R$2,'Raw Data'!$K:$K,"native",'Raw Data'!$H:$H,"Male*",'Raw Data'!$I:$I,"",'Raw Data'!$M:$M,"count")</f>
        <v>1490000</v>
      </c>
      <c r="S9" s="11">
        <f>SUMIFS('Raw Data'!$L:$L,'Raw Data'!$B:$B,$B$2,'Raw Data'!$J:$J,S$2,'Raw Data'!$K:$K,"native",'Raw Data'!$H:$H,"Male*",'Raw Data'!$I:$I,"",'Raw Data'!$M:$M,"count")</f>
        <v>1510000</v>
      </c>
      <c r="T9" s="11">
        <f>SUMIFS('Raw Data'!$L:$L,'Raw Data'!$B:$B,$B$2,'Raw Data'!$J:$J,T$2,'Raw Data'!$K:$K,"native",'Raw Data'!$H:$H,"Male*",'Raw Data'!$I:$I,"",'Raw Data'!$M:$M,"count")</f>
        <v>1540000</v>
      </c>
      <c r="U9" s="11">
        <f>SUMIFS('Raw Data'!$L:$L,'Raw Data'!$B:$B,$B$2,'Raw Data'!$J:$J,U$2,'Raw Data'!$K:$K,"native",'Raw Data'!$H:$H,"Male*",'Raw Data'!$I:$I,"",'Raw Data'!$M:$M,"count")</f>
        <v>1550000</v>
      </c>
      <c r="V9" s="11">
        <f>SUMIFS('Raw Data'!$L:$L,'Raw Data'!$B:$B,$B$2,'Raw Data'!$J:$J,V$2,'Raw Data'!$K:$K,"native",'Raw Data'!$H:$H,"Male*",'Raw Data'!$I:$I,"",'Raw Data'!$M:$M,"count")</f>
        <v>1570000</v>
      </c>
      <c r="W9" s="11">
        <f>SUMIFS('Raw Data'!$L:$L,'Raw Data'!$B:$B,$B$2,'Raw Data'!$J:$J,W$2,'Raw Data'!$K:$K,"native",'Raw Data'!$H:$H,"Male*",'Raw Data'!$I:$I,"",'Raw Data'!$M:$M,"count")</f>
        <v>1600000</v>
      </c>
      <c r="X9" s="11">
        <f>SUMIFS('Raw Data'!$L:$L,'Raw Data'!$B:$B,$B$2,'Raw Data'!$J:$J,X$2,'Raw Data'!$K:$K,"native",'Raw Data'!$H:$H,"Male*",'Raw Data'!$I:$I,"",'Raw Data'!$M:$M,"count")</f>
        <v>1620000</v>
      </c>
      <c r="Y9" s="11">
        <f>SUMIFS('Raw Data'!$L:$L,'Raw Data'!$B:$B,$B$2,'Raw Data'!$J:$J,Y$2,'Raw Data'!$K:$K,"native",'Raw Data'!$H:$H,"Male*",'Raw Data'!$I:$I,"",'Raw Data'!$M:$M,"count")</f>
        <v>1850000</v>
      </c>
      <c r="Z9" s="11">
        <f>SUMIFS('Raw Data'!$L:$L,'Raw Data'!$B:$B,$B$2,'Raw Data'!$J:$J,Z$2,'Raw Data'!$K:$K,"native",'Raw Data'!$H:$H,"Male*",'Raw Data'!$I:$I,"",'Raw Data'!$M:$M,"count")</f>
        <v>1880000</v>
      </c>
    </row>
    <row r="10" spans="1:26" x14ac:dyDescent="0.25">
      <c r="A10" s="53" t="s">
        <v>69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x14ac:dyDescent="0.25">
      <c r="A11" s="10" t="s">
        <v>63</v>
      </c>
      <c r="B11" s="10" t="s">
        <v>70</v>
      </c>
      <c r="C11" s="11">
        <f>SUMIFS('Raw Data'!$L:$L,'Raw Data'!$B:$B,$B$2,'Raw Data'!$J:$J,C$2,'Raw Data'!$K:$K,"native",'Raw Data'!$H:$H,"18-30",'Raw Data'!$I:$I,"",'Raw Data'!$M:$M,"count")</f>
        <v>828000</v>
      </c>
      <c r="D11" s="11">
        <f>SUMIFS('Raw Data'!$L:$L,'Raw Data'!$B:$B,$B$2,'Raw Data'!$J:$J,D$2,'Raw Data'!$K:$K,"native",'Raw Data'!$H:$H,"18-30",'Raw Data'!$I:$I,"",'Raw Data'!$M:$M,"count")</f>
        <v>842000</v>
      </c>
      <c r="E11" s="11">
        <f>SUMIFS('Raw Data'!$L:$L,'Raw Data'!$B:$B,$B$2,'Raw Data'!$J:$J,E$2,'Raw Data'!$K:$K,"native",'Raw Data'!$H:$H,"18-30",'Raw Data'!$I:$I,"",'Raw Data'!$M:$M,"count")</f>
        <v>854000</v>
      </c>
      <c r="F11" s="11">
        <f>SUMIFS('Raw Data'!$L:$L,'Raw Data'!$B:$B,$B$2,'Raw Data'!$J:$J,F$2,'Raw Data'!$K:$K,"native",'Raw Data'!$H:$H,"18-30",'Raw Data'!$I:$I,"",'Raw Data'!$M:$M,"count")</f>
        <v>917000</v>
      </c>
      <c r="G11" s="11">
        <f>SUMIFS('Raw Data'!$L:$L,'Raw Data'!$B:$B,$B$2,'Raw Data'!$J:$J,G$2,'Raw Data'!$K:$K,"native",'Raw Data'!$H:$H,"18-30",'Raw Data'!$I:$I,"",'Raw Data'!$M:$M,"count")</f>
        <v>919000</v>
      </c>
      <c r="H11" s="11">
        <f>SUMIFS('Raw Data'!$L:$L,'Raw Data'!$B:$B,$B$2,'Raw Data'!$J:$J,H$2,'Raw Data'!$K:$K,"native",'Raw Data'!$H:$H,"18-30",'Raw Data'!$I:$I,"",'Raw Data'!$M:$M,"count")</f>
        <v>929000</v>
      </c>
      <c r="I11" s="11">
        <f>SUMIFS('Raw Data'!$L:$L,'Raw Data'!$B:$B,$B$2,'Raw Data'!$J:$J,I$2,'Raw Data'!$K:$K,"native",'Raw Data'!$H:$H,"18-30",'Raw Data'!$I:$I,"",'Raw Data'!$M:$M,"count")</f>
        <v>938000</v>
      </c>
      <c r="J11" s="11">
        <f>SUMIFS('Raw Data'!$L:$L,'Raw Data'!$B:$B,$B$2,'Raw Data'!$J:$J,J$2,'Raw Data'!$K:$K,"native",'Raw Data'!$H:$H,"18-30",'Raw Data'!$I:$I,"",'Raw Data'!$M:$M,"count")</f>
        <v>946000</v>
      </c>
      <c r="K11" s="11">
        <f>SUMIFS('Raw Data'!$L:$L,'Raw Data'!$B:$B,$B$2,'Raw Data'!$J:$J,K$2,'Raw Data'!$K:$K,"native",'Raw Data'!$H:$H,"18-30",'Raw Data'!$I:$I,"",'Raw Data'!$M:$M,"count")</f>
        <v>953000</v>
      </c>
      <c r="L11" s="11">
        <f>SUMIFS('Raw Data'!$L:$L,'Raw Data'!$B:$B,$B$2,'Raw Data'!$J:$J,L$2,'Raw Data'!$K:$K,"native",'Raw Data'!$H:$H,"18-30",'Raw Data'!$I:$I,"",'Raw Data'!$M:$M,"count")</f>
        <v>952000</v>
      </c>
      <c r="M11" s="11">
        <f>SUMIFS('Raw Data'!$L:$L,'Raw Data'!$B:$B,$B$2,'Raw Data'!$J:$J,M$2,'Raw Data'!$K:$K,"native",'Raw Data'!$H:$H,"18-30",'Raw Data'!$I:$I,"",'Raw Data'!$M:$M,"count")</f>
        <v>952000</v>
      </c>
      <c r="N11" s="11">
        <f>SUMIFS('Raw Data'!$L:$L,'Raw Data'!$B:$B,$B$2,'Raw Data'!$J:$J,N$2,'Raw Data'!$K:$K,"native",'Raw Data'!$H:$H,"18-30",'Raw Data'!$I:$I,"",'Raw Data'!$M:$M,"count")</f>
        <v>957000</v>
      </c>
      <c r="O11" s="11">
        <f>SUMIFS('Raw Data'!$L:$L,'Raw Data'!$B:$B,$B$2,'Raw Data'!$J:$J,O$2,'Raw Data'!$K:$K,"native",'Raw Data'!$H:$H,"18-30",'Raw Data'!$I:$I,"",'Raw Data'!$M:$M,"count")</f>
        <v>976000</v>
      </c>
      <c r="P11" s="11">
        <f>SUMIFS('Raw Data'!$L:$L,'Raw Data'!$B:$B,$B$2,'Raw Data'!$J:$J,P$2,'Raw Data'!$K:$K,"native",'Raw Data'!$H:$H,"18-30",'Raw Data'!$I:$I,"",'Raw Data'!$M:$M,"count")</f>
        <v>983000</v>
      </c>
      <c r="Q11" s="11">
        <f>SUMIFS('Raw Data'!$L:$L,'Raw Data'!$B:$B,$B$2,'Raw Data'!$J:$J,Q$2,'Raw Data'!$K:$K,"native",'Raw Data'!$H:$H,"18-30",'Raw Data'!$I:$I,"",'Raw Data'!$M:$M,"count")</f>
        <v>1003000</v>
      </c>
      <c r="R11" s="11">
        <f>SUMIFS('Raw Data'!$L:$L,'Raw Data'!$B:$B,$B$2,'Raw Data'!$J:$J,R$2,'Raw Data'!$K:$K,"native",'Raw Data'!$H:$H,"18-30",'Raw Data'!$I:$I,"",'Raw Data'!$M:$M,"count")</f>
        <v>1026000</v>
      </c>
      <c r="S11" s="11">
        <f>SUMIFS('Raw Data'!$L:$L,'Raw Data'!$B:$B,$B$2,'Raw Data'!$J:$J,S$2,'Raw Data'!$K:$K,"native",'Raw Data'!$H:$H,"18-30",'Raw Data'!$I:$I,"",'Raw Data'!$M:$M,"count")</f>
        <v>1039000</v>
      </c>
      <c r="T11" s="11">
        <f>SUMIFS('Raw Data'!$L:$L,'Raw Data'!$B:$B,$B$2,'Raw Data'!$J:$J,T$2,'Raw Data'!$K:$K,"native",'Raw Data'!$H:$H,"18-30",'Raw Data'!$I:$I,"",'Raw Data'!$M:$M,"count")</f>
        <v>1040000</v>
      </c>
      <c r="U11" s="11">
        <f>SUMIFS('Raw Data'!$L:$L,'Raw Data'!$B:$B,$B$2,'Raw Data'!$J:$J,U$2,'Raw Data'!$K:$K,"native",'Raw Data'!$H:$H,"18-30",'Raw Data'!$I:$I,"",'Raw Data'!$M:$M,"count")</f>
        <v>1050000</v>
      </c>
      <c r="V11" s="11">
        <f>SUMIFS('Raw Data'!$L:$L,'Raw Data'!$B:$B,$B$2,'Raw Data'!$J:$J,V$2,'Raw Data'!$K:$K,"native",'Raw Data'!$H:$H,"18-30",'Raw Data'!$I:$I,"",'Raw Data'!$M:$M,"count")</f>
        <v>1060000</v>
      </c>
      <c r="W11" s="11">
        <f>SUMIFS('Raw Data'!$L:$L,'Raw Data'!$B:$B,$B$2,'Raw Data'!$J:$J,W$2,'Raw Data'!$K:$K,"native",'Raw Data'!$H:$H,"18-30",'Raw Data'!$I:$I,"",'Raw Data'!$M:$M,"count")</f>
        <v>1080000</v>
      </c>
      <c r="X11" s="11">
        <f>SUMIFS('Raw Data'!$L:$L,'Raw Data'!$B:$B,$B$2,'Raw Data'!$J:$J,X$2,'Raw Data'!$K:$K,"native",'Raw Data'!$H:$H,"18-30",'Raw Data'!$I:$I,"",'Raw Data'!$M:$M,"count")</f>
        <v>1080000</v>
      </c>
      <c r="Y11" s="11">
        <f>SUMIFS('Raw Data'!$L:$L,'Raw Data'!$B:$B,$B$2,'Raw Data'!$J:$J,Y$2,'Raw Data'!$K:$K,"native",'Raw Data'!$H:$H,"18-30",'Raw Data'!$I:$I,"",'Raw Data'!$M:$M,"count")</f>
        <v>1080000</v>
      </c>
      <c r="Z11" s="11">
        <f>SUMIFS('Raw Data'!$L:$L,'Raw Data'!$B:$B,$B$2,'Raw Data'!$J:$J,Z$2,'Raw Data'!$K:$K,"native",'Raw Data'!$H:$H,"18-30",'Raw Data'!$I:$I,"",'Raw Data'!$M:$M,"count")</f>
        <v>1100000</v>
      </c>
    </row>
    <row r="12" spans="1:26" x14ac:dyDescent="0.25">
      <c r="A12" s="10" t="s">
        <v>63</v>
      </c>
      <c r="B12" s="10" t="s">
        <v>71</v>
      </c>
      <c r="C12" s="11">
        <f>SUMIFS('Raw Data'!$L:$L,'Raw Data'!$B:$B,$B$2,'Raw Data'!$J:$J,C$2,'Raw Data'!$K:$K,"native",'Raw Data'!$H:$H,"31-40",'Raw Data'!$I:$I,"",'Raw Data'!$M:$M,"count")</f>
        <v>603000</v>
      </c>
      <c r="D12" s="11">
        <f>SUMIFS('Raw Data'!$L:$L,'Raw Data'!$B:$B,$B$2,'Raw Data'!$J:$J,D$2,'Raw Data'!$K:$K,"native",'Raw Data'!$H:$H,"31-40",'Raw Data'!$I:$I,"",'Raw Data'!$M:$M,"count")</f>
        <v>612000</v>
      </c>
      <c r="E12" s="11">
        <f>SUMIFS('Raw Data'!$L:$L,'Raw Data'!$B:$B,$B$2,'Raw Data'!$J:$J,E$2,'Raw Data'!$K:$K,"native",'Raw Data'!$H:$H,"31-40",'Raw Data'!$I:$I,"",'Raw Data'!$M:$M,"count")</f>
        <v>621000</v>
      </c>
      <c r="F12" s="11">
        <f>SUMIFS('Raw Data'!$L:$L,'Raw Data'!$B:$B,$B$2,'Raw Data'!$J:$J,F$2,'Raw Data'!$K:$K,"native",'Raw Data'!$H:$H,"31-40",'Raw Data'!$I:$I,"",'Raw Data'!$M:$M,"count")</f>
        <v>667000</v>
      </c>
      <c r="G12" s="11">
        <f>SUMIFS('Raw Data'!$L:$L,'Raw Data'!$B:$B,$B$2,'Raw Data'!$J:$J,G$2,'Raw Data'!$K:$K,"native",'Raw Data'!$H:$H,"31-40",'Raw Data'!$I:$I,"",'Raw Data'!$M:$M,"count")</f>
        <v>653000</v>
      </c>
      <c r="H12" s="11">
        <f>SUMIFS('Raw Data'!$L:$L,'Raw Data'!$B:$B,$B$2,'Raw Data'!$J:$J,H$2,'Raw Data'!$K:$K,"native",'Raw Data'!$H:$H,"31-40",'Raw Data'!$I:$I,"",'Raw Data'!$M:$M,"count")</f>
        <v>661000</v>
      </c>
      <c r="I12" s="11">
        <f>SUMIFS('Raw Data'!$L:$L,'Raw Data'!$B:$B,$B$2,'Raw Data'!$J:$J,I$2,'Raw Data'!$K:$K,"native",'Raw Data'!$H:$H,"31-40",'Raw Data'!$I:$I,"",'Raw Data'!$M:$M,"count")</f>
        <v>668000</v>
      </c>
      <c r="J12" s="11">
        <f>SUMIFS('Raw Data'!$L:$L,'Raw Data'!$B:$B,$B$2,'Raw Data'!$J:$J,J$2,'Raw Data'!$K:$K,"native",'Raw Data'!$H:$H,"31-40",'Raw Data'!$I:$I,"",'Raw Data'!$M:$M,"count")</f>
        <v>676000</v>
      </c>
      <c r="K12" s="11">
        <f>SUMIFS('Raw Data'!$L:$L,'Raw Data'!$B:$B,$B$2,'Raw Data'!$J:$J,K$2,'Raw Data'!$K:$K,"native",'Raw Data'!$H:$H,"31-40",'Raw Data'!$I:$I,"",'Raw Data'!$M:$M,"count")</f>
        <v>685000</v>
      </c>
      <c r="L12" s="11">
        <f>SUMIFS('Raw Data'!$L:$L,'Raw Data'!$B:$B,$B$2,'Raw Data'!$J:$J,L$2,'Raw Data'!$K:$K,"native",'Raw Data'!$H:$H,"31-40",'Raw Data'!$I:$I,"",'Raw Data'!$M:$M,"count")</f>
        <v>686000</v>
      </c>
      <c r="M12" s="11">
        <f>SUMIFS('Raw Data'!$L:$L,'Raw Data'!$B:$B,$B$2,'Raw Data'!$J:$J,M$2,'Raw Data'!$K:$K,"native",'Raw Data'!$H:$H,"31-40",'Raw Data'!$I:$I,"",'Raw Data'!$M:$M,"count")</f>
        <v>675000</v>
      </c>
      <c r="N12" s="11">
        <f>SUMIFS('Raw Data'!$L:$L,'Raw Data'!$B:$B,$B$2,'Raw Data'!$J:$J,N$2,'Raw Data'!$K:$K,"native",'Raw Data'!$H:$H,"31-40",'Raw Data'!$I:$I,"",'Raw Data'!$M:$M,"count")</f>
        <v>686000</v>
      </c>
      <c r="O12" s="11">
        <f>SUMIFS('Raw Data'!$L:$L,'Raw Data'!$B:$B,$B$2,'Raw Data'!$J:$J,O$2,'Raw Data'!$K:$K,"native",'Raw Data'!$H:$H,"31-40",'Raw Data'!$I:$I,"",'Raw Data'!$M:$M,"count")</f>
        <v>694000</v>
      </c>
      <c r="P12" s="11">
        <f>SUMIFS('Raw Data'!$L:$L,'Raw Data'!$B:$B,$B$2,'Raw Data'!$J:$J,P$2,'Raw Data'!$K:$K,"native",'Raw Data'!$H:$H,"31-40",'Raw Data'!$I:$I,"",'Raw Data'!$M:$M,"count")</f>
        <v>705000</v>
      </c>
      <c r="Q12" s="11">
        <f>SUMIFS('Raw Data'!$L:$L,'Raw Data'!$B:$B,$B$2,'Raw Data'!$J:$J,Q$2,'Raw Data'!$K:$K,"native",'Raw Data'!$H:$H,"31-40",'Raw Data'!$I:$I,"",'Raw Data'!$M:$M,"count")</f>
        <v>714000</v>
      </c>
      <c r="R12" s="11">
        <f>SUMIFS('Raw Data'!$L:$L,'Raw Data'!$B:$B,$B$2,'Raw Data'!$J:$J,R$2,'Raw Data'!$K:$K,"native",'Raw Data'!$H:$H,"31-40",'Raw Data'!$I:$I,"",'Raw Data'!$M:$M,"count")</f>
        <v>720000</v>
      </c>
      <c r="S12" s="11">
        <f>SUMIFS('Raw Data'!$L:$L,'Raw Data'!$B:$B,$B$2,'Raw Data'!$J:$J,S$2,'Raw Data'!$K:$K,"native",'Raw Data'!$H:$H,"31-40",'Raw Data'!$I:$I,"",'Raw Data'!$M:$M,"count")</f>
        <v>728000</v>
      </c>
      <c r="T12" s="11">
        <f>SUMIFS('Raw Data'!$L:$L,'Raw Data'!$B:$B,$B$2,'Raw Data'!$J:$J,T$2,'Raw Data'!$K:$K,"native",'Raw Data'!$H:$H,"31-40",'Raw Data'!$I:$I,"",'Raw Data'!$M:$M,"count")</f>
        <v>739000</v>
      </c>
      <c r="U12" s="11">
        <f>SUMIFS('Raw Data'!$L:$L,'Raw Data'!$B:$B,$B$2,'Raw Data'!$J:$J,U$2,'Raw Data'!$K:$K,"native",'Raw Data'!$H:$H,"31-40",'Raw Data'!$I:$I,"",'Raw Data'!$M:$M,"count")</f>
        <v>746000</v>
      </c>
      <c r="V12" s="11">
        <f>SUMIFS('Raw Data'!$L:$L,'Raw Data'!$B:$B,$B$2,'Raw Data'!$J:$J,V$2,'Raw Data'!$K:$K,"native",'Raw Data'!$H:$H,"31-40",'Raw Data'!$I:$I,"",'Raw Data'!$M:$M,"count")</f>
        <v>753000</v>
      </c>
      <c r="W12" s="11">
        <f>SUMIFS('Raw Data'!$L:$L,'Raw Data'!$B:$B,$B$2,'Raw Data'!$J:$J,W$2,'Raw Data'!$K:$K,"native",'Raw Data'!$H:$H,"31-40",'Raw Data'!$I:$I,"",'Raw Data'!$M:$M,"count")</f>
        <v>758000</v>
      </c>
      <c r="X12" s="11">
        <f>SUMIFS('Raw Data'!$L:$L,'Raw Data'!$B:$B,$B$2,'Raw Data'!$J:$J,X$2,'Raw Data'!$K:$K,"native",'Raw Data'!$H:$H,"31-40",'Raw Data'!$I:$I,"",'Raw Data'!$M:$M,"count")</f>
        <v>768000</v>
      </c>
      <c r="Y12" s="11">
        <f>SUMIFS('Raw Data'!$L:$L,'Raw Data'!$B:$B,$B$2,'Raw Data'!$J:$J,Y$2,'Raw Data'!$K:$K,"native",'Raw Data'!$H:$H,"31-40",'Raw Data'!$I:$I,"",'Raw Data'!$M:$M,"count")</f>
        <v>775000</v>
      </c>
      <c r="Z12" s="11">
        <f>SUMIFS('Raw Data'!$L:$L,'Raw Data'!$B:$B,$B$2,'Raw Data'!$J:$J,Z$2,'Raw Data'!$K:$K,"native",'Raw Data'!$H:$H,"31-40",'Raw Data'!$I:$I,"",'Raw Data'!$M:$M,"count")</f>
        <v>788000</v>
      </c>
    </row>
    <row r="13" spans="1:26" x14ac:dyDescent="0.25">
      <c r="A13" s="10" t="s">
        <v>63</v>
      </c>
      <c r="B13" s="10" t="s">
        <v>72</v>
      </c>
      <c r="C13" s="11">
        <f>SUMIFS('Raw Data'!$L:$L,'Raw Data'!$B:$B,$B$2,'Raw Data'!$J:$J,C$2,'Raw Data'!$K:$K,"native",'Raw Data'!$H:$H,"41-50",'Raw Data'!$I:$I,"",'Raw Data'!$M:$M,"count")</f>
        <v>456000</v>
      </c>
      <c r="D13" s="11">
        <f>SUMIFS('Raw Data'!$L:$L,'Raw Data'!$B:$B,$B$2,'Raw Data'!$J:$J,D$2,'Raw Data'!$K:$K,"native",'Raw Data'!$H:$H,"41-50",'Raw Data'!$I:$I,"",'Raw Data'!$M:$M,"count")</f>
        <v>463000</v>
      </c>
      <c r="E13" s="11">
        <f>SUMIFS('Raw Data'!$L:$L,'Raw Data'!$B:$B,$B$2,'Raw Data'!$J:$J,E$2,'Raw Data'!$K:$K,"native",'Raw Data'!$H:$H,"41-50",'Raw Data'!$I:$I,"",'Raw Data'!$M:$M,"count")</f>
        <v>470000</v>
      </c>
      <c r="F13" s="11">
        <f>SUMIFS('Raw Data'!$L:$L,'Raw Data'!$B:$B,$B$2,'Raw Data'!$J:$J,F$2,'Raw Data'!$K:$K,"native",'Raw Data'!$H:$H,"41-50",'Raw Data'!$I:$I,"",'Raw Data'!$M:$M,"count")</f>
        <v>503000</v>
      </c>
      <c r="G13" s="11">
        <f>SUMIFS('Raw Data'!$L:$L,'Raw Data'!$B:$B,$B$2,'Raw Data'!$J:$J,G$2,'Raw Data'!$K:$K,"native",'Raw Data'!$H:$H,"41-50",'Raw Data'!$I:$I,"",'Raw Data'!$M:$M,"count")</f>
        <v>493000</v>
      </c>
      <c r="H13" s="11">
        <f>SUMIFS('Raw Data'!$L:$L,'Raw Data'!$B:$B,$B$2,'Raw Data'!$J:$J,H$2,'Raw Data'!$K:$K,"native",'Raw Data'!$H:$H,"41-50",'Raw Data'!$I:$I,"",'Raw Data'!$M:$M,"count")</f>
        <v>499000</v>
      </c>
      <c r="I13" s="11">
        <f>SUMIFS('Raw Data'!$L:$L,'Raw Data'!$B:$B,$B$2,'Raw Data'!$J:$J,I$2,'Raw Data'!$K:$K,"native",'Raw Data'!$H:$H,"41-50",'Raw Data'!$I:$I,"",'Raw Data'!$M:$M,"count")</f>
        <v>504000</v>
      </c>
      <c r="J13" s="11">
        <f>SUMIFS('Raw Data'!$L:$L,'Raw Data'!$B:$B,$B$2,'Raw Data'!$J:$J,J$2,'Raw Data'!$K:$K,"native",'Raw Data'!$H:$H,"41-50",'Raw Data'!$I:$I,"",'Raw Data'!$M:$M,"count")</f>
        <v>510000</v>
      </c>
      <c r="K13" s="11">
        <f>SUMIFS('Raw Data'!$L:$L,'Raw Data'!$B:$B,$B$2,'Raw Data'!$J:$J,K$2,'Raw Data'!$K:$K,"native",'Raw Data'!$H:$H,"41-50",'Raw Data'!$I:$I,"",'Raw Data'!$M:$M,"count")</f>
        <v>517000</v>
      </c>
      <c r="L13" s="11">
        <f>SUMIFS('Raw Data'!$L:$L,'Raw Data'!$B:$B,$B$2,'Raw Data'!$J:$J,L$2,'Raw Data'!$K:$K,"native",'Raw Data'!$H:$H,"41-50",'Raw Data'!$I:$I,"",'Raw Data'!$M:$M,"count")</f>
        <v>519000</v>
      </c>
      <c r="M13" s="11">
        <f>SUMIFS('Raw Data'!$L:$L,'Raw Data'!$B:$B,$B$2,'Raw Data'!$J:$J,M$2,'Raw Data'!$K:$K,"native",'Raw Data'!$H:$H,"41-50",'Raw Data'!$I:$I,"",'Raw Data'!$M:$M,"count")</f>
        <v>509000</v>
      </c>
      <c r="N13" s="11">
        <f>SUMIFS('Raw Data'!$L:$L,'Raw Data'!$B:$B,$B$2,'Raw Data'!$J:$J,N$2,'Raw Data'!$K:$K,"native",'Raw Data'!$H:$H,"41-50",'Raw Data'!$I:$I,"",'Raw Data'!$M:$M,"count")</f>
        <v>516000</v>
      </c>
      <c r="O13" s="11">
        <f>SUMIFS('Raw Data'!$L:$L,'Raw Data'!$B:$B,$B$2,'Raw Data'!$J:$J,O$2,'Raw Data'!$K:$K,"native",'Raw Data'!$H:$H,"41-50",'Raw Data'!$I:$I,"",'Raw Data'!$M:$M,"count")</f>
        <v>522000</v>
      </c>
      <c r="P13" s="11">
        <f>SUMIFS('Raw Data'!$L:$L,'Raw Data'!$B:$B,$B$2,'Raw Data'!$J:$J,P$2,'Raw Data'!$K:$K,"native",'Raw Data'!$H:$H,"41-50",'Raw Data'!$I:$I,"",'Raw Data'!$M:$M,"count")</f>
        <v>530000</v>
      </c>
      <c r="Q13" s="11">
        <f>SUMIFS('Raw Data'!$L:$L,'Raw Data'!$B:$B,$B$2,'Raw Data'!$J:$J,Q$2,'Raw Data'!$K:$K,"native",'Raw Data'!$H:$H,"41-50",'Raw Data'!$I:$I,"",'Raw Data'!$M:$M,"count")</f>
        <v>536000</v>
      </c>
      <c r="R13" s="11">
        <f>SUMIFS('Raw Data'!$L:$L,'Raw Data'!$B:$B,$B$2,'Raw Data'!$J:$J,R$2,'Raw Data'!$K:$K,"native",'Raw Data'!$H:$H,"41-50",'Raw Data'!$I:$I,"",'Raw Data'!$M:$M,"count")</f>
        <v>540000</v>
      </c>
      <c r="S13" s="11">
        <f>SUMIFS('Raw Data'!$L:$L,'Raw Data'!$B:$B,$B$2,'Raw Data'!$J:$J,S$2,'Raw Data'!$K:$K,"native",'Raw Data'!$H:$H,"41-50",'Raw Data'!$I:$I,"",'Raw Data'!$M:$M,"count")</f>
        <v>546000</v>
      </c>
      <c r="T13" s="11">
        <f>SUMIFS('Raw Data'!$L:$L,'Raw Data'!$B:$B,$B$2,'Raw Data'!$J:$J,T$2,'Raw Data'!$K:$K,"native",'Raw Data'!$H:$H,"41-50",'Raw Data'!$I:$I,"",'Raw Data'!$M:$M,"count")</f>
        <v>555000</v>
      </c>
      <c r="U13" s="11">
        <f>SUMIFS('Raw Data'!$L:$L,'Raw Data'!$B:$B,$B$2,'Raw Data'!$J:$J,U$2,'Raw Data'!$K:$K,"native",'Raw Data'!$H:$H,"41-50",'Raw Data'!$I:$I,"",'Raw Data'!$M:$M,"count")</f>
        <v>560000</v>
      </c>
      <c r="V13" s="11">
        <f>SUMIFS('Raw Data'!$L:$L,'Raw Data'!$B:$B,$B$2,'Raw Data'!$J:$J,V$2,'Raw Data'!$K:$K,"native",'Raw Data'!$H:$H,"41-50",'Raw Data'!$I:$I,"",'Raw Data'!$M:$M,"count")</f>
        <v>565000</v>
      </c>
      <c r="W13" s="11">
        <f>SUMIFS('Raw Data'!$L:$L,'Raw Data'!$B:$B,$B$2,'Raw Data'!$J:$J,W$2,'Raw Data'!$K:$K,"native",'Raw Data'!$H:$H,"41-50",'Raw Data'!$I:$I,"",'Raw Data'!$M:$M,"count")</f>
        <v>569000</v>
      </c>
      <c r="X13" s="11">
        <f>SUMIFS('Raw Data'!$L:$L,'Raw Data'!$B:$B,$B$2,'Raw Data'!$J:$J,X$2,'Raw Data'!$K:$K,"native",'Raw Data'!$H:$H,"41-50",'Raw Data'!$I:$I,"",'Raw Data'!$M:$M,"count")</f>
        <v>577000</v>
      </c>
      <c r="Y13" s="11">
        <f>SUMIFS('Raw Data'!$L:$L,'Raw Data'!$B:$B,$B$2,'Raw Data'!$J:$J,Y$2,'Raw Data'!$K:$K,"native",'Raw Data'!$H:$H,"41-50",'Raw Data'!$I:$I,"",'Raw Data'!$M:$M,"count")</f>
        <v>582000</v>
      </c>
      <c r="Z13" s="11">
        <f>SUMIFS('Raw Data'!$L:$L,'Raw Data'!$B:$B,$B$2,'Raw Data'!$J:$J,Z$2,'Raw Data'!$K:$K,"native",'Raw Data'!$H:$H,"41-50",'Raw Data'!$I:$I,"",'Raw Data'!$M:$M,"count")</f>
        <v>589000</v>
      </c>
    </row>
    <row r="14" spans="1:26" x14ac:dyDescent="0.25">
      <c r="A14" s="10" t="s">
        <v>63</v>
      </c>
      <c r="B14" s="10" t="s">
        <v>73</v>
      </c>
      <c r="C14" s="11">
        <f>SUMIFS('Raw Data'!$L:$L,'Raw Data'!$B:$B,$B$2,'Raw Data'!$J:$J,C$2,'Raw Data'!$K:$K,"native",'Raw Data'!$H:$H,"51-60",'Raw Data'!$I:$I,"",'Raw Data'!$M:$M,"count")</f>
        <v>285000</v>
      </c>
      <c r="D14" s="11">
        <f>SUMIFS('Raw Data'!$L:$L,'Raw Data'!$B:$B,$B$2,'Raw Data'!$J:$J,D$2,'Raw Data'!$K:$K,"native",'Raw Data'!$H:$H,"51-60",'Raw Data'!$I:$I,"",'Raw Data'!$M:$M,"count")</f>
        <v>290000</v>
      </c>
      <c r="E14" s="11">
        <f>SUMIFS('Raw Data'!$L:$L,'Raw Data'!$B:$B,$B$2,'Raw Data'!$J:$J,E$2,'Raw Data'!$K:$K,"native",'Raw Data'!$H:$H,"51-60",'Raw Data'!$I:$I,"",'Raw Data'!$M:$M,"count")</f>
        <v>294000</v>
      </c>
      <c r="F14" s="11">
        <f>SUMIFS('Raw Data'!$L:$L,'Raw Data'!$B:$B,$B$2,'Raw Data'!$J:$J,F$2,'Raw Data'!$K:$K,"native",'Raw Data'!$H:$H,"51-60",'Raw Data'!$I:$I,"",'Raw Data'!$M:$M,"count")</f>
        <v>318000</v>
      </c>
      <c r="G14" s="11">
        <f>SUMIFS('Raw Data'!$L:$L,'Raw Data'!$B:$B,$B$2,'Raw Data'!$J:$J,G$2,'Raw Data'!$K:$K,"native",'Raw Data'!$H:$H,"51-60",'Raw Data'!$I:$I,"",'Raw Data'!$M:$M,"count")</f>
        <v>309000</v>
      </c>
      <c r="H14" s="11">
        <f>SUMIFS('Raw Data'!$L:$L,'Raw Data'!$B:$B,$B$2,'Raw Data'!$J:$J,H$2,'Raw Data'!$K:$K,"native",'Raw Data'!$H:$H,"51-60",'Raw Data'!$I:$I,"",'Raw Data'!$M:$M,"count")</f>
        <v>313000</v>
      </c>
      <c r="I14" s="11">
        <f>SUMIFS('Raw Data'!$L:$L,'Raw Data'!$B:$B,$B$2,'Raw Data'!$J:$J,I$2,'Raw Data'!$K:$K,"native",'Raw Data'!$H:$H,"51-60",'Raw Data'!$I:$I,"",'Raw Data'!$M:$M,"count")</f>
        <v>317000</v>
      </c>
      <c r="J14" s="11">
        <f>SUMIFS('Raw Data'!$L:$L,'Raw Data'!$B:$B,$B$2,'Raw Data'!$J:$J,J$2,'Raw Data'!$K:$K,"native",'Raw Data'!$H:$H,"51-60",'Raw Data'!$I:$I,"",'Raw Data'!$M:$M,"count")</f>
        <v>322000</v>
      </c>
      <c r="K14" s="11">
        <f>SUMIFS('Raw Data'!$L:$L,'Raw Data'!$B:$B,$B$2,'Raw Data'!$J:$J,K$2,'Raw Data'!$K:$K,"native",'Raw Data'!$H:$H,"51-60",'Raw Data'!$I:$I,"",'Raw Data'!$M:$M,"count")</f>
        <v>326000</v>
      </c>
      <c r="L14" s="11">
        <f>SUMIFS('Raw Data'!$L:$L,'Raw Data'!$B:$B,$B$2,'Raw Data'!$J:$J,L$2,'Raw Data'!$K:$K,"native",'Raw Data'!$H:$H,"51-60",'Raw Data'!$I:$I,"",'Raw Data'!$M:$M,"count")</f>
        <v>327000</v>
      </c>
      <c r="M14" s="11">
        <f>SUMIFS('Raw Data'!$L:$L,'Raw Data'!$B:$B,$B$2,'Raw Data'!$J:$J,M$2,'Raw Data'!$K:$K,"native",'Raw Data'!$H:$H,"51-60",'Raw Data'!$I:$I,"",'Raw Data'!$M:$M,"count")</f>
        <v>316000</v>
      </c>
      <c r="N14" s="11">
        <f>SUMIFS('Raw Data'!$L:$L,'Raw Data'!$B:$B,$B$2,'Raw Data'!$J:$J,N$2,'Raw Data'!$K:$K,"native",'Raw Data'!$H:$H,"51-60",'Raw Data'!$I:$I,"",'Raw Data'!$M:$M,"count")</f>
        <v>322000</v>
      </c>
      <c r="O14" s="11">
        <f>SUMIFS('Raw Data'!$L:$L,'Raw Data'!$B:$B,$B$2,'Raw Data'!$J:$J,O$2,'Raw Data'!$K:$K,"native",'Raw Data'!$H:$H,"51-60",'Raw Data'!$I:$I,"",'Raw Data'!$M:$M,"count")</f>
        <v>326000</v>
      </c>
      <c r="P14" s="11">
        <f>SUMIFS('Raw Data'!$L:$L,'Raw Data'!$B:$B,$B$2,'Raw Data'!$J:$J,P$2,'Raw Data'!$K:$K,"native",'Raw Data'!$H:$H,"51-60",'Raw Data'!$I:$I,"",'Raw Data'!$M:$M,"count")</f>
        <v>332000</v>
      </c>
      <c r="Q14" s="11">
        <f>SUMIFS('Raw Data'!$L:$L,'Raw Data'!$B:$B,$B$2,'Raw Data'!$J:$J,Q$2,'Raw Data'!$K:$K,"native",'Raw Data'!$H:$H,"51-60",'Raw Data'!$I:$I,"",'Raw Data'!$M:$M,"count")</f>
        <v>336000</v>
      </c>
      <c r="R14" s="11">
        <f>SUMIFS('Raw Data'!$L:$L,'Raw Data'!$B:$B,$B$2,'Raw Data'!$J:$J,R$2,'Raw Data'!$K:$K,"native",'Raw Data'!$H:$H,"51-60",'Raw Data'!$I:$I,"",'Raw Data'!$M:$M,"count")</f>
        <v>339000</v>
      </c>
      <c r="S14" s="11">
        <f>SUMIFS('Raw Data'!$L:$L,'Raw Data'!$B:$B,$B$2,'Raw Data'!$J:$J,S$2,'Raw Data'!$K:$K,"native",'Raw Data'!$H:$H,"51-60",'Raw Data'!$I:$I,"",'Raw Data'!$M:$M,"count")</f>
        <v>343000</v>
      </c>
      <c r="T14" s="11">
        <f>SUMIFS('Raw Data'!$L:$L,'Raw Data'!$B:$B,$B$2,'Raw Data'!$J:$J,T$2,'Raw Data'!$K:$K,"native",'Raw Data'!$H:$H,"51-60",'Raw Data'!$I:$I,"",'Raw Data'!$M:$M,"count")</f>
        <v>349000</v>
      </c>
      <c r="U14" s="11">
        <f>SUMIFS('Raw Data'!$L:$L,'Raw Data'!$B:$B,$B$2,'Raw Data'!$J:$J,U$2,'Raw Data'!$K:$K,"native",'Raw Data'!$H:$H,"51-60",'Raw Data'!$I:$I,"",'Raw Data'!$M:$M,"count")</f>
        <v>352000</v>
      </c>
      <c r="V14" s="11">
        <f>SUMIFS('Raw Data'!$L:$L,'Raw Data'!$B:$B,$B$2,'Raw Data'!$J:$J,V$2,'Raw Data'!$K:$K,"native",'Raw Data'!$H:$H,"51-60",'Raw Data'!$I:$I,"",'Raw Data'!$M:$M,"count")</f>
        <v>356000</v>
      </c>
      <c r="W14" s="11">
        <f>SUMIFS('Raw Data'!$L:$L,'Raw Data'!$B:$B,$B$2,'Raw Data'!$J:$J,W$2,'Raw Data'!$K:$K,"native",'Raw Data'!$H:$H,"51-60",'Raw Data'!$I:$I,"",'Raw Data'!$M:$M,"count")</f>
        <v>358000</v>
      </c>
      <c r="X14" s="11">
        <f>SUMIFS('Raw Data'!$L:$L,'Raw Data'!$B:$B,$B$2,'Raw Data'!$J:$J,X$2,'Raw Data'!$K:$K,"native",'Raw Data'!$H:$H,"51-60",'Raw Data'!$I:$I,"",'Raw Data'!$M:$M,"count")</f>
        <v>364000</v>
      </c>
      <c r="Y14" s="11">
        <f>SUMIFS('Raw Data'!$L:$L,'Raw Data'!$B:$B,$B$2,'Raw Data'!$J:$J,Y$2,'Raw Data'!$K:$K,"native",'Raw Data'!$H:$H,"51-60",'Raw Data'!$I:$I,"",'Raw Data'!$M:$M,"count")</f>
        <v>367000</v>
      </c>
      <c r="Z14" s="11">
        <f>SUMIFS('Raw Data'!$L:$L,'Raw Data'!$B:$B,$B$2,'Raw Data'!$J:$J,Z$2,'Raw Data'!$K:$K,"native",'Raw Data'!$H:$H,"51-60",'Raw Data'!$I:$I,"",'Raw Data'!$M:$M,"count")</f>
        <v>373000</v>
      </c>
    </row>
    <row r="15" spans="1:26" x14ac:dyDescent="0.25">
      <c r="A15" s="10" t="s">
        <v>63</v>
      </c>
      <c r="B15" s="10" t="s">
        <v>74</v>
      </c>
      <c r="C15" s="11">
        <f>SUMIFS('Raw Data'!$L:$L,'Raw Data'!$B:$B,$B$2,'Raw Data'!$J:$J,C$2,'Raw Data'!$K:$K,"native",'Raw Data'!$H:$H,"61-70",'Raw Data'!$I:$I,"",'Raw Data'!$M:$M,"count")</f>
        <v>103000</v>
      </c>
      <c r="D15" s="11">
        <f>SUMIFS('Raw Data'!$L:$L,'Raw Data'!$B:$B,$B$2,'Raw Data'!$J:$J,D$2,'Raw Data'!$K:$K,"native",'Raw Data'!$H:$H,"61-70",'Raw Data'!$I:$I,"",'Raw Data'!$M:$M,"count")</f>
        <v>105000</v>
      </c>
      <c r="E15" s="11">
        <f>SUMIFS('Raw Data'!$L:$L,'Raw Data'!$B:$B,$B$2,'Raw Data'!$J:$J,E$2,'Raw Data'!$K:$K,"native",'Raw Data'!$H:$H,"61-70",'Raw Data'!$I:$I,"",'Raw Data'!$M:$M,"count")</f>
        <v>107000</v>
      </c>
      <c r="F15" s="11">
        <f>SUMIFS('Raw Data'!$L:$L,'Raw Data'!$B:$B,$B$2,'Raw Data'!$J:$J,F$2,'Raw Data'!$K:$K,"native",'Raw Data'!$H:$H,"61-70",'Raw Data'!$I:$I,"",'Raw Data'!$M:$M,"count")</f>
        <v>119000</v>
      </c>
      <c r="G15" s="11">
        <f>SUMIFS('Raw Data'!$L:$L,'Raw Data'!$B:$B,$B$2,'Raw Data'!$J:$J,G$2,'Raw Data'!$K:$K,"native",'Raw Data'!$H:$H,"61-70",'Raw Data'!$I:$I,"",'Raw Data'!$M:$M,"count")</f>
        <v>114000</v>
      </c>
      <c r="H15" s="11">
        <f>SUMIFS('Raw Data'!$L:$L,'Raw Data'!$B:$B,$B$2,'Raw Data'!$J:$J,H$2,'Raw Data'!$K:$K,"native",'Raw Data'!$H:$H,"61-70",'Raw Data'!$I:$I,"",'Raw Data'!$M:$M,"count")</f>
        <v>117000</v>
      </c>
      <c r="I15" s="11">
        <f>SUMIFS('Raw Data'!$L:$L,'Raw Data'!$B:$B,$B$2,'Raw Data'!$J:$J,I$2,'Raw Data'!$K:$K,"native",'Raw Data'!$H:$H,"61-70",'Raw Data'!$I:$I,"",'Raw Data'!$M:$M,"count")</f>
        <v>118000</v>
      </c>
      <c r="J15" s="11">
        <f>SUMIFS('Raw Data'!$L:$L,'Raw Data'!$B:$B,$B$2,'Raw Data'!$J:$J,J$2,'Raw Data'!$K:$K,"native",'Raw Data'!$H:$H,"61-70",'Raw Data'!$I:$I,"",'Raw Data'!$M:$M,"count")</f>
        <v>121000</v>
      </c>
      <c r="K15" s="11">
        <f>SUMIFS('Raw Data'!$L:$L,'Raw Data'!$B:$B,$B$2,'Raw Data'!$J:$J,K$2,'Raw Data'!$K:$K,"native",'Raw Data'!$H:$H,"61-70",'Raw Data'!$I:$I,"",'Raw Data'!$M:$M,"count")</f>
        <v>123000</v>
      </c>
      <c r="L15" s="11">
        <f>SUMIFS('Raw Data'!$L:$L,'Raw Data'!$B:$B,$B$2,'Raw Data'!$J:$J,L$2,'Raw Data'!$K:$K,"native",'Raw Data'!$H:$H,"61-70",'Raw Data'!$I:$I,"",'Raw Data'!$M:$M,"count")</f>
        <v>123000</v>
      </c>
      <c r="M15" s="11">
        <f>SUMIFS('Raw Data'!$L:$L,'Raw Data'!$B:$B,$B$2,'Raw Data'!$J:$J,M$2,'Raw Data'!$K:$K,"native",'Raw Data'!$H:$H,"61-70",'Raw Data'!$I:$I,"",'Raw Data'!$M:$M,"count")</f>
        <v>118000</v>
      </c>
      <c r="N15" s="11">
        <f>SUMIFS('Raw Data'!$L:$L,'Raw Data'!$B:$B,$B$2,'Raw Data'!$J:$J,N$2,'Raw Data'!$K:$K,"native",'Raw Data'!$H:$H,"61-70",'Raw Data'!$I:$I,"",'Raw Data'!$M:$M,"count")</f>
        <v>122000</v>
      </c>
      <c r="O15" s="11">
        <f>SUMIFS('Raw Data'!$L:$L,'Raw Data'!$B:$B,$B$2,'Raw Data'!$J:$J,O$2,'Raw Data'!$K:$K,"native",'Raw Data'!$H:$H,"61-70",'Raw Data'!$I:$I,"",'Raw Data'!$M:$M,"count")</f>
        <v>123000</v>
      </c>
      <c r="P15" s="11">
        <f>SUMIFS('Raw Data'!$L:$L,'Raw Data'!$B:$B,$B$2,'Raw Data'!$J:$J,P$2,'Raw Data'!$K:$K,"native",'Raw Data'!$H:$H,"61-70",'Raw Data'!$I:$I,"",'Raw Data'!$M:$M,"count")</f>
        <v>126000</v>
      </c>
      <c r="Q15" s="11">
        <f>SUMIFS('Raw Data'!$L:$L,'Raw Data'!$B:$B,$B$2,'Raw Data'!$J:$J,Q$2,'Raw Data'!$K:$K,"native",'Raw Data'!$H:$H,"61-70",'Raw Data'!$I:$I,"",'Raw Data'!$M:$M,"count")</f>
        <v>129000</v>
      </c>
      <c r="R15" s="11">
        <f>SUMIFS('Raw Data'!$L:$L,'Raw Data'!$B:$B,$B$2,'Raw Data'!$J:$J,R$2,'Raw Data'!$K:$K,"native",'Raw Data'!$H:$H,"61-70",'Raw Data'!$I:$I,"",'Raw Data'!$M:$M,"count")</f>
        <v>129000</v>
      </c>
      <c r="S15" s="11">
        <f>SUMIFS('Raw Data'!$L:$L,'Raw Data'!$B:$B,$B$2,'Raw Data'!$J:$J,S$2,'Raw Data'!$K:$K,"native",'Raw Data'!$H:$H,"61-70",'Raw Data'!$I:$I,"",'Raw Data'!$M:$M,"count")</f>
        <v>132000</v>
      </c>
      <c r="T15" s="11">
        <f>SUMIFS('Raw Data'!$L:$L,'Raw Data'!$B:$B,$B$2,'Raw Data'!$J:$J,T$2,'Raw Data'!$K:$K,"native",'Raw Data'!$H:$H,"61-70",'Raw Data'!$I:$I,"",'Raw Data'!$M:$M,"count")</f>
        <v>136000</v>
      </c>
      <c r="U15" s="11">
        <f>SUMIFS('Raw Data'!$L:$L,'Raw Data'!$B:$B,$B$2,'Raw Data'!$J:$J,U$2,'Raw Data'!$K:$K,"native",'Raw Data'!$H:$H,"61-70",'Raw Data'!$I:$I,"",'Raw Data'!$M:$M,"count")</f>
        <v>138000</v>
      </c>
      <c r="V15" s="11">
        <f>SUMIFS('Raw Data'!$L:$L,'Raw Data'!$B:$B,$B$2,'Raw Data'!$J:$J,V$2,'Raw Data'!$K:$K,"native",'Raw Data'!$H:$H,"61-70",'Raw Data'!$I:$I,"",'Raw Data'!$M:$M,"count")</f>
        <v>140000</v>
      </c>
      <c r="W15" s="11">
        <f>SUMIFS('Raw Data'!$L:$L,'Raw Data'!$B:$B,$B$2,'Raw Data'!$J:$J,W$2,'Raw Data'!$K:$K,"native",'Raw Data'!$H:$H,"61-70",'Raw Data'!$I:$I,"",'Raw Data'!$M:$M,"count")</f>
        <v>141000</v>
      </c>
      <c r="X15" s="11">
        <f>SUMIFS('Raw Data'!$L:$L,'Raw Data'!$B:$B,$B$2,'Raw Data'!$J:$J,X$2,'Raw Data'!$K:$K,"native",'Raw Data'!$H:$H,"61-70",'Raw Data'!$I:$I,"",'Raw Data'!$M:$M,"count")</f>
        <v>145000</v>
      </c>
      <c r="Y15" s="11">
        <f>SUMIFS('Raw Data'!$L:$L,'Raw Data'!$B:$B,$B$2,'Raw Data'!$J:$J,Y$2,'Raw Data'!$K:$K,"native",'Raw Data'!$H:$H,"61-70",'Raw Data'!$I:$I,"",'Raw Data'!$M:$M,"count")</f>
        <v>147000</v>
      </c>
      <c r="Z15" s="11">
        <f>SUMIFS('Raw Data'!$L:$L,'Raw Data'!$B:$B,$B$2,'Raw Data'!$J:$J,Z$2,'Raw Data'!$K:$K,"native",'Raw Data'!$H:$H,"61-70",'Raw Data'!$I:$I,"",'Raw Data'!$M:$M,"count")</f>
        <v>149000</v>
      </c>
    </row>
    <row r="16" spans="1:26" x14ac:dyDescent="0.25">
      <c r="A16" s="10" t="s">
        <v>63</v>
      </c>
      <c r="B16" s="10" t="s">
        <v>75</v>
      </c>
      <c r="C16" s="11">
        <f>SUMIFS('Raw Data'!$L:$L,'Raw Data'!$B:$B,$B$2,'Raw Data'!$J:$J,C$2,'Raw Data'!$K:$K,"native",'Raw Data'!$H:$H,"71-80",'Raw Data'!$I:$I,"",'Raw Data'!$M:$M,"count")</f>
        <v>34000</v>
      </c>
      <c r="D16" s="11">
        <f>SUMIFS('Raw Data'!$L:$L,'Raw Data'!$B:$B,$B$2,'Raw Data'!$J:$J,D$2,'Raw Data'!$K:$K,"native",'Raw Data'!$H:$H,"71-80",'Raw Data'!$I:$I,"",'Raw Data'!$M:$M,"count")</f>
        <v>35000</v>
      </c>
      <c r="E16" s="11">
        <f>SUMIFS('Raw Data'!$L:$L,'Raw Data'!$B:$B,$B$2,'Raw Data'!$J:$J,E$2,'Raw Data'!$K:$K,"native",'Raw Data'!$H:$H,"71-80",'Raw Data'!$I:$I,"",'Raw Data'!$M:$M,"count")</f>
        <v>35000</v>
      </c>
      <c r="F16" s="11">
        <f>SUMIFS('Raw Data'!$L:$L,'Raw Data'!$B:$B,$B$2,'Raw Data'!$J:$J,F$2,'Raw Data'!$K:$K,"native",'Raw Data'!$H:$H,"71-80",'Raw Data'!$I:$I,"",'Raw Data'!$M:$M,"count")</f>
        <v>40000</v>
      </c>
      <c r="G16" s="11">
        <f>SUMIFS('Raw Data'!$L:$L,'Raw Data'!$B:$B,$B$2,'Raw Data'!$J:$J,G$2,'Raw Data'!$K:$K,"native",'Raw Data'!$H:$H,"71-80",'Raw Data'!$I:$I,"",'Raw Data'!$M:$M,"count")</f>
        <v>36000</v>
      </c>
      <c r="H16" s="11">
        <f>SUMIFS('Raw Data'!$L:$L,'Raw Data'!$B:$B,$B$2,'Raw Data'!$J:$J,H$2,'Raw Data'!$K:$K,"native",'Raw Data'!$H:$H,"71-80",'Raw Data'!$I:$I,"",'Raw Data'!$M:$M,"count")</f>
        <v>36000</v>
      </c>
      <c r="I16" s="11">
        <f>SUMIFS('Raw Data'!$L:$L,'Raw Data'!$B:$B,$B$2,'Raw Data'!$J:$J,I$2,'Raw Data'!$K:$K,"native",'Raw Data'!$H:$H,"71-80",'Raw Data'!$I:$I,"",'Raw Data'!$M:$M,"count")</f>
        <v>37000</v>
      </c>
      <c r="J16" s="11">
        <f>SUMIFS('Raw Data'!$L:$L,'Raw Data'!$B:$B,$B$2,'Raw Data'!$J:$J,J$2,'Raw Data'!$K:$K,"native",'Raw Data'!$H:$H,"71-80",'Raw Data'!$I:$I,"",'Raw Data'!$M:$M,"count")</f>
        <v>38000</v>
      </c>
      <c r="K16" s="11">
        <f>SUMIFS('Raw Data'!$L:$L,'Raw Data'!$B:$B,$B$2,'Raw Data'!$J:$J,K$2,'Raw Data'!$K:$K,"native",'Raw Data'!$H:$H,"71-80",'Raw Data'!$I:$I,"",'Raw Data'!$M:$M,"count")</f>
        <v>38000</v>
      </c>
      <c r="L16" s="11">
        <f>SUMIFS('Raw Data'!$L:$L,'Raw Data'!$B:$B,$B$2,'Raw Data'!$J:$J,L$2,'Raw Data'!$K:$K,"native",'Raw Data'!$H:$H,"71-80",'Raw Data'!$I:$I,"",'Raw Data'!$M:$M,"count")</f>
        <v>37000</v>
      </c>
      <c r="M16" s="11">
        <f>SUMIFS('Raw Data'!$L:$L,'Raw Data'!$B:$B,$B$2,'Raw Data'!$J:$J,M$2,'Raw Data'!$K:$K,"native",'Raw Data'!$H:$H,"71-80",'Raw Data'!$I:$I,"",'Raw Data'!$M:$M,"count")</f>
        <v>34000</v>
      </c>
      <c r="N16" s="11">
        <f>SUMIFS('Raw Data'!$L:$L,'Raw Data'!$B:$B,$B$2,'Raw Data'!$J:$J,N$2,'Raw Data'!$K:$K,"native",'Raw Data'!$H:$H,"71-80",'Raw Data'!$I:$I,"",'Raw Data'!$M:$M,"count")</f>
        <v>35000</v>
      </c>
      <c r="O16" s="11">
        <f>SUMIFS('Raw Data'!$L:$L,'Raw Data'!$B:$B,$B$2,'Raw Data'!$J:$J,O$2,'Raw Data'!$K:$K,"native",'Raw Data'!$H:$H,"71-80",'Raw Data'!$I:$I,"",'Raw Data'!$M:$M,"count")</f>
        <v>36000</v>
      </c>
      <c r="P16" s="11">
        <f>SUMIFS('Raw Data'!$L:$L,'Raw Data'!$B:$B,$B$2,'Raw Data'!$J:$J,P$2,'Raw Data'!$K:$K,"native",'Raw Data'!$H:$H,"71-80",'Raw Data'!$I:$I,"",'Raw Data'!$M:$M,"count")</f>
        <v>37000</v>
      </c>
      <c r="Q16" s="11">
        <f>SUMIFS('Raw Data'!$L:$L,'Raw Data'!$B:$B,$B$2,'Raw Data'!$J:$J,Q$2,'Raw Data'!$K:$K,"native",'Raw Data'!$H:$H,"71-80",'Raw Data'!$I:$I,"",'Raw Data'!$M:$M,"count")</f>
        <v>37000</v>
      </c>
      <c r="R16" s="11">
        <f>SUMIFS('Raw Data'!$L:$L,'Raw Data'!$B:$B,$B$2,'Raw Data'!$J:$J,R$2,'Raw Data'!$K:$K,"native",'Raw Data'!$H:$H,"71-80",'Raw Data'!$I:$I,"",'Raw Data'!$M:$M,"count")</f>
        <v>38000</v>
      </c>
      <c r="S16" s="11">
        <f>SUMIFS('Raw Data'!$L:$L,'Raw Data'!$B:$B,$B$2,'Raw Data'!$J:$J,S$2,'Raw Data'!$K:$K,"native",'Raw Data'!$H:$H,"71-80",'Raw Data'!$I:$I,"",'Raw Data'!$M:$M,"count")</f>
        <v>38000</v>
      </c>
      <c r="T16" s="11">
        <f>SUMIFS('Raw Data'!$L:$L,'Raw Data'!$B:$B,$B$2,'Raw Data'!$J:$J,T$2,'Raw Data'!$K:$K,"native",'Raw Data'!$H:$H,"71-80",'Raw Data'!$I:$I,"",'Raw Data'!$M:$M,"count")</f>
        <v>39000</v>
      </c>
      <c r="U16" s="11">
        <f>SUMIFS('Raw Data'!$L:$L,'Raw Data'!$B:$B,$B$2,'Raw Data'!$J:$J,U$2,'Raw Data'!$K:$K,"native",'Raw Data'!$H:$H,"71-80",'Raw Data'!$I:$I,"",'Raw Data'!$M:$M,"count")</f>
        <v>40000</v>
      </c>
      <c r="V16" s="11">
        <f>SUMIFS('Raw Data'!$L:$L,'Raw Data'!$B:$B,$B$2,'Raw Data'!$J:$J,V$2,'Raw Data'!$K:$K,"native",'Raw Data'!$H:$H,"71-80",'Raw Data'!$I:$I,"",'Raw Data'!$M:$M,"count")</f>
        <v>40000</v>
      </c>
      <c r="W16" s="11">
        <f>SUMIFS('Raw Data'!$L:$L,'Raw Data'!$B:$B,$B$2,'Raw Data'!$J:$J,W$2,'Raw Data'!$K:$K,"native",'Raw Data'!$H:$H,"71-80",'Raw Data'!$I:$I,"",'Raw Data'!$M:$M,"count")</f>
        <v>41000</v>
      </c>
      <c r="X16" s="11">
        <f>SUMIFS('Raw Data'!$L:$L,'Raw Data'!$B:$B,$B$2,'Raw Data'!$J:$J,X$2,'Raw Data'!$K:$K,"native",'Raw Data'!$H:$H,"71-80",'Raw Data'!$I:$I,"",'Raw Data'!$M:$M,"count")</f>
        <v>41000</v>
      </c>
      <c r="Y16" s="11">
        <f>SUMIFS('Raw Data'!$L:$L,'Raw Data'!$B:$B,$B$2,'Raw Data'!$J:$J,Y$2,'Raw Data'!$K:$K,"native",'Raw Data'!$H:$H,"71-80",'Raw Data'!$I:$I,"",'Raw Data'!$M:$M,"count")</f>
        <v>42000</v>
      </c>
      <c r="Z16" s="11">
        <f>SUMIFS('Raw Data'!$L:$L,'Raw Data'!$B:$B,$B$2,'Raw Data'!$J:$J,Z$2,'Raw Data'!$K:$K,"native",'Raw Data'!$H:$H,"71-80",'Raw Data'!$I:$I,"",'Raw Data'!$M:$M,"count")</f>
        <v>43000</v>
      </c>
    </row>
    <row r="17" spans="1:26" x14ac:dyDescent="0.25">
      <c r="A17" s="10" t="s">
        <v>63</v>
      </c>
      <c r="B17" s="10" t="s">
        <v>76</v>
      </c>
      <c r="C17" s="11">
        <f>SUMIFS('Raw Data'!$L:$L,'Raw Data'!$B:$B,$B$2,'Raw Data'!$J:$J,C$2,'Raw Data'!$K:$K,"native",'Raw Data'!$H:$H,"81-90",'Raw Data'!$I:$I,"",'Raw Data'!$M:$M,"count")</f>
        <v>13000</v>
      </c>
      <c r="D17" s="11">
        <f>SUMIFS('Raw Data'!$L:$L,'Raw Data'!$B:$B,$B$2,'Raw Data'!$J:$J,D$2,'Raw Data'!$K:$K,"native",'Raw Data'!$H:$H,"81-90",'Raw Data'!$I:$I,"",'Raw Data'!$M:$M,"count")</f>
        <v>13000</v>
      </c>
      <c r="E17" s="11">
        <f>SUMIFS('Raw Data'!$L:$L,'Raw Data'!$B:$B,$B$2,'Raw Data'!$J:$J,E$2,'Raw Data'!$K:$K,"native",'Raw Data'!$H:$H,"81-90",'Raw Data'!$I:$I,"",'Raw Data'!$M:$M,"count")</f>
        <v>13000</v>
      </c>
      <c r="F17" s="11">
        <f>SUMIFS('Raw Data'!$L:$L,'Raw Data'!$B:$B,$B$2,'Raw Data'!$J:$J,F$2,'Raw Data'!$K:$K,"native",'Raw Data'!$H:$H,"81-90",'Raw Data'!$I:$I,"",'Raw Data'!$M:$M,"count")</f>
        <v>14000</v>
      </c>
      <c r="G17" s="11">
        <f>SUMIFS('Raw Data'!$L:$L,'Raw Data'!$B:$B,$B$2,'Raw Data'!$J:$J,G$2,'Raw Data'!$K:$K,"native",'Raw Data'!$H:$H,"81-90",'Raw Data'!$I:$I,"",'Raw Data'!$M:$M,"count")</f>
        <v>12000</v>
      </c>
      <c r="H17" s="11">
        <f>SUMIFS('Raw Data'!$L:$L,'Raw Data'!$B:$B,$B$2,'Raw Data'!$J:$J,H$2,'Raw Data'!$K:$K,"native",'Raw Data'!$H:$H,"81-90",'Raw Data'!$I:$I,"",'Raw Data'!$M:$M,"count")</f>
        <v>12000</v>
      </c>
      <c r="I17" s="11">
        <f>SUMIFS('Raw Data'!$L:$L,'Raw Data'!$B:$B,$B$2,'Raw Data'!$J:$J,I$2,'Raw Data'!$K:$K,"native",'Raw Data'!$H:$H,"81-90",'Raw Data'!$I:$I,"",'Raw Data'!$M:$M,"count")</f>
        <v>13000</v>
      </c>
      <c r="J17" s="11">
        <f>SUMIFS('Raw Data'!$L:$L,'Raw Data'!$B:$B,$B$2,'Raw Data'!$J:$J,J$2,'Raw Data'!$K:$K,"native",'Raw Data'!$H:$H,"81-90",'Raw Data'!$I:$I,"",'Raw Data'!$M:$M,"count")</f>
        <v>13000</v>
      </c>
      <c r="K17" s="11">
        <f>SUMIFS('Raw Data'!$L:$L,'Raw Data'!$B:$B,$B$2,'Raw Data'!$J:$J,K$2,'Raw Data'!$K:$K,"native",'Raw Data'!$H:$H,"81-90",'Raw Data'!$I:$I,"",'Raw Data'!$M:$M,"count")</f>
        <v>13000</v>
      </c>
      <c r="L17" s="11">
        <f>SUMIFS('Raw Data'!$L:$L,'Raw Data'!$B:$B,$B$2,'Raw Data'!$J:$J,L$2,'Raw Data'!$K:$K,"native",'Raw Data'!$H:$H,"81-90",'Raw Data'!$I:$I,"",'Raw Data'!$M:$M,"count")</f>
        <v>14000</v>
      </c>
      <c r="M17" s="11">
        <f>SUMIFS('Raw Data'!$L:$L,'Raw Data'!$B:$B,$B$2,'Raw Data'!$J:$J,M$2,'Raw Data'!$K:$K,"native",'Raw Data'!$H:$H,"81-90",'Raw Data'!$I:$I,"",'Raw Data'!$M:$M,"count")</f>
        <v>13000</v>
      </c>
      <c r="N17" s="11">
        <f>SUMIFS('Raw Data'!$L:$L,'Raw Data'!$B:$B,$B$2,'Raw Data'!$J:$J,N$2,'Raw Data'!$K:$K,"native",'Raw Data'!$H:$H,"81-90",'Raw Data'!$I:$I,"",'Raw Data'!$M:$M,"count")</f>
        <v>13000</v>
      </c>
      <c r="O17" s="11">
        <f>SUMIFS('Raw Data'!$L:$L,'Raw Data'!$B:$B,$B$2,'Raw Data'!$J:$J,O$2,'Raw Data'!$K:$K,"native",'Raw Data'!$H:$H,"81-90",'Raw Data'!$I:$I,"",'Raw Data'!$M:$M,"count")</f>
        <v>13000</v>
      </c>
      <c r="P17" s="11">
        <f>SUMIFS('Raw Data'!$L:$L,'Raw Data'!$B:$B,$B$2,'Raw Data'!$J:$J,P$2,'Raw Data'!$K:$K,"native",'Raw Data'!$H:$H,"81-90",'Raw Data'!$I:$I,"",'Raw Data'!$M:$M,"count")</f>
        <v>13000</v>
      </c>
      <c r="Q17" s="11">
        <f>SUMIFS('Raw Data'!$L:$L,'Raw Data'!$B:$B,$B$2,'Raw Data'!$J:$J,Q$2,'Raw Data'!$K:$K,"native",'Raw Data'!$H:$H,"81-90",'Raw Data'!$I:$I,"",'Raw Data'!$M:$M,"count")</f>
        <v>13000</v>
      </c>
      <c r="R17" s="11">
        <f>SUMIFS('Raw Data'!$L:$L,'Raw Data'!$B:$B,$B$2,'Raw Data'!$J:$J,R$2,'Raw Data'!$K:$K,"native",'Raw Data'!$H:$H,"81-90",'Raw Data'!$I:$I,"",'Raw Data'!$M:$M,"count")</f>
        <v>13000</v>
      </c>
      <c r="S17" s="11">
        <f>SUMIFS('Raw Data'!$L:$L,'Raw Data'!$B:$B,$B$2,'Raw Data'!$J:$J,S$2,'Raw Data'!$K:$K,"native",'Raw Data'!$H:$H,"81-90",'Raw Data'!$I:$I,"",'Raw Data'!$M:$M,"count")</f>
        <v>13000</v>
      </c>
      <c r="T17" s="11">
        <f>SUMIFS('Raw Data'!$L:$L,'Raw Data'!$B:$B,$B$2,'Raw Data'!$J:$J,T$2,'Raw Data'!$K:$K,"native",'Raw Data'!$H:$H,"81-90",'Raw Data'!$I:$I,"",'Raw Data'!$M:$M,"count")</f>
        <v>13000</v>
      </c>
      <c r="U17" s="11">
        <f>SUMIFS('Raw Data'!$L:$L,'Raw Data'!$B:$B,$B$2,'Raw Data'!$J:$J,U$2,'Raw Data'!$K:$K,"native",'Raw Data'!$H:$H,"81-90",'Raw Data'!$I:$I,"",'Raw Data'!$M:$M,"count")</f>
        <v>13000</v>
      </c>
      <c r="V17" s="11">
        <f>SUMIFS('Raw Data'!$L:$L,'Raw Data'!$B:$B,$B$2,'Raw Data'!$J:$J,V$2,'Raw Data'!$K:$K,"native",'Raw Data'!$H:$H,"81-90",'Raw Data'!$I:$I,"",'Raw Data'!$M:$M,"count")</f>
        <v>13000</v>
      </c>
      <c r="W17" s="11">
        <f>SUMIFS('Raw Data'!$L:$L,'Raw Data'!$B:$B,$B$2,'Raw Data'!$J:$J,W$2,'Raw Data'!$K:$K,"native",'Raw Data'!$H:$H,"81-90",'Raw Data'!$I:$I,"",'Raw Data'!$M:$M,"count")</f>
        <v>13000</v>
      </c>
      <c r="X17" s="11">
        <f>SUMIFS('Raw Data'!$L:$L,'Raw Data'!$B:$B,$B$2,'Raw Data'!$J:$J,X$2,'Raw Data'!$K:$K,"native",'Raw Data'!$H:$H,"81-90",'Raw Data'!$I:$I,"",'Raw Data'!$M:$M,"count")</f>
        <v>15000</v>
      </c>
      <c r="Y17" s="11">
        <f>SUMIFS('Raw Data'!$L:$L,'Raw Data'!$B:$B,$B$2,'Raw Data'!$J:$J,Y$2,'Raw Data'!$K:$K,"native",'Raw Data'!$H:$H,"81-90",'Raw Data'!$I:$I,"",'Raw Data'!$M:$M,"count")</f>
        <v>15000</v>
      </c>
      <c r="Z17" s="11">
        <f>SUMIFS('Raw Data'!$L:$L,'Raw Data'!$B:$B,$B$2,'Raw Data'!$J:$J,Z$2,'Raw Data'!$K:$K,"native",'Raw Data'!$H:$H,"81-90",'Raw Data'!$I:$I,"",'Raw Data'!$M:$M,"count")</f>
        <v>15000</v>
      </c>
    </row>
    <row r="18" spans="1:26" x14ac:dyDescent="0.25">
      <c r="A18" s="10" t="s">
        <v>63</v>
      </c>
      <c r="B18" s="10" t="s">
        <v>77</v>
      </c>
      <c r="C18" s="11">
        <f>SUMIFS('Raw Data'!$L:$L,'Raw Data'!$B:$B,$B$2,'Raw Data'!$J:$J,C$2,'Raw Data'!$K:$K,"native",'Raw Data'!$H:$H,"=&lt;18",'Raw Data'!$I:$I,"",'Raw Data'!$M:$M,"count")</f>
        <v>1000</v>
      </c>
      <c r="D18" s="11">
        <f>SUMIFS('Raw Data'!$L:$L,'Raw Data'!$B:$B,$B$2,'Raw Data'!$J:$J,D$2,'Raw Data'!$K:$K,"native",'Raw Data'!$H:$H,"=&lt;18",'Raw Data'!$I:$I,"",'Raw Data'!$M:$M,"count")</f>
        <v>1000</v>
      </c>
      <c r="E18" s="11">
        <f>SUMIFS('Raw Data'!$L:$L,'Raw Data'!$B:$B,$B$2,'Raw Data'!$J:$J,E$2,'Raw Data'!$K:$K,"native",'Raw Data'!$H:$H,"=&lt;18",'Raw Data'!$I:$I,"",'Raw Data'!$M:$M,"count")</f>
        <v>1000</v>
      </c>
      <c r="F18" s="11">
        <f>SUMIFS('Raw Data'!$L:$L,'Raw Data'!$B:$B,$B$2,'Raw Data'!$J:$J,F$2,'Raw Data'!$K:$K,"native",'Raw Data'!$H:$H,"=&lt;18",'Raw Data'!$I:$I,"",'Raw Data'!$M:$M,"count")</f>
        <v>1000</v>
      </c>
      <c r="G18" s="11">
        <f>SUMIFS('Raw Data'!$L:$L,'Raw Data'!$B:$B,$B$2,'Raw Data'!$J:$J,G$2,'Raw Data'!$K:$K,"native",'Raw Data'!$H:$H,"=&lt;18",'Raw Data'!$I:$I,"",'Raw Data'!$M:$M,"count")</f>
        <v>1000</v>
      </c>
      <c r="H18" s="11">
        <f>SUMIFS('Raw Data'!$L:$L,'Raw Data'!$B:$B,$B$2,'Raw Data'!$J:$J,H$2,'Raw Data'!$K:$K,"native",'Raw Data'!$H:$H,"=&lt;18",'Raw Data'!$I:$I,"",'Raw Data'!$M:$M,"count")</f>
        <v>1000</v>
      </c>
      <c r="I18" s="11">
        <f>SUMIFS('Raw Data'!$L:$L,'Raw Data'!$B:$B,$B$2,'Raw Data'!$J:$J,I$2,'Raw Data'!$K:$K,"native",'Raw Data'!$H:$H,"=&lt;18",'Raw Data'!$I:$I,"",'Raw Data'!$M:$M,"count")</f>
        <v>1000</v>
      </c>
      <c r="J18" s="11">
        <f>SUMIFS('Raw Data'!$L:$L,'Raw Data'!$B:$B,$B$2,'Raw Data'!$J:$J,J$2,'Raw Data'!$K:$K,"native",'Raw Data'!$H:$H,"=&lt;18",'Raw Data'!$I:$I,"",'Raw Data'!$M:$M,"count")</f>
        <v>1000</v>
      </c>
      <c r="K18" s="11">
        <f>SUMIFS('Raw Data'!$L:$L,'Raw Data'!$B:$B,$B$2,'Raw Data'!$J:$J,K$2,'Raw Data'!$K:$K,"native",'Raw Data'!$H:$H,"=&lt;18",'Raw Data'!$I:$I,"",'Raw Data'!$M:$M,"count")</f>
        <v>1000</v>
      </c>
      <c r="L18" s="11">
        <f>SUMIFS('Raw Data'!$L:$L,'Raw Data'!$B:$B,$B$2,'Raw Data'!$J:$J,L$2,'Raw Data'!$K:$K,"native",'Raw Data'!$H:$H,"=&lt;18",'Raw Data'!$I:$I,"",'Raw Data'!$M:$M,"count")</f>
        <v>1000</v>
      </c>
      <c r="M18" s="11">
        <f>SUMIFS('Raw Data'!$L:$L,'Raw Data'!$B:$B,$B$2,'Raw Data'!$J:$J,M$2,'Raw Data'!$K:$K,"native",'Raw Data'!$H:$H,"=&lt;18",'Raw Data'!$I:$I,"",'Raw Data'!$M:$M,"count")</f>
        <v>1000</v>
      </c>
      <c r="N18" s="11">
        <f>SUMIFS('Raw Data'!$L:$L,'Raw Data'!$B:$B,$B$2,'Raw Data'!$J:$J,N$2,'Raw Data'!$K:$K,"native",'Raw Data'!$H:$H,"=&lt;18",'Raw Data'!$I:$I,"",'Raw Data'!$M:$M,"count")</f>
        <v>1000</v>
      </c>
      <c r="O18" s="11">
        <f>SUMIFS('Raw Data'!$L:$L,'Raw Data'!$B:$B,$B$2,'Raw Data'!$J:$J,O$2,'Raw Data'!$K:$K,"native",'Raw Data'!$H:$H,"=&lt;18",'Raw Data'!$I:$I,"",'Raw Data'!$M:$M,"count")</f>
        <v>1000</v>
      </c>
      <c r="P18" s="11">
        <f>SUMIFS('Raw Data'!$L:$L,'Raw Data'!$B:$B,$B$2,'Raw Data'!$J:$J,P$2,'Raw Data'!$K:$K,"native",'Raw Data'!$H:$H,"=&lt;18",'Raw Data'!$I:$I,"",'Raw Data'!$M:$M,"count")</f>
        <v>1000</v>
      </c>
      <c r="Q18" s="11">
        <f>SUMIFS('Raw Data'!$L:$L,'Raw Data'!$B:$B,$B$2,'Raw Data'!$J:$J,Q$2,'Raw Data'!$K:$K,"native",'Raw Data'!$H:$H,"=&lt;18",'Raw Data'!$I:$I,"",'Raw Data'!$M:$M,"count")</f>
        <v>1000</v>
      </c>
      <c r="R18" s="11">
        <f>SUMIFS('Raw Data'!$L:$L,'Raw Data'!$B:$B,$B$2,'Raw Data'!$J:$J,R$2,'Raw Data'!$K:$K,"native",'Raw Data'!$H:$H,"=&lt;18",'Raw Data'!$I:$I,"",'Raw Data'!$M:$M,"count")</f>
        <v>1000</v>
      </c>
      <c r="S18" s="11">
        <f>SUMIFS('Raw Data'!$L:$L,'Raw Data'!$B:$B,$B$2,'Raw Data'!$J:$J,S$2,'Raw Data'!$K:$K,"native",'Raw Data'!$H:$H,"=&lt;18",'Raw Data'!$I:$I,"",'Raw Data'!$M:$M,"count")</f>
        <v>1000</v>
      </c>
      <c r="T18" s="11">
        <f>SUMIFS('Raw Data'!$L:$L,'Raw Data'!$B:$B,$B$2,'Raw Data'!$J:$J,T$2,'Raw Data'!$K:$K,"native",'Raw Data'!$H:$H,"=&lt;18",'Raw Data'!$I:$I,"",'Raw Data'!$M:$M,"count")</f>
        <v>1000</v>
      </c>
      <c r="U18" s="11">
        <f>SUMIFS('Raw Data'!$L:$L,'Raw Data'!$B:$B,$B$2,'Raw Data'!$J:$J,U$2,'Raw Data'!$K:$K,"native",'Raw Data'!$H:$H,"=&lt;18",'Raw Data'!$I:$I,"",'Raw Data'!$M:$M,"count")</f>
        <v>1000</v>
      </c>
      <c r="V18" s="11">
        <f>SUMIFS('Raw Data'!$L:$L,'Raw Data'!$B:$B,$B$2,'Raw Data'!$J:$J,V$2,'Raw Data'!$K:$K,"native",'Raw Data'!$H:$H,"=&lt;18",'Raw Data'!$I:$I,"",'Raw Data'!$M:$M,"count")</f>
        <v>1000</v>
      </c>
      <c r="W18" s="11">
        <f>SUMIFS('Raw Data'!$L:$L,'Raw Data'!$B:$B,$B$2,'Raw Data'!$J:$J,W$2,'Raw Data'!$K:$K,"native",'Raw Data'!$H:$H,"=&lt;18",'Raw Data'!$I:$I,"",'Raw Data'!$M:$M,"count")</f>
        <v>1000</v>
      </c>
      <c r="X18" s="11">
        <f>SUMIFS('Raw Data'!$L:$L,'Raw Data'!$B:$B,$B$2,'Raw Data'!$J:$J,X$2,'Raw Data'!$K:$K,"native",'Raw Data'!$H:$H,"=&lt;18",'Raw Data'!$I:$I,"",'Raw Data'!$M:$M,"count")</f>
        <v>1000</v>
      </c>
      <c r="Y18" s="11">
        <f>SUMIFS('Raw Data'!$L:$L,'Raw Data'!$B:$B,$B$2,'Raw Data'!$J:$J,Y$2,'Raw Data'!$K:$K,"native",'Raw Data'!$H:$H,"=&lt;18",'Raw Data'!$I:$I,"",'Raw Data'!$M:$M,"count")</f>
        <v>1000</v>
      </c>
      <c r="Z18" s="11">
        <f>SUMIFS('Raw Data'!$L:$L,'Raw Data'!$B:$B,$B$2,'Raw Data'!$J:$J,Z$2,'Raw Data'!$K:$K,"native",'Raw Data'!$H:$H,"=&lt;18",'Raw Data'!$I:$I,"",'Raw Data'!$M:$M,"count")</f>
        <v>1000</v>
      </c>
    </row>
    <row r="19" spans="1:26" x14ac:dyDescent="0.25">
      <c r="A19" s="53" t="s">
        <v>98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x14ac:dyDescent="0.25">
      <c r="A20" s="10" t="s">
        <v>99</v>
      </c>
      <c r="B20" s="10" t="s">
        <v>100</v>
      </c>
      <c r="C20" s="11">
        <f>SUMIFS('Raw Data'!$L:$L,'Raw Data'!$B:$B,$B$2,'Raw Data'!$J:$J,C$2,'Raw Data'!$K:$K,"native",'Raw Data'!$H:$H,"Agent Wallet",'Raw Data'!$I:$I,"",'Raw Data'!$M:$M,"count")</f>
        <v>1376</v>
      </c>
      <c r="D20" s="11">
        <f>SUMIFS('Raw Data'!$L:$L,'Raw Data'!$B:$B,$B$2,'Raw Data'!$J:$J,D$2,'Raw Data'!$K:$K,"native",'Raw Data'!$H:$H,"Agent Wallet",'Raw Data'!$I:$I,"",'Raw Data'!$M:$M,"count")</f>
        <v>1390</v>
      </c>
      <c r="E20" s="11">
        <f>SUMIFS('Raw Data'!$L:$L,'Raw Data'!$B:$B,$B$2,'Raw Data'!$J:$J,E$2,'Raw Data'!$K:$K,"native",'Raw Data'!$H:$H,"Agent Wallet",'Raw Data'!$I:$I,"",'Raw Data'!$M:$M,"count")</f>
        <v>1255</v>
      </c>
      <c r="F20" s="11">
        <f>SUMIFS('Raw Data'!$L:$L,'Raw Data'!$B:$B,$B$2,'Raw Data'!$J:$J,F$2,'Raw Data'!$K:$K,"native",'Raw Data'!$H:$H,"Agent Wallet",'Raw Data'!$I:$I,"",'Raw Data'!$M:$M,"count")</f>
        <v>1077</v>
      </c>
      <c r="G20" s="11">
        <f>SUMIFS('Raw Data'!$L:$L,'Raw Data'!$B:$B,$B$2,'Raw Data'!$J:$J,G$2,'Raw Data'!$K:$K,"native",'Raw Data'!$H:$H,"Agent Wallet",'Raw Data'!$I:$I,"",'Raw Data'!$M:$M,"count")</f>
        <v>911</v>
      </c>
      <c r="H20" s="11">
        <f>SUMIFS('Raw Data'!$L:$L,'Raw Data'!$B:$B,$B$2,'Raw Data'!$J:$J,H$2,'Raw Data'!$K:$K,"native",'Raw Data'!$H:$H,"Agent Wallet",'Raw Data'!$I:$I,"",'Raw Data'!$M:$M,"count")</f>
        <v>909</v>
      </c>
      <c r="I20" s="11">
        <f>SUMIFS('Raw Data'!$L:$L,'Raw Data'!$B:$B,$B$2,'Raw Data'!$J:$J,I$2,'Raw Data'!$K:$K,"native",'Raw Data'!$H:$H,"Agent Wallet",'Raw Data'!$I:$I,"",'Raw Data'!$M:$M,"count")</f>
        <v>918</v>
      </c>
      <c r="J20" s="11">
        <f>SUMIFS('Raw Data'!$L:$L,'Raw Data'!$B:$B,$B$2,'Raw Data'!$J:$J,J$2,'Raw Data'!$K:$K,"native",'Raw Data'!$H:$H,"Agent Wallet",'Raw Data'!$I:$I,"",'Raw Data'!$M:$M,"count")</f>
        <v>939</v>
      </c>
      <c r="K20" s="11">
        <f>SUMIFS('Raw Data'!$L:$L,'Raw Data'!$B:$B,$B$2,'Raw Data'!$J:$J,K$2,'Raw Data'!$K:$K,"native",'Raw Data'!$H:$H,"Agent Wallet",'Raw Data'!$I:$I,"",'Raw Data'!$M:$M,"count")</f>
        <v>954</v>
      </c>
      <c r="L20" s="11">
        <f>SUMIFS('Raw Data'!$L:$L,'Raw Data'!$B:$B,$B$2,'Raw Data'!$J:$J,L$2,'Raw Data'!$K:$K,"native",'Raw Data'!$H:$H,"Agent Wallet",'Raw Data'!$I:$I,"",'Raw Data'!$M:$M,"count")</f>
        <v>962</v>
      </c>
      <c r="M20" s="11">
        <f>SUMIFS('Raw Data'!$L:$L,'Raw Data'!$B:$B,$B$2,'Raw Data'!$J:$J,M$2,'Raw Data'!$K:$K,"native",'Raw Data'!$H:$H,"Agent Wallet",'Raw Data'!$I:$I,"",'Raw Data'!$M:$M,"count")</f>
        <v>972</v>
      </c>
      <c r="N20" s="11">
        <f>SUMIFS('Raw Data'!$L:$L,'Raw Data'!$B:$B,$B$2,'Raw Data'!$J:$J,N$2,'Raw Data'!$K:$K,"native",'Raw Data'!$H:$H,"Agent Wallet",'Raw Data'!$I:$I,"",'Raw Data'!$M:$M,"count")</f>
        <v>980</v>
      </c>
      <c r="O20" s="11">
        <f>SUMIFS('Raw Data'!$L:$L,'Raw Data'!$B:$B,$B$2,'Raw Data'!$J:$J,O$2,'Raw Data'!$K:$K,"native",'Raw Data'!$H:$H,"Agent Wallet",'Raw Data'!$I:$I,"",'Raw Data'!$M:$M,"count")</f>
        <v>992</v>
      </c>
      <c r="P20" s="11">
        <f>SUMIFS('Raw Data'!$L:$L,'Raw Data'!$B:$B,$B$2,'Raw Data'!$J:$J,P$2,'Raw Data'!$K:$K,"native",'Raw Data'!$H:$H,"Agent Wallet",'Raw Data'!$I:$I,"",'Raw Data'!$M:$M,"count")</f>
        <v>1014</v>
      </c>
      <c r="Q20" s="11">
        <f>SUMIFS('Raw Data'!$L:$L,'Raw Data'!$B:$B,$B$2,'Raw Data'!$J:$J,Q$2,'Raw Data'!$K:$K,"native",'Raw Data'!$H:$H,"Agent Wallet",'Raw Data'!$I:$I,"",'Raw Data'!$M:$M,"count")</f>
        <v>1034</v>
      </c>
      <c r="R20" s="11">
        <f>SUMIFS('Raw Data'!$L:$L,'Raw Data'!$B:$B,$B$2,'Raw Data'!$J:$J,R$2,'Raw Data'!$K:$K,"native",'Raw Data'!$H:$H,"Agent Wallet",'Raw Data'!$I:$I,"",'Raw Data'!$M:$M,"count")</f>
        <v>1045</v>
      </c>
      <c r="S20" s="11">
        <f>SUMIFS('Raw Data'!$L:$L,'Raw Data'!$B:$B,$B$2,'Raw Data'!$J:$J,S$2,'Raw Data'!$K:$K,"native",'Raw Data'!$H:$H,"Agent Wallet",'Raw Data'!$I:$I,"",'Raw Data'!$M:$M,"count")</f>
        <v>1052</v>
      </c>
      <c r="T20" s="11">
        <f>SUMIFS('Raw Data'!$L:$L,'Raw Data'!$B:$B,$B$2,'Raw Data'!$J:$J,T$2,'Raw Data'!$K:$K,"native",'Raw Data'!$H:$H,"Agent Wallet",'Raw Data'!$I:$I,"",'Raw Data'!$M:$M,"count")</f>
        <v>1061</v>
      </c>
      <c r="U20" s="11">
        <f>SUMIFS('Raw Data'!$L:$L,'Raw Data'!$B:$B,$B$2,'Raw Data'!$J:$J,U$2,'Raw Data'!$K:$K,"native",'Raw Data'!$H:$H,"Agent Wallet",'Raw Data'!$I:$I,"",'Raw Data'!$M:$M,"count")</f>
        <v>1064</v>
      </c>
      <c r="V20" s="11">
        <f>SUMIFS('Raw Data'!$L:$L,'Raw Data'!$B:$B,$B$2,'Raw Data'!$J:$J,V$2,'Raw Data'!$K:$K,"native",'Raw Data'!$H:$H,"Agent Wallet",'Raw Data'!$I:$I,"",'Raw Data'!$M:$M,"count")</f>
        <v>1072</v>
      </c>
      <c r="W20" s="11">
        <f>SUMIFS('Raw Data'!$L:$L,'Raw Data'!$B:$B,$B$2,'Raw Data'!$J:$J,W$2,'Raw Data'!$K:$K,"native",'Raw Data'!$H:$H,"Agent Wallet",'Raw Data'!$I:$I,"",'Raw Data'!$M:$M,"count")</f>
        <v>1073</v>
      </c>
      <c r="X20" s="11">
        <f>SUMIFS('Raw Data'!$L:$L,'Raw Data'!$B:$B,$B$2,'Raw Data'!$J:$J,X$2,'Raw Data'!$K:$K,"native",'Raw Data'!$H:$H,"Agent Wallet",'Raw Data'!$I:$I,"",'Raw Data'!$M:$M,"count")</f>
        <v>1077</v>
      </c>
      <c r="Y20" s="11">
        <f>SUMIFS('Raw Data'!$L:$L,'Raw Data'!$B:$B,$B$2,'Raw Data'!$J:$J,Y$2,'Raw Data'!$K:$K,"native",'Raw Data'!$H:$H,"Agent Wallet",'Raw Data'!$I:$I,"",'Raw Data'!$M:$M,"count")</f>
        <v>1082</v>
      </c>
      <c r="Z20" s="11">
        <f>SUMIFS('Raw Data'!$L:$L,'Raw Data'!$B:$B,$B$2,'Raw Data'!$J:$J,Z$2,'Raw Data'!$K:$K,"native",'Raw Data'!$H:$H,"Agent Wallet",'Raw Data'!$I:$I,"",'Raw Data'!$M:$M,"count")</f>
        <v>1087</v>
      </c>
    </row>
    <row r="21" spans="1:26" x14ac:dyDescent="0.25">
      <c r="A21" s="10" t="s">
        <v>99</v>
      </c>
      <c r="B21" s="10" t="s">
        <v>101</v>
      </c>
      <c r="C21" s="11">
        <f>SUMIFS('Raw Data'!$L:$L,'Raw Data'!$B:$B,$B$2,'Raw Data'!$J:$J,C$2,'Raw Data'!$K:$K,"native",'Raw Data'!$H:$H,"Business Wallet",'Raw Data'!$I:$I,"",'Raw Data'!$M:$M,"count")</f>
        <v>1088</v>
      </c>
      <c r="D21" s="11">
        <f>SUMIFS('Raw Data'!$L:$L,'Raw Data'!$B:$B,$B$2,'Raw Data'!$J:$J,D$2,'Raw Data'!$K:$K,"native",'Raw Data'!$H:$H,"Business Wallet",'Raw Data'!$I:$I,"",'Raw Data'!$M:$M,"count")</f>
        <v>1124</v>
      </c>
      <c r="E21" s="11">
        <f>SUMIFS('Raw Data'!$L:$L,'Raw Data'!$B:$B,$B$2,'Raw Data'!$J:$J,E$2,'Raw Data'!$K:$K,"native",'Raw Data'!$H:$H,"Business Wallet",'Raw Data'!$I:$I,"",'Raw Data'!$M:$M,"count")</f>
        <v>1139</v>
      </c>
      <c r="F21" s="11">
        <f>SUMIFS('Raw Data'!$L:$L,'Raw Data'!$B:$B,$B$2,'Raw Data'!$J:$J,F$2,'Raw Data'!$K:$K,"native",'Raw Data'!$H:$H,"Business Wallet",'Raw Data'!$I:$I,"",'Raw Data'!$M:$M,"count")</f>
        <v>1149</v>
      </c>
      <c r="G21" s="11">
        <f>SUMIFS('Raw Data'!$L:$L,'Raw Data'!$B:$B,$B$2,'Raw Data'!$J:$J,G$2,'Raw Data'!$K:$K,"native",'Raw Data'!$H:$H,"Business Wallet",'Raw Data'!$I:$I,"",'Raw Data'!$M:$M,"count")</f>
        <v>1149</v>
      </c>
      <c r="H21" s="11">
        <f>SUMIFS('Raw Data'!$L:$L,'Raw Data'!$B:$B,$B$2,'Raw Data'!$J:$J,H$2,'Raw Data'!$K:$K,"native",'Raw Data'!$H:$H,"Business Wallet",'Raw Data'!$I:$I,"",'Raw Data'!$M:$M,"count")</f>
        <v>1160</v>
      </c>
      <c r="I21" s="11">
        <f>SUMIFS('Raw Data'!$L:$L,'Raw Data'!$B:$B,$B$2,'Raw Data'!$J:$J,I$2,'Raw Data'!$K:$K,"native",'Raw Data'!$H:$H,"Business Wallet",'Raw Data'!$I:$I,"",'Raw Data'!$M:$M,"count")</f>
        <v>1176</v>
      </c>
      <c r="J21" s="11">
        <f>SUMIFS('Raw Data'!$L:$L,'Raw Data'!$B:$B,$B$2,'Raw Data'!$J:$J,J$2,'Raw Data'!$K:$K,"native",'Raw Data'!$H:$H,"Business Wallet",'Raw Data'!$I:$I,"",'Raw Data'!$M:$M,"count")</f>
        <v>1201</v>
      </c>
      <c r="K21" s="11">
        <f>SUMIFS('Raw Data'!$L:$L,'Raw Data'!$B:$B,$B$2,'Raw Data'!$J:$J,K$2,'Raw Data'!$K:$K,"native",'Raw Data'!$H:$H,"Business Wallet",'Raw Data'!$I:$I,"",'Raw Data'!$M:$M,"count")</f>
        <v>1224</v>
      </c>
      <c r="L21" s="11">
        <f>SUMIFS('Raw Data'!$L:$L,'Raw Data'!$B:$B,$B$2,'Raw Data'!$J:$J,L$2,'Raw Data'!$K:$K,"native",'Raw Data'!$H:$H,"Business Wallet",'Raw Data'!$I:$I,"",'Raw Data'!$M:$M,"count")</f>
        <v>1262</v>
      </c>
      <c r="M21" s="11">
        <f>SUMIFS('Raw Data'!$L:$L,'Raw Data'!$B:$B,$B$2,'Raw Data'!$J:$J,M$2,'Raw Data'!$K:$K,"native",'Raw Data'!$H:$H,"Business Wallet",'Raw Data'!$I:$I,"",'Raw Data'!$M:$M,"count")</f>
        <v>1292</v>
      </c>
      <c r="N21" s="11">
        <f>SUMIFS('Raw Data'!$L:$L,'Raw Data'!$B:$B,$B$2,'Raw Data'!$J:$J,N$2,'Raw Data'!$K:$K,"native",'Raw Data'!$H:$H,"Business Wallet",'Raw Data'!$I:$I,"",'Raw Data'!$M:$M,"count")</f>
        <v>1342</v>
      </c>
      <c r="O21" s="11">
        <f>SUMIFS('Raw Data'!$L:$L,'Raw Data'!$B:$B,$B$2,'Raw Data'!$J:$J,O$2,'Raw Data'!$K:$K,"native",'Raw Data'!$H:$H,"Business Wallet",'Raw Data'!$I:$I,"",'Raw Data'!$M:$M,"count")</f>
        <v>1388</v>
      </c>
      <c r="P21" s="11">
        <f>SUMIFS('Raw Data'!$L:$L,'Raw Data'!$B:$B,$B$2,'Raw Data'!$J:$J,P$2,'Raw Data'!$K:$K,"native",'Raw Data'!$H:$H,"Business Wallet",'Raw Data'!$I:$I,"",'Raw Data'!$M:$M,"count")</f>
        <v>1420</v>
      </c>
      <c r="Q21" s="11">
        <f>SUMIFS('Raw Data'!$L:$L,'Raw Data'!$B:$B,$B$2,'Raw Data'!$J:$J,Q$2,'Raw Data'!$K:$K,"native",'Raw Data'!$H:$H,"Business Wallet",'Raw Data'!$I:$I,"",'Raw Data'!$M:$M,"count")</f>
        <v>1469</v>
      </c>
      <c r="R21" s="11">
        <f>SUMIFS('Raw Data'!$L:$L,'Raw Data'!$B:$B,$B$2,'Raw Data'!$J:$J,R$2,'Raw Data'!$K:$K,"native",'Raw Data'!$H:$H,"Business Wallet",'Raw Data'!$I:$I,"",'Raw Data'!$M:$M,"count")</f>
        <v>1511</v>
      </c>
      <c r="S21" s="11">
        <f>SUMIFS('Raw Data'!$L:$L,'Raw Data'!$B:$B,$B$2,'Raw Data'!$J:$J,S$2,'Raw Data'!$K:$K,"native",'Raw Data'!$H:$H,"Business Wallet",'Raw Data'!$I:$I,"",'Raw Data'!$M:$M,"count")</f>
        <v>1577</v>
      </c>
      <c r="T21" s="11">
        <f>SUMIFS('Raw Data'!$L:$L,'Raw Data'!$B:$B,$B$2,'Raw Data'!$J:$J,T$2,'Raw Data'!$K:$K,"native",'Raw Data'!$H:$H,"Business Wallet",'Raw Data'!$I:$I,"",'Raw Data'!$M:$M,"count")</f>
        <v>1639</v>
      </c>
      <c r="U21" s="11">
        <f>SUMIFS('Raw Data'!$L:$L,'Raw Data'!$B:$B,$B$2,'Raw Data'!$J:$J,U$2,'Raw Data'!$K:$K,"native",'Raw Data'!$H:$H,"Business Wallet",'Raw Data'!$I:$I,"",'Raw Data'!$M:$M,"count")</f>
        <v>1662</v>
      </c>
      <c r="V21" s="11">
        <f>SUMIFS('Raw Data'!$L:$L,'Raw Data'!$B:$B,$B$2,'Raw Data'!$J:$J,V$2,'Raw Data'!$K:$K,"native",'Raw Data'!$H:$H,"Business Wallet",'Raw Data'!$I:$I,"",'Raw Data'!$M:$M,"count")</f>
        <v>1753</v>
      </c>
      <c r="W21" s="11">
        <f>SUMIFS('Raw Data'!$L:$L,'Raw Data'!$B:$B,$B$2,'Raw Data'!$J:$J,W$2,'Raw Data'!$K:$K,"native",'Raw Data'!$H:$H,"Business Wallet",'Raw Data'!$I:$I,"",'Raw Data'!$M:$M,"count")</f>
        <v>1995</v>
      </c>
      <c r="X21" s="11">
        <f>SUMIFS('Raw Data'!$L:$L,'Raw Data'!$B:$B,$B$2,'Raw Data'!$J:$J,X$2,'Raw Data'!$K:$K,"native",'Raw Data'!$H:$H,"Business Wallet",'Raw Data'!$I:$I,"",'Raw Data'!$M:$M,"count")</f>
        <v>2035</v>
      </c>
      <c r="Y21" s="11">
        <f>SUMIFS('Raw Data'!$L:$L,'Raw Data'!$B:$B,$B$2,'Raw Data'!$J:$J,Y$2,'Raw Data'!$K:$K,"native",'Raw Data'!$H:$H,"Business Wallet",'Raw Data'!$I:$I,"",'Raw Data'!$M:$M,"count")</f>
        <v>2093</v>
      </c>
      <c r="Z21" s="11">
        <f>SUMIFS('Raw Data'!$L:$L,'Raw Data'!$B:$B,$B$2,'Raw Data'!$J:$J,Z$2,'Raw Data'!$K:$K,"native",'Raw Data'!$H:$H,"Business Wallet",'Raw Data'!$I:$I,"",'Raw Data'!$M:$M,"count")</f>
        <v>2170</v>
      </c>
    </row>
    <row r="22" spans="1:26" x14ac:dyDescent="0.25">
      <c r="A22" s="10" t="s">
        <v>99</v>
      </c>
      <c r="B22" s="10" t="s">
        <v>102</v>
      </c>
      <c r="C22" s="11">
        <f>SUMIFS('Raw Data'!$L:$L,'Raw Data'!$B:$B,$B$2,'Raw Data'!$J:$J,C$2,'Raw Data'!$K:$K,"native",'Raw Data'!$H:$H,"Government Wallet",'Raw Data'!$I:$I,"",'Raw Data'!$M:$M,"count")</f>
        <v>8</v>
      </c>
      <c r="D22" s="11">
        <f>SUMIFS('Raw Data'!$L:$L,'Raw Data'!$B:$B,$B$2,'Raw Data'!$J:$J,D$2,'Raw Data'!$K:$K,"native",'Raw Data'!$H:$H,"Government Wallet",'Raw Data'!$I:$I,"",'Raw Data'!$M:$M,"count")</f>
        <v>8</v>
      </c>
      <c r="E22" s="11">
        <f>SUMIFS('Raw Data'!$L:$L,'Raw Data'!$B:$B,$B$2,'Raw Data'!$J:$J,E$2,'Raw Data'!$K:$K,"native",'Raw Data'!$H:$H,"Government Wallet",'Raw Data'!$I:$I,"",'Raw Data'!$M:$M,"count")</f>
        <v>8</v>
      </c>
      <c r="F22" s="11">
        <f>SUMIFS('Raw Data'!$L:$L,'Raw Data'!$B:$B,$B$2,'Raw Data'!$J:$J,F$2,'Raw Data'!$K:$K,"native",'Raw Data'!$H:$H,"Government Wallet",'Raw Data'!$I:$I,"",'Raw Data'!$M:$M,"count")</f>
        <v>7</v>
      </c>
      <c r="G22" s="11">
        <f>SUMIFS('Raw Data'!$L:$L,'Raw Data'!$B:$B,$B$2,'Raw Data'!$J:$J,G$2,'Raw Data'!$K:$K,"native",'Raw Data'!$H:$H,"Government Wallet",'Raw Data'!$I:$I,"",'Raw Data'!$M:$M,"count")</f>
        <v>6</v>
      </c>
      <c r="H22" s="11">
        <f>SUMIFS('Raw Data'!$L:$L,'Raw Data'!$B:$B,$B$2,'Raw Data'!$J:$J,H$2,'Raw Data'!$K:$K,"native",'Raw Data'!$H:$H,"Government Wallet",'Raw Data'!$I:$I,"",'Raw Data'!$M:$M,"count")</f>
        <v>6</v>
      </c>
      <c r="I22" s="11">
        <f>SUMIFS('Raw Data'!$L:$L,'Raw Data'!$B:$B,$B$2,'Raw Data'!$J:$J,I$2,'Raw Data'!$K:$K,"native",'Raw Data'!$H:$H,"Government Wallet",'Raw Data'!$I:$I,"",'Raw Data'!$M:$M,"count")</f>
        <v>6</v>
      </c>
      <c r="J22" s="11">
        <f>SUMIFS('Raw Data'!$L:$L,'Raw Data'!$B:$B,$B$2,'Raw Data'!$J:$J,J$2,'Raw Data'!$K:$K,"native",'Raw Data'!$H:$H,"Government Wallet",'Raw Data'!$I:$I,"",'Raw Data'!$M:$M,"count")</f>
        <v>7</v>
      </c>
      <c r="K22" s="11">
        <f>SUMIFS('Raw Data'!$L:$L,'Raw Data'!$B:$B,$B$2,'Raw Data'!$J:$J,K$2,'Raw Data'!$K:$K,"native",'Raw Data'!$H:$H,"Government Wallet",'Raw Data'!$I:$I,"",'Raw Data'!$M:$M,"count")</f>
        <v>7</v>
      </c>
      <c r="L22" s="11">
        <f>SUMIFS('Raw Data'!$L:$L,'Raw Data'!$B:$B,$B$2,'Raw Data'!$J:$J,L$2,'Raw Data'!$K:$K,"native",'Raw Data'!$H:$H,"Government Wallet",'Raw Data'!$I:$I,"",'Raw Data'!$M:$M,"count")</f>
        <v>7</v>
      </c>
      <c r="M22" s="11">
        <f>SUMIFS('Raw Data'!$L:$L,'Raw Data'!$B:$B,$B$2,'Raw Data'!$J:$J,M$2,'Raw Data'!$K:$K,"native",'Raw Data'!$H:$H,"Government Wallet",'Raw Data'!$I:$I,"",'Raw Data'!$M:$M,"count")</f>
        <v>7</v>
      </c>
      <c r="N22" s="11">
        <f>SUMIFS('Raw Data'!$L:$L,'Raw Data'!$B:$B,$B$2,'Raw Data'!$J:$J,N$2,'Raw Data'!$K:$K,"native",'Raw Data'!$H:$H,"Government Wallet",'Raw Data'!$I:$I,"",'Raw Data'!$M:$M,"count")</f>
        <v>7</v>
      </c>
      <c r="O22" s="11">
        <f>SUMIFS('Raw Data'!$L:$L,'Raw Data'!$B:$B,$B$2,'Raw Data'!$J:$J,O$2,'Raw Data'!$K:$K,"native",'Raw Data'!$H:$H,"Government Wallet",'Raw Data'!$I:$I,"",'Raw Data'!$M:$M,"count")</f>
        <v>7</v>
      </c>
      <c r="P22" s="11">
        <f>SUMIFS('Raw Data'!$L:$L,'Raw Data'!$B:$B,$B$2,'Raw Data'!$J:$J,P$2,'Raw Data'!$K:$K,"native",'Raw Data'!$H:$H,"Government Wallet",'Raw Data'!$I:$I,"",'Raw Data'!$M:$M,"count")</f>
        <v>8</v>
      </c>
      <c r="Q22" s="11">
        <f>SUMIFS('Raw Data'!$L:$L,'Raw Data'!$B:$B,$B$2,'Raw Data'!$J:$J,Q$2,'Raw Data'!$K:$K,"native",'Raw Data'!$H:$H,"Government Wallet",'Raw Data'!$I:$I,"",'Raw Data'!$M:$M,"count")</f>
        <v>8</v>
      </c>
      <c r="R22" s="11">
        <f>SUMIFS('Raw Data'!$L:$L,'Raw Data'!$B:$B,$B$2,'Raw Data'!$J:$J,R$2,'Raw Data'!$K:$K,"native",'Raw Data'!$H:$H,"Government Wallet",'Raw Data'!$I:$I,"",'Raw Data'!$M:$M,"count")</f>
        <v>8</v>
      </c>
      <c r="S22" s="11">
        <f>SUMIFS('Raw Data'!$L:$L,'Raw Data'!$B:$B,$B$2,'Raw Data'!$J:$J,S$2,'Raw Data'!$K:$K,"native",'Raw Data'!$H:$H,"Government Wallet",'Raw Data'!$I:$I,"",'Raw Data'!$M:$M,"count")</f>
        <v>8</v>
      </c>
      <c r="T22" s="11">
        <f>SUMIFS('Raw Data'!$L:$L,'Raw Data'!$B:$B,$B$2,'Raw Data'!$J:$J,T$2,'Raw Data'!$K:$K,"native",'Raw Data'!$H:$H,"Government Wallet",'Raw Data'!$I:$I,"",'Raw Data'!$M:$M,"count")</f>
        <v>8</v>
      </c>
      <c r="U22" s="11">
        <f>SUMIFS('Raw Data'!$L:$L,'Raw Data'!$B:$B,$B$2,'Raw Data'!$J:$J,U$2,'Raw Data'!$K:$K,"native",'Raw Data'!$H:$H,"Government Wallet",'Raw Data'!$I:$I,"",'Raw Data'!$M:$M,"count")</f>
        <v>8</v>
      </c>
      <c r="V22" s="11">
        <f>SUMIFS('Raw Data'!$L:$L,'Raw Data'!$B:$B,$B$2,'Raw Data'!$J:$J,V$2,'Raw Data'!$K:$K,"native",'Raw Data'!$H:$H,"Government Wallet",'Raw Data'!$I:$I,"",'Raw Data'!$M:$M,"count")</f>
        <v>8</v>
      </c>
      <c r="W22" s="11">
        <f>SUMIFS('Raw Data'!$L:$L,'Raw Data'!$B:$B,$B$2,'Raw Data'!$J:$J,W$2,'Raw Data'!$K:$K,"native",'Raw Data'!$H:$H,"Government Wallet",'Raw Data'!$I:$I,"",'Raw Data'!$M:$M,"count")</f>
        <v>8</v>
      </c>
      <c r="X22" s="11">
        <f>SUMIFS('Raw Data'!$L:$L,'Raw Data'!$B:$B,$B$2,'Raw Data'!$J:$J,X$2,'Raw Data'!$K:$K,"native",'Raw Data'!$H:$H,"Government Wallet",'Raw Data'!$I:$I,"",'Raw Data'!$M:$M,"count")</f>
        <v>8</v>
      </c>
      <c r="Y22" s="11">
        <f>SUMIFS('Raw Data'!$L:$L,'Raw Data'!$B:$B,$B$2,'Raw Data'!$J:$J,Y$2,'Raw Data'!$K:$K,"native",'Raw Data'!$H:$H,"Government Wallet",'Raw Data'!$I:$I,"",'Raw Data'!$M:$M,"count")</f>
        <v>8</v>
      </c>
      <c r="Z22" s="11">
        <f>SUMIFS('Raw Data'!$L:$L,'Raw Data'!$B:$B,$B$2,'Raw Data'!$J:$J,Z$2,'Raw Data'!$K:$K,"native",'Raw Data'!$H:$H,"Government Wallet",'Raw Data'!$I:$I,"",'Raw Data'!$M:$M,"count")</f>
        <v>8</v>
      </c>
    </row>
    <row r="23" spans="1:26" x14ac:dyDescent="0.25">
      <c r="A23" s="10" t="s">
        <v>99</v>
      </c>
      <c r="B23" s="10" t="s">
        <v>103</v>
      </c>
      <c r="C23" s="11">
        <f>SUMIFS('Raw Data'!$L:$L,'Raw Data'!$B:$B,$B$2,'Raw Data'!$J:$J,C$2,'Raw Data'!$K:$K,"native",'Raw Data'!$H:$H,"Individual Wallet",'Raw Data'!$I:$I,"",'Raw Data'!$M:$M,"count")</f>
        <v>2240000</v>
      </c>
      <c r="D23" s="11">
        <f>SUMIFS('Raw Data'!$L:$L,'Raw Data'!$B:$B,$B$2,'Raw Data'!$J:$J,D$2,'Raw Data'!$K:$K,"native",'Raw Data'!$H:$H,"Individual Wallet",'Raw Data'!$I:$I,"",'Raw Data'!$M:$M,"count")</f>
        <v>2280000</v>
      </c>
      <c r="E23" s="11">
        <f>SUMIFS('Raw Data'!$L:$L,'Raw Data'!$B:$B,$B$2,'Raw Data'!$J:$J,E$2,'Raw Data'!$K:$K,"native",'Raw Data'!$H:$H,"Individual Wallet",'Raw Data'!$I:$I,"",'Raw Data'!$M:$M,"count")</f>
        <v>2320000</v>
      </c>
      <c r="F23" s="11">
        <f>SUMIFS('Raw Data'!$L:$L,'Raw Data'!$B:$B,$B$2,'Raw Data'!$J:$J,F$2,'Raw Data'!$K:$K,"native",'Raw Data'!$H:$H,"Individual Wallet",'Raw Data'!$I:$I,"",'Raw Data'!$M:$M,"count")</f>
        <v>2510000</v>
      </c>
      <c r="G23" s="11">
        <f>SUMIFS('Raw Data'!$L:$L,'Raw Data'!$B:$B,$B$2,'Raw Data'!$J:$J,G$2,'Raw Data'!$K:$K,"native",'Raw Data'!$H:$H,"Individual Wallet",'Raw Data'!$I:$I,"",'Raw Data'!$M:$M,"count")</f>
        <v>2460000</v>
      </c>
      <c r="H23" s="11">
        <f>SUMIFS('Raw Data'!$L:$L,'Raw Data'!$B:$B,$B$2,'Raw Data'!$J:$J,H$2,'Raw Data'!$K:$K,"native",'Raw Data'!$H:$H,"Individual Wallet",'Raw Data'!$I:$I,"",'Raw Data'!$M:$M,"count")</f>
        <v>2490000</v>
      </c>
      <c r="I23" s="11">
        <f>SUMIFS('Raw Data'!$L:$L,'Raw Data'!$B:$B,$B$2,'Raw Data'!$J:$J,I$2,'Raw Data'!$K:$K,"native",'Raw Data'!$H:$H,"Individual Wallet",'Raw Data'!$I:$I,"",'Raw Data'!$M:$M,"count")</f>
        <v>2520000</v>
      </c>
      <c r="J23" s="11">
        <f>SUMIFS('Raw Data'!$L:$L,'Raw Data'!$B:$B,$B$2,'Raw Data'!$J:$J,J$2,'Raw Data'!$K:$K,"native",'Raw Data'!$H:$H,"Individual Wallet",'Raw Data'!$I:$I,"",'Raw Data'!$M:$M,"count")</f>
        <v>2560000</v>
      </c>
      <c r="K23" s="11">
        <f>SUMIFS('Raw Data'!$L:$L,'Raw Data'!$B:$B,$B$2,'Raw Data'!$J:$J,K$2,'Raw Data'!$K:$K,"native",'Raw Data'!$H:$H,"Individual Wallet",'Raw Data'!$I:$I,"",'Raw Data'!$M:$M,"count")</f>
        <v>2580000</v>
      </c>
      <c r="L23" s="11">
        <f>SUMIFS('Raw Data'!$L:$L,'Raw Data'!$B:$B,$B$2,'Raw Data'!$J:$J,L$2,'Raw Data'!$K:$K,"native",'Raw Data'!$H:$H,"Individual Wallet",'Raw Data'!$I:$I,"",'Raw Data'!$M:$M,"count")</f>
        <v>2610000</v>
      </c>
      <c r="M23" s="11">
        <f>SUMIFS('Raw Data'!$L:$L,'Raw Data'!$B:$B,$B$2,'Raw Data'!$J:$J,M$2,'Raw Data'!$K:$K,"native",'Raw Data'!$H:$H,"Individual Wallet",'Raw Data'!$I:$I,"",'Raw Data'!$M:$M,"count")</f>
        <v>2600000</v>
      </c>
      <c r="N23" s="11">
        <f>SUMIFS('Raw Data'!$L:$L,'Raw Data'!$B:$B,$B$2,'Raw Data'!$J:$J,N$2,'Raw Data'!$K:$K,"native",'Raw Data'!$H:$H,"Individual Wallet",'Raw Data'!$I:$I,"",'Raw Data'!$M:$M,"count")</f>
        <v>2600000</v>
      </c>
      <c r="O23" s="11">
        <f>SUMIFS('Raw Data'!$L:$L,'Raw Data'!$B:$B,$B$2,'Raw Data'!$J:$J,O$2,'Raw Data'!$K:$K,"native",'Raw Data'!$H:$H,"Individual Wallet",'Raw Data'!$I:$I,"",'Raw Data'!$M:$M,"count")</f>
        <v>2670000</v>
      </c>
      <c r="P23" s="11">
        <f>SUMIFS('Raw Data'!$L:$L,'Raw Data'!$B:$B,$B$2,'Raw Data'!$J:$J,P$2,'Raw Data'!$K:$K,"native",'Raw Data'!$H:$H,"Individual Wallet",'Raw Data'!$I:$I,"",'Raw Data'!$M:$M,"count")</f>
        <v>2700000</v>
      </c>
      <c r="Q23" s="11">
        <f>SUMIFS('Raw Data'!$L:$L,'Raw Data'!$B:$B,$B$2,'Raw Data'!$J:$J,Q$2,'Raw Data'!$K:$K,"native",'Raw Data'!$H:$H,"Individual Wallet",'Raw Data'!$I:$I,"",'Raw Data'!$M:$M,"count")</f>
        <v>2700000</v>
      </c>
      <c r="R23" s="11">
        <f>SUMIFS('Raw Data'!$L:$L,'Raw Data'!$B:$B,$B$2,'Raw Data'!$J:$J,R$2,'Raw Data'!$K:$K,"native",'Raw Data'!$H:$H,"Individual Wallet",'Raw Data'!$I:$I,"",'Raw Data'!$M:$M,"count")</f>
        <v>2800000</v>
      </c>
      <c r="S23" s="11">
        <f>SUMIFS('Raw Data'!$L:$L,'Raw Data'!$B:$B,$B$2,'Raw Data'!$J:$J,S$2,'Raw Data'!$K:$K,"native",'Raw Data'!$H:$H,"Individual Wallet",'Raw Data'!$I:$I,"",'Raw Data'!$M:$M,"count")</f>
        <v>2800000</v>
      </c>
      <c r="T23" s="11">
        <f>SUMIFS('Raw Data'!$L:$L,'Raw Data'!$B:$B,$B$2,'Raw Data'!$J:$J,T$2,'Raw Data'!$K:$K,"native",'Raw Data'!$H:$H,"Individual Wallet",'Raw Data'!$I:$I,"",'Raw Data'!$M:$M,"count")</f>
        <v>2900000</v>
      </c>
      <c r="U23" s="11">
        <f>SUMIFS('Raw Data'!$L:$L,'Raw Data'!$B:$B,$B$2,'Raw Data'!$J:$J,U$2,'Raw Data'!$K:$K,"native",'Raw Data'!$H:$H,"Individual Wallet",'Raw Data'!$I:$I,"",'Raw Data'!$M:$M,"count")</f>
        <v>2900000</v>
      </c>
      <c r="V23" s="11">
        <f>SUMIFS('Raw Data'!$L:$L,'Raw Data'!$B:$B,$B$2,'Raw Data'!$J:$J,V$2,'Raw Data'!$K:$K,"native",'Raw Data'!$H:$H,"Individual Wallet",'Raw Data'!$I:$I,"",'Raw Data'!$M:$M,"count")</f>
        <v>2900000</v>
      </c>
      <c r="W23" s="11">
        <f>SUMIFS('Raw Data'!$L:$L,'Raw Data'!$B:$B,$B$2,'Raw Data'!$J:$J,W$2,'Raw Data'!$K:$K,"native",'Raw Data'!$H:$H,"Individual Wallet",'Raw Data'!$I:$I,"",'Raw Data'!$M:$M,"count")</f>
        <v>2900000</v>
      </c>
      <c r="X23" s="11">
        <f>SUMIFS('Raw Data'!$L:$L,'Raw Data'!$B:$B,$B$2,'Raw Data'!$J:$J,X$2,'Raw Data'!$K:$K,"native",'Raw Data'!$H:$H,"Individual Wallet",'Raw Data'!$I:$I,"",'Raw Data'!$M:$M,"count")</f>
        <v>2950000</v>
      </c>
      <c r="Y23" s="11">
        <f>SUMIFS('Raw Data'!$L:$L,'Raw Data'!$B:$B,$B$2,'Raw Data'!$J:$J,Y$2,'Raw Data'!$K:$K,"native",'Raw Data'!$H:$H,"Individual Wallet",'Raw Data'!$I:$I,"",'Raw Data'!$M:$M,"count")</f>
        <v>2970000</v>
      </c>
      <c r="Z23" s="11">
        <f>SUMIFS('Raw Data'!$L:$L,'Raw Data'!$B:$B,$B$2,'Raw Data'!$J:$J,Z$2,'Raw Data'!$K:$K,"native",'Raw Data'!$H:$H,"Individual Wallet",'Raw Data'!$I:$I,"",'Raw Data'!$M:$M,"count")</f>
        <v>3020000</v>
      </c>
    </row>
    <row r="24" spans="1:26" x14ac:dyDescent="0.25">
      <c r="A24" s="10" t="s">
        <v>99</v>
      </c>
      <c r="B24" s="10" t="s">
        <v>104</v>
      </c>
      <c r="C24" s="11">
        <f>SUMIFS('Raw Data'!$L:$L,'Raw Data'!$B:$B,$B$2,'Raw Data'!$J:$J,C$2,'Raw Data'!$K:$K,"native",'Raw Data'!$H:$H,"Merchant Wallet",'Raw Data'!$I:$I,"",'Raw Data'!$M:$M,"count")</f>
        <v>4122</v>
      </c>
      <c r="D24" s="11">
        <f>SUMIFS('Raw Data'!$L:$L,'Raw Data'!$B:$B,$B$2,'Raw Data'!$J:$J,D$2,'Raw Data'!$K:$K,"native",'Raw Data'!$H:$H,"Merchant Wallet",'Raw Data'!$I:$I,"",'Raw Data'!$M:$M,"count")</f>
        <v>4182</v>
      </c>
      <c r="E24" s="11">
        <f>SUMIFS('Raw Data'!$L:$L,'Raw Data'!$B:$B,$B$2,'Raw Data'!$J:$J,E$2,'Raw Data'!$K:$K,"native",'Raw Data'!$H:$H,"Merchant Wallet",'Raw Data'!$I:$I,"",'Raw Data'!$M:$M,"count")</f>
        <v>3960</v>
      </c>
      <c r="F24" s="11">
        <f>SUMIFS('Raw Data'!$L:$L,'Raw Data'!$B:$B,$B$2,'Raw Data'!$J:$J,F$2,'Raw Data'!$K:$K,"native",'Raw Data'!$H:$H,"Merchant Wallet",'Raw Data'!$I:$I,"",'Raw Data'!$M:$M,"count")</f>
        <v>3415</v>
      </c>
      <c r="G24" s="11">
        <f>SUMIFS('Raw Data'!$L:$L,'Raw Data'!$B:$B,$B$2,'Raw Data'!$J:$J,G$2,'Raw Data'!$K:$K,"native",'Raw Data'!$H:$H,"Merchant Wallet",'Raw Data'!$I:$I,"",'Raw Data'!$M:$M,"count")</f>
        <v>3268</v>
      </c>
      <c r="H24" s="11">
        <f>SUMIFS('Raw Data'!$L:$L,'Raw Data'!$B:$B,$B$2,'Raw Data'!$J:$J,H$2,'Raw Data'!$K:$K,"native",'Raw Data'!$H:$H,"Merchant Wallet",'Raw Data'!$I:$I,"",'Raw Data'!$M:$M,"count")</f>
        <v>3301</v>
      </c>
      <c r="I24" s="11">
        <f>SUMIFS('Raw Data'!$L:$L,'Raw Data'!$B:$B,$B$2,'Raw Data'!$J:$J,I$2,'Raw Data'!$K:$K,"native",'Raw Data'!$H:$H,"Merchant Wallet",'Raw Data'!$I:$I,"",'Raw Data'!$M:$M,"count")</f>
        <v>3329</v>
      </c>
      <c r="J24" s="11">
        <f>SUMIFS('Raw Data'!$L:$L,'Raw Data'!$B:$B,$B$2,'Raw Data'!$J:$J,J$2,'Raw Data'!$K:$K,"native",'Raw Data'!$H:$H,"Merchant Wallet",'Raw Data'!$I:$I,"",'Raw Data'!$M:$M,"count")</f>
        <v>3358</v>
      </c>
      <c r="K24" s="11">
        <f>SUMIFS('Raw Data'!$L:$L,'Raw Data'!$B:$B,$B$2,'Raw Data'!$J:$J,K$2,'Raw Data'!$K:$K,"native",'Raw Data'!$H:$H,"Merchant Wallet",'Raw Data'!$I:$I,"",'Raw Data'!$M:$M,"count")</f>
        <v>3410</v>
      </c>
      <c r="L24" s="11">
        <f>SUMIFS('Raw Data'!$L:$L,'Raw Data'!$B:$B,$B$2,'Raw Data'!$J:$J,L$2,'Raw Data'!$K:$K,"native",'Raw Data'!$H:$H,"Merchant Wallet",'Raw Data'!$I:$I,"",'Raw Data'!$M:$M,"count")</f>
        <v>3465</v>
      </c>
      <c r="M24" s="11">
        <f>SUMIFS('Raw Data'!$L:$L,'Raw Data'!$B:$B,$B$2,'Raw Data'!$J:$J,M$2,'Raw Data'!$K:$K,"native",'Raw Data'!$H:$H,"Merchant Wallet",'Raw Data'!$I:$I,"",'Raw Data'!$M:$M,"count")</f>
        <v>3496</v>
      </c>
      <c r="N24" s="11">
        <f>SUMIFS('Raw Data'!$L:$L,'Raw Data'!$B:$B,$B$2,'Raw Data'!$J:$J,N$2,'Raw Data'!$K:$K,"native",'Raw Data'!$H:$H,"Merchant Wallet",'Raw Data'!$I:$I,"",'Raw Data'!$M:$M,"count")</f>
        <v>3540</v>
      </c>
      <c r="O24" s="11">
        <f>SUMIFS('Raw Data'!$L:$L,'Raw Data'!$B:$B,$B$2,'Raw Data'!$J:$J,O$2,'Raw Data'!$K:$K,"native",'Raw Data'!$H:$H,"Merchant Wallet",'Raw Data'!$I:$I,"",'Raw Data'!$M:$M,"count")</f>
        <v>3574</v>
      </c>
      <c r="P24" s="11">
        <f>SUMIFS('Raw Data'!$L:$L,'Raw Data'!$B:$B,$B$2,'Raw Data'!$J:$J,P$2,'Raw Data'!$K:$K,"native",'Raw Data'!$H:$H,"Merchant Wallet",'Raw Data'!$I:$I,"",'Raw Data'!$M:$M,"count")</f>
        <v>3568</v>
      </c>
      <c r="Q24" s="11">
        <f>SUMIFS('Raw Data'!$L:$L,'Raw Data'!$B:$B,$B$2,'Raw Data'!$J:$J,Q$2,'Raw Data'!$K:$K,"native",'Raw Data'!$H:$H,"Merchant Wallet",'Raw Data'!$I:$I,"",'Raw Data'!$M:$M,"count")</f>
        <v>3627</v>
      </c>
      <c r="R24" s="11">
        <f>SUMIFS('Raw Data'!$L:$L,'Raw Data'!$B:$B,$B$2,'Raw Data'!$J:$J,R$2,'Raw Data'!$K:$K,"native",'Raw Data'!$H:$H,"Merchant Wallet",'Raw Data'!$I:$I,"",'Raw Data'!$M:$M,"count")</f>
        <v>3716</v>
      </c>
      <c r="S24" s="11">
        <f>SUMIFS('Raw Data'!$L:$L,'Raw Data'!$B:$B,$B$2,'Raw Data'!$J:$J,S$2,'Raw Data'!$K:$K,"native",'Raw Data'!$H:$H,"Merchant Wallet",'Raw Data'!$I:$I,"",'Raw Data'!$M:$M,"count")</f>
        <v>3799</v>
      </c>
      <c r="T24" s="11">
        <f>SUMIFS('Raw Data'!$L:$L,'Raw Data'!$B:$B,$B$2,'Raw Data'!$J:$J,T$2,'Raw Data'!$K:$K,"native",'Raw Data'!$H:$H,"Merchant Wallet",'Raw Data'!$I:$I,"",'Raw Data'!$M:$M,"count")</f>
        <v>3865</v>
      </c>
      <c r="U24" s="11">
        <f>SUMIFS('Raw Data'!$L:$L,'Raw Data'!$B:$B,$B$2,'Raw Data'!$J:$J,U$2,'Raw Data'!$K:$K,"native",'Raw Data'!$H:$H,"Merchant Wallet",'Raw Data'!$I:$I,"",'Raw Data'!$M:$M,"count")</f>
        <v>4020</v>
      </c>
      <c r="V24" s="11">
        <f>SUMIFS('Raw Data'!$L:$L,'Raw Data'!$B:$B,$B$2,'Raw Data'!$J:$J,V$2,'Raw Data'!$K:$K,"native",'Raw Data'!$H:$H,"Merchant Wallet",'Raw Data'!$I:$I,"",'Raw Data'!$M:$M,"count")</f>
        <v>4208</v>
      </c>
      <c r="W24" s="11">
        <f>SUMIFS('Raw Data'!$L:$L,'Raw Data'!$B:$B,$B$2,'Raw Data'!$J:$J,W$2,'Raw Data'!$K:$K,"native",'Raw Data'!$H:$H,"Merchant Wallet",'Raw Data'!$I:$I,"",'Raw Data'!$M:$M,"count")</f>
        <v>4325</v>
      </c>
      <c r="X24" s="11">
        <f>SUMIFS('Raw Data'!$L:$L,'Raw Data'!$B:$B,$B$2,'Raw Data'!$J:$J,X$2,'Raw Data'!$K:$K,"native",'Raw Data'!$H:$H,"Merchant Wallet",'Raw Data'!$I:$I,"",'Raw Data'!$M:$M,"count")</f>
        <v>4480</v>
      </c>
      <c r="Y24" s="11">
        <f>SUMIFS('Raw Data'!$L:$L,'Raw Data'!$B:$B,$B$2,'Raw Data'!$J:$J,Y$2,'Raw Data'!$K:$K,"native",'Raw Data'!$H:$H,"Merchant Wallet",'Raw Data'!$I:$I,"",'Raw Data'!$M:$M,"count")</f>
        <v>4622</v>
      </c>
      <c r="Z24" s="11">
        <f>SUMIFS('Raw Data'!$L:$L,'Raw Data'!$B:$B,$B$2,'Raw Data'!$J:$J,Z$2,'Raw Data'!$K:$K,"native",'Raw Data'!$H:$H,"Merchant Wallet",'Raw Data'!$I:$I,"",'Raw Data'!$M:$M,"count")</f>
        <v>4813</v>
      </c>
    </row>
    <row r="25" spans="1:26" x14ac:dyDescent="0.25">
      <c r="A25" s="53" t="s">
        <v>81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x14ac:dyDescent="0.25">
      <c r="A26" s="10" t="s">
        <v>82</v>
      </c>
      <c r="B26" s="10" t="s">
        <v>105</v>
      </c>
      <c r="C26" s="11">
        <f>SUMIFS('Raw Data'!$L:$L,'Raw Data'!$B:$B,$B$2,'Raw Data'!$J:$J,C$2,'Raw Data'!$K:$K,"native",'Raw Data'!$H:$H,"Cash In",'Raw Data'!$I:$I,"",'Raw Data'!$M:$M,"count")</f>
        <v>111800</v>
      </c>
      <c r="D26" s="11">
        <f>SUMIFS('Raw Data'!$L:$L,'Raw Data'!$B:$B,$B$2,'Raw Data'!$J:$J,D$2,'Raw Data'!$K:$K,"native",'Raw Data'!$H:$H,"Cash In",'Raw Data'!$I:$I,"",'Raw Data'!$M:$M,"count")</f>
        <v>126100</v>
      </c>
      <c r="E26" s="11">
        <f>SUMIFS('Raw Data'!$L:$L,'Raw Data'!$B:$B,$B$2,'Raw Data'!$J:$J,E$2,'Raw Data'!$K:$K,"native",'Raw Data'!$H:$H,"Cash In",'Raw Data'!$I:$I,"",'Raw Data'!$M:$M,"count")</f>
        <v>115400</v>
      </c>
      <c r="F26" s="11">
        <f>SUMIFS('Raw Data'!$L:$L,'Raw Data'!$B:$B,$B$2,'Raw Data'!$J:$J,F$2,'Raw Data'!$K:$K,"native",'Raw Data'!$H:$H,"Cash In",'Raw Data'!$I:$I,"",'Raw Data'!$M:$M,"count")</f>
        <v>125700</v>
      </c>
      <c r="G26" s="11">
        <f>SUMIFS('Raw Data'!$L:$L,'Raw Data'!$B:$B,$B$2,'Raw Data'!$J:$J,G$2,'Raw Data'!$K:$K,"native",'Raw Data'!$H:$H,"Cash In",'Raw Data'!$I:$I,"",'Raw Data'!$M:$M,"count")</f>
        <v>117400</v>
      </c>
      <c r="H26" s="11">
        <f>SUMIFS('Raw Data'!$L:$L,'Raw Data'!$B:$B,$B$2,'Raw Data'!$J:$J,H$2,'Raw Data'!$K:$K,"native",'Raw Data'!$H:$H,"Cash In",'Raw Data'!$I:$I,"",'Raw Data'!$M:$M,"count")</f>
        <v>107400</v>
      </c>
      <c r="I26" s="11">
        <f>SUMIFS('Raw Data'!$L:$L,'Raw Data'!$B:$B,$B$2,'Raw Data'!$J:$J,I$2,'Raw Data'!$K:$K,"native",'Raw Data'!$H:$H,"Cash In",'Raw Data'!$I:$I,"",'Raw Data'!$M:$M,"count")</f>
        <v>115100</v>
      </c>
      <c r="J26" s="11">
        <f>SUMIFS('Raw Data'!$L:$L,'Raw Data'!$B:$B,$B$2,'Raw Data'!$J:$J,J$2,'Raw Data'!$K:$K,"native",'Raw Data'!$H:$H,"Cash In",'Raw Data'!$I:$I,"",'Raw Data'!$M:$M,"count")</f>
        <v>116000</v>
      </c>
      <c r="K26" s="11">
        <f>SUMIFS('Raw Data'!$L:$L,'Raw Data'!$B:$B,$B$2,'Raw Data'!$J:$J,K$2,'Raw Data'!$K:$K,"native",'Raw Data'!$H:$H,"Cash In",'Raw Data'!$I:$I,"",'Raw Data'!$M:$M,"count")</f>
        <v>124100</v>
      </c>
      <c r="L26" s="11">
        <f>SUMIFS('Raw Data'!$L:$L,'Raw Data'!$B:$B,$B$2,'Raw Data'!$J:$J,L$2,'Raw Data'!$K:$K,"native",'Raw Data'!$H:$H,"Cash In",'Raw Data'!$I:$I,"",'Raw Data'!$M:$M,"count")</f>
        <v>116600</v>
      </c>
      <c r="M26" s="11">
        <f>SUMIFS('Raw Data'!$L:$L,'Raw Data'!$B:$B,$B$2,'Raw Data'!$J:$J,M$2,'Raw Data'!$K:$K,"native",'Raw Data'!$H:$H,"Cash In",'Raw Data'!$I:$I,"",'Raw Data'!$M:$M,"count")</f>
        <v>131100</v>
      </c>
      <c r="N26" s="11">
        <f>SUMIFS('Raw Data'!$L:$L,'Raw Data'!$B:$B,$B$2,'Raw Data'!$J:$J,N$2,'Raw Data'!$K:$K,"native",'Raw Data'!$H:$H,"Cash In",'Raw Data'!$I:$I,"",'Raw Data'!$M:$M,"count")</f>
        <v>124400</v>
      </c>
      <c r="O26" s="11">
        <f>SUMIFS('Raw Data'!$L:$L,'Raw Data'!$B:$B,$B$2,'Raw Data'!$J:$J,O$2,'Raw Data'!$K:$K,"native",'Raw Data'!$H:$H,"Cash In",'Raw Data'!$I:$I,"",'Raw Data'!$M:$M,"count")</f>
        <v>73240</v>
      </c>
      <c r="P26" s="11">
        <f>SUMIFS('Raw Data'!$L:$L,'Raw Data'!$B:$B,$B$2,'Raw Data'!$J:$J,P$2,'Raw Data'!$K:$K,"native",'Raw Data'!$H:$H,"Cash In",'Raw Data'!$I:$I,"",'Raw Data'!$M:$M,"count")</f>
        <v>22800</v>
      </c>
      <c r="Q26" s="11">
        <f>SUMIFS('Raw Data'!$L:$L,'Raw Data'!$B:$B,$B$2,'Raw Data'!$J:$J,Q$2,'Raw Data'!$K:$K,"native",'Raw Data'!$H:$H,"Cash In",'Raw Data'!$I:$I,"",'Raw Data'!$M:$M,"count")</f>
        <v>21400</v>
      </c>
      <c r="R26" s="11">
        <f>SUMIFS('Raw Data'!$L:$L,'Raw Data'!$B:$B,$B$2,'Raw Data'!$J:$J,R$2,'Raw Data'!$K:$K,"native",'Raw Data'!$H:$H,"Cash In",'Raw Data'!$I:$I,"",'Raw Data'!$M:$M,"count")</f>
        <v>21300</v>
      </c>
      <c r="S26" s="11">
        <f>SUMIFS('Raw Data'!$L:$L,'Raw Data'!$B:$B,$B$2,'Raw Data'!$J:$J,S$2,'Raw Data'!$K:$K,"native",'Raw Data'!$H:$H,"Cash In",'Raw Data'!$I:$I,"",'Raw Data'!$M:$M,"count")</f>
        <v>21250</v>
      </c>
      <c r="T26" s="11">
        <f>SUMIFS('Raw Data'!$L:$L,'Raw Data'!$B:$B,$B$2,'Raw Data'!$J:$J,T$2,'Raw Data'!$K:$K,"native",'Raw Data'!$H:$H,"Cash In",'Raw Data'!$I:$I,"",'Raw Data'!$M:$M,"count")</f>
        <v>19730</v>
      </c>
      <c r="U26" s="11">
        <f>SUMIFS('Raw Data'!$L:$L,'Raw Data'!$B:$B,$B$2,'Raw Data'!$J:$J,U$2,'Raw Data'!$K:$K,"native",'Raw Data'!$H:$H,"Cash In",'Raw Data'!$I:$I,"",'Raw Data'!$M:$M,"count")</f>
        <v>20790</v>
      </c>
      <c r="V26" s="11">
        <f>SUMIFS('Raw Data'!$L:$L,'Raw Data'!$B:$B,$B$2,'Raw Data'!$J:$J,V$2,'Raw Data'!$K:$K,"native",'Raw Data'!$H:$H,"Cash In",'Raw Data'!$I:$I,"",'Raw Data'!$M:$M,"count")</f>
        <v>20410</v>
      </c>
      <c r="W26" s="11">
        <f>SUMIFS('Raw Data'!$L:$L,'Raw Data'!$B:$B,$B$2,'Raw Data'!$J:$J,W$2,'Raw Data'!$K:$K,"native",'Raw Data'!$H:$H,"Cash In",'Raw Data'!$I:$I,"",'Raw Data'!$M:$M,"count")</f>
        <v>21350</v>
      </c>
      <c r="X26" s="11">
        <f>SUMIFS('Raw Data'!$L:$L,'Raw Data'!$B:$B,$B$2,'Raw Data'!$J:$J,X$2,'Raw Data'!$K:$K,"native",'Raw Data'!$H:$H,"Cash In",'Raw Data'!$I:$I,"",'Raw Data'!$M:$M,"count")</f>
        <v>19910</v>
      </c>
      <c r="Y26" s="11">
        <f>SUMIFS('Raw Data'!$L:$L,'Raw Data'!$B:$B,$B$2,'Raw Data'!$J:$J,Y$2,'Raw Data'!$K:$K,"native",'Raw Data'!$H:$H,"Cash In",'Raw Data'!$I:$I,"",'Raw Data'!$M:$M,"count")</f>
        <v>20300</v>
      </c>
      <c r="Z26" s="11">
        <f>SUMIFS('Raw Data'!$L:$L,'Raw Data'!$B:$B,$B$2,'Raw Data'!$J:$J,Z$2,'Raw Data'!$K:$K,"native",'Raw Data'!$H:$H,"Cash In",'Raw Data'!$I:$I,"",'Raw Data'!$M:$M,"count")</f>
        <v>20600</v>
      </c>
    </row>
    <row r="27" spans="1:26" x14ac:dyDescent="0.25">
      <c r="A27" s="10" t="s">
        <v>82</v>
      </c>
      <c r="B27" s="10" t="s">
        <v>106</v>
      </c>
      <c r="C27" s="11">
        <f>SUMIFS('Raw Data'!$L:$L,'Raw Data'!$B:$B,$B$2,'Raw Data'!$J:$J,C$2,'Raw Data'!$K:$K,"native",'Raw Data'!$H:$H,"Cash Out",'Raw Data'!$I:$I,"",'Raw Data'!$M:$M,"count")</f>
        <v>172300</v>
      </c>
      <c r="D27" s="11">
        <f>SUMIFS('Raw Data'!$L:$L,'Raw Data'!$B:$B,$B$2,'Raw Data'!$J:$J,D$2,'Raw Data'!$K:$K,"native",'Raw Data'!$H:$H,"Cash Out",'Raw Data'!$I:$I,"",'Raw Data'!$M:$M,"count")</f>
        <v>198100</v>
      </c>
      <c r="E27" s="11">
        <f>SUMIFS('Raw Data'!$L:$L,'Raw Data'!$B:$B,$B$2,'Raw Data'!$J:$J,E$2,'Raw Data'!$K:$K,"native",'Raw Data'!$H:$H,"Cash Out",'Raw Data'!$I:$I,"",'Raw Data'!$M:$M,"count")</f>
        <v>169300</v>
      </c>
      <c r="F27" s="11">
        <f>SUMIFS('Raw Data'!$L:$L,'Raw Data'!$B:$B,$B$2,'Raw Data'!$J:$J,F$2,'Raw Data'!$K:$K,"native",'Raw Data'!$H:$H,"Cash Out",'Raw Data'!$I:$I,"",'Raw Data'!$M:$M,"count")</f>
        <v>183600</v>
      </c>
      <c r="G27" s="11">
        <f>SUMIFS('Raw Data'!$L:$L,'Raw Data'!$B:$B,$B$2,'Raw Data'!$J:$J,G$2,'Raw Data'!$K:$K,"native",'Raw Data'!$H:$H,"Cash Out",'Raw Data'!$I:$I,"",'Raw Data'!$M:$M,"count")</f>
        <v>172900</v>
      </c>
      <c r="H27" s="11">
        <f>SUMIFS('Raw Data'!$L:$L,'Raw Data'!$B:$B,$B$2,'Raw Data'!$J:$J,H$2,'Raw Data'!$K:$K,"native",'Raw Data'!$H:$H,"Cash Out",'Raw Data'!$I:$I,"",'Raw Data'!$M:$M,"count")</f>
        <v>147700</v>
      </c>
      <c r="I27" s="11">
        <f>SUMIFS('Raw Data'!$L:$L,'Raw Data'!$B:$B,$B$2,'Raw Data'!$J:$J,I$2,'Raw Data'!$K:$K,"native",'Raw Data'!$H:$H,"Cash Out",'Raw Data'!$I:$I,"",'Raw Data'!$M:$M,"count")</f>
        <v>186400</v>
      </c>
      <c r="J27" s="11">
        <f>SUMIFS('Raw Data'!$L:$L,'Raw Data'!$B:$B,$B$2,'Raw Data'!$J:$J,J$2,'Raw Data'!$K:$K,"native",'Raw Data'!$H:$H,"Cash Out",'Raw Data'!$I:$I,"",'Raw Data'!$M:$M,"count")</f>
        <v>152400</v>
      </c>
      <c r="K27" s="11">
        <f>SUMIFS('Raw Data'!$L:$L,'Raw Data'!$B:$B,$B$2,'Raw Data'!$J:$J,K$2,'Raw Data'!$K:$K,"native",'Raw Data'!$H:$H,"Cash Out",'Raw Data'!$I:$I,"",'Raw Data'!$M:$M,"count")</f>
        <v>180600</v>
      </c>
      <c r="L27" s="11">
        <f>SUMIFS('Raw Data'!$L:$L,'Raw Data'!$B:$B,$B$2,'Raw Data'!$J:$J,L$2,'Raw Data'!$K:$K,"native",'Raw Data'!$H:$H,"Cash Out",'Raw Data'!$I:$I,"",'Raw Data'!$M:$M,"count")</f>
        <v>165000</v>
      </c>
      <c r="M27" s="11">
        <f>SUMIFS('Raw Data'!$L:$L,'Raw Data'!$B:$B,$B$2,'Raw Data'!$J:$J,M$2,'Raw Data'!$K:$K,"native",'Raw Data'!$H:$H,"Cash Out",'Raw Data'!$I:$I,"",'Raw Data'!$M:$M,"count")</f>
        <v>180000</v>
      </c>
      <c r="N27" s="11">
        <f>SUMIFS('Raw Data'!$L:$L,'Raw Data'!$B:$B,$B$2,'Raw Data'!$J:$J,N$2,'Raw Data'!$K:$K,"native",'Raw Data'!$H:$H,"Cash Out",'Raw Data'!$I:$I,"",'Raw Data'!$M:$M,"count")</f>
        <v>177200</v>
      </c>
      <c r="O27" s="11">
        <f>SUMIFS('Raw Data'!$L:$L,'Raw Data'!$B:$B,$B$2,'Raw Data'!$J:$J,O$2,'Raw Data'!$K:$K,"native",'Raw Data'!$H:$H,"Cash Out",'Raw Data'!$I:$I,"",'Raw Data'!$M:$M,"count")</f>
        <v>128300</v>
      </c>
      <c r="P27" s="11">
        <f>SUMIFS('Raw Data'!$L:$L,'Raw Data'!$B:$B,$B$2,'Raw Data'!$J:$J,P$2,'Raw Data'!$K:$K,"native",'Raw Data'!$H:$H,"Cash Out",'Raw Data'!$I:$I,"",'Raw Data'!$M:$M,"count")</f>
        <v>82200</v>
      </c>
      <c r="Q27" s="11">
        <f>SUMIFS('Raw Data'!$L:$L,'Raw Data'!$B:$B,$B$2,'Raw Data'!$J:$J,Q$2,'Raw Data'!$K:$K,"native",'Raw Data'!$H:$H,"Cash Out",'Raw Data'!$I:$I,"",'Raw Data'!$M:$M,"count")</f>
        <v>72800</v>
      </c>
      <c r="R27" s="11">
        <f>SUMIFS('Raw Data'!$L:$L,'Raw Data'!$B:$B,$B$2,'Raw Data'!$J:$J,R$2,'Raw Data'!$K:$K,"native",'Raw Data'!$H:$H,"Cash Out",'Raw Data'!$I:$I,"",'Raw Data'!$M:$M,"count")</f>
        <v>72390</v>
      </c>
      <c r="S27" s="11">
        <f>SUMIFS('Raw Data'!$L:$L,'Raw Data'!$B:$B,$B$2,'Raw Data'!$J:$J,S$2,'Raw Data'!$K:$K,"native",'Raw Data'!$H:$H,"Cash Out",'Raw Data'!$I:$I,"",'Raw Data'!$M:$M,"count")</f>
        <v>71550</v>
      </c>
      <c r="T27" s="11">
        <f>SUMIFS('Raw Data'!$L:$L,'Raw Data'!$B:$B,$B$2,'Raw Data'!$J:$J,T$2,'Raw Data'!$K:$K,"native",'Raw Data'!$H:$H,"Cash Out",'Raw Data'!$I:$I,"",'Raw Data'!$M:$M,"count")</f>
        <v>69090</v>
      </c>
      <c r="U27" s="11">
        <f>SUMIFS('Raw Data'!$L:$L,'Raw Data'!$B:$B,$B$2,'Raw Data'!$J:$J,U$2,'Raw Data'!$K:$K,"native",'Raw Data'!$H:$H,"Cash Out",'Raw Data'!$I:$I,"",'Raw Data'!$M:$M,"count")</f>
        <v>73870</v>
      </c>
      <c r="V27" s="11">
        <f>SUMIFS('Raw Data'!$L:$L,'Raw Data'!$B:$B,$B$2,'Raw Data'!$J:$J,V$2,'Raw Data'!$K:$K,"native",'Raw Data'!$H:$H,"Cash Out",'Raw Data'!$I:$I,"",'Raw Data'!$M:$M,"count")</f>
        <v>63480</v>
      </c>
      <c r="W27" s="11">
        <f>SUMIFS('Raw Data'!$L:$L,'Raw Data'!$B:$B,$B$2,'Raw Data'!$J:$J,W$2,'Raw Data'!$K:$K,"native",'Raw Data'!$H:$H,"Cash Out",'Raw Data'!$I:$I,"",'Raw Data'!$M:$M,"count")</f>
        <v>66820</v>
      </c>
      <c r="X27" s="11">
        <f>SUMIFS('Raw Data'!$L:$L,'Raw Data'!$B:$B,$B$2,'Raw Data'!$J:$J,X$2,'Raw Data'!$K:$K,"native",'Raw Data'!$H:$H,"Cash Out",'Raw Data'!$I:$I,"",'Raw Data'!$M:$M,"count")</f>
        <v>59110</v>
      </c>
      <c r="Y27" s="11">
        <f>SUMIFS('Raw Data'!$L:$L,'Raw Data'!$B:$B,$B$2,'Raw Data'!$J:$J,Y$2,'Raw Data'!$K:$K,"native",'Raw Data'!$H:$H,"Cash Out",'Raw Data'!$I:$I,"",'Raw Data'!$M:$M,"count")</f>
        <v>64800</v>
      </c>
      <c r="Z27" s="11">
        <f>SUMIFS('Raw Data'!$L:$L,'Raw Data'!$B:$B,$B$2,'Raw Data'!$J:$J,Z$2,'Raw Data'!$K:$K,"native",'Raw Data'!$H:$H,"Cash Out",'Raw Data'!$I:$I,"",'Raw Data'!$M:$M,"count")</f>
        <v>60500</v>
      </c>
    </row>
    <row r="28" spans="1:26" x14ac:dyDescent="0.25">
      <c r="A28" s="10" t="s">
        <v>82</v>
      </c>
      <c r="B28" s="10" t="s">
        <v>83</v>
      </c>
      <c r="C28" s="11">
        <f>SUMIFS('Raw Data'!$L:$L,'Raw Data'!$B:$B,$B$2,'Raw Data'!$J:$J,C$2,'Raw Data'!$K:$K,"native",'Raw Data'!$H:$H,"Money Transfers",'Raw Data'!$I:$I,"",'Raw Data'!$M:$M,"count")</f>
        <v>4580000</v>
      </c>
      <c r="D28" s="11">
        <f>SUMIFS('Raw Data'!$L:$L,'Raw Data'!$B:$B,$B$2,'Raw Data'!$J:$J,D$2,'Raw Data'!$K:$K,"native",'Raw Data'!$H:$H,"Money Transfers",'Raw Data'!$I:$I,"",'Raw Data'!$M:$M,"count")</f>
        <v>5080000</v>
      </c>
      <c r="E28" s="11">
        <f>SUMIFS('Raw Data'!$L:$L,'Raw Data'!$B:$B,$B$2,'Raw Data'!$J:$J,E$2,'Raw Data'!$K:$K,"native",'Raw Data'!$H:$H,"Money Transfers",'Raw Data'!$I:$I,"",'Raw Data'!$M:$M,"count")</f>
        <v>5090000</v>
      </c>
      <c r="F28" s="11">
        <f>SUMIFS('Raw Data'!$L:$L,'Raw Data'!$B:$B,$B$2,'Raw Data'!$J:$J,F$2,'Raw Data'!$K:$K,"native",'Raw Data'!$H:$H,"Money Transfers",'Raw Data'!$I:$I,"",'Raw Data'!$M:$M,"count")</f>
        <v>5730000</v>
      </c>
      <c r="G28" s="11">
        <f>SUMIFS('Raw Data'!$L:$L,'Raw Data'!$B:$B,$B$2,'Raw Data'!$J:$J,G$2,'Raw Data'!$K:$K,"native",'Raw Data'!$H:$H,"Money Transfers",'Raw Data'!$I:$I,"",'Raw Data'!$M:$M,"count")</f>
        <v>5930000</v>
      </c>
      <c r="H28" s="11">
        <f>SUMIFS('Raw Data'!$L:$L,'Raw Data'!$B:$B,$B$2,'Raw Data'!$J:$J,H$2,'Raw Data'!$K:$K,"native",'Raw Data'!$H:$H,"Money Transfers",'Raw Data'!$I:$I,"",'Raw Data'!$M:$M,"count")</f>
        <v>5500000</v>
      </c>
      <c r="I28" s="11">
        <f>SUMIFS('Raw Data'!$L:$L,'Raw Data'!$B:$B,$B$2,'Raw Data'!$J:$J,I$2,'Raw Data'!$K:$K,"native",'Raw Data'!$H:$H,"Money Transfers",'Raw Data'!$I:$I,"",'Raw Data'!$M:$M,"count")</f>
        <v>6760000</v>
      </c>
      <c r="J28" s="11">
        <f>SUMIFS('Raw Data'!$L:$L,'Raw Data'!$B:$B,$B$2,'Raw Data'!$J:$J,J$2,'Raw Data'!$K:$K,"native",'Raw Data'!$H:$H,"Money Transfers",'Raw Data'!$I:$I,"",'Raw Data'!$M:$M,"count")</f>
        <v>6480000</v>
      </c>
      <c r="K28" s="11">
        <f>SUMIFS('Raw Data'!$L:$L,'Raw Data'!$B:$B,$B$2,'Raw Data'!$J:$J,K$2,'Raw Data'!$K:$K,"native",'Raw Data'!$H:$H,"Money Transfers",'Raw Data'!$I:$I,"",'Raw Data'!$M:$M,"count")</f>
        <v>7610000</v>
      </c>
      <c r="L28" s="11">
        <f>SUMIFS('Raw Data'!$L:$L,'Raw Data'!$B:$B,$B$2,'Raw Data'!$J:$J,L$2,'Raw Data'!$K:$K,"native",'Raw Data'!$H:$H,"Money Transfers",'Raw Data'!$I:$I,"",'Raw Data'!$M:$M,"count")</f>
        <v>7200000</v>
      </c>
      <c r="M28" s="11">
        <f>SUMIFS('Raw Data'!$L:$L,'Raw Data'!$B:$B,$B$2,'Raw Data'!$J:$J,M$2,'Raw Data'!$K:$K,"native",'Raw Data'!$H:$H,"Money Transfers",'Raw Data'!$I:$I,"",'Raw Data'!$M:$M,"count")</f>
        <v>8100000</v>
      </c>
      <c r="N28" s="11">
        <f>SUMIFS('Raw Data'!$L:$L,'Raw Data'!$B:$B,$B$2,'Raw Data'!$J:$J,N$2,'Raw Data'!$K:$K,"native",'Raw Data'!$H:$H,"Money Transfers",'Raw Data'!$I:$I,"",'Raw Data'!$M:$M,"count")</f>
        <v>8400000</v>
      </c>
      <c r="O28" s="11">
        <f>SUMIFS('Raw Data'!$L:$L,'Raw Data'!$B:$B,$B$2,'Raw Data'!$J:$J,O$2,'Raw Data'!$K:$K,"native",'Raw Data'!$H:$H,"Money Transfers",'Raw Data'!$I:$I,"",'Raw Data'!$M:$M,"count")</f>
        <v>8270000</v>
      </c>
      <c r="P28" s="11">
        <f>SUMIFS('Raw Data'!$L:$L,'Raw Data'!$B:$B,$B$2,'Raw Data'!$J:$J,P$2,'Raw Data'!$K:$K,"native",'Raw Data'!$H:$H,"Money Transfers",'Raw Data'!$I:$I,"",'Raw Data'!$M:$M,"count")</f>
        <v>8560000</v>
      </c>
      <c r="Q28" s="11">
        <f>SUMIFS('Raw Data'!$L:$L,'Raw Data'!$B:$B,$B$2,'Raw Data'!$J:$J,Q$2,'Raw Data'!$K:$K,"native",'Raw Data'!$H:$H,"Money Transfers",'Raw Data'!$I:$I,"",'Raw Data'!$M:$M,"count")</f>
        <v>8550000</v>
      </c>
      <c r="R28" s="11">
        <f>SUMIFS('Raw Data'!$L:$L,'Raw Data'!$B:$B,$B$2,'Raw Data'!$J:$J,R$2,'Raw Data'!$K:$K,"native",'Raw Data'!$H:$H,"Money Transfers",'Raw Data'!$I:$I,"",'Raw Data'!$M:$M,"count")</f>
        <v>9240000</v>
      </c>
      <c r="S28" s="11">
        <f>SUMIFS('Raw Data'!$L:$L,'Raw Data'!$B:$B,$B$2,'Raw Data'!$J:$J,S$2,'Raw Data'!$K:$K,"native",'Raw Data'!$H:$H,"Money Transfers",'Raw Data'!$I:$I,"",'Raw Data'!$M:$M,"count")</f>
        <v>10010000</v>
      </c>
      <c r="T28" s="11">
        <f>SUMIFS('Raw Data'!$L:$L,'Raw Data'!$B:$B,$B$2,'Raw Data'!$J:$J,T$2,'Raw Data'!$K:$K,"native",'Raw Data'!$H:$H,"Money Transfers",'Raw Data'!$I:$I,"",'Raw Data'!$M:$M,"count")</f>
        <v>9160000</v>
      </c>
      <c r="U28" s="11">
        <f>SUMIFS('Raw Data'!$L:$L,'Raw Data'!$B:$B,$B$2,'Raw Data'!$J:$J,U$2,'Raw Data'!$K:$K,"native",'Raw Data'!$H:$H,"Money Transfers",'Raw Data'!$I:$I,"",'Raw Data'!$M:$M,"count")</f>
        <v>10780000</v>
      </c>
      <c r="V28" s="11">
        <f>SUMIFS('Raw Data'!$L:$L,'Raw Data'!$B:$B,$B$2,'Raw Data'!$J:$J,V$2,'Raw Data'!$K:$K,"native",'Raw Data'!$H:$H,"Money Transfers",'Raw Data'!$I:$I,"",'Raw Data'!$M:$M,"count")</f>
        <v>11250000</v>
      </c>
      <c r="W28" s="11">
        <f>SUMIFS('Raw Data'!$L:$L,'Raw Data'!$B:$B,$B$2,'Raw Data'!$J:$J,W$2,'Raw Data'!$K:$K,"native",'Raw Data'!$H:$H,"Money Transfers",'Raw Data'!$I:$I,"",'Raw Data'!$M:$M,"count")</f>
        <v>12510000</v>
      </c>
      <c r="X28" s="11">
        <f>SUMIFS('Raw Data'!$L:$L,'Raw Data'!$B:$B,$B$2,'Raw Data'!$J:$J,X$2,'Raw Data'!$K:$K,"native",'Raw Data'!$H:$H,"Money Transfers",'Raw Data'!$I:$I,"",'Raw Data'!$M:$M,"count")</f>
        <v>12290000</v>
      </c>
      <c r="Y28" s="11">
        <f>SUMIFS('Raw Data'!$L:$L,'Raw Data'!$B:$B,$B$2,'Raw Data'!$J:$J,Y$2,'Raw Data'!$K:$K,"native",'Raw Data'!$H:$H,"Money Transfers",'Raw Data'!$I:$I,"",'Raw Data'!$M:$M,"count")</f>
        <v>13800000</v>
      </c>
      <c r="Z28" s="11">
        <f>SUMIFS('Raw Data'!$L:$L,'Raw Data'!$B:$B,$B$2,'Raw Data'!$J:$J,Z$2,'Raw Data'!$K:$K,"native",'Raw Data'!$H:$H,"Money Transfers",'Raw Data'!$I:$I,"",'Raw Data'!$M:$M,"count")</f>
        <v>14400000</v>
      </c>
    </row>
    <row r="29" spans="1:26" x14ac:dyDescent="0.25">
      <c r="A29" s="10" t="s">
        <v>82</v>
      </c>
      <c r="B29" s="10" t="s">
        <v>84</v>
      </c>
      <c r="C29" s="11">
        <f>SUMIFS('Raw Data'!$L:$L,'Raw Data'!$B:$B,$B$2,'Raw Data'!$J:$J,C$2,'Raw Data'!$K:$K,"native",'Raw Data'!$H:$H,"Purchases",'Raw Data'!$I:$I,"",'Raw Data'!$M:$M,"count")</f>
        <v>177900</v>
      </c>
      <c r="D29" s="11">
        <f>SUMIFS('Raw Data'!$L:$L,'Raw Data'!$B:$B,$B$2,'Raw Data'!$J:$J,D$2,'Raw Data'!$K:$K,"native",'Raw Data'!$H:$H,"Purchases",'Raw Data'!$I:$I,"",'Raw Data'!$M:$M,"count")</f>
        <v>187700</v>
      </c>
      <c r="E29" s="11">
        <f>SUMIFS('Raw Data'!$L:$L,'Raw Data'!$B:$B,$B$2,'Raw Data'!$J:$J,E$2,'Raw Data'!$K:$K,"native",'Raw Data'!$H:$H,"Purchases",'Raw Data'!$I:$I,"",'Raw Data'!$M:$M,"count")</f>
        <v>191900</v>
      </c>
      <c r="F29" s="11">
        <f>SUMIFS('Raw Data'!$L:$L,'Raw Data'!$B:$B,$B$2,'Raw Data'!$J:$J,F$2,'Raw Data'!$K:$K,"native",'Raw Data'!$H:$H,"Purchases",'Raw Data'!$I:$I,"",'Raw Data'!$M:$M,"count")</f>
        <v>217200</v>
      </c>
      <c r="G29" s="11">
        <f>SUMIFS('Raw Data'!$L:$L,'Raw Data'!$B:$B,$B$2,'Raw Data'!$J:$J,G$2,'Raw Data'!$K:$K,"native",'Raw Data'!$H:$H,"Purchases",'Raw Data'!$I:$I,"",'Raw Data'!$M:$M,"count")</f>
        <v>190800</v>
      </c>
      <c r="H29" s="11">
        <f>SUMIFS('Raw Data'!$L:$L,'Raw Data'!$B:$B,$B$2,'Raw Data'!$J:$J,H$2,'Raw Data'!$K:$K,"native",'Raw Data'!$H:$H,"Purchases",'Raw Data'!$I:$I,"",'Raw Data'!$M:$M,"count")</f>
        <v>176900</v>
      </c>
      <c r="I29" s="11">
        <f>SUMIFS('Raw Data'!$L:$L,'Raw Data'!$B:$B,$B$2,'Raw Data'!$J:$J,I$2,'Raw Data'!$K:$K,"native",'Raw Data'!$H:$H,"Purchases",'Raw Data'!$I:$I,"",'Raw Data'!$M:$M,"count")</f>
        <v>230800</v>
      </c>
      <c r="J29" s="11">
        <f>SUMIFS('Raw Data'!$L:$L,'Raw Data'!$B:$B,$B$2,'Raw Data'!$J:$J,J$2,'Raw Data'!$K:$K,"native",'Raw Data'!$H:$H,"Purchases",'Raw Data'!$I:$I,"",'Raw Data'!$M:$M,"count")</f>
        <v>243100</v>
      </c>
      <c r="K29" s="11">
        <f>SUMIFS('Raw Data'!$L:$L,'Raw Data'!$B:$B,$B$2,'Raw Data'!$J:$J,K$2,'Raw Data'!$K:$K,"native",'Raw Data'!$H:$H,"Purchases",'Raw Data'!$I:$I,"",'Raw Data'!$M:$M,"count")</f>
        <v>300900</v>
      </c>
      <c r="L29" s="11">
        <f>SUMIFS('Raw Data'!$L:$L,'Raw Data'!$B:$B,$B$2,'Raw Data'!$J:$J,L$2,'Raw Data'!$K:$K,"native",'Raw Data'!$H:$H,"Purchases",'Raw Data'!$I:$I,"",'Raw Data'!$M:$M,"count")</f>
        <v>461100</v>
      </c>
      <c r="M29" s="11">
        <f>SUMIFS('Raw Data'!$L:$L,'Raw Data'!$B:$B,$B$2,'Raw Data'!$J:$J,M$2,'Raw Data'!$K:$K,"native",'Raw Data'!$H:$H,"Purchases",'Raw Data'!$I:$I,"",'Raw Data'!$M:$M,"count")</f>
        <v>717300</v>
      </c>
      <c r="N29" s="11">
        <f>SUMIFS('Raw Data'!$L:$L,'Raw Data'!$B:$B,$B$2,'Raw Data'!$J:$J,N$2,'Raw Data'!$K:$K,"native",'Raw Data'!$H:$H,"Purchases",'Raw Data'!$I:$I,"",'Raw Data'!$M:$M,"count")</f>
        <v>738500</v>
      </c>
      <c r="O29" s="11">
        <f>SUMIFS('Raw Data'!$L:$L,'Raw Data'!$B:$B,$B$2,'Raw Data'!$J:$J,O$2,'Raw Data'!$K:$K,"native",'Raw Data'!$H:$H,"Purchases",'Raw Data'!$I:$I,"",'Raw Data'!$M:$M,"count")</f>
        <v>1030000</v>
      </c>
      <c r="P29" s="11">
        <f>SUMIFS('Raw Data'!$L:$L,'Raw Data'!$B:$B,$B$2,'Raw Data'!$J:$J,P$2,'Raw Data'!$K:$K,"native",'Raw Data'!$H:$H,"Purchases",'Raw Data'!$I:$I,"",'Raw Data'!$M:$M,"count")</f>
        <v>1470000</v>
      </c>
      <c r="Q29" s="11">
        <f>SUMIFS('Raw Data'!$L:$L,'Raw Data'!$B:$B,$B$2,'Raw Data'!$J:$J,Q$2,'Raw Data'!$K:$K,"native",'Raw Data'!$H:$H,"Purchases",'Raw Data'!$I:$I,"",'Raw Data'!$M:$M,"count")</f>
        <v>1450000</v>
      </c>
      <c r="R29" s="11">
        <f>SUMIFS('Raw Data'!$L:$L,'Raw Data'!$B:$B,$B$2,'Raw Data'!$J:$J,R$2,'Raw Data'!$K:$K,"native",'Raw Data'!$H:$H,"Purchases",'Raw Data'!$I:$I,"",'Raw Data'!$M:$M,"count")</f>
        <v>1590000</v>
      </c>
      <c r="S29" s="11">
        <f>SUMIFS('Raw Data'!$L:$L,'Raw Data'!$B:$B,$B$2,'Raw Data'!$J:$J,S$2,'Raw Data'!$K:$K,"native",'Raw Data'!$H:$H,"Purchases",'Raw Data'!$I:$I,"",'Raw Data'!$M:$M,"count")</f>
        <v>1730000</v>
      </c>
      <c r="T29" s="11">
        <f>SUMIFS('Raw Data'!$L:$L,'Raw Data'!$B:$B,$B$2,'Raw Data'!$J:$J,T$2,'Raw Data'!$K:$K,"native",'Raw Data'!$H:$H,"Purchases",'Raw Data'!$I:$I,"",'Raw Data'!$M:$M,"count")</f>
        <v>1590000</v>
      </c>
      <c r="U29" s="11">
        <f>SUMIFS('Raw Data'!$L:$L,'Raw Data'!$B:$B,$B$2,'Raw Data'!$J:$J,U$2,'Raw Data'!$K:$K,"native",'Raw Data'!$H:$H,"Purchases",'Raw Data'!$I:$I,"",'Raw Data'!$M:$M,"count")</f>
        <v>1890000</v>
      </c>
      <c r="V29" s="11">
        <f>SUMIFS('Raw Data'!$L:$L,'Raw Data'!$B:$B,$B$2,'Raw Data'!$J:$J,V$2,'Raw Data'!$K:$K,"native",'Raw Data'!$H:$H,"Purchases",'Raw Data'!$I:$I,"",'Raw Data'!$M:$M,"count")</f>
        <v>1960000</v>
      </c>
      <c r="W29" s="11">
        <f>SUMIFS('Raw Data'!$L:$L,'Raw Data'!$B:$B,$B$2,'Raw Data'!$J:$J,W$2,'Raw Data'!$K:$K,"native",'Raw Data'!$H:$H,"Purchases",'Raw Data'!$I:$I,"",'Raw Data'!$M:$M,"count")</f>
        <v>2370000</v>
      </c>
      <c r="X29" s="11">
        <f>SUMIFS('Raw Data'!$L:$L,'Raw Data'!$B:$B,$B$2,'Raw Data'!$J:$J,X$2,'Raw Data'!$K:$K,"native",'Raw Data'!$H:$H,"Purchases",'Raw Data'!$I:$I,"",'Raw Data'!$M:$M,"count")</f>
        <v>2430000</v>
      </c>
      <c r="Y29" s="11">
        <f>SUMIFS('Raw Data'!$L:$L,'Raw Data'!$B:$B,$B$2,'Raw Data'!$J:$J,Y$2,'Raw Data'!$K:$K,"native",'Raw Data'!$H:$H,"Purchases",'Raw Data'!$I:$I,"",'Raw Data'!$M:$M,"count")</f>
        <v>3000000</v>
      </c>
      <c r="Z29" s="11">
        <f>SUMIFS('Raw Data'!$L:$L,'Raw Data'!$B:$B,$B$2,'Raw Data'!$J:$J,Z$2,'Raw Data'!$K:$K,"native",'Raw Data'!$H:$H,"Purchases",'Raw Data'!$I:$I,"",'Raw Data'!$M:$M,"count")</f>
        <v>3200000</v>
      </c>
    </row>
    <row r="30" spans="1:26" x14ac:dyDescent="0.25">
      <c r="A30" s="53" t="s">
        <v>85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x14ac:dyDescent="0.25">
      <c r="A31" s="10" t="s">
        <v>82</v>
      </c>
      <c r="B31" s="10" t="s">
        <v>107</v>
      </c>
      <c r="C31" s="12">
        <f>(SUMIFS('Raw Data'!$L:$L,'Raw Data'!$B:$B,$B$2,'Raw Data'!$J:$J,C$2,'Raw Data'!$K:$K,"native",'Raw Data'!$H:$H,"Cash In",'Raw Data'!$I:$I,"ATM/Kiosk",'Raw Data'!$M:$M,"percent",'Raw Data'!$F:$F,"Number*"))/100</f>
        <v>1.7299999999999999E-2</v>
      </c>
      <c r="D31" s="12">
        <f>(SUMIFS('Raw Data'!$L:$L,'Raw Data'!$B:$B,$B$2,'Raw Data'!$J:$J,D$2,'Raw Data'!$K:$K,"native",'Raw Data'!$H:$H,"Cash In",'Raw Data'!$I:$I,"ATM/Kiosk",'Raw Data'!$M:$M,"percent",'Raw Data'!$F:$F,"Number*"))/100</f>
        <v>1.43E-2</v>
      </c>
      <c r="E31" s="12">
        <f>(SUMIFS('Raw Data'!$L:$L,'Raw Data'!$B:$B,$B$2,'Raw Data'!$J:$J,E$2,'Raw Data'!$K:$K,"native",'Raw Data'!$H:$H,"Cash In",'Raw Data'!$I:$I,"ATM/Kiosk",'Raw Data'!$M:$M,"percent",'Raw Data'!$F:$F,"Number*"))/100</f>
        <v>1.4999999999999999E-2</v>
      </c>
      <c r="F31" s="12">
        <f>(SUMIFS('Raw Data'!$L:$L,'Raw Data'!$B:$B,$B$2,'Raw Data'!$J:$J,F$2,'Raw Data'!$K:$K,"native",'Raw Data'!$H:$H,"Cash In",'Raw Data'!$I:$I,"ATM/Kiosk",'Raw Data'!$M:$M,"percent",'Raw Data'!$F:$F,"Number*"))/100</f>
        <v>1.21E-2</v>
      </c>
      <c r="G31" s="12">
        <f>(SUMIFS('Raw Data'!$L:$L,'Raw Data'!$B:$B,$B$2,'Raw Data'!$J:$J,G$2,'Raw Data'!$K:$K,"native",'Raw Data'!$H:$H,"Cash In",'Raw Data'!$I:$I,"ATM/Kiosk",'Raw Data'!$M:$M,"percent",'Raw Data'!$F:$F,"Number*"))/100</f>
        <v>1.34E-2</v>
      </c>
      <c r="H31" s="12">
        <f>(SUMIFS('Raw Data'!$L:$L,'Raw Data'!$B:$B,$B$2,'Raw Data'!$J:$J,H$2,'Raw Data'!$K:$K,"native",'Raw Data'!$H:$H,"Cash In",'Raw Data'!$I:$I,"ATM/Kiosk",'Raw Data'!$M:$M,"percent",'Raw Data'!$F:$F,"Number*"))/100</f>
        <v>1.2500000000000001E-2</v>
      </c>
      <c r="I31" s="12">
        <f>(SUMIFS('Raw Data'!$L:$L,'Raw Data'!$B:$B,$B$2,'Raw Data'!$J:$J,I$2,'Raw Data'!$K:$K,"native",'Raw Data'!$H:$H,"Cash In",'Raw Data'!$I:$I,"ATM/Kiosk",'Raw Data'!$M:$M,"percent",'Raw Data'!$F:$F,"Number*"))/100</f>
        <v>1.67E-2</v>
      </c>
      <c r="J31" s="12">
        <f>(SUMIFS('Raw Data'!$L:$L,'Raw Data'!$B:$B,$B$2,'Raw Data'!$J:$J,J$2,'Raw Data'!$K:$K,"native",'Raw Data'!$H:$H,"Cash In",'Raw Data'!$I:$I,"ATM/Kiosk",'Raw Data'!$M:$M,"percent",'Raw Data'!$F:$F,"Number*"))/100</f>
        <v>1.7399999999999999E-2</v>
      </c>
      <c r="K31" s="12">
        <f>(SUMIFS('Raw Data'!$L:$L,'Raw Data'!$B:$B,$B$2,'Raw Data'!$J:$J,K$2,'Raw Data'!$K:$K,"native",'Raw Data'!$H:$H,"Cash In",'Raw Data'!$I:$I,"ATM/Kiosk",'Raw Data'!$M:$M,"percent",'Raw Data'!$F:$F,"Number*"))/100</f>
        <v>1.54E-2</v>
      </c>
      <c r="L31" s="12">
        <f>(SUMIFS('Raw Data'!$L:$L,'Raw Data'!$B:$B,$B$2,'Raw Data'!$J:$J,L$2,'Raw Data'!$K:$K,"native",'Raw Data'!$H:$H,"Cash In",'Raw Data'!$I:$I,"ATM/Kiosk",'Raw Data'!$M:$M,"percent",'Raw Data'!$F:$F,"Number*"))/100</f>
        <v>1.66E-2</v>
      </c>
      <c r="M31" s="12">
        <f>(SUMIFS('Raw Data'!$L:$L,'Raw Data'!$B:$B,$B$2,'Raw Data'!$J:$J,M$2,'Raw Data'!$K:$K,"native",'Raw Data'!$H:$H,"Cash In",'Raw Data'!$I:$I,"ATM/Kiosk",'Raw Data'!$M:$M,"percent",'Raw Data'!$F:$F,"Number*"))/100</f>
        <v>1.46E-2</v>
      </c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>
        <f>(SUMIFS('Raw Data'!$L:$L,'Raw Data'!$B:$B,$B$2,'Raw Data'!$J:$J,Z$2,'Raw Data'!$K:$K,"native",'Raw Data'!$H:$H,"Cash In",'Raw Data'!$I:$I,"ATM/Kiosk",'Raw Data'!$M:$M,"percent",'Raw Data'!$F:$F,"Number*"))/100</f>
        <v>9.6300000000000011E-2</v>
      </c>
    </row>
    <row r="32" spans="1:26" x14ac:dyDescent="0.25">
      <c r="A32" s="10" t="s">
        <v>82</v>
      </c>
      <c r="B32" s="10" t="s">
        <v>108</v>
      </c>
      <c r="C32" s="12">
        <f>(SUMIFS('Raw Data'!$L:$L,'Raw Data'!$B:$B,$B$2,'Raw Data'!$J:$J,C$2,'Raw Data'!$K:$K,"native",'Raw Data'!$H:$H,"Cash In",'Raw Data'!$I:$I,"Agent/Teller",'Raw Data'!$M:$M,"percent",'Raw Data'!$F:$F,"Number*"))/100</f>
        <v>0.98269999999999991</v>
      </c>
      <c r="D32" s="12">
        <f>(SUMIFS('Raw Data'!$L:$L,'Raw Data'!$B:$B,$B$2,'Raw Data'!$J:$J,D$2,'Raw Data'!$K:$K,"native",'Raw Data'!$H:$H,"Cash In",'Raw Data'!$I:$I,"Agent/Teller",'Raw Data'!$M:$M,"percent",'Raw Data'!$F:$F,"Number*"))/100</f>
        <v>0.98569999999999991</v>
      </c>
      <c r="E32" s="12">
        <f>(SUMIFS('Raw Data'!$L:$L,'Raw Data'!$B:$B,$B$2,'Raw Data'!$J:$J,E$2,'Raw Data'!$K:$K,"native",'Raw Data'!$H:$H,"Cash In",'Raw Data'!$I:$I,"Agent/Teller",'Raw Data'!$M:$M,"percent",'Raw Data'!$F:$F,"Number*"))/100</f>
        <v>0.98499999999999999</v>
      </c>
      <c r="F32" s="12">
        <f>(SUMIFS('Raw Data'!$L:$L,'Raw Data'!$B:$B,$B$2,'Raw Data'!$J:$J,F$2,'Raw Data'!$K:$K,"native",'Raw Data'!$H:$H,"Cash In",'Raw Data'!$I:$I,"Agent/Teller",'Raw Data'!$M:$M,"percent",'Raw Data'!$F:$F,"Number*"))/100</f>
        <v>0.98790000000000011</v>
      </c>
      <c r="G32" s="12">
        <f>(SUMIFS('Raw Data'!$L:$L,'Raw Data'!$B:$B,$B$2,'Raw Data'!$J:$J,G$2,'Raw Data'!$K:$K,"native",'Raw Data'!$H:$H,"Cash In",'Raw Data'!$I:$I,"Agent/Teller",'Raw Data'!$M:$M,"percent",'Raw Data'!$F:$F,"Number*"))/100</f>
        <v>0.98659999999999992</v>
      </c>
      <c r="H32" s="12">
        <f>(SUMIFS('Raw Data'!$L:$L,'Raw Data'!$B:$B,$B$2,'Raw Data'!$J:$J,H$2,'Raw Data'!$K:$K,"native",'Raw Data'!$H:$H,"Cash In",'Raw Data'!$I:$I,"Agent/Teller",'Raw Data'!$M:$M,"percent",'Raw Data'!$F:$F,"Number*"))/100</f>
        <v>0.98750000000000004</v>
      </c>
      <c r="I32" s="12">
        <f>(SUMIFS('Raw Data'!$L:$L,'Raw Data'!$B:$B,$B$2,'Raw Data'!$J:$J,I$2,'Raw Data'!$K:$K,"native",'Raw Data'!$H:$H,"Cash In",'Raw Data'!$I:$I,"Agent/Teller",'Raw Data'!$M:$M,"percent",'Raw Data'!$F:$F,"Number*"))/100</f>
        <v>0.98329999999999995</v>
      </c>
      <c r="J32" s="12">
        <f>(SUMIFS('Raw Data'!$L:$L,'Raw Data'!$B:$B,$B$2,'Raw Data'!$J:$J,J$2,'Raw Data'!$K:$K,"native",'Raw Data'!$H:$H,"Cash In",'Raw Data'!$I:$I,"Agent/Teller",'Raw Data'!$M:$M,"percent",'Raw Data'!$F:$F,"Number*"))/100</f>
        <v>0.98260000000000003</v>
      </c>
      <c r="K32" s="12">
        <f>(SUMIFS('Raw Data'!$L:$L,'Raw Data'!$B:$B,$B$2,'Raw Data'!$J:$J,K$2,'Raw Data'!$K:$K,"native",'Raw Data'!$H:$H,"Cash In",'Raw Data'!$I:$I,"Agent/Teller",'Raw Data'!$M:$M,"percent",'Raw Data'!$F:$F,"Number*"))/100</f>
        <v>0.98459999999999992</v>
      </c>
      <c r="L32" s="12">
        <f>(SUMIFS('Raw Data'!$L:$L,'Raw Data'!$B:$B,$B$2,'Raw Data'!$J:$J,L$2,'Raw Data'!$K:$K,"native",'Raw Data'!$H:$H,"Cash In",'Raw Data'!$I:$I,"Agent/Teller",'Raw Data'!$M:$M,"percent",'Raw Data'!$F:$F,"Number*"))/100</f>
        <v>0.98340000000000005</v>
      </c>
      <c r="M32" s="12">
        <f>(SUMIFS('Raw Data'!$L:$L,'Raw Data'!$B:$B,$B$2,'Raw Data'!$J:$J,M$2,'Raw Data'!$K:$K,"native",'Raw Data'!$H:$H,"Cash In",'Raw Data'!$I:$I,"Agent/Teller",'Raw Data'!$M:$M,"percent",'Raw Data'!$F:$F,"Number*"))/100</f>
        <v>0.98540000000000005</v>
      </c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>
        <f>(SUMIFS('Raw Data'!$L:$L,'Raw Data'!$B:$B,$B$2,'Raw Data'!$J:$J,Z$2,'Raw Data'!$K:$K,"native",'Raw Data'!$H:$H,"Cash In",'Raw Data'!$I:$I,"Agent/Teller",'Raw Data'!$M:$M,"percent",'Raw Data'!$F:$F,"Number*"))/100</f>
        <v>0.90370000000000006</v>
      </c>
    </row>
    <row r="33" spans="1:26" x14ac:dyDescent="0.25">
      <c r="A33" s="10" t="s">
        <v>82</v>
      </c>
      <c r="B33" s="10" t="s">
        <v>109</v>
      </c>
      <c r="C33" s="12">
        <f>(SUMIFS('Raw Data'!$L:$L,'Raw Data'!$B:$B,$B$2,'Raw Data'!$J:$J,C$2,'Raw Data'!$K:$K,"native",'Raw Data'!$H:$H,"Cash Out",'Raw Data'!$I:$I,"ATM/Kiosk",'Raw Data'!$M:$M,"percent",'Raw Data'!$F:$F,"Number*"))/100</f>
        <v>8.7799999999999989E-2</v>
      </c>
      <c r="D33" s="12">
        <f>(SUMIFS('Raw Data'!$L:$L,'Raw Data'!$B:$B,$B$2,'Raw Data'!$J:$J,D$2,'Raw Data'!$K:$K,"native",'Raw Data'!$H:$H,"Cash Out",'Raw Data'!$I:$I,"ATM/Kiosk",'Raw Data'!$M:$M,"percent",'Raw Data'!$F:$F,"Number*"))/100</f>
        <v>8.0199999999999994E-2</v>
      </c>
      <c r="E33" s="12">
        <f>(SUMIFS('Raw Data'!$L:$L,'Raw Data'!$B:$B,$B$2,'Raw Data'!$J:$J,E$2,'Raw Data'!$K:$K,"native",'Raw Data'!$H:$H,"Cash Out",'Raw Data'!$I:$I,"ATM/Kiosk",'Raw Data'!$M:$M,"percent",'Raw Data'!$F:$F,"Number*"))/100</f>
        <v>8.5199999999999998E-2</v>
      </c>
      <c r="F33" s="12">
        <f>(SUMIFS('Raw Data'!$L:$L,'Raw Data'!$B:$B,$B$2,'Raw Data'!$J:$J,F$2,'Raw Data'!$K:$K,"native",'Raw Data'!$H:$H,"Cash Out",'Raw Data'!$I:$I,"ATM/Kiosk",'Raw Data'!$M:$M,"percent",'Raw Data'!$F:$F,"Number*"))/100</f>
        <v>7.5499999999999998E-2</v>
      </c>
      <c r="G33" s="12">
        <f>(SUMIFS('Raw Data'!$L:$L,'Raw Data'!$B:$B,$B$2,'Raw Data'!$J:$J,G$2,'Raw Data'!$K:$K,"native",'Raw Data'!$H:$H,"Cash Out",'Raw Data'!$I:$I,"ATM/Kiosk",'Raw Data'!$M:$M,"percent",'Raw Data'!$F:$F,"Number*"))/100</f>
        <v>7.2900000000000006E-2</v>
      </c>
      <c r="H33" s="12">
        <f>(SUMIFS('Raw Data'!$L:$L,'Raw Data'!$B:$B,$B$2,'Raw Data'!$J:$J,H$2,'Raw Data'!$K:$K,"native",'Raw Data'!$H:$H,"Cash Out",'Raw Data'!$I:$I,"ATM/Kiosk",'Raw Data'!$M:$M,"percent",'Raw Data'!$F:$F,"Number*"))/100</f>
        <v>6.9199999999999998E-2</v>
      </c>
      <c r="I33" s="12">
        <f>(SUMIFS('Raw Data'!$L:$L,'Raw Data'!$B:$B,$B$2,'Raw Data'!$J:$J,I$2,'Raw Data'!$K:$K,"native",'Raw Data'!$H:$H,"Cash Out",'Raw Data'!$I:$I,"ATM/Kiosk",'Raw Data'!$M:$M,"percent",'Raw Data'!$F:$F,"Number*"))/100</f>
        <v>6.9599999999999995E-2</v>
      </c>
      <c r="J33" s="12">
        <f>(SUMIFS('Raw Data'!$L:$L,'Raw Data'!$B:$B,$B$2,'Raw Data'!$J:$J,J$2,'Raw Data'!$K:$K,"native",'Raw Data'!$H:$H,"Cash Out",'Raw Data'!$I:$I,"ATM/Kiosk",'Raw Data'!$M:$M,"percent",'Raw Data'!$F:$F,"Number*"))/100</f>
        <v>7.2499999999999995E-2</v>
      </c>
      <c r="K33" s="12">
        <f>(SUMIFS('Raw Data'!$L:$L,'Raw Data'!$B:$B,$B$2,'Raw Data'!$J:$J,K$2,'Raw Data'!$K:$K,"native",'Raw Data'!$H:$H,"Cash Out",'Raw Data'!$I:$I,"ATM/Kiosk",'Raw Data'!$M:$M,"percent",'Raw Data'!$F:$F,"Number*"))/100</f>
        <v>6.2400000000000004E-2</v>
      </c>
      <c r="L33" s="12">
        <f>(SUMIFS('Raw Data'!$L:$L,'Raw Data'!$B:$B,$B$2,'Raw Data'!$J:$J,L$2,'Raw Data'!$K:$K,"native",'Raw Data'!$H:$H,"Cash Out",'Raw Data'!$I:$I,"ATM/Kiosk",'Raw Data'!$M:$M,"percent",'Raw Data'!$F:$F,"Number*"))/100</f>
        <v>6.4699999999999994E-2</v>
      </c>
      <c r="M33" s="12">
        <f>(SUMIFS('Raw Data'!$L:$L,'Raw Data'!$B:$B,$B$2,'Raw Data'!$J:$J,M$2,'Raw Data'!$K:$K,"native",'Raw Data'!$H:$H,"Cash Out",'Raw Data'!$I:$I,"ATM/Kiosk",'Raw Data'!$M:$M,"percent",'Raw Data'!$F:$F,"Number*"))/100</f>
        <v>0.06</v>
      </c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>
        <f>(SUMIFS('Raw Data'!$L:$L,'Raw Data'!$B:$B,$B$2,'Raw Data'!$J:$J,Z$2,'Raw Data'!$K:$K,"native",'Raw Data'!$H:$H,"Cash Out",'Raw Data'!$I:$I,"ATM/Kiosk",'Raw Data'!$M:$M,"percent",'Raw Data'!$F:$F,"Number*"))/100</f>
        <v>0.1333</v>
      </c>
    </row>
    <row r="34" spans="1:26" x14ac:dyDescent="0.25">
      <c r="A34" s="10" t="s">
        <v>82</v>
      </c>
      <c r="B34" s="10" t="s">
        <v>110</v>
      </c>
      <c r="C34" s="12">
        <f>(SUMIFS('Raw Data'!$L:$L,'Raw Data'!$B:$B,$B$2,'Raw Data'!$J:$J,C$2,'Raw Data'!$K:$K,"native",'Raw Data'!$H:$H,"Cash Out",'Raw Data'!$I:$I,"Agent/Teller",'Raw Data'!$M:$M,"percent",'Raw Data'!$F:$F,"Number*"))/100</f>
        <v>0.91220000000000001</v>
      </c>
      <c r="D34" s="12">
        <f>(SUMIFS('Raw Data'!$L:$L,'Raw Data'!$B:$B,$B$2,'Raw Data'!$J:$J,D$2,'Raw Data'!$K:$K,"native",'Raw Data'!$H:$H,"Cash Out",'Raw Data'!$I:$I,"Agent/Teller",'Raw Data'!$M:$M,"percent",'Raw Data'!$F:$F,"Number*"))/100</f>
        <v>0.91980000000000006</v>
      </c>
      <c r="E34" s="12">
        <f>(SUMIFS('Raw Data'!$L:$L,'Raw Data'!$B:$B,$B$2,'Raw Data'!$J:$J,E$2,'Raw Data'!$K:$K,"native",'Raw Data'!$H:$H,"Cash Out",'Raw Data'!$I:$I,"Agent/Teller",'Raw Data'!$M:$M,"percent",'Raw Data'!$F:$F,"Number*"))/100</f>
        <v>0.91480000000000006</v>
      </c>
      <c r="F34" s="12">
        <f>(SUMIFS('Raw Data'!$L:$L,'Raw Data'!$B:$B,$B$2,'Raw Data'!$J:$J,F$2,'Raw Data'!$K:$K,"native",'Raw Data'!$H:$H,"Cash Out",'Raw Data'!$I:$I,"Agent/Teller",'Raw Data'!$M:$M,"percent",'Raw Data'!$F:$F,"Number*"))/100</f>
        <v>0.92449999999999999</v>
      </c>
      <c r="G34" s="12">
        <f>(SUMIFS('Raw Data'!$L:$L,'Raw Data'!$B:$B,$B$2,'Raw Data'!$J:$J,G$2,'Raw Data'!$K:$K,"native",'Raw Data'!$H:$H,"Cash Out",'Raw Data'!$I:$I,"Agent/Teller",'Raw Data'!$M:$M,"percent",'Raw Data'!$F:$F,"Number*"))/100</f>
        <v>0.92709999999999992</v>
      </c>
      <c r="H34" s="12">
        <f>(SUMIFS('Raw Data'!$L:$L,'Raw Data'!$B:$B,$B$2,'Raw Data'!$J:$J,H$2,'Raw Data'!$K:$K,"native",'Raw Data'!$H:$H,"Cash Out",'Raw Data'!$I:$I,"Agent/Teller",'Raw Data'!$M:$M,"percent",'Raw Data'!$F:$F,"Number*"))/100</f>
        <v>0.93079999999999996</v>
      </c>
      <c r="I34" s="12">
        <f>(SUMIFS('Raw Data'!$L:$L,'Raw Data'!$B:$B,$B$2,'Raw Data'!$J:$J,I$2,'Raw Data'!$K:$K,"native",'Raw Data'!$H:$H,"Cash Out",'Raw Data'!$I:$I,"Agent/Teller",'Raw Data'!$M:$M,"percent",'Raw Data'!$F:$F,"Number*"))/100</f>
        <v>0.93040000000000012</v>
      </c>
      <c r="J34" s="12">
        <f>(SUMIFS('Raw Data'!$L:$L,'Raw Data'!$B:$B,$B$2,'Raw Data'!$J:$J,J$2,'Raw Data'!$K:$K,"native",'Raw Data'!$H:$H,"Cash Out",'Raw Data'!$I:$I,"Agent/Teller",'Raw Data'!$M:$M,"percent",'Raw Data'!$F:$F,"Number*"))/100</f>
        <v>0.92749999999999999</v>
      </c>
      <c r="K34" s="12">
        <f>(SUMIFS('Raw Data'!$L:$L,'Raw Data'!$B:$B,$B$2,'Raw Data'!$J:$J,K$2,'Raw Data'!$K:$K,"native",'Raw Data'!$H:$H,"Cash Out",'Raw Data'!$I:$I,"Agent/Teller",'Raw Data'!$M:$M,"percent",'Raw Data'!$F:$F,"Number*"))/100</f>
        <v>0.9376000000000001</v>
      </c>
      <c r="L34" s="12">
        <f>(SUMIFS('Raw Data'!$L:$L,'Raw Data'!$B:$B,$B$2,'Raw Data'!$J:$J,L$2,'Raw Data'!$K:$K,"native",'Raw Data'!$H:$H,"Cash Out",'Raw Data'!$I:$I,"Agent/Teller",'Raw Data'!$M:$M,"percent",'Raw Data'!$F:$F,"Number*"))/100</f>
        <v>0.93530000000000002</v>
      </c>
      <c r="M34" s="12">
        <f>(SUMIFS('Raw Data'!$L:$L,'Raw Data'!$B:$B,$B$2,'Raw Data'!$J:$J,M$2,'Raw Data'!$K:$K,"native",'Raw Data'!$H:$H,"Cash Out",'Raw Data'!$I:$I,"Agent/Teller",'Raw Data'!$M:$M,"percent",'Raw Data'!$F:$F,"Number*"))/100</f>
        <v>0.94</v>
      </c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>
        <f>(SUMIFS('Raw Data'!$L:$L,'Raw Data'!$B:$B,$B$2,'Raw Data'!$J:$J,Z$2,'Raw Data'!$K:$K,"native",'Raw Data'!$H:$H,"Cash Out",'Raw Data'!$I:$I,"Agent/Teller",'Raw Data'!$M:$M,"percent",'Raw Data'!$F:$F,"Number*"))/100</f>
        <v>0.86670000000000003</v>
      </c>
    </row>
    <row r="35" spans="1:26" x14ac:dyDescent="0.25">
      <c r="A35" s="10" t="s">
        <v>82</v>
      </c>
      <c r="B35" s="10" t="s">
        <v>111</v>
      </c>
      <c r="C35" s="12">
        <f>(SUMIFS('Raw Data'!$L:$L,'Raw Data'!$B:$B,$B$2,'Raw Data'!$J:$J,C$2,'Raw Data'!$K:$K,"native",'Raw Data'!$H:$H,"Money Transfers",'Raw Data'!$I:$I,"Aid/Charity/Grant",'Raw Data'!$M:$M,"percent",'Raw Data'!$F:$F,"Number*"))/100</f>
        <v>2.6200000000000001E-2</v>
      </c>
      <c r="D35" s="12">
        <f>(SUMIFS('Raw Data'!$L:$L,'Raw Data'!$B:$B,$B$2,'Raw Data'!$J:$J,D$2,'Raw Data'!$K:$K,"native",'Raw Data'!$H:$H,"Money Transfers",'Raw Data'!$I:$I,"Aid/Charity/Grant",'Raw Data'!$M:$M,"percent",'Raw Data'!$F:$F,"Number*"))/100</f>
        <v>2.0400000000000001E-2</v>
      </c>
      <c r="E35" s="12">
        <f>(SUMIFS('Raw Data'!$L:$L,'Raw Data'!$B:$B,$B$2,'Raw Data'!$J:$J,E$2,'Raw Data'!$K:$K,"native",'Raw Data'!$H:$H,"Money Transfers",'Raw Data'!$I:$I,"Aid/Charity/Grant",'Raw Data'!$M:$M,"percent",'Raw Data'!$F:$F,"Number*"))/100</f>
        <v>2.1400000000000002E-2</v>
      </c>
      <c r="F35" s="12">
        <f>(SUMIFS('Raw Data'!$L:$L,'Raw Data'!$B:$B,$B$2,'Raw Data'!$J:$J,F$2,'Raw Data'!$K:$K,"native",'Raw Data'!$H:$H,"Money Transfers",'Raw Data'!$I:$I,"Aid/Charity/Grant",'Raw Data'!$M:$M,"percent",'Raw Data'!$F:$F,"Number*"))/100</f>
        <v>2.2599999999999999E-2</v>
      </c>
      <c r="G35" s="12">
        <f>(SUMIFS('Raw Data'!$L:$L,'Raw Data'!$B:$B,$B$2,'Raw Data'!$J:$J,G$2,'Raw Data'!$K:$K,"native",'Raw Data'!$H:$H,"Money Transfers",'Raw Data'!$I:$I,"Aid/Charity/Grant",'Raw Data'!$M:$M,"percent",'Raw Data'!$F:$F,"Number*"))/100</f>
        <v>1.5700000000000002E-2</v>
      </c>
      <c r="H35" s="12">
        <f>(SUMIFS('Raw Data'!$L:$L,'Raw Data'!$B:$B,$B$2,'Raw Data'!$J:$J,H$2,'Raw Data'!$K:$K,"native",'Raw Data'!$H:$H,"Money Transfers",'Raw Data'!$I:$I,"Aid/Charity/Grant",'Raw Data'!$M:$M,"percent",'Raw Data'!$F:$F,"Number*"))/100</f>
        <v>1.7600000000000001E-2</v>
      </c>
      <c r="I35" s="12">
        <f>(SUMIFS('Raw Data'!$L:$L,'Raw Data'!$B:$B,$B$2,'Raw Data'!$J:$J,I$2,'Raw Data'!$K:$K,"native",'Raw Data'!$H:$H,"Money Transfers",'Raw Data'!$I:$I,"Aid/Charity/Grant",'Raw Data'!$M:$M,"percent",'Raw Data'!$F:$F,"Number*"))/100</f>
        <v>2.2200000000000001E-2</v>
      </c>
      <c r="J35" s="12">
        <f>(SUMIFS('Raw Data'!$L:$L,'Raw Data'!$B:$B,$B$2,'Raw Data'!$J:$J,J$2,'Raw Data'!$K:$K,"native",'Raw Data'!$H:$H,"Money Transfers",'Raw Data'!$I:$I,"Aid/Charity/Grant",'Raw Data'!$M:$M,"percent",'Raw Data'!$F:$F,"Number*"))/100</f>
        <v>1.43E-2</v>
      </c>
      <c r="K35" s="12">
        <f>(SUMIFS('Raw Data'!$L:$L,'Raw Data'!$B:$B,$B$2,'Raw Data'!$J:$J,K$2,'Raw Data'!$K:$K,"native",'Raw Data'!$H:$H,"Money Transfers",'Raw Data'!$I:$I,"Aid/Charity/Grant",'Raw Data'!$M:$M,"percent",'Raw Data'!$F:$F,"Number*"))/100</f>
        <v>1.78E-2</v>
      </c>
      <c r="L35" s="12">
        <f>(SUMIFS('Raw Data'!$L:$L,'Raw Data'!$B:$B,$B$2,'Raw Data'!$J:$J,L$2,'Raw Data'!$K:$K,"native",'Raw Data'!$H:$H,"Money Transfers",'Raw Data'!$I:$I,"Aid/Charity/Grant",'Raw Data'!$M:$M,"percent",'Raw Data'!$F:$F,"Number*"))/100</f>
        <v>1.3899999999999999E-2</v>
      </c>
      <c r="M35" s="12">
        <f>(SUMIFS('Raw Data'!$L:$L,'Raw Data'!$B:$B,$B$2,'Raw Data'!$J:$J,M$2,'Raw Data'!$K:$K,"native",'Raw Data'!$H:$H,"Money Transfers",'Raw Data'!$I:$I,"Aid/Charity/Grant",'Raw Data'!$M:$M,"percent",'Raw Data'!$F:$F,"Number*"))/100</f>
        <v>5.1999999999999998E-3</v>
      </c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>
        <f>(SUMIFS('Raw Data'!$L:$L,'Raw Data'!$B:$B,$B$2,'Raw Data'!$J:$J,Z$2,'Raw Data'!$K:$K,"native",'Raw Data'!$H:$H,"Money Transfers",'Raw Data'!$I:$I,"Aid/Charity/Grant",'Raw Data'!$M:$M,"percent",'Raw Data'!$F:$F,"Number*"))/100</f>
        <v>1.2199999999999999E-2</v>
      </c>
    </row>
    <row r="36" spans="1:26" x14ac:dyDescent="0.25">
      <c r="A36" s="10" t="s">
        <v>82</v>
      </c>
      <c r="B36" s="10" t="s">
        <v>112</v>
      </c>
      <c r="C36" s="12">
        <f>(SUMIFS('Raw Data'!$L:$L,'Raw Data'!$B:$B,$B$2,'Raw Data'!$J:$J,C$2,'Raw Data'!$K:$K,"native",'Raw Data'!$H:$H,"Money Transfers",'Raw Data'!$I:$I,"Cross Border Remittances",'Raw Data'!$M:$M,"percent",'Raw Data'!$F:$F,"Number*"))/100</f>
        <v>1E-4</v>
      </c>
      <c r="D36" s="12">
        <f>(SUMIFS('Raw Data'!$L:$L,'Raw Data'!$B:$B,$B$2,'Raw Data'!$J:$J,D$2,'Raw Data'!$K:$K,"native",'Raw Data'!$H:$H,"Money Transfers",'Raw Data'!$I:$I,"Cross Border Remittances",'Raw Data'!$M:$M,"percent",'Raw Data'!$F:$F,"Number*"))/100</f>
        <v>1E-4</v>
      </c>
      <c r="E36" s="12">
        <f>(SUMIFS('Raw Data'!$L:$L,'Raw Data'!$B:$B,$B$2,'Raw Data'!$J:$J,E$2,'Raw Data'!$K:$K,"native",'Raw Data'!$H:$H,"Money Transfers",'Raw Data'!$I:$I,"Cross Border Remittances",'Raw Data'!$M:$M,"percent",'Raw Data'!$F:$F,"Number*"))/100</f>
        <v>1E-4</v>
      </c>
      <c r="F36" s="12">
        <f>(SUMIFS('Raw Data'!$L:$L,'Raw Data'!$B:$B,$B$2,'Raw Data'!$J:$J,F$2,'Raw Data'!$K:$K,"native",'Raw Data'!$H:$H,"Money Transfers",'Raw Data'!$I:$I,"Cross Border Remittances",'Raw Data'!$M:$M,"percent",'Raw Data'!$F:$F,"Number*"))/100</f>
        <v>1E-4</v>
      </c>
      <c r="G36" s="12">
        <f>(SUMIFS('Raw Data'!$L:$L,'Raw Data'!$B:$B,$B$2,'Raw Data'!$J:$J,G$2,'Raw Data'!$K:$K,"native",'Raw Data'!$H:$H,"Money Transfers",'Raw Data'!$I:$I,"Cross Border Remittances",'Raw Data'!$M:$M,"percent",'Raw Data'!$F:$F,"Number*"))/100</f>
        <v>0</v>
      </c>
      <c r="H36" s="12">
        <f>(SUMIFS('Raw Data'!$L:$L,'Raw Data'!$B:$B,$B$2,'Raw Data'!$J:$J,H$2,'Raw Data'!$K:$K,"native",'Raw Data'!$H:$H,"Money Transfers",'Raw Data'!$I:$I,"Cross Border Remittances",'Raw Data'!$M:$M,"percent",'Raw Data'!$F:$F,"Number*"))/100</f>
        <v>0</v>
      </c>
      <c r="I36" s="12">
        <f>(SUMIFS('Raw Data'!$L:$L,'Raw Data'!$B:$B,$B$2,'Raw Data'!$J:$J,I$2,'Raw Data'!$K:$K,"native",'Raw Data'!$H:$H,"Money Transfers",'Raw Data'!$I:$I,"Cross Border Remittances",'Raw Data'!$M:$M,"percent",'Raw Data'!$F:$F,"Number*"))/100</f>
        <v>0</v>
      </c>
      <c r="J36" s="12">
        <f>(SUMIFS('Raw Data'!$L:$L,'Raw Data'!$B:$B,$B$2,'Raw Data'!$J:$J,J$2,'Raw Data'!$K:$K,"native",'Raw Data'!$H:$H,"Money Transfers",'Raw Data'!$I:$I,"Cross Border Remittances",'Raw Data'!$M:$M,"percent",'Raw Data'!$F:$F,"Number*"))/100</f>
        <v>0</v>
      </c>
      <c r="K36" s="12">
        <f>(SUMIFS('Raw Data'!$L:$L,'Raw Data'!$B:$B,$B$2,'Raw Data'!$J:$J,K$2,'Raw Data'!$K:$K,"native",'Raw Data'!$H:$H,"Money Transfers",'Raw Data'!$I:$I,"Cross Border Remittances",'Raw Data'!$M:$M,"percent",'Raw Data'!$F:$F,"Number*"))/100</f>
        <v>0</v>
      </c>
      <c r="L36" s="12">
        <f>(SUMIFS('Raw Data'!$L:$L,'Raw Data'!$B:$B,$B$2,'Raw Data'!$J:$J,L$2,'Raw Data'!$K:$K,"native",'Raw Data'!$H:$H,"Money Transfers",'Raw Data'!$I:$I,"Cross Border Remittances",'Raw Data'!$M:$M,"percent",'Raw Data'!$F:$F,"Number*"))/100</f>
        <v>0</v>
      </c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>
        <f>(SUMIFS('Raw Data'!$L:$L,'Raw Data'!$B:$B,$B$2,'Raw Data'!$J:$J,Z$2,'Raw Data'!$K:$K,"native",'Raw Data'!$H:$H,"Money Transfers",'Raw Data'!$I:$I,"Loan/Loan Installment",'Raw Data'!$M:$M,"percent",'Raw Data'!$F:$F,"Number*"))/100</f>
        <v>1E-4</v>
      </c>
    </row>
    <row r="37" spans="1:26" x14ac:dyDescent="0.25">
      <c r="A37" s="10" t="s">
        <v>82</v>
      </c>
      <c r="B37" s="10" t="s">
        <v>113</v>
      </c>
      <c r="C37" s="12">
        <f>(SUMIFS('Raw Data'!$L:$L,'Raw Data'!$B:$B,$B$2,'Raw Data'!$J:$J,C$2,'Raw Data'!$K:$K,"native",'Raw Data'!$H:$H,"Money Transfers",'Raw Data'!$I:$I,"Loan/Loan Installment",'Raw Data'!$M:$M,"percent",'Raw Data'!$F:$F,"Number*"))/100</f>
        <v>6.7000000000000002E-3</v>
      </c>
      <c r="D37" s="12">
        <f>(SUMIFS('Raw Data'!$L:$L,'Raw Data'!$B:$B,$B$2,'Raw Data'!$J:$J,D$2,'Raw Data'!$K:$K,"native",'Raw Data'!$H:$H,"Money Transfers",'Raw Data'!$I:$I,"Loan/Loan Installment",'Raw Data'!$M:$M,"percent",'Raw Data'!$F:$F,"Number*"))/100</f>
        <v>6.7000000000000002E-3</v>
      </c>
      <c r="E37" s="12">
        <f>(SUMIFS('Raw Data'!$L:$L,'Raw Data'!$B:$B,$B$2,'Raw Data'!$J:$J,E$2,'Raw Data'!$K:$K,"native",'Raw Data'!$H:$H,"Money Transfers",'Raw Data'!$I:$I,"Loan/Loan Installment",'Raw Data'!$M:$M,"percent",'Raw Data'!$F:$F,"Number*"))/100</f>
        <v>5.6999999999999993E-3</v>
      </c>
      <c r="F37" s="12">
        <f>(SUMIFS('Raw Data'!$L:$L,'Raw Data'!$B:$B,$B$2,'Raw Data'!$J:$J,F$2,'Raw Data'!$K:$K,"native",'Raw Data'!$H:$H,"Money Transfers",'Raw Data'!$I:$I,"Loan/Loan Installment",'Raw Data'!$M:$M,"percent",'Raw Data'!$F:$F,"Number*"))/100</f>
        <v>5.3E-3</v>
      </c>
      <c r="G37" s="12">
        <f>(SUMIFS('Raw Data'!$L:$L,'Raw Data'!$B:$B,$B$2,'Raw Data'!$J:$J,G$2,'Raw Data'!$K:$K,"native",'Raw Data'!$H:$H,"Money Transfers",'Raw Data'!$I:$I,"Loan/Loan Installment",'Raw Data'!$M:$M,"percent",'Raw Data'!$F:$F,"Number*"))/100</f>
        <v>5.0000000000000001E-3</v>
      </c>
      <c r="H37" s="12">
        <f>(SUMIFS('Raw Data'!$L:$L,'Raw Data'!$B:$B,$B$2,'Raw Data'!$J:$J,H$2,'Raw Data'!$K:$K,"native",'Raw Data'!$H:$H,"Money Transfers",'Raw Data'!$I:$I,"Loan/Loan Installment",'Raw Data'!$M:$M,"percent",'Raw Data'!$F:$F,"Number*"))/100</f>
        <v>5.0000000000000001E-3</v>
      </c>
      <c r="I37" s="12">
        <f>(SUMIFS('Raw Data'!$L:$L,'Raw Data'!$B:$B,$B$2,'Raw Data'!$J:$J,I$2,'Raw Data'!$K:$K,"native",'Raw Data'!$H:$H,"Money Transfers",'Raw Data'!$I:$I,"Loan/Loan Installment",'Raw Data'!$M:$M,"percent",'Raw Data'!$F:$F,"Number*"))/100</f>
        <v>3.3E-3</v>
      </c>
      <c r="J37" s="12">
        <f>(SUMIFS('Raw Data'!$L:$L,'Raw Data'!$B:$B,$B$2,'Raw Data'!$J:$J,J$2,'Raw Data'!$K:$K,"native",'Raw Data'!$H:$H,"Money Transfers",'Raw Data'!$I:$I,"Loan/Loan Installment",'Raw Data'!$M:$M,"percent",'Raw Data'!$F:$F,"Number*"))/100</f>
        <v>3.7000000000000002E-3</v>
      </c>
      <c r="K37" s="12">
        <f>(SUMIFS('Raw Data'!$L:$L,'Raw Data'!$B:$B,$B$2,'Raw Data'!$J:$J,K$2,'Raw Data'!$K:$K,"native",'Raw Data'!$H:$H,"Money Transfers",'Raw Data'!$I:$I,"Loan/Loan Installment",'Raw Data'!$M:$M,"percent",'Raw Data'!$F:$F,"Number*"))/100</f>
        <v>3.8E-3</v>
      </c>
      <c r="L37" s="12">
        <f>(SUMIFS('Raw Data'!$L:$L,'Raw Data'!$B:$B,$B$2,'Raw Data'!$J:$J,L$2,'Raw Data'!$K:$K,"native",'Raw Data'!$H:$H,"Money Transfers",'Raw Data'!$I:$I,"Loan/Loan Installment",'Raw Data'!$M:$M,"percent",'Raw Data'!$F:$F,"Number*"))/100</f>
        <v>1.9E-3</v>
      </c>
      <c r="M37" s="12">
        <f>(SUMIFS('Raw Data'!$L:$L,'Raw Data'!$B:$B,$B$2,'Raw Data'!$J:$J,M$2,'Raw Data'!$K:$K,"native",'Raw Data'!$H:$H,"Money Transfers",'Raw Data'!$I:$I,"Loan/Loan Installment",'Raw Data'!$M:$M,"percent",'Raw Data'!$F:$F,"Number*"))/100</f>
        <v>2.9999999999999997E-4</v>
      </c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>
        <f>(SUMIFS('Raw Data'!$L:$L,'Raw Data'!$B:$B,$B$2,'Raw Data'!$J:$J,Z$2,'Raw Data'!$K:$K,"native",'Raw Data'!$H:$H,"Money Transfers",'Raw Data'!$I:$I,"Loan/Loan Installment",'Raw Data'!$M:$M,"percent",'Raw Data'!$F:$F,"Number*"))/100</f>
        <v>1E-4</v>
      </c>
    </row>
    <row r="38" spans="1:26" x14ac:dyDescent="0.25">
      <c r="A38" s="10" t="s">
        <v>82</v>
      </c>
      <c r="B38" s="10" t="s">
        <v>114</v>
      </c>
      <c r="C38" s="12">
        <f>(SUMIFS('Raw Data'!$L:$L,'Raw Data'!$B:$B,$B$2,'Raw Data'!$J:$J,C$2,'Raw Data'!$K:$K,"native",'Raw Data'!$H:$H,"Money Transfers",'Raw Data'!$I:$I,"Salary/Bonus/Dividends",'Raw Data'!$M:$M,"percent",'Raw Data'!$F:$F,"Number*"))/100</f>
        <v>3.4300000000000004E-2</v>
      </c>
      <c r="D38" s="12">
        <f>(SUMIFS('Raw Data'!$L:$L,'Raw Data'!$B:$B,$B$2,'Raw Data'!$J:$J,D$2,'Raw Data'!$K:$K,"native",'Raw Data'!$H:$H,"Money Transfers",'Raw Data'!$I:$I,"Salary/Bonus/Dividends",'Raw Data'!$M:$M,"percent",'Raw Data'!$F:$F,"Number*"))/100</f>
        <v>4.3700000000000003E-2</v>
      </c>
      <c r="E38" s="12">
        <f>(SUMIFS('Raw Data'!$L:$L,'Raw Data'!$B:$B,$B$2,'Raw Data'!$J:$J,E$2,'Raw Data'!$K:$K,"native",'Raw Data'!$H:$H,"Money Transfers",'Raw Data'!$I:$I,"Salary/Bonus/Dividends",'Raw Data'!$M:$M,"percent",'Raw Data'!$F:$F,"Number*"))/100</f>
        <v>3.0200000000000001E-2</v>
      </c>
      <c r="F38" s="12">
        <f>(SUMIFS('Raw Data'!$L:$L,'Raw Data'!$B:$B,$B$2,'Raw Data'!$J:$J,F$2,'Raw Data'!$K:$K,"native",'Raw Data'!$H:$H,"Money Transfers",'Raw Data'!$I:$I,"Salary/Bonus/Dividends",'Raw Data'!$M:$M,"percent",'Raw Data'!$F:$F,"Number*"))/100</f>
        <v>4.0300000000000002E-2</v>
      </c>
      <c r="G38" s="12">
        <f>(SUMIFS('Raw Data'!$L:$L,'Raw Data'!$B:$B,$B$2,'Raw Data'!$J:$J,G$2,'Raw Data'!$K:$K,"native",'Raw Data'!$H:$H,"Money Transfers",'Raw Data'!$I:$I,"Salary/Bonus/Dividends",'Raw Data'!$M:$M,"percent",'Raw Data'!$F:$F,"Number*"))/100</f>
        <v>3.6600000000000001E-2</v>
      </c>
      <c r="H38" s="12">
        <f>(SUMIFS('Raw Data'!$L:$L,'Raw Data'!$B:$B,$B$2,'Raw Data'!$J:$J,H$2,'Raw Data'!$K:$K,"native",'Raw Data'!$H:$H,"Money Transfers",'Raw Data'!$I:$I,"Salary/Bonus/Dividends",'Raw Data'!$M:$M,"percent",'Raw Data'!$F:$F,"Number*"))/100</f>
        <v>2.4799999999999999E-2</v>
      </c>
      <c r="I38" s="12">
        <f>(SUMIFS('Raw Data'!$L:$L,'Raw Data'!$B:$B,$B$2,'Raw Data'!$J:$J,I$2,'Raw Data'!$K:$K,"native",'Raw Data'!$H:$H,"Money Transfers",'Raw Data'!$I:$I,"Salary/Bonus/Dividends",'Raw Data'!$M:$M,"percent",'Raw Data'!$F:$F,"Number*"))/100</f>
        <v>3.3300000000000003E-2</v>
      </c>
      <c r="J38" s="12">
        <f>(SUMIFS('Raw Data'!$L:$L,'Raw Data'!$B:$B,$B$2,'Raw Data'!$J:$J,J$2,'Raw Data'!$K:$K,"native",'Raw Data'!$H:$H,"Money Transfers",'Raw Data'!$I:$I,"Salary/Bonus/Dividends",'Raw Data'!$M:$M,"percent",'Raw Data'!$F:$F,"Number*"))/100</f>
        <v>2.63E-2</v>
      </c>
      <c r="K38" s="12">
        <f>(SUMIFS('Raw Data'!$L:$L,'Raw Data'!$B:$B,$B$2,'Raw Data'!$J:$J,K$2,'Raw Data'!$K:$K,"native",'Raw Data'!$H:$H,"Money Transfers",'Raw Data'!$I:$I,"Salary/Bonus/Dividends",'Raw Data'!$M:$M,"percent",'Raw Data'!$F:$F,"Number*"))/100</f>
        <v>2.76E-2</v>
      </c>
      <c r="L38" s="12">
        <f>(SUMIFS('Raw Data'!$L:$L,'Raw Data'!$B:$B,$B$2,'Raw Data'!$J:$J,L$2,'Raw Data'!$K:$K,"native",'Raw Data'!$H:$H,"Money Transfers",'Raw Data'!$I:$I,"Salary/Bonus/Dividends",'Raw Data'!$M:$M,"percent",'Raw Data'!$F:$F,"Number*"))/100</f>
        <v>2.2700000000000001E-2</v>
      </c>
      <c r="M38" s="12">
        <f>(SUMIFS('Raw Data'!$L:$L,'Raw Data'!$B:$B,$B$2,'Raw Data'!$J:$J,M$2,'Raw Data'!$K:$K,"native",'Raw Data'!$H:$H,"Money Transfers",'Raw Data'!$I:$I,"Salary/Bonus/Dividends",'Raw Data'!$M:$M,"percent",'Raw Data'!$F:$F,"Number*"))/100</f>
        <v>2.9600000000000001E-2</v>
      </c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>
        <f>(SUMIFS('Raw Data'!$L:$L,'Raw Data'!$B:$B,$B$2,'Raw Data'!$J:$J,Z$2,'Raw Data'!$K:$K,"native",'Raw Data'!$H:$H,"Money Transfers",'Raw Data'!$I:$I,"Salary/Bonus/Dividends",'Raw Data'!$M:$M,"percent",'Raw Data'!$F:$F,"Number*"))/100</f>
        <v>3.3E-3</v>
      </c>
    </row>
    <row r="39" spans="1:26" x14ac:dyDescent="0.25">
      <c r="A39" s="10" t="s">
        <v>82</v>
      </c>
      <c r="B39" s="10" t="s">
        <v>87</v>
      </c>
      <c r="C39" s="12">
        <f>(SUMIFS('Raw Data'!$L:$L,'Raw Data'!$B:$B,$B$2,'Raw Data'!$J:$J,C$2,'Raw Data'!$K:$K,"native",'Raw Data'!$H:$H,"Money Transfers",'Raw Data'!$I:$I,"Transfer to Family/Friends",'Raw Data'!$M:$M,"percent",'Raw Data'!$F:$F,"Number*"))/100</f>
        <v>0.86809999999999998</v>
      </c>
      <c r="D39" s="12">
        <f>(SUMIFS('Raw Data'!$L:$L,'Raw Data'!$B:$B,$B$2,'Raw Data'!$J:$J,D$2,'Raw Data'!$K:$K,"native",'Raw Data'!$H:$H,"Money Transfers",'Raw Data'!$I:$I,"Transfer to Family/Friends",'Raw Data'!$M:$M,"percent",'Raw Data'!$F:$F,"Number*"))/100</f>
        <v>0.8659</v>
      </c>
      <c r="E39" s="12">
        <f>(SUMIFS('Raw Data'!$L:$L,'Raw Data'!$B:$B,$B$2,'Raw Data'!$J:$J,E$2,'Raw Data'!$K:$K,"native",'Raw Data'!$H:$H,"Money Transfers",'Raw Data'!$I:$I,"Transfer to Family/Friends",'Raw Data'!$M:$M,"percent",'Raw Data'!$F:$F,"Number*"))/100</f>
        <v>0.88080000000000003</v>
      </c>
      <c r="F39" s="12">
        <f>(SUMIFS('Raw Data'!$L:$L,'Raw Data'!$B:$B,$B$2,'Raw Data'!$J:$J,F$2,'Raw Data'!$K:$K,"native",'Raw Data'!$H:$H,"Money Transfers",'Raw Data'!$I:$I,"Transfer to Family/Friends",'Raw Data'!$M:$M,"percent",'Raw Data'!$F:$F,"Number*"))/100</f>
        <v>0.87150000000000005</v>
      </c>
      <c r="G39" s="12">
        <f>(SUMIFS('Raw Data'!$L:$L,'Raw Data'!$B:$B,$B$2,'Raw Data'!$J:$J,G$2,'Raw Data'!$K:$K,"native",'Raw Data'!$H:$H,"Money Transfers",'Raw Data'!$I:$I,"Transfer to Family/Friends",'Raw Data'!$M:$M,"percent",'Raw Data'!$F:$F,"Number*"))/100</f>
        <v>0.88290000000000002</v>
      </c>
      <c r="H39" s="12">
        <f>(SUMIFS('Raw Data'!$L:$L,'Raw Data'!$B:$B,$B$2,'Raw Data'!$J:$J,H$2,'Raw Data'!$K:$K,"native",'Raw Data'!$H:$H,"Money Transfers",'Raw Data'!$I:$I,"Transfer to Family/Friends",'Raw Data'!$M:$M,"percent",'Raw Data'!$F:$F,"Number*"))/100</f>
        <v>0.89209999999999989</v>
      </c>
      <c r="I39" s="12">
        <f>(SUMIFS('Raw Data'!$L:$L,'Raw Data'!$B:$B,$B$2,'Raw Data'!$J:$J,I$2,'Raw Data'!$K:$K,"native",'Raw Data'!$H:$H,"Money Transfers",'Raw Data'!$I:$I,"Transfer to Family/Friends",'Raw Data'!$M:$M,"percent",'Raw Data'!$F:$F,"Number*"))/100</f>
        <v>0.89129999999999998</v>
      </c>
      <c r="J39" s="12">
        <f>(SUMIFS('Raw Data'!$L:$L,'Raw Data'!$B:$B,$B$2,'Raw Data'!$J:$J,J$2,'Raw Data'!$K:$K,"native",'Raw Data'!$H:$H,"Money Transfers",'Raw Data'!$I:$I,"Transfer to Family/Friends",'Raw Data'!$M:$M,"percent",'Raw Data'!$F:$F,"Number*"))/100</f>
        <v>0.90659999999999996</v>
      </c>
      <c r="K39" s="12">
        <f>(SUMIFS('Raw Data'!$L:$L,'Raw Data'!$B:$B,$B$2,'Raw Data'!$J:$J,K$2,'Raw Data'!$K:$K,"native",'Raw Data'!$H:$H,"Money Transfers",'Raw Data'!$I:$I,"Transfer to Family/Friends",'Raw Data'!$M:$M,"percent",'Raw Data'!$F:$F,"Number*"))/100</f>
        <v>0.90300000000000002</v>
      </c>
      <c r="L39" s="12">
        <f>(SUMIFS('Raw Data'!$L:$L,'Raw Data'!$B:$B,$B$2,'Raw Data'!$J:$J,L$2,'Raw Data'!$K:$K,"native",'Raw Data'!$H:$H,"Money Transfers",'Raw Data'!$I:$I,"Transfer to Family/Friends",'Raw Data'!$M:$M,"percent",'Raw Data'!$F:$F,"Number*"))/100</f>
        <v>0.90529999999999999</v>
      </c>
      <c r="M39" s="12">
        <f>(SUMIFS('Raw Data'!$L:$L,'Raw Data'!$B:$B,$B$2,'Raw Data'!$J:$J,M$2,'Raw Data'!$K:$K,"native",'Raw Data'!$H:$H,"Money Transfers",'Raw Data'!$I:$I,"Transfer to Family/Friends",'Raw Data'!$M:$M,"percent",'Raw Data'!$F:$F,"Number*"))/100</f>
        <v>0.89749999999999996</v>
      </c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>
        <f>(SUMIFS('Raw Data'!$L:$L,'Raw Data'!$B:$B,$B$2,'Raw Data'!$J:$J,Z$2,'Raw Data'!$K:$K,"native",'Raw Data'!$H:$H,"Money Transfers",'Raw Data'!$I:$I,"Transfer to Family/Friends",'Raw Data'!$M:$M,"percent",'Raw Data'!$F:$F,"Number*"))/100</f>
        <v>0.81209999999999993</v>
      </c>
    </row>
    <row r="40" spans="1:26" x14ac:dyDescent="0.25">
      <c r="A40" s="10" t="s">
        <v>82</v>
      </c>
      <c r="B40" s="10" t="s">
        <v>88</v>
      </c>
      <c r="C40" s="12">
        <f>(SUMIFS('Raw Data'!$L:$L,'Raw Data'!$B:$B,$B$2,'Raw Data'!$J:$J,C$2,'Raw Data'!$K:$K,"native",'Raw Data'!$H:$H,"Money Transfers",'Raw Data'!$I:$I,"Transfer to Own Account",'Raw Data'!$M:$M,"percent",'Raw Data'!$F:$F,"Number*"))/100</f>
        <v>6.4600000000000005E-2</v>
      </c>
      <c r="D40" s="12">
        <f>(SUMIFS('Raw Data'!$L:$L,'Raw Data'!$B:$B,$B$2,'Raw Data'!$J:$J,D$2,'Raw Data'!$K:$K,"native",'Raw Data'!$H:$H,"Money Transfers",'Raw Data'!$I:$I,"Transfer to Own Account",'Raw Data'!$M:$M,"percent",'Raw Data'!$F:$F,"Number*"))/100</f>
        <v>6.3200000000000006E-2</v>
      </c>
      <c r="E40" s="12">
        <f>(SUMIFS('Raw Data'!$L:$L,'Raw Data'!$B:$B,$B$2,'Raw Data'!$J:$J,E$2,'Raw Data'!$K:$K,"native",'Raw Data'!$H:$H,"Money Transfers",'Raw Data'!$I:$I,"Transfer to Own Account",'Raw Data'!$M:$M,"percent",'Raw Data'!$F:$F,"Number*"))/100</f>
        <v>6.1799999999999994E-2</v>
      </c>
      <c r="F40" s="12">
        <f>(SUMIFS('Raw Data'!$L:$L,'Raw Data'!$B:$B,$B$2,'Raw Data'!$J:$J,F$2,'Raw Data'!$K:$K,"native",'Raw Data'!$H:$H,"Money Transfers",'Raw Data'!$I:$I,"Transfer to Own Account",'Raw Data'!$M:$M,"percent",'Raw Data'!$F:$F,"Number*"))/100</f>
        <v>6.0100000000000001E-2</v>
      </c>
      <c r="G40" s="12">
        <f>(SUMIFS('Raw Data'!$L:$L,'Raw Data'!$B:$B,$B$2,'Raw Data'!$J:$J,G$2,'Raw Data'!$K:$K,"native",'Raw Data'!$H:$H,"Money Transfers",'Raw Data'!$I:$I,"Transfer to Own Account",'Raw Data'!$M:$M,"percent",'Raw Data'!$F:$F,"Number*"))/100</f>
        <v>5.9800000000000006E-2</v>
      </c>
      <c r="H40" s="12">
        <f>(SUMIFS('Raw Data'!$L:$L,'Raw Data'!$B:$B,$B$2,'Raw Data'!$J:$J,H$2,'Raw Data'!$K:$K,"native",'Raw Data'!$H:$H,"Money Transfers",'Raw Data'!$I:$I,"Transfer to Own Account",'Raw Data'!$M:$M,"percent",'Raw Data'!$F:$F,"Number*"))/100</f>
        <v>6.0499999999999998E-2</v>
      </c>
      <c r="I40" s="12">
        <f>(SUMIFS('Raw Data'!$L:$L,'Raw Data'!$B:$B,$B$2,'Raw Data'!$J:$J,I$2,'Raw Data'!$K:$K,"native",'Raw Data'!$H:$H,"Money Transfers",'Raw Data'!$I:$I,"Transfer to Own Account",'Raw Data'!$M:$M,"percent",'Raw Data'!$F:$F,"Number*"))/100</f>
        <v>0.05</v>
      </c>
      <c r="J40" s="12">
        <f>(SUMIFS('Raw Data'!$L:$L,'Raw Data'!$B:$B,$B$2,'Raw Data'!$J:$J,J$2,'Raw Data'!$K:$K,"native",'Raw Data'!$H:$H,"Money Transfers",'Raw Data'!$I:$I,"Transfer to Own Account",'Raw Data'!$M:$M,"percent",'Raw Data'!$F:$F,"Number*"))/100</f>
        <v>4.9100000000000005E-2</v>
      </c>
      <c r="K40" s="12">
        <f>(SUMIFS('Raw Data'!$L:$L,'Raw Data'!$B:$B,$B$2,'Raw Data'!$J:$J,K$2,'Raw Data'!$K:$K,"native",'Raw Data'!$H:$H,"Money Transfers",'Raw Data'!$I:$I,"Transfer to Own Account",'Raw Data'!$M:$M,"percent",'Raw Data'!$F:$F,"Number*"))/100</f>
        <v>4.7699999999999992E-2</v>
      </c>
      <c r="L40" s="12">
        <f>(SUMIFS('Raw Data'!$L:$L,'Raw Data'!$B:$B,$B$2,'Raw Data'!$J:$J,L$2,'Raw Data'!$K:$K,"native",'Raw Data'!$H:$H,"Money Transfers",'Raw Data'!$I:$I,"Transfer to Own Account",'Raw Data'!$M:$M,"percent",'Raw Data'!$F:$F,"Number*"))/100</f>
        <v>5.4900000000000004E-2</v>
      </c>
      <c r="M40" s="12">
        <f>(SUMIFS('Raw Data'!$L:$L,'Raw Data'!$B:$B,$B$2,'Raw Data'!$J:$J,M$2,'Raw Data'!$K:$K,"native",'Raw Data'!$H:$H,"Money Transfers",'Raw Data'!$I:$I,"Transfer to Own Account",'Raw Data'!$M:$M,"percent",'Raw Data'!$F:$F,"Number*"))/100</f>
        <v>6.6400000000000001E-2</v>
      </c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>
        <f>(SUMIFS('Raw Data'!$L:$L,'Raw Data'!$B:$B,$B$2,'Raw Data'!$J:$J,Z$2,'Raw Data'!$K:$K,"native",'Raw Data'!$H:$H,"Money Transfers",'Raw Data'!$I:$I,"Transfer to Own Account",'Raw Data'!$M:$M,"percent",'Raw Data'!$F:$F,"Number*"))/100</f>
        <v>0.1595</v>
      </c>
    </row>
    <row r="41" spans="1:26" x14ac:dyDescent="0.25">
      <c r="A41" s="10" t="s">
        <v>82</v>
      </c>
      <c r="B41" s="10" t="s">
        <v>115</v>
      </c>
      <c r="C41" s="12">
        <f>(SUMIFS('Raw Data'!$L:$L,'Raw Data'!$B:$B,$B$2,'Raw Data'!$J:$J,C$2,'Raw Data'!$K:$K,"native",'Raw Data'!$H:$H,"Purchases",'Raw Data'!$I:$I,"Purchases",'Raw Data'!$M:$M,"percent",'Raw Data'!$F:$F,"Number*"))/100</f>
        <v>0.84439999999999993</v>
      </c>
      <c r="D41" s="12">
        <f>(SUMIFS('Raw Data'!$L:$L,'Raw Data'!$B:$B,$B$2,'Raw Data'!$J:$J,D$2,'Raw Data'!$K:$K,"native",'Raw Data'!$H:$H,"Purchases",'Raw Data'!$I:$I,"Purchases",'Raw Data'!$M:$M,"percent",'Raw Data'!$F:$F,"Number*"))/100</f>
        <v>0.82050000000000001</v>
      </c>
      <c r="E41" s="12">
        <f>(SUMIFS('Raw Data'!$L:$L,'Raw Data'!$B:$B,$B$2,'Raw Data'!$J:$J,E$2,'Raw Data'!$K:$K,"native",'Raw Data'!$H:$H,"Purchases",'Raw Data'!$I:$I,"Purchases",'Raw Data'!$M:$M,"percent",'Raw Data'!$F:$F,"Number*"))/100</f>
        <v>0.80680000000000007</v>
      </c>
      <c r="F41" s="12">
        <f>(SUMIFS('Raw Data'!$L:$L,'Raw Data'!$B:$B,$B$2,'Raw Data'!$J:$J,F$2,'Raw Data'!$K:$K,"native",'Raw Data'!$H:$H,"Purchases",'Raw Data'!$I:$I,"Purchases",'Raw Data'!$M:$M,"percent",'Raw Data'!$F:$F,"Number*"))/100</f>
        <v>0.78150000000000008</v>
      </c>
      <c r="G41" s="12">
        <f>(SUMIFS('Raw Data'!$L:$L,'Raw Data'!$B:$B,$B$2,'Raw Data'!$J:$J,G$2,'Raw Data'!$K:$K,"native",'Raw Data'!$H:$H,"Purchases",'Raw Data'!$I:$I,"Purchases",'Raw Data'!$M:$M,"percent",'Raw Data'!$F:$F,"Number*"))/100</f>
        <v>0.6905</v>
      </c>
      <c r="H41" s="12">
        <f>(SUMIFS('Raw Data'!$L:$L,'Raw Data'!$B:$B,$B$2,'Raw Data'!$J:$J,H$2,'Raw Data'!$K:$K,"native",'Raw Data'!$H:$H,"Purchases",'Raw Data'!$I:$I,"Purchases",'Raw Data'!$M:$M,"percent",'Raw Data'!$F:$F,"Number*"))/100</f>
        <v>0.66239999999999999</v>
      </c>
      <c r="I41" s="12">
        <f>(SUMIFS('Raw Data'!$L:$L,'Raw Data'!$B:$B,$B$2,'Raw Data'!$J:$J,I$2,'Raw Data'!$K:$K,"native",'Raw Data'!$H:$H,"Purchases",'Raw Data'!$I:$I,"Purchases",'Raw Data'!$M:$M,"percent",'Raw Data'!$F:$F,"Number*"))/100</f>
        <v>0.67459999999999998</v>
      </c>
      <c r="J41" s="12">
        <f>(SUMIFS('Raw Data'!$L:$L,'Raw Data'!$B:$B,$B$2,'Raw Data'!$J:$J,J$2,'Raw Data'!$K:$K,"native",'Raw Data'!$H:$H,"Purchases",'Raw Data'!$I:$I,"Purchases",'Raw Data'!$M:$M,"percent",'Raw Data'!$F:$F,"Number*"))/100</f>
        <v>0.621</v>
      </c>
      <c r="K41" s="12">
        <f>(SUMIFS('Raw Data'!$L:$L,'Raw Data'!$B:$B,$B$2,'Raw Data'!$J:$J,K$2,'Raw Data'!$K:$K,"native",'Raw Data'!$H:$H,"Purchases",'Raw Data'!$I:$I,"Purchases",'Raw Data'!$M:$M,"percent",'Raw Data'!$F:$F,"Number*"))/100</f>
        <v>0.60150000000000003</v>
      </c>
      <c r="L41" s="12">
        <f>(SUMIFS('Raw Data'!$L:$L,'Raw Data'!$B:$B,$B$2,'Raw Data'!$J:$J,L$2,'Raw Data'!$K:$K,"native",'Raw Data'!$H:$H,"Purchases",'Raw Data'!$I:$I,"Purchases",'Raw Data'!$M:$M,"percent",'Raw Data'!$F:$F,"Number*"))/100</f>
        <v>0.72400000000000009</v>
      </c>
      <c r="M41" s="12">
        <f>(SUMIFS('Raw Data'!$L:$L,'Raw Data'!$B:$B,$B$2,'Raw Data'!$J:$J,M$2,'Raw Data'!$K:$K,"native",'Raw Data'!$H:$H,"Purchases",'Raw Data'!$I:$I,"Purchases",'Raw Data'!$M:$M,"percent",'Raw Data'!$F:$F,"Number*"))/100</f>
        <v>0.77029999999999998</v>
      </c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>
        <f>(SUMIFS('Raw Data'!$L:$L,'Raw Data'!$B:$B,$B$2,'Raw Data'!$J:$J,Z$2,'Raw Data'!$K:$K,"native",'Raw Data'!$H:$H,"Purchases",'Raw Data'!$I:$I,"Purchases",'Raw Data'!$M:$M,"percent",'Raw Data'!$F:$F,"Number*"))/100</f>
        <v>0.85510000000000008</v>
      </c>
    </row>
    <row r="42" spans="1:26" x14ac:dyDescent="0.25">
      <c r="A42" s="10" t="s">
        <v>82</v>
      </c>
      <c r="B42" s="10" t="s">
        <v>90</v>
      </c>
      <c r="C42" s="12">
        <f>(SUMIFS('Raw Data'!$L:$L,'Raw Data'!$B:$B,$B$2,'Raw Data'!$J:$J,C$2,'Raw Data'!$K:$K,"native",'Raw Data'!$H:$H,"Purchases",'Raw Data'!$I:$I,"QR Purchases",'Raw Data'!$M:$M,"percent",'Raw Data'!$F:$F,"Number*"))/100</f>
        <v>0.15560000000000002</v>
      </c>
      <c r="D42" s="12">
        <f>(SUMIFS('Raw Data'!$L:$L,'Raw Data'!$B:$B,$B$2,'Raw Data'!$J:$J,D$2,'Raw Data'!$K:$K,"native",'Raw Data'!$H:$H,"Purchases",'Raw Data'!$I:$I,"QR Purchases",'Raw Data'!$M:$M,"percent",'Raw Data'!$F:$F,"Number*"))/100</f>
        <v>0.17949999999999999</v>
      </c>
      <c r="E42" s="12">
        <f>(SUMIFS('Raw Data'!$L:$L,'Raw Data'!$B:$B,$B$2,'Raw Data'!$J:$J,E$2,'Raw Data'!$K:$K,"native",'Raw Data'!$H:$H,"Purchases",'Raw Data'!$I:$I,"QR Purchases",'Raw Data'!$M:$M,"percent",'Raw Data'!$F:$F,"Number*"))/100</f>
        <v>0.19320000000000001</v>
      </c>
      <c r="F42" s="12">
        <f>(SUMIFS('Raw Data'!$L:$L,'Raw Data'!$B:$B,$B$2,'Raw Data'!$J:$J,F$2,'Raw Data'!$K:$K,"native",'Raw Data'!$H:$H,"Purchases",'Raw Data'!$I:$I,"QR Purchases",'Raw Data'!$M:$M,"percent",'Raw Data'!$F:$F,"Number*"))/100</f>
        <v>0.21850000000000003</v>
      </c>
      <c r="G42" s="12">
        <f>(SUMIFS('Raw Data'!$L:$L,'Raw Data'!$B:$B,$B$2,'Raw Data'!$J:$J,G$2,'Raw Data'!$K:$K,"native",'Raw Data'!$H:$H,"Purchases",'Raw Data'!$I:$I,"QR Purchases",'Raw Data'!$M:$M,"percent",'Raw Data'!$F:$F,"Number*"))/100</f>
        <v>0.3095</v>
      </c>
      <c r="H42" s="12">
        <f>(SUMIFS('Raw Data'!$L:$L,'Raw Data'!$B:$B,$B$2,'Raw Data'!$J:$J,H$2,'Raw Data'!$K:$K,"native",'Raw Data'!$H:$H,"Purchases",'Raw Data'!$I:$I,"QR Purchases",'Raw Data'!$M:$M,"percent",'Raw Data'!$F:$F,"Number*"))/100</f>
        <v>0.33759999999999996</v>
      </c>
      <c r="I42" s="12">
        <f>(SUMIFS('Raw Data'!$L:$L,'Raw Data'!$B:$B,$B$2,'Raw Data'!$J:$J,I$2,'Raw Data'!$K:$K,"native",'Raw Data'!$H:$H,"Purchases",'Raw Data'!$I:$I,"QR Purchases",'Raw Data'!$M:$M,"percent",'Raw Data'!$F:$F,"Number*"))/100</f>
        <v>0.32539999999999997</v>
      </c>
      <c r="J42" s="12">
        <f>(SUMIFS('Raw Data'!$L:$L,'Raw Data'!$B:$B,$B$2,'Raw Data'!$J:$J,J$2,'Raw Data'!$K:$K,"native",'Raw Data'!$H:$H,"Purchases",'Raw Data'!$I:$I,"QR Purchases",'Raw Data'!$M:$M,"percent",'Raw Data'!$F:$F,"Number*"))/100</f>
        <v>0.379</v>
      </c>
      <c r="K42" s="12">
        <f>(SUMIFS('Raw Data'!$L:$L,'Raw Data'!$B:$B,$B$2,'Raw Data'!$J:$J,K$2,'Raw Data'!$K:$K,"native",'Raw Data'!$H:$H,"Purchases",'Raw Data'!$I:$I,"QR Purchases",'Raw Data'!$M:$M,"percent",'Raw Data'!$F:$F,"Number*"))/100</f>
        <v>0.39850000000000002</v>
      </c>
      <c r="L42" s="12">
        <f>(SUMIFS('Raw Data'!$L:$L,'Raw Data'!$B:$B,$B$2,'Raw Data'!$J:$J,L$2,'Raw Data'!$K:$K,"native",'Raw Data'!$H:$H,"Purchases",'Raw Data'!$I:$I,"QR Purchases",'Raw Data'!$M:$M,"percent",'Raw Data'!$F:$F,"Number*"))/100</f>
        <v>0.27600000000000002</v>
      </c>
      <c r="M42" s="12">
        <f>(SUMIFS('Raw Data'!$L:$L,'Raw Data'!$B:$B,$B$2,'Raw Data'!$J:$J,M$2,'Raw Data'!$K:$K,"native",'Raw Data'!$H:$H,"Purchases",'Raw Data'!$I:$I,"QR Purchases",'Raw Data'!$M:$M,"percent",'Raw Data'!$F:$F,"Number*"))/100</f>
        <v>0.22969999999999999</v>
      </c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>
        <f>(SUMIFS('Raw Data'!$L:$L,'Raw Data'!$B:$B,$B$2,'Raw Data'!$J:$J,Z$2,'Raw Data'!$K:$K,"native",'Raw Data'!$H:$H,"Purchases",'Raw Data'!$I:$I,"QR Purchases",'Raw Data'!$M:$M,"percent",'Raw Data'!$F:$F,"Number*"))/100</f>
        <v>0.1449</v>
      </c>
    </row>
    <row r="43" spans="1:26" x14ac:dyDescent="0.25">
      <c r="A43" s="10" t="s">
        <v>82</v>
      </c>
      <c r="B43" s="10" t="s">
        <v>116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>
        <f>(SUMIFS('Raw Data'!$L:$L,'Raw Data'!$B:$B,$B$2,'Raw Data'!$J:$J,M$2,'Raw Data'!$K:$K,"native",'Raw Data'!$H:$H,"Money Transfers",'Raw Data'!$I:$I,"Loan/Loan Disbursement",'Raw Data'!$M:$M,"percent",'Raw Data'!$F:$F,"Number*"))/100</f>
        <v>1E-3</v>
      </c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>
        <f>(SUMIFS('Raw Data'!$L:$L,'Raw Data'!$B:$B,$B$2,'Raw Data'!$J:$J,Z$2,'Raw Data'!$K:$K,"native",'Raw Data'!$H:$H,"Money Transfers",'Raw Data'!$I:$I,"Loan/Loan Disbursement",'Raw Data'!$M:$M,"percent",'Raw Data'!$F:$F,"Number*"))/100</f>
        <v>7.000000000000001E-4</v>
      </c>
    </row>
    <row r="44" spans="1:26" x14ac:dyDescent="0.25">
      <c r="A44" s="10" t="s">
        <v>82</v>
      </c>
      <c r="B44" s="10" t="s">
        <v>117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x14ac:dyDescent="0.25">
      <c r="A45" s="10" t="s">
        <v>82</v>
      </c>
      <c r="B45" s="10" t="s">
        <v>118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x14ac:dyDescent="0.25">
      <c r="A46" s="10" t="s">
        <v>82</v>
      </c>
      <c r="B46" s="10" t="s">
        <v>89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x14ac:dyDescent="0.25">
      <c r="A47" s="10" t="s">
        <v>82</v>
      </c>
      <c r="B47" s="10" t="s">
        <v>119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>
        <f>(SUMIFS('Raw Data'!$L:$L,'Raw Data'!$B:$B,$B$2,'Raw Data'!$J:$J,Z$2,'Raw Data'!$K:$K,"native",'Raw Data'!$H:$H,"Money Transfers",'Raw Data'!$I:$I,"Goods/Services",'Raw Data'!$M:$M,"percent",'Raw Data'!$F:$F,"Number*"))/100</f>
        <v>1.21E-2</v>
      </c>
    </row>
    <row r="48" spans="1:26" x14ac:dyDescent="0.25">
      <c r="A48" s="53" t="s">
        <v>91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x14ac:dyDescent="0.25">
      <c r="A49" s="10" t="s">
        <v>82</v>
      </c>
      <c r="B49" s="10" t="s">
        <v>105</v>
      </c>
      <c r="C49" s="11">
        <f>SUMIFS('Raw Data'!$L:$L,'Raw Data'!$B:$B,$B$2,'Raw Data'!$J:$J,C$2,'Raw Data'!$K:$K,"native",'Raw Data'!$H:$H,"Cash In",'Raw Data'!$I:$I,"",'Raw Data'!$M:$M,"JOD")</f>
        <v>19600000</v>
      </c>
      <c r="D49" s="11">
        <f>SUMIFS('Raw Data'!$L:$L,'Raw Data'!$B:$B,$B$2,'Raw Data'!$J:$J,D$2,'Raw Data'!$K:$K,"native",'Raw Data'!$H:$H,"Cash In",'Raw Data'!$I:$I,"",'Raw Data'!$M:$M,"JOD")</f>
        <v>20300000</v>
      </c>
      <c r="E49" s="11">
        <f>SUMIFS('Raw Data'!$L:$L,'Raw Data'!$B:$B,$B$2,'Raw Data'!$J:$J,E$2,'Raw Data'!$K:$K,"native",'Raw Data'!$H:$H,"Cash In",'Raw Data'!$I:$I,"",'Raw Data'!$M:$M,"JOD")</f>
        <v>17700000</v>
      </c>
      <c r="F49" s="11">
        <f>SUMIFS('Raw Data'!$L:$L,'Raw Data'!$B:$B,$B$2,'Raw Data'!$J:$J,F$2,'Raw Data'!$K:$K,"native",'Raw Data'!$H:$H,"Cash In",'Raw Data'!$I:$I,"",'Raw Data'!$M:$M,"JOD")</f>
        <v>18800000</v>
      </c>
      <c r="G49" s="11">
        <f>SUMIFS('Raw Data'!$L:$L,'Raw Data'!$B:$B,$B$2,'Raw Data'!$J:$J,G$2,'Raw Data'!$K:$K,"native",'Raw Data'!$H:$H,"Cash In",'Raw Data'!$I:$I,"",'Raw Data'!$M:$M,"JOD")</f>
        <v>18080000</v>
      </c>
      <c r="H49" s="11">
        <f>SUMIFS('Raw Data'!$L:$L,'Raw Data'!$B:$B,$B$2,'Raw Data'!$J:$J,H$2,'Raw Data'!$K:$K,"native",'Raw Data'!$H:$H,"Cash In",'Raw Data'!$I:$I,"",'Raw Data'!$M:$M,"JOD")</f>
        <v>17300000</v>
      </c>
      <c r="I49" s="11">
        <f>SUMIFS('Raw Data'!$L:$L,'Raw Data'!$B:$B,$B$2,'Raw Data'!$J:$J,I$2,'Raw Data'!$K:$K,"native",'Raw Data'!$H:$H,"Cash In",'Raw Data'!$I:$I,"",'Raw Data'!$M:$M,"JOD")</f>
        <v>19000000</v>
      </c>
      <c r="J49" s="11">
        <f>SUMIFS('Raw Data'!$L:$L,'Raw Data'!$B:$B,$B$2,'Raw Data'!$J:$J,J$2,'Raw Data'!$K:$K,"native",'Raw Data'!$H:$H,"Cash In",'Raw Data'!$I:$I,"",'Raw Data'!$M:$M,"JOD")</f>
        <v>17800000</v>
      </c>
      <c r="K49" s="11">
        <f>SUMIFS('Raw Data'!$L:$L,'Raw Data'!$B:$B,$B$2,'Raw Data'!$J:$J,K$2,'Raw Data'!$K:$K,"native",'Raw Data'!$H:$H,"Cash In",'Raw Data'!$I:$I,"",'Raw Data'!$M:$M,"JOD")</f>
        <v>19400000</v>
      </c>
      <c r="L49" s="11">
        <f>SUMIFS('Raw Data'!$L:$L,'Raw Data'!$B:$B,$B$2,'Raw Data'!$J:$J,L$2,'Raw Data'!$K:$K,"native",'Raw Data'!$H:$H,"Cash In",'Raw Data'!$I:$I,"",'Raw Data'!$M:$M,"JOD")</f>
        <v>18500000</v>
      </c>
      <c r="M49" s="11">
        <f>SUMIFS('Raw Data'!$L:$L,'Raw Data'!$B:$B,$B$2,'Raw Data'!$J:$J,M$2,'Raw Data'!$K:$K,"native",'Raw Data'!$H:$H,"Cash In",'Raw Data'!$I:$I,"",'Raw Data'!$M:$M,"JOD")</f>
        <v>19000000</v>
      </c>
      <c r="N49" s="11">
        <f>SUMIFS('Raw Data'!$L:$L,'Raw Data'!$B:$B,$B$2,'Raw Data'!$J:$J,N$2,'Raw Data'!$K:$K,"native",'Raw Data'!$H:$H,"Cash In",'Raw Data'!$I:$I,"",'Raw Data'!$M:$M,"JOD")</f>
        <v>19340000</v>
      </c>
      <c r="O49" s="11">
        <f>SUMIFS('Raw Data'!$L:$L,'Raw Data'!$B:$B,$B$2,'Raw Data'!$J:$J,O$2,'Raw Data'!$K:$K,"native",'Raw Data'!$H:$H,"Cash In",'Raw Data'!$I:$I,"",'Raw Data'!$M:$M,"JOD")</f>
        <v>12170000</v>
      </c>
      <c r="P49" s="11">
        <f>SUMIFS('Raw Data'!$L:$L,'Raw Data'!$B:$B,$B$2,'Raw Data'!$J:$J,P$2,'Raw Data'!$K:$K,"native",'Raw Data'!$H:$H,"Cash In",'Raw Data'!$I:$I,"",'Raw Data'!$M:$M,"JOD")</f>
        <v>3520000</v>
      </c>
      <c r="Q49" s="11">
        <f>SUMIFS('Raw Data'!$L:$L,'Raw Data'!$B:$B,$B$2,'Raw Data'!$J:$J,Q$2,'Raw Data'!$K:$K,"native",'Raw Data'!$H:$H,"Cash In",'Raw Data'!$I:$I,"",'Raw Data'!$M:$M,"JOD")</f>
        <v>3250000</v>
      </c>
      <c r="R49" s="11">
        <f>SUMIFS('Raw Data'!$L:$L,'Raw Data'!$B:$B,$B$2,'Raw Data'!$J:$J,R$2,'Raw Data'!$K:$K,"native",'Raw Data'!$H:$H,"Cash In",'Raw Data'!$I:$I,"",'Raw Data'!$M:$M,"JOD")</f>
        <v>3710000</v>
      </c>
      <c r="S49" s="11">
        <f>SUMIFS('Raw Data'!$L:$L,'Raw Data'!$B:$B,$B$2,'Raw Data'!$J:$J,S$2,'Raw Data'!$K:$K,"native",'Raw Data'!$H:$H,"Cash In",'Raw Data'!$I:$I,"",'Raw Data'!$M:$M,"JOD")</f>
        <v>3750000</v>
      </c>
      <c r="T49" s="11">
        <f>SUMIFS('Raw Data'!$L:$L,'Raw Data'!$B:$B,$B$2,'Raw Data'!$J:$J,T$2,'Raw Data'!$K:$K,"native",'Raw Data'!$H:$H,"Cash In",'Raw Data'!$I:$I,"",'Raw Data'!$M:$M,"JOD")</f>
        <v>3480000</v>
      </c>
      <c r="U49" s="11">
        <f>SUMIFS('Raw Data'!$L:$L,'Raw Data'!$B:$B,$B$2,'Raw Data'!$J:$J,U$2,'Raw Data'!$K:$K,"native",'Raw Data'!$H:$H,"Cash In",'Raw Data'!$I:$I,"",'Raw Data'!$M:$M,"JOD")</f>
        <v>3810000</v>
      </c>
      <c r="V49" s="11">
        <f>SUMIFS('Raw Data'!$L:$L,'Raw Data'!$B:$B,$B$2,'Raw Data'!$J:$J,V$2,'Raw Data'!$K:$K,"native",'Raw Data'!$H:$H,"Cash In",'Raw Data'!$I:$I,"",'Raw Data'!$M:$M,"JOD")</f>
        <v>3540000</v>
      </c>
      <c r="W49" s="11">
        <f>SUMIFS('Raw Data'!$L:$L,'Raw Data'!$B:$B,$B$2,'Raw Data'!$J:$J,W$2,'Raw Data'!$K:$K,"native",'Raw Data'!$H:$H,"Cash In",'Raw Data'!$I:$I,"",'Raw Data'!$M:$M,"JOD")</f>
        <v>3750000</v>
      </c>
      <c r="X49" s="11">
        <f>SUMIFS('Raw Data'!$L:$L,'Raw Data'!$B:$B,$B$2,'Raw Data'!$J:$J,X$2,'Raw Data'!$K:$K,"native",'Raw Data'!$H:$H,"Cash In",'Raw Data'!$I:$I,"",'Raw Data'!$M:$M,"JOD")</f>
        <v>3530000</v>
      </c>
      <c r="Y49" s="11">
        <f>SUMIFS('Raw Data'!$L:$L,'Raw Data'!$B:$B,$B$2,'Raw Data'!$J:$J,Y$2,'Raw Data'!$K:$K,"native",'Raw Data'!$H:$H,"Cash In",'Raw Data'!$I:$I,"",'Raw Data'!$M:$M,"JOD")</f>
        <v>3830000</v>
      </c>
      <c r="Z49" s="11">
        <f>SUMIFS('Raw Data'!$L:$L,'Raw Data'!$B:$B,$B$2,'Raw Data'!$J:$J,Z$2,'Raw Data'!$K:$K,"native",'Raw Data'!$H:$H,"Cash In",'Raw Data'!$I:$I,"",'Raw Data'!$M:$M,"JOD")</f>
        <v>3900000</v>
      </c>
    </row>
    <row r="50" spans="1:26" x14ac:dyDescent="0.25">
      <c r="A50" s="10" t="s">
        <v>82</v>
      </c>
      <c r="B50" s="10" t="s">
        <v>106</v>
      </c>
      <c r="C50" s="11">
        <f>SUMIFS('Raw Data'!$L:$L,'Raw Data'!$B:$B,$B$2,'Raw Data'!$J:$J,C$2,'Raw Data'!$K:$K,"native",'Raw Data'!$H:$H,"Cash Out",'Raw Data'!$I:$I,"",'Raw Data'!$M:$M,"JOD")</f>
        <v>29300000</v>
      </c>
      <c r="D50" s="11">
        <f>SUMIFS('Raw Data'!$L:$L,'Raw Data'!$B:$B,$B$2,'Raw Data'!$J:$J,D$2,'Raw Data'!$K:$K,"native",'Raw Data'!$H:$H,"Cash Out",'Raw Data'!$I:$I,"",'Raw Data'!$M:$M,"JOD")</f>
        <v>32000000</v>
      </c>
      <c r="E50" s="11">
        <f>SUMIFS('Raw Data'!$L:$L,'Raw Data'!$B:$B,$B$2,'Raw Data'!$J:$J,E$2,'Raw Data'!$K:$K,"native",'Raw Data'!$H:$H,"Cash Out",'Raw Data'!$I:$I,"",'Raw Data'!$M:$M,"JOD")</f>
        <v>27100000</v>
      </c>
      <c r="F50" s="11">
        <f>SUMIFS('Raw Data'!$L:$L,'Raw Data'!$B:$B,$B$2,'Raw Data'!$J:$J,F$2,'Raw Data'!$K:$K,"native",'Raw Data'!$H:$H,"Cash Out",'Raw Data'!$I:$I,"",'Raw Data'!$M:$M,"JOD")</f>
        <v>29300000</v>
      </c>
      <c r="G50" s="11">
        <f>SUMIFS('Raw Data'!$L:$L,'Raw Data'!$B:$B,$B$2,'Raw Data'!$J:$J,G$2,'Raw Data'!$K:$K,"native",'Raw Data'!$H:$H,"Cash Out",'Raw Data'!$I:$I,"",'Raw Data'!$M:$M,"JOD")</f>
        <v>27200000</v>
      </c>
      <c r="H50" s="11">
        <f>SUMIFS('Raw Data'!$L:$L,'Raw Data'!$B:$B,$B$2,'Raw Data'!$J:$J,H$2,'Raw Data'!$K:$K,"native",'Raw Data'!$H:$H,"Cash Out",'Raw Data'!$I:$I,"",'Raw Data'!$M:$M,"JOD")</f>
        <v>23700000</v>
      </c>
      <c r="I50" s="11">
        <f>SUMIFS('Raw Data'!$L:$L,'Raw Data'!$B:$B,$B$2,'Raw Data'!$J:$J,I$2,'Raw Data'!$K:$K,"native",'Raw Data'!$H:$H,"Cash Out",'Raw Data'!$I:$I,"",'Raw Data'!$M:$M,"JOD")</f>
        <v>28600000</v>
      </c>
      <c r="J50" s="11">
        <f>SUMIFS('Raw Data'!$L:$L,'Raw Data'!$B:$B,$B$2,'Raw Data'!$J:$J,J$2,'Raw Data'!$K:$K,"native",'Raw Data'!$H:$H,"Cash Out",'Raw Data'!$I:$I,"",'Raw Data'!$M:$M,"JOD")</f>
        <v>23000000</v>
      </c>
      <c r="K50" s="11">
        <f>SUMIFS('Raw Data'!$L:$L,'Raw Data'!$B:$B,$B$2,'Raw Data'!$J:$J,K$2,'Raw Data'!$K:$K,"native",'Raw Data'!$H:$H,"Cash Out",'Raw Data'!$I:$I,"",'Raw Data'!$M:$M,"JOD")</f>
        <v>26300000</v>
      </c>
      <c r="L50" s="11">
        <f>SUMIFS('Raw Data'!$L:$L,'Raw Data'!$B:$B,$B$2,'Raw Data'!$J:$J,L$2,'Raw Data'!$K:$K,"native",'Raw Data'!$H:$H,"Cash Out",'Raw Data'!$I:$I,"",'Raw Data'!$M:$M,"JOD")</f>
        <v>25100000</v>
      </c>
      <c r="M50" s="11">
        <f>SUMIFS('Raw Data'!$L:$L,'Raw Data'!$B:$B,$B$2,'Raw Data'!$J:$J,M$2,'Raw Data'!$K:$K,"native",'Raw Data'!$H:$H,"Cash Out",'Raw Data'!$I:$I,"",'Raw Data'!$M:$M,"JOD")</f>
        <v>28600000</v>
      </c>
      <c r="N50" s="11">
        <f>SUMIFS('Raw Data'!$L:$L,'Raw Data'!$B:$B,$B$2,'Raw Data'!$J:$J,N$2,'Raw Data'!$K:$K,"native",'Raw Data'!$H:$H,"Cash Out",'Raw Data'!$I:$I,"",'Raw Data'!$M:$M,"JOD")</f>
        <v>26340000</v>
      </c>
      <c r="O50" s="11">
        <f>SUMIFS('Raw Data'!$L:$L,'Raw Data'!$B:$B,$B$2,'Raw Data'!$J:$J,O$2,'Raw Data'!$K:$K,"native",'Raw Data'!$H:$H,"Cash Out",'Raw Data'!$I:$I,"",'Raw Data'!$M:$M,"JOD")</f>
        <v>19380000</v>
      </c>
      <c r="P50" s="11">
        <f>SUMIFS('Raw Data'!$L:$L,'Raw Data'!$B:$B,$B$2,'Raw Data'!$J:$J,P$2,'Raw Data'!$K:$K,"native",'Raw Data'!$H:$H,"Cash Out",'Raw Data'!$I:$I,"",'Raw Data'!$M:$M,"JOD")</f>
        <v>11630000</v>
      </c>
      <c r="Q50" s="11">
        <f>SUMIFS('Raw Data'!$L:$L,'Raw Data'!$B:$B,$B$2,'Raw Data'!$J:$J,Q$2,'Raw Data'!$K:$K,"native",'Raw Data'!$H:$H,"Cash Out",'Raw Data'!$I:$I,"",'Raw Data'!$M:$M,"JOD")</f>
        <v>10060000</v>
      </c>
      <c r="R50" s="11">
        <f>SUMIFS('Raw Data'!$L:$L,'Raw Data'!$B:$B,$B$2,'Raw Data'!$J:$J,R$2,'Raw Data'!$K:$K,"native",'Raw Data'!$H:$H,"Cash Out",'Raw Data'!$I:$I,"",'Raw Data'!$M:$M,"JOD")</f>
        <v>10520000</v>
      </c>
      <c r="S50" s="11">
        <f>SUMIFS('Raw Data'!$L:$L,'Raw Data'!$B:$B,$B$2,'Raw Data'!$J:$J,S$2,'Raw Data'!$K:$K,"native",'Raw Data'!$H:$H,"Cash Out",'Raw Data'!$I:$I,"",'Raw Data'!$M:$M,"JOD")</f>
        <v>10100000</v>
      </c>
      <c r="T50" s="11">
        <f>SUMIFS('Raw Data'!$L:$L,'Raw Data'!$B:$B,$B$2,'Raw Data'!$J:$J,T$2,'Raw Data'!$K:$K,"native",'Raw Data'!$H:$H,"Cash Out",'Raw Data'!$I:$I,"",'Raw Data'!$M:$M,"JOD")</f>
        <v>9710000</v>
      </c>
      <c r="U50" s="11">
        <f>SUMIFS('Raw Data'!$L:$L,'Raw Data'!$B:$B,$B$2,'Raw Data'!$J:$J,U$2,'Raw Data'!$K:$K,"native",'Raw Data'!$H:$H,"Cash Out",'Raw Data'!$I:$I,"",'Raw Data'!$M:$M,"JOD")</f>
        <v>10460000</v>
      </c>
      <c r="V50" s="11">
        <f>SUMIFS('Raw Data'!$L:$L,'Raw Data'!$B:$B,$B$2,'Raw Data'!$J:$J,V$2,'Raw Data'!$K:$K,"native",'Raw Data'!$H:$H,"Cash Out",'Raw Data'!$I:$I,"",'Raw Data'!$M:$M,"JOD")</f>
        <v>8960000</v>
      </c>
      <c r="W50" s="11">
        <f>SUMIFS('Raw Data'!$L:$L,'Raw Data'!$B:$B,$B$2,'Raw Data'!$J:$J,W$2,'Raw Data'!$K:$K,"native",'Raw Data'!$H:$H,"Cash Out",'Raw Data'!$I:$I,"",'Raw Data'!$M:$M,"JOD")</f>
        <v>9740000</v>
      </c>
      <c r="X50" s="11">
        <f>SUMIFS('Raw Data'!$L:$L,'Raw Data'!$B:$B,$B$2,'Raw Data'!$J:$J,X$2,'Raw Data'!$K:$K,"native",'Raw Data'!$H:$H,"Cash Out",'Raw Data'!$I:$I,"",'Raw Data'!$M:$M,"JOD")</f>
        <v>9360000</v>
      </c>
      <c r="Y50" s="11">
        <f>SUMIFS('Raw Data'!$L:$L,'Raw Data'!$B:$B,$B$2,'Raw Data'!$J:$J,Y$2,'Raw Data'!$K:$K,"native",'Raw Data'!$H:$H,"Cash Out",'Raw Data'!$I:$I,"",'Raw Data'!$M:$M,"JOD")</f>
        <v>9730000</v>
      </c>
      <c r="Z50" s="11">
        <f>SUMIFS('Raw Data'!$L:$L,'Raw Data'!$B:$B,$B$2,'Raw Data'!$J:$J,Z$2,'Raw Data'!$K:$K,"native",'Raw Data'!$H:$H,"Cash Out",'Raw Data'!$I:$I,"",'Raw Data'!$M:$M,"JOD")</f>
        <v>9500000</v>
      </c>
    </row>
    <row r="51" spans="1:26" x14ac:dyDescent="0.25">
      <c r="A51" s="10" t="s">
        <v>82</v>
      </c>
      <c r="B51" s="10" t="s">
        <v>83</v>
      </c>
      <c r="C51" s="11">
        <f>SUMIFS('Raw Data'!$L:$L,'Raw Data'!$B:$B,$B$2,'Raw Data'!$J:$J,C$2,'Raw Data'!$K:$K,"native",'Raw Data'!$H:$H,"Money Transfers",'Raw Data'!$I:$I,"",'Raw Data'!$M:$M,"JOD")</f>
        <v>382800000</v>
      </c>
      <c r="D51" s="11">
        <f>SUMIFS('Raw Data'!$L:$L,'Raw Data'!$B:$B,$B$2,'Raw Data'!$J:$J,D$2,'Raw Data'!$K:$K,"native",'Raw Data'!$H:$H,"Money Transfers",'Raw Data'!$I:$I,"",'Raw Data'!$M:$M,"JOD")</f>
        <v>399700000</v>
      </c>
      <c r="E51" s="11">
        <f>SUMIFS('Raw Data'!$L:$L,'Raw Data'!$B:$B,$B$2,'Raw Data'!$J:$J,E$2,'Raw Data'!$K:$K,"native",'Raw Data'!$H:$H,"Money Transfers",'Raw Data'!$I:$I,"",'Raw Data'!$M:$M,"JOD")</f>
        <v>385200000</v>
      </c>
      <c r="F51" s="11">
        <f>SUMIFS('Raw Data'!$L:$L,'Raw Data'!$B:$B,$B$2,'Raw Data'!$J:$J,F$2,'Raw Data'!$K:$K,"native",'Raw Data'!$H:$H,"Money Transfers",'Raw Data'!$I:$I,"",'Raw Data'!$M:$M,"JOD")</f>
        <v>429900000</v>
      </c>
      <c r="G51" s="11">
        <f>SUMIFS('Raw Data'!$L:$L,'Raw Data'!$B:$B,$B$2,'Raw Data'!$J:$J,G$2,'Raw Data'!$K:$K,"native",'Raw Data'!$H:$H,"Money Transfers",'Raw Data'!$I:$I,"",'Raw Data'!$M:$M,"JOD")</f>
        <v>418190000</v>
      </c>
      <c r="H51" s="11">
        <f>SUMIFS('Raw Data'!$L:$L,'Raw Data'!$B:$B,$B$2,'Raw Data'!$J:$J,H$2,'Raw Data'!$K:$K,"native",'Raw Data'!$H:$H,"Money Transfers",'Raw Data'!$I:$I,"",'Raw Data'!$M:$M,"JOD")</f>
        <v>385200000</v>
      </c>
      <c r="I51" s="11">
        <f>SUMIFS('Raw Data'!$L:$L,'Raw Data'!$B:$B,$B$2,'Raw Data'!$J:$J,I$2,'Raw Data'!$K:$K,"native",'Raw Data'!$H:$H,"Money Transfers",'Raw Data'!$I:$I,"",'Raw Data'!$M:$M,"JOD")</f>
        <v>483500000</v>
      </c>
      <c r="J51" s="11">
        <f>SUMIFS('Raw Data'!$L:$L,'Raw Data'!$B:$B,$B$2,'Raw Data'!$J:$J,J$2,'Raw Data'!$K:$K,"native",'Raw Data'!$H:$H,"Money Transfers",'Raw Data'!$I:$I,"",'Raw Data'!$M:$M,"JOD")</f>
        <v>422000000</v>
      </c>
      <c r="K51" s="11">
        <f>SUMIFS('Raw Data'!$L:$L,'Raw Data'!$B:$B,$B$2,'Raw Data'!$J:$J,K$2,'Raw Data'!$K:$K,"native",'Raw Data'!$H:$H,"Money Transfers",'Raw Data'!$I:$I,"",'Raw Data'!$M:$M,"JOD")</f>
        <v>487400000</v>
      </c>
      <c r="L51" s="11">
        <f>SUMIFS('Raw Data'!$L:$L,'Raw Data'!$B:$B,$B$2,'Raw Data'!$J:$J,L$2,'Raw Data'!$K:$K,"native",'Raw Data'!$H:$H,"Money Transfers",'Raw Data'!$I:$I,"",'Raw Data'!$M:$M,"JOD")</f>
        <v>459100000</v>
      </c>
      <c r="M51" s="11">
        <f>SUMIFS('Raw Data'!$L:$L,'Raw Data'!$B:$B,$B$2,'Raw Data'!$J:$J,M$2,'Raw Data'!$K:$K,"native",'Raw Data'!$H:$H,"Money Transfers",'Raw Data'!$I:$I,"",'Raw Data'!$M:$M,"JOD")</f>
        <v>483500000</v>
      </c>
      <c r="N51" s="11">
        <f>SUMIFS('Raw Data'!$L:$L,'Raw Data'!$B:$B,$B$2,'Raw Data'!$J:$J,N$2,'Raw Data'!$K:$K,"native",'Raw Data'!$H:$H,"Money Transfers",'Raw Data'!$I:$I,"",'Raw Data'!$M:$M,"JOD")</f>
        <v>490700000</v>
      </c>
      <c r="O51" s="11">
        <f>SUMIFS('Raw Data'!$L:$L,'Raw Data'!$B:$B,$B$2,'Raw Data'!$J:$J,O$2,'Raw Data'!$K:$K,"native",'Raw Data'!$H:$H,"Money Transfers",'Raw Data'!$I:$I,"",'Raw Data'!$M:$M,"JOD")</f>
        <v>464890000</v>
      </c>
      <c r="P51" s="11">
        <f>SUMIFS('Raw Data'!$L:$L,'Raw Data'!$B:$B,$B$2,'Raw Data'!$J:$J,P$2,'Raw Data'!$K:$K,"native",'Raw Data'!$H:$H,"Money Transfers",'Raw Data'!$I:$I,"",'Raw Data'!$M:$M,"JOD")</f>
        <v>445850000</v>
      </c>
      <c r="Q51" s="11">
        <f>SUMIFS('Raw Data'!$L:$L,'Raw Data'!$B:$B,$B$2,'Raw Data'!$J:$J,Q$2,'Raw Data'!$K:$K,"native",'Raw Data'!$H:$H,"Money Transfers",'Raw Data'!$I:$I,"",'Raw Data'!$M:$M,"JOD")</f>
        <v>421980000</v>
      </c>
      <c r="R51" s="11">
        <f>SUMIFS('Raw Data'!$L:$L,'Raw Data'!$B:$B,$B$2,'Raw Data'!$J:$J,R$2,'Raw Data'!$K:$K,"native",'Raw Data'!$H:$H,"Money Transfers",'Raw Data'!$I:$I,"",'Raw Data'!$M:$M,"JOD")</f>
        <v>449560000</v>
      </c>
      <c r="S51" s="11">
        <f>SUMIFS('Raw Data'!$L:$L,'Raw Data'!$B:$B,$B$2,'Raw Data'!$J:$J,S$2,'Raw Data'!$K:$K,"native",'Raw Data'!$H:$H,"Money Transfers",'Raw Data'!$I:$I,"",'Raw Data'!$M:$M,"JOD")</f>
        <v>460720000</v>
      </c>
      <c r="T51" s="11">
        <f>SUMIFS('Raw Data'!$L:$L,'Raw Data'!$B:$B,$B$2,'Raw Data'!$J:$J,T$2,'Raw Data'!$K:$K,"native",'Raw Data'!$H:$H,"Money Transfers",'Raw Data'!$I:$I,"",'Raw Data'!$M:$M,"JOD")</f>
        <v>437180000</v>
      </c>
      <c r="U51" s="11">
        <f>SUMIFS('Raw Data'!$L:$L,'Raw Data'!$B:$B,$B$2,'Raw Data'!$J:$J,U$2,'Raw Data'!$K:$K,"native",'Raw Data'!$H:$H,"Money Transfers",'Raw Data'!$I:$I,"",'Raw Data'!$M:$M,"JOD")</f>
        <v>502750000</v>
      </c>
      <c r="V51" s="11">
        <f>SUMIFS('Raw Data'!$L:$L,'Raw Data'!$B:$B,$B$2,'Raw Data'!$J:$J,V$2,'Raw Data'!$K:$K,"native",'Raw Data'!$H:$H,"Money Transfers",'Raw Data'!$I:$I,"",'Raw Data'!$M:$M,"JOD")</f>
        <v>468440000</v>
      </c>
      <c r="W51" s="11">
        <f>SUMIFS('Raw Data'!$L:$L,'Raw Data'!$B:$B,$B$2,'Raw Data'!$J:$J,W$2,'Raw Data'!$K:$K,"native",'Raw Data'!$H:$H,"Money Transfers",'Raw Data'!$I:$I,"",'Raw Data'!$M:$M,"JOD")</f>
        <v>537120000</v>
      </c>
      <c r="X51" s="11">
        <f>SUMIFS('Raw Data'!$L:$L,'Raw Data'!$B:$B,$B$2,'Raw Data'!$J:$J,X$2,'Raw Data'!$K:$K,"native",'Raw Data'!$H:$H,"Money Transfers",'Raw Data'!$I:$I,"",'Raw Data'!$M:$M,"JOD")</f>
        <v>511980000</v>
      </c>
      <c r="Y51" s="11">
        <f>SUMIFS('Raw Data'!$L:$L,'Raw Data'!$B:$B,$B$2,'Raw Data'!$J:$J,Y$2,'Raw Data'!$K:$K,"native",'Raw Data'!$H:$H,"Money Transfers",'Raw Data'!$I:$I,"",'Raw Data'!$M:$M,"JOD")</f>
        <v>568610000</v>
      </c>
      <c r="Z51" s="11">
        <f>SUMIFS('Raw Data'!$L:$L,'Raw Data'!$B:$B,$B$2,'Raw Data'!$J:$J,Z$2,'Raw Data'!$K:$K,"native",'Raw Data'!$H:$H,"Money Transfers",'Raw Data'!$I:$I,"",'Raw Data'!$M:$M,"JOD")</f>
        <v>582300000</v>
      </c>
    </row>
    <row r="52" spans="1:26" x14ac:dyDescent="0.25">
      <c r="A52" s="10" t="s">
        <v>82</v>
      </c>
      <c r="B52" s="10" t="s">
        <v>84</v>
      </c>
      <c r="C52" s="11">
        <f>SUMIFS('Raw Data'!$L:$L,'Raw Data'!$B:$B,$B$2,'Raw Data'!$J:$J,C$2,'Raw Data'!$K:$K,"native",'Raw Data'!$H:$H,"Purchases",'Raw Data'!$I:$I,"",'Raw Data'!$M:$M,"JOD")</f>
        <v>14800000</v>
      </c>
      <c r="D52" s="11">
        <f>SUMIFS('Raw Data'!$L:$L,'Raw Data'!$B:$B,$B$2,'Raw Data'!$J:$J,D$2,'Raw Data'!$K:$K,"native",'Raw Data'!$H:$H,"Purchases",'Raw Data'!$I:$I,"",'Raw Data'!$M:$M,"JOD")</f>
        <v>15300000</v>
      </c>
      <c r="E52" s="11">
        <f>SUMIFS('Raw Data'!$L:$L,'Raw Data'!$B:$B,$B$2,'Raw Data'!$J:$J,E$2,'Raw Data'!$K:$K,"native",'Raw Data'!$H:$H,"Purchases",'Raw Data'!$I:$I,"",'Raw Data'!$M:$M,"JOD")</f>
        <v>1420000</v>
      </c>
      <c r="F52" s="11">
        <f>SUMIFS('Raw Data'!$L:$L,'Raw Data'!$B:$B,$B$2,'Raw Data'!$J:$J,F$2,'Raw Data'!$K:$K,"native",'Raw Data'!$H:$H,"Purchases",'Raw Data'!$I:$I,"",'Raw Data'!$M:$M,"JOD")</f>
        <v>15500000</v>
      </c>
      <c r="G52" s="11">
        <f>SUMIFS('Raw Data'!$L:$L,'Raw Data'!$B:$B,$B$2,'Raw Data'!$J:$J,G$2,'Raw Data'!$K:$K,"native",'Raw Data'!$H:$H,"Purchases",'Raw Data'!$I:$I,"",'Raw Data'!$M:$M,"JOD")</f>
        <v>5180000</v>
      </c>
      <c r="H52" s="11">
        <f>SUMIFS('Raw Data'!$L:$L,'Raw Data'!$B:$B,$B$2,'Raw Data'!$J:$J,H$2,'Raw Data'!$K:$K,"native",'Raw Data'!$H:$H,"Purchases",'Raw Data'!$I:$I,"",'Raw Data'!$M:$M,"JOD")</f>
        <v>4760000</v>
      </c>
      <c r="I52" s="11">
        <f>SUMIFS('Raw Data'!$L:$L,'Raw Data'!$B:$B,$B$2,'Raw Data'!$J:$J,I$2,'Raw Data'!$K:$K,"native",'Raw Data'!$H:$H,"Purchases",'Raw Data'!$I:$I,"",'Raw Data'!$M:$M,"JOD")</f>
        <v>6400000</v>
      </c>
      <c r="J52" s="11">
        <f>SUMIFS('Raw Data'!$L:$L,'Raw Data'!$B:$B,$B$2,'Raw Data'!$J:$J,J$2,'Raw Data'!$K:$K,"native",'Raw Data'!$H:$H,"Purchases",'Raw Data'!$I:$I,"",'Raw Data'!$M:$M,"JOD")</f>
        <v>6200000</v>
      </c>
      <c r="K52" s="11">
        <f>SUMIFS('Raw Data'!$L:$L,'Raw Data'!$B:$B,$B$2,'Raw Data'!$J:$J,K$2,'Raw Data'!$K:$K,"native",'Raw Data'!$H:$H,"Purchases",'Raw Data'!$I:$I,"",'Raw Data'!$M:$M,"JOD")</f>
        <v>10000000</v>
      </c>
      <c r="L52" s="11">
        <f>SUMIFS('Raw Data'!$L:$L,'Raw Data'!$B:$B,$B$2,'Raw Data'!$J:$J,L$2,'Raw Data'!$K:$K,"native",'Raw Data'!$H:$H,"Purchases",'Raw Data'!$I:$I,"",'Raw Data'!$M:$M,"JOD")</f>
        <v>22100000</v>
      </c>
      <c r="M52" s="11">
        <f>SUMIFS('Raw Data'!$L:$L,'Raw Data'!$B:$B,$B$2,'Raw Data'!$J:$J,M$2,'Raw Data'!$K:$K,"native",'Raw Data'!$H:$H,"Purchases",'Raw Data'!$I:$I,"",'Raw Data'!$M:$M,"JOD")</f>
        <v>6400000</v>
      </c>
      <c r="N52" s="11">
        <f>SUMIFS('Raw Data'!$L:$L,'Raw Data'!$B:$B,$B$2,'Raw Data'!$J:$J,N$2,'Raw Data'!$K:$K,"native",'Raw Data'!$H:$H,"Purchases",'Raw Data'!$I:$I,"",'Raw Data'!$M:$M,"JOD")</f>
        <v>36940000</v>
      </c>
      <c r="O52" s="11">
        <f>SUMIFS('Raw Data'!$L:$L,'Raw Data'!$B:$B,$B$2,'Raw Data'!$J:$J,O$2,'Raw Data'!$K:$K,"native",'Raw Data'!$H:$H,"Purchases",'Raw Data'!$I:$I,"",'Raw Data'!$M:$M,"JOD")</f>
        <v>62300000</v>
      </c>
      <c r="P52" s="11">
        <f>SUMIFS('Raw Data'!$L:$L,'Raw Data'!$B:$B,$B$2,'Raw Data'!$J:$J,P$2,'Raw Data'!$K:$K,"native",'Raw Data'!$H:$H,"Purchases",'Raw Data'!$I:$I,"",'Raw Data'!$M:$M,"JOD")</f>
        <v>94010000</v>
      </c>
      <c r="Q52" s="11">
        <f>SUMIFS('Raw Data'!$L:$L,'Raw Data'!$B:$B,$B$2,'Raw Data'!$J:$J,Q$2,'Raw Data'!$K:$K,"native",'Raw Data'!$H:$H,"Purchases",'Raw Data'!$I:$I,"",'Raw Data'!$M:$M,"JOD")</f>
        <v>90980000</v>
      </c>
      <c r="R52" s="11">
        <f>SUMIFS('Raw Data'!$L:$L,'Raw Data'!$B:$B,$B$2,'Raw Data'!$J:$J,R$2,'Raw Data'!$K:$K,"native",'Raw Data'!$H:$H,"Purchases",'Raw Data'!$I:$I,"",'Raw Data'!$M:$M,"JOD")</f>
        <v>101820000</v>
      </c>
      <c r="S52" s="11">
        <f>SUMIFS('Raw Data'!$L:$L,'Raw Data'!$B:$B,$B$2,'Raw Data'!$J:$J,S$2,'Raw Data'!$K:$K,"native",'Raw Data'!$H:$H,"Purchases",'Raw Data'!$I:$I,"",'Raw Data'!$M:$M,"JOD")</f>
        <v>109610000</v>
      </c>
      <c r="T52" s="11">
        <f>SUMIFS('Raw Data'!$L:$L,'Raw Data'!$B:$B,$B$2,'Raw Data'!$J:$J,T$2,'Raw Data'!$K:$K,"native",'Raw Data'!$H:$H,"Purchases",'Raw Data'!$I:$I,"",'Raw Data'!$M:$M,"JOD")</f>
        <v>103030000</v>
      </c>
      <c r="U52" s="11">
        <f>SUMIFS('Raw Data'!$L:$L,'Raw Data'!$B:$B,$B$2,'Raw Data'!$J:$J,U$2,'Raw Data'!$K:$K,"native",'Raw Data'!$H:$H,"Purchases",'Raw Data'!$I:$I,"",'Raw Data'!$M:$M,"JOD")</f>
        <v>134840000</v>
      </c>
      <c r="V52" s="11">
        <f>SUMIFS('Raw Data'!$L:$L,'Raw Data'!$B:$B,$B$2,'Raw Data'!$J:$J,V$2,'Raw Data'!$K:$K,"native",'Raw Data'!$H:$H,"Purchases",'Raw Data'!$I:$I,"",'Raw Data'!$M:$M,"JOD")</f>
        <v>119920000</v>
      </c>
      <c r="W52" s="11">
        <f>SUMIFS('Raw Data'!$L:$L,'Raw Data'!$B:$B,$B$2,'Raw Data'!$J:$J,W$2,'Raw Data'!$K:$K,"native",'Raw Data'!$H:$H,"Purchases",'Raw Data'!$I:$I,"",'Raw Data'!$M:$M,"JOD")</f>
        <v>147110000</v>
      </c>
      <c r="X52" s="11">
        <f>SUMIFS('Raw Data'!$L:$L,'Raw Data'!$B:$B,$B$2,'Raw Data'!$J:$J,X$2,'Raw Data'!$K:$K,"native",'Raw Data'!$H:$H,"Purchases",'Raw Data'!$I:$I,"",'Raw Data'!$M:$M,"JOD")</f>
        <v>146590000</v>
      </c>
      <c r="Y52" s="11">
        <f>SUMIFS('Raw Data'!$L:$L,'Raw Data'!$B:$B,$B$2,'Raw Data'!$J:$J,Y$2,'Raw Data'!$K:$K,"native",'Raw Data'!$H:$H,"Purchases",'Raw Data'!$I:$I,"",'Raw Data'!$M:$M,"JOD")</f>
        <v>169550000</v>
      </c>
      <c r="Z52" s="11">
        <f>SUMIFS('Raw Data'!$L:$L,'Raw Data'!$B:$B,$B$2,'Raw Data'!$J:$J,Z$2,'Raw Data'!$K:$K,"native",'Raw Data'!$H:$H,"Purchases",'Raw Data'!$I:$I,"",'Raw Data'!$M:$M,"JOD")</f>
        <v>174500000</v>
      </c>
    </row>
    <row r="53" spans="1:26" x14ac:dyDescent="0.25">
      <c r="A53" s="53" t="s">
        <v>85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x14ac:dyDescent="0.25">
      <c r="A54" s="10" t="s">
        <v>82</v>
      </c>
      <c r="B54" s="10" t="s">
        <v>107</v>
      </c>
      <c r="C54" s="12">
        <f>(SUMIFS('Raw Data'!$L:$L,'Raw Data'!$B:$B,$B$2,'Raw Data'!$J:$J,C$2,'Raw Data'!$K:$K,"native",'Raw Data'!$H:$H,"Cash In",'Raw Data'!$I:$I,"ATM/Kiosk",'Raw Data'!$M:$M,"percent",'Raw Data'!$F:$F,"Value*"))/100</f>
        <v>1.7899999999999999E-2</v>
      </c>
      <c r="D54" s="12">
        <f>(SUMIFS('Raw Data'!$L:$L,'Raw Data'!$B:$B,$B$2,'Raw Data'!$J:$J,D$2,'Raw Data'!$K:$K,"native",'Raw Data'!$H:$H,"Cash In",'Raw Data'!$I:$I,"ATM/Kiosk",'Raw Data'!$M:$M,"percent",'Raw Data'!$F:$F,"Value*"))/100</f>
        <v>1.7100000000000001E-2</v>
      </c>
      <c r="E54" s="12">
        <f>(SUMIFS('Raw Data'!$L:$L,'Raw Data'!$B:$B,$B$2,'Raw Data'!$J:$J,E$2,'Raw Data'!$K:$K,"native",'Raw Data'!$H:$H,"Cash In",'Raw Data'!$I:$I,"ATM/Kiosk",'Raw Data'!$M:$M,"percent",'Raw Data'!$F:$F,"Value*"))/100</f>
        <v>1.7000000000000001E-2</v>
      </c>
      <c r="F54" s="12">
        <f>(SUMIFS('Raw Data'!$L:$L,'Raw Data'!$B:$B,$B$2,'Raw Data'!$J:$J,F$2,'Raw Data'!$K:$K,"native",'Raw Data'!$H:$H,"Cash In",'Raw Data'!$I:$I,"ATM/Kiosk",'Raw Data'!$M:$M,"percent",'Raw Data'!$F:$F,"Value*"))/100</f>
        <v>1.5300000000000001E-2</v>
      </c>
      <c r="G54" s="12">
        <f>(SUMIFS('Raw Data'!$L:$L,'Raw Data'!$B:$B,$B$2,'Raw Data'!$J:$J,G$2,'Raw Data'!$K:$K,"native",'Raw Data'!$H:$H,"Cash In",'Raw Data'!$I:$I,"ATM/Kiosk",'Raw Data'!$M:$M,"percent",'Raw Data'!$F:$F,"Value*"))/100</f>
        <v>1.3899999999999999E-2</v>
      </c>
      <c r="H54" s="12">
        <f>(SUMIFS('Raw Data'!$L:$L,'Raw Data'!$B:$B,$B$2,'Raw Data'!$J:$J,H$2,'Raw Data'!$K:$K,"native",'Raw Data'!$H:$H,"Cash In",'Raw Data'!$I:$I,"ATM/Kiosk",'Raw Data'!$M:$M,"percent",'Raw Data'!$F:$F,"Value*"))/100</f>
        <v>1.2800000000000001E-2</v>
      </c>
      <c r="I54" s="12">
        <f>(SUMIFS('Raw Data'!$L:$L,'Raw Data'!$B:$B,$B$2,'Raw Data'!$J:$J,I$2,'Raw Data'!$K:$K,"native",'Raw Data'!$H:$H,"Cash In",'Raw Data'!$I:$I,"ATM/Kiosk",'Raw Data'!$M:$M,"percent",'Raw Data'!$F:$F,"Value*"))/100</f>
        <v>1.7100000000000001E-2</v>
      </c>
      <c r="J54" s="12">
        <f>(SUMIFS('Raw Data'!$L:$L,'Raw Data'!$B:$B,$B$2,'Raw Data'!$J:$J,J$2,'Raw Data'!$K:$K,"native",'Raw Data'!$H:$H,"Cash In",'Raw Data'!$I:$I,"ATM/Kiosk",'Raw Data'!$M:$M,"percent",'Raw Data'!$F:$F,"Value*"))/100</f>
        <v>1.5600000000000001E-2</v>
      </c>
      <c r="K54" s="12">
        <f>(SUMIFS('Raw Data'!$L:$L,'Raw Data'!$B:$B,$B$2,'Raw Data'!$J:$J,K$2,'Raw Data'!$K:$K,"native",'Raw Data'!$H:$H,"Cash In",'Raw Data'!$I:$I,"ATM/Kiosk",'Raw Data'!$M:$M,"percent",'Raw Data'!$F:$F,"Value*"))/100</f>
        <v>1.47E-2</v>
      </c>
      <c r="L54" s="12">
        <f>(SUMIFS('Raw Data'!$L:$L,'Raw Data'!$B:$B,$B$2,'Raw Data'!$J:$J,L$2,'Raw Data'!$K:$K,"native",'Raw Data'!$H:$H,"Cash In",'Raw Data'!$I:$I,"ATM/Kiosk",'Raw Data'!$M:$M,"percent",'Raw Data'!$F:$F,"Value*"))/100</f>
        <v>1.52E-2</v>
      </c>
      <c r="M54" s="12">
        <f>(SUMIFS('Raw Data'!$L:$L,'Raw Data'!$B:$B,$B$2,'Raw Data'!$J:$J,M$2,'Raw Data'!$K:$K,"native",'Raw Data'!$H:$H,"Cash In",'Raw Data'!$I:$I,"ATM/Kiosk",'Raw Data'!$M:$M,"percent",'Raw Data'!$F:$F,"Value*"))/100</f>
        <v>1.38E-2</v>
      </c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>
        <f>(SUMIFS('Raw Data'!$L:$L,'Raw Data'!$B:$B,$B$2,'Raw Data'!$J:$J,Z$2,'Raw Data'!$K:$K,"native",'Raw Data'!$H:$H,"Cash In",'Raw Data'!$I:$I,"ATM/Kiosk",'Raw Data'!$M:$M,"percent",'Raw Data'!$F:$F,"Value*"))/100</f>
        <v>7.8399999999999997E-2</v>
      </c>
    </row>
    <row r="55" spans="1:26" x14ac:dyDescent="0.25">
      <c r="A55" s="10" t="s">
        <v>82</v>
      </c>
      <c r="B55" s="10" t="s">
        <v>108</v>
      </c>
      <c r="C55" s="12">
        <f>(SUMIFS('Raw Data'!$L:$L,'Raw Data'!$B:$B,$B$2,'Raw Data'!$J:$J,C$2,'Raw Data'!$K:$K,"native",'Raw Data'!$H:$H,"Cash In",'Raw Data'!$I:$I,"Agent/Teller",'Raw Data'!$M:$M,"percent",'Raw Data'!$F:$F,"Value*"))/100</f>
        <v>0.98209999999999997</v>
      </c>
      <c r="D55" s="12">
        <f>(SUMIFS('Raw Data'!$L:$L,'Raw Data'!$B:$B,$B$2,'Raw Data'!$J:$J,D$2,'Raw Data'!$K:$K,"native",'Raw Data'!$H:$H,"Cash In",'Raw Data'!$I:$I,"Agent/Teller",'Raw Data'!$M:$M,"percent",'Raw Data'!$F:$F,"Value*"))/100</f>
        <v>0.98290000000000011</v>
      </c>
      <c r="E55" s="12">
        <f>(SUMIFS('Raw Data'!$L:$L,'Raw Data'!$B:$B,$B$2,'Raw Data'!$J:$J,E$2,'Raw Data'!$K:$K,"native",'Raw Data'!$H:$H,"Cash In",'Raw Data'!$I:$I,"Agent/Teller",'Raw Data'!$M:$M,"percent",'Raw Data'!$F:$F,"Value*"))/100</f>
        <v>0.98299999999999998</v>
      </c>
      <c r="F55" s="12">
        <f>(SUMIFS('Raw Data'!$L:$L,'Raw Data'!$B:$B,$B$2,'Raw Data'!$J:$J,F$2,'Raw Data'!$K:$K,"native",'Raw Data'!$H:$H,"Cash In",'Raw Data'!$I:$I,"Agent/Teller",'Raw Data'!$M:$M,"percent",'Raw Data'!$F:$F,"Value*"))/100</f>
        <v>0.98470000000000002</v>
      </c>
      <c r="G55" s="12">
        <f>(SUMIFS('Raw Data'!$L:$L,'Raw Data'!$B:$B,$B$2,'Raw Data'!$J:$J,G$2,'Raw Data'!$K:$K,"native",'Raw Data'!$H:$H,"Cash In",'Raw Data'!$I:$I,"Agent/Teller",'Raw Data'!$M:$M,"percent",'Raw Data'!$F:$F,"Value*"))/100</f>
        <v>0.98609999999999998</v>
      </c>
      <c r="H55" s="12">
        <f>(SUMIFS('Raw Data'!$L:$L,'Raw Data'!$B:$B,$B$2,'Raw Data'!$J:$J,H$2,'Raw Data'!$K:$K,"native",'Raw Data'!$H:$H,"Cash In",'Raw Data'!$I:$I,"Agent/Teller",'Raw Data'!$M:$M,"percent",'Raw Data'!$F:$F,"Value*"))/100</f>
        <v>0.98719999999999997</v>
      </c>
      <c r="I55" s="12">
        <f>(SUMIFS('Raw Data'!$L:$L,'Raw Data'!$B:$B,$B$2,'Raw Data'!$J:$J,I$2,'Raw Data'!$K:$K,"native",'Raw Data'!$H:$H,"Cash In",'Raw Data'!$I:$I,"Agent/Teller",'Raw Data'!$M:$M,"percent",'Raw Data'!$F:$F,"Value*"))/100</f>
        <v>0.98290000000000011</v>
      </c>
      <c r="J55" s="12">
        <f>(SUMIFS('Raw Data'!$L:$L,'Raw Data'!$B:$B,$B$2,'Raw Data'!$J:$J,J$2,'Raw Data'!$K:$K,"native",'Raw Data'!$H:$H,"Cash In",'Raw Data'!$I:$I,"Agent/Teller",'Raw Data'!$M:$M,"percent",'Raw Data'!$F:$F,"Value*"))/100</f>
        <v>0.98439999999999994</v>
      </c>
      <c r="K55" s="12">
        <f>(SUMIFS('Raw Data'!$L:$L,'Raw Data'!$B:$B,$B$2,'Raw Data'!$J:$J,K$2,'Raw Data'!$K:$K,"native",'Raw Data'!$H:$H,"Cash In",'Raw Data'!$I:$I,"Agent/Teller",'Raw Data'!$M:$M,"percent",'Raw Data'!$F:$F,"Value*"))/100</f>
        <v>0.98530000000000006</v>
      </c>
      <c r="L55" s="12">
        <f>(SUMIFS('Raw Data'!$L:$L,'Raw Data'!$B:$B,$B$2,'Raw Data'!$J:$J,L$2,'Raw Data'!$K:$K,"native",'Raw Data'!$H:$H,"Cash In",'Raw Data'!$I:$I,"Agent/Teller",'Raw Data'!$M:$M,"percent",'Raw Data'!$F:$F,"Value*"))/100</f>
        <v>0.98480000000000001</v>
      </c>
      <c r="M55" s="12">
        <f>(SUMIFS('Raw Data'!$L:$L,'Raw Data'!$B:$B,$B$2,'Raw Data'!$J:$J,M$2,'Raw Data'!$K:$K,"native",'Raw Data'!$H:$H,"Cash In",'Raw Data'!$I:$I,"Agent/Teller",'Raw Data'!$M:$M,"percent",'Raw Data'!$F:$F,"Value*"))/100</f>
        <v>0.98620000000000008</v>
      </c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>
        <f>(SUMIFS('Raw Data'!$L:$L,'Raw Data'!$B:$B,$B$2,'Raw Data'!$J:$J,Z$2,'Raw Data'!$K:$K,"native",'Raw Data'!$H:$H,"Cash In",'Raw Data'!$I:$I,"Agent/Teller",'Raw Data'!$M:$M,"percent",'Raw Data'!$F:$F,"Value*"))/100</f>
        <v>0.92159999999999997</v>
      </c>
    </row>
    <row r="56" spans="1:26" x14ac:dyDescent="0.25">
      <c r="A56" s="10" t="s">
        <v>82</v>
      </c>
      <c r="B56" s="10" t="s">
        <v>109</v>
      </c>
      <c r="C56" s="12">
        <f>(SUMIFS('Raw Data'!$L:$L,'Raw Data'!$B:$B,$B$2,'Raw Data'!$J:$J,C$2,'Raw Data'!$K:$K,"native",'Raw Data'!$H:$H,"Cash Out",'Raw Data'!$I:$I,"ATM/Kiosk",'Raw Data'!$M:$M,"percent",'Raw Data'!$F:$F,"Value*"))/100</f>
        <v>7.7699999999999991E-2</v>
      </c>
      <c r="D56" s="12">
        <f>(SUMIFS('Raw Data'!$L:$L,'Raw Data'!$B:$B,$B$2,'Raw Data'!$J:$J,D$2,'Raw Data'!$K:$K,"native",'Raw Data'!$H:$H,"Cash Out",'Raw Data'!$I:$I,"ATM/Kiosk",'Raw Data'!$M:$M,"percent",'Raw Data'!$F:$F,"Value*"))/100</f>
        <v>7.4800000000000005E-2</v>
      </c>
      <c r="E56" s="12">
        <f>(SUMIFS('Raw Data'!$L:$L,'Raw Data'!$B:$B,$B$2,'Raw Data'!$J:$J,E$2,'Raw Data'!$K:$K,"native",'Raw Data'!$H:$H,"Cash Out",'Raw Data'!$I:$I,"ATM/Kiosk",'Raw Data'!$M:$M,"percent",'Raw Data'!$F:$F,"Value*"))/100</f>
        <v>8.3900000000000002E-2</v>
      </c>
      <c r="F56" s="12">
        <f>(SUMIFS('Raw Data'!$L:$L,'Raw Data'!$B:$B,$B$2,'Raw Data'!$J:$J,F$2,'Raw Data'!$K:$K,"native",'Raw Data'!$H:$H,"Cash Out",'Raw Data'!$I:$I,"ATM/Kiosk",'Raw Data'!$M:$M,"percent",'Raw Data'!$F:$F,"Value*"))/100</f>
        <v>8.2599999999999993E-2</v>
      </c>
      <c r="G56" s="12">
        <f>(SUMIFS('Raw Data'!$L:$L,'Raw Data'!$B:$B,$B$2,'Raw Data'!$J:$J,G$2,'Raw Data'!$K:$K,"native",'Raw Data'!$H:$H,"Cash Out",'Raw Data'!$I:$I,"ATM/Kiosk",'Raw Data'!$M:$M,"percent",'Raw Data'!$F:$F,"Value*"))/100</f>
        <v>7.690000000000001E-2</v>
      </c>
      <c r="H56" s="12">
        <f>(SUMIFS('Raw Data'!$L:$L,'Raw Data'!$B:$B,$B$2,'Raw Data'!$J:$J,H$2,'Raw Data'!$K:$K,"native",'Raw Data'!$H:$H,"Cash Out",'Raw Data'!$I:$I,"ATM/Kiosk",'Raw Data'!$M:$M,"percent",'Raw Data'!$F:$F,"Value*"))/100</f>
        <v>7.0499999999999993E-2</v>
      </c>
      <c r="I56" s="12">
        <f>(SUMIFS('Raw Data'!$L:$L,'Raw Data'!$B:$B,$B$2,'Raw Data'!$J:$J,I$2,'Raw Data'!$K:$K,"native",'Raw Data'!$H:$H,"Cash Out",'Raw Data'!$I:$I,"ATM/Kiosk",'Raw Data'!$M:$M,"percent",'Raw Data'!$F:$F,"Value*"))/100</f>
        <v>7.5199999999999989E-2</v>
      </c>
      <c r="J56" s="12">
        <f>(SUMIFS('Raw Data'!$L:$L,'Raw Data'!$B:$B,$B$2,'Raw Data'!$J:$J,J$2,'Raw Data'!$K:$K,"native",'Raw Data'!$H:$H,"Cash Out",'Raw Data'!$I:$I,"ATM/Kiosk",'Raw Data'!$M:$M,"percent",'Raw Data'!$F:$F,"Value*"))/100</f>
        <v>6.8499999999999991E-2</v>
      </c>
      <c r="K56" s="12">
        <f>(SUMIFS('Raw Data'!$L:$L,'Raw Data'!$B:$B,$B$2,'Raw Data'!$J:$J,K$2,'Raw Data'!$K:$K,"native",'Raw Data'!$H:$H,"Cash Out",'Raw Data'!$I:$I,"ATM/Kiosk",'Raw Data'!$M:$M,"percent",'Raw Data'!$F:$F,"Value*"))/100</f>
        <v>6.8000000000000005E-2</v>
      </c>
      <c r="L56" s="12">
        <f>(SUMIFS('Raw Data'!$L:$L,'Raw Data'!$B:$B,$B$2,'Raw Data'!$J:$J,L$2,'Raw Data'!$K:$K,"native",'Raw Data'!$H:$H,"Cash Out",'Raw Data'!$I:$I,"ATM/Kiosk",'Raw Data'!$M:$M,"percent",'Raw Data'!$F:$F,"Value*"))/100</f>
        <v>7.2599999999999998E-2</v>
      </c>
      <c r="M56" s="12">
        <f>(SUMIFS('Raw Data'!$L:$L,'Raw Data'!$B:$B,$B$2,'Raw Data'!$J:$J,M$2,'Raw Data'!$K:$K,"native",'Raw Data'!$H:$H,"Cash Out",'Raw Data'!$I:$I,"ATM/Kiosk",'Raw Data'!$M:$M,"percent",'Raw Data'!$F:$F,"Value*"))/100</f>
        <v>6.54E-2</v>
      </c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>
        <f>(SUMIFS('Raw Data'!$L:$L,'Raw Data'!$B:$B,$B$2,'Raw Data'!$J:$J,Z$2,'Raw Data'!$K:$K,"native",'Raw Data'!$H:$H,"Cash Out",'Raw Data'!$I:$I,"ATM/Kiosk",'Raw Data'!$M:$M,"percent",'Raw Data'!$F:$F,"Value*"))/100</f>
        <v>0.192</v>
      </c>
    </row>
    <row r="57" spans="1:26" x14ac:dyDescent="0.25">
      <c r="A57" s="10" t="s">
        <v>82</v>
      </c>
      <c r="B57" s="10" t="s">
        <v>110</v>
      </c>
      <c r="C57" s="12">
        <f>(SUMIFS('Raw Data'!$L:$L,'Raw Data'!$B:$B,$B$2,'Raw Data'!$J:$J,C$2,'Raw Data'!$K:$K,"native",'Raw Data'!$H:$H,"Cash Out",'Raw Data'!$I:$I,"Agent/Teller",'Raw Data'!$M:$M,"percent",'Raw Data'!$F:$F,"Value*"))/100</f>
        <v>0.92230000000000001</v>
      </c>
      <c r="D57" s="12">
        <f>(SUMIFS('Raw Data'!$L:$L,'Raw Data'!$B:$B,$B$2,'Raw Data'!$J:$J,D$2,'Raw Data'!$K:$K,"native",'Raw Data'!$H:$H,"Cash Out",'Raw Data'!$I:$I,"Agent/Teller",'Raw Data'!$M:$M,"percent",'Raw Data'!$F:$F,"Value*"))/100</f>
        <v>0.92519999999999991</v>
      </c>
      <c r="E57" s="12">
        <f>(SUMIFS('Raw Data'!$L:$L,'Raw Data'!$B:$B,$B$2,'Raw Data'!$J:$J,E$2,'Raw Data'!$K:$K,"native",'Raw Data'!$H:$H,"Cash Out",'Raw Data'!$I:$I,"Agent/Teller",'Raw Data'!$M:$M,"percent",'Raw Data'!$F:$F,"Value*"))/100</f>
        <v>0.91610000000000003</v>
      </c>
      <c r="F57" s="12">
        <f>(SUMIFS('Raw Data'!$L:$L,'Raw Data'!$B:$B,$B$2,'Raw Data'!$J:$J,F$2,'Raw Data'!$K:$K,"native",'Raw Data'!$H:$H,"Cash Out",'Raw Data'!$I:$I,"Agent/Teller",'Raw Data'!$M:$M,"percent",'Raw Data'!$F:$F,"Value*"))/100</f>
        <v>0.91739999999999999</v>
      </c>
      <c r="G57" s="12">
        <f>(SUMIFS('Raw Data'!$L:$L,'Raw Data'!$B:$B,$B$2,'Raw Data'!$J:$J,G$2,'Raw Data'!$K:$K,"native",'Raw Data'!$H:$H,"Cash Out",'Raw Data'!$I:$I,"Agent/Teller",'Raw Data'!$M:$M,"percent",'Raw Data'!$F:$F,"Value*"))/100</f>
        <v>0.92310000000000003</v>
      </c>
      <c r="H57" s="12">
        <f>(SUMIFS('Raw Data'!$L:$L,'Raw Data'!$B:$B,$B$2,'Raw Data'!$J:$J,H$2,'Raw Data'!$K:$K,"native",'Raw Data'!$H:$H,"Cash Out",'Raw Data'!$I:$I,"Agent/Teller",'Raw Data'!$M:$M,"percent",'Raw Data'!$F:$F,"Value*"))/100</f>
        <v>0.92949999999999999</v>
      </c>
      <c r="I57" s="12">
        <f>(SUMIFS('Raw Data'!$L:$L,'Raw Data'!$B:$B,$B$2,'Raw Data'!$J:$J,I$2,'Raw Data'!$K:$K,"native",'Raw Data'!$H:$H,"Cash Out",'Raw Data'!$I:$I,"Agent/Teller",'Raw Data'!$M:$M,"percent",'Raw Data'!$F:$F,"Value*"))/100</f>
        <v>0.92480000000000007</v>
      </c>
      <c r="J57" s="12">
        <f>(SUMIFS('Raw Data'!$L:$L,'Raw Data'!$B:$B,$B$2,'Raw Data'!$J:$J,J$2,'Raw Data'!$K:$K,"native",'Raw Data'!$H:$H,"Cash Out",'Raw Data'!$I:$I,"Agent/Teller",'Raw Data'!$M:$M,"percent",'Raw Data'!$F:$F,"Value*"))/100</f>
        <v>0.93150000000000011</v>
      </c>
      <c r="K57" s="12">
        <f>(SUMIFS('Raw Data'!$L:$L,'Raw Data'!$B:$B,$B$2,'Raw Data'!$J:$J,K$2,'Raw Data'!$K:$K,"native",'Raw Data'!$H:$H,"Cash Out",'Raw Data'!$I:$I,"Agent/Teller",'Raw Data'!$M:$M,"percent",'Raw Data'!$F:$F,"Value*"))/100</f>
        <v>0.93200000000000005</v>
      </c>
      <c r="L57" s="12">
        <f>(SUMIFS('Raw Data'!$L:$L,'Raw Data'!$B:$B,$B$2,'Raw Data'!$J:$J,L$2,'Raw Data'!$K:$K,"native",'Raw Data'!$H:$H,"Cash Out",'Raw Data'!$I:$I,"Agent/Teller",'Raw Data'!$M:$M,"percent",'Raw Data'!$F:$F,"Value*"))/100</f>
        <v>0.9274</v>
      </c>
      <c r="M57" s="12">
        <f>(SUMIFS('Raw Data'!$L:$L,'Raw Data'!$B:$B,$B$2,'Raw Data'!$J:$J,M$2,'Raw Data'!$K:$K,"native",'Raw Data'!$H:$H,"Cash Out",'Raw Data'!$I:$I,"Agent/Teller",'Raw Data'!$M:$M,"percent",'Raw Data'!$F:$F,"Value*"))/100</f>
        <v>0.93459999999999999</v>
      </c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>
        <f>(SUMIFS('Raw Data'!$L:$L,'Raw Data'!$B:$B,$B$2,'Raw Data'!$J:$J,Z$2,'Raw Data'!$K:$K,"native",'Raw Data'!$H:$H,"Cash Out",'Raw Data'!$I:$I,"Agent/Teller",'Raw Data'!$M:$M,"percent",'Raw Data'!$F:$F,"Value*"))/100</f>
        <v>0.80799999999999994</v>
      </c>
    </row>
    <row r="58" spans="1:26" x14ac:dyDescent="0.25">
      <c r="A58" s="10" t="s">
        <v>82</v>
      </c>
      <c r="B58" s="10" t="s">
        <v>111</v>
      </c>
      <c r="C58" s="12">
        <f>(SUMIFS('Raw Data'!$L:$L,'Raw Data'!$B:$B,$B$2,'Raw Data'!$J:$J,C$2,'Raw Data'!$K:$K,"native",'Raw Data'!$H:$H,"Money Transfers",'Raw Data'!$I:$I,"Aid/Charity/Grant",'Raw Data'!$M:$M,"percent",'Raw Data'!$F:$F,"Value*"))/100</f>
        <v>4.5700000000000005E-2</v>
      </c>
      <c r="D58" s="12">
        <f>(SUMIFS('Raw Data'!$L:$L,'Raw Data'!$B:$B,$B$2,'Raw Data'!$J:$J,D$2,'Raw Data'!$K:$K,"native",'Raw Data'!$H:$H,"Money Transfers",'Raw Data'!$I:$I,"Aid/Charity/Grant",'Raw Data'!$M:$M,"percent",'Raw Data'!$F:$F,"Value*"))/100</f>
        <v>4.0599999999999997E-2</v>
      </c>
      <c r="E58" s="12">
        <f>(SUMIFS('Raw Data'!$L:$L,'Raw Data'!$B:$B,$B$2,'Raw Data'!$J:$J,E$2,'Raw Data'!$K:$K,"native",'Raw Data'!$H:$H,"Money Transfers",'Raw Data'!$I:$I,"Aid/Charity/Grant",'Raw Data'!$M:$M,"percent",'Raw Data'!$F:$F,"Value*"))/100</f>
        <v>4.3700000000000003E-2</v>
      </c>
      <c r="F58" s="12">
        <f>(SUMIFS('Raw Data'!$L:$L,'Raw Data'!$B:$B,$B$2,'Raw Data'!$J:$J,F$2,'Raw Data'!$K:$K,"native",'Raw Data'!$H:$H,"Money Transfers",'Raw Data'!$I:$I,"Aid/Charity/Grant",'Raw Data'!$M:$M,"percent",'Raw Data'!$F:$F,"Value*"))/100</f>
        <v>4.9400000000000006E-2</v>
      </c>
      <c r="G58" s="12">
        <f>(SUMIFS('Raw Data'!$L:$L,'Raw Data'!$B:$B,$B$2,'Raw Data'!$J:$J,G$2,'Raw Data'!$K:$K,"native",'Raw Data'!$H:$H,"Money Transfers",'Raw Data'!$I:$I,"Aid/Charity/Grant",'Raw Data'!$M:$M,"percent",'Raw Data'!$F:$F,"Value*"))/100</f>
        <v>3.7999999999999999E-2</v>
      </c>
      <c r="H58" s="12">
        <f>(SUMIFS('Raw Data'!$L:$L,'Raw Data'!$B:$B,$B$2,'Raw Data'!$J:$J,H$2,'Raw Data'!$K:$K,"native",'Raw Data'!$H:$H,"Money Transfers",'Raw Data'!$I:$I,"Aid/Charity/Grant",'Raw Data'!$M:$M,"percent",'Raw Data'!$F:$F,"Value*"))/100</f>
        <v>4.0500000000000001E-2</v>
      </c>
      <c r="I58" s="12">
        <f>(SUMIFS('Raw Data'!$L:$L,'Raw Data'!$B:$B,$B$2,'Raw Data'!$J:$J,I$2,'Raw Data'!$K:$K,"native",'Raw Data'!$H:$H,"Money Transfers",'Raw Data'!$I:$I,"Aid/Charity/Grant",'Raw Data'!$M:$M,"percent",'Raw Data'!$F:$F,"Value*"))/100</f>
        <v>5.21E-2</v>
      </c>
      <c r="J58" s="12">
        <f>(SUMIFS('Raw Data'!$L:$L,'Raw Data'!$B:$B,$B$2,'Raw Data'!$J:$J,J$2,'Raw Data'!$K:$K,"native",'Raw Data'!$H:$H,"Money Transfers",'Raw Data'!$I:$I,"Aid/Charity/Grant",'Raw Data'!$M:$M,"percent",'Raw Data'!$F:$F,"Value*"))/100</f>
        <v>3.2099999999999997E-2</v>
      </c>
      <c r="K58" s="12">
        <f>(SUMIFS('Raw Data'!$L:$L,'Raw Data'!$B:$B,$B$2,'Raw Data'!$J:$J,K$2,'Raw Data'!$K:$K,"native",'Raw Data'!$H:$H,"Money Transfers",'Raw Data'!$I:$I,"Aid/Charity/Grant",'Raw Data'!$M:$M,"percent",'Raw Data'!$F:$F,"Value*"))/100</f>
        <v>3.5099999999999999E-2</v>
      </c>
      <c r="L58" s="12">
        <f>(SUMIFS('Raw Data'!$L:$L,'Raw Data'!$B:$B,$B$2,'Raw Data'!$J:$J,L$2,'Raw Data'!$K:$K,"native",'Raw Data'!$H:$H,"Money Transfers",'Raw Data'!$I:$I,"Aid/Charity/Grant",'Raw Data'!$M:$M,"percent",'Raw Data'!$F:$F,"Value*"))/100</f>
        <v>3.7000000000000005E-2</v>
      </c>
      <c r="M58" s="12">
        <f>(SUMIFS('Raw Data'!$L:$L,'Raw Data'!$B:$B,$B$2,'Raw Data'!$J:$J,M$2,'Raw Data'!$K:$K,"native",'Raw Data'!$H:$H,"Money Transfers",'Raw Data'!$I:$I,"Aid/Charity/Grant",'Raw Data'!$M:$M,"percent",'Raw Data'!$F:$F,"Value*"))/100</f>
        <v>2.7300000000000001E-2</v>
      </c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>
        <f>(SUMIFS('Raw Data'!$L:$L,'Raw Data'!$B:$B,$B$2,'Raw Data'!$J:$J,Z$2,'Raw Data'!$K:$K,"native",'Raw Data'!$H:$H,"Money Transfers",'Raw Data'!$I:$I,"Aid/Charity/Grant",'Raw Data'!$M:$M,"percent",'Raw Data'!$F:$F,"Value*"))/100</f>
        <v>3.6200000000000003E-2</v>
      </c>
    </row>
    <row r="59" spans="1:26" x14ac:dyDescent="0.25">
      <c r="A59" s="10" t="s">
        <v>82</v>
      </c>
      <c r="B59" s="10" t="s">
        <v>112</v>
      </c>
      <c r="C59" s="12">
        <f>(SUMIFS('Raw Data'!$L:$L,'Raw Data'!$B:$B,$B$2,'Raw Data'!$J:$J,C$2,'Raw Data'!$K:$K,"native",'Raw Data'!$H:$H,"Money Transfers",'Raw Data'!$I:$I,"Cross Border Remittances",'Raw Data'!$M:$M,"percent",'Raw Data'!$F:$F,"Value*"))/100</f>
        <v>2.9999999999999997E-4</v>
      </c>
      <c r="D59" s="12">
        <f>(SUMIFS('Raw Data'!$L:$L,'Raw Data'!$B:$B,$B$2,'Raw Data'!$J:$J,D$2,'Raw Data'!$K:$K,"native",'Raw Data'!$H:$H,"Money Transfers",'Raw Data'!$I:$I,"Cross Border Remittances",'Raw Data'!$M:$M,"percent",'Raw Data'!$F:$F,"Value*"))/100</f>
        <v>2.0000000000000001E-4</v>
      </c>
      <c r="E59" s="12">
        <f>(SUMIFS('Raw Data'!$L:$L,'Raw Data'!$B:$B,$B$2,'Raw Data'!$J:$J,E$2,'Raw Data'!$K:$K,"native",'Raw Data'!$H:$H,"Money Transfers",'Raw Data'!$I:$I,"Cross Border Remittances",'Raw Data'!$M:$M,"percent",'Raw Data'!$F:$F,"Value*"))/100</f>
        <v>4.0000000000000002E-4</v>
      </c>
      <c r="F59" s="12">
        <f>(SUMIFS('Raw Data'!$L:$L,'Raw Data'!$B:$B,$B$2,'Raw Data'!$J:$J,F$2,'Raw Data'!$K:$K,"native",'Raw Data'!$H:$H,"Money Transfers",'Raw Data'!$I:$I,"Cross Border Remittances",'Raw Data'!$M:$M,"percent",'Raw Data'!$F:$F,"Value*"))/100</f>
        <v>4.0000000000000002E-4</v>
      </c>
      <c r="G59" s="12">
        <f>(SUMIFS('Raw Data'!$L:$L,'Raw Data'!$B:$B,$B$2,'Raw Data'!$J:$J,G$2,'Raw Data'!$K:$K,"native",'Raw Data'!$H:$H,"Money Transfers",'Raw Data'!$I:$I,"Cross Border Remittances",'Raw Data'!$M:$M,"percent",'Raw Data'!$F:$F,"Value*"))/100</f>
        <v>1E-4</v>
      </c>
      <c r="H59" s="12">
        <f>(SUMIFS('Raw Data'!$L:$L,'Raw Data'!$B:$B,$B$2,'Raw Data'!$J:$J,H$2,'Raw Data'!$K:$K,"native",'Raw Data'!$H:$H,"Money Transfers",'Raw Data'!$I:$I,"Cross Border Remittances",'Raw Data'!$M:$M,"percent",'Raw Data'!$F:$F,"Value*"))/100</f>
        <v>0</v>
      </c>
      <c r="I59" s="12">
        <f>(SUMIFS('Raw Data'!$L:$L,'Raw Data'!$B:$B,$B$2,'Raw Data'!$J:$J,I$2,'Raw Data'!$K:$K,"native",'Raw Data'!$H:$H,"Money Transfers",'Raw Data'!$I:$I,"Cross Border Remittances",'Raw Data'!$M:$M,"percent",'Raw Data'!$F:$F,"Value*"))/100</f>
        <v>0</v>
      </c>
      <c r="J59" s="12">
        <f>(SUMIFS('Raw Data'!$L:$L,'Raw Data'!$B:$B,$B$2,'Raw Data'!$J:$J,J$2,'Raw Data'!$K:$K,"native",'Raw Data'!$H:$H,"Money Transfers",'Raw Data'!$I:$I,"Cross Border Remittances",'Raw Data'!$M:$M,"percent",'Raw Data'!$F:$F,"Value*"))/100</f>
        <v>0</v>
      </c>
      <c r="K59" s="12">
        <f>(SUMIFS('Raw Data'!$L:$L,'Raw Data'!$B:$B,$B$2,'Raw Data'!$J:$J,K$2,'Raw Data'!$K:$K,"native",'Raw Data'!$H:$H,"Money Transfers",'Raw Data'!$I:$I,"Cross Border Remittances",'Raw Data'!$M:$M,"percent",'Raw Data'!$F:$F,"Value*"))/100</f>
        <v>0</v>
      </c>
      <c r="L59" s="12">
        <f>(SUMIFS('Raw Data'!$L:$L,'Raw Data'!$B:$B,$B$2,'Raw Data'!$J:$J,L$2,'Raw Data'!$K:$K,"native",'Raw Data'!$H:$H,"Money Transfers",'Raw Data'!$I:$I,"Cross Border Remittances",'Raw Data'!$M:$M,"percent",'Raw Data'!$F:$F,"Value*"))/100</f>
        <v>0</v>
      </c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x14ac:dyDescent="0.25">
      <c r="A60" s="10" t="s">
        <v>82</v>
      </c>
      <c r="B60" s="10" t="s">
        <v>113</v>
      </c>
      <c r="C60" s="12">
        <f>(SUMIFS('Raw Data'!$L:$L,'Raw Data'!$B:$B,$B$2,'Raw Data'!$J:$J,C$2,'Raw Data'!$K:$K,"native",'Raw Data'!$H:$H,"Money Transfers",'Raw Data'!$I:$I,"Loan/Loan Installment",'Raw Data'!$M:$M,"percent",'Raw Data'!$F:$F,"Value*"))/100</f>
        <v>2.9600000000000001E-2</v>
      </c>
      <c r="D60" s="12">
        <f>(SUMIFS('Raw Data'!$L:$L,'Raw Data'!$B:$B,$B$2,'Raw Data'!$J:$J,D$2,'Raw Data'!$K:$K,"native",'Raw Data'!$H:$H,"Money Transfers",'Raw Data'!$I:$I,"Loan/Loan Installment",'Raw Data'!$M:$M,"percent",'Raw Data'!$F:$F,"Value*"))/100</f>
        <v>3.0699999999999998E-2</v>
      </c>
      <c r="E60" s="12">
        <f>(SUMIFS('Raw Data'!$L:$L,'Raw Data'!$B:$B,$B$2,'Raw Data'!$J:$J,E$2,'Raw Data'!$K:$K,"native",'Raw Data'!$H:$H,"Money Transfers",'Raw Data'!$I:$I,"Loan/Loan Installment",'Raw Data'!$M:$M,"percent",'Raw Data'!$F:$F,"Value*"))/100</f>
        <v>2.75E-2</v>
      </c>
      <c r="F60" s="12">
        <f>(SUMIFS('Raw Data'!$L:$L,'Raw Data'!$B:$B,$B$2,'Raw Data'!$J:$J,F$2,'Raw Data'!$K:$K,"native",'Raw Data'!$H:$H,"Money Transfers",'Raw Data'!$I:$I,"Loan/Loan Installment",'Raw Data'!$M:$M,"percent",'Raw Data'!$F:$F,"Value*"))/100</f>
        <v>2.5399999999999999E-2</v>
      </c>
      <c r="G60" s="12">
        <f>(SUMIFS('Raw Data'!$L:$L,'Raw Data'!$B:$B,$B$2,'Raw Data'!$J:$J,G$2,'Raw Data'!$K:$K,"native",'Raw Data'!$H:$H,"Money Transfers",'Raw Data'!$I:$I,"Loan/Loan Installment",'Raw Data'!$M:$M,"percent",'Raw Data'!$F:$F,"Value*"))/100</f>
        <v>2.4700000000000003E-2</v>
      </c>
      <c r="H60" s="12">
        <f>(SUMIFS('Raw Data'!$L:$L,'Raw Data'!$B:$B,$B$2,'Raw Data'!$J:$J,H$2,'Raw Data'!$K:$K,"native",'Raw Data'!$H:$H,"Money Transfers",'Raw Data'!$I:$I,"Loan/Loan Installment",'Raw Data'!$M:$M,"percent",'Raw Data'!$F:$F,"Value*"))/100</f>
        <v>2.5600000000000001E-2</v>
      </c>
      <c r="I60" s="12">
        <f>(SUMIFS('Raw Data'!$L:$L,'Raw Data'!$B:$B,$B$2,'Raw Data'!$J:$J,I$2,'Raw Data'!$K:$K,"native",'Raw Data'!$H:$H,"Money Transfers",'Raw Data'!$I:$I,"Loan/Loan Installment",'Raw Data'!$M:$M,"percent",'Raw Data'!$F:$F,"Value*"))/100</f>
        <v>1.8000000000000002E-2</v>
      </c>
      <c r="J60" s="12">
        <f>(SUMIFS('Raw Data'!$L:$L,'Raw Data'!$B:$B,$B$2,'Raw Data'!$J:$J,J$2,'Raw Data'!$K:$K,"native",'Raw Data'!$H:$H,"Money Transfers",'Raw Data'!$I:$I,"Loan/Loan Installment",'Raw Data'!$M:$M,"percent",'Raw Data'!$F:$F,"Value*"))/100</f>
        <v>2.1499999999999998E-2</v>
      </c>
      <c r="K60" s="12">
        <f>(SUMIFS('Raw Data'!$L:$L,'Raw Data'!$B:$B,$B$2,'Raw Data'!$J:$J,K$2,'Raw Data'!$K:$K,"native",'Raw Data'!$H:$H,"Money Transfers",'Raw Data'!$I:$I,"Loan/Loan Installment",'Raw Data'!$M:$M,"percent",'Raw Data'!$F:$F,"Value*"))/100</f>
        <v>2.1499999999999998E-2</v>
      </c>
      <c r="L60" s="12">
        <f>(SUMIFS('Raw Data'!$L:$L,'Raw Data'!$B:$B,$B$2,'Raw Data'!$J:$J,L$2,'Raw Data'!$K:$K,"native",'Raw Data'!$H:$H,"Money Transfers",'Raw Data'!$I:$I,"Loan/Loan Installment",'Raw Data'!$M:$M,"percent",'Raw Data'!$F:$F,"Value*"))/100</f>
        <v>8.8000000000000005E-3</v>
      </c>
      <c r="M60" s="12">
        <f>(SUMIFS('Raw Data'!$L:$L,'Raw Data'!$B:$B,$B$2,'Raw Data'!$J:$J,M$2,'Raw Data'!$K:$K,"native",'Raw Data'!$H:$H,"Money Transfers",'Raw Data'!$I:$I,"Loan/Loan Installment",'Raw Data'!$M:$M,"percent",'Raw Data'!$F:$F,"Value*"))/100</f>
        <v>7.000000000000001E-4</v>
      </c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>
        <f>(SUMIFS('Raw Data'!$L:$L,'Raw Data'!$B:$B,$B$2,'Raw Data'!$J:$J,Z$2,'Raw Data'!$K:$K,"native",'Raw Data'!$H:$H,"Money Transfers",'Raw Data'!$I:$I,"Loan/Loan Installment",'Raw Data'!$M:$M,"percent",'Raw Data'!$F:$F,"Value*"))/100</f>
        <v>2.9999999999999997E-4</v>
      </c>
    </row>
    <row r="61" spans="1:26" x14ac:dyDescent="0.25">
      <c r="A61" s="10" t="s">
        <v>82</v>
      </c>
      <c r="B61" s="10" t="s">
        <v>114</v>
      </c>
      <c r="C61" s="12">
        <f>(SUMIFS('Raw Data'!$L:$L,'Raw Data'!$B:$B,$B$2,'Raw Data'!$J:$J,C$2,'Raw Data'!$K:$K,"native",'Raw Data'!$H:$H,"Money Transfers",'Raw Data'!$I:$I,"Salary/Bonus/Dividends",'Raw Data'!$M:$M,"percent",'Raw Data'!$F:$F,"Value*"))/100</f>
        <v>4.7500000000000001E-2</v>
      </c>
      <c r="D61" s="12">
        <f>(SUMIFS('Raw Data'!$L:$L,'Raw Data'!$B:$B,$B$2,'Raw Data'!$J:$J,D$2,'Raw Data'!$K:$K,"native",'Raw Data'!$H:$H,"Money Transfers",'Raw Data'!$I:$I,"Salary/Bonus/Dividends",'Raw Data'!$M:$M,"percent",'Raw Data'!$F:$F,"Value*"))/100</f>
        <v>5.5999999999999994E-2</v>
      </c>
      <c r="E61" s="12">
        <f>(SUMIFS('Raw Data'!$L:$L,'Raw Data'!$B:$B,$B$2,'Raw Data'!$J:$J,E$2,'Raw Data'!$K:$K,"native",'Raw Data'!$H:$H,"Money Transfers",'Raw Data'!$I:$I,"Salary/Bonus/Dividends",'Raw Data'!$M:$M,"percent",'Raw Data'!$F:$F,"Value*"))/100</f>
        <v>4.0500000000000001E-2</v>
      </c>
      <c r="F61" s="12">
        <f>(SUMIFS('Raw Data'!$L:$L,'Raw Data'!$B:$B,$B$2,'Raw Data'!$J:$J,F$2,'Raw Data'!$K:$K,"native",'Raw Data'!$H:$H,"Money Transfers",'Raw Data'!$I:$I,"Salary/Bonus/Dividends",'Raw Data'!$M:$M,"percent",'Raw Data'!$F:$F,"Value*"))/100</f>
        <v>5.0999999999999997E-2</v>
      </c>
      <c r="G61" s="12">
        <f>(SUMIFS('Raw Data'!$L:$L,'Raw Data'!$B:$B,$B$2,'Raw Data'!$J:$J,G$2,'Raw Data'!$K:$K,"native",'Raw Data'!$H:$H,"Money Transfers",'Raw Data'!$I:$I,"Salary/Bonus/Dividends",'Raw Data'!$M:$M,"percent",'Raw Data'!$F:$F,"Value*"))/100</f>
        <v>4.6799999999999994E-2</v>
      </c>
      <c r="H61" s="12">
        <f>(SUMIFS('Raw Data'!$L:$L,'Raw Data'!$B:$B,$B$2,'Raw Data'!$J:$J,H$2,'Raw Data'!$K:$K,"native",'Raw Data'!$H:$H,"Money Transfers",'Raw Data'!$I:$I,"Salary/Bonus/Dividends",'Raw Data'!$M:$M,"percent",'Raw Data'!$F:$F,"Value*"))/100</f>
        <v>3.5099999999999999E-2</v>
      </c>
      <c r="I61" s="12">
        <f>(SUMIFS('Raw Data'!$L:$L,'Raw Data'!$B:$B,$B$2,'Raw Data'!$J:$J,I$2,'Raw Data'!$K:$K,"native",'Raw Data'!$H:$H,"Money Transfers",'Raw Data'!$I:$I,"Salary/Bonus/Dividends",'Raw Data'!$M:$M,"percent",'Raw Data'!$F:$F,"Value*"))/100</f>
        <v>4.2599999999999999E-2</v>
      </c>
      <c r="J61" s="12">
        <f>(SUMIFS('Raw Data'!$L:$L,'Raw Data'!$B:$B,$B$2,'Raw Data'!$J:$J,J$2,'Raw Data'!$K:$K,"native",'Raw Data'!$H:$H,"Money Transfers",'Raw Data'!$I:$I,"Salary/Bonus/Dividends",'Raw Data'!$M:$M,"percent",'Raw Data'!$F:$F,"Value*"))/100</f>
        <v>3.8599999999999995E-2</v>
      </c>
      <c r="K61" s="12">
        <f>(SUMIFS('Raw Data'!$L:$L,'Raw Data'!$B:$B,$B$2,'Raw Data'!$J:$J,K$2,'Raw Data'!$K:$K,"native",'Raw Data'!$H:$H,"Money Transfers",'Raw Data'!$I:$I,"Salary/Bonus/Dividends",'Raw Data'!$M:$M,"percent",'Raw Data'!$F:$F,"Value*"))/100</f>
        <v>4.1599999999999998E-2</v>
      </c>
      <c r="L61" s="12">
        <f>(SUMIFS('Raw Data'!$L:$L,'Raw Data'!$B:$B,$B$2,'Raw Data'!$J:$J,L$2,'Raw Data'!$K:$K,"native",'Raw Data'!$H:$H,"Money Transfers",'Raw Data'!$I:$I,"Salary/Bonus/Dividends",'Raw Data'!$M:$M,"percent",'Raw Data'!$F:$F,"Value*"))/100</f>
        <v>3.7200000000000004E-2</v>
      </c>
      <c r="M61" s="12">
        <f>(SUMIFS('Raw Data'!$L:$L,'Raw Data'!$B:$B,$B$2,'Raw Data'!$J:$J,M$2,'Raw Data'!$K:$K,"native",'Raw Data'!$H:$H,"Money Transfers",'Raw Data'!$I:$I,"Salary/Bonus/Dividends",'Raw Data'!$M:$M,"percent",'Raw Data'!$F:$F,"Value*"))/100</f>
        <v>5.3800000000000001E-2</v>
      </c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>
        <f>(SUMIFS('Raw Data'!$L:$L,'Raw Data'!$B:$B,$B$2,'Raw Data'!$J:$J,Z$2,'Raw Data'!$K:$K,"native",'Raw Data'!$H:$H,"Money Transfers",'Raw Data'!$I:$I,"Salary/Bonus/Dividends",'Raw Data'!$M:$M,"percent",'Raw Data'!$F:$F,"Value*"))/100</f>
        <v>1.1899999999999999E-2</v>
      </c>
    </row>
    <row r="62" spans="1:26" x14ac:dyDescent="0.25">
      <c r="A62" s="10" t="s">
        <v>82</v>
      </c>
      <c r="B62" s="10" t="s">
        <v>87</v>
      </c>
      <c r="C62" s="12">
        <f>(SUMIFS('Raw Data'!$L:$L,'Raw Data'!$B:$B,$B$2,'Raw Data'!$J:$J,C$2,'Raw Data'!$K:$K,"native",'Raw Data'!$H:$H,"Money Transfers",'Raw Data'!$I:$I,"Transfer to Family/Friends",'Raw Data'!$M:$M,"percent",'Raw Data'!$F:$F,"Value*"))/100</f>
        <v>0.7369</v>
      </c>
      <c r="D62" s="12">
        <f>(SUMIFS('Raw Data'!$L:$L,'Raw Data'!$B:$B,$B$2,'Raw Data'!$J:$J,D$2,'Raw Data'!$K:$K,"native",'Raw Data'!$H:$H,"Money Transfers",'Raw Data'!$I:$I,"Transfer to Family/Friends",'Raw Data'!$M:$M,"percent",'Raw Data'!$F:$F,"Value*"))/100</f>
        <v>0.71879999999999999</v>
      </c>
      <c r="E62" s="12">
        <f>(SUMIFS('Raw Data'!$L:$L,'Raw Data'!$B:$B,$B$2,'Raw Data'!$J:$J,E$2,'Raw Data'!$K:$K,"native",'Raw Data'!$H:$H,"Money Transfers",'Raw Data'!$I:$I,"Transfer to Family/Friends",'Raw Data'!$M:$M,"percent",'Raw Data'!$F:$F,"Value*"))/100</f>
        <v>0.7339</v>
      </c>
      <c r="F62" s="12">
        <f>(SUMIFS('Raw Data'!$L:$L,'Raw Data'!$B:$B,$B$2,'Raw Data'!$J:$J,F$2,'Raw Data'!$K:$K,"native",'Raw Data'!$H:$H,"Money Transfers",'Raw Data'!$I:$I,"Transfer to Family/Friends",'Raw Data'!$M:$M,"percent",'Raw Data'!$F:$F,"Value*"))/100</f>
        <v>0.72189999999999999</v>
      </c>
      <c r="G62" s="12">
        <f>(SUMIFS('Raw Data'!$L:$L,'Raw Data'!$B:$B,$B$2,'Raw Data'!$J:$J,G$2,'Raw Data'!$K:$K,"native",'Raw Data'!$H:$H,"Money Transfers",'Raw Data'!$I:$I,"Transfer to Family/Friends",'Raw Data'!$M:$M,"percent",'Raw Data'!$F:$F,"Value*"))/100</f>
        <v>0.73519999999999996</v>
      </c>
      <c r="H62" s="12">
        <f>(SUMIFS('Raw Data'!$L:$L,'Raw Data'!$B:$B,$B$2,'Raw Data'!$J:$J,H$2,'Raw Data'!$K:$K,"native",'Raw Data'!$H:$H,"Money Transfers",'Raw Data'!$I:$I,"Transfer to Family/Friends",'Raw Data'!$M:$M,"percent",'Raw Data'!$F:$F,"Value*"))/100</f>
        <v>0.74170000000000003</v>
      </c>
      <c r="I62" s="12">
        <f>(SUMIFS('Raw Data'!$L:$L,'Raw Data'!$B:$B,$B$2,'Raw Data'!$J:$J,I$2,'Raw Data'!$K:$K,"native",'Raw Data'!$H:$H,"Money Transfers",'Raw Data'!$I:$I,"Transfer to Family/Friends",'Raw Data'!$M:$M,"percent",'Raw Data'!$F:$F,"Value*"))/100</f>
        <v>0.73930000000000007</v>
      </c>
      <c r="J62" s="12">
        <f>(SUMIFS('Raw Data'!$L:$L,'Raw Data'!$B:$B,$B$2,'Raw Data'!$J:$J,J$2,'Raw Data'!$K:$K,"native",'Raw Data'!$H:$H,"Money Transfers",'Raw Data'!$I:$I,"Transfer to Family/Friends",'Raw Data'!$M:$M,"percent",'Raw Data'!$F:$F,"Value*"))/100</f>
        <v>0.75129999999999997</v>
      </c>
      <c r="K62" s="12">
        <f>(SUMIFS('Raw Data'!$L:$L,'Raw Data'!$B:$B,$B$2,'Raw Data'!$J:$J,K$2,'Raw Data'!$K:$K,"native",'Raw Data'!$H:$H,"Money Transfers",'Raw Data'!$I:$I,"Transfer to Family/Friends",'Raw Data'!$M:$M,"percent",'Raw Data'!$F:$F,"Value*"))/100</f>
        <v>0.75109999999999999</v>
      </c>
      <c r="L62" s="12">
        <f>(SUMIFS('Raw Data'!$L:$L,'Raw Data'!$B:$B,$B$2,'Raw Data'!$J:$J,L$2,'Raw Data'!$K:$K,"native",'Raw Data'!$H:$H,"Money Transfers",'Raw Data'!$I:$I,"Transfer to Family/Friends",'Raw Data'!$M:$M,"percent",'Raw Data'!$F:$F,"Value*"))/100</f>
        <v>0.74529999999999996</v>
      </c>
      <c r="M62" s="12">
        <f>(SUMIFS('Raw Data'!$L:$L,'Raw Data'!$B:$B,$B$2,'Raw Data'!$J:$J,M$2,'Raw Data'!$K:$K,"native",'Raw Data'!$H:$H,"Money Transfers",'Raw Data'!$I:$I,"Transfer to Family/Friends",'Raw Data'!$M:$M,"percent",'Raw Data'!$F:$F,"Value*"))/100</f>
        <v>0.70129999999999992</v>
      </c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>
        <f>(SUMIFS('Raw Data'!$L:$L,'Raw Data'!$B:$B,$B$2,'Raw Data'!$J:$J,Z$2,'Raw Data'!$K:$K,"native",'Raw Data'!$H:$H,"Money Transfers",'Raw Data'!$I:$I,"Transfer to Family/Friends",'Raw Data'!$M:$M,"percent",'Raw Data'!$F:$F,"Value*"))/100</f>
        <v>0.64230000000000009</v>
      </c>
    </row>
    <row r="63" spans="1:26" x14ac:dyDescent="0.25">
      <c r="A63" s="10" t="s">
        <v>82</v>
      </c>
      <c r="B63" s="10" t="s">
        <v>88</v>
      </c>
      <c r="C63" s="12">
        <f>(SUMIFS('Raw Data'!$L:$L,'Raw Data'!$B:$B,$B$2,'Raw Data'!$J:$J,C$2,'Raw Data'!$K:$K,"native",'Raw Data'!$H:$H,"Money Transfers",'Raw Data'!$I:$I,"Transfer to Own Account",'Raw Data'!$M:$M,"percent",'Raw Data'!$F:$F,"Value*"))/100</f>
        <v>0.14000000000000001</v>
      </c>
      <c r="D63" s="12">
        <f>(SUMIFS('Raw Data'!$L:$L,'Raw Data'!$B:$B,$B$2,'Raw Data'!$J:$J,D$2,'Raw Data'!$K:$K,"native",'Raw Data'!$H:$H,"Money Transfers",'Raw Data'!$I:$I,"Transfer to Own Account",'Raw Data'!$M:$M,"percent",'Raw Data'!$F:$F,"Value*"))/100</f>
        <v>0.1537</v>
      </c>
      <c r="E63" s="12">
        <f>(SUMIFS('Raw Data'!$L:$L,'Raw Data'!$B:$B,$B$2,'Raw Data'!$J:$J,E$2,'Raw Data'!$K:$K,"native",'Raw Data'!$H:$H,"Money Transfers",'Raw Data'!$I:$I,"Transfer to Own Account",'Raw Data'!$M:$M,"percent",'Raw Data'!$F:$F,"Value*"))/100</f>
        <v>0.15410000000000001</v>
      </c>
      <c r="F63" s="12">
        <f>(SUMIFS('Raw Data'!$L:$L,'Raw Data'!$B:$B,$B$2,'Raw Data'!$J:$J,F$2,'Raw Data'!$K:$K,"native",'Raw Data'!$H:$H,"Money Transfers",'Raw Data'!$I:$I,"Transfer to Own Account",'Raw Data'!$M:$M,"percent",'Raw Data'!$F:$F,"Value*"))/100</f>
        <v>0.15179999999999999</v>
      </c>
      <c r="G63" s="12">
        <f>(SUMIFS('Raw Data'!$L:$L,'Raw Data'!$B:$B,$B$2,'Raw Data'!$J:$J,G$2,'Raw Data'!$K:$K,"native",'Raw Data'!$H:$H,"Money Transfers",'Raw Data'!$I:$I,"Transfer to Own Account",'Raw Data'!$M:$M,"percent",'Raw Data'!$F:$F,"Value*"))/100</f>
        <v>0.1552</v>
      </c>
      <c r="H63" s="12">
        <f>(SUMIFS('Raw Data'!$L:$L,'Raw Data'!$B:$B,$B$2,'Raw Data'!$J:$J,H$2,'Raw Data'!$K:$K,"native",'Raw Data'!$H:$H,"Money Transfers",'Raw Data'!$I:$I,"Transfer to Own Account",'Raw Data'!$M:$M,"percent",'Raw Data'!$F:$F,"Value*"))/100</f>
        <v>0.15710000000000002</v>
      </c>
      <c r="I63" s="12">
        <f>(SUMIFS('Raw Data'!$L:$L,'Raw Data'!$B:$B,$B$2,'Raw Data'!$J:$J,I$2,'Raw Data'!$K:$K,"native",'Raw Data'!$H:$H,"Money Transfers",'Raw Data'!$I:$I,"Transfer to Own Account",'Raw Data'!$M:$M,"percent",'Raw Data'!$F:$F,"Value*"))/100</f>
        <v>0.14800000000000002</v>
      </c>
      <c r="J63" s="12">
        <f>(SUMIFS('Raw Data'!$L:$L,'Raw Data'!$B:$B,$B$2,'Raw Data'!$J:$J,J$2,'Raw Data'!$K:$K,"native",'Raw Data'!$H:$H,"Money Transfers",'Raw Data'!$I:$I,"Transfer to Own Account",'Raw Data'!$M:$M,"percent",'Raw Data'!$F:$F,"Value*"))/100</f>
        <v>0.1565</v>
      </c>
      <c r="K63" s="12">
        <f>(SUMIFS('Raw Data'!$L:$L,'Raw Data'!$B:$B,$B$2,'Raw Data'!$J:$J,K$2,'Raw Data'!$K:$K,"native",'Raw Data'!$H:$H,"Money Transfers",'Raw Data'!$I:$I,"Transfer to Own Account",'Raw Data'!$M:$M,"percent",'Raw Data'!$F:$F,"Value*"))/100</f>
        <v>0.1507</v>
      </c>
      <c r="L63" s="12">
        <f>(SUMIFS('Raw Data'!$L:$L,'Raw Data'!$B:$B,$B$2,'Raw Data'!$J:$J,L$2,'Raw Data'!$K:$K,"native",'Raw Data'!$H:$H,"Money Transfers",'Raw Data'!$I:$I,"Transfer to Own Account",'Raw Data'!$M:$M,"percent",'Raw Data'!$F:$F,"Value*"))/100</f>
        <v>0.16370000000000001</v>
      </c>
      <c r="M63" s="12">
        <f>(SUMIFS('Raw Data'!$L:$L,'Raw Data'!$B:$B,$B$2,'Raw Data'!$J:$J,M$2,'Raw Data'!$K:$K,"native",'Raw Data'!$H:$H,"Money Transfers",'Raw Data'!$I:$I,"Transfer to Own Account",'Raw Data'!$M:$M,"percent",'Raw Data'!$F:$F,"Value*"))/100</f>
        <v>0.2089</v>
      </c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>
        <f>(SUMIFS('Raw Data'!$L:$L,'Raw Data'!$B:$B,$B$2,'Raw Data'!$J:$J,Z$2,'Raw Data'!$K:$K,"native",'Raw Data'!$H:$H,"Money Transfers",'Raw Data'!$I:$I,"Transfer to Own Account",'Raw Data'!$M:$M,"percent",'Raw Data'!$F:$F,"Value*"))/100</f>
        <v>0.22649999999999998</v>
      </c>
    </row>
    <row r="64" spans="1:26" x14ac:dyDescent="0.25">
      <c r="A64" s="10" t="s">
        <v>82</v>
      </c>
      <c r="B64" s="10" t="s">
        <v>115</v>
      </c>
      <c r="C64" s="12">
        <f>(SUMIFS('Raw Data'!$L:$L,'Raw Data'!$B:$B,$B$2,'Raw Data'!$J:$J,C$2,'Raw Data'!$K:$K,"native",'Raw Data'!$H:$H,"Purchases",'Raw Data'!$I:$I,"Purchases",'Raw Data'!$M:$M,"percent",'Raw Data'!$F:$F,"Value*"))/100</f>
        <v>0.9677</v>
      </c>
      <c r="D64" s="12">
        <f>(SUMIFS('Raw Data'!$L:$L,'Raw Data'!$B:$B,$B$2,'Raw Data'!$J:$J,D$2,'Raw Data'!$K:$K,"native",'Raw Data'!$H:$H,"Purchases",'Raw Data'!$I:$I,"Purchases",'Raw Data'!$M:$M,"percent",'Raw Data'!$F:$F,"Value*"))/100</f>
        <v>0.96129999999999993</v>
      </c>
      <c r="E64" s="12">
        <f>(SUMIFS('Raw Data'!$L:$L,'Raw Data'!$B:$B,$B$2,'Raw Data'!$J:$J,E$2,'Raw Data'!$K:$K,"native",'Raw Data'!$H:$H,"Purchases",'Raw Data'!$I:$I,"Purchases",'Raw Data'!$M:$M,"percent",'Raw Data'!$F:$F,"Value*"))/100</f>
        <v>0.95279999999999998</v>
      </c>
      <c r="F64" s="12">
        <f>(SUMIFS('Raw Data'!$L:$L,'Raw Data'!$B:$B,$B$2,'Raw Data'!$J:$J,F$2,'Raw Data'!$K:$K,"native",'Raw Data'!$H:$H,"Purchases",'Raw Data'!$I:$I,"Purchases",'Raw Data'!$M:$M,"percent",'Raw Data'!$F:$F,"Value*"))/100</f>
        <v>0.95440000000000003</v>
      </c>
      <c r="G64" s="12">
        <f>(SUMIFS('Raw Data'!$L:$L,'Raw Data'!$B:$B,$B$2,'Raw Data'!$J:$J,G$2,'Raw Data'!$K:$K,"native",'Raw Data'!$H:$H,"Purchases",'Raw Data'!$I:$I,"Purchases",'Raw Data'!$M:$M,"percent",'Raw Data'!$F:$F,"Value*"))/100</f>
        <v>0.84489999999999998</v>
      </c>
      <c r="H64" s="12">
        <f>(SUMIFS('Raw Data'!$L:$L,'Raw Data'!$B:$B,$B$2,'Raw Data'!$J:$J,H$2,'Raw Data'!$K:$K,"native",'Raw Data'!$H:$H,"Purchases",'Raw Data'!$I:$I,"Purchases",'Raw Data'!$M:$M,"percent",'Raw Data'!$F:$F,"Value*"))/100</f>
        <v>0.82879999999999998</v>
      </c>
      <c r="I64" s="12">
        <f>(SUMIFS('Raw Data'!$L:$L,'Raw Data'!$B:$B,$B$2,'Raw Data'!$J:$J,I$2,'Raw Data'!$K:$K,"native",'Raw Data'!$H:$H,"Purchases",'Raw Data'!$I:$I,"Purchases",'Raw Data'!$M:$M,"percent",'Raw Data'!$F:$F,"Value*"))/100</f>
        <v>0.83979999999999999</v>
      </c>
      <c r="J64" s="12">
        <f>(SUMIFS('Raw Data'!$L:$L,'Raw Data'!$B:$B,$B$2,'Raw Data'!$J:$J,J$2,'Raw Data'!$K:$K,"native",'Raw Data'!$H:$H,"Purchases",'Raw Data'!$I:$I,"Purchases",'Raw Data'!$M:$M,"percent",'Raw Data'!$F:$F,"Value*"))/100</f>
        <v>0.81870000000000009</v>
      </c>
      <c r="K64" s="12">
        <f>(SUMIFS('Raw Data'!$L:$L,'Raw Data'!$B:$B,$B$2,'Raw Data'!$J:$J,K$2,'Raw Data'!$K:$K,"native",'Raw Data'!$H:$H,"Purchases",'Raw Data'!$I:$I,"Purchases",'Raw Data'!$M:$M,"percent",'Raw Data'!$F:$F,"Value*"))/100</f>
        <v>0.85870000000000002</v>
      </c>
      <c r="L64" s="12">
        <f>(SUMIFS('Raw Data'!$L:$L,'Raw Data'!$B:$B,$B$2,'Raw Data'!$J:$J,L$2,'Raw Data'!$K:$K,"native",'Raw Data'!$H:$H,"Purchases",'Raw Data'!$I:$I,"Purchases",'Raw Data'!$M:$M,"percent",'Raw Data'!$F:$F,"Value*"))/100</f>
        <v>0.92959999999999998</v>
      </c>
      <c r="M64" s="12">
        <f>(SUMIFS('Raw Data'!$L:$L,'Raw Data'!$B:$B,$B$2,'Raw Data'!$J:$J,M$2,'Raw Data'!$K:$K,"native",'Raw Data'!$H:$H,"Purchases",'Raw Data'!$I:$I,"Purchases",'Raw Data'!$M:$M,"percent",'Raw Data'!$F:$F,"Value*"))/100</f>
        <v>0.9487000000000001</v>
      </c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>
        <f>(SUMIFS('Raw Data'!$L:$L,'Raw Data'!$B:$B,$B$2,'Raw Data'!$J:$J,Z$2,'Raw Data'!$K:$K,"native",'Raw Data'!$H:$H,"Purchases",'Raw Data'!$I:$I,"Purchases",'Raw Data'!$M:$M,"percent",'Raw Data'!$F:$F,"Value*"))/100</f>
        <v>0.97459999999999991</v>
      </c>
    </row>
    <row r="65" spans="1:26" x14ac:dyDescent="0.25">
      <c r="A65" s="10" t="s">
        <v>82</v>
      </c>
      <c r="B65" s="10" t="s">
        <v>90</v>
      </c>
      <c r="C65" s="12">
        <f>(SUMIFS('Raw Data'!$L:$L,'Raw Data'!$B:$B,$B$2,'Raw Data'!$J:$J,C$2,'Raw Data'!$K:$K,"native",'Raw Data'!$H:$H,"Purchases",'Raw Data'!$I:$I,"QR Purchases",'Raw Data'!$M:$M,"percent",'Raw Data'!$F:$F,"Value*"))/100</f>
        <v>3.2300000000000002E-2</v>
      </c>
      <c r="D65" s="12">
        <f>(SUMIFS('Raw Data'!$L:$L,'Raw Data'!$B:$B,$B$2,'Raw Data'!$J:$J,D$2,'Raw Data'!$K:$K,"native",'Raw Data'!$H:$H,"Purchases",'Raw Data'!$I:$I,"QR Purchases",'Raw Data'!$M:$M,"percent",'Raw Data'!$F:$F,"Value*"))/100</f>
        <v>3.8699999999999998E-2</v>
      </c>
      <c r="E65" s="12">
        <f>(SUMIFS('Raw Data'!$L:$L,'Raw Data'!$B:$B,$B$2,'Raw Data'!$J:$J,E$2,'Raw Data'!$K:$K,"native",'Raw Data'!$H:$H,"Purchases",'Raw Data'!$I:$I,"QR Purchases",'Raw Data'!$M:$M,"percent",'Raw Data'!$F:$F,"Value*"))/100</f>
        <v>4.7199999999999999E-2</v>
      </c>
      <c r="F65" s="12">
        <f>(SUMIFS('Raw Data'!$L:$L,'Raw Data'!$B:$B,$B$2,'Raw Data'!$J:$J,F$2,'Raw Data'!$K:$K,"native",'Raw Data'!$H:$H,"Purchases",'Raw Data'!$I:$I,"QR Purchases",'Raw Data'!$M:$M,"percent",'Raw Data'!$F:$F,"Value*"))/100</f>
        <v>4.5599999999999995E-2</v>
      </c>
      <c r="G65" s="12">
        <f>(SUMIFS('Raw Data'!$L:$L,'Raw Data'!$B:$B,$B$2,'Raw Data'!$J:$J,G$2,'Raw Data'!$K:$K,"native",'Raw Data'!$H:$H,"Purchases",'Raw Data'!$I:$I,"QR Purchases",'Raw Data'!$M:$M,"percent",'Raw Data'!$F:$F,"Value*"))/100</f>
        <v>0.15509999999999999</v>
      </c>
      <c r="H65" s="12">
        <f>(SUMIFS('Raw Data'!$L:$L,'Raw Data'!$B:$B,$B$2,'Raw Data'!$J:$J,H$2,'Raw Data'!$K:$K,"native",'Raw Data'!$H:$H,"Purchases",'Raw Data'!$I:$I,"QR Purchases",'Raw Data'!$M:$M,"percent",'Raw Data'!$F:$F,"Value*"))/100</f>
        <v>0.17120000000000002</v>
      </c>
      <c r="I65" s="12">
        <f>(SUMIFS('Raw Data'!$L:$L,'Raw Data'!$B:$B,$B$2,'Raw Data'!$J:$J,I$2,'Raw Data'!$K:$K,"native",'Raw Data'!$H:$H,"Purchases",'Raw Data'!$I:$I,"QR Purchases",'Raw Data'!$M:$M,"percent",'Raw Data'!$F:$F,"Value*"))/100</f>
        <v>0.16020000000000001</v>
      </c>
      <c r="J65" s="12">
        <f>(SUMIFS('Raw Data'!$L:$L,'Raw Data'!$B:$B,$B$2,'Raw Data'!$J:$J,J$2,'Raw Data'!$K:$K,"native",'Raw Data'!$H:$H,"Purchases",'Raw Data'!$I:$I,"QR Purchases",'Raw Data'!$M:$M,"percent",'Raw Data'!$F:$F,"Value*"))/100</f>
        <v>0.18129999999999999</v>
      </c>
      <c r="K65" s="12">
        <f>(SUMIFS('Raw Data'!$L:$L,'Raw Data'!$B:$B,$B$2,'Raw Data'!$J:$J,K$2,'Raw Data'!$K:$K,"native",'Raw Data'!$H:$H,"Purchases",'Raw Data'!$I:$I,"QR Purchases",'Raw Data'!$M:$M,"percent",'Raw Data'!$F:$F,"Value*"))/100</f>
        <v>0.14130000000000001</v>
      </c>
      <c r="L65" s="12">
        <f>(SUMIFS('Raw Data'!$L:$L,'Raw Data'!$B:$B,$B$2,'Raw Data'!$J:$J,L$2,'Raw Data'!$K:$K,"native",'Raw Data'!$H:$H,"Purchases",'Raw Data'!$I:$I,"QR Purchases",'Raw Data'!$M:$M,"percent",'Raw Data'!$F:$F,"Value*"))/100</f>
        <v>7.0400000000000004E-2</v>
      </c>
      <c r="M65" s="12">
        <f>(SUMIFS('Raw Data'!$L:$L,'Raw Data'!$B:$B,$B$2,'Raw Data'!$J:$J,M$2,'Raw Data'!$K:$K,"native",'Raw Data'!$H:$H,"Purchases",'Raw Data'!$I:$I,"QR Purchases",'Raw Data'!$M:$M,"percent",'Raw Data'!$F:$F,"Value*"))/100</f>
        <v>5.1299999999999998E-2</v>
      </c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>
        <f>(SUMIFS('Raw Data'!$L:$L,'Raw Data'!$B:$B,$B$2,'Raw Data'!$J:$J,Z$2,'Raw Data'!$K:$K,"native",'Raw Data'!$H:$H,"Purchases",'Raw Data'!$I:$I,"QR Purchases",'Raw Data'!$M:$M,"percent",'Raw Data'!$F:$F,"Value*"))/100</f>
        <v>2.5399999999999999E-2</v>
      </c>
    </row>
    <row r="66" spans="1:26" x14ac:dyDescent="0.25">
      <c r="A66" s="10" t="s">
        <v>82</v>
      </c>
      <c r="B66" s="10" t="s">
        <v>116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>
        <f>(SUMIFS('Raw Data'!$L:$L,'Raw Data'!$B:$B,$B$2,'Raw Data'!$J:$J,M$2,'Raw Data'!$K:$K,"native",'Raw Data'!$H:$H,"Money Transfers",'Raw Data'!$I:$I,"Loan/Loan Disbursement",'Raw Data'!$M:$M,"percent",'Raw Data'!$F:$F,"Value*"))/100</f>
        <v>8.0000000000000002E-3</v>
      </c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>
        <f>(SUMIFS('Raw Data'!$L:$L,'Raw Data'!$B:$B,$B$2,'Raw Data'!$J:$J,Z$2,'Raw Data'!$K:$K,"native",'Raw Data'!$H:$H,"Money Transfers",'Raw Data'!$I:$I,"Loan/Loan Disbursement",'Raw Data'!$M:$M,"percent",'Raw Data'!$F:$F,"Value*"))/100</f>
        <v>1.1699999999999999E-2</v>
      </c>
    </row>
    <row r="67" spans="1:26" x14ac:dyDescent="0.25">
      <c r="A67" s="10" t="s">
        <v>82</v>
      </c>
      <c r="B67" s="10" t="s">
        <v>117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x14ac:dyDescent="0.25">
      <c r="A68" s="10" t="s">
        <v>82</v>
      </c>
      <c r="B68" s="10" t="s">
        <v>118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x14ac:dyDescent="0.25">
      <c r="A69" s="10" t="s">
        <v>82</v>
      </c>
      <c r="B69" s="10" t="s">
        <v>89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x14ac:dyDescent="0.25">
      <c r="A70" s="10" t="s">
        <v>82</v>
      </c>
      <c r="B70" s="10" t="s">
        <v>119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>
        <f>(SUMIFS('Raw Data'!$L:$L,'Raw Data'!$B:$B,$B$2,'Raw Data'!$J:$J,Z$2,'Raw Data'!$K:$K,"native",'Raw Data'!$H:$H,"Money Transfers",'Raw Data'!$I:$I,"Goods/Services",'Raw Data'!$M:$M,"percent",'Raw Data'!$F:$F,"Value*"))/100</f>
        <v>7.0999999999999994E-2</v>
      </c>
    </row>
    <row r="71" spans="1:26" x14ac:dyDescent="0.25">
      <c r="A71" s="53" t="s">
        <v>93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x14ac:dyDescent="0.25">
      <c r="A72" s="10" t="s">
        <v>82</v>
      </c>
      <c r="B72" s="10" t="s">
        <v>94</v>
      </c>
      <c r="C72" s="11">
        <f>SUMIFS('Raw Data'!$L:$L,'Raw Data'!$B:$B,$B$2,'Raw Data'!$J:$J,C$2,'Raw Data'!$K:$K,"native",'Raw Data'!$H:$H,"Off Us",'Raw Data'!$I:$I,"",'Raw Data'!$M:$M,"count")</f>
        <v>1500000</v>
      </c>
      <c r="D72" s="11">
        <f>SUMIFS('Raw Data'!$L:$L,'Raw Data'!$B:$B,$B$2,'Raw Data'!$J:$J,D$2,'Raw Data'!$K:$K,"native",'Raw Data'!$H:$H,"Off Us",'Raw Data'!$I:$I,"",'Raw Data'!$M:$M,"count")</f>
        <v>1650000</v>
      </c>
      <c r="E72" s="11">
        <f>SUMIFS('Raw Data'!$L:$L,'Raw Data'!$B:$B,$B$2,'Raw Data'!$J:$J,E$2,'Raw Data'!$K:$K,"native",'Raw Data'!$H:$H,"Off Us",'Raw Data'!$I:$I,"",'Raw Data'!$M:$M,"count")</f>
        <v>1590000</v>
      </c>
      <c r="F72" s="11">
        <f>SUMIFS('Raw Data'!$L:$L,'Raw Data'!$B:$B,$B$2,'Raw Data'!$J:$J,F$2,'Raw Data'!$K:$K,"native",'Raw Data'!$H:$H,"Off Us",'Raw Data'!$I:$I,"",'Raw Data'!$M:$M,"count")</f>
        <v>1750000</v>
      </c>
      <c r="G72" s="11">
        <f>SUMIFS('Raw Data'!$L:$L,'Raw Data'!$B:$B,$B$2,'Raw Data'!$J:$J,G$2,'Raw Data'!$K:$K,"native",'Raw Data'!$H:$H,"Off Us",'Raw Data'!$I:$I,"",'Raw Data'!$M:$M,"count")</f>
        <v>1800000</v>
      </c>
      <c r="H72" s="11">
        <f>SUMIFS('Raw Data'!$L:$L,'Raw Data'!$B:$B,$B$2,'Raw Data'!$J:$J,H$2,'Raw Data'!$K:$K,"native",'Raw Data'!$H:$H,"Off Us",'Raw Data'!$I:$I,"",'Raw Data'!$M:$M,"count")</f>
        <v>1610000</v>
      </c>
      <c r="I72" s="11">
        <f>SUMIFS('Raw Data'!$L:$L,'Raw Data'!$B:$B,$B$2,'Raw Data'!$J:$J,I$2,'Raw Data'!$K:$K,"native",'Raw Data'!$H:$H,"Off Us",'Raw Data'!$I:$I,"",'Raw Data'!$M:$M,"count")</f>
        <v>2040000</v>
      </c>
      <c r="J72" s="11">
        <f>SUMIFS('Raw Data'!$L:$L,'Raw Data'!$B:$B,$B$2,'Raw Data'!$J:$J,J$2,'Raw Data'!$K:$K,"native",'Raw Data'!$H:$H,"Off Us",'Raw Data'!$I:$I,"",'Raw Data'!$M:$M,"count")</f>
        <v>1870000</v>
      </c>
      <c r="K72" s="11">
        <f>SUMIFS('Raw Data'!$L:$L,'Raw Data'!$B:$B,$B$2,'Raw Data'!$J:$J,K$2,'Raw Data'!$K:$K,"native",'Raw Data'!$H:$H,"Off Us",'Raw Data'!$I:$I,"",'Raw Data'!$M:$M,"count")</f>
        <v>2220000</v>
      </c>
      <c r="L72" s="11">
        <f>SUMIFS('Raw Data'!$L:$L,'Raw Data'!$B:$B,$B$2,'Raw Data'!$J:$J,L$2,'Raw Data'!$K:$K,"native",'Raw Data'!$H:$H,"Off Us",'Raw Data'!$I:$I,"",'Raw Data'!$M:$M,"count")</f>
        <v>2070000</v>
      </c>
      <c r="M72" s="11">
        <f>SUMIFS('Raw Data'!$L:$L,'Raw Data'!$B:$B,$B$2,'Raw Data'!$J:$J,M$2,'Raw Data'!$K:$K,"native",'Raw Data'!$H:$H,"Off Us",'Raw Data'!$I:$I,"",'Raw Data'!$M:$M,"count")</f>
        <v>2250000</v>
      </c>
      <c r="N72" s="11">
        <f>SUMIFS('Raw Data'!$L:$L,'Raw Data'!$B:$B,$B$2,'Raw Data'!$J:$J,N$2,'Raw Data'!$K:$K,"native",'Raw Data'!$H:$H,"Off Us",'Raw Data'!$I:$I,"",'Raw Data'!$M:$M,"count")</f>
        <v>2300000</v>
      </c>
      <c r="O72" s="11">
        <f>SUMIFS('Raw Data'!$L:$L,'Raw Data'!$B:$B,$B$2,'Raw Data'!$J:$J,O$2,'Raw Data'!$K:$K,"native",'Raw Data'!$H:$H,"Off Us",'Raw Data'!$I:$I,"",'Raw Data'!$M:$M,"count")</f>
        <v>2270000</v>
      </c>
      <c r="P72" s="11">
        <f>SUMIFS('Raw Data'!$L:$L,'Raw Data'!$B:$B,$B$2,'Raw Data'!$J:$J,P$2,'Raw Data'!$K:$K,"native",'Raw Data'!$H:$H,"Off Us",'Raw Data'!$I:$I,"",'Raw Data'!$M:$M,"count")</f>
        <v>2400000</v>
      </c>
      <c r="Q72" s="11">
        <f>SUMIFS('Raw Data'!$L:$L,'Raw Data'!$B:$B,$B$2,'Raw Data'!$J:$J,Q$2,'Raw Data'!$K:$K,"native",'Raw Data'!$H:$H,"Off Us",'Raw Data'!$I:$I,"",'Raw Data'!$M:$M,"count")</f>
        <v>2330000</v>
      </c>
      <c r="R72" s="11">
        <f>SUMIFS('Raw Data'!$L:$L,'Raw Data'!$B:$B,$B$2,'Raw Data'!$J:$J,R$2,'Raw Data'!$K:$K,"native",'Raw Data'!$H:$H,"Off Us",'Raw Data'!$I:$I,"",'Raw Data'!$M:$M,"count")</f>
        <v>2460000</v>
      </c>
      <c r="S72" s="11">
        <f>SUMIFS('Raw Data'!$L:$L,'Raw Data'!$B:$B,$B$2,'Raw Data'!$J:$J,S$2,'Raw Data'!$K:$K,"native",'Raw Data'!$H:$H,"Off Us",'Raw Data'!$I:$I,"",'Raw Data'!$M:$M,"count")</f>
        <v>2540000</v>
      </c>
      <c r="T72" s="11">
        <f>SUMIFS('Raw Data'!$L:$L,'Raw Data'!$B:$B,$B$2,'Raw Data'!$J:$J,T$2,'Raw Data'!$K:$K,"native",'Raw Data'!$H:$H,"Off Us",'Raw Data'!$I:$I,"",'Raw Data'!$M:$M,"count")</f>
        <v>2310000</v>
      </c>
      <c r="U72" s="11">
        <f>SUMIFS('Raw Data'!$L:$L,'Raw Data'!$B:$B,$B$2,'Raw Data'!$J:$J,U$2,'Raw Data'!$K:$K,"native",'Raw Data'!$H:$H,"Off Us",'Raw Data'!$I:$I,"",'Raw Data'!$M:$M,"count")</f>
        <v>2700000</v>
      </c>
      <c r="V72" s="11">
        <f>SUMIFS('Raw Data'!$L:$L,'Raw Data'!$B:$B,$B$2,'Raw Data'!$J:$J,V$2,'Raw Data'!$K:$K,"native",'Raw Data'!$H:$H,"Off Us",'Raw Data'!$I:$I,"",'Raw Data'!$M:$M,"count")</f>
        <v>2780000</v>
      </c>
      <c r="W72" s="11">
        <f>SUMIFS('Raw Data'!$L:$L,'Raw Data'!$B:$B,$B$2,'Raw Data'!$J:$J,W$2,'Raw Data'!$K:$K,"native",'Raw Data'!$H:$H,"Off Us",'Raw Data'!$I:$I,"",'Raw Data'!$M:$M,"count")</f>
        <v>3060000</v>
      </c>
      <c r="X72" s="11">
        <f>SUMIFS('Raw Data'!$L:$L,'Raw Data'!$B:$B,$B$2,'Raw Data'!$J:$J,X$2,'Raw Data'!$K:$K,"native",'Raw Data'!$H:$H,"Off Us",'Raw Data'!$I:$I,"",'Raw Data'!$M:$M,"count")</f>
        <v>2960000</v>
      </c>
      <c r="Y72" s="11">
        <f>SUMIFS('Raw Data'!$L:$L,'Raw Data'!$B:$B,$B$2,'Raw Data'!$J:$J,Y$2,'Raw Data'!$K:$K,"native",'Raw Data'!$H:$H,"Off Us",'Raw Data'!$I:$I,"",'Raw Data'!$M:$M,"count")</f>
        <v>3300000</v>
      </c>
      <c r="Z72" s="11">
        <f>SUMIFS('Raw Data'!$L:$L,'Raw Data'!$B:$B,$B$2,'Raw Data'!$J:$J,Z$2,'Raw Data'!$K:$K,"native",'Raw Data'!$H:$H,"Off Us",'Raw Data'!$I:$I,"",'Raw Data'!$M:$M,"count")</f>
        <v>3480000</v>
      </c>
    </row>
    <row r="73" spans="1:26" x14ac:dyDescent="0.25">
      <c r="A73" s="10" t="s">
        <v>82</v>
      </c>
      <c r="B73" s="10" t="s">
        <v>95</v>
      </c>
      <c r="C73" s="11">
        <f>SUMIFS('Raw Data'!$L:$L,'Raw Data'!$B:$B,$B$2,'Raw Data'!$J:$J,C$2,'Raw Data'!$K:$K,"native",'Raw Data'!$H:$H,"On Us",'Raw Data'!$I:$I,"",'Raw Data'!$M:$M,"count")</f>
        <v>1600000</v>
      </c>
      <c r="D73" s="11">
        <f>SUMIFS('Raw Data'!$L:$L,'Raw Data'!$B:$B,$B$2,'Raw Data'!$J:$J,D$2,'Raw Data'!$K:$K,"native",'Raw Data'!$H:$H,"On Us",'Raw Data'!$I:$I,"",'Raw Data'!$M:$M,"count")</f>
        <v>1710000</v>
      </c>
      <c r="E73" s="11">
        <f>SUMIFS('Raw Data'!$L:$L,'Raw Data'!$B:$B,$B$2,'Raw Data'!$J:$J,E$2,'Raw Data'!$K:$K,"native",'Raw Data'!$H:$H,"On Us",'Raw Data'!$I:$I,"",'Raw Data'!$M:$M,"count")</f>
        <v>1810000</v>
      </c>
      <c r="F73" s="11">
        <f>SUMIFS('Raw Data'!$L:$L,'Raw Data'!$B:$B,$B$2,'Raw Data'!$J:$J,F$2,'Raw Data'!$K:$K,"native",'Raw Data'!$H:$H,"On Us",'Raw Data'!$I:$I,"",'Raw Data'!$M:$M,"count")</f>
        <v>2090000</v>
      </c>
      <c r="G73" s="11">
        <f>SUMIFS('Raw Data'!$L:$L,'Raw Data'!$B:$B,$B$2,'Raw Data'!$J:$J,G$2,'Raw Data'!$K:$K,"native",'Raw Data'!$H:$H,"On Us",'Raw Data'!$I:$I,"",'Raw Data'!$M:$M,"count")</f>
        <v>2170000</v>
      </c>
      <c r="H73" s="11">
        <f>SUMIFS('Raw Data'!$L:$L,'Raw Data'!$B:$B,$B$2,'Raw Data'!$J:$J,H$2,'Raw Data'!$K:$K,"native",'Raw Data'!$H:$H,"On Us",'Raw Data'!$I:$I,"",'Raw Data'!$M:$M,"count")</f>
        <v>2000000</v>
      </c>
      <c r="I73" s="11">
        <f>SUMIFS('Raw Data'!$L:$L,'Raw Data'!$B:$B,$B$2,'Raw Data'!$J:$J,I$2,'Raw Data'!$K:$K,"native",'Raw Data'!$H:$H,"On Us",'Raw Data'!$I:$I,"",'Raw Data'!$M:$M,"count")</f>
        <v>2500000</v>
      </c>
      <c r="J73" s="11">
        <f>SUMIFS('Raw Data'!$L:$L,'Raw Data'!$B:$B,$B$2,'Raw Data'!$J:$J,J$2,'Raw Data'!$K:$K,"native",'Raw Data'!$H:$H,"On Us",'Raw Data'!$I:$I,"",'Raw Data'!$M:$M,"count")</f>
        <v>2460000</v>
      </c>
      <c r="K73" s="11">
        <f>SUMIFS('Raw Data'!$L:$L,'Raw Data'!$B:$B,$B$2,'Raw Data'!$J:$J,K$2,'Raw Data'!$K:$K,"native",'Raw Data'!$H:$H,"On Us",'Raw Data'!$I:$I,"",'Raw Data'!$M:$M,"count")</f>
        <v>2830000</v>
      </c>
      <c r="L73" s="11">
        <f>SUMIFS('Raw Data'!$L:$L,'Raw Data'!$B:$B,$B$2,'Raw Data'!$J:$J,L$2,'Raw Data'!$K:$K,"native",'Raw Data'!$H:$H,"On Us",'Raw Data'!$I:$I,"",'Raw Data'!$M:$M,"count")</f>
        <v>2800000</v>
      </c>
      <c r="M73" s="11">
        <f>SUMIFS('Raw Data'!$L:$L,'Raw Data'!$B:$B,$B$2,'Raw Data'!$J:$J,M$2,'Raw Data'!$K:$K,"native",'Raw Data'!$H:$H,"On Us",'Raw Data'!$I:$I,"",'Raw Data'!$M:$M,"count")</f>
        <v>3220000</v>
      </c>
      <c r="N73" s="11">
        <f>SUMIFS('Raw Data'!$L:$L,'Raw Data'!$B:$B,$B$2,'Raw Data'!$J:$J,N$2,'Raw Data'!$K:$K,"native",'Raw Data'!$H:$H,"On Us",'Raw Data'!$I:$I,"",'Raw Data'!$M:$M,"count")</f>
        <v>3340000</v>
      </c>
      <c r="O73" s="11">
        <f>SUMIFS('Raw Data'!$L:$L,'Raw Data'!$B:$B,$B$2,'Raw Data'!$J:$J,O$2,'Raw Data'!$K:$K,"native",'Raw Data'!$H:$H,"On Us",'Raw Data'!$I:$I,"",'Raw Data'!$M:$M,"count")</f>
        <v>3310000</v>
      </c>
      <c r="P73" s="11">
        <f>SUMIFS('Raw Data'!$L:$L,'Raw Data'!$B:$B,$B$2,'Raw Data'!$J:$J,P$2,'Raw Data'!$K:$K,"native",'Raw Data'!$H:$H,"On Us",'Raw Data'!$I:$I,"",'Raw Data'!$M:$M,"count")</f>
        <v>3400000</v>
      </c>
      <c r="Q73" s="11">
        <f>SUMIFS('Raw Data'!$L:$L,'Raw Data'!$B:$B,$B$2,'Raw Data'!$J:$J,Q$2,'Raw Data'!$K:$K,"native",'Raw Data'!$H:$H,"On Us",'Raw Data'!$I:$I,"",'Raw Data'!$M:$M,"count")</f>
        <v>3470000</v>
      </c>
      <c r="R73" s="11">
        <f>SUMIFS('Raw Data'!$L:$L,'Raw Data'!$B:$B,$B$2,'Raw Data'!$J:$J,R$2,'Raw Data'!$K:$K,"native",'Raw Data'!$H:$H,"On Us",'Raw Data'!$I:$I,"",'Raw Data'!$M:$M,"count")</f>
        <v>3830000</v>
      </c>
      <c r="S73" s="11">
        <f>SUMIFS('Raw Data'!$L:$L,'Raw Data'!$B:$B,$B$2,'Raw Data'!$J:$J,S$2,'Raw Data'!$K:$K,"native",'Raw Data'!$H:$H,"On Us",'Raw Data'!$I:$I,"",'Raw Data'!$M:$M,"count")</f>
        <v>4470000</v>
      </c>
      <c r="T73" s="11">
        <f>SUMIFS('Raw Data'!$L:$L,'Raw Data'!$B:$B,$B$2,'Raw Data'!$J:$J,T$2,'Raw Data'!$K:$K,"native",'Raw Data'!$H:$H,"On Us",'Raw Data'!$I:$I,"",'Raw Data'!$M:$M,"count")</f>
        <v>4110000</v>
      </c>
      <c r="U73" s="11">
        <f>SUMIFS('Raw Data'!$L:$L,'Raw Data'!$B:$B,$B$2,'Raw Data'!$J:$J,U$2,'Raw Data'!$K:$K,"native",'Raw Data'!$H:$H,"On Us",'Raw Data'!$I:$I,"",'Raw Data'!$M:$M,"count")</f>
        <v>4900000</v>
      </c>
      <c r="V73" s="11">
        <f>SUMIFS('Raw Data'!$L:$L,'Raw Data'!$B:$B,$B$2,'Raw Data'!$J:$J,V$2,'Raw Data'!$K:$K,"native",'Raw Data'!$H:$H,"On Us",'Raw Data'!$I:$I,"",'Raw Data'!$M:$M,"count")</f>
        <v>5210000</v>
      </c>
      <c r="W73" s="11">
        <f>SUMIFS('Raw Data'!$L:$L,'Raw Data'!$B:$B,$B$2,'Raw Data'!$J:$J,W$2,'Raw Data'!$K:$K,"native",'Raw Data'!$H:$H,"On Us",'Raw Data'!$I:$I,"",'Raw Data'!$M:$M,"count")</f>
        <v>5770000</v>
      </c>
      <c r="X73" s="11">
        <f>SUMIFS('Raw Data'!$L:$L,'Raw Data'!$B:$B,$B$2,'Raw Data'!$J:$J,X$2,'Raw Data'!$K:$K,"native",'Raw Data'!$H:$H,"On Us",'Raw Data'!$I:$I,"",'Raw Data'!$M:$M,"count")</f>
        <v>5730000</v>
      </c>
      <c r="Y73" s="11">
        <f>SUMIFS('Raw Data'!$L:$L,'Raw Data'!$B:$B,$B$2,'Raw Data'!$J:$J,Y$2,'Raw Data'!$K:$K,"native",'Raw Data'!$H:$H,"On Us",'Raw Data'!$I:$I,"",'Raw Data'!$M:$M,"count")</f>
        <v>6400000</v>
      </c>
      <c r="Z73" s="11">
        <f>SUMIFS('Raw Data'!$L:$L,'Raw Data'!$B:$B,$B$2,'Raw Data'!$J:$J,Z$2,'Raw Data'!$K:$K,"native",'Raw Data'!$H:$H,"On Us",'Raw Data'!$I:$I,"",'Raw Data'!$M:$M,"count")</f>
        <v>6680000</v>
      </c>
    </row>
    <row r="74" spans="1:26" x14ac:dyDescent="0.25">
      <c r="A74" s="53" t="s">
        <v>96</v>
      </c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x14ac:dyDescent="0.25">
      <c r="A75" s="10" t="s">
        <v>82</v>
      </c>
      <c r="B75" s="10" t="s">
        <v>94</v>
      </c>
      <c r="C75" s="11">
        <f>SUMIFS('Raw Data'!$L:$L,'Raw Data'!$B:$B,$B$2,'Raw Data'!$J:$J,C$2,'Raw Data'!$K:$K,"native",'Raw Data'!$H:$H,"Off Us",'Raw Data'!$I:$I,"",'Raw Data'!$M:$M,"JOD")</f>
        <v>89600000</v>
      </c>
      <c r="D75" s="11">
        <f>SUMIFS('Raw Data'!$L:$L,'Raw Data'!$B:$B,$B$2,'Raw Data'!$J:$J,D$2,'Raw Data'!$K:$K,"native",'Raw Data'!$H:$H,"Off Us",'Raw Data'!$I:$I,"",'Raw Data'!$M:$M,"JOD")</f>
        <v>92300000</v>
      </c>
      <c r="E75" s="11">
        <f>SUMIFS('Raw Data'!$L:$L,'Raw Data'!$B:$B,$B$2,'Raw Data'!$J:$J,E$2,'Raw Data'!$K:$K,"native",'Raw Data'!$H:$H,"Off Us",'Raw Data'!$I:$I,"",'Raw Data'!$M:$M,"JOD")</f>
        <v>85800000</v>
      </c>
      <c r="F75" s="11">
        <f>SUMIFS('Raw Data'!$L:$L,'Raw Data'!$B:$B,$B$2,'Raw Data'!$J:$J,F$2,'Raw Data'!$K:$K,"native",'Raw Data'!$H:$H,"Off Us",'Raw Data'!$I:$I,"",'Raw Data'!$M:$M,"JOD")</f>
        <v>93800000</v>
      </c>
      <c r="G75" s="11">
        <f>SUMIFS('Raw Data'!$L:$L,'Raw Data'!$B:$B,$B$2,'Raw Data'!$J:$J,G$2,'Raw Data'!$K:$K,"native",'Raw Data'!$H:$H,"Off Us",'Raw Data'!$I:$I,"",'Raw Data'!$M:$M,"JOD")</f>
        <v>90400000</v>
      </c>
      <c r="H75" s="11">
        <f>SUMIFS('Raw Data'!$L:$L,'Raw Data'!$B:$B,$B$2,'Raw Data'!$J:$J,H$2,'Raw Data'!$K:$K,"native",'Raw Data'!$H:$H,"Off Us",'Raw Data'!$I:$I,"",'Raw Data'!$M:$M,"JOD")</f>
        <v>80050000</v>
      </c>
      <c r="I75" s="11">
        <f>SUMIFS('Raw Data'!$L:$L,'Raw Data'!$B:$B,$B$2,'Raw Data'!$J:$J,I$2,'Raw Data'!$K:$K,"native",'Raw Data'!$H:$H,"Off Us",'Raw Data'!$I:$I,"",'Raw Data'!$M:$M,"JOD")</f>
        <v>103400000</v>
      </c>
      <c r="J75" s="11">
        <f>SUMIFS('Raw Data'!$L:$L,'Raw Data'!$B:$B,$B$2,'Raw Data'!$J:$J,J$2,'Raw Data'!$K:$K,"native",'Raw Data'!$H:$H,"Off Us",'Raw Data'!$I:$I,"",'Raw Data'!$M:$M,"JOD")</f>
        <v>84700000</v>
      </c>
      <c r="K75" s="11">
        <f>SUMIFS('Raw Data'!$L:$L,'Raw Data'!$B:$B,$B$2,'Raw Data'!$J:$J,K$2,'Raw Data'!$K:$K,"native",'Raw Data'!$H:$H,"Off Us",'Raw Data'!$I:$I,"",'Raw Data'!$M:$M,"JOD")</f>
        <v>101300000</v>
      </c>
      <c r="L75" s="11">
        <f>SUMIFS('Raw Data'!$L:$L,'Raw Data'!$B:$B,$B$2,'Raw Data'!$J:$J,L$2,'Raw Data'!$K:$K,"native",'Raw Data'!$H:$H,"Off Us",'Raw Data'!$I:$I,"",'Raw Data'!$M:$M,"JOD")</f>
        <v>93940000</v>
      </c>
      <c r="M75" s="11">
        <f>SUMIFS('Raw Data'!$L:$L,'Raw Data'!$B:$B,$B$2,'Raw Data'!$J:$J,M$2,'Raw Data'!$K:$K,"native",'Raw Data'!$H:$H,"Off Us",'Raw Data'!$I:$I,"",'Raw Data'!$M:$M,"JOD")</f>
        <v>97900000</v>
      </c>
      <c r="N75" s="11">
        <f>SUMIFS('Raw Data'!$L:$L,'Raw Data'!$B:$B,$B$2,'Raw Data'!$J:$J,N$2,'Raw Data'!$K:$K,"native",'Raw Data'!$H:$H,"Off Us",'Raw Data'!$I:$I,"",'Raw Data'!$M:$M,"JOD")</f>
        <v>95800000</v>
      </c>
      <c r="O75" s="11">
        <f>SUMIFS('Raw Data'!$L:$L,'Raw Data'!$B:$B,$B$2,'Raw Data'!$J:$J,O$2,'Raw Data'!$K:$K,"native",'Raw Data'!$H:$H,"Off Us",'Raw Data'!$I:$I,"",'Raw Data'!$M:$M,"JOD")</f>
        <v>92170000</v>
      </c>
      <c r="P75" s="11">
        <f>SUMIFS('Raw Data'!$L:$L,'Raw Data'!$B:$B,$B$2,'Raw Data'!$J:$J,P$2,'Raw Data'!$K:$K,"native",'Raw Data'!$H:$H,"Off Us",'Raw Data'!$I:$I,"",'Raw Data'!$M:$M,"JOD")</f>
        <v>92030000</v>
      </c>
      <c r="Q75" s="11">
        <f>SUMIFS('Raw Data'!$L:$L,'Raw Data'!$B:$B,$B$2,'Raw Data'!$J:$J,Q$2,'Raw Data'!$K:$K,"native",'Raw Data'!$H:$H,"Off Us",'Raw Data'!$I:$I,"",'Raw Data'!$M:$M,"JOD")</f>
        <v>84520000</v>
      </c>
      <c r="R75" s="11">
        <f>SUMIFS('Raw Data'!$L:$L,'Raw Data'!$B:$B,$B$2,'Raw Data'!$J:$J,R$2,'Raw Data'!$K:$K,"native",'Raw Data'!$H:$H,"Off Us",'Raw Data'!$I:$I,"",'Raw Data'!$M:$M,"JOD")</f>
        <v>88860000</v>
      </c>
      <c r="S75" s="11">
        <f>SUMIFS('Raw Data'!$L:$L,'Raw Data'!$B:$B,$B$2,'Raw Data'!$J:$J,S$2,'Raw Data'!$K:$K,"native",'Raw Data'!$H:$H,"Off Us",'Raw Data'!$I:$I,"",'Raw Data'!$M:$M,"JOD")</f>
        <v>91320000</v>
      </c>
      <c r="T75" s="11">
        <f>SUMIFS('Raw Data'!$L:$L,'Raw Data'!$B:$B,$B$2,'Raw Data'!$J:$J,T$2,'Raw Data'!$K:$K,"native",'Raw Data'!$H:$H,"Off Us",'Raw Data'!$I:$I,"",'Raw Data'!$M:$M,"JOD")</f>
        <v>87600000</v>
      </c>
      <c r="U75" s="11">
        <f>SUMIFS('Raw Data'!$L:$L,'Raw Data'!$B:$B,$B$2,'Raw Data'!$J:$J,U$2,'Raw Data'!$K:$K,"native",'Raw Data'!$H:$H,"Off Us",'Raw Data'!$I:$I,"",'Raw Data'!$M:$M,"JOD")</f>
        <v>98960000</v>
      </c>
      <c r="V75" s="11">
        <f>SUMIFS('Raw Data'!$L:$L,'Raw Data'!$B:$B,$B$2,'Raw Data'!$J:$J,V$2,'Raw Data'!$K:$K,"native",'Raw Data'!$H:$H,"Off Us",'Raw Data'!$I:$I,"",'Raw Data'!$M:$M,"JOD")</f>
        <v>94050000</v>
      </c>
      <c r="W75" s="11">
        <f>SUMIFS('Raw Data'!$L:$L,'Raw Data'!$B:$B,$B$2,'Raw Data'!$J:$J,W$2,'Raw Data'!$K:$K,"native",'Raw Data'!$H:$H,"Off Us",'Raw Data'!$I:$I,"",'Raw Data'!$M:$M,"JOD")</f>
        <v>104500000</v>
      </c>
      <c r="X75" s="11">
        <f>SUMIFS('Raw Data'!$L:$L,'Raw Data'!$B:$B,$B$2,'Raw Data'!$J:$J,X$2,'Raw Data'!$K:$K,"native",'Raw Data'!$H:$H,"Off Us",'Raw Data'!$I:$I,"",'Raw Data'!$M:$M,"JOD")</f>
        <v>97260000</v>
      </c>
      <c r="Y75" s="11">
        <f>SUMIFS('Raw Data'!$L:$L,'Raw Data'!$B:$B,$B$2,'Raw Data'!$J:$J,Y$2,'Raw Data'!$K:$K,"native",'Raw Data'!$H:$H,"Off Us",'Raw Data'!$I:$I,"",'Raw Data'!$M:$M,"JOD")</f>
        <v>109560000</v>
      </c>
      <c r="Z75" s="11">
        <f>SUMIFS('Raw Data'!$L:$L,'Raw Data'!$B:$B,$B$2,'Raw Data'!$J:$J,Z$2,'Raw Data'!$K:$K,"native",'Raw Data'!$H:$H,"Off Us",'Raw Data'!$I:$I,"",'Raw Data'!$M:$M,"JOD")</f>
        <v>110360000</v>
      </c>
    </row>
    <row r="76" spans="1:26" x14ac:dyDescent="0.25">
      <c r="A76" s="10" t="s">
        <v>82</v>
      </c>
      <c r="B76" s="10" t="s">
        <v>95</v>
      </c>
      <c r="C76" s="11">
        <f>SUMIFS('Raw Data'!$L:$L,'Raw Data'!$B:$B,$B$2,'Raw Data'!$J:$J,C$2,'Raw Data'!$K:$K,"native",'Raw Data'!$H:$H,"On Us",'Raw Data'!$I:$I,"",'Raw Data'!$M:$M,"JOD")</f>
        <v>91200000</v>
      </c>
      <c r="D76" s="11">
        <f>SUMIFS('Raw Data'!$L:$L,'Raw Data'!$B:$B,$B$2,'Raw Data'!$J:$J,D$2,'Raw Data'!$K:$K,"native",'Raw Data'!$H:$H,"On Us",'Raw Data'!$I:$I,"",'Raw Data'!$M:$M,"JOD")</f>
        <v>88400000</v>
      </c>
      <c r="E76" s="11">
        <f>SUMIFS('Raw Data'!$L:$L,'Raw Data'!$B:$B,$B$2,'Raw Data'!$J:$J,E$2,'Raw Data'!$K:$K,"native",'Raw Data'!$H:$H,"On Us",'Raw Data'!$I:$I,"",'Raw Data'!$M:$M,"JOD")</f>
        <v>86800000</v>
      </c>
      <c r="F76" s="11">
        <f>SUMIFS('Raw Data'!$L:$L,'Raw Data'!$B:$B,$B$2,'Raw Data'!$J:$J,F$2,'Raw Data'!$K:$K,"native",'Raw Data'!$H:$H,"On Us",'Raw Data'!$I:$I,"",'Raw Data'!$M:$M,"JOD")</f>
        <v>104800000</v>
      </c>
      <c r="G76" s="11">
        <f>SUMIFS('Raw Data'!$L:$L,'Raw Data'!$B:$B,$B$2,'Raw Data'!$J:$J,G$2,'Raw Data'!$K:$K,"native",'Raw Data'!$H:$H,"On Us",'Raw Data'!$I:$I,"",'Raw Data'!$M:$M,"JOD")</f>
        <v>101300000</v>
      </c>
      <c r="H76" s="11">
        <f>SUMIFS('Raw Data'!$L:$L,'Raw Data'!$B:$B,$B$2,'Raw Data'!$J:$J,H$2,'Raw Data'!$K:$K,"native",'Raw Data'!$H:$H,"On Us",'Raw Data'!$I:$I,"",'Raw Data'!$M:$M,"JOD")</f>
        <v>93430000</v>
      </c>
      <c r="I76" s="11">
        <f>SUMIFS('Raw Data'!$L:$L,'Raw Data'!$B:$B,$B$2,'Raw Data'!$J:$J,I$2,'Raw Data'!$K:$K,"native",'Raw Data'!$H:$H,"On Us",'Raw Data'!$I:$I,"",'Raw Data'!$M:$M,"JOD")</f>
        <v>119600000</v>
      </c>
      <c r="J76" s="11">
        <f>SUMIFS('Raw Data'!$L:$L,'Raw Data'!$B:$B,$B$2,'Raw Data'!$J:$J,J$2,'Raw Data'!$K:$K,"native",'Raw Data'!$H:$H,"On Us",'Raw Data'!$I:$I,"",'Raw Data'!$M:$M,"JOD")</f>
        <v>102000000</v>
      </c>
      <c r="K76" s="11">
        <f>SUMIFS('Raw Data'!$L:$L,'Raw Data'!$B:$B,$B$2,'Raw Data'!$J:$J,K$2,'Raw Data'!$K:$K,"native",'Raw Data'!$H:$H,"On Us",'Raw Data'!$I:$I,"",'Raw Data'!$M:$M,"JOD")</f>
        <v>116600000</v>
      </c>
      <c r="L76" s="11">
        <f>SUMIFS('Raw Data'!$L:$L,'Raw Data'!$B:$B,$B$2,'Raw Data'!$J:$J,L$2,'Raw Data'!$K:$K,"native",'Raw Data'!$H:$H,"On Us",'Raw Data'!$I:$I,"",'Raw Data'!$M:$M,"JOD")</f>
        <v>112030000</v>
      </c>
      <c r="M76" s="11">
        <f>SUMIFS('Raw Data'!$L:$L,'Raw Data'!$B:$B,$B$2,'Raw Data'!$J:$J,M$2,'Raw Data'!$K:$K,"native",'Raw Data'!$H:$H,"On Us",'Raw Data'!$I:$I,"",'Raw Data'!$M:$M,"JOD")</f>
        <v>125500000</v>
      </c>
      <c r="N76" s="11">
        <f>SUMIFS('Raw Data'!$L:$L,'Raw Data'!$B:$B,$B$2,'Raw Data'!$J:$J,N$2,'Raw Data'!$K:$K,"native",'Raw Data'!$H:$H,"On Us",'Raw Data'!$I:$I,"",'Raw Data'!$M:$M,"JOD")</f>
        <v>122300000</v>
      </c>
      <c r="O76" s="11">
        <f>SUMIFS('Raw Data'!$L:$L,'Raw Data'!$B:$B,$B$2,'Raw Data'!$J:$J,O$2,'Raw Data'!$K:$K,"native",'Raw Data'!$H:$H,"On Us",'Raw Data'!$I:$I,"",'Raw Data'!$M:$M,"JOD")</f>
        <v>118550000</v>
      </c>
      <c r="P76" s="11">
        <f>SUMIFS('Raw Data'!$L:$L,'Raw Data'!$B:$B,$B$2,'Raw Data'!$J:$J,P$2,'Raw Data'!$K:$K,"native",'Raw Data'!$H:$H,"On Us",'Raw Data'!$I:$I,"",'Raw Data'!$M:$M,"JOD")</f>
        <v>114400000</v>
      </c>
      <c r="Q76" s="11">
        <f>SUMIFS('Raw Data'!$L:$L,'Raw Data'!$B:$B,$B$2,'Raw Data'!$J:$J,Q$2,'Raw Data'!$K:$K,"native",'Raw Data'!$H:$H,"On Us",'Raw Data'!$I:$I,"",'Raw Data'!$M:$M,"JOD")</f>
        <v>107890000</v>
      </c>
      <c r="R76" s="11">
        <f>SUMIFS('Raw Data'!$L:$L,'Raw Data'!$B:$B,$B$2,'Raw Data'!$J:$J,R$2,'Raw Data'!$K:$K,"native",'Raw Data'!$H:$H,"On Us",'Raw Data'!$I:$I,"",'Raw Data'!$M:$M,"JOD")</f>
        <v>117790000</v>
      </c>
      <c r="S76" s="11">
        <f>SUMIFS('Raw Data'!$L:$L,'Raw Data'!$B:$B,$B$2,'Raw Data'!$J:$J,S$2,'Raw Data'!$K:$K,"native",'Raw Data'!$H:$H,"On Us",'Raw Data'!$I:$I,"",'Raw Data'!$M:$M,"JOD")</f>
        <v>131420000</v>
      </c>
      <c r="T76" s="11">
        <f>SUMIFS('Raw Data'!$L:$L,'Raw Data'!$B:$B,$B$2,'Raw Data'!$J:$J,T$2,'Raw Data'!$K:$K,"native",'Raw Data'!$H:$H,"On Us",'Raw Data'!$I:$I,"",'Raw Data'!$M:$M,"JOD")</f>
        <v>127100000</v>
      </c>
      <c r="U76" s="11">
        <f>SUMIFS('Raw Data'!$L:$L,'Raw Data'!$B:$B,$B$2,'Raw Data'!$J:$J,U$2,'Raw Data'!$K:$K,"native",'Raw Data'!$H:$H,"On Us",'Raw Data'!$I:$I,"",'Raw Data'!$M:$M,"JOD")</f>
        <v>143590000</v>
      </c>
      <c r="V76" s="11">
        <f>SUMIFS('Raw Data'!$L:$L,'Raw Data'!$B:$B,$B$2,'Raw Data'!$J:$J,V$2,'Raw Data'!$K:$K,"native",'Raw Data'!$H:$H,"On Us",'Raw Data'!$I:$I,"",'Raw Data'!$M:$M,"JOD")</f>
        <v>133250000</v>
      </c>
      <c r="W76" s="11">
        <f>SUMIFS('Raw Data'!$L:$L,'Raw Data'!$B:$B,$B$2,'Raw Data'!$J:$J,W$2,'Raw Data'!$K:$K,"native",'Raw Data'!$H:$H,"On Us",'Raw Data'!$I:$I,"",'Raw Data'!$M:$M,"JOD")</f>
        <v>150900000</v>
      </c>
      <c r="X76" s="11">
        <f>SUMIFS('Raw Data'!$L:$L,'Raw Data'!$B:$B,$B$2,'Raw Data'!$J:$J,X$2,'Raw Data'!$K:$K,"native",'Raw Data'!$H:$H,"On Us",'Raw Data'!$I:$I,"",'Raw Data'!$M:$M,"JOD")</f>
        <v>143150000</v>
      </c>
      <c r="Y76" s="11">
        <f>SUMIFS('Raw Data'!$L:$L,'Raw Data'!$B:$B,$B$2,'Raw Data'!$J:$J,Y$2,'Raw Data'!$K:$K,"native",'Raw Data'!$H:$H,"On Us",'Raw Data'!$I:$I,"",'Raw Data'!$M:$M,"JOD")</f>
        <v>160270000</v>
      </c>
      <c r="Z76" s="11">
        <f>SUMIFS('Raw Data'!$L:$L,'Raw Data'!$B:$B,$B$2,'Raw Data'!$J:$J,Z$2,'Raw Data'!$K:$K,"native",'Raw Data'!$H:$H,"On Us",'Raw Data'!$I:$I,"",'Raw Data'!$M:$M,"JOD")</f>
        <v>161940000</v>
      </c>
    </row>
  </sheetData>
  <mergeCells count="11">
    <mergeCell ref="A74:Z74"/>
    <mergeCell ref="A25:Z25"/>
    <mergeCell ref="A30:Z30"/>
    <mergeCell ref="A48:Z48"/>
    <mergeCell ref="A53:Z53"/>
    <mergeCell ref="A71:Z71"/>
    <mergeCell ref="A1:Z1"/>
    <mergeCell ref="A4:Z4"/>
    <mergeCell ref="A7:Z7"/>
    <mergeCell ref="A10:Z10"/>
    <mergeCell ref="A19:Z1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D28D9"/>
  </sheetPr>
  <dimension ref="A1:Z37"/>
  <sheetViews>
    <sheetView showGridLines="0" zoomScaleNormal="100" workbookViewId="0">
      <pane xSplit="2" ySplit="3" topLeftCell="P49" activePane="bottomRight" state="frozen"/>
      <selection pane="topRight" activeCell="C1" sqref="C1"/>
      <selection pane="bottomLeft" activeCell="A4" sqref="A4"/>
      <selection pane="bottomRight" activeCell="Q66" sqref="Q66"/>
    </sheetView>
  </sheetViews>
  <sheetFormatPr defaultColWidth="8.7109375" defaultRowHeight="15" x14ac:dyDescent="0.25"/>
  <cols>
    <col min="1" max="1" width="22" customWidth="1"/>
    <col min="2" max="2" width="40" customWidth="1"/>
    <col min="3" max="26" width="13" customWidth="1"/>
  </cols>
  <sheetData>
    <row r="1" spans="1:26" ht="25.5" customHeight="1" x14ac:dyDescent="0.25">
      <c r="A1" s="52" t="s">
        <v>4330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spans="1:26" hidden="1" x14ac:dyDescent="0.25">
      <c r="A2" s="6" t="s">
        <v>34</v>
      </c>
      <c r="B2" s="7" t="s">
        <v>120</v>
      </c>
      <c r="C2" s="8" t="str">
        <f>RIGHT(C$3,4)&amp;"-"&amp;TEXT(MATCH(LEFT(C$3,3),{"Jan","Feb","Mar","Apr","May","Jun","Jul","Aug","Sep","Oct","Nov","Dec"},0),"00")</f>
        <v>2024-09</v>
      </c>
      <c r="D2" s="8" t="str">
        <f>RIGHT(D$3,4)&amp;"-"&amp;TEXT(MATCH(LEFT(D$3,3),{"Jan","Feb","Mar","Apr","May","Jun","Jul","Aug","Sep","Oct","Nov","Dec"},0),"00")</f>
        <v>2024-10</v>
      </c>
      <c r="E2" s="8" t="str">
        <f>RIGHT(E$3,4)&amp;"-"&amp;TEXT(MATCH(LEFT(E$3,3),{"Jan","Feb","Mar","Apr","May","Jun","Jul","Aug","Sep","Oct","Nov","Dec"},0),"00")</f>
        <v>2024-11</v>
      </c>
      <c r="F2" s="8" t="str">
        <f>RIGHT(F$3,4)&amp;"-"&amp;TEXT(MATCH(LEFT(F$3,3),{"Jan","Feb","Mar","Apr","May","Jun","Jul","Aug","Sep","Oct","Nov","Dec"},0),"00")</f>
        <v>2024-12</v>
      </c>
      <c r="G2" s="8" t="str">
        <f>RIGHT(G$3,4)&amp;"-"&amp;TEXT(MATCH(LEFT(G$3,3),{"Jan","Feb","Mar","Apr","May","Jun","Jul","Aug","Sep","Oct","Nov","Dec"},0),"00")</f>
        <v>2025-01</v>
      </c>
      <c r="H2" s="8" t="str">
        <f>RIGHT(H$3,4)&amp;"-"&amp;TEXT(MATCH(LEFT(H$3,3),{"Jan","Feb","Mar","Apr","May","Jun","Jul","Aug","Sep","Oct","Nov","Dec"},0),"00")</f>
        <v>2025-02</v>
      </c>
      <c r="I2" s="8" t="str">
        <f>RIGHT(I$3,4)&amp;"-"&amp;TEXT(MATCH(LEFT(I$3,3),{"Jan","Feb","Mar","Apr","May","Jun","Jul","Aug","Sep","Oct","Nov","Dec"},0),"00")</f>
        <v>2025-03</v>
      </c>
      <c r="J2" s="8" t="str">
        <f>RIGHT(J$3,4)&amp;"-"&amp;TEXT(MATCH(LEFT(J$3,3),{"Jan","Feb","Mar","Apr","May","Jun","Jul","Aug","Sep","Oct","Nov","Dec"},0),"00")</f>
        <v>2025-04</v>
      </c>
      <c r="K2" s="8" t="str">
        <f>RIGHT(K$3,4)&amp;"-"&amp;TEXT(MATCH(LEFT(K$3,3),{"Jan","Feb","Mar","Apr","May","Jun","Jul","Aug","Sep","Oct","Nov","Dec"},0),"00")</f>
        <v>2025-05</v>
      </c>
      <c r="L2" s="8" t="str">
        <f>RIGHT(L$3,4)&amp;"-"&amp;TEXT(MATCH(LEFT(L$3,3),{"Jan","Feb","Mar","Apr","May","Jun","Jul","Aug","Sep","Oct","Nov","Dec"},0),"00")</f>
        <v>2025-06</v>
      </c>
      <c r="M2" s="8" t="str">
        <f>RIGHT(M$3,4)&amp;"-"&amp;TEXT(MATCH(LEFT(M$3,3),{"Jan","Feb","Mar","Apr","May","Jun","Jul","Aug","Sep","Oct","Nov","Dec"},0),"00")</f>
        <v>2025-07</v>
      </c>
      <c r="N2" s="8" t="str">
        <f>RIGHT(N$3,4)&amp;"-"&amp;TEXT(MATCH(LEFT(N$3,3),{"Jan","Feb","Mar","Apr","May","Jun","Jul","Aug","Sep","Oct","Nov","Dec"},0),"00")</f>
        <v>2025-08</v>
      </c>
      <c r="O2" s="8" t="str">
        <f>RIGHT(O$3,4)&amp;"-"&amp;TEXT(MATCH(LEFT(O$3,3),{"Jan","Feb","Mar","Apr","May","Jun","Jul","Aug","Sep","Oct","Nov","Dec"},0),"00")</f>
        <v>2025-09</v>
      </c>
      <c r="P2" s="8" t="str">
        <f>RIGHT(P$3,4)&amp;"-"&amp;TEXT(MATCH(LEFT(P$3,3),{"Jan","Feb","Mar","Apr","May","Jun","Jul","Aug","Sep","Oct","Nov","Dec"},0),"00")</f>
        <v>2025-10</v>
      </c>
      <c r="Q2" s="8" t="str">
        <f>RIGHT(Q$3,4)&amp;"-"&amp;TEXT(MATCH(LEFT(Q$3,3),{"Jan","Feb","Mar","Apr","May","Jun","Jul","Aug","Sep","Oct","Nov","Dec"},0),"00")</f>
        <v>2025-11</v>
      </c>
      <c r="R2" s="8" t="str">
        <f>RIGHT(R$3,4)&amp;"-"&amp;TEXT(MATCH(LEFT(R$3,3),{"Jan","Feb","Mar","Apr","May","Jun","Jul","Aug","Sep","Oct","Nov","Dec"},0),"00")</f>
        <v>2025-12</v>
      </c>
      <c r="S2" s="8" t="str">
        <f>RIGHT(S$3,4)&amp;"-"&amp;TEXT(MATCH(LEFT(S$3,3),{"Jan","Feb","Mar","Apr","May","Jun","Jul","Aug","Sep","Oct","Nov","Dec"},0),"00")</f>
        <v>2026-01</v>
      </c>
      <c r="T2" s="8" t="str">
        <f>RIGHT(T$3,4)&amp;"-"&amp;TEXT(MATCH(LEFT(T$3,3),{"Jan","Feb","Mar","Apr","May","Jun","Jul","Aug","Sep","Oct","Nov","Dec"},0),"00")</f>
        <v>2026-02</v>
      </c>
      <c r="U2" s="8" t="str">
        <f>RIGHT(U$3,4)&amp;"-"&amp;TEXT(MATCH(LEFT(U$3,3),{"Jan","Feb","Mar","Apr","May","Jun","Jul","Aug","Sep","Oct","Nov","Dec"},0),"00")</f>
        <v>2026-03</v>
      </c>
      <c r="V2" s="8" t="str">
        <f>RIGHT(V$3,4)&amp;"-"&amp;TEXT(MATCH(LEFT(V$3,3),{"Jan","Feb","Mar","Apr","May","Jun","Jul","Aug","Sep","Oct","Nov","Dec"},0),"00")</f>
        <v>2026-04</v>
      </c>
      <c r="W2" s="8" t="str">
        <f>RIGHT(W$3,4)&amp;"-"&amp;TEXT(MATCH(LEFT(W$3,3),{"Jan","Feb","Mar","Apr","May","Jun","Jul","Aug","Sep","Oct","Nov","Dec"},0),"00")</f>
        <v>2026-05</v>
      </c>
      <c r="X2" s="8" t="str">
        <f>RIGHT(X$3,4)&amp;"-"&amp;TEXT(MATCH(LEFT(X$3,3),{"Jan","Feb","Mar","Apr","May","Jun","Jul","Aug","Sep","Oct","Nov","Dec"},0),"00")</f>
        <v>2026-06</v>
      </c>
      <c r="Y2" s="8" t="str">
        <f>RIGHT(Y$3,4)&amp;"-"&amp;TEXT(MATCH(LEFT(Y$3,3),{"Jan","Feb","Mar","Apr","May","Jun","Jul","Aug","Sep","Oct","Nov","Dec"},0),"00")</f>
        <v>2026-07</v>
      </c>
      <c r="Z2" s="8" t="str">
        <f>RIGHT(Z$3,4)&amp;"-"&amp;TEXT(MATCH(LEFT(Z$3,3),{"Jan","Feb","Mar","Apr","May","Jun","Jul","Aug","Sep","Oct","Nov","Dec"},0),"00")</f>
        <v>2026-08</v>
      </c>
    </row>
    <row r="3" spans="1:26" ht="19.5" customHeight="1" x14ac:dyDescent="0.25">
      <c r="A3" s="9" t="s">
        <v>36</v>
      </c>
      <c r="B3" s="9" t="s">
        <v>37</v>
      </c>
      <c r="C3" s="9" t="s">
        <v>38</v>
      </c>
      <c r="D3" s="9" t="s">
        <v>39</v>
      </c>
      <c r="E3" s="9" t="s">
        <v>40</v>
      </c>
      <c r="F3" s="9" t="s">
        <v>41</v>
      </c>
      <c r="G3" s="9" t="s">
        <v>42</v>
      </c>
      <c r="H3" s="9" t="s">
        <v>43</v>
      </c>
      <c r="I3" s="9" t="s">
        <v>44</v>
      </c>
      <c r="J3" s="9" t="s">
        <v>45</v>
      </c>
      <c r="K3" s="9" t="s">
        <v>46</v>
      </c>
      <c r="L3" s="9" t="s">
        <v>47</v>
      </c>
      <c r="M3" s="9" t="s">
        <v>48</v>
      </c>
      <c r="N3" s="9" t="s">
        <v>49</v>
      </c>
      <c r="O3" s="9" t="s">
        <v>50</v>
      </c>
      <c r="P3" s="9" t="s">
        <v>51</v>
      </c>
      <c r="Q3" s="9" t="s">
        <v>52</v>
      </c>
      <c r="R3" s="9" t="s">
        <v>53</v>
      </c>
      <c r="S3" s="9" t="s">
        <v>54</v>
      </c>
      <c r="T3" s="9" t="s">
        <v>55</v>
      </c>
      <c r="U3" s="9" t="s">
        <v>56</v>
      </c>
      <c r="V3" s="9" t="s">
        <v>57</v>
      </c>
      <c r="W3" s="9" t="s">
        <v>58</v>
      </c>
      <c r="X3" s="9" t="s">
        <v>59</v>
      </c>
      <c r="Y3" s="9" t="s">
        <v>60</v>
      </c>
      <c r="Z3" s="9" t="s">
        <v>61</v>
      </c>
    </row>
    <row r="4" spans="1:26" x14ac:dyDescent="0.25">
      <c r="A4" s="53" t="s">
        <v>121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x14ac:dyDescent="0.25">
      <c r="A5" s="10" t="s">
        <v>63</v>
      </c>
      <c r="B5" s="10" t="s">
        <v>122</v>
      </c>
      <c r="C5" s="11">
        <f>SUMIFS('Raw Data'!$L:$L,'Raw Data'!$B:$B,$B$2,'Raw Data'!$J:$J,C$2,'Raw Data'!$K:$K,"native",'Raw Data'!$H:$H,"Existing Users",'Raw Data'!$I:$I,"",'Raw Data'!$M:$M,"count")</f>
        <v>4390000</v>
      </c>
      <c r="D5" s="11">
        <f>SUMIFS('Raw Data'!$L:$L,'Raw Data'!$B:$B,$B$2,'Raw Data'!$J:$J,D$2,'Raw Data'!$K:$K,"native",'Raw Data'!$H:$H,"Existing Users",'Raw Data'!$I:$I,"",'Raw Data'!$M:$M,"count")</f>
        <v>4430000</v>
      </c>
      <c r="E5" s="11">
        <f>SUMIFS('Raw Data'!$L:$L,'Raw Data'!$B:$B,$B$2,'Raw Data'!$J:$J,E$2,'Raw Data'!$K:$K,"native",'Raw Data'!$H:$H,"Existing Users",'Raw Data'!$I:$I,"",'Raw Data'!$M:$M,"count")</f>
        <v>4470000</v>
      </c>
      <c r="F5" s="11">
        <f>SUMIFS('Raw Data'!$L:$L,'Raw Data'!$B:$B,$B$2,'Raw Data'!$J:$J,F$2,'Raw Data'!$K:$K,"native",'Raw Data'!$H:$H,"Existing Users",'Raw Data'!$I:$I,"",'Raw Data'!$M:$M,"count")</f>
        <v>4500000</v>
      </c>
      <c r="G5" s="11">
        <f>SUMIFS('Raw Data'!$L:$L,'Raw Data'!$B:$B,$B$2,'Raw Data'!$J:$J,G$2,'Raw Data'!$K:$K,"native",'Raw Data'!$H:$H,"Existing Users",'Raw Data'!$I:$I,"",'Raw Data'!$M:$M,"count")</f>
        <v>4540000</v>
      </c>
      <c r="H5" s="11">
        <f>SUMIFS('Raw Data'!$L:$L,'Raw Data'!$B:$B,$B$2,'Raw Data'!$J:$J,H$2,'Raw Data'!$K:$K,"native",'Raw Data'!$H:$H,"Existing Users",'Raw Data'!$I:$I,"",'Raw Data'!$M:$M,"count")</f>
        <v>4580000</v>
      </c>
      <c r="I5" s="11">
        <f>SUMIFS('Raw Data'!$L:$L,'Raw Data'!$B:$B,$B$2,'Raw Data'!$J:$J,I$2,'Raw Data'!$K:$K,"native",'Raw Data'!$H:$H,"Existing Users",'Raw Data'!$I:$I,"",'Raw Data'!$M:$M,"count")</f>
        <v>4620000</v>
      </c>
      <c r="J5" s="11">
        <f>SUMIFS('Raw Data'!$L:$L,'Raw Data'!$B:$B,$B$2,'Raw Data'!$J:$J,J$2,'Raw Data'!$K:$K,"native",'Raw Data'!$H:$H,"Existing Users",'Raw Data'!$I:$I,"",'Raw Data'!$M:$M,"count")</f>
        <v>4650000</v>
      </c>
      <c r="K5" s="11">
        <f>SUMIFS('Raw Data'!$L:$L,'Raw Data'!$B:$B,$B$2,'Raw Data'!$J:$J,K$2,'Raw Data'!$K:$K,"native",'Raw Data'!$H:$H,"Existing Users",'Raw Data'!$I:$I,"",'Raw Data'!$M:$M,"count")</f>
        <v>4680000</v>
      </c>
      <c r="L5" s="11">
        <f>SUMIFS('Raw Data'!$L:$L,'Raw Data'!$B:$B,$B$2,'Raw Data'!$J:$J,L$2,'Raw Data'!$K:$K,"native",'Raw Data'!$H:$H,"Existing Users",'Raw Data'!$I:$I,"",'Raw Data'!$M:$M,"count")</f>
        <v>4730000</v>
      </c>
      <c r="M5" s="11">
        <f>SUMIFS('Raw Data'!$L:$L,'Raw Data'!$B:$B,$B$2,'Raw Data'!$J:$J,M$2,'Raw Data'!$K:$K,"native",'Raw Data'!$H:$H,"Existing Users",'Raw Data'!$I:$I,"",'Raw Data'!$M:$M,"count")</f>
        <v>4760000</v>
      </c>
      <c r="N5" s="11">
        <f>SUMIFS('Raw Data'!$L:$L,'Raw Data'!$B:$B,$B$2,'Raw Data'!$J:$J,N$2,'Raw Data'!$K:$K,"native",'Raw Data'!$H:$H,"Existing Users",'Raw Data'!$I:$I,"",'Raw Data'!$M:$M,"count")</f>
        <v>4810000</v>
      </c>
      <c r="O5" s="11">
        <f>SUMIFS('Raw Data'!$L:$L,'Raw Data'!$B:$B,$B$2,'Raw Data'!$J:$J,O$2,'Raw Data'!$K:$K,"native",'Raw Data'!$H:$H,"Existing Users",'Raw Data'!$I:$I,"",'Raw Data'!$M:$M,"count")</f>
        <v>4850000</v>
      </c>
      <c r="P5" s="11">
        <f>SUMIFS('Raw Data'!$L:$L,'Raw Data'!$B:$B,$B$2,'Raw Data'!$J:$J,P$2,'Raw Data'!$K:$K,"native",'Raw Data'!$H:$H,"Existing Users",'Raw Data'!$I:$I,"",'Raw Data'!$M:$M,"count")</f>
        <v>4900000</v>
      </c>
      <c r="Q5" s="11">
        <f>SUMIFS('Raw Data'!$L:$L,'Raw Data'!$B:$B,$B$2,'Raw Data'!$J:$J,Q$2,'Raw Data'!$K:$K,"native",'Raw Data'!$H:$H,"Existing Users",'Raw Data'!$I:$I,"",'Raw Data'!$M:$M,"count")</f>
        <v>4950000</v>
      </c>
      <c r="R5" s="11">
        <f>SUMIFS('Raw Data'!$L:$L,'Raw Data'!$B:$B,$B$2,'Raw Data'!$J:$J,R$2,'Raw Data'!$K:$K,"native",'Raw Data'!$H:$H,"Existing Users",'Raw Data'!$I:$I,"",'Raw Data'!$M:$M,"count")</f>
        <v>5000000</v>
      </c>
      <c r="S5" s="11">
        <f>SUMIFS('Raw Data'!$L:$L,'Raw Data'!$B:$B,$B$2,'Raw Data'!$J:$J,S$2,'Raw Data'!$K:$K,"native",'Raw Data'!$H:$H,"Existing Users",'Raw Data'!$I:$I,"",'Raw Data'!$M:$M,"count")</f>
        <v>5040000</v>
      </c>
      <c r="T5" s="11">
        <f>SUMIFS('Raw Data'!$L:$L,'Raw Data'!$B:$B,$B$2,'Raw Data'!$J:$J,T$2,'Raw Data'!$K:$K,"native",'Raw Data'!$H:$H,"Existing Users",'Raw Data'!$I:$I,"",'Raw Data'!$M:$M,"count")</f>
        <v>5090000</v>
      </c>
      <c r="U5" s="11">
        <f>SUMIFS('Raw Data'!$L:$L,'Raw Data'!$B:$B,$B$2,'Raw Data'!$J:$J,U$2,'Raw Data'!$K:$K,"native",'Raw Data'!$H:$H,"Existing Users",'Raw Data'!$I:$I,"",'Raw Data'!$M:$M,"count")</f>
        <v>5130000</v>
      </c>
      <c r="V5" s="11">
        <f>SUMIFS('Raw Data'!$L:$L,'Raw Data'!$B:$B,$B$2,'Raw Data'!$J:$J,V$2,'Raw Data'!$K:$K,"native",'Raw Data'!$H:$H,"Existing Users",'Raw Data'!$I:$I,"",'Raw Data'!$M:$M,"count")</f>
        <v>5170000</v>
      </c>
      <c r="W5" s="11">
        <f>SUMIFS('Raw Data'!$L:$L,'Raw Data'!$B:$B,$B$2,'Raw Data'!$J:$J,W$2,'Raw Data'!$K:$K,"native",'Raw Data'!$H:$H,"Existing Users",'Raw Data'!$I:$I,"",'Raw Data'!$M:$M,"count")</f>
        <v>5210000</v>
      </c>
      <c r="X5" s="11">
        <f>SUMIFS('Raw Data'!$L:$L,'Raw Data'!$B:$B,$B$2,'Raw Data'!$J:$J,X$2,'Raw Data'!$K:$K,"native",'Raw Data'!$H:$H,"Existing Users",'Raw Data'!$I:$I,"",'Raw Data'!$M:$M,"count")</f>
        <v>5250000</v>
      </c>
      <c r="Y5" s="11">
        <f>SUMIFS('Raw Data'!$L:$L,'Raw Data'!$B:$B,$B$2,'Raw Data'!$J:$J,Y$2,'Raw Data'!$K:$K,"native",'Raw Data'!$H:$H,"Existing Users",'Raw Data'!$I:$I,"",'Raw Data'!$M:$M,"count")</f>
        <v>5290000</v>
      </c>
      <c r="Z5" s="11">
        <f>SUMIFS('Raw Data'!$L:$L,'Raw Data'!$B:$B,$B$2,'Raw Data'!$J:$J,Z$2,'Raw Data'!$K:$K,"native",'Raw Data'!$H:$H,"Existing Users",'Raw Data'!$I:$I,"",'Raw Data'!$M:$M,"count")</f>
        <v>5340000</v>
      </c>
    </row>
    <row r="6" spans="1:26" x14ac:dyDescent="0.25">
      <c r="A6" s="10" t="s">
        <v>63</v>
      </c>
      <c r="B6" s="10" t="s">
        <v>123</v>
      </c>
      <c r="C6" s="11">
        <f>SUMIFS('Raw Data'!$L:$L,'Raw Data'!$B:$B,$B$2,'Raw Data'!$J:$J,C$2,'Raw Data'!$K:$K,"native",'Raw Data'!$H:$H,"New Users",'Raw Data'!$I:$I,"",'Raw Data'!$M:$M,"count")</f>
        <v>38800</v>
      </c>
      <c r="D6" s="11">
        <f>SUMIFS('Raw Data'!$L:$L,'Raw Data'!$B:$B,$B$2,'Raw Data'!$J:$J,D$2,'Raw Data'!$K:$K,"native",'Raw Data'!$H:$H,"New Users",'Raw Data'!$I:$I,"",'Raw Data'!$M:$M,"count")</f>
        <v>40600</v>
      </c>
      <c r="E6" s="11">
        <f>SUMIFS('Raw Data'!$L:$L,'Raw Data'!$B:$B,$B$2,'Raw Data'!$J:$J,E$2,'Raw Data'!$K:$K,"native",'Raw Data'!$H:$H,"New Users",'Raw Data'!$I:$I,"",'Raw Data'!$M:$M,"count")</f>
        <v>34400</v>
      </c>
      <c r="F6" s="11">
        <f>SUMIFS('Raw Data'!$L:$L,'Raw Data'!$B:$B,$B$2,'Raw Data'!$J:$J,F$2,'Raw Data'!$K:$K,"native",'Raw Data'!$H:$H,"New Users",'Raw Data'!$I:$I,"",'Raw Data'!$M:$M,"count")</f>
        <v>38100</v>
      </c>
      <c r="G6" s="11">
        <f>SUMIFS('Raw Data'!$L:$L,'Raw Data'!$B:$B,$B$2,'Raw Data'!$J:$J,G$2,'Raw Data'!$K:$K,"native",'Raw Data'!$H:$H,"New Users",'Raw Data'!$I:$I,"",'Raw Data'!$M:$M,"count")</f>
        <v>37100</v>
      </c>
      <c r="H6" s="11">
        <f>SUMIFS('Raw Data'!$L:$L,'Raw Data'!$B:$B,$B$2,'Raw Data'!$J:$J,H$2,'Raw Data'!$K:$K,"native",'Raw Data'!$H:$H,"New Users",'Raw Data'!$I:$I,"",'Raw Data'!$M:$M,"count")</f>
        <v>37900</v>
      </c>
      <c r="I6" s="11">
        <f>SUMIFS('Raw Data'!$L:$L,'Raw Data'!$B:$B,$B$2,'Raw Data'!$J:$J,I$2,'Raw Data'!$K:$K,"native",'Raw Data'!$H:$H,"New Users",'Raw Data'!$I:$I,"",'Raw Data'!$M:$M,"count")</f>
        <v>35500</v>
      </c>
      <c r="J6" s="11">
        <f>SUMIFS('Raw Data'!$L:$L,'Raw Data'!$B:$B,$B$2,'Raw Data'!$J:$J,J$2,'Raw Data'!$K:$K,"native",'Raw Data'!$H:$H,"New Users",'Raw Data'!$I:$I,"",'Raw Data'!$M:$M,"count")</f>
        <v>34200</v>
      </c>
      <c r="K6" s="11">
        <f>SUMIFS('Raw Data'!$L:$L,'Raw Data'!$B:$B,$B$2,'Raw Data'!$J:$J,K$2,'Raw Data'!$K:$K,"native",'Raw Data'!$H:$H,"New Users",'Raw Data'!$I:$I,"",'Raw Data'!$M:$M,"count")</f>
        <v>40200</v>
      </c>
      <c r="L6" s="11">
        <f>SUMIFS('Raw Data'!$L:$L,'Raw Data'!$B:$B,$B$2,'Raw Data'!$J:$J,L$2,'Raw Data'!$K:$K,"native",'Raw Data'!$H:$H,"New Users",'Raw Data'!$I:$I,"",'Raw Data'!$M:$M,"count")</f>
        <v>38700</v>
      </c>
      <c r="M6" s="11">
        <f>SUMIFS('Raw Data'!$L:$L,'Raw Data'!$B:$B,$B$2,'Raw Data'!$J:$J,M$2,'Raw Data'!$K:$K,"native",'Raw Data'!$H:$H,"New Users",'Raw Data'!$I:$I,"",'Raw Data'!$M:$M,"count")</f>
        <v>43400</v>
      </c>
      <c r="N6" s="11">
        <f>SUMIFS('Raw Data'!$L:$L,'Raw Data'!$B:$B,$B$2,'Raw Data'!$J:$J,N$2,'Raw Data'!$K:$K,"native",'Raw Data'!$H:$H,"New Users",'Raw Data'!$I:$I,"",'Raw Data'!$M:$M,"count")</f>
        <v>46100</v>
      </c>
      <c r="O6" s="11">
        <f>SUMIFS('Raw Data'!$L:$L,'Raw Data'!$B:$B,$B$2,'Raw Data'!$J:$J,O$2,'Raw Data'!$K:$K,"native",'Raw Data'!$H:$H,"New Users",'Raw Data'!$I:$I,"",'Raw Data'!$M:$M,"count")</f>
        <v>44600</v>
      </c>
      <c r="P6" s="11">
        <f>SUMIFS('Raw Data'!$L:$L,'Raw Data'!$B:$B,$B$2,'Raw Data'!$J:$J,P$2,'Raw Data'!$K:$K,"native",'Raw Data'!$H:$H,"New Users",'Raw Data'!$I:$I,"",'Raw Data'!$M:$M,"count")</f>
        <v>55700</v>
      </c>
      <c r="Q6" s="11">
        <f>SUMIFS('Raw Data'!$L:$L,'Raw Data'!$B:$B,$B$2,'Raw Data'!$J:$J,Q$2,'Raw Data'!$K:$K,"native",'Raw Data'!$H:$H,"New Users",'Raw Data'!$I:$I,"",'Raw Data'!$M:$M,"count")</f>
        <v>41500</v>
      </c>
      <c r="R6" s="11">
        <f>SUMIFS('Raw Data'!$L:$L,'Raw Data'!$B:$B,$B$2,'Raw Data'!$J:$J,R$2,'Raw Data'!$K:$K,"native",'Raw Data'!$H:$H,"New Users",'Raw Data'!$I:$I,"",'Raw Data'!$M:$M,"count")</f>
        <v>44300</v>
      </c>
      <c r="S6" s="11">
        <f>SUMIFS('Raw Data'!$L:$L,'Raw Data'!$B:$B,$B$2,'Raw Data'!$J:$J,S$2,'Raw Data'!$K:$K,"native",'Raw Data'!$H:$H,"New Users",'Raw Data'!$I:$I,"",'Raw Data'!$M:$M,"count")</f>
        <v>46200</v>
      </c>
      <c r="T6" s="11">
        <f>SUMIFS('Raw Data'!$L:$L,'Raw Data'!$B:$B,$B$2,'Raw Data'!$J:$J,T$2,'Raw Data'!$K:$K,"native",'Raw Data'!$H:$H,"New Users",'Raw Data'!$I:$I,"",'Raw Data'!$M:$M,"count")</f>
        <v>43500</v>
      </c>
      <c r="U6" s="11">
        <f>SUMIFS('Raw Data'!$L:$L,'Raw Data'!$B:$B,$B$2,'Raw Data'!$J:$J,U$2,'Raw Data'!$K:$K,"native",'Raw Data'!$H:$H,"New Users",'Raw Data'!$I:$I,"",'Raw Data'!$M:$M,"count")</f>
        <v>41800</v>
      </c>
      <c r="V6" s="11">
        <f>SUMIFS('Raw Data'!$L:$L,'Raw Data'!$B:$B,$B$2,'Raw Data'!$J:$J,V$2,'Raw Data'!$K:$K,"native",'Raw Data'!$H:$H,"New Users",'Raw Data'!$I:$I,"",'Raw Data'!$M:$M,"count")</f>
        <v>37200</v>
      </c>
      <c r="W6" s="11">
        <f>SUMIFS('Raw Data'!$L:$L,'Raw Data'!$B:$B,$B$2,'Raw Data'!$J:$J,W$2,'Raw Data'!$K:$K,"native",'Raw Data'!$H:$H,"New Users",'Raw Data'!$I:$I,"",'Raw Data'!$M:$M,"count")</f>
        <v>40460</v>
      </c>
      <c r="X6" s="11">
        <f>SUMIFS('Raw Data'!$L:$L,'Raw Data'!$B:$B,$B$2,'Raw Data'!$J:$J,X$2,'Raw Data'!$K:$K,"native",'Raw Data'!$H:$H,"New Users",'Raw Data'!$I:$I,"",'Raw Data'!$M:$M,"count")</f>
        <v>42450</v>
      </c>
      <c r="Y6" s="11">
        <f>SUMIFS('Raw Data'!$L:$L,'Raw Data'!$B:$B,$B$2,'Raw Data'!$J:$J,Y$2,'Raw Data'!$K:$K,"native",'Raw Data'!$H:$H,"New Users",'Raw Data'!$I:$I,"",'Raw Data'!$M:$M,"count")</f>
        <v>45120</v>
      </c>
      <c r="Z6" s="11">
        <f>SUMIFS('Raw Data'!$L:$L,'Raw Data'!$B:$B,$B$2,'Raw Data'!$J:$J,Z$2,'Raw Data'!$K:$K,"native",'Raw Data'!$H:$H,"New Users",'Raw Data'!$I:$I,"",'Raw Data'!$M:$M,"count")</f>
        <v>53280</v>
      </c>
    </row>
    <row r="7" spans="1:26" x14ac:dyDescent="0.25">
      <c r="A7" s="53" t="s">
        <v>124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x14ac:dyDescent="0.25">
      <c r="A8" s="10" t="s">
        <v>82</v>
      </c>
      <c r="B8" s="10" t="s">
        <v>125</v>
      </c>
      <c r="C8" s="11">
        <f>SUMIFS('Raw Data'!$L:$L,'Raw Data'!$B:$B,$B$2,'Raw Data'!$J:$J,C$2,'Raw Data'!$K:$K,"native",'Raw Data'!$H:$H,"Associations and Organizations",'Raw Data'!$I:$I,"",'Raw Data'!$M:$M,"count")</f>
        <v>30000</v>
      </c>
      <c r="D8" s="11">
        <f>SUMIFS('Raw Data'!$L:$L,'Raw Data'!$B:$B,$B$2,'Raw Data'!$J:$J,D$2,'Raw Data'!$K:$K,"native",'Raw Data'!$H:$H,"Associations and Organizations",'Raw Data'!$I:$I,"",'Raw Data'!$M:$M,"count")</f>
        <v>32000</v>
      </c>
      <c r="E8" s="11">
        <f>SUMIFS('Raw Data'!$L:$L,'Raw Data'!$B:$B,$B$2,'Raw Data'!$J:$J,E$2,'Raw Data'!$K:$K,"native",'Raw Data'!$H:$H,"Associations and Organizations",'Raw Data'!$I:$I,"",'Raw Data'!$M:$M,"count")</f>
        <v>30000</v>
      </c>
      <c r="F8" s="11">
        <f>SUMIFS('Raw Data'!$L:$L,'Raw Data'!$B:$B,$B$2,'Raw Data'!$J:$J,F$2,'Raw Data'!$K:$K,"native",'Raw Data'!$H:$H,"Associations and Organizations",'Raw Data'!$I:$I,"",'Raw Data'!$M:$M,"count")</f>
        <v>36000</v>
      </c>
      <c r="G8" s="11">
        <f>SUMIFS('Raw Data'!$L:$L,'Raw Data'!$B:$B,$B$2,'Raw Data'!$J:$J,G$2,'Raw Data'!$K:$K,"native",'Raw Data'!$H:$H,"Associations and Organizations",'Raw Data'!$I:$I,"",'Raw Data'!$M:$M,"count")</f>
        <v>60000</v>
      </c>
      <c r="H8" s="11">
        <f>SUMIFS('Raw Data'!$L:$L,'Raw Data'!$B:$B,$B$2,'Raw Data'!$J:$J,H$2,'Raw Data'!$K:$K,"native",'Raw Data'!$H:$H,"Associations and Organizations",'Raw Data'!$I:$I,"",'Raw Data'!$M:$M,"count")</f>
        <v>46000</v>
      </c>
      <c r="I8" s="11">
        <f>SUMIFS('Raw Data'!$L:$L,'Raw Data'!$B:$B,$B$2,'Raw Data'!$J:$J,I$2,'Raw Data'!$K:$K,"native",'Raw Data'!$H:$H,"Associations and Organizations",'Raw Data'!$I:$I,"",'Raw Data'!$M:$M,"count")</f>
        <v>39000</v>
      </c>
      <c r="J8" s="11">
        <f>SUMIFS('Raw Data'!$L:$L,'Raw Data'!$B:$B,$B$2,'Raw Data'!$J:$J,J$2,'Raw Data'!$K:$K,"native",'Raw Data'!$H:$H,"Associations and Organizations",'Raw Data'!$I:$I,"",'Raw Data'!$M:$M,"count")</f>
        <v>39000</v>
      </c>
      <c r="K8" s="11">
        <f>SUMIFS('Raw Data'!$L:$L,'Raw Data'!$B:$B,$B$2,'Raw Data'!$J:$J,K$2,'Raw Data'!$K:$K,"native",'Raw Data'!$H:$H,"Associations and Organizations",'Raw Data'!$I:$I,"",'Raw Data'!$M:$M,"count")</f>
        <v>33000</v>
      </c>
      <c r="L8" s="11">
        <f>SUMIFS('Raw Data'!$L:$L,'Raw Data'!$B:$B,$B$2,'Raw Data'!$J:$J,L$2,'Raw Data'!$K:$K,"native",'Raw Data'!$H:$H,"Associations and Organizations",'Raw Data'!$I:$I,"",'Raw Data'!$M:$M,"count")</f>
        <v>33000</v>
      </c>
      <c r="M8" s="11">
        <f>SUMIFS('Raw Data'!$L:$L,'Raw Data'!$B:$B,$B$2,'Raw Data'!$J:$J,M$2,'Raw Data'!$K:$K,"native",'Raw Data'!$H:$H,"Associations and Organizations",'Raw Data'!$I:$I,"",'Raw Data'!$M:$M,"count")</f>
        <v>36000</v>
      </c>
      <c r="N8" s="11">
        <f>SUMIFS('Raw Data'!$L:$L,'Raw Data'!$B:$B,$B$2,'Raw Data'!$J:$J,N$2,'Raw Data'!$K:$K,"native",'Raw Data'!$H:$H,"Associations and Organizations",'Raw Data'!$I:$I,"",'Raw Data'!$M:$M,"count")</f>
        <v>34000</v>
      </c>
      <c r="O8" s="11">
        <f>SUMIFS('Raw Data'!$L:$L,'Raw Data'!$B:$B,$B$2,'Raw Data'!$J:$J,O$2,'Raw Data'!$K:$K,"native",'Raw Data'!$H:$H,"Associations and Organizations",'Raw Data'!$I:$I,"",'Raw Data'!$M:$M,"count")</f>
        <v>34000</v>
      </c>
      <c r="P8" s="11">
        <f>SUMIFS('Raw Data'!$L:$L,'Raw Data'!$B:$B,$B$2,'Raw Data'!$J:$J,P$2,'Raw Data'!$K:$K,"native",'Raw Data'!$H:$H,"Associations and Organizations",'Raw Data'!$I:$I,"",'Raw Data'!$M:$M,"count")</f>
        <v>36000</v>
      </c>
      <c r="Q8" s="11">
        <f>SUMIFS('Raw Data'!$L:$L,'Raw Data'!$B:$B,$B$2,'Raw Data'!$J:$J,Q$2,'Raw Data'!$K:$K,"native",'Raw Data'!$H:$H,"Associations and Organizations",'Raw Data'!$I:$I,"",'Raw Data'!$M:$M,"count")</f>
        <v>36000</v>
      </c>
      <c r="R8" s="11">
        <f>SUMIFS('Raw Data'!$L:$L,'Raw Data'!$B:$B,$B$2,'Raw Data'!$J:$J,R$2,'Raw Data'!$K:$K,"native",'Raw Data'!$H:$H,"Associations and Organizations",'Raw Data'!$I:$I,"",'Raw Data'!$M:$M,"count")</f>
        <v>43000</v>
      </c>
      <c r="S8" s="11">
        <f>SUMIFS('Raw Data'!$L:$L,'Raw Data'!$B:$B,$B$2,'Raw Data'!$J:$J,S$2,'Raw Data'!$K:$K,"native",'Raw Data'!$H:$H,"Associations and Organizations",'Raw Data'!$I:$I,"",'Raw Data'!$M:$M,"count")</f>
        <v>64000</v>
      </c>
      <c r="T8" s="11">
        <f>SUMIFS('Raw Data'!$L:$L,'Raw Data'!$B:$B,$B$2,'Raw Data'!$J:$J,T$2,'Raw Data'!$K:$K,"native",'Raw Data'!$H:$H,"Associations and Organizations",'Raw Data'!$I:$I,"",'Raw Data'!$M:$M,"count")</f>
        <v>48000</v>
      </c>
      <c r="U8" s="11">
        <f>SUMIFS('Raw Data'!$L:$L,'Raw Data'!$B:$B,$B$2,'Raw Data'!$J:$J,U$2,'Raw Data'!$K:$K,"native",'Raw Data'!$H:$H,"Associations and Organizations",'Raw Data'!$I:$I,"",'Raw Data'!$M:$M,"count")</f>
        <v>44000</v>
      </c>
      <c r="V8" s="11">
        <f>SUMIFS('Raw Data'!$L:$L,'Raw Data'!$B:$B,$B$2,'Raw Data'!$J:$J,V$2,'Raw Data'!$K:$K,"native",'Raw Data'!$H:$H,"Associations and Organizations",'Raw Data'!$I:$I,"",'Raw Data'!$M:$M,"count")</f>
        <v>38000</v>
      </c>
      <c r="W8" s="11">
        <f>SUMIFS('Raw Data'!$L:$L,'Raw Data'!$B:$B,$B$2,'Raw Data'!$J:$J,W$2,'Raw Data'!$K:$K,"native",'Raw Data'!$H:$H,"Associations and Organizations",'Raw Data'!$I:$I,"",'Raw Data'!$M:$M,"count")</f>
        <v>37000</v>
      </c>
      <c r="X8" s="11">
        <f>SUMIFS('Raw Data'!$L:$L,'Raw Data'!$B:$B,$B$2,'Raw Data'!$J:$J,X$2,'Raw Data'!$K:$K,"native",'Raw Data'!$H:$H,"Associations and Organizations",'Raw Data'!$I:$I,"",'Raw Data'!$M:$M,"count")</f>
        <v>37000</v>
      </c>
      <c r="Y8" s="11">
        <f>SUMIFS('Raw Data'!$L:$L,'Raw Data'!$B:$B,$B$2,'Raw Data'!$J:$J,Y$2,'Raw Data'!$K:$K,"native",'Raw Data'!$H:$H,"Associations and Organizations",'Raw Data'!$I:$I,"",'Raw Data'!$M:$M,"count")</f>
        <v>36000</v>
      </c>
      <c r="Z8" s="11">
        <f>SUMIFS('Raw Data'!$L:$L,'Raw Data'!$B:$B,$B$2,'Raw Data'!$J:$J,Z$2,'Raw Data'!$K:$K,"native",'Raw Data'!$H:$H,"Associations and Organizations",'Raw Data'!$I:$I,"",'Raw Data'!$M:$M,"count")</f>
        <v>39000</v>
      </c>
    </row>
    <row r="9" spans="1:26" x14ac:dyDescent="0.25">
      <c r="A9" s="10" t="s">
        <v>82</v>
      </c>
      <c r="B9" s="10" t="s">
        <v>126</v>
      </c>
      <c r="C9" s="11">
        <f>SUMIFS('Raw Data'!$L:$L,'Raw Data'!$B:$B,$B$2,'Raw Data'!$J:$J,C$2,'Raw Data'!$K:$K,"native",'Raw Data'!$H:$H,"Education",'Raw Data'!$I:$I,"",'Raw Data'!$M:$M,"count")</f>
        <v>177000</v>
      </c>
      <c r="D9" s="11">
        <f>SUMIFS('Raw Data'!$L:$L,'Raw Data'!$B:$B,$B$2,'Raw Data'!$J:$J,D$2,'Raw Data'!$K:$K,"native",'Raw Data'!$H:$H,"Education",'Raw Data'!$I:$I,"",'Raw Data'!$M:$M,"count")</f>
        <v>135000</v>
      </c>
      <c r="E9" s="11">
        <f>SUMIFS('Raw Data'!$L:$L,'Raw Data'!$B:$B,$B$2,'Raw Data'!$J:$J,E$2,'Raw Data'!$K:$K,"native",'Raw Data'!$H:$H,"Education",'Raw Data'!$I:$I,"",'Raw Data'!$M:$M,"count")</f>
        <v>41000</v>
      </c>
      <c r="F9" s="11">
        <f>SUMIFS('Raw Data'!$L:$L,'Raw Data'!$B:$B,$B$2,'Raw Data'!$J:$J,F$2,'Raw Data'!$K:$K,"native",'Raw Data'!$H:$H,"Education",'Raw Data'!$I:$I,"",'Raw Data'!$M:$M,"count")</f>
        <v>116000</v>
      </c>
      <c r="G9" s="11">
        <f>SUMIFS('Raw Data'!$L:$L,'Raw Data'!$B:$B,$B$2,'Raw Data'!$J:$J,G$2,'Raw Data'!$K:$K,"native",'Raw Data'!$H:$H,"Education",'Raw Data'!$I:$I,"",'Raw Data'!$M:$M,"count")</f>
        <v>95000</v>
      </c>
      <c r="H9" s="11">
        <f>SUMIFS('Raw Data'!$L:$L,'Raw Data'!$B:$B,$B$2,'Raw Data'!$J:$J,H$2,'Raw Data'!$K:$K,"native",'Raw Data'!$H:$H,"Education",'Raw Data'!$I:$I,"",'Raw Data'!$M:$M,"count")</f>
        <v>210000</v>
      </c>
      <c r="I9" s="11">
        <f>SUMIFS('Raw Data'!$L:$L,'Raw Data'!$B:$B,$B$2,'Raw Data'!$J:$J,I$2,'Raw Data'!$K:$K,"native",'Raw Data'!$H:$H,"Education",'Raw Data'!$I:$I,"",'Raw Data'!$M:$M,"count")</f>
        <v>51000</v>
      </c>
      <c r="J9" s="11">
        <f>SUMIFS('Raw Data'!$L:$L,'Raw Data'!$B:$B,$B$2,'Raw Data'!$J:$J,J$2,'Raw Data'!$K:$K,"native",'Raw Data'!$H:$H,"Education",'Raw Data'!$I:$I,"",'Raw Data'!$M:$M,"count")</f>
        <v>79000</v>
      </c>
      <c r="K9" s="11">
        <f>SUMIFS('Raw Data'!$L:$L,'Raw Data'!$B:$B,$B$2,'Raw Data'!$J:$J,K$2,'Raw Data'!$K:$K,"native",'Raw Data'!$H:$H,"Education",'Raw Data'!$I:$I,"",'Raw Data'!$M:$M,"count")</f>
        <v>98000</v>
      </c>
      <c r="L9" s="11">
        <f>SUMIFS('Raw Data'!$L:$L,'Raw Data'!$B:$B,$B$2,'Raw Data'!$J:$J,L$2,'Raw Data'!$K:$K,"native",'Raw Data'!$H:$H,"Education",'Raw Data'!$I:$I,"",'Raw Data'!$M:$M,"count")</f>
        <v>94000</v>
      </c>
      <c r="M9" s="11">
        <f>SUMIFS('Raw Data'!$L:$L,'Raw Data'!$B:$B,$B$2,'Raw Data'!$J:$J,M$2,'Raw Data'!$K:$K,"native",'Raw Data'!$H:$H,"Education",'Raw Data'!$I:$I,"",'Raw Data'!$M:$M,"count")</f>
        <v>130000</v>
      </c>
      <c r="N9" s="11">
        <f>SUMIFS('Raw Data'!$L:$L,'Raw Data'!$B:$B,$B$2,'Raw Data'!$J:$J,N$2,'Raw Data'!$K:$K,"native",'Raw Data'!$H:$H,"Education",'Raw Data'!$I:$I,"",'Raw Data'!$M:$M,"count")</f>
        <v>188000</v>
      </c>
      <c r="O9" s="11">
        <f>SUMIFS('Raw Data'!$L:$L,'Raw Data'!$B:$B,$B$2,'Raw Data'!$J:$J,O$2,'Raw Data'!$K:$K,"native",'Raw Data'!$H:$H,"Education",'Raw Data'!$I:$I,"",'Raw Data'!$M:$M,"count")</f>
        <v>247000</v>
      </c>
      <c r="P9" s="11">
        <f>SUMIFS('Raw Data'!$L:$L,'Raw Data'!$B:$B,$B$2,'Raw Data'!$J:$J,P$2,'Raw Data'!$K:$K,"native",'Raw Data'!$H:$H,"Education",'Raw Data'!$I:$I,"",'Raw Data'!$M:$M,"count")</f>
        <v>139000</v>
      </c>
      <c r="Q9" s="11">
        <f>SUMIFS('Raw Data'!$L:$L,'Raw Data'!$B:$B,$B$2,'Raw Data'!$J:$J,Q$2,'Raw Data'!$K:$K,"native",'Raw Data'!$H:$H,"Education",'Raw Data'!$I:$I,"",'Raw Data'!$M:$M,"count")</f>
        <v>61000</v>
      </c>
      <c r="R9" s="11">
        <f>SUMIFS('Raw Data'!$L:$L,'Raw Data'!$B:$B,$B$2,'Raw Data'!$J:$J,R$2,'Raw Data'!$K:$K,"native",'Raw Data'!$H:$H,"Education",'Raw Data'!$I:$I,"",'Raw Data'!$M:$M,"count")</f>
        <v>156000</v>
      </c>
      <c r="S9" s="11">
        <f>SUMIFS('Raw Data'!$L:$L,'Raw Data'!$B:$B,$B$2,'Raw Data'!$J:$J,S$2,'Raw Data'!$K:$K,"native",'Raw Data'!$H:$H,"Education",'Raw Data'!$I:$I,"",'Raw Data'!$M:$M,"count")</f>
        <v>132000</v>
      </c>
      <c r="T9" s="11">
        <f>SUMIFS('Raw Data'!$L:$L,'Raw Data'!$B:$B,$B$2,'Raw Data'!$J:$J,T$2,'Raw Data'!$K:$K,"native",'Raw Data'!$H:$H,"Education",'Raw Data'!$I:$I,"",'Raw Data'!$M:$M,"count")</f>
        <v>244000</v>
      </c>
      <c r="U9" s="11">
        <f>SUMIFS('Raw Data'!$L:$L,'Raw Data'!$B:$B,$B$2,'Raw Data'!$J:$J,U$2,'Raw Data'!$K:$K,"native",'Raw Data'!$H:$H,"Education",'Raw Data'!$I:$I,"",'Raw Data'!$M:$M,"count")</f>
        <v>95000</v>
      </c>
      <c r="V9" s="11">
        <f>SUMIFS('Raw Data'!$L:$L,'Raw Data'!$B:$B,$B$2,'Raw Data'!$J:$J,V$2,'Raw Data'!$K:$K,"native",'Raw Data'!$H:$H,"Education",'Raw Data'!$I:$I,"",'Raw Data'!$M:$M,"count")</f>
        <v>76000</v>
      </c>
      <c r="W9" s="11">
        <f>SUMIFS('Raw Data'!$L:$L,'Raw Data'!$B:$B,$B$2,'Raw Data'!$J:$J,W$2,'Raw Data'!$K:$K,"native",'Raw Data'!$H:$H,"Education",'Raw Data'!$I:$I,"",'Raw Data'!$M:$M,"count")</f>
        <v>139000</v>
      </c>
      <c r="X9" s="11">
        <f>SUMIFS('Raw Data'!$L:$L,'Raw Data'!$B:$B,$B$2,'Raw Data'!$J:$J,X$2,'Raw Data'!$K:$K,"native",'Raw Data'!$H:$H,"Education",'Raw Data'!$I:$I,"",'Raw Data'!$M:$M,"count")</f>
        <v>126000</v>
      </c>
      <c r="Y9" s="11">
        <f>SUMIFS('Raw Data'!$L:$L,'Raw Data'!$B:$B,$B$2,'Raw Data'!$J:$J,Y$2,'Raw Data'!$K:$K,"native",'Raw Data'!$H:$H,"Education",'Raw Data'!$I:$I,"",'Raw Data'!$M:$M,"count")</f>
        <v>154000</v>
      </c>
      <c r="Z9" s="11">
        <f>SUMIFS('Raw Data'!$L:$L,'Raw Data'!$B:$B,$B$2,'Raw Data'!$J:$J,Z$2,'Raw Data'!$K:$K,"native",'Raw Data'!$H:$H,"Education",'Raw Data'!$I:$I,"",'Raw Data'!$M:$M,"count")</f>
        <v>197000</v>
      </c>
    </row>
    <row r="10" spans="1:26" x14ac:dyDescent="0.25">
      <c r="A10" s="10" t="s">
        <v>82</v>
      </c>
      <c r="B10" s="10" t="s">
        <v>127</v>
      </c>
      <c r="C10" s="11">
        <f>SUMIFS('Raw Data'!$L:$L,'Raw Data'!$B:$B,$B$2,'Raw Data'!$J:$J,C$2,'Raw Data'!$K:$K,"native",'Raw Data'!$H:$H,"Financial Services",'Raw Data'!$I:$I,"",'Raw Data'!$M:$M,"count")</f>
        <v>302000</v>
      </c>
      <c r="D10" s="11">
        <f>SUMIFS('Raw Data'!$L:$L,'Raw Data'!$B:$B,$B$2,'Raw Data'!$J:$J,D$2,'Raw Data'!$K:$K,"native",'Raw Data'!$H:$H,"Financial Services",'Raw Data'!$I:$I,"",'Raw Data'!$M:$M,"count")</f>
        <v>313000</v>
      </c>
      <c r="E10" s="11">
        <f>SUMIFS('Raw Data'!$L:$L,'Raw Data'!$B:$B,$B$2,'Raw Data'!$J:$J,E$2,'Raw Data'!$K:$K,"native",'Raw Data'!$H:$H,"Financial Services",'Raw Data'!$I:$I,"",'Raw Data'!$M:$M,"count")</f>
        <v>283000</v>
      </c>
      <c r="F10" s="11">
        <f>SUMIFS('Raw Data'!$L:$L,'Raw Data'!$B:$B,$B$2,'Raw Data'!$J:$J,F$2,'Raw Data'!$K:$K,"native",'Raw Data'!$H:$H,"Financial Services",'Raw Data'!$I:$I,"",'Raw Data'!$M:$M,"count")</f>
        <v>321000</v>
      </c>
      <c r="G10" s="11">
        <f>SUMIFS('Raw Data'!$L:$L,'Raw Data'!$B:$B,$B$2,'Raw Data'!$J:$J,G$2,'Raw Data'!$K:$K,"native",'Raw Data'!$H:$H,"Financial Services",'Raw Data'!$I:$I,"",'Raw Data'!$M:$M,"count")</f>
        <v>295000</v>
      </c>
      <c r="H10" s="11">
        <f>SUMIFS('Raw Data'!$L:$L,'Raw Data'!$B:$B,$B$2,'Raw Data'!$J:$J,H$2,'Raw Data'!$K:$K,"native",'Raw Data'!$H:$H,"Financial Services",'Raw Data'!$I:$I,"",'Raw Data'!$M:$M,"count")</f>
        <v>286000</v>
      </c>
      <c r="I10" s="11">
        <f>SUMIFS('Raw Data'!$L:$L,'Raw Data'!$B:$B,$B$2,'Raw Data'!$J:$J,I$2,'Raw Data'!$K:$K,"native",'Raw Data'!$H:$H,"Financial Services",'Raw Data'!$I:$I,"",'Raw Data'!$M:$M,"count")</f>
        <v>287000</v>
      </c>
      <c r="J10" s="11">
        <f>SUMIFS('Raw Data'!$L:$L,'Raw Data'!$B:$B,$B$2,'Raw Data'!$J:$J,J$2,'Raw Data'!$K:$K,"native",'Raw Data'!$H:$H,"Financial Services",'Raw Data'!$I:$I,"",'Raw Data'!$M:$M,"count")</f>
        <v>383000</v>
      </c>
      <c r="K10" s="11">
        <f>SUMIFS('Raw Data'!$L:$L,'Raw Data'!$B:$B,$B$2,'Raw Data'!$J:$J,K$2,'Raw Data'!$K:$K,"native",'Raw Data'!$H:$H,"Financial Services",'Raw Data'!$I:$I,"",'Raw Data'!$M:$M,"count")</f>
        <v>302000</v>
      </c>
      <c r="L10" s="11">
        <f>SUMIFS('Raw Data'!$L:$L,'Raw Data'!$B:$B,$B$2,'Raw Data'!$J:$J,L$2,'Raw Data'!$K:$K,"native",'Raw Data'!$H:$H,"Financial Services",'Raw Data'!$I:$I,"",'Raw Data'!$M:$M,"count")</f>
        <v>307000</v>
      </c>
      <c r="M10" s="11">
        <f>SUMIFS('Raw Data'!$L:$L,'Raw Data'!$B:$B,$B$2,'Raw Data'!$J:$J,M$2,'Raw Data'!$K:$K,"native",'Raw Data'!$H:$H,"Financial Services",'Raw Data'!$I:$I,"",'Raw Data'!$M:$M,"count")</f>
        <v>311000</v>
      </c>
      <c r="N10" s="11">
        <f>SUMIFS('Raw Data'!$L:$L,'Raw Data'!$B:$B,$B$2,'Raw Data'!$J:$J,N$2,'Raw Data'!$K:$K,"native",'Raw Data'!$H:$H,"Financial Services",'Raw Data'!$I:$I,"",'Raw Data'!$M:$M,"count")</f>
        <v>305000</v>
      </c>
      <c r="O10" s="11">
        <f>SUMIFS('Raw Data'!$L:$L,'Raw Data'!$B:$B,$B$2,'Raw Data'!$J:$J,O$2,'Raw Data'!$K:$K,"native",'Raw Data'!$H:$H,"Financial Services",'Raw Data'!$I:$I,"",'Raw Data'!$M:$M,"count")</f>
        <v>307000</v>
      </c>
      <c r="P10" s="11">
        <f>SUMIFS('Raw Data'!$L:$L,'Raw Data'!$B:$B,$B$2,'Raw Data'!$J:$J,P$2,'Raw Data'!$K:$K,"native",'Raw Data'!$H:$H,"Financial Services",'Raw Data'!$I:$I,"",'Raw Data'!$M:$M,"count")</f>
        <v>332000</v>
      </c>
      <c r="Q10" s="11">
        <f>SUMIFS('Raw Data'!$L:$L,'Raw Data'!$B:$B,$B$2,'Raw Data'!$J:$J,Q$2,'Raw Data'!$K:$K,"native",'Raw Data'!$H:$H,"Financial Services",'Raw Data'!$I:$I,"",'Raw Data'!$M:$M,"count")</f>
        <v>321000</v>
      </c>
      <c r="R10" s="11">
        <f>SUMIFS('Raw Data'!$L:$L,'Raw Data'!$B:$B,$B$2,'Raw Data'!$J:$J,R$2,'Raw Data'!$K:$K,"native",'Raw Data'!$H:$H,"Financial Services",'Raw Data'!$I:$I,"",'Raw Data'!$M:$M,"count")</f>
        <v>316000</v>
      </c>
      <c r="S10" s="11">
        <f>SUMIFS('Raw Data'!$L:$L,'Raw Data'!$B:$B,$B$2,'Raw Data'!$J:$J,S$2,'Raw Data'!$K:$K,"native",'Raw Data'!$H:$H,"Financial Services",'Raw Data'!$I:$I,"",'Raw Data'!$M:$M,"count")</f>
        <v>290000</v>
      </c>
      <c r="T10" s="11">
        <f>SUMIFS('Raw Data'!$L:$L,'Raw Data'!$B:$B,$B$2,'Raw Data'!$J:$J,T$2,'Raw Data'!$K:$K,"native",'Raw Data'!$H:$H,"Financial Services",'Raw Data'!$I:$I,"",'Raw Data'!$M:$M,"count")</f>
        <v>297000</v>
      </c>
      <c r="U10" s="11">
        <f>SUMIFS('Raw Data'!$L:$L,'Raw Data'!$B:$B,$B$2,'Raw Data'!$J:$J,U$2,'Raw Data'!$K:$K,"native",'Raw Data'!$H:$H,"Financial Services",'Raw Data'!$I:$I,"",'Raw Data'!$M:$M,"count")</f>
        <v>359000</v>
      </c>
      <c r="V10" s="11">
        <f>SUMIFS('Raw Data'!$L:$L,'Raw Data'!$B:$B,$B$2,'Raw Data'!$J:$J,V$2,'Raw Data'!$K:$K,"native",'Raw Data'!$H:$H,"Financial Services",'Raw Data'!$I:$I,"",'Raw Data'!$M:$M,"count")</f>
        <v>305000</v>
      </c>
      <c r="W10" s="11">
        <f>SUMIFS('Raw Data'!$L:$L,'Raw Data'!$B:$B,$B$2,'Raw Data'!$J:$J,W$2,'Raw Data'!$K:$K,"native",'Raw Data'!$H:$H,"Financial Services",'Raw Data'!$I:$I,"",'Raw Data'!$M:$M,"count")</f>
        <v>312000</v>
      </c>
      <c r="X10" s="11">
        <f>SUMIFS('Raw Data'!$L:$L,'Raw Data'!$B:$B,$B$2,'Raw Data'!$J:$J,X$2,'Raw Data'!$K:$K,"native",'Raw Data'!$H:$H,"Financial Services",'Raw Data'!$I:$I,"",'Raw Data'!$M:$M,"count")</f>
        <v>323000</v>
      </c>
      <c r="Y10" s="11">
        <f>SUMIFS('Raw Data'!$L:$L,'Raw Data'!$B:$B,$B$2,'Raw Data'!$J:$J,Y$2,'Raw Data'!$K:$K,"native",'Raw Data'!$H:$H,"Financial Services",'Raw Data'!$I:$I,"",'Raw Data'!$M:$M,"count")</f>
        <v>327000</v>
      </c>
      <c r="Z10" s="11">
        <f>SUMIFS('Raw Data'!$L:$L,'Raw Data'!$B:$B,$B$2,'Raw Data'!$J:$J,Z$2,'Raw Data'!$K:$K,"native",'Raw Data'!$H:$H,"Financial Services",'Raw Data'!$I:$I,"",'Raw Data'!$M:$M,"count")</f>
        <v>317000</v>
      </c>
    </row>
    <row r="11" spans="1:26" x14ac:dyDescent="0.25">
      <c r="A11" s="10" t="s">
        <v>82</v>
      </c>
      <c r="B11" s="10" t="s">
        <v>128</v>
      </c>
      <c r="C11" s="11">
        <f>SUMIFS('Raw Data'!$L:$L,'Raw Data'!$B:$B,$B$2,'Raw Data'!$J:$J,C$2,'Raw Data'!$K:$K,"native",'Raw Data'!$H:$H,"Gas And Energy",'Raw Data'!$I:$I,"",'Raw Data'!$M:$M,"count")</f>
        <v>26000</v>
      </c>
      <c r="D11" s="11">
        <f>SUMIFS('Raw Data'!$L:$L,'Raw Data'!$B:$B,$B$2,'Raw Data'!$J:$J,D$2,'Raw Data'!$K:$K,"native",'Raw Data'!$H:$H,"Gas And Energy",'Raw Data'!$I:$I,"",'Raw Data'!$M:$M,"count")</f>
        <v>27000</v>
      </c>
      <c r="E11" s="11">
        <f>SUMIFS('Raw Data'!$L:$L,'Raw Data'!$B:$B,$B$2,'Raw Data'!$J:$J,E$2,'Raw Data'!$K:$K,"native",'Raw Data'!$H:$H,"Gas And Energy",'Raw Data'!$I:$I,"",'Raw Data'!$M:$M,"count")</f>
        <v>24000</v>
      </c>
      <c r="F11" s="11">
        <f>SUMIFS('Raw Data'!$L:$L,'Raw Data'!$B:$B,$B$2,'Raw Data'!$J:$J,F$2,'Raw Data'!$K:$K,"native",'Raw Data'!$H:$H,"Gas And Energy",'Raw Data'!$I:$I,"",'Raw Data'!$M:$M,"count")</f>
        <v>31000</v>
      </c>
      <c r="G11" s="11">
        <f>SUMIFS('Raw Data'!$L:$L,'Raw Data'!$B:$B,$B$2,'Raw Data'!$J:$J,G$2,'Raw Data'!$K:$K,"native",'Raw Data'!$H:$H,"Gas And Energy",'Raw Data'!$I:$I,"",'Raw Data'!$M:$M,"count")</f>
        <v>29000</v>
      </c>
      <c r="H11" s="11">
        <f>SUMIFS('Raw Data'!$L:$L,'Raw Data'!$B:$B,$B$2,'Raw Data'!$J:$J,H$2,'Raw Data'!$K:$K,"native",'Raw Data'!$H:$H,"Gas And Energy",'Raw Data'!$I:$I,"",'Raw Data'!$M:$M,"count")</f>
        <v>28000</v>
      </c>
      <c r="I11" s="11"/>
      <c r="J11" s="11">
        <f>SUMIFS('Raw Data'!$L:$L,'Raw Data'!$B:$B,$B$2,'Raw Data'!$J:$J,J$2,'Raw Data'!$K:$K,"native",'Raw Data'!$H:$H,"Gas And Energy",'Raw Data'!$I:$I,"",'Raw Data'!$M:$M,"count")</f>
        <v>31000</v>
      </c>
      <c r="K11" s="11">
        <f>SUMIFS('Raw Data'!$L:$L,'Raw Data'!$B:$B,$B$2,'Raw Data'!$J:$J,K$2,'Raw Data'!$K:$K,"native",'Raw Data'!$H:$H,"Gas And Energy",'Raw Data'!$I:$I,"",'Raw Data'!$M:$M,"count")</f>
        <v>26000</v>
      </c>
      <c r="L11" s="11">
        <f>SUMIFS('Raw Data'!$L:$L,'Raw Data'!$B:$B,$B$2,'Raw Data'!$J:$J,L$2,'Raw Data'!$K:$K,"native",'Raw Data'!$H:$H,"Gas And Energy",'Raw Data'!$I:$I,"",'Raw Data'!$M:$M,"count")</f>
        <v>29000</v>
      </c>
      <c r="M11" s="11">
        <f>SUMIFS('Raw Data'!$L:$L,'Raw Data'!$B:$B,$B$2,'Raw Data'!$J:$J,M$2,'Raw Data'!$K:$K,"native",'Raw Data'!$H:$H,"Gas And Energy",'Raw Data'!$I:$I,"",'Raw Data'!$M:$M,"count")</f>
        <v>33000</v>
      </c>
      <c r="N11" s="11">
        <f>SUMIFS('Raw Data'!$L:$L,'Raw Data'!$B:$B,$B$2,'Raw Data'!$J:$J,N$2,'Raw Data'!$K:$K,"native",'Raw Data'!$H:$H,"Gas And Energy",'Raw Data'!$I:$I,"",'Raw Data'!$M:$M,"count")</f>
        <v>33000</v>
      </c>
      <c r="O11" s="11">
        <f>SUMIFS('Raw Data'!$L:$L,'Raw Data'!$B:$B,$B$2,'Raw Data'!$J:$J,O$2,'Raw Data'!$K:$K,"native",'Raw Data'!$H:$H,"Gas And Energy",'Raw Data'!$I:$I,"",'Raw Data'!$M:$M,"count")</f>
        <v>33000</v>
      </c>
      <c r="P11" s="11">
        <f>SUMIFS('Raw Data'!$L:$L,'Raw Data'!$B:$B,$B$2,'Raw Data'!$J:$J,P$2,'Raw Data'!$K:$K,"native",'Raw Data'!$H:$H,"Gas And Energy",'Raw Data'!$I:$I,"",'Raw Data'!$M:$M,"count")</f>
        <v>34000</v>
      </c>
      <c r="Q11" s="11">
        <f>SUMIFS('Raw Data'!$L:$L,'Raw Data'!$B:$B,$B$2,'Raw Data'!$J:$J,Q$2,'Raw Data'!$K:$K,"native",'Raw Data'!$H:$H,"Gas And Energy",'Raw Data'!$I:$I,"",'Raw Data'!$M:$M,"count")</f>
        <v>35000</v>
      </c>
      <c r="R11" s="11">
        <f>SUMIFS('Raw Data'!$L:$L,'Raw Data'!$B:$B,$B$2,'Raw Data'!$J:$J,R$2,'Raw Data'!$K:$K,"native",'Raw Data'!$H:$H,"Gas And Energy",'Raw Data'!$I:$I,"",'Raw Data'!$M:$M,"count")</f>
        <v>38000</v>
      </c>
      <c r="S11" s="11">
        <f>SUMIFS('Raw Data'!$L:$L,'Raw Data'!$B:$B,$B$2,'Raw Data'!$J:$J,S$2,'Raw Data'!$K:$K,"native",'Raw Data'!$H:$H,"Gas And Energy",'Raw Data'!$I:$I,"",'Raw Data'!$M:$M,"count")</f>
        <v>36000</v>
      </c>
      <c r="T11" s="11">
        <f>SUMIFS('Raw Data'!$L:$L,'Raw Data'!$B:$B,$B$2,'Raw Data'!$J:$J,T$2,'Raw Data'!$K:$K,"native",'Raw Data'!$H:$H,"Gas And Energy",'Raw Data'!$I:$I,"",'Raw Data'!$M:$M,"count")</f>
        <v>33000</v>
      </c>
      <c r="U11" s="11">
        <f>SUMIFS('Raw Data'!$L:$L,'Raw Data'!$B:$B,$B$2,'Raw Data'!$J:$J,U$2,'Raw Data'!$K:$K,"native",'Raw Data'!$H:$H,"Gas And Energy",'Raw Data'!$I:$I,"",'Raw Data'!$M:$M,"count")</f>
        <v>42000</v>
      </c>
      <c r="V11" s="11">
        <f>SUMIFS('Raw Data'!$L:$L,'Raw Data'!$B:$B,$B$2,'Raw Data'!$J:$J,V$2,'Raw Data'!$K:$K,"native",'Raw Data'!$H:$H,"Gas And Energy",'Raw Data'!$I:$I,"",'Raw Data'!$M:$M,"count")</f>
        <v>36000</v>
      </c>
      <c r="W11" s="11">
        <f>SUMIFS('Raw Data'!$L:$L,'Raw Data'!$B:$B,$B$2,'Raw Data'!$J:$J,W$2,'Raw Data'!$K:$K,"native",'Raw Data'!$H:$H,"Gas And Energy",'Raw Data'!$I:$I,"",'Raw Data'!$M:$M,"count")</f>
        <v>37000</v>
      </c>
      <c r="X11" s="11">
        <f>SUMIFS('Raw Data'!$L:$L,'Raw Data'!$B:$B,$B$2,'Raw Data'!$J:$J,X$2,'Raw Data'!$K:$K,"native",'Raw Data'!$H:$H,"Gas And Energy",'Raw Data'!$I:$I,"",'Raw Data'!$M:$M,"count")</f>
        <v>38000</v>
      </c>
      <c r="Y11" s="11">
        <f>SUMIFS('Raw Data'!$L:$L,'Raw Data'!$B:$B,$B$2,'Raw Data'!$J:$J,Y$2,'Raw Data'!$K:$K,"native",'Raw Data'!$H:$H,"Gas And Energy",'Raw Data'!$I:$I,"",'Raw Data'!$M:$M,"count")</f>
        <v>39000</v>
      </c>
      <c r="Z11" s="11">
        <f>SUMIFS('Raw Data'!$L:$L,'Raw Data'!$B:$B,$B$2,'Raw Data'!$J:$J,Z$2,'Raw Data'!$K:$K,"native",'Raw Data'!$H:$H,"Gas And Energy",'Raw Data'!$I:$I,"",'Raw Data'!$M:$M,"count")</f>
        <v>41000</v>
      </c>
    </row>
    <row r="12" spans="1:26" x14ac:dyDescent="0.25">
      <c r="A12" s="10" t="s">
        <v>82</v>
      </c>
      <c r="B12" s="10" t="s">
        <v>129</v>
      </c>
      <c r="C12" s="11">
        <f>SUMIFS('Raw Data'!$L:$L,'Raw Data'!$B:$B,$B$2,'Raw Data'!$J:$J,C$2,'Raw Data'!$K:$K,"native",'Raw Data'!$H:$H,"Government Service",'Raw Data'!$I:$I,"",'Raw Data'!$M:$M,"count")</f>
        <v>1099000</v>
      </c>
      <c r="D12" s="11">
        <f>SUMIFS('Raw Data'!$L:$L,'Raw Data'!$B:$B,$B$2,'Raw Data'!$J:$J,D$2,'Raw Data'!$K:$K,"native",'Raw Data'!$H:$H,"Government Service",'Raw Data'!$I:$I,"",'Raw Data'!$M:$M,"count")</f>
        <v>1195000</v>
      </c>
      <c r="E12" s="11">
        <f>SUMIFS('Raw Data'!$L:$L,'Raw Data'!$B:$B,$B$2,'Raw Data'!$J:$J,E$2,'Raw Data'!$K:$K,"native",'Raw Data'!$H:$H,"Government Service",'Raw Data'!$I:$I,"",'Raw Data'!$M:$M,"count")</f>
        <v>954000</v>
      </c>
      <c r="F12" s="11">
        <f>SUMIFS('Raw Data'!$L:$L,'Raw Data'!$B:$B,$B$2,'Raw Data'!$J:$J,F$2,'Raw Data'!$K:$K,"native",'Raw Data'!$H:$H,"Government Service",'Raw Data'!$I:$I,"",'Raw Data'!$M:$M,"count")</f>
        <v>1218000</v>
      </c>
      <c r="G12" s="11">
        <f>SUMIFS('Raw Data'!$L:$L,'Raw Data'!$B:$B,$B$2,'Raw Data'!$J:$J,G$2,'Raw Data'!$K:$K,"native",'Raw Data'!$H:$H,"Government Service",'Raw Data'!$I:$I,"",'Raw Data'!$M:$M,"count")</f>
        <v>1309000</v>
      </c>
      <c r="H12" s="11">
        <f>SUMIFS('Raw Data'!$L:$L,'Raw Data'!$B:$B,$B$2,'Raw Data'!$J:$J,H$2,'Raw Data'!$K:$K,"native",'Raw Data'!$H:$H,"Government Service",'Raw Data'!$I:$I,"",'Raw Data'!$M:$M,"count")</f>
        <v>1179000</v>
      </c>
      <c r="I12" s="11">
        <f>SUMIFS('Raw Data'!$L:$L,'Raw Data'!$B:$B,$B$2,'Raw Data'!$J:$J,I$2,'Raw Data'!$K:$K,"native",'Raw Data'!$H:$H,"Government Service",'Raw Data'!$I:$I,"",'Raw Data'!$M:$M,"count")</f>
        <v>974000</v>
      </c>
      <c r="J12" s="11">
        <f>SUMIFS('Raw Data'!$L:$L,'Raw Data'!$B:$B,$B$2,'Raw Data'!$J:$J,J$2,'Raw Data'!$K:$K,"native",'Raw Data'!$H:$H,"Government Service",'Raw Data'!$I:$I,"",'Raw Data'!$M:$M,"count")</f>
        <v>1165000</v>
      </c>
      <c r="K12" s="11">
        <f>SUMIFS('Raw Data'!$L:$L,'Raw Data'!$B:$B,$B$2,'Raw Data'!$J:$J,K$2,'Raw Data'!$K:$K,"native",'Raw Data'!$H:$H,"Government Service",'Raw Data'!$I:$I,"",'Raw Data'!$M:$M,"count")</f>
        <v>1043000</v>
      </c>
      <c r="L12" s="11">
        <f>SUMIFS('Raw Data'!$L:$L,'Raw Data'!$B:$B,$B$2,'Raw Data'!$J:$J,L$2,'Raw Data'!$K:$K,"native",'Raw Data'!$H:$H,"Government Service",'Raw Data'!$I:$I,"",'Raw Data'!$M:$M,"count")</f>
        <v>1010000</v>
      </c>
      <c r="M12" s="11">
        <f>SUMIFS('Raw Data'!$L:$L,'Raw Data'!$B:$B,$B$2,'Raw Data'!$J:$J,M$2,'Raw Data'!$K:$K,"native",'Raw Data'!$H:$H,"Government Service",'Raw Data'!$I:$I,"",'Raw Data'!$M:$M,"count")</f>
        <v>1280000</v>
      </c>
      <c r="N12" s="11">
        <f>SUMIFS('Raw Data'!$L:$L,'Raw Data'!$B:$B,$B$2,'Raw Data'!$J:$J,N$2,'Raw Data'!$K:$K,"native",'Raw Data'!$H:$H,"Government Service",'Raw Data'!$I:$I,"",'Raw Data'!$M:$M,"count")</f>
        <v>1360000</v>
      </c>
      <c r="O12" s="11">
        <f>SUMIFS('Raw Data'!$L:$L,'Raw Data'!$B:$B,$B$2,'Raw Data'!$J:$J,O$2,'Raw Data'!$K:$K,"native",'Raw Data'!$H:$H,"Government Service",'Raw Data'!$I:$I,"",'Raw Data'!$M:$M,"count")</f>
        <v>1280000</v>
      </c>
      <c r="P12" s="11">
        <f>SUMIFS('Raw Data'!$L:$L,'Raw Data'!$B:$B,$B$2,'Raw Data'!$J:$J,P$2,'Raw Data'!$K:$K,"native",'Raw Data'!$H:$H,"Government Service",'Raw Data'!$I:$I,"",'Raw Data'!$M:$M,"count")</f>
        <v>1500000</v>
      </c>
      <c r="Q12" s="11">
        <f>SUMIFS('Raw Data'!$L:$L,'Raw Data'!$B:$B,$B$2,'Raw Data'!$J:$J,Q$2,'Raw Data'!$K:$K,"native",'Raw Data'!$H:$H,"Government Service",'Raw Data'!$I:$I,"",'Raw Data'!$M:$M,"count")</f>
        <v>1370000</v>
      </c>
      <c r="R12" s="11">
        <f>SUMIFS('Raw Data'!$L:$L,'Raw Data'!$B:$B,$B$2,'Raw Data'!$J:$J,R$2,'Raw Data'!$K:$K,"native",'Raw Data'!$H:$H,"Government Service",'Raw Data'!$I:$I,"",'Raw Data'!$M:$M,"count")</f>
        <v>1540000</v>
      </c>
      <c r="S12" s="11">
        <f>SUMIFS('Raw Data'!$L:$L,'Raw Data'!$B:$B,$B$2,'Raw Data'!$J:$J,S$2,'Raw Data'!$K:$K,"native",'Raw Data'!$H:$H,"Government Service",'Raw Data'!$I:$I,"",'Raw Data'!$M:$M,"count")</f>
        <v>1610000</v>
      </c>
      <c r="T12" s="11">
        <f>SUMIFS('Raw Data'!$L:$L,'Raw Data'!$B:$B,$B$2,'Raw Data'!$J:$J,T$2,'Raw Data'!$K:$K,"native",'Raw Data'!$H:$H,"Government Service",'Raw Data'!$I:$I,"",'Raw Data'!$M:$M,"count")</f>
        <v>1520000</v>
      </c>
      <c r="U12" s="11">
        <f>SUMIFS('Raw Data'!$L:$L,'Raw Data'!$B:$B,$B$2,'Raw Data'!$J:$J,U$2,'Raw Data'!$K:$K,"native",'Raw Data'!$H:$H,"Government Service",'Raw Data'!$I:$I,"",'Raw Data'!$M:$M,"count")</f>
        <v>1460000</v>
      </c>
      <c r="V12" s="11">
        <f>SUMIFS('Raw Data'!$L:$L,'Raw Data'!$B:$B,$B$2,'Raw Data'!$J:$J,V$2,'Raw Data'!$K:$K,"native",'Raw Data'!$H:$H,"Government Service",'Raw Data'!$I:$I,"",'Raw Data'!$M:$M,"count")</f>
        <v>1520000</v>
      </c>
      <c r="W12" s="11">
        <f>SUMIFS('Raw Data'!$L:$L,'Raw Data'!$B:$B,$B$2,'Raw Data'!$J:$J,W$2,'Raw Data'!$K:$K,"native",'Raw Data'!$H:$H,"Government Service",'Raw Data'!$I:$I,"",'Raw Data'!$M:$M,"count")</f>
        <v>1310000</v>
      </c>
      <c r="X12" s="11">
        <f>SUMIFS('Raw Data'!$L:$L,'Raw Data'!$B:$B,$B$2,'Raw Data'!$J:$J,X$2,'Raw Data'!$K:$K,"native",'Raw Data'!$H:$H,"Government Service",'Raw Data'!$I:$I,"",'Raw Data'!$M:$M,"count")</f>
        <v>1590000</v>
      </c>
      <c r="Y12" s="11">
        <f>SUMIFS('Raw Data'!$L:$L,'Raw Data'!$B:$B,$B$2,'Raw Data'!$J:$J,Y$2,'Raw Data'!$K:$K,"native",'Raw Data'!$H:$H,"Government Service",'Raw Data'!$I:$I,"",'Raw Data'!$M:$M,"count")</f>
        <v>1710000</v>
      </c>
      <c r="Z12" s="11">
        <f>SUMIFS('Raw Data'!$L:$L,'Raw Data'!$B:$B,$B$2,'Raw Data'!$J:$J,Z$2,'Raw Data'!$K:$K,"native",'Raw Data'!$H:$H,"Government Service",'Raw Data'!$I:$I,"",'Raw Data'!$M:$M,"count")</f>
        <v>2010000</v>
      </c>
    </row>
    <row r="13" spans="1:26" x14ac:dyDescent="0.25">
      <c r="A13" s="10" t="s">
        <v>82</v>
      </c>
      <c r="B13" s="10" t="s">
        <v>130</v>
      </c>
      <c r="C13" s="11">
        <f>SUMIFS('Raw Data'!$L:$L,'Raw Data'!$B:$B,$B$2,'Raw Data'!$J:$J,C$2,'Raw Data'!$K:$K,"native",'Raw Data'!$H:$H,"Telecommunication",'Raw Data'!$I:$I,"",'Raw Data'!$M:$M,"count")</f>
        <v>1959000</v>
      </c>
      <c r="D13" s="11">
        <f>SUMIFS('Raw Data'!$L:$L,'Raw Data'!$B:$B,$B$2,'Raw Data'!$J:$J,D$2,'Raw Data'!$K:$K,"native",'Raw Data'!$H:$H,"Telecommunication",'Raw Data'!$I:$I,"",'Raw Data'!$M:$M,"count")</f>
        <v>1927000</v>
      </c>
      <c r="E13" s="11">
        <f>SUMIFS('Raw Data'!$L:$L,'Raw Data'!$B:$B,$B$2,'Raw Data'!$J:$J,E$2,'Raw Data'!$K:$K,"native",'Raw Data'!$H:$H,"Telecommunication",'Raw Data'!$I:$I,"",'Raw Data'!$M:$M,"count")</f>
        <v>1732000</v>
      </c>
      <c r="F13" s="11">
        <f>SUMIFS('Raw Data'!$L:$L,'Raw Data'!$B:$B,$B$2,'Raw Data'!$J:$J,F$2,'Raw Data'!$K:$K,"native",'Raw Data'!$H:$H,"Telecommunication",'Raw Data'!$I:$I,"",'Raw Data'!$M:$M,"count")</f>
        <v>2082000</v>
      </c>
      <c r="G13" s="11">
        <f>SUMIFS('Raw Data'!$L:$L,'Raw Data'!$B:$B,$B$2,'Raw Data'!$J:$J,G$2,'Raw Data'!$K:$K,"native",'Raw Data'!$H:$H,"Telecommunication",'Raw Data'!$I:$I,"",'Raw Data'!$M:$M,"count")</f>
        <v>1846000</v>
      </c>
      <c r="H13" s="11">
        <f>SUMIFS('Raw Data'!$L:$L,'Raw Data'!$B:$B,$B$2,'Raw Data'!$J:$J,H$2,'Raw Data'!$K:$K,"native",'Raw Data'!$H:$H,"Telecommunication",'Raw Data'!$I:$I,"",'Raw Data'!$M:$M,"count")</f>
        <v>1770000</v>
      </c>
      <c r="I13" s="11">
        <f>SUMIFS('Raw Data'!$L:$L,'Raw Data'!$B:$B,$B$2,'Raw Data'!$J:$J,I$2,'Raw Data'!$K:$K,"native",'Raw Data'!$H:$H,"Telecommunication",'Raw Data'!$I:$I,"",'Raw Data'!$M:$M,"count")</f>
        <v>1847000</v>
      </c>
      <c r="J13" s="11">
        <f>SUMIFS('Raw Data'!$L:$L,'Raw Data'!$B:$B,$B$2,'Raw Data'!$J:$J,J$2,'Raw Data'!$K:$K,"native",'Raw Data'!$H:$H,"Telecommunication",'Raw Data'!$I:$I,"",'Raw Data'!$M:$M,"count")</f>
        <v>2215000</v>
      </c>
      <c r="K13" s="11">
        <f>SUMIFS('Raw Data'!$L:$L,'Raw Data'!$B:$B,$B$2,'Raw Data'!$J:$J,K$2,'Raw Data'!$K:$K,"native",'Raw Data'!$H:$H,"Telecommunication",'Raw Data'!$I:$I,"",'Raw Data'!$M:$M,"count")</f>
        <v>1924000</v>
      </c>
      <c r="L13" s="11">
        <f>SUMIFS('Raw Data'!$L:$L,'Raw Data'!$B:$B,$B$2,'Raw Data'!$J:$J,L$2,'Raw Data'!$K:$K,"native",'Raw Data'!$H:$H,"Telecommunication",'Raw Data'!$I:$I,"",'Raw Data'!$M:$M,"count")</f>
        <v>2140000</v>
      </c>
      <c r="M13" s="11">
        <f>SUMIFS('Raw Data'!$L:$L,'Raw Data'!$B:$B,$B$2,'Raw Data'!$J:$J,M$2,'Raw Data'!$K:$K,"native",'Raw Data'!$H:$H,"Telecommunication",'Raw Data'!$I:$I,"",'Raw Data'!$M:$M,"count")</f>
        <v>2130000</v>
      </c>
      <c r="N13" s="11">
        <f>SUMIFS('Raw Data'!$L:$L,'Raw Data'!$B:$B,$B$2,'Raw Data'!$J:$J,N$2,'Raw Data'!$K:$K,"native",'Raw Data'!$H:$H,"Telecommunication",'Raw Data'!$I:$I,"",'Raw Data'!$M:$M,"count")</f>
        <v>2100000</v>
      </c>
      <c r="O13" s="11">
        <f>SUMIFS('Raw Data'!$L:$L,'Raw Data'!$B:$B,$B$2,'Raw Data'!$J:$J,O$2,'Raw Data'!$K:$K,"native",'Raw Data'!$H:$H,"Telecommunication",'Raw Data'!$I:$I,"",'Raw Data'!$M:$M,"count")</f>
        <v>2010000</v>
      </c>
      <c r="P13" s="11">
        <f>SUMIFS('Raw Data'!$L:$L,'Raw Data'!$B:$B,$B$2,'Raw Data'!$J:$J,P$2,'Raw Data'!$K:$K,"native",'Raw Data'!$H:$H,"Telecommunication",'Raw Data'!$I:$I,"",'Raw Data'!$M:$M,"count")</f>
        <v>2060000</v>
      </c>
      <c r="Q13" s="11">
        <f>SUMIFS('Raw Data'!$L:$L,'Raw Data'!$B:$B,$B$2,'Raw Data'!$J:$J,Q$2,'Raw Data'!$K:$K,"native",'Raw Data'!$H:$H,"Telecommunication",'Raw Data'!$I:$I,"",'Raw Data'!$M:$M,"count")</f>
        <v>2080000</v>
      </c>
      <c r="R13" s="11">
        <f>SUMIFS('Raw Data'!$L:$L,'Raw Data'!$B:$B,$B$2,'Raw Data'!$J:$J,R$2,'Raw Data'!$K:$K,"native",'Raw Data'!$H:$H,"Telecommunication",'Raw Data'!$I:$I,"",'Raw Data'!$M:$M,"count")</f>
        <v>2180000</v>
      </c>
      <c r="S13" s="11">
        <f>SUMIFS('Raw Data'!$L:$L,'Raw Data'!$B:$B,$B$2,'Raw Data'!$J:$J,S$2,'Raw Data'!$K:$K,"native",'Raw Data'!$H:$H,"Telecommunication",'Raw Data'!$I:$I,"",'Raw Data'!$M:$M,"count")</f>
        <v>1980000</v>
      </c>
      <c r="T13" s="11">
        <f>SUMIFS('Raw Data'!$L:$L,'Raw Data'!$B:$B,$B$2,'Raw Data'!$J:$J,T$2,'Raw Data'!$K:$K,"native",'Raw Data'!$H:$H,"Telecommunication",'Raw Data'!$I:$I,"",'Raw Data'!$M:$M,"count")</f>
        <v>1950000</v>
      </c>
      <c r="U13" s="11">
        <f>SUMIFS('Raw Data'!$L:$L,'Raw Data'!$B:$B,$B$2,'Raw Data'!$J:$J,U$2,'Raw Data'!$K:$K,"native",'Raw Data'!$H:$H,"Telecommunication",'Raw Data'!$I:$I,"",'Raw Data'!$M:$M,"count")</f>
        <v>2390000</v>
      </c>
      <c r="V13" s="11">
        <f>SUMIFS('Raw Data'!$L:$L,'Raw Data'!$B:$B,$B$2,'Raw Data'!$J:$J,V$2,'Raw Data'!$K:$K,"native",'Raw Data'!$H:$H,"Telecommunication",'Raw Data'!$I:$I,"",'Raw Data'!$M:$M,"count")</f>
        <v>2070000</v>
      </c>
      <c r="W13" s="11">
        <f>SUMIFS('Raw Data'!$L:$L,'Raw Data'!$B:$B,$B$2,'Raw Data'!$J:$J,W$2,'Raw Data'!$K:$K,"native",'Raw Data'!$H:$H,"Telecommunication",'Raw Data'!$I:$I,"",'Raw Data'!$M:$M,"count")</f>
        <v>2260000</v>
      </c>
      <c r="X13" s="11">
        <f>SUMIFS('Raw Data'!$L:$L,'Raw Data'!$B:$B,$B$2,'Raw Data'!$J:$J,X$2,'Raw Data'!$K:$K,"native",'Raw Data'!$H:$H,"Telecommunication",'Raw Data'!$I:$I,"",'Raw Data'!$M:$M,"count")</f>
        <v>2200000</v>
      </c>
      <c r="Y13" s="11">
        <f>SUMIFS('Raw Data'!$L:$L,'Raw Data'!$B:$B,$B$2,'Raw Data'!$J:$J,Y$2,'Raw Data'!$K:$K,"native",'Raw Data'!$H:$H,"Telecommunication",'Raw Data'!$I:$I,"",'Raw Data'!$M:$M,"count")</f>
        <v>2200000</v>
      </c>
      <c r="Z13" s="11">
        <f>SUMIFS('Raw Data'!$L:$L,'Raw Data'!$B:$B,$B$2,'Raw Data'!$J:$J,Z$2,'Raw Data'!$K:$K,"native",'Raw Data'!$H:$H,"Telecommunication",'Raw Data'!$I:$I,"",'Raw Data'!$M:$M,"count")</f>
        <v>2300000</v>
      </c>
    </row>
    <row r="14" spans="1:26" x14ac:dyDescent="0.25">
      <c r="A14" s="10" t="s">
        <v>82</v>
      </c>
      <c r="B14" s="10" t="s">
        <v>131</v>
      </c>
      <c r="C14" s="11">
        <f>SUMIFS('Raw Data'!$L:$L,'Raw Data'!$B:$B,$B$2,'Raw Data'!$J:$J,C$2,'Raw Data'!$K:$K,"native",'Raw Data'!$H:$H,"Trading and Services",'Raw Data'!$I:$I,"",'Raw Data'!$M:$M,"count")</f>
        <v>36000</v>
      </c>
      <c r="D14" s="11">
        <f>SUMIFS('Raw Data'!$L:$L,'Raw Data'!$B:$B,$B$2,'Raw Data'!$J:$J,D$2,'Raw Data'!$K:$K,"native",'Raw Data'!$H:$H,"Trading and Services",'Raw Data'!$I:$I,"",'Raw Data'!$M:$M,"count")</f>
        <v>33000</v>
      </c>
      <c r="E14" s="11">
        <f>SUMIFS('Raw Data'!$L:$L,'Raw Data'!$B:$B,$B$2,'Raw Data'!$J:$J,E$2,'Raw Data'!$K:$K,"native",'Raw Data'!$H:$H,"Trading and Services",'Raw Data'!$I:$I,"",'Raw Data'!$M:$M,"count")</f>
        <v>31000</v>
      </c>
      <c r="F14" s="11">
        <f>SUMIFS('Raw Data'!$L:$L,'Raw Data'!$B:$B,$B$2,'Raw Data'!$J:$J,F$2,'Raw Data'!$K:$K,"native",'Raw Data'!$H:$H,"Trading and Services",'Raw Data'!$I:$I,"",'Raw Data'!$M:$M,"count")</f>
        <v>50000</v>
      </c>
      <c r="G14" s="11">
        <f>SUMIFS('Raw Data'!$L:$L,'Raw Data'!$B:$B,$B$2,'Raw Data'!$J:$J,G$2,'Raw Data'!$K:$K,"native",'Raw Data'!$H:$H,"Trading and Services",'Raw Data'!$I:$I,"",'Raw Data'!$M:$M,"count")</f>
        <v>35000</v>
      </c>
      <c r="H14" s="11">
        <f>SUMIFS('Raw Data'!$L:$L,'Raw Data'!$B:$B,$B$2,'Raw Data'!$J:$J,H$2,'Raw Data'!$K:$K,"native",'Raw Data'!$H:$H,"Trading and Services",'Raw Data'!$I:$I,"",'Raw Data'!$M:$M,"count")</f>
        <v>31000</v>
      </c>
      <c r="I14" s="11">
        <f>SUMIFS('Raw Data'!$L:$L,'Raw Data'!$B:$B,$B$2,'Raw Data'!$J:$J,I$2,'Raw Data'!$K:$K,"native",'Raw Data'!$H:$H,"Trading and Services",'Raw Data'!$I:$I,"",'Raw Data'!$M:$M,"count")</f>
        <v>30000</v>
      </c>
      <c r="J14" s="11">
        <f>SUMIFS('Raw Data'!$L:$L,'Raw Data'!$B:$B,$B$2,'Raw Data'!$J:$J,J$2,'Raw Data'!$K:$K,"native",'Raw Data'!$H:$H,"Trading and Services",'Raw Data'!$I:$I,"",'Raw Data'!$M:$M,"count")</f>
        <v>35000</v>
      </c>
      <c r="K14" s="11">
        <f>SUMIFS('Raw Data'!$L:$L,'Raw Data'!$B:$B,$B$2,'Raw Data'!$J:$J,K$2,'Raw Data'!$K:$K,"native",'Raw Data'!$H:$H,"Trading and Services",'Raw Data'!$I:$I,"",'Raw Data'!$M:$M,"count")</f>
        <v>37000</v>
      </c>
      <c r="L14" s="11">
        <f>SUMIFS('Raw Data'!$L:$L,'Raw Data'!$B:$B,$B$2,'Raw Data'!$J:$J,L$2,'Raw Data'!$K:$K,"native",'Raw Data'!$H:$H,"Trading and Services",'Raw Data'!$I:$I,"",'Raw Data'!$M:$M,"count")</f>
        <v>34000</v>
      </c>
      <c r="M14" s="11">
        <f>SUMIFS('Raw Data'!$L:$L,'Raw Data'!$B:$B,$B$2,'Raw Data'!$J:$J,M$2,'Raw Data'!$K:$K,"native",'Raw Data'!$H:$H,"Trading and Services",'Raw Data'!$I:$I,"",'Raw Data'!$M:$M,"count")</f>
        <v>46000</v>
      </c>
      <c r="N14" s="11">
        <f>SUMIFS('Raw Data'!$L:$L,'Raw Data'!$B:$B,$B$2,'Raw Data'!$J:$J,N$2,'Raw Data'!$K:$K,"native",'Raw Data'!$H:$H,"Trading and Services",'Raw Data'!$I:$I,"",'Raw Data'!$M:$M,"count")</f>
        <v>45000</v>
      </c>
      <c r="O14" s="11">
        <f>SUMIFS('Raw Data'!$L:$L,'Raw Data'!$B:$B,$B$2,'Raw Data'!$J:$J,O$2,'Raw Data'!$K:$K,"native",'Raw Data'!$H:$H,"Trading and Services",'Raw Data'!$I:$I,"",'Raw Data'!$M:$M,"count")</f>
        <v>46000</v>
      </c>
      <c r="P14" s="11">
        <f>SUMIFS('Raw Data'!$L:$L,'Raw Data'!$B:$B,$B$2,'Raw Data'!$J:$J,P$2,'Raw Data'!$K:$K,"native",'Raw Data'!$H:$H,"Trading and Services",'Raw Data'!$I:$I,"",'Raw Data'!$M:$M,"count")</f>
        <v>63000</v>
      </c>
      <c r="Q14" s="11">
        <f>SUMIFS('Raw Data'!$L:$L,'Raw Data'!$B:$B,$B$2,'Raw Data'!$J:$J,Q$2,'Raw Data'!$K:$K,"native",'Raw Data'!$H:$H,"Trading and Services",'Raw Data'!$I:$I,"",'Raw Data'!$M:$M,"count")</f>
        <v>43000</v>
      </c>
      <c r="R14" s="11">
        <f>SUMIFS('Raw Data'!$L:$L,'Raw Data'!$B:$B,$B$2,'Raw Data'!$J:$J,R$2,'Raw Data'!$K:$K,"native",'Raw Data'!$H:$H,"Trading and Services",'Raw Data'!$I:$I,"",'Raw Data'!$M:$M,"count")</f>
        <v>32000</v>
      </c>
      <c r="S14" s="11">
        <f>SUMIFS('Raw Data'!$L:$L,'Raw Data'!$B:$B,$B$2,'Raw Data'!$J:$J,S$2,'Raw Data'!$K:$K,"native",'Raw Data'!$H:$H,"Trading and Services",'Raw Data'!$I:$I,"",'Raw Data'!$M:$M,"count")</f>
        <v>27000</v>
      </c>
      <c r="T14" s="11">
        <f>SUMIFS('Raw Data'!$L:$L,'Raw Data'!$B:$B,$B$2,'Raw Data'!$J:$J,T$2,'Raw Data'!$K:$K,"native",'Raw Data'!$H:$H,"Trading and Services",'Raw Data'!$I:$I,"",'Raw Data'!$M:$M,"count")</f>
        <v>26000</v>
      </c>
      <c r="U14" s="11"/>
      <c r="V14" s="11">
        <f>SUMIFS('Raw Data'!$L:$L,'Raw Data'!$B:$B,$B$2,'Raw Data'!$J:$J,V$2,'Raw Data'!$K:$K,"native",'Raw Data'!$H:$H,"Trading and Services",'Raw Data'!$I:$I,"",'Raw Data'!$M:$M,"count")</f>
        <v>29000</v>
      </c>
      <c r="W14" s="11">
        <f>SUMIFS('Raw Data'!$L:$L,'Raw Data'!$B:$B,$B$2,'Raw Data'!$J:$J,W$2,'Raw Data'!$K:$K,"native",'Raw Data'!$H:$H,"Trading and Services",'Raw Data'!$I:$I,"",'Raw Data'!$M:$M,"count")</f>
        <v>27000</v>
      </c>
      <c r="X14" s="11">
        <f>SUMIFS('Raw Data'!$L:$L,'Raw Data'!$B:$B,$B$2,'Raw Data'!$J:$J,X$2,'Raw Data'!$K:$K,"native",'Raw Data'!$H:$H,"Trading and Services",'Raw Data'!$I:$I,"",'Raw Data'!$M:$M,"count")</f>
        <v>33000</v>
      </c>
      <c r="Y14" s="11">
        <f>SUMIFS('Raw Data'!$L:$L,'Raw Data'!$B:$B,$B$2,'Raw Data'!$J:$J,Y$2,'Raw Data'!$K:$K,"native",'Raw Data'!$H:$H,"Trading and Services",'Raw Data'!$I:$I,"",'Raw Data'!$M:$M,"count")</f>
        <v>36000</v>
      </c>
      <c r="Z14" s="11">
        <f>SUMIFS('Raw Data'!$L:$L,'Raw Data'!$B:$B,$B$2,'Raw Data'!$J:$J,Z$2,'Raw Data'!$K:$K,"native",'Raw Data'!$H:$H,"Trading and Services",'Raw Data'!$I:$I,"",'Raw Data'!$M:$M,"count")</f>
        <v>38000</v>
      </c>
    </row>
    <row r="15" spans="1:26" x14ac:dyDescent="0.25">
      <c r="A15" s="10" t="s">
        <v>82</v>
      </c>
      <c r="B15" s="10" t="s">
        <v>132</v>
      </c>
      <c r="C15" s="11">
        <f>SUMIFS('Raw Data'!$L:$L,'Raw Data'!$B:$B,$B$2,'Raw Data'!$J:$J,C$2,'Raw Data'!$K:$K,"native",'Raw Data'!$H:$H,"Travel &amp; Transportation",'Raw Data'!$I:$I,"",'Raw Data'!$M:$M,"count")</f>
        <v>41000</v>
      </c>
      <c r="D15" s="11">
        <f>SUMIFS('Raw Data'!$L:$L,'Raw Data'!$B:$B,$B$2,'Raw Data'!$J:$J,D$2,'Raw Data'!$K:$K,"native",'Raw Data'!$H:$H,"Travel &amp; Transportation",'Raw Data'!$I:$I,"",'Raw Data'!$M:$M,"count")</f>
        <v>43000</v>
      </c>
      <c r="E15" s="11">
        <f>SUMIFS('Raw Data'!$L:$L,'Raw Data'!$B:$B,$B$2,'Raw Data'!$J:$J,E$2,'Raw Data'!$K:$K,"native",'Raw Data'!$H:$H,"Travel &amp; Transportation",'Raw Data'!$I:$I,"",'Raw Data'!$M:$M,"count")</f>
        <v>40000</v>
      </c>
      <c r="F15" s="11">
        <f>SUMIFS('Raw Data'!$L:$L,'Raw Data'!$B:$B,$B$2,'Raw Data'!$J:$J,F$2,'Raw Data'!$K:$K,"native",'Raw Data'!$H:$H,"Travel &amp; Transportation",'Raw Data'!$I:$I,"",'Raw Data'!$M:$M,"count")</f>
        <v>46000</v>
      </c>
      <c r="G15" s="11">
        <f>SUMIFS('Raw Data'!$L:$L,'Raw Data'!$B:$B,$B$2,'Raw Data'!$J:$J,G$2,'Raw Data'!$K:$K,"native",'Raw Data'!$H:$H,"Travel &amp; Transportation",'Raw Data'!$I:$I,"",'Raw Data'!$M:$M,"count")</f>
        <v>42000</v>
      </c>
      <c r="H15" s="11">
        <f>SUMIFS('Raw Data'!$L:$L,'Raw Data'!$B:$B,$B$2,'Raw Data'!$J:$J,H$2,'Raw Data'!$K:$K,"native",'Raw Data'!$H:$H,"Travel &amp; Transportation",'Raw Data'!$I:$I,"",'Raw Data'!$M:$M,"count")</f>
        <v>38000</v>
      </c>
      <c r="I15" s="11">
        <f>SUMIFS('Raw Data'!$L:$L,'Raw Data'!$B:$B,$B$2,'Raw Data'!$J:$J,I$2,'Raw Data'!$K:$K,"native",'Raw Data'!$H:$H,"Travel &amp; Transportation",'Raw Data'!$I:$I,"",'Raw Data'!$M:$M,"count")</f>
        <v>43000</v>
      </c>
      <c r="J15" s="11">
        <f>SUMIFS('Raw Data'!$L:$L,'Raw Data'!$B:$B,$B$2,'Raw Data'!$J:$J,J$2,'Raw Data'!$K:$K,"native",'Raw Data'!$H:$H,"Travel &amp; Transportation",'Raw Data'!$I:$I,"",'Raw Data'!$M:$M,"count")</f>
        <v>54000</v>
      </c>
      <c r="K15" s="11">
        <f>SUMIFS('Raw Data'!$L:$L,'Raw Data'!$B:$B,$B$2,'Raw Data'!$J:$J,K$2,'Raw Data'!$K:$K,"native",'Raw Data'!$H:$H,"Travel &amp; Transportation",'Raw Data'!$I:$I,"",'Raw Data'!$M:$M,"count")</f>
        <v>49000</v>
      </c>
      <c r="L15" s="11">
        <f>SUMIFS('Raw Data'!$L:$L,'Raw Data'!$B:$B,$B$2,'Raw Data'!$J:$J,L$2,'Raw Data'!$K:$K,"native",'Raw Data'!$H:$H,"Travel &amp; Transportation",'Raw Data'!$I:$I,"",'Raw Data'!$M:$M,"count")</f>
        <v>54000</v>
      </c>
      <c r="M15" s="11">
        <f>SUMIFS('Raw Data'!$L:$L,'Raw Data'!$B:$B,$B$2,'Raw Data'!$J:$J,M$2,'Raw Data'!$K:$K,"native",'Raw Data'!$H:$H,"Travel &amp; Transportation",'Raw Data'!$I:$I,"",'Raw Data'!$M:$M,"count")</f>
        <v>68000</v>
      </c>
      <c r="N15" s="11">
        <f>SUMIFS('Raw Data'!$L:$L,'Raw Data'!$B:$B,$B$2,'Raw Data'!$J:$J,N$2,'Raw Data'!$K:$K,"native",'Raw Data'!$H:$H,"Travel &amp; Transportation",'Raw Data'!$I:$I,"",'Raw Data'!$M:$M,"count")</f>
        <v>67000</v>
      </c>
      <c r="O15" s="11">
        <f>SUMIFS('Raw Data'!$L:$L,'Raw Data'!$B:$B,$B$2,'Raw Data'!$J:$J,O$2,'Raw Data'!$K:$K,"native",'Raw Data'!$H:$H,"Travel &amp; Transportation",'Raw Data'!$I:$I,"",'Raw Data'!$M:$M,"count")</f>
        <v>59000</v>
      </c>
      <c r="P15" s="11">
        <f>SUMIFS('Raw Data'!$L:$L,'Raw Data'!$B:$B,$B$2,'Raw Data'!$J:$J,P$2,'Raw Data'!$K:$K,"native",'Raw Data'!$H:$H,"Travel &amp; Transportation",'Raw Data'!$I:$I,"",'Raw Data'!$M:$M,"count")</f>
        <v>63000</v>
      </c>
      <c r="Q15" s="11">
        <f>SUMIFS('Raw Data'!$L:$L,'Raw Data'!$B:$B,$B$2,'Raw Data'!$J:$J,Q$2,'Raw Data'!$K:$K,"native",'Raw Data'!$H:$H,"Travel &amp; Transportation",'Raw Data'!$I:$I,"",'Raw Data'!$M:$M,"count")</f>
        <v>60000</v>
      </c>
      <c r="R15" s="11">
        <f>SUMIFS('Raw Data'!$L:$L,'Raw Data'!$B:$B,$B$2,'Raw Data'!$J:$J,R$2,'Raw Data'!$K:$K,"native",'Raw Data'!$H:$H,"Travel &amp; Transportation",'Raw Data'!$I:$I,"",'Raw Data'!$M:$M,"count")</f>
        <v>60000</v>
      </c>
      <c r="S15" s="11">
        <f>SUMIFS('Raw Data'!$L:$L,'Raw Data'!$B:$B,$B$2,'Raw Data'!$J:$J,S$2,'Raw Data'!$K:$K,"native",'Raw Data'!$H:$H,"Travel &amp; Transportation",'Raw Data'!$I:$I,"",'Raw Data'!$M:$M,"count")</f>
        <v>50000</v>
      </c>
      <c r="T15" s="11">
        <f>SUMIFS('Raw Data'!$L:$L,'Raw Data'!$B:$B,$B$2,'Raw Data'!$J:$J,T$2,'Raw Data'!$K:$K,"native",'Raw Data'!$H:$H,"Travel &amp; Transportation",'Raw Data'!$I:$I,"",'Raw Data'!$M:$M,"count")</f>
        <v>50000</v>
      </c>
      <c r="U15" s="11">
        <f>SUMIFS('Raw Data'!$L:$L,'Raw Data'!$B:$B,$B$2,'Raw Data'!$J:$J,U$2,'Raw Data'!$K:$K,"native",'Raw Data'!$H:$H,"Travel &amp; Transportation",'Raw Data'!$I:$I,"",'Raw Data'!$M:$M,"count")</f>
        <v>57000</v>
      </c>
      <c r="V15" s="11">
        <f>SUMIFS('Raw Data'!$L:$L,'Raw Data'!$B:$B,$B$2,'Raw Data'!$J:$J,V$2,'Raw Data'!$K:$K,"native",'Raw Data'!$H:$H,"Travel &amp; Transportation",'Raw Data'!$I:$I,"",'Raw Data'!$M:$M,"count")</f>
        <v>52000</v>
      </c>
      <c r="W15" s="11">
        <f>SUMIFS('Raw Data'!$L:$L,'Raw Data'!$B:$B,$B$2,'Raw Data'!$J:$J,W$2,'Raw Data'!$K:$K,"native",'Raw Data'!$H:$H,"Travel &amp; Transportation",'Raw Data'!$I:$I,"",'Raw Data'!$M:$M,"count")</f>
        <v>56000</v>
      </c>
      <c r="X15" s="11">
        <f>SUMIFS('Raw Data'!$L:$L,'Raw Data'!$B:$B,$B$2,'Raw Data'!$J:$J,X$2,'Raw Data'!$K:$K,"native",'Raw Data'!$H:$H,"Travel &amp; Transportation",'Raw Data'!$I:$I,"",'Raw Data'!$M:$M,"count")</f>
        <v>60000</v>
      </c>
      <c r="Y15" s="11">
        <f>SUMIFS('Raw Data'!$L:$L,'Raw Data'!$B:$B,$B$2,'Raw Data'!$J:$J,Y$2,'Raw Data'!$K:$K,"native",'Raw Data'!$H:$H,"Travel &amp; Transportation",'Raw Data'!$I:$I,"",'Raw Data'!$M:$M,"count")</f>
        <v>69000</v>
      </c>
      <c r="Z15" s="11">
        <f>SUMIFS('Raw Data'!$L:$L,'Raw Data'!$B:$B,$B$2,'Raw Data'!$J:$J,Z$2,'Raw Data'!$K:$K,"native",'Raw Data'!$H:$H,"Travel &amp; Transportation",'Raw Data'!$I:$I,"",'Raw Data'!$M:$M,"count")</f>
        <v>75000</v>
      </c>
    </row>
    <row r="16" spans="1:26" x14ac:dyDescent="0.25">
      <c r="A16" s="10" t="s">
        <v>82</v>
      </c>
      <c r="B16" s="10" t="s">
        <v>133</v>
      </c>
      <c r="C16" s="11">
        <f>SUMIFS('Raw Data'!$L:$L,'Raw Data'!$B:$B,$B$2,'Raw Data'!$J:$J,C$2,'Raw Data'!$K:$K,"native",'Raw Data'!$H:$H,"Wallets and PSPs",'Raw Data'!$I:$I,"",'Raw Data'!$M:$M,"count")</f>
        <v>547000</v>
      </c>
      <c r="D16" s="11">
        <f>SUMIFS('Raw Data'!$L:$L,'Raw Data'!$B:$B,$B$2,'Raw Data'!$J:$J,D$2,'Raw Data'!$K:$K,"native",'Raw Data'!$H:$H,"Wallets and PSPs",'Raw Data'!$I:$I,"",'Raw Data'!$M:$M,"count")</f>
        <v>541000</v>
      </c>
      <c r="E16" s="11">
        <f>SUMIFS('Raw Data'!$L:$L,'Raw Data'!$B:$B,$B$2,'Raw Data'!$J:$J,E$2,'Raw Data'!$K:$K,"native",'Raw Data'!$H:$H,"Wallets and PSPs",'Raw Data'!$I:$I,"",'Raw Data'!$M:$M,"count")</f>
        <v>476000</v>
      </c>
      <c r="F16" s="11">
        <f>SUMIFS('Raw Data'!$L:$L,'Raw Data'!$B:$B,$B$2,'Raw Data'!$J:$J,F$2,'Raw Data'!$K:$K,"native",'Raw Data'!$H:$H,"Wallets and PSPs",'Raw Data'!$I:$I,"",'Raw Data'!$M:$M,"count")</f>
        <v>566000</v>
      </c>
      <c r="G16" s="11">
        <f>SUMIFS('Raw Data'!$L:$L,'Raw Data'!$B:$B,$B$2,'Raw Data'!$J:$J,G$2,'Raw Data'!$K:$K,"native",'Raw Data'!$H:$H,"Wallets and PSPs",'Raw Data'!$I:$I,"",'Raw Data'!$M:$M,"count")</f>
        <v>509000</v>
      </c>
      <c r="H16" s="11">
        <f>SUMIFS('Raw Data'!$L:$L,'Raw Data'!$B:$B,$B$2,'Raw Data'!$J:$J,H$2,'Raw Data'!$K:$K,"native",'Raw Data'!$H:$H,"Wallets and PSPs",'Raw Data'!$I:$I,"",'Raw Data'!$M:$M,"count")</f>
        <v>492000</v>
      </c>
      <c r="I16" s="11">
        <f>SUMIFS('Raw Data'!$L:$L,'Raw Data'!$B:$B,$B$2,'Raw Data'!$J:$J,I$2,'Raw Data'!$K:$K,"native",'Raw Data'!$H:$H,"Wallets and PSPs",'Raw Data'!$I:$I,"",'Raw Data'!$M:$M,"count")</f>
        <v>497000</v>
      </c>
      <c r="J16" s="11">
        <f>SUMIFS('Raw Data'!$L:$L,'Raw Data'!$B:$B,$B$2,'Raw Data'!$J:$J,J$2,'Raw Data'!$K:$K,"native",'Raw Data'!$H:$H,"Wallets and PSPs",'Raw Data'!$I:$I,"",'Raw Data'!$M:$M,"count")</f>
        <v>585000</v>
      </c>
      <c r="K16" s="11">
        <f>SUMIFS('Raw Data'!$L:$L,'Raw Data'!$B:$B,$B$2,'Raw Data'!$J:$J,K$2,'Raw Data'!$K:$K,"native",'Raw Data'!$H:$H,"Wallets and PSPs",'Raw Data'!$I:$I,"",'Raw Data'!$M:$M,"count")</f>
        <v>527000</v>
      </c>
      <c r="L16" s="11">
        <f>SUMIFS('Raw Data'!$L:$L,'Raw Data'!$B:$B,$B$2,'Raw Data'!$J:$J,L$2,'Raw Data'!$K:$K,"native",'Raw Data'!$H:$H,"Wallets and PSPs",'Raw Data'!$I:$I,"",'Raw Data'!$M:$M,"count")</f>
        <v>544000</v>
      </c>
      <c r="M16" s="11">
        <f>SUMIFS('Raw Data'!$L:$L,'Raw Data'!$B:$B,$B$2,'Raw Data'!$J:$J,M$2,'Raw Data'!$K:$K,"native",'Raw Data'!$H:$H,"Wallets and PSPs",'Raw Data'!$I:$I,"",'Raw Data'!$M:$M,"count")</f>
        <v>566000</v>
      </c>
      <c r="N16" s="11">
        <f>SUMIFS('Raw Data'!$L:$L,'Raw Data'!$B:$B,$B$2,'Raw Data'!$J:$J,N$2,'Raw Data'!$K:$K,"native",'Raw Data'!$H:$H,"Wallets and PSPs",'Raw Data'!$I:$I,"",'Raw Data'!$M:$M,"count")</f>
        <v>581000</v>
      </c>
      <c r="O16" s="11">
        <f>SUMIFS('Raw Data'!$L:$L,'Raw Data'!$B:$B,$B$2,'Raw Data'!$J:$J,O$2,'Raw Data'!$K:$K,"native",'Raw Data'!$H:$H,"Wallets and PSPs",'Raw Data'!$I:$I,"",'Raw Data'!$M:$M,"count")</f>
        <v>566000</v>
      </c>
      <c r="P16" s="11">
        <f>SUMIFS('Raw Data'!$L:$L,'Raw Data'!$B:$B,$B$2,'Raw Data'!$J:$J,P$2,'Raw Data'!$K:$K,"native",'Raw Data'!$H:$H,"Wallets and PSPs",'Raw Data'!$I:$I,"",'Raw Data'!$M:$M,"count")</f>
        <v>579000</v>
      </c>
      <c r="Q16" s="11">
        <f>SUMIFS('Raw Data'!$L:$L,'Raw Data'!$B:$B,$B$2,'Raw Data'!$J:$J,Q$2,'Raw Data'!$K:$K,"native",'Raw Data'!$H:$H,"Wallets and PSPs",'Raw Data'!$I:$I,"",'Raw Data'!$M:$M,"count")</f>
        <v>573000</v>
      </c>
      <c r="R16" s="11">
        <f>SUMIFS('Raw Data'!$L:$L,'Raw Data'!$B:$B,$B$2,'Raw Data'!$J:$J,R$2,'Raw Data'!$K:$K,"native",'Raw Data'!$H:$H,"Wallets and PSPs",'Raw Data'!$I:$I,"",'Raw Data'!$M:$M,"count")</f>
        <v>592000</v>
      </c>
      <c r="S16" s="11">
        <f>SUMIFS('Raw Data'!$L:$L,'Raw Data'!$B:$B,$B$2,'Raw Data'!$J:$J,S$2,'Raw Data'!$K:$K,"native",'Raw Data'!$H:$H,"Wallets and PSPs",'Raw Data'!$I:$I,"",'Raw Data'!$M:$M,"count")</f>
        <v>509000</v>
      </c>
      <c r="T16" s="11">
        <f>SUMIFS('Raw Data'!$L:$L,'Raw Data'!$B:$B,$B$2,'Raw Data'!$J:$J,T$2,'Raw Data'!$K:$K,"native",'Raw Data'!$H:$H,"Wallets and PSPs",'Raw Data'!$I:$I,"",'Raw Data'!$M:$M,"count")</f>
        <v>540000</v>
      </c>
      <c r="U16" s="11">
        <f>SUMIFS('Raw Data'!$L:$L,'Raw Data'!$B:$B,$B$2,'Raw Data'!$J:$J,U$2,'Raw Data'!$K:$K,"native",'Raw Data'!$H:$H,"Wallets and PSPs",'Raw Data'!$I:$I,"",'Raw Data'!$M:$M,"count")</f>
        <v>631000</v>
      </c>
      <c r="V16" s="11">
        <f>SUMIFS('Raw Data'!$L:$L,'Raw Data'!$B:$B,$B$2,'Raw Data'!$J:$J,V$2,'Raw Data'!$K:$K,"native",'Raw Data'!$H:$H,"Wallets and PSPs",'Raw Data'!$I:$I,"",'Raw Data'!$M:$M,"count")</f>
        <v>538000</v>
      </c>
      <c r="W16" s="11">
        <f>SUMIFS('Raw Data'!$L:$L,'Raw Data'!$B:$B,$B$2,'Raw Data'!$J:$J,W$2,'Raw Data'!$K:$K,"native",'Raw Data'!$H:$H,"Wallets and PSPs",'Raw Data'!$I:$I,"",'Raw Data'!$M:$M,"count")</f>
        <v>598000</v>
      </c>
      <c r="X16" s="11">
        <f>SUMIFS('Raw Data'!$L:$L,'Raw Data'!$B:$B,$B$2,'Raw Data'!$J:$J,X$2,'Raw Data'!$K:$K,"native",'Raw Data'!$H:$H,"Wallets and PSPs",'Raw Data'!$I:$I,"",'Raw Data'!$M:$M,"count")</f>
        <v>557000</v>
      </c>
      <c r="Y16" s="11">
        <f>SUMIFS('Raw Data'!$L:$L,'Raw Data'!$B:$B,$B$2,'Raw Data'!$J:$J,Y$2,'Raw Data'!$K:$K,"native",'Raw Data'!$H:$H,"Wallets and PSPs",'Raw Data'!$I:$I,"",'Raw Data'!$M:$M,"count")</f>
        <v>588000</v>
      </c>
      <c r="Z16" s="11">
        <f>SUMIFS('Raw Data'!$L:$L,'Raw Data'!$B:$B,$B$2,'Raw Data'!$J:$J,Z$2,'Raw Data'!$K:$K,"native",'Raw Data'!$H:$H,"Wallets and PSPs",'Raw Data'!$I:$I,"",'Raw Data'!$M:$M,"count")</f>
        <v>628000</v>
      </c>
    </row>
    <row r="17" spans="1:26" x14ac:dyDescent="0.25">
      <c r="A17" s="10" t="s">
        <v>82</v>
      </c>
      <c r="B17" s="10" t="s">
        <v>134</v>
      </c>
      <c r="C17" s="11">
        <f>SUMIFS('Raw Data'!$L:$L,'Raw Data'!$B:$B,$B$2,'Raw Data'!$J:$J,C$2,'Raw Data'!$K:$K,"native",'Raw Data'!$H:$H,"Water and Electricity",'Raw Data'!$I:$I,"",'Raw Data'!$M:$M,"count")</f>
        <v>1601000</v>
      </c>
      <c r="D17" s="11">
        <f>SUMIFS('Raw Data'!$L:$L,'Raw Data'!$B:$B,$B$2,'Raw Data'!$J:$J,D$2,'Raw Data'!$K:$K,"native",'Raw Data'!$H:$H,"Water and Electricity",'Raw Data'!$I:$I,"",'Raw Data'!$M:$M,"count")</f>
        <v>1682000</v>
      </c>
      <c r="E17" s="11">
        <f>SUMIFS('Raw Data'!$L:$L,'Raw Data'!$B:$B,$B$2,'Raw Data'!$J:$J,E$2,'Raw Data'!$K:$K,"native",'Raw Data'!$H:$H,"Water and Electricity",'Raw Data'!$I:$I,"",'Raw Data'!$M:$M,"count")</f>
        <v>1481000</v>
      </c>
      <c r="F17" s="11">
        <f>SUMIFS('Raw Data'!$L:$L,'Raw Data'!$B:$B,$B$2,'Raw Data'!$J:$J,F$2,'Raw Data'!$K:$K,"native",'Raw Data'!$H:$H,"Water and Electricity",'Raw Data'!$I:$I,"",'Raw Data'!$M:$M,"count")</f>
        <v>1880000</v>
      </c>
      <c r="G17" s="11">
        <f>SUMIFS('Raw Data'!$L:$L,'Raw Data'!$B:$B,$B$2,'Raw Data'!$J:$J,G$2,'Raw Data'!$K:$K,"native",'Raw Data'!$H:$H,"Water and Electricity",'Raw Data'!$I:$I,"",'Raw Data'!$M:$M,"count")</f>
        <v>1592000</v>
      </c>
      <c r="H17" s="11">
        <f>SUMIFS('Raw Data'!$L:$L,'Raw Data'!$B:$B,$B$2,'Raw Data'!$J:$J,H$2,'Raw Data'!$K:$K,"native",'Raw Data'!$H:$H,"Water and Electricity",'Raw Data'!$I:$I,"",'Raw Data'!$M:$M,"count")</f>
        <v>1547000</v>
      </c>
      <c r="I17" s="11">
        <f>SUMIFS('Raw Data'!$L:$L,'Raw Data'!$B:$B,$B$2,'Raw Data'!$J:$J,I$2,'Raw Data'!$K:$K,"native",'Raw Data'!$H:$H,"Water and Electricity",'Raw Data'!$I:$I,"",'Raw Data'!$M:$M,"count")</f>
        <v>1602000</v>
      </c>
      <c r="J17" s="11">
        <f>SUMIFS('Raw Data'!$L:$L,'Raw Data'!$B:$B,$B$2,'Raw Data'!$J:$J,J$2,'Raw Data'!$K:$K,"native",'Raw Data'!$H:$H,"Water and Electricity",'Raw Data'!$I:$I,"",'Raw Data'!$M:$M,"count")</f>
        <v>1845000</v>
      </c>
      <c r="K17" s="11">
        <f>SUMIFS('Raw Data'!$L:$L,'Raw Data'!$B:$B,$B$2,'Raw Data'!$J:$J,K$2,'Raw Data'!$K:$K,"native",'Raw Data'!$H:$H,"Water and Electricity",'Raw Data'!$I:$I,"",'Raw Data'!$M:$M,"count")</f>
        <v>1636000</v>
      </c>
      <c r="L17" s="11">
        <f>SUMIFS('Raw Data'!$L:$L,'Raw Data'!$B:$B,$B$2,'Raw Data'!$J:$J,L$2,'Raw Data'!$K:$K,"native",'Raw Data'!$H:$H,"Water and Electricity",'Raw Data'!$I:$I,"",'Raw Data'!$M:$M,"count")</f>
        <v>1800000</v>
      </c>
      <c r="M17" s="11">
        <f>SUMIFS('Raw Data'!$L:$L,'Raw Data'!$B:$B,$B$2,'Raw Data'!$J:$J,M$2,'Raw Data'!$K:$K,"native",'Raw Data'!$H:$H,"Water and Electricity",'Raw Data'!$I:$I,"",'Raw Data'!$M:$M,"count")</f>
        <v>1880000</v>
      </c>
      <c r="N17" s="11">
        <f>SUMIFS('Raw Data'!$L:$L,'Raw Data'!$B:$B,$B$2,'Raw Data'!$J:$J,N$2,'Raw Data'!$K:$K,"native",'Raw Data'!$H:$H,"Water and Electricity",'Raw Data'!$I:$I,"",'Raw Data'!$M:$M,"count")</f>
        <v>1830000</v>
      </c>
      <c r="O17" s="11">
        <f>SUMIFS('Raw Data'!$L:$L,'Raw Data'!$B:$B,$B$2,'Raw Data'!$J:$J,O$2,'Raw Data'!$K:$K,"native",'Raw Data'!$H:$H,"Water and Electricity",'Raw Data'!$I:$I,"",'Raw Data'!$M:$M,"count")</f>
        <v>1780000</v>
      </c>
      <c r="P17" s="11">
        <f>SUMIFS('Raw Data'!$L:$L,'Raw Data'!$B:$B,$B$2,'Raw Data'!$J:$J,P$2,'Raw Data'!$K:$K,"native",'Raw Data'!$H:$H,"Water and Electricity",'Raw Data'!$I:$I,"",'Raw Data'!$M:$M,"count")</f>
        <v>1800000</v>
      </c>
      <c r="Q17" s="11">
        <f>SUMIFS('Raw Data'!$L:$L,'Raw Data'!$B:$B,$B$2,'Raw Data'!$J:$J,Q$2,'Raw Data'!$K:$K,"native",'Raw Data'!$H:$H,"Water and Electricity",'Raw Data'!$I:$I,"",'Raw Data'!$M:$M,"count")</f>
        <v>1850000</v>
      </c>
      <c r="R17" s="11">
        <f>SUMIFS('Raw Data'!$L:$L,'Raw Data'!$B:$B,$B$2,'Raw Data'!$J:$J,R$2,'Raw Data'!$K:$K,"native",'Raw Data'!$H:$H,"Water and Electricity",'Raw Data'!$I:$I,"",'Raw Data'!$M:$M,"count")</f>
        <v>1990000</v>
      </c>
      <c r="S17" s="11">
        <f>SUMIFS('Raw Data'!$L:$L,'Raw Data'!$B:$B,$B$2,'Raw Data'!$J:$J,S$2,'Raw Data'!$K:$K,"native",'Raw Data'!$H:$H,"Water and Electricity",'Raw Data'!$I:$I,"",'Raw Data'!$M:$M,"count")</f>
        <v>1760000</v>
      </c>
      <c r="T17" s="11">
        <f>SUMIFS('Raw Data'!$L:$L,'Raw Data'!$B:$B,$B$2,'Raw Data'!$J:$J,T$2,'Raw Data'!$K:$K,"native",'Raw Data'!$H:$H,"Water and Electricity",'Raw Data'!$I:$I,"",'Raw Data'!$M:$M,"count")</f>
        <v>1780000</v>
      </c>
      <c r="U17" s="11">
        <f>SUMIFS('Raw Data'!$L:$L,'Raw Data'!$B:$B,$B$2,'Raw Data'!$J:$J,U$2,'Raw Data'!$K:$K,"native",'Raw Data'!$H:$H,"Water and Electricity",'Raw Data'!$I:$I,"",'Raw Data'!$M:$M,"count")</f>
        <v>2140000</v>
      </c>
      <c r="V17" s="11">
        <f>SUMIFS('Raw Data'!$L:$L,'Raw Data'!$B:$B,$B$2,'Raw Data'!$J:$J,V$2,'Raw Data'!$K:$K,"native",'Raw Data'!$H:$H,"Water and Electricity",'Raw Data'!$I:$I,"",'Raw Data'!$M:$M,"count")</f>
        <v>1850000</v>
      </c>
      <c r="W17" s="11">
        <f>SUMIFS('Raw Data'!$L:$L,'Raw Data'!$B:$B,$B$2,'Raw Data'!$J:$J,W$2,'Raw Data'!$K:$K,"native",'Raw Data'!$H:$H,"Water and Electricity",'Raw Data'!$I:$I,"",'Raw Data'!$M:$M,"count")</f>
        <v>1980000</v>
      </c>
      <c r="X17" s="11">
        <f>SUMIFS('Raw Data'!$L:$L,'Raw Data'!$B:$B,$B$2,'Raw Data'!$J:$J,X$2,'Raw Data'!$K:$K,"native",'Raw Data'!$H:$H,"Water and Electricity",'Raw Data'!$I:$I,"",'Raw Data'!$M:$M,"count")</f>
        <v>1990000</v>
      </c>
      <c r="Y17" s="11">
        <f>SUMIFS('Raw Data'!$L:$L,'Raw Data'!$B:$B,$B$2,'Raw Data'!$J:$J,Y$2,'Raw Data'!$K:$K,"native",'Raw Data'!$H:$H,"Water and Electricity",'Raw Data'!$I:$I,"",'Raw Data'!$M:$M,"count")</f>
        <v>2050000</v>
      </c>
      <c r="Z17" s="11">
        <f>SUMIFS('Raw Data'!$L:$L,'Raw Data'!$B:$B,$B$2,'Raw Data'!$J:$J,Z$2,'Raw Data'!$K:$K,"native",'Raw Data'!$H:$H,"Water and Electricity",'Raw Data'!$I:$I,"",'Raw Data'!$M:$M,"count")</f>
        <v>2130000</v>
      </c>
    </row>
    <row r="18" spans="1:26" x14ac:dyDescent="0.25">
      <c r="A18" s="10" t="s">
        <v>82</v>
      </c>
      <c r="B18" s="10" t="s">
        <v>135</v>
      </c>
      <c r="C18" s="11"/>
      <c r="D18" s="11"/>
      <c r="E18" s="11"/>
      <c r="F18" s="11"/>
      <c r="G18" s="11"/>
      <c r="H18" s="11"/>
      <c r="I18" s="11">
        <f>SUMIFS('Raw Data'!$L:$L,'Raw Data'!$B:$B,$B$2,'Raw Data'!$J:$J,I$2,'Raw Data'!$K:$K,"native",'Raw Data'!$H:$H,"Charities",'Raw Data'!$I:$I,"",'Raw Data'!$M:$M,"count")</f>
        <v>35000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>
        <f>SUMIFS('Raw Data'!$L:$L,'Raw Data'!$B:$B,$B$2,'Raw Data'!$J:$J,U$2,'Raw Data'!$K:$K,"native",'Raw Data'!$H:$H,"Charities",'Raw Data'!$I:$I,"",'Raw Data'!$M:$M,"count")</f>
        <v>43000</v>
      </c>
      <c r="V18" s="11"/>
      <c r="W18" s="11"/>
      <c r="X18" s="11"/>
      <c r="Y18" s="11"/>
      <c r="Z18" s="11"/>
    </row>
    <row r="19" spans="1:26" x14ac:dyDescent="0.25">
      <c r="A19" s="53" t="s">
        <v>136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x14ac:dyDescent="0.25">
      <c r="A20" s="10" t="s">
        <v>82</v>
      </c>
      <c r="B20" s="10" t="s">
        <v>137</v>
      </c>
      <c r="C20" s="11">
        <f>SUMIFS('Raw Data'!$L:$L,'Raw Data'!$B:$B,$B$2,'Raw Data'!$J:$J,C$2,'Raw Data'!$K:$K,"native",'Raw Data'!$H:$H,"Cash Payments",'Raw Data'!$I:$I,"",'Raw Data'!$M:$M,"count")</f>
        <v>1230000</v>
      </c>
      <c r="D20" s="11">
        <f>SUMIFS('Raw Data'!$L:$L,'Raw Data'!$B:$B,$B$2,'Raw Data'!$J:$J,D$2,'Raw Data'!$K:$K,"native",'Raw Data'!$H:$H,"Cash Payments",'Raw Data'!$I:$I,"",'Raw Data'!$M:$M,"count")</f>
        <v>1270000</v>
      </c>
      <c r="E20" s="11">
        <f>SUMIFS('Raw Data'!$L:$L,'Raw Data'!$B:$B,$B$2,'Raw Data'!$J:$J,E$2,'Raw Data'!$K:$K,"native",'Raw Data'!$H:$H,"Cash Payments",'Raw Data'!$I:$I,"",'Raw Data'!$M:$M,"count")</f>
        <v>1030000</v>
      </c>
      <c r="F20" s="11">
        <f>SUMIFS('Raw Data'!$L:$L,'Raw Data'!$B:$B,$B$2,'Raw Data'!$J:$J,F$2,'Raw Data'!$K:$K,"native",'Raw Data'!$H:$H,"Cash Payments",'Raw Data'!$I:$I,"",'Raw Data'!$M:$M,"count")</f>
        <v>1280000</v>
      </c>
      <c r="G20" s="11">
        <f>SUMIFS('Raw Data'!$L:$L,'Raw Data'!$B:$B,$B$2,'Raw Data'!$J:$J,G$2,'Raw Data'!$K:$K,"native",'Raw Data'!$H:$H,"Cash Payments",'Raw Data'!$I:$I,"",'Raw Data'!$M:$M,"count")</f>
        <v>1180000</v>
      </c>
      <c r="H20" s="11">
        <f>SUMIFS('Raw Data'!$L:$L,'Raw Data'!$B:$B,$B$2,'Raw Data'!$J:$J,H$2,'Raw Data'!$K:$K,"native",'Raw Data'!$H:$H,"Cash Payments",'Raw Data'!$I:$I,"",'Raw Data'!$M:$M,"count")</f>
        <v>1160000</v>
      </c>
      <c r="I20" s="11">
        <f>SUMIFS('Raw Data'!$L:$L,'Raw Data'!$B:$B,$B$2,'Raw Data'!$J:$J,I$2,'Raw Data'!$K:$K,"native",'Raw Data'!$H:$H,"Cash Payments",'Raw Data'!$I:$I,"",'Raw Data'!$M:$M,"count")</f>
        <v>969700</v>
      </c>
      <c r="J20" s="11">
        <f>SUMIFS('Raw Data'!$L:$L,'Raw Data'!$B:$B,$B$2,'Raw Data'!$J:$J,J$2,'Raw Data'!$K:$K,"native",'Raw Data'!$H:$H,"Cash Payments",'Raw Data'!$I:$I,"",'Raw Data'!$M:$M,"count")</f>
        <v>1160000</v>
      </c>
      <c r="K20" s="11">
        <f>SUMIFS('Raw Data'!$L:$L,'Raw Data'!$B:$B,$B$2,'Raw Data'!$J:$J,K$2,'Raw Data'!$K:$K,"native",'Raw Data'!$H:$H,"Cash Payments",'Raw Data'!$I:$I,"",'Raw Data'!$M:$M,"count")</f>
        <v>1030000</v>
      </c>
      <c r="L20" s="11">
        <f>SUMIFS('Raw Data'!$L:$L,'Raw Data'!$B:$B,$B$2,'Raw Data'!$J:$J,L$2,'Raw Data'!$K:$K,"native",'Raw Data'!$H:$H,"Cash Payments",'Raw Data'!$I:$I,"",'Raw Data'!$M:$M,"count")</f>
        <v>1020000</v>
      </c>
      <c r="M20" s="11">
        <f>SUMIFS('Raw Data'!$L:$L,'Raw Data'!$B:$B,$B$2,'Raw Data'!$J:$J,M$2,'Raw Data'!$K:$K,"native",'Raw Data'!$H:$H,"Cash Payments",'Raw Data'!$I:$I,"",'Raw Data'!$M:$M,"count")</f>
        <v>1200000</v>
      </c>
      <c r="N20" s="11">
        <f>SUMIFS('Raw Data'!$L:$L,'Raw Data'!$B:$B,$B$2,'Raw Data'!$J:$J,N$2,'Raw Data'!$K:$K,"native",'Raw Data'!$H:$H,"Cash Payments",'Raw Data'!$I:$I,"",'Raw Data'!$M:$M,"count")</f>
        <v>1220000</v>
      </c>
      <c r="O20" s="11">
        <f>SUMIFS('Raw Data'!$L:$L,'Raw Data'!$B:$B,$B$2,'Raw Data'!$J:$J,O$2,'Raw Data'!$K:$K,"native",'Raw Data'!$H:$H,"Cash Payments",'Raw Data'!$I:$I,"",'Raw Data'!$M:$M,"count")</f>
        <v>1210000</v>
      </c>
      <c r="P20" s="11">
        <f>SUMIFS('Raw Data'!$L:$L,'Raw Data'!$B:$B,$B$2,'Raw Data'!$J:$J,P$2,'Raw Data'!$K:$K,"native",'Raw Data'!$H:$H,"Cash Payments",'Raw Data'!$I:$I,"",'Raw Data'!$M:$M,"count")</f>
        <v>1340000</v>
      </c>
      <c r="Q20" s="11">
        <f>SUMIFS('Raw Data'!$L:$L,'Raw Data'!$B:$B,$B$2,'Raw Data'!$J:$J,Q$2,'Raw Data'!$K:$K,"native",'Raw Data'!$H:$H,"Cash Payments",'Raw Data'!$I:$I,"",'Raw Data'!$M:$M,"count")</f>
        <v>1270000</v>
      </c>
      <c r="R20" s="11">
        <f>SUMIFS('Raw Data'!$L:$L,'Raw Data'!$B:$B,$B$2,'Raw Data'!$J:$J,R$2,'Raw Data'!$K:$K,"native",'Raw Data'!$H:$H,"Cash Payments",'Raw Data'!$I:$I,"",'Raw Data'!$M:$M,"count")</f>
        <v>1380000</v>
      </c>
      <c r="S20" s="11">
        <f>SUMIFS('Raw Data'!$L:$L,'Raw Data'!$B:$B,$B$2,'Raw Data'!$J:$J,S$2,'Raw Data'!$K:$K,"native",'Raw Data'!$H:$H,"Cash Payments",'Raw Data'!$I:$I,"",'Raw Data'!$M:$M,"count")</f>
        <v>1250000</v>
      </c>
      <c r="T20" s="11">
        <f>SUMIFS('Raw Data'!$L:$L,'Raw Data'!$B:$B,$B$2,'Raw Data'!$J:$J,T$2,'Raw Data'!$K:$K,"native",'Raw Data'!$H:$H,"Cash Payments",'Raw Data'!$I:$I,"",'Raw Data'!$M:$M,"count")</f>
        <v>1250000</v>
      </c>
      <c r="U20" s="11">
        <f>SUMIFS('Raw Data'!$L:$L,'Raw Data'!$B:$B,$B$2,'Raw Data'!$J:$J,U$2,'Raw Data'!$K:$K,"native",'Raw Data'!$H:$H,"Cash Payments",'Raw Data'!$I:$I,"",'Raw Data'!$M:$M,"count")</f>
        <v>1240000</v>
      </c>
      <c r="V20" s="11">
        <f>SUMIFS('Raw Data'!$L:$L,'Raw Data'!$B:$B,$B$2,'Raw Data'!$J:$J,V$2,'Raw Data'!$K:$K,"native",'Raw Data'!$H:$H,"Cash Payments",'Raw Data'!$I:$I,"",'Raw Data'!$M:$M,"count")</f>
        <v>1200000</v>
      </c>
      <c r="W20" s="11">
        <f>SUMIFS('Raw Data'!$L:$L,'Raw Data'!$B:$B,$B$2,'Raw Data'!$J:$J,W$2,'Raw Data'!$K:$K,"native",'Raw Data'!$H:$H,"Cash Payments",'Raw Data'!$I:$I,"",'Raw Data'!$M:$M,"count")</f>
        <v>1100000</v>
      </c>
      <c r="X20" s="11">
        <f>SUMIFS('Raw Data'!$L:$L,'Raw Data'!$B:$B,$B$2,'Raw Data'!$J:$J,X$2,'Raw Data'!$K:$K,"native",'Raw Data'!$H:$H,"Cash Payments",'Raw Data'!$I:$I,"",'Raw Data'!$M:$M,"count")</f>
        <v>1260000</v>
      </c>
      <c r="Y20" s="11">
        <f>SUMIFS('Raw Data'!$L:$L,'Raw Data'!$B:$B,$B$2,'Raw Data'!$J:$J,Y$2,'Raw Data'!$K:$K,"native",'Raw Data'!$H:$H,"Cash Payments",'Raw Data'!$I:$I,"",'Raw Data'!$M:$M,"count")</f>
        <v>1320000</v>
      </c>
      <c r="Z20" s="11">
        <f>SUMIFS('Raw Data'!$L:$L,'Raw Data'!$B:$B,$B$2,'Raw Data'!$J:$J,Z$2,'Raw Data'!$K:$K,"native",'Raw Data'!$H:$H,"Cash Payments",'Raw Data'!$I:$I,"",'Raw Data'!$M:$M,"count")</f>
        <v>1420000</v>
      </c>
    </row>
    <row r="21" spans="1:26" x14ac:dyDescent="0.25">
      <c r="A21" s="10" t="s">
        <v>82</v>
      </c>
      <c r="B21" s="10" t="s">
        <v>138</v>
      </c>
      <c r="C21" s="11">
        <f>SUMIFS('Raw Data'!$L:$L,'Raw Data'!$B:$B,$B$2,'Raw Data'!$J:$J,C$2,'Raw Data'!$K:$K,"native",'Raw Data'!$H:$H,"Digital Payments",'Raw Data'!$I:$I,"",'Raw Data'!$M:$M,"count")</f>
        <v>4680000</v>
      </c>
      <c r="D21" s="11">
        <f>SUMIFS('Raw Data'!$L:$L,'Raw Data'!$B:$B,$B$2,'Raw Data'!$J:$J,D$2,'Raw Data'!$K:$K,"native",'Raw Data'!$H:$H,"Digital Payments",'Raw Data'!$I:$I,"",'Raw Data'!$M:$M,"count")</f>
        <v>4740000</v>
      </c>
      <c r="E21" s="11">
        <f>SUMIFS('Raw Data'!$L:$L,'Raw Data'!$B:$B,$B$2,'Raw Data'!$J:$J,E$2,'Raw Data'!$K:$K,"native",'Raw Data'!$H:$H,"Digital Payments",'Raw Data'!$I:$I,"",'Raw Data'!$M:$M,"count")</f>
        <v>4130000</v>
      </c>
      <c r="F21" s="11">
        <f>SUMIFS('Raw Data'!$L:$L,'Raw Data'!$B:$B,$B$2,'Raw Data'!$J:$J,F$2,'Raw Data'!$K:$K,"native",'Raw Data'!$H:$H,"Digital Payments",'Raw Data'!$I:$I,"",'Raw Data'!$M:$M,"count")</f>
        <v>5150000</v>
      </c>
      <c r="G21" s="11">
        <f>SUMIFS('Raw Data'!$L:$L,'Raw Data'!$B:$B,$B$2,'Raw Data'!$J:$J,G$2,'Raw Data'!$K:$K,"native",'Raw Data'!$H:$H,"Digital Payments",'Raw Data'!$I:$I,"",'Raw Data'!$M:$M,"count")</f>
        <v>4710000</v>
      </c>
      <c r="H21" s="11">
        <f>SUMIFS('Raw Data'!$L:$L,'Raw Data'!$B:$B,$B$2,'Raw Data'!$J:$J,H$2,'Raw Data'!$K:$K,"native",'Raw Data'!$H:$H,"Digital Payments",'Raw Data'!$I:$I,"",'Raw Data'!$M:$M,"count")</f>
        <v>4540000</v>
      </c>
      <c r="I21" s="11">
        <f>SUMIFS('Raw Data'!$L:$L,'Raw Data'!$B:$B,$B$2,'Raw Data'!$J:$J,I$2,'Raw Data'!$K:$K,"native",'Raw Data'!$H:$H,"Digital Payments",'Raw Data'!$I:$I,"",'Raw Data'!$M:$M,"count")</f>
        <v>4530000</v>
      </c>
      <c r="J21" s="11">
        <f>SUMIFS('Raw Data'!$L:$L,'Raw Data'!$B:$B,$B$2,'Raw Data'!$J:$J,J$2,'Raw Data'!$K:$K,"native",'Raw Data'!$H:$H,"Digital Payments",'Raw Data'!$I:$I,"",'Raw Data'!$M:$M,"count")</f>
        <v>5380000</v>
      </c>
      <c r="K21" s="11">
        <f>SUMIFS('Raw Data'!$L:$L,'Raw Data'!$B:$B,$B$2,'Raw Data'!$J:$J,K$2,'Raw Data'!$K:$K,"native",'Raw Data'!$H:$H,"Digital Payments",'Raw Data'!$I:$I,"",'Raw Data'!$M:$M,"count")</f>
        <v>4730000</v>
      </c>
      <c r="L21" s="11">
        <f>SUMIFS('Raw Data'!$L:$L,'Raw Data'!$B:$B,$B$2,'Raw Data'!$J:$J,L$2,'Raw Data'!$K:$K,"native",'Raw Data'!$H:$H,"Digital Payments",'Raw Data'!$I:$I,"",'Raw Data'!$M:$M,"count")</f>
        <v>5110000</v>
      </c>
      <c r="M21" s="11">
        <f>SUMIFS('Raw Data'!$L:$L,'Raw Data'!$B:$B,$B$2,'Raw Data'!$J:$J,M$2,'Raw Data'!$K:$K,"native",'Raw Data'!$H:$H,"Digital Payments",'Raw Data'!$I:$I,"",'Raw Data'!$M:$M,"count")</f>
        <v>5380000</v>
      </c>
      <c r="N21" s="11">
        <f>SUMIFS('Raw Data'!$L:$L,'Raw Data'!$B:$B,$B$2,'Raw Data'!$J:$J,N$2,'Raw Data'!$K:$K,"native",'Raw Data'!$H:$H,"Digital Payments",'Raw Data'!$I:$I,"",'Raw Data'!$M:$M,"count")</f>
        <v>5420000</v>
      </c>
      <c r="O21" s="11">
        <f>SUMIFS('Raw Data'!$L:$L,'Raw Data'!$B:$B,$B$2,'Raw Data'!$J:$J,O$2,'Raw Data'!$K:$K,"native",'Raw Data'!$H:$H,"Digital Payments",'Raw Data'!$I:$I,"",'Raw Data'!$M:$M,"count")</f>
        <v>5240000</v>
      </c>
      <c r="P21" s="11">
        <f>SUMIFS('Raw Data'!$L:$L,'Raw Data'!$B:$B,$B$2,'Raw Data'!$J:$J,P$2,'Raw Data'!$K:$K,"native",'Raw Data'!$H:$H,"Digital Payments",'Raw Data'!$I:$I,"",'Raw Data'!$M:$M,"count")</f>
        <v>5360000</v>
      </c>
      <c r="Q21" s="11">
        <f>SUMIFS('Raw Data'!$L:$L,'Raw Data'!$B:$B,$B$2,'Raw Data'!$J:$J,Q$2,'Raw Data'!$K:$K,"native",'Raw Data'!$H:$H,"Digital Payments",'Raw Data'!$I:$I,"",'Raw Data'!$M:$M,"count")</f>
        <v>5250000</v>
      </c>
      <c r="R21" s="11">
        <f>SUMIFS('Raw Data'!$L:$L,'Raw Data'!$B:$B,$B$2,'Raw Data'!$J:$J,R$2,'Raw Data'!$K:$K,"native",'Raw Data'!$H:$H,"Digital Payments",'Raw Data'!$I:$I,"",'Raw Data'!$M:$M,"count")</f>
        <v>5650000</v>
      </c>
      <c r="S21" s="11">
        <f>SUMIFS('Raw Data'!$L:$L,'Raw Data'!$B:$B,$B$2,'Raw Data'!$J:$J,S$2,'Raw Data'!$K:$K,"native",'Raw Data'!$H:$H,"Digital Payments",'Raw Data'!$I:$I,"",'Raw Data'!$M:$M,"count")</f>
        <v>5280000</v>
      </c>
      <c r="T21" s="11">
        <f>SUMIFS('Raw Data'!$L:$L,'Raw Data'!$B:$B,$B$2,'Raw Data'!$J:$J,T$2,'Raw Data'!$K:$K,"native",'Raw Data'!$H:$H,"Digital Payments",'Raw Data'!$I:$I,"",'Raw Data'!$M:$M,"count")</f>
        <v>5330000</v>
      </c>
      <c r="U21" s="11">
        <f>SUMIFS('Raw Data'!$L:$L,'Raw Data'!$B:$B,$B$2,'Raw Data'!$J:$J,U$2,'Raw Data'!$K:$K,"native",'Raw Data'!$H:$H,"Digital Payments",'Raw Data'!$I:$I,"",'Raw Data'!$M:$M,"count")</f>
        <v>6120000</v>
      </c>
      <c r="V21" s="11">
        <f>SUMIFS('Raw Data'!$L:$L,'Raw Data'!$B:$B,$B$2,'Raw Data'!$J:$J,V$2,'Raw Data'!$K:$K,"native",'Raw Data'!$H:$H,"Digital Payments",'Raw Data'!$I:$I,"",'Raw Data'!$M:$M,"count")</f>
        <v>5400000</v>
      </c>
      <c r="W21" s="11">
        <f>SUMIFS('Raw Data'!$L:$L,'Raw Data'!$B:$B,$B$2,'Raw Data'!$J:$J,W$2,'Raw Data'!$K:$K,"native",'Raw Data'!$H:$H,"Digital Payments",'Raw Data'!$I:$I,"",'Raw Data'!$M:$M,"count")</f>
        <v>5700000</v>
      </c>
      <c r="X21" s="11">
        <f>SUMIFS('Raw Data'!$L:$L,'Raw Data'!$B:$B,$B$2,'Raw Data'!$J:$J,X$2,'Raw Data'!$K:$K,"native",'Raw Data'!$H:$H,"Digital Payments",'Raw Data'!$I:$I,"",'Raw Data'!$M:$M,"count")</f>
        <v>5800000</v>
      </c>
      <c r="Y21" s="11">
        <f>SUMIFS('Raw Data'!$L:$L,'Raw Data'!$B:$B,$B$2,'Raw Data'!$J:$J,Y$2,'Raw Data'!$K:$K,"native",'Raw Data'!$H:$H,"Digital Payments",'Raw Data'!$I:$I,"",'Raw Data'!$M:$M,"count")</f>
        <v>6000000</v>
      </c>
      <c r="Z21" s="11">
        <f>SUMIFS('Raw Data'!$L:$L,'Raw Data'!$B:$B,$B$2,'Raw Data'!$J:$J,Z$2,'Raw Data'!$K:$K,"native",'Raw Data'!$H:$H,"Digital Payments",'Raw Data'!$I:$I,"",'Raw Data'!$M:$M,"count")</f>
        <v>6520000</v>
      </c>
    </row>
    <row r="22" spans="1:26" x14ac:dyDescent="0.25">
      <c r="A22" s="53" t="s">
        <v>139</v>
      </c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x14ac:dyDescent="0.25">
      <c r="A23" s="10" t="s">
        <v>82</v>
      </c>
      <c r="B23" s="10" t="s">
        <v>140</v>
      </c>
      <c r="C23" s="11">
        <f>SUMIFS('Raw Data'!$L:$L,'Raw Data'!$B:$B,$B$2,'Raw Data'!$J:$J,C$2,'Raw Data'!$K:$K,"native",'Raw Data'!$H:$H,"Banks",'Raw Data'!$I:$I,"",'Raw Data'!$M:$M,"JOD")</f>
        <v>13000000</v>
      </c>
      <c r="D23" s="11">
        <f>SUMIFS('Raw Data'!$L:$L,'Raw Data'!$B:$B,$B$2,'Raw Data'!$J:$J,D$2,'Raw Data'!$K:$K,"native",'Raw Data'!$H:$H,"Banks",'Raw Data'!$I:$I,"",'Raw Data'!$M:$M,"JOD")</f>
        <v>13000000</v>
      </c>
      <c r="E23" s="11">
        <f>SUMIFS('Raw Data'!$L:$L,'Raw Data'!$B:$B,$B$2,'Raw Data'!$J:$J,E$2,'Raw Data'!$K:$K,"native",'Raw Data'!$H:$H,"Banks",'Raw Data'!$I:$I,"",'Raw Data'!$M:$M,"JOD")</f>
        <v>11000000</v>
      </c>
      <c r="F23" s="11">
        <f>SUMIFS('Raw Data'!$L:$L,'Raw Data'!$B:$B,$B$2,'Raw Data'!$J:$J,F$2,'Raw Data'!$K:$K,"native",'Raw Data'!$H:$H,"Banks",'Raw Data'!$I:$I,"",'Raw Data'!$M:$M,"JOD")</f>
        <v>13000000</v>
      </c>
      <c r="G23" s="11">
        <f>SUMIFS('Raw Data'!$L:$L,'Raw Data'!$B:$B,$B$2,'Raw Data'!$J:$J,G$2,'Raw Data'!$K:$K,"native",'Raw Data'!$H:$H,"Banks",'Raw Data'!$I:$I,"",'Raw Data'!$M:$M,"JOD")</f>
        <v>12000000</v>
      </c>
      <c r="H23" s="11">
        <f>SUMIFS('Raw Data'!$L:$L,'Raw Data'!$B:$B,$B$2,'Raw Data'!$J:$J,H$2,'Raw Data'!$K:$K,"native",'Raw Data'!$H:$H,"Banks",'Raw Data'!$I:$I,"",'Raw Data'!$M:$M,"JOD")</f>
        <v>11000000</v>
      </c>
      <c r="I23" s="11">
        <f>SUMIFS('Raw Data'!$L:$L,'Raw Data'!$B:$B,$B$2,'Raw Data'!$J:$J,I$2,'Raw Data'!$K:$K,"native",'Raw Data'!$H:$H,"Banks",'Raw Data'!$I:$I,"",'Raw Data'!$M:$M,"JOD")</f>
        <v>12000000</v>
      </c>
      <c r="J23" s="11">
        <f>SUMIFS('Raw Data'!$L:$L,'Raw Data'!$B:$B,$B$2,'Raw Data'!$J:$J,J$2,'Raw Data'!$K:$K,"native",'Raw Data'!$H:$H,"Banks",'Raw Data'!$I:$I,"",'Raw Data'!$M:$M,"JOD")</f>
        <v>15000000</v>
      </c>
      <c r="K23" s="11">
        <f>SUMIFS('Raw Data'!$L:$L,'Raw Data'!$B:$B,$B$2,'Raw Data'!$J:$J,K$2,'Raw Data'!$K:$K,"native",'Raw Data'!$H:$H,"Banks",'Raw Data'!$I:$I,"",'Raw Data'!$M:$M,"JOD")</f>
        <v>13000000</v>
      </c>
      <c r="L23" s="11">
        <f>SUMIFS('Raw Data'!$L:$L,'Raw Data'!$B:$B,$B$2,'Raw Data'!$J:$J,L$2,'Raw Data'!$K:$K,"native",'Raw Data'!$H:$H,"Banks",'Raw Data'!$I:$I,"",'Raw Data'!$M:$M,"JOD")</f>
        <v>16000000</v>
      </c>
      <c r="M23" s="11">
        <f>SUMIFS('Raw Data'!$L:$L,'Raw Data'!$B:$B,$B$2,'Raw Data'!$J:$J,M$2,'Raw Data'!$K:$K,"native",'Raw Data'!$H:$H,"Banks",'Raw Data'!$I:$I,"",'Raw Data'!$M:$M,"JOD")</f>
        <v>15000000</v>
      </c>
      <c r="N23" s="11">
        <f>SUMIFS('Raw Data'!$L:$L,'Raw Data'!$B:$B,$B$2,'Raw Data'!$J:$J,N$2,'Raw Data'!$K:$K,"native",'Raw Data'!$H:$H,"Banks",'Raw Data'!$I:$I,"",'Raw Data'!$M:$M,"JOD")</f>
        <v>14000000</v>
      </c>
      <c r="O23" s="11">
        <f>SUMIFS('Raw Data'!$L:$L,'Raw Data'!$B:$B,$B$2,'Raw Data'!$J:$J,O$2,'Raw Data'!$K:$K,"native",'Raw Data'!$H:$H,"Banks",'Raw Data'!$I:$I,"",'Raw Data'!$M:$M,"JOD")</f>
        <v>17000000</v>
      </c>
      <c r="P23" s="11">
        <f>SUMIFS('Raw Data'!$L:$L,'Raw Data'!$B:$B,$B$2,'Raw Data'!$J:$J,P$2,'Raw Data'!$K:$K,"native",'Raw Data'!$H:$H,"Banks",'Raw Data'!$I:$I,"",'Raw Data'!$M:$M,"JOD")</f>
        <v>18000000</v>
      </c>
      <c r="Q23" s="11">
        <f>SUMIFS('Raw Data'!$L:$L,'Raw Data'!$B:$B,$B$2,'Raw Data'!$J:$J,Q$2,'Raw Data'!$K:$K,"native",'Raw Data'!$H:$H,"Banks",'Raw Data'!$I:$I,"",'Raw Data'!$M:$M,"JOD")</f>
        <v>18000000</v>
      </c>
      <c r="R23" s="11">
        <f>SUMIFS('Raw Data'!$L:$L,'Raw Data'!$B:$B,$B$2,'Raw Data'!$J:$J,R$2,'Raw Data'!$K:$K,"native",'Raw Data'!$H:$H,"Banks",'Raw Data'!$I:$I,"",'Raw Data'!$M:$M,"JOD")</f>
        <v>17000000</v>
      </c>
      <c r="S23" s="11">
        <f>SUMIFS('Raw Data'!$L:$L,'Raw Data'!$B:$B,$B$2,'Raw Data'!$J:$J,S$2,'Raw Data'!$K:$K,"native",'Raw Data'!$H:$H,"Banks",'Raw Data'!$I:$I,"",'Raw Data'!$M:$M,"JOD")</f>
        <v>16000000</v>
      </c>
      <c r="T23" s="11">
        <f>SUMIFS('Raw Data'!$L:$L,'Raw Data'!$B:$B,$B$2,'Raw Data'!$J:$J,T$2,'Raw Data'!$K:$K,"native",'Raw Data'!$H:$H,"Banks",'Raw Data'!$I:$I,"",'Raw Data'!$M:$M,"JOD")</f>
        <v>16000000</v>
      </c>
      <c r="U23" s="11">
        <f>SUMIFS('Raw Data'!$L:$L,'Raw Data'!$B:$B,$B$2,'Raw Data'!$J:$J,U$2,'Raw Data'!$K:$K,"native",'Raw Data'!$H:$H,"Banks",'Raw Data'!$I:$I,"",'Raw Data'!$M:$M,"JOD")</f>
        <v>20000000</v>
      </c>
      <c r="V23" s="11">
        <f>SUMIFS('Raw Data'!$L:$L,'Raw Data'!$B:$B,$B$2,'Raw Data'!$J:$J,V$2,'Raw Data'!$K:$K,"native",'Raw Data'!$H:$H,"Banks",'Raw Data'!$I:$I,"",'Raw Data'!$M:$M,"JOD")</f>
        <v>17000000</v>
      </c>
      <c r="W23" s="11"/>
      <c r="X23" s="11">
        <f>SUMIFS('Raw Data'!$L:$L,'Raw Data'!$B:$B,$B$2,'Raw Data'!$J:$J,X$2,'Raw Data'!$K:$K,"native",'Raw Data'!$H:$H,"Banks",'Raw Data'!$I:$I,"",'Raw Data'!$M:$M,"JOD")</f>
        <v>17000000</v>
      </c>
      <c r="Y23" s="11">
        <f>SUMIFS('Raw Data'!$L:$L,'Raw Data'!$B:$B,$B$2,'Raw Data'!$J:$J,Y$2,'Raw Data'!$K:$K,"native",'Raw Data'!$H:$H,"Banks",'Raw Data'!$I:$I,"",'Raw Data'!$M:$M,"JOD")</f>
        <v>18000000</v>
      </c>
      <c r="Z23" s="11">
        <f>SUMIFS('Raw Data'!$L:$L,'Raw Data'!$B:$B,$B$2,'Raw Data'!$J:$J,Z$2,'Raw Data'!$K:$K,"native",'Raw Data'!$H:$H,"Banks",'Raw Data'!$I:$I,"",'Raw Data'!$M:$M,"JOD")</f>
        <v>19000000</v>
      </c>
    </row>
    <row r="24" spans="1:26" x14ac:dyDescent="0.25">
      <c r="A24" s="10" t="s">
        <v>82</v>
      </c>
      <c r="B24" s="10" t="s">
        <v>126</v>
      </c>
      <c r="C24" s="11">
        <f>SUMIFS('Raw Data'!$L:$L,'Raw Data'!$B:$B,$B$2,'Raw Data'!$J:$J,C$2,'Raw Data'!$K:$K,"native",'Raw Data'!$H:$H,"Education",'Raw Data'!$I:$I,"",'Raw Data'!$M:$M,"JOD")</f>
        <v>73000000</v>
      </c>
      <c r="D24" s="11">
        <f>SUMIFS('Raw Data'!$L:$L,'Raw Data'!$B:$B,$B$2,'Raw Data'!$J:$J,D$2,'Raw Data'!$K:$K,"native",'Raw Data'!$H:$H,"Education",'Raw Data'!$I:$I,"",'Raw Data'!$M:$M,"JOD")</f>
        <v>53000000</v>
      </c>
      <c r="E24" s="11">
        <f>SUMIFS('Raw Data'!$L:$L,'Raw Data'!$B:$B,$B$2,'Raw Data'!$J:$J,E$2,'Raw Data'!$K:$K,"native",'Raw Data'!$H:$H,"Education",'Raw Data'!$I:$I,"",'Raw Data'!$M:$M,"JOD")</f>
        <v>8000000</v>
      </c>
      <c r="F24" s="11">
        <f>SUMIFS('Raw Data'!$L:$L,'Raw Data'!$B:$B,$B$2,'Raw Data'!$J:$J,F$2,'Raw Data'!$K:$K,"native",'Raw Data'!$H:$H,"Education",'Raw Data'!$I:$I,"",'Raw Data'!$M:$M,"JOD")</f>
        <v>32000000</v>
      </c>
      <c r="G24" s="11">
        <f>SUMIFS('Raw Data'!$L:$L,'Raw Data'!$B:$B,$B$2,'Raw Data'!$J:$J,G$2,'Raw Data'!$K:$K,"native",'Raw Data'!$H:$H,"Education",'Raw Data'!$I:$I,"",'Raw Data'!$M:$M,"JOD")</f>
        <v>33000000</v>
      </c>
      <c r="H24" s="11">
        <f>SUMIFS('Raw Data'!$L:$L,'Raw Data'!$B:$B,$B$2,'Raw Data'!$J:$J,H$2,'Raw Data'!$K:$K,"native",'Raw Data'!$H:$H,"Education",'Raw Data'!$I:$I,"",'Raw Data'!$M:$M,"JOD")</f>
        <v>75000000</v>
      </c>
      <c r="I24" s="11">
        <f>SUMIFS('Raw Data'!$L:$L,'Raw Data'!$B:$B,$B$2,'Raw Data'!$J:$J,I$2,'Raw Data'!$K:$K,"native",'Raw Data'!$H:$H,"Education",'Raw Data'!$I:$I,"",'Raw Data'!$M:$M,"JOD")</f>
        <v>10000000</v>
      </c>
      <c r="J24" s="11">
        <f>SUMIFS('Raw Data'!$L:$L,'Raw Data'!$B:$B,$B$2,'Raw Data'!$J:$J,J$2,'Raw Data'!$K:$K,"native",'Raw Data'!$H:$H,"Education",'Raw Data'!$I:$I,"",'Raw Data'!$M:$M,"JOD")</f>
        <v>11000000</v>
      </c>
      <c r="K24" s="11">
        <f>SUMIFS('Raw Data'!$L:$L,'Raw Data'!$B:$B,$B$2,'Raw Data'!$J:$J,K$2,'Raw Data'!$K:$K,"native",'Raw Data'!$H:$H,"Education",'Raw Data'!$I:$I,"",'Raw Data'!$M:$M,"JOD")</f>
        <v>19000000</v>
      </c>
      <c r="L24" s="11">
        <f>SUMIFS('Raw Data'!$L:$L,'Raw Data'!$B:$B,$B$2,'Raw Data'!$J:$J,L$2,'Raw Data'!$K:$K,"native",'Raw Data'!$H:$H,"Education",'Raw Data'!$I:$I,"",'Raw Data'!$M:$M,"JOD")</f>
        <v>24000000</v>
      </c>
      <c r="M24" s="11">
        <f>SUMIFS('Raw Data'!$L:$L,'Raw Data'!$B:$B,$B$2,'Raw Data'!$J:$J,M$2,'Raw Data'!$K:$K,"native",'Raw Data'!$H:$H,"Education",'Raw Data'!$I:$I,"",'Raw Data'!$M:$M,"JOD")</f>
        <v>28000000</v>
      </c>
      <c r="N24" s="11">
        <f>SUMIFS('Raw Data'!$L:$L,'Raw Data'!$B:$B,$B$2,'Raw Data'!$J:$J,N$2,'Raw Data'!$K:$K,"native",'Raw Data'!$H:$H,"Education",'Raw Data'!$I:$I,"",'Raw Data'!$M:$M,"JOD")</f>
        <v>51000000</v>
      </c>
      <c r="O24" s="11">
        <f>SUMIFS('Raw Data'!$L:$L,'Raw Data'!$B:$B,$B$2,'Raw Data'!$J:$J,O$2,'Raw Data'!$K:$K,"native",'Raw Data'!$H:$H,"Education",'Raw Data'!$I:$I,"",'Raw Data'!$M:$M,"JOD")</f>
        <v>96000000</v>
      </c>
      <c r="P24" s="11">
        <f>SUMIFS('Raw Data'!$L:$L,'Raw Data'!$B:$B,$B$2,'Raw Data'!$J:$J,P$2,'Raw Data'!$K:$K,"native",'Raw Data'!$H:$H,"Education",'Raw Data'!$I:$I,"",'Raw Data'!$M:$M,"JOD")</f>
        <v>41000000</v>
      </c>
      <c r="Q24" s="11">
        <f>SUMIFS('Raw Data'!$L:$L,'Raw Data'!$B:$B,$B$2,'Raw Data'!$J:$J,Q$2,'Raw Data'!$K:$K,"native",'Raw Data'!$H:$H,"Education",'Raw Data'!$I:$I,"",'Raw Data'!$M:$M,"JOD")</f>
        <v>8000000</v>
      </c>
      <c r="R24" s="11">
        <f>SUMIFS('Raw Data'!$L:$L,'Raw Data'!$B:$B,$B$2,'Raw Data'!$J:$J,R$2,'Raw Data'!$K:$K,"native",'Raw Data'!$H:$H,"Education",'Raw Data'!$I:$I,"",'Raw Data'!$M:$M,"JOD")</f>
        <v>43000000</v>
      </c>
      <c r="S24" s="11">
        <f>SUMIFS('Raw Data'!$L:$L,'Raw Data'!$B:$B,$B$2,'Raw Data'!$J:$J,S$2,'Raw Data'!$K:$K,"native",'Raw Data'!$H:$H,"Education",'Raw Data'!$I:$I,"",'Raw Data'!$M:$M,"JOD")</f>
        <v>39000000</v>
      </c>
      <c r="T24" s="11">
        <f>SUMIFS('Raw Data'!$L:$L,'Raw Data'!$B:$B,$B$2,'Raw Data'!$J:$J,T$2,'Raw Data'!$K:$K,"native",'Raw Data'!$H:$H,"Education",'Raw Data'!$I:$I,"",'Raw Data'!$M:$M,"JOD")</f>
        <v>79000000</v>
      </c>
      <c r="U24" s="11">
        <f>SUMIFS('Raw Data'!$L:$L,'Raw Data'!$B:$B,$B$2,'Raw Data'!$J:$J,U$2,'Raw Data'!$K:$K,"native",'Raw Data'!$H:$H,"Education",'Raw Data'!$I:$I,"",'Raw Data'!$M:$M,"JOD")</f>
        <v>17000000</v>
      </c>
      <c r="V24" s="11">
        <f>SUMIFS('Raw Data'!$L:$L,'Raw Data'!$B:$B,$B$2,'Raw Data'!$J:$J,V$2,'Raw Data'!$K:$K,"native",'Raw Data'!$H:$H,"Education",'Raw Data'!$I:$I,"",'Raw Data'!$M:$M,"JOD")</f>
        <v>11000000</v>
      </c>
      <c r="W24" s="11">
        <f>SUMIFS('Raw Data'!$L:$L,'Raw Data'!$B:$B,$B$2,'Raw Data'!$J:$J,W$2,'Raw Data'!$K:$K,"native",'Raw Data'!$H:$H,"Education",'Raw Data'!$I:$I,"",'Raw Data'!$M:$M,"JOD")</f>
        <v>23000000</v>
      </c>
      <c r="X24" s="11">
        <f>SUMIFS('Raw Data'!$L:$L,'Raw Data'!$B:$B,$B$2,'Raw Data'!$J:$J,X$2,'Raw Data'!$K:$K,"native",'Raw Data'!$H:$H,"Education",'Raw Data'!$I:$I,"",'Raw Data'!$M:$M,"JOD")</f>
        <v>33000000</v>
      </c>
      <c r="Y24" s="11">
        <f>SUMIFS('Raw Data'!$L:$L,'Raw Data'!$B:$B,$B$2,'Raw Data'!$J:$J,Y$2,'Raw Data'!$K:$K,"native",'Raw Data'!$H:$H,"Education",'Raw Data'!$I:$I,"",'Raw Data'!$M:$M,"JOD")</f>
        <v>32000000</v>
      </c>
      <c r="Z24" s="11">
        <f>SUMIFS('Raw Data'!$L:$L,'Raw Data'!$B:$B,$B$2,'Raw Data'!$J:$J,Z$2,'Raw Data'!$K:$K,"native",'Raw Data'!$H:$H,"Education",'Raw Data'!$I:$I,"",'Raw Data'!$M:$M,"JOD")</f>
        <v>52000000</v>
      </c>
    </row>
    <row r="25" spans="1:26" x14ac:dyDescent="0.25">
      <c r="A25" s="10" t="s">
        <v>82</v>
      </c>
      <c r="B25" s="10" t="s">
        <v>127</v>
      </c>
      <c r="C25" s="11">
        <f>SUMIFS('Raw Data'!$L:$L,'Raw Data'!$B:$B,$B$2,'Raw Data'!$J:$J,C$2,'Raw Data'!$K:$K,"native",'Raw Data'!$H:$H,"Financial Services",'Raw Data'!$I:$I,"",'Raw Data'!$M:$M,"JOD")</f>
        <v>42000000</v>
      </c>
      <c r="D25" s="11">
        <f>SUMIFS('Raw Data'!$L:$L,'Raw Data'!$B:$B,$B$2,'Raw Data'!$J:$J,D$2,'Raw Data'!$K:$K,"native",'Raw Data'!$H:$H,"Financial Services",'Raw Data'!$I:$I,"",'Raw Data'!$M:$M,"JOD")</f>
        <v>45000000</v>
      </c>
      <c r="E25" s="11">
        <f>SUMIFS('Raw Data'!$L:$L,'Raw Data'!$B:$B,$B$2,'Raw Data'!$J:$J,E$2,'Raw Data'!$K:$K,"native",'Raw Data'!$H:$H,"Financial Services",'Raw Data'!$I:$I,"",'Raw Data'!$M:$M,"JOD")</f>
        <v>44000000</v>
      </c>
      <c r="F25" s="11">
        <f>SUMIFS('Raw Data'!$L:$L,'Raw Data'!$B:$B,$B$2,'Raw Data'!$J:$J,F$2,'Raw Data'!$K:$K,"native",'Raw Data'!$H:$H,"Financial Services",'Raw Data'!$I:$I,"",'Raw Data'!$M:$M,"JOD")</f>
        <v>46000000</v>
      </c>
      <c r="G25" s="11">
        <f>SUMIFS('Raw Data'!$L:$L,'Raw Data'!$B:$B,$B$2,'Raw Data'!$J:$J,G$2,'Raw Data'!$K:$K,"native",'Raw Data'!$H:$H,"Financial Services",'Raw Data'!$I:$I,"",'Raw Data'!$M:$M,"JOD")</f>
        <v>43000000</v>
      </c>
      <c r="H25" s="11">
        <f>SUMIFS('Raw Data'!$L:$L,'Raw Data'!$B:$B,$B$2,'Raw Data'!$J:$J,H$2,'Raw Data'!$K:$K,"native",'Raw Data'!$H:$H,"Financial Services",'Raw Data'!$I:$I,"",'Raw Data'!$M:$M,"JOD")</f>
        <v>43000000</v>
      </c>
      <c r="I25" s="11">
        <f>SUMIFS('Raw Data'!$L:$L,'Raw Data'!$B:$B,$B$2,'Raw Data'!$J:$J,I$2,'Raw Data'!$K:$K,"native",'Raw Data'!$H:$H,"Financial Services",'Raw Data'!$I:$I,"",'Raw Data'!$M:$M,"JOD")</f>
        <v>44000000</v>
      </c>
      <c r="J25" s="11">
        <f>SUMIFS('Raw Data'!$L:$L,'Raw Data'!$B:$B,$B$2,'Raw Data'!$J:$J,J$2,'Raw Data'!$K:$K,"native",'Raw Data'!$H:$H,"Financial Services",'Raw Data'!$I:$I,"",'Raw Data'!$M:$M,"JOD")</f>
        <v>56000000</v>
      </c>
      <c r="K25" s="11">
        <f>SUMIFS('Raw Data'!$L:$L,'Raw Data'!$B:$B,$B$2,'Raw Data'!$J:$J,K$2,'Raw Data'!$K:$K,"native",'Raw Data'!$H:$H,"Financial Services",'Raw Data'!$I:$I,"",'Raw Data'!$M:$M,"JOD")</f>
        <v>45000000</v>
      </c>
      <c r="L25" s="11">
        <f>SUMIFS('Raw Data'!$L:$L,'Raw Data'!$B:$B,$B$2,'Raw Data'!$J:$J,L$2,'Raw Data'!$K:$K,"native",'Raw Data'!$H:$H,"Financial Services",'Raw Data'!$I:$I,"",'Raw Data'!$M:$M,"JOD")</f>
        <v>43000000</v>
      </c>
      <c r="M25" s="11">
        <f>SUMIFS('Raw Data'!$L:$L,'Raw Data'!$B:$B,$B$2,'Raw Data'!$J:$J,M$2,'Raw Data'!$K:$K,"native",'Raw Data'!$H:$H,"Financial Services",'Raw Data'!$I:$I,"",'Raw Data'!$M:$M,"JOD")</f>
        <v>47000000</v>
      </c>
      <c r="N25" s="11">
        <f>SUMIFS('Raw Data'!$L:$L,'Raw Data'!$B:$B,$B$2,'Raw Data'!$J:$J,N$2,'Raw Data'!$K:$K,"native",'Raw Data'!$H:$H,"Financial Services",'Raw Data'!$I:$I,"",'Raw Data'!$M:$M,"JOD")</f>
        <v>47000000</v>
      </c>
      <c r="O25" s="11">
        <f>SUMIFS('Raw Data'!$L:$L,'Raw Data'!$B:$B,$B$2,'Raw Data'!$J:$J,O$2,'Raw Data'!$K:$K,"native",'Raw Data'!$H:$H,"Financial Services",'Raw Data'!$I:$I,"",'Raw Data'!$M:$M,"JOD")</f>
        <v>51000000</v>
      </c>
      <c r="P25" s="11">
        <f>SUMIFS('Raw Data'!$L:$L,'Raw Data'!$B:$B,$B$2,'Raw Data'!$J:$J,P$2,'Raw Data'!$K:$K,"native",'Raw Data'!$H:$H,"Financial Services",'Raw Data'!$I:$I,"",'Raw Data'!$M:$M,"JOD")</f>
        <v>58000000</v>
      </c>
      <c r="Q25" s="11">
        <f>SUMIFS('Raw Data'!$L:$L,'Raw Data'!$B:$B,$B$2,'Raw Data'!$J:$J,Q$2,'Raw Data'!$K:$K,"native",'Raw Data'!$H:$H,"Financial Services",'Raw Data'!$I:$I,"",'Raw Data'!$M:$M,"JOD")</f>
        <v>54000000</v>
      </c>
      <c r="R25" s="11">
        <f>SUMIFS('Raw Data'!$L:$L,'Raw Data'!$B:$B,$B$2,'Raw Data'!$J:$J,R$2,'Raw Data'!$K:$K,"native",'Raw Data'!$H:$H,"Financial Services",'Raw Data'!$I:$I,"",'Raw Data'!$M:$M,"JOD")</f>
        <v>58000000</v>
      </c>
      <c r="S25" s="11">
        <f>SUMIFS('Raw Data'!$L:$L,'Raw Data'!$B:$B,$B$2,'Raw Data'!$J:$J,S$2,'Raw Data'!$K:$K,"native",'Raw Data'!$H:$H,"Financial Services",'Raw Data'!$I:$I,"",'Raw Data'!$M:$M,"JOD")</f>
        <v>58000000</v>
      </c>
      <c r="T25" s="11">
        <f>SUMIFS('Raw Data'!$L:$L,'Raw Data'!$B:$B,$B$2,'Raw Data'!$J:$J,T$2,'Raw Data'!$K:$K,"native",'Raw Data'!$H:$H,"Financial Services",'Raw Data'!$I:$I,"",'Raw Data'!$M:$M,"JOD")</f>
        <v>58000000</v>
      </c>
      <c r="U25" s="11">
        <f>SUMIFS('Raw Data'!$L:$L,'Raw Data'!$B:$B,$B$2,'Raw Data'!$J:$J,U$2,'Raw Data'!$K:$K,"native",'Raw Data'!$H:$H,"Financial Services",'Raw Data'!$I:$I,"",'Raw Data'!$M:$M,"JOD")</f>
        <v>72000000</v>
      </c>
      <c r="V25" s="11">
        <f>SUMIFS('Raw Data'!$L:$L,'Raw Data'!$B:$B,$B$2,'Raw Data'!$J:$J,V$2,'Raw Data'!$K:$K,"native",'Raw Data'!$H:$H,"Financial Services",'Raw Data'!$I:$I,"",'Raw Data'!$M:$M,"JOD")</f>
        <v>58000000</v>
      </c>
      <c r="W25" s="11">
        <f>SUMIFS('Raw Data'!$L:$L,'Raw Data'!$B:$B,$B$2,'Raw Data'!$J:$J,W$2,'Raw Data'!$K:$K,"native",'Raw Data'!$H:$H,"Financial Services",'Raw Data'!$I:$I,"",'Raw Data'!$M:$M,"JOD")</f>
        <v>63000000</v>
      </c>
      <c r="X25" s="11">
        <f>SUMIFS('Raw Data'!$L:$L,'Raw Data'!$B:$B,$B$2,'Raw Data'!$J:$J,X$2,'Raw Data'!$K:$K,"native",'Raw Data'!$H:$H,"Financial Services",'Raw Data'!$I:$I,"",'Raw Data'!$M:$M,"JOD")</f>
        <v>69000000</v>
      </c>
      <c r="Y25" s="11">
        <f>SUMIFS('Raw Data'!$L:$L,'Raw Data'!$B:$B,$B$2,'Raw Data'!$J:$J,Y$2,'Raw Data'!$K:$K,"native",'Raw Data'!$H:$H,"Financial Services",'Raw Data'!$I:$I,"",'Raw Data'!$M:$M,"JOD")</f>
        <v>73000000</v>
      </c>
      <c r="Z25" s="11">
        <f>SUMIFS('Raw Data'!$L:$L,'Raw Data'!$B:$B,$B$2,'Raw Data'!$J:$J,Z$2,'Raw Data'!$K:$K,"native",'Raw Data'!$H:$H,"Financial Services",'Raw Data'!$I:$I,"",'Raw Data'!$M:$M,"JOD")</f>
        <v>71000000</v>
      </c>
    </row>
    <row r="26" spans="1:26" x14ac:dyDescent="0.25">
      <c r="A26" s="10" t="s">
        <v>82</v>
      </c>
      <c r="B26" s="10" t="s">
        <v>128</v>
      </c>
      <c r="C26" s="11">
        <f>SUMIFS('Raw Data'!$L:$L,'Raw Data'!$B:$B,$B$2,'Raw Data'!$J:$J,C$2,'Raw Data'!$K:$K,"native",'Raw Data'!$H:$H,"Gas And Energy",'Raw Data'!$I:$I,"",'Raw Data'!$M:$M,"JOD")</f>
        <v>14000000</v>
      </c>
      <c r="D26" s="11">
        <f>SUMIFS('Raw Data'!$L:$L,'Raw Data'!$B:$B,$B$2,'Raw Data'!$J:$J,D$2,'Raw Data'!$K:$K,"native",'Raw Data'!$H:$H,"Gas And Energy",'Raw Data'!$I:$I,"",'Raw Data'!$M:$M,"JOD")</f>
        <v>14000000</v>
      </c>
      <c r="E26" s="11">
        <f>SUMIFS('Raw Data'!$L:$L,'Raw Data'!$B:$B,$B$2,'Raw Data'!$J:$J,E$2,'Raw Data'!$K:$K,"native",'Raw Data'!$H:$H,"Gas And Energy",'Raw Data'!$I:$I,"",'Raw Data'!$M:$M,"JOD")</f>
        <v>13000000</v>
      </c>
      <c r="F26" s="11">
        <f>SUMIFS('Raw Data'!$L:$L,'Raw Data'!$B:$B,$B$2,'Raw Data'!$J:$J,F$2,'Raw Data'!$K:$K,"native",'Raw Data'!$H:$H,"Gas And Energy",'Raw Data'!$I:$I,"",'Raw Data'!$M:$M,"JOD")</f>
        <v>19000000</v>
      </c>
      <c r="G26" s="11">
        <f>SUMIFS('Raw Data'!$L:$L,'Raw Data'!$B:$B,$B$2,'Raw Data'!$J:$J,G$2,'Raw Data'!$K:$K,"native",'Raw Data'!$H:$H,"Gas And Energy",'Raw Data'!$I:$I,"",'Raw Data'!$M:$M,"JOD")</f>
        <v>16000000</v>
      </c>
      <c r="H26" s="11">
        <f>SUMIFS('Raw Data'!$L:$L,'Raw Data'!$B:$B,$B$2,'Raw Data'!$J:$J,H$2,'Raw Data'!$K:$K,"native",'Raw Data'!$H:$H,"Gas And Energy",'Raw Data'!$I:$I,"",'Raw Data'!$M:$M,"JOD")</f>
        <v>17000000</v>
      </c>
      <c r="I26" s="11">
        <f>SUMIFS('Raw Data'!$L:$L,'Raw Data'!$B:$B,$B$2,'Raw Data'!$J:$J,I$2,'Raw Data'!$K:$K,"native",'Raw Data'!$H:$H,"Gas And Energy",'Raw Data'!$I:$I,"",'Raw Data'!$M:$M,"JOD")</f>
        <v>14000000</v>
      </c>
      <c r="J26" s="11">
        <f>SUMIFS('Raw Data'!$L:$L,'Raw Data'!$B:$B,$B$2,'Raw Data'!$J:$J,J$2,'Raw Data'!$K:$K,"native",'Raw Data'!$H:$H,"Gas And Energy",'Raw Data'!$I:$I,"",'Raw Data'!$M:$M,"JOD")</f>
        <v>16000000</v>
      </c>
      <c r="K26" s="11">
        <f>SUMIFS('Raw Data'!$L:$L,'Raw Data'!$B:$B,$B$2,'Raw Data'!$J:$J,K$2,'Raw Data'!$K:$K,"native",'Raw Data'!$H:$H,"Gas And Energy",'Raw Data'!$I:$I,"",'Raw Data'!$M:$M,"JOD")</f>
        <v>13000000</v>
      </c>
      <c r="L26" s="11">
        <f>SUMIFS('Raw Data'!$L:$L,'Raw Data'!$B:$B,$B$2,'Raw Data'!$J:$J,L$2,'Raw Data'!$K:$K,"native",'Raw Data'!$H:$H,"Gas And Energy",'Raw Data'!$I:$I,"",'Raw Data'!$M:$M,"JOD")</f>
        <v>13000000</v>
      </c>
      <c r="M26" s="11">
        <f>SUMIFS('Raw Data'!$L:$L,'Raw Data'!$B:$B,$B$2,'Raw Data'!$J:$J,M$2,'Raw Data'!$K:$K,"native",'Raw Data'!$H:$H,"Gas And Energy",'Raw Data'!$I:$I,"",'Raw Data'!$M:$M,"JOD")</f>
        <v>13000000</v>
      </c>
      <c r="N26" s="11">
        <f>SUMIFS('Raw Data'!$L:$L,'Raw Data'!$B:$B,$B$2,'Raw Data'!$J:$J,N$2,'Raw Data'!$K:$K,"native",'Raw Data'!$H:$H,"Gas And Energy",'Raw Data'!$I:$I,"",'Raw Data'!$M:$M,"JOD")</f>
        <v>13000000</v>
      </c>
      <c r="O26" s="11">
        <f>SUMIFS('Raw Data'!$L:$L,'Raw Data'!$B:$B,$B$2,'Raw Data'!$J:$J,O$2,'Raw Data'!$K:$K,"native",'Raw Data'!$H:$H,"Gas And Energy",'Raw Data'!$I:$I,"",'Raw Data'!$M:$M,"JOD")</f>
        <v>14000000</v>
      </c>
      <c r="P26" s="11">
        <f>SUMIFS('Raw Data'!$L:$L,'Raw Data'!$B:$B,$B$2,'Raw Data'!$J:$J,P$2,'Raw Data'!$K:$K,"native",'Raw Data'!$H:$H,"Gas And Energy",'Raw Data'!$I:$I,"",'Raw Data'!$M:$M,"JOD")</f>
        <v>14000000</v>
      </c>
      <c r="Q26" s="11">
        <f>SUMIFS('Raw Data'!$L:$L,'Raw Data'!$B:$B,$B$2,'Raw Data'!$J:$J,Q$2,'Raw Data'!$K:$K,"native",'Raw Data'!$H:$H,"Gas And Energy",'Raw Data'!$I:$I,"",'Raw Data'!$M:$M,"JOD")</f>
        <v>15000000</v>
      </c>
      <c r="R26" s="11">
        <f>SUMIFS('Raw Data'!$L:$L,'Raw Data'!$B:$B,$B$2,'Raw Data'!$J:$J,R$2,'Raw Data'!$K:$K,"native",'Raw Data'!$H:$H,"Gas And Energy",'Raw Data'!$I:$I,"",'Raw Data'!$M:$M,"JOD")</f>
        <v>16000000</v>
      </c>
      <c r="S26" s="11">
        <f>SUMIFS('Raw Data'!$L:$L,'Raw Data'!$B:$B,$B$2,'Raw Data'!$J:$J,S$2,'Raw Data'!$K:$K,"native",'Raw Data'!$H:$H,"Gas And Energy",'Raw Data'!$I:$I,"",'Raw Data'!$M:$M,"JOD")</f>
        <v>16000000</v>
      </c>
      <c r="T26" s="11">
        <f>SUMIFS('Raw Data'!$L:$L,'Raw Data'!$B:$B,$B$2,'Raw Data'!$J:$J,T$2,'Raw Data'!$K:$K,"native",'Raw Data'!$H:$H,"Gas And Energy",'Raw Data'!$I:$I,"",'Raw Data'!$M:$M,"JOD")</f>
        <v>14000000</v>
      </c>
      <c r="U26" s="11">
        <f>SUMIFS('Raw Data'!$L:$L,'Raw Data'!$B:$B,$B$2,'Raw Data'!$J:$J,U$2,'Raw Data'!$K:$K,"native",'Raw Data'!$H:$H,"Gas And Energy",'Raw Data'!$I:$I,"",'Raw Data'!$M:$M,"JOD")</f>
        <v>19000000</v>
      </c>
      <c r="V26" s="11">
        <f>SUMIFS('Raw Data'!$L:$L,'Raw Data'!$B:$B,$B$2,'Raw Data'!$J:$J,V$2,'Raw Data'!$K:$K,"native",'Raw Data'!$H:$H,"Gas And Energy",'Raw Data'!$I:$I,"",'Raw Data'!$M:$M,"JOD")</f>
        <v>13000000</v>
      </c>
      <c r="W26" s="11">
        <f>SUMIFS('Raw Data'!$L:$L,'Raw Data'!$B:$B,$B$2,'Raw Data'!$J:$J,W$2,'Raw Data'!$K:$K,"native",'Raw Data'!$H:$H,"Gas And Energy",'Raw Data'!$I:$I,"",'Raw Data'!$M:$M,"JOD")</f>
        <v>13000000</v>
      </c>
      <c r="X26" s="11">
        <f>SUMIFS('Raw Data'!$L:$L,'Raw Data'!$B:$B,$B$2,'Raw Data'!$J:$J,X$2,'Raw Data'!$K:$K,"native",'Raw Data'!$H:$H,"Gas And Energy",'Raw Data'!$I:$I,"",'Raw Data'!$M:$M,"JOD")</f>
        <v>13000000</v>
      </c>
      <c r="Y26" s="11">
        <f>SUMIFS('Raw Data'!$L:$L,'Raw Data'!$B:$B,$B$2,'Raw Data'!$J:$J,Y$2,'Raw Data'!$K:$K,"native",'Raw Data'!$H:$H,"Gas And Energy",'Raw Data'!$I:$I,"",'Raw Data'!$M:$M,"JOD")</f>
        <v>13000000</v>
      </c>
      <c r="Z26" s="11">
        <f>SUMIFS('Raw Data'!$L:$L,'Raw Data'!$B:$B,$B$2,'Raw Data'!$J:$J,Z$2,'Raw Data'!$K:$K,"native",'Raw Data'!$H:$H,"Gas And Energy",'Raw Data'!$I:$I,"",'Raw Data'!$M:$M,"JOD")</f>
        <v>13000000</v>
      </c>
    </row>
    <row r="27" spans="1:26" x14ac:dyDescent="0.25">
      <c r="A27" s="10" t="s">
        <v>82</v>
      </c>
      <c r="B27" s="10" t="s">
        <v>129</v>
      </c>
      <c r="C27" s="11">
        <f>SUMIFS('Raw Data'!$L:$L,'Raw Data'!$B:$B,$B$2,'Raw Data'!$J:$J,C$2,'Raw Data'!$K:$K,"native",'Raw Data'!$H:$H,"Government Service",'Raw Data'!$I:$I,"",'Raw Data'!$M:$M,"JOD")</f>
        <v>714000000</v>
      </c>
      <c r="D27" s="11">
        <f>SUMIFS('Raw Data'!$L:$L,'Raw Data'!$B:$B,$B$2,'Raw Data'!$J:$J,D$2,'Raw Data'!$K:$K,"native",'Raw Data'!$H:$H,"Government Service",'Raw Data'!$I:$I,"",'Raw Data'!$M:$M,"JOD")</f>
        <v>628000000</v>
      </c>
      <c r="E27" s="11">
        <f>SUMIFS('Raw Data'!$L:$L,'Raw Data'!$B:$B,$B$2,'Raw Data'!$J:$J,E$2,'Raw Data'!$K:$K,"native",'Raw Data'!$H:$H,"Government Service",'Raw Data'!$I:$I,"",'Raw Data'!$M:$M,"JOD")</f>
        <v>599000000</v>
      </c>
      <c r="F27" s="11">
        <f>SUMIFS('Raw Data'!$L:$L,'Raw Data'!$B:$B,$B$2,'Raw Data'!$J:$J,F$2,'Raw Data'!$K:$K,"native",'Raw Data'!$H:$H,"Government Service",'Raw Data'!$I:$I,"",'Raw Data'!$M:$M,"JOD")</f>
        <v>866000000</v>
      </c>
      <c r="G27" s="11">
        <f>SUMIFS('Raw Data'!$L:$L,'Raw Data'!$B:$B,$B$2,'Raw Data'!$J:$J,G$2,'Raw Data'!$K:$K,"native",'Raw Data'!$H:$H,"Government Service",'Raw Data'!$I:$I,"",'Raw Data'!$M:$M,"JOD")</f>
        <v>877000000</v>
      </c>
      <c r="H27" s="11">
        <f>SUMIFS('Raw Data'!$L:$L,'Raw Data'!$B:$B,$B$2,'Raw Data'!$J:$J,H$2,'Raw Data'!$K:$K,"native",'Raw Data'!$H:$H,"Government Service",'Raw Data'!$I:$I,"",'Raw Data'!$M:$M,"JOD")</f>
        <v>665000000</v>
      </c>
      <c r="I27" s="11">
        <f>SUMIFS('Raw Data'!$L:$L,'Raw Data'!$B:$B,$B$2,'Raw Data'!$J:$J,I$2,'Raw Data'!$K:$K,"native",'Raw Data'!$H:$H,"Government Service",'Raw Data'!$I:$I,"",'Raw Data'!$M:$M,"JOD")</f>
        <v>689000000</v>
      </c>
      <c r="J27" s="11">
        <f>SUMIFS('Raw Data'!$L:$L,'Raw Data'!$B:$B,$B$2,'Raw Data'!$J:$J,J$2,'Raw Data'!$K:$K,"native",'Raw Data'!$H:$H,"Government Service",'Raw Data'!$I:$I,"",'Raw Data'!$M:$M,"JOD")</f>
        <v>1077000000</v>
      </c>
      <c r="K27" s="11">
        <f>SUMIFS('Raw Data'!$L:$L,'Raw Data'!$B:$B,$B$2,'Raw Data'!$J:$J,K$2,'Raw Data'!$K:$K,"native",'Raw Data'!$H:$H,"Government Service",'Raw Data'!$I:$I,"",'Raw Data'!$M:$M,"JOD")</f>
        <v>676000000</v>
      </c>
      <c r="L27" s="11">
        <f>SUMIFS('Raw Data'!$L:$L,'Raw Data'!$B:$B,$B$2,'Raw Data'!$J:$J,L$2,'Raw Data'!$K:$K,"native",'Raw Data'!$H:$H,"Government Service",'Raw Data'!$I:$I,"",'Raw Data'!$M:$M,"JOD")</f>
        <v>668000000</v>
      </c>
      <c r="M27" s="11">
        <f>SUMIFS('Raw Data'!$L:$L,'Raw Data'!$B:$B,$B$2,'Raw Data'!$J:$J,M$2,'Raw Data'!$K:$K,"native",'Raw Data'!$H:$H,"Government Service",'Raw Data'!$I:$I,"",'Raw Data'!$M:$M,"JOD")</f>
        <v>858000000</v>
      </c>
      <c r="N27" s="11">
        <f>SUMIFS('Raw Data'!$L:$L,'Raw Data'!$B:$B,$B$2,'Raw Data'!$J:$J,N$2,'Raw Data'!$K:$K,"native",'Raw Data'!$H:$H,"Government Service",'Raw Data'!$I:$I,"",'Raw Data'!$M:$M,"JOD")</f>
        <v>723000000</v>
      </c>
      <c r="O27" s="11">
        <f>SUMIFS('Raw Data'!$L:$L,'Raw Data'!$B:$B,$B$2,'Raw Data'!$J:$J,O$2,'Raw Data'!$K:$K,"native",'Raw Data'!$H:$H,"Government Service",'Raw Data'!$I:$I,"",'Raw Data'!$M:$M,"JOD")</f>
        <v>758000000</v>
      </c>
      <c r="P27" s="11">
        <f>SUMIFS('Raw Data'!$L:$L,'Raw Data'!$B:$B,$B$2,'Raw Data'!$J:$J,P$2,'Raw Data'!$K:$K,"native",'Raw Data'!$H:$H,"Government Service",'Raw Data'!$I:$I,"",'Raw Data'!$M:$M,"JOD")</f>
        <v>788000000</v>
      </c>
      <c r="Q27" s="11">
        <f>SUMIFS('Raw Data'!$L:$L,'Raw Data'!$B:$B,$B$2,'Raw Data'!$J:$J,Q$2,'Raw Data'!$K:$K,"native",'Raw Data'!$H:$H,"Government Service",'Raw Data'!$I:$I,"",'Raw Data'!$M:$M,"JOD")</f>
        <v>836000000</v>
      </c>
      <c r="R27" s="11">
        <f>SUMIFS('Raw Data'!$L:$L,'Raw Data'!$B:$B,$B$2,'Raw Data'!$J:$J,R$2,'Raw Data'!$K:$K,"native",'Raw Data'!$H:$H,"Government Service",'Raw Data'!$I:$I,"",'Raw Data'!$M:$M,"JOD")</f>
        <v>899000000</v>
      </c>
      <c r="S27" s="11">
        <f>SUMIFS('Raw Data'!$L:$L,'Raw Data'!$B:$B,$B$2,'Raw Data'!$J:$J,S$2,'Raw Data'!$K:$K,"native",'Raw Data'!$H:$H,"Government Service",'Raw Data'!$I:$I,"",'Raw Data'!$M:$M,"JOD")</f>
        <v>904000000</v>
      </c>
      <c r="T27" s="11">
        <f>SUMIFS('Raw Data'!$L:$L,'Raw Data'!$B:$B,$B$2,'Raw Data'!$J:$J,T$2,'Raw Data'!$K:$K,"native",'Raw Data'!$H:$H,"Government Service",'Raw Data'!$I:$I,"",'Raw Data'!$M:$M,"JOD")</f>
        <v>755000000</v>
      </c>
      <c r="U27" s="11">
        <f>SUMIFS('Raw Data'!$L:$L,'Raw Data'!$B:$B,$B$2,'Raw Data'!$J:$J,U$2,'Raw Data'!$K:$K,"native",'Raw Data'!$H:$H,"Government Service",'Raw Data'!$I:$I,"",'Raw Data'!$M:$M,"JOD")</f>
        <v>797000000</v>
      </c>
      <c r="V27" s="11">
        <f>SUMIFS('Raw Data'!$L:$L,'Raw Data'!$B:$B,$B$2,'Raw Data'!$J:$J,V$2,'Raw Data'!$K:$K,"native",'Raw Data'!$H:$H,"Government Service",'Raw Data'!$I:$I,"",'Raw Data'!$M:$M,"JOD")</f>
        <v>1030000000</v>
      </c>
      <c r="W27" s="11">
        <f>SUMIFS('Raw Data'!$L:$L,'Raw Data'!$B:$B,$B$2,'Raw Data'!$J:$J,W$2,'Raw Data'!$K:$K,"native",'Raw Data'!$H:$H,"Government Service",'Raw Data'!$I:$I,"",'Raw Data'!$M:$M,"JOD")</f>
        <v>775700000</v>
      </c>
      <c r="X27" s="11">
        <f>SUMIFS('Raw Data'!$L:$L,'Raw Data'!$B:$B,$B$2,'Raw Data'!$J:$J,X$2,'Raw Data'!$K:$K,"native",'Raw Data'!$H:$H,"Government Service",'Raw Data'!$I:$I,"",'Raw Data'!$M:$M,"JOD")</f>
        <v>816000000</v>
      </c>
      <c r="Y27" s="11">
        <f>SUMIFS('Raw Data'!$L:$L,'Raw Data'!$B:$B,$B$2,'Raw Data'!$J:$J,Y$2,'Raw Data'!$K:$K,"native",'Raw Data'!$H:$H,"Government Service",'Raw Data'!$I:$I,"",'Raw Data'!$M:$M,"JOD")</f>
        <v>941000000</v>
      </c>
      <c r="Z27" s="11">
        <f>SUMIFS('Raw Data'!$L:$L,'Raw Data'!$B:$B,$B$2,'Raw Data'!$J:$J,Z$2,'Raw Data'!$K:$K,"native",'Raw Data'!$H:$H,"Government Service",'Raw Data'!$I:$I,"",'Raw Data'!$M:$M,"JOD")</f>
        <v>820000000</v>
      </c>
    </row>
    <row r="28" spans="1:26" x14ac:dyDescent="0.25">
      <c r="A28" s="10" t="s">
        <v>82</v>
      </c>
      <c r="B28" s="10" t="s">
        <v>130</v>
      </c>
      <c r="C28" s="11">
        <f>SUMIFS('Raw Data'!$L:$L,'Raw Data'!$B:$B,$B$2,'Raw Data'!$J:$J,C$2,'Raw Data'!$K:$K,"native",'Raw Data'!$H:$H,"Telecommunication",'Raw Data'!$I:$I,"",'Raw Data'!$M:$M,"JOD")</f>
        <v>31000000</v>
      </c>
      <c r="D28" s="11">
        <f>SUMIFS('Raw Data'!$L:$L,'Raw Data'!$B:$B,$B$2,'Raw Data'!$J:$J,D$2,'Raw Data'!$K:$K,"native",'Raw Data'!$H:$H,"Telecommunication",'Raw Data'!$I:$I,"",'Raw Data'!$M:$M,"JOD")</f>
        <v>31000000</v>
      </c>
      <c r="E28" s="11">
        <f>SUMIFS('Raw Data'!$L:$L,'Raw Data'!$B:$B,$B$2,'Raw Data'!$J:$J,E$2,'Raw Data'!$K:$K,"native",'Raw Data'!$H:$H,"Telecommunication",'Raw Data'!$I:$I,"",'Raw Data'!$M:$M,"JOD")</f>
        <v>28000000</v>
      </c>
      <c r="F28" s="11">
        <f>SUMIFS('Raw Data'!$L:$L,'Raw Data'!$B:$B,$B$2,'Raw Data'!$J:$J,F$2,'Raw Data'!$K:$K,"native",'Raw Data'!$H:$H,"Telecommunication",'Raw Data'!$I:$I,"",'Raw Data'!$M:$M,"JOD")</f>
        <v>33000000</v>
      </c>
      <c r="G28" s="11">
        <f>SUMIFS('Raw Data'!$L:$L,'Raw Data'!$B:$B,$B$2,'Raw Data'!$J:$J,G$2,'Raw Data'!$K:$K,"native",'Raw Data'!$H:$H,"Telecommunication",'Raw Data'!$I:$I,"",'Raw Data'!$M:$M,"JOD")</f>
        <v>30000000</v>
      </c>
      <c r="H28" s="11">
        <f>SUMIFS('Raw Data'!$L:$L,'Raw Data'!$B:$B,$B$2,'Raw Data'!$J:$J,H$2,'Raw Data'!$K:$K,"native",'Raw Data'!$H:$H,"Telecommunication",'Raw Data'!$I:$I,"",'Raw Data'!$M:$M,"JOD")</f>
        <v>29000000</v>
      </c>
      <c r="I28" s="11">
        <f>SUMIFS('Raw Data'!$L:$L,'Raw Data'!$B:$B,$B$2,'Raw Data'!$J:$J,I$2,'Raw Data'!$K:$K,"native",'Raw Data'!$H:$H,"Telecommunication",'Raw Data'!$I:$I,"",'Raw Data'!$M:$M,"JOD")</f>
        <v>31000000</v>
      </c>
      <c r="J28" s="11">
        <f>SUMIFS('Raw Data'!$L:$L,'Raw Data'!$B:$B,$B$2,'Raw Data'!$J:$J,J$2,'Raw Data'!$K:$K,"native",'Raw Data'!$H:$H,"Telecommunication",'Raw Data'!$I:$I,"",'Raw Data'!$M:$M,"JOD")</f>
        <v>35000000</v>
      </c>
      <c r="K28" s="11">
        <f>SUMIFS('Raw Data'!$L:$L,'Raw Data'!$B:$B,$B$2,'Raw Data'!$J:$J,K$2,'Raw Data'!$K:$K,"native",'Raw Data'!$H:$H,"Telecommunication",'Raw Data'!$I:$I,"",'Raw Data'!$M:$M,"JOD")</f>
        <v>31000000</v>
      </c>
      <c r="L28" s="11">
        <f>SUMIFS('Raw Data'!$L:$L,'Raw Data'!$B:$B,$B$2,'Raw Data'!$J:$J,L$2,'Raw Data'!$K:$K,"native",'Raw Data'!$H:$H,"Telecommunication",'Raw Data'!$I:$I,"",'Raw Data'!$M:$M,"JOD")</f>
        <v>34000000</v>
      </c>
      <c r="M28" s="11">
        <f>SUMIFS('Raw Data'!$L:$L,'Raw Data'!$B:$B,$B$2,'Raw Data'!$J:$J,M$2,'Raw Data'!$K:$K,"native",'Raw Data'!$H:$H,"Telecommunication",'Raw Data'!$I:$I,"",'Raw Data'!$M:$M,"JOD")</f>
        <v>34000000</v>
      </c>
      <c r="N28" s="11">
        <f>SUMIFS('Raw Data'!$L:$L,'Raw Data'!$B:$B,$B$2,'Raw Data'!$J:$J,N$2,'Raw Data'!$K:$K,"native",'Raw Data'!$H:$H,"Telecommunication",'Raw Data'!$I:$I,"",'Raw Data'!$M:$M,"JOD")</f>
        <v>34000000</v>
      </c>
      <c r="O28" s="11">
        <f>SUMIFS('Raw Data'!$L:$L,'Raw Data'!$B:$B,$B$2,'Raw Data'!$J:$J,O$2,'Raw Data'!$K:$K,"native",'Raw Data'!$H:$H,"Telecommunication",'Raw Data'!$I:$I,"",'Raw Data'!$M:$M,"JOD")</f>
        <v>33000000</v>
      </c>
      <c r="P28" s="11">
        <f>SUMIFS('Raw Data'!$L:$L,'Raw Data'!$B:$B,$B$2,'Raw Data'!$J:$J,P$2,'Raw Data'!$K:$K,"native",'Raw Data'!$H:$H,"Telecommunication",'Raw Data'!$I:$I,"",'Raw Data'!$M:$M,"JOD")</f>
        <v>34000000</v>
      </c>
      <c r="Q28" s="11">
        <f>SUMIFS('Raw Data'!$L:$L,'Raw Data'!$B:$B,$B$2,'Raw Data'!$J:$J,Q$2,'Raw Data'!$K:$K,"native",'Raw Data'!$H:$H,"Telecommunication",'Raw Data'!$I:$I,"",'Raw Data'!$M:$M,"JOD")</f>
        <v>34000000</v>
      </c>
      <c r="R28" s="11">
        <f>SUMIFS('Raw Data'!$L:$L,'Raw Data'!$B:$B,$B$2,'Raw Data'!$J:$J,R$2,'Raw Data'!$K:$K,"native",'Raw Data'!$H:$H,"Telecommunication",'Raw Data'!$I:$I,"",'Raw Data'!$M:$M,"JOD")</f>
        <v>36000000</v>
      </c>
      <c r="S28" s="11">
        <f>SUMIFS('Raw Data'!$L:$L,'Raw Data'!$B:$B,$B$2,'Raw Data'!$J:$J,S$2,'Raw Data'!$K:$K,"native",'Raw Data'!$H:$H,"Telecommunication",'Raw Data'!$I:$I,"",'Raw Data'!$M:$M,"JOD")</f>
        <v>33000000</v>
      </c>
      <c r="T28" s="11">
        <f>SUMIFS('Raw Data'!$L:$L,'Raw Data'!$B:$B,$B$2,'Raw Data'!$J:$J,T$2,'Raw Data'!$K:$K,"native",'Raw Data'!$H:$H,"Telecommunication",'Raw Data'!$I:$I,"",'Raw Data'!$M:$M,"JOD")</f>
        <v>32000000</v>
      </c>
      <c r="U28" s="11">
        <f>SUMIFS('Raw Data'!$L:$L,'Raw Data'!$B:$B,$B$2,'Raw Data'!$J:$J,U$2,'Raw Data'!$K:$K,"native",'Raw Data'!$H:$H,"Telecommunication",'Raw Data'!$I:$I,"",'Raw Data'!$M:$M,"JOD")</f>
        <v>39000000</v>
      </c>
      <c r="V28" s="11">
        <f>SUMIFS('Raw Data'!$L:$L,'Raw Data'!$B:$B,$B$2,'Raw Data'!$J:$J,V$2,'Raw Data'!$K:$K,"native",'Raw Data'!$H:$H,"Telecommunication",'Raw Data'!$I:$I,"",'Raw Data'!$M:$M,"JOD")</f>
        <v>34000000</v>
      </c>
      <c r="W28" s="11">
        <f>SUMIFS('Raw Data'!$L:$L,'Raw Data'!$B:$B,$B$2,'Raw Data'!$J:$J,W$2,'Raw Data'!$K:$K,"native",'Raw Data'!$H:$H,"Telecommunication",'Raw Data'!$I:$I,"",'Raw Data'!$M:$M,"JOD")</f>
        <v>36000000</v>
      </c>
      <c r="X28" s="11">
        <f>SUMIFS('Raw Data'!$L:$L,'Raw Data'!$B:$B,$B$2,'Raw Data'!$J:$J,X$2,'Raw Data'!$K:$K,"native",'Raw Data'!$H:$H,"Telecommunication",'Raw Data'!$I:$I,"",'Raw Data'!$M:$M,"JOD")</f>
        <v>37000000</v>
      </c>
      <c r="Y28" s="11">
        <f>SUMIFS('Raw Data'!$L:$L,'Raw Data'!$B:$B,$B$2,'Raw Data'!$J:$J,Y$2,'Raw Data'!$K:$K,"native",'Raw Data'!$H:$H,"Telecommunication",'Raw Data'!$I:$I,"",'Raw Data'!$M:$M,"JOD")</f>
        <v>36000000</v>
      </c>
      <c r="Z28" s="11">
        <f>SUMIFS('Raw Data'!$L:$L,'Raw Data'!$B:$B,$B$2,'Raw Data'!$J:$J,Z$2,'Raw Data'!$K:$K,"native",'Raw Data'!$H:$H,"Telecommunication",'Raw Data'!$I:$I,"",'Raw Data'!$M:$M,"JOD")</f>
        <v>38000000</v>
      </c>
    </row>
    <row r="29" spans="1:26" x14ac:dyDescent="0.25">
      <c r="A29" s="10" t="s">
        <v>82</v>
      </c>
      <c r="B29" s="10" t="s">
        <v>131</v>
      </c>
      <c r="C29" s="11">
        <f>SUMIFS('Raw Data'!$L:$L,'Raw Data'!$B:$B,$B$2,'Raw Data'!$J:$J,C$2,'Raw Data'!$K:$K,"native",'Raw Data'!$H:$H,"Trading and Services",'Raw Data'!$I:$I,"",'Raw Data'!$M:$M,"JOD")</f>
        <v>12000000</v>
      </c>
      <c r="D29" s="11">
        <f>SUMIFS('Raw Data'!$L:$L,'Raw Data'!$B:$B,$B$2,'Raw Data'!$J:$J,D$2,'Raw Data'!$K:$K,"native",'Raw Data'!$H:$H,"Trading and Services",'Raw Data'!$I:$I,"",'Raw Data'!$M:$M,"JOD")</f>
        <v>13000000</v>
      </c>
      <c r="E29" s="11">
        <f>SUMIFS('Raw Data'!$L:$L,'Raw Data'!$B:$B,$B$2,'Raw Data'!$J:$J,E$2,'Raw Data'!$K:$K,"native",'Raw Data'!$H:$H,"Trading and Services",'Raw Data'!$I:$I,"",'Raw Data'!$M:$M,"JOD")</f>
        <v>11000000</v>
      </c>
      <c r="F29" s="11">
        <f>SUMIFS('Raw Data'!$L:$L,'Raw Data'!$B:$B,$B$2,'Raw Data'!$J:$J,F$2,'Raw Data'!$K:$K,"native",'Raw Data'!$H:$H,"Trading and Services",'Raw Data'!$I:$I,"",'Raw Data'!$M:$M,"JOD")</f>
        <v>15000000</v>
      </c>
      <c r="G29" s="11">
        <f>SUMIFS('Raw Data'!$L:$L,'Raw Data'!$B:$B,$B$2,'Raw Data'!$J:$J,G$2,'Raw Data'!$K:$K,"native",'Raw Data'!$H:$H,"Trading and Services",'Raw Data'!$I:$I,"",'Raw Data'!$M:$M,"JOD")</f>
        <v>15000000</v>
      </c>
      <c r="H29" s="11">
        <f>SUMIFS('Raw Data'!$L:$L,'Raw Data'!$B:$B,$B$2,'Raw Data'!$J:$J,H$2,'Raw Data'!$K:$K,"native",'Raw Data'!$H:$H,"Trading and Services",'Raw Data'!$I:$I,"",'Raw Data'!$M:$M,"JOD")</f>
        <v>10000000</v>
      </c>
      <c r="I29" s="11">
        <f>SUMIFS('Raw Data'!$L:$L,'Raw Data'!$B:$B,$B$2,'Raw Data'!$J:$J,I$2,'Raw Data'!$K:$K,"native",'Raw Data'!$H:$H,"Trading and Services",'Raw Data'!$I:$I,"",'Raw Data'!$M:$M,"JOD")</f>
        <v>9000000</v>
      </c>
      <c r="J29" s="11">
        <f>SUMIFS('Raw Data'!$L:$L,'Raw Data'!$B:$B,$B$2,'Raw Data'!$J:$J,J$2,'Raw Data'!$K:$K,"native",'Raw Data'!$H:$H,"Trading and Services",'Raw Data'!$I:$I,"",'Raw Data'!$M:$M,"JOD")</f>
        <v>12000000</v>
      </c>
      <c r="K29" s="11">
        <f>SUMIFS('Raw Data'!$L:$L,'Raw Data'!$B:$B,$B$2,'Raw Data'!$J:$J,K$2,'Raw Data'!$K:$K,"native",'Raw Data'!$H:$H,"Trading and Services",'Raw Data'!$I:$I,"",'Raw Data'!$M:$M,"JOD")</f>
        <v>13000000</v>
      </c>
      <c r="L29" s="11">
        <f>SUMIFS('Raw Data'!$L:$L,'Raw Data'!$B:$B,$B$2,'Raw Data'!$J:$J,L$2,'Raw Data'!$K:$K,"native",'Raw Data'!$H:$H,"Trading and Services",'Raw Data'!$I:$I,"",'Raw Data'!$M:$M,"JOD")</f>
        <v>13000000</v>
      </c>
      <c r="M29" s="11">
        <f>SUMIFS('Raw Data'!$L:$L,'Raw Data'!$B:$B,$B$2,'Raw Data'!$J:$J,M$2,'Raw Data'!$K:$K,"native",'Raw Data'!$H:$H,"Trading and Services",'Raw Data'!$I:$I,"",'Raw Data'!$M:$M,"JOD")</f>
        <v>17000000</v>
      </c>
      <c r="N29" s="11">
        <f>SUMIFS('Raw Data'!$L:$L,'Raw Data'!$B:$B,$B$2,'Raw Data'!$J:$J,N$2,'Raw Data'!$K:$K,"native",'Raw Data'!$H:$H,"Trading and Services",'Raw Data'!$I:$I,"",'Raw Data'!$M:$M,"JOD")</f>
        <v>14000000</v>
      </c>
      <c r="O29" s="11">
        <f>SUMIFS('Raw Data'!$L:$L,'Raw Data'!$B:$B,$B$2,'Raw Data'!$J:$J,O$2,'Raw Data'!$K:$K,"native",'Raw Data'!$H:$H,"Trading and Services",'Raw Data'!$I:$I,"",'Raw Data'!$M:$M,"JOD")</f>
        <v>14000000</v>
      </c>
      <c r="P29" s="11">
        <f>SUMIFS('Raw Data'!$L:$L,'Raw Data'!$B:$B,$B$2,'Raw Data'!$J:$J,P$2,'Raw Data'!$K:$K,"native",'Raw Data'!$H:$H,"Trading and Services",'Raw Data'!$I:$I,"",'Raw Data'!$M:$M,"JOD")</f>
        <v>15000000</v>
      </c>
      <c r="Q29" s="11">
        <f>SUMIFS('Raw Data'!$L:$L,'Raw Data'!$B:$B,$B$2,'Raw Data'!$J:$J,Q$2,'Raw Data'!$K:$K,"native",'Raw Data'!$H:$H,"Trading and Services",'Raw Data'!$I:$I,"",'Raw Data'!$M:$M,"JOD")</f>
        <v>13000000</v>
      </c>
      <c r="R29" s="11">
        <f>SUMIFS('Raw Data'!$L:$L,'Raw Data'!$B:$B,$B$2,'Raw Data'!$J:$J,R$2,'Raw Data'!$K:$K,"native",'Raw Data'!$H:$H,"Trading and Services",'Raw Data'!$I:$I,"",'Raw Data'!$M:$M,"JOD")</f>
        <v>13000000</v>
      </c>
      <c r="S29" s="11">
        <f>SUMIFS('Raw Data'!$L:$L,'Raw Data'!$B:$B,$B$2,'Raw Data'!$J:$J,S$2,'Raw Data'!$K:$K,"native",'Raw Data'!$H:$H,"Trading and Services",'Raw Data'!$I:$I,"",'Raw Data'!$M:$M,"JOD")</f>
        <v>14000000</v>
      </c>
      <c r="T29" s="11">
        <f>SUMIFS('Raw Data'!$L:$L,'Raw Data'!$B:$B,$B$2,'Raw Data'!$J:$J,T$2,'Raw Data'!$K:$K,"native",'Raw Data'!$H:$H,"Trading and Services",'Raw Data'!$I:$I,"",'Raw Data'!$M:$M,"JOD")</f>
        <v>11000000</v>
      </c>
      <c r="U29" s="11">
        <f>SUMIFS('Raw Data'!$L:$L,'Raw Data'!$B:$B,$B$2,'Raw Data'!$J:$J,U$2,'Raw Data'!$K:$K,"native",'Raw Data'!$H:$H,"Trading and Services",'Raw Data'!$I:$I,"",'Raw Data'!$M:$M,"JOD")</f>
        <v>12000000</v>
      </c>
      <c r="V29" s="11">
        <f>SUMIFS('Raw Data'!$L:$L,'Raw Data'!$B:$B,$B$2,'Raw Data'!$J:$J,V$2,'Raw Data'!$K:$K,"native",'Raw Data'!$H:$H,"Trading and Services",'Raw Data'!$I:$I,"",'Raw Data'!$M:$M,"JOD")</f>
        <v>11000000</v>
      </c>
      <c r="W29" s="11">
        <f>SUMIFS('Raw Data'!$L:$L,'Raw Data'!$B:$B,$B$2,'Raw Data'!$J:$J,W$2,'Raw Data'!$K:$K,"native",'Raw Data'!$H:$H,"Trading and Services",'Raw Data'!$I:$I,"",'Raw Data'!$M:$M,"JOD")</f>
        <v>12000000</v>
      </c>
      <c r="X29" s="11">
        <f>SUMIFS('Raw Data'!$L:$L,'Raw Data'!$B:$B,$B$2,'Raw Data'!$J:$J,X$2,'Raw Data'!$K:$K,"native",'Raw Data'!$H:$H,"Trading and Services",'Raw Data'!$I:$I,"",'Raw Data'!$M:$M,"JOD")</f>
        <v>16000000</v>
      </c>
      <c r="Y29" s="11">
        <f>SUMIFS('Raw Data'!$L:$L,'Raw Data'!$B:$B,$B$2,'Raw Data'!$J:$J,Y$2,'Raw Data'!$K:$K,"native",'Raw Data'!$H:$H,"Trading and Services",'Raw Data'!$I:$I,"",'Raw Data'!$M:$M,"JOD")</f>
        <v>16000000</v>
      </c>
      <c r="Z29" s="11">
        <f>SUMIFS('Raw Data'!$L:$L,'Raw Data'!$B:$B,$B$2,'Raw Data'!$J:$J,Z$2,'Raw Data'!$K:$K,"native",'Raw Data'!$H:$H,"Trading and Services",'Raw Data'!$I:$I,"",'Raw Data'!$M:$M,"JOD")</f>
        <v>19000000</v>
      </c>
    </row>
    <row r="30" spans="1:26" x14ac:dyDescent="0.25">
      <c r="A30" s="10" t="s">
        <v>82</v>
      </c>
      <c r="B30" s="10" t="s">
        <v>132</v>
      </c>
      <c r="C30" s="11">
        <f>SUMIFS('Raw Data'!$L:$L,'Raw Data'!$B:$B,$B$2,'Raw Data'!$J:$J,C$2,'Raw Data'!$K:$K,"native",'Raw Data'!$H:$H,"Travel &amp; Transportation",'Raw Data'!$I:$I,"",'Raw Data'!$M:$M,"JOD")</f>
        <v>7000000</v>
      </c>
      <c r="D30" s="11">
        <f>SUMIFS('Raw Data'!$L:$L,'Raw Data'!$B:$B,$B$2,'Raw Data'!$J:$J,D$2,'Raw Data'!$K:$K,"native",'Raw Data'!$H:$H,"Travel &amp; Transportation",'Raw Data'!$I:$I,"",'Raw Data'!$M:$M,"JOD")</f>
        <v>5000000</v>
      </c>
      <c r="E30" s="11">
        <f>SUMIFS('Raw Data'!$L:$L,'Raw Data'!$B:$B,$B$2,'Raw Data'!$J:$J,E$2,'Raw Data'!$K:$K,"native",'Raw Data'!$H:$H,"Travel &amp; Transportation",'Raw Data'!$I:$I,"",'Raw Data'!$M:$M,"JOD")</f>
        <v>5000000</v>
      </c>
      <c r="F30" s="11">
        <f>SUMIFS('Raw Data'!$L:$L,'Raw Data'!$B:$B,$B$2,'Raw Data'!$J:$J,F$2,'Raw Data'!$K:$K,"native",'Raw Data'!$H:$H,"Travel &amp; Transportation",'Raw Data'!$I:$I,"",'Raw Data'!$M:$M,"JOD")</f>
        <v>6000000</v>
      </c>
      <c r="G30" s="11">
        <f>SUMIFS('Raw Data'!$L:$L,'Raw Data'!$B:$B,$B$2,'Raw Data'!$J:$J,G$2,'Raw Data'!$K:$K,"native",'Raw Data'!$H:$H,"Travel &amp; Transportation",'Raw Data'!$I:$I,"",'Raw Data'!$M:$M,"JOD")</f>
        <v>6000000</v>
      </c>
      <c r="H30" s="11"/>
      <c r="I30" s="11">
        <f>SUMIFS('Raw Data'!$L:$L,'Raw Data'!$B:$B,$B$2,'Raw Data'!$J:$J,I$2,'Raw Data'!$K:$K,"native",'Raw Data'!$H:$H,"Travel &amp; Transportation",'Raw Data'!$I:$I,"",'Raw Data'!$M:$M,"JOD")</f>
        <v>5000000</v>
      </c>
      <c r="J30" s="11">
        <f>SUMIFS('Raw Data'!$L:$L,'Raw Data'!$B:$B,$B$2,'Raw Data'!$J:$J,J$2,'Raw Data'!$K:$K,"native",'Raw Data'!$H:$H,"Travel &amp; Transportation",'Raw Data'!$I:$I,"",'Raw Data'!$M:$M,"JOD")</f>
        <v>5000000</v>
      </c>
      <c r="K30" s="11">
        <f>SUMIFS('Raw Data'!$L:$L,'Raw Data'!$B:$B,$B$2,'Raw Data'!$J:$J,K$2,'Raw Data'!$K:$K,"native",'Raw Data'!$H:$H,"Travel &amp; Transportation",'Raw Data'!$I:$I,"",'Raw Data'!$M:$M,"JOD")</f>
        <v>5000000</v>
      </c>
      <c r="L30" s="11">
        <f>SUMIFS('Raw Data'!$L:$L,'Raw Data'!$B:$B,$B$2,'Raw Data'!$J:$J,L$2,'Raw Data'!$K:$K,"native",'Raw Data'!$H:$H,"Travel &amp; Transportation",'Raw Data'!$I:$I,"",'Raw Data'!$M:$M,"JOD")</f>
        <v>5000000</v>
      </c>
      <c r="M30" s="11">
        <f>SUMIFS('Raw Data'!$L:$L,'Raw Data'!$B:$B,$B$2,'Raw Data'!$J:$J,M$2,'Raw Data'!$K:$K,"native",'Raw Data'!$H:$H,"Travel &amp; Transportation",'Raw Data'!$I:$I,"",'Raw Data'!$M:$M,"JOD")</f>
        <v>8000000</v>
      </c>
      <c r="N30" s="11">
        <f>SUMIFS('Raw Data'!$L:$L,'Raw Data'!$B:$B,$B$2,'Raw Data'!$J:$J,N$2,'Raw Data'!$K:$K,"native",'Raw Data'!$H:$H,"Travel &amp; Transportation",'Raw Data'!$I:$I,"",'Raw Data'!$M:$M,"JOD")</f>
        <v>7000000</v>
      </c>
      <c r="O30" s="11">
        <f>SUMIFS('Raw Data'!$L:$L,'Raw Data'!$B:$B,$B$2,'Raw Data'!$J:$J,O$2,'Raw Data'!$K:$K,"native",'Raw Data'!$H:$H,"Travel &amp; Transportation",'Raw Data'!$I:$I,"",'Raw Data'!$M:$M,"JOD")</f>
        <v>6000000</v>
      </c>
      <c r="P30" s="11">
        <f>SUMIFS('Raw Data'!$L:$L,'Raw Data'!$B:$B,$B$2,'Raw Data'!$J:$J,P$2,'Raw Data'!$K:$K,"native",'Raw Data'!$H:$H,"Travel &amp; Transportation",'Raw Data'!$I:$I,"",'Raw Data'!$M:$M,"JOD")</f>
        <v>6000000</v>
      </c>
      <c r="Q30" s="11">
        <f>SUMIFS('Raw Data'!$L:$L,'Raw Data'!$B:$B,$B$2,'Raw Data'!$J:$J,Q$2,'Raw Data'!$K:$K,"native",'Raw Data'!$H:$H,"Travel &amp; Transportation",'Raw Data'!$I:$I,"",'Raw Data'!$M:$M,"JOD")</f>
        <v>6000000</v>
      </c>
      <c r="R30" s="11">
        <f>SUMIFS('Raw Data'!$L:$L,'Raw Data'!$B:$B,$B$2,'Raw Data'!$J:$J,R$2,'Raw Data'!$K:$K,"native",'Raw Data'!$H:$H,"Travel &amp; Transportation",'Raw Data'!$I:$I,"",'Raw Data'!$M:$M,"JOD")</f>
        <v>7000000</v>
      </c>
      <c r="S30" s="11"/>
      <c r="T30" s="11">
        <f>SUMIFS('Raw Data'!$L:$L,'Raw Data'!$B:$B,$B$2,'Raw Data'!$J:$J,T$2,'Raw Data'!$K:$K,"native",'Raw Data'!$H:$H,"Travel &amp; Transportation",'Raw Data'!$I:$I,"",'Raw Data'!$M:$M,"JOD")</f>
        <v>6000000</v>
      </c>
      <c r="U30" s="11">
        <f>SUMIFS('Raw Data'!$L:$L,'Raw Data'!$B:$B,$B$2,'Raw Data'!$J:$J,U$2,'Raw Data'!$K:$K,"native",'Raw Data'!$H:$H,"Travel &amp; Transportation",'Raw Data'!$I:$I,"",'Raw Data'!$M:$M,"JOD")</f>
        <v>7000000</v>
      </c>
      <c r="V30" s="11">
        <f>SUMIFS('Raw Data'!$L:$L,'Raw Data'!$B:$B,$B$2,'Raw Data'!$J:$J,V$2,'Raw Data'!$K:$K,"native",'Raw Data'!$H:$H,"Travel &amp; Transportation",'Raw Data'!$I:$I,"",'Raw Data'!$M:$M,"JOD")</f>
        <v>7000000</v>
      </c>
      <c r="W30" s="11">
        <f>SUMIFS('Raw Data'!$L:$L,'Raw Data'!$B:$B,$B$2,'Raw Data'!$J:$J,W$2,'Raw Data'!$K:$K,"native",'Raw Data'!$H:$H,"Travel &amp; Transportation",'Raw Data'!$I:$I,"",'Raw Data'!$M:$M,"JOD")</f>
        <v>8000000</v>
      </c>
      <c r="X30" s="11">
        <f>SUMIFS('Raw Data'!$L:$L,'Raw Data'!$B:$B,$B$2,'Raw Data'!$J:$J,X$2,'Raw Data'!$K:$K,"native",'Raw Data'!$H:$H,"Travel &amp; Transportation",'Raw Data'!$I:$I,"",'Raw Data'!$M:$M,"JOD")</f>
        <v>10000000</v>
      </c>
      <c r="Y30" s="11">
        <f>SUMIFS('Raw Data'!$L:$L,'Raw Data'!$B:$B,$B$2,'Raw Data'!$J:$J,Y$2,'Raw Data'!$K:$K,"native",'Raw Data'!$H:$H,"Travel &amp; Transportation",'Raw Data'!$I:$I,"",'Raw Data'!$M:$M,"JOD")</f>
        <v>12000000</v>
      </c>
      <c r="Z30" s="11">
        <f>SUMIFS('Raw Data'!$L:$L,'Raw Data'!$B:$B,$B$2,'Raw Data'!$J:$J,Z$2,'Raw Data'!$K:$K,"native",'Raw Data'!$H:$H,"Travel &amp; Transportation",'Raw Data'!$I:$I,"",'Raw Data'!$M:$M,"JOD")</f>
        <v>13000000</v>
      </c>
    </row>
    <row r="31" spans="1:26" x14ac:dyDescent="0.25">
      <c r="A31" s="10" t="s">
        <v>82</v>
      </c>
      <c r="B31" s="10" t="s">
        <v>133</v>
      </c>
      <c r="C31" s="11">
        <f>SUMIFS('Raw Data'!$L:$L,'Raw Data'!$B:$B,$B$2,'Raw Data'!$J:$J,C$2,'Raw Data'!$K:$K,"native",'Raw Data'!$H:$H,"Wallets and PSPs",'Raw Data'!$I:$I,"",'Raw Data'!$M:$M,"JOD")</f>
        <v>219000000</v>
      </c>
      <c r="D31" s="11">
        <f>SUMIFS('Raw Data'!$L:$L,'Raw Data'!$B:$B,$B$2,'Raw Data'!$J:$J,D$2,'Raw Data'!$K:$K,"native",'Raw Data'!$H:$H,"Wallets and PSPs",'Raw Data'!$I:$I,"",'Raw Data'!$M:$M,"JOD")</f>
        <v>228000000</v>
      </c>
      <c r="E31" s="11">
        <f>SUMIFS('Raw Data'!$L:$L,'Raw Data'!$B:$B,$B$2,'Raw Data'!$J:$J,E$2,'Raw Data'!$K:$K,"native",'Raw Data'!$H:$H,"Wallets and PSPs",'Raw Data'!$I:$I,"",'Raw Data'!$M:$M,"JOD")</f>
        <v>188000000</v>
      </c>
      <c r="F31" s="11">
        <f>SUMIFS('Raw Data'!$L:$L,'Raw Data'!$B:$B,$B$2,'Raw Data'!$J:$J,F$2,'Raw Data'!$K:$K,"native",'Raw Data'!$H:$H,"Wallets and PSPs",'Raw Data'!$I:$I,"",'Raw Data'!$M:$M,"JOD")</f>
        <v>231000000</v>
      </c>
      <c r="G31" s="11">
        <f>SUMIFS('Raw Data'!$L:$L,'Raw Data'!$B:$B,$B$2,'Raw Data'!$J:$J,G$2,'Raw Data'!$K:$K,"native",'Raw Data'!$H:$H,"Wallets and PSPs",'Raw Data'!$I:$I,"",'Raw Data'!$M:$M,"JOD")</f>
        <v>236000000</v>
      </c>
      <c r="H31" s="11">
        <f>SUMIFS('Raw Data'!$L:$L,'Raw Data'!$B:$B,$B$2,'Raw Data'!$J:$J,H$2,'Raw Data'!$K:$K,"native",'Raw Data'!$H:$H,"Wallets and PSPs",'Raw Data'!$I:$I,"",'Raw Data'!$M:$M,"JOD")</f>
        <v>261000000</v>
      </c>
      <c r="I31" s="11">
        <f>SUMIFS('Raw Data'!$L:$L,'Raw Data'!$B:$B,$B$2,'Raw Data'!$J:$J,I$2,'Raw Data'!$K:$K,"native",'Raw Data'!$H:$H,"Wallets and PSPs",'Raw Data'!$I:$I,"",'Raw Data'!$M:$M,"JOD")</f>
        <v>239000000</v>
      </c>
      <c r="J31" s="11">
        <f>SUMIFS('Raw Data'!$L:$L,'Raw Data'!$B:$B,$B$2,'Raw Data'!$J:$J,J$2,'Raw Data'!$K:$K,"native",'Raw Data'!$H:$H,"Wallets and PSPs",'Raw Data'!$I:$I,"",'Raw Data'!$M:$M,"JOD")</f>
        <v>259000000</v>
      </c>
      <c r="K31" s="11">
        <f>SUMIFS('Raw Data'!$L:$L,'Raw Data'!$B:$B,$B$2,'Raw Data'!$J:$J,K$2,'Raw Data'!$K:$K,"native",'Raw Data'!$H:$H,"Wallets and PSPs",'Raw Data'!$I:$I,"",'Raw Data'!$M:$M,"JOD")</f>
        <v>245000000</v>
      </c>
      <c r="L31" s="11">
        <f>SUMIFS('Raw Data'!$L:$L,'Raw Data'!$B:$B,$B$2,'Raw Data'!$J:$J,L$2,'Raw Data'!$K:$K,"native",'Raw Data'!$H:$H,"Wallets and PSPs",'Raw Data'!$I:$I,"",'Raw Data'!$M:$M,"JOD")</f>
        <v>235000000</v>
      </c>
      <c r="M31" s="11">
        <f>SUMIFS('Raw Data'!$L:$L,'Raw Data'!$B:$B,$B$2,'Raw Data'!$J:$J,M$2,'Raw Data'!$K:$K,"native",'Raw Data'!$H:$H,"Wallets and PSPs",'Raw Data'!$I:$I,"",'Raw Data'!$M:$M,"JOD")</f>
        <v>286000000</v>
      </c>
      <c r="N31" s="11">
        <f>SUMIFS('Raw Data'!$L:$L,'Raw Data'!$B:$B,$B$2,'Raw Data'!$J:$J,N$2,'Raw Data'!$K:$K,"native",'Raw Data'!$H:$H,"Wallets and PSPs",'Raw Data'!$I:$I,"",'Raw Data'!$M:$M,"JOD")</f>
        <v>276000000</v>
      </c>
      <c r="O31" s="11">
        <f>SUMIFS('Raw Data'!$L:$L,'Raw Data'!$B:$B,$B$2,'Raw Data'!$J:$J,O$2,'Raw Data'!$K:$K,"native",'Raw Data'!$H:$H,"Wallets and PSPs",'Raw Data'!$I:$I,"",'Raw Data'!$M:$M,"JOD")</f>
        <v>309000000</v>
      </c>
      <c r="P31" s="11">
        <f>SUMIFS('Raw Data'!$L:$L,'Raw Data'!$B:$B,$B$2,'Raw Data'!$J:$J,P$2,'Raw Data'!$K:$K,"native",'Raw Data'!$H:$H,"Wallets and PSPs",'Raw Data'!$I:$I,"",'Raw Data'!$M:$M,"JOD")</f>
        <v>354000000</v>
      </c>
      <c r="Q31" s="11">
        <f>SUMIFS('Raw Data'!$L:$L,'Raw Data'!$B:$B,$B$2,'Raw Data'!$J:$J,Q$2,'Raw Data'!$K:$K,"native",'Raw Data'!$H:$H,"Wallets and PSPs",'Raw Data'!$I:$I,"",'Raw Data'!$M:$M,"JOD")</f>
        <v>341000000</v>
      </c>
      <c r="R31" s="11">
        <f>SUMIFS('Raw Data'!$L:$L,'Raw Data'!$B:$B,$B$2,'Raw Data'!$J:$J,R$2,'Raw Data'!$K:$K,"native",'Raw Data'!$H:$H,"Wallets and PSPs",'Raw Data'!$I:$I,"",'Raw Data'!$M:$M,"JOD")</f>
        <v>422000000</v>
      </c>
      <c r="S31" s="11">
        <f>SUMIFS('Raw Data'!$L:$L,'Raw Data'!$B:$B,$B$2,'Raw Data'!$J:$J,S$2,'Raw Data'!$K:$K,"native",'Raw Data'!$H:$H,"Wallets and PSPs",'Raw Data'!$I:$I,"",'Raw Data'!$M:$M,"JOD")</f>
        <v>219000000</v>
      </c>
      <c r="T31" s="11">
        <f>SUMIFS('Raw Data'!$L:$L,'Raw Data'!$B:$B,$B$2,'Raw Data'!$J:$J,T$2,'Raw Data'!$K:$K,"native",'Raw Data'!$H:$H,"Wallets and PSPs",'Raw Data'!$I:$I,"",'Raw Data'!$M:$M,"JOD")</f>
        <v>174000000</v>
      </c>
      <c r="U31" s="11">
        <f>SUMIFS('Raw Data'!$L:$L,'Raw Data'!$B:$B,$B$2,'Raw Data'!$J:$J,U$2,'Raw Data'!$K:$K,"native",'Raw Data'!$H:$H,"Wallets and PSPs",'Raw Data'!$I:$I,"",'Raw Data'!$M:$M,"JOD")</f>
        <v>173000000</v>
      </c>
      <c r="V31" s="11">
        <f>SUMIFS('Raw Data'!$L:$L,'Raw Data'!$B:$B,$B$2,'Raw Data'!$J:$J,V$2,'Raw Data'!$K:$K,"native",'Raw Data'!$H:$H,"Wallets and PSPs",'Raw Data'!$I:$I,"",'Raw Data'!$M:$M,"JOD")</f>
        <v>161000000</v>
      </c>
      <c r="W31" s="11">
        <f>SUMIFS('Raw Data'!$L:$L,'Raw Data'!$B:$B,$B$2,'Raw Data'!$J:$J,W$2,'Raw Data'!$K:$K,"native",'Raw Data'!$H:$H,"Wallets and PSPs",'Raw Data'!$I:$I,"",'Raw Data'!$M:$M,"JOD")</f>
        <v>159000000</v>
      </c>
      <c r="X31" s="11">
        <f>SUMIFS('Raw Data'!$L:$L,'Raw Data'!$B:$B,$B$2,'Raw Data'!$J:$J,X$2,'Raw Data'!$K:$K,"native",'Raw Data'!$H:$H,"Wallets and PSPs",'Raw Data'!$I:$I,"",'Raw Data'!$M:$M,"JOD")</f>
        <v>166000000</v>
      </c>
      <c r="Y31" s="11">
        <f>SUMIFS('Raw Data'!$L:$L,'Raw Data'!$B:$B,$B$2,'Raw Data'!$J:$J,Y$2,'Raw Data'!$K:$K,"native",'Raw Data'!$H:$H,"Wallets and PSPs",'Raw Data'!$I:$I,"",'Raw Data'!$M:$M,"JOD")</f>
        <v>173000000</v>
      </c>
      <c r="Z31" s="11">
        <f>SUMIFS('Raw Data'!$L:$L,'Raw Data'!$B:$B,$B$2,'Raw Data'!$J:$J,Z$2,'Raw Data'!$K:$K,"native",'Raw Data'!$H:$H,"Wallets and PSPs",'Raw Data'!$I:$I,"",'Raw Data'!$M:$M,"JOD")</f>
        <v>191000000</v>
      </c>
    </row>
    <row r="32" spans="1:26" x14ac:dyDescent="0.25">
      <c r="A32" s="10" t="s">
        <v>82</v>
      </c>
      <c r="B32" s="10" t="s">
        <v>134</v>
      </c>
      <c r="C32" s="11">
        <f>SUMIFS('Raw Data'!$L:$L,'Raw Data'!$B:$B,$B$2,'Raw Data'!$J:$J,C$2,'Raw Data'!$K:$K,"native",'Raw Data'!$H:$H,"Water and Electricity",'Raw Data'!$I:$I,"",'Raw Data'!$M:$M,"JOD")</f>
        <v>75000000</v>
      </c>
      <c r="D32" s="11">
        <f>SUMIFS('Raw Data'!$L:$L,'Raw Data'!$B:$B,$B$2,'Raw Data'!$J:$J,D$2,'Raw Data'!$K:$K,"native",'Raw Data'!$H:$H,"Water and Electricity",'Raw Data'!$I:$I,"",'Raw Data'!$M:$M,"JOD")</f>
        <v>71000000</v>
      </c>
      <c r="E32" s="11">
        <f>SUMIFS('Raw Data'!$L:$L,'Raw Data'!$B:$B,$B$2,'Raw Data'!$J:$J,E$2,'Raw Data'!$K:$K,"native",'Raw Data'!$H:$H,"Water and Electricity",'Raw Data'!$I:$I,"",'Raw Data'!$M:$M,"JOD")</f>
        <v>58000000</v>
      </c>
      <c r="F32" s="11">
        <f>SUMIFS('Raw Data'!$L:$L,'Raw Data'!$B:$B,$B$2,'Raw Data'!$J:$J,F$2,'Raw Data'!$K:$K,"native",'Raw Data'!$H:$H,"Water and Electricity",'Raw Data'!$I:$I,"",'Raw Data'!$M:$M,"JOD")</f>
        <v>72000000</v>
      </c>
      <c r="G32" s="11">
        <f>SUMIFS('Raw Data'!$L:$L,'Raw Data'!$B:$B,$B$2,'Raw Data'!$J:$J,G$2,'Raw Data'!$K:$K,"native",'Raw Data'!$H:$H,"Water and Electricity",'Raw Data'!$I:$I,"",'Raw Data'!$M:$M,"JOD")</f>
        <v>67000000</v>
      </c>
      <c r="H32" s="11">
        <f>SUMIFS('Raw Data'!$L:$L,'Raw Data'!$B:$B,$B$2,'Raw Data'!$J:$J,H$2,'Raw Data'!$K:$K,"native",'Raw Data'!$H:$H,"Water and Electricity",'Raw Data'!$I:$I,"",'Raw Data'!$M:$M,"JOD")</f>
        <v>67000000</v>
      </c>
      <c r="I32" s="11">
        <f>SUMIFS('Raw Data'!$L:$L,'Raw Data'!$B:$B,$B$2,'Raw Data'!$J:$J,I$2,'Raw Data'!$K:$K,"native",'Raw Data'!$H:$H,"Water and Electricity",'Raw Data'!$I:$I,"",'Raw Data'!$M:$M,"JOD")</f>
        <v>70000000</v>
      </c>
      <c r="J32" s="11">
        <f>SUMIFS('Raw Data'!$L:$L,'Raw Data'!$B:$B,$B$2,'Raw Data'!$J:$J,J$2,'Raw Data'!$K:$K,"native",'Raw Data'!$H:$H,"Water and Electricity",'Raw Data'!$I:$I,"",'Raw Data'!$M:$M,"JOD")</f>
        <v>74000000</v>
      </c>
      <c r="K32" s="11">
        <f>SUMIFS('Raw Data'!$L:$L,'Raw Data'!$B:$B,$B$2,'Raw Data'!$J:$J,K$2,'Raw Data'!$K:$K,"native",'Raw Data'!$H:$H,"Water and Electricity",'Raw Data'!$I:$I,"",'Raw Data'!$M:$M,"JOD")</f>
        <v>63000000</v>
      </c>
      <c r="L32" s="11">
        <f>SUMIFS('Raw Data'!$L:$L,'Raw Data'!$B:$B,$B$2,'Raw Data'!$J:$J,L$2,'Raw Data'!$K:$K,"native",'Raw Data'!$H:$H,"Water and Electricity",'Raw Data'!$I:$I,"",'Raw Data'!$M:$M,"JOD")</f>
        <v>70000000</v>
      </c>
      <c r="M32" s="11">
        <f>SUMIFS('Raw Data'!$L:$L,'Raw Data'!$B:$B,$B$2,'Raw Data'!$J:$J,M$2,'Raw Data'!$K:$K,"native",'Raw Data'!$H:$H,"Water and Electricity",'Raw Data'!$I:$I,"",'Raw Data'!$M:$M,"JOD")</f>
        <v>81000000</v>
      </c>
      <c r="N32" s="11">
        <f>SUMIFS('Raw Data'!$L:$L,'Raw Data'!$B:$B,$B$2,'Raw Data'!$J:$J,N$2,'Raw Data'!$K:$K,"native",'Raw Data'!$H:$H,"Water and Electricity",'Raw Data'!$I:$I,"",'Raw Data'!$M:$M,"JOD")</f>
        <v>90000000</v>
      </c>
      <c r="O32" s="11">
        <f>SUMIFS('Raw Data'!$L:$L,'Raw Data'!$B:$B,$B$2,'Raw Data'!$J:$J,O$2,'Raw Data'!$K:$K,"native",'Raw Data'!$H:$H,"Water and Electricity",'Raw Data'!$I:$I,"",'Raw Data'!$M:$M,"JOD")</f>
        <v>91000000</v>
      </c>
      <c r="P32" s="11">
        <f>SUMIFS('Raw Data'!$L:$L,'Raw Data'!$B:$B,$B$2,'Raw Data'!$J:$J,P$2,'Raw Data'!$K:$K,"native",'Raw Data'!$H:$H,"Water and Electricity",'Raw Data'!$I:$I,"",'Raw Data'!$M:$M,"JOD")</f>
        <v>80000000</v>
      </c>
      <c r="Q32" s="11">
        <f>SUMIFS('Raw Data'!$L:$L,'Raw Data'!$B:$B,$B$2,'Raw Data'!$J:$J,Q$2,'Raw Data'!$K:$K,"native",'Raw Data'!$H:$H,"Water and Electricity",'Raw Data'!$I:$I,"",'Raw Data'!$M:$M,"JOD")</f>
        <v>74000000</v>
      </c>
      <c r="R32" s="11">
        <f>SUMIFS('Raw Data'!$L:$L,'Raw Data'!$B:$B,$B$2,'Raw Data'!$J:$J,R$2,'Raw Data'!$K:$K,"native",'Raw Data'!$H:$H,"Water and Electricity",'Raw Data'!$I:$I,"",'Raw Data'!$M:$M,"JOD")</f>
        <v>77000000</v>
      </c>
      <c r="S32" s="11">
        <f>SUMIFS('Raw Data'!$L:$L,'Raw Data'!$B:$B,$B$2,'Raw Data'!$J:$J,S$2,'Raw Data'!$K:$K,"native",'Raw Data'!$H:$H,"Water and Electricity",'Raw Data'!$I:$I,"",'Raw Data'!$M:$M,"JOD")</f>
        <v>77000000</v>
      </c>
      <c r="T32" s="11">
        <f>SUMIFS('Raw Data'!$L:$L,'Raw Data'!$B:$B,$B$2,'Raw Data'!$J:$J,T$2,'Raw Data'!$K:$K,"native",'Raw Data'!$H:$H,"Water and Electricity",'Raw Data'!$I:$I,"",'Raw Data'!$M:$M,"JOD")</f>
        <v>83000000</v>
      </c>
      <c r="U32" s="11">
        <f>SUMIFS('Raw Data'!$L:$L,'Raw Data'!$B:$B,$B$2,'Raw Data'!$J:$J,U$2,'Raw Data'!$K:$K,"native",'Raw Data'!$H:$H,"Water and Electricity",'Raw Data'!$I:$I,"",'Raw Data'!$M:$M,"JOD")</f>
        <v>90000000</v>
      </c>
      <c r="V32" s="11">
        <f>SUMIFS('Raw Data'!$L:$L,'Raw Data'!$B:$B,$B$2,'Raw Data'!$J:$J,V$2,'Raw Data'!$K:$K,"native",'Raw Data'!$H:$H,"Water and Electricity",'Raw Data'!$I:$I,"",'Raw Data'!$M:$M,"JOD")</f>
        <v>78000000</v>
      </c>
      <c r="W32" s="11">
        <f>SUMIFS('Raw Data'!$L:$L,'Raw Data'!$B:$B,$B$2,'Raw Data'!$J:$J,W$2,'Raw Data'!$K:$K,"native",'Raw Data'!$H:$H,"Water and Electricity",'Raw Data'!$I:$I,"",'Raw Data'!$M:$M,"JOD")</f>
        <v>76000000</v>
      </c>
      <c r="X32" s="11">
        <f>SUMIFS('Raw Data'!$L:$L,'Raw Data'!$B:$B,$B$2,'Raw Data'!$J:$J,X$2,'Raw Data'!$K:$K,"native",'Raw Data'!$H:$H,"Water and Electricity",'Raw Data'!$I:$I,"",'Raw Data'!$M:$M,"JOD")</f>
        <v>79000000</v>
      </c>
      <c r="Y32" s="11">
        <f>SUMIFS('Raw Data'!$L:$L,'Raw Data'!$B:$B,$B$2,'Raw Data'!$J:$J,Y$2,'Raw Data'!$K:$K,"native",'Raw Data'!$H:$H,"Water and Electricity",'Raw Data'!$I:$I,"",'Raw Data'!$M:$M,"JOD")</f>
        <v>85000000</v>
      </c>
      <c r="Z32" s="11">
        <f>SUMIFS('Raw Data'!$L:$L,'Raw Data'!$B:$B,$B$2,'Raw Data'!$J:$J,Z$2,'Raw Data'!$K:$K,"native",'Raw Data'!$H:$H,"Water and Electricity",'Raw Data'!$I:$I,"",'Raw Data'!$M:$M,"JOD")</f>
        <v>102000000</v>
      </c>
    </row>
    <row r="33" spans="1:26" x14ac:dyDescent="0.25">
      <c r="A33" s="10" t="s">
        <v>82</v>
      </c>
      <c r="B33" s="10" t="s">
        <v>125</v>
      </c>
      <c r="C33" s="11"/>
      <c r="D33" s="11"/>
      <c r="E33" s="11"/>
      <c r="F33" s="11"/>
      <c r="G33" s="11"/>
      <c r="H33" s="11">
        <f>SUMIFS('Raw Data'!$L:$L,'Raw Data'!$B:$B,$B$2,'Raw Data'!$J:$J,H$2,'Raw Data'!$K:$K,"native",'Raw Data'!$H:$H,"Associations and Organizations",'Raw Data'!$I:$I,"",'Raw Data'!$M:$M,"JOD")</f>
        <v>4000000</v>
      </c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>
        <f>SUMIFS('Raw Data'!$L:$L,'Raw Data'!$B:$B,$B$2,'Raw Data'!$J:$J,S$2,'Raw Data'!$K:$K,"native",'Raw Data'!$H:$H,"Associations and Organizations",'Raw Data'!$I:$I,"",'Raw Data'!$M:$M,"JOD")</f>
        <v>7000000</v>
      </c>
      <c r="T33" s="11"/>
      <c r="U33" s="11"/>
      <c r="V33" s="11"/>
      <c r="W33" s="11"/>
      <c r="X33" s="11"/>
      <c r="Y33" s="11"/>
      <c r="Z33" s="11"/>
    </row>
    <row r="34" spans="1:26" x14ac:dyDescent="0.25">
      <c r="A34" s="10" t="s">
        <v>82</v>
      </c>
      <c r="B34" s="10" t="s">
        <v>135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>
        <f>SUMIFS('Raw Data'!$L:$L,'Raw Data'!$B:$B,$B$2,'Raw Data'!$J:$J,W$2,'Raw Data'!$K:$K,"native",'Raw Data'!$H:$H,"Charities",'Raw Data'!$I:$I,"",'Raw Data'!$M:$M,"JOD")</f>
        <v>18000000</v>
      </c>
      <c r="X34" s="11"/>
      <c r="Y34" s="11"/>
      <c r="Z34" s="11"/>
    </row>
    <row r="35" spans="1:26" x14ac:dyDescent="0.25">
      <c r="A35" s="53" t="s">
        <v>141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x14ac:dyDescent="0.25">
      <c r="A36" s="10" t="s">
        <v>82</v>
      </c>
      <c r="B36" s="10" t="s">
        <v>137</v>
      </c>
      <c r="C36" s="11">
        <f>SUMIFS('Raw Data'!$L:$L,'Raw Data'!$B:$B,$B$2,'Raw Data'!$J:$J,C$2,'Raw Data'!$K:$K,"native",'Raw Data'!$H:$H,"Cash Payments",'Raw Data'!$I:$I,"",'Raw Data'!$M:$M,"JOD")</f>
        <v>231400000</v>
      </c>
      <c r="D36" s="11">
        <f>SUMIFS('Raw Data'!$L:$L,'Raw Data'!$B:$B,$B$2,'Raw Data'!$J:$J,D$2,'Raw Data'!$K:$K,"native",'Raw Data'!$H:$H,"Cash Payments",'Raw Data'!$I:$I,"",'Raw Data'!$M:$M,"JOD")</f>
        <v>230600000</v>
      </c>
      <c r="E36" s="11">
        <f>SUMIFS('Raw Data'!$L:$L,'Raw Data'!$B:$B,$B$2,'Raw Data'!$J:$J,E$2,'Raw Data'!$K:$K,"native",'Raw Data'!$H:$H,"Cash Payments",'Raw Data'!$I:$I,"",'Raw Data'!$M:$M,"JOD")</f>
        <v>185000000</v>
      </c>
      <c r="F36" s="11">
        <f>SUMIFS('Raw Data'!$L:$L,'Raw Data'!$B:$B,$B$2,'Raw Data'!$J:$J,F$2,'Raw Data'!$K:$K,"native",'Raw Data'!$H:$H,"Cash Payments",'Raw Data'!$I:$I,"",'Raw Data'!$M:$M,"JOD")</f>
        <v>239200000</v>
      </c>
      <c r="G36" s="11">
        <f>SUMIFS('Raw Data'!$L:$L,'Raw Data'!$B:$B,$B$2,'Raw Data'!$J:$J,G$2,'Raw Data'!$K:$K,"native",'Raw Data'!$H:$H,"Cash Payments",'Raw Data'!$I:$I,"",'Raw Data'!$M:$M,"JOD")</f>
        <v>255600000</v>
      </c>
      <c r="H36" s="11">
        <f>SUMIFS('Raw Data'!$L:$L,'Raw Data'!$B:$B,$B$2,'Raw Data'!$J:$J,H$2,'Raw Data'!$K:$K,"native",'Raw Data'!$H:$H,"Cash Payments",'Raw Data'!$I:$I,"",'Raw Data'!$M:$M,"JOD")</f>
        <v>279700000</v>
      </c>
      <c r="I36" s="11">
        <f>SUMIFS('Raw Data'!$L:$L,'Raw Data'!$B:$B,$B$2,'Raw Data'!$J:$J,I$2,'Raw Data'!$K:$K,"native",'Raw Data'!$H:$H,"Cash Payments",'Raw Data'!$I:$I,"",'Raw Data'!$M:$M,"JOD")</f>
        <v>236200000</v>
      </c>
      <c r="J36" s="11">
        <f>SUMIFS('Raw Data'!$L:$L,'Raw Data'!$B:$B,$B$2,'Raw Data'!$J:$J,J$2,'Raw Data'!$K:$K,"native",'Raw Data'!$H:$H,"Cash Payments",'Raw Data'!$I:$I,"",'Raw Data'!$M:$M,"JOD")</f>
        <v>282800000</v>
      </c>
      <c r="K36" s="11">
        <f>SUMIFS('Raw Data'!$L:$L,'Raw Data'!$B:$B,$B$2,'Raw Data'!$J:$J,K$2,'Raw Data'!$K:$K,"native",'Raw Data'!$H:$H,"Cash Payments",'Raw Data'!$I:$I,"",'Raw Data'!$M:$M,"JOD")</f>
        <v>240100000</v>
      </c>
      <c r="L36" s="11">
        <f>SUMIFS('Raw Data'!$L:$L,'Raw Data'!$B:$B,$B$2,'Raw Data'!$J:$J,L$2,'Raw Data'!$K:$K,"native",'Raw Data'!$H:$H,"Cash Payments",'Raw Data'!$I:$I,"",'Raw Data'!$M:$M,"JOD")</f>
        <v>224100000</v>
      </c>
      <c r="M36" s="11">
        <f>SUMIFS('Raw Data'!$L:$L,'Raw Data'!$B:$B,$B$2,'Raw Data'!$J:$J,M$2,'Raw Data'!$K:$K,"native",'Raw Data'!$H:$H,"Cash Payments",'Raw Data'!$I:$I,"",'Raw Data'!$M:$M,"JOD")</f>
        <v>294600000</v>
      </c>
      <c r="N36" s="11">
        <f>SUMIFS('Raw Data'!$L:$L,'Raw Data'!$B:$B,$B$2,'Raw Data'!$J:$J,N$2,'Raw Data'!$K:$K,"native",'Raw Data'!$H:$H,"Cash Payments",'Raw Data'!$I:$I,"",'Raw Data'!$M:$M,"JOD")</f>
        <v>268600000</v>
      </c>
      <c r="O36" s="11">
        <f>SUMIFS('Raw Data'!$L:$L,'Raw Data'!$B:$B,$B$2,'Raw Data'!$J:$J,O$2,'Raw Data'!$K:$K,"native",'Raw Data'!$H:$H,"Cash Payments",'Raw Data'!$I:$I,"",'Raw Data'!$M:$M,"JOD")</f>
        <v>311400000</v>
      </c>
      <c r="P36" s="11">
        <f>SUMIFS('Raw Data'!$L:$L,'Raw Data'!$B:$B,$B$2,'Raw Data'!$J:$J,P$2,'Raw Data'!$K:$K,"native",'Raw Data'!$H:$H,"Cash Payments",'Raw Data'!$I:$I,"",'Raw Data'!$M:$M,"JOD")</f>
        <v>352000000</v>
      </c>
      <c r="Q36" s="11">
        <f>SUMIFS('Raw Data'!$L:$L,'Raw Data'!$B:$B,$B$2,'Raw Data'!$J:$J,Q$2,'Raw Data'!$K:$K,"native",'Raw Data'!$H:$H,"Cash Payments",'Raw Data'!$I:$I,"",'Raw Data'!$M:$M,"JOD")</f>
        <v>338500000</v>
      </c>
      <c r="R36" s="11">
        <f>SUMIFS('Raw Data'!$L:$L,'Raw Data'!$B:$B,$B$2,'Raw Data'!$J:$J,R$2,'Raw Data'!$K:$K,"native",'Raw Data'!$H:$H,"Cash Payments",'Raw Data'!$I:$I,"",'Raw Data'!$M:$M,"JOD")</f>
        <v>425600000</v>
      </c>
      <c r="S36" s="11">
        <f>SUMIFS('Raw Data'!$L:$L,'Raw Data'!$B:$B,$B$2,'Raw Data'!$J:$J,S$2,'Raw Data'!$K:$K,"native",'Raw Data'!$H:$H,"Cash Payments",'Raw Data'!$I:$I,"",'Raw Data'!$M:$M,"JOD")</f>
        <v>240000000</v>
      </c>
      <c r="T36" s="11">
        <f>SUMIFS('Raw Data'!$L:$L,'Raw Data'!$B:$B,$B$2,'Raw Data'!$J:$J,T$2,'Raw Data'!$K:$K,"native",'Raw Data'!$H:$H,"Cash Payments",'Raw Data'!$I:$I,"",'Raw Data'!$M:$M,"JOD")</f>
        <v>170800000</v>
      </c>
      <c r="U36" s="11">
        <f>SUMIFS('Raw Data'!$L:$L,'Raw Data'!$B:$B,$B$2,'Raw Data'!$J:$J,U$2,'Raw Data'!$K:$K,"native",'Raw Data'!$H:$H,"Cash Payments",'Raw Data'!$I:$I,"",'Raw Data'!$M:$M,"JOD")</f>
        <v>157100000</v>
      </c>
      <c r="V36" s="11">
        <f>SUMIFS('Raw Data'!$L:$L,'Raw Data'!$B:$B,$B$2,'Raw Data'!$J:$J,V$2,'Raw Data'!$K:$K,"native",'Raw Data'!$H:$H,"Cash Payments",'Raw Data'!$I:$I,"",'Raw Data'!$M:$M,"JOD")</f>
        <v>173700000</v>
      </c>
      <c r="W36" s="11">
        <f>SUMIFS('Raw Data'!$L:$L,'Raw Data'!$B:$B,$B$2,'Raw Data'!$J:$J,W$2,'Raw Data'!$K:$K,"native",'Raw Data'!$H:$H,"Cash Payments",'Raw Data'!$I:$I,"",'Raw Data'!$M:$M,"JOD")</f>
        <v>133870000</v>
      </c>
      <c r="X36" s="11">
        <f>SUMIFS('Raw Data'!$L:$L,'Raw Data'!$B:$B,$B$2,'Raw Data'!$J:$J,X$2,'Raw Data'!$K:$K,"native",'Raw Data'!$H:$H,"Cash Payments",'Raw Data'!$I:$I,"",'Raw Data'!$M:$M,"JOD")</f>
        <v>151900000</v>
      </c>
      <c r="Y36" s="11">
        <f>SUMIFS('Raw Data'!$L:$L,'Raw Data'!$B:$B,$B$2,'Raw Data'!$J:$J,Y$2,'Raw Data'!$K:$K,"native",'Raw Data'!$H:$H,"Cash Payments",'Raw Data'!$I:$I,"",'Raw Data'!$M:$M,"JOD")</f>
        <v>165050000</v>
      </c>
      <c r="Z36" s="11">
        <f>SUMIFS('Raw Data'!$L:$L,'Raw Data'!$B:$B,$B$2,'Raw Data'!$J:$J,Z$2,'Raw Data'!$K:$K,"native",'Raw Data'!$H:$H,"Cash Payments",'Raw Data'!$I:$I,"",'Raw Data'!$M:$M,"JOD")</f>
        <v>173000000</v>
      </c>
    </row>
    <row r="37" spans="1:26" x14ac:dyDescent="0.25">
      <c r="A37" s="10" t="s">
        <v>82</v>
      </c>
      <c r="B37" s="10" t="s">
        <v>138</v>
      </c>
      <c r="C37" s="11">
        <f>SUMIFS('Raw Data'!$L:$L,'Raw Data'!$B:$B,$B$2,'Raw Data'!$J:$J,C$2,'Raw Data'!$K:$K,"native",'Raw Data'!$H:$H,"Digital Payments",'Raw Data'!$I:$I,"",'Raw Data'!$M:$M,"JOD")</f>
        <v>976300000</v>
      </c>
      <c r="D37" s="11">
        <f>SUMIFS('Raw Data'!$L:$L,'Raw Data'!$B:$B,$B$2,'Raw Data'!$J:$J,D$2,'Raw Data'!$K:$K,"native",'Raw Data'!$H:$H,"Digital Payments",'Raw Data'!$I:$I,"",'Raw Data'!$M:$M,"JOD")</f>
        <v>878500000</v>
      </c>
      <c r="E37" s="11">
        <f>SUMIFS('Raw Data'!$L:$L,'Raw Data'!$B:$B,$B$2,'Raw Data'!$J:$J,E$2,'Raw Data'!$K:$K,"native",'Raw Data'!$H:$H,"Digital Payments",'Raw Data'!$I:$I,"",'Raw Data'!$M:$M,"JOD")</f>
        <v>787400000</v>
      </c>
      <c r="F37" s="11">
        <f>SUMIFS('Raw Data'!$L:$L,'Raw Data'!$B:$B,$B$2,'Raw Data'!$J:$J,F$2,'Raw Data'!$K:$K,"native",'Raw Data'!$H:$H,"Digital Payments",'Raw Data'!$I:$I,"",'Raw Data'!$M:$M,"JOD")</f>
        <v>1100000000</v>
      </c>
      <c r="G37" s="11">
        <f>SUMIFS('Raw Data'!$L:$L,'Raw Data'!$B:$B,$B$2,'Raw Data'!$J:$J,G$2,'Raw Data'!$K:$K,"native",'Raw Data'!$H:$H,"Digital Payments",'Raw Data'!$I:$I,"",'Raw Data'!$M:$M,"JOD")</f>
        <v>1100000000</v>
      </c>
      <c r="H37" s="11">
        <f>SUMIFS('Raw Data'!$L:$L,'Raw Data'!$B:$B,$B$2,'Raw Data'!$J:$J,H$2,'Raw Data'!$K:$K,"native",'Raw Data'!$H:$H,"Digital Payments",'Raw Data'!$I:$I,"",'Raw Data'!$M:$M,"JOD")</f>
        <v>910400000</v>
      </c>
      <c r="I37" s="11">
        <f>SUMIFS('Raw Data'!$L:$L,'Raw Data'!$B:$B,$B$2,'Raw Data'!$J:$J,I$2,'Raw Data'!$K:$K,"native",'Raw Data'!$H:$H,"Digital Payments",'Raw Data'!$I:$I,"",'Raw Data'!$M:$M,"JOD")</f>
        <v>898200000</v>
      </c>
      <c r="J37" s="11">
        <f>SUMIFS('Raw Data'!$L:$L,'Raw Data'!$B:$B,$B$2,'Raw Data'!$J:$J,J$2,'Raw Data'!$K:$K,"native",'Raw Data'!$H:$H,"Digital Payments",'Raw Data'!$I:$I,"",'Raw Data'!$M:$M,"JOD")</f>
        <v>1280000000</v>
      </c>
      <c r="K37" s="11">
        <f>SUMIFS('Raw Data'!$L:$L,'Raw Data'!$B:$B,$B$2,'Raw Data'!$J:$J,K$2,'Raw Data'!$K:$K,"native",'Raw Data'!$H:$H,"Digital Payments",'Raw Data'!$I:$I,"",'Raw Data'!$M:$M,"JOD")</f>
        <v>891200000</v>
      </c>
      <c r="L37" s="11">
        <f>SUMIFS('Raw Data'!$L:$L,'Raw Data'!$B:$B,$B$2,'Raw Data'!$J:$J,L$2,'Raw Data'!$K:$K,"native",'Raw Data'!$H:$H,"Digital Payments",'Raw Data'!$I:$I,"",'Raw Data'!$M:$M,"JOD")</f>
        <v>905500000</v>
      </c>
      <c r="M37" s="11">
        <f>SUMIFS('Raw Data'!$L:$L,'Raw Data'!$B:$B,$B$2,'Raw Data'!$J:$J,M$2,'Raw Data'!$K:$K,"native",'Raw Data'!$H:$H,"Digital Payments",'Raw Data'!$I:$I,"",'Raw Data'!$M:$M,"JOD")</f>
        <v>1100000000</v>
      </c>
      <c r="N37" s="11">
        <f>SUMIFS('Raw Data'!$L:$L,'Raw Data'!$B:$B,$B$2,'Raw Data'!$J:$J,N$2,'Raw Data'!$K:$K,"native",'Raw Data'!$H:$H,"Digital Payments",'Raw Data'!$I:$I,"",'Raw Data'!$M:$M,"JOD")</f>
        <v>1010000000</v>
      </c>
      <c r="O37" s="11">
        <f>SUMIFS('Raw Data'!$L:$L,'Raw Data'!$B:$B,$B$2,'Raw Data'!$J:$J,O$2,'Raw Data'!$K:$K,"native",'Raw Data'!$H:$H,"Digital Payments",'Raw Data'!$I:$I,"",'Raw Data'!$M:$M,"JOD")</f>
        <v>1090000000</v>
      </c>
      <c r="P37" s="11">
        <f>SUMIFS('Raw Data'!$L:$L,'Raw Data'!$B:$B,$B$2,'Raw Data'!$J:$J,P$2,'Raw Data'!$K:$K,"native",'Raw Data'!$H:$H,"Digital Payments",'Raw Data'!$I:$I,"",'Raw Data'!$M:$M,"JOD")</f>
        <v>1060000000</v>
      </c>
      <c r="Q37" s="11">
        <f>SUMIFS('Raw Data'!$L:$L,'Raw Data'!$B:$B,$B$2,'Raw Data'!$J:$J,Q$2,'Raw Data'!$K:$K,"native",'Raw Data'!$H:$H,"Digital Payments",'Raw Data'!$I:$I,"",'Raw Data'!$M:$M,"JOD")</f>
        <v>1070000000</v>
      </c>
      <c r="R37" s="11">
        <f>SUMIFS('Raw Data'!$L:$L,'Raw Data'!$B:$B,$B$2,'Raw Data'!$J:$J,R$2,'Raw Data'!$K:$K,"native",'Raw Data'!$H:$H,"Digital Payments",'Raw Data'!$I:$I,"",'Raw Data'!$M:$M,"JOD")</f>
        <v>1170000000</v>
      </c>
      <c r="S37" s="11">
        <f>SUMIFS('Raw Data'!$L:$L,'Raw Data'!$B:$B,$B$2,'Raw Data'!$J:$J,S$2,'Raw Data'!$K:$K,"native",'Raw Data'!$H:$H,"Digital Payments",'Raw Data'!$I:$I,"",'Raw Data'!$M:$M,"JOD")</f>
        <v>1150000000</v>
      </c>
      <c r="T37" s="11">
        <f>SUMIFS('Raw Data'!$L:$L,'Raw Data'!$B:$B,$B$2,'Raw Data'!$J:$J,T$2,'Raw Data'!$K:$K,"native",'Raw Data'!$H:$H,"Digital Payments",'Raw Data'!$I:$I,"",'Raw Data'!$M:$M,"JOD")</f>
        <v>1070000000</v>
      </c>
      <c r="U37" s="11">
        <f>SUMIFS('Raw Data'!$L:$L,'Raw Data'!$B:$B,$B$2,'Raw Data'!$J:$J,U$2,'Raw Data'!$K:$K,"native",'Raw Data'!$H:$H,"Digital Payments",'Raw Data'!$I:$I,"",'Raw Data'!$M:$M,"JOD")</f>
        <v>1100000000</v>
      </c>
      <c r="V37" s="11">
        <f>SUMIFS('Raw Data'!$L:$L,'Raw Data'!$B:$B,$B$2,'Raw Data'!$J:$J,V$2,'Raw Data'!$K:$K,"native",'Raw Data'!$H:$H,"Digital Payments",'Raw Data'!$I:$I,"",'Raw Data'!$M:$M,"JOD")</f>
        <v>1260000000</v>
      </c>
      <c r="W37" s="11">
        <f>SUMIFS('Raw Data'!$L:$L,'Raw Data'!$B:$B,$B$2,'Raw Data'!$J:$J,W$2,'Raw Data'!$K:$K,"native",'Raw Data'!$H:$H,"Digital Payments",'Raw Data'!$I:$I,"",'Raw Data'!$M:$M,"JOD")</f>
        <v>1060000000</v>
      </c>
      <c r="X37" s="11">
        <f>SUMIFS('Raw Data'!$L:$L,'Raw Data'!$B:$B,$B$2,'Raw Data'!$J:$J,X$2,'Raw Data'!$K:$K,"native",'Raw Data'!$H:$H,"Digital Payments",'Raw Data'!$I:$I,"",'Raw Data'!$M:$M,"JOD")</f>
        <v>1100000000</v>
      </c>
      <c r="Y37" s="11">
        <f>SUMIFS('Raw Data'!$L:$L,'Raw Data'!$B:$B,$B$2,'Raw Data'!$J:$J,Y$2,'Raw Data'!$K:$K,"native",'Raw Data'!$H:$H,"Digital Payments",'Raw Data'!$I:$I,"",'Raw Data'!$M:$M,"JOD")</f>
        <v>1250000000</v>
      </c>
      <c r="Z37" s="11">
        <f>SUMIFS('Raw Data'!$L:$L,'Raw Data'!$B:$B,$B$2,'Raw Data'!$J:$J,Z$2,'Raw Data'!$K:$K,"native",'Raw Data'!$H:$H,"Digital Payments",'Raw Data'!$I:$I,"",'Raw Data'!$M:$M,"JOD")</f>
        <v>1180000000</v>
      </c>
    </row>
  </sheetData>
  <mergeCells count="6">
    <mergeCell ref="A35:Z35"/>
    <mergeCell ref="A1:Z1"/>
    <mergeCell ref="A4:Z4"/>
    <mergeCell ref="A7:Z7"/>
    <mergeCell ref="A19:Z19"/>
    <mergeCell ref="A22:Z2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45309"/>
  </sheetPr>
  <dimension ref="A1:Z15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2" sqref="A2:XFD2"/>
    </sheetView>
  </sheetViews>
  <sheetFormatPr defaultColWidth="8.7109375" defaultRowHeight="15" x14ac:dyDescent="0.25"/>
  <cols>
    <col min="1" max="1" width="22" customWidth="1"/>
    <col min="2" max="2" width="40" customWidth="1"/>
    <col min="3" max="26" width="13" customWidth="1"/>
  </cols>
  <sheetData>
    <row r="1" spans="1:26" ht="25.5" customHeight="1" x14ac:dyDescent="0.25">
      <c r="A1" s="52" t="s">
        <v>4331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spans="1:26" hidden="1" x14ac:dyDescent="0.25">
      <c r="A2" s="6" t="s">
        <v>34</v>
      </c>
      <c r="B2" s="7" t="s">
        <v>142</v>
      </c>
      <c r="C2" s="8" t="str">
        <f>RIGHT(C$3,4)&amp;"-"&amp;TEXT(MATCH(LEFT(C$3,3),{"Jan","Feb","Mar","Apr","May","Jun","Jul","Aug","Sep","Oct","Nov","Dec"},0),"00")</f>
        <v>2024-09</v>
      </c>
      <c r="D2" s="8" t="str">
        <f>RIGHT(D$3,4)&amp;"-"&amp;TEXT(MATCH(LEFT(D$3,3),{"Jan","Feb","Mar","Apr","May","Jun","Jul","Aug","Sep","Oct","Nov","Dec"},0),"00")</f>
        <v>2024-10</v>
      </c>
      <c r="E2" s="8" t="str">
        <f>RIGHT(E$3,4)&amp;"-"&amp;TEXT(MATCH(LEFT(E$3,3),{"Jan","Feb","Mar","Apr","May","Jun","Jul","Aug","Sep","Oct","Nov","Dec"},0),"00")</f>
        <v>2024-11</v>
      </c>
      <c r="F2" s="8" t="str">
        <f>RIGHT(F$3,4)&amp;"-"&amp;TEXT(MATCH(LEFT(F$3,3),{"Jan","Feb","Mar","Apr","May","Jun","Jul","Aug","Sep","Oct","Nov","Dec"},0),"00")</f>
        <v>2024-12</v>
      </c>
      <c r="G2" s="8" t="str">
        <f>RIGHT(G$3,4)&amp;"-"&amp;TEXT(MATCH(LEFT(G$3,3),{"Jan","Feb","Mar","Apr","May","Jun","Jul","Aug","Sep","Oct","Nov","Dec"},0),"00")</f>
        <v>2025-01</v>
      </c>
      <c r="H2" s="8" t="str">
        <f>RIGHT(H$3,4)&amp;"-"&amp;TEXT(MATCH(LEFT(H$3,3),{"Jan","Feb","Mar","Apr","May","Jun","Jul","Aug","Sep","Oct","Nov","Dec"},0),"00")</f>
        <v>2025-02</v>
      </c>
      <c r="I2" s="8" t="str">
        <f>RIGHT(I$3,4)&amp;"-"&amp;TEXT(MATCH(LEFT(I$3,3),{"Jan","Feb","Mar","Apr","May","Jun","Jul","Aug","Sep","Oct","Nov","Dec"},0),"00")</f>
        <v>2025-03</v>
      </c>
      <c r="J2" s="8" t="str">
        <f>RIGHT(J$3,4)&amp;"-"&amp;TEXT(MATCH(LEFT(J$3,3),{"Jan","Feb","Mar","Apr","May","Jun","Jul","Aug","Sep","Oct","Nov","Dec"},0),"00")</f>
        <v>2025-04</v>
      </c>
      <c r="K2" s="8" t="str">
        <f>RIGHT(K$3,4)&amp;"-"&amp;TEXT(MATCH(LEFT(K$3,3),{"Jan","Feb","Mar","Apr","May","Jun","Jul","Aug","Sep","Oct","Nov","Dec"},0),"00")</f>
        <v>2025-05</v>
      </c>
      <c r="L2" s="8" t="str">
        <f>RIGHT(L$3,4)&amp;"-"&amp;TEXT(MATCH(LEFT(L$3,3),{"Jan","Feb","Mar","Apr","May","Jun","Jul","Aug","Sep","Oct","Nov","Dec"},0),"00")</f>
        <v>2025-06</v>
      </c>
      <c r="M2" s="8" t="str">
        <f>RIGHT(M$3,4)&amp;"-"&amp;TEXT(MATCH(LEFT(M$3,3),{"Jan","Feb","Mar","Apr","May","Jun","Jul","Aug","Sep","Oct","Nov","Dec"},0),"00")</f>
        <v>2025-07</v>
      </c>
      <c r="N2" s="8" t="str">
        <f>RIGHT(N$3,4)&amp;"-"&amp;TEXT(MATCH(LEFT(N$3,3),{"Jan","Feb","Mar","Apr","May","Jun","Jul","Aug","Sep","Oct","Nov","Dec"},0),"00")</f>
        <v>2025-08</v>
      </c>
      <c r="O2" s="8" t="str">
        <f>RIGHT(O$3,4)&amp;"-"&amp;TEXT(MATCH(LEFT(O$3,3),{"Jan","Feb","Mar","Apr","May","Jun","Jul","Aug","Sep","Oct","Nov","Dec"},0),"00")</f>
        <v>2025-09</v>
      </c>
      <c r="P2" s="8" t="str">
        <f>RIGHT(P$3,4)&amp;"-"&amp;TEXT(MATCH(LEFT(P$3,3),{"Jan","Feb","Mar","Apr","May","Jun","Jul","Aug","Sep","Oct","Nov","Dec"},0),"00")</f>
        <v>2025-10</v>
      </c>
      <c r="Q2" s="8" t="str">
        <f>RIGHT(Q$3,4)&amp;"-"&amp;TEXT(MATCH(LEFT(Q$3,3),{"Jan","Feb","Mar","Apr","May","Jun","Jul","Aug","Sep","Oct","Nov","Dec"},0),"00")</f>
        <v>2025-11</v>
      </c>
      <c r="R2" s="8" t="str">
        <f>RIGHT(R$3,4)&amp;"-"&amp;TEXT(MATCH(LEFT(R$3,3),{"Jan","Feb","Mar","Apr","May","Jun","Jul","Aug","Sep","Oct","Nov","Dec"},0),"00")</f>
        <v>2025-12</v>
      </c>
      <c r="S2" s="8" t="str">
        <f>RIGHT(S$3,4)&amp;"-"&amp;TEXT(MATCH(LEFT(S$3,3),{"Jan","Feb","Mar","Apr","May","Jun","Jul","Aug","Sep","Oct","Nov","Dec"},0),"00")</f>
        <v>2026-01</v>
      </c>
      <c r="T2" s="8" t="str">
        <f>RIGHT(T$3,4)&amp;"-"&amp;TEXT(MATCH(LEFT(T$3,3),{"Jan","Feb","Mar","Apr","May","Jun","Jul","Aug","Sep","Oct","Nov","Dec"},0),"00")</f>
        <v>2026-02</v>
      </c>
      <c r="U2" s="8" t="str">
        <f>RIGHT(U$3,4)&amp;"-"&amp;TEXT(MATCH(LEFT(U$3,3),{"Jan","Feb","Mar","Apr","May","Jun","Jul","Aug","Sep","Oct","Nov","Dec"},0),"00")</f>
        <v>2026-03</v>
      </c>
      <c r="V2" s="8" t="str">
        <f>RIGHT(V$3,4)&amp;"-"&amp;TEXT(MATCH(LEFT(V$3,3),{"Jan","Feb","Mar","Apr","May","Jun","Jul","Aug","Sep","Oct","Nov","Dec"},0),"00")</f>
        <v>2026-04</v>
      </c>
      <c r="W2" s="8" t="str">
        <f>RIGHT(W$3,4)&amp;"-"&amp;TEXT(MATCH(LEFT(W$3,3),{"Jan","Feb","Mar","Apr","May","Jun","Jul","Aug","Sep","Oct","Nov","Dec"},0),"00")</f>
        <v>2026-05</v>
      </c>
      <c r="X2" s="8" t="str">
        <f>RIGHT(X$3,4)&amp;"-"&amp;TEXT(MATCH(LEFT(X$3,3),{"Jan","Feb","Mar","Apr","May","Jun","Jul","Aug","Sep","Oct","Nov","Dec"},0),"00")</f>
        <v>2026-06</v>
      </c>
      <c r="Y2" s="8" t="str">
        <f>RIGHT(Y$3,4)&amp;"-"&amp;TEXT(MATCH(LEFT(Y$3,3),{"Jan","Feb","Mar","Apr","May","Jun","Jul","Aug","Sep","Oct","Nov","Dec"},0),"00")</f>
        <v>2026-07</v>
      </c>
      <c r="Z2" s="8" t="str">
        <f>RIGHT(Z$3,4)&amp;"-"&amp;TEXT(MATCH(LEFT(Z$3,3),{"Jan","Feb","Mar","Apr","May","Jun","Jul","Aug","Sep","Oct","Nov","Dec"},0),"00")</f>
        <v>2026-08</v>
      </c>
    </row>
    <row r="3" spans="1:26" ht="19.5" customHeight="1" x14ac:dyDescent="0.25">
      <c r="A3" s="9" t="s">
        <v>36</v>
      </c>
      <c r="B3" s="9" t="s">
        <v>37</v>
      </c>
      <c r="C3" s="9" t="s">
        <v>38</v>
      </c>
      <c r="D3" s="9" t="s">
        <v>39</v>
      </c>
      <c r="E3" s="9" t="s">
        <v>40</v>
      </c>
      <c r="F3" s="9" t="s">
        <v>41</v>
      </c>
      <c r="G3" s="9" t="s">
        <v>42</v>
      </c>
      <c r="H3" s="9" t="s">
        <v>43</v>
      </c>
      <c r="I3" s="9" t="s">
        <v>44</v>
      </c>
      <c r="J3" s="9" t="s">
        <v>45</v>
      </c>
      <c r="K3" s="9" t="s">
        <v>46</v>
      </c>
      <c r="L3" s="9" t="s">
        <v>47</v>
      </c>
      <c r="M3" s="9" t="s">
        <v>48</v>
      </c>
      <c r="N3" s="9" t="s">
        <v>49</v>
      </c>
      <c r="O3" s="9" t="s">
        <v>50</v>
      </c>
      <c r="P3" s="9" t="s">
        <v>51</v>
      </c>
      <c r="Q3" s="9" t="s">
        <v>52</v>
      </c>
      <c r="R3" s="9" t="s">
        <v>53</v>
      </c>
      <c r="S3" s="9" t="s">
        <v>54</v>
      </c>
      <c r="T3" s="9" t="s">
        <v>55</v>
      </c>
      <c r="U3" s="9" t="s">
        <v>56</v>
      </c>
      <c r="V3" s="9" t="s">
        <v>57</v>
      </c>
      <c r="W3" s="9" t="s">
        <v>58</v>
      </c>
      <c r="X3" s="9" t="s">
        <v>59</v>
      </c>
      <c r="Y3" s="9" t="s">
        <v>60</v>
      </c>
      <c r="Z3" s="9" t="s">
        <v>61</v>
      </c>
    </row>
    <row r="4" spans="1:26" x14ac:dyDescent="0.25">
      <c r="A4" s="53" t="s">
        <v>143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x14ac:dyDescent="0.25">
      <c r="A5" s="10" t="s">
        <v>82</v>
      </c>
      <c r="B5" s="10" t="s">
        <v>144</v>
      </c>
      <c r="C5" s="11">
        <f>SUMIFS('Raw Data'!$L:$L,'Raw Data'!$B:$B,$B$2,'Raw Data'!$J:$J,C$2,'Raw Data'!$K:$K,"trailing_chart_point",'Raw Data'!$A:$A,DATE(LEFT(C$2,4),RIGHT(C$2,2),1),'Raw Data'!$H:$H,"",'Raw Data'!$I:$I,"",'Raw Data'!$M:$M,"count")</f>
        <v>878000</v>
      </c>
      <c r="D5" s="11">
        <f>SUMIFS('Raw Data'!$L:$L,'Raw Data'!$B:$B,$B$2,'Raw Data'!$J:$J,D$2,'Raw Data'!$K:$K,"trailing_chart_point",'Raw Data'!$A:$A,DATE(LEFT(D$2,4),RIGHT(D$2,2),1),'Raw Data'!$H:$H,"",'Raw Data'!$I:$I,"",'Raw Data'!$M:$M,"count")</f>
        <v>1060000</v>
      </c>
      <c r="E5" s="11">
        <f>SUMIFS('Raw Data'!$L:$L,'Raw Data'!$B:$B,$B$2,'Raw Data'!$J:$J,E$2,'Raw Data'!$K:$K,"trailing_chart_point",'Raw Data'!$A:$A,DATE(LEFT(E$2,4),RIGHT(E$2,2),1),'Raw Data'!$H:$H,"",'Raw Data'!$I:$I,"",'Raw Data'!$M:$M,"count")</f>
        <v>890000</v>
      </c>
      <c r="F5" s="11">
        <f>SUMIFS('Raw Data'!$L:$L,'Raw Data'!$B:$B,$B$2,'Raw Data'!$J:$J,F$2,'Raw Data'!$K:$K,"trailing_chart_point",'Raw Data'!$A:$A,DATE(LEFT(F$2,4),RIGHT(F$2,2),1),'Raw Data'!$H:$H,"",'Raw Data'!$I:$I,"",'Raw Data'!$M:$M,"count")</f>
        <v>1020000</v>
      </c>
      <c r="G5" s="11">
        <f>SUMIFS('Raw Data'!$L:$L,'Raw Data'!$B:$B,$B$2,'Raw Data'!$J:$J,G$2,'Raw Data'!$K:$K,"trailing_chart_point",'Raw Data'!$A:$A,DATE(LEFT(G$2,4),RIGHT(G$2,2),1),'Raw Data'!$H:$H,"",'Raw Data'!$I:$I,"",'Raw Data'!$M:$M,"count")</f>
        <v>940000</v>
      </c>
      <c r="H5" s="11">
        <f>SUMIFS('Raw Data'!$L:$L,'Raw Data'!$B:$B,$B$2,'Raw Data'!$J:$J,H$2,'Raw Data'!$K:$K,"trailing_chart_point",'Raw Data'!$A:$A,DATE(LEFT(H$2,4),RIGHT(H$2,2),1),'Raw Data'!$H:$H,"",'Raw Data'!$I:$I,"",'Raw Data'!$M:$M,"count")</f>
        <v>980000</v>
      </c>
      <c r="I5" s="11">
        <f>SUMIFS('Raw Data'!$L:$L,'Raw Data'!$B:$B,$B$2,'Raw Data'!$J:$J,I$2,'Raw Data'!$K:$K,"trailing_chart_point",'Raw Data'!$A:$A,DATE(LEFT(I$2,4),RIGHT(I$2,2),1),'Raw Data'!$H:$H,"",'Raw Data'!$I:$I,"",'Raw Data'!$M:$M,"count")</f>
        <v>980000</v>
      </c>
      <c r="J5" s="11">
        <f>SUMIFS('Raw Data'!$L:$L,'Raw Data'!$B:$B,$B$2,'Raw Data'!$J:$J,J$2,'Raw Data'!$K:$K,"trailing_chart_point",'Raw Data'!$A:$A,DATE(LEFT(J$2,4),RIGHT(J$2,2),1),'Raw Data'!$H:$H,"",'Raw Data'!$I:$I,"",'Raw Data'!$M:$M,"count")</f>
        <v>930000</v>
      </c>
      <c r="K5" s="11">
        <f>SUMIFS('Raw Data'!$L:$L,'Raw Data'!$B:$B,$B$2,'Raw Data'!$J:$J,K$2,'Raw Data'!$K:$K,"trailing_chart_point",'Raw Data'!$A:$A,DATE(LEFT(K$2,4),RIGHT(K$2,2),1),'Raw Data'!$H:$H,"",'Raw Data'!$I:$I,"",'Raw Data'!$M:$M,"count")</f>
        <v>970000</v>
      </c>
      <c r="L5" s="11">
        <f>SUMIFS('Raw Data'!$L:$L,'Raw Data'!$B:$B,$B$2,'Raw Data'!$J:$J,L$2,'Raw Data'!$K:$K,"trailing_chart_point",'Raw Data'!$A:$A,DATE(LEFT(L$2,4),RIGHT(L$2,2),1),'Raw Data'!$H:$H,"",'Raw Data'!$I:$I,"",'Raw Data'!$M:$M,"count")</f>
        <v>966000</v>
      </c>
      <c r="M5" s="11">
        <f>SUMIFS('Raw Data'!$L:$L,'Raw Data'!$B:$B,$B$2,'Raw Data'!$J:$J,M$2,'Raw Data'!$K:$K,"trailing_chart_point",'Raw Data'!$A:$A,DATE(LEFT(M$2,4),RIGHT(M$2,2),1),'Raw Data'!$H:$H,"",'Raw Data'!$I:$I,"",'Raw Data'!$M:$M,"count")</f>
        <v>1048000</v>
      </c>
      <c r="N5" s="11">
        <f>SUMIFS('Raw Data'!$L:$L,'Raw Data'!$B:$B,$B$2,'Raw Data'!$J:$J,N$2,'Raw Data'!$K:$K,"trailing_chart_point",'Raw Data'!$A:$A,DATE(LEFT(N$2,4),RIGHT(N$2,2),1),'Raw Data'!$H:$H,"",'Raw Data'!$I:$I,"",'Raw Data'!$M:$M,"count")</f>
        <v>1010000</v>
      </c>
      <c r="O5" s="11">
        <f>SUMIFS('Raw Data'!$L:$L,'Raw Data'!$B:$B,$B$2,'Raw Data'!$J:$J,O$2,'Raw Data'!$K:$K,"trailing_chart_point",'Raw Data'!$A:$A,DATE(LEFT(O$2,4),RIGHT(O$2,2),1),'Raw Data'!$H:$H,"",'Raw Data'!$I:$I,"",'Raw Data'!$M:$M,"count")</f>
        <v>1010000</v>
      </c>
      <c r="P5" s="11">
        <f>SUMIFS('Raw Data'!$L:$L,'Raw Data'!$B:$B,$B$2,'Raw Data'!$J:$J,P$2,'Raw Data'!$K:$K,"trailing_chart_point",'Raw Data'!$A:$A,DATE(LEFT(P$2,4),RIGHT(P$2,2),1),'Raw Data'!$H:$H,"",'Raw Data'!$I:$I,"",'Raw Data'!$M:$M,"count")</f>
        <v>1040000</v>
      </c>
      <c r="Q5" s="11">
        <f>SUMIFS('Raw Data'!$L:$L,'Raw Data'!$B:$B,$B$2,'Raw Data'!$J:$J,Q$2,'Raw Data'!$K:$K,"trailing_chart_point",'Raw Data'!$A:$A,DATE(LEFT(Q$2,4),RIGHT(Q$2,2),1),'Raw Data'!$H:$H,"",'Raw Data'!$I:$I,"",'Raw Data'!$M:$M,"count")</f>
        <v>1020000</v>
      </c>
      <c r="R5" s="11">
        <f>SUMIFS('Raw Data'!$L:$L,'Raw Data'!$B:$B,$B$2,'Raw Data'!$J:$J,R$2,'Raw Data'!$K:$K,"trailing_chart_point",'Raw Data'!$A:$A,DATE(LEFT(R$2,4),RIGHT(R$2,2),1),'Raw Data'!$H:$H,"",'Raw Data'!$I:$I,"",'Raw Data'!$M:$M,"count")</f>
        <v>1190000</v>
      </c>
      <c r="S5" s="11">
        <f>SUMIFS('Raw Data'!$L:$L,'Raw Data'!$B:$B,$B$2,'Raw Data'!$J:$J,S$2,'Raw Data'!$K:$K,"trailing_chart_point",'Raw Data'!$A:$A,DATE(LEFT(S$2,4),RIGHT(S$2,2),1),'Raw Data'!$H:$H,"",'Raw Data'!$I:$I,"",'Raw Data'!$M:$M,"count")</f>
        <v>1030000</v>
      </c>
      <c r="T5" s="11">
        <f>SUMIFS('Raw Data'!$L:$L,'Raw Data'!$B:$B,$B$2,'Raw Data'!$J:$J,T$2,'Raw Data'!$K:$K,"trailing_chart_point",'Raw Data'!$A:$A,DATE(LEFT(T$2,4),RIGHT(T$2,2),1),'Raw Data'!$H:$H,"",'Raw Data'!$I:$I,"",'Raw Data'!$M:$M,"count")</f>
        <v>1080000</v>
      </c>
      <c r="U5" s="11">
        <f>SUMIFS('Raw Data'!$L:$L,'Raw Data'!$B:$B,$B$2,'Raw Data'!$J:$J,U$2,'Raw Data'!$K:$K,"trailing_chart_point",'Raw Data'!$A:$A,DATE(LEFT(U$2,4),RIGHT(U$2,2),1),'Raw Data'!$H:$H,"",'Raw Data'!$I:$I,"",'Raw Data'!$M:$M,"count")</f>
        <v>1120000</v>
      </c>
      <c r="V5" s="11">
        <f>SUMIFS('Raw Data'!$L:$L,'Raw Data'!$B:$B,$B$2,'Raw Data'!$J:$J,V$2,'Raw Data'!$K:$K,"trailing_chart_point",'Raw Data'!$A:$A,DATE(LEFT(V$2,4),RIGHT(V$2,2),1),'Raw Data'!$H:$H,"",'Raw Data'!$I:$I,"",'Raw Data'!$M:$M,"count")</f>
        <v>1070000</v>
      </c>
      <c r="W5" s="11">
        <f>SUMIFS('Raw Data'!$L:$L,'Raw Data'!$B:$B,$B$2,'Raw Data'!$J:$J,W$2,'Raw Data'!$K:$K,"trailing_chart_point",'Raw Data'!$A:$A,DATE(LEFT(W$2,4),RIGHT(W$2,2),1),'Raw Data'!$H:$H,"",'Raw Data'!$I:$I,"",'Raw Data'!$M:$M,"count")</f>
        <v>1150000</v>
      </c>
      <c r="X5" s="11">
        <f>SUMIFS('Raw Data'!$L:$L,'Raw Data'!$B:$B,$B$2,'Raw Data'!$J:$J,X$2,'Raw Data'!$K:$K,"trailing_chart_point",'Raw Data'!$A:$A,DATE(LEFT(X$2,4),RIGHT(X$2,2),1),'Raw Data'!$H:$H,"",'Raw Data'!$I:$I,"",'Raw Data'!$M:$M,"count")</f>
        <v>1070000</v>
      </c>
      <c r="Y5" s="11">
        <f>SUMIFS('Raw Data'!$L:$L,'Raw Data'!$B:$B,$B$2,'Raw Data'!$J:$J,Y$2,'Raw Data'!$K:$K,"trailing_chart_point",'Raw Data'!$A:$A,DATE(LEFT(Y$2,4),RIGHT(Y$2,2),1),'Raw Data'!$H:$H,"",'Raw Data'!$I:$I,"",'Raw Data'!$M:$M,"count")</f>
        <v>1080000</v>
      </c>
      <c r="Z5" s="11">
        <f>SUMIFS('Raw Data'!$L:$L,'Raw Data'!$B:$B,$B$2,'Raw Data'!$J:$J,Z$2,'Raw Data'!$K:$K,"trailing_chart_point",'Raw Data'!$A:$A,DATE(LEFT(Z$2,4),RIGHT(Z$2,2),1),'Raw Data'!$H:$H,"",'Raw Data'!$I:$I,"",'Raw Data'!$M:$M,"count")</f>
        <v>1040000</v>
      </c>
    </row>
    <row r="6" spans="1:26" x14ac:dyDescent="0.25">
      <c r="A6" s="53" t="s">
        <v>145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x14ac:dyDescent="0.25">
      <c r="A7" s="10" t="s">
        <v>82</v>
      </c>
      <c r="B7" s="10" t="s">
        <v>146</v>
      </c>
      <c r="C7" s="11">
        <f>SUMIFS('Raw Data'!$L:$L,'Raw Data'!$B:$B,$B$2,'Raw Data'!$J:$J,C$2,'Raw Data'!$K:$K,"trailing_chart_point",'Raw Data'!$A:$A,DATE(LEFT(C$2,4),RIGHT(C$2,2),1),'Raw Data'!$H:$H,"",'Raw Data'!$I:$I,"",'Raw Data'!$M:$M,"JOD")</f>
        <v>753000000</v>
      </c>
      <c r="D7" s="11">
        <f>SUMIFS('Raw Data'!$L:$L,'Raw Data'!$B:$B,$B$2,'Raw Data'!$J:$J,D$2,'Raw Data'!$K:$K,"trailing_chart_point",'Raw Data'!$A:$A,DATE(LEFT(D$2,4),RIGHT(D$2,2),1),'Raw Data'!$H:$H,"",'Raw Data'!$I:$I,"",'Raw Data'!$M:$M,"JOD")</f>
        <v>831000000</v>
      </c>
      <c r="E7" s="11">
        <f>SUMIFS('Raw Data'!$L:$L,'Raw Data'!$B:$B,$B$2,'Raw Data'!$J:$J,E$2,'Raw Data'!$K:$K,"trailing_chart_point",'Raw Data'!$A:$A,DATE(LEFT(E$2,4),RIGHT(E$2,2),1),'Raw Data'!$H:$H,"",'Raw Data'!$I:$I,"",'Raw Data'!$M:$M,"JOD")</f>
        <v>715000000</v>
      </c>
      <c r="F7" s="11">
        <f>SUMIFS('Raw Data'!$L:$L,'Raw Data'!$B:$B,$B$2,'Raw Data'!$J:$J,F$2,'Raw Data'!$K:$K,"trailing_chart_point",'Raw Data'!$A:$A,DATE(LEFT(F$2,4),RIGHT(F$2,2),1),'Raw Data'!$H:$H,"",'Raw Data'!$I:$I,"",'Raw Data'!$M:$M,"JOD")</f>
        <v>870000000</v>
      </c>
      <c r="G7" s="11">
        <f>SUMIFS('Raw Data'!$L:$L,'Raw Data'!$B:$B,$B$2,'Raw Data'!$J:$J,G$2,'Raw Data'!$K:$K,"trailing_chart_point",'Raw Data'!$A:$A,DATE(LEFT(G$2,4),RIGHT(G$2,2),1),'Raw Data'!$H:$H,"",'Raw Data'!$I:$I,"",'Raw Data'!$M:$M,"JOD")</f>
        <v>767000000</v>
      </c>
      <c r="H7" s="11">
        <f>SUMIFS('Raw Data'!$L:$L,'Raw Data'!$B:$B,$B$2,'Raw Data'!$J:$J,H$2,'Raw Data'!$K:$K,"trailing_chart_point",'Raw Data'!$A:$A,DATE(LEFT(H$2,4),RIGHT(H$2,2),1),'Raw Data'!$H:$H,"",'Raw Data'!$I:$I,"",'Raw Data'!$M:$M,"JOD")</f>
        <v>783000000</v>
      </c>
      <c r="I7" s="11">
        <f>SUMIFS('Raw Data'!$L:$L,'Raw Data'!$B:$B,$B$2,'Raw Data'!$J:$J,I$2,'Raw Data'!$K:$K,"trailing_chart_point",'Raw Data'!$A:$A,DATE(LEFT(I$2,4),RIGHT(I$2,2),1),'Raw Data'!$H:$H,"",'Raw Data'!$I:$I,"",'Raw Data'!$M:$M,"JOD")</f>
        <v>865000000</v>
      </c>
      <c r="J7" s="11">
        <f>SUMIFS('Raw Data'!$L:$L,'Raw Data'!$B:$B,$B$2,'Raw Data'!$J:$J,J$2,'Raw Data'!$K:$K,"trailing_chart_point",'Raw Data'!$A:$A,DATE(LEFT(J$2,4),RIGHT(J$2,2),1),'Raw Data'!$H:$H,"",'Raw Data'!$I:$I,"",'Raw Data'!$M:$M,"JOD")</f>
        <v>782000000</v>
      </c>
      <c r="K7" s="11">
        <f>SUMIFS('Raw Data'!$L:$L,'Raw Data'!$B:$B,$B$2,'Raw Data'!$J:$J,K$2,'Raw Data'!$K:$K,"trailing_chart_point",'Raw Data'!$A:$A,DATE(LEFT(K$2,4),RIGHT(K$2,2),1),'Raw Data'!$H:$H,"",'Raw Data'!$I:$I,"",'Raw Data'!$M:$M,"JOD")</f>
        <v>792000000</v>
      </c>
      <c r="L7" s="11">
        <f>SUMIFS('Raw Data'!$L:$L,'Raw Data'!$B:$B,$B$2,'Raw Data'!$J:$J,L$2,'Raw Data'!$K:$K,"trailing_chart_point",'Raw Data'!$A:$A,DATE(LEFT(L$2,4),RIGHT(L$2,2),1),'Raw Data'!$H:$H,"",'Raw Data'!$I:$I,"",'Raw Data'!$M:$M,"JOD")</f>
        <v>780000000</v>
      </c>
      <c r="M7" s="11">
        <f>SUMIFS('Raw Data'!$L:$L,'Raw Data'!$B:$B,$B$2,'Raw Data'!$J:$J,M$2,'Raw Data'!$K:$K,"trailing_chart_point",'Raw Data'!$A:$A,DATE(LEFT(M$2,4),RIGHT(M$2,2),1),'Raw Data'!$H:$H,"",'Raw Data'!$I:$I,"",'Raw Data'!$M:$M,"JOD")</f>
        <v>903000000</v>
      </c>
      <c r="N7" s="11">
        <f>SUMIFS('Raw Data'!$L:$L,'Raw Data'!$B:$B,$B$2,'Raw Data'!$J:$J,N$2,'Raw Data'!$K:$K,"trailing_chart_point",'Raw Data'!$A:$A,DATE(LEFT(N$2,4),RIGHT(N$2,2),1),'Raw Data'!$H:$H,"",'Raw Data'!$I:$I,"",'Raw Data'!$M:$M,"JOD")</f>
        <v>849000000</v>
      </c>
      <c r="O7" s="11">
        <f>SUMIFS('Raw Data'!$L:$L,'Raw Data'!$B:$B,$B$2,'Raw Data'!$J:$J,O$2,'Raw Data'!$K:$K,"trailing_chart_point",'Raw Data'!$A:$A,DATE(LEFT(O$2,4),RIGHT(O$2,2),1),'Raw Data'!$H:$H,"",'Raw Data'!$I:$I,"",'Raw Data'!$M:$M,"JOD")</f>
        <v>858000000</v>
      </c>
      <c r="P7" s="11">
        <f>SUMIFS('Raw Data'!$L:$L,'Raw Data'!$B:$B,$B$2,'Raw Data'!$J:$J,P$2,'Raw Data'!$K:$K,"trailing_chart_point",'Raw Data'!$A:$A,DATE(LEFT(P$2,4),RIGHT(P$2,2),1),'Raw Data'!$H:$H,"",'Raw Data'!$I:$I,"",'Raw Data'!$M:$M,"JOD")</f>
        <v>872000000</v>
      </c>
      <c r="Q7" s="11">
        <f>SUMIFS('Raw Data'!$L:$L,'Raw Data'!$B:$B,$B$2,'Raw Data'!$J:$J,Q$2,'Raw Data'!$K:$K,"trailing_chart_point",'Raw Data'!$A:$A,DATE(LEFT(Q$2,4),RIGHT(Q$2,2),1),'Raw Data'!$H:$H,"",'Raw Data'!$I:$I,"",'Raw Data'!$M:$M,"JOD")</f>
        <v>818000000</v>
      </c>
      <c r="R7" s="11">
        <f>SUMIFS('Raw Data'!$L:$L,'Raw Data'!$B:$B,$B$2,'Raw Data'!$J:$J,R$2,'Raw Data'!$K:$K,"trailing_chart_point",'Raw Data'!$A:$A,DATE(LEFT(R$2,4),RIGHT(R$2,2),1),'Raw Data'!$H:$H,"",'Raw Data'!$I:$I,"",'Raw Data'!$M:$M,"JOD")</f>
        <v>939000000</v>
      </c>
      <c r="S7" s="11">
        <f>SUMIFS('Raw Data'!$L:$L,'Raw Data'!$B:$B,$B$2,'Raw Data'!$J:$J,S$2,'Raw Data'!$K:$K,"trailing_chart_point",'Raw Data'!$A:$A,DATE(LEFT(S$2,4),RIGHT(S$2,2),1),'Raw Data'!$H:$H,"",'Raw Data'!$I:$I,"",'Raw Data'!$M:$M,"JOD")</f>
        <v>862000000</v>
      </c>
      <c r="T7" s="11">
        <f>SUMIFS('Raw Data'!$L:$L,'Raw Data'!$B:$B,$B$2,'Raw Data'!$J:$J,T$2,'Raw Data'!$K:$K,"trailing_chart_point",'Raw Data'!$A:$A,DATE(LEFT(T$2,4),RIGHT(T$2,2),1),'Raw Data'!$H:$H,"",'Raw Data'!$I:$I,"",'Raw Data'!$M:$M,"JOD")</f>
        <v>886000000</v>
      </c>
      <c r="U7" s="11">
        <f>SUMIFS('Raw Data'!$L:$L,'Raw Data'!$B:$B,$B$2,'Raw Data'!$J:$J,U$2,'Raw Data'!$K:$K,"trailing_chart_point",'Raw Data'!$A:$A,DATE(LEFT(U$2,4),RIGHT(U$2,2),1),'Raw Data'!$H:$H,"",'Raw Data'!$I:$I,"",'Raw Data'!$M:$M,"JOD")</f>
        <v>937000000</v>
      </c>
      <c r="V7" s="11">
        <f>SUMIFS('Raw Data'!$L:$L,'Raw Data'!$B:$B,$B$2,'Raw Data'!$J:$J,V$2,'Raw Data'!$K:$K,"trailing_chart_point",'Raw Data'!$A:$A,DATE(LEFT(V$2,4),RIGHT(V$2,2),1),'Raw Data'!$H:$H,"",'Raw Data'!$I:$I,"",'Raw Data'!$M:$M,"JOD")</f>
        <v>896000000</v>
      </c>
      <c r="W7" s="11">
        <f>SUMIFS('Raw Data'!$L:$L,'Raw Data'!$B:$B,$B$2,'Raw Data'!$J:$J,W$2,'Raw Data'!$K:$K,"trailing_chart_point",'Raw Data'!$A:$A,DATE(LEFT(W$2,4),RIGHT(W$2,2),1),'Raw Data'!$H:$H,"",'Raw Data'!$I:$I,"",'Raw Data'!$M:$M,"JOD")</f>
        <v>908000000</v>
      </c>
      <c r="X7" s="11">
        <f>SUMIFS('Raw Data'!$L:$L,'Raw Data'!$B:$B,$B$2,'Raw Data'!$J:$J,X$2,'Raw Data'!$K:$K,"trailing_chart_point",'Raw Data'!$A:$A,DATE(LEFT(X$2,4),RIGHT(X$2,2),1),'Raw Data'!$H:$H,"",'Raw Data'!$I:$I,"",'Raw Data'!$M:$M,"JOD")</f>
        <v>943000000</v>
      </c>
      <c r="Y7" s="11">
        <f>SUMIFS('Raw Data'!$L:$L,'Raw Data'!$B:$B,$B$2,'Raw Data'!$J:$J,Y$2,'Raw Data'!$K:$K,"trailing_chart_point",'Raw Data'!$A:$A,DATE(LEFT(Y$2,4),RIGHT(Y$2,2),1),'Raw Data'!$H:$H,"",'Raw Data'!$I:$I,"",'Raw Data'!$M:$M,"JOD")</f>
        <v>949000000</v>
      </c>
      <c r="Z7" s="11">
        <f>SUMIFS('Raw Data'!$L:$L,'Raw Data'!$B:$B,$B$2,'Raw Data'!$J:$J,Z$2,'Raw Data'!$K:$K,"trailing_chart_point",'Raw Data'!$A:$A,DATE(LEFT(Z$2,4),RIGHT(Z$2,2),1),'Raw Data'!$H:$H,"",'Raw Data'!$I:$I,"",'Raw Data'!$M:$M,"JOD")</f>
        <v>939000000</v>
      </c>
    </row>
    <row r="8" spans="1:26" x14ac:dyDescent="0.25">
      <c r="A8" s="53" t="s">
        <v>147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x14ac:dyDescent="0.25">
      <c r="A9" s="10" t="s">
        <v>148</v>
      </c>
      <c r="B9" s="10" t="s">
        <v>149</v>
      </c>
      <c r="C9" s="11">
        <f>SUMIFS('Raw Data'!$L:$L,'Raw Data'!$B:$B,$B$2,'Raw Data'!$J:$J,C$2,'Raw Data'!$K:$K,"trailing_chart_point",'Raw Data'!$A:$A,DATE(LEFT(C$2,4),RIGHT(C$2,2),1),'Raw Data'!$H:$H,"USD",'Raw Data'!$I:$I,"",'Raw Data'!$M:$M,"count")</f>
        <v>5530</v>
      </c>
      <c r="D9" s="11">
        <f>SUMIFS('Raw Data'!$L:$L,'Raw Data'!$B:$B,$B$2,'Raw Data'!$J:$J,D$2,'Raw Data'!$K:$K,"trailing_chart_point",'Raw Data'!$A:$A,DATE(LEFT(D$2,4),RIGHT(D$2,2),1),'Raw Data'!$H:$H,"USD",'Raw Data'!$I:$I,"",'Raw Data'!$M:$M,"count")</f>
        <v>6564</v>
      </c>
      <c r="E9" s="11">
        <f>SUMIFS('Raw Data'!$L:$L,'Raw Data'!$B:$B,$B$2,'Raw Data'!$J:$J,E$2,'Raw Data'!$K:$K,"trailing_chart_point",'Raw Data'!$A:$A,DATE(LEFT(E$2,4),RIGHT(E$2,2),1),'Raw Data'!$H:$H,"USD",'Raw Data'!$I:$I,"",'Raw Data'!$M:$M,"count")</f>
        <v>5179</v>
      </c>
      <c r="F9" s="11">
        <f>SUMIFS('Raw Data'!$L:$L,'Raw Data'!$B:$B,$B$2,'Raw Data'!$J:$J,F$2,'Raw Data'!$K:$K,"trailing_chart_point",'Raw Data'!$A:$A,DATE(LEFT(F$2,4),RIGHT(F$2,2),1),'Raw Data'!$H:$H,"USD",'Raw Data'!$I:$I,"",'Raw Data'!$M:$M,"count")</f>
        <v>5800</v>
      </c>
      <c r="G9" s="11">
        <f>SUMIFS('Raw Data'!$L:$L,'Raw Data'!$B:$B,$B$2,'Raw Data'!$J:$J,G$2,'Raw Data'!$K:$K,"trailing_chart_point",'Raw Data'!$A:$A,DATE(LEFT(G$2,4),RIGHT(G$2,2),1),'Raw Data'!$H:$H,"USD",'Raw Data'!$I:$I,"",'Raw Data'!$M:$M,"count")</f>
        <v>5986</v>
      </c>
      <c r="H9" s="11">
        <f>SUMIFS('Raw Data'!$L:$L,'Raw Data'!$B:$B,$B$2,'Raw Data'!$J:$J,H$2,'Raw Data'!$K:$K,"trailing_chart_point",'Raw Data'!$A:$A,DATE(LEFT(H$2,4),RIGHT(H$2,2),1),'Raw Data'!$H:$H,"USD",'Raw Data'!$I:$I,"",'Raw Data'!$M:$M,"count")</f>
        <v>5710</v>
      </c>
      <c r="I9" s="11">
        <f>SUMIFS('Raw Data'!$L:$L,'Raw Data'!$B:$B,$B$2,'Raw Data'!$J:$J,I$2,'Raw Data'!$K:$K,"trailing_chart_point",'Raw Data'!$A:$A,DATE(LEFT(I$2,4),RIGHT(I$2,2),1),'Raw Data'!$H:$H,"USD",'Raw Data'!$I:$I,"",'Raw Data'!$M:$M,"count")</f>
        <v>5222</v>
      </c>
      <c r="J9" s="11">
        <f>SUMIFS('Raw Data'!$L:$L,'Raw Data'!$B:$B,$B$2,'Raw Data'!$J:$J,J$2,'Raw Data'!$K:$K,"trailing_chart_point",'Raw Data'!$A:$A,DATE(LEFT(J$2,4),RIGHT(J$2,2),1),'Raw Data'!$H:$H,"USD",'Raw Data'!$I:$I,"",'Raw Data'!$M:$M,"count")</f>
        <v>6156</v>
      </c>
      <c r="K9" s="11">
        <f>SUMIFS('Raw Data'!$L:$L,'Raw Data'!$B:$B,$B$2,'Raw Data'!$J:$J,K$2,'Raw Data'!$K:$K,"trailing_chart_point",'Raw Data'!$A:$A,DATE(LEFT(K$2,4),RIGHT(K$2,2),1),'Raw Data'!$H:$H,"USD",'Raw Data'!$I:$I,"",'Raw Data'!$M:$M,"count")</f>
        <v>6153</v>
      </c>
      <c r="L9" s="11">
        <f>SUMIFS('Raw Data'!$L:$L,'Raw Data'!$B:$B,$B$2,'Raw Data'!$J:$J,L$2,'Raw Data'!$K:$K,"trailing_chart_point",'Raw Data'!$A:$A,DATE(LEFT(L$2,4),RIGHT(L$2,2),1),'Raw Data'!$H:$H,"USD",'Raw Data'!$I:$I,"",'Raw Data'!$M:$M,"count")</f>
        <v>4927</v>
      </c>
      <c r="M9" s="11">
        <f>SUMIFS('Raw Data'!$L:$L,'Raw Data'!$B:$B,$B$2,'Raw Data'!$J:$J,M$2,'Raw Data'!$K:$K,"trailing_chart_point",'Raw Data'!$A:$A,DATE(LEFT(M$2,4),RIGHT(M$2,2),1),'Raw Data'!$H:$H,"USD",'Raw Data'!$I:$I,"",'Raw Data'!$M:$M,"count")</f>
        <v>6215</v>
      </c>
      <c r="N9" s="11">
        <f>SUMIFS('Raw Data'!$L:$L,'Raw Data'!$B:$B,$B$2,'Raw Data'!$J:$J,N$2,'Raw Data'!$K:$K,"trailing_chart_point",'Raw Data'!$A:$A,DATE(LEFT(N$2,4),RIGHT(N$2,2),1),'Raw Data'!$H:$H,"USD",'Raw Data'!$I:$I,"",'Raw Data'!$M:$M,"count")</f>
        <v>5974</v>
      </c>
      <c r="O9" s="11">
        <f>SUMIFS('Raw Data'!$L:$L,'Raw Data'!$B:$B,$B$2,'Raw Data'!$J:$J,O$2,'Raw Data'!$K:$K,"trailing_chart_point",'Raw Data'!$A:$A,DATE(LEFT(O$2,4),RIGHT(O$2,2),1),'Raw Data'!$H:$H,"USD",'Raw Data'!$I:$I,"",'Raw Data'!$M:$M,"count")</f>
        <v>5367</v>
      </c>
      <c r="P9" s="11">
        <f>SUMIFS('Raw Data'!$L:$L,'Raw Data'!$B:$B,$B$2,'Raw Data'!$J:$J,P$2,'Raw Data'!$K:$K,"trailing_chart_point",'Raw Data'!$A:$A,DATE(LEFT(P$2,4),RIGHT(P$2,2),1),'Raw Data'!$H:$H,"USD",'Raw Data'!$I:$I,"",'Raw Data'!$M:$M,"count")</f>
        <v>6250</v>
      </c>
      <c r="Q9" s="11">
        <f>SUMIFS('Raw Data'!$L:$L,'Raw Data'!$B:$B,$B$2,'Raw Data'!$J:$J,Q$2,'Raw Data'!$K:$K,"trailing_chart_point",'Raw Data'!$A:$A,DATE(LEFT(Q$2,4),RIGHT(Q$2,2),1),'Raw Data'!$H:$H,"USD",'Raw Data'!$I:$I,"",'Raw Data'!$M:$M,"count")</f>
        <v>6350</v>
      </c>
      <c r="R9" s="11">
        <f>SUMIFS('Raw Data'!$L:$L,'Raw Data'!$B:$B,$B$2,'Raw Data'!$J:$J,R$2,'Raw Data'!$K:$K,"trailing_chart_point",'Raw Data'!$A:$A,DATE(LEFT(R$2,4),RIGHT(R$2,2),1),'Raw Data'!$H:$H,"USD",'Raw Data'!$I:$I,"",'Raw Data'!$M:$M,"count")</f>
        <v>6297</v>
      </c>
      <c r="S9" s="11">
        <f>SUMIFS('Raw Data'!$L:$L,'Raw Data'!$B:$B,$B$2,'Raw Data'!$J:$J,S$2,'Raw Data'!$K:$K,"trailing_chart_point",'Raw Data'!$A:$A,DATE(LEFT(S$2,4),RIGHT(S$2,2),1),'Raw Data'!$H:$H,"USD",'Raw Data'!$I:$I,"",'Raw Data'!$M:$M,"count")</f>
        <v>5923</v>
      </c>
      <c r="T9" s="11">
        <f>SUMIFS('Raw Data'!$L:$L,'Raw Data'!$B:$B,$B$2,'Raw Data'!$J:$J,T$2,'Raw Data'!$K:$K,"trailing_chart_point",'Raw Data'!$A:$A,DATE(LEFT(T$2,4),RIGHT(T$2,2),1),'Raw Data'!$H:$H,"USD",'Raw Data'!$I:$I,"",'Raw Data'!$M:$M,"count")</f>
        <v>5442</v>
      </c>
      <c r="U9" s="11">
        <f>SUMIFS('Raw Data'!$L:$L,'Raw Data'!$B:$B,$B$2,'Raw Data'!$J:$J,U$2,'Raw Data'!$K:$K,"trailing_chart_point",'Raw Data'!$A:$A,DATE(LEFT(U$2,4),RIGHT(U$2,2),1),'Raw Data'!$H:$H,"USD",'Raw Data'!$I:$I,"",'Raw Data'!$M:$M,"count")</f>
        <v>5518</v>
      </c>
      <c r="V9" s="11">
        <f>SUMIFS('Raw Data'!$L:$L,'Raw Data'!$B:$B,$B$2,'Raw Data'!$J:$J,V$2,'Raw Data'!$K:$K,"trailing_chart_point",'Raw Data'!$A:$A,DATE(LEFT(V$2,4),RIGHT(V$2,2),1),'Raw Data'!$H:$H,"USD",'Raw Data'!$I:$I,"",'Raw Data'!$M:$M,"count")</f>
        <v>5754</v>
      </c>
      <c r="W9" s="11">
        <f>SUMIFS('Raw Data'!$L:$L,'Raw Data'!$B:$B,$B$2,'Raw Data'!$J:$J,W$2,'Raw Data'!$K:$K,"trailing_chart_point",'Raw Data'!$A:$A,DATE(LEFT(W$2,4),RIGHT(W$2,2),1),'Raw Data'!$H:$H,"USD",'Raw Data'!$I:$I,"",'Raw Data'!$M:$M,"count")</f>
        <v>5876</v>
      </c>
      <c r="X9" s="11">
        <f>SUMIFS('Raw Data'!$L:$L,'Raw Data'!$B:$B,$B$2,'Raw Data'!$J:$J,X$2,'Raw Data'!$K:$K,"trailing_chart_point",'Raw Data'!$A:$A,DATE(LEFT(X$2,4),RIGHT(X$2,2),1),'Raw Data'!$H:$H,"USD",'Raw Data'!$I:$I,"",'Raw Data'!$M:$M,"count")</f>
        <v>5699</v>
      </c>
      <c r="Y9" s="11">
        <f>SUMIFS('Raw Data'!$L:$L,'Raw Data'!$B:$B,$B$2,'Raw Data'!$J:$J,Y$2,'Raw Data'!$K:$K,"trailing_chart_point",'Raw Data'!$A:$A,DATE(LEFT(Y$2,4),RIGHT(Y$2,2),1),'Raw Data'!$H:$H,"USD",'Raw Data'!$I:$I,"",'Raw Data'!$M:$M,"count")</f>
        <v>6255</v>
      </c>
      <c r="Z9" s="11">
        <f>SUMIFS('Raw Data'!$L:$L,'Raw Data'!$B:$B,$B$2,'Raw Data'!$J:$J,Z$2,'Raw Data'!$K:$K,"trailing_chart_point",'Raw Data'!$A:$A,DATE(LEFT(Z$2,4),RIGHT(Z$2,2),1),'Raw Data'!$H:$H,"USD",'Raw Data'!$I:$I,"",'Raw Data'!$M:$M,"count")</f>
        <v>6065</v>
      </c>
    </row>
    <row r="10" spans="1:26" x14ac:dyDescent="0.25">
      <c r="A10" s="10" t="s">
        <v>148</v>
      </c>
      <c r="B10" s="10" t="s">
        <v>150</v>
      </c>
      <c r="C10" s="11">
        <f>SUMIFS('Raw Data'!$L:$L,'Raw Data'!$B:$B,$B$2,'Raw Data'!$J:$J,C$2,'Raw Data'!$K:$K,"trailing_chart_point",'Raw Data'!$A:$A,DATE(LEFT(C$2,4),RIGHT(C$2,2),1),'Raw Data'!$H:$H,"EUR",'Raw Data'!$I:$I,"",'Raw Data'!$M:$M,"count")</f>
        <v>304</v>
      </c>
      <c r="D10" s="11">
        <f>SUMIFS('Raw Data'!$L:$L,'Raw Data'!$B:$B,$B$2,'Raw Data'!$J:$J,D$2,'Raw Data'!$K:$K,"trailing_chart_point",'Raw Data'!$A:$A,DATE(LEFT(D$2,4),RIGHT(D$2,2),1),'Raw Data'!$H:$H,"EUR",'Raw Data'!$I:$I,"",'Raw Data'!$M:$M,"count")</f>
        <v>320</v>
      </c>
      <c r="E10" s="11">
        <f>SUMIFS('Raw Data'!$L:$L,'Raw Data'!$B:$B,$B$2,'Raw Data'!$J:$J,E$2,'Raw Data'!$K:$K,"trailing_chart_point",'Raw Data'!$A:$A,DATE(LEFT(E$2,4),RIGHT(E$2,2),1),'Raw Data'!$H:$H,"EUR",'Raw Data'!$I:$I,"",'Raw Data'!$M:$M,"count")</f>
        <v>285</v>
      </c>
      <c r="F10" s="11">
        <f>SUMIFS('Raw Data'!$L:$L,'Raw Data'!$B:$B,$B$2,'Raw Data'!$J:$J,F$2,'Raw Data'!$K:$K,"trailing_chart_point",'Raw Data'!$A:$A,DATE(LEFT(F$2,4),RIGHT(F$2,2),1),'Raw Data'!$H:$H,"EUR",'Raw Data'!$I:$I,"",'Raw Data'!$M:$M,"count")</f>
        <v>336</v>
      </c>
      <c r="G10" s="11">
        <f>SUMIFS('Raw Data'!$L:$L,'Raw Data'!$B:$B,$B$2,'Raw Data'!$J:$J,G$2,'Raw Data'!$K:$K,"trailing_chart_point",'Raw Data'!$A:$A,DATE(LEFT(G$2,4),RIGHT(G$2,2),1),'Raw Data'!$H:$H,"EUR",'Raw Data'!$I:$I,"",'Raw Data'!$M:$M,"count")</f>
        <v>372</v>
      </c>
      <c r="H10" s="11">
        <f>SUMIFS('Raw Data'!$L:$L,'Raw Data'!$B:$B,$B$2,'Raw Data'!$J:$J,H$2,'Raw Data'!$K:$K,"trailing_chart_point",'Raw Data'!$A:$A,DATE(LEFT(H$2,4),RIGHT(H$2,2),1),'Raw Data'!$H:$H,"EUR",'Raw Data'!$I:$I,"",'Raw Data'!$M:$M,"count")</f>
        <v>304</v>
      </c>
      <c r="I10" s="11">
        <f>SUMIFS('Raw Data'!$L:$L,'Raw Data'!$B:$B,$B$2,'Raw Data'!$J:$J,I$2,'Raw Data'!$K:$K,"trailing_chart_point",'Raw Data'!$A:$A,DATE(LEFT(I$2,4),RIGHT(I$2,2),1),'Raw Data'!$H:$H,"EUR",'Raw Data'!$I:$I,"",'Raw Data'!$M:$M,"count")</f>
        <v>327</v>
      </c>
      <c r="J10" s="11">
        <f>SUMIFS('Raw Data'!$L:$L,'Raw Data'!$B:$B,$B$2,'Raw Data'!$J:$J,J$2,'Raw Data'!$K:$K,"trailing_chart_point",'Raw Data'!$A:$A,DATE(LEFT(J$2,4),RIGHT(J$2,2),1),'Raw Data'!$H:$H,"EUR",'Raw Data'!$I:$I,"",'Raw Data'!$M:$M,"count")</f>
        <v>292</v>
      </c>
      <c r="K10" s="11">
        <f>SUMIFS('Raw Data'!$L:$L,'Raw Data'!$B:$B,$B$2,'Raw Data'!$J:$J,K$2,'Raw Data'!$K:$K,"trailing_chart_point",'Raw Data'!$A:$A,DATE(LEFT(K$2,4),RIGHT(K$2,2),1),'Raw Data'!$H:$H,"EUR",'Raw Data'!$I:$I,"",'Raw Data'!$M:$M,"count")</f>
        <v>305</v>
      </c>
      <c r="L10" s="11">
        <f>SUMIFS('Raw Data'!$L:$L,'Raw Data'!$B:$B,$B$2,'Raw Data'!$J:$J,L$2,'Raw Data'!$K:$K,"trailing_chart_point",'Raw Data'!$A:$A,DATE(LEFT(L$2,4),RIGHT(L$2,2),1),'Raw Data'!$H:$H,"EUR",'Raw Data'!$I:$I,"",'Raw Data'!$M:$M,"count")</f>
        <v>247</v>
      </c>
      <c r="M10" s="11">
        <f>SUMIFS('Raw Data'!$L:$L,'Raw Data'!$B:$B,$B$2,'Raw Data'!$J:$J,M$2,'Raw Data'!$K:$K,"trailing_chart_point",'Raw Data'!$A:$A,DATE(LEFT(M$2,4),RIGHT(M$2,2),1),'Raw Data'!$H:$H,"EUR",'Raw Data'!$I:$I,"",'Raw Data'!$M:$M,"count")</f>
        <v>356</v>
      </c>
      <c r="N10" s="11">
        <f>SUMIFS('Raw Data'!$L:$L,'Raw Data'!$B:$B,$B$2,'Raw Data'!$J:$J,N$2,'Raw Data'!$K:$K,"trailing_chart_point",'Raw Data'!$A:$A,DATE(LEFT(N$2,4),RIGHT(N$2,2),1),'Raw Data'!$H:$H,"EUR",'Raw Data'!$I:$I,"",'Raw Data'!$M:$M,"count")</f>
        <v>305</v>
      </c>
      <c r="O10" s="11">
        <f>SUMIFS('Raw Data'!$L:$L,'Raw Data'!$B:$B,$B$2,'Raw Data'!$J:$J,O$2,'Raw Data'!$K:$K,"trailing_chart_point",'Raw Data'!$A:$A,DATE(LEFT(O$2,4),RIGHT(O$2,2),1),'Raw Data'!$H:$H,"EUR",'Raw Data'!$I:$I,"",'Raw Data'!$M:$M,"count")</f>
        <v>328</v>
      </c>
      <c r="P10" s="11">
        <f>SUMIFS('Raw Data'!$L:$L,'Raw Data'!$B:$B,$B$2,'Raw Data'!$J:$J,P$2,'Raw Data'!$K:$K,"trailing_chart_point",'Raw Data'!$A:$A,DATE(LEFT(P$2,4),RIGHT(P$2,2),1),'Raw Data'!$H:$H,"EUR",'Raw Data'!$I:$I,"",'Raw Data'!$M:$M,"count")</f>
        <v>332</v>
      </c>
      <c r="Q10" s="11">
        <f>SUMIFS('Raw Data'!$L:$L,'Raw Data'!$B:$B,$B$2,'Raw Data'!$J:$J,Q$2,'Raw Data'!$K:$K,"trailing_chart_point",'Raw Data'!$A:$A,DATE(LEFT(Q$2,4),RIGHT(Q$2,2),1),'Raw Data'!$H:$H,"EUR",'Raw Data'!$I:$I,"",'Raw Data'!$M:$M,"count")</f>
        <v>283</v>
      </c>
      <c r="R10" s="11">
        <f>SUMIFS('Raw Data'!$L:$L,'Raw Data'!$B:$B,$B$2,'Raw Data'!$J:$J,R$2,'Raw Data'!$K:$K,"trailing_chart_point",'Raw Data'!$A:$A,DATE(LEFT(R$2,4),RIGHT(R$2,2),1),'Raw Data'!$H:$H,"EUR",'Raw Data'!$I:$I,"",'Raw Data'!$M:$M,"count")</f>
        <v>307</v>
      </c>
      <c r="S10" s="11">
        <f>SUMIFS('Raw Data'!$L:$L,'Raw Data'!$B:$B,$B$2,'Raw Data'!$J:$J,S$2,'Raw Data'!$K:$K,"trailing_chart_point",'Raw Data'!$A:$A,DATE(LEFT(S$2,4),RIGHT(S$2,2),1),'Raw Data'!$H:$H,"EUR",'Raw Data'!$I:$I,"",'Raw Data'!$M:$M,"count")</f>
        <v>264</v>
      </c>
      <c r="T10" s="11">
        <f>SUMIFS('Raw Data'!$L:$L,'Raw Data'!$B:$B,$B$2,'Raw Data'!$J:$J,T$2,'Raw Data'!$K:$K,"trailing_chart_point",'Raw Data'!$A:$A,DATE(LEFT(T$2,4),RIGHT(T$2,2),1),'Raw Data'!$H:$H,"EUR",'Raw Data'!$I:$I,"",'Raw Data'!$M:$M,"count")</f>
        <v>292</v>
      </c>
      <c r="U10" s="11">
        <f>SUMIFS('Raw Data'!$L:$L,'Raw Data'!$B:$B,$B$2,'Raw Data'!$J:$J,U$2,'Raw Data'!$K:$K,"trailing_chart_point",'Raw Data'!$A:$A,DATE(LEFT(U$2,4),RIGHT(U$2,2),1),'Raw Data'!$H:$H,"EUR",'Raw Data'!$I:$I,"",'Raw Data'!$M:$M,"count")</f>
        <v>272</v>
      </c>
      <c r="V10" s="11">
        <f>SUMIFS('Raw Data'!$L:$L,'Raw Data'!$B:$B,$B$2,'Raw Data'!$J:$J,V$2,'Raw Data'!$K:$K,"trailing_chart_point",'Raw Data'!$A:$A,DATE(LEFT(V$2,4),RIGHT(V$2,2),1),'Raw Data'!$H:$H,"EUR",'Raw Data'!$I:$I,"",'Raw Data'!$M:$M,"count")</f>
        <v>249</v>
      </c>
      <c r="W10" s="11">
        <f>SUMIFS('Raw Data'!$L:$L,'Raw Data'!$B:$B,$B$2,'Raw Data'!$J:$J,W$2,'Raw Data'!$K:$K,"trailing_chart_point",'Raw Data'!$A:$A,DATE(LEFT(W$2,4),RIGHT(W$2,2),1),'Raw Data'!$H:$H,"EUR",'Raw Data'!$I:$I,"",'Raw Data'!$M:$M,"count")</f>
        <v>301</v>
      </c>
      <c r="X10" s="11">
        <f>SUMIFS('Raw Data'!$L:$L,'Raw Data'!$B:$B,$B$2,'Raw Data'!$J:$J,X$2,'Raw Data'!$K:$K,"trailing_chart_point",'Raw Data'!$A:$A,DATE(LEFT(X$2,4),RIGHT(X$2,2),1),'Raw Data'!$H:$H,"EUR",'Raw Data'!$I:$I,"",'Raw Data'!$M:$M,"count")</f>
        <v>348</v>
      </c>
      <c r="Y10" s="11">
        <f>SUMIFS('Raw Data'!$L:$L,'Raw Data'!$B:$B,$B$2,'Raw Data'!$J:$J,Y$2,'Raw Data'!$K:$K,"trailing_chart_point",'Raw Data'!$A:$A,DATE(LEFT(Y$2,4),RIGHT(Y$2,2),1),'Raw Data'!$H:$H,"EUR",'Raw Data'!$I:$I,"",'Raw Data'!$M:$M,"count")</f>
        <v>292</v>
      </c>
      <c r="Z10" s="11">
        <f>SUMIFS('Raw Data'!$L:$L,'Raw Data'!$B:$B,$B$2,'Raw Data'!$J:$J,Z$2,'Raw Data'!$K:$K,"trailing_chart_point",'Raw Data'!$A:$A,DATE(LEFT(Z$2,4),RIGHT(Z$2,2),1),'Raw Data'!$H:$H,"EUR",'Raw Data'!$I:$I,"",'Raw Data'!$M:$M,"count")</f>
        <v>330</v>
      </c>
    </row>
    <row r="11" spans="1:26" x14ac:dyDescent="0.25">
      <c r="A11" s="10" t="s">
        <v>148</v>
      </c>
      <c r="B11" s="10" t="s">
        <v>151</v>
      </c>
      <c r="C11" s="11">
        <f>SUMIFS('Raw Data'!$L:$L,'Raw Data'!$B:$B,$B$2,'Raw Data'!$J:$J,C$2,'Raw Data'!$K:$K,"trailing_chart_point",'Raw Data'!$A:$A,DATE(LEFT(C$2,4),RIGHT(C$2,2),1),'Raw Data'!$H:$H,"GBP",'Raw Data'!$I:$I,"",'Raw Data'!$M:$M,"count")</f>
        <v>40</v>
      </c>
      <c r="D11" s="11">
        <f>SUMIFS('Raw Data'!$L:$L,'Raw Data'!$B:$B,$B$2,'Raw Data'!$J:$J,D$2,'Raw Data'!$K:$K,"trailing_chart_point",'Raw Data'!$A:$A,DATE(LEFT(D$2,4),RIGHT(D$2,2),1),'Raw Data'!$H:$H,"GBP",'Raw Data'!$I:$I,"",'Raw Data'!$M:$M,"count")</f>
        <v>50</v>
      </c>
      <c r="E11" s="11">
        <f>SUMIFS('Raw Data'!$L:$L,'Raw Data'!$B:$B,$B$2,'Raw Data'!$J:$J,E$2,'Raw Data'!$K:$K,"trailing_chart_point",'Raw Data'!$A:$A,DATE(LEFT(E$2,4),RIGHT(E$2,2),1),'Raw Data'!$H:$H,"GBP",'Raw Data'!$I:$I,"",'Raw Data'!$M:$M,"count")</f>
        <v>30</v>
      </c>
      <c r="F11" s="11">
        <f>SUMIFS('Raw Data'!$L:$L,'Raw Data'!$B:$B,$B$2,'Raw Data'!$J:$J,F$2,'Raw Data'!$K:$K,"trailing_chart_point",'Raw Data'!$A:$A,DATE(LEFT(F$2,4),RIGHT(F$2,2),1),'Raw Data'!$H:$H,"GBP",'Raw Data'!$I:$I,"",'Raw Data'!$M:$M,"count")</f>
        <v>33</v>
      </c>
      <c r="G11" s="11">
        <f>SUMIFS('Raw Data'!$L:$L,'Raw Data'!$B:$B,$B$2,'Raw Data'!$J:$J,G$2,'Raw Data'!$K:$K,"trailing_chart_point",'Raw Data'!$A:$A,DATE(LEFT(G$2,4),RIGHT(G$2,2),1),'Raw Data'!$H:$H,"GBP",'Raw Data'!$I:$I,"",'Raw Data'!$M:$M,"count")</f>
        <v>35</v>
      </c>
      <c r="H11" s="11">
        <f>SUMIFS('Raw Data'!$L:$L,'Raw Data'!$B:$B,$B$2,'Raw Data'!$J:$J,H$2,'Raw Data'!$K:$K,"trailing_chart_point",'Raw Data'!$A:$A,DATE(LEFT(H$2,4),RIGHT(H$2,2),1),'Raw Data'!$H:$H,"GBP",'Raw Data'!$I:$I,"",'Raw Data'!$M:$M,"count")</f>
        <v>37</v>
      </c>
      <c r="I11" s="11">
        <f>SUMIFS('Raw Data'!$L:$L,'Raw Data'!$B:$B,$B$2,'Raw Data'!$J:$J,I$2,'Raw Data'!$K:$K,"trailing_chart_point",'Raw Data'!$A:$A,DATE(LEFT(I$2,4),RIGHT(I$2,2),1),'Raw Data'!$H:$H,"GBP",'Raw Data'!$I:$I,"",'Raw Data'!$M:$M,"count")</f>
        <v>35</v>
      </c>
      <c r="J11" s="11">
        <f>SUMIFS('Raw Data'!$L:$L,'Raw Data'!$B:$B,$B$2,'Raw Data'!$J:$J,J$2,'Raw Data'!$K:$K,"trailing_chart_point",'Raw Data'!$A:$A,DATE(LEFT(J$2,4),RIGHT(J$2,2),1),'Raw Data'!$H:$H,"GBP",'Raw Data'!$I:$I,"",'Raw Data'!$M:$M,"count")</f>
        <v>24</v>
      </c>
      <c r="K11" s="11">
        <f>SUMIFS('Raw Data'!$L:$L,'Raw Data'!$B:$B,$B$2,'Raw Data'!$J:$J,K$2,'Raw Data'!$K:$K,"trailing_chart_point",'Raw Data'!$A:$A,DATE(LEFT(K$2,4),RIGHT(K$2,2),1),'Raw Data'!$H:$H,"GBP",'Raw Data'!$I:$I,"",'Raw Data'!$M:$M,"count")</f>
        <v>33</v>
      </c>
      <c r="L11" s="11">
        <f>SUMIFS('Raw Data'!$L:$L,'Raw Data'!$B:$B,$B$2,'Raw Data'!$J:$J,L$2,'Raw Data'!$K:$K,"trailing_chart_point",'Raw Data'!$A:$A,DATE(LEFT(L$2,4),RIGHT(L$2,2),1),'Raw Data'!$H:$H,"GBP",'Raw Data'!$I:$I,"",'Raw Data'!$M:$M,"count")</f>
        <v>29</v>
      </c>
      <c r="M11" s="11">
        <f>SUMIFS('Raw Data'!$L:$L,'Raw Data'!$B:$B,$B$2,'Raw Data'!$J:$J,M$2,'Raw Data'!$K:$K,"trailing_chart_point",'Raw Data'!$A:$A,DATE(LEFT(M$2,4),RIGHT(M$2,2),1),'Raw Data'!$H:$H,"GBP",'Raw Data'!$I:$I,"",'Raw Data'!$M:$M,"count")</f>
        <v>45</v>
      </c>
      <c r="N11" s="11">
        <f>SUMIFS('Raw Data'!$L:$L,'Raw Data'!$B:$B,$B$2,'Raw Data'!$J:$J,N$2,'Raw Data'!$K:$K,"trailing_chart_point",'Raw Data'!$A:$A,DATE(LEFT(N$2,4),RIGHT(N$2,2),1),'Raw Data'!$H:$H,"GBP",'Raw Data'!$I:$I,"",'Raw Data'!$M:$M,"count")</f>
        <v>35</v>
      </c>
      <c r="O11" s="11">
        <f>SUMIFS('Raw Data'!$L:$L,'Raw Data'!$B:$B,$B$2,'Raw Data'!$J:$J,O$2,'Raw Data'!$K:$K,"trailing_chart_point",'Raw Data'!$A:$A,DATE(LEFT(O$2,4),RIGHT(O$2,2),1),'Raw Data'!$H:$H,"GBP",'Raw Data'!$I:$I,"",'Raw Data'!$M:$M,"count")</f>
        <v>53</v>
      </c>
      <c r="P11" s="11">
        <f>SUMIFS('Raw Data'!$L:$L,'Raw Data'!$B:$B,$B$2,'Raw Data'!$J:$J,P$2,'Raw Data'!$K:$K,"trailing_chart_point",'Raw Data'!$A:$A,DATE(LEFT(P$2,4),RIGHT(P$2,2),1),'Raw Data'!$H:$H,"GBP",'Raw Data'!$I:$I,"",'Raw Data'!$M:$M,"count")</f>
        <v>42</v>
      </c>
      <c r="Q11" s="11">
        <f>SUMIFS('Raw Data'!$L:$L,'Raw Data'!$B:$B,$B$2,'Raw Data'!$J:$J,Q$2,'Raw Data'!$K:$K,"trailing_chart_point",'Raw Data'!$A:$A,DATE(LEFT(Q$2,4),RIGHT(Q$2,2),1),'Raw Data'!$H:$H,"GBP",'Raw Data'!$I:$I,"",'Raw Data'!$M:$M,"count")</f>
        <v>37</v>
      </c>
      <c r="R11" s="11">
        <f>SUMIFS('Raw Data'!$L:$L,'Raw Data'!$B:$B,$B$2,'Raw Data'!$J:$J,R$2,'Raw Data'!$K:$K,"trailing_chart_point",'Raw Data'!$A:$A,DATE(LEFT(R$2,4),RIGHT(R$2,2),1),'Raw Data'!$H:$H,"GBP",'Raw Data'!$I:$I,"",'Raw Data'!$M:$M,"count")</f>
        <v>41</v>
      </c>
      <c r="S11" s="11">
        <f>SUMIFS('Raw Data'!$L:$L,'Raw Data'!$B:$B,$B$2,'Raw Data'!$J:$J,S$2,'Raw Data'!$K:$K,"trailing_chart_point",'Raw Data'!$A:$A,DATE(LEFT(S$2,4),RIGHT(S$2,2),1),'Raw Data'!$H:$H,"GBP",'Raw Data'!$I:$I,"",'Raw Data'!$M:$M,"count")</f>
        <v>28</v>
      </c>
      <c r="T11" s="11">
        <f>SUMIFS('Raw Data'!$L:$L,'Raw Data'!$B:$B,$B$2,'Raw Data'!$J:$J,T$2,'Raw Data'!$K:$K,"trailing_chart_point",'Raw Data'!$A:$A,DATE(LEFT(T$2,4),RIGHT(T$2,2),1),'Raw Data'!$H:$H,"GBP",'Raw Data'!$I:$I,"",'Raw Data'!$M:$M,"count")</f>
        <v>31</v>
      </c>
      <c r="U11" s="11">
        <f>SUMIFS('Raw Data'!$L:$L,'Raw Data'!$B:$B,$B$2,'Raw Data'!$J:$J,U$2,'Raw Data'!$K:$K,"trailing_chart_point",'Raw Data'!$A:$A,DATE(LEFT(U$2,4),RIGHT(U$2,2),1),'Raw Data'!$H:$H,"GBP",'Raw Data'!$I:$I,"",'Raw Data'!$M:$M,"count")</f>
        <v>44</v>
      </c>
      <c r="V11" s="11">
        <f>SUMIFS('Raw Data'!$L:$L,'Raw Data'!$B:$B,$B$2,'Raw Data'!$J:$J,V$2,'Raw Data'!$K:$K,"trailing_chart_point",'Raw Data'!$A:$A,DATE(LEFT(V$2,4),RIGHT(V$2,2),1),'Raw Data'!$H:$H,"GBP",'Raw Data'!$I:$I,"",'Raw Data'!$M:$M,"count")</f>
        <v>35</v>
      </c>
      <c r="W11" s="11">
        <f>SUMIFS('Raw Data'!$L:$L,'Raw Data'!$B:$B,$B$2,'Raw Data'!$J:$J,W$2,'Raw Data'!$K:$K,"trailing_chart_point",'Raw Data'!$A:$A,DATE(LEFT(W$2,4),RIGHT(W$2,2),1),'Raw Data'!$H:$H,"GBP",'Raw Data'!$I:$I,"",'Raw Data'!$M:$M,"count")</f>
        <v>39</v>
      </c>
      <c r="X11" s="11">
        <f>SUMIFS('Raw Data'!$L:$L,'Raw Data'!$B:$B,$B$2,'Raw Data'!$J:$J,X$2,'Raw Data'!$K:$K,"trailing_chart_point",'Raw Data'!$A:$A,DATE(LEFT(X$2,4),RIGHT(X$2,2),1),'Raw Data'!$H:$H,"GBP",'Raw Data'!$I:$I,"",'Raw Data'!$M:$M,"count")</f>
        <v>39</v>
      </c>
      <c r="Y11" s="11">
        <f>SUMIFS('Raw Data'!$L:$L,'Raw Data'!$B:$B,$B$2,'Raw Data'!$J:$J,Y$2,'Raw Data'!$K:$K,"trailing_chart_point",'Raw Data'!$A:$A,DATE(LEFT(Y$2,4),RIGHT(Y$2,2),1),'Raw Data'!$H:$H,"GBP",'Raw Data'!$I:$I,"",'Raw Data'!$M:$M,"count")</f>
        <v>37</v>
      </c>
      <c r="Z11" s="11">
        <f>SUMIFS('Raw Data'!$L:$L,'Raw Data'!$B:$B,$B$2,'Raw Data'!$J:$J,Z$2,'Raw Data'!$K:$K,"trailing_chart_point",'Raw Data'!$A:$A,DATE(LEFT(Z$2,4),RIGHT(Z$2,2),1),'Raw Data'!$H:$H,"GBP",'Raw Data'!$I:$I,"",'Raw Data'!$M:$M,"count")</f>
        <v>53</v>
      </c>
    </row>
    <row r="12" spans="1:26" x14ac:dyDescent="0.25">
      <c r="A12" s="53" t="s">
        <v>152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x14ac:dyDescent="0.25">
      <c r="A13" s="10" t="s">
        <v>148</v>
      </c>
      <c r="B13" s="10" t="s">
        <v>153</v>
      </c>
      <c r="C13" s="11">
        <f>SUMIFS('Raw Data'!$L:$L,'Raw Data'!$B:$B,$B$2,'Raw Data'!$J:$J,C$2,'Raw Data'!$K:$K,"trailing_chart_point",'Raw Data'!$A:$A,DATE(LEFT(C$2,4),RIGHT(C$2,2),1),'Raw Data'!$H:$H,"USD",'Raw Data'!$I:$I,"",'Raw Data'!$M:$M,"USD")</f>
        <v>37000000</v>
      </c>
      <c r="D13" s="11">
        <f>SUMIFS('Raw Data'!$L:$L,'Raw Data'!$B:$B,$B$2,'Raw Data'!$J:$J,D$2,'Raw Data'!$K:$K,"trailing_chart_point",'Raw Data'!$A:$A,DATE(LEFT(D$2,4),RIGHT(D$2,2),1),'Raw Data'!$H:$H,"USD",'Raw Data'!$I:$I,"",'Raw Data'!$M:$M,"USD")</f>
        <v>42100000</v>
      </c>
      <c r="E13" s="11">
        <f>SUMIFS('Raw Data'!$L:$L,'Raw Data'!$B:$B,$B$2,'Raw Data'!$J:$J,E$2,'Raw Data'!$K:$K,"trailing_chart_point",'Raw Data'!$A:$A,DATE(LEFT(E$2,4),RIGHT(E$2,2),1),'Raw Data'!$H:$H,"USD",'Raw Data'!$I:$I,"",'Raw Data'!$M:$M,"USD")</f>
        <v>33700000</v>
      </c>
      <c r="F13" s="11">
        <f>SUMIFS('Raw Data'!$L:$L,'Raw Data'!$B:$B,$B$2,'Raw Data'!$J:$J,F$2,'Raw Data'!$K:$K,"trailing_chart_point",'Raw Data'!$A:$A,DATE(LEFT(F$2,4),RIGHT(F$2,2),1),'Raw Data'!$H:$H,"USD",'Raw Data'!$I:$I,"",'Raw Data'!$M:$M,"USD")</f>
        <v>41500000</v>
      </c>
      <c r="G13" s="11">
        <f>SUMIFS('Raw Data'!$L:$L,'Raw Data'!$B:$B,$B$2,'Raw Data'!$J:$J,G$2,'Raw Data'!$K:$K,"trailing_chart_point",'Raw Data'!$A:$A,DATE(LEFT(G$2,4),RIGHT(G$2,2),1),'Raw Data'!$H:$H,"USD",'Raw Data'!$I:$I,"",'Raw Data'!$M:$M,"USD")</f>
        <v>38300000</v>
      </c>
      <c r="H13" s="11">
        <f>SUMIFS('Raw Data'!$L:$L,'Raw Data'!$B:$B,$B$2,'Raw Data'!$J:$J,H$2,'Raw Data'!$K:$K,"trailing_chart_point",'Raw Data'!$A:$A,DATE(LEFT(H$2,4),RIGHT(H$2,2),1),'Raw Data'!$H:$H,"USD",'Raw Data'!$I:$I,"",'Raw Data'!$M:$M,"USD")</f>
        <v>37700000</v>
      </c>
      <c r="I13" s="11">
        <f>SUMIFS('Raw Data'!$L:$L,'Raw Data'!$B:$B,$B$2,'Raw Data'!$J:$J,I$2,'Raw Data'!$K:$K,"trailing_chart_point",'Raw Data'!$A:$A,DATE(LEFT(I$2,4),RIGHT(I$2,2),1),'Raw Data'!$H:$H,"USD",'Raw Data'!$I:$I,"",'Raw Data'!$M:$M,"USD")</f>
        <v>37000000</v>
      </c>
      <c r="J13" s="11">
        <f>SUMIFS('Raw Data'!$L:$L,'Raw Data'!$B:$B,$B$2,'Raw Data'!$J:$J,J$2,'Raw Data'!$K:$K,"trailing_chart_point",'Raw Data'!$A:$A,DATE(LEFT(J$2,4),RIGHT(J$2,2),1),'Raw Data'!$H:$H,"USD",'Raw Data'!$I:$I,"",'Raw Data'!$M:$M,"USD")</f>
        <v>38900000</v>
      </c>
      <c r="K13" s="11">
        <f>SUMIFS('Raw Data'!$L:$L,'Raw Data'!$B:$B,$B$2,'Raw Data'!$J:$J,K$2,'Raw Data'!$K:$K,"trailing_chart_point",'Raw Data'!$A:$A,DATE(LEFT(K$2,4),RIGHT(K$2,2),1),'Raw Data'!$H:$H,"USD",'Raw Data'!$I:$I,"",'Raw Data'!$M:$M,"USD")</f>
        <v>39000000</v>
      </c>
      <c r="L13" s="11">
        <f>SUMIFS('Raw Data'!$L:$L,'Raw Data'!$B:$B,$B$2,'Raw Data'!$J:$J,L$2,'Raw Data'!$K:$K,"trailing_chart_point",'Raw Data'!$A:$A,DATE(LEFT(L$2,4),RIGHT(L$2,2),1),'Raw Data'!$H:$H,"USD",'Raw Data'!$I:$I,"",'Raw Data'!$M:$M,"USD")</f>
        <v>32600000</v>
      </c>
      <c r="M13" s="11">
        <f>SUMIFS('Raw Data'!$L:$L,'Raw Data'!$B:$B,$B$2,'Raw Data'!$J:$J,M$2,'Raw Data'!$K:$K,"trailing_chart_point",'Raw Data'!$A:$A,DATE(LEFT(M$2,4),RIGHT(M$2,2),1),'Raw Data'!$H:$H,"USD",'Raw Data'!$I:$I,"",'Raw Data'!$M:$M,"USD")</f>
        <v>40300000</v>
      </c>
      <c r="N13" s="11">
        <f>SUMIFS('Raw Data'!$L:$L,'Raw Data'!$B:$B,$B$2,'Raw Data'!$J:$J,N$2,'Raw Data'!$K:$K,"trailing_chart_point",'Raw Data'!$A:$A,DATE(LEFT(N$2,4),RIGHT(N$2,2),1),'Raw Data'!$H:$H,"USD",'Raw Data'!$I:$I,"",'Raw Data'!$M:$M,"USD")</f>
        <v>42400000</v>
      </c>
      <c r="O13" s="11">
        <f>SUMIFS('Raw Data'!$L:$L,'Raw Data'!$B:$B,$B$2,'Raw Data'!$J:$J,O$2,'Raw Data'!$K:$K,"trailing_chart_point",'Raw Data'!$A:$A,DATE(LEFT(O$2,4),RIGHT(O$2,2),1),'Raw Data'!$H:$H,"USD",'Raw Data'!$I:$I,"",'Raw Data'!$M:$M,"USD")</f>
        <v>39800000</v>
      </c>
      <c r="P13" s="11">
        <f>SUMIFS('Raw Data'!$L:$L,'Raw Data'!$B:$B,$B$2,'Raw Data'!$J:$J,P$2,'Raw Data'!$K:$K,"trailing_chart_point",'Raw Data'!$A:$A,DATE(LEFT(P$2,4),RIGHT(P$2,2),1),'Raw Data'!$H:$H,"USD",'Raw Data'!$I:$I,"",'Raw Data'!$M:$M,"USD")</f>
        <v>40600000</v>
      </c>
      <c r="Q13" s="11">
        <f>SUMIFS('Raw Data'!$L:$L,'Raw Data'!$B:$B,$B$2,'Raw Data'!$J:$J,Q$2,'Raw Data'!$K:$K,"trailing_chart_point",'Raw Data'!$A:$A,DATE(LEFT(Q$2,4),RIGHT(Q$2,2),1),'Raw Data'!$H:$H,"USD",'Raw Data'!$I:$I,"",'Raw Data'!$M:$M,"USD")</f>
        <v>40200000</v>
      </c>
      <c r="R13" s="11">
        <f>SUMIFS('Raw Data'!$L:$L,'Raw Data'!$B:$B,$B$2,'Raw Data'!$J:$J,R$2,'Raw Data'!$K:$K,"trailing_chart_point",'Raw Data'!$A:$A,DATE(LEFT(R$2,4),RIGHT(R$2,2),1),'Raw Data'!$H:$H,"USD",'Raw Data'!$I:$I,"",'Raw Data'!$M:$M,"USD")</f>
        <v>41200000</v>
      </c>
      <c r="S13" s="11">
        <f>SUMIFS('Raw Data'!$L:$L,'Raw Data'!$B:$B,$B$2,'Raw Data'!$J:$J,S$2,'Raw Data'!$K:$K,"trailing_chart_point",'Raw Data'!$A:$A,DATE(LEFT(S$2,4),RIGHT(S$2,2),1),'Raw Data'!$H:$H,"USD",'Raw Data'!$I:$I,"",'Raw Data'!$M:$M,"USD")</f>
        <v>38800000</v>
      </c>
      <c r="T13" s="11">
        <f>SUMIFS('Raw Data'!$L:$L,'Raw Data'!$B:$B,$B$2,'Raw Data'!$J:$J,T$2,'Raw Data'!$K:$K,"trailing_chart_point",'Raw Data'!$A:$A,DATE(LEFT(T$2,4),RIGHT(T$2,2),1),'Raw Data'!$H:$H,"USD",'Raw Data'!$I:$I,"",'Raw Data'!$M:$M,"USD")</f>
        <v>37900000</v>
      </c>
      <c r="U13" s="11">
        <f>SUMIFS('Raw Data'!$L:$L,'Raw Data'!$B:$B,$B$2,'Raw Data'!$J:$J,U$2,'Raw Data'!$K:$K,"trailing_chart_point",'Raw Data'!$A:$A,DATE(LEFT(U$2,4),RIGHT(U$2,2),1),'Raw Data'!$H:$H,"USD",'Raw Data'!$I:$I,"",'Raw Data'!$M:$M,"USD")</f>
        <v>35700000</v>
      </c>
      <c r="V13" s="11">
        <f>SUMIFS('Raw Data'!$L:$L,'Raw Data'!$B:$B,$B$2,'Raw Data'!$J:$J,V$2,'Raw Data'!$K:$K,"trailing_chart_point",'Raw Data'!$A:$A,DATE(LEFT(V$2,4),RIGHT(V$2,2),1),'Raw Data'!$H:$H,"USD",'Raw Data'!$I:$I,"",'Raw Data'!$M:$M,"USD")</f>
        <v>36200000</v>
      </c>
      <c r="W13" s="11">
        <f>SUMIFS('Raw Data'!$L:$L,'Raw Data'!$B:$B,$B$2,'Raw Data'!$J:$J,W$2,'Raw Data'!$K:$K,"trailing_chart_point",'Raw Data'!$A:$A,DATE(LEFT(W$2,4),RIGHT(W$2,2),1),'Raw Data'!$H:$H,"USD",'Raw Data'!$I:$I,"",'Raw Data'!$M:$M,"USD")</f>
        <v>37800000</v>
      </c>
      <c r="X13" s="11">
        <f>SUMIFS('Raw Data'!$L:$L,'Raw Data'!$B:$B,$B$2,'Raw Data'!$J:$J,X$2,'Raw Data'!$K:$K,"trailing_chart_point",'Raw Data'!$A:$A,DATE(LEFT(X$2,4),RIGHT(X$2,2),1),'Raw Data'!$H:$H,"USD",'Raw Data'!$I:$I,"",'Raw Data'!$M:$M,"USD")</f>
        <v>41700000</v>
      </c>
      <c r="Y13" s="11">
        <f>SUMIFS('Raw Data'!$L:$L,'Raw Data'!$B:$B,$B$2,'Raw Data'!$J:$J,Y$2,'Raw Data'!$K:$K,"trailing_chart_point",'Raw Data'!$A:$A,DATE(LEFT(Y$2,4),RIGHT(Y$2,2),1),'Raw Data'!$H:$H,"USD",'Raw Data'!$I:$I,"",'Raw Data'!$M:$M,"USD")</f>
        <v>41400000</v>
      </c>
      <c r="Z13" s="11">
        <f>SUMIFS('Raw Data'!$L:$L,'Raw Data'!$B:$B,$B$2,'Raw Data'!$J:$J,Z$2,'Raw Data'!$K:$K,"trailing_chart_point",'Raw Data'!$A:$A,DATE(LEFT(Z$2,4),RIGHT(Z$2,2),1),'Raw Data'!$H:$H,"USD",'Raw Data'!$I:$I,"",'Raw Data'!$M:$M,"USD")</f>
        <v>43400000</v>
      </c>
    </row>
    <row r="14" spans="1:26" x14ac:dyDescent="0.25">
      <c r="A14" s="10" t="s">
        <v>148</v>
      </c>
      <c r="B14" s="10" t="s">
        <v>154</v>
      </c>
      <c r="C14" s="11">
        <f>SUMIFS('Raw Data'!$L:$L,'Raw Data'!$B:$B,$B$2,'Raw Data'!$J:$J,C$2,'Raw Data'!$K:$K,"trailing_chart_point",'Raw Data'!$A:$A,DATE(LEFT(C$2,4),RIGHT(C$2,2),1),'Raw Data'!$H:$H,"EUR",'Raw Data'!$I:$I,"",'Raw Data'!$M:$M,"EUR")</f>
        <v>3000000</v>
      </c>
      <c r="D14" s="11">
        <f>SUMIFS('Raw Data'!$L:$L,'Raw Data'!$B:$B,$B$2,'Raw Data'!$J:$J,D$2,'Raw Data'!$K:$K,"trailing_chart_point",'Raw Data'!$A:$A,DATE(LEFT(D$2,4),RIGHT(D$2,2),1),'Raw Data'!$H:$H,"EUR",'Raw Data'!$I:$I,"",'Raw Data'!$M:$M,"EUR")</f>
        <v>3070000</v>
      </c>
      <c r="E14" s="11">
        <f>SUMIFS('Raw Data'!$L:$L,'Raw Data'!$B:$B,$B$2,'Raw Data'!$J:$J,E$2,'Raw Data'!$K:$K,"trailing_chart_point",'Raw Data'!$A:$A,DATE(LEFT(E$2,4),RIGHT(E$2,2),1),'Raw Data'!$H:$H,"EUR",'Raw Data'!$I:$I,"",'Raw Data'!$M:$M,"EUR")</f>
        <v>2300000</v>
      </c>
      <c r="F14" s="11">
        <f>SUMIFS('Raw Data'!$L:$L,'Raw Data'!$B:$B,$B$2,'Raw Data'!$J:$J,F$2,'Raw Data'!$K:$K,"trailing_chart_point",'Raw Data'!$A:$A,DATE(LEFT(F$2,4),RIGHT(F$2,2),1),'Raw Data'!$H:$H,"EUR",'Raw Data'!$I:$I,"",'Raw Data'!$M:$M,"EUR")</f>
        <v>2790000</v>
      </c>
      <c r="G14" s="11">
        <f>SUMIFS('Raw Data'!$L:$L,'Raw Data'!$B:$B,$B$2,'Raw Data'!$J:$J,G$2,'Raw Data'!$K:$K,"trailing_chart_point",'Raw Data'!$A:$A,DATE(LEFT(G$2,4),RIGHT(G$2,2),1),'Raw Data'!$H:$H,"EUR",'Raw Data'!$I:$I,"",'Raw Data'!$M:$M,"EUR")</f>
        <v>2960000</v>
      </c>
      <c r="H14" s="11">
        <f>SUMIFS('Raw Data'!$L:$L,'Raw Data'!$B:$B,$B$2,'Raw Data'!$J:$J,H$2,'Raw Data'!$K:$K,"trailing_chart_point",'Raw Data'!$A:$A,DATE(LEFT(H$2,4),RIGHT(H$2,2),1),'Raw Data'!$H:$H,"EUR",'Raw Data'!$I:$I,"",'Raw Data'!$M:$M,"EUR")</f>
        <v>2660000</v>
      </c>
      <c r="I14" s="11">
        <f>SUMIFS('Raw Data'!$L:$L,'Raw Data'!$B:$B,$B$2,'Raw Data'!$J:$J,I$2,'Raw Data'!$K:$K,"trailing_chart_point",'Raw Data'!$A:$A,DATE(LEFT(I$2,4),RIGHT(I$2,2),1),'Raw Data'!$H:$H,"EUR",'Raw Data'!$I:$I,"",'Raw Data'!$M:$M,"EUR")</f>
        <v>3270000</v>
      </c>
      <c r="J14" s="11">
        <f>SUMIFS('Raw Data'!$L:$L,'Raw Data'!$B:$B,$B$2,'Raw Data'!$J:$J,J$2,'Raw Data'!$K:$K,"trailing_chart_point",'Raw Data'!$A:$A,DATE(LEFT(J$2,4),RIGHT(J$2,2),1),'Raw Data'!$H:$H,"EUR",'Raw Data'!$I:$I,"",'Raw Data'!$M:$M,"EUR")</f>
        <v>2620000</v>
      </c>
      <c r="K14" s="11">
        <f>SUMIFS('Raw Data'!$L:$L,'Raw Data'!$B:$B,$B$2,'Raw Data'!$J:$J,K$2,'Raw Data'!$K:$K,"trailing_chart_point",'Raw Data'!$A:$A,DATE(LEFT(K$2,4),RIGHT(K$2,2),1),'Raw Data'!$H:$H,"EUR",'Raw Data'!$I:$I,"",'Raw Data'!$M:$M,"EUR")</f>
        <v>2840000</v>
      </c>
      <c r="L14" s="11">
        <f>SUMIFS('Raw Data'!$L:$L,'Raw Data'!$B:$B,$B$2,'Raw Data'!$J:$J,L$2,'Raw Data'!$K:$K,"trailing_chart_point",'Raw Data'!$A:$A,DATE(LEFT(L$2,4),RIGHT(L$2,2),1),'Raw Data'!$H:$H,"EUR",'Raw Data'!$I:$I,"",'Raw Data'!$M:$M,"EUR")</f>
        <v>2460000</v>
      </c>
      <c r="M14" s="11">
        <f>SUMIFS('Raw Data'!$L:$L,'Raw Data'!$B:$B,$B$2,'Raw Data'!$J:$J,M$2,'Raw Data'!$K:$K,"trailing_chart_point",'Raw Data'!$A:$A,DATE(LEFT(M$2,4),RIGHT(M$2,2),1),'Raw Data'!$H:$H,"EUR",'Raw Data'!$I:$I,"",'Raw Data'!$M:$M,"EUR")</f>
        <v>3350000</v>
      </c>
      <c r="N14" s="11">
        <f>SUMIFS('Raw Data'!$L:$L,'Raw Data'!$B:$B,$B$2,'Raw Data'!$J:$J,N$2,'Raw Data'!$K:$K,"trailing_chart_point",'Raw Data'!$A:$A,DATE(LEFT(N$2,4),RIGHT(N$2,2),1),'Raw Data'!$H:$H,"EUR",'Raw Data'!$I:$I,"",'Raw Data'!$M:$M,"EUR")</f>
        <v>2860000</v>
      </c>
      <c r="O14" s="11">
        <f>SUMIFS('Raw Data'!$L:$L,'Raw Data'!$B:$B,$B$2,'Raw Data'!$J:$J,O$2,'Raw Data'!$K:$K,"trailing_chart_point",'Raw Data'!$A:$A,DATE(LEFT(O$2,4),RIGHT(O$2,2),1),'Raw Data'!$H:$H,"EUR",'Raw Data'!$I:$I,"",'Raw Data'!$M:$M,"EUR")</f>
        <v>3120000</v>
      </c>
      <c r="P14" s="11">
        <f>SUMIFS('Raw Data'!$L:$L,'Raw Data'!$B:$B,$B$2,'Raw Data'!$J:$J,P$2,'Raw Data'!$K:$K,"trailing_chart_point",'Raw Data'!$A:$A,DATE(LEFT(P$2,4),RIGHT(P$2,2),1),'Raw Data'!$H:$H,"EUR",'Raw Data'!$I:$I,"",'Raw Data'!$M:$M,"EUR")</f>
        <v>2800000</v>
      </c>
      <c r="Q14" s="11">
        <f>SUMIFS('Raw Data'!$L:$L,'Raw Data'!$B:$B,$B$2,'Raw Data'!$J:$J,Q$2,'Raw Data'!$K:$K,"trailing_chart_point",'Raw Data'!$A:$A,DATE(LEFT(Q$2,4),RIGHT(Q$2,2),1),'Raw Data'!$H:$H,"EUR",'Raw Data'!$I:$I,"",'Raw Data'!$M:$M,"EUR")</f>
        <v>2650000</v>
      </c>
      <c r="R14" s="11">
        <f>SUMIFS('Raw Data'!$L:$L,'Raw Data'!$B:$B,$B$2,'Raw Data'!$J:$J,R$2,'Raw Data'!$K:$K,"trailing_chart_point",'Raw Data'!$A:$A,DATE(LEFT(R$2,4),RIGHT(R$2,2),1),'Raw Data'!$H:$H,"EUR",'Raw Data'!$I:$I,"",'Raw Data'!$M:$M,"EUR")</f>
        <v>2510000</v>
      </c>
      <c r="S14" s="11">
        <f>SUMIFS('Raw Data'!$L:$L,'Raw Data'!$B:$B,$B$2,'Raw Data'!$J:$J,S$2,'Raw Data'!$K:$K,"trailing_chart_point",'Raw Data'!$A:$A,DATE(LEFT(S$2,4),RIGHT(S$2,2),1),'Raw Data'!$H:$H,"EUR",'Raw Data'!$I:$I,"",'Raw Data'!$M:$M,"EUR")</f>
        <v>2470000</v>
      </c>
      <c r="T14" s="11">
        <f>SUMIFS('Raw Data'!$L:$L,'Raw Data'!$B:$B,$B$2,'Raw Data'!$J:$J,T$2,'Raw Data'!$K:$K,"trailing_chart_point",'Raw Data'!$A:$A,DATE(LEFT(T$2,4),RIGHT(T$2,2),1),'Raw Data'!$H:$H,"EUR",'Raw Data'!$I:$I,"",'Raw Data'!$M:$M,"EUR")</f>
        <v>2810000</v>
      </c>
      <c r="U14" s="11">
        <f>SUMIFS('Raw Data'!$L:$L,'Raw Data'!$B:$B,$B$2,'Raw Data'!$J:$J,U$2,'Raw Data'!$K:$K,"trailing_chart_point",'Raw Data'!$A:$A,DATE(LEFT(U$2,4),RIGHT(U$2,2),1),'Raw Data'!$H:$H,"EUR",'Raw Data'!$I:$I,"",'Raw Data'!$M:$M,"EUR")</f>
        <v>2480000</v>
      </c>
      <c r="V14" s="11">
        <f>SUMIFS('Raw Data'!$L:$L,'Raw Data'!$B:$B,$B$2,'Raw Data'!$J:$J,V$2,'Raw Data'!$K:$K,"trailing_chart_point",'Raw Data'!$A:$A,DATE(LEFT(V$2,4),RIGHT(V$2,2),1),'Raw Data'!$H:$H,"EUR",'Raw Data'!$I:$I,"",'Raw Data'!$M:$M,"EUR")</f>
        <v>2400000</v>
      </c>
      <c r="W14" s="11">
        <f>SUMIFS('Raw Data'!$L:$L,'Raw Data'!$B:$B,$B$2,'Raw Data'!$J:$J,W$2,'Raw Data'!$K:$K,"trailing_chart_point",'Raw Data'!$A:$A,DATE(LEFT(W$2,4),RIGHT(W$2,2),1),'Raw Data'!$H:$H,"EUR",'Raw Data'!$I:$I,"",'Raw Data'!$M:$M,"EUR")</f>
        <v>2810000</v>
      </c>
      <c r="X14" s="11">
        <f>SUMIFS('Raw Data'!$L:$L,'Raw Data'!$B:$B,$B$2,'Raw Data'!$J:$J,X$2,'Raw Data'!$K:$K,"trailing_chart_point",'Raw Data'!$A:$A,DATE(LEFT(X$2,4),RIGHT(X$2,2),1),'Raw Data'!$H:$H,"EUR",'Raw Data'!$I:$I,"",'Raw Data'!$M:$M,"EUR")</f>
        <v>3070000</v>
      </c>
      <c r="Y14" s="11">
        <f>SUMIFS('Raw Data'!$L:$L,'Raw Data'!$B:$B,$B$2,'Raw Data'!$J:$J,Y$2,'Raw Data'!$K:$K,"trailing_chart_point",'Raw Data'!$A:$A,DATE(LEFT(Y$2,4),RIGHT(Y$2,2),1),'Raw Data'!$H:$H,"EUR",'Raw Data'!$I:$I,"",'Raw Data'!$M:$M,"EUR")</f>
        <v>2670000</v>
      </c>
      <c r="Z14" s="11">
        <f>SUMIFS('Raw Data'!$L:$L,'Raw Data'!$B:$B,$B$2,'Raw Data'!$J:$J,Z$2,'Raw Data'!$K:$K,"trailing_chart_point",'Raw Data'!$A:$A,DATE(LEFT(Z$2,4),RIGHT(Z$2,2),1),'Raw Data'!$H:$H,"EUR",'Raw Data'!$I:$I,"",'Raw Data'!$M:$M,"EUR")</f>
        <v>2900000</v>
      </c>
    </row>
    <row r="15" spans="1:26" x14ac:dyDescent="0.25">
      <c r="A15" s="10" t="s">
        <v>148</v>
      </c>
      <c r="B15" s="10" t="s">
        <v>155</v>
      </c>
      <c r="C15" s="11">
        <f>SUMIFS('Raw Data'!$L:$L,'Raw Data'!$B:$B,$B$2,'Raw Data'!$J:$J,C$2,'Raw Data'!$K:$K,"trailing_chart_point",'Raw Data'!$A:$A,DATE(LEFT(C$2,4),RIGHT(C$2,2),1),'Raw Data'!$H:$H,"GBP",'Raw Data'!$I:$I,"",'Raw Data'!$M:$M,"GBP")</f>
        <v>250000</v>
      </c>
      <c r="D15" s="11">
        <f>SUMIFS('Raw Data'!$L:$L,'Raw Data'!$B:$B,$B$2,'Raw Data'!$J:$J,D$2,'Raw Data'!$K:$K,"trailing_chart_point",'Raw Data'!$A:$A,DATE(LEFT(D$2,4),RIGHT(D$2,2),1),'Raw Data'!$H:$H,"GBP",'Raw Data'!$I:$I,"",'Raw Data'!$M:$M,"GBP")</f>
        <v>380000</v>
      </c>
      <c r="E15" s="11">
        <f>SUMIFS('Raw Data'!$L:$L,'Raw Data'!$B:$B,$B$2,'Raw Data'!$J:$J,E$2,'Raw Data'!$K:$K,"trailing_chart_point",'Raw Data'!$A:$A,DATE(LEFT(E$2,4),RIGHT(E$2,2),1),'Raw Data'!$H:$H,"GBP",'Raw Data'!$I:$I,"",'Raw Data'!$M:$M,"GBP")</f>
        <v>270000</v>
      </c>
      <c r="F15" s="11">
        <f>SUMIFS('Raw Data'!$L:$L,'Raw Data'!$B:$B,$B$2,'Raw Data'!$J:$J,F$2,'Raw Data'!$K:$K,"trailing_chart_point",'Raw Data'!$A:$A,DATE(LEFT(F$2,4),RIGHT(F$2,2),1),'Raw Data'!$H:$H,"GBP",'Raw Data'!$I:$I,"",'Raw Data'!$M:$M,"GBP")</f>
        <v>250000</v>
      </c>
      <c r="G15" s="11">
        <f>SUMIFS('Raw Data'!$L:$L,'Raw Data'!$B:$B,$B$2,'Raw Data'!$J:$J,G$2,'Raw Data'!$K:$K,"trailing_chart_point",'Raw Data'!$A:$A,DATE(LEFT(G$2,4),RIGHT(G$2,2),1),'Raw Data'!$H:$H,"GBP",'Raw Data'!$I:$I,"",'Raw Data'!$M:$M,"GBP")</f>
        <v>320000</v>
      </c>
      <c r="H15" s="11">
        <f>SUMIFS('Raw Data'!$L:$L,'Raw Data'!$B:$B,$B$2,'Raw Data'!$J:$J,H$2,'Raw Data'!$K:$K,"trailing_chart_point",'Raw Data'!$A:$A,DATE(LEFT(H$2,4),RIGHT(H$2,2),1),'Raw Data'!$H:$H,"GBP",'Raw Data'!$I:$I,"",'Raw Data'!$M:$M,"GBP")</f>
        <v>410000</v>
      </c>
      <c r="I15" s="11">
        <f>SUMIFS('Raw Data'!$L:$L,'Raw Data'!$B:$B,$B$2,'Raw Data'!$J:$J,I$2,'Raw Data'!$K:$K,"trailing_chart_point",'Raw Data'!$A:$A,DATE(LEFT(I$2,4),RIGHT(I$2,2),1),'Raw Data'!$H:$H,"GBP",'Raw Data'!$I:$I,"",'Raw Data'!$M:$M,"GBP")</f>
        <v>380000</v>
      </c>
      <c r="J15" s="11">
        <f>SUMIFS('Raw Data'!$L:$L,'Raw Data'!$B:$B,$B$2,'Raw Data'!$J:$J,J$2,'Raw Data'!$K:$K,"trailing_chart_point",'Raw Data'!$A:$A,DATE(LEFT(J$2,4),RIGHT(J$2,2),1),'Raw Data'!$H:$H,"GBP",'Raw Data'!$I:$I,"",'Raw Data'!$M:$M,"GBP")</f>
        <v>160000</v>
      </c>
      <c r="K15" s="11">
        <f>SUMIFS('Raw Data'!$L:$L,'Raw Data'!$B:$B,$B$2,'Raw Data'!$J:$J,K$2,'Raw Data'!$K:$K,"trailing_chart_point",'Raw Data'!$A:$A,DATE(LEFT(K$2,4),RIGHT(K$2,2),1),'Raw Data'!$H:$H,"GBP",'Raw Data'!$I:$I,"",'Raw Data'!$M:$M,"GBP")</f>
        <v>410000</v>
      </c>
      <c r="L15" s="11">
        <f>SUMIFS('Raw Data'!$L:$L,'Raw Data'!$B:$B,$B$2,'Raw Data'!$J:$J,L$2,'Raw Data'!$K:$K,"trailing_chart_point",'Raw Data'!$A:$A,DATE(LEFT(L$2,4),RIGHT(L$2,2),1),'Raw Data'!$H:$H,"GBP",'Raw Data'!$I:$I,"",'Raw Data'!$M:$M,"GBP")</f>
        <v>360000</v>
      </c>
      <c r="M15" s="11">
        <f>SUMIFS('Raw Data'!$L:$L,'Raw Data'!$B:$B,$B$2,'Raw Data'!$J:$J,M$2,'Raw Data'!$K:$K,"trailing_chart_point",'Raw Data'!$A:$A,DATE(LEFT(M$2,4),RIGHT(M$2,2),1),'Raw Data'!$H:$H,"GBP",'Raw Data'!$I:$I,"",'Raw Data'!$M:$M,"GBP")</f>
        <v>430000</v>
      </c>
      <c r="N15" s="11">
        <f>SUMIFS('Raw Data'!$L:$L,'Raw Data'!$B:$B,$B$2,'Raw Data'!$J:$J,N$2,'Raw Data'!$K:$K,"trailing_chart_point",'Raw Data'!$A:$A,DATE(LEFT(N$2,4),RIGHT(N$2,2),1),'Raw Data'!$H:$H,"GBP",'Raw Data'!$I:$I,"",'Raw Data'!$M:$M,"GBP")</f>
        <v>280000</v>
      </c>
      <c r="O15" s="11">
        <f>SUMIFS('Raw Data'!$L:$L,'Raw Data'!$B:$B,$B$2,'Raw Data'!$J:$J,O$2,'Raw Data'!$K:$K,"trailing_chart_point",'Raw Data'!$A:$A,DATE(LEFT(O$2,4),RIGHT(O$2,2),1),'Raw Data'!$H:$H,"GBP",'Raw Data'!$I:$I,"",'Raw Data'!$M:$M,"GBP")</f>
        <v>360000</v>
      </c>
      <c r="P15" s="11">
        <f>SUMIFS('Raw Data'!$L:$L,'Raw Data'!$B:$B,$B$2,'Raw Data'!$J:$J,P$2,'Raw Data'!$K:$K,"trailing_chart_point",'Raw Data'!$A:$A,DATE(LEFT(P$2,4),RIGHT(P$2,2),1),'Raw Data'!$H:$H,"GBP",'Raw Data'!$I:$I,"",'Raw Data'!$M:$M,"GBP")</f>
        <v>390000</v>
      </c>
      <c r="Q15" s="11">
        <f>SUMIFS('Raw Data'!$L:$L,'Raw Data'!$B:$B,$B$2,'Raw Data'!$J:$J,Q$2,'Raw Data'!$K:$K,"trailing_chart_point",'Raw Data'!$A:$A,DATE(LEFT(Q$2,4),RIGHT(Q$2,2),1),'Raw Data'!$H:$H,"GBP",'Raw Data'!$I:$I,"",'Raw Data'!$M:$M,"GBP")</f>
        <v>290000</v>
      </c>
      <c r="R15" s="11">
        <f>SUMIFS('Raw Data'!$L:$L,'Raw Data'!$B:$B,$B$2,'Raw Data'!$J:$J,R$2,'Raw Data'!$K:$K,"trailing_chart_point",'Raw Data'!$A:$A,DATE(LEFT(R$2,4),RIGHT(R$2,2),1),'Raw Data'!$H:$H,"GBP",'Raw Data'!$I:$I,"",'Raw Data'!$M:$M,"GBP")</f>
        <v>330000</v>
      </c>
      <c r="S15" s="11">
        <f>SUMIFS('Raw Data'!$L:$L,'Raw Data'!$B:$B,$B$2,'Raw Data'!$J:$J,S$2,'Raw Data'!$K:$K,"trailing_chart_point",'Raw Data'!$A:$A,DATE(LEFT(S$2,4),RIGHT(S$2,2),1),'Raw Data'!$H:$H,"GBP",'Raw Data'!$I:$I,"",'Raw Data'!$M:$M,"GBP")</f>
        <v>240000</v>
      </c>
      <c r="T15" s="11">
        <f>SUMIFS('Raw Data'!$L:$L,'Raw Data'!$B:$B,$B$2,'Raw Data'!$J:$J,T$2,'Raw Data'!$K:$K,"trailing_chart_point",'Raw Data'!$A:$A,DATE(LEFT(T$2,4),RIGHT(T$2,2),1),'Raw Data'!$H:$H,"GBP",'Raw Data'!$I:$I,"",'Raw Data'!$M:$M,"GBP")</f>
        <v>280000</v>
      </c>
      <c r="U15" s="11">
        <f>SUMIFS('Raw Data'!$L:$L,'Raw Data'!$B:$B,$B$2,'Raw Data'!$J:$J,U$2,'Raw Data'!$K:$K,"trailing_chart_point",'Raw Data'!$A:$A,DATE(LEFT(U$2,4),RIGHT(U$2,2),1),'Raw Data'!$H:$H,"GBP",'Raw Data'!$I:$I,"",'Raw Data'!$M:$M,"GBP")</f>
        <v>320000</v>
      </c>
      <c r="V15" s="11">
        <f>SUMIFS('Raw Data'!$L:$L,'Raw Data'!$B:$B,$B$2,'Raw Data'!$J:$J,V$2,'Raw Data'!$K:$K,"trailing_chart_point",'Raw Data'!$A:$A,DATE(LEFT(V$2,4),RIGHT(V$2,2),1),'Raw Data'!$H:$H,"GBP",'Raw Data'!$I:$I,"",'Raw Data'!$M:$M,"GBP")</f>
        <v>230000</v>
      </c>
      <c r="W15" s="11">
        <f>SUMIFS('Raw Data'!$L:$L,'Raw Data'!$B:$B,$B$2,'Raw Data'!$J:$J,W$2,'Raw Data'!$K:$K,"trailing_chart_point",'Raw Data'!$A:$A,DATE(LEFT(W$2,4),RIGHT(W$2,2),1),'Raw Data'!$H:$H,"GBP",'Raw Data'!$I:$I,"",'Raw Data'!$M:$M,"GBP")</f>
        <v>270000</v>
      </c>
      <c r="X15" s="11">
        <f>SUMIFS('Raw Data'!$L:$L,'Raw Data'!$B:$B,$B$2,'Raw Data'!$J:$J,X$2,'Raw Data'!$K:$K,"trailing_chart_point",'Raw Data'!$A:$A,DATE(LEFT(X$2,4),RIGHT(X$2,2),1),'Raw Data'!$H:$H,"GBP",'Raw Data'!$I:$I,"",'Raw Data'!$M:$M,"GBP")</f>
        <v>390000</v>
      </c>
      <c r="Y15" s="11">
        <f>SUMIFS('Raw Data'!$L:$L,'Raw Data'!$B:$B,$B$2,'Raw Data'!$J:$J,Y$2,'Raw Data'!$K:$K,"trailing_chart_point",'Raw Data'!$A:$A,DATE(LEFT(Y$2,4),RIGHT(Y$2,2),1),'Raw Data'!$H:$H,"GBP",'Raw Data'!$I:$I,"",'Raw Data'!$M:$M,"GBP")</f>
        <v>350000</v>
      </c>
      <c r="Z15" s="11">
        <f>SUMIFS('Raw Data'!$L:$L,'Raw Data'!$B:$B,$B$2,'Raw Data'!$J:$J,Z$2,'Raw Data'!$K:$K,"trailing_chart_point",'Raw Data'!$A:$A,DATE(LEFT(Z$2,4),RIGHT(Z$2,2),1),'Raw Data'!$H:$H,"GBP",'Raw Data'!$I:$I,"",'Raw Data'!$M:$M,"GBP")</f>
        <v>480000</v>
      </c>
    </row>
  </sheetData>
  <mergeCells count="5">
    <mergeCell ref="A1:Z1"/>
    <mergeCell ref="A4:Z4"/>
    <mergeCell ref="A6:Z6"/>
    <mergeCell ref="A8:Z8"/>
    <mergeCell ref="A12:Z1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E7490"/>
  </sheetPr>
  <dimension ref="A1:Z9"/>
  <sheetViews>
    <sheetView showGridLines="0" zoomScaleNormal="100" workbookViewId="0">
      <pane xSplit="2" ySplit="3" topLeftCell="P4" activePane="bottomRight" state="frozen"/>
      <selection pane="topRight" activeCell="C1" sqref="C1"/>
      <selection pane="bottomLeft" activeCell="A4" sqref="A4"/>
      <selection pane="bottomRight" activeCell="R12" sqref="R12"/>
    </sheetView>
  </sheetViews>
  <sheetFormatPr defaultColWidth="8.7109375" defaultRowHeight="15" x14ac:dyDescent="0.25"/>
  <cols>
    <col min="1" max="1" width="22" customWidth="1"/>
    <col min="2" max="2" width="40" customWidth="1"/>
    <col min="3" max="26" width="13" customWidth="1"/>
  </cols>
  <sheetData>
    <row r="1" spans="1:26" ht="25.5" customHeight="1" x14ac:dyDescent="0.25">
      <c r="A1" s="52" t="s">
        <v>4332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spans="1:26" ht="15" customHeight="1" x14ac:dyDescent="0.25">
      <c r="A2" s="6" t="s">
        <v>34</v>
      </c>
      <c r="B2" s="7" t="s">
        <v>156</v>
      </c>
      <c r="C2" s="8" t="str">
        <f>RIGHT(C$3,4)&amp;"-"&amp;TEXT(MATCH(LEFT(C$3,3),{"Jan","Feb","Mar","Apr","May","Jun","Jul","Aug","Sep","Oct","Nov","Dec"},0),"00")</f>
        <v>2024-09</v>
      </c>
      <c r="D2" s="8" t="str">
        <f>RIGHT(D$3,4)&amp;"-"&amp;TEXT(MATCH(LEFT(D$3,3),{"Jan","Feb","Mar","Apr","May","Jun","Jul","Aug","Sep","Oct","Nov","Dec"},0),"00")</f>
        <v>2024-10</v>
      </c>
      <c r="E2" s="8" t="str">
        <f>RIGHT(E$3,4)&amp;"-"&amp;TEXT(MATCH(LEFT(E$3,3),{"Jan","Feb","Mar","Apr","May","Jun","Jul","Aug","Sep","Oct","Nov","Dec"},0),"00")</f>
        <v>2024-11</v>
      </c>
      <c r="F2" s="8" t="str">
        <f>RIGHT(F$3,4)&amp;"-"&amp;TEXT(MATCH(LEFT(F$3,3),{"Jan","Feb","Mar","Apr","May","Jun","Jul","Aug","Sep","Oct","Nov","Dec"},0),"00")</f>
        <v>2024-12</v>
      </c>
      <c r="G2" s="8" t="str">
        <f>RIGHT(G$3,4)&amp;"-"&amp;TEXT(MATCH(LEFT(G$3,3),{"Jan","Feb","Mar","Apr","May","Jun","Jul","Aug","Sep","Oct","Nov","Dec"},0),"00")</f>
        <v>2025-01</v>
      </c>
      <c r="H2" s="8" t="str">
        <f>RIGHT(H$3,4)&amp;"-"&amp;TEXT(MATCH(LEFT(H$3,3),{"Jan","Feb","Mar","Apr","May","Jun","Jul","Aug","Sep","Oct","Nov","Dec"},0),"00")</f>
        <v>2025-02</v>
      </c>
      <c r="I2" s="8" t="str">
        <f>RIGHT(I$3,4)&amp;"-"&amp;TEXT(MATCH(LEFT(I$3,3),{"Jan","Feb","Mar","Apr","May","Jun","Jul","Aug","Sep","Oct","Nov","Dec"},0),"00")</f>
        <v>2025-03</v>
      </c>
      <c r="J2" s="8" t="str">
        <f>RIGHT(J$3,4)&amp;"-"&amp;TEXT(MATCH(LEFT(J$3,3),{"Jan","Feb","Mar","Apr","May","Jun","Jul","Aug","Sep","Oct","Nov","Dec"},0),"00")</f>
        <v>2025-04</v>
      </c>
      <c r="K2" s="8" t="str">
        <f>RIGHT(K$3,4)&amp;"-"&amp;TEXT(MATCH(LEFT(K$3,3),{"Jan","Feb","Mar","Apr","May","Jun","Jul","Aug","Sep","Oct","Nov","Dec"},0),"00")</f>
        <v>2025-05</v>
      </c>
      <c r="L2" s="8" t="str">
        <f>RIGHT(L$3,4)&amp;"-"&amp;TEXT(MATCH(LEFT(L$3,3),{"Jan","Feb","Mar","Apr","May","Jun","Jul","Aug","Sep","Oct","Nov","Dec"},0),"00")</f>
        <v>2025-06</v>
      </c>
      <c r="M2" s="8" t="str">
        <f>RIGHT(M$3,4)&amp;"-"&amp;TEXT(MATCH(LEFT(M$3,3),{"Jan","Feb","Mar","Apr","May","Jun","Jul","Aug","Sep","Oct","Nov","Dec"},0),"00")</f>
        <v>2025-07</v>
      </c>
      <c r="N2" s="8" t="str">
        <f>RIGHT(N$3,4)&amp;"-"&amp;TEXT(MATCH(LEFT(N$3,3),{"Jan","Feb","Mar","Apr","May","Jun","Jul","Aug","Sep","Oct","Nov","Dec"},0),"00")</f>
        <v>2025-08</v>
      </c>
      <c r="O2" s="8" t="str">
        <f>RIGHT(O$3,4)&amp;"-"&amp;TEXT(MATCH(LEFT(O$3,3),{"Jan","Feb","Mar","Apr","May","Jun","Jul","Aug","Sep","Oct","Nov","Dec"},0),"00")</f>
        <v>2025-09</v>
      </c>
      <c r="P2" s="8" t="str">
        <f>RIGHT(P$3,4)&amp;"-"&amp;TEXT(MATCH(LEFT(P$3,3),{"Jan","Feb","Mar","Apr","May","Jun","Jul","Aug","Sep","Oct","Nov","Dec"},0),"00")</f>
        <v>2025-10</v>
      </c>
      <c r="Q2" s="8" t="str">
        <f>RIGHT(Q$3,4)&amp;"-"&amp;TEXT(MATCH(LEFT(Q$3,3),{"Jan","Feb","Mar","Apr","May","Jun","Jul","Aug","Sep","Oct","Nov","Dec"},0),"00")</f>
        <v>2025-11</v>
      </c>
      <c r="R2" s="8" t="str">
        <f>RIGHT(R$3,4)&amp;"-"&amp;TEXT(MATCH(LEFT(R$3,3),{"Jan","Feb","Mar","Apr","May","Jun","Jul","Aug","Sep","Oct","Nov","Dec"},0),"00")</f>
        <v>2025-12</v>
      </c>
      <c r="S2" s="8" t="str">
        <f>RIGHT(S$3,4)&amp;"-"&amp;TEXT(MATCH(LEFT(S$3,3),{"Jan","Feb","Mar","Apr","May","Jun","Jul","Aug","Sep","Oct","Nov","Dec"},0),"00")</f>
        <v>2026-01</v>
      </c>
      <c r="T2" s="8" t="str">
        <f>RIGHT(T$3,4)&amp;"-"&amp;TEXT(MATCH(LEFT(T$3,3),{"Jan","Feb","Mar","Apr","May","Jun","Jul","Aug","Sep","Oct","Nov","Dec"},0),"00")</f>
        <v>2026-02</v>
      </c>
      <c r="U2" s="8" t="str">
        <f>RIGHT(U$3,4)&amp;"-"&amp;TEXT(MATCH(LEFT(U$3,3),{"Jan","Feb","Mar","Apr","May","Jun","Jul","Aug","Sep","Oct","Nov","Dec"},0),"00")</f>
        <v>2026-03</v>
      </c>
      <c r="V2" s="8" t="str">
        <f>RIGHT(V$3,4)&amp;"-"&amp;TEXT(MATCH(LEFT(V$3,3),{"Jan","Feb","Mar","Apr","May","Jun","Jul","Aug","Sep","Oct","Nov","Dec"},0),"00")</f>
        <v>2026-04</v>
      </c>
      <c r="W2" s="8" t="str">
        <f>RIGHT(W$3,4)&amp;"-"&amp;TEXT(MATCH(LEFT(W$3,3),{"Jan","Feb","Mar","Apr","May","Jun","Jul","Aug","Sep","Oct","Nov","Dec"},0),"00")</f>
        <v>2026-05</v>
      </c>
      <c r="X2" s="8" t="str">
        <f>RIGHT(X$3,4)&amp;"-"&amp;TEXT(MATCH(LEFT(X$3,3),{"Jan","Feb","Mar","Apr","May","Jun","Jul","Aug","Sep","Oct","Nov","Dec"},0),"00")</f>
        <v>2026-06</v>
      </c>
      <c r="Y2" s="8" t="str">
        <f>RIGHT(Y$3,4)&amp;"-"&amp;TEXT(MATCH(LEFT(Y$3,3),{"Jan","Feb","Mar","Apr","May","Jun","Jul","Aug","Sep","Oct","Nov","Dec"},0),"00")</f>
        <v>2026-07</v>
      </c>
      <c r="Z2" s="8" t="str">
        <f>RIGHT(Z$3,4)&amp;"-"&amp;TEXT(MATCH(LEFT(Z$3,3),{"Jan","Feb","Mar","Apr","May","Jun","Jul","Aug","Sep","Oct","Nov","Dec"},0),"00")</f>
        <v>2026-08</v>
      </c>
    </row>
    <row r="3" spans="1:26" ht="19.5" customHeight="1" x14ac:dyDescent="0.25">
      <c r="A3" s="9" t="s">
        <v>36</v>
      </c>
      <c r="B3" s="9" t="s">
        <v>37</v>
      </c>
      <c r="C3" s="9" t="s">
        <v>38</v>
      </c>
      <c r="D3" s="9" t="s">
        <v>39</v>
      </c>
      <c r="E3" s="9" t="s">
        <v>40</v>
      </c>
      <c r="F3" s="9" t="s">
        <v>41</v>
      </c>
      <c r="G3" s="9" t="s">
        <v>42</v>
      </c>
      <c r="H3" s="9" t="s">
        <v>43</v>
      </c>
      <c r="I3" s="9" t="s">
        <v>44</v>
      </c>
      <c r="J3" s="9" t="s">
        <v>45</v>
      </c>
      <c r="K3" s="9" t="s">
        <v>46</v>
      </c>
      <c r="L3" s="9" t="s">
        <v>47</v>
      </c>
      <c r="M3" s="9" t="s">
        <v>48</v>
      </c>
      <c r="N3" s="9" t="s">
        <v>49</v>
      </c>
      <c r="O3" s="9" t="s">
        <v>50</v>
      </c>
      <c r="P3" s="9" t="s">
        <v>51</v>
      </c>
      <c r="Q3" s="9" t="s">
        <v>52</v>
      </c>
      <c r="R3" s="9" t="s">
        <v>53</v>
      </c>
      <c r="S3" s="9" t="s">
        <v>54</v>
      </c>
      <c r="T3" s="9" t="s">
        <v>55</v>
      </c>
      <c r="U3" s="9" t="s">
        <v>56</v>
      </c>
      <c r="V3" s="9" t="s">
        <v>57</v>
      </c>
      <c r="W3" s="9" t="s">
        <v>58</v>
      </c>
      <c r="X3" s="9" t="s">
        <v>59</v>
      </c>
      <c r="Y3" s="9" t="s">
        <v>60</v>
      </c>
      <c r="Z3" s="9" t="s">
        <v>61</v>
      </c>
    </row>
    <row r="4" spans="1:26" x14ac:dyDescent="0.25">
      <c r="A4" s="53" t="s">
        <v>157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x14ac:dyDescent="0.25">
      <c r="A5" s="10" t="s">
        <v>158</v>
      </c>
      <c r="B5" s="10" t="s">
        <v>159</v>
      </c>
      <c r="C5" s="11">
        <f>SUMIFS('Raw Data'!$L:$L,'Raw Data'!$B:$B,$B$2,'Raw Data'!$J:$J,C$2,'Raw Data'!$K:$K,"native",'Raw Data'!$H:$H,"Financial Reasons",'Raw Data'!$I:$I,"",'Raw Data'!$M:$M,"count")</f>
        <v>14443</v>
      </c>
      <c r="D5" s="11">
        <f>SUMIFS('Raw Data'!$L:$L,'Raw Data'!$B:$B,$B$2,'Raw Data'!$J:$J,D$2,'Raw Data'!$K:$K,"native",'Raw Data'!$H:$H,"Financial Reasons",'Raw Data'!$I:$I,"",'Raw Data'!$M:$M,"count")</f>
        <v>12744</v>
      </c>
      <c r="E5" s="11">
        <f>SUMIFS('Raw Data'!$L:$L,'Raw Data'!$B:$B,$B$2,'Raw Data'!$J:$J,E$2,'Raw Data'!$K:$K,"native",'Raw Data'!$H:$H,"Financial Reasons",'Raw Data'!$I:$I,"",'Raw Data'!$M:$M,"count")</f>
        <v>8711</v>
      </c>
      <c r="F5" s="11">
        <f>SUMIFS('Raw Data'!$L:$L,'Raw Data'!$B:$B,$B$2,'Raw Data'!$J:$J,F$2,'Raw Data'!$K:$K,"native",'Raw Data'!$H:$H,"Financial Reasons",'Raw Data'!$I:$I,"",'Raw Data'!$M:$M,"count")</f>
        <v>16247</v>
      </c>
      <c r="G5" s="11">
        <f>SUMIFS('Raw Data'!$L:$L,'Raw Data'!$B:$B,$B$2,'Raw Data'!$J:$J,G$2,'Raw Data'!$K:$K,"native",'Raw Data'!$H:$H,"Financial Reasons",'Raw Data'!$I:$I,"",'Raw Data'!$M:$M,"count")</f>
        <v>9864</v>
      </c>
      <c r="H5" s="11">
        <f>SUMIFS('Raw Data'!$L:$L,'Raw Data'!$B:$B,$B$2,'Raw Data'!$J:$J,H$2,'Raw Data'!$K:$K,"native",'Raw Data'!$H:$H,"Financial Reasons",'Raw Data'!$I:$I,"",'Raw Data'!$M:$M,"count")</f>
        <v>9355</v>
      </c>
      <c r="I5" s="11">
        <f>SUMIFS('Raw Data'!$L:$L,'Raw Data'!$B:$B,$B$2,'Raw Data'!$J:$J,I$2,'Raw Data'!$K:$K,"native",'Raw Data'!$H:$H,"Financial Reasons",'Raw Data'!$I:$I,"",'Raw Data'!$M:$M,"count")</f>
        <v>11245</v>
      </c>
      <c r="J5" s="11">
        <f>SUMIFS('Raw Data'!$L:$L,'Raw Data'!$B:$B,$B$2,'Raw Data'!$J:$J,J$2,'Raw Data'!$K:$K,"native",'Raw Data'!$H:$H,"Financial Reasons",'Raw Data'!$I:$I,"",'Raw Data'!$M:$M,"count")</f>
        <v>15286</v>
      </c>
      <c r="K5" s="11">
        <f>SUMIFS('Raw Data'!$L:$L,'Raw Data'!$B:$B,$B$2,'Raw Data'!$J:$J,K$2,'Raw Data'!$K:$K,"native",'Raw Data'!$H:$H,"Financial Reasons",'Raw Data'!$I:$I,"",'Raw Data'!$M:$M,"count")</f>
        <v>9271</v>
      </c>
      <c r="L5" s="11">
        <f>SUMIFS('Raw Data'!$L:$L,'Raw Data'!$B:$B,$B$2,'Raw Data'!$J:$J,L$2,'Raw Data'!$K:$K,"native",'Raw Data'!$H:$H,"Financial Reasons",'Raw Data'!$I:$I,"",'Raw Data'!$M:$M,"count")</f>
        <v>14882</v>
      </c>
      <c r="M5" s="11">
        <f>SUMIFS('Raw Data'!$L:$L,'Raw Data'!$B:$B,$B$2,'Raw Data'!$J:$J,M$2,'Raw Data'!$K:$K,"native",'Raw Data'!$H:$H,"Financial Reasons",'Raw Data'!$I:$I,"",'Raw Data'!$M:$M,"count")</f>
        <v>11297</v>
      </c>
      <c r="N5" s="11">
        <f>SUMIFS('Raw Data'!$L:$L,'Raw Data'!$B:$B,$B$2,'Raw Data'!$J:$J,N$2,'Raw Data'!$K:$K,"native",'Raw Data'!$H:$H,"Financial Reasons",'Raw Data'!$I:$I,"",'Raw Data'!$M:$M,"count")</f>
        <v>10032</v>
      </c>
      <c r="O5" s="11">
        <f>SUMIFS('Raw Data'!$L:$L,'Raw Data'!$B:$B,$B$2,'Raw Data'!$J:$J,O$2,'Raw Data'!$K:$K,"native",'Raw Data'!$H:$H,"Financial Reasons",'Raw Data'!$I:$I,"",'Raw Data'!$M:$M,"count")</f>
        <v>10477</v>
      </c>
      <c r="P5" s="11">
        <f>SUMIFS('Raw Data'!$L:$L,'Raw Data'!$B:$B,$B$2,'Raw Data'!$J:$J,P$2,'Raw Data'!$K:$K,"native",'Raw Data'!$H:$H,"Financial Reasons",'Raw Data'!$I:$I,"",'Raw Data'!$M:$M,"count")</f>
        <v>9735</v>
      </c>
      <c r="Q5" s="11">
        <f>SUMIFS('Raw Data'!$L:$L,'Raw Data'!$B:$B,$B$2,'Raw Data'!$J:$J,Q$2,'Raw Data'!$K:$K,"native",'Raw Data'!$H:$H,"Financial Reasons",'Raw Data'!$I:$I,"",'Raw Data'!$M:$M,"count")</f>
        <v>11728</v>
      </c>
      <c r="R5" s="11">
        <f>SUMIFS('Raw Data'!$L:$L,'Raw Data'!$B:$B,$B$2,'Raw Data'!$J:$J,R$2,'Raw Data'!$K:$K,"native",'Raw Data'!$H:$H,"Financial Reasons",'Raw Data'!$I:$I,"",'Raw Data'!$M:$M,"count")</f>
        <v>11698</v>
      </c>
      <c r="S5" s="11">
        <f>SUMIFS('Raw Data'!$L:$L,'Raw Data'!$B:$B,$B$2,'Raw Data'!$J:$J,S$2,'Raw Data'!$K:$K,"native",'Raw Data'!$H:$H,"Financial Reasons",'Raw Data'!$I:$I,"",'Raw Data'!$M:$M,"count")</f>
        <v>7284</v>
      </c>
      <c r="T5" s="11">
        <f>SUMIFS('Raw Data'!$L:$L,'Raw Data'!$B:$B,$B$2,'Raw Data'!$J:$J,T$2,'Raw Data'!$K:$K,"native",'Raw Data'!$H:$H,"Financial Reasons",'Raw Data'!$I:$I,"",'Raw Data'!$M:$M,"count")</f>
        <v>9062</v>
      </c>
      <c r="U5" s="11">
        <f>SUMIFS('Raw Data'!$L:$L,'Raw Data'!$B:$B,$B$2,'Raw Data'!$J:$J,U$2,'Raw Data'!$K:$K,"native",'Raw Data'!$H:$H,"Financial Reasons",'Raw Data'!$I:$I,"",'Raw Data'!$M:$M,"count")</f>
        <v>13778</v>
      </c>
      <c r="V5" s="11">
        <f>SUMIFS('Raw Data'!$L:$L,'Raw Data'!$B:$B,$B$2,'Raw Data'!$J:$J,V$2,'Raw Data'!$K:$K,"native",'Raw Data'!$H:$H,"Financial Reasons",'Raw Data'!$I:$I,"",'Raw Data'!$M:$M,"count")</f>
        <v>7893</v>
      </c>
      <c r="W5" s="11">
        <f>SUMIFS('Raw Data'!$L:$L,'Raw Data'!$B:$B,$B$2,'Raw Data'!$J:$J,W$2,'Raw Data'!$K:$K,"native",'Raw Data'!$H:$H,"Financial Reasons",'Raw Data'!$I:$I,"",'Raw Data'!$M:$M,"count")</f>
        <v>12415</v>
      </c>
      <c r="X5" s="11">
        <f>SUMIFS('Raw Data'!$L:$L,'Raw Data'!$B:$B,$B$2,'Raw Data'!$J:$J,X$2,'Raw Data'!$K:$K,"native",'Raw Data'!$H:$H,"Financial Reasons",'Raw Data'!$I:$I,"",'Raw Data'!$M:$M,"count")</f>
        <v>10759</v>
      </c>
      <c r="Y5" s="11">
        <f>SUMIFS('Raw Data'!$L:$L,'Raw Data'!$B:$B,$B$2,'Raw Data'!$J:$J,Y$2,'Raw Data'!$K:$K,"native",'Raw Data'!$H:$H,"Financial Reasons",'Raw Data'!$I:$I,"",'Raw Data'!$M:$M,"count")</f>
        <v>8699</v>
      </c>
      <c r="Z5" s="11">
        <f>SUMIFS('Raw Data'!$L:$L,'Raw Data'!$B:$B,$B$2,'Raw Data'!$J:$J,Z$2,'Raw Data'!$K:$K,"native",'Raw Data'!$H:$H,"Financial Reasons",'Raw Data'!$I:$I,"",'Raw Data'!$M:$M,"count")</f>
        <v>9969</v>
      </c>
    </row>
    <row r="6" spans="1:26" x14ac:dyDescent="0.25">
      <c r="A6" s="10" t="s">
        <v>158</v>
      </c>
      <c r="B6" s="10" t="s">
        <v>160</v>
      </c>
      <c r="C6" s="11">
        <f>SUMIFS('Raw Data'!$L:$L,'Raw Data'!$B:$B,$B$2,'Raw Data'!$J:$J,C$2,'Raw Data'!$K:$K,"native",'Raw Data'!$H:$H,"Technical Reasons",'Raw Data'!$I:$I,"",'Raw Data'!$M:$M,"count")</f>
        <v>6505</v>
      </c>
      <c r="D6" s="11">
        <f>SUMIFS('Raw Data'!$L:$L,'Raw Data'!$B:$B,$B$2,'Raw Data'!$J:$J,D$2,'Raw Data'!$K:$K,"native",'Raw Data'!$H:$H,"Technical Reasons",'Raw Data'!$I:$I,"",'Raw Data'!$M:$M,"count")</f>
        <v>5951</v>
      </c>
      <c r="E6" s="11">
        <f>SUMIFS('Raw Data'!$L:$L,'Raw Data'!$B:$B,$B$2,'Raw Data'!$J:$J,E$2,'Raw Data'!$K:$K,"native",'Raw Data'!$H:$H,"Technical Reasons",'Raw Data'!$I:$I,"",'Raw Data'!$M:$M,"count")</f>
        <v>4277</v>
      </c>
      <c r="F6" s="11">
        <f>SUMIFS('Raw Data'!$L:$L,'Raw Data'!$B:$B,$B$2,'Raw Data'!$J:$J,F$2,'Raw Data'!$K:$K,"native",'Raw Data'!$H:$H,"Technical Reasons",'Raw Data'!$I:$I,"",'Raw Data'!$M:$M,"count")</f>
        <v>7560</v>
      </c>
      <c r="G6" s="11">
        <f>SUMIFS('Raw Data'!$L:$L,'Raw Data'!$B:$B,$B$2,'Raw Data'!$J:$J,G$2,'Raw Data'!$K:$K,"native",'Raw Data'!$H:$H,"Technical Reasons",'Raw Data'!$I:$I,"",'Raw Data'!$M:$M,"count")</f>
        <v>5386</v>
      </c>
      <c r="H6" s="11">
        <f>SUMIFS('Raw Data'!$L:$L,'Raw Data'!$B:$B,$B$2,'Raw Data'!$J:$J,H$2,'Raw Data'!$K:$K,"native",'Raw Data'!$H:$H,"Technical Reasons",'Raw Data'!$I:$I,"",'Raw Data'!$M:$M,"count")</f>
        <v>5062</v>
      </c>
      <c r="I6" s="11">
        <f>SUMIFS('Raw Data'!$L:$L,'Raw Data'!$B:$B,$B$2,'Raw Data'!$J:$J,I$2,'Raw Data'!$K:$K,"native",'Raw Data'!$H:$H,"Technical Reasons",'Raw Data'!$I:$I,"",'Raw Data'!$M:$M,"count")</f>
        <v>5116</v>
      </c>
      <c r="J6" s="11">
        <f>SUMIFS('Raw Data'!$L:$L,'Raw Data'!$B:$B,$B$2,'Raw Data'!$J:$J,J$2,'Raw Data'!$K:$K,"native",'Raw Data'!$H:$H,"Technical Reasons",'Raw Data'!$I:$I,"",'Raw Data'!$M:$M,"count")</f>
        <v>6424</v>
      </c>
      <c r="K6" s="11">
        <f>SUMIFS('Raw Data'!$L:$L,'Raw Data'!$B:$B,$B$2,'Raw Data'!$J:$J,K$2,'Raw Data'!$K:$K,"native",'Raw Data'!$H:$H,"Technical Reasons",'Raw Data'!$I:$I,"",'Raw Data'!$M:$M,"count")</f>
        <v>4635</v>
      </c>
      <c r="L6" s="11">
        <f>SUMIFS('Raw Data'!$L:$L,'Raw Data'!$B:$B,$B$2,'Raw Data'!$J:$J,L$2,'Raw Data'!$K:$K,"native",'Raw Data'!$H:$H,"Technical Reasons",'Raw Data'!$I:$I,"",'Raw Data'!$M:$M,"count")</f>
        <v>6449</v>
      </c>
      <c r="M6" s="11">
        <f>SUMIFS('Raw Data'!$L:$L,'Raw Data'!$B:$B,$B$2,'Raw Data'!$J:$J,M$2,'Raw Data'!$K:$K,"native",'Raw Data'!$H:$H,"Technical Reasons",'Raw Data'!$I:$I,"",'Raw Data'!$M:$M,"count")</f>
        <v>6023</v>
      </c>
      <c r="N6" s="11">
        <f>SUMIFS('Raw Data'!$L:$L,'Raw Data'!$B:$B,$B$2,'Raw Data'!$J:$J,N$2,'Raw Data'!$K:$K,"native",'Raw Data'!$H:$H,"Technical Reasons",'Raw Data'!$I:$I,"",'Raw Data'!$M:$M,"count")</f>
        <v>5558</v>
      </c>
      <c r="O6" s="11">
        <f>SUMIFS('Raw Data'!$L:$L,'Raw Data'!$B:$B,$B$2,'Raw Data'!$J:$J,O$2,'Raw Data'!$K:$K,"native",'Raw Data'!$H:$H,"Technical Reasons",'Raw Data'!$I:$I,"",'Raw Data'!$M:$M,"count")</f>
        <v>5529</v>
      </c>
      <c r="P6" s="11">
        <f>SUMIFS('Raw Data'!$L:$L,'Raw Data'!$B:$B,$B$2,'Raw Data'!$J:$J,P$2,'Raw Data'!$K:$K,"native",'Raw Data'!$H:$H,"Technical Reasons",'Raw Data'!$I:$I,"",'Raw Data'!$M:$M,"count")</f>
        <v>5359</v>
      </c>
      <c r="Q6" s="11">
        <f>SUMIFS('Raw Data'!$L:$L,'Raw Data'!$B:$B,$B$2,'Raw Data'!$J:$J,Q$2,'Raw Data'!$K:$K,"native",'Raw Data'!$H:$H,"Technical Reasons",'Raw Data'!$I:$I,"",'Raw Data'!$M:$M,"count")</f>
        <v>6157</v>
      </c>
      <c r="R6" s="11">
        <f>SUMIFS('Raw Data'!$L:$L,'Raw Data'!$B:$B,$B$2,'Raw Data'!$J:$J,R$2,'Raw Data'!$K:$K,"native",'Raw Data'!$H:$H,"Technical Reasons",'Raw Data'!$I:$I,"",'Raw Data'!$M:$M,"count")</f>
        <v>6019</v>
      </c>
      <c r="S6" s="11">
        <f>SUMIFS('Raw Data'!$L:$L,'Raw Data'!$B:$B,$B$2,'Raw Data'!$J:$J,S$2,'Raw Data'!$K:$K,"native",'Raw Data'!$H:$H,"Technical Reasons",'Raw Data'!$I:$I,"",'Raw Data'!$M:$M,"count")</f>
        <v>4136</v>
      </c>
      <c r="T6" s="11">
        <f>SUMIFS('Raw Data'!$L:$L,'Raw Data'!$B:$B,$B$2,'Raw Data'!$J:$J,T$2,'Raw Data'!$K:$K,"native",'Raw Data'!$H:$H,"Technical Reasons",'Raw Data'!$I:$I,"",'Raw Data'!$M:$M,"count")</f>
        <v>5276</v>
      </c>
      <c r="U6" s="11">
        <f>SUMIFS('Raw Data'!$L:$L,'Raw Data'!$B:$B,$B$2,'Raw Data'!$J:$J,U$2,'Raw Data'!$K:$K,"native",'Raw Data'!$H:$H,"Technical Reasons",'Raw Data'!$I:$I,"",'Raw Data'!$M:$M,"count")</f>
        <v>6273</v>
      </c>
      <c r="V6" s="11">
        <f>SUMIFS('Raw Data'!$L:$L,'Raw Data'!$B:$B,$B$2,'Raw Data'!$J:$J,V$2,'Raw Data'!$K:$K,"native",'Raw Data'!$H:$H,"Technical Reasons",'Raw Data'!$I:$I,"",'Raw Data'!$M:$M,"count")</f>
        <v>4539</v>
      </c>
      <c r="W6" s="11">
        <f>SUMIFS('Raw Data'!$L:$L,'Raw Data'!$B:$B,$B$2,'Raw Data'!$J:$J,W$2,'Raw Data'!$K:$K,"native",'Raw Data'!$H:$H,"Technical Reasons",'Raw Data'!$I:$I,"",'Raw Data'!$M:$M,"count")</f>
        <v>6190</v>
      </c>
      <c r="X6" s="11">
        <f>SUMIFS('Raw Data'!$L:$L,'Raw Data'!$B:$B,$B$2,'Raw Data'!$J:$J,X$2,'Raw Data'!$K:$K,"native",'Raw Data'!$H:$H,"Technical Reasons",'Raw Data'!$I:$I,"",'Raw Data'!$M:$M,"count")</f>
        <v>5385</v>
      </c>
      <c r="Y6" s="11">
        <f>SUMIFS('Raw Data'!$L:$L,'Raw Data'!$B:$B,$B$2,'Raw Data'!$J:$J,Y$2,'Raw Data'!$K:$K,"native",'Raw Data'!$H:$H,"Technical Reasons",'Raw Data'!$I:$I,"",'Raw Data'!$M:$M,"count")</f>
        <v>5077</v>
      </c>
      <c r="Z6" s="11">
        <f>SUMIFS('Raw Data'!$L:$L,'Raw Data'!$B:$B,$B$2,'Raw Data'!$J:$J,Z$2,'Raw Data'!$K:$K,"native",'Raw Data'!$H:$H,"Technical Reasons",'Raw Data'!$I:$I,"",'Raw Data'!$M:$M,"count")</f>
        <v>6078</v>
      </c>
    </row>
    <row r="7" spans="1:26" x14ac:dyDescent="0.25">
      <c r="A7" s="53" t="s">
        <v>161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x14ac:dyDescent="0.25">
      <c r="A8" s="10" t="s">
        <v>158</v>
      </c>
      <c r="B8" s="10" t="s">
        <v>159</v>
      </c>
      <c r="C8" s="11">
        <f>SUMIFS('Raw Data'!$L:$L,'Raw Data'!$B:$B,$B$2,'Raw Data'!$J:$J,C$2,'Raw Data'!$K:$K,"native",'Raw Data'!$H:$H,"Financial Reasons",'Raw Data'!$I:$I,"",'Raw Data'!$M:$M,"JOD")</f>
        <v>95400000</v>
      </c>
      <c r="D8" s="11">
        <f>SUMIFS('Raw Data'!$L:$L,'Raw Data'!$B:$B,$B$2,'Raw Data'!$J:$J,D$2,'Raw Data'!$K:$K,"native",'Raw Data'!$H:$H,"Financial Reasons",'Raw Data'!$I:$I,"",'Raw Data'!$M:$M,"JOD")</f>
        <v>87200000</v>
      </c>
      <c r="E8" s="11">
        <f>SUMIFS('Raw Data'!$L:$L,'Raw Data'!$B:$B,$B$2,'Raw Data'!$J:$J,E$2,'Raw Data'!$K:$K,"native",'Raw Data'!$H:$H,"Financial Reasons",'Raw Data'!$I:$I,"",'Raw Data'!$M:$M,"JOD")</f>
        <v>57900000</v>
      </c>
      <c r="F8" s="11">
        <f>SUMIFS('Raw Data'!$L:$L,'Raw Data'!$B:$B,$B$2,'Raw Data'!$J:$J,F$2,'Raw Data'!$K:$K,"native",'Raw Data'!$H:$H,"Financial Reasons",'Raw Data'!$I:$I,"",'Raw Data'!$M:$M,"JOD")</f>
        <v>111600000</v>
      </c>
      <c r="G8" s="11">
        <f>SUMIFS('Raw Data'!$L:$L,'Raw Data'!$B:$B,$B$2,'Raw Data'!$J:$J,G$2,'Raw Data'!$K:$K,"native",'Raw Data'!$H:$H,"Financial Reasons",'Raw Data'!$I:$I,"",'Raw Data'!$M:$M,"JOD")</f>
        <v>58000000</v>
      </c>
      <c r="H8" s="11">
        <f>SUMIFS('Raw Data'!$L:$L,'Raw Data'!$B:$B,$B$2,'Raw Data'!$J:$J,H$2,'Raw Data'!$K:$K,"native",'Raw Data'!$H:$H,"Financial Reasons",'Raw Data'!$I:$I,"",'Raw Data'!$M:$M,"JOD")</f>
        <v>54100000</v>
      </c>
      <c r="I8" s="11">
        <f>SUMIFS('Raw Data'!$L:$L,'Raw Data'!$B:$B,$B$2,'Raw Data'!$J:$J,I$2,'Raw Data'!$K:$K,"native",'Raw Data'!$H:$H,"Financial Reasons",'Raw Data'!$I:$I,"",'Raw Data'!$M:$M,"JOD")</f>
        <v>59100000</v>
      </c>
      <c r="J8" s="11">
        <f>SUMIFS('Raw Data'!$L:$L,'Raw Data'!$B:$B,$B$2,'Raw Data'!$J:$J,J$2,'Raw Data'!$K:$K,"native",'Raw Data'!$H:$H,"Financial Reasons",'Raw Data'!$I:$I,"",'Raw Data'!$M:$M,"JOD")</f>
        <v>80500000</v>
      </c>
      <c r="K8" s="11">
        <f>SUMIFS('Raw Data'!$L:$L,'Raw Data'!$B:$B,$B$2,'Raw Data'!$J:$J,K$2,'Raw Data'!$K:$K,"native",'Raw Data'!$H:$H,"Financial Reasons",'Raw Data'!$I:$I,"",'Raw Data'!$M:$M,"JOD")</f>
        <v>61800000</v>
      </c>
      <c r="L8" s="11">
        <f>SUMIFS('Raw Data'!$L:$L,'Raw Data'!$B:$B,$B$2,'Raw Data'!$J:$J,L$2,'Raw Data'!$K:$K,"native",'Raw Data'!$H:$H,"Financial Reasons",'Raw Data'!$I:$I,"",'Raw Data'!$M:$M,"JOD")</f>
        <v>76500000</v>
      </c>
      <c r="M8" s="11">
        <f>SUMIFS('Raw Data'!$L:$L,'Raw Data'!$B:$B,$B$2,'Raw Data'!$J:$J,M$2,'Raw Data'!$K:$K,"native",'Raw Data'!$H:$H,"Financial Reasons",'Raw Data'!$I:$I,"",'Raw Data'!$M:$M,"JOD")</f>
        <v>74400000</v>
      </c>
      <c r="N8" s="11">
        <f>SUMIFS('Raw Data'!$L:$L,'Raw Data'!$B:$B,$B$2,'Raw Data'!$J:$J,N$2,'Raw Data'!$K:$K,"native",'Raw Data'!$H:$H,"Financial Reasons",'Raw Data'!$I:$I,"",'Raw Data'!$M:$M,"JOD")</f>
        <v>54600000</v>
      </c>
      <c r="O8" s="11">
        <f>SUMIFS('Raw Data'!$L:$L,'Raw Data'!$B:$B,$B$2,'Raw Data'!$J:$J,O$2,'Raw Data'!$K:$K,"native",'Raw Data'!$H:$H,"Financial Reasons",'Raw Data'!$I:$I,"",'Raw Data'!$M:$M,"JOD")</f>
        <v>45900000</v>
      </c>
      <c r="P8" s="11">
        <f>SUMIFS('Raw Data'!$L:$L,'Raw Data'!$B:$B,$B$2,'Raw Data'!$J:$J,P$2,'Raw Data'!$K:$K,"native",'Raw Data'!$H:$H,"Financial Reasons",'Raw Data'!$I:$I,"",'Raw Data'!$M:$M,"JOD")</f>
        <v>45200000</v>
      </c>
      <c r="Q8" s="11">
        <f>SUMIFS('Raw Data'!$L:$L,'Raw Data'!$B:$B,$B$2,'Raw Data'!$J:$J,Q$2,'Raw Data'!$K:$K,"native",'Raw Data'!$H:$H,"Financial Reasons",'Raw Data'!$I:$I,"",'Raw Data'!$M:$M,"JOD")</f>
        <v>49700000</v>
      </c>
      <c r="R8" s="11">
        <f>SUMIFS('Raw Data'!$L:$L,'Raw Data'!$B:$B,$B$2,'Raw Data'!$J:$J,R$2,'Raw Data'!$K:$K,"native",'Raw Data'!$H:$H,"Financial Reasons",'Raw Data'!$I:$I,"",'Raw Data'!$M:$M,"JOD")</f>
        <v>64000000</v>
      </c>
      <c r="S8" s="11">
        <f>SUMIFS('Raw Data'!$L:$L,'Raw Data'!$B:$B,$B$2,'Raw Data'!$J:$J,S$2,'Raw Data'!$K:$K,"native",'Raw Data'!$H:$H,"Financial Reasons",'Raw Data'!$I:$I,"",'Raw Data'!$M:$M,"JOD")</f>
        <v>37300000</v>
      </c>
      <c r="T8" s="11">
        <f>SUMIFS('Raw Data'!$L:$L,'Raw Data'!$B:$B,$B$2,'Raw Data'!$J:$J,T$2,'Raw Data'!$K:$K,"native",'Raw Data'!$H:$H,"Financial Reasons",'Raw Data'!$I:$I,"",'Raw Data'!$M:$M,"JOD")</f>
        <v>43500000</v>
      </c>
      <c r="U8" s="11">
        <f>SUMIFS('Raw Data'!$L:$L,'Raw Data'!$B:$B,$B$2,'Raw Data'!$J:$J,U$2,'Raw Data'!$K:$K,"native",'Raw Data'!$H:$H,"Financial Reasons",'Raw Data'!$I:$I,"",'Raw Data'!$M:$M,"JOD")</f>
        <v>76000000</v>
      </c>
      <c r="V8" s="11">
        <f>SUMIFS('Raw Data'!$L:$L,'Raw Data'!$B:$B,$B$2,'Raw Data'!$J:$J,V$2,'Raw Data'!$K:$K,"native",'Raw Data'!$H:$H,"Financial Reasons",'Raw Data'!$I:$I,"",'Raw Data'!$M:$M,"JOD")</f>
        <v>40000000</v>
      </c>
      <c r="W8" s="11">
        <f>SUMIFS('Raw Data'!$L:$L,'Raw Data'!$B:$B,$B$2,'Raw Data'!$J:$J,W$2,'Raw Data'!$K:$K,"native",'Raw Data'!$H:$H,"Financial Reasons",'Raw Data'!$I:$I,"",'Raw Data'!$M:$M,"JOD")</f>
        <v>66900000</v>
      </c>
      <c r="X8" s="11">
        <f>SUMIFS('Raw Data'!$L:$L,'Raw Data'!$B:$B,$B$2,'Raw Data'!$J:$J,X$2,'Raw Data'!$K:$K,"native",'Raw Data'!$H:$H,"Financial Reasons",'Raw Data'!$I:$I,"",'Raw Data'!$M:$M,"JOD")</f>
        <v>57200000</v>
      </c>
      <c r="Y8" s="11">
        <f>SUMIFS('Raw Data'!$L:$L,'Raw Data'!$B:$B,$B$2,'Raw Data'!$J:$J,Y$2,'Raw Data'!$K:$K,"native",'Raw Data'!$H:$H,"Financial Reasons",'Raw Data'!$I:$I,"",'Raw Data'!$M:$M,"JOD")</f>
        <v>50900000</v>
      </c>
      <c r="Z8" s="11">
        <f>SUMIFS('Raw Data'!$L:$L,'Raw Data'!$B:$B,$B$2,'Raw Data'!$J:$J,Z$2,'Raw Data'!$K:$K,"native",'Raw Data'!$H:$H,"Financial Reasons",'Raw Data'!$I:$I,"",'Raw Data'!$M:$M,"JOD")</f>
        <v>65200000</v>
      </c>
    </row>
    <row r="9" spans="1:26" x14ac:dyDescent="0.25">
      <c r="A9" s="10" t="s">
        <v>158</v>
      </c>
      <c r="B9" s="10" t="s">
        <v>160</v>
      </c>
      <c r="C9" s="11">
        <f>SUMIFS('Raw Data'!$L:$L,'Raw Data'!$B:$B,$B$2,'Raw Data'!$J:$J,C$2,'Raw Data'!$K:$K,"native",'Raw Data'!$H:$H,"Technical Reasons",'Raw Data'!$I:$I,"",'Raw Data'!$M:$M,"JOD")</f>
        <v>34900000</v>
      </c>
      <c r="D9" s="11">
        <f>SUMIFS('Raw Data'!$L:$L,'Raw Data'!$B:$B,$B$2,'Raw Data'!$J:$J,D$2,'Raw Data'!$K:$K,"native",'Raw Data'!$H:$H,"Technical Reasons",'Raw Data'!$I:$I,"",'Raw Data'!$M:$M,"JOD")</f>
        <v>36100000</v>
      </c>
      <c r="E9" s="11">
        <f>SUMIFS('Raw Data'!$L:$L,'Raw Data'!$B:$B,$B$2,'Raw Data'!$J:$J,E$2,'Raw Data'!$K:$K,"native",'Raw Data'!$H:$H,"Technical Reasons",'Raw Data'!$I:$I,"",'Raw Data'!$M:$M,"JOD")</f>
        <v>24300000</v>
      </c>
      <c r="F9" s="11">
        <f>SUMIFS('Raw Data'!$L:$L,'Raw Data'!$B:$B,$B$2,'Raw Data'!$J:$J,F$2,'Raw Data'!$K:$K,"native",'Raw Data'!$H:$H,"Technical Reasons",'Raw Data'!$I:$I,"",'Raw Data'!$M:$M,"JOD")</f>
        <v>50500000</v>
      </c>
      <c r="G9" s="11">
        <f>SUMIFS('Raw Data'!$L:$L,'Raw Data'!$B:$B,$B$2,'Raw Data'!$J:$J,G$2,'Raw Data'!$K:$K,"native",'Raw Data'!$H:$H,"Technical Reasons",'Raw Data'!$I:$I,"",'Raw Data'!$M:$M,"JOD")</f>
        <v>32600000</v>
      </c>
      <c r="H9" s="11">
        <f>SUMIFS('Raw Data'!$L:$L,'Raw Data'!$B:$B,$B$2,'Raw Data'!$J:$J,H$2,'Raw Data'!$K:$K,"native",'Raw Data'!$H:$H,"Technical Reasons",'Raw Data'!$I:$I,"",'Raw Data'!$M:$M,"JOD")</f>
        <v>28100000</v>
      </c>
      <c r="I9" s="11">
        <f>SUMIFS('Raw Data'!$L:$L,'Raw Data'!$B:$B,$B$2,'Raw Data'!$J:$J,I$2,'Raw Data'!$K:$K,"native",'Raw Data'!$H:$H,"Technical Reasons",'Raw Data'!$I:$I,"",'Raw Data'!$M:$M,"JOD")</f>
        <v>24800000</v>
      </c>
      <c r="J9" s="11">
        <f>SUMIFS('Raw Data'!$L:$L,'Raw Data'!$B:$B,$B$2,'Raw Data'!$J:$J,J$2,'Raw Data'!$K:$K,"native",'Raw Data'!$H:$H,"Technical Reasons",'Raw Data'!$I:$I,"",'Raw Data'!$M:$M,"JOD")</f>
        <v>38300000</v>
      </c>
      <c r="K9" s="11">
        <f>SUMIFS('Raw Data'!$L:$L,'Raw Data'!$B:$B,$B$2,'Raw Data'!$J:$J,K$2,'Raw Data'!$K:$K,"native",'Raw Data'!$H:$H,"Technical Reasons",'Raw Data'!$I:$I,"",'Raw Data'!$M:$M,"JOD")</f>
        <v>31100000</v>
      </c>
      <c r="L9" s="11">
        <f>SUMIFS('Raw Data'!$L:$L,'Raw Data'!$B:$B,$B$2,'Raw Data'!$J:$J,L$2,'Raw Data'!$K:$K,"native",'Raw Data'!$H:$H,"Technical Reasons",'Raw Data'!$I:$I,"",'Raw Data'!$M:$M,"JOD")</f>
        <v>36700000</v>
      </c>
      <c r="M9" s="11">
        <f>SUMIFS('Raw Data'!$L:$L,'Raw Data'!$B:$B,$B$2,'Raw Data'!$J:$J,M$2,'Raw Data'!$K:$K,"native",'Raw Data'!$H:$H,"Technical Reasons",'Raw Data'!$I:$I,"",'Raw Data'!$M:$M,"JOD")</f>
        <v>34900000</v>
      </c>
      <c r="N9" s="11">
        <f>SUMIFS('Raw Data'!$L:$L,'Raw Data'!$B:$B,$B$2,'Raw Data'!$J:$J,N$2,'Raw Data'!$K:$K,"native",'Raw Data'!$H:$H,"Technical Reasons",'Raw Data'!$I:$I,"",'Raw Data'!$M:$M,"JOD")</f>
        <v>29600000</v>
      </c>
      <c r="O9" s="11">
        <f>SUMIFS('Raw Data'!$L:$L,'Raw Data'!$B:$B,$B$2,'Raw Data'!$J:$J,O$2,'Raw Data'!$K:$K,"native",'Raw Data'!$H:$H,"Technical Reasons",'Raw Data'!$I:$I,"",'Raw Data'!$M:$M,"JOD")</f>
        <v>29100000</v>
      </c>
      <c r="P9" s="11">
        <f>SUMIFS('Raw Data'!$L:$L,'Raw Data'!$B:$B,$B$2,'Raw Data'!$J:$J,P$2,'Raw Data'!$K:$K,"native",'Raw Data'!$H:$H,"Technical Reasons",'Raw Data'!$I:$I,"",'Raw Data'!$M:$M,"JOD")</f>
        <v>34500000</v>
      </c>
      <c r="Q9" s="11">
        <f>SUMIFS('Raw Data'!$L:$L,'Raw Data'!$B:$B,$B$2,'Raw Data'!$J:$J,Q$2,'Raw Data'!$K:$K,"native",'Raw Data'!$H:$H,"Technical Reasons",'Raw Data'!$I:$I,"",'Raw Data'!$M:$M,"JOD")</f>
        <v>38700000</v>
      </c>
      <c r="R9" s="11">
        <f>SUMIFS('Raw Data'!$L:$L,'Raw Data'!$B:$B,$B$2,'Raw Data'!$J:$J,R$2,'Raw Data'!$K:$K,"native",'Raw Data'!$H:$H,"Technical Reasons",'Raw Data'!$I:$I,"",'Raw Data'!$M:$M,"JOD")</f>
        <v>33800000</v>
      </c>
      <c r="S9" s="11">
        <f>SUMIFS('Raw Data'!$L:$L,'Raw Data'!$B:$B,$B$2,'Raw Data'!$J:$J,S$2,'Raw Data'!$K:$K,"native",'Raw Data'!$H:$H,"Technical Reasons",'Raw Data'!$I:$I,"",'Raw Data'!$M:$M,"JOD")</f>
        <v>28600000</v>
      </c>
      <c r="T9" s="11">
        <f>SUMIFS('Raw Data'!$L:$L,'Raw Data'!$B:$B,$B$2,'Raw Data'!$J:$J,T$2,'Raw Data'!$K:$K,"native",'Raw Data'!$H:$H,"Technical Reasons",'Raw Data'!$I:$I,"",'Raw Data'!$M:$M,"JOD")</f>
        <v>31800000</v>
      </c>
      <c r="U9" s="11">
        <f>SUMIFS('Raw Data'!$L:$L,'Raw Data'!$B:$B,$B$2,'Raw Data'!$J:$J,U$2,'Raw Data'!$K:$K,"native",'Raw Data'!$H:$H,"Technical Reasons",'Raw Data'!$I:$I,"",'Raw Data'!$M:$M,"JOD")</f>
        <v>43500000</v>
      </c>
      <c r="V9" s="11">
        <f>SUMIFS('Raw Data'!$L:$L,'Raw Data'!$B:$B,$B$2,'Raw Data'!$J:$J,V$2,'Raw Data'!$K:$K,"native",'Raw Data'!$H:$H,"Technical Reasons",'Raw Data'!$I:$I,"",'Raw Data'!$M:$M,"JOD")</f>
        <v>32500000</v>
      </c>
      <c r="W9" s="11">
        <f>SUMIFS('Raw Data'!$L:$L,'Raw Data'!$B:$B,$B$2,'Raw Data'!$J:$J,W$2,'Raw Data'!$K:$K,"native",'Raw Data'!$H:$H,"Technical Reasons",'Raw Data'!$I:$I,"",'Raw Data'!$M:$M,"JOD")</f>
        <v>36700000</v>
      </c>
      <c r="X9" s="11">
        <f>SUMIFS('Raw Data'!$L:$L,'Raw Data'!$B:$B,$B$2,'Raw Data'!$J:$J,X$2,'Raw Data'!$K:$K,"native",'Raw Data'!$H:$H,"Technical Reasons",'Raw Data'!$I:$I,"",'Raw Data'!$M:$M,"JOD")</f>
        <v>41800000</v>
      </c>
      <c r="Y9" s="11">
        <f>SUMIFS('Raw Data'!$L:$L,'Raw Data'!$B:$B,$B$2,'Raw Data'!$J:$J,Y$2,'Raw Data'!$K:$K,"native",'Raw Data'!$H:$H,"Technical Reasons",'Raw Data'!$I:$I,"",'Raw Data'!$M:$M,"JOD")</f>
        <v>37500000</v>
      </c>
      <c r="Z9" s="11">
        <f>SUMIFS('Raw Data'!$L:$L,'Raw Data'!$B:$B,$B$2,'Raw Data'!$J:$J,Z$2,'Raw Data'!$K:$K,"native",'Raw Data'!$H:$H,"Technical Reasons",'Raw Data'!$I:$I,"",'Raw Data'!$M:$M,"JOD")</f>
        <v>49500000</v>
      </c>
    </row>
  </sheetData>
  <mergeCells count="3">
    <mergeCell ref="A1:Z1"/>
    <mergeCell ref="A4:Z4"/>
    <mergeCell ref="A7:Z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D174D"/>
  </sheetPr>
  <dimension ref="A1:Z41"/>
  <sheetViews>
    <sheetView showGridLines="0" zoomScaleNormal="100" workbookViewId="0">
      <pane xSplit="2" ySplit="3" topLeftCell="C29" activePane="bottomRight" state="frozen"/>
      <selection pane="topRight" activeCell="C1" sqref="C1"/>
      <selection pane="bottomLeft" activeCell="A4" sqref="A4"/>
      <selection pane="bottomRight" activeCell="S39" sqref="S39"/>
    </sheetView>
  </sheetViews>
  <sheetFormatPr defaultColWidth="8.7109375" defaultRowHeight="15" x14ac:dyDescent="0.25"/>
  <cols>
    <col min="1" max="1" width="22" customWidth="1"/>
    <col min="2" max="2" width="40" customWidth="1"/>
    <col min="3" max="26" width="13" customWidth="1"/>
  </cols>
  <sheetData>
    <row r="1" spans="1:26" ht="25.5" customHeight="1" x14ac:dyDescent="0.25">
      <c r="A1" s="52" t="s">
        <v>4333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spans="1:26" ht="30" customHeight="1" x14ac:dyDescent="0.25">
      <c r="A2" s="6" t="s">
        <v>34</v>
      </c>
      <c r="B2" s="7" t="s">
        <v>162</v>
      </c>
      <c r="C2" s="8" t="str">
        <f>RIGHT(C$3,4)&amp;"-"&amp;TEXT(MATCH(LEFT(C$3,3),{"Jan","Feb","Mar","Apr","May","Jun","Jul","Aug","Sep","Oct","Nov","Dec"},0),"00")</f>
        <v>2024-09</v>
      </c>
      <c r="D2" s="8" t="str">
        <f>RIGHT(D$3,4)&amp;"-"&amp;TEXT(MATCH(LEFT(D$3,3),{"Jan","Feb","Mar","Apr","May","Jun","Jul","Aug","Sep","Oct","Nov","Dec"},0),"00")</f>
        <v>2024-10</v>
      </c>
      <c r="E2" s="8" t="str">
        <f>RIGHT(E$3,4)&amp;"-"&amp;TEXT(MATCH(LEFT(E$3,3),{"Jan","Feb","Mar","Apr","May","Jun","Jul","Aug","Sep","Oct","Nov","Dec"},0),"00")</f>
        <v>2024-11</v>
      </c>
      <c r="F2" s="8" t="str">
        <f>RIGHT(F$3,4)&amp;"-"&amp;TEXT(MATCH(LEFT(F$3,3),{"Jan","Feb","Mar","Apr","May","Jun","Jul","Aug","Sep","Oct","Nov","Dec"},0),"00")</f>
        <v>2024-12</v>
      </c>
      <c r="G2" s="8" t="str">
        <f>RIGHT(G$3,4)&amp;"-"&amp;TEXT(MATCH(LEFT(G$3,3),{"Jan","Feb","Mar","Apr","May","Jun","Jul","Aug","Sep","Oct","Nov","Dec"},0),"00")</f>
        <v>2025-01</v>
      </c>
      <c r="H2" s="8" t="str">
        <f>RIGHT(H$3,4)&amp;"-"&amp;TEXT(MATCH(LEFT(H$3,3),{"Jan","Feb","Mar","Apr","May","Jun","Jul","Aug","Sep","Oct","Nov","Dec"},0),"00")</f>
        <v>2025-02</v>
      </c>
      <c r="I2" s="8" t="str">
        <f>RIGHT(I$3,4)&amp;"-"&amp;TEXT(MATCH(LEFT(I$3,3),{"Jan","Feb","Mar","Apr","May","Jun","Jul","Aug","Sep","Oct","Nov","Dec"},0),"00")</f>
        <v>2025-03</v>
      </c>
      <c r="J2" s="8" t="str">
        <f>RIGHT(J$3,4)&amp;"-"&amp;TEXT(MATCH(LEFT(J$3,3),{"Jan","Feb","Mar","Apr","May","Jun","Jul","Aug","Sep","Oct","Nov","Dec"},0),"00")</f>
        <v>2025-04</v>
      </c>
      <c r="K2" s="8" t="str">
        <f>RIGHT(K$3,4)&amp;"-"&amp;TEXT(MATCH(LEFT(K$3,3),{"Jan","Feb","Mar","Apr","May","Jun","Jul","Aug","Sep","Oct","Nov","Dec"},0),"00")</f>
        <v>2025-05</v>
      </c>
      <c r="L2" s="8" t="str">
        <f>RIGHT(L$3,4)&amp;"-"&amp;TEXT(MATCH(LEFT(L$3,3),{"Jan","Feb","Mar","Apr","May","Jun","Jul","Aug","Sep","Oct","Nov","Dec"},0),"00")</f>
        <v>2025-06</v>
      </c>
      <c r="M2" s="8" t="str">
        <f>RIGHT(M$3,4)&amp;"-"&amp;TEXT(MATCH(LEFT(M$3,3),{"Jan","Feb","Mar","Apr","May","Jun","Jul","Aug","Sep","Oct","Nov","Dec"},0),"00")</f>
        <v>2025-07</v>
      </c>
      <c r="N2" s="8" t="str">
        <f>RIGHT(N$3,4)&amp;"-"&amp;TEXT(MATCH(LEFT(N$3,3),{"Jan","Feb","Mar","Apr","May","Jun","Jul","Aug","Sep","Oct","Nov","Dec"},0),"00")</f>
        <v>2025-08</v>
      </c>
      <c r="O2" s="8" t="str">
        <f>RIGHT(O$3,4)&amp;"-"&amp;TEXT(MATCH(LEFT(O$3,3),{"Jan","Feb","Mar","Apr","May","Jun","Jul","Aug","Sep","Oct","Nov","Dec"},0),"00")</f>
        <v>2025-09</v>
      </c>
      <c r="P2" s="8" t="str">
        <f>RIGHT(P$3,4)&amp;"-"&amp;TEXT(MATCH(LEFT(P$3,3),{"Jan","Feb","Mar","Apr","May","Jun","Jul","Aug","Sep","Oct","Nov","Dec"},0),"00")</f>
        <v>2025-10</v>
      </c>
      <c r="Q2" s="8" t="str">
        <f>RIGHT(Q$3,4)&amp;"-"&amp;TEXT(MATCH(LEFT(Q$3,3),{"Jan","Feb","Mar","Apr","May","Jun","Jul","Aug","Sep","Oct","Nov","Dec"},0),"00")</f>
        <v>2025-11</v>
      </c>
      <c r="R2" s="8" t="str">
        <f>RIGHT(R$3,4)&amp;"-"&amp;TEXT(MATCH(LEFT(R$3,3),{"Jan","Feb","Mar","Apr","May","Jun","Jul","Aug","Sep","Oct","Nov","Dec"},0),"00")</f>
        <v>2025-12</v>
      </c>
      <c r="S2" s="8" t="str">
        <f>RIGHT(S$3,4)&amp;"-"&amp;TEXT(MATCH(LEFT(S$3,3),{"Jan","Feb","Mar","Apr","May","Jun","Jul","Aug","Sep","Oct","Nov","Dec"},0),"00")</f>
        <v>2026-01</v>
      </c>
      <c r="T2" s="8" t="str">
        <f>RIGHT(T$3,4)&amp;"-"&amp;TEXT(MATCH(LEFT(T$3,3),{"Jan","Feb","Mar","Apr","May","Jun","Jul","Aug","Sep","Oct","Nov","Dec"},0),"00")</f>
        <v>2026-02</v>
      </c>
      <c r="U2" s="8" t="str">
        <f>RIGHT(U$3,4)&amp;"-"&amp;TEXT(MATCH(LEFT(U$3,3),{"Jan","Feb","Mar","Apr","May","Jun","Jul","Aug","Sep","Oct","Nov","Dec"},0),"00")</f>
        <v>2026-03</v>
      </c>
      <c r="V2" s="8" t="str">
        <f>RIGHT(V$3,4)&amp;"-"&amp;TEXT(MATCH(LEFT(V$3,3),{"Jan","Feb","Mar","Apr","May","Jun","Jul","Aug","Sep","Oct","Nov","Dec"},0),"00")</f>
        <v>2026-04</v>
      </c>
      <c r="W2" s="8" t="str">
        <f>RIGHT(W$3,4)&amp;"-"&amp;TEXT(MATCH(LEFT(W$3,3),{"Jan","Feb","Mar","Apr","May","Jun","Jul","Aug","Sep","Oct","Nov","Dec"},0),"00")</f>
        <v>2026-05</v>
      </c>
      <c r="X2" s="8" t="str">
        <f>RIGHT(X$3,4)&amp;"-"&amp;TEXT(MATCH(LEFT(X$3,3),{"Jan","Feb","Mar","Apr","May","Jun","Jul","Aug","Sep","Oct","Nov","Dec"},0),"00")</f>
        <v>2026-06</v>
      </c>
      <c r="Y2" s="8" t="str">
        <f>RIGHT(Y$3,4)&amp;"-"&amp;TEXT(MATCH(LEFT(Y$3,3),{"Jan","Feb","Mar","Apr","May","Jun","Jul","Aug","Sep","Oct","Nov","Dec"},0),"00")</f>
        <v>2026-07</v>
      </c>
      <c r="Z2" s="8" t="str">
        <f>RIGHT(Z$3,4)&amp;"-"&amp;TEXT(MATCH(LEFT(Z$3,3),{"Jan","Feb","Mar","Apr","May","Jun","Jul","Aug","Sep","Oct","Nov","Dec"},0),"00")</f>
        <v>2026-08</v>
      </c>
    </row>
    <row r="3" spans="1:26" ht="19.5" customHeight="1" x14ac:dyDescent="0.25">
      <c r="A3" s="9" t="s">
        <v>36</v>
      </c>
      <c r="B3" s="9" t="s">
        <v>37</v>
      </c>
      <c r="C3" s="9" t="s">
        <v>38</v>
      </c>
      <c r="D3" s="9" t="s">
        <v>39</v>
      </c>
      <c r="E3" s="9" t="s">
        <v>40</v>
      </c>
      <c r="F3" s="9" t="s">
        <v>41</v>
      </c>
      <c r="G3" s="9" t="s">
        <v>42</v>
      </c>
      <c r="H3" s="9" t="s">
        <v>43</v>
      </c>
      <c r="I3" s="9" t="s">
        <v>44</v>
      </c>
      <c r="J3" s="9" t="s">
        <v>45</v>
      </c>
      <c r="K3" s="9" t="s">
        <v>46</v>
      </c>
      <c r="L3" s="9" t="s">
        <v>47</v>
      </c>
      <c r="M3" s="9" t="s">
        <v>48</v>
      </c>
      <c r="N3" s="9" t="s">
        <v>49</v>
      </c>
      <c r="O3" s="9" t="s">
        <v>50</v>
      </c>
      <c r="P3" s="9" t="s">
        <v>51</v>
      </c>
      <c r="Q3" s="9" t="s">
        <v>52</v>
      </c>
      <c r="R3" s="9" t="s">
        <v>53</v>
      </c>
      <c r="S3" s="9" t="s">
        <v>54</v>
      </c>
      <c r="T3" s="9" t="s">
        <v>55</v>
      </c>
      <c r="U3" s="9" t="s">
        <v>56</v>
      </c>
      <c r="V3" s="9" t="s">
        <v>57</v>
      </c>
      <c r="W3" s="9" t="s">
        <v>58</v>
      </c>
      <c r="X3" s="9" t="s">
        <v>59</v>
      </c>
      <c r="Y3" s="9" t="s">
        <v>60</v>
      </c>
      <c r="Z3" s="9" t="s">
        <v>61</v>
      </c>
    </row>
    <row r="4" spans="1:26" x14ac:dyDescent="0.25">
      <c r="A4" s="53" t="s">
        <v>163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x14ac:dyDescent="0.25">
      <c r="A5" s="10" t="s">
        <v>82</v>
      </c>
      <c r="B5" s="10" t="s">
        <v>164</v>
      </c>
      <c r="C5" s="11">
        <f>SUMIFS('Raw Data'!$L:$L,'Raw Data'!$B:$B,$B$2,'Raw Data'!$J:$J,C$2,'Raw Data'!$K:$K,"native",'Raw Data'!$H:$H,"Bank",'Raw Data'!$I:$I,"To Bank",'Raw Data'!$M:$M,"count")+SUMIFS('Raw Data'!$L:$L,'Raw Data'!$B:$B,$B$2,'Raw Data'!$J:$J,C$2,'Raw Data'!$K:$K,"native",'Raw Data'!$H:$H,"Bank to Bank",'Raw Data'!$I:$I,"",'Raw Data'!$M:$M,"count")</f>
        <v>5720000</v>
      </c>
      <c r="D5" s="11">
        <f>SUMIFS('Raw Data'!$L:$L,'Raw Data'!$B:$B,$B$2,'Raw Data'!$J:$J,D$2,'Raw Data'!$K:$K,"native",'Raw Data'!$H:$H,"Bank",'Raw Data'!$I:$I,"To Bank",'Raw Data'!$M:$M,"count")+SUMIFS('Raw Data'!$L:$L,'Raw Data'!$B:$B,$B$2,'Raw Data'!$J:$J,D$2,'Raw Data'!$K:$K,"native",'Raw Data'!$H:$H,"Bank to Bank",'Raw Data'!$I:$I,"",'Raw Data'!$M:$M,"count")</f>
        <v>6430000</v>
      </c>
      <c r="E5" s="11">
        <f>SUMIFS('Raw Data'!$L:$L,'Raw Data'!$B:$B,$B$2,'Raw Data'!$J:$J,E$2,'Raw Data'!$K:$K,"native",'Raw Data'!$H:$H,"Bank",'Raw Data'!$I:$I,"To Bank",'Raw Data'!$M:$M,"count")+SUMIFS('Raw Data'!$L:$L,'Raw Data'!$B:$B,$B$2,'Raw Data'!$J:$J,E$2,'Raw Data'!$K:$K,"native",'Raw Data'!$H:$H,"Bank to Bank",'Raw Data'!$I:$I,"",'Raw Data'!$M:$M,"count")</f>
        <v>6480000</v>
      </c>
      <c r="F5" s="11">
        <f>SUMIFS('Raw Data'!$L:$L,'Raw Data'!$B:$B,$B$2,'Raw Data'!$J:$J,F$2,'Raw Data'!$K:$K,"native",'Raw Data'!$H:$H,"Bank",'Raw Data'!$I:$I,"To Bank",'Raw Data'!$M:$M,"count")+SUMIFS('Raw Data'!$L:$L,'Raw Data'!$B:$B,$B$2,'Raw Data'!$J:$J,F$2,'Raw Data'!$K:$K,"native",'Raw Data'!$H:$H,"Bank to Bank",'Raw Data'!$I:$I,"",'Raw Data'!$M:$M,"count")</f>
        <v>7220000</v>
      </c>
      <c r="G5" s="11">
        <f>SUMIFS('Raw Data'!$L:$L,'Raw Data'!$B:$B,$B$2,'Raw Data'!$J:$J,G$2,'Raw Data'!$K:$K,"native",'Raw Data'!$H:$H,"Bank",'Raw Data'!$I:$I,"To Bank",'Raw Data'!$M:$M,"count")+SUMIFS('Raw Data'!$L:$L,'Raw Data'!$B:$B,$B$2,'Raw Data'!$J:$J,G$2,'Raw Data'!$K:$K,"native",'Raw Data'!$H:$H,"Bank to Bank",'Raw Data'!$I:$I,"",'Raw Data'!$M:$M,"count")</f>
        <v>7380000</v>
      </c>
      <c r="H5" s="11">
        <f>SUMIFS('Raw Data'!$L:$L,'Raw Data'!$B:$B,$B$2,'Raw Data'!$J:$J,H$2,'Raw Data'!$K:$K,"native",'Raw Data'!$H:$H,"Bank",'Raw Data'!$I:$I,"To Bank",'Raw Data'!$M:$M,"count")+SUMIFS('Raw Data'!$L:$L,'Raw Data'!$B:$B,$B$2,'Raw Data'!$J:$J,H$2,'Raw Data'!$K:$K,"native",'Raw Data'!$H:$H,"Bank to Bank",'Raw Data'!$I:$I,"",'Raw Data'!$M:$M,"count")</f>
        <v>7070000</v>
      </c>
      <c r="I5" s="11">
        <f>SUMIFS('Raw Data'!$L:$L,'Raw Data'!$B:$B,$B$2,'Raw Data'!$J:$J,I$2,'Raw Data'!$K:$K,"native",'Raw Data'!$H:$H,"Bank",'Raw Data'!$I:$I,"To Bank",'Raw Data'!$M:$M,"count")+SUMIFS('Raw Data'!$L:$L,'Raw Data'!$B:$B,$B$2,'Raw Data'!$J:$J,I$2,'Raw Data'!$K:$K,"native",'Raw Data'!$H:$H,"Bank to Bank",'Raw Data'!$I:$I,"",'Raw Data'!$M:$M,"count")</f>
        <v>8610000</v>
      </c>
      <c r="J5" s="11">
        <f>SUMIFS('Raw Data'!$L:$L,'Raw Data'!$B:$B,$B$2,'Raw Data'!$J:$J,J$2,'Raw Data'!$K:$K,"native",'Raw Data'!$H:$H,"Bank",'Raw Data'!$I:$I,"To Bank",'Raw Data'!$M:$M,"count")+SUMIFS('Raw Data'!$L:$L,'Raw Data'!$B:$B,$B$2,'Raw Data'!$J:$J,J$2,'Raw Data'!$K:$K,"native",'Raw Data'!$H:$H,"Bank to Bank",'Raw Data'!$I:$I,"",'Raw Data'!$M:$M,"count")</f>
        <v>8150000</v>
      </c>
      <c r="K5" s="11">
        <f>SUMIFS('Raw Data'!$L:$L,'Raw Data'!$B:$B,$B$2,'Raw Data'!$J:$J,K$2,'Raw Data'!$K:$K,"native",'Raw Data'!$H:$H,"Bank",'Raw Data'!$I:$I,"To Bank",'Raw Data'!$M:$M,"count")+SUMIFS('Raw Data'!$L:$L,'Raw Data'!$B:$B,$B$2,'Raw Data'!$J:$J,K$2,'Raw Data'!$K:$K,"native",'Raw Data'!$H:$H,"Bank to Bank",'Raw Data'!$I:$I,"",'Raw Data'!$M:$M,"count")</f>
        <v>9660000</v>
      </c>
      <c r="L5" s="11">
        <f>SUMIFS('Raw Data'!$L:$L,'Raw Data'!$B:$B,$B$2,'Raw Data'!$J:$J,L$2,'Raw Data'!$K:$K,"native",'Raw Data'!$H:$H,"Bank",'Raw Data'!$I:$I,"To Bank",'Raw Data'!$M:$M,"count")+SUMIFS('Raw Data'!$L:$L,'Raw Data'!$B:$B,$B$2,'Raw Data'!$J:$J,L$2,'Raw Data'!$K:$K,"native",'Raw Data'!$H:$H,"Bank to Bank",'Raw Data'!$I:$I,"",'Raw Data'!$M:$M,"count")</f>
        <v>9160000</v>
      </c>
      <c r="M5" s="11">
        <f>SUMIFS('Raw Data'!$L:$L,'Raw Data'!$B:$B,$B$2,'Raw Data'!$J:$J,M$2,'Raw Data'!$K:$K,"native",'Raw Data'!$H:$H,"Bank",'Raw Data'!$I:$I,"To Bank",'Raw Data'!$M:$M,"count")+SUMIFS('Raw Data'!$L:$L,'Raw Data'!$B:$B,$B$2,'Raw Data'!$J:$J,M$2,'Raw Data'!$K:$K,"native",'Raw Data'!$H:$H,"Bank to Bank",'Raw Data'!$I:$I,"",'Raw Data'!$M:$M,"count")</f>
        <v>10650000</v>
      </c>
      <c r="N5" s="11">
        <f>SUMIFS('Raw Data'!$L:$L,'Raw Data'!$B:$B,$B$2,'Raw Data'!$J:$J,N$2,'Raw Data'!$K:$K,"native",'Raw Data'!$H:$H,"Bank",'Raw Data'!$I:$I,"To Bank",'Raw Data'!$M:$M,"count")+SUMIFS('Raw Data'!$L:$L,'Raw Data'!$B:$B,$B$2,'Raw Data'!$J:$J,N$2,'Raw Data'!$K:$K,"native",'Raw Data'!$H:$H,"Bank to Bank",'Raw Data'!$I:$I,"",'Raw Data'!$M:$M,"count")</f>
        <v>10960000</v>
      </c>
      <c r="O5" s="11">
        <f>SUMIFS('Raw Data'!$L:$L,'Raw Data'!$B:$B,$B$2,'Raw Data'!$J:$J,O$2,'Raw Data'!$K:$K,"native",'Raw Data'!$H:$H,"Bank",'Raw Data'!$I:$I,"To Bank",'Raw Data'!$M:$M,"count")+SUMIFS('Raw Data'!$L:$L,'Raw Data'!$B:$B,$B$2,'Raw Data'!$J:$J,O$2,'Raw Data'!$K:$K,"native",'Raw Data'!$H:$H,"Bank to Bank",'Raw Data'!$I:$I,"",'Raw Data'!$M:$M,"count")</f>
        <v>10810000</v>
      </c>
      <c r="P5" s="11">
        <f>SUMIFS('Raw Data'!$L:$L,'Raw Data'!$B:$B,$B$2,'Raw Data'!$J:$J,P$2,'Raw Data'!$K:$K,"native",'Raw Data'!$H:$H,"Bank",'Raw Data'!$I:$I,"To Bank",'Raw Data'!$M:$M,"count")+SUMIFS('Raw Data'!$L:$L,'Raw Data'!$B:$B,$B$2,'Raw Data'!$J:$J,P$2,'Raw Data'!$K:$K,"native",'Raw Data'!$H:$H,"Bank to Bank",'Raw Data'!$I:$I,"",'Raw Data'!$M:$M,"count")</f>
        <v>11440000</v>
      </c>
      <c r="Q5" s="11">
        <f>SUMIFS('Raw Data'!$L:$L,'Raw Data'!$B:$B,$B$2,'Raw Data'!$J:$J,Q$2,'Raw Data'!$K:$K,"native",'Raw Data'!$H:$H,"Bank",'Raw Data'!$I:$I,"To Bank",'Raw Data'!$M:$M,"count")+SUMIFS('Raw Data'!$L:$L,'Raw Data'!$B:$B,$B$2,'Raw Data'!$J:$J,Q$2,'Raw Data'!$K:$K,"native",'Raw Data'!$H:$H,"Bank to Bank",'Raw Data'!$I:$I,"",'Raw Data'!$M:$M,"count")</f>
        <v>11240000</v>
      </c>
      <c r="R5" s="11">
        <f>SUMIFS('Raw Data'!$L:$L,'Raw Data'!$B:$B,$B$2,'Raw Data'!$J:$J,R$2,'Raw Data'!$K:$K,"native",'Raw Data'!$H:$H,"Bank",'Raw Data'!$I:$I,"To Bank",'Raw Data'!$M:$M,"count")+SUMIFS('Raw Data'!$L:$L,'Raw Data'!$B:$B,$B$2,'Raw Data'!$J:$J,R$2,'Raw Data'!$K:$K,"native",'Raw Data'!$H:$H,"Bank to Bank",'Raw Data'!$I:$I,"",'Raw Data'!$M:$M,"count")</f>
        <v>12140000</v>
      </c>
      <c r="S5" s="11">
        <f>SUMIFS('Raw Data'!$L:$L,'Raw Data'!$B:$B,$B$2,'Raw Data'!$J:$J,S$2,'Raw Data'!$K:$K,"native",'Raw Data'!$H:$H,"Bank",'Raw Data'!$I:$I,"To Bank",'Raw Data'!$M:$M,"count")+SUMIFS('Raw Data'!$L:$L,'Raw Data'!$B:$B,$B$2,'Raw Data'!$J:$J,S$2,'Raw Data'!$K:$K,"native",'Raw Data'!$H:$H,"Bank to Bank",'Raw Data'!$I:$I,"",'Raw Data'!$M:$M,"count")</f>
        <v>12100000</v>
      </c>
      <c r="T5" s="11">
        <f>SUMIFS('Raw Data'!$L:$L,'Raw Data'!$B:$B,$B$2,'Raw Data'!$J:$J,T$2,'Raw Data'!$K:$K,"native",'Raw Data'!$H:$H,"Bank",'Raw Data'!$I:$I,"To Bank",'Raw Data'!$M:$M,"count")+SUMIFS('Raw Data'!$L:$L,'Raw Data'!$B:$B,$B$2,'Raw Data'!$J:$J,T$2,'Raw Data'!$K:$K,"native",'Raw Data'!$H:$H,"Bank to Bank",'Raw Data'!$I:$I,"",'Raw Data'!$M:$M,"count")</f>
        <v>11390000</v>
      </c>
      <c r="U5" s="11">
        <f>SUMIFS('Raw Data'!$L:$L,'Raw Data'!$B:$B,$B$2,'Raw Data'!$J:$J,U$2,'Raw Data'!$K:$K,"native",'Raw Data'!$H:$H,"Bank",'Raw Data'!$I:$I,"To Bank",'Raw Data'!$M:$M,"count")+SUMIFS('Raw Data'!$L:$L,'Raw Data'!$B:$B,$B$2,'Raw Data'!$J:$J,U$2,'Raw Data'!$K:$K,"native",'Raw Data'!$H:$H,"Bank to Bank",'Raw Data'!$I:$I,"",'Raw Data'!$M:$M,"count")</f>
        <v>12960000</v>
      </c>
      <c r="V5" s="11">
        <f>SUMIFS('Raw Data'!$L:$L,'Raw Data'!$B:$B,$B$2,'Raw Data'!$J:$J,V$2,'Raw Data'!$K:$K,"native",'Raw Data'!$H:$H,"Bank",'Raw Data'!$I:$I,"To Bank",'Raw Data'!$M:$M,"count")+SUMIFS('Raw Data'!$L:$L,'Raw Data'!$B:$B,$B$2,'Raw Data'!$J:$J,V$2,'Raw Data'!$K:$K,"native",'Raw Data'!$H:$H,"Bank to Bank",'Raw Data'!$I:$I,"",'Raw Data'!$M:$M,"count")</f>
        <v>13070000</v>
      </c>
      <c r="W5" s="11">
        <f>SUMIFS('Raw Data'!$L:$L,'Raw Data'!$B:$B,$B$2,'Raw Data'!$J:$J,W$2,'Raw Data'!$K:$K,"native",'Raw Data'!$H:$H,"Bank",'Raw Data'!$I:$I,"To Bank",'Raw Data'!$M:$M,"count")+SUMIFS('Raw Data'!$L:$L,'Raw Data'!$B:$B,$B$2,'Raw Data'!$J:$J,W$2,'Raw Data'!$K:$K,"native",'Raw Data'!$H:$H,"Bank to Bank",'Raw Data'!$I:$I,"",'Raw Data'!$M:$M,"count")</f>
        <v>14390000</v>
      </c>
      <c r="X5" s="11">
        <f>SUMIFS('Raw Data'!$L:$L,'Raw Data'!$B:$B,$B$2,'Raw Data'!$J:$J,X$2,'Raw Data'!$K:$K,"native",'Raw Data'!$H:$H,"Bank",'Raw Data'!$I:$I,"To Bank",'Raw Data'!$M:$M,"count")+SUMIFS('Raw Data'!$L:$L,'Raw Data'!$B:$B,$B$2,'Raw Data'!$J:$J,X$2,'Raw Data'!$K:$K,"native",'Raw Data'!$H:$H,"Bank to Bank",'Raw Data'!$I:$I,"",'Raw Data'!$M:$M,"count")</f>
        <v>13990000</v>
      </c>
      <c r="Y5" s="11">
        <f>SUMIFS('Raw Data'!$L:$L,'Raw Data'!$B:$B,$B$2,'Raw Data'!$J:$J,Y$2,'Raw Data'!$K:$K,"native",'Raw Data'!$H:$H,"Bank",'Raw Data'!$I:$I,"To Bank",'Raw Data'!$M:$M,"count")+SUMIFS('Raw Data'!$L:$L,'Raw Data'!$B:$B,$B$2,'Raw Data'!$J:$J,Y$2,'Raw Data'!$K:$K,"native",'Raw Data'!$H:$H,"Bank to Bank",'Raw Data'!$I:$I,"",'Raw Data'!$M:$M,"count")</f>
        <v>15330000</v>
      </c>
      <c r="Z5" s="11">
        <f>SUMIFS('Raw Data'!$L:$L,'Raw Data'!$B:$B,$B$2,'Raw Data'!$J:$J,Z$2,'Raw Data'!$K:$K,"native",'Raw Data'!$H:$H,"Bank",'Raw Data'!$I:$I,"To Bank",'Raw Data'!$M:$M,"count")+SUMIFS('Raw Data'!$L:$L,'Raw Data'!$B:$B,$B$2,'Raw Data'!$J:$J,Z$2,'Raw Data'!$K:$K,"native",'Raw Data'!$H:$H,"Bank to Bank",'Raw Data'!$I:$I,"",'Raw Data'!$M:$M,"count")</f>
        <v>15810000</v>
      </c>
    </row>
    <row r="6" spans="1:26" x14ac:dyDescent="0.25">
      <c r="A6" s="10" t="s">
        <v>82</v>
      </c>
      <c r="B6" s="10" t="s">
        <v>165</v>
      </c>
      <c r="C6" s="11">
        <f>SUMIFS('Raw Data'!$L:$L,'Raw Data'!$B:$B,$B$2,'Raw Data'!$J:$J,C$2,'Raw Data'!$K:$K,"native",'Raw Data'!$H:$H,"Bank",'Raw Data'!$I:$I,"To PSP",'Raw Data'!$M:$M,"count")+SUMIFS('Raw Data'!$L:$L,'Raw Data'!$B:$B,$B$2,'Raw Data'!$J:$J,C$2,'Raw Data'!$K:$K,"native",'Raw Data'!$H:$H,"Bank to PSP",'Raw Data'!$I:$I,"",'Raw Data'!$M:$M,"count")</f>
        <v>2160000</v>
      </c>
      <c r="D6" s="11">
        <f>SUMIFS('Raw Data'!$L:$L,'Raw Data'!$B:$B,$B$2,'Raw Data'!$J:$J,D$2,'Raw Data'!$K:$K,"native",'Raw Data'!$H:$H,"Bank",'Raw Data'!$I:$I,"To PSP",'Raw Data'!$M:$M,"count")+SUMIFS('Raw Data'!$L:$L,'Raw Data'!$B:$B,$B$2,'Raw Data'!$J:$J,D$2,'Raw Data'!$K:$K,"native",'Raw Data'!$H:$H,"Bank to PSP",'Raw Data'!$I:$I,"",'Raw Data'!$M:$M,"count")</f>
        <v>2430000</v>
      </c>
      <c r="E6" s="11">
        <f>SUMIFS('Raw Data'!$L:$L,'Raw Data'!$B:$B,$B$2,'Raw Data'!$J:$J,E$2,'Raw Data'!$K:$K,"native",'Raw Data'!$H:$H,"Bank",'Raw Data'!$I:$I,"To PSP",'Raw Data'!$M:$M,"count")+SUMIFS('Raw Data'!$L:$L,'Raw Data'!$B:$B,$B$2,'Raw Data'!$J:$J,E$2,'Raw Data'!$K:$K,"native",'Raw Data'!$H:$H,"Bank to PSP",'Raw Data'!$I:$I,"",'Raw Data'!$M:$M,"count")</f>
        <v>2500000</v>
      </c>
      <c r="F6" s="11">
        <f>SUMIFS('Raw Data'!$L:$L,'Raw Data'!$B:$B,$B$2,'Raw Data'!$J:$J,F$2,'Raw Data'!$K:$K,"native",'Raw Data'!$H:$H,"Bank",'Raw Data'!$I:$I,"To PSP",'Raw Data'!$M:$M,"count")+SUMIFS('Raw Data'!$L:$L,'Raw Data'!$B:$B,$B$2,'Raw Data'!$J:$J,F$2,'Raw Data'!$K:$K,"native",'Raw Data'!$H:$H,"Bank to PSP",'Raw Data'!$I:$I,"",'Raw Data'!$M:$M,"count")</f>
        <v>2770000</v>
      </c>
      <c r="G6" s="11">
        <f>SUMIFS('Raw Data'!$L:$L,'Raw Data'!$B:$B,$B$2,'Raw Data'!$J:$J,G$2,'Raw Data'!$K:$K,"native",'Raw Data'!$H:$H,"Bank",'Raw Data'!$I:$I,"To PSP",'Raw Data'!$M:$M,"count")+SUMIFS('Raw Data'!$L:$L,'Raw Data'!$B:$B,$B$2,'Raw Data'!$J:$J,G$2,'Raw Data'!$K:$K,"native",'Raw Data'!$H:$H,"Bank to PSP",'Raw Data'!$I:$I,"",'Raw Data'!$M:$M,"count")</f>
        <v>2930000</v>
      </c>
      <c r="H6" s="11">
        <f>SUMIFS('Raw Data'!$L:$L,'Raw Data'!$B:$B,$B$2,'Raw Data'!$J:$J,H$2,'Raw Data'!$K:$K,"native",'Raw Data'!$H:$H,"Bank",'Raw Data'!$I:$I,"To PSP",'Raw Data'!$M:$M,"count")+SUMIFS('Raw Data'!$L:$L,'Raw Data'!$B:$B,$B$2,'Raw Data'!$J:$J,H$2,'Raw Data'!$K:$K,"native",'Raw Data'!$H:$H,"Bank to PSP",'Raw Data'!$I:$I,"",'Raw Data'!$M:$M,"count")</f>
        <v>2820000</v>
      </c>
      <c r="I6" s="11">
        <f>SUMIFS('Raw Data'!$L:$L,'Raw Data'!$B:$B,$B$2,'Raw Data'!$J:$J,I$2,'Raw Data'!$K:$K,"native",'Raw Data'!$H:$H,"Bank",'Raw Data'!$I:$I,"To PSP",'Raw Data'!$M:$M,"count")+SUMIFS('Raw Data'!$L:$L,'Raw Data'!$B:$B,$B$2,'Raw Data'!$J:$J,I$2,'Raw Data'!$K:$K,"native",'Raw Data'!$H:$H,"Bank to PSP",'Raw Data'!$I:$I,"",'Raw Data'!$M:$M,"count")</f>
        <v>3500000</v>
      </c>
      <c r="J6" s="11">
        <f>SUMIFS('Raw Data'!$L:$L,'Raw Data'!$B:$B,$B$2,'Raw Data'!$J:$J,J$2,'Raw Data'!$K:$K,"native",'Raw Data'!$H:$H,"Bank",'Raw Data'!$I:$I,"To PSP",'Raw Data'!$M:$M,"count")+SUMIFS('Raw Data'!$L:$L,'Raw Data'!$B:$B,$B$2,'Raw Data'!$J:$J,J$2,'Raw Data'!$K:$K,"native",'Raw Data'!$H:$H,"Bank to PSP",'Raw Data'!$I:$I,"",'Raw Data'!$M:$M,"count")</f>
        <v>3370000</v>
      </c>
      <c r="K6" s="11">
        <f>SUMIFS('Raw Data'!$L:$L,'Raw Data'!$B:$B,$B$2,'Raw Data'!$J:$J,K$2,'Raw Data'!$K:$K,"native",'Raw Data'!$H:$H,"Bank",'Raw Data'!$I:$I,"To PSP",'Raw Data'!$M:$M,"count")+SUMIFS('Raw Data'!$L:$L,'Raw Data'!$B:$B,$B$2,'Raw Data'!$J:$J,K$2,'Raw Data'!$K:$K,"native",'Raw Data'!$H:$H,"Bank to PSP",'Raw Data'!$I:$I,"",'Raw Data'!$M:$M,"count")</f>
        <v>4060000</v>
      </c>
      <c r="L6" s="11">
        <f>SUMIFS('Raw Data'!$L:$L,'Raw Data'!$B:$B,$B$2,'Raw Data'!$J:$J,L$2,'Raw Data'!$K:$K,"native",'Raw Data'!$H:$H,"Bank",'Raw Data'!$I:$I,"To PSP",'Raw Data'!$M:$M,"count")+SUMIFS('Raw Data'!$L:$L,'Raw Data'!$B:$B,$B$2,'Raw Data'!$J:$J,L$2,'Raw Data'!$K:$K,"native",'Raw Data'!$H:$H,"Bank to PSP",'Raw Data'!$I:$I,"",'Raw Data'!$M:$M,"count")</f>
        <v>3920000</v>
      </c>
      <c r="M6" s="11">
        <f>SUMIFS('Raw Data'!$L:$L,'Raw Data'!$B:$B,$B$2,'Raw Data'!$J:$J,M$2,'Raw Data'!$K:$K,"native",'Raw Data'!$H:$H,"Bank",'Raw Data'!$I:$I,"To PSP",'Raw Data'!$M:$M,"count")+SUMIFS('Raw Data'!$L:$L,'Raw Data'!$B:$B,$B$2,'Raw Data'!$J:$J,M$2,'Raw Data'!$K:$K,"native",'Raw Data'!$H:$H,"Bank to PSP",'Raw Data'!$I:$I,"",'Raw Data'!$M:$M,"count")</f>
        <v>4640000</v>
      </c>
      <c r="N6" s="11">
        <f>SUMIFS('Raw Data'!$L:$L,'Raw Data'!$B:$B,$B$2,'Raw Data'!$J:$J,N$2,'Raw Data'!$K:$K,"native",'Raw Data'!$H:$H,"Bank",'Raw Data'!$I:$I,"To PSP",'Raw Data'!$M:$M,"count")+SUMIFS('Raw Data'!$L:$L,'Raw Data'!$B:$B,$B$2,'Raw Data'!$J:$J,N$2,'Raw Data'!$K:$K,"native",'Raw Data'!$H:$H,"Bank to PSP",'Raw Data'!$I:$I,"",'Raw Data'!$M:$M,"count")</f>
        <v>4790000</v>
      </c>
      <c r="O6" s="11">
        <f>SUMIFS('Raw Data'!$L:$L,'Raw Data'!$B:$B,$B$2,'Raw Data'!$J:$J,O$2,'Raw Data'!$K:$K,"native",'Raw Data'!$H:$H,"Bank",'Raw Data'!$I:$I,"To PSP",'Raw Data'!$M:$M,"count")+SUMIFS('Raw Data'!$L:$L,'Raw Data'!$B:$B,$B$2,'Raw Data'!$J:$J,O$2,'Raw Data'!$K:$K,"native",'Raw Data'!$H:$H,"Bank to PSP",'Raw Data'!$I:$I,"",'Raw Data'!$M:$M,"count")</f>
        <v>4750000</v>
      </c>
      <c r="P6" s="11">
        <f>SUMIFS('Raw Data'!$L:$L,'Raw Data'!$B:$B,$B$2,'Raw Data'!$J:$J,P$2,'Raw Data'!$K:$K,"native",'Raw Data'!$H:$H,"Bank",'Raw Data'!$I:$I,"To PSP",'Raw Data'!$M:$M,"count")+SUMIFS('Raw Data'!$L:$L,'Raw Data'!$B:$B,$B$2,'Raw Data'!$J:$J,P$2,'Raw Data'!$K:$K,"native",'Raw Data'!$H:$H,"Bank to PSP",'Raw Data'!$I:$I,"",'Raw Data'!$M:$M,"count")</f>
        <v>5130000</v>
      </c>
      <c r="Q6" s="11">
        <f>SUMIFS('Raw Data'!$L:$L,'Raw Data'!$B:$B,$B$2,'Raw Data'!$J:$J,Q$2,'Raw Data'!$K:$K,"native",'Raw Data'!$H:$H,"Bank",'Raw Data'!$I:$I,"To PSP",'Raw Data'!$M:$M,"count")+SUMIFS('Raw Data'!$L:$L,'Raw Data'!$B:$B,$B$2,'Raw Data'!$J:$J,Q$2,'Raw Data'!$K:$K,"native",'Raw Data'!$H:$H,"Bank to PSP",'Raw Data'!$I:$I,"",'Raw Data'!$M:$M,"count")</f>
        <v>5100000</v>
      </c>
      <c r="R6" s="11">
        <f>SUMIFS('Raw Data'!$L:$L,'Raw Data'!$B:$B,$B$2,'Raw Data'!$J:$J,R$2,'Raw Data'!$K:$K,"native",'Raw Data'!$H:$H,"Bank",'Raw Data'!$I:$I,"To PSP",'Raw Data'!$M:$M,"count")+SUMIFS('Raw Data'!$L:$L,'Raw Data'!$B:$B,$B$2,'Raw Data'!$J:$J,R$2,'Raw Data'!$K:$K,"native",'Raw Data'!$H:$H,"Bank to PSP",'Raw Data'!$I:$I,"",'Raw Data'!$M:$M,"count")</f>
        <v>5520000</v>
      </c>
      <c r="S6" s="11">
        <f>SUMIFS('Raw Data'!$L:$L,'Raw Data'!$B:$B,$B$2,'Raw Data'!$J:$J,S$2,'Raw Data'!$K:$K,"native",'Raw Data'!$H:$H,"Bank",'Raw Data'!$I:$I,"To PSP",'Raw Data'!$M:$M,"count")+SUMIFS('Raw Data'!$L:$L,'Raw Data'!$B:$B,$B$2,'Raw Data'!$J:$J,S$2,'Raw Data'!$K:$K,"native",'Raw Data'!$H:$H,"Bank to PSP",'Raw Data'!$I:$I,"",'Raw Data'!$M:$M,"count")</f>
        <v>5590000</v>
      </c>
      <c r="T6" s="11">
        <f>SUMIFS('Raw Data'!$L:$L,'Raw Data'!$B:$B,$B$2,'Raw Data'!$J:$J,T$2,'Raw Data'!$K:$K,"native",'Raw Data'!$H:$H,"Bank",'Raw Data'!$I:$I,"To PSP",'Raw Data'!$M:$M,"count")+SUMIFS('Raw Data'!$L:$L,'Raw Data'!$B:$B,$B$2,'Raw Data'!$J:$J,T$2,'Raw Data'!$K:$K,"native",'Raw Data'!$H:$H,"Bank to PSP",'Raw Data'!$I:$I,"",'Raw Data'!$M:$M,"count")</f>
        <v>5180000</v>
      </c>
      <c r="U6" s="11">
        <f>SUMIFS('Raw Data'!$L:$L,'Raw Data'!$B:$B,$B$2,'Raw Data'!$J:$J,U$2,'Raw Data'!$K:$K,"native",'Raw Data'!$H:$H,"Bank",'Raw Data'!$I:$I,"To PSP",'Raw Data'!$M:$M,"count")+SUMIFS('Raw Data'!$L:$L,'Raw Data'!$B:$B,$B$2,'Raw Data'!$J:$J,U$2,'Raw Data'!$K:$K,"native",'Raw Data'!$H:$H,"Bank to PSP",'Raw Data'!$I:$I,"",'Raw Data'!$M:$M,"count")</f>
        <v>6030000</v>
      </c>
      <c r="V6" s="11">
        <f>SUMIFS('Raw Data'!$L:$L,'Raw Data'!$B:$B,$B$2,'Raw Data'!$J:$J,V$2,'Raw Data'!$K:$K,"native",'Raw Data'!$H:$H,"Bank",'Raw Data'!$I:$I,"To PSP",'Raw Data'!$M:$M,"count")+SUMIFS('Raw Data'!$L:$L,'Raw Data'!$B:$B,$B$2,'Raw Data'!$J:$J,V$2,'Raw Data'!$K:$K,"native",'Raw Data'!$H:$H,"Bank to PSP",'Raw Data'!$I:$I,"",'Raw Data'!$M:$M,"count")</f>
        <v>6250000</v>
      </c>
      <c r="W6" s="11">
        <f>SUMIFS('Raw Data'!$L:$L,'Raw Data'!$B:$B,$B$2,'Raw Data'!$J:$J,W$2,'Raw Data'!$K:$K,"native",'Raw Data'!$H:$H,"Bank",'Raw Data'!$I:$I,"To PSP",'Raw Data'!$M:$M,"count")+SUMIFS('Raw Data'!$L:$L,'Raw Data'!$B:$B,$B$2,'Raw Data'!$J:$J,W$2,'Raw Data'!$K:$K,"native",'Raw Data'!$H:$H,"Bank to PSP",'Raw Data'!$I:$I,"",'Raw Data'!$M:$M,"count")</f>
        <v>7030000</v>
      </c>
      <c r="X6" s="11">
        <f>SUMIFS('Raw Data'!$L:$L,'Raw Data'!$B:$B,$B$2,'Raw Data'!$J:$J,X$2,'Raw Data'!$K:$K,"native",'Raw Data'!$H:$H,"Bank",'Raw Data'!$I:$I,"To PSP",'Raw Data'!$M:$M,"count")+SUMIFS('Raw Data'!$L:$L,'Raw Data'!$B:$B,$B$2,'Raw Data'!$J:$J,X$2,'Raw Data'!$K:$K,"native",'Raw Data'!$H:$H,"Bank to PSP",'Raw Data'!$I:$I,"",'Raw Data'!$M:$M,"count")</f>
        <v>6950000</v>
      </c>
      <c r="Y6" s="11">
        <f>SUMIFS('Raw Data'!$L:$L,'Raw Data'!$B:$B,$B$2,'Raw Data'!$J:$J,Y$2,'Raw Data'!$K:$K,"native",'Raw Data'!$H:$H,"Bank",'Raw Data'!$I:$I,"To PSP",'Raw Data'!$M:$M,"count")+SUMIFS('Raw Data'!$L:$L,'Raw Data'!$B:$B,$B$2,'Raw Data'!$J:$J,Y$2,'Raw Data'!$K:$K,"native",'Raw Data'!$H:$H,"Bank to PSP",'Raw Data'!$I:$I,"",'Raw Data'!$M:$M,"count")</f>
        <v>7820000</v>
      </c>
      <c r="Z6" s="11">
        <f>SUMIFS('Raw Data'!$L:$L,'Raw Data'!$B:$B,$B$2,'Raw Data'!$J:$J,Z$2,'Raw Data'!$K:$K,"native",'Raw Data'!$H:$H,"Bank",'Raw Data'!$I:$I,"To PSP",'Raw Data'!$M:$M,"count")+SUMIFS('Raw Data'!$L:$L,'Raw Data'!$B:$B,$B$2,'Raw Data'!$J:$J,Z$2,'Raw Data'!$K:$K,"native",'Raw Data'!$H:$H,"Bank to PSP",'Raw Data'!$I:$I,"",'Raw Data'!$M:$M,"count")</f>
        <v>8160000</v>
      </c>
    </row>
    <row r="7" spans="1:26" x14ac:dyDescent="0.25">
      <c r="A7" s="10" t="s">
        <v>82</v>
      </c>
      <c r="B7" s="10" t="s">
        <v>166</v>
      </c>
      <c r="C7" s="11">
        <f>SUMIFS('Raw Data'!$L:$L,'Raw Data'!$B:$B,$B$2,'Raw Data'!$J:$J,C$2,'Raw Data'!$K:$K,"native",'Raw Data'!$H:$H,"PSP",'Raw Data'!$I:$I,"To Bank",'Raw Data'!$M:$M,"count")+SUMIFS('Raw Data'!$L:$L,'Raw Data'!$B:$B,$B$2,'Raw Data'!$J:$J,C$2,'Raw Data'!$K:$K,"native",'Raw Data'!$H:$H,"PSP to Bank",'Raw Data'!$I:$I,"",'Raw Data'!$M:$M,"count")</f>
        <v>1510000</v>
      </c>
      <c r="D7" s="11">
        <f>SUMIFS('Raw Data'!$L:$L,'Raw Data'!$B:$B,$B$2,'Raw Data'!$J:$J,D$2,'Raw Data'!$K:$K,"native",'Raw Data'!$H:$H,"PSP",'Raw Data'!$I:$I,"To Bank",'Raw Data'!$M:$M,"count")+SUMIFS('Raw Data'!$L:$L,'Raw Data'!$B:$B,$B$2,'Raw Data'!$J:$J,D$2,'Raw Data'!$K:$K,"native",'Raw Data'!$H:$H,"PSP to Bank",'Raw Data'!$I:$I,"",'Raw Data'!$M:$M,"count")</f>
        <v>1700000</v>
      </c>
      <c r="E7" s="11">
        <f>SUMIFS('Raw Data'!$L:$L,'Raw Data'!$B:$B,$B$2,'Raw Data'!$J:$J,E$2,'Raw Data'!$K:$K,"native",'Raw Data'!$H:$H,"PSP",'Raw Data'!$I:$I,"To Bank",'Raw Data'!$M:$M,"count")+SUMIFS('Raw Data'!$L:$L,'Raw Data'!$B:$B,$B$2,'Raw Data'!$J:$J,E$2,'Raw Data'!$K:$K,"native",'Raw Data'!$H:$H,"PSP to Bank",'Raw Data'!$I:$I,"",'Raw Data'!$M:$M,"count")</f>
        <v>1680000</v>
      </c>
      <c r="F7" s="11">
        <f>SUMIFS('Raw Data'!$L:$L,'Raw Data'!$B:$B,$B$2,'Raw Data'!$J:$J,F$2,'Raw Data'!$K:$K,"native",'Raw Data'!$H:$H,"PSP",'Raw Data'!$I:$I,"To Bank",'Raw Data'!$M:$M,"count")+SUMIFS('Raw Data'!$L:$L,'Raw Data'!$B:$B,$B$2,'Raw Data'!$J:$J,F$2,'Raw Data'!$K:$K,"native",'Raw Data'!$H:$H,"PSP to Bank",'Raw Data'!$I:$I,"",'Raw Data'!$M:$M,"count")</f>
        <v>1860000</v>
      </c>
      <c r="G7" s="11">
        <f>SUMIFS('Raw Data'!$L:$L,'Raw Data'!$B:$B,$B$2,'Raw Data'!$J:$J,G$2,'Raw Data'!$K:$K,"native",'Raw Data'!$H:$H,"PSP",'Raw Data'!$I:$I,"To Bank",'Raw Data'!$M:$M,"count")+SUMIFS('Raw Data'!$L:$L,'Raw Data'!$B:$B,$B$2,'Raw Data'!$J:$J,G$2,'Raw Data'!$K:$K,"native",'Raw Data'!$H:$H,"PSP to Bank",'Raw Data'!$I:$I,"",'Raw Data'!$M:$M,"count")</f>
        <v>1930000</v>
      </c>
      <c r="H7" s="11">
        <f>SUMIFS('Raw Data'!$L:$L,'Raw Data'!$B:$B,$B$2,'Raw Data'!$J:$J,H$2,'Raw Data'!$K:$K,"native",'Raw Data'!$H:$H,"PSP",'Raw Data'!$I:$I,"To Bank",'Raw Data'!$M:$M,"count")+SUMIFS('Raw Data'!$L:$L,'Raw Data'!$B:$B,$B$2,'Raw Data'!$J:$J,H$2,'Raw Data'!$K:$K,"native",'Raw Data'!$H:$H,"PSP to Bank",'Raw Data'!$I:$I,"",'Raw Data'!$M:$M,"count")</f>
        <v>1820000</v>
      </c>
      <c r="I7" s="11">
        <f>SUMIFS('Raw Data'!$L:$L,'Raw Data'!$B:$B,$B$2,'Raw Data'!$J:$J,I$2,'Raw Data'!$K:$K,"native",'Raw Data'!$H:$H,"PSP",'Raw Data'!$I:$I,"To Bank",'Raw Data'!$M:$M,"count")+SUMIFS('Raw Data'!$L:$L,'Raw Data'!$B:$B,$B$2,'Raw Data'!$J:$J,I$2,'Raw Data'!$K:$K,"native",'Raw Data'!$H:$H,"PSP to Bank",'Raw Data'!$I:$I,"",'Raw Data'!$M:$M,"count")</f>
        <v>2260000</v>
      </c>
      <c r="J7" s="11">
        <f>SUMIFS('Raw Data'!$L:$L,'Raw Data'!$B:$B,$B$2,'Raw Data'!$J:$J,J$2,'Raw Data'!$K:$K,"native",'Raw Data'!$H:$H,"PSP",'Raw Data'!$I:$I,"To Bank",'Raw Data'!$M:$M,"count")+SUMIFS('Raw Data'!$L:$L,'Raw Data'!$B:$B,$B$2,'Raw Data'!$J:$J,J$2,'Raw Data'!$K:$K,"native",'Raw Data'!$H:$H,"PSP to Bank",'Raw Data'!$I:$I,"",'Raw Data'!$M:$M,"count")</f>
        <v>2180000</v>
      </c>
      <c r="K7" s="11">
        <f>SUMIFS('Raw Data'!$L:$L,'Raw Data'!$B:$B,$B$2,'Raw Data'!$J:$J,K$2,'Raw Data'!$K:$K,"native",'Raw Data'!$H:$H,"PSP",'Raw Data'!$I:$I,"To Bank",'Raw Data'!$M:$M,"count")+SUMIFS('Raw Data'!$L:$L,'Raw Data'!$B:$B,$B$2,'Raw Data'!$J:$J,K$2,'Raw Data'!$K:$K,"native",'Raw Data'!$H:$H,"PSP to Bank",'Raw Data'!$I:$I,"",'Raw Data'!$M:$M,"count")</f>
        <v>2620000</v>
      </c>
      <c r="L7" s="11">
        <f>SUMIFS('Raw Data'!$L:$L,'Raw Data'!$B:$B,$B$2,'Raw Data'!$J:$J,L$2,'Raw Data'!$K:$K,"native",'Raw Data'!$H:$H,"PSP",'Raw Data'!$I:$I,"To Bank",'Raw Data'!$M:$M,"count")+SUMIFS('Raw Data'!$L:$L,'Raw Data'!$B:$B,$B$2,'Raw Data'!$J:$J,L$2,'Raw Data'!$K:$K,"native",'Raw Data'!$H:$H,"PSP to Bank",'Raw Data'!$I:$I,"",'Raw Data'!$M:$M,"count")</f>
        <v>2510000</v>
      </c>
      <c r="M7" s="11">
        <f>SUMIFS('Raw Data'!$L:$L,'Raw Data'!$B:$B,$B$2,'Raw Data'!$J:$J,M$2,'Raw Data'!$K:$K,"native",'Raw Data'!$H:$H,"PSP",'Raw Data'!$I:$I,"To Bank",'Raw Data'!$M:$M,"count")+SUMIFS('Raw Data'!$L:$L,'Raw Data'!$B:$B,$B$2,'Raw Data'!$J:$J,M$2,'Raw Data'!$K:$K,"native",'Raw Data'!$H:$H,"PSP to Bank",'Raw Data'!$I:$I,"",'Raw Data'!$M:$M,"count")</f>
        <v>2920000</v>
      </c>
      <c r="N7" s="11">
        <f>SUMIFS('Raw Data'!$L:$L,'Raw Data'!$B:$B,$B$2,'Raw Data'!$J:$J,N$2,'Raw Data'!$K:$K,"native",'Raw Data'!$H:$H,"PSP",'Raw Data'!$I:$I,"To Bank",'Raw Data'!$M:$M,"count")+SUMIFS('Raw Data'!$L:$L,'Raw Data'!$B:$B,$B$2,'Raw Data'!$J:$J,N$2,'Raw Data'!$K:$K,"native",'Raw Data'!$H:$H,"PSP to Bank",'Raw Data'!$I:$I,"",'Raw Data'!$M:$M,"count")</f>
        <v>3040000</v>
      </c>
      <c r="O7" s="11">
        <f>SUMIFS('Raw Data'!$L:$L,'Raw Data'!$B:$B,$B$2,'Raw Data'!$J:$J,O$2,'Raw Data'!$K:$K,"native",'Raw Data'!$H:$H,"PSP",'Raw Data'!$I:$I,"To Bank",'Raw Data'!$M:$M,"count")+SUMIFS('Raw Data'!$L:$L,'Raw Data'!$B:$B,$B$2,'Raw Data'!$J:$J,O$2,'Raw Data'!$K:$K,"native",'Raw Data'!$H:$H,"PSP to Bank",'Raw Data'!$I:$I,"",'Raw Data'!$M:$M,"count")</f>
        <v>3050000</v>
      </c>
      <c r="P7" s="11">
        <f>SUMIFS('Raw Data'!$L:$L,'Raw Data'!$B:$B,$B$2,'Raw Data'!$J:$J,P$2,'Raw Data'!$K:$K,"native",'Raw Data'!$H:$H,"PSP",'Raw Data'!$I:$I,"To Bank",'Raw Data'!$M:$M,"count")+SUMIFS('Raw Data'!$L:$L,'Raw Data'!$B:$B,$B$2,'Raw Data'!$J:$J,P$2,'Raw Data'!$K:$K,"native",'Raw Data'!$H:$H,"PSP to Bank",'Raw Data'!$I:$I,"",'Raw Data'!$M:$M,"count")</f>
        <v>3280000</v>
      </c>
      <c r="Q7" s="11">
        <f>SUMIFS('Raw Data'!$L:$L,'Raw Data'!$B:$B,$B$2,'Raw Data'!$J:$J,Q$2,'Raw Data'!$K:$K,"native",'Raw Data'!$H:$H,"PSP",'Raw Data'!$I:$I,"To Bank",'Raw Data'!$M:$M,"count")+SUMIFS('Raw Data'!$L:$L,'Raw Data'!$B:$B,$B$2,'Raw Data'!$J:$J,Q$2,'Raw Data'!$K:$K,"native",'Raw Data'!$H:$H,"PSP to Bank",'Raw Data'!$I:$I,"",'Raw Data'!$M:$M,"count")</f>
        <v>3260000</v>
      </c>
      <c r="R7" s="11">
        <f>SUMIFS('Raw Data'!$L:$L,'Raw Data'!$B:$B,$B$2,'Raw Data'!$J:$J,R$2,'Raw Data'!$K:$K,"native",'Raw Data'!$H:$H,"PSP",'Raw Data'!$I:$I,"To Bank",'Raw Data'!$M:$M,"count")+SUMIFS('Raw Data'!$L:$L,'Raw Data'!$B:$B,$B$2,'Raw Data'!$J:$J,R$2,'Raw Data'!$K:$K,"native",'Raw Data'!$H:$H,"PSP to Bank",'Raw Data'!$I:$I,"",'Raw Data'!$M:$M,"count")</f>
        <v>3500000</v>
      </c>
      <c r="S7" s="11">
        <f>SUMIFS('Raw Data'!$L:$L,'Raw Data'!$B:$B,$B$2,'Raw Data'!$J:$J,S$2,'Raw Data'!$K:$K,"native",'Raw Data'!$H:$H,"PSP",'Raw Data'!$I:$I,"To Bank",'Raw Data'!$M:$M,"count")+SUMIFS('Raw Data'!$L:$L,'Raw Data'!$B:$B,$B$2,'Raw Data'!$J:$J,S$2,'Raw Data'!$K:$K,"native",'Raw Data'!$H:$H,"PSP to Bank",'Raw Data'!$I:$I,"",'Raw Data'!$M:$M,"count")</f>
        <v>3550000</v>
      </c>
      <c r="T7" s="11">
        <f>SUMIFS('Raw Data'!$L:$L,'Raw Data'!$B:$B,$B$2,'Raw Data'!$J:$J,T$2,'Raw Data'!$K:$K,"native",'Raw Data'!$H:$H,"PSP",'Raw Data'!$I:$I,"To Bank",'Raw Data'!$M:$M,"count")+SUMIFS('Raw Data'!$L:$L,'Raw Data'!$B:$B,$B$2,'Raw Data'!$J:$J,T$2,'Raw Data'!$K:$K,"native",'Raw Data'!$H:$H,"PSP to Bank",'Raw Data'!$I:$I,"",'Raw Data'!$M:$M,"count")</f>
        <v>3250000</v>
      </c>
      <c r="U7" s="11">
        <f>SUMIFS('Raw Data'!$L:$L,'Raw Data'!$B:$B,$B$2,'Raw Data'!$J:$J,U$2,'Raw Data'!$K:$K,"native",'Raw Data'!$H:$H,"PSP",'Raw Data'!$I:$I,"To Bank",'Raw Data'!$M:$M,"count")+SUMIFS('Raw Data'!$L:$L,'Raw Data'!$B:$B,$B$2,'Raw Data'!$J:$J,U$2,'Raw Data'!$K:$K,"native",'Raw Data'!$H:$H,"PSP to Bank",'Raw Data'!$I:$I,"",'Raw Data'!$M:$M,"count")</f>
        <v>3760000</v>
      </c>
      <c r="V7" s="11">
        <f>SUMIFS('Raw Data'!$L:$L,'Raw Data'!$B:$B,$B$2,'Raw Data'!$J:$J,V$2,'Raw Data'!$K:$K,"native",'Raw Data'!$H:$H,"PSP",'Raw Data'!$I:$I,"To Bank",'Raw Data'!$M:$M,"count")+SUMIFS('Raw Data'!$L:$L,'Raw Data'!$B:$B,$B$2,'Raw Data'!$J:$J,V$2,'Raw Data'!$K:$K,"native",'Raw Data'!$H:$H,"PSP to Bank",'Raw Data'!$I:$I,"",'Raw Data'!$M:$M,"count")</f>
        <v>3860000</v>
      </c>
      <c r="W7" s="11">
        <f>SUMIFS('Raw Data'!$L:$L,'Raw Data'!$B:$B,$B$2,'Raw Data'!$J:$J,W$2,'Raw Data'!$K:$K,"native",'Raw Data'!$H:$H,"PSP",'Raw Data'!$I:$I,"To Bank",'Raw Data'!$M:$M,"count")+SUMIFS('Raw Data'!$L:$L,'Raw Data'!$B:$B,$B$2,'Raw Data'!$J:$J,W$2,'Raw Data'!$K:$K,"native",'Raw Data'!$H:$H,"PSP to Bank",'Raw Data'!$I:$I,"",'Raw Data'!$M:$M,"count")</f>
        <v>4380000</v>
      </c>
      <c r="X7" s="11">
        <f>SUMIFS('Raw Data'!$L:$L,'Raw Data'!$B:$B,$B$2,'Raw Data'!$J:$J,X$2,'Raw Data'!$K:$K,"native",'Raw Data'!$H:$H,"PSP",'Raw Data'!$I:$I,"To Bank",'Raw Data'!$M:$M,"count")+SUMIFS('Raw Data'!$L:$L,'Raw Data'!$B:$B,$B$2,'Raw Data'!$J:$J,X$2,'Raw Data'!$K:$K,"native",'Raw Data'!$H:$H,"PSP to Bank",'Raw Data'!$I:$I,"",'Raw Data'!$M:$M,"count")</f>
        <v>4330000</v>
      </c>
      <c r="Y7" s="11">
        <f>SUMIFS('Raw Data'!$L:$L,'Raw Data'!$B:$B,$B$2,'Raw Data'!$J:$J,Y$2,'Raw Data'!$K:$K,"native",'Raw Data'!$H:$H,"PSP",'Raw Data'!$I:$I,"To Bank",'Raw Data'!$M:$M,"count")+SUMIFS('Raw Data'!$L:$L,'Raw Data'!$B:$B,$B$2,'Raw Data'!$J:$J,Y$2,'Raw Data'!$K:$K,"native",'Raw Data'!$H:$H,"PSP to Bank",'Raw Data'!$I:$I,"",'Raw Data'!$M:$M,"count")</f>
        <v>4880000</v>
      </c>
      <c r="Z7" s="11">
        <f>SUMIFS('Raw Data'!$L:$L,'Raw Data'!$B:$B,$B$2,'Raw Data'!$J:$J,Z$2,'Raw Data'!$K:$K,"native",'Raw Data'!$H:$H,"PSP",'Raw Data'!$I:$I,"To Bank",'Raw Data'!$M:$M,"count")+SUMIFS('Raw Data'!$L:$L,'Raw Data'!$B:$B,$B$2,'Raw Data'!$J:$J,Z$2,'Raw Data'!$K:$K,"native",'Raw Data'!$H:$H,"PSP to Bank",'Raw Data'!$I:$I,"",'Raw Data'!$M:$M,"count")</f>
        <v>5090000</v>
      </c>
    </row>
    <row r="8" spans="1:26" x14ac:dyDescent="0.25">
      <c r="A8" s="10" t="s">
        <v>82</v>
      </c>
      <c r="B8" s="10" t="s">
        <v>167</v>
      </c>
      <c r="C8" s="11">
        <f>SUMIFS('Raw Data'!$L:$L,'Raw Data'!$B:$B,$B$2,'Raw Data'!$J:$J,C$2,'Raw Data'!$K:$K,"native",'Raw Data'!$H:$H,"PSP",'Raw Data'!$I:$I,"To PSP",'Raw Data'!$M:$M,"count")+SUMIFS('Raw Data'!$L:$L,'Raw Data'!$B:$B,$B$2,'Raw Data'!$J:$J,C$2,'Raw Data'!$K:$K,"native",'Raw Data'!$H:$H,"PSP to PSP",'Raw Data'!$I:$I,"",'Raw Data'!$M:$M,"count")</f>
        <v>3450000</v>
      </c>
      <c r="D8" s="11">
        <f>SUMIFS('Raw Data'!$L:$L,'Raw Data'!$B:$B,$B$2,'Raw Data'!$J:$J,D$2,'Raw Data'!$K:$K,"native",'Raw Data'!$H:$H,"PSP",'Raw Data'!$I:$I,"To PSP",'Raw Data'!$M:$M,"count")+SUMIFS('Raw Data'!$L:$L,'Raw Data'!$B:$B,$B$2,'Raw Data'!$J:$J,D$2,'Raw Data'!$K:$K,"native",'Raw Data'!$H:$H,"PSP to PSP",'Raw Data'!$I:$I,"",'Raw Data'!$M:$M,"count")</f>
        <v>3790000</v>
      </c>
      <c r="E8" s="11">
        <f>SUMIFS('Raw Data'!$L:$L,'Raw Data'!$B:$B,$B$2,'Raw Data'!$J:$J,E$2,'Raw Data'!$K:$K,"native",'Raw Data'!$H:$H,"PSP",'Raw Data'!$I:$I,"To PSP",'Raw Data'!$M:$M,"count")+SUMIFS('Raw Data'!$L:$L,'Raw Data'!$B:$B,$B$2,'Raw Data'!$J:$J,E$2,'Raw Data'!$K:$K,"native",'Raw Data'!$H:$H,"PSP to PSP",'Raw Data'!$I:$I,"",'Raw Data'!$M:$M,"count")</f>
        <v>3790000</v>
      </c>
      <c r="F8" s="11">
        <f>SUMIFS('Raw Data'!$L:$L,'Raw Data'!$B:$B,$B$2,'Raw Data'!$J:$J,F$2,'Raw Data'!$K:$K,"native",'Raw Data'!$H:$H,"PSP",'Raw Data'!$I:$I,"To PSP",'Raw Data'!$M:$M,"count")+SUMIFS('Raw Data'!$L:$L,'Raw Data'!$B:$B,$B$2,'Raw Data'!$J:$J,F$2,'Raw Data'!$K:$K,"native",'Raw Data'!$H:$H,"PSP to PSP",'Raw Data'!$I:$I,"",'Raw Data'!$M:$M,"count")</f>
        <v>4270000</v>
      </c>
      <c r="G8" s="11">
        <f>SUMIFS('Raw Data'!$L:$L,'Raw Data'!$B:$B,$B$2,'Raw Data'!$J:$J,G$2,'Raw Data'!$K:$K,"native",'Raw Data'!$H:$H,"PSP",'Raw Data'!$I:$I,"To PSP",'Raw Data'!$M:$M,"count")+SUMIFS('Raw Data'!$L:$L,'Raw Data'!$B:$B,$B$2,'Raw Data'!$J:$J,G$2,'Raw Data'!$K:$K,"native",'Raw Data'!$H:$H,"PSP to PSP",'Raw Data'!$I:$I,"",'Raw Data'!$M:$M,"count")</f>
        <v>4380000</v>
      </c>
      <c r="H8" s="11">
        <f>SUMIFS('Raw Data'!$L:$L,'Raw Data'!$B:$B,$B$2,'Raw Data'!$J:$J,H$2,'Raw Data'!$K:$K,"native",'Raw Data'!$H:$H,"PSP",'Raw Data'!$I:$I,"To PSP",'Raw Data'!$M:$M,"count")+SUMIFS('Raw Data'!$L:$L,'Raw Data'!$B:$B,$B$2,'Raw Data'!$J:$J,H$2,'Raw Data'!$K:$K,"native",'Raw Data'!$H:$H,"PSP to PSP",'Raw Data'!$I:$I,"",'Raw Data'!$M:$M,"count")</f>
        <v>3970000</v>
      </c>
      <c r="I8" s="11">
        <f>SUMIFS('Raw Data'!$L:$L,'Raw Data'!$B:$B,$B$2,'Raw Data'!$J:$J,I$2,'Raw Data'!$K:$K,"native",'Raw Data'!$H:$H,"PSP",'Raw Data'!$I:$I,"To PSP",'Raw Data'!$M:$M,"count")+SUMIFS('Raw Data'!$L:$L,'Raw Data'!$B:$B,$B$2,'Raw Data'!$J:$J,I$2,'Raw Data'!$K:$K,"native",'Raw Data'!$H:$H,"PSP to PSP",'Raw Data'!$I:$I,"",'Raw Data'!$M:$M,"count")</f>
        <v>4970000</v>
      </c>
      <c r="J8" s="11">
        <f>SUMIFS('Raw Data'!$L:$L,'Raw Data'!$B:$B,$B$2,'Raw Data'!$J:$J,J$2,'Raw Data'!$K:$K,"native",'Raw Data'!$H:$H,"PSP",'Raw Data'!$I:$I,"To PSP",'Raw Data'!$M:$M,"count")+SUMIFS('Raw Data'!$L:$L,'Raw Data'!$B:$B,$B$2,'Raw Data'!$J:$J,J$2,'Raw Data'!$K:$K,"native",'Raw Data'!$H:$H,"PSP to PSP",'Raw Data'!$I:$I,"",'Raw Data'!$M:$M,"count")</f>
        <v>4750000</v>
      </c>
      <c r="K8" s="11">
        <f>SUMIFS('Raw Data'!$L:$L,'Raw Data'!$B:$B,$B$2,'Raw Data'!$J:$J,K$2,'Raw Data'!$K:$K,"native",'Raw Data'!$H:$H,"PSP",'Raw Data'!$I:$I,"To PSP",'Raw Data'!$M:$M,"count")+SUMIFS('Raw Data'!$L:$L,'Raw Data'!$B:$B,$B$2,'Raw Data'!$J:$J,K$2,'Raw Data'!$K:$K,"native",'Raw Data'!$H:$H,"PSP to PSP",'Raw Data'!$I:$I,"",'Raw Data'!$M:$M,"count")</f>
        <v>5500000</v>
      </c>
      <c r="L8" s="11">
        <f>SUMIFS('Raw Data'!$L:$L,'Raw Data'!$B:$B,$B$2,'Raw Data'!$J:$J,L$2,'Raw Data'!$K:$K,"native",'Raw Data'!$H:$H,"PSP",'Raw Data'!$I:$I,"To PSP",'Raw Data'!$M:$M,"count")+SUMIFS('Raw Data'!$L:$L,'Raw Data'!$B:$B,$B$2,'Raw Data'!$J:$J,L$2,'Raw Data'!$K:$K,"native",'Raw Data'!$H:$H,"PSP to PSP",'Raw Data'!$I:$I,"",'Raw Data'!$M:$M,"count")</f>
        <v>5380000</v>
      </c>
      <c r="M8" s="11">
        <f>SUMIFS('Raw Data'!$L:$L,'Raw Data'!$B:$B,$B$2,'Raw Data'!$J:$J,M$2,'Raw Data'!$K:$K,"native",'Raw Data'!$H:$H,"PSP",'Raw Data'!$I:$I,"To PSP",'Raw Data'!$M:$M,"count")+SUMIFS('Raw Data'!$L:$L,'Raw Data'!$B:$B,$B$2,'Raw Data'!$J:$J,M$2,'Raw Data'!$K:$K,"native",'Raw Data'!$H:$H,"PSP to PSP",'Raw Data'!$I:$I,"",'Raw Data'!$M:$M,"count")</f>
        <v>6110000</v>
      </c>
      <c r="N8" s="11">
        <f>SUMIFS('Raw Data'!$L:$L,'Raw Data'!$B:$B,$B$2,'Raw Data'!$J:$J,N$2,'Raw Data'!$K:$K,"native",'Raw Data'!$H:$H,"PSP",'Raw Data'!$I:$I,"To PSP",'Raw Data'!$M:$M,"count")+SUMIFS('Raw Data'!$L:$L,'Raw Data'!$B:$B,$B$2,'Raw Data'!$J:$J,N$2,'Raw Data'!$K:$K,"native",'Raw Data'!$H:$H,"PSP to PSP",'Raw Data'!$I:$I,"",'Raw Data'!$M:$M,"count")</f>
        <v>6270000</v>
      </c>
      <c r="O8" s="11">
        <f>SUMIFS('Raw Data'!$L:$L,'Raw Data'!$B:$B,$B$2,'Raw Data'!$J:$J,O$2,'Raw Data'!$K:$K,"native",'Raw Data'!$H:$H,"PSP",'Raw Data'!$I:$I,"To PSP",'Raw Data'!$M:$M,"count")+SUMIFS('Raw Data'!$L:$L,'Raw Data'!$B:$B,$B$2,'Raw Data'!$J:$J,O$2,'Raw Data'!$K:$K,"native",'Raw Data'!$H:$H,"PSP to PSP",'Raw Data'!$I:$I,"",'Raw Data'!$M:$M,"count")</f>
        <v>6340000</v>
      </c>
      <c r="P8" s="11">
        <f>SUMIFS('Raw Data'!$L:$L,'Raw Data'!$B:$B,$B$2,'Raw Data'!$J:$J,P$2,'Raw Data'!$K:$K,"native",'Raw Data'!$H:$H,"PSP",'Raw Data'!$I:$I,"To PSP",'Raw Data'!$M:$M,"count")+SUMIFS('Raw Data'!$L:$L,'Raw Data'!$B:$B,$B$2,'Raw Data'!$J:$J,P$2,'Raw Data'!$K:$K,"native",'Raw Data'!$H:$H,"PSP to PSP",'Raw Data'!$I:$I,"",'Raw Data'!$M:$M,"count")</f>
        <v>6730000</v>
      </c>
      <c r="Q8" s="11">
        <f>SUMIFS('Raw Data'!$L:$L,'Raw Data'!$B:$B,$B$2,'Raw Data'!$J:$J,Q$2,'Raw Data'!$K:$K,"native",'Raw Data'!$H:$H,"PSP",'Raw Data'!$I:$I,"To PSP",'Raw Data'!$M:$M,"count")+SUMIFS('Raw Data'!$L:$L,'Raw Data'!$B:$B,$B$2,'Raw Data'!$J:$J,Q$2,'Raw Data'!$K:$K,"native",'Raw Data'!$H:$H,"PSP to PSP",'Raw Data'!$I:$I,"",'Raw Data'!$M:$M,"count")</f>
        <v>6720000</v>
      </c>
      <c r="R8" s="11">
        <f>SUMIFS('Raw Data'!$L:$L,'Raw Data'!$B:$B,$B$2,'Raw Data'!$J:$J,R$2,'Raw Data'!$K:$K,"native",'Raw Data'!$H:$H,"PSP",'Raw Data'!$I:$I,"To PSP",'Raw Data'!$M:$M,"count")+SUMIFS('Raw Data'!$L:$L,'Raw Data'!$B:$B,$B$2,'Raw Data'!$J:$J,R$2,'Raw Data'!$K:$K,"native",'Raw Data'!$H:$H,"PSP to PSP",'Raw Data'!$I:$I,"",'Raw Data'!$M:$M,"count")</f>
        <v>7320000</v>
      </c>
      <c r="S8" s="11">
        <f>SUMIFS('Raw Data'!$L:$L,'Raw Data'!$B:$B,$B$2,'Raw Data'!$J:$J,S$2,'Raw Data'!$K:$K,"native",'Raw Data'!$H:$H,"PSP",'Raw Data'!$I:$I,"To PSP",'Raw Data'!$M:$M,"count")+SUMIFS('Raw Data'!$L:$L,'Raw Data'!$B:$B,$B$2,'Raw Data'!$J:$J,S$2,'Raw Data'!$K:$K,"native",'Raw Data'!$H:$H,"PSP to PSP",'Raw Data'!$I:$I,"",'Raw Data'!$M:$M,"count")</f>
        <v>8150000</v>
      </c>
      <c r="T8" s="11">
        <f>SUMIFS('Raw Data'!$L:$L,'Raw Data'!$B:$B,$B$2,'Raw Data'!$J:$J,T$2,'Raw Data'!$K:$K,"native",'Raw Data'!$H:$H,"PSP",'Raw Data'!$I:$I,"To PSP",'Raw Data'!$M:$M,"count")+SUMIFS('Raw Data'!$L:$L,'Raw Data'!$B:$B,$B$2,'Raw Data'!$J:$J,T$2,'Raw Data'!$K:$K,"native",'Raw Data'!$H:$H,"PSP to PSP",'Raw Data'!$I:$I,"",'Raw Data'!$M:$M,"count")</f>
        <v>7460000</v>
      </c>
      <c r="U8" s="11">
        <f>SUMIFS('Raw Data'!$L:$L,'Raw Data'!$B:$B,$B$2,'Raw Data'!$J:$J,U$2,'Raw Data'!$K:$K,"native",'Raw Data'!$H:$H,"PSP",'Raw Data'!$I:$I,"To PSP",'Raw Data'!$M:$M,"count")+SUMIFS('Raw Data'!$L:$L,'Raw Data'!$B:$B,$B$2,'Raw Data'!$J:$J,U$2,'Raw Data'!$K:$K,"native",'Raw Data'!$H:$H,"PSP to PSP",'Raw Data'!$I:$I,"",'Raw Data'!$M:$M,"count")</f>
        <v>8840000</v>
      </c>
      <c r="V8" s="11">
        <f>SUMIFS('Raw Data'!$L:$L,'Raw Data'!$B:$B,$B$2,'Raw Data'!$J:$J,V$2,'Raw Data'!$K:$K,"native",'Raw Data'!$H:$H,"PSP",'Raw Data'!$I:$I,"To PSP",'Raw Data'!$M:$M,"count")+SUMIFS('Raw Data'!$L:$L,'Raw Data'!$B:$B,$B$2,'Raw Data'!$J:$J,V$2,'Raw Data'!$K:$K,"native",'Raw Data'!$H:$H,"PSP to PSP",'Raw Data'!$I:$I,"",'Raw Data'!$M:$M,"count")</f>
        <v>9240000</v>
      </c>
      <c r="W8" s="11">
        <f>SUMIFS('Raw Data'!$L:$L,'Raw Data'!$B:$B,$B$2,'Raw Data'!$J:$J,W$2,'Raw Data'!$K:$K,"native",'Raw Data'!$H:$H,"PSP",'Raw Data'!$I:$I,"To PSP",'Raw Data'!$M:$M,"count")+SUMIFS('Raw Data'!$L:$L,'Raw Data'!$B:$B,$B$2,'Raw Data'!$J:$J,W$2,'Raw Data'!$K:$K,"native",'Raw Data'!$H:$H,"PSP to PSP",'Raw Data'!$I:$I,"",'Raw Data'!$M:$M,"count")</f>
        <v>10380000</v>
      </c>
      <c r="X8" s="11">
        <f>SUMIFS('Raw Data'!$L:$L,'Raw Data'!$B:$B,$B$2,'Raw Data'!$J:$J,X$2,'Raw Data'!$K:$K,"native",'Raw Data'!$H:$H,"PSP",'Raw Data'!$I:$I,"To PSP",'Raw Data'!$M:$M,"count")+SUMIFS('Raw Data'!$L:$L,'Raw Data'!$B:$B,$B$2,'Raw Data'!$J:$J,X$2,'Raw Data'!$K:$K,"native",'Raw Data'!$H:$H,"PSP to PSP",'Raw Data'!$I:$I,"",'Raw Data'!$M:$M,"count")</f>
        <v>10230000</v>
      </c>
      <c r="Y8" s="11">
        <f>SUMIFS('Raw Data'!$L:$L,'Raw Data'!$B:$B,$B$2,'Raw Data'!$J:$J,Y$2,'Raw Data'!$K:$K,"native",'Raw Data'!$H:$H,"PSP",'Raw Data'!$I:$I,"To PSP",'Raw Data'!$M:$M,"count")+SUMIFS('Raw Data'!$L:$L,'Raw Data'!$B:$B,$B$2,'Raw Data'!$J:$J,Y$2,'Raw Data'!$K:$K,"native",'Raw Data'!$H:$H,"PSP to PSP",'Raw Data'!$I:$I,"",'Raw Data'!$M:$M,"count")</f>
        <v>11710000</v>
      </c>
      <c r="Z8" s="11">
        <f>SUMIFS('Raw Data'!$L:$L,'Raw Data'!$B:$B,$B$2,'Raw Data'!$J:$J,Z$2,'Raw Data'!$K:$K,"native",'Raw Data'!$H:$H,"PSP",'Raw Data'!$I:$I,"To PSP",'Raw Data'!$M:$M,"count")+SUMIFS('Raw Data'!$L:$L,'Raw Data'!$B:$B,$B$2,'Raw Data'!$J:$J,Z$2,'Raw Data'!$K:$K,"native",'Raw Data'!$H:$H,"PSP to PSP",'Raw Data'!$I:$I,"",'Raw Data'!$M:$M,"count")</f>
        <v>12270000</v>
      </c>
    </row>
    <row r="9" spans="1:26" x14ac:dyDescent="0.25">
      <c r="A9" s="10" t="s">
        <v>82</v>
      </c>
      <c r="B9" s="10" t="s">
        <v>168</v>
      </c>
      <c r="C9" s="11"/>
      <c r="D9" s="11"/>
      <c r="E9" s="11"/>
      <c r="F9" s="11"/>
      <c r="G9" s="11"/>
      <c r="H9" s="11">
        <f>SUMIFS('Raw Data'!$L:$L,'Raw Data'!$B:$B,$B$2,'Raw Data'!$J:$J,H$2,'Raw Data'!$K:$K,"native",'Raw Data'!$H:$H,"Acquirer to Bank",'Raw Data'!$I:$I,"",'Raw Data'!$M:$M,"count")</f>
        <v>49970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x14ac:dyDescent="0.25">
      <c r="A10" s="10" t="s">
        <v>82</v>
      </c>
      <c r="B10" s="10" t="s">
        <v>169</v>
      </c>
      <c r="C10" s="11"/>
      <c r="D10" s="11"/>
      <c r="E10" s="11"/>
      <c r="F10" s="11"/>
      <c r="G10" s="11"/>
      <c r="H10" s="11">
        <f>SUMIFS('Raw Data'!$L:$L,'Raw Data'!$B:$B,$B$2,'Raw Data'!$J:$J,H$2,'Raw Data'!$K:$K,"native",'Raw Data'!$H:$H,"Acquirer to PSP",'Raw Data'!$I:$I,"",'Raw Data'!$M:$M,"count")</f>
        <v>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x14ac:dyDescent="0.25">
      <c r="A11" s="10" t="s">
        <v>82</v>
      </c>
      <c r="B11" s="10" t="s">
        <v>170</v>
      </c>
      <c r="C11" s="11"/>
      <c r="D11" s="11"/>
      <c r="E11" s="11"/>
      <c r="F11" s="11"/>
      <c r="G11" s="11"/>
      <c r="H11" s="11">
        <f>SUMIFS('Raw Data'!$L:$L,'Raw Data'!$B:$B,$B$2,'Raw Data'!$J:$J,H$2,'Raw Data'!$K:$K,"native",'Raw Data'!$H:$H,"Bank",'Raw Data'!$I:$I,"To Acquirer",'Raw Data'!$M:$M,"count")+SUMIFS('Raw Data'!$L:$L,'Raw Data'!$B:$B,$B$2,'Raw Data'!$J:$J,H$2,'Raw Data'!$K:$K,"native",'Raw Data'!$H:$H,"Bank to Acquirer",'Raw Data'!$I:$I,"",'Raw Data'!$M:$M,"count")</f>
        <v>6500</v>
      </c>
      <c r="I11" s="11">
        <f>SUMIFS('Raw Data'!$L:$L,'Raw Data'!$B:$B,$B$2,'Raw Data'!$J:$J,I$2,'Raw Data'!$K:$K,"native",'Raw Data'!$H:$H,"Bank",'Raw Data'!$I:$I,"To Acquirer",'Raw Data'!$M:$M,"count")+SUMIFS('Raw Data'!$L:$L,'Raw Data'!$B:$B,$B$2,'Raw Data'!$J:$J,I$2,'Raw Data'!$K:$K,"native",'Raw Data'!$H:$H,"Bank to Acquirer",'Raw Data'!$I:$I,"",'Raw Data'!$M:$M,"count")</f>
        <v>6860</v>
      </c>
      <c r="J11" s="11">
        <f>SUMIFS('Raw Data'!$L:$L,'Raw Data'!$B:$B,$B$2,'Raw Data'!$J:$J,J$2,'Raw Data'!$K:$K,"native",'Raw Data'!$H:$H,"Bank",'Raw Data'!$I:$I,"To Acquirer",'Raw Data'!$M:$M,"count")+SUMIFS('Raw Data'!$L:$L,'Raw Data'!$B:$B,$B$2,'Raw Data'!$J:$J,J$2,'Raw Data'!$K:$K,"native",'Raw Data'!$H:$H,"Bank to Acquirer",'Raw Data'!$I:$I,"",'Raw Data'!$M:$M,"count")</f>
        <v>8440</v>
      </c>
      <c r="K11" s="11">
        <f>SUMIFS('Raw Data'!$L:$L,'Raw Data'!$B:$B,$B$2,'Raw Data'!$J:$J,K$2,'Raw Data'!$K:$K,"native",'Raw Data'!$H:$H,"Bank",'Raw Data'!$I:$I,"To Acquirer",'Raw Data'!$M:$M,"count")+SUMIFS('Raw Data'!$L:$L,'Raw Data'!$B:$B,$B$2,'Raw Data'!$J:$J,K$2,'Raw Data'!$K:$K,"native",'Raw Data'!$H:$H,"Bank to Acquirer",'Raw Data'!$I:$I,"",'Raw Data'!$M:$M,"count")</f>
        <v>10610</v>
      </c>
      <c r="L11" s="11">
        <f>SUMIFS('Raw Data'!$L:$L,'Raw Data'!$B:$B,$B$2,'Raw Data'!$J:$J,L$2,'Raw Data'!$K:$K,"native",'Raw Data'!$H:$H,"Bank",'Raw Data'!$I:$I,"To Acquirer",'Raw Data'!$M:$M,"count")+SUMIFS('Raw Data'!$L:$L,'Raw Data'!$B:$B,$B$2,'Raw Data'!$J:$J,L$2,'Raw Data'!$K:$K,"native",'Raw Data'!$H:$H,"Bank to Acquirer",'Raw Data'!$I:$I,"",'Raw Data'!$M:$M,"count")</f>
        <v>10380</v>
      </c>
      <c r="M11" s="11">
        <f>SUMIFS('Raw Data'!$L:$L,'Raw Data'!$B:$B,$B$2,'Raw Data'!$J:$J,M$2,'Raw Data'!$K:$K,"native",'Raw Data'!$H:$H,"Bank",'Raw Data'!$I:$I,"To Acquirer",'Raw Data'!$M:$M,"count")+SUMIFS('Raw Data'!$L:$L,'Raw Data'!$B:$B,$B$2,'Raw Data'!$J:$J,M$2,'Raw Data'!$K:$K,"native",'Raw Data'!$H:$H,"Bank to Acquirer",'Raw Data'!$I:$I,"",'Raw Data'!$M:$M,"count")</f>
        <v>13110</v>
      </c>
      <c r="N11" s="11">
        <f>SUMIFS('Raw Data'!$L:$L,'Raw Data'!$B:$B,$B$2,'Raw Data'!$J:$J,N$2,'Raw Data'!$K:$K,"native",'Raw Data'!$H:$H,"Bank",'Raw Data'!$I:$I,"To Acquirer",'Raw Data'!$M:$M,"count")+SUMIFS('Raw Data'!$L:$L,'Raw Data'!$B:$B,$B$2,'Raw Data'!$J:$J,N$2,'Raw Data'!$K:$K,"native",'Raw Data'!$H:$H,"Bank to Acquirer",'Raw Data'!$I:$I,"",'Raw Data'!$M:$M,"count")</f>
        <v>14620</v>
      </c>
      <c r="O11" s="11">
        <f>SUMIFS('Raw Data'!$L:$L,'Raw Data'!$B:$B,$B$2,'Raw Data'!$J:$J,O$2,'Raw Data'!$K:$K,"native",'Raw Data'!$H:$H,"Bank",'Raw Data'!$I:$I,"To Acquirer",'Raw Data'!$M:$M,"count")+SUMIFS('Raw Data'!$L:$L,'Raw Data'!$B:$B,$B$2,'Raw Data'!$J:$J,O$2,'Raw Data'!$K:$K,"native",'Raw Data'!$H:$H,"Bank to Acquirer",'Raw Data'!$I:$I,"",'Raw Data'!$M:$M,"count")</f>
        <v>14350</v>
      </c>
      <c r="P11" s="11">
        <f>SUMIFS('Raw Data'!$L:$L,'Raw Data'!$B:$B,$B$2,'Raw Data'!$J:$J,P$2,'Raw Data'!$K:$K,"native",'Raw Data'!$H:$H,"Bank",'Raw Data'!$I:$I,"To Acquirer",'Raw Data'!$M:$M,"count")+SUMIFS('Raw Data'!$L:$L,'Raw Data'!$B:$B,$B$2,'Raw Data'!$J:$J,P$2,'Raw Data'!$K:$K,"native",'Raw Data'!$H:$H,"Bank to Acquirer",'Raw Data'!$I:$I,"",'Raw Data'!$M:$M,"count")</f>
        <v>13870</v>
      </c>
      <c r="Q11" s="11">
        <f>SUMIFS('Raw Data'!$L:$L,'Raw Data'!$B:$B,$B$2,'Raw Data'!$J:$J,Q$2,'Raw Data'!$K:$K,"native",'Raw Data'!$H:$H,"Bank",'Raw Data'!$I:$I,"To Acquirer",'Raw Data'!$M:$M,"count")+SUMIFS('Raw Data'!$L:$L,'Raw Data'!$B:$B,$B$2,'Raw Data'!$J:$J,Q$2,'Raw Data'!$K:$K,"native",'Raw Data'!$H:$H,"Bank to Acquirer",'Raw Data'!$I:$I,"",'Raw Data'!$M:$M,"count")</f>
        <v>12040</v>
      </c>
      <c r="R11" s="11">
        <f>SUMIFS('Raw Data'!$L:$L,'Raw Data'!$B:$B,$B$2,'Raw Data'!$J:$J,R$2,'Raw Data'!$K:$K,"native",'Raw Data'!$H:$H,"Bank",'Raw Data'!$I:$I,"To Acquirer",'Raw Data'!$M:$M,"count")+SUMIFS('Raw Data'!$L:$L,'Raw Data'!$B:$B,$B$2,'Raw Data'!$J:$J,R$2,'Raw Data'!$K:$K,"native",'Raw Data'!$H:$H,"Bank to Acquirer",'Raw Data'!$I:$I,"",'Raw Data'!$M:$M,"count")</f>
        <v>10800</v>
      </c>
      <c r="S11" s="11">
        <f>SUMIFS('Raw Data'!$L:$L,'Raw Data'!$B:$B,$B$2,'Raw Data'!$J:$J,S$2,'Raw Data'!$K:$K,"native",'Raw Data'!$H:$H,"Bank",'Raw Data'!$I:$I,"To Acquirer",'Raw Data'!$M:$M,"count")+SUMIFS('Raw Data'!$L:$L,'Raw Data'!$B:$B,$B$2,'Raw Data'!$J:$J,S$2,'Raw Data'!$K:$K,"native",'Raw Data'!$H:$H,"Bank to Acquirer",'Raw Data'!$I:$I,"",'Raw Data'!$M:$M,"count")</f>
        <v>11950</v>
      </c>
      <c r="T11" s="11">
        <f>SUMIFS('Raw Data'!$L:$L,'Raw Data'!$B:$B,$B$2,'Raw Data'!$J:$J,T$2,'Raw Data'!$K:$K,"native",'Raw Data'!$H:$H,"Bank",'Raw Data'!$I:$I,"To Acquirer",'Raw Data'!$M:$M,"count")+SUMIFS('Raw Data'!$L:$L,'Raw Data'!$B:$B,$B$2,'Raw Data'!$J:$J,T$2,'Raw Data'!$K:$K,"native",'Raw Data'!$H:$H,"Bank to Acquirer",'Raw Data'!$I:$I,"",'Raw Data'!$M:$M,"count")</f>
        <v>11820</v>
      </c>
      <c r="U11" s="11">
        <f>SUMIFS('Raw Data'!$L:$L,'Raw Data'!$B:$B,$B$2,'Raw Data'!$J:$J,U$2,'Raw Data'!$K:$K,"native",'Raw Data'!$H:$H,"Bank",'Raw Data'!$I:$I,"To Acquirer",'Raw Data'!$M:$M,"count")+SUMIFS('Raw Data'!$L:$L,'Raw Data'!$B:$B,$B$2,'Raw Data'!$J:$J,U$2,'Raw Data'!$K:$K,"native",'Raw Data'!$H:$H,"Bank to Acquirer",'Raw Data'!$I:$I,"",'Raw Data'!$M:$M,"count")</f>
        <v>13110</v>
      </c>
      <c r="V11" s="11">
        <f>SUMIFS('Raw Data'!$L:$L,'Raw Data'!$B:$B,$B$2,'Raw Data'!$J:$J,V$2,'Raw Data'!$K:$K,"native",'Raw Data'!$H:$H,"Bank",'Raw Data'!$I:$I,"To Acquirer",'Raw Data'!$M:$M,"count")+SUMIFS('Raw Data'!$L:$L,'Raw Data'!$B:$B,$B$2,'Raw Data'!$J:$J,V$2,'Raw Data'!$K:$K,"native",'Raw Data'!$H:$H,"Bank to Acquirer",'Raw Data'!$I:$I,"",'Raw Data'!$M:$M,"count")</f>
        <v>15700</v>
      </c>
      <c r="W11" s="11">
        <f>SUMIFS('Raw Data'!$L:$L,'Raw Data'!$B:$B,$B$2,'Raw Data'!$J:$J,W$2,'Raw Data'!$K:$K,"native",'Raw Data'!$H:$H,"Bank",'Raw Data'!$I:$I,"To Acquirer",'Raw Data'!$M:$M,"count")+SUMIFS('Raw Data'!$L:$L,'Raw Data'!$B:$B,$B$2,'Raw Data'!$J:$J,W$2,'Raw Data'!$K:$K,"native",'Raw Data'!$H:$H,"Bank to Acquirer",'Raw Data'!$I:$I,"",'Raw Data'!$M:$M,"count")</f>
        <v>17800</v>
      </c>
      <c r="X11" s="11">
        <f>SUMIFS('Raw Data'!$L:$L,'Raw Data'!$B:$B,$B$2,'Raw Data'!$J:$J,X$2,'Raw Data'!$K:$K,"native",'Raw Data'!$H:$H,"Bank",'Raw Data'!$I:$I,"To Acquirer",'Raw Data'!$M:$M,"count")+SUMIFS('Raw Data'!$L:$L,'Raw Data'!$B:$B,$B$2,'Raw Data'!$J:$J,X$2,'Raw Data'!$K:$K,"native",'Raw Data'!$H:$H,"Bank to Acquirer",'Raw Data'!$I:$I,"",'Raw Data'!$M:$M,"count")</f>
        <v>18240</v>
      </c>
      <c r="Y11" s="11">
        <f>SUMIFS('Raw Data'!$L:$L,'Raw Data'!$B:$B,$B$2,'Raw Data'!$J:$J,Y$2,'Raw Data'!$K:$K,"native",'Raw Data'!$H:$H,"Bank",'Raw Data'!$I:$I,"To Acquirer",'Raw Data'!$M:$M,"count")+SUMIFS('Raw Data'!$L:$L,'Raw Data'!$B:$B,$B$2,'Raw Data'!$J:$J,Y$2,'Raw Data'!$K:$K,"native",'Raw Data'!$H:$H,"Bank to Acquirer",'Raw Data'!$I:$I,"",'Raw Data'!$M:$M,"count")</f>
        <v>21020</v>
      </c>
      <c r="Z11" s="11">
        <f>SUMIFS('Raw Data'!$L:$L,'Raw Data'!$B:$B,$B$2,'Raw Data'!$J:$J,Z$2,'Raw Data'!$K:$K,"native",'Raw Data'!$H:$H,"Bank",'Raw Data'!$I:$I,"To Acquirer",'Raw Data'!$M:$M,"count")+SUMIFS('Raw Data'!$L:$L,'Raw Data'!$B:$B,$B$2,'Raw Data'!$J:$J,Z$2,'Raw Data'!$K:$K,"native",'Raw Data'!$H:$H,"Bank to Acquirer",'Raw Data'!$I:$I,"",'Raw Data'!$M:$M,"count")</f>
        <v>23850</v>
      </c>
    </row>
    <row r="12" spans="1:26" x14ac:dyDescent="0.25">
      <c r="A12" s="10" t="s">
        <v>82</v>
      </c>
      <c r="B12" s="10" t="s">
        <v>171</v>
      </c>
      <c r="C12" s="11"/>
      <c r="D12" s="11"/>
      <c r="E12" s="11"/>
      <c r="F12" s="11"/>
      <c r="G12" s="11"/>
      <c r="H12" s="11">
        <f>SUMIFS('Raw Data'!$L:$L,'Raw Data'!$B:$B,$B$2,'Raw Data'!$J:$J,H$2,'Raw Data'!$K:$K,"native",'Raw Data'!$H:$H,"PSP",'Raw Data'!$I:$I,"To Acquirer",'Raw Data'!$M:$M,"count")+SUMIFS('Raw Data'!$L:$L,'Raw Data'!$B:$B,$B$2,'Raw Data'!$J:$J,H$2,'Raw Data'!$K:$K,"native",'Raw Data'!$H:$H,"PSP to Acquirer",'Raw Data'!$I:$I,"",'Raw Data'!$M:$M,"count")</f>
        <v>45080</v>
      </c>
      <c r="I12" s="11">
        <f>SUMIFS('Raw Data'!$L:$L,'Raw Data'!$B:$B,$B$2,'Raw Data'!$J:$J,I$2,'Raw Data'!$K:$K,"native",'Raw Data'!$H:$H,"PSP",'Raw Data'!$I:$I,"To Acquirer",'Raw Data'!$M:$M,"count")+SUMIFS('Raw Data'!$L:$L,'Raw Data'!$B:$B,$B$2,'Raw Data'!$J:$J,I$2,'Raw Data'!$K:$K,"native",'Raw Data'!$H:$H,"PSP to Acquirer",'Raw Data'!$I:$I,"",'Raw Data'!$M:$M,"count")</f>
        <v>56030</v>
      </c>
      <c r="J12" s="11">
        <f>SUMIFS('Raw Data'!$L:$L,'Raw Data'!$B:$B,$B$2,'Raw Data'!$J:$J,J$2,'Raw Data'!$K:$K,"native",'Raw Data'!$H:$H,"PSP",'Raw Data'!$I:$I,"To Acquirer",'Raw Data'!$M:$M,"count")+SUMIFS('Raw Data'!$L:$L,'Raw Data'!$B:$B,$B$2,'Raw Data'!$J:$J,J$2,'Raw Data'!$K:$K,"native",'Raw Data'!$H:$H,"PSP to Acquirer",'Raw Data'!$I:$I,"",'Raw Data'!$M:$M,"count")</f>
        <v>68430</v>
      </c>
      <c r="K12" s="11">
        <f>SUMIFS('Raw Data'!$L:$L,'Raw Data'!$B:$B,$B$2,'Raw Data'!$J:$J,K$2,'Raw Data'!$K:$K,"native",'Raw Data'!$H:$H,"PSP",'Raw Data'!$I:$I,"To Acquirer",'Raw Data'!$M:$M,"count")+SUMIFS('Raw Data'!$L:$L,'Raw Data'!$B:$B,$B$2,'Raw Data'!$J:$J,K$2,'Raw Data'!$K:$K,"native",'Raw Data'!$H:$H,"PSP to Acquirer",'Raw Data'!$I:$I,"",'Raw Data'!$M:$M,"count")</f>
        <v>88620</v>
      </c>
      <c r="L12" s="11">
        <f>SUMIFS('Raw Data'!$L:$L,'Raw Data'!$B:$B,$B$2,'Raw Data'!$J:$J,L$2,'Raw Data'!$K:$K,"native",'Raw Data'!$H:$H,"PSP",'Raw Data'!$I:$I,"To Acquirer",'Raw Data'!$M:$M,"count")+SUMIFS('Raw Data'!$L:$L,'Raw Data'!$B:$B,$B$2,'Raw Data'!$J:$J,L$2,'Raw Data'!$K:$K,"native",'Raw Data'!$H:$H,"PSP to Acquirer",'Raw Data'!$I:$I,"",'Raw Data'!$M:$M,"count")</f>
        <v>94400</v>
      </c>
      <c r="M12" s="11">
        <f>SUMIFS('Raw Data'!$L:$L,'Raw Data'!$B:$B,$B$2,'Raw Data'!$J:$J,M$2,'Raw Data'!$K:$K,"native",'Raw Data'!$H:$H,"PSP",'Raw Data'!$I:$I,"To Acquirer",'Raw Data'!$M:$M,"count")+SUMIFS('Raw Data'!$L:$L,'Raw Data'!$B:$B,$B$2,'Raw Data'!$J:$J,M$2,'Raw Data'!$K:$K,"native",'Raw Data'!$H:$H,"PSP to Acquirer",'Raw Data'!$I:$I,"",'Raw Data'!$M:$M,"count")</f>
        <v>120380</v>
      </c>
      <c r="N12" s="11">
        <f>SUMIFS('Raw Data'!$L:$L,'Raw Data'!$B:$B,$B$2,'Raw Data'!$J:$J,N$2,'Raw Data'!$K:$K,"native",'Raw Data'!$H:$H,"PSP",'Raw Data'!$I:$I,"To Acquirer",'Raw Data'!$M:$M,"count")+SUMIFS('Raw Data'!$L:$L,'Raw Data'!$B:$B,$B$2,'Raw Data'!$J:$J,N$2,'Raw Data'!$K:$K,"native",'Raw Data'!$H:$H,"PSP to Acquirer",'Raw Data'!$I:$I,"",'Raw Data'!$M:$M,"count")</f>
        <v>135360</v>
      </c>
      <c r="O12" s="11">
        <f>SUMIFS('Raw Data'!$L:$L,'Raw Data'!$B:$B,$B$2,'Raw Data'!$J:$J,O$2,'Raw Data'!$K:$K,"native",'Raw Data'!$H:$H,"PSP",'Raw Data'!$I:$I,"To Acquirer",'Raw Data'!$M:$M,"count")+SUMIFS('Raw Data'!$L:$L,'Raw Data'!$B:$B,$B$2,'Raw Data'!$J:$J,O$2,'Raw Data'!$K:$K,"native",'Raw Data'!$H:$H,"PSP to Acquirer",'Raw Data'!$I:$I,"",'Raw Data'!$M:$M,"count")</f>
        <v>108320</v>
      </c>
      <c r="P12" s="11">
        <f>SUMIFS('Raw Data'!$L:$L,'Raw Data'!$B:$B,$B$2,'Raw Data'!$J:$J,P$2,'Raw Data'!$K:$K,"native",'Raw Data'!$H:$H,"PSP",'Raw Data'!$I:$I,"To Acquirer",'Raw Data'!$M:$M,"count")+SUMIFS('Raw Data'!$L:$L,'Raw Data'!$B:$B,$B$2,'Raw Data'!$J:$J,P$2,'Raw Data'!$K:$K,"native",'Raw Data'!$H:$H,"PSP to Acquirer",'Raw Data'!$I:$I,"",'Raw Data'!$M:$M,"count")</f>
        <v>120360</v>
      </c>
      <c r="Q12" s="11">
        <f>SUMIFS('Raw Data'!$L:$L,'Raw Data'!$B:$B,$B$2,'Raw Data'!$J:$J,Q$2,'Raw Data'!$K:$K,"native",'Raw Data'!$H:$H,"PSP",'Raw Data'!$I:$I,"To Acquirer",'Raw Data'!$M:$M,"count")+SUMIFS('Raw Data'!$L:$L,'Raw Data'!$B:$B,$B$2,'Raw Data'!$J:$J,Q$2,'Raw Data'!$K:$K,"native",'Raw Data'!$H:$H,"PSP to Acquirer",'Raw Data'!$I:$I,"",'Raw Data'!$M:$M,"count")</f>
        <v>112900</v>
      </c>
      <c r="R12" s="11">
        <f>SUMIFS('Raw Data'!$L:$L,'Raw Data'!$B:$B,$B$2,'Raw Data'!$J:$J,R$2,'Raw Data'!$K:$K,"native",'Raw Data'!$H:$H,"PSP",'Raw Data'!$I:$I,"To Acquirer",'Raw Data'!$M:$M,"count")+SUMIFS('Raw Data'!$L:$L,'Raw Data'!$B:$B,$B$2,'Raw Data'!$J:$J,R$2,'Raw Data'!$K:$K,"native",'Raw Data'!$H:$H,"PSP to Acquirer",'Raw Data'!$I:$I,"",'Raw Data'!$M:$M,"count")</f>
        <v>114720</v>
      </c>
      <c r="S12" s="11">
        <f>SUMIFS('Raw Data'!$L:$L,'Raw Data'!$B:$B,$B$2,'Raw Data'!$J:$J,S$2,'Raw Data'!$K:$K,"native",'Raw Data'!$H:$H,"PSP",'Raw Data'!$I:$I,"To Acquirer",'Raw Data'!$M:$M,"count")+SUMIFS('Raw Data'!$L:$L,'Raw Data'!$B:$B,$B$2,'Raw Data'!$J:$J,S$2,'Raw Data'!$K:$K,"native",'Raw Data'!$H:$H,"PSP to Acquirer",'Raw Data'!$I:$I,"",'Raw Data'!$M:$M,"count")</f>
        <v>136110</v>
      </c>
      <c r="T12" s="11">
        <f>SUMIFS('Raw Data'!$L:$L,'Raw Data'!$B:$B,$B$2,'Raw Data'!$J:$J,T$2,'Raw Data'!$K:$K,"native",'Raw Data'!$H:$H,"PSP",'Raw Data'!$I:$I,"To Acquirer",'Raw Data'!$M:$M,"count")+SUMIFS('Raw Data'!$L:$L,'Raw Data'!$B:$B,$B$2,'Raw Data'!$J:$J,T$2,'Raw Data'!$K:$K,"native",'Raw Data'!$H:$H,"PSP to Acquirer",'Raw Data'!$I:$I,"",'Raw Data'!$M:$M,"count")</f>
        <v>127340</v>
      </c>
      <c r="U12" s="11">
        <f>SUMIFS('Raw Data'!$L:$L,'Raw Data'!$B:$B,$B$2,'Raw Data'!$J:$J,U$2,'Raw Data'!$K:$K,"native",'Raw Data'!$H:$H,"PSP",'Raw Data'!$I:$I,"To Acquirer",'Raw Data'!$M:$M,"count")+SUMIFS('Raw Data'!$L:$L,'Raw Data'!$B:$B,$B$2,'Raw Data'!$J:$J,U$2,'Raw Data'!$K:$K,"native",'Raw Data'!$H:$H,"PSP to Acquirer",'Raw Data'!$I:$I,"",'Raw Data'!$M:$M,"count")</f>
        <v>155860</v>
      </c>
      <c r="V12" s="11">
        <f>SUMIFS('Raw Data'!$L:$L,'Raw Data'!$B:$B,$B$2,'Raw Data'!$J:$J,V$2,'Raw Data'!$K:$K,"native",'Raw Data'!$H:$H,"PSP",'Raw Data'!$I:$I,"To Acquirer",'Raw Data'!$M:$M,"count")+SUMIFS('Raw Data'!$L:$L,'Raw Data'!$B:$B,$B$2,'Raw Data'!$J:$J,V$2,'Raw Data'!$K:$K,"native",'Raw Data'!$H:$H,"PSP to Acquirer",'Raw Data'!$I:$I,"",'Raw Data'!$M:$M,"count")</f>
        <v>190660</v>
      </c>
      <c r="W12" s="11">
        <f>SUMIFS('Raw Data'!$L:$L,'Raw Data'!$B:$B,$B$2,'Raw Data'!$J:$J,W$2,'Raw Data'!$K:$K,"native",'Raw Data'!$H:$H,"PSP",'Raw Data'!$I:$I,"To Acquirer",'Raw Data'!$M:$M,"count")+SUMIFS('Raw Data'!$L:$L,'Raw Data'!$B:$B,$B$2,'Raw Data'!$J:$J,W$2,'Raw Data'!$K:$K,"native",'Raw Data'!$H:$H,"PSP to Acquirer",'Raw Data'!$I:$I,"",'Raw Data'!$M:$M,"count")</f>
        <v>221180</v>
      </c>
      <c r="X12" s="11">
        <f>SUMIFS('Raw Data'!$L:$L,'Raw Data'!$B:$B,$B$2,'Raw Data'!$J:$J,X$2,'Raw Data'!$K:$K,"native",'Raw Data'!$H:$H,"PSP",'Raw Data'!$I:$I,"To Acquirer",'Raw Data'!$M:$M,"count")+SUMIFS('Raw Data'!$L:$L,'Raw Data'!$B:$B,$B$2,'Raw Data'!$J:$J,X$2,'Raw Data'!$K:$K,"native",'Raw Data'!$H:$H,"PSP to Acquirer",'Raw Data'!$I:$I,"",'Raw Data'!$M:$M,"count")</f>
        <v>229190</v>
      </c>
      <c r="Y12" s="11">
        <f>SUMIFS('Raw Data'!$L:$L,'Raw Data'!$B:$B,$B$2,'Raw Data'!$J:$J,Y$2,'Raw Data'!$K:$K,"native",'Raw Data'!$H:$H,"PSP",'Raw Data'!$I:$I,"To Acquirer",'Raw Data'!$M:$M,"count")+SUMIFS('Raw Data'!$L:$L,'Raw Data'!$B:$B,$B$2,'Raw Data'!$J:$J,Y$2,'Raw Data'!$K:$K,"native",'Raw Data'!$H:$H,"PSP to Acquirer",'Raw Data'!$I:$I,"",'Raw Data'!$M:$M,"count")</f>
        <v>254650</v>
      </c>
      <c r="Z12" s="11">
        <f>SUMIFS('Raw Data'!$L:$L,'Raw Data'!$B:$B,$B$2,'Raw Data'!$J:$J,Z$2,'Raw Data'!$K:$K,"native",'Raw Data'!$H:$H,"PSP",'Raw Data'!$I:$I,"To Acquirer",'Raw Data'!$M:$M,"count")+SUMIFS('Raw Data'!$L:$L,'Raw Data'!$B:$B,$B$2,'Raw Data'!$J:$J,Z$2,'Raw Data'!$K:$K,"native",'Raw Data'!$H:$H,"PSP to Acquirer",'Raw Data'!$I:$I,"",'Raw Data'!$M:$M,"count")</f>
        <v>302810</v>
      </c>
    </row>
    <row r="13" spans="1:26" x14ac:dyDescent="0.25">
      <c r="A13" s="53" t="s">
        <v>93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x14ac:dyDescent="0.25">
      <c r="A14" s="10" t="s">
        <v>82</v>
      </c>
      <c r="B14" s="10" t="s">
        <v>94</v>
      </c>
      <c r="C14" s="11">
        <f>SUMIFS('Raw Data'!$L:$L,'Raw Data'!$B:$B,$B$2,'Raw Data'!$J:$J,C$2,'Raw Data'!$K:$K,"native",'Raw Data'!$H:$H,"Off Us",'Raw Data'!$I:$I,"",'Raw Data'!$M:$M,"count")</f>
        <v>8530000</v>
      </c>
      <c r="D14" s="11">
        <f>SUMIFS('Raw Data'!$L:$L,'Raw Data'!$B:$B,$B$2,'Raw Data'!$J:$J,D$2,'Raw Data'!$K:$K,"native",'Raw Data'!$H:$H,"Off Us",'Raw Data'!$I:$I,"",'Raw Data'!$M:$M,"count")</f>
        <v>9550000</v>
      </c>
      <c r="E14" s="11">
        <f>SUMIFS('Raw Data'!$L:$L,'Raw Data'!$B:$B,$B$2,'Raw Data'!$J:$J,E$2,'Raw Data'!$K:$K,"native",'Raw Data'!$H:$H,"Off Us",'Raw Data'!$I:$I,"",'Raw Data'!$M:$M,"count")</f>
        <v>9550000</v>
      </c>
      <c r="F14" s="11">
        <f>SUMIFS('Raw Data'!$L:$L,'Raw Data'!$B:$B,$B$2,'Raw Data'!$J:$J,F$2,'Raw Data'!$K:$K,"native",'Raw Data'!$H:$H,"Off Us",'Raw Data'!$I:$I,"",'Raw Data'!$M:$M,"count")</f>
        <v>10600000</v>
      </c>
      <c r="G14" s="11">
        <f>SUMIFS('Raw Data'!$L:$L,'Raw Data'!$B:$B,$B$2,'Raw Data'!$J:$J,G$2,'Raw Data'!$K:$K,"native",'Raw Data'!$H:$H,"Off Us",'Raw Data'!$I:$I,"",'Raw Data'!$M:$M,"count")</f>
        <v>10910000</v>
      </c>
      <c r="H14" s="11">
        <f>SUMIFS('Raw Data'!$L:$L,'Raw Data'!$B:$B,$B$2,'Raw Data'!$J:$J,H$2,'Raw Data'!$K:$K,"native",'Raw Data'!$H:$H,"Off Us",'Raw Data'!$I:$I,"",'Raw Data'!$M:$M,"count")</f>
        <v>10310000</v>
      </c>
      <c r="I14" s="11">
        <f>SUMIFS('Raw Data'!$L:$L,'Raw Data'!$B:$B,$B$2,'Raw Data'!$J:$J,I$2,'Raw Data'!$K:$K,"native",'Raw Data'!$H:$H,"Off Us",'Raw Data'!$I:$I,"",'Raw Data'!$M:$M,"count")</f>
        <v>12690000</v>
      </c>
      <c r="J14" s="11">
        <f>SUMIFS('Raw Data'!$L:$L,'Raw Data'!$B:$B,$B$2,'Raw Data'!$J:$J,J$2,'Raw Data'!$K:$K,"native",'Raw Data'!$H:$H,"Off Us",'Raw Data'!$I:$I,"",'Raw Data'!$M:$M,"count")</f>
        <v>12000000</v>
      </c>
      <c r="K14" s="11">
        <f>SUMIFS('Raw Data'!$L:$L,'Raw Data'!$B:$B,$B$2,'Raw Data'!$J:$J,K$2,'Raw Data'!$K:$K,"native",'Raw Data'!$H:$H,"Off Us",'Raw Data'!$I:$I,"",'Raw Data'!$M:$M,"count")</f>
        <v>14250000</v>
      </c>
      <c r="L14" s="11">
        <f>SUMIFS('Raw Data'!$L:$L,'Raw Data'!$B:$B,$B$2,'Raw Data'!$J:$J,L$2,'Raw Data'!$K:$K,"native",'Raw Data'!$H:$H,"Off Us",'Raw Data'!$I:$I,"",'Raw Data'!$M:$M,"count")</f>
        <v>13490000</v>
      </c>
      <c r="M14" s="11">
        <f>SUMIFS('Raw Data'!$L:$L,'Raw Data'!$B:$B,$B$2,'Raw Data'!$J:$J,M$2,'Raw Data'!$K:$K,"native",'Raw Data'!$H:$H,"Off Us",'Raw Data'!$I:$I,"",'Raw Data'!$M:$M,"count")</f>
        <v>15200000</v>
      </c>
      <c r="N14" s="11">
        <f>SUMIFS('Raw Data'!$L:$L,'Raw Data'!$B:$B,$B$2,'Raw Data'!$J:$J,N$2,'Raw Data'!$K:$K,"native",'Raw Data'!$H:$H,"Off Us",'Raw Data'!$I:$I,"",'Raw Data'!$M:$M,"count")</f>
        <v>15190000</v>
      </c>
      <c r="O14" s="11">
        <f>SUMIFS('Raw Data'!$L:$L,'Raw Data'!$B:$B,$B$2,'Raw Data'!$J:$J,O$2,'Raw Data'!$K:$K,"native",'Raw Data'!$H:$H,"Off Us",'Raw Data'!$I:$I,"",'Raw Data'!$M:$M,"count")</f>
        <v>14910000</v>
      </c>
      <c r="P14" s="11">
        <f>SUMIFS('Raw Data'!$L:$L,'Raw Data'!$B:$B,$B$2,'Raw Data'!$J:$J,P$2,'Raw Data'!$K:$K,"native",'Raw Data'!$H:$H,"Off Us",'Raw Data'!$I:$I,"",'Raw Data'!$M:$M,"count")</f>
        <v>15970000</v>
      </c>
      <c r="Q14" s="11">
        <f>SUMIFS('Raw Data'!$L:$L,'Raw Data'!$B:$B,$B$2,'Raw Data'!$J:$J,Q$2,'Raw Data'!$K:$K,"native",'Raw Data'!$H:$H,"Off Us",'Raw Data'!$I:$I,"",'Raw Data'!$M:$M,"count")</f>
        <v>15780000</v>
      </c>
      <c r="R14" s="11">
        <f>SUMIFS('Raw Data'!$L:$L,'Raw Data'!$B:$B,$B$2,'Raw Data'!$J:$J,R$2,'Raw Data'!$K:$K,"native",'Raw Data'!$H:$H,"Off Us",'Raw Data'!$I:$I,"",'Raw Data'!$M:$M,"count")</f>
        <v>16960000</v>
      </c>
      <c r="S14" s="11">
        <f>SUMIFS('Raw Data'!$L:$L,'Raw Data'!$B:$B,$B$2,'Raw Data'!$J:$J,S$2,'Raw Data'!$K:$K,"native",'Raw Data'!$H:$H,"Off Us",'Raw Data'!$I:$I,"",'Raw Data'!$M:$M,"count")</f>
        <v>17140000</v>
      </c>
      <c r="T14" s="11">
        <f>SUMIFS('Raw Data'!$L:$L,'Raw Data'!$B:$B,$B$2,'Raw Data'!$J:$J,T$2,'Raw Data'!$K:$K,"native",'Raw Data'!$H:$H,"Off Us",'Raw Data'!$I:$I,"",'Raw Data'!$M:$M,"count")</f>
        <v>15910000</v>
      </c>
      <c r="U14" s="11">
        <f>SUMIFS('Raw Data'!$L:$L,'Raw Data'!$B:$B,$B$2,'Raw Data'!$J:$J,U$2,'Raw Data'!$K:$K,"native",'Raw Data'!$H:$H,"Off Us",'Raw Data'!$I:$I,"",'Raw Data'!$M:$M,"count")</f>
        <v>18440000</v>
      </c>
      <c r="V14" s="11">
        <f>SUMIFS('Raw Data'!$L:$L,'Raw Data'!$B:$B,$B$2,'Raw Data'!$J:$J,V$2,'Raw Data'!$K:$K,"native",'Raw Data'!$H:$H,"Off Us",'Raw Data'!$I:$I,"",'Raw Data'!$M:$M,"count")</f>
        <v>18670000</v>
      </c>
      <c r="W14" s="11">
        <f>SUMIFS('Raw Data'!$L:$L,'Raw Data'!$B:$B,$B$2,'Raw Data'!$J:$J,W$2,'Raw Data'!$K:$K,"native",'Raw Data'!$H:$H,"Off Us",'Raw Data'!$I:$I,"",'Raw Data'!$M:$M,"count")</f>
        <v>20730000</v>
      </c>
      <c r="X14" s="11">
        <f>SUMIFS('Raw Data'!$L:$L,'Raw Data'!$B:$B,$B$2,'Raw Data'!$J:$J,X$2,'Raw Data'!$K:$K,"native",'Raw Data'!$H:$H,"Off Us",'Raw Data'!$I:$I,"",'Raw Data'!$M:$M,"count")</f>
        <v>20150000</v>
      </c>
      <c r="Y14" s="11">
        <f>SUMIFS('Raw Data'!$L:$L,'Raw Data'!$B:$B,$B$2,'Raw Data'!$J:$J,Y$2,'Raw Data'!$K:$K,"native",'Raw Data'!$H:$H,"Off Us",'Raw Data'!$I:$I,"",'Raw Data'!$M:$M,"count")</f>
        <v>22410000</v>
      </c>
      <c r="Z14" s="11">
        <f>SUMIFS('Raw Data'!$L:$L,'Raw Data'!$B:$B,$B$2,'Raw Data'!$J:$J,Z$2,'Raw Data'!$K:$K,"native",'Raw Data'!$H:$H,"Off Us",'Raw Data'!$I:$I,"",'Raw Data'!$M:$M,"count")</f>
        <v>23200000</v>
      </c>
    </row>
    <row r="15" spans="1:26" x14ac:dyDescent="0.25">
      <c r="A15" s="10" t="s">
        <v>82</v>
      </c>
      <c r="B15" s="10" t="s">
        <v>95</v>
      </c>
      <c r="C15" s="11">
        <f>SUMIFS('Raw Data'!$L:$L,'Raw Data'!$B:$B,$B$2,'Raw Data'!$J:$J,C$2,'Raw Data'!$K:$K,"native",'Raw Data'!$H:$H,"On Us",'Raw Data'!$I:$I,"",'Raw Data'!$M:$M,"count")</f>
        <v>2850000</v>
      </c>
      <c r="D15" s="11">
        <f>SUMIFS('Raw Data'!$L:$L,'Raw Data'!$B:$B,$B$2,'Raw Data'!$J:$J,D$2,'Raw Data'!$K:$K,"native",'Raw Data'!$H:$H,"On Us",'Raw Data'!$I:$I,"",'Raw Data'!$M:$M,"count")</f>
        <v>3150000</v>
      </c>
      <c r="E15" s="11">
        <f>SUMIFS('Raw Data'!$L:$L,'Raw Data'!$B:$B,$B$2,'Raw Data'!$J:$J,E$2,'Raw Data'!$K:$K,"native",'Raw Data'!$H:$H,"On Us",'Raw Data'!$I:$I,"",'Raw Data'!$M:$M,"count")</f>
        <v>3270000</v>
      </c>
      <c r="F15" s="11">
        <f>SUMIFS('Raw Data'!$L:$L,'Raw Data'!$B:$B,$B$2,'Raw Data'!$J:$J,F$2,'Raw Data'!$K:$K,"native",'Raw Data'!$H:$H,"On Us",'Raw Data'!$I:$I,"",'Raw Data'!$M:$M,"count")</f>
        <v>3710000</v>
      </c>
      <c r="G15" s="11">
        <f>SUMIFS('Raw Data'!$L:$L,'Raw Data'!$B:$B,$B$2,'Raw Data'!$J:$J,G$2,'Raw Data'!$K:$K,"native",'Raw Data'!$H:$H,"On Us",'Raw Data'!$I:$I,"",'Raw Data'!$M:$M,"count")</f>
        <v>3840000</v>
      </c>
      <c r="H15" s="11">
        <f>SUMIFS('Raw Data'!$L:$L,'Raw Data'!$B:$B,$B$2,'Raw Data'!$J:$J,H$2,'Raw Data'!$K:$K,"native",'Raw Data'!$H:$H,"On Us",'Raw Data'!$I:$I,"",'Raw Data'!$M:$M,"count")</f>
        <v>3590000</v>
      </c>
      <c r="I15" s="11">
        <f>SUMIFS('Raw Data'!$L:$L,'Raw Data'!$B:$B,$B$2,'Raw Data'!$J:$J,I$2,'Raw Data'!$K:$K,"native",'Raw Data'!$H:$H,"On Us",'Raw Data'!$I:$I,"",'Raw Data'!$M:$M,"count")</f>
        <v>4430000</v>
      </c>
      <c r="J15" s="11">
        <f>SUMIFS('Raw Data'!$L:$L,'Raw Data'!$B:$B,$B$2,'Raw Data'!$J:$J,J$2,'Raw Data'!$K:$K,"native",'Raw Data'!$H:$H,"On Us",'Raw Data'!$I:$I,"",'Raw Data'!$M:$M,"count")</f>
        <v>4300000</v>
      </c>
      <c r="K15" s="11">
        <f>SUMIFS('Raw Data'!$L:$L,'Raw Data'!$B:$B,$B$2,'Raw Data'!$J:$J,K$2,'Raw Data'!$K:$K,"native",'Raw Data'!$H:$H,"On Us",'Raw Data'!$I:$I,"",'Raw Data'!$M:$M,"count")</f>
        <v>5010000</v>
      </c>
      <c r="L15" s="11">
        <f>SUMIFS('Raw Data'!$L:$L,'Raw Data'!$B:$B,$B$2,'Raw Data'!$J:$J,L$2,'Raw Data'!$K:$K,"native",'Raw Data'!$H:$H,"On Us",'Raw Data'!$I:$I,"",'Raw Data'!$M:$M,"count")</f>
        <v>4870000</v>
      </c>
      <c r="M15" s="11">
        <f>SUMIFS('Raw Data'!$L:$L,'Raw Data'!$B:$B,$B$2,'Raw Data'!$J:$J,M$2,'Raw Data'!$K:$K,"native",'Raw Data'!$H:$H,"On Us",'Raw Data'!$I:$I,"",'Raw Data'!$M:$M,"count")</f>
        <v>5580000</v>
      </c>
      <c r="N15" s="11">
        <f>SUMIFS('Raw Data'!$L:$L,'Raw Data'!$B:$B,$B$2,'Raw Data'!$J:$J,N$2,'Raw Data'!$K:$K,"native",'Raw Data'!$H:$H,"On Us",'Raw Data'!$I:$I,"",'Raw Data'!$M:$M,"count")</f>
        <v>5720000</v>
      </c>
      <c r="O15" s="11">
        <f>SUMIFS('Raw Data'!$L:$L,'Raw Data'!$B:$B,$B$2,'Raw Data'!$J:$J,O$2,'Raw Data'!$K:$K,"native",'Raw Data'!$H:$H,"On Us",'Raw Data'!$I:$I,"",'Raw Data'!$M:$M,"count")</f>
        <v>5660000</v>
      </c>
      <c r="P15" s="11">
        <f>SUMIFS('Raw Data'!$L:$L,'Raw Data'!$B:$B,$B$2,'Raw Data'!$J:$J,P$2,'Raw Data'!$K:$K,"native",'Raw Data'!$H:$H,"On Us",'Raw Data'!$I:$I,"",'Raw Data'!$M:$M,"count")</f>
        <v>5890000</v>
      </c>
      <c r="Q15" s="11">
        <f>SUMIFS('Raw Data'!$L:$L,'Raw Data'!$B:$B,$B$2,'Raw Data'!$J:$J,Q$2,'Raw Data'!$K:$K,"native",'Raw Data'!$H:$H,"On Us",'Raw Data'!$I:$I,"",'Raw Data'!$M:$M,"count")</f>
        <v>5960000</v>
      </c>
      <c r="R15" s="11">
        <f>SUMIFS('Raw Data'!$L:$L,'Raw Data'!$B:$B,$B$2,'Raw Data'!$J:$J,R$2,'Raw Data'!$K:$K,"native",'Raw Data'!$H:$H,"On Us",'Raw Data'!$I:$I,"",'Raw Data'!$M:$M,"count")</f>
        <v>6530000</v>
      </c>
      <c r="S15" s="11">
        <f>SUMIFS('Raw Data'!$L:$L,'Raw Data'!$B:$B,$B$2,'Raw Data'!$J:$J,S$2,'Raw Data'!$K:$K,"native",'Raw Data'!$H:$H,"On Us",'Raw Data'!$I:$I,"",'Raw Data'!$M:$M,"count")</f>
        <v>7160000</v>
      </c>
      <c r="T15" s="11">
        <f>SUMIFS('Raw Data'!$L:$L,'Raw Data'!$B:$B,$B$2,'Raw Data'!$J:$J,T$2,'Raw Data'!$K:$K,"native",'Raw Data'!$H:$H,"On Us",'Raw Data'!$I:$I,"",'Raw Data'!$M:$M,"count")</f>
        <v>6650000</v>
      </c>
      <c r="U15" s="11">
        <f>SUMIFS('Raw Data'!$L:$L,'Raw Data'!$B:$B,$B$2,'Raw Data'!$J:$J,U$2,'Raw Data'!$K:$K,"native",'Raw Data'!$H:$H,"On Us",'Raw Data'!$I:$I,"",'Raw Data'!$M:$M,"count")</f>
        <v>7820000</v>
      </c>
      <c r="V15" s="11">
        <f>SUMIFS('Raw Data'!$L:$L,'Raw Data'!$B:$B,$B$2,'Raw Data'!$J:$J,V$2,'Raw Data'!$K:$K,"native",'Raw Data'!$H:$H,"On Us",'Raw Data'!$I:$I,"",'Raw Data'!$M:$M,"count")</f>
        <v>8140000</v>
      </c>
      <c r="W15" s="11">
        <f>SUMIFS('Raw Data'!$L:$L,'Raw Data'!$B:$B,$B$2,'Raw Data'!$J:$J,W$2,'Raw Data'!$K:$K,"native",'Raw Data'!$H:$H,"On Us",'Raw Data'!$I:$I,"",'Raw Data'!$M:$M,"count")</f>
        <v>9010000</v>
      </c>
      <c r="X15" s="11">
        <f>SUMIFS('Raw Data'!$L:$L,'Raw Data'!$B:$B,$B$2,'Raw Data'!$J:$J,X$2,'Raw Data'!$K:$K,"native",'Raw Data'!$H:$H,"On Us",'Raw Data'!$I:$I,"",'Raw Data'!$M:$M,"count")</f>
        <v>8850000</v>
      </c>
      <c r="Y15" s="11">
        <f>SUMIFS('Raw Data'!$L:$L,'Raw Data'!$B:$B,$B$2,'Raw Data'!$J:$J,Y$2,'Raw Data'!$K:$K,"native",'Raw Data'!$H:$H,"On Us",'Raw Data'!$I:$I,"",'Raw Data'!$M:$M,"count")</f>
        <v>9810000</v>
      </c>
      <c r="Z15" s="11">
        <f>SUMIFS('Raw Data'!$L:$L,'Raw Data'!$B:$B,$B$2,'Raw Data'!$J:$J,Z$2,'Raw Data'!$K:$K,"native",'Raw Data'!$H:$H,"On Us",'Raw Data'!$I:$I,"",'Raw Data'!$M:$M,"count")</f>
        <v>10200000</v>
      </c>
    </row>
    <row r="16" spans="1:26" x14ac:dyDescent="0.25">
      <c r="A16" s="53" t="s">
        <v>172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x14ac:dyDescent="0.25">
      <c r="A17" s="10" t="s">
        <v>82</v>
      </c>
      <c r="B17" s="10" t="s">
        <v>173</v>
      </c>
      <c r="C17" s="11">
        <f>SUMIFS('Raw Data'!$L:$L,'Raw Data'!$B:$B,$B$2,'Raw Data'!$J:$J,C$2,'Raw Data'!$K:$K,"native",'Raw Data'!$H:$H,"Bank to mPSP",'Raw Data'!$I:$I,"",'Raw Data'!$M:$M,"count")</f>
        <v>1800000</v>
      </c>
      <c r="D17" s="11">
        <f>SUMIFS('Raw Data'!$L:$L,'Raw Data'!$B:$B,$B$2,'Raw Data'!$J:$J,D$2,'Raw Data'!$K:$K,"native",'Raw Data'!$H:$H,"Bank to mPSP",'Raw Data'!$I:$I,"",'Raw Data'!$M:$M,"count")</f>
        <v>2010000</v>
      </c>
      <c r="E17" s="11">
        <f>SUMIFS('Raw Data'!$L:$L,'Raw Data'!$B:$B,$B$2,'Raw Data'!$J:$J,E$2,'Raw Data'!$K:$K,"native",'Raw Data'!$H:$H,"Bank to mPSP",'Raw Data'!$I:$I,"",'Raw Data'!$M:$M,"count")</f>
        <v>2080000</v>
      </c>
      <c r="F17" s="11">
        <f>SUMIFS('Raw Data'!$L:$L,'Raw Data'!$B:$B,$B$2,'Raw Data'!$J:$J,F$2,'Raw Data'!$K:$K,"native",'Raw Data'!$H:$H,"Bank to mPSP",'Raw Data'!$I:$I,"",'Raw Data'!$M:$M,"count")</f>
        <v>2290000</v>
      </c>
      <c r="G17" s="11">
        <f>SUMIFS('Raw Data'!$L:$L,'Raw Data'!$B:$B,$B$2,'Raw Data'!$J:$J,G$2,'Raw Data'!$K:$K,"native",'Raw Data'!$H:$H,"Bank to mPSP",'Raw Data'!$I:$I,"",'Raw Data'!$M:$M,"count")</f>
        <v>2430000</v>
      </c>
      <c r="H17" s="11">
        <f>SUMIFS('Raw Data'!$L:$L,'Raw Data'!$B:$B,$B$2,'Raw Data'!$J:$J,H$2,'Raw Data'!$K:$K,"native",'Raw Data'!$H:$H,"Bank to mPSP",'Raw Data'!$I:$I,"",'Raw Data'!$M:$M,"count")</f>
        <v>2340000</v>
      </c>
      <c r="I17" s="11">
        <f>SUMIFS('Raw Data'!$L:$L,'Raw Data'!$B:$B,$B$2,'Raw Data'!$J:$J,I$2,'Raw Data'!$K:$K,"native",'Raw Data'!$H:$H,"Bank to mPSP",'Raw Data'!$I:$I,"",'Raw Data'!$M:$M,"count")</f>
        <v>2920000</v>
      </c>
      <c r="J17" s="11">
        <f>SUMIFS('Raw Data'!$L:$L,'Raw Data'!$B:$B,$B$2,'Raw Data'!$J:$J,J$2,'Raw Data'!$K:$K,"native",'Raw Data'!$H:$H,"Bank to mPSP",'Raw Data'!$I:$I,"",'Raw Data'!$M:$M,"count")</f>
        <v>2790000</v>
      </c>
      <c r="K17" s="11">
        <f>SUMIFS('Raw Data'!$L:$L,'Raw Data'!$B:$B,$B$2,'Raw Data'!$J:$J,K$2,'Raw Data'!$K:$K,"native",'Raw Data'!$H:$H,"Bank to mPSP",'Raw Data'!$I:$I,"",'Raw Data'!$M:$M,"count")</f>
        <v>3360000</v>
      </c>
      <c r="L17" s="11">
        <f>SUMIFS('Raw Data'!$L:$L,'Raw Data'!$B:$B,$B$2,'Raw Data'!$J:$J,L$2,'Raw Data'!$K:$K,"native",'Raw Data'!$H:$H,"Bank to mPSP",'Raw Data'!$I:$I,"",'Raw Data'!$M:$M,"count")</f>
        <v>3250000</v>
      </c>
      <c r="M17" s="11">
        <f>SUMIFS('Raw Data'!$L:$L,'Raw Data'!$B:$B,$B$2,'Raw Data'!$J:$J,M$2,'Raw Data'!$K:$K,"native",'Raw Data'!$H:$H,"Bank to mPSP",'Raw Data'!$I:$I,"",'Raw Data'!$M:$M,"count")</f>
        <v>3740000</v>
      </c>
      <c r="N17" s="11">
        <f>SUMIFS('Raw Data'!$L:$L,'Raw Data'!$B:$B,$B$2,'Raw Data'!$J:$J,N$2,'Raw Data'!$K:$K,"native",'Raw Data'!$H:$H,"Bank to mPSP",'Raw Data'!$I:$I,"",'Raw Data'!$M:$M,"count")</f>
        <v>3700000</v>
      </c>
      <c r="O17" s="11">
        <f>SUMIFS('Raw Data'!$L:$L,'Raw Data'!$B:$B,$B$2,'Raw Data'!$J:$J,O$2,'Raw Data'!$K:$K,"native",'Raw Data'!$H:$H,"Bank to mPSP",'Raw Data'!$I:$I,"",'Raw Data'!$M:$M,"count")</f>
        <v>3650000</v>
      </c>
      <c r="P17" s="11">
        <f>SUMIFS('Raw Data'!$L:$L,'Raw Data'!$B:$B,$B$2,'Raw Data'!$J:$J,P$2,'Raw Data'!$K:$K,"native",'Raw Data'!$H:$H,"Bank to mPSP",'Raw Data'!$I:$I,"",'Raw Data'!$M:$M,"count")</f>
        <v>3990000</v>
      </c>
      <c r="Q17" s="11">
        <f>SUMIFS('Raw Data'!$L:$L,'Raw Data'!$B:$B,$B$2,'Raw Data'!$J:$J,Q$2,'Raw Data'!$K:$K,"native",'Raw Data'!$H:$H,"Bank to mPSP",'Raw Data'!$I:$I,"",'Raw Data'!$M:$M,"count")</f>
        <v>3970000</v>
      </c>
      <c r="R17" s="11">
        <f>SUMIFS('Raw Data'!$L:$L,'Raw Data'!$B:$B,$B$2,'Raw Data'!$J:$J,R$2,'Raw Data'!$K:$K,"native",'Raw Data'!$H:$H,"Bank to mPSP",'Raw Data'!$I:$I,"",'Raw Data'!$M:$M,"count")</f>
        <v>4290000</v>
      </c>
      <c r="S17" s="11">
        <f>SUMIFS('Raw Data'!$L:$L,'Raw Data'!$B:$B,$B$2,'Raw Data'!$J:$J,S$2,'Raw Data'!$K:$K,"native",'Raw Data'!$H:$H,"Bank to mPSP",'Raw Data'!$I:$I,"",'Raw Data'!$M:$M,"count")</f>
        <v>4340000</v>
      </c>
      <c r="T17" s="11">
        <f>SUMIFS('Raw Data'!$L:$L,'Raw Data'!$B:$B,$B$2,'Raw Data'!$J:$J,T$2,'Raw Data'!$K:$K,"native",'Raw Data'!$H:$H,"Bank to mPSP",'Raw Data'!$I:$I,"",'Raw Data'!$M:$M,"count")</f>
        <v>4030000</v>
      </c>
      <c r="U17" s="11">
        <f>SUMIFS('Raw Data'!$L:$L,'Raw Data'!$B:$B,$B$2,'Raw Data'!$J:$J,U$2,'Raw Data'!$K:$K,"native",'Raw Data'!$H:$H,"Bank to mPSP",'Raw Data'!$I:$I,"",'Raw Data'!$M:$M,"count")</f>
        <v>4730000</v>
      </c>
      <c r="V17" s="11">
        <f>SUMIFS('Raw Data'!$L:$L,'Raw Data'!$B:$B,$B$2,'Raw Data'!$J:$J,V$2,'Raw Data'!$K:$K,"native",'Raw Data'!$H:$H,"Bank to mPSP",'Raw Data'!$I:$I,"",'Raw Data'!$M:$M,"count")</f>
        <v>4850000</v>
      </c>
      <c r="W17" s="11">
        <f>SUMIFS('Raw Data'!$L:$L,'Raw Data'!$B:$B,$B$2,'Raw Data'!$J:$J,W$2,'Raw Data'!$K:$K,"native",'Raw Data'!$H:$H,"Bank to mPSP",'Raw Data'!$I:$I,"",'Raw Data'!$M:$M,"count")</f>
        <v>5430000</v>
      </c>
      <c r="X17" s="11">
        <f>SUMIFS('Raw Data'!$L:$L,'Raw Data'!$B:$B,$B$2,'Raw Data'!$J:$J,X$2,'Raw Data'!$K:$K,"native",'Raw Data'!$H:$H,"Bank to mPSP",'Raw Data'!$I:$I,"",'Raw Data'!$M:$M,"count")</f>
        <v>5340000</v>
      </c>
      <c r="Y17" s="11">
        <f>SUMIFS('Raw Data'!$L:$L,'Raw Data'!$B:$B,$B$2,'Raw Data'!$J:$J,Y$2,'Raw Data'!$K:$K,"native",'Raw Data'!$H:$H,"Bank to mPSP",'Raw Data'!$I:$I,"",'Raw Data'!$M:$M,"count")</f>
        <v>5990000</v>
      </c>
      <c r="Z17" s="11">
        <f>SUMIFS('Raw Data'!$L:$L,'Raw Data'!$B:$B,$B$2,'Raw Data'!$J:$J,Z$2,'Raw Data'!$K:$K,"native",'Raw Data'!$H:$H,"Bank to mPSP",'Raw Data'!$I:$I,"",'Raw Data'!$M:$M,"count")</f>
        <v>6240000</v>
      </c>
    </row>
    <row r="18" spans="1:26" x14ac:dyDescent="0.25">
      <c r="A18" s="10" t="s">
        <v>82</v>
      </c>
      <c r="B18" s="10" t="s">
        <v>174</v>
      </c>
      <c r="C18" s="11">
        <f>SUMIFS('Raw Data'!$L:$L,'Raw Data'!$B:$B,$B$2,'Raw Data'!$J:$J,C$2,'Raw Data'!$K:$K,"native",'Raw Data'!$H:$H,"mPSP to Bank",'Raw Data'!$I:$I,"",'Raw Data'!$M:$M,"count")</f>
        <v>1490000</v>
      </c>
      <c r="D18" s="11">
        <f>SUMIFS('Raw Data'!$L:$L,'Raw Data'!$B:$B,$B$2,'Raw Data'!$J:$J,D$2,'Raw Data'!$K:$K,"native",'Raw Data'!$H:$H,"mPSP to Bank",'Raw Data'!$I:$I,"",'Raw Data'!$M:$M,"count")</f>
        <v>1680000</v>
      </c>
      <c r="E18" s="11">
        <f>SUMIFS('Raw Data'!$L:$L,'Raw Data'!$B:$B,$B$2,'Raw Data'!$J:$J,E$2,'Raw Data'!$K:$K,"native",'Raw Data'!$H:$H,"mPSP to Bank",'Raw Data'!$I:$I,"",'Raw Data'!$M:$M,"count")</f>
        <v>1660000</v>
      </c>
      <c r="F18" s="11">
        <f>SUMIFS('Raw Data'!$L:$L,'Raw Data'!$B:$B,$B$2,'Raw Data'!$J:$J,F$2,'Raw Data'!$K:$K,"native",'Raw Data'!$H:$H,"mPSP to Bank",'Raw Data'!$I:$I,"",'Raw Data'!$M:$M,"count")</f>
        <v>1840000</v>
      </c>
      <c r="G18" s="11">
        <f>SUMIFS('Raw Data'!$L:$L,'Raw Data'!$B:$B,$B$2,'Raw Data'!$J:$J,G$2,'Raw Data'!$K:$K,"native",'Raw Data'!$H:$H,"mPSP to Bank",'Raw Data'!$I:$I,"",'Raw Data'!$M:$M,"count")</f>
        <v>1910000</v>
      </c>
      <c r="H18" s="11">
        <f>SUMIFS('Raw Data'!$L:$L,'Raw Data'!$B:$B,$B$2,'Raw Data'!$J:$J,H$2,'Raw Data'!$K:$K,"native",'Raw Data'!$H:$H,"mPSP to Bank",'Raw Data'!$I:$I,"",'Raw Data'!$M:$M,"count")</f>
        <v>1790000</v>
      </c>
      <c r="I18" s="11">
        <f>SUMIFS('Raw Data'!$L:$L,'Raw Data'!$B:$B,$B$2,'Raw Data'!$J:$J,I$2,'Raw Data'!$K:$K,"native",'Raw Data'!$H:$H,"mPSP to Bank",'Raw Data'!$I:$I,"",'Raw Data'!$M:$M,"count")</f>
        <v>2230000</v>
      </c>
      <c r="J18" s="11">
        <f>SUMIFS('Raw Data'!$L:$L,'Raw Data'!$B:$B,$B$2,'Raw Data'!$J:$J,J$2,'Raw Data'!$K:$K,"native",'Raw Data'!$H:$H,"mPSP to Bank",'Raw Data'!$I:$I,"",'Raw Data'!$M:$M,"count")</f>
        <v>2140000</v>
      </c>
      <c r="K18" s="11">
        <f>SUMIFS('Raw Data'!$L:$L,'Raw Data'!$B:$B,$B$2,'Raw Data'!$J:$J,K$2,'Raw Data'!$K:$K,"native",'Raw Data'!$H:$H,"mPSP to Bank",'Raw Data'!$I:$I,"",'Raw Data'!$M:$M,"count")</f>
        <v>2560000</v>
      </c>
      <c r="L18" s="11">
        <f>SUMIFS('Raw Data'!$L:$L,'Raw Data'!$B:$B,$B$2,'Raw Data'!$J:$J,L$2,'Raw Data'!$K:$K,"native",'Raw Data'!$H:$H,"mPSP to Bank",'Raw Data'!$I:$I,"",'Raw Data'!$M:$M,"count")</f>
        <v>2370000</v>
      </c>
      <c r="M18" s="11">
        <f>SUMIFS('Raw Data'!$L:$L,'Raw Data'!$B:$B,$B$2,'Raw Data'!$J:$J,M$2,'Raw Data'!$K:$K,"native",'Raw Data'!$H:$H,"mPSP to Bank",'Raw Data'!$I:$I,"",'Raw Data'!$M:$M,"count")</f>
        <v>2660000</v>
      </c>
      <c r="N18" s="11">
        <f>SUMIFS('Raw Data'!$L:$L,'Raw Data'!$B:$B,$B$2,'Raw Data'!$J:$J,N$2,'Raw Data'!$K:$K,"native",'Raw Data'!$H:$H,"mPSP to Bank",'Raw Data'!$I:$I,"",'Raw Data'!$M:$M,"count")</f>
        <v>2770000</v>
      </c>
      <c r="O18" s="11">
        <f>SUMIFS('Raw Data'!$L:$L,'Raw Data'!$B:$B,$B$2,'Raw Data'!$J:$J,O$2,'Raw Data'!$K:$K,"native",'Raw Data'!$H:$H,"mPSP to Bank",'Raw Data'!$I:$I,"",'Raw Data'!$M:$M,"count")</f>
        <v>2680000</v>
      </c>
      <c r="P18" s="11">
        <f>SUMIFS('Raw Data'!$L:$L,'Raw Data'!$B:$B,$B$2,'Raw Data'!$J:$J,P$2,'Raw Data'!$K:$K,"native",'Raw Data'!$H:$H,"mPSP to Bank",'Raw Data'!$I:$I,"",'Raw Data'!$M:$M,"count")</f>
        <v>2770000</v>
      </c>
      <c r="Q18" s="11">
        <f>SUMIFS('Raw Data'!$L:$L,'Raw Data'!$B:$B,$B$2,'Raw Data'!$J:$J,Q$2,'Raw Data'!$K:$K,"native",'Raw Data'!$H:$H,"mPSP to Bank",'Raw Data'!$I:$I,"",'Raw Data'!$M:$M,"count")</f>
        <v>2760000</v>
      </c>
      <c r="R18" s="11">
        <f>SUMIFS('Raw Data'!$L:$L,'Raw Data'!$B:$B,$B$2,'Raw Data'!$J:$J,R$2,'Raw Data'!$K:$K,"native",'Raw Data'!$H:$H,"mPSP to Bank",'Raw Data'!$I:$I,"",'Raw Data'!$M:$M,"count")</f>
        <v>2950000</v>
      </c>
      <c r="S18" s="11">
        <f>SUMIFS('Raw Data'!$L:$L,'Raw Data'!$B:$B,$B$2,'Raw Data'!$J:$J,S$2,'Raw Data'!$K:$K,"native",'Raw Data'!$H:$H,"mPSP to Bank",'Raw Data'!$I:$I,"",'Raw Data'!$M:$M,"count")</f>
        <v>2990000</v>
      </c>
      <c r="T18" s="11">
        <f>SUMIFS('Raw Data'!$L:$L,'Raw Data'!$B:$B,$B$2,'Raw Data'!$J:$J,T$2,'Raw Data'!$K:$K,"native",'Raw Data'!$H:$H,"mPSP to Bank",'Raw Data'!$I:$I,"",'Raw Data'!$M:$M,"count")</f>
        <v>2750000</v>
      </c>
      <c r="U18" s="11">
        <f>SUMIFS('Raw Data'!$L:$L,'Raw Data'!$B:$B,$B$2,'Raw Data'!$J:$J,U$2,'Raw Data'!$K:$K,"native",'Raw Data'!$H:$H,"mPSP to Bank",'Raw Data'!$I:$I,"",'Raw Data'!$M:$M,"count")</f>
        <v>3180000</v>
      </c>
      <c r="V18" s="11">
        <f>SUMIFS('Raw Data'!$L:$L,'Raw Data'!$B:$B,$B$2,'Raw Data'!$J:$J,V$2,'Raw Data'!$K:$K,"native",'Raw Data'!$H:$H,"mPSP to Bank",'Raw Data'!$I:$I,"",'Raw Data'!$M:$M,"count")</f>
        <v>3250000</v>
      </c>
      <c r="W18" s="11">
        <f>SUMIFS('Raw Data'!$L:$L,'Raw Data'!$B:$B,$B$2,'Raw Data'!$J:$J,W$2,'Raw Data'!$K:$K,"native",'Raw Data'!$H:$H,"mPSP to Bank",'Raw Data'!$I:$I,"",'Raw Data'!$M:$M,"count")</f>
        <v>3680000</v>
      </c>
      <c r="X18" s="11">
        <f>SUMIFS('Raw Data'!$L:$L,'Raw Data'!$B:$B,$B$2,'Raw Data'!$J:$J,X$2,'Raw Data'!$K:$K,"native",'Raw Data'!$H:$H,"mPSP to Bank",'Raw Data'!$I:$I,"",'Raw Data'!$M:$M,"count")</f>
        <v>3600000</v>
      </c>
      <c r="Y18" s="11">
        <f>SUMIFS('Raw Data'!$L:$L,'Raw Data'!$B:$B,$B$2,'Raw Data'!$J:$J,Y$2,'Raw Data'!$K:$K,"native",'Raw Data'!$H:$H,"mPSP to Bank",'Raw Data'!$I:$I,"",'Raw Data'!$M:$M,"count")</f>
        <v>4050000</v>
      </c>
      <c r="Z18" s="11">
        <f>SUMIFS('Raw Data'!$L:$L,'Raw Data'!$B:$B,$B$2,'Raw Data'!$J:$J,Z$2,'Raw Data'!$K:$K,"native",'Raw Data'!$H:$H,"mPSP to Bank",'Raw Data'!$I:$I,"",'Raw Data'!$M:$M,"count")</f>
        <v>4220000</v>
      </c>
    </row>
    <row r="19" spans="1:26" x14ac:dyDescent="0.25">
      <c r="A19" s="53" t="s">
        <v>175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x14ac:dyDescent="0.25">
      <c r="A20" s="10" t="s">
        <v>82</v>
      </c>
      <c r="B20" s="10" t="s">
        <v>164</v>
      </c>
      <c r="C20" s="11">
        <f>SUMIFS('Raw Data'!$L:$L,'Raw Data'!$B:$B,$B$2,'Raw Data'!$J:$J,C$2,'Raw Data'!$K:$K,"native",'Raw Data'!$H:$H,"Bank",'Raw Data'!$I:$I,"To Bank",'Raw Data'!$M:$M,"JOD",'Raw Data'!$F:$F,"Total Value*")+SUMIFS('Raw Data'!$L:$L,'Raw Data'!$B:$B,$B$2,'Raw Data'!$J:$J,C$2,'Raw Data'!$K:$K,"native",'Raw Data'!$H:$H,"Bank to Bank",'Raw Data'!$I:$I,"",'Raw Data'!$M:$M,"JOD",'Raw Data'!$F:$F,"Value of*")</f>
        <v>975000000</v>
      </c>
      <c r="D20" s="11">
        <f>SUMIFS('Raw Data'!$L:$L,'Raw Data'!$B:$B,$B$2,'Raw Data'!$J:$J,D$2,'Raw Data'!$K:$K,"native",'Raw Data'!$H:$H,"Bank",'Raw Data'!$I:$I,"To Bank",'Raw Data'!$M:$M,"JOD",'Raw Data'!$F:$F,"Total Value*")+SUMIFS('Raw Data'!$L:$L,'Raw Data'!$B:$B,$B$2,'Raw Data'!$J:$J,D$2,'Raw Data'!$K:$K,"native",'Raw Data'!$H:$H,"Bank to Bank",'Raw Data'!$I:$I,"",'Raw Data'!$M:$M,"JOD",'Raw Data'!$F:$F,"Value of*")</f>
        <v>1040000000</v>
      </c>
      <c r="E20" s="11">
        <f>SUMIFS('Raw Data'!$L:$L,'Raw Data'!$B:$B,$B$2,'Raw Data'!$J:$J,E$2,'Raw Data'!$K:$K,"native",'Raw Data'!$H:$H,"Bank",'Raw Data'!$I:$I,"To Bank",'Raw Data'!$M:$M,"JOD",'Raw Data'!$F:$F,"Total Value*")+SUMIFS('Raw Data'!$L:$L,'Raw Data'!$B:$B,$B$2,'Raw Data'!$J:$J,E$2,'Raw Data'!$K:$K,"native",'Raw Data'!$H:$H,"Bank to Bank",'Raw Data'!$I:$I,"",'Raw Data'!$M:$M,"JOD",'Raw Data'!$F:$F,"Value of*")</f>
        <v>1000000000</v>
      </c>
      <c r="F20" s="11">
        <f>SUMIFS('Raw Data'!$L:$L,'Raw Data'!$B:$B,$B$2,'Raw Data'!$J:$J,F$2,'Raw Data'!$K:$K,"native",'Raw Data'!$H:$H,"Bank",'Raw Data'!$I:$I,"To Bank",'Raw Data'!$M:$M,"JOD",'Raw Data'!$F:$F,"Total Value*")+SUMIFS('Raw Data'!$L:$L,'Raw Data'!$B:$B,$B$2,'Raw Data'!$J:$J,F$2,'Raw Data'!$K:$K,"native",'Raw Data'!$H:$H,"Bank to Bank",'Raw Data'!$I:$I,"",'Raw Data'!$M:$M,"JOD",'Raw Data'!$F:$F,"Value of*")</f>
        <v>1150000000</v>
      </c>
      <c r="G20" s="11">
        <f>SUMIFS('Raw Data'!$L:$L,'Raw Data'!$B:$B,$B$2,'Raw Data'!$J:$J,G$2,'Raw Data'!$K:$K,"native",'Raw Data'!$H:$H,"Bank",'Raw Data'!$I:$I,"To Bank",'Raw Data'!$M:$M,"JOD",'Raw Data'!$F:$F,"Total Value*")+SUMIFS('Raw Data'!$L:$L,'Raw Data'!$B:$B,$B$2,'Raw Data'!$J:$J,G$2,'Raw Data'!$K:$K,"native",'Raw Data'!$H:$H,"Bank to Bank",'Raw Data'!$I:$I,"",'Raw Data'!$M:$M,"JOD",'Raw Data'!$F:$F,"Value of*")</f>
        <v>1140000000</v>
      </c>
      <c r="H20" s="11">
        <f>SUMIFS('Raw Data'!$L:$L,'Raw Data'!$B:$B,$B$2,'Raw Data'!$J:$J,H$2,'Raw Data'!$K:$K,"native",'Raw Data'!$H:$H,"Bank",'Raw Data'!$I:$I,"To Bank",'Raw Data'!$M:$M,"JOD",'Raw Data'!$F:$F,"Total Value*")+SUMIFS('Raw Data'!$L:$L,'Raw Data'!$B:$B,$B$2,'Raw Data'!$J:$J,H$2,'Raw Data'!$K:$K,"native",'Raw Data'!$H:$H,"Bank to Bank",'Raw Data'!$I:$I,"",'Raw Data'!$M:$M,"JOD",'Raw Data'!$F:$F,"Value of*")</f>
        <v>1090000000</v>
      </c>
      <c r="I20" s="11">
        <f>SUMIFS('Raw Data'!$L:$L,'Raw Data'!$B:$B,$B$2,'Raw Data'!$J:$J,I$2,'Raw Data'!$K:$K,"native",'Raw Data'!$H:$H,"Bank",'Raw Data'!$I:$I,"To Bank",'Raw Data'!$M:$M,"JOD",'Raw Data'!$F:$F,"Total Value*")+SUMIFS('Raw Data'!$L:$L,'Raw Data'!$B:$B,$B$2,'Raw Data'!$J:$J,I$2,'Raw Data'!$K:$K,"native",'Raw Data'!$H:$H,"Bank to Bank",'Raw Data'!$I:$I,"",'Raw Data'!$M:$M,"JOD",'Raw Data'!$F:$F,"Value of*")</f>
        <v>1330000000</v>
      </c>
      <c r="J20" s="11">
        <f>SUMIFS('Raw Data'!$L:$L,'Raw Data'!$B:$B,$B$2,'Raw Data'!$J:$J,J$2,'Raw Data'!$K:$K,"native",'Raw Data'!$H:$H,"Bank",'Raw Data'!$I:$I,"To Bank",'Raw Data'!$M:$M,"JOD",'Raw Data'!$F:$F,"Total Value*")+SUMIFS('Raw Data'!$L:$L,'Raw Data'!$B:$B,$B$2,'Raw Data'!$J:$J,J$2,'Raw Data'!$K:$K,"native",'Raw Data'!$H:$H,"Bank to Bank",'Raw Data'!$I:$I,"",'Raw Data'!$M:$M,"JOD",'Raw Data'!$F:$F,"Value of*")</f>
        <v>1280000000</v>
      </c>
      <c r="K20" s="11">
        <f>SUMIFS('Raw Data'!$L:$L,'Raw Data'!$B:$B,$B$2,'Raw Data'!$J:$J,K$2,'Raw Data'!$K:$K,"native",'Raw Data'!$H:$H,"Bank",'Raw Data'!$I:$I,"To Bank",'Raw Data'!$M:$M,"JOD",'Raw Data'!$F:$F,"Total Value*")+SUMIFS('Raw Data'!$L:$L,'Raw Data'!$B:$B,$B$2,'Raw Data'!$J:$J,K$2,'Raw Data'!$K:$K,"native",'Raw Data'!$H:$H,"Bank to Bank",'Raw Data'!$I:$I,"",'Raw Data'!$M:$M,"JOD",'Raw Data'!$F:$F,"Value of*")</f>
        <v>1390000000</v>
      </c>
      <c r="L20" s="11">
        <f>SUMIFS('Raw Data'!$L:$L,'Raw Data'!$B:$B,$B$2,'Raw Data'!$J:$J,L$2,'Raw Data'!$K:$K,"native",'Raw Data'!$H:$H,"Bank",'Raw Data'!$I:$I,"To Bank",'Raw Data'!$M:$M,"JOD",'Raw Data'!$F:$F,"Total Value*")+SUMIFS('Raw Data'!$L:$L,'Raw Data'!$B:$B,$B$2,'Raw Data'!$J:$J,L$2,'Raw Data'!$K:$K,"native",'Raw Data'!$H:$H,"Bank to Bank",'Raw Data'!$I:$I,"",'Raw Data'!$M:$M,"JOD",'Raw Data'!$F:$F,"Value of*")</f>
        <v>1360000000</v>
      </c>
      <c r="M20" s="11">
        <f>SUMIFS('Raw Data'!$L:$L,'Raw Data'!$B:$B,$B$2,'Raw Data'!$J:$J,M$2,'Raw Data'!$K:$K,"native",'Raw Data'!$H:$H,"Bank",'Raw Data'!$I:$I,"To Bank",'Raw Data'!$M:$M,"JOD",'Raw Data'!$F:$F,"Total Value*")+SUMIFS('Raw Data'!$L:$L,'Raw Data'!$B:$B,$B$2,'Raw Data'!$J:$J,M$2,'Raw Data'!$K:$K,"native",'Raw Data'!$H:$H,"Bank to Bank",'Raw Data'!$I:$I,"",'Raw Data'!$M:$M,"JOD",'Raw Data'!$F:$F,"Value of*")</f>
        <v>1590000000</v>
      </c>
      <c r="N20" s="11">
        <f>SUMIFS('Raw Data'!$L:$L,'Raw Data'!$B:$B,$B$2,'Raw Data'!$J:$J,N$2,'Raw Data'!$K:$K,"native",'Raw Data'!$H:$H,"Bank",'Raw Data'!$I:$I,"To Bank",'Raw Data'!$M:$M,"JOD",'Raw Data'!$F:$F,"Total Value*")+SUMIFS('Raw Data'!$L:$L,'Raw Data'!$B:$B,$B$2,'Raw Data'!$J:$J,N$2,'Raw Data'!$K:$K,"native",'Raw Data'!$H:$H,"Bank to Bank",'Raw Data'!$I:$I,"",'Raw Data'!$M:$M,"JOD",'Raw Data'!$F:$F,"Value of*")</f>
        <v>1610000000</v>
      </c>
      <c r="O20" s="11">
        <f>SUMIFS('Raw Data'!$L:$L,'Raw Data'!$B:$B,$B$2,'Raw Data'!$J:$J,O$2,'Raw Data'!$K:$K,"native",'Raw Data'!$H:$H,"Bank",'Raw Data'!$I:$I,"To Bank",'Raw Data'!$M:$M,"JOD",'Raw Data'!$F:$F,"Total Value*")+SUMIFS('Raw Data'!$L:$L,'Raw Data'!$B:$B,$B$2,'Raw Data'!$J:$J,O$2,'Raw Data'!$K:$K,"native",'Raw Data'!$H:$H,"Bank to Bank",'Raw Data'!$I:$I,"",'Raw Data'!$M:$M,"JOD",'Raw Data'!$F:$F,"Value of*")</f>
        <v>1600000000</v>
      </c>
      <c r="P20" s="11">
        <f>SUMIFS('Raw Data'!$L:$L,'Raw Data'!$B:$B,$B$2,'Raw Data'!$J:$J,P$2,'Raw Data'!$K:$K,"native",'Raw Data'!$H:$H,"Bank",'Raw Data'!$I:$I,"To Bank",'Raw Data'!$M:$M,"JOD",'Raw Data'!$F:$F,"Total Value*")+SUMIFS('Raw Data'!$L:$L,'Raw Data'!$B:$B,$B$2,'Raw Data'!$J:$J,P$2,'Raw Data'!$K:$K,"native",'Raw Data'!$H:$H,"Bank to Bank",'Raw Data'!$I:$I,"",'Raw Data'!$M:$M,"JOD",'Raw Data'!$F:$F,"Value of*")</f>
        <v>1580000000</v>
      </c>
      <c r="Q20" s="11">
        <f>SUMIFS('Raw Data'!$L:$L,'Raw Data'!$B:$B,$B$2,'Raw Data'!$J:$J,Q$2,'Raw Data'!$K:$K,"native",'Raw Data'!$H:$H,"Bank",'Raw Data'!$I:$I,"To Bank",'Raw Data'!$M:$M,"JOD",'Raw Data'!$F:$F,"Total Value*")+SUMIFS('Raw Data'!$L:$L,'Raw Data'!$B:$B,$B$2,'Raw Data'!$J:$J,Q$2,'Raw Data'!$K:$K,"native",'Raw Data'!$H:$H,"Bank to Bank",'Raw Data'!$I:$I,"",'Raw Data'!$M:$M,"JOD",'Raw Data'!$F:$F,"Value of*")</f>
        <v>1470000000</v>
      </c>
      <c r="R20" s="11">
        <f>SUMIFS('Raw Data'!$L:$L,'Raw Data'!$B:$B,$B$2,'Raw Data'!$J:$J,R$2,'Raw Data'!$K:$K,"native",'Raw Data'!$H:$H,"Bank",'Raw Data'!$I:$I,"To Bank",'Raw Data'!$M:$M,"JOD",'Raw Data'!$F:$F,"Total Value*")+SUMIFS('Raw Data'!$L:$L,'Raw Data'!$B:$B,$B$2,'Raw Data'!$J:$J,R$2,'Raw Data'!$K:$K,"native",'Raw Data'!$H:$H,"Bank to Bank",'Raw Data'!$I:$I,"",'Raw Data'!$M:$M,"JOD",'Raw Data'!$F:$F,"Value of*")</f>
        <v>1600000000</v>
      </c>
      <c r="S20" s="11">
        <f>SUMIFS('Raw Data'!$L:$L,'Raw Data'!$B:$B,$B$2,'Raw Data'!$J:$J,S$2,'Raw Data'!$K:$K,"native",'Raw Data'!$H:$H,"Bank",'Raw Data'!$I:$I,"To Bank",'Raw Data'!$M:$M,"JOD",'Raw Data'!$F:$F,"Total Value*")+SUMIFS('Raw Data'!$L:$L,'Raw Data'!$B:$B,$B$2,'Raw Data'!$J:$J,S$2,'Raw Data'!$K:$K,"native",'Raw Data'!$H:$H,"Bank to Bank",'Raw Data'!$I:$I,"",'Raw Data'!$M:$M,"JOD",'Raw Data'!$F:$F,"Value of*")</f>
        <v>1620000000</v>
      </c>
      <c r="T20" s="11">
        <f>SUMIFS('Raw Data'!$L:$L,'Raw Data'!$B:$B,$B$2,'Raw Data'!$J:$J,T$2,'Raw Data'!$K:$K,"native",'Raw Data'!$H:$H,"Bank",'Raw Data'!$I:$I,"To Bank",'Raw Data'!$M:$M,"JOD",'Raw Data'!$F:$F,"Total Value*")+SUMIFS('Raw Data'!$L:$L,'Raw Data'!$B:$B,$B$2,'Raw Data'!$J:$J,T$2,'Raw Data'!$K:$K,"native",'Raw Data'!$H:$H,"Bank to Bank",'Raw Data'!$I:$I,"",'Raw Data'!$M:$M,"JOD",'Raw Data'!$F:$F,"Value of*")</f>
        <v>1520000000</v>
      </c>
      <c r="U20" s="11">
        <f>SUMIFS('Raw Data'!$L:$L,'Raw Data'!$B:$B,$B$2,'Raw Data'!$J:$J,U$2,'Raw Data'!$K:$K,"native",'Raw Data'!$H:$H,"Bank",'Raw Data'!$I:$I,"To Bank",'Raw Data'!$M:$M,"JOD",'Raw Data'!$F:$F,"Total Value*")+SUMIFS('Raw Data'!$L:$L,'Raw Data'!$B:$B,$B$2,'Raw Data'!$J:$J,U$2,'Raw Data'!$K:$K,"native",'Raw Data'!$H:$H,"Bank to Bank",'Raw Data'!$I:$I,"",'Raw Data'!$M:$M,"JOD",'Raw Data'!$F:$F,"Value of*")</f>
        <v>1720000000</v>
      </c>
      <c r="V20" s="11">
        <f>SUMIFS('Raw Data'!$L:$L,'Raw Data'!$B:$B,$B$2,'Raw Data'!$J:$J,V$2,'Raw Data'!$K:$K,"native",'Raw Data'!$H:$H,"Bank",'Raw Data'!$I:$I,"To Bank",'Raw Data'!$M:$M,"JOD",'Raw Data'!$F:$F,"Total Value*")+SUMIFS('Raw Data'!$L:$L,'Raw Data'!$B:$B,$B$2,'Raw Data'!$J:$J,V$2,'Raw Data'!$K:$K,"native",'Raw Data'!$H:$H,"Bank to Bank",'Raw Data'!$I:$I,"",'Raw Data'!$M:$M,"JOD",'Raw Data'!$F:$F,"Value of*")</f>
        <v>1600000000</v>
      </c>
      <c r="W20" s="11">
        <f>SUMIFS('Raw Data'!$L:$L,'Raw Data'!$B:$B,$B$2,'Raw Data'!$J:$J,W$2,'Raw Data'!$K:$K,"native",'Raw Data'!$H:$H,"Bank",'Raw Data'!$I:$I,"To Bank",'Raw Data'!$M:$M,"JOD",'Raw Data'!$F:$F,"Total Value*")+SUMIFS('Raw Data'!$L:$L,'Raw Data'!$B:$B,$B$2,'Raw Data'!$J:$J,W$2,'Raw Data'!$K:$K,"native",'Raw Data'!$H:$H,"Bank to Bank",'Raw Data'!$I:$I,"",'Raw Data'!$M:$M,"JOD",'Raw Data'!$F:$F,"Value of*")</f>
        <v>1800000000</v>
      </c>
      <c r="X20" s="11">
        <f>SUMIFS('Raw Data'!$L:$L,'Raw Data'!$B:$B,$B$2,'Raw Data'!$J:$J,X$2,'Raw Data'!$K:$K,"native",'Raw Data'!$H:$H,"Bank",'Raw Data'!$I:$I,"To Bank",'Raw Data'!$M:$M,"JOD",'Raw Data'!$F:$F,"Total Value*")+SUMIFS('Raw Data'!$L:$L,'Raw Data'!$B:$B,$B$2,'Raw Data'!$J:$J,X$2,'Raw Data'!$K:$K,"native",'Raw Data'!$H:$H,"Bank to Bank",'Raw Data'!$I:$I,"",'Raw Data'!$M:$M,"JOD",'Raw Data'!$F:$F,"Value of*")</f>
        <v>1820000000</v>
      </c>
      <c r="Y20" s="11">
        <f>SUMIFS('Raw Data'!$L:$L,'Raw Data'!$B:$B,$B$2,'Raw Data'!$J:$J,Y$2,'Raw Data'!$K:$K,"native",'Raw Data'!$H:$H,"Bank",'Raw Data'!$I:$I,"To Bank",'Raw Data'!$M:$M,"JOD",'Raw Data'!$F:$F,"Total Value*")+SUMIFS('Raw Data'!$L:$L,'Raw Data'!$B:$B,$B$2,'Raw Data'!$J:$J,Y$2,'Raw Data'!$K:$K,"native",'Raw Data'!$H:$H,"Bank to Bank",'Raw Data'!$I:$I,"",'Raw Data'!$M:$M,"JOD",'Raw Data'!$F:$F,"Value of*")</f>
        <v>1970000000</v>
      </c>
      <c r="Z20" s="11">
        <f>SUMIFS('Raw Data'!$L:$L,'Raw Data'!$B:$B,$B$2,'Raw Data'!$J:$J,Z$2,'Raw Data'!$K:$K,"native",'Raw Data'!$H:$H,"Bank",'Raw Data'!$I:$I,"To Bank",'Raw Data'!$M:$M,"JOD",'Raw Data'!$F:$F,"Total Value*")+SUMIFS('Raw Data'!$L:$L,'Raw Data'!$B:$B,$B$2,'Raw Data'!$J:$J,Z$2,'Raw Data'!$K:$K,"native",'Raw Data'!$H:$H,"Bank to Bank",'Raw Data'!$I:$I,"",'Raw Data'!$M:$M,"JOD",'Raw Data'!$F:$F,"Value of*")</f>
        <v>2050000000</v>
      </c>
    </row>
    <row r="21" spans="1:26" x14ac:dyDescent="0.25">
      <c r="A21" s="10" t="s">
        <v>82</v>
      </c>
      <c r="B21" s="10" t="s">
        <v>165</v>
      </c>
      <c r="C21" s="11">
        <f>SUMIFS('Raw Data'!$L:$L,'Raw Data'!$B:$B,$B$2,'Raw Data'!$J:$J,C$2,'Raw Data'!$K:$K,"native",'Raw Data'!$H:$H,"Bank",'Raw Data'!$I:$I,"To PSP",'Raw Data'!$M:$M,"JOD",'Raw Data'!$F:$F,"Total Value*")+SUMIFS('Raw Data'!$L:$L,'Raw Data'!$B:$B,$B$2,'Raw Data'!$J:$J,C$2,'Raw Data'!$K:$K,"native",'Raw Data'!$H:$H,"Bank to PSP",'Raw Data'!$I:$I,"",'Raw Data'!$M:$M,"JOD",'Raw Data'!$F:$F,"Value of*")</f>
        <v>169000000</v>
      </c>
      <c r="D21" s="11">
        <f>SUMIFS('Raw Data'!$L:$L,'Raw Data'!$B:$B,$B$2,'Raw Data'!$J:$J,D$2,'Raw Data'!$K:$K,"native",'Raw Data'!$H:$H,"Bank",'Raw Data'!$I:$I,"To PSP",'Raw Data'!$M:$M,"JOD",'Raw Data'!$F:$F,"Total Value*")+SUMIFS('Raw Data'!$L:$L,'Raw Data'!$B:$B,$B$2,'Raw Data'!$J:$J,D$2,'Raw Data'!$K:$K,"native",'Raw Data'!$H:$H,"Bank to PSP",'Raw Data'!$I:$I,"",'Raw Data'!$M:$M,"JOD",'Raw Data'!$F:$F,"Value of*")</f>
        <v>179000000</v>
      </c>
      <c r="E21" s="11">
        <f>SUMIFS('Raw Data'!$L:$L,'Raw Data'!$B:$B,$B$2,'Raw Data'!$J:$J,E$2,'Raw Data'!$K:$K,"native",'Raw Data'!$H:$H,"Bank",'Raw Data'!$I:$I,"To PSP",'Raw Data'!$M:$M,"JOD",'Raw Data'!$F:$F,"Total Value*")+SUMIFS('Raw Data'!$L:$L,'Raw Data'!$B:$B,$B$2,'Raw Data'!$J:$J,E$2,'Raw Data'!$K:$K,"native",'Raw Data'!$H:$H,"Bank to PSP",'Raw Data'!$I:$I,"",'Raw Data'!$M:$M,"JOD",'Raw Data'!$F:$F,"Value of*")</f>
        <v>174000000</v>
      </c>
      <c r="F21" s="11">
        <f>SUMIFS('Raw Data'!$L:$L,'Raw Data'!$B:$B,$B$2,'Raw Data'!$J:$J,F$2,'Raw Data'!$K:$K,"native",'Raw Data'!$H:$H,"Bank",'Raw Data'!$I:$I,"To PSP",'Raw Data'!$M:$M,"JOD",'Raw Data'!$F:$F,"Total Value*")+SUMIFS('Raw Data'!$L:$L,'Raw Data'!$B:$B,$B$2,'Raw Data'!$J:$J,F$2,'Raw Data'!$K:$K,"native",'Raw Data'!$H:$H,"Bank to PSP",'Raw Data'!$I:$I,"",'Raw Data'!$M:$M,"JOD",'Raw Data'!$F:$F,"Value of*")</f>
        <v>189300000</v>
      </c>
      <c r="G21" s="11">
        <f>SUMIFS('Raw Data'!$L:$L,'Raw Data'!$B:$B,$B$2,'Raw Data'!$J:$J,G$2,'Raw Data'!$K:$K,"native",'Raw Data'!$H:$H,"Bank",'Raw Data'!$I:$I,"To PSP",'Raw Data'!$M:$M,"JOD",'Raw Data'!$F:$F,"Total Value*")+SUMIFS('Raw Data'!$L:$L,'Raw Data'!$B:$B,$B$2,'Raw Data'!$J:$J,G$2,'Raw Data'!$K:$K,"native",'Raw Data'!$H:$H,"Bank to PSP",'Raw Data'!$I:$I,"",'Raw Data'!$M:$M,"JOD",'Raw Data'!$F:$F,"Value of*")</f>
        <v>191800000</v>
      </c>
      <c r="H21" s="11">
        <f>SUMIFS('Raw Data'!$L:$L,'Raw Data'!$B:$B,$B$2,'Raw Data'!$J:$J,H$2,'Raw Data'!$K:$K,"native",'Raw Data'!$H:$H,"Bank",'Raw Data'!$I:$I,"To PSP",'Raw Data'!$M:$M,"JOD",'Raw Data'!$F:$F,"Total Value*")+SUMIFS('Raw Data'!$L:$L,'Raw Data'!$B:$B,$B$2,'Raw Data'!$J:$J,H$2,'Raw Data'!$K:$K,"native",'Raw Data'!$H:$H,"Bank to PSP",'Raw Data'!$I:$I,"",'Raw Data'!$M:$M,"JOD",'Raw Data'!$F:$F,"Value of*")</f>
        <v>186700000</v>
      </c>
      <c r="I21" s="11">
        <f>SUMIFS('Raw Data'!$L:$L,'Raw Data'!$B:$B,$B$2,'Raw Data'!$J:$J,I$2,'Raw Data'!$K:$K,"native",'Raw Data'!$H:$H,"Bank",'Raw Data'!$I:$I,"To PSP",'Raw Data'!$M:$M,"JOD",'Raw Data'!$F:$F,"Total Value*")+SUMIFS('Raw Data'!$L:$L,'Raw Data'!$B:$B,$B$2,'Raw Data'!$J:$J,I$2,'Raw Data'!$K:$K,"native",'Raw Data'!$H:$H,"Bank to PSP",'Raw Data'!$I:$I,"",'Raw Data'!$M:$M,"JOD",'Raw Data'!$F:$F,"Value of*")</f>
        <v>265000000</v>
      </c>
      <c r="J21" s="11">
        <f>SUMIFS('Raw Data'!$L:$L,'Raw Data'!$B:$B,$B$2,'Raw Data'!$J:$J,J$2,'Raw Data'!$K:$K,"native",'Raw Data'!$H:$H,"Bank",'Raw Data'!$I:$I,"To PSP",'Raw Data'!$M:$M,"JOD",'Raw Data'!$F:$F,"Total Value*")+SUMIFS('Raw Data'!$L:$L,'Raw Data'!$B:$B,$B$2,'Raw Data'!$J:$J,J$2,'Raw Data'!$K:$K,"native",'Raw Data'!$H:$H,"Bank to PSP",'Raw Data'!$I:$I,"",'Raw Data'!$M:$M,"JOD",'Raw Data'!$F:$F,"Value of*")</f>
        <v>206300000</v>
      </c>
      <c r="K21" s="11">
        <f>SUMIFS('Raw Data'!$L:$L,'Raw Data'!$B:$B,$B$2,'Raw Data'!$J:$J,K$2,'Raw Data'!$K:$K,"native",'Raw Data'!$H:$H,"Bank",'Raw Data'!$I:$I,"To PSP",'Raw Data'!$M:$M,"JOD",'Raw Data'!$F:$F,"Total Value*")+SUMIFS('Raw Data'!$L:$L,'Raw Data'!$B:$B,$B$2,'Raw Data'!$J:$J,K$2,'Raw Data'!$K:$K,"native",'Raw Data'!$H:$H,"Bank to PSP",'Raw Data'!$I:$I,"",'Raw Data'!$M:$M,"JOD",'Raw Data'!$F:$F,"Value of*")</f>
        <v>245300000</v>
      </c>
      <c r="L21" s="11">
        <f>SUMIFS('Raw Data'!$L:$L,'Raw Data'!$B:$B,$B$2,'Raw Data'!$J:$J,L$2,'Raw Data'!$K:$K,"native",'Raw Data'!$H:$H,"Bank",'Raw Data'!$I:$I,"To PSP",'Raw Data'!$M:$M,"JOD",'Raw Data'!$F:$F,"Total Value*")+SUMIFS('Raw Data'!$L:$L,'Raw Data'!$B:$B,$B$2,'Raw Data'!$J:$J,L$2,'Raw Data'!$K:$K,"native",'Raw Data'!$H:$H,"Bank to PSP",'Raw Data'!$I:$I,"",'Raw Data'!$M:$M,"JOD",'Raw Data'!$F:$F,"Value of*")</f>
        <v>269300000</v>
      </c>
      <c r="M21" s="11">
        <f>SUMIFS('Raw Data'!$L:$L,'Raw Data'!$B:$B,$B$2,'Raw Data'!$J:$J,M$2,'Raw Data'!$K:$K,"native",'Raw Data'!$H:$H,"Bank",'Raw Data'!$I:$I,"To PSP",'Raw Data'!$M:$M,"JOD",'Raw Data'!$F:$F,"Total Value*")+SUMIFS('Raw Data'!$L:$L,'Raw Data'!$B:$B,$B$2,'Raw Data'!$J:$J,M$2,'Raw Data'!$K:$K,"native",'Raw Data'!$H:$H,"Bank to PSP",'Raw Data'!$I:$I,"",'Raw Data'!$M:$M,"JOD",'Raw Data'!$F:$F,"Value of*")</f>
        <v>273400000</v>
      </c>
      <c r="N21" s="11">
        <f>SUMIFS('Raw Data'!$L:$L,'Raw Data'!$B:$B,$B$2,'Raw Data'!$J:$J,N$2,'Raw Data'!$K:$K,"native",'Raw Data'!$H:$H,"Bank",'Raw Data'!$I:$I,"To PSP",'Raw Data'!$M:$M,"JOD",'Raw Data'!$F:$F,"Total Value*")+SUMIFS('Raw Data'!$L:$L,'Raw Data'!$B:$B,$B$2,'Raw Data'!$J:$J,N$2,'Raw Data'!$K:$K,"native",'Raw Data'!$H:$H,"Bank to PSP",'Raw Data'!$I:$I,"",'Raw Data'!$M:$M,"JOD",'Raw Data'!$F:$F,"Value of*")</f>
        <v>274400000</v>
      </c>
      <c r="O21" s="11">
        <f>SUMIFS('Raw Data'!$L:$L,'Raw Data'!$B:$B,$B$2,'Raw Data'!$J:$J,O$2,'Raw Data'!$K:$K,"native",'Raw Data'!$H:$H,"Bank",'Raw Data'!$I:$I,"To PSP",'Raw Data'!$M:$M,"JOD",'Raw Data'!$F:$F,"Total Value*")+SUMIFS('Raw Data'!$L:$L,'Raw Data'!$B:$B,$B$2,'Raw Data'!$J:$J,O$2,'Raw Data'!$K:$K,"native",'Raw Data'!$H:$H,"Bank to PSP",'Raw Data'!$I:$I,"",'Raw Data'!$M:$M,"JOD",'Raw Data'!$F:$F,"Value of*")</f>
        <v>270800000</v>
      </c>
      <c r="P21" s="11">
        <f>SUMIFS('Raw Data'!$L:$L,'Raw Data'!$B:$B,$B$2,'Raw Data'!$J:$J,P$2,'Raw Data'!$K:$K,"native",'Raw Data'!$H:$H,"Bank",'Raw Data'!$I:$I,"To PSP",'Raw Data'!$M:$M,"JOD",'Raw Data'!$F:$F,"Total Value*")+SUMIFS('Raw Data'!$L:$L,'Raw Data'!$B:$B,$B$2,'Raw Data'!$J:$J,P$2,'Raw Data'!$K:$K,"native",'Raw Data'!$H:$H,"Bank to PSP",'Raw Data'!$I:$I,"",'Raw Data'!$M:$M,"JOD",'Raw Data'!$F:$F,"Value of*")</f>
        <v>274700000</v>
      </c>
      <c r="Q21" s="11">
        <f>SUMIFS('Raw Data'!$L:$L,'Raw Data'!$B:$B,$B$2,'Raw Data'!$J:$J,Q$2,'Raw Data'!$K:$K,"native",'Raw Data'!$H:$H,"Bank",'Raw Data'!$I:$I,"To PSP",'Raw Data'!$M:$M,"JOD",'Raw Data'!$F:$F,"Total Value*")+SUMIFS('Raw Data'!$L:$L,'Raw Data'!$B:$B,$B$2,'Raw Data'!$J:$J,Q$2,'Raw Data'!$K:$K,"native",'Raw Data'!$H:$H,"Bank to PSP",'Raw Data'!$I:$I,"",'Raw Data'!$M:$M,"JOD",'Raw Data'!$F:$F,"Value of*")</f>
        <v>262900000</v>
      </c>
      <c r="R21" s="11">
        <f>SUMIFS('Raw Data'!$L:$L,'Raw Data'!$B:$B,$B$2,'Raw Data'!$J:$J,R$2,'Raw Data'!$K:$K,"native",'Raw Data'!$H:$H,"Bank",'Raw Data'!$I:$I,"To PSP",'Raw Data'!$M:$M,"JOD",'Raw Data'!$F:$F,"Total Value*")+SUMIFS('Raw Data'!$L:$L,'Raw Data'!$B:$B,$B$2,'Raw Data'!$J:$J,R$2,'Raw Data'!$K:$K,"native",'Raw Data'!$H:$H,"Bank to PSP",'Raw Data'!$I:$I,"",'Raw Data'!$M:$M,"JOD",'Raw Data'!$F:$F,"Value of*")</f>
        <v>278200000</v>
      </c>
      <c r="S21" s="11">
        <f>SUMIFS('Raw Data'!$L:$L,'Raw Data'!$B:$B,$B$2,'Raw Data'!$J:$J,S$2,'Raw Data'!$K:$K,"native",'Raw Data'!$H:$H,"Bank",'Raw Data'!$I:$I,"To PSP",'Raw Data'!$M:$M,"JOD",'Raw Data'!$F:$F,"Total Value*")+SUMIFS('Raw Data'!$L:$L,'Raw Data'!$B:$B,$B$2,'Raw Data'!$J:$J,S$2,'Raw Data'!$K:$K,"native",'Raw Data'!$H:$H,"Bank to PSP",'Raw Data'!$I:$I,"",'Raw Data'!$M:$M,"JOD",'Raw Data'!$F:$F,"Value of*")</f>
        <v>274700000</v>
      </c>
      <c r="T21" s="11">
        <f>SUMIFS('Raw Data'!$L:$L,'Raw Data'!$B:$B,$B$2,'Raw Data'!$J:$J,T$2,'Raw Data'!$K:$K,"native",'Raw Data'!$H:$H,"Bank",'Raw Data'!$I:$I,"To PSP",'Raw Data'!$M:$M,"JOD",'Raw Data'!$F:$F,"Total Value*")+SUMIFS('Raw Data'!$L:$L,'Raw Data'!$B:$B,$B$2,'Raw Data'!$J:$J,T$2,'Raw Data'!$K:$K,"native",'Raw Data'!$H:$H,"Bank to PSP",'Raw Data'!$I:$I,"",'Raw Data'!$M:$M,"JOD",'Raw Data'!$F:$F,"Value of*")</f>
        <v>269600000</v>
      </c>
      <c r="U21" s="11">
        <f>SUMIFS('Raw Data'!$L:$L,'Raw Data'!$B:$B,$B$2,'Raw Data'!$J:$J,U$2,'Raw Data'!$K:$K,"native",'Raw Data'!$H:$H,"Bank",'Raw Data'!$I:$I,"To PSP",'Raw Data'!$M:$M,"JOD",'Raw Data'!$F:$F,"Total Value*")+SUMIFS('Raw Data'!$L:$L,'Raw Data'!$B:$B,$B$2,'Raw Data'!$J:$J,U$2,'Raw Data'!$K:$K,"native",'Raw Data'!$H:$H,"Bank to PSP",'Raw Data'!$I:$I,"",'Raw Data'!$M:$M,"JOD",'Raw Data'!$F:$F,"Value of*")</f>
        <v>301700000</v>
      </c>
      <c r="V21" s="11">
        <f>SUMIFS('Raw Data'!$L:$L,'Raw Data'!$B:$B,$B$2,'Raw Data'!$J:$J,V$2,'Raw Data'!$K:$K,"native",'Raw Data'!$H:$H,"Bank",'Raw Data'!$I:$I,"To PSP",'Raw Data'!$M:$M,"JOD",'Raw Data'!$F:$F,"Total Value*")+SUMIFS('Raw Data'!$L:$L,'Raw Data'!$B:$B,$B$2,'Raw Data'!$J:$J,V$2,'Raw Data'!$K:$K,"native",'Raw Data'!$H:$H,"Bank to PSP",'Raw Data'!$I:$I,"",'Raw Data'!$M:$M,"JOD",'Raw Data'!$F:$F,"Value of*")</f>
        <v>288700000</v>
      </c>
      <c r="W21" s="11">
        <f>SUMIFS('Raw Data'!$L:$L,'Raw Data'!$B:$B,$B$2,'Raw Data'!$J:$J,W$2,'Raw Data'!$K:$K,"native",'Raw Data'!$H:$H,"Bank",'Raw Data'!$I:$I,"To PSP",'Raw Data'!$M:$M,"JOD",'Raw Data'!$F:$F,"Total Value*")+SUMIFS('Raw Data'!$L:$L,'Raw Data'!$B:$B,$B$2,'Raw Data'!$J:$J,W$2,'Raw Data'!$K:$K,"native",'Raw Data'!$H:$H,"Bank to PSP",'Raw Data'!$I:$I,"",'Raw Data'!$M:$M,"JOD",'Raw Data'!$F:$F,"Value of*")</f>
        <v>333500000</v>
      </c>
      <c r="X21" s="11">
        <f>SUMIFS('Raw Data'!$L:$L,'Raw Data'!$B:$B,$B$2,'Raw Data'!$J:$J,X$2,'Raw Data'!$K:$K,"native",'Raw Data'!$H:$H,"Bank",'Raw Data'!$I:$I,"To PSP",'Raw Data'!$M:$M,"JOD",'Raw Data'!$F:$F,"Total Value*")+SUMIFS('Raw Data'!$L:$L,'Raw Data'!$B:$B,$B$2,'Raw Data'!$J:$J,X$2,'Raw Data'!$K:$K,"native",'Raw Data'!$H:$H,"Bank to PSP",'Raw Data'!$I:$I,"",'Raw Data'!$M:$M,"JOD",'Raw Data'!$F:$F,"Value of*")</f>
        <v>326600000</v>
      </c>
      <c r="Y21" s="11">
        <f>SUMIFS('Raw Data'!$L:$L,'Raw Data'!$B:$B,$B$2,'Raw Data'!$J:$J,Y$2,'Raw Data'!$K:$K,"native",'Raw Data'!$H:$H,"Bank",'Raw Data'!$I:$I,"To PSP",'Raw Data'!$M:$M,"JOD",'Raw Data'!$F:$F,"Total Value*")+SUMIFS('Raw Data'!$L:$L,'Raw Data'!$B:$B,$B$2,'Raw Data'!$J:$J,Y$2,'Raw Data'!$K:$K,"native",'Raw Data'!$H:$H,"Bank to PSP",'Raw Data'!$I:$I,"",'Raw Data'!$M:$M,"JOD",'Raw Data'!$F:$F,"Value of*")</f>
        <v>366500000</v>
      </c>
      <c r="Z21" s="11">
        <f>SUMIFS('Raw Data'!$L:$L,'Raw Data'!$B:$B,$B$2,'Raw Data'!$J:$J,Z$2,'Raw Data'!$K:$K,"native",'Raw Data'!$H:$H,"Bank",'Raw Data'!$I:$I,"To PSP",'Raw Data'!$M:$M,"JOD",'Raw Data'!$F:$F,"Total Value*")+SUMIFS('Raw Data'!$L:$L,'Raw Data'!$B:$B,$B$2,'Raw Data'!$J:$J,Z$2,'Raw Data'!$K:$K,"native",'Raw Data'!$H:$H,"Bank to PSP",'Raw Data'!$I:$I,"",'Raw Data'!$M:$M,"JOD",'Raw Data'!$F:$F,"Value of*")</f>
        <v>378630000</v>
      </c>
    </row>
    <row r="22" spans="1:26" x14ac:dyDescent="0.25">
      <c r="A22" s="10" t="s">
        <v>82</v>
      </c>
      <c r="B22" s="10" t="s">
        <v>166</v>
      </c>
      <c r="C22" s="11">
        <f>SUMIFS('Raw Data'!$L:$L,'Raw Data'!$B:$B,$B$2,'Raw Data'!$J:$J,C$2,'Raw Data'!$K:$K,"native",'Raw Data'!$H:$H,"PSP",'Raw Data'!$I:$I,"To Bank",'Raw Data'!$M:$M,"JOD",'Raw Data'!$F:$F,"Total Value*")+SUMIFS('Raw Data'!$L:$L,'Raw Data'!$B:$B,$B$2,'Raw Data'!$J:$J,C$2,'Raw Data'!$K:$K,"native",'Raw Data'!$H:$H,"PSP to Bank",'Raw Data'!$I:$I,"",'Raw Data'!$M:$M,"JOD",'Raw Data'!$F:$F,"Value of*")</f>
        <v>206000000</v>
      </c>
      <c r="D22" s="11">
        <f>SUMIFS('Raw Data'!$L:$L,'Raw Data'!$B:$B,$B$2,'Raw Data'!$J:$J,D$2,'Raw Data'!$K:$K,"native",'Raw Data'!$H:$H,"PSP",'Raw Data'!$I:$I,"To Bank",'Raw Data'!$M:$M,"JOD",'Raw Data'!$F:$F,"Total Value*")+SUMIFS('Raw Data'!$L:$L,'Raw Data'!$B:$B,$B$2,'Raw Data'!$J:$J,D$2,'Raw Data'!$K:$K,"native",'Raw Data'!$H:$H,"PSP to Bank",'Raw Data'!$I:$I,"",'Raw Data'!$M:$M,"JOD",'Raw Data'!$F:$F,"Value of*")</f>
        <v>222000000</v>
      </c>
      <c r="E22" s="11">
        <f>SUMIFS('Raw Data'!$L:$L,'Raw Data'!$B:$B,$B$2,'Raw Data'!$J:$J,E$2,'Raw Data'!$K:$K,"native",'Raw Data'!$H:$H,"PSP",'Raw Data'!$I:$I,"To Bank",'Raw Data'!$M:$M,"JOD",'Raw Data'!$F:$F,"Total Value*")+SUMIFS('Raw Data'!$L:$L,'Raw Data'!$B:$B,$B$2,'Raw Data'!$J:$J,E$2,'Raw Data'!$K:$K,"native",'Raw Data'!$H:$H,"PSP to Bank",'Raw Data'!$I:$I,"",'Raw Data'!$M:$M,"JOD",'Raw Data'!$F:$F,"Value of*")</f>
        <v>215000000</v>
      </c>
      <c r="F22" s="11">
        <f>SUMIFS('Raw Data'!$L:$L,'Raw Data'!$B:$B,$B$2,'Raw Data'!$J:$J,F$2,'Raw Data'!$K:$K,"native",'Raw Data'!$H:$H,"PSP",'Raw Data'!$I:$I,"To Bank",'Raw Data'!$M:$M,"JOD",'Raw Data'!$F:$F,"Total Value*")+SUMIFS('Raw Data'!$L:$L,'Raw Data'!$B:$B,$B$2,'Raw Data'!$J:$J,F$2,'Raw Data'!$K:$K,"native",'Raw Data'!$H:$H,"PSP to Bank",'Raw Data'!$I:$I,"",'Raw Data'!$M:$M,"JOD",'Raw Data'!$F:$F,"Value of*")</f>
        <v>234200000</v>
      </c>
      <c r="G22" s="11">
        <f>SUMIFS('Raw Data'!$L:$L,'Raw Data'!$B:$B,$B$2,'Raw Data'!$J:$J,G$2,'Raw Data'!$K:$K,"native",'Raw Data'!$H:$H,"PSP",'Raw Data'!$I:$I,"To Bank",'Raw Data'!$M:$M,"JOD",'Raw Data'!$F:$F,"Total Value*")+SUMIFS('Raw Data'!$L:$L,'Raw Data'!$B:$B,$B$2,'Raw Data'!$J:$J,G$2,'Raw Data'!$K:$K,"native",'Raw Data'!$H:$H,"PSP to Bank",'Raw Data'!$I:$I,"",'Raw Data'!$M:$M,"JOD",'Raw Data'!$F:$F,"Value of*")</f>
        <v>229300000</v>
      </c>
      <c r="H22" s="11">
        <f>SUMIFS('Raw Data'!$L:$L,'Raw Data'!$B:$B,$B$2,'Raw Data'!$J:$J,H$2,'Raw Data'!$K:$K,"native",'Raw Data'!$H:$H,"PSP",'Raw Data'!$I:$I,"To Bank",'Raw Data'!$M:$M,"JOD",'Raw Data'!$F:$F,"Total Value*")+SUMIFS('Raw Data'!$L:$L,'Raw Data'!$B:$B,$B$2,'Raw Data'!$J:$J,H$2,'Raw Data'!$K:$K,"native",'Raw Data'!$H:$H,"PSP to Bank",'Raw Data'!$I:$I,"",'Raw Data'!$M:$M,"JOD",'Raw Data'!$F:$F,"Value of*")</f>
        <v>215300000</v>
      </c>
      <c r="I22" s="11">
        <f>SUMIFS('Raw Data'!$L:$L,'Raw Data'!$B:$B,$B$2,'Raw Data'!$J:$J,I$2,'Raw Data'!$K:$K,"native",'Raw Data'!$H:$H,"PSP",'Raw Data'!$I:$I,"To Bank",'Raw Data'!$M:$M,"JOD",'Raw Data'!$F:$F,"Total Value*")+SUMIFS('Raw Data'!$L:$L,'Raw Data'!$B:$B,$B$2,'Raw Data'!$J:$J,I$2,'Raw Data'!$K:$K,"native",'Raw Data'!$H:$H,"PSP to Bank",'Raw Data'!$I:$I,"",'Raw Data'!$M:$M,"JOD",'Raw Data'!$F:$F,"Value of*")</f>
        <v>230700000</v>
      </c>
      <c r="J22" s="11">
        <f>SUMIFS('Raw Data'!$L:$L,'Raw Data'!$B:$B,$B$2,'Raw Data'!$J:$J,J$2,'Raw Data'!$K:$K,"native",'Raw Data'!$H:$H,"PSP",'Raw Data'!$I:$I,"To Bank",'Raw Data'!$M:$M,"JOD",'Raw Data'!$F:$F,"Total Value*")+SUMIFS('Raw Data'!$L:$L,'Raw Data'!$B:$B,$B$2,'Raw Data'!$J:$J,J$2,'Raw Data'!$K:$K,"native",'Raw Data'!$H:$H,"PSP to Bank",'Raw Data'!$I:$I,"",'Raw Data'!$M:$M,"JOD",'Raw Data'!$F:$F,"Value of*")</f>
        <v>238900000</v>
      </c>
      <c r="K22" s="11">
        <f>SUMIFS('Raw Data'!$L:$L,'Raw Data'!$B:$B,$B$2,'Raw Data'!$J:$J,K$2,'Raw Data'!$K:$K,"native",'Raw Data'!$H:$H,"PSP",'Raw Data'!$I:$I,"To Bank",'Raw Data'!$M:$M,"JOD",'Raw Data'!$F:$F,"Total Value*")+SUMIFS('Raw Data'!$L:$L,'Raw Data'!$B:$B,$B$2,'Raw Data'!$J:$J,K$2,'Raw Data'!$K:$K,"native",'Raw Data'!$H:$H,"PSP to Bank",'Raw Data'!$I:$I,"",'Raw Data'!$M:$M,"JOD",'Raw Data'!$F:$F,"Value of*")</f>
        <v>276400000</v>
      </c>
      <c r="L22" s="11">
        <f>SUMIFS('Raw Data'!$L:$L,'Raw Data'!$B:$B,$B$2,'Raw Data'!$J:$J,L$2,'Raw Data'!$K:$K,"native",'Raw Data'!$H:$H,"PSP",'Raw Data'!$I:$I,"To Bank",'Raw Data'!$M:$M,"JOD",'Raw Data'!$F:$F,"Total Value*")+SUMIFS('Raw Data'!$L:$L,'Raw Data'!$B:$B,$B$2,'Raw Data'!$J:$J,L$2,'Raw Data'!$K:$K,"native",'Raw Data'!$H:$H,"PSP to Bank",'Raw Data'!$I:$I,"",'Raw Data'!$M:$M,"JOD",'Raw Data'!$F:$F,"Value of*")</f>
        <v>236500000</v>
      </c>
      <c r="M22" s="11">
        <f>SUMIFS('Raw Data'!$L:$L,'Raw Data'!$B:$B,$B$2,'Raw Data'!$J:$J,M$2,'Raw Data'!$K:$K,"native",'Raw Data'!$H:$H,"PSP",'Raw Data'!$I:$I,"To Bank",'Raw Data'!$M:$M,"JOD",'Raw Data'!$F:$F,"Total Value*")+SUMIFS('Raw Data'!$L:$L,'Raw Data'!$B:$B,$B$2,'Raw Data'!$J:$J,M$2,'Raw Data'!$K:$K,"native",'Raw Data'!$H:$H,"PSP to Bank",'Raw Data'!$I:$I,"",'Raw Data'!$M:$M,"JOD",'Raw Data'!$F:$F,"Value of*")</f>
        <v>303900000</v>
      </c>
      <c r="N22" s="11">
        <f>SUMIFS('Raw Data'!$L:$L,'Raw Data'!$B:$B,$B$2,'Raw Data'!$J:$J,N$2,'Raw Data'!$K:$K,"native",'Raw Data'!$H:$H,"PSP",'Raw Data'!$I:$I,"To Bank",'Raw Data'!$M:$M,"JOD",'Raw Data'!$F:$F,"Total Value*")+SUMIFS('Raw Data'!$L:$L,'Raw Data'!$B:$B,$B$2,'Raw Data'!$J:$J,N$2,'Raw Data'!$K:$K,"native",'Raw Data'!$H:$H,"PSP to Bank",'Raw Data'!$I:$I,"",'Raw Data'!$M:$M,"JOD",'Raw Data'!$F:$F,"Value of*")</f>
        <v>298700000</v>
      </c>
      <c r="O22" s="11">
        <f>SUMIFS('Raw Data'!$L:$L,'Raw Data'!$B:$B,$B$2,'Raw Data'!$J:$J,O$2,'Raw Data'!$K:$K,"native",'Raw Data'!$H:$H,"PSP",'Raw Data'!$I:$I,"To Bank",'Raw Data'!$M:$M,"JOD",'Raw Data'!$F:$F,"Total Value*")+SUMIFS('Raw Data'!$L:$L,'Raw Data'!$B:$B,$B$2,'Raw Data'!$J:$J,O$2,'Raw Data'!$K:$K,"native",'Raw Data'!$H:$H,"PSP to Bank",'Raw Data'!$I:$I,"",'Raw Data'!$M:$M,"JOD",'Raw Data'!$F:$F,"Value of*")</f>
        <v>290200000</v>
      </c>
      <c r="P22" s="11">
        <f>SUMIFS('Raw Data'!$L:$L,'Raw Data'!$B:$B,$B$2,'Raw Data'!$J:$J,P$2,'Raw Data'!$K:$K,"native",'Raw Data'!$H:$H,"PSP",'Raw Data'!$I:$I,"To Bank",'Raw Data'!$M:$M,"JOD",'Raw Data'!$F:$F,"Total Value*")+SUMIFS('Raw Data'!$L:$L,'Raw Data'!$B:$B,$B$2,'Raw Data'!$J:$J,P$2,'Raw Data'!$K:$K,"native",'Raw Data'!$H:$H,"PSP to Bank",'Raw Data'!$I:$I,"",'Raw Data'!$M:$M,"JOD",'Raw Data'!$F:$F,"Value of*")</f>
        <v>290000000</v>
      </c>
      <c r="Q22" s="11">
        <f>SUMIFS('Raw Data'!$L:$L,'Raw Data'!$B:$B,$B$2,'Raw Data'!$J:$J,Q$2,'Raw Data'!$K:$K,"native",'Raw Data'!$H:$H,"PSP",'Raw Data'!$I:$I,"To Bank",'Raw Data'!$M:$M,"JOD",'Raw Data'!$F:$F,"Total Value*")+SUMIFS('Raw Data'!$L:$L,'Raw Data'!$B:$B,$B$2,'Raw Data'!$J:$J,Q$2,'Raw Data'!$K:$K,"native",'Raw Data'!$H:$H,"PSP to Bank",'Raw Data'!$I:$I,"",'Raw Data'!$M:$M,"JOD",'Raw Data'!$F:$F,"Value of*")</f>
        <v>279200000</v>
      </c>
      <c r="R22" s="11">
        <f>SUMIFS('Raw Data'!$L:$L,'Raw Data'!$B:$B,$B$2,'Raw Data'!$J:$J,R$2,'Raw Data'!$K:$K,"native",'Raw Data'!$H:$H,"PSP",'Raw Data'!$I:$I,"To Bank",'Raw Data'!$M:$M,"JOD",'Raw Data'!$F:$F,"Total Value*")+SUMIFS('Raw Data'!$L:$L,'Raw Data'!$B:$B,$B$2,'Raw Data'!$J:$J,R$2,'Raw Data'!$K:$K,"native",'Raw Data'!$H:$H,"PSP to Bank",'Raw Data'!$I:$I,"",'Raw Data'!$M:$M,"JOD",'Raw Data'!$F:$F,"Value of*")</f>
        <v>298600000</v>
      </c>
      <c r="S22" s="11">
        <f>SUMIFS('Raw Data'!$L:$L,'Raw Data'!$B:$B,$B$2,'Raw Data'!$J:$J,S$2,'Raw Data'!$K:$K,"native",'Raw Data'!$H:$H,"PSP",'Raw Data'!$I:$I,"To Bank",'Raw Data'!$M:$M,"JOD",'Raw Data'!$F:$F,"Total Value*")+SUMIFS('Raw Data'!$L:$L,'Raw Data'!$B:$B,$B$2,'Raw Data'!$J:$J,S$2,'Raw Data'!$K:$K,"native",'Raw Data'!$H:$H,"PSP to Bank",'Raw Data'!$I:$I,"",'Raw Data'!$M:$M,"JOD",'Raw Data'!$F:$F,"Value of*")</f>
        <v>297100000</v>
      </c>
      <c r="T22" s="11">
        <f>SUMIFS('Raw Data'!$L:$L,'Raw Data'!$B:$B,$B$2,'Raw Data'!$J:$J,T$2,'Raw Data'!$K:$K,"native",'Raw Data'!$H:$H,"PSP",'Raw Data'!$I:$I,"To Bank",'Raw Data'!$M:$M,"JOD",'Raw Data'!$F:$F,"Total Value*")+SUMIFS('Raw Data'!$L:$L,'Raw Data'!$B:$B,$B$2,'Raw Data'!$J:$J,T$2,'Raw Data'!$K:$K,"native",'Raw Data'!$H:$H,"PSP to Bank",'Raw Data'!$I:$I,"",'Raw Data'!$M:$M,"JOD",'Raw Data'!$F:$F,"Value of*")</f>
        <v>277700000</v>
      </c>
      <c r="U22" s="11">
        <f>SUMIFS('Raw Data'!$L:$L,'Raw Data'!$B:$B,$B$2,'Raw Data'!$J:$J,U$2,'Raw Data'!$K:$K,"native",'Raw Data'!$H:$H,"PSP",'Raw Data'!$I:$I,"To Bank",'Raw Data'!$M:$M,"JOD",'Raw Data'!$F:$F,"Total Value*")+SUMIFS('Raw Data'!$L:$L,'Raw Data'!$B:$B,$B$2,'Raw Data'!$J:$J,U$2,'Raw Data'!$K:$K,"native",'Raw Data'!$H:$H,"PSP to Bank",'Raw Data'!$I:$I,"",'Raw Data'!$M:$M,"JOD",'Raw Data'!$F:$F,"Value of*")</f>
        <v>328300000</v>
      </c>
      <c r="V22" s="11">
        <f>SUMIFS('Raw Data'!$L:$L,'Raw Data'!$B:$B,$B$2,'Raw Data'!$J:$J,V$2,'Raw Data'!$K:$K,"native",'Raw Data'!$H:$H,"PSP",'Raw Data'!$I:$I,"To Bank",'Raw Data'!$M:$M,"JOD",'Raw Data'!$F:$F,"Total Value*")+SUMIFS('Raw Data'!$L:$L,'Raw Data'!$B:$B,$B$2,'Raw Data'!$J:$J,V$2,'Raw Data'!$K:$K,"native",'Raw Data'!$H:$H,"PSP to Bank",'Raw Data'!$I:$I,"",'Raw Data'!$M:$M,"JOD",'Raw Data'!$F:$F,"Value of*")</f>
        <v>304300000</v>
      </c>
      <c r="W22" s="11">
        <f>SUMIFS('Raw Data'!$L:$L,'Raw Data'!$B:$B,$B$2,'Raw Data'!$J:$J,W$2,'Raw Data'!$K:$K,"native",'Raw Data'!$H:$H,"PSP",'Raw Data'!$I:$I,"To Bank",'Raw Data'!$M:$M,"JOD",'Raw Data'!$F:$F,"Total Value*")+SUMIFS('Raw Data'!$L:$L,'Raw Data'!$B:$B,$B$2,'Raw Data'!$J:$J,W$2,'Raw Data'!$K:$K,"native",'Raw Data'!$H:$H,"PSP to Bank",'Raw Data'!$I:$I,"",'Raw Data'!$M:$M,"JOD",'Raw Data'!$F:$F,"Value of*")</f>
        <v>355000000</v>
      </c>
      <c r="X22" s="11">
        <f>SUMIFS('Raw Data'!$L:$L,'Raw Data'!$B:$B,$B$2,'Raw Data'!$J:$J,X$2,'Raw Data'!$K:$K,"native",'Raw Data'!$H:$H,"PSP",'Raw Data'!$I:$I,"To Bank",'Raw Data'!$M:$M,"JOD",'Raw Data'!$F:$F,"Total Value*")+SUMIFS('Raw Data'!$L:$L,'Raw Data'!$B:$B,$B$2,'Raw Data'!$J:$J,X$2,'Raw Data'!$K:$K,"native",'Raw Data'!$H:$H,"PSP to Bank",'Raw Data'!$I:$I,"",'Raw Data'!$M:$M,"JOD",'Raw Data'!$F:$F,"Value of*")</f>
        <v>349400000</v>
      </c>
      <c r="Y22" s="11">
        <f>SUMIFS('Raw Data'!$L:$L,'Raw Data'!$B:$B,$B$2,'Raw Data'!$J:$J,Y$2,'Raw Data'!$K:$K,"native",'Raw Data'!$H:$H,"PSP",'Raw Data'!$I:$I,"To Bank",'Raw Data'!$M:$M,"JOD",'Raw Data'!$F:$F,"Total Value*")+SUMIFS('Raw Data'!$L:$L,'Raw Data'!$B:$B,$B$2,'Raw Data'!$J:$J,Y$2,'Raw Data'!$K:$K,"native",'Raw Data'!$H:$H,"PSP to Bank",'Raw Data'!$I:$I,"",'Raw Data'!$M:$M,"JOD",'Raw Data'!$F:$F,"Value of*")</f>
        <v>385200000</v>
      </c>
      <c r="Z22" s="11">
        <f>SUMIFS('Raw Data'!$L:$L,'Raw Data'!$B:$B,$B$2,'Raw Data'!$J:$J,Z$2,'Raw Data'!$K:$K,"native",'Raw Data'!$H:$H,"PSP",'Raw Data'!$I:$I,"To Bank",'Raw Data'!$M:$M,"JOD",'Raw Data'!$F:$F,"Total Value*")+SUMIFS('Raw Data'!$L:$L,'Raw Data'!$B:$B,$B$2,'Raw Data'!$J:$J,Z$2,'Raw Data'!$K:$K,"native",'Raw Data'!$H:$H,"PSP to Bank",'Raw Data'!$I:$I,"",'Raw Data'!$M:$M,"JOD",'Raw Data'!$F:$F,"Value of*")</f>
        <v>396190000</v>
      </c>
    </row>
    <row r="23" spans="1:26" x14ac:dyDescent="0.25">
      <c r="A23" s="10" t="s">
        <v>82</v>
      </c>
      <c r="B23" s="10" t="s">
        <v>167</v>
      </c>
      <c r="C23" s="11">
        <f>SUMIFS('Raw Data'!$L:$L,'Raw Data'!$B:$B,$B$2,'Raw Data'!$J:$J,C$2,'Raw Data'!$K:$K,"native",'Raw Data'!$H:$H,"PSP",'Raw Data'!$I:$I,"To PSP",'Raw Data'!$M:$M,"JOD",'Raw Data'!$F:$F,"Total Value*")+SUMIFS('Raw Data'!$L:$L,'Raw Data'!$B:$B,$B$2,'Raw Data'!$J:$J,C$2,'Raw Data'!$K:$K,"native",'Raw Data'!$H:$H,"PSP to PSP",'Raw Data'!$I:$I,"",'Raw Data'!$M:$M,"JOD",'Raw Data'!$F:$F,"Value of*")</f>
        <v>230000000</v>
      </c>
      <c r="D23" s="11">
        <f>SUMIFS('Raw Data'!$L:$L,'Raw Data'!$B:$B,$B$2,'Raw Data'!$J:$J,D$2,'Raw Data'!$K:$K,"native",'Raw Data'!$H:$H,"PSP",'Raw Data'!$I:$I,"To PSP",'Raw Data'!$M:$M,"JOD",'Raw Data'!$F:$F,"Total Value*")+SUMIFS('Raw Data'!$L:$L,'Raw Data'!$B:$B,$B$2,'Raw Data'!$J:$J,D$2,'Raw Data'!$K:$K,"native",'Raw Data'!$H:$H,"PSP to PSP",'Raw Data'!$I:$I,"",'Raw Data'!$M:$M,"JOD",'Raw Data'!$F:$F,"Value of*")</f>
        <v>233000000</v>
      </c>
      <c r="E23" s="11">
        <f>SUMIFS('Raw Data'!$L:$L,'Raw Data'!$B:$B,$B$2,'Raw Data'!$J:$J,E$2,'Raw Data'!$K:$K,"native",'Raw Data'!$H:$H,"PSP",'Raw Data'!$I:$I,"To PSP",'Raw Data'!$M:$M,"JOD",'Raw Data'!$F:$F,"Total Value*")+SUMIFS('Raw Data'!$L:$L,'Raw Data'!$B:$B,$B$2,'Raw Data'!$J:$J,E$2,'Raw Data'!$K:$K,"native",'Raw Data'!$H:$H,"PSP to PSP",'Raw Data'!$I:$I,"",'Raw Data'!$M:$M,"JOD",'Raw Data'!$F:$F,"Value of*")</f>
        <v>218000000</v>
      </c>
      <c r="F23" s="11">
        <f>SUMIFS('Raw Data'!$L:$L,'Raw Data'!$B:$B,$B$2,'Raw Data'!$J:$J,F$2,'Raw Data'!$K:$K,"native",'Raw Data'!$H:$H,"PSP",'Raw Data'!$I:$I,"To PSP",'Raw Data'!$M:$M,"JOD",'Raw Data'!$F:$F,"Total Value*")+SUMIFS('Raw Data'!$L:$L,'Raw Data'!$B:$B,$B$2,'Raw Data'!$J:$J,F$2,'Raw Data'!$K:$K,"native",'Raw Data'!$H:$H,"PSP to PSP",'Raw Data'!$I:$I,"",'Raw Data'!$M:$M,"JOD",'Raw Data'!$F:$F,"Value of*")</f>
        <v>247000000</v>
      </c>
      <c r="G23" s="11">
        <f>SUMIFS('Raw Data'!$L:$L,'Raw Data'!$B:$B,$B$2,'Raw Data'!$J:$J,G$2,'Raw Data'!$K:$K,"native",'Raw Data'!$H:$H,"PSP",'Raw Data'!$I:$I,"To PSP",'Raw Data'!$M:$M,"JOD",'Raw Data'!$F:$F,"Total Value*")+SUMIFS('Raw Data'!$L:$L,'Raw Data'!$B:$B,$B$2,'Raw Data'!$J:$J,G$2,'Raw Data'!$K:$K,"native",'Raw Data'!$H:$H,"PSP to PSP",'Raw Data'!$I:$I,"",'Raw Data'!$M:$M,"JOD",'Raw Data'!$F:$F,"Value of*")</f>
        <v>237900000</v>
      </c>
      <c r="H23" s="11">
        <f>SUMIFS('Raw Data'!$L:$L,'Raw Data'!$B:$B,$B$2,'Raw Data'!$J:$J,H$2,'Raw Data'!$K:$K,"native",'Raw Data'!$H:$H,"PSP",'Raw Data'!$I:$I,"To PSP",'Raw Data'!$M:$M,"JOD",'Raw Data'!$F:$F,"Total Value*")+SUMIFS('Raw Data'!$L:$L,'Raw Data'!$B:$B,$B$2,'Raw Data'!$J:$J,H$2,'Raw Data'!$K:$K,"native",'Raw Data'!$H:$H,"PSP to PSP",'Raw Data'!$I:$I,"",'Raw Data'!$M:$M,"JOD",'Raw Data'!$F:$F,"Value of*")</f>
        <v>214200000</v>
      </c>
      <c r="I23" s="11">
        <f>SUMIFS('Raw Data'!$L:$L,'Raw Data'!$B:$B,$B$2,'Raw Data'!$J:$J,I$2,'Raw Data'!$K:$K,"native",'Raw Data'!$H:$H,"PSP",'Raw Data'!$I:$I,"To PSP",'Raw Data'!$M:$M,"JOD",'Raw Data'!$F:$F,"Total Value*")+SUMIFS('Raw Data'!$L:$L,'Raw Data'!$B:$B,$B$2,'Raw Data'!$J:$J,I$2,'Raw Data'!$K:$K,"native",'Raw Data'!$H:$H,"PSP to PSP",'Raw Data'!$I:$I,"",'Raw Data'!$M:$M,"JOD",'Raw Data'!$F:$F,"Value of*")</f>
        <v>271500000</v>
      </c>
      <c r="J23" s="11">
        <f>SUMIFS('Raw Data'!$L:$L,'Raw Data'!$B:$B,$B$2,'Raw Data'!$J:$J,J$2,'Raw Data'!$K:$K,"native",'Raw Data'!$H:$H,"PSP",'Raw Data'!$I:$I,"To PSP",'Raw Data'!$M:$M,"JOD",'Raw Data'!$F:$F,"Total Value*")+SUMIFS('Raw Data'!$L:$L,'Raw Data'!$B:$B,$B$2,'Raw Data'!$J:$J,J$2,'Raw Data'!$K:$K,"native",'Raw Data'!$H:$H,"PSP to PSP",'Raw Data'!$I:$I,"",'Raw Data'!$M:$M,"JOD",'Raw Data'!$F:$F,"Value of*")</f>
        <v>229000000</v>
      </c>
      <c r="K23" s="11">
        <f>SUMIFS('Raw Data'!$L:$L,'Raw Data'!$B:$B,$B$2,'Raw Data'!$J:$J,K$2,'Raw Data'!$K:$K,"native",'Raw Data'!$H:$H,"PSP",'Raw Data'!$I:$I,"To PSP",'Raw Data'!$M:$M,"JOD",'Raw Data'!$F:$F,"Total Value*")+SUMIFS('Raw Data'!$L:$L,'Raw Data'!$B:$B,$B$2,'Raw Data'!$J:$J,K$2,'Raw Data'!$K:$K,"native",'Raw Data'!$H:$H,"PSP to PSP",'Raw Data'!$I:$I,"",'Raw Data'!$M:$M,"JOD",'Raw Data'!$F:$F,"Value of*")</f>
        <v>265000000</v>
      </c>
      <c r="L23" s="11">
        <f>SUMIFS('Raw Data'!$L:$L,'Raw Data'!$B:$B,$B$2,'Raw Data'!$J:$J,L$2,'Raw Data'!$K:$K,"native",'Raw Data'!$H:$H,"PSP",'Raw Data'!$I:$I,"To PSP",'Raw Data'!$M:$M,"JOD",'Raw Data'!$F:$F,"Total Value*")+SUMIFS('Raw Data'!$L:$L,'Raw Data'!$B:$B,$B$2,'Raw Data'!$J:$J,L$2,'Raw Data'!$K:$K,"native",'Raw Data'!$H:$H,"PSP to PSP",'Raw Data'!$I:$I,"",'Raw Data'!$M:$M,"JOD",'Raw Data'!$F:$F,"Value of*")</f>
        <v>254000000</v>
      </c>
      <c r="M23" s="11">
        <f>SUMIFS('Raw Data'!$L:$L,'Raw Data'!$B:$B,$B$2,'Raw Data'!$J:$J,M$2,'Raw Data'!$K:$K,"native",'Raw Data'!$H:$H,"PSP",'Raw Data'!$I:$I,"To PSP",'Raw Data'!$M:$M,"JOD",'Raw Data'!$F:$F,"Total Value*")+SUMIFS('Raw Data'!$L:$L,'Raw Data'!$B:$B,$B$2,'Raw Data'!$J:$J,M$2,'Raw Data'!$K:$K,"native",'Raw Data'!$H:$H,"PSP to PSP",'Raw Data'!$I:$I,"",'Raw Data'!$M:$M,"JOD",'Raw Data'!$F:$F,"Value of*")</f>
        <v>283000000</v>
      </c>
      <c r="N23" s="11">
        <f>SUMIFS('Raw Data'!$L:$L,'Raw Data'!$B:$B,$B$2,'Raw Data'!$J:$J,N$2,'Raw Data'!$K:$K,"native",'Raw Data'!$H:$H,"PSP",'Raw Data'!$I:$I,"To PSP",'Raw Data'!$M:$M,"JOD",'Raw Data'!$F:$F,"Total Value*")+SUMIFS('Raw Data'!$L:$L,'Raw Data'!$B:$B,$B$2,'Raw Data'!$J:$J,N$2,'Raw Data'!$K:$K,"native",'Raw Data'!$H:$H,"PSP to PSP",'Raw Data'!$I:$I,"",'Raw Data'!$M:$M,"JOD",'Raw Data'!$F:$F,"Value of*")</f>
        <v>273000000</v>
      </c>
      <c r="O23" s="11">
        <f>SUMIFS('Raw Data'!$L:$L,'Raw Data'!$B:$B,$B$2,'Raw Data'!$J:$J,O$2,'Raw Data'!$K:$K,"native",'Raw Data'!$H:$H,"PSP",'Raw Data'!$I:$I,"To PSP",'Raw Data'!$M:$M,"JOD",'Raw Data'!$F:$F,"Total Value*")+SUMIFS('Raw Data'!$L:$L,'Raw Data'!$B:$B,$B$2,'Raw Data'!$J:$J,O$2,'Raw Data'!$K:$K,"native",'Raw Data'!$H:$H,"PSP to PSP",'Raw Data'!$I:$I,"",'Raw Data'!$M:$M,"JOD",'Raw Data'!$F:$F,"Value of*")</f>
        <v>267000000</v>
      </c>
      <c r="P23" s="11">
        <f>SUMIFS('Raw Data'!$L:$L,'Raw Data'!$B:$B,$B$2,'Raw Data'!$J:$J,P$2,'Raw Data'!$K:$K,"native",'Raw Data'!$H:$H,"PSP",'Raw Data'!$I:$I,"To PSP",'Raw Data'!$M:$M,"JOD",'Raw Data'!$F:$F,"Total Value*")+SUMIFS('Raw Data'!$L:$L,'Raw Data'!$B:$B,$B$2,'Raw Data'!$J:$J,P$2,'Raw Data'!$K:$K,"native",'Raw Data'!$H:$H,"PSP to PSP",'Raw Data'!$I:$I,"",'Raw Data'!$M:$M,"JOD",'Raw Data'!$F:$F,"Value of*")</f>
        <v>264000000</v>
      </c>
      <c r="Q23" s="11">
        <f>SUMIFS('Raw Data'!$L:$L,'Raw Data'!$B:$B,$B$2,'Raw Data'!$J:$J,Q$2,'Raw Data'!$K:$K,"native",'Raw Data'!$H:$H,"PSP",'Raw Data'!$I:$I,"To PSP",'Raw Data'!$M:$M,"JOD",'Raw Data'!$F:$F,"Total Value*")+SUMIFS('Raw Data'!$L:$L,'Raw Data'!$B:$B,$B$2,'Raw Data'!$J:$J,Q$2,'Raw Data'!$K:$K,"native",'Raw Data'!$H:$H,"PSP to PSP",'Raw Data'!$I:$I,"",'Raw Data'!$M:$M,"JOD",'Raw Data'!$F:$F,"Value of*")</f>
        <v>245700000</v>
      </c>
      <c r="R23" s="11">
        <f>SUMIFS('Raw Data'!$L:$L,'Raw Data'!$B:$B,$B$2,'Raw Data'!$J:$J,R$2,'Raw Data'!$K:$K,"native",'Raw Data'!$H:$H,"PSP",'Raw Data'!$I:$I,"To PSP",'Raw Data'!$M:$M,"JOD",'Raw Data'!$F:$F,"Total Value*")+SUMIFS('Raw Data'!$L:$L,'Raw Data'!$B:$B,$B$2,'Raw Data'!$J:$J,R$2,'Raw Data'!$K:$K,"native",'Raw Data'!$H:$H,"PSP to PSP",'Raw Data'!$I:$I,"",'Raw Data'!$M:$M,"JOD",'Raw Data'!$F:$F,"Value of*")</f>
        <v>265700000</v>
      </c>
      <c r="S23" s="11">
        <f>SUMIFS('Raw Data'!$L:$L,'Raw Data'!$B:$B,$B$2,'Raw Data'!$J:$J,S$2,'Raw Data'!$K:$K,"native",'Raw Data'!$H:$H,"PSP",'Raw Data'!$I:$I,"To PSP",'Raw Data'!$M:$M,"JOD",'Raw Data'!$F:$F,"Total Value*")+SUMIFS('Raw Data'!$L:$L,'Raw Data'!$B:$B,$B$2,'Raw Data'!$J:$J,S$2,'Raw Data'!$K:$K,"native",'Raw Data'!$H:$H,"PSP to PSP",'Raw Data'!$I:$I,"",'Raw Data'!$M:$M,"JOD",'Raw Data'!$F:$F,"Value of*")</f>
        <v>285600000</v>
      </c>
      <c r="T23" s="11">
        <f>SUMIFS('Raw Data'!$L:$L,'Raw Data'!$B:$B,$B$2,'Raw Data'!$J:$J,T$2,'Raw Data'!$K:$K,"native",'Raw Data'!$H:$H,"PSP",'Raw Data'!$I:$I,"To PSP",'Raw Data'!$M:$M,"JOD",'Raw Data'!$F:$F,"Total Value*")+SUMIFS('Raw Data'!$L:$L,'Raw Data'!$B:$B,$B$2,'Raw Data'!$J:$J,T$2,'Raw Data'!$K:$K,"native",'Raw Data'!$H:$H,"PSP to PSP",'Raw Data'!$I:$I,"",'Raw Data'!$M:$M,"JOD",'Raw Data'!$F:$F,"Value of*")</f>
        <v>274200000</v>
      </c>
      <c r="U23" s="11">
        <f>SUMIFS('Raw Data'!$L:$L,'Raw Data'!$B:$B,$B$2,'Raw Data'!$J:$J,U$2,'Raw Data'!$K:$K,"native",'Raw Data'!$H:$H,"PSP",'Raw Data'!$I:$I,"To PSP",'Raw Data'!$M:$M,"JOD",'Raw Data'!$F:$F,"Total Value*")+SUMIFS('Raw Data'!$L:$L,'Raw Data'!$B:$B,$B$2,'Raw Data'!$J:$J,U$2,'Raw Data'!$K:$K,"native",'Raw Data'!$H:$H,"PSP to PSP",'Raw Data'!$I:$I,"",'Raw Data'!$M:$M,"JOD",'Raw Data'!$F:$F,"Value of*")</f>
        <v>321700000</v>
      </c>
      <c r="V23" s="11">
        <f>SUMIFS('Raw Data'!$L:$L,'Raw Data'!$B:$B,$B$2,'Raw Data'!$J:$J,V$2,'Raw Data'!$K:$K,"native",'Raw Data'!$H:$H,"PSP",'Raw Data'!$I:$I,"To PSP",'Raw Data'!$M:$M,"JOD",'Raw Data'!$F:$F,"Total Value*")+SUMIFS('Raw Data'!$L:$L,'Raw Data'!$B:$B,$B$2,'Raw Data'!$J:$J,V$2,'Raw Data'!$K:$K,"native",'Raw Data'!$H:$H,"PSP to PSP",'Raw Data'!$I:$I,"",'Raw Data'!$M:$M,"JOD",'Raw Data'!$F:$F,"Value of*")</f>
        <v>294600000</v>
      </c>
      <c r="W23" s="11">
        <f>SUMIFS('Raw Data'!$L:$L,'Raw Data'!$B:$B,$B$2,'Raw Data'!$J:$J,W$2,'Raw Data'!$K:$K,"native",'Raw Data'!$H:$H,"PSP",'Raw Data'!$I:$I,"To PSP",'Raw Data'!$M:$M,"JOD",'Raw Data'!$F:$F,"Total Value*")+SUMIFS('Raw Data'!$L:$L,'Raw Data'!$B:$B,$B$2,'Raw Data'!$J:$J,W$2,'Raw Data'!$K:$K,"native",'Raw Data'!$H:$H,"PSP to PSP",'Raw Data'!$I:$I,"",'Raw Data'!$M:$M,"JOD",'Raw Data'!$F:$F,"Value of*")</f>
        <v>340400000</v>
      </c>
      <c r="X23" s="11">
        <f>SUMIFS('Raw Data'!$L:$L,'Raw Data'!$B:$B,$B$2,'Raw Data'!$J:$J,X$2,'Raw Data'!$K:$K,"native",'Raw Data'!$H:$H,"PSP",'Raw Data'!$I:$I,"To PSP",'Raw Data'!$M:$M,"JOD",'Raw Data'!$F:$F,"Total Value*")+SUMIFS('Raw Data'!$L:$L,'Raw Data'!$B:$B,$B$2,'Raw Data'!$J:$J,X$2,'Raw Data'!$K:$K,"native",'Raw Data'!$H:$H,"PSP to PSP",'Raw Data'!$I:$I,"",'Raw Data'!$M:$M,"JOD",'Raw Data'!$F:$F,"Value of*")</f>
        <v>319700000</v>
      </c>
      <c r="Y23" s="11">
        <f>SUMIFS('Raw Data'!$L:$L,'Raw Data'!$B:$B,$B$2,'Raw Data'!$J:$J,Y$2,'Raw Data'!$K:$K,"native",'Raw Data'!$H:$H,"PSP",'Raw Data'!$I:$I,"To PSP",'Raw Data'!$M:$M,"JOD",'Raw Data'!$F:$F,"Total Value*")+SUMIFS('Raw Data'!$L:$L,'Raw Data'!$B:$B,$B$2,'Raw Data'!$J:$J,Y$2,'Raw Data'!$K:$K,"native",'Raw Data'!$H:$H,"PSP to PSP",'Raw Data'!$I:$I,"",'Raw Data'!$M:$M,"JOD",'Raw Data'!$F:$F,"Value of*")</f>
        <v>363900000</v>
      </c>
      <c r="Z23" s="11">
        <f>SUMIFS('Raw Data'!$L:$L,'Raw Data'!$B:$B,$B$2,'Raw Data'!$J:$J,Z$2,'Raw Data'!$K:$K,"native",'Raw Data'!$H:$H,"PSP",'Raw Data'!$I:$I,"To PSP",'Raw Data'!$M:$M,"JOD",'Raw Data'!$F:$F,"Total Value*")+SUMIFS('Raw Data'!$L:$L,'Raw Data'!$B:$B,$B$2,'Raw Data'!$J:$J,Z$2,'Raw Data'!$K:$K,"native",'Raw Data'!$H:$H,"PSP to PSP",'Raw Data'!$I:$I,"",'Raw Data'!$M:$M,"JOD",'Raw Data'!$F:$F,"Value of*")</f>
        <v>371090000</v>
      </c>
    </row>
    <row r="24" spans="1:26" x14ac:dyDescent="0.25">
      <c r="A24" s="10" t="s">
        <v>82</v>
      </c>
      <c r="B24" s="10" t="s">
        <v>168</v>
      </c>
      <c r="C24" s="11"/>
      <c r="D24" s="11"/>
      <c r="E24" s="11"/>
      <c r="F24" s="11"/>
      <c r="G24" s="11"/>
      <c r="H24" s="11">
        <f>SUMIFS('Raw Data'!$L:$L,'Raw Data'!$B:$B,$B$2,'Raw Data'!$J:$J,H$2,'Raw Data'!$K:$K,"native",'Raw Data'!$H:$H,"Acquirer to Bank",'Raw Data'!$I:$I,"",'Raw Data'!$M:$M,"JOD",'Raw Data'!$F:$F,"Value of*")</f>
        <v>681800</v>
      </c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x14ac:dyDescent="0.25">
      <c r="A25" s="10" t="s">
        <v>82</v>
      </c>
      <c r="B25" s="10" t="s">
        <v>169</v>
      </c>
      <c r="C25" s="11"/>
      <c r="D25" s="11"/>
      <c r="E25" s="11"/>
      <c r="F25" s="11"/>
      <c r="G25" s="11"/>
      <c r="H25" s="11">
        <f>SUMIFS('Raw Data'!$L:$L,'Raw Data'!$B:$B,$B$2,'Raw Data'!$J:$J,H$2,'Raw Data'!$K:$K,"native",'Raw Data'!$H:$H,"Acquirer to PSP",'Raw Data'!$I:$I,"",'Raw Data'!$M:$M,"JOD",'Raw Data'!$F:$F,"Value of*")</f>
        <v>0</v>
      </c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x14ac:dyDescent="0.25">
      <c r="A26" s="10" t="s">
        <v>82</v>
      </c>
      <c r="B26" s="10" t="s">
        <v>170</v>
      </c>
      <c r="C26" s="11"/>
      <c r="D26" s="11"/>
      <c r="E26" s="11"/>
      <c r="F26" s="11"/>
      <c r="G26" s="11"/>
      <c r="H26" s="11">
        <f>SUMIFS('Raw Data'!$L:$L,'Raw Data'!$B:$B,$B$2,'Raw Data'!$J:$J,H$2,'Raw Data'!$K:$K,"native",'Raw Data'!$H:$H,"Bank",'Raw Data'!$I:$I,"To Acquirer",'Raw Data'!$M:$M,"JOD",'Raw Data'!$F:$F,"Total Value*")+SUMIFS('Raw Data'!$L:$L,'Raw Data'!$B:$B,$B$2,'Raw Data'!$J:$J,H$2,'Raw Data'!$K:$K,"native",'Raw Data'!$H:$H,"Bank to Acquirer",'Raw Data'!$I:$I,"",'Raw Data'!$M:$M,"JOD",'Raw Data'!$F:$F,"Value of*")</f>
        <v>124600</v>
      </c>
      <c r="I26" s="11">
        <f>SUMIFS('Raw Data'!$L:$L,'Raw Data'!$B:$B,$B$2,'Raw Data'!$J:$J,I$2,'Raw Data'!$K:$K,"native",'Raw Data'!$H:$H,"Bank",'Raw Data'!$I:$I,"To Acquirer",'Raw Data'!$M:$M,"JOD",'Raw Data'!$F:$F,"Total Value*")+SUMIFS('Raw Data'!$L:$L,'Raw Data'!$B:$B,$B$2,'Raw Data'!$J:$J,I$2,'Raw Data'!$K:$K,"native",'Raw Data'!$H:$H,"Bank to Acquirer",'Raw Data'!$I:$I,"",'Raw Data'!$M:$M,"JOD",'Raw Data'!$F:$F,"Value of*")</f>
        <v>143700</v>
      </c>
      <c r="J26" s="11">
        <f>SUMIFS('Raw Data'!$L:$L,'Raw Data'!$B:$B,$B$2,'Raw Data'!$J:$J,J$2,'Raw Data'!$K:$K,"native",'Raw Data'!$H:$H,"Bank",'Raw Data'!$I:$I,"To Acquirer",'Raw Data'!$M:$M,"JOD",'Raw Data'!$F:$F,"Total Value*")+SUMIFS('Raw Data'!$L:$L,'Raw Data'!$B:$B,$B$2,'Raw Data'!$J:$J,J$2,'Raw Data'!$K:$K,"native",'Raw Data'!$H:$H,"Bank to Acquirer",'Raw Data'!$I:$I,"",'Raw Data'!$M:$M,"JOD",'Raw Data'!$F:$F,"Value of*")</f>
        <v>156600</v>
      </c>
      <c r="K26" s="11">
        <f>SUMIFS('Raw Data'!$L:$L,'Raw Data'!$B:$B,$B$2,'Raw Data'!$J:$J,K$2,'Raw Data'!$K:$K,"native",'Raw Data'!$H:$H,"Bank",'Raw Data'!$I:$I,"To Acquirer",'Raw Data'!$M:$M,"JOD",'Raw Data'!$F:$F,"Total Value*")+SUMIFS('Raw Data'!$L:$L,'Raw Data'!$B:$B,$B$2,'Raw Data'!$J:$J,K$2,'Raw Data'!$K:$K,"native",'Raw Data'!$H:$H,"Bank to Acquirer",'Raw Data'!$I:$I,"",'Raw Data'!$M:$M,"JOD",'Raw Data'!$F:$F,"Value of*")</f>
        <v>182200</v>
      </c>
      <c r="L26" s="11">
        <f>SUMIFS('Raw Data'!$L:$L,'Raw Data'!$B:$B,$B$2,'Raw Data'!$J:$J,L$2,'Raw Data'!$K:$K,"native",'Raw Data'!$H:$H,"Bank",'Raw Data'!$I:$I,"To Acquirer",'Raw Data'!$M:$M,"JOD",'Raw Data'!$F:$F,"Total Value*")+SUMIFS('Raw Data'!$L:$L,'Raw Data'!$B:$B,$B$2,'Raw Data'!$J:$J,L$2,'Raw Data'!$K:$K,"native",'Raw Data'!$H:$H,"Bank to Acquirer",'Raw Data'!$I:$I,"",'Raw Data'!$M:$M,"JOD",'Raw Data'!$F:$F,"Value of*")</f>
        <v>184900</v>
      </c>
      <c r="M26" s="11">
        <f>SUMIFS('Raw Data'!$L:$L,'Raw Data'!$B:$B,$B$2,'Raw Data'!$J:$J,M$2,'Raw Data'!$K:$K,"native",'Raw Data'!$H:$H,"Bank",'Raw Data'!$I:$I,"To Acquirer",'Raw Data'!$M:$M,"JOD",'Raw Data'!$F:$F,"Total Value*")+SUMIFS('Raw Data'!$L:$L,'Raw Data'!$B:$B,$B$2,'Raw Data'!$J:$J,M$2,'Raw Data'!$K:$K,"native",'Raw Data'!$H:$H,"Bank to Acquirer",'Raw Data'!$I:$I,"",'Raw Data'!$M:$M,"JOD",'Raw Data'!$F:$F,"Value of*")</f>
        <v>206000</v>
      </c>
      <c r="N26" s="11">
        <f>SUMIFS('Raw Data'!$L:$L,'Raw Data'!$B:$B,$B$2,'Raw Data'!$J:$J,N$2,'Raw Data'!$K:$K,"native",'Raw Data'!$H:$H,"Bank",'Raw Data'!$I:$I,"To Acquirer",'Raw Data'!$M:$M,"JOD",'Raw Data'!$F:$F,"Total Value*")+SUMIFS('Raw Data'!$L:$L,'Raw Data'!$B:$B,$B$2,'Raw Data'!$J:$J,N$2,'Raw Data'!$K:$K,"native",'Raw Data'!$H:$H,"Bank to Acquirer",'Raw Data'!$I:$I,"",'Raw Data'!$M:$M,"JOD",'Raw Data'!$F:$F,"Value of*")</f>
        <v>225000</v>
      </c>
      <c r="O26" s="11">
        <f>SUMIFS('Raw Data'!$L:$L,'Raw Data'!$B:$B,$B$2,'Raw Data'!$J:$J,O$2,'Raw Data'!$K:$K,"native",'Raw Data'!$H:$H,"Bank",'Raw Data'!$I:$I,"To Acquirer",'Raw Data'!$M:$M,"JOD",'Raw Data'!$F:$F,"Total Value*")+SUMIFS('Raw Data'!$L:$L,'Raw Data'!$B:$B,$B$2,'Raw Data'!$J:$J,O$2,'Raw Data'!$K:$K,"native",'Raw Data'!$H:$H,"Bank to Acquirer",'Raw Data'!$I:$I,"",'Raw Data'!$M:$M,"JOD",'Raw Data'!$F:$F,"Value of*")</f>
        <v>182000</v>
      </c>
      <c r="P26" s="11">
        <f>SUMIFS('Raw Data'!$L:$L,'Raw Data'!$B:$B,$B$2,'Raw Data'!$J:$J,P$2,'Raw Data'!$K:$K,"native",'Raw Data'!$H:$H,"Bank",'Raw Data'!$I:$I,"To Acquirer",'Raw Data'!$M:$M,"JOD",'Raw Data'!$F:$F,"Total Value*")+SUMIFS('Raw Data'!$L:$L,'Raw Data'!$B:$B,$B$2,'Raw Data'!$J:$J,P$2,'Raw Data'!$K:$K,"native",'Raw Data'!$H:$H,"Bank to Acquirer",'Raw Data'!$I:$I,"",'Raw Data'!$M:$M,"JOD",'Raw Data'!$F:$F,"Value of*")</f>
        <v>174000</v>
      </c>
      <c r="Q26" s="11">
        <f>SUMIFS('Raw Data'!$L:$L,'Raw Data'!$B:$B,$B$2,'Raw Data'!$J:$J,Q$2,'Raw Data'!$K:$K,"native",'Raw Data'!$H:$H,"Bank",'Raw Data'!$I:$I,"To Acquirer",'Raw Data'!$M:$M,"JOD",'Raw Data'!$F:$F,"Total Value*")+SUMIFS('Raw Data'!$L:$L,'Raw Data'!$B:$B,$B$2,'Raw Data'!$J:$J,Q$2,'Raw Data'!$K:$K,"native",'Raw Data'!$H:$H,"Bank to Acquirer",'Raw Data'!$I:$I,"",'Raw Data'!$M:$M,"JOD",'Raw Data'!$F:$F,"Value of*")</f>
        <v>148000</v>
      </c>
      <c r="R26" s="11">
        <f>SUMIFS('Raw Data'!$L:$L,'Raw Data'!$B:$B,$B$2,'Raw Data'!$J:$J,R$2,'Raw Data'!$K:$K,"native",'Raw Data'!$H:$H,"Bank",'Raw Data'!$I:$I,"To Acquirer",'Raw Data'!$M:$M,"JOD",'Raw Data'!$F:$F,"Total Value*")+SUMIFS('Raw Data'!$L:$L,'Raw Data'!$B:$B,$B$2,'Raw Data'!$J:$J,R$2,'Raw Data'!$K:$K,"native",'Raw Data'!$H:$H,"Bank to Acquirer",'Raw Data'!$I:$I,"",'Raw Data'!$M:$M,"JOD",'Raw Data'!$F:$F,"Value of*")</f>
        <v>128000</v>
      </c>
      <c r="S26" s="11">
        <f>SUMIFS('Raw Data'!$L:$L,'Raw Data'!$B:$B,$B$2,'Raw Data'!$J:$J,S$2,'Raw Data'!$K:$K,"native",'Raw Data'!$H:$H,"Bank",'Raw Data'!$I:$I,"To Acquirer",'Raw Data'!$M:$M,"JOD",'Raw Data'!$F:$F,"Total Value*")+SUMIFS('Raw Data'!$L:$L,'Raw Data'!$B:$B,$B$2,'Raw Data'!$J:$J,S$2,'Raw Data'!$K:$K,"native",'Raw Data'!$H:$H,"Bank to Acquirer",'Raw Data'!$I:$I,"",'Raw Data'!$M:$M,"JOD",'Raw Data'!$F:$F,"Value of*")</f>
        <v>143000</v>
      </c>
      <c r="T26" s="11">
        <f>SUMIFS('Raw Data'!$L:$L,'Raw Data'!$B:$B,$B$2,'Raw Data'!$J:$J,T$2,'Raw Data'!$K:$K,"native",'Raw Data'!$H:$H,"Bank",'Raw Data'!$I:$I,"To Acquirer",'Raw Data'!$M:$M,"JOD",'Raw Data'!$F:$F,"Total Value*")+SUMIFS('Raw Data'!$L:$L,'Raw Data'!$B:$B,$B$2,'Raw Data'!$J:$J,T$2,'Raw Data'!$K:$K,"native",'Raw Data'!$H:$H,"Bank to Acquirer",'Raw Data'!$I:$I,"",'Raw Data'!$M:$M,"JOD",'Raw Data'!$F:$F,"Value of*")</f>
        <v>147000</v>
      </c>
      <c r="U26" s="11">
        <f>SUMIFS('Raw Data'!$L:$L,'Raw Data'!$B:$B,$B$2,'Raw Data'!$J:$J,U$2,'Raw Data'!$K:$K,"native",'Raw Data'!$H:$H,"Bank",'Raw Data'!$I:$I,"To Acquirer",'Raw Data'!$M:$M,"JOD",'Raw Data'!$F:$F,"Total Value*")+SUMIFS('Raw Data'!$L:$L,'Raw Data'!$B:$B,$B$2,'Raw Data'!$J:$J,U$2,'Raw Data'!$K:$K,"native",'Raw Data'!$H:$H,"Bank to Acquirer",'Raw Data'!$I:$I,"",'Raw Data'!$M:$M,"JOD",'Raw Data'!$F:$F,"Value of*")</f>
        <v>178000</v>
      </c>
      <c r="V26" s="11">
        <f>SUMIFS('Raw Data'!$L:$L,'Raw Data'!$B:$B,$B$2,'Raw Data'!$J:$J,V$2,'Raw Data'!$K:$K,"native",'Raw Data'!$H:$H,"Bank",'Raw Data'!$I:$I,"To Acquirer",'Raw Data'!$M:$M,"JOD",'Raw Data'!$F:$F,"Total Value*")+SUMIFS('Raw Data'!$L:$L,'Raw Data'!$B:$B,$B$2,'Raw Data'!$J:$J,V$2,'Raw Data'!$K:$K,"native",'Raw Data'!$H:$H,"Bank to Acquirer",'Raw Data'!$I:$I,"",'Raw Data'!$M:$M,"JOD",'Raw Data'!$F:$F,"Value of*")</f>
        <v>167000</v>
      </c>
      <c r="W26" s="11">
        <f>SUMIFS('Raw Data'!$L:$L,'Raw Data'!$B:$B,$B$2,'Raw Data'!$J:$J,W$2,'Raw Data'!$K:$K,"native",'Raw Data'!$H:$H,"Bank",'Raw Data'!$I:$I,"To Acquirer",'Raw Data'!$M:$M,"JOD",'Raw Data'!$F:$F,"Total Value*")+SUMIFS('Raw Data'!$L:$L,'Raw Data'!$B:$B,$B$2,'Raw Data'!$J:$J,W$2,'Raw Data'!$K:$K,"native",'Raw Data'!$H:$H,"Bank to Acquirer",'Raw Data'!$I:$I,"",'Raw Data'!$M:$M,"JOD",'Raw Data'!$F:$F,"Value of*")</f>
        <v>196000</v>
      </c>
      <c r="X26" s="11">
        <f>SUMIFS('Raw Data'!$L:$L,'Raw Data'!$B:$B,$B$2,'Raw Data'!$J:$J,X$2,'Raw Data'!$K:$K,"native",'Raw Data'!$H:$H,"Bank",'Raw Data'!$I:$I,"To Acquirer",'Raw Data'!$M:$M,"JOD",'Raw Data'!$F:$F,"Total Value*")+SUMIFS('Raw Data'!$L:$L,'Raw Data'!$B:$B,$B$2,'Raw Data'!$J:$J,X$2,'Raw Data'!$K:$K,"native",'Raw Data'!$H:$H,"Bank to Acquirer",'Raw Data'!$I:$I,"",'Raw Data'!$M:$M,"JOD",'Raw Data'!$F:$F,"Value of*")</f>
        <v>216000</v>
      </c>
      <c r="Y26" s="11">
        <f>SUMIFS('Raw Data'!$L:$L,'Raw Data'!$B:$B,$B$2,'Raw Data'!$J:$J,Y$2,'Raw Data'!$K:$K,"native",'Raw Data'!$H:$H,"Bank",'Raw Data'!$I:$I,"To Acquirer",'Raw Data'!$M:$M,"JOD",'Raw Data'!$F:$F,"Total Value*")+SUMIFS('Raw Data'!$L:$L,'Raw Data'!$B:$B,$B$2,'Raw Data'!$J:$J,Y$2,'Raw Data'!$K:$K,"native",'Raw Data'!$H:$H,"Bank to Acquirer",'Raw Data'!$I:$I,"",'Raw Data'!$M:$M,"JOD",'Raw Data'!$F:$F,"Value of*")</f>
        <v>249000</v>
      </c>
      <c r="Z26" s="11">
        <f>SUMIFS('Raw Data'!$L:$L,'Raw Data'!$B:$B,$B$2,'Raw Data'!$J:$J,Z$2,'Raw Data'!$K:$K,"native",'Raw Data'!$H:$H,"Bank",'Raw Data'!$I:$I,"To Acquirer",'Raw Data'!$M:$M,"JOD",'Raw Data'!$F:$F,"Total Value*")+SUMIFS('Raw Data'!$L:$L,'Raw Data'!$B:$B,$B$2,'Raw Data'!$J:$J,Z$2,'Raw Data'!$K:$K,"native",'Raw Data'!$H:$H,"Bank to Acquirer",'Raw Data'!$I:$I,"",'Raw Data'!$M:$M,"JOD",'Raw Data'!$F:$F,"Value of*")</f>
        <v>291140</v>
      </c>
    </row>
    <row r="27" spans="1:26" x14ac:dyDescent="0.25">
      <c r="A27" s="10" t="s">
        <v>82</v>
      </c>
      <c r="B27" s="10" t="s">
        <v>171</v>
      </c>
      <c r="C27" s="11"/>
      <c r="D27" s="11"/>
      <c r="E27" s="11"/>
      <c r="F27" s="11"/>
      <c r="G27" s="11"/>
      <c r="H27" s="11">
        <f>SUMIFS('Raw Data'!$L:$L,'Raw Data'!$B:$B,$B$2,'Raw Data'!$J:$J,H$2,'Raw Data'!$K:$K,"native",'Raw Data'!$H:$H,"PSP",'Raw Data'!$I:$I,"To Acquirer",'Raw Data'!$M:$M,"JOD",'Raw Data'!$F:$F,"Total Value*")+SUMIFS('Raw Data'!$L:$L,'Raw Data'!$B:$B,$B$2,'Raw Data'!$J:$J,H$2,'Raw Data'!$K:$K,"native",'Raw Data'!$H:$H,"PSP to Acquirer",'Raw Data'!$I:$I,"",'Raw Data'!$M:$M,"JOD",'Raw Data'!$F:$F,"Value of*")</f>
        <v>589200</v>
      </c>
      <c r="I27" s="11">
        <f>SUMIFS('Raw Data'!$L:$L,'Raw Data'!$B:$B,$B$2,'Raw Data'!$J:$J,I$2,'Raw Data'!$K:$K,"native",'Raw Data'!$H:$H,"PSP",'Raw Data'!$I:$I,"To Acquirer",'Raw Data'!$M:$M,"JOD",'Raw Data'!$F:$F,"Total Value*")+SUMIFS('Raw Data'!$L:$L,'Raw Data'!$B:$B,$B$2,'Raw Data'!$J:$J,I$2,'Raw Data'!$K:$K,"native",'Raw Data'!$H:$H,"PSP to Acquirer",'Raw Data'!$I:$I,"",'Raw Data'!$M:$M,"JOD",'Raw Data'!$F:$F,"Value of*")</f>
        <v>751200</v>
      </c>
      <c r="J27" s="11">
        <f>SUMIFS('Raw Data'!$L:$L,'Raw Data'!$B:$B,$B$2,'Raw Data'!$J:$J,J$2,'Raw Data'!$K:$K,"native",'Raw Data'!$H:$H,"PSP",'Raw Data'!$I:$I,"To Acquirer",'Raw Data'!$M:$M,"JOD",'Raw Data'!$F:$F,"Total Value*")+SUMIFS('Raw Data'!$L:$L,'Raw Data'!$B:$B,$B$2,'Raw Data'!$J:$J,J$2,'Raw Data'!$K:$K,"native",'Raw Data'!$H:$H,"PSP to Acquirer",'Raw Data'!$I:$I,"",'Raw Data'!$M:$M,"JOD",'Raw Data'!$F:$F,"Value of*")</f>
        <v>800200</v>
      </c>
      <c r="K27" s="11">
        <f>SUMIFS('Raw Data'!$L:$L,'Raw Data'!$B:$B,$B$2,'Raw Data'!$J:$J,K$2,'Raw Data'!$K:$K,"native",'Raw Data'!$H:$H,"PSP",'Raw Data'!$I:$I,"To Acquirer",'Raw Data'!$M:$M,"JOD",'Raw Data'!$F:$F,"Total Value*")+SUMIFS('Raw Data'!$L:$L,'Raw Data'!$B:$B,$B$2,'Raw Data'!$J:$J,K$2,'Raw Data'!$K:$K,"native",'Raw Data'!$H:$H,"PSP to Acquirer",'Raw Data'!$I:$I,"",'Raw Data'!$M:$M,"JOD",'Raw Data'!$F:$F,"Value of*")</f>
        <v>993000</v>
      </c>
      <c r="L27" s="11">
        <f>SUMIFS('Raw Data'!$L:$L,'Raw Data'!$B:$B,$B$2,'Raw Data'!$J:$J,L$2,'Raw Data'!$K:$K,"native",'Raw Data'!$H:$H,"PSP",'Raw Data'!$I:$I,"To Acquirer",'Raw Data'!$M:$M,"JOD",'Raw Data'!$F:$F,"Total Value*")+SUMIFS('Raw Data'!$L:$L,'Raw Data'!$B:$B,$B$2,'Raw Data'!$J:$J,L$2,'Raw Data'!$K:$K,"native",'Raw Data'!$H:$H,"PSP to Acquirer",'Raw Data'!$I:$I,"",'Raw Data'!$M:$M,"JOD",'Raw Data'!$F:$F,"Value of*")</f>
        <v>1100000</v>
      </c>
      <c r="M27" s="11">
        <f>SUMIFS('Raw Data'!$L:$L,'Raw Data'!$B:$B,$B$2,'Raw Data'!$J:$J,M$2,'Raw Data'!$K:$K,"native",'Raw Data'!$H:$H,"PSP",'Raw Data'!$I:$I,"To Acquirer",'Raw Data'!$M:$M,"JOD",'Raw Data'!$F:$F,"Total Value*")+SUMIFS('Raw Data'!$L:$L,'Raw Data'!$B:$B,$B$2,'Raw Data'!$J:$J,M$2,'Raw Data'!$K:$K,"native",'Raw Data'!$H:$H,"PSP to Acquirer",'Raw Data'!$I:$I,"",'Raw Data'!$M:$M,"JOD",'Raw Data'!$F:$F,"Value of*")</f>
        <v>1300000</v>
      </c>
      <c r="N27" s="11">
        <f>SUMIFS('Raw Data'!$L:$L,'Raw Data'!$B:$B,$B$2,'Raw Data'!$J:$J,N$2,'Raw Data'!$K:$K,"native",'Raw Data'!$H:$H,"PSP",'Raw Data'!$I:$I,"To Acquirer",'Raw Data'!$M:$M,"JOD",'Raw Data'!$F:$F,"Total Value*")+SUMIFS('Raw Data'!$L:$L,'Raw Data'!$B:$B,$B$2,'Raw Data'!$J:$J,N$2,'Raw Data'!$K:$K,"native",'Raw Data'!$H:$H,"PSP to Acquirer",'Raw Data'!$I:$I,"",'Raw Data'!$M:$M,"JOD",'Raw Data'!$F:$F,"Value of*")</f>
        <v>1500000</v>
      </c>
      <c r="O27" s="11">
        <f>SUMIFS('Raw Data'!$L:$L,'Raw Data'!$B:$B,$B$2,'Raw Data'!$J:$J,O$2,'Raw Data'!$K:$K,"native",'Raw Data'!$H:$H,"PSP",'Raw Data'!$I:$I,"To Acquirer",'Raw Data'!$M:$M,"JOD",'Raw Data'!$F:$F,"Total Value*")+SUMIFS('Raw Data'!$L:$L,'Raw Data'!$B:$B,$B$2,'Raw Data'!$J:$J,O$2,'Raw Data'!$K:$K,"native",'Raw Data'!$H:$H,"PSP to Acquirer",'Raw Data'!$I:$I,"",'Raw Data'!$M:$M,"JOD",'Raw Data'!$F:$F,"Value of*")</f>
        <v>1200000</v>
      </c>
      <c r="P27" s="11">
        <f>SUMIFS('Raw Data'!$L:$L,'Raw Data'!$B:$B,$B$2,'Raw Data'!$J:$J,P$2,'Raw Data'!$K:$K,"native",'Raw Data'!$H:$H,"PSP",'Raw Data'!$I:$I,"To Acquirer",'Raw Data'!$M:$M,"JOD",'Raw Data'!$F:$F,"Total Value*")+SUMIFS('Raw Data'!$L:$L,'Raw Data'!$B:$B,$B$2,'Raw Data'!$J:$J,P$2,'Raw Data'!$K:$K,"native",'Raw Data'!$H:$H,"PSP to Acquirer",'Raw Data'!$I:$I,"",'Raw Data'!$M:$M,"JOD",'Raw Data'!$F:$F,"Value of*")</f>
        <v>1300000</v>
      </c>
      <c r="Q27" s="11">
        <f>SUMIFS('Raw Data'!$L:$L,'Raw Data'!$B:$B,$B$2,'Raw Data'!$J:$J,Q$2,'Raw Data'!$K:$K,"native",'Raw Data'!$H:$H,"PSP",'Raw Data'!$I:$I,"To Acquirer",'Raw Data'!$M:$M,"JOD",'Raw Data'!$F:$F,"Total Value*")+SUMIFS('Raw Data'!$L:$L,'Raw Data'!$B:$B,$B$2,'Raw Data'!$J:$J,Q$2,'Raw Data'!$K:$K,"native",'Raw Data'!$H:$H,"PSP to Acquirer",'Raw Data'!$I:$I,"",'Raw Data'!$M:$M,"JOD",'Raw Data'!$F:$F,"Value of*")</f>
        <v>1200000</v>
      </c>
      <c r="R27" s="11">
        <f>SUMIFS('Raw Data'!$L:$L,'Raw Data'!$B:$B,$B$2,'Raw Data'!$J:$J,R$2,'Raw Data'!$K:$K,"native",'Raw Data'!$H:$H,"PSP",'Raw Data'!$I:$I,"To Acquirer",'Raw Data'!$M:$M,"JOD",'Raw Data'!$F:$F,"Total Value*")+SUMIFS('Raw Data'!$L:$L,'Raw Data'!$B:$B,$B$2,'Raw Data'!$J:$J,R$2,'Raw Data'!$K:$K,"native",'Raw Data'!$H:$H,"PSP to Acquirer",'Raw Data'!$I:$I,"",'Raw Data'!$M:$M,"JOD",'Raw Data'!$F:$F,"Value of*")</f>
        <v>1100000</v>
      </c>
      <c r="S27" s="11">
        <f>SUMIFS('Raw Data'!$L:$L,'Raw Data'!$B:$B,$B$2,'Raw Data'!$J:$J,S$2,'Raw Data'!$K:$K,"native",'Raw Data'!$H:$H,"PSP",'Raw Data'!$I:$I,"To Acquirer",'Raw Data'!$M:$M,"JOD",'Raw Data'!$F:$F,"Total Value*")+SUMIFS('Raw Data'!$L:$L,'Raw Data'!$B:$B,$B$2,'Raw Data'!$J:$J,S$2,'Raw Data'!$K:$K,"native",'Raw Data'!$H:$H,"PSP to Acquirer",'Raw Data'!$I:$I,"",'Raw Data'!$M:$M,"JOD",'Raw Data'!$F:$F,"Value of*")</f>
        <v>1300000</v>
      </c>
      <c r="T27" s="11">
        <f>SUMIFS('Raw Data'!$L:$L,'Raw Data'!$B:$B,$B$2,'Raw Data'!$J:$J,T$2,'Raw Data'!$K:$K,"native",'Raw Data'!$H:$H,"PSP",'Raw Data'!$I:$I,"To Acquirer",'Raw Data'!$M:$M,"JOD",'Raw Data'!$F:$F,"Total Value*")+SUMIFS('Raw Data'!$L:$L,'Raw Data'!$B:$B,$B$2,'Raw Data'!$J:$J,T$2,'Raw Data'!$K:$K,"native",'Raw Data'!$H:$H,"PSP to Acquirer",'Raw Data'!$I:$I,"",'Raw Data'!$M:$M,"JOD",'Raw Data'!$F:$F,"Value of*")</f>
        <v>1300000</v>
      </c>
      <c r="U27" s="11">
        <f>SUMIFS('Raw Data'!$L:$L,'Raw Data'!$B:$B,$B$2,'Raw Data'!$J:$J,U$2,'Raw Data'!$K:$K,"native",'Raw Data'!$H:$H,"PSP",'Raw Data'!$I:$I,"To Acquirer",'Raw Data'!$M:$M,"JOD",'Raw Data'!$F:$F,"Total Value*")+SUMIFS('Raw Data'!$L:$L,'Raw Data'!$B:$B,$B$2,'Raw Data'!$J:$J,U$2,'Raw Data'!$K:$K,"native",'Raw Data'!$H:$H,"PSP to Acquirer",'Raw Data'!$I:$I,"",'Raw Data'!$M:$M,"JOD",'Raw Data'!$F:$F,"Value of*")</f>
        <v>1600000</v>
      </c>
      <c r="V27" s="11">
        <f>SUMIFS('Raw Data'!$L:$L,'Raw Data'!$B:$B,$B$2,'Raw Data'!$J:$J,V$2,'Raw Data'!$K:$K,"native",'Raw Data'!$H:$H,"PSP",'Raw Data'!$I:$I,"To Acquirer",'Raw Data'!$M:$M,"JOD",'Raw Data'!$F:$F,"Total Value*")+SUMIFS('Raw Data'!$L:$L,'Raw Data'!$B:$B,$B$2,'Raw Data'!$J:$J,V$2,'Raw Data'!$K:$K,"native",'Raw Data'!$H:$H,"PSP to Acquirer",'Raw Data'!$I:$I,"",'Raw Data'!$M:$M,"JOD",'Raw Data'!$F:$F,"Value of*")</f>
        <v>1700000</v>
      </c>
      <c r="W27" s="11">
        <f>SUMIFS('Raw Data'!$L:$L,'Raw Data'!$B:$B,$B$2,'Raw Data'!$J:$J,W$2,'Raw Data'!$K:$K,"native",'Raw Data'!$H:$H,"PSP",'Raw Data'!$I:$I,"To Acquirer",'Raw Data'!$M:$M,"JOD",'Raw Data'!$F:$F,"Total Value*")+SUMIFS('Raw Data'!$L:$L,'Raw Data'!$B:$B,$B$2,'Raw Data'!$J:$J,W$2,'Raw Data'!$K:$K,"native",'Raw Data'!$H:$H,"PSP to Acquirer",'Raw Data'!$I:$I,"",'Raw Data'!$M:$M,"JOD",'Raw Data'!$F:$F,"Value of*")</f>
        <v>2000000</v>
      </c>
      <c r="X27" s="11">
        <f>SUMIFS('Raw Data'!$L:$L,'Raw Data'!$B:$B,$B$2,'Raw Data'!$J:$J,X$2,'Raw Data'!$K:$K,"native",'Raw Data'!$H:$H,"PSP",'Raw Data'!$I:$I,"To Acquirer",'Raw Data'!$M:$M,"JOD",'Raw Data'!$F:$F,"Total Value*")+SUMIFS('Raw Data'!$L:$L,'Raw Data'!$B:$B,$B$2,'Raw Data'!$J:$J,X$2,'Raw Data'!$K:$K,"native",'Raw Data'!$H:$H,"PSP to Acquirer",'Raw Data'!$I:$I,"",'Raw Data'!$M:$M,"JOD",'Raw Data'!$F:$F,"Value of*")</f>
        <v>2000000</v>
      </c>
      <c r="Y27" s="11">
        <f>SUMIFS('Raw Data'!$L:$L,'Raw Data'!$B:$B,$B$2,'Raw Data'!$J:$J,Y$2,'Raw Data'!$K:$K,"native",'Raw Data'!$H:$H,"PSP",'Raw Data'!$I:$I,"To Acquirer",'Raw Data'!$M:$M,"JOD",'Raw Data'!$F:$F,"Total Value*")+SUMIFS('Raw Data'!$L:$L,'Raw Data'!$B:$B,$B$2,'Raw Data'!$J:$J,Y$2,'Raw Data'!$K:$K,"native",'Raw Data'!$H:$H,"PSP to Acquirer",'Raw Data'!$I:$I,"",'Raw Data'!$M:$M,"JOD",'Raw Data'!$F:$F,"Value of*")</f>
        <v>2000000</v>
      </c>
      <c r="Z27" s="11">
        <f>SUMIFS('Raw Data'!$L:$L,'Raw Data'!$B:$B,$B$2,'Raw Data'!$J:$J,Z$2,'Raw Data'!$K:$K,"native",'Raw Data'!$H:$H,"PSP",'Raw Data'!$I:$I,"To Acquirer",'Raw Data'!$M:$M,"JOD",'Raw Data'!$F:$F,"Total Value*")+SUMIFS('Raw Data'!$L:$L,'Raw Data'!$B:$B,$B$2,'Raw Data'!$J:$J,Z$2,'Raw Data'!$K:$K,"native",'Raw Data'!$H:$H,"PSP to Acquirer",'Raw Data'!$I:$I,"",'Raw Data'!$M:$M,"JOD",'Raw Data'!$F:$F,"Value of*")</f>
        <v>2620000</v>
      </c>
    </row>
    <row r="28" spans="1:26" x14ac:dyDescent="0.25">
      <c r="A28" s="53" t="s">
        <v>96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x14ac:dyDescent="0.25">
      <c r="A29" s="10" t="s">
        <v>82</v>
      </c>
      <c r="B29" s="10" t="s">
        <v>94</v>
      </c>
      <c r="C29" s="11">
        <f>SUMIFS('Raw Data'!$L:$L,'Raw Data'!$B:$B,$B$2,'Raw Data'!$J:$J,C$2,'Raw Data'!$K:$K,"native",'Raw Data'!$H:$H,"Off Us",'Raw Data'!$I:$I,"",'Raw Data'!$M:$M,"JOD",'Raw Data'!$F:$F,"*Value of Money Transfer*")</f>
        <v>1060000000</v>
      </c>
      <c r="D29" s="11">
        <f>SUMIFS('Raw Data'!$L:$L,'Raw Data'!$B:$B,$B$2,'Raw Data'!$J:$J,D$2,'Raw Data'!$K:$K,"native",'Raw Data'!$H:$H,"Off Us",'Raw Data'!$I:$I,"",'Raw Data'!$M:$M,"JOD",'Raw Data'!$F:$F,"*Value of Money Transfer*")</f>
        <v>1130000000</v>
      </c>
      <c r="E29" s="11">
        <f>SUMIFS('Raw Data'!$L:$L,'Raw Data'!$B:$B,$B$2,'Raw Data'!$J:$J,E$2,'Raw Data'!$K:$K,"native",'Raw Data'!$H:$H,"Off Us",'Raw Data'!$I:$I,"",'Raw Data'!$M:$M,"JOD",'Raw Data'!$F:$F,"*Value of Money Transfer*")</f>
        <v>1090000000</v>
      </c>
      <c r="F29" s="11">
        <f>SUMIFS('Raw Data'!$L:$L,'Raw Data'!$B:$B,$B$2,'Raw Data'!$J:$J,F$2,'Raw Data'!$K:$K,"native",'Raw Data'!$H:$H,"Off Us",'Raw Data'!$I:$I,"",'Raw Data'!$M:$M,"JOD",'Raw Data'!$F:$F,"*Value of Money Transfer*")</f>
        <v>1220000000</v>
      </c>
      <c r="G29" s="11">
        <f>SUMIFS('Raw Data'!$L:$L,'Raw Data'!$B:$B,$B$2,'Raw Data'!$J:$J,G$2,'Raw Data'!$K:$K,"native",'Raw Data'!$H:$H,"Off Us",'Raw Data'!$I:$I,"",'Raw Data'!$M:$M,"JOD",'Raw Data'!$F:$F,"*Value of Money Transfer*")</f>
        <v>1200000000</v>
      </c>
      <c r="H29" s="11">
        <f>SUMIFS('Raw Data'!$L:$L,'Raw Data'!$B:$B,$B$2,'Raw Data'!$J:$J,H$2,'Raw Data'!$K:$K,"native",'Raw Data'!$H:$H,"Off Us",'Raw Data'!$I:$I,"",'Raw Data'!$M:$M,"JOD",'Raw Data'!$F:$F,"*Value of Money Transfer*")</f>
        <v>1140000000</v>
      </c>
      <c r="I29" s="11">
        <f>SUMIFS('Raw Data'!$L:$L,'Raw Data'!$B:$B,$B$2,'Raw Data'!$J:$J,I$2,'Raw Data'!$K:$K,"native",'Raw Data'!$H:$H,"Off Us",'Raw Data'!$I:$I,"",'Raw Data'!$M:$M,"JOD",'Raw Data'!$F:$F,"*Value of Money Transfer*")</f>
        <v>1400000000</v>
      </c>
      <c r="J29" s="11">
        <f>SUMIFS('Raw Data'!$L:$L,'Raw Data'!$B:$B,$B$2,'Raw Data'!$J:$J,J$2,'Raw Data'!$K:$K,"native",'Raw Data'!$H:$H,"Off Us",'Raw Data'!$I:$I,"",'Raw Data'!$M:$M,"JOD",'Raw Data'!$F:$F,"*Value of Money Transfer*")</f>
        <v>1280000000</v>
      </c>
      <c r="K29" s="11">
        <f>SUMIFS('Raw Data'!$L:$L,'Raw Data'!$B:$B,$B$2,'Raw Data'!$J:$J,K$2,'Raw Data'!$K:$K,"native",'Raw Data'!$H:$H,"Off Us",'Raw Data'!$I:$I,"",'Raw Data'!$M:$M,"JOD",'Raw Data'!$F:$F,"*Value of Money Transfer*")</f>
        <v>1430000000</v>
      </c>
      <c r="L29" s="11">
        <f>SUMIFS('Raw Data'!$L:$L,'Raw Data'!$B:$B,$B$2,'Raw Data'!$J:$J,L$2,'Raw Data'!$K:$K,"native",'Raw Data'!$H:$H,"Off Us",'Raw Data'!$I:$I,"",'Raw Data'!$M:$M,"JOD",'Raw Data'!$F:$F,"*Value of Money Transfer*")</f>
        <v>1380000000</v>
      </c>
      <c r="M29" s="11">
        <f>SUMIFS('Raw Data'!$L:$L,'Raw Data'!$B:$B,$B$2,'Raw Data'!$J:$J,M$2,'Raw Data'!$K:$K,"native",'Raw Data'!$H:$H,"Off Us",'Raw Data'!$I:$I,"",'Raw Data'!$M:$M,"JOD",'Raw Data'!$F:$F,"*Value of Money Transfer*")</f>
        <v>1520000000</v>
      </c>
      <c r="N29" s="11">
        <f>SUMIFS('Raw Data'!$L:$L,'Raw Data'!$B:$B,$B$2,'Raw Data'!$J:$J,N$2,'Raw Data'!$K:$K,"native",'Raw Data'!$H:$H,"Off Us",'Raw Data'!$I:$I,"",'Raw Data'!$M:$M,"JOD",'Raw Data'!$F:$F,"*Value of Money Transfer*")</f>
        <v>1470000000</v>
      </c>
      <c r="O29" s="11">
        <f>SUMIFS('Raw Data'!$L:$L,'Raw Data'!$B:$B,$B$2,'Raw Data'!$J:$J,O$2,'Raw Data'!$K:$K,"native",'Raw Data'!$H:$H,"Off Us",'Raw Data'!$I:$I,"",'Raw Data'!$M:$M,"JOD",'Raw Data'!$F:$F,"*Value of Money Transfer*")</f>
        <v>1430000000</v>
      </c>
      <c r="P29" s="11">
        <f>SUMIFS('Raw Data'!$L:$L,'Raw Data'!$B:$B,$B$2,'Raw Data'!$J:$J,P$2,'Raw Data'!$K:$K,"native",'Raw Data'!$H:$H,"Off Us",'Raw Data'!$I:$I,"",'Raw Data'!$M:$M,"JOD",'Raw Data'!$F:$F,"*Value of Money Transfer*")</f>
        <v>1430000000</v>
      </c>
      <c r="Q29" s="11">
        <f>SUMIFS('Raw Data'!$L:$L,'Raw Data'!$B:$B,$B$2,'Raw Data'!$J:$J,Q$2,'Raw Data'!$K:$K,"native",'Raw Data'!$H:$H,"Off Us",'Raw Data'!$I:$I,"",'Raw Data'!$M:$M,"JOD",'Raw Data'!$F:$F,"*Value of Money Transfer*")</f>
        <v>1350000000</v>
      </c>
      <c r="R29" s="11">
        <f>SUMIFS('Raw Data'!$L:$L,'Raw Data'!$B:$B,$B$2,'Raw Data'!$J:$J,R$2,'Raw Data'!$K:$K,"native",'Raw Data'!$H:$H,"Off Us",'Raw Data'!$I:$I,"",'Raw Data'!$M:$M,"JOD",'Raw Data'!$F:$F,"*Value of Money Transfer*")</f>
        <v>1460000000</v>
      </c>
      <c r="S29" s="11">
        <f>SUMIFS('Raw Data'!$L:$L,'Raw Data'!$B:$B,$B$2,'Raw Data'!$J:$J,S$2,'Raw Data'!$K:$K,"native",'Raw Data'!$H:$H,"Off Us",'Raw Data'!$I:$I,"",'Raw Data'!$M:$M,"JOD",'Raw Data'!$F:$F,"*Value of Money Transfer*")</f>
        <v>1460000000</v>
      </c>
      <c r="T29" s="11">
        <f>SUMIFS('Raw Data'!$L:$L,'Raw Data'!$B:$B,$B$2,'Raw Data'!$J:$J,T$2,'Raw Data'!$K:$K,"native",'Raw Data'!$H:$H,"Off Us",'Raw Data'!$I:$I,"",'Raw Data'!$M:$M,"JOD",'Raw Data'!$F:$F,"*Value of Money Transfer*")</f>
        <v>1390000000</v>
      </c>
      <c r="U29" s="11">
        <f>SUMIFS('Raw Data'!$L:$L,'Raw Data'!$B:$B,$B$2,'Raw Data'!$J:$J,U$2,'Raw Data'!$K:$K,"native",'Raw Data'!$H:$H,"Off Us",'Raw Data'!$I:$I,"",'Raw Data'!$M:$M,"JOD",'Raw Data'!$F:$F,"*Value of Money Transfer*")</f>
        <v>1590000000</v>
      </c>
      <c r="V29" s="11">
        <f>SUMIFS('Raw Data'!$L:$L,'Raw Data'!$B:$B,$B$2,'Raw Data'!$J:$J,V$2,'Raw Data'!$K:$K,"native",'Raw Data'!$H:$H,"Off Us",'Raw Data'!$I:$I,"",'Raw Data'!$M:$M,"JOD",'Raw Data'!$F:$F,"*Value of Money Transfer*")</f>
        <v>1460000000</v>
      </c>
      <c r="W29" s="11">
        <f>SUMIFS('Raw Data'!$L:$L,'Raw Data'!$B:$B,$B$2,'Raw Data'!$J:$J,W$2,'Raw Data'!$K:$K,"native",'Raw Data'!$H:$H,"Off Us",'Raw Data'!$I:$I,"",'Raw Data'!$M:$M,"JOD",'Raw Data'!$F:$F,"*Value of Money Transfer*")</f>
        <v>1650000000</v>
      </c>
      <c r="X29" s="11">
        <f>SUMIFS('Raw Data'!$L:$L,'Raw Data'!$B:$B,$B$2,'Raw Data'!$J:$J,X$2,'Raw Data'!$K:$K,"native",'Raw Data'!$H:$H,"Off Us",'Raw Data'!$I:$I,"",'Raw Data'!$M:$M,"JOD",'Raw Data'!$F:$F,"*Value of Money Transfer*")</f>
        <v>1620000000</v>
      </c>
      <c r="Y29" s="11">
        <f>SUMIFS('Raw Data'!$L:$L,'Raw Data'!$B:$B,$B$2,'Raw Data'!$J:$J,Y$2,'Raw Data'!$K:$K,"native",'Raw Data'!$H:$H,"Off Us",'Raw Data'!$I:$I,"",'Raw Data'!$M:$M,"JOD",'Raw Data'!$F:$F,"*Value of Money Transfer*")</f>
        <v>1760000000</v>
      </c>
      <c r="Z29" s="11">
        <f>SUMIFS('Raw Data'!$L:$L,'Raw Data'!$B:$B,$B$2,'Raw Data'!$J:$J,Z$2,'Raw Data'!$K:$K,"native",'Raw Data'!$H:$H,"Off Us",'Raw Data'!$I:$I,"",'Raw Data'!$M:$M,"JOD",'Raw Data'!$F:$F,"*Value of Money Transfer*")</f>
        <v>1830000000</v>
      </c>
    </row>
    <row r="30" spans="1:26" x14ac:dyDescent="0.25">
      <c r="A30" s="10" t="s">
        <v>82</v>
      </c>
      <c r="B30" s="10" t="s">
        <v>95</v>
      </c>
      <c r="C30" s="11">
        <f>SUMIFS('Raw Data'!$L:$L,'Raw Data'!$B:$B,$B$2,'Raw Data'!$J:$J,C$2,'Raw Data'!$K:$K,"native",'Raw Data'!$H:$H,"On Us",'Raw Data'!$I:$I,"",'Raw Data'!$M:$M,"JOD",'Raw Data'!$F:$F,"*Value of Money Transfer*")</f>
        <v>254100000</v>
      </c>
      <c r="D30" s="11">
        <f>SUMIFS('Raw Data'!$L:$L,'Raw Data'!$B:$B,$B$2,'Raw Data'!$J:$J,D$2,'Raw Data'!$K:$K,"native",'Raw Data'!$H:$H,"On Us",'Raw Data'!$I:$I,"",'Raw Data'!$M:$M,"JOD",'Raw Data'!$F:$F,"*Value of Money Transfer*")</f>
        <v>261000000</v>
      </c>
      <c r="E30" s="11">
        <f>SUMIFS('Raw Data'!$L:$L,'Raw Data'!$B:$B,$B$2,'Raw Data'!$J:$J,E$2,'Raw Data'!$K:$K,"native",'Raw Data'!$H:$H,"On Us",'Raw Data'!$I:$I,"",'Raw Data'!$M:$M,"JOD",'Raw Data'!$F:$F,"*Value of Money Transfer*")</f>
        <v>254100000</v>
      </c>
      <c r="F30" s="11">
        <f>SUMIFS('Raw Data'!$L:$L,'Raw Data'!$B:$B,$B$2,'Raw Data'!$J:$J,F$2,'Raw Data'!$K:$K,"native",'Raw Data'!$H:$H,"On Us",'Raw Data'!$I:$I,"",'Raw Data'!$M:$M,"JOD",'Raw Data'!$F:$F,"*Value of Money Transfer*")</f>
        <v>295400000</v>
      </c>
      <c r="G30" s="11">
        <f>SUMIFS('Raw Data'!$L:$L,'Raw Data'!$B:$B,$B$2,'Raw Data'!$J:$J,G$2,'Raw Data'!$K:$K,"native",'Raw Data'!$H:$H,"On Us",'Raw Data'!$I:$I,"",'Raw Data'!$M:$M,"JOD",'Raw Data'!$F:$F,"*Value of Money Transfer*")</f>
        <v>290600000</v>
      </c>
      <c r="H30" s="11">
        <f>SUMIFS('Raw Data'!$L:$L,'Raw Data'!$B:$B,$B$2,'Raw Data'!$J:$J,H$2,'Raw Data'!$K:$K,"native",'Raw Data'!$H:$H,"On Us",'Raw Data'!$I:$I,"",'Raw Data'!$M:$M,"JOD",'Raw Data'!$F:$F,"*Value of Money Transfer*")</f>
        <v>275100000</v>
      </c>
      <c r="I30" s="11">
        <f>SUMIFS('Raw Data'!$L:$L,'Raw Data'!$B:$B,$B$2,'Raw Data'!$J:$J,I$2,'Raw Data'!$K:$K,"native",'Raw Data'!$H:$H,"On Us",'Raw Data'!$I:$I,"",'Raw Data'!$M:$M,"JOD",'Raw Data'!$F:$F,"*Value of Money Transfer*")</f>
        <v>343400000</v>
      </c>
      <c r="J30" s="11">
        <f>SUMIFS('Raw Data'!$L:$L,'Raw Data'!$B:$B,$B$2,'Raw Data'!$J:$J,J$2,'Raw Data'!$K:$K,"native",'Raw Data'!$H:$H,"On Us",'Raw Data'!$I:$I,"",'Raw Data'!$M:$M,"JOD",'Raw Data'!$F:$F,"*Value of Money Transfer*")</f>
        <v>309800000</v>
      </c>
      <c r="K30" s="11">
        <f>SUMIFS('Raw Data'!$L:$L,'Raw Data'!$B:$B,$B$2,'Raw Data'!$J:$J,K$2,'Raw Data'!$K:$K,"native",'Raw Data'!$H:$H,"On Us",'Raw Data'!$I:$I,"",'Raw Data'!$M:$M,"JOD",'Raw Data'!$F:$F,"*Value of Money Transfer*")</f>
        <v>349400000</v>
      </c>
      <c r="L30" s="11">
        <f>SUMIFS('Raw Data'!$L:$L,'Raw Data'!$B:$B,$B$2,'Raw Data'!$J:$J,L$2,'Raw Data'!$K:$K,"native",'Raw Data'!$H:$H,"On Us",'Raw Data'!$I:$I,"",'Raw Data'!$M:$M,"JOD",'Raw Data'!$F:$F,"*Value of Money Transfer*")</f>
        <v>339200000</v>
      </c>
      <c r="M30" s="11">
        <f>SUMIFS('Raw Data'!$L:$L,'Raw Data'!$B:$B,$B$2,'Raw Data'!$J:$J,M$2,'Raw Data'!$K:$K,"native",'Raw Data'!$H:$H,"On Us",'Raw Data'!$I:$I,"",'Raw Data'!$M:$M,"JOD",'Raw Data'!$F:$F,"*Value of Money Transfer*")</f>
        <v>383300000</v>
      </c>
      <c r="N30" s="11">
        <f>SUMIFS('Raw Data'!$L:$L,'Raw Data'!$B:$B,$B$2,'Raw Data'!$J:$J,N$2,'Raw Data'!$K:$K,"native",'Raw Data'!$H:$H,"On Us",'Raw Data'!$I:$I,"",'Raw Data'!$M:$M,"JOD",'Raw Data'!$F:$F,"*Value of Money Transfer*")</f>
        <v>376030000</v>
      </c>
      <c r="O30" s="11">
        <f>SUMIFS('Raw Data'!$L:$L,'Raw Data'!$B:$B,$B$2,'Raw Data'!$J:$J,O$2,'Raw Data'!$K:$K,"native",'Raw Data'!$H:$H,"On Us",'Raw Data'!$I:$I,"",'Raw Data'!$M:$M,"JOD",'Raw Data'!$F:$F,"*Value of Money Transfer*")</f>
        <v>368700000</v>
      </c>
      <c r="P30" s="11">
        <f>SUMIFS('Raw Data'!$L:$L,'Raw Data'!$B:$B,$B$2,'Raw Data'!$J:$J,P$2,'Raw Data'!$K:$K,"native",'Raw Data'!$H:$H,"On Us",'Raw Data'!$I:$I,"",'Raw Data'!$M:$M,"JOD",'Raw Data'!$F:$F,"*Value of Money Transfer*")</f>
        <v>361800000</v>
      </c>
      <c r="Q30" s="11">
        <f>SUMIFS('Raw Data'!$L:$L,'Raw Data'!$B:$B,$B$2,'Raw Data'!$J:$J,Q$2,'Raw Data'!$K:$K,"native",'Raw Data'!$H:$H,"On Us",'Raw Data'!$I:$I,"",'Raw Data'!$M:$M,"JOD",'Raw Data'!$F:$F,"*Value of Money Transfer*")</f>
        <v>340050000</v>
      </c>
      <c r="R30" s="11">
        <f>SUMIFS('Raw Data'!$L:$L,'Raw Data'!$B:$B,$B$2,'Raw Data'!$J:$J,R$2,'Raw Data'!$K:$K,"native",'Raw Data'!$H:$H,"On Us",'Raw Data'!$I:$I,"",'Raw Data'!$M:$M,"JOD",'Raw Data'!$F:$F,"*Value of Money Transfer*")</f>
        <v>373600000</v>
      </c>
      <c r="S30" s="11">
        <f>SUMIFS('Raw Data'!$L:$L,'Raw Data'!$B:$B,$B$2,'Raw Data'!$J:$J,S$2,'Raw Data'!$K:$K,"native",'Raw Data'!$H:$H,"On Us",'Raw Data'!$I:$I,"",'Raw Data'!$M:$M,"JOD",'Raw Data'!$F:$F,"*Value of Money Transfer*")</f>
        <v>391600000</v>
      </c>
      <c r="T30" s="11">
        <f>SUMIFS('Raw Data'!$L:$L,'Raw Data'!$B:$B,$B$2,'Raw Data'!$J:$J,T$2,'Raw Data'!$K:$K,"native",'Raw Data'!$H:$H,"On Us",'Raw Data'!$I:$I,"",'Raw Data'!$M:$M,"JOD",'Raw Data'!$F:$F,"*Value of Money Transfer*")</f>
        <v>374000000</v>
      </c>
      <c r="U30" s="11">
        <f>SUMIFS('Raw Data'!$L:$L,'Raw Data'!$B:$B,$B$2,'Raw Data'!$J:$J,U$2,'Raw Data'!$K:$K,"native",'Raw Data'!$H:$H,"On Us",'Raw Data'!$I:$I,"",'Raw Data'!$M:$M,"JOD",'Raw Data'!$F:$F,"*Value of Money Transfer*")</f>
        <v>422700000</v>
      </c>
      <c r="V30" s="11">
        <f>SUMIFS('Raw Data'!$L:$L,'Raw Data'!$B:$B,$B$2,'Raw Data'!$J:$J,V$2,'Raw Data'!$K:$K,"native",'Raw Data'!$H:$H,"On Us",'Raw Data'!$I:$I,"",'Raw Data'!$M:$M,"JOD",'Raw Data'!$F:$F,"*Value of Money Transfer*")</f>
        <v>390400000</v>
      </c>
      <c r="W30" s="11">
        <f>SUMIFS('Raw Data'!$L:$L,'Raw Data'!$B:$B,$B$2,'Raw Data'!$J:$J,W$2,'Raw Data'!$K:$K,"native",'Raw Data'!$H:$H,"On Us",'Raw Data'!$I:$I,"",'Raw Data'!$M:$M,"JOD",'Raw Data'!$F:$F,"*Value of Money Transfer*")</f>
        <v>443450000</v>
      </c>
      <c r="X30" s="11">
        <f>SUMIFS('Raw Data'!$L:$L,'Raw Data'!$B:$B,$B$2,'Raw Data'!$J:$J,X$2,'Raw Data'!$K:$K,"native",'Raw Data'!$H:$H,"On Us",'Raw Data'!$I:$I,"",'Raw Data'!$M:$M,"JOD",'Raw Data'!$F:$F,"*Value of Money Transfer*")</f>
        <v>432000000</v>
      </c>
      <c r="Y30" s="11">
        <f>SUMIFS('Raw Data'!$L:$L,'Raw Data'!$B:$B,$B$2,'Raw Data'!$J:$J,Y$2,'Raw Data'!$K:$K,"native",'Raw Data'!$H:$H,"On Us",'Raw Data'!$I:$I,"",'Raw Data'!$M:$M,"JOD",'Raw Data'!$F:$F,"*Value of Money Transfer*")</f>
        <v>476000000</v>
      </c>
      <c r="Z30" s="11">
        <f>SUMIFS('Raw Data'!$L:$L,'Raw Data'!$B:$B,$B$2,'Raw Data'!$J:$J,Z$2,'Raw Data'!$K:$K,"native",'Raw Data'!$H:$H,"On Us",'Raw Data'!$I:$I,"",'Raw Data'!$M:$M,"JOD",'Raw Data'!$F:$F,"*Value of Money Transfer*")</f>
        <v>490000000</v>
      </c>
    </row>
    <row r="31" spans="1:26" x14ac:dyDescent="0.25">
      <c r="A31" s="53" t="s">
        <v>176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x14ac:dyDescent="0.25">
      <c r="A32" s="10" t="s">
        <v>82</v>
      </c>
      <c r="B32" s="10" t="s">
        <v>173</v>
      </c>
      <c r="C32" s="11">
        <f>SUMIFS('Raw Data'!$L:$L,'Raw Data'!$B:$B,$B$2,'Raw Data'!$J:$J,C$2,'Raw Data'!$K:$K,"native",'Raw Data'!$H:$H,"Bank to mPSP",'Raw Data'!$I:$I,"",'Raw Data'!$M:$M,"JOD",'Raw Data'!$F:$F,"Value of*")</f>
        <v>132900000</v>
      </c>
      <c r="D32" s="11">
        <f>SUMIFS('Raw Data'!$L:$L,'Raw Data'!$B:$B,$B$2,'Raw Data'!$J:$J,D$2,'Raw Data'!$K:$K,"native",'Raw Data'!$H:$H,"Bank to mPSP",'Raw Data'!$I:$I,"",'Raw Data'!$M:$M,"JOD",'Raw Data'!$F:$F,"Value of*")</f>
        <v>139200000</v>
      </c>
      <c r="E32" s="11">
        <f>SUMIFS('Raw Data'!$L:$L,'Raw Data'!$B:$B,$B$2,'Raw Data'!$J:$J,E$2,'Raw Data'!$K:$K,"native",'Raw Data'!$H:$H,"Bank to mPSP",'Raw Data'!$I:$I,"",'Raw Data'!$M:$M,"JOD",'Raw Data'!$F:$F,"Value of*")</f>
        <v>136000000</v>
      </c>
      <c r="F32" s="11">
        <f>SUMIFS('Raw Data'!$L:$L,'Raw Data'!$B:$B,$B$2,'Raw Data'!$J:$J,F$2,'Raw Data'!$K:$K,"native",'Raw Data'!$H:$H,"Bank to mPSP",'Raw Data'!$I:$I,"",'Raw Data'!$M:$M,"JOD",'Raw Data'!$F:$F,"Value of*")</f>
        <v>147300000</v>
      </c>
      <c r="G32" s="11">
        <f>SUMIFS('Raw Data'!$L:$L,'Raw Data'!$B:$B,$B$2,'Raw Data'!$J:$J,G$2,'Raw Data'!$K:$K,"native",'Raw Data'!$H:$H,"Bank to mPSP",'Raw Data'!$I:$I,"",'Raw Data'!$M:$M,"JOD",'Raw Data'!$F:$F,"Value of*")</f>
        <v>149900000</v>
      </c>
      <c r="H32" s="11">
        <f>SUMIFS('Raw Data'!$L:$L,'Raw Data'!$B:$B,$B$2,'Raw Data'!$J:$J,H$2,'Raw Data'!$K:$K,"native",'Raw Data'!$H:$H,"Bank to mPSP",'Raw Data'!$I:$I,"",'Raw Data'!$M:$M,"JOD",'Raw Data'!$F:$F,"Value of*")</f>
        <v>146300000</v>
      </c>
      <c r="I32" s="11">
        <f>SUMIFS('Raw Data'!$L:$L,'Raw Data'!$B:$B,$B$2,'Raw Data'!$J:$J,I$2,'Raw Data'!$K:$K,"native",'Raw Data'!$H:$H,"Bank to mPSP",'Raw Data'!$I:$I,"",'Raw Data'!$M:$M,"JOD",'Raw Data'!$F:$F,"Value of*")</f>
        <v>182200000</v>
      </c>
      <c r="J32" s="11">
        <f>SUMIFS('Raw Data'!$L:$L,'Raw Data'!$B:$B,$B$2,'Raw Data'!$J:$J,J$2,'Raw Data'!$K:$K,"native",'Raw Data'!$H:$H,"Bank to mPSP",'Raw Data'!$I:$I,"",'Raw Data'!$M:$M,"JOD",'Raw Data'!$F:$F,"Value of*")</f>
        <v>160200000</v>
      </c>
      <c r="K32" s="11">
        <f>SUMIFS('Raw Data'!$L:$L,'Raw Data'!$B:$B,$B$2,'Raw Data'!$J:$J,K$2,'Raw Data'!$K:$K,"native",'Raw Data'!$H:$H,"Bank to mPSP",'Raw Data'!$I:$I,"",'Raw Data'!$M:$M,"JOD",'Raw Data'!$F:$F,"Value of*")</f>
        <v>190900000</v>
      </c>
      <c r="L32" s="11">
        <f>SUMIFS('Raw Data'!$L:$L,'Raw Data'!$B:$B,$B$2,'Raw Data'!$J:$J,L$2,'Raw Data'!$K:$K,"native",'Raw Data'!$H:$H,"Bank to mPSP",'Raw Data'!$I:$I,"",'Raw Data'!$M:$M,"JOD",'Raw Data'!$F:$F,"Value of*")</f>
        <v>184500000</v>
      </c>
      <c r="M32" s="11">
        <f>SUMIFS('Raw Data'!$L:$L,'Raw Data'!$B:$B,$B$2,'Raw Data'!$J:$J,M$2,'Raw Data'!$K:$K,"native",'Raw Data'!$H:$H,"Bank to mPSP",'Raw Data'!$I:$I,"",'Raw Data'!$M:$M,"JOD",'Raw Data'!$F:$F,"Value of*")</f>
        <v>204900000</v>
      </c>
      <c r="N32" s="11">
        <f>SUMIFS('Raw Data'!$L:$L,'Raw Data'!$B:$B,$B$2,'Raw Data'!$J:$J,N$2,'Raw Data'!$K:$K,"native",'Raw Data'!$H:$H,"Bank to mPSP",'Raw Data'!$I:$I,"",'Raw Data'!$M:$M,"JOD",'Raw Data'!$F:$F,"Value of*")</f>
        <v>195300000</v>
      </c>
      <c r="O32" s="11">
        <f>SUMIFS('Raw Data'!$L:$L,'Raw Data'!$B:$B,$B$2,'Raw Data'!$J:$J,O$2,'Raw Data'!$K:$K,"native",'Raw Data'!$H:$H,"Bank to mPSP",'Raw Data'!$I:$I,"",'Raw Data'!$M:$M,"JOD",'Raw Data'!$F:$F,"Value of*")</f>
        <v>190700000</v>
      </c>
      <c r="P32" s="11">
        <f>SUMIFS('Raw Data'!$L:$L,'Raw Data'!$B:$B,$B$2,'Raw Data'!$J:$J,P$2,'Raw Data'!$K:$K,"native",'Raw Data'!$H:$H,"Bank to mPSP",'Raw Data'!$I:$I,"",'Raw Data'!$M:$M,"JOD",'Raw Data'!$F:$F,"Value of*")</f>
        <v>195400000</v>
      </c>
      <c r="Q32" s="11">
        <f>SUMIFS('Raw Data'!$L:$L,'Raw Data'!$B:$B,$B$2,'Raw Data'!$J:$J,Q$2,'Raw Data'!$K:$K,"native",'Raw Data'!$H:$H,"Bank to mPSP",'Raw Data'!$I:$I,"",'Raw Data'!$M:$M,"JOD",'Raw Data'!$F:$F,"Value of*")</f>
        <v>187000000</v>
      </c>
      <c r="R32" s="11">
        <f>SUMIFS('Raw Data'!$L:$L,'Raw Data'!$B:$B,$B$2,'Raw Data'!$J:$J,R$2,'Raw Data'!$K:$K,"native",'Raw Data'!$H:$H,"Bank to mPSP",'Raw Data'!$I:$I,"",'Raw Data'!$M:$M,"JOD",'Raw Data'!$F:$F,"Value of*")</f>
        <v>197700000</v>
      </c>
      <c r="S32" s="11">
        <f>SUMIFS('Raw Data'!$L:$L,'Raw Data'!$B:$B,$B$2,'Raw Data'!$J:$J,S$2,'Raw Data'!$K:$K,"native",'Raw Data'!$H:$H,"Bank to mPSP",'Raw Data'!$I:$I,"",'Raw Data'!$M:$M,"JOD",'Raw Data'!$F:$F,"Value of*")</f>
        <v>194500000</v>
      </c>
      <c r="T32" s="11">
        <f>SUMIFS('Raw Data'!$L:$L,'Raw Data'!$B:$B,$B$2,'Raw Data'!$J:$J,T$2,'Raw Data'!$K:$K,"native",'Raw Data'!$H:$H,"Bank to mPSP",'Raw Data'!$I:$I,"",'Raw Data'!$M:$M,"JOD",'Raw Data'!$F:$F,"Value of*")</f>
        <v>191700000</v>
      </c>
      <c r="U32" s="11">
        <f>SUMIFS('Raw Data'!$L:$L,'Raw Data'!$B:$B,$B$2,'Raw Data'!$J:$J,U$2,'Raw Data'!$K:$K,"native",'Raw Data'!$H:$H,"Bank to mPSP",'Raw Data'!$I:$I,"",'Raw Data'!$M:$M,"JOD",'Raw Data'!$F:$F,"Value of*")</f>
        <v>219400000</v>
      </c>
      <c r="V32" s="11">
        <f>SUMIFS('Raw Data'!$L:$L,'Raw Data'!$B:$B,$B$2,'Raw Data'!$J:$J,V$2,'Raw Data'!$K:$K,"native",'Raw Data'!$H:$H,"Bank to mPSP",'Raw Data'!$I:$I,"",'Raw Data'!$M:$M,"JOD",'Raw Data'!$F:$F,"Value of*")</f>
        <v>205400000</v>
      </c>
      <c r="W32" s="11">
        <f>SUMIFS('Raw Data'!$L:$L,'Raw Data'!$B:$B,$B$2,'Raw Data'!$J:$J,W$2,'Raw Data'!$K:$K,"native",'Raw Data'!$H:$H,"Bank to mPSP",'Raw Data'!$I:$I,"",'Raw Data'!$M:$M,"JOD",'Raw Data'!$F:$F,"Value of*")</f>
        <v>235700000</v>
      </c>
      <c r="X32" s="11">
        <f>SUMIFS('Raw Data'!$L:$L,'Raw Data'!$B:$B,$B$2,'Raw Data'!$J:$J,X$2,'Raw Data'!$K:$K,"native",'Raw Data'!$H:$H,"Bank to mPSP",'Raw Data'!$I:$I,"",'Raw Data'!$M:$M,"JOD",'Raw Data'!$F:$F,"Value of*")</f>
        <v>227400000</v>
      </c>
      <c r="Y32" s="11">
        <f>SUMIFS('Raw Data'!$L:$L,'Raw Data'!$B:$B,$B$2,'Raw Data'!$J:$J,Y$2,'Raw Data'!$K:$K,"native",'Raw Data'!$H:$H,"Bank to mPSP",'Raw Data'!$I:$I,"",'Raw Data'!$M:$M,"JOD",'Raw Data'!$F:$F,"Value of*")</f>
        <v>254960000</v>
      </c>
      <c r="Z32" s="11">
        <f>SUMIFS('Raw Data'!$L:$L,'Raw Data'!$B:$B,$B$2,'Raw Data'!$J:$J,Z$2,'Raw Data'!$K:$K,"native",'Raw Data'!$H:$H,"Bank to mPSP",'Raw Data'!$I:$I,"",'Raw Data'!$M:$M,"JOD",'Raw Data'!$F:$F,"Value of*")</f>
        <v>263400000</v>
      </c>
    </row>
    <row r="33" spans="1:26" x14ac:dyDescent="0.25">
      <c r="A33" s="10" t="s">
        <v>82</v>
      </c>
      <c r="B33" s="10" t="s">
        <v>174</v>
      </c>
      <c r="C33" s="11">
        <f>SUMIFS('Raw Data'!$L:$L,'Raw Data'!$B:$B,$B$2,'Raw Data'!$J:$J,C$2,'Raw Data'!$K:$K,"native",'Raw Data'!$H:$H,"mPSP to Bank",'Raw Data'!$I:$I,"",'Raw Data'!$M:$M,"JOD",'Raw Data'!$F:$F,"Value of*")</f>
        <v>201500000</v>
      </c>
      <c r="D33" s="11">
        <f>SUMIFS('Raw Data'!$L:$L,'Raw Data'!$B:$B,$B$2,'Raw Data'!$J:$J,D$2,'Raw Data'!$K:$K,"native",'Raw Data'!$H:$H,"mPSP to Bank",'Raw Data'!$I:$I,"",'Raw Data'!$M:$M,"JOD",'Raw Data'!$F:$F,"Value of*")</f>
        <v>218600000</v>
      </c>
      <c r="E33" s="11">
        <f>SUMIFS('Raw Data'!$L:$L,'Raw Data'!$B:$B,$B$2,'Raw Data'!$J:$J,E$2,'Raw Data'!$K:$K,"native",'Raw Data'!$H:$H,"mPSP to Bank",'Raw Data'!$I:$I,"",'Raw Data'!$M:$M,"JOD",'Raw Data'!$F:$F,"Value of*")</f>
        <v>212000000</v>
      </c>
      <c r="F33" s="11">
        <f>SUMIFS('Raw Data'!$L:$L,'Raw Data'!$B:$B,$B$2,'Raw Data'!$J:$J,F$2,'Raw Data'!$K:$K,"native",'Raw Data'!$H:$H,"mPSP to Bank",'Raw Data'!$I:$I,"",'Raw Data'!$M:$M,"JOD",'Raw Data'!$F:$F,"Value of*")</f>
        <v>230600000</v>
      </c>
      <c r="G33" s="11">
        <f>SUMIFS('Raw Data'!$L:$L,'Raw Data'!$B:$B,$B$2,'Raw Data'!$J:$J,G$2,'Raw Data'!$K:$K,"native",'Raw Data'!$H:$H,"mPSP to Bank",'Raw Data'!$I:$I,"",'Raw Data'!$M:$M,"JOD",'Raw Data'!$F:$F,"Value of*")</f>
        <v>225900000</v>
      </c>
      <c r="H33" s="11">
        <f>SUMIFS('Raw Data'!$L:$L,'Raw Data'!$B:$B,$B$2,'Raw Data'!$J:$J,H$2,'Raw Data'!$K:$K,"native",'Raw Data'!$H:$H,"mPSP to Bank",'Raw Data'!$I:$I,"",'Raw Data'!$M:$M,"JOD",'Raw Data'!$F:$F,"Value of*")</f>
        <v>211100000</v>
      </c>
      <c r="I33" s="11">
        <f>SUMIFS('Raw Data'!$L:$L,'Raw Data'!$B:$B,$B$2,'Raw Data'!$J:$J,I$2,'Raw Data'!$K:$K,"native",'Raw Data'!$H:$H,"mPSP to Bank",'Raw Data'!$I:$I,"",'Raw Data'!$M:$M,"JOD",'Raw Data'!$F:$F,"Value of*")</f>
        <v>260600000</v>
      </c>
      <c r="J33" s="11">
        <f>SUMIFS('Raw Data'!$L:$L,'Raw Data'!$B:$B,$B$2,'Raw Data'!$J:$J,J$2,'Raw Data'!$K:$K,"native",'Raw Data'!$H:$H,"mPSP to Bank",'Raw Data'!$I:$I,"",'Raw Data'!$M:$M,"JOD",'Raw Data'!$F:$F,"Value of*")</f>
        <v>235300000</v>
      </c>
      <c r="K33" s="11">
        <f>SUMIFS('Raw Data'!$L:$L,'Raw Data'!$B:$B,$B$2,'Raw Data'!$J:$J,K$2,'Raw Data'!$K:$K,"native",'Raw Data'!$H:$H,"mPSP to Bank",'Raw Data'!$I:$I,"",'Raw Data'!$M:$M,"JOD",'Raw Data'!$F:$F,"Value of*")</f>
        <v>269400000</v>
      </c>
      <c r="L33" s="11">
        <f>SUMIFS('Raw Data'!$L:$L,'Raw Data'!$B:$B,$B$2,'Raw Data'!$J:$J,L$2,'Raw Data'!$K:$K,"native",'Raw Data'!$H:$H,"mPSP to Bank",'Raw Data'!$I:$I,"",'Raw Data'!$M:$M,"JOD",'Raw Data'!$F:$F,"Value of*")</f>
        <v>253200000</v>
      </c>
      <c r="M33" s="11">
        <f>SUMIFS('Raw Data'!$L:$L,'Raw Data'!$B:$B,$B$2,'Raw Data'!$J:$J,M$2,'Raw Data'!$K:$K,"native",'Raw Data'!$H:$H,"mPSP to Bank",'Raw Data'!$I:$I,"",'Raw Data'!$M:$M,"JOD",'Raw Data'!$F:$F,"Value of*")</f>
        <v>278100000</v>
      </c>
      <c r="N33" s="11">
        <f>SUMIFS('Raw Data'!$L:$L,'Raw Data'!$B:$B,$B$2,'Raw Data'!$J:$J,N$2,'Raw Data'!$K:$K,"native",'Raw Data'!$H:$H,"mPSP to Bank",'Raw Data'!$I:$I,"",'Raw Data'!$M:$M,"JOD",'Raw Data'!$F:$F,"Value of*")</f>
        <v>272600000</v>
      </c>
      <c r="O33" s="11">
        <f>SUMIFS('Raw Data'!$L:$L,'Raw Data'!$B:$B,$B$2,'Raw Data'!$J:$J,O$2,'Raw Data'!$K:$K,"native",'Raw Data'!$H:$H,"mPSP to Bank",'Raw Data'!$I:$I,"",'Raw Data'!$M:$M,"JOD",'Raw Data'!$F:$F,"Value of*")</f>
        <v>254200000</v>
      </c>
      <c r="P33" s="11">
        <f>SUMIFS('Raw Data'!$L:$L,'Raw Data'!$B:$B,$B$2,'Raw Data'!$J:$J,P$2,'Raw Data'!$K:$K,"native",'Raw Data'!$H:$H,"mPSP to Bank",'Raw Data'!$I:$I,"",'Raw Data'!$M:$M,"JOD",'Raw Data'!$F:$F,"Value of*")</f>
        <v>239400000</v>
      </c>
      <c r="Q33" s="11">
        <f>SUMIFS('Raw Data'!$L:$L,'Raw Data'!$B:$B,$B$2,'Raw Data'!$J:$J,Q$2,'Raw Data'!$K:$K,"native",'Raw Data'!$H:$H,"mPSP to Bank",'Raw Data'!$I:$I,"",'Raw Data'!$M:$M,"JOD",'Raw Data'!$F:$F,"Value of*")</f>
        <v>229600000</v>
      </c>
      <c r="R33" s="11">
        <f>SUMIFS('Raw Data'!$L:$L,'Raw Data'!$B:$B,$B$2,'Raw Data'!$J:$J,R$2,'Raw Data'!$K:$K,"native",'Raw Data'!$H:$H,"mPSP to Bank",'Raw Data'!$I:$I,"",'Raw Data'!$M:$M,"JOD",'Raw Data'!$F:$F,"Value of*")</f>
        <v>242900000</v>
      </c>
      <c r="S33" s="11">
        <f>SUMIFS('Raw Data'!$L:$L,'Raw Data'!$B:$B,$B$2,'Raw Data'!$J:$J,S$2,'Raw Data'!$K:$K,"native",'Raw Data'!$H:$H,"mPSP to Bank",'Raw Data'!$I:$I,"",'Raw Data'!$M:$M,"JOD",'Raw Data'!$F:$F,"Value of*")</f>
        <v>238000000</v>
      </c>
      <c r="T33" s="11">
        <f>SUMIFS('Raw Data'!$L:$L,'Raw Data'!$B:$B,$B$2,'Raw Data'!$J:$J,T$2,'Raw Data'!$K:$K,"native",'Raw Data'!$H:$H,"mPSP to Bank",'Raw Data'!$I:$I,"",'Raw Data'!$M:$M,"JOD",'Raw Data'!$F:$F,"Value of*")</f>
        <v>222600000</v>
      </c>
      <c r="U33" s="11">
        <f>SUMIFS('Raw Data'!$L:$L,'Raw Data'!$B:$B,$B$2,'Raw Data'!$J:$J,U$2,'Raw Data'!$K:$K,"native",'Raw Data'!$H:$H,"mPSP to Bank",'Raw Data'!$I:$I,"",'Raw Data'!$M:$M,"JOD",'Raw Data'!$F:$F,"Value of*")</f>
        <v>260200000</v>
      </c>
      <c r="V33" s="11">
        <f>SUMIFS('Raw Data'!$L:$L,'Raw Data'!$B:$B,$B$2,'Raw Data'!$J:$J,V$2,'Raw Data'!$K:$K,"native",'Raw Data'!$H:$H,"mPSP to Bank",'Raw Data'!$I:$I,"",'Raw Data'!$M:$M,"JOD",'Raw Data'!$F:$F,"Value of*")</f>
        <v>241100000</v>
      </c>
      <c r="W33" s="11">
        <f>SUMIFS('Raw Data'!$L:$L,'Raw Data'!$B:$B,$B$2,'Raw Data'!$J:$J,W$2,'Raw Data'!$K:$K,"native",'Raw Data'!$H:$H,"mPSP to Bank",'Raw Data'!$I:$I,"",'Raw Data'!$M:$M,"JOD",'Raw Data'!$F:$F,"Value of*")</f>
        <v>281700000</v>
      </c>
      <c r="X33" s="11">
        <f>SUMIFS('Raw Data'!$L:$L,'Raw Data'!$B:$B,$B$2,'Raw Data'!$J:$J,X$2,'Raw Data'!$K:$K,"native",'Raw Data'!$H:$H,"mPSP to Bank",'Raw Data'!$I:$I,"",'Raw Data'!$M:$M,"JOD",'Raw Data'!$F:$F,"Value of*")</f>
        <v>271600000</v>
      </c>
      <c r="Y33" s="11">
        <f>SUMIFS('Raw Data'!$L:$L,'Raw Data'!$B:$B,$B$2,'Raw Data'!$J:$J,Y$2,'Raw Data'!$K:$K,"native",'Raw Data'!$H:$H,"mPSP to Bank",'Raw Data'!$I:$I,"",'Raw Data'!$M:$M,"JOD",'Raw Data'!$F:$F,"Value of*")</f>
        <v>298780000</v>
      </c>
      <c r="Z33" s="11">
        <f>SUMIFS('Raw Data'!$L:$L,'Raw Data'!$B:$B,$B$2,'Raw Data'!$J:$J,Z$2,'Raw Data'!$K:$K,"native",'Raw Data'!$H:$H,"mPSP to Bank",'Raw Data'!$I:$I,"",'Raw Data'!$M:$M,"JOD",'Raw Data'!$F:$F,"Value of*")</f>
        <v>310000000</v>
      </c>
    </row>
    <row r="34" spans="1:26" x14ac:dyDescent="0.25">
      <c r="A34" s="53" t="s">
        <v>177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x14ac:dyDescent="0.25">
      <c r="A35" s="10" t="s">
        <v>82</v>
      </c>
      <c r="B35" s="10" t="s">
        <v>164</v>
      </c>
      <c r="C35" s="11">
        <f>SUMIFS('Raw Data'!$L:$L,'Raw Data'!$B:$B,$B$2,'Raw Data'!$J:$J,C$2,'Raw Data'!$K:$K,"native",'Raw Data'!$H:$H,"Bank to Bank",'Raw Data'!$I:$I,"",'Raw Data'!$M:$M,"JOD",'Raw Data'!$F:$F,"Average*")</f>
        <v>171</v>
      </c>
      <c r="D35" s="11">
        <f>SUMIFS('Raw Data'!$L:$L,'Raw Data'!$B:$B,$B$2,'Raw Data'!$J:$J,D$2,'Raw Data'!$K:$K,"native",'Raw Data'!$H:$H,"Bank to Bank",'Raw Data'!$I:$I,"",'Raw Data'!$M:$M,"JOD",'Raw Data'!$F:$F,"Average*")</f>
        <v>162</v>
      </c>
      <c r="E35" s="11">
        <f>SUMIFS('Raw Data'!$L:$L,'Raw Data'!$B:$B,$B$2,'Raw Data'!$J:$J,E$2,'Raw Data'!$K:$K,"native",'Raw Data'!$H:$H,"Bank to Bank",'Raw Data'!$I:$I,"",'Raw Data'!$M:$M,"JOD",'Raw Data'!$F:$F,"Average*")</f>
        <v>154</v>
      </c>
      <c r="F35" s="11">
        <f>SUMIFS('Raw Data'!$L:$L,'Raw Data'!$B:$B,$B$2,'Raw Data'!$J:$J,F$2,'Raw Data'!$K:$K,"native",'Raw Data'!$H:$H,"Bank to Bank",'Raw Data'!$I:$I,"",'Raw Data'!$M:$M,"JOD",'Raw Data'!$F:$F,"Average*")</f>
        <v>159</v>
      </c>
      <c r="G35" s="11">
        <f>SUMIFS('Raw Data'!$L:$L,'Raw Data'!$B:$B,$B$2,'Raw Data'!$J:$J,G$2,'Raw Data'!$K:$K,"native",'Raw Data'!$H:$H,"Bank to Bank",'Raw Data'!$I:$I,"",'Raw Data'!$M:$M,"JOD",'Raw Data'!$F:$F,"Average*")</f>
        <v>155</v>
      </c>
      <c r="H35" s="11">
        <f>SUMIFS('Raw Data'!$L:$L,'Raw Data'!$B:$B,$B$2,'Raw Data'!$J:$J,H$2,'Raw Data'!$K:$K,"native",'Raw Data'!$H:$H,"Bank to Bank",'Raw Data'!$I:$I,"",'Raw Data'!$M:$M,"JOD",'Raw Data'!$F:$F,"Average*")</f>
        <v>154</v>
      </c>
      <c r="I35" s="11">
        <f>SUMIFS('Raw Data'!$L:$L,'Raw Data'!$B:$B,$B$2,'Raw Data'!$J:$J,I$2,'Raw Data'!$K:$K,"native",'Raw Data'!$H:$H,"Bank to Bank",'Raw Data'!$I:$I,"",'Raw Data'!$M:$M,"JOD",'Raw Data'!$F:$F,"Average*")</f>
        <v>155</v>
      </c>
      <c r="J35" s="11">
        <f>SUMIFS('Raw Data'!$L:$L,'Raw Data'!$B:$B,$B$2,'Raw Data'!$J:$J,J$2,'Raw Data'!$K:$K,"native",'Raw Data'!$H:$H,"Bank to Bank",'Raw Data'!$I:$I,"",'Raw Data'!$M:$M,"JOD",'Raw Data'!$F:$F,"Average*")</f>
        <v>157</v>
      </c>
      <c r="K35" s="11">
        <f>SUMIFS('Raw Data'!$L:$L,'Raw Data'!$B:$B,$B$2,'Raw Data'!$J:$J,K$2,'Raw Data'!$K:$K,"native",'Raw Data'!$H:$H,"Bank to Bank",'Raw Data'!$I:$I,"",'Raw Data'!$M:$M,"JOD",'Raw Data'!$F:$F,"Average*")</f>
        <v>144</v>
      </c>
      <c r="L35" s="11">
        <f>SUMIFS('Raw Data'!$L:$L,'Raw Data'!$B:$B,$B$2,'Raw Data'!$J:$J,L$2,'Raw Data'!$K:$K,"native",'Raw Data'!$H:$H,"Bank to Bank",'Raw Data'!$I:$I,"",'Raw Data'!$M:$M,"JOD",'Raw Data'!$F:$F,"Average*")</f>
        <v>149</v>
      </c>
      <c r="M35" s="11">
        <f>SUMIFS('Raw Data'!$L:$L,'Raw Data'!$B:$B,$B$2,'Raw Data'!$J:$J,M$2,'Raw Data'!$K:$K,"native",'Raw Data'!$H:$H,"Bank to Bank",'Raw Data'!$I:$I,"",'Raw Data'!$M:$M,"JOD",'Raw Data'!$F:$F,"Average*")</f>
        <v>149</v>
      </c>
      <c r="N35" s="11">
        <f>SUMIFS('Raw Data'!$L:$L,'Raw Data'!$B:$B,$B$2,'Raw Data'!$J:$J,N$2,'Raw Data'!$K:$K,"native",'Raw Data'!$H:$H,"Bank to Bank",'Raw Data'!$I:$I,"",'Raw Data'!$M:$M,"JOD",'Raw Data'!$F:$F,"Average*")</f>
        <v>147</v>
      </c>
      <c r="O35" s="11">
        <f>SUMIFS('Raw Data'!$L:$L,'Raw Data'!$B:$B,$B$2,'Raw Data'!$J:$J,O$2,'Raw Data'!$K:$K,"native",'Raw Data'!$H:$H,"Bank to Bank",'Raw Data'!$I:$I,"",'Raw Data'!$M:$M,"JOD",'Raw Data'!$F:$F,"Average*")</f>
        <v>148</v>
      </c>
      <c r="P35" s="11">
        <f>SUMIFS('Raw Data'!$L:$L,'Raw Data'!$B:$B,$B$2,'Raw Data'!$J:$J,P$2,'Raw Data'!$K:$K,"native",'Raw Data'!$H:$H,"Bank to Bank",'Raw Data'!$I:$I,"",'Raw Data'!$M:$M,"JOD",'Raw Data'!$F:$F,"Average*")</f>
        <v>138</v>
      </c>
      <c r="Q35" s="11">
        <f>SUMIFS('Raw Data'!$L:$L,'Raw Data'!$B:$B,$B$2,'Raw Data'!$J:$J,Q$2,'Raw Data'!$K:$K,"native",'Raw Data'!$H:$H,"Bank to Bank",'Raw Data'!$I:$I,"",'Raw Data'!$M:$M,"JOD",'Raw Data'!$F:$F,"Average*")</f>
        <v>130</v>
      </c>
      <c r="R35" s="11">
        <f>SUMIFS('Raw Data'!$L:$L,'Raw Data'!$B:$B,$B$2,'Raw Data'!$J:$J,R$2,'Raw Data'!$K:$K,"native",'Raw Data'!$H:$H,"Bank to Bank",'Raw Data'!$I:$I,"",'Raw Data'!$M:$M,"JOD",'Raw Data'!$F:$F,"Average*")</f>
        <v>132</v>
      </c>
      <c r="S35" s="11">
        <f>SUMIFS('Raw Data'!$L:$L,'Raw Data'!$B:$B,$B$2,'Raw Data'!$J:$J,S$2,'Raw Data'!$K:$K,"native",'Raw Data'!$H:$H,"Bank to Bank",'Raw Data'!$I:$I,"",'Raw Data'!$M:$M,"JOD",'Raw Data'!$F:$F,"Average*")</f>
        <v>134</v>
      </c>
      <c r="T35" s="11">
        <f>SUMIFS('Raw Data'!$L:$L,'Raw Data'!$B:$B,$B$2,'Raw Data'!$J:$J,T$2,'Raw Data'!$K:$K,"native",'Raw Data'!$H:$H,"Bank to Bank",'Raw Data'!$I:$I,"",'Raw Data'!$M:$M,"JOD",'Raw Data'!$F:$F,"Average*")</f>
        <v>134</v>
      </c>
      <c r="U35" s="11">
        <f>SUMIFS('Raw Data'!$L:$L,'Raw Data'!$B:$B,$B$2,'Raw Data'!$J:$J,U$2,'Raw Data'!$K:$K,"native",'Raw Data'!$H:$H,"Bank to Bank",'Raw Data'!$I:$I,"",'Raw Data'!$M:$M,"JOD",'Raw Data'!$F:$F,"Average*")</f>
        <v>133</v>
      </c>
      <c r="V35" s="11">
        <f>SUMIFS('Raw Data'!$L:$L,'Raw Data'!$B:$B,$B$2,'Raw Data'!$J:$J,V$2,'Raw Data'!$K:$K,"native",'Raw Data'!$H:$H,"Bank to Bank",'Raw Data'!$I:$I,"",'Raw Data'!$M:$M,"JOD",'Raw Data'!$F:$F,"Average*")</f>
        <v>122</v>
      </c>
      <c r="W35" s="11">
        <f>SUMIFS('Raw Data'!$L:$L,'Raw Data'!$B:$B,$B$2,'Raw Data'!$J:$J,W$2,'Raw Data'!$K:$K,"native",'Raw Data'!$H:$H,"Bank to Bank",'Raw Data'!$I:$I,"",'Raw Data'!$M:$M,"JOD",'Raw Data'!$F:$F,"Average*")</f>
        <v>125</v>
      </c>
      <c r="X35" s="11">
        <f>SUMIFS('Raw Data'!$L:$L,'Raw Data'!$B:$B,$B$2,'Raw Data'!$J:$J,X$2,'Raw Data'!$K:$K,"native",'Raw Data'!$H:$H,"Bank to Bank",'Raw Data'!$I:$I,"",'Raw Data'!$M:$M,"JOD",'Raw Data'!$F:$F,"Average*")</f>
        <v>130</v>
      </c>
      <c r="Y35" s="11">
        <f>SUMIFS('Raw Data'!$L:$L,'Raw Data'!$B:$B,$B$2,'Raw Data'!$J:$J,Y$2,'Raw Data'!$K:$K,"native",'Raw Data'!$H:$H,"Bank to Bank",'Raw Data'!$I:$I,"",'Raw Data'!$M:$M,"JOD",'Raw Data'!$F:$F,"Average*")</f>
        <v>128</v>
      </c>
      <c r="Z35" s="11">
        <f>SUMIFS('Raw Data'!$L:$L,'Raw Data'!$B:$B,$B$2,'Raw Data'!$J:$J,Z$2,'Raw Data'!$K:$K,"native",'Raw Data'!$H:$H,"Bank to Bank",'Raw Data'!$I:$I,"",'Raw Data'!$M:$M,"JOD",'Raw Data'!$F:$F,"Average*")</f>
        <v>130</v>
      </c>
    </row>
    <row r="36" spans="1:26" x14ac:dyDescent="0.25">
      <c r="A36" s="10" t="s">
        <v>82</v>
      </c>
      <c r="B36" s="10" t="s">
        <v>173</v>
      </c>
      <c r="C36" s="11">
        <f>SUMIFS('Raw Data'!$L:$L,'Raw Data'!$B:$B,$B$2,'Raw Data'!$J:$J,C$2,'Raw Data'!$K:$K,"native",'Raw Data'!$H:$H,"Bank to mPSP",'Raw Data'!$I:$I,"",'Raw Data'!$M:$M,"JOD",'Raw Data'!$F:$F,"Average*")</f>
        <v>78</v>
      </c>
      <c r="D36" s="11">
        <f>SUMIFS('Raw Data'!$L:$L,'Raw Data'!$B:$B,$B$2,'Raw Data'!$J:$J,D$2,'Raw Data'!$K:$K,"native",'Raw Data'!$H:$H,"Bank to mPSP",'Raw Data'!$I:$I,"",'Raw Data'!$M:$M,"JOD",'Raw Data'!$F:$F,"Average*")</f>
        <v>74</v>
      </c>
      <c r="E36" s="11">
        <f>SUMIFS('Raw Data'!$L:$L,'Raw Data'!$B:$B,$B$2,'Raw Data'!$J:$J,E$2,'Raw Data'!$K:$K,"native",'Raw Data'!$H:$H,"Bank to mPSP",'Raw Data'!$I:$I,"",'Raw Data'!$M:$M,"JOD",'Raw Data'!$F:$F,"Average*")</f>
        <v>70</v>
      </c>
      <c r="F36" s="11">
        <f>SUMIFS('Raw Data'!$L:$L,'Raw Data'!$B:$B,$B$2,'Raw Data'!$J:$J,F$2,'Raw Data'!$K:$K,"native",'Raw Data'!$H:$H,"Bank to mPSP",'Raw Data'!$I:$I,"",'Raw Data'!$M:$M,"JOD",'Raw Data'!$F:$F,"Average*")</f>
        <v>68</v>
      </c>
      <c r="G36" s="11">
        <f>SUMIFS('Raw Data'!$L:$L,'Raw Data'!$B:$B,$B$2,'Raw Data'!$J:$J,G$2,'Raw Data'!$K:$K,"native",'Raw Data'!$H:$H,"Bank to mPSP",'Raw Data'!$I:$I,"",'Raw Data'!$M:$M,"JOD",'Raw Data'!$F:$F,"Average*")</f>
        <v>66</v>
      </c>
      <c r="H36" s="11">
        <f>SUMIFS('Raw Data'!$L:$L,'Raw Data'!$B:$B,$B$2,'Raw Data'!$J:$J,H$2,'Raw Data'!$K:$K,"native",'Raw Data'!$H:$H,"Bank to mPSP",'Raw Data'!$I:$I,"",'Raw Data'!$M:$M,"JOD",'Raw Data'!$F:$F,"Average*")</f>
        <v>66</v>
      </c>
      <c r="I36" s="11">
        <f>SUMIFS('Raw Data'!$L:$L,'Raw Data'!$B:$B,$B$2,'Raw Data'!$J:$J,I$2,'Raw Data'!$K:$K,"native",'Raw Data'!$H:$H,"Bank to mPSP",'Raw Data'!$I:$I,"",'Raw Data'!$M:$M,"JOD",'Raw Data'!$F:$F,"Average*")</f>
        <v>66</v>
      </c>
      <c r="J36" s="11">
        <f>SUMIFS('Raw Data'!$L:$L,'Raw Data'!$B:$B,$B$2,'Raw Data'!$J:$J,J$2,'Raw Data'!$K:$K,"native",'Raw Data'!$H:$H,"Bank to mPSP",'Raw Data'!$I:$I,"",'Raw Data'!$M:$M,"JOD",'Raw Data'!$F:$F,"Average*")</f>
        <v>61</v>
      </c>
      <c r="K36" s="11">
        <f>SUMIFS('Raw Data'!$L:$L,'Raw Data'!$B:$B,$B$2,'Raw Data'!$J:$J,K$2,'Raw Data'!$K:$K,"native",'Raw Data'!$H:$H,"Bank to mPSP",'Raw Data'!$I:$I,"",'Raw Data'!$M:$M,"JOD",'Raw Data'!$F:$F,"Average*")</f>
        <v>60</v>
      </c>
      <c r="L36" s="11">
        <f>SUMIFS('Raw Data'!$L:$L,'Raw Data'!$B:$B,$B$2,'Raw Data'!$J:$J,L$2,'Raw Data'!$K:$K,"native",'Raw Data'!$H:$H,"Bank to mPSP",'Raw Data'!$I:$I,"",'Raw Data'!$M:$M,"JOD",'Raw Data'!$F:$F,"Average*")</f>
        <v>60</v>
      </c>
      <c r="M36" s="11">
        <f>SUMIFS('Raw Data'!$L:$L,'Raw Data'!$B:$B,$B$2,'Raw Data'!$J:$J,M$2,'Raw Data'!$K:$K,"native",'Raw Data'!$H:$H,"Bank to mPSP",'Raw Data'!$I:$I,"",'Raw Data'!$M:$M,"JOD",'Raw Data'!$F:$F,"Average*")</f>
        <v>59</v>
      </c>
      <c r="N36" s="11">
        <f>SUMIFS('Raw Data'!$L:$L,'Raw Data'!$B:$B,$B$2,'Raw Data'!$J:$J,N$2,'Raw Data'!$K:$K,"native",'Raw Data'!$H:$H,"Bank to mPSP",'Raw Data'!$I:$I,"",'Raw Data'!$M:$M,"JOD",'Raw Data'!$F:$F,"Average*")</f>
        <v>57</v>
      </c>
      <c r="O36" s="11">
        <f>SUMIFS('Raw Data'!$L:$L,'Raw Data'!$B:$B,$B$2,'Raw Data'!$J:$J,O$2,'Raw Data'!$K:$K,"native",'Raw Data'!$H:$H,"Bank to mPSP",'Raw Data'!$I:$I,"",'Raw Data'!$M:$M,"JOD",'Raw Data'!$F:$F,"Average*")</f>
        <v>57</v>
      </c>
      <c r="P36" s="11">
        <f>SUMIFS('Raw Data'!$L:$L,'Raw Data'!$B:$B,$B$2,'Raw Data'!$J:$J,P$2,'Raw Data'!$K:$K,"native",'Raw Data'!$H:$H,"Bank to mPSP",'Raw Data'!$I:$I,"",'Raw Data'!$M:$M,"JOD",'Raw Data'!$F:$F,"Average*")</f>
        <v>54</v>
      </c>
      <c r="Q36" s="11">
        <f>SUMIFS('Raw Data'!$L:$L,'Raw Data'!$B:$B,$B$2,'Raw Data'!$J:$J,Q$2,'Raw Data'!$K:$K,"native",'Raw Data'!$H:$H,"Bank to mPSP",'Raw Data'!$I:$I,"",'Raw Data'!$M:$M,"JOD",'Raw Data'!$F:$F,"Average*")</f>
        <v>52</v>
      </c>
      <c r="R36" s="11">
        <f>SUMIFS('Raw Data'!$L:$L,'Raw Data'!$B:$B,$B$2,'Raw Data'!$J:$J,R$2,'Raw Data'!$K:$K,"native",'Raw Data'!$H:$H,"Bank to mPSP",'Raw Data'!$I:$I,"",'Raw Data'!$M:$M,"JOD",'Raw Data'!$F:$F,"Average*")</f>
        <v>50</v>
      </c>
      <c r="S36" s="11">
        <f>SUMIFS('Raw Data'!$L:$L,'Raw Data'!$B:$B,$B$2,'Raw Data'!$J:$J,S$2,'Raw Data'!$K:$K,"native",'Raw Data'!$H:$H,"Bank to mPSP",'Raw Data'!$I:$I,"",'Raw Data'!$M:$M,"JOD",'Raw Data'!$F:$F,"Average*")</f>
        <v>49</v>
      </c>
      <c r="T36" s="11">
        <f>SUMIFS('Raw Data'!$L:$L,'Raw Data'!$B:$B,$B$2,'Raw Data'!$J:$J,T$2,'Raw Data'!$K:$K,"native",'Raw Data'!$H:$H,"Bank to mPSP",'Raw Data'!$I:$I,"",'Raw Data'!$M:$M,"JOD",'Raw Data'!$F:$F,"Average*")</f>
        <v>52</v>
      </c>
      <c r="U36" s="11">
        <f>SUMIFS('Raw Data'!$L:$L,'Raw Data'!$B:$B,$B$2,'Raw Data'!$J:$J,U$2,'Raw Data'!$K:$K,"native",'Raw Data'!$H:$H,"Bank to mPSP",'Raw Data'!$I:$I,"",'Raw Data'!$M:$M,"JOD",'Raw Data'!$F:$F,"Average*")</f>
        <v>50</v>
      </c>
      <c r="V36" s="11">
        <f>SUMIFS('Raw Data'!$L:$L,'Raw Data'!$B:$B,$B$2,'Raw Data'!$J:$J,V$2,'Raw Data'!$K:$K,"native",'Raw Data'!$H:$H,"Bank to mPSP",'Raw Data'!$I:$I,"",'Raw Data'!$M:$M,"JOD",'Raw Data'!$F:$F,"Average*")</f>
        <v>46</v>
      </c>
      <c r="W36" s="11">
        <f>SUMIFS('Raw Data'!$L:$L,'Raw Data'!$B:$B,$B$2,'Raw Data'!$J:$J,W$2,'Raw Data'!$K:$K,"native",'Raw Data'!$H:$H,"Bank to mPSP",'Raw Data'!$I:$I,"",'Raw Data'!$M:$M,"JOD",'Raw Data'!$F:$F,"Average*")</f>
        <v>47</v>
      </c>
      <c r="X36" s="11">
        <f>SUMIFS('Raw Data'!$L:$L,'Raw Data'!$B:$B,$B$2,'Raw Data'!$J:$J,X$2,'Raw Data'!$K:$K,"native",'Raw Data'!$H:$H,"Bank to mPSP",'Raw Data'!$I:$I,"",'Raw Data'!$M:$M,"JOD",'Raw Data'!$F:$F,"Average*")</f>
        <v>47</v>
      </c>
      <c r="Y36" s="11">
        <f>SUMIFS('Raw Data'!$L:$L,'Raw Data'!$B:$B,$B$2,'Raw Data'!$J:$J,Y$2,'Raw Data'!$K:$K,"native",'Raw Data'!$H:$H,"Bank to mPSP",'Raw Data'!$I:$I,"",'Raw Data'!$M:$M,"JOD",'Raw Data'!$F:$F,"Average*")</f>
        <v>47</v>
      </c>
      <c r="Z36" s="11">
        <f>SUMIFS('Raw Data'!$L:$L,'Raw Data'!$B:$B,$B$2,'Raw Data'!$J:$J,Z$2,'Raw Data'!$K:$K,"native",'Raw Data'!$H:$H,"Bank to mPSP",'Raw Data'!$I:$I,"",'Raw Data'!$M:$M,"JOD",'Raw Data'!$F:$F,"Average*")</f>
        <v>46</v>
      </c>
    </row>
    <row r="37" spans="1:26" x14ac:dyDescent="0.25">
      <c r="A37" s="10" t="s">
        <v>82</v>
      </c>
      <c r="B37" s="10" t="s">
        <v>174</v>
      </c>
      <c r="C37" s="11">
        <f>SUMIFS('Raw Data'!$L:$L,'Raw Data'!$B:$B,$B$2,'Raw Data'!$J:$J,C$2,'Raw Data'!$K:$K,"native",'Raw Data'!$H:$H,"mPSP to Bank",'Raw Data'!$I:$I,"",'Raw Data'!$M:$M,"JOD",'Raw Data'!$F:$F,"Average*")</f>
        <v>136</v>
      </c>
      <c r="D37" s="11">
        <f>SUMIFS('Raw Data'!$L:$L,'Raw Data'!$B:$B,$B$2,'Raw Data'!$J:$J,D$2,'Raw Data'!$K:$K,"native",'Raw Data'!$H:$H,"mPSP to Bank",'Raw Data'!$I:$I,"",'Raw Data'!$M:$M,"JOD",'Raw Data'!$F:$F,"Average*")</f>
        <v>130</v>
      </c>
      <c r="E37" s="11">
        <f>SUMIFS('Raw Data'!$L:$L,'Raw Data'!$B:$B,$B$2,'Raw Data'!$J:$J,E$2,'Raw Data'!$K:$K,"native",'Raw Data'!$H:$H,"mPSP to Bank",'Raw Data'!$I:$I,"",'Raw Data'!$M:$M,"JOD",'Raw Data'!$F:$F,"Average*")</f>
        <v>128</v>
      </c>
      <c r="F37" s="11">
        <f>SUMIFS('Raw Data'!$L:$L,'Raw Data'!$B:$B,$B$2,'Raw Data'!$J:$J,F$2,'Raw Data'!$K:$K,"native",'Raw Data'!$H:$H,"mPSP to Bank",'Raw Data'!$I:$I,"",'Raw Data'!$M:$M,"JOD",'Raw Data'!$F:$F,"Average*")</f>
        <v>126</v>
      </c>
      <c r="G37" s="11">
        <f>SUMIFS('Raw Data'!$L:$L,'Raw Data'!$B:$B,$B$2,'Raw Data'!$J:$J,G$2,'Raw Data'!$K:$K,"native",'Raw Data'!$H:$H,"mPSP to Bank",'Raw Data'!$I:$I,"",'Raw Data'!$M:$M,"JOD",'Raw Data'!$F:$F,"Average*")</f>
        <v>119</v>
      </c>
      <c r="H37" s="11">
        <f>SUMIFS('Raw Data'!$L:$L,'Raw Data'!$B:$B,$B$2,'Raw Data'!$J:$J,H$2,'Raw Data'!$K:$K,"native",'Raw Data'!$H:$H,"mPSP to Bank",'Raw Data'!$I:$I,"",'Raw Data'!$M:$M,"JOD",'Raw Data'!$F:$F,"Average*")</f>
        <v>118</v>
      </c>
      <c r="I37" s="11">
        <f>SUMIFS('Raw Data'!$L:$L,'Raw Data'!$B:$B,$B$2,'Raw Data'!$J:$J,I$2,'Raw Data'!$K:$K,"native",'Raw Data'!$H:$H,"mPSP to Bank",'Raw Data'!$I:$I,"",'Raw Data'!$M:$M,"JOD",'Raw Data'!$F:$F,"Average*")</f>
        <v>117</v>
      </c>
      <c r="J37" s="11">
        <f>SUMIFS('Raw Data'!$L:$L,'Raw Data'!$B:$B,$B$2,'Raw Data'!$J:$J,J$2,'Raw Data'!$K:$K,"native",'Raw Data'!$H:$H,"mPSP to Bank",'Raw Data'!$I:$I,"",'Raw Data'!$M:$M,"JOD",'Raw Data'!$F:$F,"Average*")</f>
        <v>110</v>
      </c>
      <c r="K37" s="11">
        <f>SUMIFS('Raw Data'!$L:$L,'Raw Data'!$B:$B,$B$2,'Raw Data'!$J:$J,K$2,'Raw Data'!$K:$K,"native",'Raw Data'!$H:$H,"mPSP to Bank",'Raw Data'!$I:$I,"",'Raw Data'!$M:$M,"JOD",'Raw Data'!$F:$F,"Average*")</f>
        <v>106</v>
      </c>
      <c r="L37" s="11">
        <f>SUMIFS('Raw Data'!$L:$L,'Raw Data'!$B:$B,$B$2,'Raw Data'!$J:$J,L$2,'Raw Data'!$K:$K,"native",'Raw Data'!$H:$H,"mPSP to Bank",'Raw Data'!$I:$I,"",'Raw Data'!$M:$M,"JOD",'Raw Data'!$F:$F,"Average*")</f>
        <v>107</v>
      </c>
      <c r="M37" s="11">
        <f>SUMIFS('Raw Data'!$L:$L,'Raw Data'!$B:$B,$B$2,'Raw Data'!$J:$J,M$2,'Raw Data'!$K:$K,"native",'Raw Data'!$H:$H,"mPSP to Bank",'Raw Data'!$I:$I,"",'Raw Data'!$M:$M,"JOD",'Raw Data'!$F:$F,"Average*")</f>
        <v>104</v>
      </c>
      <c r="N37" s="11">
        <f>SUMIFS('Raw Data'!$L:$L,'Raw Data'!$B:$B,$B$2,'Raw Data'!$J:$J,N$2,'Raw Data'!$K:$K,"native",'Raw Data'!$H:$H,"mPSP to Bank",'Raw Data'!$I:$I,"",'Raw Data'!$M:$M,"JOD",'Raw Data'!$F:$F,"Average*")</f>
        <v>98</v>
      </c>
      <c r="O37" s="11">
        <f>SUMIFS('Raw Data'!$L:$L,'Raw Data'!$B:$B,$B$2,'Raw Data'!$J:$J,O$2,'Raw Data'!$K:$K,"native",'Raw Data'!$H:$H,"mPSP to Bank",'Raw Data'!$I:$I,"",'Raw Data'!$M:$M,"JOD",'Raw Data'!$F:$F,"Average*")</f>
        <v>95</v>
      </c>
      <c r="P37" s="11">
        <f>SUMIFS('Raw Data'!$L:$L,'Raw Data'!$B:$B,$B$2,'Raw Data'!$J:$J,P$2,'Raw Data'!$K:$K,"native",'Raw Data'!$H:$H,"mPSP to Bank",'Raw Data'!$I:$I,"",'Raw Data'!$M:$M,"JOD",'Raw Data'!$F:$F,"Average*")</f>
        <v>88</v>
      </c>
      <c r="Q37" s="11">
        <f>SUMIFS('Raw Data'!$L:$L,'Raw Data'!$B:$B,$B$2,'Raw Data'!$J:$J,Q$2,'Raw Data'!$K:$K,"native",'Raw Data'!$H:$H,"mPSP to Bank",'Raw Data'!$I:$I,"",'Raw Data'!$M:$M,"JOD",'Raw Data'!$F:$F,"Average*")</f>
        <v>86</v>
      </c>
      <c r="R37" s="11">
        <f>SUMIFS('Raw Data'!$L:$L,'Raw Data'!$B:$B,$B$2,'Raw Data'!$J:$J,R$2,'Raw Data'!$K:$K,"native",'Raw Data'!$H:$H,"mPSP to Bank",'Raw Data'!$I:$I,"",'Raw Data'!$M:$M,"JOD",'Raw Data'!$F:$F,"Average*")</f>
        <v>85</v>
      </c>
      <c r="S37" s="11">
        <f>SUMIFS('Raw Data'!$L:$L,'Raw Data'!$B:$B,$B$2,'Raw Data'!$J:$J,S$2,'Raw Data'!$K:$K,"native",'Raw Data'!$H:$H,"mPSP to Bank",'Raw Data'!$I:$I,"",'Raw Data'!$M:$M,"JOD",'Raw Data'!$F:$F,"Average*")</f>
        <v>84</v>
      </c>
      <c r="T37" s="11">
        <f>SUMIFS('Raw Data'!$L:$L,'Raw Data'!$B:$B,$B$2,'Raw Data'!$J:$J,T$2,'Raw Data'!$K:$K,"native",'Raw Data'!$H:$H,"mPSP to Bank",'Raw Data'!$I:$I,"",'Raw Data'!$M:$M,"JOD",'Raw Data'!$F:$F,"Average*")</f>
        <v>85</v>
      </c>
      <c r="U37" s="11">
        <f>SUMIFS('Raw Data'!$L:$L,'Raw Data'!$B:$B,$B$2,'Raw Data'!$J:$J,U$2,'Raw Data'!$K:$K,"native",'Raw Data'!$H:$H,"mPSP to Bank",'Raw Data'!$I:$I,"",'Raw Data'!$M:$M,"JOD",'Raw Data'!$F:$F,"Average*")</f>
        <v>87</v>
      </c>
      <c r="V37" s="11">
        <f>SUMIFS('Raw Data'!$L:$L,'Raw Data'!$B:$B,$B$2,'Raw Data'!$J:$J,V$2,'Raw Data'!$K:$K,"native",'Raw Data'!$H:$H,"mPSP to Bank",'Raw Data'!$I:$I,"",'Raw Data'!$M:$M,"JOD",'Raw Data'!$F:$F,"Average*")</f>
        <v>79</v>
      </c>
      <c r="W37" s="11">
        <f>SUMIFS('Raw Data'!$L:$L,'Raw Data'!$B:$B,$B$2,'Raw Data'!$J:$J,W$2,'Raw Data'!$K:$K,"native",'Raw Data'!$H:$H,"mPSP to Bank",'Raw Data'!$I:$I,"",'Raw Data'!$M:$M,"JOD",'Raw Data'!$F:$F,"Average*")</f>
        <v>81</v>
      </c>
      <c r="X37" s="11">
        <f>SUMIFS('Raw Data'!$L:$L,'Raw Data'!$B:$B,$B$2,'Raw Data'!$J:$J,X$2,'Raw Data'!$K:$K,"native",'Raw Data'!$H:$H,"mPSP to Bank",'Raw Data'!$I:$I,"",'Raw Data'!$M:$M,"JOD",'Raw Data'!$F:$F,"Average*")</f>
        <v>81</v>
      </c>
      <c r="Y37" s="11">
        <f>SUMIFS('Raw Data'!$L:$L,'Raw Data'!$B:$B,$B$2,'Raw Data'!$J:$J,Y$2,'Raw Data'!$K:$K,"native",'Raw Data'!$H:$H,"mPSP to Bank",'Raw Data'!$I:$I,"",'Raw Data'!$M:$M,"JOD",'Raw Data'!$F:$F,"Average*")</f>
        <v>79</v>
      </c>
      <c r="Z37" s="11">
        <f>SUMIFS('Raw Data'!$L:$L,'Raw Data'!$B:$B,$B$2,'Raw Data'!$J:$J,Z$2,'Raw Data'!$K:$K,"native",'Raw Data'!$H:$H,"mPSP to Bank",'Raw Data'!$I:$I,"",'Raw Data'!$M:$M,"JOD",'Raw Data'!$F:$F,"Average*")</f>
        <v>78</v>
      </c>
    </row>
    <row r="38" spans="1:26" x14ac:dyDescent="0.25">
      <c r="A38" s="10" t="s">
        <v>82</v>
      </c>
      <c r="B38" s="10" t="s">
        <v>178</v>
      </c>
      <c r="C38" s="11">
        <f>SUMIFS('Raw Data'!$L:$L,'Raw Data'!$B:$B,$B$2,'Raw Data'!$J:$J,C$2,'Raw Data'!$K:$K,"native",'Raw Data'!$H:$H,"mPSP to mPSP",'Raw Data'!$I:$I,"",'Raw Data'!$M:$M,"JOD",'Raw Data'!$F:$F,"Average*")</f>
        <v>67</v>
      </c>
      <c r="D38" s="11">
        <f>SUMIFS('Raw Data'!$L:$L,'Raw Data'!$B:$B,$B$2,'Raw Data'!$J:$J,D$2,'Raw Data'!$K:$K,"native",'Raw Data'!$H:$H,"mPSP to mPSP",'Raw Data'!$I:$I,"",'Raw Data'!$M:$M,"JOD",'Raw Data'!$F:$F,"Average*")</f>
        <v>62</v>
      </c>
      <c r="E38" s="11">
        <f>SUMIFS('Raw Data'!$L:$L,'Raw Data'!$B:$B,$B$2,'Raw Data'!$J:$J,E$2,'Raw Data'!$K:$K,"native",'Raw Data'!$H:$H,"mPSP to mPSP",'Raw Data'!$I:$I,"",'Raw Data'!$M:$M,"JOD",'Raw Data'!$F:$F,"Average*")</f>
        <v>58</v>
      </c>
      <c r="F38" s="11">
        <f>SUMIFS('Raw Data'!$L:$L,'Raw Data'!$B:$B,$B$2,'Raw Data'!$J:$J,F$2,'Raw Data'!$K:$K,"native",'Raw Data'!$H:$H,"mPSP to mPSP",'Raw Data'!$I:$I,"",'Raw Data'!$M:$M,"JOD",'Raw Data'!$F:$F,"Average*")</f>
        <v>58</v>
      </c>
      <c r="G38" s="11">
        <f>SUMIFS('Raw Data'!$L:$L,'Raw Data'!$B:$B,$B$2,'Raw Data'!$J:$J,G$2,'Raw Data'!$K:$K,"native",'Raw Data'!$H:$H,"mPSP to mPSP",'Raw Data'!$I:$I,"",'Raw Data'!$M:$M,"JOD",'Raw Data'!$F:$F,"Average*")</f>
        <v>54</v>
      </c>
      <c r="H38" s="11">
        <f>SUMIFS('Raw Data'!$L:$L,'Raw Data'!$B:$B,$B$2,'Raw Data'!$J:$J,H$2,'Raw Data'!$K:$K,"native",'Raw Data'!$H:$H,"mPSP to mPSP",'Raw Data'!$I:$I,"",'Raw Data'!$M:$M,"JOD",'Raw Data'!$F:$F,"Average*")</f>
        <v>54</v>
      </c>
      <c r="I38" s="11">
        <f>SUMIFS('Raw Data'!$L:$L,'Raw Data'!$B:$B,$B$2,'Raw Data'!$J:$J,I$2,'Raw Data'!$K:$K,"native",'Raw Data'!$H:$H,"mPSP to mPSP",'Raw Data'!$I:$I,"",'Raw Data'!$M:$M,"JOD",'Raw Data'!$F:$F,"Average*")</f>
        <v>55</v>
      </c>
      <c r="J38" s="11">
        <f>SUMIFS('Raw Data'!$L:$L,'Raw Data'!$B:$B,$B$2,'Raw Data'!$J:$J,J$2,'Raw Data'!$K:$K,"native",'Raw Data'!$H:$H,"mPSP to mPSP",'Raw Data'!$I:$I,"",'Raw Data'!$M:$M,"JOD",'Raw Data'!$F:$F,"Average*")</f>
        <v>48</v>
      </c>
      <c r="K38" s="11">
        <f>SUMIFS('Raw Data'!$L:$L,'Raw Data'!$B:$B,$B$2,'Raw Data'!$J:$J,K$2,'Raw Data'!$K:$K,"native",'Raw Data'!$H:$H,"mPSP to mPSP",'Raw Data'!$I:$I,"",'Raw Data'!$M:$M,"JOD",'Raw Data'!$F:$F,"Average*")</f>
        <v>48</v>
      </c>
      <c r="L38" s="11">
        <f>SUMIFS('Raw Data'!$L:$L,'Raw Data'!$B:$B,$B$2,'Raw Data'!$J:$J,L$2,'Raw Data'!$K:$K,"native",'Raw Data'!$H:$H,"mPSP to mPSP",'Raw Data'!$I:$I,"",'Raw Data'!$M:$M,"JOD",'Raw Data'!$F:$F,"Average*")</f>
        <v>47</v>
      </c>
      <c r="M38" s="11">
        <f>SUMIFS('Raw Data'!$L:$L,'Raw Data'!$B:$B,$B$2,'Raw Data'!$J:$J,M$2,'Raw Data'!$K:$K,"native",'Raw Data'!$H:$H,"mPSP to mPSP",'Raw Data'!$I:$I,"",'Raw Data'!$M:$M,"JOD",'Raw Data'!$F:$F,"Average*")</f>
        <v>46</v>
      </c>
      <c r="N38" s="11">
        <f>SUMIFS('Raw Data'!$L:$L,'Raw Data'!$B:$B,$B$2,'Raw Data'!$J:$J,N$2,'Raw Data'!$K:$K,"native",'Raw Data'!$H:$H,"mPSP to mPSP",'Raw Data'!$I:$I,"",'Raw Data'!$M:$M,"JOD",'Raw Data'!$F:$F,"Average*")</f>
        <v>44</v>
      </c>
      <c r="O38" s="11">
        <f>SUMIFS('Raw Data'!$L:$L,'Raw Data'!$B:$B,$B$2,'Raw Data'!$J:$J,O$2,'Raw Data'!$K:$K,"native",'Raw Data'!$H:$H,"mPSP to mPSP",'Raw Data'!$I:$I,"",'Raw Data'!$M:$M,"JOD",'Raw Data'!$F:$F,"Average*")</f>
        <v>42</v>
      </c>
      <c r="P38" s="11">
        <f>SUMIFS('Raw Data'!$L:$L,'Raw Data'!$B:$B,$B$2,'Raw Data'!$J:$J,P$2,'Raw Data'!$K:$K,"native",'Raw Data'!$H:$H,"mPSP to mPSP",'Raw Data'!$I:$I,"",'Raw Data'!$M:$M,"JOD",'Raw Data'!$F:$F,"Average*")</f>
        <v>39</v>
      </c>
      <c r="Q38" s="11">
        <f>SUMIFS('Raw Data'!$L:$L,'Raw Data'!$B:$B,$B$2,'Raw Data'!$J:$J,Q$2,'Raw Data'!$K:$K,"native",'Raw Data'!$H:$H,"mPSP to mPSP",'Raw Data'!$I:$I,"",'Raw Data'!$M:$M,"JOD",'Raw Data'!$F:$F,"Average*")</f>
        <v>37</v>
      </c>
      <c r="R38" s="11">
        <f>SUMIFS('Raw Data'!$L:$L,'Raw Data'!$B:$B,$B$2,'Raw Data'!$J:$J,R$2,'Raw Data'!$K:$K,"native",'Raw Data'!$H:$H,"mPSP to mPSP",'Raw Data'!$I:$I,"",'Raw Data'!$M:$M,"JOD",'Raw Data'!$F:$F,"Average*")</f>
        <v>36</v>
      </c>
      <c r="S38" s="11">
        <f>SUMIFS('Raw Data'!$L:$L,'Raw Data'!$B:$B,$B$2,'Raw Data'!$J:$J,S$2,'Raw Data'!$K:$K,"native",'Raw Data'!$H:$H,"mPSP to mPSP",'Raw Data'!$I:$I,"",'Raw Data'!$M:$M,"JOD",'Raw Data'!$F:$F,"Average*")</f>
        <v>35</v>
      </c>
      <c r="T38" s="11">
        <f>SUMIFS('Raw Data'!$L:$L,'Raw Data'!$B:$B,$B$2,'Raw Data'!$J:$J,T$2,'Raw Data'!$K:$K,"native",'Raw Data'!$H:$H,"mPSP to mPSP",'Raw Data'!$I:$I,"",'Raw Data'!$M:$M,"JOD",'Raw Data'!$F:$F,"Average*")</f>
        <v>37</v>
      </c>
      <c r="U38" s="11">
        <f>SUMIFS('Raw Data'!$L:$L,'Raw Data'!$B:$B,$B$2,'Raw Data'!$J:$J,U$2,'Raw Data'!$K:$K,"native",'Raw Data'!$H:$H,"mPSP to mPSP",'Raw Data'!$I:$I,"",'Raw Data'!$M:$M,"JOD",'Raw Data'!$F:$F,"Average*")</f>
        <v>36</v>
      </c>
      <c r="V38" s="11">
        <f>SUMIFS('Raw Data'!$L:$L,'Raw Data'!$B:$B,$B$2,'Raw Data'!$J:$J,V$2,'Raw Data'!$K:$K,"native",'Raw Data'!$H:$H,"mPSP to mPSP",'Raw Data'!$I:$I,"",'Raw Data'!$M:$M,"JOD",'Raw Data'!$F:$F,"Average*")</f>
        <v>32</v>
      </c>
      <c r="W38" s="11">
        <f>SUMIFS('Raw Data'!$L:$L,'Raw Data'!$B:$B,$B$2,'Raw Data'!$J:$J,W$2,'Raw Data'!$K:$K,"native",'Raw Data'!$H:$H,"mPSP to mPSP",'Raw Data'!$I:$I,"",'Raw Data'!$M:$M,"JOD",'Raw Data'!$F:$F,"Average*")</f>
        <v>33</v>
      </c>
      <c r="X38" s="11">
        <f>SUMIFS('Raw Data'!$L:$L,'Raw Data'!$B:$B,$B$2,'Raw Data'!$J:$J,X$2,'Raw Data'!$K:$K,"native",'Raw Data'!$H:$H,"mPSP to mPSP",'Raw Data'!$I:$I,"",'Raw Data'!$M:$M,"JOD",'Raw Data'!$F:$F,"Average*")</f>
        <v>31</v>
      </c>
      <c r="Y38" s="11">
        <f>SUMIFS('Raw Data'!$L:$L,'Raw Data'!$B:$B,$B$2,'Raw Data'!$J:$J,Y$2,'Raw Data'!$K:$K,"native",'Raw Data'!$H:$H,"mPSP to mPSP",'Raw Data'!$I:$I,"",'Raw Data'!$M:$M,"JOD",'Raw Data'!$F:$F,"Average*")</f>
        <v>31</v>
      </c>
      <c r="Z38" s="11">
        <f>SUMIFS('Raw Data'!$L:$L,'Raw Data'!$B:$B,$B$2,'Raw Data'!$J:$J,Z$2,'Raw Data'!$K:$K,"native",'Raw Data'!$H:$H,"mPSP to mPSP",'Raw Data'!$I:$I,"",'Raw Data'!$M:$M,"JOD",'Raw Data'!$F:$F,"Average*")</f>
        <v>30</v>
      </c>
    </row>
    <row r="39" spans="1:26" x14ac:dyDescent="0.25">
      <c r="A39" s="10" t="s">
        <v>82</v>
      </c>
      <c r="B39" s="10" t="s">
        <v>168</v>
      </c>
      <c r="C39" s="11"/>
      <c r="D39" s="11"/>
      <c r="E39" s="11"/>
      <c r="F39" s="11"/>
      <c r="G39" s="11"/>
      <c r="H39" s="11">
        <f>SUMIFS('Raw Data'!$L:$L,'Raw Data'!$B:$B,$B$2,'Raw Data'!$J:$J,H$2,'Raw Data'!$K:$K,"native",'Raw Data'!$H:$H,"Acquirer to Bank",'Raw Data'!$I:$I,"",'Raw Data'!$M:$M,"JOD",'Raw Data'!$F:$F,"Average*")</f>
        <v>14</v>
      </c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x14ac:dyDescent="0.25">
      <c r="A40" s="10" t="s">
        <v>82</v>
      </c>
      <c r="B40" s="10" t="s">
        <v>170</v>
      </c>
      <c r="C40" s="11"/>
      <c r="D40" s="11"/>
      <c r="E40" s="11"/>
      <c r="F40" s="11"/>
      <c r="G40" s="11"/>
      <c r="H40" s="11">
        <f>SUMIFS('Raw Data'!$L:$L,'Raw Data'!$B:$B,$B$2,'Raw Data'!$J:$J,H$2,'Raw Data'!$K:$K,"native",'Raw Data'!$H:$H,"Bank to Acquirer",'Raw Data'!$I:$I,"",'Raw Data'!$M:$M,"JOD",'Raw Data'!$F:$F,"Average*")</f>
        <v>19</v>
      </c>
      <c r="I40" s="11">
        <f>SUMIFS('Raw Data'!$L:$L,'Raw Data'!$B:$B,$B$2,'Raw Data'!$J:$J,I$2,'Raw Data'!$K:$K,"native",'Raw Data'!$H:$H,"Bank to Acquirer",'Raw Data'!$I:$I,"",'Raw Data'!$M:$M,"JOD",'Raw Data'!$F:$F,"Average*")</f>
        <v>21</v>
      </c>
      <c r="J40" s="11">
        <f>SUMIFS('Raw Data'!$L:$L,'Raw Data'!$B:$B,$B$2,'Raw Data'!$J:$J,J$2,'Raw Data'!$K:$K,"native",'Raw Data'!$H:$H,"Bank to Acquirer",'Raw Data'!$I:$I,"",'Raw Data'!$M:$M,"JOD",'Raw Data'!$F:$F,"Average*")</f>
        <v>19</v>
      </c>
      <c r="K40" s="11">
        <f>SUMIFS('Raw Data'!$L:$L,'Raw Data'!$B:$B,$B$2,'Raw Data'!$J:$J,K$2,'Raw Data'!$K:$K,"native",'Raw Data'!$H:$H,"Bank to Acquirer",'Raw Data'!$I:$I,"",'Raw Data'!$M:$M,"JOD",'Raw Data'!$F:$F,"Average*")</f>
        <v>17</v>
      </c>
      <c r="L40" s="11">
        <f>SUMIFS('Raw Data'!$L:$L,'Raw Data'!$B:$B,$B$2,'Raw Data'!$J:$J,L$2,'Raw Data'!$K:$K,"native",'Raw Data'!$H:$H,"Bank to Acquirer",'Raw Data'!$I:$I,"",'Raw Data'!$M:$M,"JOD",'Raw Data'!$F:$F,"Average*")</f>
        <v>18</v>
      </c>
      <c r="M40" s="11">
        <f>SUMIFS('Raw Data'!$L:$L,'Raw Data'!$B:$B,$B$2,'Raw Data'!$J:$J,M$2,'Raw Data'!$K:$K,"native",'Raw Data'!$H:$H,"Bank to Acquirer",'Raw Data'!$I:$I,"",'Raw Data'!$M:$M,"JOD",'Raw Data'!$F:$F,"Average*")</f>
        <v>16</v>
      </c>
      <c r="N40" s="11">
        <f>SUMIFS('Raw Data'!$L:$L,'Raw Data'!$B:$B,$B$2,'Raw Data'!$J:$J,N$2,'Raw Data'!$K:$K,"native",'Raw Data'!$H:$H,"Bank to Acquirer",'Raw Data'!$I:$I,"",'Raw Data'!$M:$M,"JOD",'Raw Data'!$F:$F,"Average*")</f>
        <v>15</v>
      </c>
      <c r="O40" s="11">
        <f>SUMIFS('Raw Data'!$L:$L,'Raw Data'!$B:$B,$B$2,'Raw Data'!$J:$J,O$2,'Raw Data'!$K:$K,"native",'Raw Data'!$H:$H,"Bank to Acquirer",'Raw Data'!$I:$I,"",'Raw Data'!$M:$M,"JOD",'Raw Data'!$F:$F,"Average*")</f>
        <v>13</v>
      </c>
      <c r="P40" s="11">
        <f>SUMIFS('Raw Data'!$L:$L,'Raw Data'!$B:$B,$B$2,'Raw Data'!$J:$J,P$2,'Raw Data'!$K:$K,"native",'Raw Data'!$H:$H,"Bank to Acquirer",'Raw Data'!$I:$I,"",'Raw Data'!$M:$M,"JOD",'Raw Data'!$F:$F,"Average*")</f>
        <v>13</v>
      </c>
      <c r="Q40" s="11">
        <f>SUMIFS('Raw Data'!$L:$L,'Raw Data'!$B:$B,$B$2,'Raw Data'!$J:$J,Q$2,'Raw Data'!$K:$K,"native",'Raw Data'!$H:$H,"Bank to Acquirer",'Raw Data'!$I:$I,"",'Raw Data'!$M:$M,"JOD",'Raw Data'!$F:$F,"Average*")</f>
        <v>12</v>
      </c>
      <c r="R40" s="11">
        <f>SUMIFS('Raw Data'!$L:$L,'Raw Data'!$B:$B,$B$2,'Raw Data'!$J:$J,R$2,'Raw Data'!$K:$K,"native",'Raw Data'!$H:$H,"Bank to Acquirer",'Raw Data'!$I:$I,"",'Raw Data'!$M:$M,"JOD",'Raw Data'!$F:$F,"Average*")</f>
        <v>12</v>
      </c>
      <c r="S40" s="11">
        <f>SUMIFS('Raw Data'!$L:$L,'Raw Data'!$B:$B,$B$2,'Raw Data'!$J:$J,S$2,'Raw Data'!$K:$K,"native",'Raw Data'!$H:$H,"Bank to Acquirer",'Raw Data'!$I:$I,"",'Raw Data'!$M:$M,"JOD",'Raw Data'!$F:$F,"Average*")</f>
        <v>12</v>
      </c>
      <c r="T40" s="11">
        <f>SUMIFS('Raw Data'!$L:$L,'Raw Data'!$B:$B,$B$2,'Raw Data'!$J:$J,T$2,'Raw Data'!$K:$K,"native",'Raw Data'!$H:$H,"Bank to Acquirer",'Raw Data'!$I:$I,"",'Raw Data'!$M:$M,"JOD",'Raw Data'!$F:$F,"Average*")</f>
        <v>12</v>
      </c>
      <c r="U40" s="11">
        <f>SUMIFS('Raw Data'!$L:$L,'Raw Data'!$B:$B,$B$2,'Raw Data'!$J:$J,U$2,'Raw Data'!$K:$K,"native",'Raw Data'!$H:$H,"Bank to Acquirer",'Raw Data'!$I:$I,"",'Raw Data'!$M:$M,"JOD",'Raw Data'!$F:$F,"Average*")</f>
        <v>14</v>
      </c>
      <c r="V40" s="11">
        <f>SUMIFS('Raw Data'!$L:$L,'Raw Data'!$B:$B,$B$2,'Raw Data'!$J:$J,V$2,'Raw Data'!$K:$K,"native",'Raw Data'!$H:$H,"Bank to Acquirer",'Raw Data'!$I:$I,"",'Raw Data'!$M:$M,"JOD",'Raw Data'!$F:$F,"Average*")</f>
        <v>11</v>
      </c>
      <c r="W40" s="11">
        <f>SUMIFS('Raw Data'!$L:$L,'Raw Data'!$B:$B,$B$2,'Raw Data'!$J:$J,W$2,'Raw Data'!$K:$K,"native",'Raw Data'!$H:$H,"Bank to Acquirer",'Raw Data'!$I:$I,"",'Raw Data'!$M:$M,"JOD",'Raw Data'!$F:$F,"Average*")</f>
        <v>11</v>
      </c>
      <c r="X40" s="11">
        <f>SUMIFS('Raw Data'!$L:$L,'Raw Data'!$B:$B,$B$2,'Raw Data'!$J:$J,X$2,'Raw Data'!$K:$K,"native",'Raw Data'!$H:$H,"Bank to Acquirer",'Raw Data'!$I:$I,"",'Raw Data'!$M:$M,"JOD",'Raw Data'!$F:$F,"Average*")</f>
        <v>12</v>
      </c>
      <c r="Y40" s="11">
        <f>SUMIFS('Raw Data'!$L:$L,'Raw Data'!$B:$B,$B$2,'Raw Data'!$J:$J,Y$2,'Raw Data'!$K:$K,"native",'Raw Data'!$H:$H,"Bank to Acquirer",'Raw Data'!$I:$I,"",'Raw Data'!$M:$M,"JOD",'Raw Data'!$F:$F,"Average*")</f>
        <v>12</v>
      </c>
      <c r="Z40" s="11">
        <f>SUMIFS('Raw Data'!$L:$L,'Raw Data'!$B:$B,$B$2,'Raw Data'!$J:$J,Z$2,'Raw Data'!$K:$K,"native",'Raw Data'!$H:$H,"Bank to Acquirer",'Raw Data'!$I:$I,"",'Raw Data'!$M:$M,"JOD",'Raw Data'!$F:$F,"Average*")</f>
        <v>12</v>
      </c>
    </row>
    <row r="41" spans="1:26" x14ac:dyDescent="0.25">
      <c r="A41" s="10" t="s">
        <v>82</v>
      </c>
      <c r="B41" s="10" t="s">
        <v>179</v>
      </c>
      <c r="C41" s="11"/>
      <c r="D41" s="11"/>
      <c r="E41" s="11"/>
      <c r="F41" s="11"/>
      <c r="G41" s="11"/>
      <c r="H41" s="11">
        <f>SUMIFS('Raw Data'!$L:$L,'Raw Data'!$B:$B,$B$2,'Raw Data'!$J:$J,H$2,'Raw Data'!$K:$K,"native",'Raw Data'!$H:$H,"mPSP to Acquirer",'Raw Data'!$I:$I,"",'Raw Data'!$M:$M,"JOD",'Raw Data'!$F:$F,"Average*")</f>
        <v>13</v>
      </c>
      <c r="I41" s="11">
        <f>SUMIFS('Raw Data'!$L:$L,'Raw Data'!$B:$B,$B$2,'Raw Data'!$J:$J,I$2,'Raw Data'!$K:$K,"native",'Raw Data'!$H:$H,"mPSP to Acquirer",'Raw Data'!$I:$I,"",'Raw Data'!$M:$M,"JOD",'Raw Data'!$F:$F,"Average*")</f>
        <v>13</v>
      </c>
      <c r="J41" s="11">
        <f>SUMIFS('Raw Data'!$L:$L,'Raw Data'!$B:$B,$B$2,'Raw Data'!$J:$J,J$2,'Raw Data'!$K:$K,"native",'Raw Data'!$H:$H,"mPSP to Acquirer",'Raw Data'!$I:$I,"",'Raw Data'!$M:$M,"JOD",'Raw Data'!$F:$F,"Average*")</f>
        <v>12</v>
      </c>
      <c r="K41" s="11">
        <f>SUMIFS('Raw Data'!$L:$L,'Raw Data'!$B:$B,$B$2,'Raw Data'!$J:$J,K$2,'Raw Data'!$K:$K,"native",'Raw Data'!$H:$H,"mPSP to Acquirer",'Raw Data'!$I:$I,"",'Raw Data'!$M:$M,"JOD",'Raw Data'!$F:$F,"Average*")</f>
        <v>11</v>
      </c>
      <c r="L41" s="11">
        <f>SUMIFS('Raw Data'!$L:$L,'Raw Data'!$B:$B,$B$2,'Raw Data'!$J:$J,L$2,'Raw Data'!$K:$K,"native",'Raw Data'!$H:$H,"mPSP to Acquirer",'Raw Data'!$I:$I,"",'Raw Data'!$M:$M,"JOD",'Raw Data'!$F:$F,"Average*")</f>
        <v>12</v>
      </c>
      <c r="M41" s="11">
        <f>SUMIFS('Raw Data'!$L:$L,'Raw Data'!$B:$B,$B$2,'Raw Data'!$J:$J,M$2,'Raw Data'!$K:$K,"native",'Raw Data'!$H:$H,"mPSP to Acquirer",'Raw Data'!$I:$I,"",'Raw Data'!$M:$M,"JOD",'Raw Data'!$F:$F,"Average*")</f>
        <v>11</v>
      </c>
      <c r="N41" s="11">
        <f>SUMIFS('Raw Data'!$L:$L,'Raw Data'!$B:$B,$B$2,'Raw Data'!$J:$J,N$2,'Raw Data'!$K:$K,"native",'Raw Data'!$H:$H,"mPSP to Acquirer",'Raw Data'!$I:$I,"",'Raw Data'!$M:$M,"JOD",'Raw Data'!$F:$F,"Average*")</f>
        <v>11</v>
      </c>
      <c r="O41" s="11">
        <f>SUMIFS('Raw Data'!$L:$L,'Raw Data'!$B:$B,$B$2,'Raw Data'!$J:$J,O$2,'Raw Data'!$K:$K,"native",'Raw Data'!$H:$H,"mPSP to Acquirer",'Raw Data'!$I:$I,"",'Raw Data'!$M:$M,"JOD",'Raw Data'!$F:$F,"Average*")</f>
        <v>11</v>
      </c>
      <c r="P41" s="11">
        <f>SUMIFS('Raw Data'!$L:$L,'Raw Data'!$B:$B,$B$2,'Raw Data'!$J:$J,P$2,'Raw Data'!$K:$K,"native",'Raw Data'!$H:$H,"mPSP to Acquirer",'Raw Data'!$I:$I,"",'Raw Data'!$M:$M,"JOD",'Raw Data'!$F:$F,"Average*")</f>
        <v>11</v>
      </c>
      <c r="Q41" s="11">
        <f>SUMIFS('Raw Data'!$L:$L,'Raw Data'!$B:$B,$B$2,'Raw Data'!$J:$J,Q$2,'Raw Data'!$K:$K,"native",'Raw Data'!$H:$H,"mPSP to Acquirer",'Raw Data'!$I:$I,"",'Raw Data'!$M:$M,"JOD",'Raw Data'!$F:$F,"Average*")</f>
        <v>10</v>
      </c>
      <c r="R41" s="11">
        <f>SUMIFS('Raw Data'!$L:$L,'Raw Data'!$B:$B,$B$2,'Raw Data'!$J:$J,R$2,'Raw Data'!$K:$K,"native",'Raw Data'!$H:$H,"mPSP to Acquirer",'Raw Data'!$I:$I,"",'Raw Data'!$M:$M,"JOD",'Raw Data'!$F:$F,"Average*")</f>
        <v>10</v>
      </c>
      <c r="S41" s="11">
        <f>SUMIFS('Raw Data'!$L:$L,'Raw Data'!$B:$B,$B$2,'Raw Data'!$J:$J,S$2,'Raw Data'!$K:$K,"native",'Raw Data'!$H:$H,"mPSP to Acquirer",'Raw Data'!$I:$I,"",'Raw Data'!$M:$M,"JOD",'Raw Data'!$F:$F,"Average*")</f>
        <v>10</v>
      </c>
      <c r="T41" s="11">
        <f>SUMIFS('Raw Data'!$L:$L,'Raw Data'!$B:$B,$B$2,'Raw Data'!$J:$J,T$2,'Raw Data'!$K:$K,"native",'Raw Data'!$H:$H,"mPSP to Acquirer",'Raw Data'!$I:$I,"",'Raw Data'!$M:$M,"JOD",'Raw Data'!$F:$F,"Average*")</f>
        <v>10</v>
      </c>
      <c r="U41" s="11">
        <f>SUMIFS('Raw Data'!$L:$L,'Raw Data'!$B:$B,$B$2,'Raw Data'!$J:$J,U$2,'Raw Data'!$K:$K,"native",'Raw Data'!$H:$H,"mPSP to Acquirer",'Raw Data'!$I:$I,"",'Raw Data'!$M:$M,"JOD",'Raw Data'!$F:$F,"Average*")</f>
        <v>11</v>
      </c>
      <c r="V41" s="11">
        <f>SUMIFS('Raw Data'!$L:$L,'Raw Data'!$B:$B,$B$2,'Raw Data'!$J:$J,V$2,'Raw Data'!$K:$K,"native",'Raw Data'!$H:$H,"mPSP to Acquirer",'Raw Data'!$I:$I,"",'Raw Data'!$M:$M,"JOD",'Raw Data'!$F:$F,"Average*")</f>
        <v>9</v>
      </c>
      <c r="W41" s="11">
        <f>SUMIFS('Raw Data'!$L:$L,'Raw Data'!$B:$B,$B$2,'Raw Data'!$J:$J,W$2,'Raw Data'!$K:$K,"native",'Raw Data'!$H:$H,"mPSP to Acquirer",'Raw Data'!$I:$I,"",'Raw Data'!$M:$M,"JOD",'Raw Data'!$F:$F,"Average*")</f>
        <v>9</v>
      </c>
      <c r="X41" s="11">
        <f>SUMIFS('Raw Data'!$L:$L,'Raw Data'!$B:$B,$B$2,'Raw Data'!$J:$J,X$2,'Raw Data'!$K:$K,"native",'Raw Data'!$H:$H,"mPSP to Acquirer",'Raw Data'!$I:$I,"",'Raw Data'!$M:$M,"JOD",'Raw Data'!$F:$F,"Average*")</f>
        <v>9</v>
      </c>
      <c r="Y41" s="11">
        <f>SUMIFS('Raw Data'!$L:$L,'Raw Data'!$B:$B,$B$2,'Raw Data'!$J:$J,Y$2,'Raw Data'!$K:$K,"native",'Raw Data'!$H:$H,"mPSP to Acquirer",'Raw Data'!$I:$I,"",'Raw Data'!$M:$M,"JOD",'Raw Data'!$F:$F,"Average*")</f>
        <v>9</v>
      </c>
      <c r="Z41" s="11">
        <f>SUMIFS('Raw Data'!$L:$L,'Raw Data'!$B:$B,$B$2,'Raw Data'!$J:$J,Z$2,'Raw Data'!$K:$K,"native",'Raw Data'!$H:$H,"mPSP to Acquirer",'Raw Data'!$I:$I,"",'Raw Data'!$M:$M,"JOD",'Raw Data'!$F:$F,"Average*")</f>
        <v>9</v>
      </c>
    </row>
  </sheetData>
  <mergeCells count="8">
    <mergeCell ref="A28:Z28"/>
    <mergeCell ref="A31:Z31"/>
    <mergeCell ref="A34:Z34"/>
    <mergeCell ref="A1:Z1"/>
    <mergeCell ref="A4:Z4"/>
    <mergeCell ref="A13:Z13"/>
    <mergeCell ref="A16:Z16"/>
    <mergeCell ref="A19:Z19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B91C1C"/>
  </sheetPr>
  <dimension ref="A1:V12"/>
  <sheetViews>
    <sheetView showGridLines="0" zoomScaleNormal="100" workbookViewId="0">
      <selection activeCell="C6" sqref="C6"/>
    </sheetView>
  </sheetViews>
  <sheetFormatPr defaultColWidth="8.7109375" defaultRowHeight="15" x14ac:dyDescent="0.25"/>
  <cols>
    <col min="1" max="1" width="74.85546875" bestFit="1" customWidth="1"/>
    <col min="2" max="2" width="52.28515625" customWidth="1"/>
    <col min="3" max="9" width="13" customWidth="1"/>
    <col min="10" max="10" width="12.85546875" bestFit="1" customWidth="1"/>
    <col min="11" max="21" width="14.42578125" bestFit="1" customWidth="1"/>
    <col min="22" max="22" width="12.85546875" bestFit="1" customWidth="1"/>
  </cols>
  <sheetData>
    <row r="1" spans="1:22" ht="25.5" customHeight="1" x14ac:dyDescent="0.25">
      <c r="A1" s="23" t="s">
        <v>180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</row>
    <row r="2" spans="1:22" hidden="1" x14ac:dyDescent="0.25">
      <c r="A2" s="6" t="s">
        <v>34</v>
      </c>
      <c r="B2" s="7" t="s">
        <v>181</v>
      </c>
      <c r="C2" s="8" t="str">
        <f>RIGHT(C$3,4)&amp;"-"&amp;TEXT(MATCH(LEFT(C$3,3),{"Jan","Feb","Mar","Apr","May","Jun","Jul","Aug","Sep","Oct","Nov","Dec"},0),"00")</f>
        <v>2025-01</v>
      </c>
      <c r="D2" s="8" t="str">
        <f>RIGHT(D$3,4)&amp;"-"&amp;TEXT(MATCH(LEFT(D$3,3),{"Jan","Feb","Mar","Apr","May","Jun","Jul","Aug","Sep","Oct","Nov","Dec"},0),"00")</f>
        <v>2025-02</v>
      </c>
      <c r="E2" s="8" t="str">
        <f>RIGHT(E$3,4)&amp;"-"&amp;TEXT(MATCH(LEFT(E$3,3),{"Jan","Feb","Mar","Apr","May","Jun","Jul","Aug","Sep","Oct","Nov","Dec"},0),"00")</f>
        <v>2025-03</v>
      </c>
      <c r="F2" s="8" t="str">
        <f>RIGHT(F$3,4)&amp;"-"&amp;TEXT(MATCH(LEFT(F$3,3),{"Jan","Feb","Mar","Apr","May","Jun","Jul","Aug","Sep","Oct","Nov","Dec"},0),"00")</f>
        <v>2025-04</v>
      </c>
      <c r="G2" s="8" t="str">
        <f>RIGHT(G$3,4)&amp;"-"&amp;TEXT(MATCH(LEFT(G$3,3),{"Jan","Feb","Mar","Apr","May","Jun","Jul","Aug","Sep","Oct","Nov","Dec"},0),"00")</f>
        <v>2025-05</v>
      </c>
      <c r="H2" s="8" t="str">
        <f>RIGHT(H$3,4)&amp;"-"&amp;TEXT(MATCH(LEFT(H$3,3),{"Jan","Feb","Mar","Apr","May","Jun","Jul","Aug","Sep","Oct","Nov","Dec"},0),"00")</f>
        <v>2025-06</v>
      </c>
      <c r="I2" s="8" t="str">
        <f>RIGHT(I$3,4)&amp;"-"&amp;TEXT(MATCH(LEFT(I$3,3),{"Jan","Feb","Mar","Apr","May","Jun","Jul","Aug","Sep","Oct","Nov","Dec"},0),"00")</f>
        <v>2025-07</v>
      </c>
      <c r="J2" s="8" t="str">
        <f>RIGHT(J$3,4)&amp;"-"&amp;TEXT(MATCH(LEFT(J$3,3),{"Jan","Feb","Mar","Apr","May","Jun","Jul","Aug","Sep","Oct","Nov","Dec"},0),"00")</f>
        <v>2025-08</v>
      </c>
      <c r="K2" s="8" t="str">
        <f>RIGHT(K$3,4)&amp;"-"&amp;TEXT(MATCH(LEFT(K$3,3),{"Jan","Feb","Mar","Apr","May","Jun","Jul","Aug","Sep","Oct","Nov","Dec"},0),"00")</f>
        <v>2025-09</v>
      </c>
      <c r="L2" s="8" t="str">
        <f>RIGHT(L$3,4)&amp;"-"&amp;TEXT(MATCH(LEFT(L$3,3),{"Jan","Feb","Mar","Apr","May","Jun","Jul","Aug","Sep","Oct","Nov","Dec"},0),"00")</f>
        <v>2025-10</v>
      </c>
      <c r="M2" s="8" t="str">
        <f>RIGHT(M$3,4)&amp;"-"&amp;TEXT(MATCH(LEFT(M$3,3),{"Jan","Feb","Mar","Apr","May","Jun","Jul","Aug","Sep","Oct","Nov","Dec"},0),"00")</f>
        <v>2025-11</v>
      </c>
      <c r="N2" s="8" t="str">
        <f>RIGHT(N$3,4)&amp;"-"&amp;TEXT(MATCH(LEFT(N$3,3),{"Jan","Feb","Mar","Apr","May","Jun","Jul","Aug","Sep","Oct","Nov","Dec"},0),"00")</f>
        <v>2025-12</v>
      </c>
      <c r="O2" s="8" t="str">
        <f>RIGHT(O$3,4)&amp;"-"&amp;TEXT(MATCH(LEFT(O$3,3),{"Jan","Feb","Mar","Apr","May","Jun","Jul","Aug","Sep","Oct","Nov","Dec"},0),"00")</f>
        <v>2026-01</v>
      </c>
      <c r="P2" s="8" t="str">
        <f>RIGHT(P$3,4)&amp;"-"&amp;TEXT(MATCH(LEFT(P$3,3),{"Jan","Feb","Mar","Apr","May","Jun","Jul","Aug","Sep","Oct","Nov","Dec"},0),"00")</f>
        <v>2026-02</v>
      </c>
      <c r="Q2" s="8" t="str">
        <f>RIGHT(Q$3,4)&amp;"-"&amp;TEXT(MATCH(LEFT(Q$3,3),{"Jan","Feb","Mar","Apr","May","Jun","Jul","Aug","Sep","Oct","Nov","Dec"},0),"00")</f>
        <v>2026-03</v>
      </c>
      <c r="R2" s="8" t="str">
        <f>RIGHT(R$3,4)&amp;"-"&amp;TEXT(MATCH(LEFT(R$3,3),{"Jan","Feb","Mar","Apr","May","Jun","Jul","Aug","Sep","Oct","Nov","Dec"},0),"00")</f>
        <v>2026-04</v>
      </c>
      <c r="S2" s="8" t="str">
        <f>RIGHT(S$3,4)&amp;"-"&amp;TEXT(MATCH(LEFT(S$3,3),{"Jan","Feb","Mar","Apr","May","Jun","Jul","Aug","Sep","Oct","Nov","Dec"},0),"00")</f>
        <v>2026-05</v>
      </c>
      <c r="T2" s="8" t="str">
        <f>RIGHT(T$3,4)&amp;"-"&amp;TEXT(MATCH(LEFT(T$3,3),{"Jan","Feb","Mar","Apr","May","Jun","Jul","Aug","Sep","Oct","Nov","Dec"},0),"00")</f>
        <v>2026-06</v>
      </c>
      <c r="U2" s="8" t="str">
        <f>RIGHT(U$3,4)&amp;"-"&amp;TEXT(MATCH(LEFT(U$3,3),{"Jan","Feb","Mar","Apr","May","Jun","Jul","Aug","Sep","Oct","Nov","Dec"},0),"00")</f>
        <v>2026-07</v>
      </c>
      <c r="V2" s="8" t="str">
        <f>RIGHT(V$3,4)&amp;"-"&amp;TEXT(MATCH(LEFT(V$3,3),{"Jan","Feb","Mar","Apr","May","Jun","Jul","Aug","Sep","Oct","Nov","Dec"},0),"00")</f>
        <v>2026-08</v>
      </c>
    </row>
    <row r="3" spans="1:22" ht="19.5" customHeight="1" x14ac:dyDescent="0.25">
      <c r="A3" s="9" t="s">
        <v>36</v>
      </c>
      <c r="B3" s="9" t="s">
        <v>37</v>
      </c>
      <c r="C3" s="9" t="s">
        <v>42</v>
      </c>
      <c r="D3" s="9" t="s">
        <v>43</v>
      </c>
      <c r="E3" s="9" t="s">
        <v>44</v>
      </c>
      <c r="F3" s="9" t="s">
        <v>45</v>
      </c>
      <c r="G3" s="9" t="s">
        <v>46</v>
      </c>
      <c r="H3" s="9" t="s">
        <v>47</v>
      </c>
      <c r="I3" s="9" t="s">
        <v>48</v>
      </c>
      <c r="J3" s="9" t="s">
        <v>49</v>
      </c>
      <c r="K3" s="9" t="s">
        <v>50</v>
      </c>
      <c r="L3" s="9" t="s">
        <v>51</v>
      </c>
      <c r="M3" s="9" t="s">
        <v>52</v>
      </c>
      <c r="N3" s="9" t="s">
        <v>53</v>
      </c>
      <c r="O3" s="9" t="s">
        <v>54</v>
      </c>
      <c r="P3" s="9" t="s">
        <v>55</v>
      </c>
      <c r="Q3" s="9" t="s">
        <v>56</v>
      </c>
      <c r="R3" s="9" t="s">
        <v>57</v>
      </c>
      <c r="S3" s="9" t="s">
        <v>58</v>
      </c>
      <c r="T3" s="9" t="s">
        <v>59</v>
      </c>
      <c r="U3" s="9" t="s">
        <v>60</v>
      </c>
      <c r="V3" s="9" t="s">
        <v>61</v>
      </c>
    </row>
    <row r="4" spans="1:22" x14ac:dyDescent="0.25">
      <c r="A4" s="56" t="s">
        <v>182</v>
      </c>
      <c r="B4" s="57"/>
      <c r="C4" s="57"/>
      <c r="D4" s="57"/>
      <c r="E4" s="57"/>
      <c r="F4" s="57"/>
      <c r="G4" s="57"/>
      <c r="H4" s="57"/>
      <c r="I4" s="57"/>
      <c r="J4" s="58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7"/>
    </row>
    <row r="5" spans="1:22" x14ac:dyDescent="0.25">
      <c r="A5" s="26" t="s">
        <v>183</v>
      </c>
      <c r="B5" s="26" t="s">
        <v>184</v>
      </c>
      <c r="C5" s="28">
        <f>SUMIFS('Raw Data'!$L:$L,'Raw Data'!$B:$B,$B$2,'Raw Data'!$J:$J,C$2,'Raw Data'!$K:$K,"native",'Raw Data'!$H:$H,"Through Bank Accounts",'Raw Data'!$I:$I,"",'Raw Data'!$M:$M,"count",'Raw Data'!$F:$F,"Number*")</f>
        <v>10320000</v>
      </c>
      <c r="D5" s="28">
        <f>SUMIFS('Raw Data'!$L:$L,'Raw Data'!$B:$B,$B$2,'Raw Data'!$J:$J,D$2,'Raw Data'!$K:$K,"native",'Raw Data'!$H:$H,"Through Bank Accounts",'Raw Data'!$I:$I,"",'Raw Data'!$M:$M,"count",'Raw Data'!$F:$F,"Number*")</f>
        <v>9900000</v>
      </c>
      <c r="E5" s="28">
        <f>SUMIFS('Raw Data'!$L:$L,'Raw Data'!$B:$B,$B$2,'Raw Data'!$J:$J,E$2,'Raw Data'!$K:$K,"native",'Raw Data'!$H:$H,"Through Bank Accounts",'Raw Data'!$I:$I,"",'Raw Data'!$M:$M,"count",'Raw Data'!$F:$F,"Number*")</f>
        <v>12110000</v>
      </c>
      <c r="F5" s="28">
        <f>SUMIFS('Raw Data'!$L:$L,'Raw Data'!$B:$B,$B$2,'Raw Data'!$J:$J,F$2,'Raw Data'!$K:$K,"native",'Raw Data'!$H:$H,"Through Bank Accounts",'Raw Data'!$I:$I,"",'Raw Data'!$M:$M,"count",'Raw Data'!$F:$F,"Number*")</f>
        <v>11520000</v>
      </c>
      <c r="G5" s="28">
        <f>SUMIFS('Raw Data'!$L:$L,'Raw Data'!$B:$B,$B$2,'Raw Data'!$J:$J,G$2,'Raw Data'!$K:$K,"native",'Raw Data'!$H:$H,"Through Bank Accounts",'Raw Data'!$I:$I,"",'Raw Data'!$M:$M,"count",'Raw Data'!$F:$F,"Number*")</f>
        <v>13730000</v>
      </c>
      <c r="H5" s="28">
        <f>SUMIFS('Raw Data'!$L:$L,'Raw Data'!$B:$B,$B$2,'Raw Data'!$J:$J,H$2,'Raw Data'!$K:$K,"native",'Raw Data'!$H:$H,"Through Bank Accounts",'Raw Data'!$I:$I,"",'Raw Data'!$M:$M,"count",'Raw Data'!$F:$F,"Number*")</f>
        <v>13090000</v>
      </c>
      <c r="I5" s="28">
        <f>SUMIFS('Raw Data'!$L:$L,'Raw Data'!$B:$B,$B$2,'Raw Data'!$J:$J,I$2,'Raw Data'!$K:$K,"native",'Raw Data'!$H:$H,"Through Bank Accounts",'Raw Data'!$I:$I,"",'Raw Data'!$M:$M,"count",'Raw Data'!$F:$F,"Number*")</f>
        <v>15300000</v>
      </c>
      <c r="J5" s="28">
        <f>SUMIFS('Raw Data'!$L:$L,'Raw Data'!$B:$B,$B$2,'Raw Data'!$J:$J,J$2,'Raw Data'!$K:$K,"native",'Raw Data'!$H:$H,"Through Bank Accounts",'Raw Data'!$I:$I,"",'Raw Data'!$M:$M,"count",'Raw Data'!$F:$F,"Number*")</f>
        <v>15770000</v>
      </c>
      <c r="K5" s="28">
        <f>SUMIFS('Raw Data'!$L:$L,'Raw Data'!$B:$B,$B$2,'Raw Data'!$J:$J,K$2,'Raw Data'!$K:$K,"native",'Raw Data'!$H:$H,"Through Bank Accounts",'Raw Data'!$I:$I,"",'Raw Data'!$M:$M,"count",'Raw Data'!$F:$F,"Number*")</f>
        <v>15580000</v>
      </c>
      <c r="L5" s="28">
        <f>SUMIFS('Raw Data'!$L:$L,'Raw Data'!$B:$B,$B$2,'Raw Data'!$J:$J,L$2,'Raw Data'!$K:$K,"native",'Raw Data'!$H:$H,"Through Bank Accounts",'Raw Data'!$I:$I,"",'Raw Data'!$M:$M,"count",'Raw Data'!$F:$F,"Number*")</f>
        <v>16590000</v>
      </c>
      <c r="M5" s="28">
        <f>SUMIFS('Raw Data'!$L:$L,'Raw Data'!$B:$B,$B$2,'Raw Data'!$J:$J,M$2,'Raw Data'!$K:$K,"native",'Raw Data'!$H:$H,"Through Bank Accounts",'Raw Data'!$I:$I,"",'Raw Data'!$M:$M,"count",'Raw Data'!$F:$F,"Number*")</f>
        <v>16350000</v>
      </c>
      <c r="N5" s="28">
        <f>SUMIFS('Raw Data'!$L:$L,'Raw Data'!$B:$B,$B$2,'Raw Data'!$J:$J,N$2,'Raw Data'!$K:$K,"native",'Raw Data'!$H:$H,"Through Bank Accounts",'Raw Data'!$I:$I,"",'Raw Data'!$M:$M,"count",'Raw Data'!$F:$F,"Number*")</f>
        <v>17670000</v>
      </c>
      <c r="O5" s="28">
        <f>SUMIFS('Raw Data'!$L:$L,'Raw Data'!$B:$B,$B$2,'Raw Data'!$J:$J,O$2,'Raw Data'!$K:$K,"native",'Raw Data'!$H:$H,"Through Bank Accounts",'Raw Data'!$I:$I,"",'Raw Data'!$M:$M,"count",'Raw Data'!$F:$F,"Number*")</f>
        <v>17700000</v>
      </c>
      <c r="P5" s="28">
        <f>SUMIFS('Raw Data'!$L:$L,'Raw Data'!$B:$B,$B$2,'Raw Data'!$J:$J,P$2,'Raw Data'!$K:$K,"native",'Raw Data'!$H:$H,"Through Bank Accounts",'Raw Data'!$I:$I,"",'Raw Data'!$M:$M,"count",'Raw Data'!$F:$F,"Number*")</f>
        <v>16580000</v>
      </c>
      <c r="Q5" s="28">
        <f>SUMIFS('Raw Data'!$L:$L,'Raw Data'!$B:$B,$B$2,'Raw Data'!$J:$J,Q$2,'Raw Data'!$K:$K,"native",'Raw Data'!$H:$H,"Through Bank Accounts",'Raw Data'!$I:$I,"",'Raw Data'!$M:$M,"count",'Raw Data'!$F:$F,"Number*")</f>
        <v>19010000</v>
      </c>
      <c r="R5" s="28">
        <f>SUMIFS('Raw Data'!$L:$L,'Raw Data'!$B:$B,$B$2,'Raw Data'!$J:$J,R$2,'Raw Data'!$K:$K,"native",'Raw Data'!$H:$H,"Through Bank Accounts",'Raw Data'!$I:$I,"",'Raw Data'!$M:$M,"count",'Raw Data'!$F:$F,"Number*")</f>
        <v>19330000</v>
      </c>
      <c r="S5" s="28">
        <f>SUMIFS('Raw Data'!$L:$L,'Raw Data'!$B:$B,$B$2,'Raw Data'!$J:$J,S$2,'Raw Data'!$K:$K,"native",'Raw Data'!$H:$H,"Through Bank Accounts",'Raw Data'!$I:$I,"",'Raw Data'!$M:$M,"count",'Raw Data'!$F:$F,"Number*")</f>
        <v>21430000</v>
      </c>
      <c r="T5" s="28">
        <f>SUMIFS('Raw Data'!$L:$L,'Raw Data'!$B:$B,$B$2,'Raw Data'!$J:$J,T$2,'Raw Data'!$K:$K,"native",'Raw Data'!$H:$H,"Through Bank Accounts",'Raw Data'!$I:$I,"",'Raw Data'!$M:$M,"count",'Raw Data'!$F:$F,"Number*")</f>
        <v>20960000</v>
      </c>
      <c r="U5" s="28">
        <f>SUMIFS('Raw Data'!$L:$L,'Raw Data'!$B:$B,$B$2,'Raw Data'!$J:$J,U$2,'Raw Data'!$K:$K,"native",'Raw Data'!$H:$H,"Through Bank Accounts",'Raw Data'!$I:$I,"",'Raw Data'!$M:$M,"count",'Raw Data'!$F:$F,"Number*")</f>
        <v>23170000</v>
      </c>
      <c r="V5" s="28">
        <f>SUMIFS('Raw Data'!$L:$L,'Raw Data'!$B:$B,$B$2,'Raw Data'!$J:$J,V$2,'Raw Data'!$K:$K,"native",'Raw Data'!$H:$H,"Through Bank Accounts",'Raw Data'!$I:$I,"",'Raw Data'!$M:$M,"count",'Raw Data'!$F:$F,"Number*")</f>
        <v>24000000</v>
      </c>
    </row>
    <row r="6" spans="1:22" x14ac:dyDescent="0.25">
      <c r="A6" s="26" t="s">
        <v>183</v>
      </c>
      <c r="B6" s="26" t="s">
        <v>185</v>
      </c>
      <c r="C6" s="28">
        <f>SUMIFS('Raw Data'!$L:$L,'Raw Data'!$B:$B,$B$2,'Raw Data'!$J:$J,C$2,'Raw Data'!$K:$K,"native",'Raw Data'!$H:$H,"Through Mobile Wallets",'Raw Data'!$I:$I,"",'Raw Data'!$M:$M,"count",'Raw Data'!$F:$F,"Number*")</f>
        <v>6420000</v>
      </c>
      <c r="D6" s="28">
        <f>SUMIFS('Raw Data'!$L:$L,'Raw Data'!$B:$B,$B$2,'Raw Data'!$J:$J,D$2,'Raw Data'!$K:$K,"native",'Raw Data'!$H:$H,"Through Mobile Wallets",'Raw Data'!$I:$I,"",'Raw Data'!$M:$M,"count",'Raw Data'!$F:$F,"Number*")</f>
        <v>5890000</v>
      </c>
      <c r="E6" s="28">
        <f>SUMIFS('Raw Data'!$L:$L,'Raw Data'!$B:$B,$B$2,'Raw Data'!$J:$J,E$2,'Raw Data'!$K:$K,"native",'Raw Data'!$H:$H,"Through Mobile Wallets",'Raw Data'!$I:$I,"",'Raw Data'!$M:$M,"count",'Raw Data'!$F:$F,"Number*")</f>
        <v>7290000</v>
      </c>
      <c r="F6" s="28">
        <f>SUMIFS('Raw Data'!$L:$L,'Raw Data'!$B:$B,$B$2,'Raw Data'!$J:$J,F$2,'Raw Data'!$K:$K,"native",'Raw Data'!$H:$H,"Through Mobile Wallets",'Raw Data'!$I:$I,"",'Raw Data'!$M:$M,"count",'Raw Data'!$F:$F,"Number*")</f>
        <v>6990000</v>
      </c>
      <c r="G6" s="28">
        <f>SUMIFS('Raw Data'!$L:$L,'Raw Data'!$B:$B,$B$2,'Raw Data'!$J:$J,G$2,'Raw Data'!$K:$K,"native",'Raw Data'!$H:$H,"Through Mobile Wallets",'Raw Data'!$I:$I,"",'Raw Data'!$M:$M,"count",'Raw Data'!$F:$F,"Number*")</f>
        <v>8210000</v>
      </c>
      <c r="H6" s="28">
        <f>SUMIFS('Raw Data'!$L:$L,'Raw Data'!$B:$B,$B$2,'Raw Data'!$J:$J,H$2,'Raw Data'!$K:$K,"native",'Raw Data'!$H:$H,"Through Mobile Wallets",'Raw Data'!$I:$I,"",'Raw Data'!$M:$M,"count",'Raw Data'!$F:$F,"Number*")</f>
        <v>7990000</v>
      </c>
      <c r="I6" s="28">
        <f>SUMIFS('Raw Data'!$L:$L,'Raw Data'!$B:$B,$B$2,'Raw Data'!$J:$J,I$2,'Raw Data'!$K:$K,"native",'Raw Data'!$H:$H,"Through Mobile Wallets",'Raw Data'!$I:$I,"",'Raw Data'!$M:$M,"count",'Raw Data'!$F:$F,"Number*")</f>
        <v>9150000</v>
      </c>
      <c r="J6" s="28">
        <f>SUMIFS('Raw Data'!$L:$L,'Raw Data'!$B:$B,$B$2,'Raw Data'!$J:$J,J$2,'Raw Data'!$K:$K,"native",'Raw Data'!$H:$H,"Through Mobile Wallets",'Raw Data'!$I:$I,"",'Raw Data'!$M:$M,"count",'Raw Data'!$F:$F,"Number*")</f>
        <v>9450000</v>
      </c>
      <c r="K6" s="28">
        <f>SUMIFS('Raw Data'!$L:$L,'Raw Data'!$B:$B,$B$2,'Raw Data'!$J:$J,K$2,'Raw Data'!$K:$K,"native",'Raw Data'!$H:$H,"Through Mobile Wallets",'Raw Data'!$I:$I,"",'Raw Data'!$M:$M,"count",'Raw Data'!$F:$F,"Number*")</f>
        <v>9500000</v>
      </c>
      <c r="L6" s="28">
        <f>SUMIFS('Raw Data'!$L:$L,'Raw Data'!$B:$B,$B$2,'Raw Data'!$J:$J,L$2,'Raw Data'!$K:$K,"native",'Raw Data'!$H:$H,"Through Mobile Wallets",'Raw Data'!$I:$I,"",'Raw Data'!$M:$M,"count",'Raw Data'!$F:$F,"Number*")</f>
        <v>10130000</v>
      </c>
      <c r="M6" s="28">
        <f>SUMIFS('Raw Data'!$L:$L,'Raw Data'!$B:$B,$B$2,'Raw Data'!$J:$J,M$2,'Raw Data'!$K:$K,"native",'Raw Data'!$H:$H,"Through Mobile Wallets",'Raw Data'!$I:$I,"",'Raw Data'!$M:$M,"count",'Raw Data'!$F:$F,"Number*")</f>
        <v>10100000</v>
      </c>
      <c r="N6" s="28">
        <f>SUMIFS('Raw Data'!$L:$L,'Raw Data'!$B:$B,$B$2,'Raw Data'!$J:$J,N$2,'Raw Data'!$K:$K,"native",'Raw Data'!$H:$H,"Through Mobile Wallets",'Raw Data'!$I:$I,"",'Raw Data'!$M:$M,"count",'Raw Data'!$F:$F,"Number*")</f>
        <v>10930000</v>
      </c>
      <c r="O6" s="28">
        <f>SUMIFS('Raw Data'!$L:$L,'Raw Data'!$B:$B,$B$2,'Raw Data'!$J:$J,O$2,'Raw Data'!$K:$K,"native",'Raw Data'!$H:$H,"Through Mobile Wallets",'Raw Data'!$I:$I,"",'Raw Data'!$M:$M,"count",'Raw Data'!$F:$F,"Number*")</f>
        <v>11830000</v>
      </c>
      <c r="P6" s="28">
        <f>SUMIFS('Raw Data'!$L:$L,'Raw Data'!$B:$B,$B$2,'Raw Data'!$J:$J,P$2,'Raw Data'!$K:$K,"native",'Raw Data'!$H:$H,"Through Mobile Wallets",'Raw Data'!$I:$I,"",'Raw Data'!$M:$M,"count",'Raw Data'!$F:$F,"Number*")</f>
        <v>10840000</v>
      </c>
      <c r="Q6" s="28">
        <f>SUMIFS('Raw Data'!$L:$L,'Raw Data'!$B:$B,$B$2,'Raw Data'!$J:$J,Q$2,'Raw Data'!$K:$K,"native",'Raw Data'!$H:$H,"Through Mobile Wallets",'Raw Data'!$I:$I,"",'Raw Data'!$M:$M,"count",'Raw Data'!$F:$F,"Number*")</f>
        <v>12760000</v>
      </c>
      <c r="R6" s="28">
        <f>SUMIFS('Raw Data'!$L:$L,'Raw Data'!$B:$B,$B$2,'Raw Data'!$J:$J,R$2,'Raw Data'!$K:$K,"native",'Raw Data'!$H:$H,"Through Mobile Wallets",'Raw Data'!$I:$I,"",'Raw Data'!$M:$M,"count",'Raw Data'!$F:$F,"Number*")</f>
        <v>13290000</v>
      </c>
      <c r="S6" s="28">
        <f>SUMIFS('Raw Data'!$L:$L,'Raw Data'!$B:$B,$B$2,'Raw Data'!$J:$J,S$2,'Raw Data'!$K:$K,"native",'Raw Data'!$H:$H,"Through Mobile Wallets",'Raw Data'!$I:$I,"",'Raw Data'!$M:$M,"count",'Raw Data'!$F:$F,"Number*")</f>
        <v>14980000</v>
      </c>
      <c r="T6" s="28">
        <f>SUMIFS('Raw Data'!$L:$L,'Raw Data'!$B:$B,$B$2,'Raw Data'!$J:$J,T$2,'Raw Data'!$K:$K,"native",'Raw Data'!$H:$H,"Through Mobile Wallets",'Raw Data'!$I:$I,"",'Raw Data'!$M:$M,"count",'Raw Data'!$F:$F,"Number*")</f>
        <v>14790000</v>
      </c>
      <c r="U6" s="28">
        <f>SUMIFS('Raw Data'!$L:$L,'Raw Data'!$B:$B,$B$2,'Raw Data'!$J:$J,U$2,'Raw Data'!$K:$K,"native",'Raw Data'!$H:$H,"Through Mobile Wallets",'Raw Data'!$I:$I,"",'Raw Data'!$M:$M,"count",'Raw Data'!$F:$F,"Number*")</f>
        <v>16840000</v>
      </c>
      <c r="V6" s="28">
        <f>SUMIFS('Raw Data'!$L:$L,'Raw Data'!$B:$B,$B$2,'Raw Data'!$J:$J,V$2,'Raw Data'!$K:$K,"native",'Raw Data'!$H:$H,"Through Mobile Wallets",'Raw Data'!$I:$I,"",'Raw Data'!$M:$M,"count",'Raw Data'!$F:$F,"Number*")</f>
        <v>17670000</v>
      </c>
    </row>
    <row r="7" spans="1:22" x14ac:dyDescent="0.25">
      <c r="A7" s="59" t="s">
        <v>186</v>
      </c>
      <c r="B7" s="59"/>
      <c r="C7" s="59"/>
      <c r="D7" s="59"/>
      <c r="E7" s="59"/>
      <c r="F7" s="59"/>
      <c r="G7" s="59"/>
      <c r="H7" s="59"/>
      <c r="I7" s="59"/>
      <c r="J7" s="59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9"/>
    </row>
    <row r="8" spans="1:22" x14ac:dyDescent="0.25">
      <c r="A8" s="26" t="s">
        <v>183</v>
      </c>
      <c r="B8" s="26" t="s">
        <v>184</v>
      </c>
      <c r="C8" s="28">
        <f>SUMIFS('Raw Data'!$L:$L,'Raw Data'!$B:$B,$B$2,'Raw Data'!$J:$J,C$2,'Raw Data'!$K:$K,"native",'Raw Data'!$H:$H,"Through Bank Accounts",'Raw Data'!$I:$I,"",'Raw Data'!$M:$M,"JOD",'Raw Data'!$F:$F,"Value*")</f>
        <v>1330000000</v>
      </c>
      <c r="D8" s="28">
        <f>SUMIFS('Raw Data'!$L:$L,'Raw Data'!$B:$B,$B$2,'Raw Data'!$J:$J,D$2,'Raw Data'!$K:$K,"native",'Raw Data'!$H:$H,"Through Bank Accounts",'Raw Data'!$I:$I,"",'Raw Data'!$M:$M,"JOD",'Raw Data'!$F:$F,"Value*")</f>
        <v>1280000000</v>
      </c>
      <c r="E8" s="28">
        <f>SUMIFS('Raw Data'!$L:$L,'Raw Data'!$B:$B,$B$2,'Raw Data'!$J:$J,E$2,'Raw Data'!$K:$K,"native",'Raw Data'!$H:$H,"Through Bank Accounts",'Raw Data'!$I:$I,"",'Raw Data'!$M:$M,"JOD",'Raw Data'!$F:$F,"Value*")</f>
        <v>1560000000</v>
      </c>
      <c r="F8" s="28">
        <f>SUMIFS('Raw Data'!$L:$L,'Raw Data'!$B:$B,$B$2,'Raw Data'!$J:$J,F$2,'Raw Data'!$K:$K,"native",'Raw Data'!$H:$H,"Through Bank Accounts",'Raw Data'!$I:$I,"",'Raw Data'!$M:$M,"JOD",'Raw Data'!$F:$F,"Value*")</f>
        <v>1480000000</v>
      </c>
      <c r="G8" s="28">
        <f>SUMIFS('Raw Data'!$L:$L,'Raw Data'!$B:$B,$B$2,'Raw Data'!$J:$J,G$2,'Raw Data'!$K:$K,"native",'Raw Data'!$H:$H,"Through Bank Accounts",'Raw Data'!$I:$I,"",'Raw Data'!$M:$M,"JOD",'Raw Data'!$F:$F,"Value*")</f>
        <v>1640000000</v>
      </c>
      <c r="H8" s="28">
        <f>SUMIFS('Raw Data'!$L:$L,'Raw Data'!$B:$B,$B$2,'Raw Data'!$J:$J,H$2,'Raw Data'!$K:$K,"native",'Raw Data'!$H:$H,"Through Bank Accounts",'Raw Data'!$I:$I,"",'Raw Data'!$M:$M,"JOD",'Raw Data'!$F:$F,"Value*")</f>
        <v>1600000000</v>
      </c>
      <c r="I8" s="28">
        <f>SUMIFS('Raw Data'!$L:$L,'Raw Data'!$B:$B,$B$2,'Raw Data'!$J:$J,I$2,'Raw Data'!$K:$K,"native",'Raw Data'!$H:$H,"Through Bank Accounts",'Raw Data'!$I:$I,"",'Raw Data'!$M:$M,"JOD",'Raw Data'!$F:$F,"Value*")</f>
        <v>1860000000</v>
      </c>
      <c r="J8" s="28">
        <f>SUMIFS('Raw Data'!$L:$L,'Raw Data'!$B:$B,$B$2,'Raw Data'!$J:$J,J$2,'Raw Data'!$K:$K,"native",'Raw Data'!$H:$H,"Through Bank Accounts",'Raw Data'!$I:$I,"",'Raw Data'!$M:$M,"JOD",'Raw Data'!$F:$F,"Value*")</f>
        <v>1880000000</v>
      </c>
      <c r="K8" s="30">
        <f>SUMIFS('Raw Data'!$L:$L,'Raw Data'!$B:$B,$B$2,'Raw Data'!$J:$J,K$2,'Raw Data'!$K:$K,"native",'Raw Data'!$H:$H,"Through Bank Accounts",'Raw Data'!$I:$I,"",'Raw Data'!$M:$M,"JOD",'Raw Data'!$F:$F,"Value*")</f>
        <v>1870000000</v>
      </c>
      <c r="L8" s="30">
        <f>SUMIFS('Raw Data'!$L:$L,'Raw Data'!$B:$B,$B$2,'Raw Data'!$J:$J,L$2,'Raw Data'!$K:$K,"native",'Raw Data'!$H:$H,"Through Bank Accounts",'Raw Data'!$I:$I,"",'Raw Data'!$M:$M,"JOD",'Raw Data'!$F:$F,"Value*")</f>
        <v>1860000000</v>
      </c>
      <c r="M8" s="30">
        <f>SUMIFS('Raw Data'!$L:$L,'Raw Data'!$B:$B,$B$2,'Raw Data'!$J:$J,M$2,'Raw Data'!$K:$K,"native",'Raw Data'!$H:$H,"Through Bank Accounts",'Raw Data'!$I:$I,"",'Raw Data'!$M:$M,"JOD",'Raw Data'!$F:$F,"Value*")</f>
        <v>1730000000</v>
      </c>
      <c r="N8" s="30">
        <f>SUMIFS('Raw Data'!$L:$L,'Raw Data'!$B:$B,$B$2,'Raw Data'!$J:$J,N$2,'Raw Data'!$K:$K,"native",'Raw Data'!$H:$H,"Through Bank Accounts",'Raw Data'!$I:$I,"",'Raw Data'!$M:$M,"JOD",'Raw Data'!$F:$F,"Value*")</f>
        <v>1880000000</v>
      </c>
      <c r="O8" s="30">
        <f>SUMIFS('Raw Data'!$L:$L,'Raw Data'!$B:$B,$B$2,'Raw Data'!$J:$J,O$2,'Raw Data'!$K:$K,"native",'Raw Data'!$H:$H,"Through Bank Accounts",'Raw Data'!$I:$I,"",'Raw Data'!$M:$M,"JOD",'Raw Data'!$F:$F,"Value*")</f>
        <v>1900000000</v>
      </c>
      <c r="P8" s="30">
        <f>SUMIFS('Raw Data'!$L:$L,'Raw Data'!$B:$B,$B$2,'Raw Data'!$J:$J,P$2,'Raw Data'!$K:$K,"native",'Raw Data'!$H:$H,"Through Bank Accounts",'Raw Data'!$I:$I,"",'Raw Data'!$M:$M,"JOD",'Raw Data'!$F:$F,"Value*")</f>
        <v>1790000000</v>
      </c>
      <c r="Q8" s="30">
        <f>SUMIFS('Raw Data'!$L:$L,'Raw Data'!$B:$B,$B$2,'Raw Data'!$J:$J,Q$2,'Raw Data'!$K:$K,"native",'Raw Data'!$H:$H,"Through Bank Accounts",'Raw Data'!$I:$I,"",'Raw Data'!$M:$M,"JOD",'Raw Data'!$F:$F,"Value*")</f>
        <v>2020000000</v>
      </c>
      <c r="R8" s="30">
        <f>SUMIFS('Raw Data'!$L:$L,'Raw Data'!$B:$B,$B$2,'Raw Data'!$J:$J,R$2,'Raw Data'!$K:$K,"native",'Raw Data'!$H:$H,"Through Bank Accounts",'Raw Data'!$I:$I,"",'Raw Data'!$M:$M,"JOD",'Raw Data'!$F:$F,"Value*")</f>
        <v>1890000000</v>
      </c>
      <c r="S8" s="30">
        <f>SUMIFS('Raw Data'!$L:$L,'Raw Data'!$B:$B,$B$2,'Raw Data'!$J:$J,S$2,'Raw Data'!$K:$K,"native",'Raw Data'!$H:$H,"Through Bank Accounts",'Raw Data'!$I:$I,"",'Raw Data'!$M:$M,"JOD",'Raw Data'!$F:$F,"Value*")</f>
        <v>2130000000</v>
      </c>
      <c r="T8" s="30">
        <f>SUMIFS('Raw Data'!$L:$L,'Raw Data'!$B:$B,$B$2,'Raw Data'!$J:$J,T$2,'Raw Data'!$K:$K,"native",'Raw Data'!$H:$H,"Through Bank Accounts",'Raw Data'!$I:$I,"",'Raw Data'!$M:$M,"JOD",'Raw Data'!$F:$F,"Value*")</f>
        <v>2150000000</v>
      </c>
      <c r="U8" s="30">
        <f>SUMIFS('Raw Data'!$L:$L,'Raw Data'!$B:$B,$B$2,'Raw Data'!$J:$J,U$2,'Raw Data'!$K:$K,"native",'Raw Data'!$H:$H,"Through Bank Accounts",'Raw Data'!$I:$I,"",'Raw Data'!$M:$M,"JOD",'Raw Data'!$F:$F,"Value*")</f>
        <v>2340000000</v>
      </c>
      <c r="V8" s="28">
        <f>SUMIFS('Raw Data'!$L:$L,'Raw Data'!$B:$B,$B$2,'Raw Data'!$J:$J,V$2,'Raw Data'!$K:$K,"native",'Raw Data'!$H:$H,"Through Bank Accounts",'Raw Data'!$I:$I,"",'Raw Data'!$M:$M,"JOD",'Raw Data'!$F:$F,"Value*")</f>
        <v>2430000000</v>
      </c>
    </row>
    <row r="9" spans="1:22" x14ac:dyDescent="0.25">
      <c r="A9" s="26" t="s">
        <v>183</v>
      </c>
      <c r="B9" s="26" t="s">
        <v>185</v>
      </c>
      <c r="C9" s="28">
        <f>SUMIFS('Raw Data'!$L:$L,'Raw Data'!$B:$B,$B$2,'Raw Data'!$J:$J,C$2,'Raw Data'!$K:$K,"native",'Raw Data'!$H:$H,"Through Mobile Wallets",'Raw Data'!$I:$I,"",'Raw Data'!$M:$M,"JOD",'Raw Data'!$F:$F,"Value*")</f>
        <v>470000000</v>
      </c>
      <c r="D9" s="28">
        <f>SUMIFS('Raw Data'!$L:$L,'Raw Data'!$B:$B,$B$2,'Raw Data'!$J:$J,D$2,'Raw Data'!$K:$K,"native",'Raw Data'!$H:$H,"Through Mobile Wallets",'Raw Data'!$I:$I,"",'Raw Data'!$M:$M,"JOD",'Raw Data'!$F:$F,"Value*")</f>
        <v>430000000</v>
      </c>
      <c r="E9" s="28">
        <f>SUMIFS('Raw Data'!$L:$L,'Raw Data'!$B:$B,$B$2,'Raw Data'!$J:$J,E$2,'Raw Data'!$K:$K,"native",'Raw Data'!$H:$H,"Through Mobile Wallets",'Raw Data'!$I:$I,"",'Raw Data'!$M:$M,"JOD",'Raw Data'!$F:$F,"Value*")</f>
        <v>540000000</v>
      </c>
      <c r="F9" s="28">
        <f>SUMIFS('Raw Data'!$L:$L,'Raw Data'!$B:$B,$B$2,'Raw Data'!$J:$J,F$2,'Raw Data'!$K:$K,"native",'Raw Data'!$H:$H,"Through Mobile Wallets",'Raw Data'!$I:$I,"",'Raw Data'!$M:$M,"JOD",'Raw Data'!$F:$F,"Value*")</f>
        <v>470000000</v>
      </c>
      <c r="G9" s="28">
        <f>SUMIFS('Raw Data'!$L:$L,'Raw Data'!$B:$B,$B$2,'Raw Data'!$J:$J,G$2,'Raw Data'!$K:$K,"native",'Raw Data'!$H:$H,"Through Mobile Wallets",'Raw Data'!$I:$I,"",'Raw Data'!$M:$M,"JOD",'Raw Data'!$F:$F,"Value*")</f>
        <v>540000000</v>
      </c>
      <c r="H9" s="28">
        <f>SUMIFS('Raw Data'!$L:$L,'Raw Data'!$B:$B,$B$2,'Raw Data'!$J:$J,H$2,'Raw Data'!$K:$K,"native",'Raw Data'!$H:$H,"Through Mobile Wallets",'Raw Data'!$I:$I,"",'Raw Data'!$M:$M,"JOD",'Raw Data'!$F:$F,"Value*")</f>
        <v>520000000</v>
      </c>
      <c r="I9" s="28">
        <f>SUMIFS('Raw Data'!$L:$L,'Raw Data'!$B:$B,$B$2,'Raw Data'!$J:$J,I$2,'Raw Data'!$K:$K,"native",'Raw Data'!$H:$H,"Through Mobile Wallets",'Raw Data'!$I:$I,"",'Raw Data'!$M:$M,"JOD",'Raw Data'!$F:$F,"Value*")</f>
        <v>590000000</v>
      </c>
      <c r="J9" s="28">
        <f>SUMIFS('Raw Data'!$L:$L,'Raw Data'!$B:$B,$B$2,'Raw Data'!$J:$J,J$2,'Raw Data'!$K:$K,"native",'Raw Data'!$H:$H,"Through Mobile Wallets",'Raw Data'!$I:$I,"",'Raw Data'!$M:$M,"JOD",'Raw Data'!$F:$F,"Value*")</f>
        <v>570000000</v>
      </c>
      <c r="K9" s="30">
        <f>SUMIFS('Raw Data'!$L:$L,'Raw Data'!$B:$B,$B$2,'Raw Data'!$J:$J,K$2,'Raw Data'!$K:$K,"native",'Raw Data'!$H:$H,"Through Mobile Wallets",'Raw Data'!$I:$I,"",'Raw Data'!$M:$M,"JOD",'Raw Data'!$F:$F,"Value*")</f>
        <v>560000000</v>
      </c>
      <c r="L9" s="30">
        <f>SUMIFS('Raw Data'!$L:$L,'Raw Data'!$B:$B,$B$2,'Raw Data'!$J:$J,L$2,'Raw Data'!$K:$K,"native",'Raw Data'!$H:$H,"Through Mobile Wallets",'Raw Data'!$I:$I,"",'Raw Data'!$M:$M,"JOD",'Raw Data'!$F:$F,"Value*")</f>
        <v>560000000</v>
      </c>
      <c r="M9" s="30">
        <f>SUMIFS('Raw Data'!$L:$L,'Raw Data'!$B:$B,$B$2,'Raw Data'!$J:$J,M$2,'Raw Data'!$K:$K,"native",'Raw Data'!$H:$H,"Through Mobile Wallets",'Raw Data'!$I:$I,"",'Raw Data'!$M:$M,"JOD",'Raw Data'!$F:$F,"Value*")</f>
        <v>530000000</v>
      </c>
      <c r="N9" s="30">
        <f>SUMIFS('Raw Data'!$L:$L,'Raw Data'!$B:$B,$B$2,'Raw Data'!$J:$J,N$2,'Raw Data'!$K:$K,"native",'Raw Data'!$H:$H,"Through Mobile Wallets",'Raw Data'!$I:$I,"",'Raw Data'!$M:$M,"JOD",'Raw Data'!$F:$F,"Value*")</f>
        <v>570000000</v>
      </c>
      <c r="O9" s="30">
        <f>SUMIFS('Raw Data'!$L:$L,'Raw Data'!$B:$B,$B$2,'Raw Data'!$J:$J,O$2,'Raw Data'!$K:$K,"native",'Raw Data'!$H:$H,"Through Mobile Wallets",'Raw Data'!$I:$I,"",'Raw Data'!$M:$M,"JOD",'Raw Data'!$F:$F,"Value*")</f>
        <v>580000000</v>
      </c>
      <c r="P9" s="30">
        <f>SUMIFS('Raw Data'!$L:$L,'Raw Data'!$B:$B,$B$2,'Raw Data'!$J:$J,P$2,'Raw Data'!$K:$K,"native",'Raw Data'!$H:$H,"Through Mobile Wallets",'Raw Data'!$I:$I,"",'Raw Data'!$M:$M,"JOD",'Raw Data'!$F:$F,"Value*")</f>
        <v>550000000</v>
      </c>
      <c r="Q9" s="30">
        <f>SUMIFS('Raw Data'!$L:$L,'Raw Data'!$B:$B,$B$2,'Raw Data'!$J:$J,Q$2,'Raw Data'!$K:$K,"native",'Raw Data'!$H:$H,"Through Mobile Wallets",'Raw Data'!$I:$I,"",'Raw Data'!$M:$M,"JOD",'Raw Data'!$F:$F,"Value*")</f>
        <v>650000000</v>
      </c>
      <c r="R9" s="30">
        <f>SUMIFS('Raw Data'!$L:$L,'Raw Data'!$B:$B,$B$2,'Raw Data'!$J:$J,R$2,'Raw Data'!$K:$K,"native",'Raw Data'!$H:$H,"Through Mobile Wallets",'Raw Data'!$I:$I,"",'Raw Data'!$M:$M,"JOD",'Raw Data'!$F:$F,"Value*")</f>
        <v>600000000</v>
      </c>
      <c r="S9" s="30">
        <f>SUMIFS('Raw Data'!$L:$L,'Raw Data'!$B:$B,$B$2,'Raw Data'!$J:$J,S$2,'Raw Data'!$K:$K,"native",'Raw Data'!$H:$H,"Through Mobile Wallets",'Raw Data'!$I:$I,"",'Raw Data'!$M:$M,"JOD",'Raw Data'!$F:$F,"Value*")</f>
        <v>700000000</v>
      </c>
      <c r="T9" s="30">
        <f>SUMIFS('Raw Data'!$L:$L,'Raw Data'!$B:$B,$B$2,'Raw Data'!$J:$J,T$2,'Raw Data'!$K:$K,"native",'Raw Data'!$H:$H,"Through Mobile Wallets",'Raw Data'!$I:$I,"",'Raw Data'!$M:$M,"JOD",'Raw Data'!$F:$F,"Value*")</f>
        <v>670000000</v>
      </c>
      <c r="U9" s="30">
        <f>SUMIFS('Raw Data'!$L:$L,'Raw Data'!$B:$B,$B$2,'Raw Data'!$J:$J,U$2,'Raw Data'!$K:$K,"native",'Raw Data'!$H:$H,"Through Mobile Wallets",'Raw Data'!$I:$I,"",'Raw Data'!$M:$M,"JOD",'Raw Data'!$F:$F,"Value*")</f>
        <v>750000000</v>
      </c>
      <c r="V9" s="28">
        <f>SUMIFS('Raw Data'!$L:$L,'Raw Data'!$B:$B,$B$2,'Raw Data'!$J:$J,V$2,'Raw Data'!$K:$K,"native",'Raw Data'!$H:$H,"Through Mobile Wallets",'Raw Data'!$I:$I,"",'Raw Data'!$M:$M,"JOD",'Raw Data'!$F:$F,"Value*")</f>
        <v>770000000</v>
      </c>
    </row>
    <row r="10" spans="1:22" x14ac:dyDescent="0.25">
      <c r="A10" s="59" t="s">
        <v>187</v>
      </c>
      <c r="B10" s="59"/>
      <c r="C10" s="59"/>
      <c r="D10" s="59"/>
      <c r="E10" s="59"/>
      <c r="F10" s="59"/>
      <c r="G10" s="59"/>
      <c r="H10" s="59"/>
      <c r="I10" s="59"/>
      <c r="J10" s="59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</row>
    <row r="11" spans="1:22" ht="15" customHeight="1" x14ac:dyDescent="0.25">
      <c r="A11" s="26" t="s">
        <v>183</v>
      </c>
      <c r="B11" s="26" t="s">
        <v>184</v>
      </c>
      <c r="C11" s="28">
        <f>SUMIFS('Raw Data'!$L:$L,'Raw Data'!$B:$B,$B$2,'Raw Data'!$J:$J,C$2,'Raw Data'!$K:$K,"native",'Raw Data'!$H:$H,"Through Bank Accounts",'Raw Data'!$I:$I,"",'Raw Data'!$M:$M,"JOD",'Raw Data'!$F:$F,"Average*")</f>
        <v>129.4</v>
      </c>
      <c r="D11" s="28">
        <f>SUMIFS('Raw Data'!$L:$L,'Raw Data'!$B:$B,$B$2,'Raw Data'!$J:$J,D$2,'Raw Data'!$K:$K,"native",'Raw Data'!$H:$H,"Through Bank Accounts",'Raw Data'!$I:$I,"",'Raw Data'!$M:$M,"JOD",'Raw Data'!$F:$F,"Average*")</f>
        <v>129</v>
      </c>
      <c r="E11" s="28">
        <f>SUMIFS('Raw Data'!$L:$L,'Raw Data'!$B:$B,$B$2,'Raw Data'!$J:$J,E$2,'Raw Data'!$K:$K,"native",'Raw Data'!$H:$H,"Through Bank Accounts",'Raw Data'!$I:$I,"",'Raw Data'!$M:$M,"JOD",'Raw Data'!$F:$F,"Average*")</f>
        <v>129</v>
      </c>
      <c r="F11" s="28">
        <f>SUMIFS('Raw Data'!$L:$L,'Raw Data'!$B:$B,$B$2,'Raw Data'!$J:$J,F$2,'Raw Data'!$K:$K,"native",'Raw Data'!$H:$H,"Through Bank Accounts",'Raw Data'!$I:$I,"",'Raw Data'!$M:$M,"JOD",'Raw Data'!$F:$F,"Average*")</f>
        <v>128.80000000000001</v>
      </c>
      <c r="G11" s="28">
        <f>SUMIFS('Raw Data'!$L:$L,'Raw Data'!$B:$B,$B$2,'Raw Data'!$J:$J,G$2,'Raw Data'!$K:$K,"native",'Raw Data'!$H:$H,"Through Bank Accounts",'Raw Data'!$I:$I,"",'Raw Data'!$M:$M,"JOD",'Raw Data'!$F:$F,"Average*")</f>
        <v>119.16</v>
      </c>
      <c r="H11" s="28">
        <f>SUMIFS('Raw Data'!$L:$L,'Raw Data'!$B:$B,$B$2,'Raw Data'!$J:$J,H$2,'Raw Data'!$K:$K,"native",'Raw Data'!$H:$H,"Through Bank Accounts",'Raw Data'!$I:$I,"",'Raw Data'!$M:$M,"JOD",'Raw Data'!$F:$F,"Average*")</f>
        <v>122.3</v>
      </c>
      <c r="I11" s="28">
        <f>SUMIFS('Raw Data'!$L:$L,'Raw Data'!$B:$B,$B$2,'Raw Data'!$J:$J,I$2,'Raw Data'!$K:$K,"native",'Raw Data'!$H:$H,"Through Bank Accounts",'Raw Data'!$I:$I,"",'Raw Data'!$M:$M,"JOD",'Raw Data'!$F:$F,"Average*")</f>
        <v>121.6</v>
      </c>
      <c r="J11" s="28">
        <f>SUMIFS('Raw Data'!$L:$L,'Raw Data'!$B:$B,$B$2,'Raw Data'!$J:$J,J$2,'Raw Data'!$K:$K,"native",'Raw Data'!$H:$H,"Through Bank Accounts",'Raw Data'!$I:$I,"",'Raw Data'!$M:$M,"JOD",'Raw Data'!$F:$F,"Average*")</f>
        <v>119.3</v>
      </c>
      <c r="K11" s="25">
        <f>SUMIFS('Raw Data'!$L:$L,'Raw Data'!$B:$B,$B$2,'Raw Data'!$J:$J,K$2,'Raw Data'!$K:$K,"native",'Raw Data'!$H:$H,"Through Bank Accounts",'Raw Data'!$I:$I,"",'Raw Data'!$M:$M,"JOD",'Raw Data'!$F:$F,"Average*")</f>
        <v>119.8</v>
      </c>
      <c r="L11" s="25">
        <f>SUMIFS('Raw Data'!$L:$L,'Raw Data'!$B:$B,$B$2,'Raw Data'!$J:$J,L$2,'Raw Data'!$K:$K,"native",'Raw Data'!$H:$H,"Through Bank Accounts",'Raw Data'!$I:$I,"",'Raw Data'!$M:$M,"JOD",'Raw Data'!$F:$F,"Average*")</f>
        <v>111.9</v>
      </c>
      <c r="M11" s="25">
        <f>SUMIFS('Raw Data'!$L:$L,'Raw Data'!$B:$B,$B$2,'Raw Data'!$J:$J,M$2,'Raw Data'!$K:$K,"native",'Raw Data'!$H:$H,"Through Bank Accounts",'Raw Data'!$I:$I,"",'Raw Data'!$M:$M,"JOD",'Raw Data'!$F:$F,"Average*")</f>
        <v>105.7</v>
      </c>
      <c r="N11" s="25">
        <f>SUMIFS('Raw Data'!$L:$L,'Raw Data'!$B:$B,$B$2,'Raw Data'!$J:$J,N$2,'Raw Data'!$K:$K,"native",'Raw Data'!$H:$H,"Through Bank Accounts",'Raw Data'!$I:$I,"",'Raw Data'!$M:$M,"JOD",'Raw Data'!$F:$F,"Average*")</f>
        <v>106.4</v>
      </c>
      <c r="O11" s="25">
        <f>SUMIFS('Raw Data'!$L:$L,'Raw Data'!$B:$B,$B$2,'Raw Data'!$J:$J,O$2,'Raw Data'!$K:$K,"native",'Raw Data'!$H:$H,"Through Bank Accounts",'Raw Data'!$I:$I,"",'Raw Data'!$M:$M,"JOD",'Raw Data'!$F:$F,"Average*")</f>
        <v>107.2</v>
      </c>
      <c r="P11" s="25">
        <f>SUMIFS('Raw Data'!$L:$L,'Raw Data'!$B:$B,$B$2,'Raw Data'!$J:$J,P$2,'Raw Data'!$K:$K,"native",'Raw Data'!$H:$H,"Through Bank Accounts",'Raw Data'!$I:$I,"",'Raw Data'!$M:$M,"JOD",'Raw Data'!$F:$F,"Average*")</f>
        <v>108.1</v>
      </c>
      <c r="Q11" s="25">
        <f>SUMIFS('Raw Data'!$L:$L,'Raw Data'!$B:$B,$B$2,'Raw Data'!$J:$J,Q$2,'Raw Data'!$K:$K,"native",'Raw Data'!$H:$H,"Through Bank Accounts",'Raw Data'!$I:$I,"",'Raw Data'!$M:$M,"JOD",'Raw Data'!$F:$F,"Average*")</f>
        <v>106.4</v>
      </c>
      <c r="R11" s="25">
        <f>SUMIFS('Raw Data'!$L:$L,'Raw Data'!$B:$B,$B$2,'Raw Data'!$J:$J,R$2,'Raw Data'!$K:$K,"native",'Raw Data'!$H:$H,"Through Bank Accounts",'Raw Data'!$I:$I,"",'Raw Data'!$M:$M,"JOD",'Raw Data'!$F:$F,"Average*")</f>
        <v>97.6</v>
      </c>
      <c r="S11" s="25">
        <f>SUMIFS('Raw Data'!$L:$L,'Raw Data'!$B:$B,$B$2,'Raw Data'!$J:$J,S$2,'Raw Data'!$K:$K,"native",'Raw Data'!$H:$H,"Through Bank Accounts",'Raw Data'!$I:$I,"",'Raw Data'!$M:$M,"JOD",'Raw Data'!$F:$F,"Average*")</f>
        <v>99.5</v>
      </c>
      <c r="T11" s="25">
        <f>SUMIFS('Raw Data'!$L:$L,'Raw Data'!$B:$B,$B$2,'Raw Data'!$J:$J,T$2,'Raw Data'!$K:$K,"native",'Raw Data'!$H:$H,"Through Bank Accounts",'Raw Data'!$I:$I,"",'Raw Data'!$M:$M,"JOD",'Raw Data'!$F:$F,"Average*")</f>
        <v>102.5</v>
      </c>
      <c r="U11" s="25">
        <f>SUMIFS('Raw Data'!$L:$L,'Raw Data'!$B:$B,$B$2,'Raw Data'!$J:$J,U$2,'Raw Data'!$K:$K,"native",'Raw Data'!$H:$H,"Through Bank Accounts",'Raw Data'!$I:$I,"",'Raw Data'!$M:$M,"JOD",'Raw Data'!$F:$F,"Average*")</f>
        <v>100.8</v>
      </c>
      <c r="V11" s="28">
        <f>SUMIFS('Raw Data'!$L:$L,'Raw Data'!$B:$B,$B$2,'Raw Data'!$J:$J,V$2,'Raw Data'!$K:$K,"native",'Raw Data'!$H:$H,"Through Bank Accounts",'Raw Data'!$I:$I,"",'Raw Data'!$M:$M,"JOD",'Raw Data'!$F:$F,"Average*")</f>
        <v>101.2</v>
      </c>
    </row>
    <row r="12" spans="1:22" ht="15" customHeight="1" x14ac:dyDescent="0.25">
      <c r="A12" s="26" t="s">
        <v>183</v>
      </c>
      <c r="B12" s="26" t="s">
        <v>185</v>
      </c>
      <c r="C12" s="28">
        <f>SUMIFS('Raw Data'!$L:$L,'Raw Data'!$B:$B,$B$2,'Raw Data'!$J:$J,C$2,'Raw Data'!$K:$K,"native",'Raw Data'!$H:$H,"Through Mobile Wallets",'Raw Data'!$I:$I,"",'Raw Data'!$M:$M,"JOD",'Raw Data'!$F:$F,"Average*")</f>
        <v>73.13</v>
      </c>
      <c r="D12" s="28">
        <f>SUMIFS('Raw Data'!$L:$L,'Raw Data'!$B:$B,$B$2,'Raw Data'!$J:$J,D$2,'Raw Data'!$K:$K,"native",'Raw Data'!$H:$H,"Through Mobile Wallets",'Raw Data'!$I:$I,"",'Raw Data'!$M:$M,"JOD",'Raw Data'!$F:$F,"Average*")</f>
        <v>73.2</v>
      </c>
      <c r="E12" s="28">
        <f>SUMIFS('Raw Data'!$L:$L,'Raw Data'!$B:$B,$B$2,'Raw Data'!$J:$J,E$2,'Raw Data'!$K:$K,"native",'Raw Data'!$H:$H,"Through Mobile Wallets",'Raw Data'!$I:$I,"",'Raw Data'!$M:$M,"JOD",'Raw Data'!$F:$F,"Average*")</f>
        <v>73.7</v>
      </c>
      <c r="F12" s="28">
        <f>SUMIFS('Raw Data'!$L:$L,'Raw Data'!$B:$B,$B$2,'Raw Data'!$J:$J,F$2,'Raw Data'!$K:$K,"native",'Raw Data'!$H:$H,"Through Mobile Wallets",'Raw Data'!$I:$I,"",'Raw Data'!$M:$M,"JOD",'Raw Data'!$F:$F,"Average*")</f>
        <v>67.099999999999994</v>
      </c>
      <c r="G12" s="28">
        <f>SUMIFS('Raw Data'!$L:$L,'Raw Data'!$B:$B,$B$2,'Raw Data'!$J:$J,G$2,'Raw Data'!$K:$K,"native",'Raw Data'!$H:$H,"Through Mobile Wallets",'Raw Data'!$I:$I,"",'Raw Data'!$M:$M,"JOD",'Raw Data'!$F:$F,"Average*")</f>
        <v>66.150000000000006</v>
      </c>
      <c r="H12" s="28">
        <f>SUMIFS('Raw Data'!$L:$L,'Raw Data'!$B:$B,$B$2,'Raw Data'!$J:$J,H$2,'Raw Data'!$K:$K,"native",'Raw Data'!$H:$H,"Through Mobile Wallets",'Raw Data'!$I:$I,"",'Raw Data'!$M:$M,"JOD",'Raw Data'!$F:$F,"Average*")</f>
        <v>65.7</v>
      </c>
      <c r="I12" s="28">
        <f>SUMIFS('Raw Data'!$L:$L,'Raw Data'!$B:$B,$B$2,'Raw Data'!$J:$J,I$2,'Raw Data'!$K:$K,"native",'Raw Data'!$H:$H,"Through Mobile Wallets",'Raw Data'!$I:$I,"",'Raw Data'!$M:$M,"JOD",'Raw Data'!$F:$F,"Average*")</f>
        <v>64.2</v>
      </c>
      <c r="J12" s="28">
        <f>SUMIFS('Raw Data'!$L:$L,'Raw Data'!$B:$B,$B$2,'Raw Data'!$J:$J,J$2,'Raw Data'!$K:$K,"native",'Raw Data'!$H:$H,"Through Mobile Wallets",'Raw Data'!$I:$I,"",'Raw Data'!$M:$M,"JOD",'Raw Data'!$F:$F,"Average*")</f>
        <v>60.7</v>
      </c>
      <c r="K12" s="25">
        <f>SUMIFS('Raw Data'!$L:$L,'Raw Data'!$B:$B,$B$2,'Raw Data'!$J:$J,K$2,'Raw Data'!$K:$K,"native",'Raw Data'!$H:$H,"Through Mobile Wallets",'Raw Data'!$I:$I,"",'Raw Data'!$M:$M,"JOD",'Raw Data'!$F:$F,"Average*")</f>
        <v>58.8</v>
      </c>
      <c r="L12" s="25">
        <f>SUMIFS('Raw Data'!$L:$L,'Raw Data'!$B:$B,$B$2,'Raw Data'!$J:$J,L$2,'Raw Data'!$K:$K,"native",'Raw Data'!$H:$H,"Through Mobile Wallets",'Raw Data'!$I:$I,"",'Raw Data'!$M:$M,"JOD",'Raw Data'!$F:$F,"Average*")</f>
        <v>54.8</v>
      </c>
      <c r="M12" s="25">
        <f>SUMIFS('Raw Data'!$L:$L,'Raw Data'!$B:$B,$B$2,'Raw Data'!$J:$J,M$2,'Raw Data'!$K:$K,"native",'Raw Data'!$H:$H,"Through Mobile Wallets",'Raw Data'!$I:$I,"",'Raw Data'!$M:$M,"JOD",'Raw Data'!$F:$F,"Average*")</f>
        <v>52.1</v>
      </c>
      <c r="N12" s="25">
        <f>SUMIFS('Raw Data'!$L:$L,'Raw Data'!$B:$B,$B$2,'Raw Data'!$J:$J,N$2,'Raw Data'!$K:$K,"native",'Raw Data'!$H:$H,"Through Mobile Wallets",'Raw Data'!$I:$I,"",'Raw Data'!$M:$M,"JOD",'Raw Data'!$F:$F,"Average*")</f>
        <v>51.8</v>
      </c>
      <c r="O12" s="25">
        <f>SUMIFS('Raw Data'!$L:$L,'Raw Data'!$B:$B,$B$2,'Raw Data'!$J:$J,O$2,'Raw Data'!$K:$K,"native",'Raw Data'!$H:$H,"Through Mobile Wallets",'Raw Data'!$I:$I,"",'Raw Data'!$M:$M,"JOD",'Raw Data'!$F:$F,"Average*")</f>
        <v>49.4</v>
      </c>
      <c r="P12" s="25">
        <f>SUMIFS('Raw Data'!$L:$L,'Raw Data'!$B:$B,$B$2,'Raw Data'!$J:$J,P$2,'Raw Data'!$K:$K,"native",'Raw Data'!$H:$H,"Through Mobile Wallets",'Raw Data'!$I:$I,"",'Raw Data'!$M:$M,"JOD",'Raw Data'!$F:$F,"Average*")</f>
        <v>51.1</v>
      </c>
      <c r="Q12" s="25">
        <f>SUMIFS('Raw Data'!$L:$L,'Raw Data'!$B:$B,$B$2,'Raw Data'!$J:$J,Q$2,'Raw Data'!$K:$K,"native",'Raw Data'!$H:$H,"Through Mobile Wallets",'Raw Data'!$I:$I,"",'Raw Data'!$M:$M,"JOD",'Raw Data'!$F:$F,"Average*")</f>
        <v>51.1</v>
      </c>
      <c r="R12" s="25">
        <f>SUMIFS('Raw Data'!$L:$L,'Raw Data'!$B:$B,$B$2,'Raw Data'!$J:$J,R$2,'Raw Data'!$K:$K,"native",'Raw Data'!$H:$H,"Through Mobile Wallets",'Raw Data'!$I:$I,"",'Raw Data'!$M:$M,"JOD",'Raw Data'!$F:$F,"Average*")</f>
        <v>45.2</v>
      </c>
      <c r="S12" s="25">
        <f>SUMIFS('Raw Data'!$L:$L,'Raw Data'!$B:$B,$B$2,'Raw Data'!$J:$J,S$2,'Raw Data'!$K:$K,"native",'Raw Data'!$H:$H,"Through Mobile Wallets",'Raw Data'!$I:$I,"",'Raw Data'!$M:$M,"JOD",'Raw Data'!$F:$F,"Average*")</f>
        <v>46.6</v>
      </c>
      <c r="T12" s="25">
        <f>SUMIFS('Raw Data'!$L:$L,'Raw Data'!$B:$B,$B$2,'Raw Data'!$J:$J,T$2,'Raw Data'!$K:$K,"native",'Raw Data'!$H:$H,"Through Mobile Wallets",'Raw Data'!$I:$I,"",'Raw Data'!$M:$M,"JOD",'Raw Data'!$F:$F,"Average*")</f>
        <v>45.4</v>
      </c>
      <c r="U12" s="25">
        <f>SUMIFS('Raw Data'!$L:$L,'Raw Data'!$B:$B,$B$2,'Raw Data'!$J:$J,U$2,'Raw Data'!$K:$K,"native",'Raw Data'!$H:$H,"Through Mobile Wallets",'Raw Data'!$I:$I,"",'Raw Data'!$M:$M,"JOD",'Raw Data'!$F:$F,"Average*")</f>
        <v>44.6</v>
      </c>
      <c r="V12" s="28">
        <f>SUMIFS('Raw Data'!$L:$L,'Raw Data'!$B:$B,$B$2,'Raw Data'!$J:$J,V$2,'Raw Data'!$K:$K,"native",'Raw Data'!$H:$H,"Through Mobile Wallets",'Raw Data'!$I:$I,"",'Raw Data'!$M:$M,"JOD",'Raw Data'!$F:$F,"Average*")</f>
        <v>43.6</v>
      </c>
    </row>
  </sheetData>
  <mergeCells count="3">
    <mergeCell ref="A4:J4"/>
    <mergeCell ref="A7:J7"/>
    <mergeCell ref="A10:J10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374151"/>
  </sheetPr>
  <dimension ref="A1:AA37"/>
  <sheetViews>
    <sheetView showGridLines="0" tabSelected="1" zoomScale="40" zoomScaleNormal="40" workbookViewId="0">
      <pane xSplit="2" ySplit="3" topLeftCell="D8" activePane="bottomRight" state="frozen"/>
      <selection pane="topRight" activeCell="J1" sqref="J1"/>
      <selection pane="bottomLeft" activeCell="A4" sqref="A4"/>
      <selection pane="bottomRight" activeCell="H42" sqref="H42"/>
    </sheetView>
  </sheetViews>
  <sheetFormatPr defaultColWidth="8.7109375" defaultRowHeight="15" x14ac:dyDescent="0.25"/>
  <cols>
    <col min="1" max="1" width="22" customWidth="1"/>
    <col min="2" max="2" width="40" customWidth="1"/>
    <col min="3" max="26" width="13" customWidth="1"/>
    <col min="27" max="27" width="9.140625" bestFit="1" customWidth="1"/>
  </cols>
  <sheetData>
    <row r="1" spans="1:26" ht="25.5" customHeight="1" x14ac:dyDescent="0.25">
      <c r="A1" s="52" t="s">
        <v>188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3" spans="1:26" ht="19.5" customHeight="1" x14ac:dyDescent="0.25">
      <c r="A3" s="9" t="s">
        <v>36</v>
      </c>
      <c r="B3" s="9" t="s">
        <v>37</v>
      </c>
      <c r="C3" s="13" t="s">
        <v>189</v>
      </c>
      <c r="D3" s="13" t="s">
        <v>190</v>
      </c>
      <c r="E3" s="9" t="s">
        <v>191</v>
      </c>
      <c r="F3" s="9" t="s">
        <v>192</v>
      </c>
      <c r="G3" s="9" t="s">
        <v>193</v>
      </c>
      <c r="H3" s="9" t="s">
        <v>194</v>
      </c>
      <c r="I3" s="9" t="s">
        <v>195</v>
      </c>
      <c r="J3" s="9" t="s">
        <v>196</v>
      </c>
      <c r="K3" s="9" t="s">
        <v>197</v>
      </c>
      <c r="L3" s="9" t="s">
        <v>198</v>
      </c>
      <c r="M3" s="9" t="s">
        <v>199</v>
      </c>
      <c r="N3" s="9" t="s">
        <v>200</v>
      </c>
      <c r="O3" s="9" t="s">
        <v>201</v>
      </c>
      <c r="P3" s="9" t="s">
        <v>202</v>
      </c>
      <c r="Q3" s="9" t="s">
        <v>203</v>
      </c>
      <c r="R3" s="9" t="s">
        <v>204</v>
      </c>
      <c r="S3" s="9" t="s">
        <v>205</v>
      </c>
      <c r="T3" s="9" t="s">
        <v>206</v>
      </c>
      <c r="U3" s="9" t="s">
        <v>207</v>
      </c>
      <c r="V3" s="9" t="s">
        <v>208</v>
      </c>
      <c r="W3" s="9" t="s">
        <v>209</v>
      </c>
      <c r="X3" s="9" t="s">
        <v>210</v>
      </c>
      <c r="Y3" s="9" t="s">
        <v>211</v>
      </c>
      <c r="Z3" s="9" t="s">
        <v>212</v>
      </c>
    </row>
    <row r="4" spans="1:26" x14ac:dyDescent="0.25">
      <c r="A4" s="53" t="s">
        <v>213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s="31" customFormat="1" x14ac:dyDescent="0.25">
      <c r="A5" s="10" t="s">
        <v>214</v>
      </c>
      <c r="B5" s="34" t="s">
        <v>4334</v>
      </c>
      <c r="C5" s="35">
        <f>C6+C7</f>
        <v>3890000</v>
      </c>
      <c r="D5" s="35">
        <f>D6+D7</f>
        <v>3970000</v>
      </c>
      <c r="E5" s="35">
        <f>E6+E7</f>
        <v>4030000</v>
      </c>
      <c r="F5" s="35">
        <f>F6+F7</f>
        <v>4260000</v>
      </c>
      <c r="G5" s="35">
        <f t="shared" ref="G5" si="0">G6+G7</f>
        <v>4260000</v>
      </c>
      <c r="H5" s="35">
        <f t="shared" ref="H5:Z5" si="1">H6+H7</f>
        <v>4320000</v>
      </c>
      <c r="I5" s="35">
        <f t="shared" si="1"/>
        <v>4380000</v>
      </c>
      <c r="J5" s="35">
        <f t="shared" si="1"/>
        <v>4440000</v>
      </c>
      <c r="K5" s="35">
        <f t="shared" si="1"/>
        <v>4510000</v>
      </c>
      <c r="L5" s="35">
        <f t="shared" si="1"/>
        <v>4550000</v>
      </c>
      <c r="M5" s="35">
        <f t="shared" si="1"/>
        <v>4550000</v>
      </c>
      <c r="N5" s="35">
        <f t="shared" si="1"/>
        <v>4620000</v>
      </c>
      <c r="O5" s="35">
        <f t="shared" si="1"/>
        <v>4700000</v>
      </c>
      <c r="P5" s="35">
        <f t="shared" si="1"/>
        <v>4800000</v>
      </c>
      <c r="Q5" s="35">
        <f t="shared" si="1"/>
        <v>4870000</v>
      </c>
      <c r="R5" s="35">
        <f t="shared" si="1"/>
        <v>4940000</v>
      </c>
      <c r="S5" s="35">
        <f t="shared" si="1"/>
        <v>5010000</v>
      </c>
      <c r="T5" s="35">
        <f t="shared" si="1"/>
        <v>5080000</v>
      </c>
      <c r="U5" s="35">
        <f t="shared" si="1"/>
        <v>5130000</v>
      </c>
      <c r="V5" s="35">
        <f t="shared" si="1"/>
        <v>5180000</v>
      </c>
      <c r="W5" s="35">
        <f t="shared" si="1"/>
        <v>5250000</v>
      </c>
      <c r="X5" s="35">
        <f t="shared" si="1"/>
        <v>5310000</v>
      </c>
      <c r="Y5" s="35">
        <f t="shared" si="1"/>
        <v>5370000</v>
      </c>
      <c r="Z5" s="35">
        <f t="shared" si="1"/>
        <v>5450000</v>
      </c>
    </row>
    <row r="6" spans="1:26" x14ac:dyDescent="0.25">
      <c r="A6" s="10" t="s">
        <v>214</v>
      </c>
      <c r="B6" s="32" t="s">
        <v>215</v>
      </c>
      <c r="C6" s="33">
        <f>SUMIFS('Raw Data'!$L:$L,'Raw Data'!$B:$B,$B6,'Raw Data'!$F:$F,"Number of Users",'Raw Data'!$J:$J,C$3,'Raw Data'!$K:$K,"trailing_chart_point",'Raw Data'!$A:$A,DATE(LEFT(C$3,4),RIGHT(C$3,2),1),'Raw Data'!$H:$H,"",'Raw Data'!$I:$I,"")</f>
        <v>1560000</v>
      </c>
      <c r="D6" s="33">
        <f>SUMIFS('Raw Data'!$L:$L,'Raw Data'!$B:$B,$B6,'Raw Data'!$F:$F,"Number of Users",'Raw Data'!$J:$J,D$3,'Raw Data'!$K:$K,"trailing_chart_point",'Raw Data'!$A:$A,DATE(LEFT(D$3,4),RIGHT(D$3,2),1),'Raw Data'!$H:$H,"",'Raw Data'!$I:$I,"")</f>
        <v>1600000</v>
      </c>
      <c r="E6" s="33">
        <f>SUMIFS('Raw Data'!$L:$L,'Raw Data'!$B:$B,$B6,'Raw Data'!$F:$F,"Number of Users",'Raw Data'!$J:$J,E$3,'Raw Data'!$K:$K,"trailing_chart_point",'Raw Data'!$A:$A,DATE(LEFT(E$3,4),RIGHT(E$3,2),1),'Raw Data'!$H:$H,"",'Raw Data'!$I:$I,"")</f>
        <v>1630000</v>
      </c>
      <c r="F6" s="33">
        <f>SUMIFS('Raw Data'!$L:$L,'Raw Data'!$B:$B,$B6,'Raw Data'!$F:$F,"Number of Users",'Raw Data'!$J:$J,F$3,'Raw Data'!$K:$K,"trailing_chart_point",'Raw Data'!$A:$A,DATE(LEFT(F$3,4),RIGHT(F$3,2),1),'Raw Data'!$H:$H,"",'Raw Data'!$I:$I,"")</f>
        <v>1670000</v>
      </c>
      <c r="G6" s="33">
        <f>SUMIFS('Raw Data'!$L:$L,'Raw Data'!$B:$B,$B6,'Raw Data'!$F:$F,"Number of Users",'Raw Data'!$J:$J,G$3,'Raw Data'!$K:$K,"trailing_chart_point",'Raw Data'!$A:$A,DATE(LEFT(G$3,4),RIGHT(G$3,2),1),'Raw Data'!$H:$H,"",'Raw Data'!$I:$I,"")</f>
        <v>1710000</v>
      </c>
      <c r="H6" s="33">
        <f>SUMIFS('Raw Data'!$L:$L,'Raw Data'!$B:$B,$B6,'Raw Data'!$F:$F,"Number of Users",'Raw Data'!$J:$J,H$3,'Raw Data'!$K:$K,"trailing_chart_point",'Raw Data'!$A:$A,DATE(LEFT(H$3,4),RIGHT(H$3,2),1),'Raw Data'!$H:$H,"",'Raw Data'!$I:$I,"")</f>
        <v>1740000</v>
      </c>
      <c r="I6" s="33">
        <f>SUMIFS('Raw Data'!$L:$L,'Raw Data'!$B:$B,$B6,'Raw Data'!$F:$F,"Number of Users",'Raw Data'!$J:$J,I$3,'Raw Data'!$K:$K,"trailing_chart_point",'Raw Data'!$A:$A,DATE(LEFT(I$3,4),RIGHT(I$3,2),1),'Raw Data'!$H:$H,"",'Raw Data'!$I:$I,"")</f>
        <v>1780000</v>
      </c>
      <c r="J6" s="33">
        <f>SUMIFS('Raw Data'!$L:$L,'Raw Data'!$B:$B,$B6,'Raw Data'!$F:$F,"Number of Users",'Raw Data'!$J:$J,J$3,'Raw Data'!$K:$K,"trailing_chart_point",'Raw Data'!$A:$A,DATE(LEFT(J$3,4),RIGHT(J$3,2),1),'Raw Data'!$H:$H,"",'Raw Data'!$I:$I,"")</f>
        <v>1810000</v>
      </c>
      <c r="K6" s="33">
        <f>SUMIFS('Raw Data'!$L:$L,'Raw Data'!$B:$B,$B6,'Raw Data'!$F:$F,"Number of Users",'Raw Data'!$J:$J,K$3,'Raw Data'!$K:$K,"trailing_chart_point",'Raw Data'!$A:$A,DATE(LEFT(K$3,4),RIGHT(K$3,2),1),'Raw Data'!$H:$H,"",'Raw Data'!$I:$I,"")</f>
        <v>1850000</v>
      </c>
      <c r="L6" s="33">
        <f>SUMIFS('Raw Data'!$L:$L,'Raw Data'!$B:$B,$B6,'Raw Data'!$F:$F,"Number of Users",'Raw Data'!$J:$J,L$3,'Raw Data'!$K:$K,"trailing_chart_point",'Raw Data'!$A:$A,DATE(LEFT(L$3,4),RIGHT(L$3,2),1),'Raw Data'!$H:$H,"",'Raw Data'!$I:$I,"")</f>
        <v>1880000</v>
      </c>
      <c r="M6" s="33">
        <f>SUMIFS('Raw Data'!$L:$L,'Raw Data'!$B:$B,$B6,'Raw Data'!$F:$F,"Number of Users",'Raw Data'!$J:$J,M$3,'Raw Data'!$K:$K,"trailing_chart_point",'Raw Data'!$A:$A,DATE(LEFT(M$3,4),RIGHT(M$3,2),1),'Raw Data'!$H:$H,"",'Raw Data'!$I:$I,"")</f>
        <v>1920000</v>
      </c>
      <c r="N6" s="33">
        <f>SUMIFS('Raw Data'!$L:$L,'Raw Data'!$B:$B,$B6,'Raw Data'!$F:$F,"Number of Users",'Raw Data'!$J:$J,N$3,'Raw Data'!$K:$K,"trailing_chart_point",'Raw Data'!$A:$A,DATE(LEFT(N$3,4),RIGHT(N$3,2),1),'Raw Data'!$H:$H,"",'Raw Data'!$I:$I,"")</f>
        <v>1960000</v>
      </c>
      <c r="O6" s="33">
        <f>SUMIFS('Raw Data'!$L:$L,'Raw Data'!$B:$B,$B6,'Raw Data'!$F:$F,"Number of Users",'Raw Data'!$J:$J,O$3,'Raw Data'!$K:$K,"trailing_chart_point",'Raw Data'!$A:$A,DATE(LEFT(O$3,4),RIGHT(O$3,2),1),'Raw Data'!$H:$H,"",'Raw Data'!$I:$I,"")</f>
        <v>2000000</v>
      </c>
      <c r="P6" s="33">
        <f>SUMIFS('Raw Data'!$L:$L,'Raw Data'!$B:$B,$B6,'Raw Data'!$F:$F,"Number of Users",'Raw Data'!$J:$J,P$3,'Raw Data'!$K:$K,"trailing_chart_point",'Raw Data'!$A:$A,DATE(LEFT(P$3,4),RIGHT(P$3,2),1),'Raw Data'!$H:$H,"",'Raw Data'!$I:$I,"")</f>
        <v>2060000</v>
      </c>
      <c r="Q6" s="33">
        <f>SUMIFS('Raw Data'!$L:$L,'Raw Data'!$B:$B,$B6,'Raw Data'!$F:$F,"Number of Users",'Raw Data'!$J:$J,Q$3,'Raw Data'!$K:$K,"trailing_chart_point",'Raw Data'!$A:$A,DATE(LEFT(Q$3,4),RIGHT(Q$3,2),1),'Raw Data'!$H:$H,"",'Raw Data'!$I:$I,"")</f>
        <v>2090000</v>
      </c>
      <c r="R6" s="33">
        <f>SUMIFS('Raw Data'!$L:$L,'Raw Data'!$B:$B,$B6,'Raw Data'!$F:$F,"Number of Users",'Raw Data'!$J:$J,R$3,'Raw Data'!$K:$K,"trailing_chart_point",'Raw Data'!$A:$A,DATE(LEFT(R$3,4),RIGHT(R$3,2),1),'Raw Data'!$H:$H,"",'Raw Data'!$I:$I,"")</f>
        <v>2130000</v>
      </c>
      <c r="S6" s="33">
        <f>SUMIFS('Raw Data'!$L:$L,'Raw Data'!$B:$B,$B6,'Raw Data'!$F:$F,"Number of Users",'Raw Data'!$J:$J,S$3,'Raw Data'!$K:$K,"trailing_chart_point",'Raw Data'!$A:$A,DATE(LEFT(S$3,4),RIGHT(S$3,2),1),'Raw Data'!$H:$H,"",'Raw Data'!$I:$I,"")</f>
        <v>2160000</v>
      </c>
      <c r="T6" s="33">
        <f>SUMIFS('Raw Data'!$L:$L,'Raw Data'!$B:$B,$B6,'Raw Data'!$F:$F,"Number of Users",'Raw Data'!$J:$J,T$3,'Raw Data'!$K:$K,"trailing_chart_point",'Raw Data'!$A:$A,DATE(LEFT(T$3,4),RIGHT(T$3,2),1),'Raw Data'!$H:$H,"",'Raw Data'!$I:$I,"")</f>
        <v>2200000</v>
      </c>
      <c r="U6" s="33">
        <f>SUMIFS('Raw Data'!$L:$L,'Raw Data'!$B:$B,$B6,'Raw Data'!$F:$F,"Number of Users",'Raw Data'!$J:$J,U$3,'Raw Data'!$K:$K,"trailing_chart_point",'Raw Data'!$A:$A,DATE(LEFT(U$3,4),RIGHT(U$3,2),1),'Raw Data'!$H:$H,"",'Raw Data'!$I:$I,"")</f>
        <v>2220000</v>
      </c>
      <c r="V6" s="33">
        <f>SUMIFS('Raw Data'!$L:$L,'Raw Data'!$B:$B,$B6,'Raw Data'!$F:$F,"Number of Users",'Raw Data'!$J:$J,V$3,'Raw Data'!$K:$K,"trailing_chart_point",'Raw Data'!$A:$A,DATE(LEFT(V$3,4),RIGHT(V$3,2),1),'Raw Data'!$H:$H,"",'Raw Data'!$I:$I,"")</f>
        <v>2250000</v>
      </c>
      <c r="W6" s="33">
        <f>SUMIFS('Raw Data'!$L:$L,'Raw Data'!$B:$B,$B6,'Raw Data'!$F:$F,"Number of Users",'Raw Data'!$J:$J,W$3,'Raw Data'!$K:$K,"trailing_chart_point",'Raw Data'!$A:$A,DATE(LEFT(W$3,4),RIGHT(W$3,2),1),'Raw Data'!$H:$H,"",'Raw Data'!$I:$I,"")</f>
        <v>2280000</v>
      </c>
      <c r="X6" s="33">
        <f>SUMIFS('Raw Data'!$L:$L,'Raw Data'!$B:$B,$B6,'Raw Data'!$F:$F,"Number of Users",'Raw Data'!$J:$J,X$3,'Raw Data'!$K:$K,"trailing_chart_point",'Raw Data'!$A:$A,DATE(LEFT(X$3,4),RIGHT(X$3,2),1),'Raw Data'!$H:$H,"",'Raw Data'!$I:$I,"")</f>
        <v>2310000</v>
      </c>
      <c r="Y6" s="33">
        <f>SUMIFS('Raw Data'!$L:$L,'Raw Data'!$B:$B,$B6,'Raw Data'!$F:$F,"Number of Users",'Raw Data'!$J:$J,Y$3,'Raw Data'!$K:$K,"trailing_chart_point",'Raw Data'!$A:$A,DATE(LEFT(Y$3,4),RIGHT(Y$3,2),1),'Raw Data'!$H:$H,"",'Raw Data'!$I:$I,"")</f>
        <v>2350000</v>
      </c>
      <c r="Z6" s="33">
        <f>SUMIFS('Raw Data'!$L:$L,'Raw Data'!$B:$B,$B6,'Raw Data'!$F:$F,"Number of Users",'Raw Data'!$J:$J,Z$3,'Raw Data'!$K:$K,"trailing_chart_point",'Raw Data'!$A:$A,DATE(LEFT(Z$3,4),RIGHT(Z$3,2),1),'Raw Data'!$H:$H,"",'Raw Data'!$I:$I,"")</f>
        <v>2390000</v>
      </c>
    </row>
    <row r="7" spans="1:26" x14ac:dyDescent="0.25">
      <c r="A7" s="10" t="s">
        <v>214</v>
      </c>
      <c r="B7" s="32" t="s">
        <v>216</v>
      </c>
      <c r="C7" s="33">
        <f>SUMIFS('Raw Data'!$L:$L,'Raw Data'!$B:$B,$B7,'Raw Data'!$F:$F,"Number of Users",'Raw Data'!$J:$J,C$3,'Raw Data'!$K:$K,"trailing_chart_point",'Raw Data'!$A:$A,DATE(LEFT(C$3,4),RIGHT(C$3,2),1),'Raw Data'!$H:$H,"",'Raw Data'!$I:$I,"")</f>
        <v>2330000</v>
      </c>
      <c r="D7" s="33">
        <f>SUMIFS('Raw Data'!$L:$L,'Raw Data'!$B:$B,$B7,'Raw Data'!$F:$F,"Number of Users",'Raw Data'!$J:$J,D$3,'Raw Data'!$K:$K,"trailing_chart_point",'Raw Data'!$A:$A,DATE(LEFT(D$3,4),RIGHT(D$3,2),1),'Raw Data'!$H:$H,"",'Raw Data'!$I:$I,"")</f>
        <v>2370000</v>
      </c>
      <c r="E7" s="33">
        <f>SUMIFS('Raw Data'!$L:$L,'Raw Data'!$B:$B,$B7,'Raw Data'!$F:$F,"Number of Users",'Raw Data'!$J:$J,E$3,'Raw Data'!$K:$K,"trailing_chart_point",'Raw Data'!$A:$A,DATE(LEFT(E$3,4),RIGHT(E$3,2),1),'Raw Data'!$H:$H,"",'Raw Data'!$I:$I,"")</f>
        <v>2400000</v>
      </c>
      <c r="F7" s="33">
        <f>SUMIFS('Raw Data'!$L:$L,'Raw Data'!$B:$B,$B7,'Raw Data'!$F:$F,"Number of Users",'Raw Data'!$J:$J,F$3,'Raw Data'!$K:$K,"trailing_chart_point",'Raw Data'!$A:$A,DATE(LEFT(F$3,4),RIGHT(F$3,2),1),'Raw Data'!$H:$H,"",'Raw Data'!$I:$I,"")</f>
        <v>2590000</v>
      </c>
      <c r="G7" s="33">
        <f>SUMIFS('Raw Data'!$L:$L,'Raw Data'!$B:$B,$B7,'Raw Data'!$F:$F,"Number of Users",'Raw Data'!$J:$J,G$3,'Raw Data'!$K:$K,"trailing_chart_point",'Raw Data'!$A:$A,DATE(LEFT(G$3,4),RIGHT(G$3,2),1),'Raw Data'!$H:$H,"",'Raw Data'!$I:$I,"")</f>
        <v>2550000</v>
      </c>
      <c r="H7" s="33">
        <f>SUMIFS('Raw Data'!$L:$L,'Raw Data'!$B:$B,$B7,'Raw Data'!$F:$F,"Number of Users",'Raw Data'!$J:$J,H$3,'Raw Data'!$K:$K,"trailing_chart_point",'Raw Data'!$A:$A,DATE(LEFT(H$3,4),RIGHT(H$3,2),1),'Raw Data'!$H:$H,"",'Raw Data'!$I:$I,"")</f>
        <v>2580000</v>
      </c>
      <c r="I7" s="33">
        <f>SUMIFS('Raw Data'!$L:$L,'Raw Data'!$B:$B,$B7,'Raw Data'!$F:$F,"Number of Users",'Raw Data'!$J:$J,I$3,'Raw Data'!$K:$K,"trailing_chart_point",'Raw Data'!$A:$A,DATE(LEFT(I$3,4),RIGHT(I$3,2),1),'Raw Data'!$H:$H,"",'Raw Data'!$I:$I,"")</f>
        <v>2600000</v>
      </c>
      <c r="J7" s="33">
        <f>SUMIFS('Raw Data'!$L:$L,'Raw Data'!$B:$B,$B7,'Raw Data'!$F:$F,"Number of Users",'Raw Data'!$J:$J,J$3,'Raw Data'!$K:$K,"trailing_chart_point",'Raw Data'!$A:$A,DATE(LEFT(J$3,4),RIGHT(J$3,2),1),'Raw Data'!$H:$H,"",'Raw Data'!$I:$I,"")</f>
        <v>2630000</v>
      </c>
      <c r="K7" s="33">
        <f>SUMIFS('Raw Data'!$L:$L,'Raw Data'!$B:$B,$B7,'Raw Data'!$F:$F,"Number of Users",'Raw Data'!$J:$J,K$3,'Raw Data'!$K:$K,"trailing_chart_point",'Raw Data'!$A:$A,DATE(LEFT(K$3,4),RIGHT(K$3,2),1),'Raw Data'!$H:$H,"",'Raw Data'!$I:$I,"")</f>
        <v>2660000</v>
      </c>
      <c r="L7" s="33">
        <f>SUMIFS('Raw Data'!$L:$L,'Raw Data'!$B:$B,$B7,'Raw Data'!$F:$F,"Number of Users",'Raw Data'!$J:$J,L$3,'Raw Data'!$K:$K,"trailing_chart_point",'Raw Data'!$A:$A,DATE(LEFT(L$3,4),RIGHT(L$3,2),1),'Raw Data'!$H:$H,"",'Raw Data'!$I:$I,"")</f>
        <v>2670000</v>
      </c>
      <c r="M7" s="33">
        <f>SUMIFS('Raw Data'!$L:$L,'Raw Data'!$B:$B,$B7,'Raw Data'!$F:$F,"Number of Users",'Raw Data'!$J:$J,M$3,'Raw Data'!$K:$K,"trailing_chart_point",'Raw Data'!$A:$A,DATE(LEFT(M$3,4),RIGHT(M$3,2),1),'Raw Data'!$H:$H,"",'Raw Data'!$I:$I,"")</f>
        <v>2630000</v>
      </c>
      <c r="N7" s="33">
        <f>SUMIFS('Raw Data'!$L:$L,'Raw Data'!$B:$B,$B7,'Raw Data'!$F:$F,"Number of Users",'Raw Data'!$J:$J,N$3,'Raw Data'!$K:$K,"trailing_chart_point",'Raw Data'!$A:$A,DATE(LEFT(N$3,4),RIGHT(N$3,2),1),'Raw Data'!$H:$H,"",'Raw Data'!$I:$I,"")</f>
        <v>2660000</v>
      </c>
      <c r="O7" s="33">
        <f>SUMIFS('Raw Data'!$L:$L,'Raw Data'!$B:$B,$B7,'Raw Data'!$F:$F,"Number of Users",'Raw Data'!$J:$J,O$3,'Raw Data'!$K:$K,"trailing_chart_point",'Raw Data'!$A:$A,DATE(LEFT(O$3,4),RIGHT(O$3,2),1),'Raw Data'!$H:$H,"",'Raw Data'!$I:$I,"")</f>
        <v>2700000</v>
      </c>
      <c r="P7" s="33">
        <f>SUMIFS('Raw Data'!$L:$L,'Raw Data'!$B:$B,$B7,'Raw Data'!$F:$F,"Number of Users",'Raw Data'!$J:$J,P$3,'Raw Data'!$K:$K,"trailing_chart_point",'Raw Data'!$A:$A,DATE(LEFT(P$3,4),RIGHT(P$3,2),1),'Raw Data'!$H:$H,"",'Raw Data'!$I:$I,"")</f>
        <v>2740000</v>
      </c>
      <c r="Q7" s="33">
        <f>SUMIFS('Raw Data'!$L:$L,'Raw Data'!$B:$B,$B7,'Raw Data'!$F:$F,"Number of Users",'Raw Data'!$J:$J,Q$3,'Raw Data'!$K:$K,"trailing_chart_point",'Raw Data'!$A:$A,DATE(LEFT(Q$3,4),RIGHT(Q$3,2),1),'Raw Data'!$H:$H,"",'Raw Data'!$I:$I,"")</f>
        <v>2780000</v>
      </c>
      <c r="R7" s="33">
        <f>SUMIFS('Raw Data'!$L:$L,'Raw Data'!$B:$B,$B7,'Raw Data'!$F:$F,"Number of Users",'Raw Data'!$J:$J,R$3,'Raw Data'!$K:$K,"trailing_chart_point",'Raw Data'!$A:$A,DATE(LEFT(R$3,4),RIGHT(R$3,2),1),'Raw Data'!$H:$H,"",'Raw Data'!$I:$I,"")</f>
        <v>2810000</v>
      </c>
      <c r="S7" s="33">
        <f>SUMIFS('Raw Data'!$L:$L,'Raw Data'!$B:$B,$B7,'Raw Data'!$F:$F,"Number of Users",'Raw Data'!$J:$J,S$3,'Raw Data'!$K:$K,"trailing_chart_point",'Raw Data'!$A:$A,DATE(LEFT(S$3,4),RIGHT(S$3,2),1),'Raw Data'!$H:$H,"",'Raw Data'!$I:$I,"")</f>
        <v>2850000</v>
      </c>
      <c r="T7" s="33">
        <f>SUMIFS('Raw Data'!$L:$L,'Raw Data'!$B:$B,$B7,'Raw Data'!$F:$F,"Number of Users",'Raw Data'!$J:$J,T$3,'Raw Data'!$K:$K,"trailing_chart_point",'Raw Data'!$A:$A,DATE(LEFT(T$3,4),RIGHT(T$3,2),1),'Raw Data'!$H:$H,"",'Raw Data'!$I:$I,"")</f>
        <v>2880000</v>
      </c>
      <c r="U7" s="33">
        <f>SUMIFS('Raw Data'!$L:$L,'Raw Data'!$B:$B,$B7,'Raw Data'!$F:$F,"Number of Users",'Raw Data'!$J:$J,U$3,'Raw Data'!$K:$K,"trailing_chart_point",'Raw Data'!$A:$A,DATE(LEFT(U$3,4),RIGHT(U$3,2),1),'Raw Data'!$H:$H,"",'Raw Data'!$I:$I,"")</f>
        <v>2910000</v>
      </c>
      <c r="V7" s="33">
        <f>SUMIFS('Raw Data'!$L:$L,'Raw Data'!$B:$B,$B7,'Raw Data'!$F:$F,"Number of Users",'Raw Data'!$J:$J,V$3,'Raw Data'!$K:$K,"trailing_chart_point",'Raw Data'!$A:$A,DATE(LEFT(V$3,4),RIGHT(V$3,2),1),'Raw Data'!$H:$H,"",'Raw Data'!$I:$I,"")</f>
        <v>2930000</v>
      </c>
      <c r="W7" s="33">
        <f>SUMIFS('Raw Data'!$L:$L,'Raw Data'!$B:$B,$B7,'Raw Data'!$F:$F,"Number of Users",'Raw Data'!$J:$J,W$3,'Raw Data'!$K:$K,"trailing_chart_point",'Raw Data'!$A:$A,DATE(LEFT(W$3,4),RIGHT(W$3,2),1),'Raw Data'!$H:$H,"",'Raw Data'!$I:$I,"")</f>
        <v>2970000</v>
      </c>
      <c r="X7" s="33">
        <f>SUMIFS('Raw Data'!$L:$L,'Raw Data'!$B:$B,$B7,'Raw Data'!$F:$F,"Number of Users",'Raw Data'!$J:$J,X$3,'Raw Data'!$K:$K,"trailing_chart_point",'Raw Data'!$A:$A,DATE(LEFT(X$3,4),RIGHT(X$3,2),1),'Raw Data'!$H:$H,"",'Raw Data'!$I:$I,"")</f>
        <v>3000000</v>
      </c>
      <c r="Y7" s="33">
        <f>SUMIFS('Raw Data'!$L:$L,'Raw Data'!$B:$B,$B7,'Raw Data'!$F:$F,"Number of Users",'Raw Data'!$J:$J,Y$3,'Raw Data'!$K:$K,"trailing_chart_point",'Raw Data'!$A:$A,DATE(LEFT(Y$3,4),RIGHT(Y$3,2),1),'Raw Data'!$H:$H,"",'Raw Data'!$I:$I,"")</f>
        <v>3020000</v>
      </c>
      <c r="Z7" s="33">
        <f>SUMIFS('Raw Data'!$L:$L,'Raw Data'!$B:$B,$B7,'Raw Data'!$F:$F,"Number of Users",'Raw Data'!$J:$J,Z$3,'Raw Data'!$K:$K,"trailing_chart_point",'Raw Data'!$A:$A,DATE(LEFT(Z$3,4),RIGHT(Z$3,2),1),'Raw Data'!$H:$H,"",'Raw Data'!$I:$I,"")</f>
        <v>3060000</v>
      </c>
    </row>
    <row r="8" spans="1:26" x14ac:dyDescent="0.25">
      <c r="A8" s="10" t="s">
        <v>214</v>
      </c>
      <c r="B8" s="36" t="s">
        <v>217</v>
      </c>
      <c r="C8" s="37">
        <f>SUMIFS('Raw Data'!$L:$L,'Raw Data'!$B:$B,$B8,'Raw Data'!$F:$F,"Number of Users",'Raw Data'!$J:$J,C$3,'Raw Data'!$K:$K,"trailing_chart_point",'Raw Data'!$A:$A,DATE(LEFT(C$3,4),RIGHT(C$3,2),1),'Raw Data'!$H:$H,"",'Raw Data'!$I:$I,"")</f>
        <v>4430000</v>
      </c>
      <c r="D8" s="37">
        <f>SUMIFS('Raw Data'!$L:$L,'Raw Data'!$B:$B,$B8,'Raw Data'!$F:$F,"Number of Users",'Raw Data'!$J:$J,D$3,'Raw Data'!$K:$K,"trailing_chart_point",'Raw Data'!$A:$A,DATE(LEFT(D$3,4),RIGHT(D$3,2),1),'Raw Data'!$H:$H,"",'Raw Data'!$I:$I,"")</f>
        <v>4470000</v>
      </c>
      <c r="E8" s="37">
        <f>SUMIFS('Raw Data'!$L:$L,'Raw Data'!$B:$B,$B8,'Raw Data'!$F:$F,"Number of Users",'Raw Data'!$J:$J,E$3,'Raw Data'!$K:$K,"trailing_chart_point",'Raw Data'!$A:$A,DATE(LEFT(E$3,4),RIGHT(E$3,2),1),'Raw Data'!$H:$H,"",'Raw Data'!$I:$I,"")</f>
        <v>4500000</v>
      </c>
      <c r="F8" s="37">
        <f>SUMIFS('Raw Data'!$L:$L,'Raw Data'!$B:$B,$B8,'Raw Data'!$F:$F,"Number of Users",'Raw Data'!$J:$J,F$3,'Raw Data'!$K:$K,"trailing_chart_point",'Raw Data'!$A:$A,DATE(LEFT(F$3,4),RIGHT(F$3,2),1),'Raw Data'!$H:$H,"",'Raw Data'!$I:$I,"")</f>
        <v>4540000</v>
      </c>
      <c r="G8" s="37">
        <f>SUMIFS('Raw Data'!$L:$L,'Raw Data'!$B:$B,$B8,'Raw Data'!$F:$F,"Number of Users",'Raw Data'!$J:$J,G$3,'Raw Data'!$K:$K,"trailing_chart_point",'Raw Data'!$A:$A,DATE(LEFT(G$3,4),RIGHT(G$3,2),1),'Raw Data'!$H:$H,"",'Raw Data'!$I:$I,"")</f>
        <v>4580000</v>
      </c>
      <c r="H8" s="37">
        <f>SUMIFS('Raw Data'!$L:$L,'Raw Data'!$B:$B,$B8,'Raw Data'!$F:$F,"Number of Users",'Raw Data'!$J:$J,H$3,'Raw Data'!$K:$K,"trailing_chart_point",'Raw Data'!$A:$A,DATE(LEFT(H$3,4),RIGHT(H$3,2),1),'Raw Data'!$H:$H,"",'Raw Data'!$I:$I,"")</f>
        <v>4620000</v>
      </c>
      <c r="I8" s="37">
        <f>SUMIFS('Raw Data'!$L:$L,'Raw Data'!$B:$B,$B8,'Raw Data'!$F:$F,"Number of Users",'Raw Data'!$J:$J,I$3,'Raw Data'!$K:$K,"trailing_chart_point",'Raw Data'!$A:$A,DATE(LEFT(I$3,4),RIGHT(I$3,2),1),'Raw Data'!$H:$H,"",'Raw Data'!$I:$I,"")</f>
        <v>4650000</v>
      </c>
      <c r="J8" s="37">
        <f>SUMIFS('Raw Data'!$L:$L,'Raw Data'!$B:$B,$B8,'Raw Data'!$F:$F,"Number of Users",'Raw Data'!$J:$J,J$3,'Raw Data'!$K:$K,"trailing_chart_point",'Raw Data'!$A:$A,DATE(LEFT(J$3,4),RIGHT(J$3,2),1),'Raw Data'!$H:$H,"",'Raw Data'!$I:$I,"")</f>
        <v>4680000</v>
      </c>
      <c r="K8" s="37">
        <f>SUMIFS('Raw Data'!$L:$L,'Raw Data'!$B:$B,$B8,'Raw Data'!$F:$F,"Number of Users",'Raw Data'!$J:$J,K$3,'Raw Data'!$K:$K,"trailing_chart_point",'Raw Data'!$A:$A,DATE(LEFT(K$3,4),RIGHT(K$3,2),1),'Raw Data'!$H:$H,"",'Raw Data'!$I:$I,"")</f>
        <v>4730000</v>
      </c>
      <c r="L8" s="37">
        <f>SUMIFS('Raw Data'!$L:$L,'Raw Data'!$B:$B,$B8,'Raw Data'!$F:$F,"Number of Users",'Raw Data'!$J:$J,L$3,'Raw Data'!$K:$K,"trailing_chart_point",'Raw Data'!$A:$A,DATE(LEFT(L$3,4),RIGHT(L$3,2),1),'Raw Data'!$H:$H,"",'Raw Data'!$I:$I,"")</f>
        <v>4760000</v>
      </c>
      <c r="M8" s="37">
        <f>SUMIFS('Raw Data'!$L:$L,'Raw Data'!$B:$B,$B8,'Raw Data'!$F:$F,"Number of Users",'Raw Data'!$J:$J,M$3,'Raw Data'!$K:$K,"trailing_chart_point",'Raw Data'!$A:$A,DATE(LEFT(M$3,4),RIGHT(M$3,2),1),'Raw Data'!$H:$H,"",'Raw Data'!$I:$I,"")</f>
        <v>4810000</v>
      </c>
      <c r="N8" s="37">
        <f>SUMIFS('Raw Data'!$L:$L,'Raw Data'!$B:$B,$B8,'Raw Data'!$F:$F,"Number of Users",'Raw Data'!$J:$J,N$3,'Raw Data'!$K:$K,"trailing_chart_point",'Raw Data'!$A:$A,DATE(LEFT(N$3,4),RIGHT(N$3,2),1),'Raw Data'!$H:$H,"",'Raw Data'!$I:$I,"")</f>
        <v>4850000</v>
      </c>
      <c r="O8" s="37">
        <f>SUMIFS('Raw Data'!$L:$L,'Raw Data'!$B:$B,$B8,'Raw Data'!$F:$F,"Number of Users",'Raw Data'!$J:$J,O$3,'Raw Data'!$K:$K,"trailing_chart_point",'Raw Data'!$A:$A,DATE(LEFT(O$3,4),RIGHT(O$3,2),1),'Raw Data'!$H:$H,"",'Raw Data'!$I:$I,"")</f>
        <v>4900000</v>
      </c>
      <c r="P8" s="37">
        <f>SUMIFS('Raw Data'!$L:$L,'Raw Data'!$B:$B,$B8,'Raw Data'!$F:$F,"Number of Users",'Raw Data'!$J:$J,P$3,'Raw Data'!$K:$K,"trailing_chart_point",'Raw Data'!$A:$A,DATE(LEFT(P$3,4),RIGHT(P$3,2),1),'Raw Data'!$H:$H,"",'Raw Data'!$I:$I,"")</f>
        <v>4950000</v>
      </c>
      <c r="Q8" s="37">
        <f>SUMIFS('Raw Data'!$L:$L,'Raw Data'!$B:$B,$B8,'Raw Data'!$F:$F,"Number of Users",'Raw Data'!$J:$J,Q$3,'Raw Data'!$K:$K,"trailing_chart_point",'Raw Data'!$A:$A,DATE(LEFT(Q$3,4),RIGHT(Q$3,2),1),'Raw Data'!$H:$H,"",'Raw Data'!$I:$I,"")</f>
        <v>5000000</v>
      </c>
      <c r="R8" s="37">
        <f>SUMIFS('Raw Data'!$L:$L,'Raw Data'!$B:$B,$B8,'Raw Data'!$F:$F,"Number of Users",'Raw Data'!$J:$J,R$3,'Raw Data'!$K:$K,"trailing_chart_point",'Raw Data'!$A:$A,DATE(LEFT(R$3,4),RIGHT(R$3,2),1),'Raw Data'!$H:$H,"",'Raw Data'!$I:$I,"")</f>
        <v>5040000</v>
      </c>
      <c r="S8" s="37">
        <f>SUMIFS('Raw Data'!$L:$L,'Raw Data'!$B:$B,$B8,'Raw Data'!$F:$F,"Number of Users",'Raw Data'!$J:$J,S$3,'Raw Data'!$K:$K,"trailing_chart_point",'Raw Data'!$A:$A,DATE(LEFT(S$3,4),RIGHT(S$3,2),1),'Raw Data'!$H:$H,"",'Raw Data'!$I:$I,"")</f>
        <v>5090000</v>
      </c>
      <c r="T8" s="37">
        <f>SUMIFS('Raw Data'!$L:$L,'Raw Data'!$B:$B,$B8,'Raw Data'!$F:$F,"Number of Users",'Raw Data'!$J:$J,T$3,'Raw Data'!$K:$K,"trailing_chart_point",'Raw Data'!$A:$A,DATE(LEFT(T$3,4),RIGHT(T$3,2),1),'Raw Data'!$H:$H,"",'Raw Data'!$I:$I,"")</f>
        <v>5130000</v>
      </c>
      <c r="U8" s="37">
        <f>SUMIFS('Raw Data'!$L:$L,'Raw Data'!$B:$B,$B8,'Raw Data'!$F:$F,"Number of Users",'Raw Data'!$J:$J,U$3,'Raw Data'!$K:$K,"trailing_chart_point",'Raw Data'!$A:$A,DATE(LEFT(U$3,4),RIGHT(U$3,2),1),'Raw Data'!$H:$H,"",'Raw Data'!$I:$I,"")</f>
        <v>5170000</v>
      </c>
      <c r="V8" s="37">
        <f>SUMIFS('Raw Data'!$L:$L,'Raw Data'!$B:$B,$B8,'Raw Data'!$F:$F,"Number of Users",'Raw Data'!$J:$J,V$3,'Raw Data'!$K:$K,"trailing_chart_point",'Raw Data'!$A:$A,DATE(LEFT(V$3,4),RIGHT(V$3,2),1),'Raw Data'!$H:$H,"",'Raw Data'!$I:$I,"")</f>
        <v>5210000</v>
      </c>
      <c r="W8" s="37">
        <f>SUMIFS('Raw Data'!$L:$L,'Raw Data'!$B:$B,$B8,'Raw Data'!$F:$F,"Number of Users",'Raw Data'!$J:$J,W$3,'Raw Data'!$K:$K,"trailing_chart_point",'Raw Data'!$A:$A,DATE(LEFT(W$3,4),RIGHT(W$3,2),1),'Raw Data'!$H:$H,"",'Raw Data'!$I:$I,"")</f>
        <v>5250000</v>
      </c>
      <c r="X8" s="37">
        <f>SUMIFS('Raw Data'!$L:$L,'Raw Data'!$B:$B,$B8,'Raw Data'!$F:$F,"Number of Users",'Raw Data'!$J:$J,X$3,'Raw Data'!$K:$K,"trailing_chart_point",'Raw Data'!$A:$A,DATE(LEFT(X$3,4),RIGHT(X$3,2),1),'Raw Data'!$H:$H,"",'Raw Data'!$I:$I,"")</f>
        <v>5290000</v>
      </c>
      <c r="Y8" s="37">
        <f>SUMIFS('Raw Data'!$L:$L,'Raw Data'!$B:$B,$B8,'Raw Data'!$F:$F,"Number of Users",'Raw Data'!$J:$J,Y$3,'Raw Data'!$K:$K,"trailing_chart_point",'Raw Data'!$A:$A,DATE(LEFT(Y$3,4),RIGHT(Y$3,2),1),'Raw Data'!$H:$H,"",'Raw Data'!$I:$I,"")</f>
        <v>5340000</v>
      </c>
      <c r="Z8" s="37">
        <f>SUMIFS('Raw Data'!$L:$L,'Raw Data'!$B:$B,$B8,'Raw Data'!$F:$F,"Number of Users",'Raw Data'!$J:$J,Z$3,'Raw Data'!$K:$K,"trailing_chart_point",'Raw Data'!$A:$A,DATE(LEFT(Z$3,4),RIGHT(Z$3,2),1),'Raw Data'!$H:$H,"",'Raw Data'!$I:$I,"")</f>
        <v>5390000</v>
      </c>
    </row>
    <row r="9" spans="1:26" x14ac:dyDescent="0.25">
      <c r="A9" s="54" t="s">
        <v>4335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s="31" customFormat="1" x14ac:dyDescent="0.25">
      <c r="A10" s="10" t="s">
        <v>214</v>
      </c>
      <c r="B10" s="34" t="s">
        <v>4334</v>
      </c>
      <c r="C10" s="38"/>
      <c r="D10" s="38">
        <f>((D5-C5)/C5)*100%</f>
        <v>2.056555269922879E-2</v>
      </c>
      <c r="E10" s="38">
        <f t="shared" ref="E10:Z10" si="2">((E5-D5)/D5)*100%</f>
        <v>1.5113350125944584E-2</v>
      </c>
      <c r="F10" s="41">
        <f t="shared" si="2"/>
        <v>5.7071960297766747E-2</v>
      </c>
      <c r="G10" s="38">
        <f t="shared" si="2"/>
        <v>0</v>
      </c>
      <c r="H10" s="38">
        <f t="shared" si="2"/>
        <v>1.4084507042253521E-2</v>
      </c>
      <c r="I10" s="38">
        <f t="shared" si="2"/>
        <v>1.3888888888888888E-2</v>
      </c>
      <c r="J10" s="38">
        <f t="shared" si="2"/>
        <v>1.3698630136986301E-2</v>
      </c>
      <c r="K10" s="38">
        <f t="shared" si="2"/>
        <v>1.5765765765765764E-2</v>
      </c>
      <c r="L10" s="38">
        <f t="shared" si="2"/>
        <v>8.869179600886918E-3</v>
      </c>
      <c r="M10" s="38">
        <f>((M5-L5)/L5)*100%</f>
        <v>0</v>
      </c>
      <c r="N10" s="38">
        <f t="shared" si="2"/>
        <v>1.5384615384615385E-2</v>
      </c>
      <c r="O10" s="38">
        <f t="shared" si="2"/>
        <v>1.7316017316017316E-2</v>
      </c>
      <c r="P10" s="38">
        <f t="shared" si="2"/>
        <v>2.1276595744680851E-2</v>
      </c>
      <c r="Q10" s="38">
        <f t="shared" si="2"/>
        <v>1.4583333333333334E-2</v>
      </c>
      <c r="R10" s="38">
        <f t="shared" si="2"/>
        <v>1.4373716632443531E-2</v>
      </c>
      <c r="S10" s="38">
        <f t="shared" si="2"/>
        <v>1.417004048582996E-2</v>
      </c>
      <c r="T10" s="38">
        <f t="shared" si="2"/>
        <v>1.3972055888223553E-2</v>
      </c>
      <c r="U10" s="38">
        <f t="shared" si="2"/>
        <v>9.8425196850393699E-3</v>
      </c>
      <c r="V10" s="38">
        <f t="shared" si="2"/>
        <v>9.7465886939571145E-3</v>
      </c>
      <c r="W10" s="38">
        <f t="shared" si="2"/>
        <v>1.3513513513513514E-2</v>
      </c>
      <c r="X10" s="38">
        <f t="shared" si="2"/>
        <v>1.1428571428571429E-2</v>
      </c>
      <c r="Y10" s="38">
        <f t="shared" si="2"/>
        <v>1.1299435028248588E-2</v>
      </c>
      <c r="Z10" s="38">
        <f t="shared" si="2"/>
        <v>1.4897579143389199E-2</v>
      </c>
    </row>
    <row r="11" spans="1:26" x14ac:dyDescent="0.25">
      <c r="A11" s="10" t="s">
        <v>214</v>
      </c>
      <c r="B11" s="32" t="s">
        <v>215</v>
      </c>
      <c r="C11" s="39"/>
      <c r="D11" s="39">
        <f>((D6-C6)/C6)*100%</f>
        <v>2.564102564102564E-2</v>
      </c>
      <c r="E11" s="39">
        <f t="shared" ref="E11:F13" si="3">((E6-D6)/D6)*100%</f>
        <v>1.8749999999999999E-2</v>
      </c>
      <c r="F11" s="39">
        <f t="shared" si="3"/>
        <v>2.4539877300613498E-2</v>
      </c>
      <c r="G11" s="39">
        <f t="shared" ref="G11:K11" si="4">((G6-F6)/F6)*100%</f>
        <v>2.3952095808383235E-2</v>
      </c>
      <c r="H11" s="39">
        <f t="shared" si="4"/>
        <v>1.7543859649122806E-2</v>
      </c>
      <c r="I11" s="39">
        <f t="shared" si="4"/>
        <v>2.2988505747126436E-2</v>
      </c>
      <c r="J11" s="39">
        <f t="shared" si="4"/>
        <v>1.6853932584269662E-2</v>
      </c>
      <c r="K11" s="39">
        <f t="shared" si="4"/>
        <v>2.2099447513812154E-2</v>
      </c>
      <c r="L11" s="39">
        <f>((L6-K6)/K6)*100%</f>
        <v>1.6216216216216217E-2</v>
      </c>
      <c r="M11" s="39">
        <f t="shared" ref="M11:Y11" si="5">((M6-L6)/L6)*100%</f>
        <v>2.1276595744680851E-2</v>
      </c>
      <c r="N11" s="39">
        <f t="shared" si="5"/>
        <v>2.0833333333333332E-2</v>
      </c>
      <c r="O11" s="39">
        <f t="shared" si="5"/>
        <v>2.0408163265306121E-2</v>
      </c>
      <c r="P11" s="39">
        <f t="shared" si="5"/>
        <v>0.03</v>
      </c>
      <c r="Q11" s="39">
        <f t="shared" si="5"/>
        <v>1.4563106796116505E-2</v>
      </c>
      <c r="R11" s="39">
        <f t="shared" si="5"/>
        <v>1.9138755980861243E-2</v>
      </c>
      <c r="S11" s="39">
        <f t="shared" si="5"/>
        <v>1.4084507042253521E-2</v>
      </c>
      <c r="T11" s="39">
        <f t="shared" si="5"/>
        <v>1.8518518518518517E-2</v>
      </c>
      <c r="U11" s="39">
        <f t="shared" si="5"/>
        <v>9.0909090909090905E-3</v>
      </c>
      <c r="V11" s="39">
        <f t="shared" si="5"/>
        <v>1.3513513513513514E-2</v>
      </c>
      <c r="W11" s="39">
        <f t="shared" si="5"/>
        <v>1.3333333333333334E-2</v>
      </c>
      <c r="X11" s="39">
        <f t="shared" si="5"/>
        <v>1.3157894736842105E-2</v>
      </c>
      <c r="Y11" s="39">
        <f t="shared" si="5"/>
        <v>1.7316017316017316E-2</v>
      </c>
      <c r="Z11" s="39">
        <f t="shared" ref="Z11:Z13" si="6">((Z6-Y6)/Y6)*100%</f>
        <v>1.7021276595744681E-2</v>
      </c>
    </row>
    <row r="12" spans="1:26" x14ac:dyDescent="0.25">
      <c r="A12" s="10" t="s">
        <v>214</v>
      </c>
      <c r="B12" s="32" t="s">
        <v>216</v>
      </c>
      <c r="C12" s="39"/>
      <c r="D12" s="39">
        <f t="shared" ref="D12:L12" si="7">((D7-C7)/C7)*100%</f>
        <v>1.7167381974248927E-2</v>
      </c>
      <c r="E12" s="39">
        <f t="shared" si="3"/>
        <v>1.2658227848101266E-2</v>
      </c>
      <c r="F12" s="40">
        <f t="shared" si="3"/>
        <v>7.9166666666666663E-2</v>
      </c>
      <c r="G12" s="39">
        <f t="shared" si="7"/>
        <v>-1.5444015444015444E-2</v>
      </c>
      <c r="H12" s="39">
        <f t="shared" si="7"/>
        <v>1.1764705882352941E-2</v>
      </c>
      <c r="I12" s="39">
        <f t="shared" si="7"/>
        <v>7.7519379844961239E-3</v>
      </c>
      <c r="J12" s="39">
        <f t="shared" si="7"/>
        <v>1.1538461538461539E-2</v>
      </c>
      <c r="K12" s="39">
        <f t="shared" si="7"/>
        <v>1.1406844106463879E-2</v>
      </c>
      <c r="L12" s="39">
        <f t="shared" si="7"/>
        <v>3.7593984962406013E-3</v>
      </c>
      <c r="M12" s="39">
        <f t="shared" ref="M12:Y12" si="8">((M7-L7)/L7)*100%</f>
        <v>-1.4981273408239701E-2</v>
      </c>
      <c r="N12" s="39">
        <f t="shared" si="8"/>
        <v>1.1406844106463879E-2</v>
      </c>
      <c r="O12" s="39">
        <f t="shared" si="8"/>
        <v>1.5037593984962405E-2</v>
      </c>
      <c r="P12" s="39">
        <f t="shared" si="8"/>
        <v>1.4814814814814815E-2</v>
      </c>
      <c r="Q12" s="39">
        <f t="shared" si="8"/>
        <v>1.4598540145985401E-2</v>
      </c>
      <c r="R12" s="39">
        <f t="shared" si="8"/>
        <v>1.0791366906474821E-2</v>
      </c>
      <c r="S12" s="39">
        <f t="shared" si="8"/>
        <v>1.4234875444839857E-2</v>
      </c>
      <c r="T12" s="39">
        <f t="shared" si="8"/>
        <v>1.0526315789473684E-2</v>
      </c>
      <c r="U12" s="39">
        <f t="shared" si="8"/>
        <v>1.0416666666666666E-2</v>
      </c>
      <c r="V12" s="39">
        <f t="shared" si="8"/>
        <v>6.8728522336769758E-3</v>
      </c>
      <c r="W12" s="39">
        <f t="shared" si="8"/>
        <v>1.3651877133105802E-2</v>
      </c>
      <c r="X12" s="39">
        <f t="shared" si="8"/>
        <v>1.0101010101010102E-2</v>
      </c>
      <c r="Y12" s="39">
        <f t="shared" si="8"/>
        <v>6.6666666666666671E-3</v>
      </c>
      <c r="Z12" s="39">
        <f t="shared" si="6"/>
        <v>1.3245033112582781E-2</v>
      </c>
    </row>
    <row r="13" spans="1:26" x14ac:dyDescent="0.25">
      <c r="A13" s="10" t="s">
        <v>214</v>
      </c>
      <c r="B13" s="46" t="s">
        <v>217</v>
      </c>
      <c r="C13" s="47"/>
      <c r="D13" s="47">
        <f t="shared" ref="D13:L13" si="9">((D8-C8)/C8)*100%</f>
        <v>9.0293453724604959E-3</v>
      </c>
      <c r="E13" s="47">
        <f t="shared" si="3"/>
        <v>6.7114093959731542E-3</v>
      </c>
      <c r="F13" s="47">
        <f t="shared" si="3"/>
        <v>8.8888888888888889E-3</v>
      </c>
      <c r="G13" s="47">
        <f t="shared" si="9"/>
        <v>8.8105726872246704E-3</v>
      </c>
      <c r="H13" s="47">
        <f t="shared" si="9"/>
        <v>8.7336244541484712E-3</v>
      </c>
      <c r="I13" s="47">
        <f t="shared" si="9"/>
        <v>6.4935064935064939E-3</v>
      </c>
      <c r="J13" s="47">
        <f t="shared" si="9"/>
        <v>6.4516129032258064E-3</v>
      </c>
      <c r="K13" s="47">
        <f t="shared" si="9"/>
        <v>1.0683760683760684E-2</v>
      </c>
      <c r="L13" s="47">
        <f t="shared" si="9"/>
        <v>6.3424947145877377E-3</v>
      </c>
      <c r="M13" s="47">
        <f t="shared" ref="M13:Y13" si="10">((M8-L8)/L8)*100%</f>
        <v>1.050420168067227E-2</v>
      </c>
      <c r="N13" s="47">
        <f t="shared" si="10"/>
        <v>8.3160083160083165E-3</v>
      </c>
      <c r="O13" s="47">
        <f t="shared" si="10"/>
        <v>1.0309278350515464E-2</v>
      </c>
      <c r="P13" s="47">
        <f t="shared" si="10"/>
        <v>1.020408163265306E-2</v>
      </c>
      <c r="Q13" s="47">
        <f t="shared" si="10"/>
        <v>1.0101010101010102E-2</v>
      </c>
      <c r="R13" s="47">
        <f t="shared" si="10"/>
        <v>8.0000000000000002E-3</v>
      </c>
      <c r="S13" s="47">
        <f t="shared" si="10"/>
        <v>9.9206349206349201E-3</v>
      </c>
      <c r="T13" s="47">
        <f t="shared" si="10"/>
        <v>7.8585461689587421E-3</v>
      </c>
      <c r="U13" s="47">
        <f t="shared" si="10"/>
        <v>7.7972709551656916E-3</v>
      </c>
      <c r="V13" s="47">
        <f t="shared" si="10"/>
        <v>7.7369439071566732E-3</v>
      </c>
      <c r="W13" s="47">
        <f t="shared" si="10"/>
        <v>7.677543186180422E-3</v>
      </c>
      <c r="X13" s="47">
        <f t="shared" si="10"/>
        <v>7.619047619047619E-3</v>
      </c>
      <c r="Y13" s="47">
        <f t="shared" si="10"/>
        <v>9.4517958412098299E-3</v>
      </c>
      <c r="Z13" s="47">
        <f t="shared" si="6"/>
        <v>9.3632958801498131E-3</v>
      </c>
    </row>
    <row r="14" spans="1:26" x14ac:dyDescent="0.25">
      <c r="A14" s="53" t="s">
        <v>218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s="31" customFormat="1" x14ac:dyDescent="0.25">
      <c r="A15" s="10" t="s">
        <v>214</v>
      </c>
      <c r="B15" s="34" t="s">
        <v>4334</v>
      </c>
      <c r="C15" s="35">
        <f>C16+C17</f>
        <v>12930000</v>
      </c>
      <c r="D15" s="35">
        <f>D16+D17</f>
        <v>14450000</v>
      </c>
      <c r="E15" s="35">
        <f>E16+E17</f>
        <v>14550000</v>
      </c>
      <c r="F15" s="35">
        <f>F16+F17</f>
        <v>16250000</v>
      </c>
      <c r="G15" s="35">
        <f t="shared" ref="G15" si="11">G16+G17</f>
        <v>16570000</v>
      </c>
      <c r="H15" s="35">
        <f t="shared" ref="H15" si="12">H16+H17</f>
        <v>15790000</v>
      </c>
      <c r="I15" s="35">
        <f t="shared" ref="I15" si="13">I16+I17</f>
        <v>19400000</v>
      </c>
      <c r="J15" s="35">
        <f t="shared" ref="J15" si="14">J16+J17</f>
        <v>18510000</v>
      </c>
      <c r="K15" s="35">
        <f t="shared" ref="K15" si="15">K16+K17</f>
        <v>21940000</v>
      </c>
      <c r="L15" s="35">
        <f t="shared" ref="L15" si="16">L16+L17</f>
        <v>21080000</v>
      </c>
      <c r="M15" s="35">
        <f t="shared" ref="M15" si="17">M16+M17</f>
        <v>24450000</v>
      </c>
      <c r="N15" s="35">
        <f t="shared" ref="N15" si="18">N16+N17</f>
        <v>25220000</v>
      </c>
      <c r="O15" s="35">
        <f t="shared" ref="O15" si="19">O16+O17</f>
        <v>25080000</v>
      </c>
      <c r="P15" s="35">
        <f t="shared" ref="P15" si="20">P16+P17</f>
        <v>26720000</v>
      </c>
      <c r="Q15" s="35">
        <f t="shared" ref="Q15" si="21">Q16+Q17</f>
        <v>26450000</v>
      </c>
      <c r="R15" s="35">
        <f>R16+R17</f>
        <v>28600000</v>
      </c>
      <c r="S15" s="35">
        <f>S16+S17</f>
        <v>29530000</v>
      </c>
      <c r="T15" s="35">
        <f>T16+T17</f>
        <v>27420000</v>
      </c>
      <c r="U15" s="35">
        <f>U16+U17</f>
        <v>31770000</v>
      </c>
      <c r="V15" s="35">
        <f t="shared" ref="V15" si="22">V16+V17</f>
        <v>32620000</v>
      </c>
      <c r="W15" s="35">
        <f t="shared" ref="W15" si="23">W16+W17</f>
        <v>36410000</v>
      </c>
      <c r="X15" s="35">
        <f t="shared" ref="X15" si="24">X16+X17</f>
        <v>35750000</v>
      </c>
      <c r="Y15" s="35">
        <f t="shared" ref="Y15" si="25">Y16+Y17</f>
        <v>40010000</v>
      </c>
      <c r="Z15" s="35">
        <f t="shared" ref="Z15" si="26">Z16+Z17</f>
        <v>38790000</v>
      </c>
    </row>
    <row r="16" spans="1:26" x14ac:dyDescent="0.25">
      <c r="A16" s="10" t="s">
        <v>214</v>
      </c>
      <c r="B16" s="32" t="s">
        <v>215</v>
      </c>
      <c r="C16" s="33">
        <f>SUMIFS('Raw Data'!$L:$L,'Raw Data'!$B:$B,$B16,'Raw Data'!$F:$F,"Number of*Transactions",'Raw Data'!$J:$J,C$3,'Raw Data'!$K:$K,"trailing_chart_point",'Raw Data'!$A:$A,DATE(LEFT(C$3,4),RIGHT(C$3,2),1),'Raw Data'!$H:$H,"",'Raw Data'!$I:$I,"")</f>
        <v>7890000</v>
      </c>
      <c r="D16" s="33">
        <f>SUMIFS('Raw Data'!$L:$L,'Raw Data'!$B:$B,$B16,'Raw Data'!$F:$F,"Number of*Transactions",'Raw Data'!$J:$J,D$3,'Raw Data'!$K:$K,"trailing_chart_point",'Raw Data'!$A:$A,DATE(LEFT(D$3,4),RIGHT(D$3,2),1),'Raw Data'!$H:$H,"",'Raw Data'!$I:$I,"")</f>
        <v>8860000</v>
      </c>
      <c r="E16" s="33">
        <f>SUMIFS('Raw Data'!$L:$L,'Raw Data'!$B:$B,$B16,'Raw Data'!$F:$F,"Number of*Transactions",'Raw Data'!$J:$J,E$3,'Raw Data'!$K:$K,"trailing_chart_point",'Raw Data'!$A:$A,DATE(LEFT(E$3,4),RIGHT(E$3,2),1),'Raw Data'!$H:$H,"",'Raw Data'!$I:$I,"")</f>
        <v>8990000</v>
      </c>
      <c r="F16" s="33">
        <f>SUMIFS('Raw Data'!$L:$L,'Raw Data'!$B:$B,$B16,'Raw Data'!$F:$F,"Number of*Transactions",'Raw Data'!$J:$J,F$3,'Raw Data'!$K:$K,"trailing_chart_point",'Raw Data'!$A:$A,DATE(LEFT(F$3,4),RIGHT(F$3,2),1),'Raw Data'!$H:$H,"",'Raw Data'!$I:$I,"")</f>
        <v>10000000</v>
      </c>
      <c r="G16" s="33">
        <f>SUMIFS('Raw Data'!$L:$L,'Raw Data'!$B:$B,$B16,'Raw Data'!$F:$F,"Number of*Transactions",'Raw Data'!$J:$J,G$3,'Raw Data'!$K:$K,"trailing_chart_point",'Raw Data'!$A:$A,DATE(LEFT(G$3,4),RIGHT(G$3,2),1),'Raw Data'!$H:$H,"",'Raw Data'!$I:$I,"")</f>
        <v>10320000</v>
      </c>
      <c r="H16" s="33">
        <f>SUMIFS('Raw Data'!$L:$L,'Raw Data'!$B:$B,$B16,'Raw Data'!$F:$F,"Number of*Transactions",'Raw Data'!$J:$J,H$3,'Raw Data'!$K:$K,"trailing_chart_point",'Raw Data'!$A:$A,DATE(LEFT(H$3,4),RIGHT(H$3,2),1),'Raw Data'!$H:$H,"",'Raw Data'!$I:$I,"")</f>
        <v>9900000</v>
      </c>
      <c r="I16" s="33">
        <f>SUMIFS('Raw Data'!$L:$L,'Raw Data'!$B:$B,$B16,'Raw Data'!$F:$F,"Number of*Transactions",'Raw Data'!$J:$J,I$3,'Raw Data'!$K:$K,"trailing_chart_point",'Raw Data'!$A:$A,DATE(LEFT(I$3,4),RIGHT(I$3,2),1),'Raw Data'!$H:$H,"",'Raw Data'!$I:$I,"")</f>
        <v>12110000</v>
      </c>
      <c r="J16" s="33">
        <f>SUMIFS('Raw Data'!$L:$L,'Raw Data'!$B:$B,$B16,'Raw Data'!$F:$F,"Number of*Transactions",'Raw Data'!$J:$J,J$3,'Raw Data'!$K:$K,"trailing_chart_point",'Raw Data'!$A:$A,DATE(LEFT(J$3,4),RIGHT(J$3,2),1),'Raw Data'!$H:$H,"",'Raw Data'!$I:$I,"")</f>
        <v>11520000</v>
      </c>
      <c r="K16" s="33">
        <f>SUMIFS('Raw Data'!$L:$L,'Raw Data'!$B:$B,$B16,'Raw Data'!$F:$F,"Number of*Transactions",'Raw Data'!$J:$J,K$3,'Raw Data'!$K:$K,"trailing_chart_point",'Raw Data'!$A:$A,DATE(LEFT(K$3,4),RIGHT(K$3,2),1),'Raw Data'!$H:$H,"",'Raw Data'!$I:$I,"")</f>
        <v>13730000</v>
      </c>
      <c r="L16" s="33">
        <f>SUMIFS('Raw Data'!$L:$L,'Raw Data'!$B:$B,$B16,'Raw Data'!$F:$F,"Number of*Transactions",'Raw Data'!$J:$J,L$3,'Raw Data'!$K:$K,"trailing_chart_point",'Raw Data'!$A:$A,DATE(LEFT(L$3,4),RIGHT(L$3,2),1),'Raw Data'!$H:$H,"",'Raw Data'!$I:$I,"")</f>
        <v>13090000</v>
      </c>
      <c r="M16" s="33">
        <f>SUMIFS('Raw Data'!$L:$L,'Raw Data'!$B:$B,$B16,'Raw Data'!$F:$F,"Number of*Transactions",'Raw Data'!$J:$J,M$3,'Raw Data'!$K:$K,"trailing_chart_point",'Raw Data'!$A:$A,DATE(LEFT(M$3,4),RIGHT(M$3,2),1),'Raw Data'!$H:$H,"",'Raw Data'!$I:$I,"")</f>
        <v>15300000</v>
      </c>
      <c r="N16" s="33">
        <f>SUMIFS('Raw Data'!$L:$L,'Raw Data'!$B:$B,$B16,'Raw Data'!$F:$F,"Number of*Transactions",'Raw Data'!$J:$J,N$3,'Raw Data'!$K:$K,"trailing_chart_point",'Raw Data'!$A:$A,DATE(LEFT(N$3,4),RIGHT(N$3,2),1),'Raw Data'!$H:$H,"",'Raw Data'!$I:$I,"")</f>
        <v>15770000</v>
      </c>
      <c r="O16" s="33">
        <f>SUMIFS('Raw Data'!$L:$L,'Raw Data'!$B:$B,$B16,'Raw Data'!$F:$F,"Number of*Transactions",'Raw Data'!$J:$J,O$3,'Raw Data'!$K:$K,"trailing_chart_point",'Raw Data'!$A:$A,DATE(LEFT(O$3,4),RIGHT(O$3,2),1),'Raw Data'!$H:$H,"",'Raw Data'!$I:$I,"")</f>
        <v>15580000</v>
      </c>
      <c r="P16" s="33">
        <f>SUMIFS('Raw Data'!$L:$L,'Raw Data'!$B:$B,$B16,'Raw Data'!$F:$F,"Number of*Transactions",'Raw Data'!$J:$J,P$3,'Raw Data'!$K:$K,"trailing_chart_point",'Raw Data'!$A:$A,DATE(LEFT(P$3,4),RIGHT(P$3,2),1),'Raw Data'!$H:$H,"",'Raw Data'!$I:$I,"")</f>
        <v>16590000</v>
      </c>
      <c r="Q16" s="33">
        <f>SUMIFS('Raw Data'!$L:$L,'Raw Data'!$B:$B,$B16,'Raw Data'!$F:$F,"Number of*Transactions",'Raw Data'!$J:$J,Q$3,'Raw Data'!$K:$K,"trailing_chart_point",'Raw Data'!$A:$A,DATE(LEFT(Q$3,4),RIGHT(Q$3,2),1),'Raw Data'!$H:$H,"",'Raw Data'!$I:$I,"")</f>
        <v>16350000</v>
      </c>
      <c r="R16" s="33">
        <f>SUMIFS('Raw Data'!$L:$L,'Raw Data'!$B:$B,$B16,'Raw Data'!$F:$F,"Number of*Transactions",'Raw Data'!$J:$J,R$3,'Raw Data'!$K:$K,"trailing_chart_point",'Raw Data'!$A:$A,DATE(LEFT(R$3,4),RIGHT(R$3,2),1),'Raw Data'!$H:$H,"",'Raw Data'!$I:$I,"")</f>
        <v>17670000</v>
      </c>
      <c r="S16" s="33">
        <f>SUMIFS('Raw Data'!$L:$L,'Raw Data'!$B:$B,$B16,'Raw Data'!$F:$F,"Number of*Transactions",'Raw Data'!$J:$J,S$3,'Raw Data'!$K:$K,"trailing_chart_point",'Raw Data'!$A:$A,DATE(LEFT(S$3,4),RIGHT(S$3,2),1),'Raw Data'!$H:$H,"",'Raw Data'!$I:$I,"")</f>
        <v>17700000</v>
      </c>
      <c r="T16" s="33">
        <f>SUMIFS('Raw Data'!$L:$L,'Raw Data'!$B:$B,$B16,'Raw Data'!$F:$F,"Number of*Transactions",'Raw Data'!$J:$J,T$3,'Raw Data'!$K:$K,"trailing_chart_point",'Raw Data'!$A:$A,DATE(LEFT(T$3,4),RIGHT(T$3,2),1),'Raw Data'!$H:$H,"",'Raw Data'!$I:$I,"")</f>
        <v>16580000</v>
      </c>
      <c r="U16" s="33">
        <f>SUMIFS('Raw Data'!$L:$L,'Raw Data'!$B:$B,$B16,'Raw Data'!$F:$F,"Number of*Transactions",'Raw Data'!$J:$J,U$3,'Raw Data'!$K:$K,"trailing_chart_point",'Raw Data'!$A:$A,DATE(LEFT(U$3,4),RIGHT(U$3,2),1),'Raw Data'!$H:$H,"",'Raw Data'!$I:$I,"")</f>
        <v>19010000</v>
      </c>
      <c r="V16" s="33">
        <f>SUMIFS('Raw Data'!$L:$L,'Raw Data'!$B:$B,$B16,'Raw Data'!$F:$F,"Number of*Transactions",'Raw Data'!$J:$J,V$3,'Raw Data'!$K:$K,"trailing_chart_point",'Raw Data'!$A:$A,DATE(LEFT(V$3,4),RIGHT(V$3,2),1),'Raw Data'!$H:$H,"",'Raw Data'!$I:$I,"")</f>
        <v>19330000</v>
      </c>
      <c r="W16" s="33">
        <f>SUMIFS('Raw Data'!$L:$L,'Raw Data'!$B:$B,$B16,'Raw Data'!$F:$F,"Number of*Transactions",'Raw Data'!$J:$J,W$3,'Raw Data'!$K:$K,"trailing_chart_point",'Raw Data'!$A:$A,DATE(LEFT(W$3,4),RIGHT(W$3,2),1),'Raw Data'!$H:$H,"",'Raw Data'!$I:$I,"")</f>
        <v>21430000</v>
      </c>
      <c r="X16" s="33">
        <f>SUMIFS('Raw Data'!$L:$L,'Raw Data'!$B:$B,$B16,'Raw Data'!$F:$F,"Number of*Transactions",'Raw Data'!$J:$J,X$3,'Raw Data'!$K:$K,"trailing_chart_point",'Raw Data'!$A:$A,DATE(LEFT(X$3,4),RIGHT(X$3,2),1),'Raw Data'!$H:$H,"",'Raw Data'!$I:$I,"")</f>
        <v>20960000</v>
      </c>
      <c r="Y16" s="33">
        <f>SUMIFS('Raw Data'!$L:$L,'Raw Data'!$B:$B,$B16,'Raw Data'!$F:$F,"Number of*Transactions",'Raw Data'!$J:$J,Y$3,'Raw Data'!$K:$K,"trailing_chart_point",'Raw Data'!$A:$A,DATE(LEFT(Y$3,4),RIGHT(Y$3,2),1),'Raw Data'!$H:$H,"",'Raw Data'!$I:$I,"")</f>
        <v>23170000</v>
      </c>
      <c r="Z16" s="33">
        <f>SUMIFS('Raw Data'!$L:$L,'Raw Data'!$B:$B,$B16,'Raw Data'!$F:$F,"Number of*Transactions",'Raw Data'!$J:$J,Z$3,'Raw Data'!$K:$K,"trailing_chart_point",'Raw Data'!$A:$A,DATE(LEFT(Z$3,4),RIGHT(Z$3,2),1),'Raw Data'!$H:$H,"",'Raw Data'!$I:$I,"")</f>
        <v>24000000</v>
      </c>
    </row>
    <row r="17" spans="1:26" x14ac:dyDescent="0.25">
      <c r="A17" s="10" t="s">
        <v>214</v>
      </c>
      <c r="B17" s="32" t="s">
        <v>216</v>
      </c>
      <c r="C17" s="33">
        <f>SUMIFS('Raw Data'!$L:$L,'Raw Data'!$B:$B,$B17,'Raw Data'!$F:$F,"Number of*Transactions",'Raw Data'!$J:$J,C$3,'Raw Data'!$K:$K,"trailing_chart_point",'Raw Data'!$A:$A,DATE(LEFT(C$3,4),RIGHT(C$3,2),1),'Raw Data'!$H:$H,"",'Raw Data'!$I:$I,"")</f>
        <v>5040000</v>
      </c>
      <c r="D17" s="33">
        <f>SUMIFS('Raw Data'!$L:$L,'Raw Data'!$B:$B,$B17,'Raw Data'!$F:$F,"Number of*Transactions",'Raw Data'!$J:$J,D$3,'Raw Data'!$K:$K,"trailing_chart_point",'Raw Data'!$A:$A,DATE(LEFT(D$3,4),RIGHT(D$3,2),1),'Raw Data'!$H:$H,"",'Raw Data'!$I:$I,"")</f>
        <v>5590000</v>
      </c>
      <c r="E17" s="33">
        <f>SUMIFS('Raw Data'!$L:$L,'Raw Data'!$B:$B,$B17,'Raw Data'!$F:$F,"Number of*Transactions",'Raw Data'!$J:$J,E$3,'Raw Data'!$K:$K,"trailing_chart_point",'Raw Data'!$A:$A,DATE(LEFT(E$3,4),RIGHT(E$3,2),1),'Raw Data'!$H:$H,"",'Raw Data'!$I:$I,"")</f>
        <v>5560000</v>
      </c>
      <c r="F17" s="33">
        <f>SUMIFS('Raw Data'!$L:$L,'Raw Data'!$B:$B,$B17,'Raw Data'!$F:$F,"Number of*Transactions",'Raw Data'!$J:$J,F$3,'Raw Data'!$K:$K,"trailing_chart_point",'Raw Data'!$A:$A,DATE(LEFT(F$3,4),RIGHT(F$3,2),1),'Raw Data'!$H:$H,"",'Raw Data'!$I:$I,"")</f>
        <v>6250000</v>
      </c>
      <c r="G17" s="33">
        <f>SUMIFS('Raw Data'!$L:$L,'Raw Data'!$B:$B,$B17,'Raw Data'!$F:$F,"Number of*Transactions",'Raw Data'!$J:$J,G$3,'Raw Data'!$K:$K,"trailing_chart_point",'Raw Data'!$A:$A,DATE(LEFT(G$3,4),RIGHT(G$3,2),1),'Raw Data'!$H:$H,"",'Raw Data'!$I:$I,"")</f>
        <v>6250000</v>
      </c>
      <c r="H17" s="33">
        <f>SUMIFS('Raw Data'!$L:$L,'Raw Data'!$B:$B,$B17,'Raw Data'!$F:$F,"Number of*Transactions",'Raw Data'!$J:$J,H$3,'Raw Data'!$K:$K,"trailing_chart_point",'Raw Data'!$A:$A,DATE(LEFT(H$3,4),RIGHT(H$3,2),1),'Raw Data'!$H:$H,"",'Raw Data'!$I:$I,"")</f>
        <v>5890000</v>
      </c>
      <c r="I17" s="33">
        <f>SUMIFS('Raw Data'!$L:$L,'Raw Data'!$B:$B,$B17,'Raw Data'!$F:$F,"Number of*Transactions",'Raw Data'!$J:$J,I$3,'Raw Data'!$K:$K,"trailing_chart_point",'Raw Data'!$A:$A,DATE(LEFT(I$3,4),RIGHT(I$3,2),1),'Raw Data'!$H:$H,"",'Raw Data'!$I:$I,"")</f>
        <v>7290000</v>
      </c>
      <c r="J17" s="33">
        <f>SUMIFS('Raw Data'!$L:$L,'Raw Data'!$B:$B,$B17,'Raw Data'!$F:$F,"Number of*Transactions",'Raw Data'!$J:$J,J$3,'Raw Data'!$K:$K,"trailing_chart_point",'Raw Data'!$A:$A,DATE(LEFT(J$3,4),RIGHT(J$3,2),1),'Raw Data'!$H:$H,"",'Raw Data'!$I:$I,"")</f>
        <v>6990000</v>
      </c>
      <c r="K17" s="33">
        <f>SUMIFS('Raw Data'!$L:$L,'Raw Data'!$B:$B,$B17,'Raw Data'!$F:$F,"Number of*Transactions",'Raw Data'!$J:$J,K$3,'Raw Data'!$K:$K,"trailing_chart_point",'Raw Data'!$A:$A,DATE(LEFT(K$3,4),RIGHT(K$3,2),1),'Raw Data'!$H:$H,"",'Raw Data'!$I:$I,"")</f>
        <v>8210000</v>
      </c>
      <c r="L17" s="33">
        <f>SUMIFS('Raw Data'!$L:$L,'Raw Data'!$B:$B,$B17,'Raw Data'!$F:$F,"Number of*Transactions",'Raw Data'!$J:$J,L$3,'Raw Data'!$K:$K,"trailing_chart_point",'Raw Data'!$A:$A,DATE(LEFT(L$3,4),RIGHT(L$3,2),1),'Raw Data'!$H:$H,"",'Raw Data'!$I:$I,"")</f>
        <v>7990000</v>
      </c>
      <c r="M17" s="33">
        <f>SUMIFS('Raw Data'!$L:$L,'Raw Data'!$B:$B,$B17,'Raw Data'!$F:$F,"Number of*Transactions",'Raw Data'!$J:$J,M$3,'Raw Data'!$K:$K,"trailing_chart_point",'Raw Data'!$A:$A,DATE(LEFT(M$3,4),RIGHT(M$3,2),1),'Raw Data'!$H:$H,"",'Raw Data'!$I:$I,"")</f>
        <v>9150000</v>
      </c>
      <c r="N17" s="33">
        <f>SUMIFS('Raw Data'!$L:$L,'Raw Data'!$B:$B,$B17,'Raw Data'!$F:$F,"Number of*Transactions",'Raw Data'!$J:$J,N$3,'Raw Data'!$K:$K,"trailing_chart_point",'Raw Data'!$A:$A,DATE(LEFT(N$3,4),RIGHT(N$3,2),1),'Raw Data'!$H:$H,"",'Raw Data'!$I:$I,"")</f>
        <v>9450000</v>
      </c>
      <c r="O17" s="33">
        <f>SUMIFS('Raw Data'!$L:$L,'Raw Data'!$B:$B,$B17,'Raw Data'!$F:$F,"Number of*Transactions",'Raw Data'!$J:$J,O$3,'Raw Data'!$K:$K,"trailing_chart_point",'Raw Data'!$A:$A,DATE(LEFT(O$3,4),RIGHT(O$3,2),1),'Raw Data'!$H:$H,"",'Raw Data'!$I:$I,"")</f>
        <v>9500000</v>
      </c>
      <c r="P17" s="33">
        <f>SUMIFS('Raw Data'!$L:$L,'Raw Data'!$B:$B,$B17,'Raw Data'!$F:$F,"Number of*Transactions",'Raw Data'!$J:$J,P$3,'Raw Data'!$K:$K,"trailing_chart_point",'Raw Data'!$A:$A,DATE(LEFT(P$3,4),RIGHT(P$3,2),1),'Raw Data'!$H:$H,"",'Raw Data'!$I:$I,"")</f>
        <v>10130000</v>
      </c>
      <c r="Q17" s="33">
        <f>SUMIFS('Raw Data'!$L:$L,'Raw Data'!$B:$B,$B17,'Raw Data'!$F:$F,"Number of*Transactions",'Raw Data'!$J:$J,Q$3,'Raw Data'!$K:$K,"trailing_chart_point",'Raw Data'!$A:$A,DATE(LEFT(Q$3,4),RIGHT(Q$3,2),1),'Raw Data'!$H:$H,"",'Raw Data'!$I:$I,"")</f>
        <v>10100000</v>
      </c>
      <c r="R17" s="33">
        <f>SUMIFS('Raw Data'!$L:$L,'Raw Data'!$B:$B,$B17,'Raw Data'!$F:$F,"Number of*Transactions",'Raw Data'!$J:$J,R$3,'Raw Data'!$K:$K,"trailing_chart_point",'Raw Data'!$A:$A,DATE(LEFT(R$3,4),RIGHT(R$3,2),1),'Raw Data'!$H:$H,"",'Raw Data'!$I:$I,"")</f>
        <v>10930000</v>
      </c>
      <c r="S17" s="33">
        <f>SUMIFS('Raw Data'!$L:$L,'Raw Data'!$B:$B,$B17,'Raw Data'!$F:$F,"Number of*Transactions",'Raw Data'!$J:$J,S$3,'Raw Data'!$K:$K,"trailing_chart_point",'Raw Data'!$A:$A,DATE(LEFT(S$3,4),RIGHT(S$3,2),1),'Raw Data'!$H:$H,"",'Raw Data'!$I:$I,"")</f>
        <v>11830000</v>
      </c>
      <c r="T17" s="33">
        <f>SUMIFS('Raw Data'!$L:$L,'Raw Data'!$B:$B,$B17,'Raw Data'!$F:$F,"Number of*Transactions",'Raw Data'!$J:$J,T$3,'Raw Data'!$K:$K,"trailing_chart_point",'Raw Data'!$A:$A,DATE(LEFT(T$3,4),RIGHT(T$3,2),1),'Raw Data'!$H:$H,"",'Raw Data'!$I:$I,"")</f>
        <v>10840000</v>
      </c>
      <c r="U17" s="33">
        <f>SUMIFS('Raw Data'!$L:$L,'Raw Data'!$B:$B,$B17,'Raw Data'!$F:$F,"Number of*Transactions",'Raw Data'!$J:$J,U$3,'Raw Data'!$K:$K,"trailing_chart_point",'Raw Data'!$A:$A,DATE(LEFT(U$3,4),RIGHT(U$3,2),1),'Raw Data'!$H:$H,"",'Raw Data'!$I:$I,"")</f>
        <v>12760000</v>
      </c>
      <c r="V17" s="33">
        <f>SUMIFS('Raw Data'!$L:$L,'Raw Data'!$B:$B,$B17,'Raw Data'!$F:$F,"Number of*Transactions",'Raw Data'!$J:$J,V$3,'Raw Data'!$K:$K,"trailing_chart_point",'Raw Data'!$A:$A,DATE(LEFT(V$3,4),RIGHT(V$3,2),1),'Raw Data'!$H:$H,"",'Raw Data'!$I:$I,"")</f>
        <v>13290000</v>
      </c>
      <c r="W17" s="33">
        <f>SUMIFS('Raw Data'!$L:$L,'Raw Data'!$B:$B,$B17,'Raw Data'!$F:$F,"Number of*Transactions",'Raw Data'!$J:$J,W$3,'Raw Data'!$K:$K,"trailing_chart_point",'Raw Data'!$A:$A,DATE(LEFT(W$3,4),RIGHT(W$3,2),1),'Raw Data'!$H:$H,"",'Raw Data'!$I:$I,"")</f>
        <v>14980000</v>
      </c>
      <c r="X17" s="33">
        <f>SUMIFS('Raw Data'!$L:$L,'Raw Data'!$B:$B,$B17,'Raw Data'!$F:$F,"Number of*Transactions",'Raw Data'!$J:$J,X$3,'Raw Data'!$K:$K,"trailing_chart_point",'Raw Data'!$A:$A,DATE(LEFT(X$3,4),RIGHT(X$3,2),1),'Raw Data'!$H:$H,"",'Raw Data'!$I:$I,"")</f>
        <v>14790000</v>
      </c>
      <c r="Y17" s="33">
        <f>SUMIFS('Raw Data'!$L:$L,'Raw Data'!$B:$B,$B17,'Raw Data'!$F:$F,"Number of*Transactions",'Raw Data'!$J:$J,Y$3,'Raw Data'!$K:$K,"trailing_chart_point",'Raw Data'!$A:$A,DATE(LEFT(Y$3,4),RIGHT(Y$3,2),1),'Raw Data'!$H:$H,"",'Raw Data'!$I:$I,"")</f>
        <v>16840000</v>
      </c>
      <c r="Z17" s="33">
        <f>SUMIFS('Raw Data'!$L:$L,'Raw Data'!$B:$B,$B17,'Raw Data'!$F:$F,"Number of*Transactions",'Raw Data'!$J:$J,Z$3,'Raw Data'!$K:$K,"trailing_chart_point",'Raw Data'!$A:$A,DATE(LEFT(Z$3,4),RIGHT(Z$3,2),1),'Raw Data'!$H:$H,"",'Raw Data'!$I:$I,"")</f>
        <v>14790000</v>
      </c>
    </row>
    <row r="18" spans="1:26" x14ac:dyDescent="0.25">
      <c r="A18" s="10" t="s">
        <v>214</v>
      </c>
      <c r="B18" s="46" t="s">
        <v>217</v>
      </c>
      <c r="C18" s="48">
        <f>SUMIFS('Raw Data'!$L:$L,'Raw Data'!$B:$B,$B18,'Raw Data'!$F:$F,"Number of*Transactions",'Raw Data'!$J:$J,C$3,'Raw Data'!$K:$K,"trailing_chart_point",'Raw Data'!$A:$A,DATE(LEFT(C$3,4),RIGHT(C$3,2),1),'Raw Data'!$H:$H,"",'Raw Data'!$I:$I,"")</f>
        <v>5910000</v>
      </c>
      <c r="D18" s="49">
        <f>SUMIFS('Raw Data'!$L:$L,'Raw Data'!$B:$B,$B18,'Raw Data'!$F:$F,"Number of*Transactions",'Raw Data'!$J:$J,D$3,'Raw Data'!$K:$K,"trailing_chart_point",'Raw Data'!$A:$A,DATE(LEFT(D$3,4),RIGHT(D$3,2),1),'Raw Data'!$H:$H,"",'Raw Data'!$I:$I,"")</f>
        <v>6010000</v>
      </c>
      <c r="E18" s="49">
        <f>SUMIFS('Raw Data'!$L:$L,'Raw Data'!$B:$B,$B18,'Raw Data'!$F:$F,"Number of*Transactions",'Raw Data'!$J:$J,E$3,'Raw Data'!$K:$K,"trailing_chart_point",'Raw Data'!$A:$A,DATE(LEFT(E$3,4),RIGHT(E$3,2),1),'Raw Data'!$H:$H,"",'Raw Data'!$I:$I,"")</f>
        <v>5160000</v>
      </c>
      <c r="F18" s="49">
        <f>SUMIFS('Raw Data'!$L:$L,'Raw Data'!$B:$B,$B18,'Raw Data'!$F:$F,"Number of*Transactions",'Raw Data'!$J:$J,F$3,'Raw Data'!$K:$K,"trailing_chart_point",'Raw Data'!$A:$A,DATE(LEFT(F$3,4),RIGHT(F$3,2),1),'Raw Data'!$H:$H,"",'Raw Data'!$I:$I,"")</f>
        <v>6430000</v>
      </c>
      <c r="G18" s="49">
        <f>SUMIFS('Raw Data'!$L:$L,'Raw Data'!$B:$B,$B18,'Raw Data'!$F:$F,"Number of*Transactions",'Raw Data'!$J:$J,G$3,'Raw Data'!$K:$K,"trailing_chart_point",'Raw Data'!$A:$A,DATE(LEFT(G$3,4),RIGHT(G$3,2),1),'Raw Data'!$H:$H,"",'Raw Data'!$I:$I,"")</f>
        <v>5890000</v>
      </c>
      <c r="H18" s="49">
        <f>SUMIFS('Raw Data'!$L:$L,'Raw Data'!$B:$B,$B18,'Raw Data'!$F:$F,"Number of*Transactions",'Raw Data'!$J:$J,H$3,'Raw Data'!$K:$K,"trailing_chart_point",'Raw Data'!$A:$A,DATE(LEFT(H$3,4),RIGHT(H$3,2),1),'Raw Data'!$H:$H,"",'Raw Data'!$I:$I,"")</f>
        <v>5700000</v>
      </c>
      <c r="I18" s="49">
        <f>SUMIFS('Raw Data'!$L:$L,'Raw Data'!$B:$B,$B18,'Raw Data'!$F:$F,"Number of*Transactions",'Raw Data'!$J:$J,I$3,'Raw Data'!$K:$K,"trailing_chart_point",'Raw Data'!$A:$A,DATE(LEFT(I$3,4),RIGHT(I$3,2),1),'Raw Data'!$H:$H,"",'Raw Data'!$I:$I,"")</f>
        <v>5500000</v>
      </c>
      <c r="J18" s="49">
        <f>SUMIFS('Raw Data'!$L:$L,'Raw Data'!$B:$B,$B18,'Raw Data'!$F:$F,"Number of*Transactions",'Raw Data'!$J:$J,J$3,'Raw Data'!$K:$K,"trailing_chart_point",'Raw Data'!$A:$A,DATE(LEFT(J$3,4),RIGHT(J$3,2),1),'Raw Data'!$H:$H,"",'Raw Data'!$I:$I,"")</f>
        <v>6540000</v>
      </c>
      <c r="K18" s="49">
        <f>SUMIFS('Raw Data'!$L:$L,'Raw Data'!$B:$B,$B18,'Raw Data'!$F:$F,"Number of*Transactions",'Raw Data'!$J:$J,K$3,'Raw Data'!$K:$K,"trailing_chart_point",'Raw Data'!$A:$A,DATE(LEFT(K$3,4),RIGHT(K$3,2),1),'Raw Data'!$H:$H,"",'Raw Data'!$I:$I,"")</f>
        <v>5760000</v>
      </c>
      <c r="L18" s="49">
        <f>SUMIFS('Raw Data'!$L:$L,'Raw Data'!$B:$B,$B18,'Raw Data'!$F:$F,"Number of*Transactions",'Raw Data'!$J:$J,L$3,'Raw Data'!$K:$K,"trailing_chart_point",'Raw Data'!$A:$A,DATE(LEFT(L$3,4),RIGHT(L$3,2),1),'Raw Data'!$H:$H,"",'Raw Data'!$I:$I,"")</f>
        <v>6130000</v>
      </c>
      <c r="M18" s="49">
        <f>SUMIFS('Raw Data'!$L:$L,'Raw Data'!$B:$B,$B18,'Raw Data'!$F:$F,"Number of*Transactions",'Raw Data'!$J:$J,M$3,'Raw Data'!$K:$K,"trailing_chart_point",'Raw Data'!$A:$A,DATE(LEFT(M$3,4),RIGHT(M$3,2),1),'Raw Data'!$H:$H,"",'Raw Data'!$I:$I,"")</f>
        <v>6580000</v>
      </c>
      <c r="N18" s="49">
        <f>SUMIFS('Raw Data'!$L:$L,'Raw Data'!$B:$B,$B18,'Raw Data'!$F:$F,"Number of*Transactions",'Raw Data'!$J:$J,N$3,'Raw Data'!$K:$K,"trailing_chart_point",'Raw Data'!$A:$A,DATE(LEFT(N$3,4),RIGHT(N$3,2),1),'Raw Data'!$H:$H,"",'Raw Data'!$I:$I,"")</f>
        <v>6640000</v>
      </c>
      <c r="O18" s="49">
        <f>SUMIFS('Raw Data'!$L:$L,'Raw Data'!$B:$B,$B18,'Raw Data'!$F:$F,"Number of*Transactions",'Raw Data'!$J:$J,O$3,'Raw Data'!$K:$K,"trailing_chart_point",'Raw Data'!$A:$A,DATE(LEFT(O$3,4),RIGHT(O$3,2),1),'Raw Data'!$H:$H,"",'Raw Data'!$I:$I,"")</f>
        <v>6450000</v>
      </c>
      <c r="P18" s="49">
        <f>SUMIFS('Raw Data'!$L:$L,'Raw Data'!$B:$B,$B18,'Raw Data'!$F:$F,"Number of*Transactions",'Raw Data'!$J:$J,P$3,'Raw Data'!$K:$K,"trailing_chart_point",'Raw Data'!$A:$A,DATE(LEFT(P$3,4),RIGHT(P$3,2),1),'Raw Data'!$H:$H,"",'Raw Data'!$I:$I,"")</f>
        <v>6690000</v>
      </c>
      <c r="Q18" s="49">
        <f>SUMIFS('Raw Data'!$L:$L,'Raw Data'!$B:$B,$B18,'Raw Data'!$F:$F,"Number of*Transactions",'Raw Data'!$J:$J,Q$3,'Raw Data'!$K:$K,"trailing_chart_point",'Raw Data'!$A:$A,DATE(LEFT(Q$3,4),RIGHT(Q$3,2),1),'Raw Data'!$H:$H,"",'Raw Data'!$I:$I,"")</f>
        <v>6520000</v>
      </c>
      <c r="R18" s="49">
        <f>SUMIFS('Raw Data'!$L:$L,'Raw Data'!$B:$B,$B18,'Raw Data'!$F:$F,"Number of*Transactions",'Raw Data'!$J:$J,R$3,'Raw Data'!$K:$K,"trailing_chart_point",'Raw Data'!$A:$A,DATE(LEFT(R$3,4),RIGHT(R$3,2),1),'Raw Data'!$H:$H,"",'Raw Data'!$I:$I,"")</f>
        <v>7030000</v>
      </c>
      <c r="S18" s="49">
        <f>SUMIFS('Raw Data'!$L:$L,'Raw Data'!$B:$B,$B18,'Raw Data'!$F:$F,"Number of*Transactions",'Raw Data'!$J:$J,S$3,'Raw Data'!$K:$K,"trailing_chart_point",'Raw Data'!$A:$A,DATE(LEFT(S$3,4),RIGHT(S$3,2),1),'Raw Data'!$H:$H,"",'Raw Data'!$I:$I,"")</f>
        <v>6530000</v>
      </c>
      <c r="T18" s="49">
        <f>SUMIFS('Raw Data'!$L:$L,'Raw Data'!$B:$B,$B18,'Raw Data'!$F:$F,"Number of*Transactions",'Raw Data'!$J:$J,T$3,'Raw Data'!$K:$K,"trailing_chart_point",'Raw Data'!$A:$A,DATE(LEFT(T$3,4),RIGHT(T$3,2),1),'Raw Data'!$H:$H,"",'Raw Data'!$I:$I,"")</f>
        <v>6580000</v>
      </c>
      <c r="U18" s="49">
        <f>SUMIFS('Raw Data'!$L:$L,'Raw Data'!$B:$B,$B18,'Raw Data'!$F:$F,"Number of*Transactions",'Raw Data'!$J:$J,U$3,'Raw Data'!$K:$K,"trailing_chart_point",'Raw Data'!$A:$A,DATE(LEFT(U$3,4),RIGHT(U$3,2),1),'Raw Data'!$H:$H,"",'Raw Data'!$I:$I,"")</f>
        <v>7360000</v>
      </c>
      <c r="V18" s="49">
        <f>SUMIFS('Raw Data'!$L:$L,'Raw Data'!$B:$B,$B18,'Raw Data'!$F:$F,"Number of*Transactions",'Raw Data'!$J:$J,V$3,'Raw Data'!$K:$K,"trailing_chart_point",'Raw Data'!$A:$A,DATE(LEFT(V$3,4),RIGHT(V$3,2),1),'Raw Data'!$H:$H,"",'Raw Data'!$I:$I,"")</f>
        <v>6590000</v>
      </c>
      <c r="W18" s="49">
        <f>SUMIFS('Raw Data'!$L:$L,'Raw Data'!$B:$B,$B18,'Raw Data'!$F:$F,"Number of*Transactions",'Raw Data'!$J:$J,W$3,'Raw Data'!$K:$K,"trailing_chart_point",'Raw Data'!$A:$A,DATE(LEFT(W$3,4),RIGHT(W$3,2),1),'Raw Data'!$H:$H,"",'Raw Data'!$I:$I,"")</f>
        <v>6860000</v>
      </c>
      <c r="X18" s="49">
        <f>SUMIFS('Raw Data'!$L:$L,'Raw Data'!$B:$B,$B18,'Raw Data'!$F:$F,"Number of*Transactions",'Raw Data'!$J:$J,X$3,'Raw Data'!$K:$K,"trailing_chart_point",'Raw Data'!$A:$A,DATE(LEFT(X$3,4),RIGHT(X$3,2),1),'Raw Data'!$H:$H,"",'Raw Data'!$I:$I,"")</f>
        <v>7060000</v>
      </c>
      <c r="Y18" s="49">
        <f>SUMIFS('Raw Data'!$L:$L,'Raw Data'!$B:$B,$B18,'Raw Data'!$F:$F,"Number of*Transactions",'Raw Data'!$J:$J,Y$3,'Raw Data'!$K:$K,"trailing_chart_point",'Raw Data'!$A:$A,DATE(LEFT(Y$3,4),RIGHT(Y$3,2),1),'Raw Data'!$H:$H,"",'Raw Data'!$I:$I,"")</f>
        <v>7320000</v>
      </c>
      <c r="Z18" s="49">
        <f>SUMIFS('Raw Data'!$L:$L,'Raw Data'!$B:$B,$B18,'Raw Data'!$F:$F,"Number of*Transactions",'Raw Data'!$J:$J,Z$3,'Raw Data'!$K:$K,"trailing_chart_point",'Raw Data'!$A:$A,DATE(LEFT(Z$3,4),RIGHT(Z$3,2),1),'Raw Data'!$H:$H,"",'Raw Data'!$I:$I,"")</f>
        <v>7940000</v>
      </c>
    </row>
    <row r="19" spans="1:26" x14ac:dyDescent="0.25">
      <c r="A19" s="10" t="s">
        <v>214</v>
      </c>
      <c r="B19" s="43" t="s">
        <v>219</v>
      </c>
      <c r="C19" s="44">
        <f>SUMIFS('Raw Data'!$L:$L,'Raw Data'!$B:$B,$B19,'Raw Data'!$F:$F,"Number of*Transactions",'Raw Data'!$J:$J,C$3,'Raw Data'!$K:$K,"trailing_chart_point",'Raw Data'!$A:$A,DATE(LEFT(C$3,4),RIGHT(C$3,2),1),'Raw Data'!$H:$H,"",'Raw Data'!$I:$I,"")</f>
        <v>878000</v>
      </c>
      <c r="D19" s="50">
        <f>SUMIFS('Raw Data'!$L:$L,'Raw Data'!$B:$B,$B19,'Raw Data'!$F:$F,"Number of*Transactions",'Raw Data'!$J:$J,D$3,'Raw Data'!$K:$K,"trailing_chart_point",'Raw Data'!$A:$A,DATE(LEFT(D$3,4),RIGHT(D$3,2),1),'Raw Data'!$H:$H,"",'Raw Data'!$I:$I,"")</f>
        <v>1060000</v>
      </c>
      <c r="E19" s="50">
        <f>SUMIFS('Raw Data'!$L:$L,'Raw Data'!$B:$B,$B19,'Raw Data'!$F:$F,"Number of*Transactions",'Raw Data'!$J:$J,E$3,'Raw Data'!$K:$K,"trailing_chart_point",'Raw Data'!$A:$A,DATE(LEFT(E$3,4),RIGHT(E$3,2),1),'Raw Data'!$H:$H,"",'Raw Data'!$I:$I,"")</f>
        <v>890000</v>
      </c>
      <c r="F19" s="50">
        <f>SUMIFS('Raw Data'!$L:$L,'Raw Data'!$B:$B,$B19,'Raw Data'!$F:$F,"Number of*Transactions",'Raw Data'!$J:$J,F$3,'Raw Data'!$K:$K,"trailing_chart_point",'Raw Data'!$A:$A,DATE(LEFT(F$3,4),RIGHT(F$3,2),1),'Raw Data'!$H:$H,"",'Raw Data'!$I:$I,"")</f>
        <v>1020000</v>
      </c>
      <c r="G19" s="50">
        <f>SUMIFS('Raw Data'!$L:$L,'Raw Data'!$B:$B,$B19,'Raw Data'!$F:$F,"Number of*Transactions",'Raw Data'!$J:$J,G$3,'Raw Data'!$K:$K,"trailing_chart_point",'Raw Data'!$A:$A,DATE(LEFT(G$3,4),RIGHT(G$3,2),1),'Raw Data'!$H:$H,"",'Raw Data'!$I:$I,"")</f>
        <v>940000</v>
      </c>
      <c r="H19" s="50">
        <f>SUMIFS('Raw Data'!$L:$L,'Raw Data'!$B:$B,$B19,'Raw Data'!$F:$F,"Number of*Transactions",'Raw Data'!$J:$J,H$3,'Raw Data'!$K:$K,"trailing_chart_point",'Raw Data'!$A:$A,DATE(LEFT(H$3,4),RIGHT(H$3,2),1),'Raw Data'!$H:$H,"",'Raw Data'!$I:$I,"")</f>
        <v>980000</v>
      </c>
      <c r="I19" s="50">
        <f>SUMIFS('Raw Data'!$L:$L,'Raw Data'!$B:$B,$B19,'Raw Data'!$F:$F,"Number of*Transactions",'Raw Data'!$J:$J,I$3,'Raw Data'!$K:$K,"trailing_chart_point",'Raw Data'!$A:$A,DATE(LEFT(I$3,4),RIGHT(I$3,2),1),'Raw Data'!$H:$H,"",'Raw Data'!$I:$I,"")</f>
        <v>980000</v>
      </c>
      <c r="J19" s="50">
        <f>SUMIFS('Raw Data'!$L:$L,'Raw Data'!$B:$B,$B19,'Raw Data'!$F:$F,"Number of*Transactions",'Raw Data'!$J:$J,J$3,'Raw Data'!$K:$K,"trailing_chart_point",'Raw Data'!$A:$A,DATE(LEFT(J$3,4),RIGHT(J$3,2),1),'Raw Data'!$H:$H,"",'Raw Data'!$I:$I,"")</f>
        <v>930000</v>
      </c>
      <c r="K19" s="50">
        <f>SUMIFS('Raw Data'!$L:$L,'Raw Data'!$B:$B,$B19,'Raw Data'!$F:$F,"Number of*Transactions",'Raw Data'!$J:$J,K$3,'Raw Data'!$K:$K,"trailing_chart_point",'Raw Data'!$A:$A,DATE(LEFT(K$3,4),RIGHT(K$3,2),1),'Raw Data'!$H:$H,"",'Raw Data'!$I:$I,"")</f>
        <v>970000</v>
      </c>
      <c r="L19" s="50">
        <f>SUMIFS('Raw Data'!$L:$L,'Raw Data'!$B:$B,$B19,'Raw Data'!$F:$F,"Number of*Transactions",'Raw Data'!$J:$J,L$3,'Raw Data'!$K:$K,"trailing_chart_point",'Raw Data'!$A:$A,DATE(LEFT(L$3,4),RIGHT(L$3,2),1),'Raw Data'!$H:$H,"",'Raw Data'!$I:$I,"")</f>
        <v>966000</v>
      </c>
      <c r="M19" s="50">
        <f>SUMIFS('Raw Data'!$L:$L,'Raw Data'!$B:$B,$B19,'Raw Data'!$F:$F,"Number of*Transactions",'Raw Data'!$J:$J,M$3,'Raw Data'!$K:$K,"trailing_chart_point",'Raw Data'!$A:$A,DATE(LEFT(M$3,4),RIGHT(M$3,2),1),'Raw Data'!$H:$H,"",'Raw Data'!$I:$I,"")</f>
        <v>1048000</v>
      </c>
      <c r="N19" s="50">
        <f>SUMIFS('Raw Data'!$L:$L,'Raw Data'!$B:$B,$B19,'Raw Data'!$F:$F,"Number of*Transactions",'Raw Data'!$J:$J,N$3,'Raw Data'!$K:$K,"trailing_chart_point",'Raw Data'!$A:$A,DATE(LEFT(N$3,4),RIGHT(N$3,2),1),'Raw Data'!$H:$H,"",'Raw Data'!$I:$I,"")</f>
        <v>1010000</v>
      </c>
      <c r="O19" s="50">
        <f>SUMIFS('Raw Data'!$L:$L,'Raw Data'!$B:$B,$B19,'Raw Data'!$F:$F,"Number of*Transactions",'Raw Data'!$J:$J,O$3,'Raw Data'!$K:$K,"trailing_chart_point",'Raw Data'!$A:$A,DATE(LEFT(O$3,4),RIGHT(O$3,2),1),'Raw Data'!$H:$H,"",'Raw Data'!$I:$I,"")</f>
        <v>1010000</v>
      </c>
      <c r="P19" s="50">
        <f>SUMIFS('Raw Data'!$L:$L,'Raw Data'!$B:$B,$B19,'Raw Data'!$F:$F,"Number of*Transactions",'Raw Data'!$J:$J,P$3,'Raw Data'!$K:$K,"trailing_chart_point",'Raw Data'!$A:$A,DATE(LEFT(P$3,4),RIGHT(P$3,2),1),'Raw Data'!$H:$H,"",'Raw Data'!$I:$I,"")</f>
        <v>1040000</v>
      </c>
      <c r="Q19" s="50">
        <f>SUMIFS('Raw Data'!$L:$L,'Raw Data'!$B:$B,$B19,'Raw Data'!$F:$F,"Number of*Transactions",'Raw Data'!$J:$J,Q$3,'Raw Data'!$K:$K,"trailing_chart_point",'Raw Data'!$A:$A,DATE(LEFT(Q$3,4),RIGHT(Q$3,2),1),'Raw Data'!$H:$H,"",'Raw Data'!$I:$I,"")</f>
        <v>1020000</v>
      </c>
      <c r="R19" s="50">
        <f>SUMIFS('Raw Data'!$L:$L,'Raw Data'!$B:$B,$B19,'Raw Data'!$F:$F,"Number of*Transactions",'Raw Data'!$J:$J,R$3,'Raw Data'!$K:$K,"trailing_chart_point",'Raw Data'!$A:$A,DATE(LEFT(R$3,4),RIGHT(R$3,2),1),'Raw Data'!$H:$H,"",'Raw Data'!$I:$I,"")</f>
        <v>1190000</v>
      </c>
      <c r="S19" s="50">
        <f>SUMIFS('Raw Data'!$L:$L,'Raw Data'!$B:$B,$B19,'Raw Data'!$F:$F,"Number of*Transactions",'Raw Data'!$J:$J,S$3,'Raw Data'!$K:$K,"trailing_chart_point",'Raw Data'!$A:$A,DATE(LEFT(S$3,4),RIGHT(S$3,2),1),'Raw Data'!$H:$H,"",'Raw Data'!$I:$I,"")</f>
        <v>1030000</v>
      </c>
      <c r="T19" s="50">
        <f>SUMIFS('Raw Data'!$L:$L,'Raw Data'!$B:$B,$B19,'Raw Data'!$F:$F,"Number of*Transactions",'Raw Data'!$J:$J,T$3,'Raw Data'!$K:$K,"trailing_chart_point",'Raw Data'!$A:$A,DATE(LEFT(T$3,4),RIGHT(T$3,2),1),'Raw Data'!$H:$H,"",'Raw Data'!$I:$I,"")</f>
        <v>1080000</v>
      </c>
      <c r="U19" s="50">
        <f>SUMIFS('Raw Data'!$L:$L,'Raw Data'!$B:$B,$B19,'Raw Data'!$F:$F,"Number of*Transactions",'Raw Data'!$J:$J,U$3,'Raw Data'!$K:$K,"trailing_chart_point",'Raw Data'!$A:$A,DATE(LEFT(U$3,4),RIGHT(U$3,2),1),'Raw Data'!$H:$H,"",'Raw Data'!$I:$I,"")</f>
        <v>1120000</v>
      </c>
      <c r="V19" s="50">
        <f>SUMIFS('Raw Data'!$L:$L,'Raw Data'!$B:$B,$B19,'Raw Data'!$F:$F,"Number of*Transactions",'Raw Data'!$J:$J,V$3,'Raw Data'!$K:$K,"trailing_chart_point",'Raw Data'!$A:$A,DATE(LEFT(V$3,4),RIGHT(V$3,2),1),'Raw Data'!$H:$H,"",'Raw Data'!$I:$I,"")</f>
        <v>1070000</v>
      </c>
      <c r="W19" s="50">
        <f>SUMIFS('Raw Data'!$L:$L,'Raw Data'!$B:$B,$B19,'Raw Data'!$F:$F,"Number of*Transactions",'Raw Data'!$J:$J,W$3,'Raw Data'!$K:$K,"trailing_chart_point",'Raw Data'!$A:$A,DATE(LEFT(W$3,4),RIGHT(W$3,2),1),'Raw Data'!$H:$H,"",'Raw Data'!$I:$I,"")</f>
        <v>1150000</v>
      </c>
      <c r="X19" s="50">
        <f>SUMIFS('Raw Data'!$L:$L,'Raw Data'!$B:$B,$B19,'Raw Data'!$F:$F,"Number of*Transactions",'Raw Data'!$J:$J,X$3,'Raw Data'!$K:$K,"trailing_chart_point",'Raw Data'!$A:$A,DATE(LEFT(X$3,4),RIGHT(X$3,2),1),'Raw Data'!$H:$H,"",'Raw Data'!$I:$I,"")</f>
        <v>1070000</v>
      </c>
      <c r="Y19" s="50">
        <f>SUMIFS('Raw Data'!$L:$L,'Raw Data'!$B:$B,$B19,'Raw Data'!$F:$F,"Number of*Transactions",'Raw Data'!$J:$J,Y$3,'Raw Data'!$K:$K,"trailing_chart_point",'Raw Data'!$A:$A,DATE(LEFT(Y$3,4),RIGHT(Y$3,2),1),'Raw Data'!$H:$H,"",'Raw Data'!$I:$I,"")</f>
        <v>1080000</v>
      </c>
      <c r="Z19" s="50">
        <f>SUMIFS('Raw Data'!$L:$L,'Raw Data'!$B:$B,$B19,'Raw Data'!$F:$F,"Number of*Transactions",'Raw Data'!$J:$J,Z$3,'Raw Data'!$K:$K,"trailing_chart_point",'Raw Data'!$A:$A,DATE(LEFT(Z$3,4),RIGHT(Z$3,2),1),'Raw Data'!$H:$H,"",'Raw Data'!$I:$I,"")</f>
        <v>1040000</v>
      </c>
    </row>
    <row r="20" spans="1:26" s="60" customFormat="1" x14ac:dyDescent="0.25">
      <c r="A20" s="54" t="s">
        <v>4336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spans="1:26" s="31" customFormat="1" x14ac:dyDescent="0.25">
      <c r="A21" s="10" t="s">
        <v>214</v>
      </c>
      <c r="B21" s="34" t="s">
        <v>4334</v>
      </c>
      <c r="C21" s="38"/>
      <c r="D21" s="38">
        <f>((D15-C15)/C15)*100%</f>
        <v>0.11755607115235886</v>
      </c>
      <c r="E21" s="38">
        <f t="shared" ref="E21" si="27">((E15-D15)/D15)*100%</f>
        <v>6.920415224913495E-3</v>
      </c>
      <c r="F21" s="38">
        <f t="shared" ref="F21:Z21" si="28">((F15-E15)/E15)*100%</f>
        <v>0.11683848797250859</v>
      </c>
      <c r="G21" s="38">
        <f t="shared" si="28"/>
        <v>1.9692307692307693E-2</v>
      </c>
      <c r="H21" s="38">
        <f t="shared" si="28"/>
        <v>-4.7073023536511771E-2</v>
      </c>
      <c r="I21" s="38">
        <f t="shared" si="28"/>
        <v>0.2286257124762508</v>
      </c>
      <c r="J21" s="38">
        <f t="shared" si="28"/>
        <v>-4.5876288659793811E-2</v>
      </c>
      <c r="K21" s="38">
        <f t="shared" si="28"/>
        <v>0.18530524041058888</v>
      </c>
      <c r="L21" s="38">
        <f t="shared" si="28"/>
        <v>-3.9197812215132181E-2</v>
      </c>
      <c r="M21" s="38">
        <f t="shared" si="28"/>
        <v>0.15986717267552183</v>
      </c>
      <c r="N21" s="38">
        <f t="shared" si="28"/>
        <v>3.1492842535787324E-2</v>
      </c>
      <c r="O21" s="38">
        <f t="shared" si="28"/>
        <v>-5.5511498810467885E-3</v>
      </c>
      <c r="P21" s="38">
        <f t="shared" si="28"/>
        <v>6.5390749601275916E-2</v>
      </c>
      <c r="Q21" s="38">
        <f t="shared" si="28"/>
        <v>-1.0104790419161677E-2</v>
      </c>
      <c r="R21" s="38">
        <f t="shared" si="28"/>
        <v>8.1285444234404536E-2</v>
      </c>
      <c r="S21" s="38">
        <f t="shared" si="28"/>
        <v>3.2517482517482516E-2</v>
      </c>
      <c r="T21" s="38">
        <f t="shared" si="28"/>
        <v>-7.1452759905181171E-2</v>
      </c>
      <c r="U21" s="38">
        <f t="shared" si="28"/>
        <v>0.1586433260393873</v>
      </c>
      <c r="V21" s="38">
        <f t="shared" si="28"/>
        <v>2.6754800125904941E-2</v>
      </c>
      <c r="W21" s="38">
        <f t="shared" si="28"/>
        <v>0.11618638871857756</v>
      </c>
      <c r="X21" s="38">
        <f t="shared" si="28"/>
        <v>-1.812688821752266E-2</v>
      </c>
      <c r="Y21" s="38">
        <f t="shared" si="28"/>
        <v>0.11916083916083917</v>
      </c>
      <c r="Z21" s="38">
        <f t="shared" si="28"/>
        <v>-3.0492376905773555E-2</v>
      </c>
    </row>
    <row r="22" spans="1:26" x14ac:dyDescent="0.25">
      <c r="A22" s="10" t="s">
        <v>214</v>
      </c>
      <c r="B22" s="32" t="s">
        <v>215</v>
      </c>
      <c r="C22" s="39"/>
      <c r="D22" s="39">
        <f t="shared" ref="D22:Z22" si="29">((D16-C16)/C16)*100%</f>
        <v>0.12294043092522181</v>
      </c>
      <c r="E22" s="39">
        <f t="shared" si="29"/>
        <v>1.4672686230248307E-2</v>
      </c>
      <c r="F22" s="39">
        <f t="shared" si="29"/>
        <v>0.11234705228031146</v>
      </c>
      <c r="G22" s="39">
        <f t="shared" si="29"/>
        <v>3.2000000000000001E-2</v>
      </c>
      <c r="H22" s="39">
        <f t="shared" si="29"/>
        <v>-4.0697674418604654E-2</v>
      </c>
      <c r="I22" s="39">
        <f t="shared" si="29"/>
        <v>0.22323232323232323</v>
      </c>
      <c r="J22" s="39">
        <f t="shared" si="29"/>
        <v>-4.8720066061106522E-2</v>
      </c>
      <c r="K22" s="39">
        <f t="shared" si="29"/>
        <v>0.19184027777777779</v>
      </c>
      <c r="L22" s="39">
        <f t="shared" si="29"/>
        <v>-4.6613255644573928E-2</v>
      </c>
      <c r="M22" s="39">
        <f t="shared" si="29"/>
        <v>0.16883116883116883</v>
      </c>
      <c r="N22" s="39">
        <f t="shared" si="29"/>
        <v>3.0718954248366011E-2</v>
      </c>
      <c r="O22" s="39">
        <f t="shared" si="29"/>
        <v>-1.2048192771084338E-2</v>
      </c>
      <c r="P22" s="39">
        <f t="shared" si="29"/>
        <v>6.4826700898587927E-2</v>
      </c>
      <c r="Q22" s="39">
        <f t="shared" si="29"/>
        <v>-1.4466546112115732E-2</v>
      </c>
      <c r="R22" s="39">
        <f t="shared" si="29"/>
        <v>8.0733944954128445E-2</v>
      </c>
      <c r="S22" s="39">
        <f t="shared" si="29"/>
        <v>1.697792869269949E-3</v>
      </c>
      <c r="T22" s="39">
        <f t="shared" si="29"/>
        <v>-6.3276836158192087E-2</v>
      </c>
      <c r="U22" s="39">
        <f t="shared" si="29"/>
        <v>0.14656212303980701</v>
      </c>
      <c r="V22" s="39">
        <f t="shared" si="29"/>
        <v>1.6833245660178853E-2</v>
      </c>
      <c r="W22" s="39">
        <f t="shared" si="29"/>
        <v>0.10863942058975685</v>
      </c>
      <c r="X22" s="39">
        <f t="shared" si="29"/>
        <v>-2.1931871208586095E-2</v>
      </c>
      <c r="Y22" s="39">
        <f t="shared" si="29"/>
        <v>0.10543893129770993</v>
      </c>
      <c r="Z22" s="39">
        <f t="shared" si="29"/>
        <v>3.5822183858437634E-2</v>
      </c>
    </row>
    <row r="23" spans="1:26" x14ac:dyDescent="0.25">
      <c r="A23" s="10" t="s">
        <v>214</v>
      </c>
      <c r="B23" s="32" t="s">
        <v>216</v>
      </c>
      <c r="C23" s="39"/>
      <c r="D23" s="39">
        <f t="shared" ref="D23:Z23" si="30">((D17-C17)/C17)*100%</f>
        <v>0.10912698412698413</v>
      </c>
      <c r="E23" s="39">
        <f t="shared" si="30"/>
        <v>-5.3667262969588547E-3</v>
      </c>
      <c r="F23" s="39">
        <f t="shared" si="30"/>
        <v>0.12410071942446044</v>
      </c>
      <c r="G23" s="39">
        <f t="shared" si="30"/>
        <v>0</v>
      </c>
      <c r="H23" s="39">
        <f t="shared" si="30"/>
        <v>-5.7599999999999998E-2</v>
      </c>
      <c r="I23" s="39">
        <f t="shared" si="30"/>
        <v>0.23769100169779286</v>
      </c>
      <c r="J23" s="39">
        <f t="shared" si="30"/>
        <v>-4.1152263374485597E-2</v>
      </c>
      <c r="K23" s="39">
        <f t="shared" si="30"/>
        <v>0.17453505007153075</v>
      </c>
      <c r="L23" s="39">
        <f t="shared" si="30"/>
        <v>-2.679658952496955E-2</v>
      </c>
      <c r="M23" s="39">
        <f t="shared" si="30"/>
        <v>0.14518147684605756</v>
      </c>
      <c r="N23" s="39">
        <f t="shared" si="30"/>
        <v>3.2786885245901641E-2</v>
      </c>
      <c r="O23" s="39">
        <f t="shared" si="30"/>
        <v>5.2910052910052907E-3</v>
      </c>
      <c r="P23" s="39">
        <f t="shared" si="30"/>
        <v>6.6315789473684217E-2</v>
      </c>
      <c r="Q23" s="39">
        <f t="shared" si="30"/>
        <v>-2.9615004935834156E-3</v>
      </c>
      <c r="R23" s="39">
        <f t="shared" si="30"/>
        <v>8.2178217821782182E-2</v>
      </c>
      <c r="S23" s="39">
        <f t="shared" si="30"/>
        <v>8.2342177493138158E-2</v>
      </c>
      <c r="T23" s="39">
        <f t="shared" si="30"/>
        <v>-8.3685545224006758E-2</v>
      </c>
      <c r="U23" s="39">
        <f t="shared" si="30"/>
        <v>0.17712177121771217</v>
      </c>
      <c r="V23" s="39">
        <f t="shared" si="30"/>
        <v>4.1536050156739814E-2</v>
      </c>
      <c r="W23" s="39">
        <f t="shared" si="30"/>
        <v>0.12716328066215199</v>
      </c>
      <c r="X23" s="39">
        <f t="shared" si="30"/>
        <v>-1.2683578104138851E-2</v>
      </c>
      <c r="Y23" s="39">
        <f t="shared" si="30"/>
        <v>0.13860716700473294</v>
      </c>
      <c r="Z23" s="39">
        <f t="shared" si="30"/>
        <v>-0.12173396674584323</v>
      </c>
    </row>
    <row r="24" spans="1:26" x14ac:dyDescent="0.25">
      <c r="A24" s="10" t="s">
        <v>214</v>
      </c>
      <c r="B24" s="46" t="s">
        <v>217</v>
      </c>
      <c r="C24" s="47"/>
      <c r="D24" s="47">
        <f t="shared" ref="D24:F24" si="31">((D18-C18)/C18)*100%</f>
        <v>1.6920473773265651E-2</v>
      </c>
      <c r="E24" s="47">
        <f t="shared" si="31"/>
        <v>-0.14143094841930118</v>
      </c>
      <c r="F24" s="47">
        <f t="shared" si="31"/>
        <v>0.24612403100775193</v>
      </c>
      <c r="G24" s="47">
        <f t="shared" ref="G24:Z24" si="32">((G18-F18)/F18)*100%</f>
        <v>-8.3981337480559873E-2</v>
      </c>
      <c r="H24" s="47">
        <f t="shared" si="32"/>
        <v>-3.2258064516129031E-2</v>
      </c>
      <c r="I24" s="47">
        <f t="shared" si="32"/>
        <v>-3.5087719298245612E-2</v>
      </c>
      <c r="J24" s="47">
        <f t="shared" si="32"/>
        <v>0.18909090909090909</v>
      </c>
      <c r="K24" s="47">
        <f t="shared" si="32"/>
        <v>-0.11926605504587157</v>
      </c>
      <c r="L24" s="47">
        <f t="shared" si="32"/>
        <v>6.4236111111111105E-2</v>
      </c>
      <c r="M24" s="47">
        <f t="shared" si="32"/>
        <v>7.3409461663947795E-2</v>
      </c>
      <c r="N24" s="47">
        <f t="shared" si="32"/>
        <v>9.11854103343465E-3</v>
      </c>
      <c r="O24" s="47">
        <f t="shared" si="32"/>
        <v>-2.86144578313253E-2</v>
      </c>
      <c r="P24" s="47">
        <f t="shared" si="32"/>
        <v>3.7209302325581395E-2</v>
      </c>
      <c r="Q24" s="47">
        <f t="shared" si="32"/>
        <v>-2.5411061285500747E-2</v>
      </c>
      <c r="R24" s="47">
        <f t="shared" si="32"/>
        <v>7.8220858895705528E-2</v>
      </c>
      <c r="S24" s="47">
        <f t="shared" si="32"/>
        <v>-7.1123755334281655E-2</v>
      </c>
      <c r="T24" s="47">
        <f t="shared" si="32"/>
        <v>7.656967840735069E-3</v>
      </c>
      <c r="U24" s="47">
        <f t="shared" si="32"/>
        <v>0.11854103343465046</v>
      </c>
      <c r="V24" s="47">
        <f t="shared" si="32"/>
        <v>-0.10461956521739131</v>
      </c>
      <c r="W24" s="47">
        <f t="shared" si="32"/>
        <v>4.09711684370258E-2</v>
      </c>
      <c r="X24" s="47">
        <f t="shared" si="32"/>
        <v>2.9154518950437316E-2</v>
      </c>
      <c r="Y24" s="47">
        <f t="shared" si="32"/>
        <v>3.6827195467422094E-2</v>
      </c>
      <c r="Z24" s="47">
        <f t="shared" si="32"/>
        <v>8.4699453551912565E-2</v>
      </c>
    </row>
    <row r="25" spans="1:26" x14ac:dyDescent="0.25">
      <c r="A25" s="10" t="s">
        <v>214</v>
      </c>
      <c r="B25" s="43" t="s">
        <v>219</v>
      </c>
      <c r="C25" s="44"/>
      <c r="D25" s="45">
        <f t="shared" ref="D25:E25" si="33">((D19-C19)/C19)*100%</f>
        <v>0.2072892938496583</v>
      </c>
      <c r="E25" s="45">
        <f t="shared" si="33"/>
        <v>-0.16037735849056603</v>
      </c>
      <c r="F25" s="45">
        <f t="shared" ref="F25:Z25" si="34">((F19-E19)/E19)*100%</f>
        <v>0.14606741573033707</v>
      </c>
      <c r="G25" s="45">
        <f t="shared" si="34"/>
        <v>-7.8431372549019607E-2</v>
      </c>
      <c r="H25" s="45">
        <f t="shared" si="34"/>
        <v>4.2553191489361701E-2</v>
      </c>
      <c r="I25" s="45">
        <f t="shared" si="34"/>
        <v>0</v>
      </c>
      <c r="J25" s="45">
        <f t="shared" si="34"/>
        <v>-5.1020408163265307E-2</v>
      </c>
      <c r="K25" s="45">
        <f t="shared" si="34"/>
        <v>4.3010752688172046E-2</v>
      </c>
      <c r="L25" s="45">
        <f t="shared" si="34"/>
        <v>-4.1237113402061857E-3</v>
      </c>
      <c r="M25" s="45">
        <f t="shared" si="34"/>
        <v>8.4886128364389232E-2</v>
      </c>
      <c r="N25" s="45">
        <f t="shared" si="34"/>
        <v>-3.6259541984732822E-2</v>
      </c>
      <c r="O25" s="45">
        <f t="shared" si="34"/>
        <v>0</v>
      </c>
      <c r="P25" s="45">
        <f t="shared" si="34"/>
        <v>2.9702970297029702E-2</v>
      </c>
      <c r="Q25" s="45">
        <f t="shared" si="34"/>
        <v>-1.9230769230769232E-2</v>
      </c>
      <c r="R25" s="45">
        <f t="shared" si="34"/>
        <v>0.16666666666666666</v>
      </c>
      <c r="S25" s="45">
        <f t="shared" si="34"/>
        <v>-0.13445378151260504</v>
      </c>
      <c r="T25" s="45">
        <f t="shared" si="34"/>
        <v>4.8543689320388349E-2</v>
      </c>
      <c r="U25" s="45">
        <f t="shared" si="34"/>
        <v>3.7037037037037035E-2</v>
      </c>
      <c r="V25" s="45">
        <f t="shared" si="34"/>
        <v>-4.4642857142857144E-2</v>
      </c>
      <c r="W25" s="45">
        <f t="shared" si="34"/>
        <v>7.476635514018691E-2</v>
      </c>
      <c r="X25" s="45">
        <f t="shared" si="34"/>
        <v>-6.9565217391304349E-2</v>
      </c>
      <c r="Y25" s="45">
        <f t="shared" si="34"/>
        <v>9.3457943925233638E-3</v>
      </c>
      <c r="Z25" s="45">
        <f t="shared" si="34"/>
        <v>-3.7037037037037035E-2</v>
      </c>
    </row>
    <row r="26" spans="1:26" x14ac:dyDescent="0.25">
      <c r="A26" s="53" t="s">
        <v>220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s="31" customFormat="1" x14ac:dyDescent="0.25">
      <c r="A27" s="10" t="s">
        <v>214</v>
      </c>
      <c r="B27" s="34" t="s">
        <v>4334</v>
      </c>
      <c r="C27" s="35">
        <f>C28+C29</f>
        <v>1587000000</v>
      </c>
      <c r="D27" s="35">
        <f>D28+D29</f>
        <v>1687000000</v>
      </c>
      <c r="E27" s="35">
        <f>E28+E29</f>
        <v>1624000000</v>
      </c>
      <c r="F27" s="35">
        <f>F28+F29</f>
        <v>1823000000</v>
      </c>
      <c r="G27" s="35">
        <f t="shared" ref="G27" si="35">G28+G29</f>
        <v>1799000000</v>
      </c>
      <c r="H27" s="35">
        <f t="shared" ref="H27" si="36">H28+H29</f>
        <v>1711000000</v>
      </c>
      <c r="I27" s="35">
        <f t="shared" ref="I27" si="37">I28+I29</f>
        <v>2098000000</v>
      </c>
      <c r="J27" s="35">
        <f t="shared" ref="J27" si="38">J28+J29</f>
        <v>1949000000</v>
      </c>
      <c r="K27" s="35">
        <f t="shared" ref="K27" si="39">K28+K29</f>
        <v>2183000000</v>
      </c>
      <c r="L27" s="35">
        <f t="shared" ref="L27" si="40">L28+L29</f>
        <v>2125000000</v>
      </c>
      <c r="M27" s="35">
        <f t="shared" ref="M27" si="41">M28+M29</f>
        <v>2448000000</v>
      </c>
      <c r="N27" s="35">
        <f t="shared" ref="N27" si="42">N28+N29</f>
        <v>2453000000</v>
      </c>
      <c r="O27" s="35">
        <f t="shared" ref="O27" si="43">O28+O29</f>
        <v>2429000000</v>
      </c>
      <c r="P27" s="35">
        <f t="shared" ref="P27" si="44">P28+P29</f>
        <v>2415000000</v>
      </c>
      <c r="Q27" s="35">
        <f t="shared" ref="Q27" si="45">Q28+Q29</f>
        <v>2256000000</v>
      </c>
      <c r="R27" s="35">
        <f>R28+R29</f>
        <v>2446000000</v>
      </c>
      <c r="S27" s="35">
        <f>S28+S29</f>
        <v>2484000000</v>
      </c>
      <c r="T27" s="35">
        <f>T28+T29</f>
        <v>2343000000</v>
      </c>
      <c r="U27" s="35">
        <f>U28+U29</f>
        <v>2672000000</v>
      </c>
      <c r="V27" s="35">
        <f t="shared" ref="V27" si="46">V28+V29</f>
        <v>2491000000</v>
      </c>
      <c r="W27" s="35">
        <f t="shared" ref="W27" si="47">W28+W29</f>
        <v>2828000000</v>
      </c>
      <c r="X27" s="35">
        <f t="shared" ref="X27" si="48">X28+X29</f>
        <v>2821000000</v>
      </c>
      <c r="Y27" s="35">
        <f t="shared" ref="Y27" si="49">Y28+Y29</f>
        <v>3092000000</v>
      </c>
      <c r="Z27" s="35">
        <f t="shared" ref="Z27" si="50">Z28+Z29</f>
        <v>3200000000</v>
      </c>
    </row>
    <row r="28" spans="1:26" x14ac:dyDescent="0.25">
      <c r="A28" s="10" t="s">
        <v>214</v>
      </c>
      <c r="B28" s="32" t="s">
        <v>215</v>
      </c>
      <c r="C28" s="33">
        <f>SUMIFS('Raw Data'!$L:$L,'Raw Data'!$B:$B,$B28,'Raw Data'!$F:$F,"Value of*Transactions",'Raw Data'!$J:$J,C$3,'Raw Data'!$K:$K,"trailing_chart_point",'Raw Data'!$A:$A,DATE(LEFT(C$3,4),RIGHT(C$3,2),1),'Raw Data'!$H:$H,"",'Raw Data'!$I:$I,"")</f>
        <v>1140000000</v>
      </c>
      <c r="D28" s="33">
        <f>SUMIFS('Raw Data'!$L:$L,'Raw Data'!$B:$B,$B28,'Raw Data'!$F:$F,"Value of*Transactions",'Raw Data'!$J:$J,D$3,'Raw Data'!$K:$K,"trailing_chart_point",'Raw Data'!$A:$A,DATE(LEFT(D$3,4),RIGHT(D$3,2),1),'Raw Data'!$H:$H,"",'Raw Data'!$I:$I,"")</f>
        <v>1220000000</v>
      </c>
      <c r="E28" s="33">
        <f>SUMIFS('Raw Data'!$L:$L,'Raw Data'!$B:$B,$B28,'Raw Data'!$F:$F,"Value of*Transactions",'Raw Data'!$J:$J,E$3,'Raw Data'!$K:$K,"trailing_chart_point",'Raw Data'!$A:$A,DATE(LEFT(E$3,4),RIGHT(E$3,2),1),'Raw Data'!$H:$H,"",'Raw Data'!$I:$I,"")</f>
        <v>1180000000</v>
      </c>
      <c r="F28" s="33">
        <f>SUMIFS('Raw Data'!$L:$L,'Raw Data'!$B:$B,$B28,'Raw Data'!$F:$F,"Value of*Transactions",'Raw Data'!$J:$J,F$3,'Raw Data'!$K:$K,"trailing_chart_point",'Raw Data'!$A:$A,DATE(LEFT(F$3,4),RIGHT(F$3,2),1),'Raw Data'!$H:$H,"",'Raw Data'!$I:$I,"")</f>
        <v>1330000000</v>
      </c>
      <c r="G28" s="33">
        <f>SUMIFS('Raw Data'!$L:$L,'Raw Data'!$B:$B,$B28,'Raw Data'!$F:$F,"Value of*Transactions",'Raw Data'!$J:$J,G$3,'Raw Data'!$K:$K,"trailing_chart_point",'Raw Data'!$A:$A,DATE(LEFT(G$3,4),RIGHT(G$3,2),1),'Raw Data'!$H:$H,"",'Raw Data'!$I:$I,"")</f>
        <v>1330000000</v>
      </c>
      <c r="H28" s="33">
        <f>SUMIFS('Raw Data'!$L:$L,'Raw Data'!$B:$B,$B28,'Raw Data'!$F:$F,"Value of*Transactions",'Raw Data'!$J:$J,H$3,'Raw Data'!$K:$K,"trailing_chart_point",'Raw Data'!$A:$A,DATE(LEFT(H$3,4),RIGHT(H$3,2),1),'Raw Data'!$H:$H,"",'Raw Data'!$I:$I,"")</f>
        <v>1280000000</v>
      </c>
      <c r="I28" s="33">
        <f>SUMIFS('Raw Data'!$L:$L,'Raw Data'!$B:$B,$B28,'Raw Data'!$F:$F,"Value of*Transactions",'Raw Data'!$J:$J,I$3,'Raw Data'!$K:$K,"trailing_chart_point",'Raw Data'!$A:$A,DATE(LEFT(I$3,4),RIGHT(I$3,2),1),'Raw Data'!$H:$H,"",'Raw Data'!$I:$I,"")</f>
        <v>1560000000</v>
      </c>
      <c r="J28" s="33">
        <f>SUMIFS('Raw Data'!$L:$L,'Raw Data'!$B:$B,$B28,'Raw Data'!$F:$F,"Value of*Transactions",'Raw Data'!$J:$J,J$3,'Raw Data'!$K:$K,"trailing_chart_point",'Raw Data'!$A:$A,DATE(LEFT(J$3,4),RIGHT(J$3,2),1),'Raw Data'!$H:$H,"",'Raw Data'!$I:$I,"")</f>
        <v>1480000000</v>
      </c>
      <c r="K28" s="33">
        <f>SUMIFS('Raw Data'!$L:$L,'Raw Data'!$B:$B,$B28,'Raw Data'!$F:$F,"Value of*Transactions",'Raw Data'!$J:$J,K$3,'Raw Data'!$K:$K,"trailing_chart_point",'Raw Data'!$A:$A,DATE(LEFT(K$3,4),RIGHT(K$3,2),1),'Raw Data'!$H:$H,"",'Raw Data'!$I:$I,"")</f>
        <v>1640000000</v>
      </c>
      <c r="L28" s="33">
        <f>SUMIFS('Raw Data'!$L:$L,'Raw Data'!$B:$B,$B28,'Raw Data'!$F:$F,"Value of*Transactions",'Raw Data'!$J:$J,L$3,'Raw Data'!$K:$K,"trailing_chart_point",'Raw Data'!$A:$A,DATE(LEFT(L$3,4),RIGHT(L$3,2),1),'Raw Data'!$H:$H,"",'Raw Data'!$I:$I,"")</f>
        <v>1600000000</v>
      </c>
      <c r="M28" s="33">
        <f>SUMIFS('Raw Data'!$L:$L,'Raw Data'!$B:$B,$B28,'Raw Data'!$F:$F,"Value of*Transactions",'Raw Data'!$J:$J,M$3,'Raw Data'!$K:$K,"trailing_chart_point",'Raw Data'!$A:$A,DATE(LEFT(M$3,4),RIGHT(M$3,2),1),'Raw Data'!$H:$H,"",'Raw Data'!$I:$I,"")</f>
        <v>1860000000</v>
      </c>
      <c r="N28" s="33">
        <f>SUMIFS('Raw Data'!$L:$L,'Raw Data'!$B:$B,$B28,'Raw Data'!$F:$F,"Value of*Transactions",'Raw Data'!$J:$J,N$3,'Raw Data'!$K:$K,"trailing_chart_point",'Raw Data'!$A:$A,DATE(LEFT(N$3,4),RIGHT(N$3,2),1),'Raw Data'!$H:$H,"",'Raw Data'!$I:$I,"")</f>
        <v>1880000000</v>
      </c>
      <c r="O28" s="33">
        <f>SUMIFS('Raw Data'!$L:$L,'Raw Data'!$B:$B,$B28,'Raw Data'!$F:$F,"Value of*Transactions",'Raw Data'!$J:$J,O$3,'Raw Data'!$K:$K,"trailing_chart_point",'Raw Data'!$A:$A,DATE(LEFT(O$3,4),RIGHT(O$3,2),1),'Raw Data'!$H:$H,"",'Raw Data'!$I:$I,"")</f>
        <v>1870000000</v>
      </c>
      <c r="P28" s="33">
        <f>SUMIFS('Raw Data'!$L:$L,'Raw Data'!$B:$B,$B28,'Raw Data'!$F:$F,"Value of*Transactions",'Raw Data'!$J:$J,P$3,'Raw Data'!$K:$K,"trailing_chart_point",'Raw Data'!$A:$A,DATE(LEFT(P$3,4),RIGHT(P$3,2),1),'Raw Data'!$H:$H,"",'Raw Data'!$I:$I,"")</f>
        <v>1860000000</v>
      </c>
      <c r="Q28" s="33">
        <f>SUMIFS('Raw Data'!$L:$L,'Raw Data'!$B:$B,$B28,'Raw Data'!$F:$F,"Value of*Transactions",'Raw Data'!$J:$J,Q$3,'Raw Data'!$K:$K,"trailing_chart_point",'Raw Data'!$A:$A,DATE(LEFT(Q$3,4),RIGHT(Q$3,2),1),'Raw Data'!$H:$H,"",'Raw Data'!$I:$I,"")</f>
        <v>1730000000</v>
      </c>
      <c r="R28" s="33">
        <f>SUMIFS('Raw Data'!$L:$L,'Raw Data'!$B:$B,$B28,'Raw Data'!$F:$F,"Value of*Transactions",'Raw Data'!$J:$J,R$3,'Raw Data'!$K:$K,"trailing_chart_point",'Raw Data'!$A:$A,DATE(LEFT(R$3,4),RIGHT(R$3,2),1),'Raw Data'!$H:$H,"",'Raw Data'!$I:$I,"")</f>
        <v>1880000000</v>
      </c>
      <c r="S28" s="33">
        <f>SUMIFS('Raw Data'!$L:$L,'Raw Data'!$B:$B,$B28,'Raw Data'!$F:$F,"Value of*Transactions",'Raw Data'!$J:$J,S$3,'Raw Data'!$K:$K,"trailing_chart_point",'Raw Data'!$A:$A,DATE(LEFT(S$3,4),RIGHT(S$3,2),1),'Raw Data'!$H:$H,"",'Raw Data'!$I:$I,"")</f>
        <v>1900000000</v>
      </c>
      <c r="T28" s="33">
        <f>SUMIFS('Raw Data'!$L:$L,'Raw Data'!$B:$B,$B28,'Raw Data'!$F:$F,"Value of*Transactions",'Raw Data'!$J:$J,T$3,'Raw Data'!$K:$K,"trailing_chart_point",'Raw Data'!$A:$A,DATE(LEFT(T$3,4),RIGHT(T$3,2),1),'Raw Data'!$H:$H,"",'Raw Data'!$I:$I,"")</f>
        <v>1790000000</v>
      </c>
      <c r="U28" s="33">
        <f>SUMIFS('Raw Data'!$L:$L,'Raw Data'!$B:$B,$B28,'Raw Data'!$F:$F,"Value of*Transactions",'Raw Data'!$J:$J,U$3,'Raw Data'!$K:$K,"trailing_chart_point",'Raw Data'!$A:$A,DATE(LEFT(U$3,4),RIGHT(U$3,2),1),'Raw Data'!$H:$H,"",'Raw Data'!$I:$I,"")</f>
        <v>2020000000</v>
      </c>
      <c r="V28" s="33">
        <f>SUMIFS('Raw Data'!$L:$L,'Raw Data'!$B:$B,$B28,'Raw Data'!$F:$F,"Value of*Transactions",'Raw Data'!$J:$J,V$3,'Raw Data'!$K:$K,"trailing_chart_point",'Raw Data'!$A:$A,DATE(LEFT(V$3,4),RIGHT(V$3,2),1),'Raw Data'!$H:$H,"",'Raw Data'!$I:$I,"")</f>
        <v>1890000000</v>
      </c>
      <c r="W28" s="33">
        <f>SUMIFS('Raw Data'!$L:$L,'Raw Data'!$B:$B,$B28,'Raw Data'!$F:$F,"Value of*Transactions",'Raw Data'!$J:$J,W$3,'Raw Data'!$K:$K,"trailing_chart_point",'Raw Data'!$A:$A,DATE(LEFT(W$3,4),RIGHT(W$3,2),1),'Raw Data'!$H:$H,"",'Raw Data'!$I:$I,"")</f>
        <v>2130000000</v>
      </c>
      <c r="X28" s="33">
        <f>SUMIFS('Raw Data'!$L:$L,'Raw Data'!$B:$B,$B28,'Raw Data'!$F:$F,"Value of*Transactions",'Raw Data'!$J:$J,X$3,'Raw Data'!$K:$K,"trailing_chart_point",'Raw Data'!$A:$A,DATE(LEFT(X$3,4),RIGHT(X$3,2),1),'Raw Data'!$H:$H,"",'Raw Data'!$I:$I,"")</f>
        <v>2150000000</v>
      </c>
      <c r="Y28" s="33">
        <f>SUMIFS('Raw Data'!$L:$L,'Raw Data'!$B:$B,$B28,'Raw Data'!$F:$F,"Value of*Transactions",'Raw Data'!$J:$J,Y$3,'Raw Data'!$K:$K,"trailing_chart_point",'Raw Data'!$A:$A,DATE(LEFT(Y$3,4),RIGHT(Y$3,2),1),'Raw Data'!$H:$H,"",'Raw Data'!$I:$I,"")</f>
        <v>2340000000</v>
      </c>
      <c r="Z28" s="33">
        <f>SUMIFS('Raw Data'!$L:$L,'Raw Data'!$B:$B,$B28,'Raw Data'!$F:$F,"Value of*Transactions",'Raw Data'!$J:$J,Z$3,'Raw Data'!$K:$K,"trailing_chart_point",'Raw Data'!$A:$A,DATE(LEFT(Z$3,4),RIGHT(Z$3,2),1),'Raw Data'!$H:$H,"",'Raw Data'!$I:$I,"")</f>
        <v>2430000000</v>
      </c>
    </row>
    <row r="29" spans="1:26" x14ac:dyDescent="0.25">
      <c r="A29" s="10" t="s">
        <v>214</v>
      </c>
      <c r="B29" s="32" t="s">
        <v>216</v>
      </c>
      <c r="C29" s="33">
        <f>SUMIFS('Raw Data'!$L:$L,'Raw Data'!$B:$B,$B29,'Raw Data'!$F:$F,"Value of*Transactions",'Raw Data'!$J:$J,C$3,'Raw Data'!$K:$K,"trailing_chart_point",'Raw Data'!$A:$A,DATE(LEFT(C$3,4),RIGHT(C$3,2),1),'Raw Data'!$H:$H,"",'Raw Data'!$I:$I,"")</f>
        <v>447000000</v>
      </c>
      <c r="D29" s="33">
        <f>SUMIFS('Raw Data'!$L:$L,'Raw Data'!$B:$B,$B29,'Raw Data'!$F:$F,"Value of*Transactions",'Raw Data'!$J:$J,D$3,'Raw Data'!$K:$K,"trailing_chart_point",'Raw Data'!$A:$A,DATE(LEFT(D$3,4),RIGHT(D$3,2),1),'Raw Data'!$H:$H,"",'Raw Data'!$I:$I,"")</f>
        <v>467000000</v>
      </c>
      <c r="E29" s="33">
        <f>SUMIFS('Raw Data'!$L:$L,'Raw Data'!$B:$B,$B29,'Raw Data'!$F:$F,"Value of*Transactions",'Raw Data'!$J:$J,E$3,'Raw Data'!$K:$K,"trailing_chart_point",'Raw Data'!$A:$A,DATE(LEFT(E$3,4),RIGHT(E$3,2),1),'Raw Data'!$H:$H,"",'Raw Data'!$I:$I,"")</f>
        <v>444000000</v>
      </c>
      <c r="F29" s="33">
        <f>SUMIFS('Raw Data'!$L:$L,'Raw Data'!$B:$B,$B29,'Raw Data'!$F:$F,"Value of*Transactions",'Raw Data'!$J:$J,F$3,'Raw Data'!$K:$K,"trailing_chart_point",'Raw Data'!$A:$A,DATE(LEFT(F$3,4),RIGHT(F$3,2),1),'Raw Data'!$H:$H,"",'Raw Data'!$I:$I,"")</f>
        <v>493000000</v>
      </c>
      <c r="G29" s="33">
        <f>SUMIFS('Raw Data'!$L:$L,'Raw Data'!$B:$B,$B29,'Raw Data'!$F:$F,"Value of*Transactions",'Raw Data'!$J:$J,G$3,'Raw Data'!$K:$K,"trailing_chart_point",'Raw Data'!$A:$A,DATE(LEFT(G$3,4),RIGHT(G$3,2),1),'Raw Data'!$H:$H,"",'Raw Data'!$I:$I,"")</f>
        <v>469000000</v>
      </c>
      <c r="H29" s="33">
        <f>SUMIFS('Raw Data'!$L:$L,'Raw Data'!$B:$B,$B29,'Raw Data'!$F:$F,"Value of*Transactions",'Raw Data'!$J:$J,H$3,'Raw Data'!$K:$K,"trailing_chart_point",'Raw Data'!$A:$A,DATE(LEFT(H$3,4),RIGHT(H$3,2),1),'Raw Data'!$H:$H,"",'Raw Data'!$I:$I,"")</f>
        <v>431000000</v>
      </c>
      <c r="I29" s="33">
        <f>SUMIFS('Raw Data'!$L:$L,'Raw Data'!$B:$B,$B29,'Raw Data'!$F:$F,"Value of*Transactions",'Raw Data'!$J:$J,I$3,'Raw Data'!$K:$K,"trailing_chart_point",'Raw Data'!$A:$A,DATE(LEFT(I$3,4),RIGHT(I$3,2),1),'Raw Data'!$H:$H,"",'Raw Data'!$I:$I,"")</f>
        <v>538000000</v>
      </c>
      <c r="J29" s="33">
        <f>SUMIFS('Raw Data'!$L:$L,'Raw Data'!$B:$B,$B29,'Raw Data'!$F:$F,"Value of*Transactions",'Raw Data'!$J:$J,J$3,'Raw Data'!$K:$K,"trailing_chart_point",'Raw Data'!$A:$A,DATE(LEFT(J$3,4),RIGHT(J$3,2),1),'Raw Data'!$H:$H,"",'Raw Data'!$I:$I,"")</f>
        <v>469000000</v>
      </c>
      <c r="K29" s="33">
        <f>SUMIFS('Raw Data'!$L:$L,'Raw Data'!$B:$B,$B29,'Raw Data'!$F:$F,"Value of*Transactions",'Raw Data'!$J:$J,K$3,'Raw Data'!$K:$K,"trailing_chart_point",'Raw Data'!$A:$A,DATE(LEFT(K$3,4),RIGHT(K$3,2),1),'Raw Data'!$H:$H,"",'Raw Data'!$I:$I,"")</f>
        <v>543000000</v>
      </c>
      <c r="L29" s="33">
        <f>SUMIFS('Raw Data'!$L:$L,'Raw Data'!$B:$B,$B29,'Raw Data'!$F:$F,"Value of*Transactions",'Raw Data'!$J:$J,L$3,'Raw Data'!$K:$K,"trailing_chart_point",'Raw Data'!$A:$A,DATE(LEFT(L$3,4),RIGHT(L$3,2),1),'Raw Data'!$H:$H,"",'Raw Data'!$I:$I,"")</f>
        <v>525000000</v>
      </c>
      <c r="M29" s="33">
        <f>SUMIFS('Raw Data'!$L:$L,'Raw Data'!$B:$B,$B29,'Raw Data'!$F:$F,"Value of*Transactions",'Raw Data'!$J:$J,M$3,'Raw Data'!$K:$K,"trailing_chart_point",'Raw Data'!$A:$A,DATE(LEFT(M$3,4),RIGHT(M$3,2),1),'Raw Data'!$H:$H,"",'Raw Data'!$I:$I,"")</f>
        <v>588000000</v>
      </c>
      <c r="N29" s="33">
        <f>SUMIFS('Raw Data'!$L:$L,'Raw Data'!$B:$B,$B29,'Raw Data'!$F:$F,"Value of*Transactions",'Raw Data'!$J:$J,N$3,'Raw Data'!$K:$K,"trailing_chart_point",'Raw Data'!$A:$A,DATE(LEFT(N$3,4),RIGHT(N$3,2),1),'Raw Data'!$H:$H,"",'Raw Data'!$I:$I,"")</f>
        <v>573000000</v>
      </c>
      <c r="O29" s="33">
        <f>SUMIFS('Raw Data'!$L:$L,'Raw Data'!$B:$B,$B29,'Raw Data'!$F:$F,"Value of*Transactions",'Raw Data'!$J:$J,O$3,'Raw Data'!$K:$K,"trailing_chart_point",'Raw Data'!$A:$A,DATE(LEFT(O$3,4),RIGHT(O$3,2),1),'Raw Data'!$H:$H,"",'Raw Data'!$I:$I,"")</f>
        <v>559000000</v>
      </c>
      <c r="P29" s="33">
        <f>SUMIFS('Raw Data'!$L:$L,'Raw Data'!$B:$B,$B29,'Raw Data'!$F:$F,"Value of*Transactions",'Raw Data'!$J:$J,P$3,'Raw Data'!$K:$K,"trailing_chart_point",'Raw Data'!$A:$A,DATE(LEFT(P$3,4),RIGHT(P$3,2),1),'Raw Data'!$H:$H,"",'Raw Data'!$I:$I,"")</f>
        <v>555000000</v>
      </c>
      <c r="Q29" s="33">
        <f>SUMIFS('Raw Data'!$L:$L,'Raw Data'!$B:$B,$B29,'Raw Data'!$F:$F,"Value of*Transactions",'Raw Data'!$J:$J,Q$3,'Raw Data'!$K:$K,"trailing_chart_point",'Raw Data'!$A:$A,DATE(LEFT(Q$3,4),RIGHT(Q$3,2),1),'Raw Data'!$H:$H,"",'Raw Data'!$I:$I,"")</f>
        <v>526000000</v>
      </c>
      <c r="R29" s="33">
        <f>SUMIFS('Raw Data'!$L:$L,'Raw Data'!$B:$B,$B29,'Raw Data'!$F:$F,"Value of*Transactions",'Raw Data'!$J:$J,R$3,'Raw Data'!$K:$K,"trailing_chart_point",'Raw Data'!$A:$A,DATE(LEFT(R$3,4),RIGHT(R$3,2),1),'Raw Data'!$H:$H,"",'Raw Data'!$I:$I,"")</f>
        <v>566000000</v>
      </c>
      <c r="S29" s="33">
        <f>SUMIFS('Raw Data'!$L:$L,'Raw Data'!$B:$B,$B29,'Raw Data'!$F:$F,"Value of*Transactions",'Raw Data'!$J:$J,S$3,'Raw Data'!$K:$K,"trailing_chart_point",'Raw Data'!$A:$A,DATE(LEFT(S$3,4),RIGHT(S$3,2),1),'Raw Data'!$H:$H,"",'Raw Data'!$I:$I,"")</f>
        <v>584000000</v>
      </c>
      <c r="T29" s="33">
        <f>SUMIFS('Raw Data'!$L:$L,'Raw Data'!$B:$B,$B29,'Raw Data'!$F:$F,"Value of*Transactions",'Raw Data'!$J:$J,T$3,'Raw Data'!$K:$K,"trailing_chart_point",'Raw Data'!$A:$A,DATE(LEFT(T$3,4),RIGHT(T$3,2),1),'Raw Data'!$H:$H,"",'Raw Data'!$I:$I,"")</f>
        <v>553000000</v>
      </c>
      <c r="U29" s="33">
        <f>SUMIFS('Raw Data'!$L:$L,'Raw Data'!$B:$B,$B29,'Raw Data'!$F:$F,"Value of*Transactions",'Raw Data'!$J:$J,U$3,'Raw Data'!$K:$K,"trailing_chart_point",'Raw Data'!$A:$A,DATE(LEFT(U$3,4),RIGHT(U$3,2),1),'Raw Data'!$H:$H,"",'Raw Data'!$I:$I,"")</f>
        <v>652000000</v>
      </c>
      <c r="V29" s="33">
        <f>SUMIFS('Raw Data'!$L:$L,'Raw Data'!$B:$B,$B29,'Raw Data'!$F:$F,"Value of*Transactions",'Raw Data'!$J:$J,V$3,'Raw Data'!$K:$K,"trailing_chart_point",'Raw Data'!$A:$A,DATE(LEFT(V$3,4),RIGHT(V$3,2),1),'Raw Data'!$H:$H,"",'Raw Data'!$I:$I,"")</f>
        <v>601000000</v>
      </c>
      <c r="W29" s="33">
        <f>SUMIFS('Raw Data'!$L:$L,'Raw Data'!$B:$B,$B29,'Raw Data'!$F:$F,"Value of*Transactions",'Raw Data'!$J:$J,W$3,'Raw Data'!$K:$K,"trailing_chart_point",'Raw Data'!$A:$A,DATE(LEFT(W$3,4),RIGHT(W$3,2),1),'Raw Data'!$H:$H,"",'Raw Data'!$I:$I,"")</f>
        <v>698000000</v>
      </c>
      <c r="X29" s="33">
        <f>SUMIFS('Raw Data'!$L:$L,'Raw Data'!$B:$B,$B29,'Raw Data'!$F:$F,"Value of*Transactions",'Raw Data'!$J:$J,X$3,'Raw Data'!$K:$K,"trailing_chart_point",'Raw Data'!$A:$A,DATE(LEFT(X$3,4),RIGHT(X$3,2),1),'Raw Data'!$H:$H,"",'Raw Data'!$I:$I,"")</f>
        <v>671000000</v>
      </c>
      <c r="Y29" s="33">
        <f>SUMIFS('Raw Data'!$L:$L,'Raw Data'!$B:$B,$B29,'Raw Data'!$F:$F,"Value of*Transactions",'Raw Data'!$J:$J,Y$3,'Raw Data'!$K:$K,"trailing_chart_point",'Raw Data'!$A:$A,DATE(LEFT(Y$3,4),RIGHT(Y$3,2),1),'Raw Data'!$H:$H,"",'Raw Data'!$I:$I,"")</f>
        <v>752000000</v>
      </c>
      <c r="Z29" s="33">
        <f>SUMIFS('Raw Data'!$L:$L,'Raw Data'!$B:$B,$B29,'Raw Data'!$F:$F,"Value of*Transactions",'Raw Data'!$J:$J,Z$3,'Raw Data'!$K:$K,"trailing_chart_point",'Raw Data'!$A:$A,DATE(LEFT(Z$3,4),RIGHT(Z$3,2),1),'Raw Data'!$H:$H,"",'Raw Data'!$I:$I,"")</f>
        <v>770000000</v>
      </c>
    </row>
    <row r="30" spans="1:26" x14ac:dyDescent="0.25">
      <c r="A30" s="10" t="s">
        <v>214</v>
      </c>
      <c r="B30" s="46" t="s">
        <v>217</v>
      </c>
      <c r="C30" s="48">
        <f>SUMIFS('Raw Data'!$L:$L,'Raw Data'!$B:$B,$B30,'Raw Data'!$F:$F,"Value of*Transactions",'Raw Data'!$J:$J,C$3,'Raw Data'!$K:$K,"trailing_chart_point",'Raw Data'!$A:$A,DATE(LEFT(C$3,4),RIGHT(C$3,2),1),'Raw Data'!$H:$H,"",'Raw Data'!$I:$I,"")</f>
        <v>1210000000</v>
      </c>
      <c r="D30" s="49">
        <f>SUMIFS('Raw Data'!$L:$L,'Raw Data'!$B:$B,$B30,'Raw Data'!$F:$F,"Value of*Transactions",'Raw Data'!$J:$J,D$3,'Raw Data'!$K:$K,"trailing_chart_point",'Raw Data'!$A:$A,DATE(LEFT(D$3,4),RIGHT(D$3,2),1),'Raw Data'!$H:$H,"",'Raw Data'!$I:$I,"")</f>
        <v>1110000000</v>
      </c>
      <c r="E30" s="49">
        <f>SUMIFS('Raw Data'!$L:$L,'Raw Data'!$B:$B,$B30,'Raw Data'!$F:$F,"Value of*Transactions",'Raw Data'!$J:$J,E$3,'Raw Data'!$K:$K,"trailing_chart_point",'Raw Data'!$A:$A,DATE(LEFT(E$3,4),RIGHT(E$3,2),1),'Raw Data'!$H:$H,"",'Raw Data'!$I:$I,"")</f>
        <v>970000000</v>
      </c>
      <c r="F30" s="49">
        <f>SUMIFS('Raw Data'!$L:$L,'Raw Data'!$B:$B,$B30,'Raw Data'!$F:$F,"Value of*Transactions",'Raw Data'!$J:$J,F$3,'Raw Data'!$K:$K,"trailing_chart_point",'Raw Data'!$A:$A,DATE(LEFT(F$3,4),RIGHT(F$3,2),1),'Raw Data'!$H:$H,"",'Raw Data'!$I:$I,"")</f>
        <v>1340000000</v>
      </c>
      <c r="G30" s="49">
        <f>SUMIFS('Raw Data'!$L:$L,'Raw Data'!$B:$B,$B30,'Raw Data'!$F:$F,"Value of*Transactions",'Raw Data'!$J:$J,G$3,'Raw Data'!$K:$K,"trailing_chart_point",'Raw Data'!$A:$A,DATE(LEFT(G$3,4),RIGHT(G$3,2),1),'Raw Data'!$H:$H,"",'Raw Data'!$I:$I,"")</f>
        <v>1350000000</v>
      </c>
      <c r="H30" s="49">
        <f>SUMIFS('Raw Data'!$L:$L,'Raw Data'!$B:$B,$B30,'Raw Data'!$F:$F,"Value of*Transactions",'Raw Data'!$J:$J,H$3,'Raw Data'!$K:$K,"trailing_chart_point",'Raw Data'!$A:$A,DATE(LEFT(H$3,4),RIGHT(H$3,2),1),'Raw Data'!$H:$H,"",'Raw Data'!$I:$I,"")</f>
        <v>1190000000</v>
      </c>
      <c r="I30" s="49">
        <f>SUMIFS('Raw Data'!$L:$L,'Raw Data'!$B:$B,$B30,'Raw Data'!$F:$F,"Value of*Transactions",'Raw Data'!$J:$J,I$3,'Raw Data'!$K:$K,"trailing_chart_point",'Raw Data'!$A:$A,DATE(LEFT(I$3,4),RIGHT(I$3,2),1),'Raw Data'!$H:$H,"",'Raw Data'!$I:$I,"")</f>
        <v>1130000000</v>
      </c>
      <c r="J30" s="49">
        <f>SUMIFS('Raw Data'!$L:$L,'Raw Data'!$B:$B,$B30,'Raw Data'!$F:$F,"Value of*Transactions",'Raw Data'!$J:$J,J$3,'Raw Data'!$K:$K,"trailing_chart_point",'Raw Data'!$A:$A,DATE(LEFT(J$3,4),RIGHT(J$3,2),1),'Raw Data'!$H:$H,"",'Raw Data'!$I:$I,"")</f>
        <v>1570000000</v>
      </c>
      <c r="K30" s="49">
        <f>SUMIFS('Raw Data'!$L:$L,'Raw Data'!$B:$B,$B30,'Raw Data'!$F:$F,"Value of*Transactions",'Raw Data'!$J:$J,K$3,'Raw Data'!$K:$K,"trailing_chart_point",'Raw Data'!$A:$A,DATE(LEFT(K$3,4),RIGHT(K$3,2),1),'Raw Data'!$H:$H,"",'Raw Data'!$I:$I,"")</f>
        <v>1130000000</v>
      </c>
      <c r="L30" s="49">
        <f>SUMIFS('Raw Data'!$L:$L,'Raw Data'!$B:$B,$B30,'Raw Data'!$F:$F,"Value of*Transactions",'Raw Data'!$J:$J,L$3,'Raw Data'!$K:$K,"trailing_chart_point",'Raw Data'!$A:$A,DATE(LEFT(L$3,4),RIGHT(L$3,2),1),'Raw Data'!$H:$H,"",'Raw Data'!$I:$I,"")</f>
        <v>1130000000</v>
      </c>
      <c r="M30" s="49">
        <f>SUMIFS('Raw Data'!$L:$L,'Raw Data'!$B:$B,$B30,'Raw Data'!$F:$F,"Value of*Transactions",'Raw Data'!$J:$J,M$3,'Raw Data'!$K:$K,"trailing_chart_point",'Raw Data'!$A:$A,DATE(LEFT(M$3,4),RIGHT(M$3,2),1),'Raw Data'!$H:$H,"",'Raw Data'!$I:$I,"")</f>
        <v>1400000000</v>
      </c>
      <c r="N30" s="49">
        <f>SUMIFS('Raw Data'!$L:$L,'Raw Data'!$B:$B,$B30,'Raw Data'!$F:$F,"Value of*Transactions",'Raw Data'!$J:$J,N$3,'Raw Data'!$K:$K,"trailing_chart_point",'Raw Data'!$A:$A,DATE(LEFT(N$3,4),RIGHT(N$3,2),1),'Raw Data'!$H:$H,"",'Raw Data'!$I:$I,"")</f>
        <v>1280000000</v>
      </c>
      <c r="O30" s="49">
        <f>SUMIFS('Raw Data'!$L:$L,'Raw Data'!$B:$B,$B30,'Raw Data'!$F:$F,"Value of*Transactions",'Raw Data'!$J:$J,O$3,'Raw Data'!$K:$K,"trailing_chart_point",'Raw Data'!$A:$A,DATE(LEFT(O$3,4),RIGHT(O$3,2),1),'Raw Data'!$H:$H,"",'Raw Data'!$I:$I,"")</f>
        <v>1400000000</v>
      </c>
      <c r="P30" s="49">
        <f>SUMIFS('Raw Data'!$L:$L,'Raw Data'!$B:$B,$B30,'Raw Data'!$F:$F,"Value of*Transactions",'Raw Data'!$J:$J,P$3,'Raw Data'!$K:$K,"trailing_chart_point",'Raw Data'!$A:$A,DATE(LEFT(P$3,4),RIGHT(P$3,2),1),'Raw Data'!$H:$H,"",'Raw Data'!$I:$I,"")</f>
        <v>1420000000</v>
      </c>
      <c r="Q30" s="49">
        <f>SUMIFS('Raw Data'!$L:$L,'Raw Data'!$B:$B,$B30,'Raw Data'!$F:$F,"Value of*Transactions",'Raw Data'!$J:$J,Q$3,'Raw Data'!$K:$K,"trailing_chart_point",'Raw Data'!$A:$A,DATE(LEFT(Q$3,4),RIGHT(Q$3,2),1),'Raw Data'!$H:$H,"",'Raw Data'!$I:$I,"")</f>
        <v>1410000000</v>
      </c>
      <c r="R30" s="49">
        <f>SUMIFS('Raw Data'!$L:$L,'Raw Data'!$B:$B,$B30,'Raw Data'!$F:$F,"Value of*Transactions",'Raw Data'!$J:$J,R$3,'Raw Data'!$K:$K,"trailing_chart_point",'Raw Data'!$A:$A,DATE(LEFT(R$3,4),RIGHT(R$3,2),1),'Raw Data'!$H:$H,"",'Raw Data'!$I:$I,"")</f>
        <v>1600000000</v>
      </c>
      <c r="S30" s="49">
        <f>SUMIFS('Raw Data'!$L:$L,'Raw Data'!$B:$B,$B30,'Raw Data'!$F:$F,"Value of*Transactions",'Raw Data'!$J:$J,S$3,'Raw Data'!$K:$K,"trailing_chart_point",'Raw Data'!$A:$A,DATE(LEFT(S$3,4),RIGHT(S$3,2),1),'Raw Data'!$H:$H,"",'Raw Data'!$I:$I,"")</f>
        <v>1390000000</v>
      </c>
      <c r="T30" s="49">
        <f>SUMIFS('Raw Data'!$L:$L,'Raw Data'!$B:$B,$B30,'Raw Data'!$F:$F,"Value of*Transactions",'Raw Data'!$J:$J,T$3,'Raw Data'!$K:$K,"trailing_chart_point",'Raw Data'!$A:$A,DATE(LEFT(T$3,4),RIGHT(T$3,2),1),'Raw Data'!$H:$H,"",'Raw Data'!$I:$I,"")</f>
        <v>1240000000</v>
      </c>
      <c r="U30" s="49">
        <f>SUMIFS('Raw Data'!$L:$L,'Raw Data'!$B:$B,$B30,'Raw Data'!$F:$F,"Value of*Transactions",'Raw Data'!$J:$J,U$3,'Raw Data'!$K:$K,"trailing_chart_point",'Raw Data'!$A:$A,DATE(LEFT(U$3,4),RIGHT(U$3,2),1),'Raw Data'!$H:$H,"",'Raw Data'!$I:$I,"")</f>
        <v>1260000000</v>
      </c>
      <c r="V30" s="49">
        <f>SUMIFS('Raw Data'!$L:$L,'Raw Data'!$B:$B,$B30,'Raw Data'!$F:$F,"Value of*Transactions",'Raw Data'!$J:$J,V$3,'Raw Data'!$K:$K,"trailing_chart_point",'Raw Data'!$A:$A,DATE(LEFT(V$3,4),RIGHT(V$3,2),1),'Raw Data'!$H:$H,"",'Raw Data'!$I:$I,"")</f>
        <v>1430000000</v>
      </c>
      <c r="W30" s="49">
        <f>SUMIFS('Raw Data'!$L:$L,'Raw Data'!$B:$B,$B30,'Raw Data'!$F:$F,"Value of*Transactions",'Raw Data'!$J:$J,W$3,'Raw Data'!$K:$K,"trailing_chart_point",'Raw Data'!$A:$A,DATE(LEFT(W$3,4),RIGHT(W$3,2),1),'Raw Data'!$H:$H,"",'Raw Data'!$I:$I,"")</f>
        <v>1190000000</v>
      </c>
      <c r="X30" s="49">
        <f>SUMIFS('Raw Data'!$L:$L,'Raw Data'!$B:$B,$B30,'Raw Data'!$F:$F,"Value of*Transactions",'Raw Data'!$J:$J,X$3,'Raw Data'!$K:$K,"trailing_chart_point",'Raw Data'!$A:$A,DATE(LEFT(X$3,4),RIGHT(X$3,2),1),'Raw Data'!$H:$H,"",'Raw Data'!$I:$I,"")</f>
        <v>1260000000</v>
      </c>
      <c r="Y30" s="49">
        <f>SUMIFS('Raw Data'!$L:$L,'Raw Data'!$B:$B,$B30,'Raw Data'!$F:$F,"Value of*Transactions",'Raw Data'!$J:$J,Y$3,'Raw Data'!$K:$K,"trailing_chart_point",'Raw Data'!$A:$A,DATE(LEFT(Y$3,4),RIGHT(Y$3,2),1),'Raw Data'!$H:$H,"",'Raw Data'!$I:$I,"")</f>
        <v>1410000000</v>
      </c>
      <c r="Z30" s="49">
        <f>SUMIFS('Raw Data'!$L:$L,'Raw Data'!$B:$B,$B30,'Raw Data'!$F:$F,"Value of*Transactions",'Raw Data'!$J:$J,Z$3,'Raw Data'!$K:$K,"trailing_chart_point",'Raw Data'!$A:$A,DATE(LEFT(Z$3,4),RIGHT(Z$3,2),1),'Raw Data'!$H:$H,"",'Raw Data'!$I:$I,"")</f>
        <v>1350000000</v>
      </c>
    </row>
    <row r="31" spans="1:26" x14ac:dyDescent="0.25">
      <c r="A31" s="10" t="s">
        <v>214</v>
      </c>
      <c r="B31" s="43" t="s">
        <v>219</v>
      </c>
      <c r="C31" s="44">
        <f>SUMIFS('Raw Data'!$L:$L,'Raw Data'!$B:$B,$B31,'Raw Data'!$F:$F,"Value of*Transactions",'Raw Data'!$J:$J,C$3,'Raw Data'!$K:$K,"trailing_chart_point",'Raw Data'!$A:$A,DATE(LEFT(C$3,4),RIGHT(C$3,2),1),'Raw Data'!$H:$H,"",'Raw Data'!$I:$I,"")</f>
        <v>753000000</v>
      </c>
      <c r="D31" s="50">
        <f>SUMIFS('Raw Data'!$L:$L,'Raw Data'!$B:$B,$B31,'Raw Data'!$F:$F,"Value of*Transactions",'Raw Data'!$J:$J,D$3,'Raw Data'!$K:$K,"trailing_chart_point",'Raw Data'!$A:$A,DATE(LEFT(D$3,4),RIGHT(D$3,2),1),'Raw Data'!$H:$H,"",'Raw Data'!$I:$I,"")</f>
        <v>831000000</v>
      </c>
      <c r="E31" s="50">
        <f>SUMIFS('Raw Data'!$L:$L,'Raw Data'!$B:$B,$B31,'Raw Data'!$F:$F,"Value of*Transactions",'Raw Data'!$J:$J,E$3,'Raw Data'!$K:$K,"trailing_chart_point",'Raw Data'!$A:$A,DATE(LEFT(E$3,4),RIGHT(E$3,2),1),'Raw Data'!$H:$H,"",'Raw Data'!$I:$I,"")</f>
        <v>715000000</v>
      </c>
      <c r="F31" s="50">
        <f>SUMIFS('Raw Data'!$L:$L,'Raw Data'!$B:$B,$B31,'Raw Data'!$F:$F,"Value of*Transactions",'Raw Data'!$J:$J,F$3,'Raw Data'!$K:$K,"trailing_chart_point",'Raw Data'!$A:$A,DATE(LEFT(F$3,4),RIGHT(F$3,2),1),'Raw Data'!$H:$H,"",'Raw Data'!$I:$I,"")</f>
        <v>870000000</v>
      </c>
      <c r="G31" s="50">
        <f>SUMIFS('Raw Data'!$L:$L,'Raw Data'!$B:$B,$B31,'Raw Data'!$F:$F,"Value of*Transactions",'Raw Data'!$J:$J,G$3,'Raw Data'!$K:$K,"trailing_chart_point",'Raw Data'!$A:$A,DATE(LEFT(G$3,4),RIGHT(G$3,2),1),'Raw Data'!$H:$H,"",'Raw Data'!$I:$I,"")</f>
        <v>767000000</v>
      </c>
      <c r="H31" s="50">
        <f>SUMIFS('Raw Data'!$L:$L,'Raw Data'!$B:$B,$B31,'Raw Data'!$F:$F,"Value of*Transactions",'Raw Data'!$J:$J,H$3,'Raw Data'!$K:$K,"trailing_chart_point",'Raw Data'!$A:$A,DATE(LEFT(H$3,4),RIGHT(H$3,2),1),'Raw Data'!$H:$H,"",'Raw Data'!$I:$I,"")</f>
        <v>783000000</v>
      </c>
      <c r="I31" s="50">
        <f>SUMIFS('Raw Data'!$L:$L,'Raw Data'!$B:$B,$B31,'Raw Data'!$F:$F,"Value of*Transactions",'Raw Data'!$J:$J,I$3,'Raw Data'!$K:$K,"trailing_chart_point",'Raw Data'!$A:$A,DATE(LEFT(I$3,4),RIGHT(I$3,2),1),'Raw Data'!$H:$H,"",'Raw Data'!$I:$I,"")</f>
        <v>865000000</v>
      </c>
      <c r="J31" s="50">
        <f>SUMIFS('Raw Data'!$L:$L,'Raw Data'!$B:$B,$B31,'Raw Data'!$F:$F,"Value of*Transactions",'Raw Data'!$J:$J,J$3,'Raw Data'!$K:$K,"trailing_chart_point",'Raw Data'!$A:$A,DATE(LEFT(J$3,4),RIGHT(J$3,2),1),'Raw Data'!$H:$H,"",'Raw Data'!$I:$I,"")</f>
        <v>782000000</v>
      </c>
      <c r="K31" s="50">
        <f>SUMIFS('Raw Data'!$L:$L,'Raw Data'!$B:$B,$B31,'Raw Data'!$F:$F,"Value of*Transactions",'Raw Data'!$J:$J,K$3,'Raw Data'!$K:$K,"trailing_chart_point",'Raw Data'!$A:$A,DATE(LEFT(K$3,4),RIGHT(K$3,2),1),'Raw Data'!$H:$H,"",'Raw Data'!$I:$I,"")</f>
        <v>792000000</v>
      </c>
      <c r="L31" s="50">
        <f>SUMIFS('Raw Data'!$L:$L,'Raw Data'!$B:$B,$B31,'Raw Data'!$F:$F,"Value of*Transactions",'Raw Data'!$J:$J,L$3,'Raw Data'!$K:$K,"trailing_chart_point",'Raw Data'!$A:$A,DATE(LEFT(L$3,4),RIGHT(L$3,2),1),'Raw Data'!$H:$H,"",'Raw Data'!$I:$I,"")</f>
        <v>780000000</v>
      </c>
      <c r="M31" s="50">
        <f>SUMIFS('Raw Data'!$L:$L,'Raw Data'!$B:$B,$B31,'Raw Data'!$F:$F,"Value of*Transactions",'Raw Data'!$J:$J,M$3,'Raw Data'!$K:$K,"trailing_chart_point",'Raw Data'!$A:$A,DATE(LEFT(M$3,4),RIGHT(M$3,2),1),'Raw Data'!$H:$H,"",'Raw Data'!$I:$I,"")</f>
        <v>903000000</v>
      </c>
      <c r="N31" s="50">
        <f>SUMIFS('Raw Data'!$L:$L,'Raw Data'!$B:$B,$B31,'Raw Data'!$F:$F,"Value of*Transactions",'Raw Data'!$J:$J,N$3,'Raw Data'!$K:$K,"trailing_chart_point",'Raw Data'!$A:$A,DATE(LEFT(N$3,4),RIGHT(N$3,2),1),'Raw Data'!$H:$H,"",'Raw Data'!$I:$I,"")</f>
        <v>849000000</v>
      </c>
      <c r="O31" s="50">
        <f>SUMIFS('Raw Data'!$L:$L,'Raw Data'!$B:$B,$B31,'Raw Data'!$F:$F,"Value of*Transactions",'Raw Data'!$J:$J,O$3,'Raw Data'!$K:$K,"trailing_chart_point",'Raw Data'!$A:$A,DATE(LEFT(O$3,4),RIGHT(O$3,2),1),'Raw Data'!$H:$H,"",'Raw Data'!$I:$I,"")</f>
        <v>858000000</v>
      </c>
      <c r="P31" s="50">
        <f>SUMIFS('Raw Data'!$L:$L,'Raw Data'!$B:$B,$B31,'Raw Data'!$F:$F,"Value of*Transactions",'Raw Data'!$J:$J,P$3,'Raw Data'!$K:$K,"trailing_chart_point",'Raw Data'!$A:$A,DATE(LEFT(P$3,4),RIGHT(P$3,2),1),'Raw Data'!$H:$H,"",'Raw Data'!$I:$I,"")</f>
        <v>872000000</v>
      </c>
      <c r="Q31" s="50">
        <f>SUMIFS('Raw Data'!$L:$L,'Raw Data'!$B:$B,$B31,'Raw Data'!$F:$F,"Value of*Transactions",'Raw Data'!$J:$J,Q$3,'Raw Data'!$K:$K,"trailing_chart_point",'Raw Data'!$A:$A,DATE(LEFT(Q$3,4),RIGHT(Q$3,2),1),'Raw Data'!$H:$H,"",'Raw Data'!$I:$I,"")</f>
        <v>818000000</v>
      </c>
      <c r="R31" s="50">
        <f>SUMIFS('Raw Data'!$L:$L,'Raw Data'!$B:$B,$B31,'Raw Data'!$F:$F,"Value of*Transactions",'Raw Data'!$J:$J,R$3,'Raw Data'!$K:$K,"trailing_chart_point",'Raw Data'!$A:$A,DATE(LEFT(R$3,4),RIGHT(R$3,2),1),'Raw Data'!$H:$H,"",'Raw Data'!$I:$I,"")</f>
        <v>939000000</v>
      </c>
      <c r="S31" s="50">
        <f>SUMIFS('Raw Data'!$L:$L,'Raw Data'!$B:$B,$B31,'Raw Data'!$F:$F,"Value of*Transactions",'Raw Data'!$J:$J,S$3,'Raw Data'!$K:$K,"trailing_chart_point",'Raw Data'!$A:$A,DATE(LEFT(S$3,4),RIGHT(S$3,2),1),'Raw Data'!$H:$H,"",'Raw Data'!$I:$I,"")</f>
        <v>862000000</v>
      </c>
      <c r="T31" s="50">
        <f>SUMIFS('Raw Data'!$L:$L,'Raw Data'!$B:$B,$B31,'Raw Data'!$F:$F,"Value of*Transactions",'Raw Data'!$J:$J,T$3,'Raw Data'!$K:$K,"trailing_chart_point",'Raw Data'!$A:$A,DATE(LEFT(T$3,4),RIGHT(T$3,2),1),'Raw Data'!$H:$H,"",'Raw Data'!$I:$I,"")</f>
        <v>886000000</v>
      </c>
      <c r="U31" s="50">
        <f>SUMIFS('Raw Data'!$L:$L,'Raw Data'!$B:$B,$B31,'Raw Data'!$F:$F,"Value of*Transactions",'Raw Data'!$J:$J,U$3,'Raw Data'!$K:$K,"trailing_chart_point",'Raw Data'!$A:$A,DATE(LEFT(U$3,4),RIGHT(U$3,2),1),'Raw Data'!$H:$H,"",'Raw Data'!$I:$I,"")</f>
        <v>937000000</v>
      </c>
      <c r="V31" s="50">
        <f>SUMIFS('Raw Data'!$L:$L,'Raw Data'!$B:$B,$B31,'Raw Data'!$F:$F,"Value of*Transactions",'Raw Data'!$J:$J,V$3,'Raw Data'!$K:$K,"trailing_chart_point",'Raw Data'!$A:$A,DATE(LEFT(V$3,4),RIGHT(V$3,2),1),'Raw Data'!$H:$H,"",'Raw Data'!$I:$I,"")</f>
        <v>896000000</v>
      </c>
      <c r="W31" s="50">
        <f>SUMIFS('Raw Data'!$L:$L,'Raw Data'!$B:$B,$B31,'Raw Data'!$F:$F,"Value of*Transactions",'Raw Data'!$J:$J,W$3,'Raw Data'!$K:$K,"trailing_chart_point",'Raw Data'!$A:$A,DATE(LEFT(W$3,4),RIGHT(W$3,2),1),'Raw Data'!$H:$H,"",'Raw Data'!$I:$I,"")</f>
        <v>908000000</v>
      </c>
      <c r="X31" s="50">
        <f>SUMIFS('Raw Data'!$L:$L,'Raw Data'!$B:$B,$B31,'Raw Data'!$F:$F,"Value of*Transactions",'Raw Data'!$J:$J,X$3,'Raw Data'!$K:$K,"trailing_chart_point",'Raw Data'!$A:$A,DATE(LEFT(X$3,4),RIGHT(X$3,2),1),'Raw Data'!$H:$H,"",'Raw Data'!$I:$I,"")</f>
        <v>943000000</v>
      </c>
      <c r="Y31" s="50">
        <f>SUMIFS('Raw Data'!$L:$L,'Raw Data'!$B:$B,$B31,'Raw Data'!$F:$F,"Value of*Transactions",'Raw Data'!$J:$J,Y$3,'Raw Data'!$K:$K,"trailing_chart_point",'Raw Data'!$A:$A,DATE(LEFT(Y$3,4),RIGHT(Y$3,2),1),'Raw Data'!$H:$H,"",'Raw Data'!$I:$I,"")</f>
        <v>949000000</v>
      </c>
      <c r="Z31" s="50">
        <f>SUMIFS('Raw Data'!$L:$L,'Raw Data'!$B:$B,$B31,'Raw Data'!$F:$F,"Value of*Transactions",'Raw Data'!$J:$J,Z$3,'Raw Data'!$K:$K,"trailing_chart_point",'Raw Data'!$A:$A,DATE(LEFT(Z$3,4),RIGHT(Z$3,2),1),'Raw Data'!$H:$H,"",'Raw Data'!$I:$I,"")</f>
        <v>939000000</v>
      </c>
    </row>
    <row r="32" spans="1:26" s="61" customFormat="1" x14ac:dyDescent="0.25">
      <c r="A32" s="51" t="s">
        <v>220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spans="1:27" s="31" customFormat="1" x14ac:dyDescent="0.25">
      <c r="A33" s="10" t="s">
        <v>214</v>
      </c>
      <c r="B33" s="34" t="s">
        <v>4334</v>
      </c>
      <c r="C33" s="38"/>
      <c r="D33" s="38">
        <f t="shared" ref="D33:Z33" si="51">((D27-C27)/C27)*100%</f>
        <v>6.3011972274732195E-2</v>
      </c>
      <c r="E33" s="38">
        <f t="shared" si="51"/>
        <v>-3.7344398340248962E-2</v>
      </c>
      <c r="F33" s="38">
        <f t="shared" si="51"/>
        <v>0.12253694581280788</v>
      </c>
      <c r="G33" s="38">
        <f t="shared" si="51"/>
        <v>-1.3165112452002194E-2</v>
      </c>
      <c r="H33" s="38">
        <f t="shared" si="51"/>
        <v>-4.8916064480266815E-2</v>
      </c>
      <c r="I33" s="38">
        <f t="shared" si="51"/>
        <v>0.22618351841028639</v>
      </c>
      <c r="J33" s="38">
        <f t="shared" si="51"/>
        <v>-7.1020019065776929E-2</v>
      </c>
      <c r="K33" s="38">
        <f t="shared" si="51"/>
        <v>0.12006157003591586</v>
      </c>
      <c r="L33" s="38">
        <f t="shared" si="51"/>
        <v>-2.656894182317911E-2</v>
      </c>
      <c r="M33" s="38">
        <f t="shared" si="51"/>
        <v>0.152</v>
      </c>
      <c r="N33" s="38">
        <f t="shared" si="51"/>
        <v>2.0424836601307191E-3</v>
      </c>
      <c r="O33" s="38">
        <f t="shared" si="51"/>
        <v>-9.7839380350591108E-3</v>
      </c>
      <c r="P33" s="38">
        <f t="shared" si="51"/>
        <v>-5.763688760806916E-3</v>
      </c>
      <c r="Q33" s="38">
        <f t="shared" si="51"/>
        <v>-6.5838509316770183E-2</v>
      </c>
      <c r="R33" s="38">
        <f t="shared" si="51"/>
        <v>8.4219858156028365E-2</v>
      </c>
      <c r="S33" s="38">
        <f t="shared" si="51"/>
        <v>1.5535568274734259E-2</v>
      </c>
      <c r="T33" s="38">
        <f t="shared" si="51"/>
        <v>-5.6763285024154592E-2</v>
      </c>
      <c r="U33" s="38">
        <f t="shared" si="51"/>
        <v>0.14041826717883055</v>
      </c>
      <c r="V33" s="38">
        <f t="shared" si="51"/>
        <v>-6.7739520958083832E-2</v>
      </c>
      <c r="W33" s="38">
        <f t="shared" si="51"/>
        <v>0.13528703331995182</v>
      </c>
      <c r="X33" s="38">
        <f t="shared" si="51"/>
        <v>-2.4752475247524753E-3</v>
      </c>
      <c r="Y33" s="38">
        <f t="shared" si="51"/>
        <v>9.6065225097483165E-2</v>
      </c>
      <c r="Z33" s="38">
        <f t="shared" si="51"/>
        <v>3.4928848641655887E-2</v>
      </c>
      <c r="AA33" s="42"/>
    </row>
    <row r="34" spans="1:27" x14ac:dyDescent="0.25">
      <c r="A34" s="10" t="s">
        <v>214</v>
      </c>
      <c r="B34" s="32" t="s">
        <v>215</v>
      </c>
      <c r="C34" s="39"/>
      <c r="D34" s="39">
        <f t="shared" ref="D34:Z34" si="52">((D28-C28)/C28)*100%</f>
        <v>7.0175438596491224E-2</v>
      </c>
      <c r="E34" s="39">
        <f t="shared" si="52"/>
        <v>-3.2786885245901641E-2</v>
      </c>
      <c r="F34" s="39">
        <f t="shared" si="52"/>
        <v>0.1271186440677966</v>
      </c>
      <c r="G34" s="39">
        <f t="shared" si="52"/>
        <v>0</v>
      </c>
      <c r="H34" s="39">
        <f t="shared" si="52"/>
        <v>-3.7593984962406013E-2</v>
      </c>
      <c r="I34" s="39">
        <f t="shared" si="52"/>
        <v>0.21875</v>
      </c>
      <c r="J34" s="39">
        <f t="shared" si="52"/>
        <v>-5.128205128205128E-2</v>
      </c>
      <c r="K34" s="39">
        <f t="shared" si="52"/>
        <v>0.10810810810810811</v>
      </c>
      <c r="L34" s="39">
        <f t="shared" si="52"/>
        <v>-2.4390243902439025E-2</v>
      </c>
      <c r="M34" s="39">
        <f t="shared" si="52"/>
        <v>0.16250000000000001</v>
      </c>
      <c r="N34" s="39">
        <f t="shared" si="52"/>
        <v>1.0752688172043012E-2</v>
      </c>
      <c r="O34" s="39">
        <f t="shared" si="52"/>
        <v>-5.3191489361702126E-3</v>
      </c>
      <c r="P34" s="39">
        <f t="shared" si="52"/>
        <v>-5.3475935828877002E-3</v>
      </c>
      <c r="Q34" s="39">
        <f t="shared" si="52"/>
        <v>-6.9892473118279563E-2</v>
      </c>
      <c r="R34" s="39">
        <f t="shared" si="52"/>
        <v>8.6705202312138727E-2</v>
      </c>
      <c r="S34" s="39">
        <f t="shared" si="52"/>
        <v>1.0638297872340425E-2</v>
      </c>
      <c r="T34" s="39">
        <f t="shared" si="52"/>
        <v>-5.7894736842105263E-2</v>
      </c>
      <c r="U34" s="39">
        <f t="shared" si="52"/>
        <v>0.12849162011173185</v>
      </c>
      <c r="V34" s="39">
        <f t="shared" si="52"/>
        <v>-6.4356435643564358E-2</v>
      </c>
      <c r="W34" s="39">
        <f t="shared" si="52"/>
        <v>0.12698412698412698</v>
      </c>
      <c r="X34" s="39">
        <f t="shared" si="52"/>
        <v>9.3896713615023476E-3</v>
      </c>
      <c r="Y34" s="39">
        <f t="shared" si="52"/>
        <v>8.8372093023255813E-2</v>
      </c>
      <c r="Z34" s="39">
        <f t="shared" si="52"/>
        <v>3.8461538461538464E-2</v>
      </c>
      <c r="AA34" s="42"/>
    </row>
    <row r="35" spans="1:27" x14ac:dyDescent="0.25">
      <c r="A35" s="10" t="s">
        <v>214</v>
      </c>
      <c r="B35" s="32" t="s">
        <v>216</v>
      </c>
      <c r="C35" s="39"/>
      <c r="D35" s="39">
        <f t="shared" ref="D35:Z35" si="53">((D29-C29)/C29)*100%</f>
        <v>4.4742729306487698E-2</v>
      </c>
      <c r="E35" s="39">
        <f t="shared" si="53"/>
        <v>-4.9250535331905779E-2</v>
      </c>
      <c r="F35" s="39">
        <f t="shared" si="53"/>
        <v>0.11036036036036036</v>
      </c>
      <c r="G35" s="39">
        <f t="shared" si="53"/>
        <v>-4.8681541582150101E-2</v>
      </c>
      <c r="H35" s="39">
        <f t="shared" si="53"/>
        <v>-8.1023454157782518E-2</v>
      </c>
      <c r="I35" s="39">
        <f t="shared" si="53"/>
        <v>0.24825986078886311</v>
      </c>
      <c r="J35" s="39">
        <f t="shared" si="53"/>
        <v>-0.12825278810408922</v>
      </c>
      <c r="K35" s="39">
        <f t="shared" si="53"/>
        <v>0.15778251599147122</v>
      </c>
      <c r="L35" s="39">
        <f t="shared" si="53"/>
        <v>-3.3149171270718231E-2</v>
      </c>
      <c r="M35" s="39">
        <f t="shared" si="53"/>
        <v>0.12</v>
      </c>
      <c r="N35" s="39">
        <f t="shared" si="53"/>
        <v>-2.5510204081632654E-2</v>
      </c>
      <c r="O35" s="39">
        <f t="shared" si="53"/>
        <v>-2.4432809773123908E-2</v>
      </c>
      <c r="P35" s="39">
        <f t="shared" si="53"/>
        <v>-7.1556350626118068E-3</v>
      </c>
      <c r="Q35" s="39">
        <f t="shared" si="53"/>
        <v>-5.2252252252252253E-2</v>
      </c>
      <c r="R35" s="39">
        <f t="shared" si="53"/>
        <v>7.6045627376425853E-2</v>
      </c>
      <c r="S35" s="39">
        <f t="shared" si="53"/>
        <v>3.1802120141342753E-2</v>
      </c>
      <c r="T35" s="39">
        <f t="shared" si="53"/>
        <v>-5.3082191780821915E-2</v>
      </c>
      <c r="U35" s="39">
        <f t="shared" si="53"/>
        <v>0.17902350813743217</v>
      </c>
      <c r="V35" s="39">
        <f t="shared" si="53"/>
        <v>-7.8220858895705528E-2</v>
      </c>
      <c r="W35" s="39">
        <f t="shared" si="53"/>
        <v>0.16139767054908485</v>
      </c>
      <c r="X35" s="39">
        <f t="shared" si="53"/>
        <v>-3.8681948424068767E-2</v>
      </c>
      <c r="Y35" s="39">
        <f t="shared" si="53"/>
        <v>0.12071535022354694</v>
      </c>
      <c r="Z35" s="39">
        <f t="shared" si="53"/>
        <v>2.3936170212765957E-2</v>
      </c>
      <c r="AA35" s="42"/>
    </row>
    <row r="36" spans="1:27" x14ac:dyDescent="0.25">
      <c r="A36" s="10" t="s">
        <v>214</v>
      </c>
      <c r="B36" s="46" t="s">
        <v>217</v>
      </c>
      <c r="C36" s="47"/>
      <c r="D36" s="47">
        <f t="shared" ref="D36:Z36" si="54">((D30-C30)/C30)*100%</f>
        <v>-8.2644628099173556E-2</v>
      </c>
      <c r="E36" s="47">
        <f t="shared" si="54"/>
        <v>-0.12612612612612611</v>
      </c>
      <c r="F36" s="47">
        <f t="shared" si="54"/>
        <v>0.38144329896907214</v>
      </c>
      <c r="G36" s="47">
        <f t="shared" si="54"/>
        <v>7.462686567164179E-3</v>
      </c>
      <c r="H36" s="47">
        <f t="shared" si="54"/>
        <v>-0.11851851851851852</v>
      </c>
      <c r="I36" s="47">
        <f t="shared" si="54"/>
        <v>-5.0420168067226892E-2</v>
      </c>
      <c r="J36" s="47">
        <f t="shared" si="54"/>
        <v>0.38938053097345132</v>
      </c>
      <c r="K36" s="47">
        <f t="shared" si="54"/>
        <v>-0.28025477707006369</v>
      </c>
      <c r="L36" s="47">
        <f t="shared" si="54"/>
        <v>0</v>
      </c>
      <c r="M36" s="47">
        <f t="shared" si="54"/>
        <v>0.23893805309734514</v>
      </c>
      <c r="N36" s="47">
        <f t="shared" si="54"/>
        <v>-8.5714285714285715E-2</v>
      </c>
      <c r="O36" s="47">
        <f t="shared" si="54"/>
        <v>9.375E-2</v>
      </c>
      <c r="P36" s="47">
        <f t="shared" si="54"/>
        <v>1.4285714285714285E-2</v>
      </c>
      <c r="Q36" s="47">
        <f t="shared" si="54"/>
        <v>-7.0422535211267607E-3</v>
      </c>
      <c r="R36" s="47">
        <f t="shared" si="54"/>
        <v>0.13475177304964539</v>
      </c>
      <c r="S36" s="47">
        <f t="shared" si="54"/>
        <v>-0.13125000000000001</v>
      </c>
      <c r="T36" s="47">
        <f t="shared" si="54"/>
        <v>-0.1079136690647482</v>
      </c>
      <c r="U36" s="47">
        <f t="shared" si="54"/>
        <v>1.6129032258064516E-2</v>
      </c>
      <c r="V36" s="47">
        <f t="shared" si="54"/>
        <v>0.13492063492063491</v>
      </c>
      <c r="W36" s="47">
        <f t="shared" si="54"/>
        <v>-0.16783216783216784</v>
      </c>
      <c r="X36" s="47">
        <f t="shared" si="54"/>
        <v>5.8823529411764705E-2</v>
      </c>
      <c r="Y36" s="47">
        <f t="shared" si="54"/>
        <v>0.11904761904761904</v>
      </c>
      <c r="Z36" s="47">
        <f t="shared" si="54"/>
        <v>-4.2553191489361701E-2</v>
      </c>
      <c r="AA36" s="42"/>
    </row>
    <row r="37" spans="1:27" x14ac:dyDescent="0.25">
      <c r="A37" s="10" t="s">
        <v>214</v>
      </c>
      <c r="B37" s="43" t="s">
        <v>219</v>
      </c>
      <c r="C37" s="44"/>
      <c r="D37" s="45">
        <f t="shared" ref="D37:Z37" si="55">((D31-C31)/C31)*100%</f>
        <v>0.10358565737051793</v>
      </c>
      <c r="E37" s="45">
        <f t="shared" si="55"/>
        <v>-0.13959085439229843</v>
      </c>
      <c r="F37" s="45">
        <f t="shared" si="55"/>
        <v>0.21678321678321677</v>
      </c>
      <c r="G37" s="45">
        <f t="shared" si="55"/>
        <v>-0.11839080459770115</v>
      </c>
      <c r="H37" s="45">
        <f t="shared" si="55"/>
        <v>2.0860495436766623E-2</v>
      </c>
      <c r="I37" s="45">
        <f t="shared" si="55"/>
        <v>0.10472541507024266</v>
      </c>
      <c r="J37" s="45">
        <f t="shared" si="55"/>
        <v>-9.595375722543352E-2</v>
      </c>
      <c r="K37" s="45">
        <f t="shared" si="55"/>
        <v>1.278772378516624E-2</v>
      </c>
      <c r="L37" s="45">
        <f t="shared" si="55"/>
        <v>-1.5151515151515152E-2</v>
      </c>
      <c r="M37" s="45">
        <f t="shared" si="55"/>
        <v>0.15769230769230769</v>
      </c>
      <c r="N37" s="45">
        <f t="shared" si="55"/>
        <v>-5.9800664451827246E-2</v>
      </c>
      <c r="O37" s="45">
        <f t="shared" si="55"/>
        <v>1.0600706713780919E-2</v>
      </c>
      <c r="P37" s="45">
        <f t="shared" si="55"/>
        <v>1.6317016317016316E-2</v>
      </c>
      <c r="Q37" s="45">
        <f t="shared" si="55"/>
        <v>-6.1926605504587159E-2</v>
      </c>
      <c r="R37" s="45">
        <f t="shared" si="55"/>
        <v>0.14792176039119803</v>
      </c>
      <c r="S37" s="45">
        <f t="shared" si="55"/>
        <v>-8.200212992545261E-2</v>
      </c>
      <c r="T37" s="45">
        <f t="shared" si="55"/>
        <v>2.7842227378190254E-2</v>
      </c>
      <c r="U37" s="45">
        <f t="shared" si="55"/>
        <v>5.7562076749435663E-2</v>
      </c>
      <c r="V37" s="45">
        <f t="shared" si="55"/>
        <v>-4.3756670224119533E-2</v>
      </c>
      <c r="W37" s="45">
        <f t="shared" si="55"/>
        <v>1.3392857142857142E-2</v>
      </c>
      <c r="X37" s="45">
        <f t="shared" si="55"/>
        <v>3.8546255506607931E-2</v>
      </c>
      <c r="Y37" s="45">
        <f t="shared" si="55"/>
        <v>6.3626723223753979E-3</v>
      </c>
      <c r="Z37" s="45">
        <f t="shared" si="55"/>
        <v>-1.053740779768177E-2</v>
      </c>
      <c r="AA37" s="42"/>
    </row>
  </sheetData>
  <mergeCells count="7">
    <mergeCell ref="A32:Z32"/>
    <mergeCell ref="A1:Z1"/>
    <mergeCell ref="A4:Z4"/>
    <mergeCell ref="A14:Z14"/>
    <mergeCell ref="A26:Z26"/>
    <mergeCell ref="A9:Z9"/>
    <mergeCell ref="A20:Z20"/>
  </mergeCells>
  <conditionalFormatting sqref="D10:Z13">
    <cfRule type="cellIs" dxfId="2" priority="4" operator="lessThan">
      <formula>0</formula>
    </cfRule>
  </conditionalFormatting>
  <conditionalFormatting sqref="D21:Z25">
    <cfRule type="cellIs" dxfId="1" priority="2" operator="lessThan">
      <formula>0</formula>
    </cfRule>
  </conditionalFormatting>
  <conditionalFormatting sqref="D33:Z37">
    <cfRule type="cellIs" dxfId="0" priority="1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7154"/>
  <sheetViews>
    <sheetView topLeftCell="F5672" zoomScaleNormal="100" workbookViewId="0">
      <selection activeCell="H7172" sqref="H7172"/>
    </sheetView>
  </sheetViews>
  <sheetFormatPr defaultColWidth="8.7109375" defaultRowHeight="15" x14ac:dyDescent="0.25"/>
  <cols>
    <col min="1" max="1" width="18.140625" customWidth="1"/>
    <col min="2" max="2" width="17" customWidth="1"/>
    <col min="3" max="3" width="9.85546875" customWidth="1"/>
    <col min="4" max="4" width="17.42578125" customWidth="1"/>
    <col min="5" max="5" width="19.42578125" customWidth="1"/>
    <col min="6" max="6" width="60.28515625" customWidth="1"/>
    <col min="7" max="7" width="16.5703125" customWidth="1"/>
    <col min="8" max="8" width="28.85546875" customWidth="1"/>
    <col min="9" max="9" width="24.7109375" customWidth="1"/>
    <col min="10" max="10" width="15.140625" customWidth="1"/>
    <col min="11" max="11" width="18.7109375" customWidth="1"/>
    <col min="12" max="12" width="12" customWidth="1"/>
    <col min="14" max="14" width="13.42578125" customWidth="1"/>
    <col min="15" max="15" width="17.85546875" customWidth="1"/>
    <col min="16" max="16" width="17.140625" customWidth="1"/>
    <col min="17" max="17" width="39.85546875" customWidth="1"/>
  </cols>
  <sheetData>
    <row r="1" spans="1:17" x14ac:dyDescent="0.25">
      <c r="A1" s="14" t="s">
        <v>221</v>
      </c>
      <c r="B1" s="15" t="s">
        <v>222</v>
      </c>
      <c r="C1" s="15" t="s">
        <v>223</v>
      </c>
      <c r="D1" s="15" t="s">
        <v>224</v>
      </c>
      <c r="E1" s="15" t="s">
        <v>225</v>
      </c>
      <c r="F1" s="15" t="s">
        <v>226</v>
      </c>
      <c r="G1" s="15" t="s">
        <v>227</v>
      </c>
      <c r="H1" s="15" t="s">
        <v>228</v>
      </c>
      <c r="I1" s="15" t="s">
        <v>229</v>
      </c>
      <c r="J1" s="15" t="s">
        <v>230</v>
      </c>
      <c r="K1" s="15" t="s">
        <v>231</v>
      </c>
      <c r="L1" s="15" t="s">
        <v>232</v>
      </c>
      <c r="M1" s="15" t="s">
        <v>233</v>
      </c>
      <c r="N1" s="15" t="s">
        <v>234</v>
      </c>
      <c r="O1" s="15" t="s">
        <v>235</v>
      </c>
      <c r="P1" s="15" t="s">
        <v>236</v>
      </c>
      <c r="Q1" s="15" t="s">
        <v>237</v>
      </c>
    </row>
    <row r="2" spans="1:17" hidden="1" x14ac:dyDescent="0.25">
      <c r="A2" s="16">
        <v>45536</v>
      </c>
      <c r="B2" t="s">
        <v>142</v>
      </c>
      <c r="C2">
        <v>67</v>
      </c>
      <c r="D2" t="s">
        <v>238</v>
      </c>
      <c r="E2" t="s">
        <v>239</v>
      </c>
      <c r="F2" t="s">
        <v>240</v>
      </c>
      <c r="G2" t="s">
        <v>82</v>
      </c>
      <c r="J2" t="s">
        <v>189</v>
      </c>
      <c r="K2" t="s">
        <v>241</v>
      </c>
      <c r="L2">
        <v>8330000</v>
      </c>
      <c r="M2" t="s">
        <v>242</v>
      </c>
      <c r="N2" t="s">
        <v>243</v>
      </c>
    </row>
    <row r="3" spans="1:17" hidden="1" x14ac:dyDescent="0.25">
      <c r="A3" s="16">
        <v>45536</v>
      </c>
      <c r="B3" t="s">
        <v>142</v>
      </c>
      <c r="C3">
        <v>67</v>
      </c>
      <c r="D3" t="s">
        <v>238</v>
      </c>
      <c r="E3" t="s">
        <v>239</v>
      </c>
      <c r="F3" t="s">
        <v>244</v>
      </c>
      <c r="G3" t="s">
        <v>82</v>
      </c>
      <c r="J3" t="s">
        <v>189</v>
      </c>
      <c r="K3" t="s">
        <v>241</v>
      </c>
      <c r="L3">
        <v>6710000000</v>
      </c>
      <c r="M3" t="s">
        <v>245</v>
      </c>
      <c r="N3" t="s">
        <v>246</v>
      </c>
    </row>
    <row r="4" spans="1:17" hidden="1" x14ac:dyDescent="0.25">
      <c r="A4" s="16">
        <v>45536</v>
      </c>
      <c r="B4" t="s">
        <v>142</v>
      </c>
      <c r="C4">
        <v>68</v>
      </c>
      <c r="D4" t="s">
        <v>247</v>
      </c>
      <c r="E4" t="s">
        <v>248</v>
      </c>
      <c r="F4" t="s">
        <v>240</v>
      </c>
      <c r="G4" t="s">
        <v>82</v>
      </c>
      <c r="H4" t="s">
        <v>249</v>
      </c>
      <c r="J4" t="s">
        <v>189</v>
      </c>
      <c r="K4" t="s">
        <v>250</v>
      </c>
      <c r="L4">
        <v>4.3</v>
      </c>
      <c r="M4" t="s">
        <v>251</v>
      </c>
      <c r="N4" t="s">
        <v>252</v>
      </c>
    </row>
    <row r="5" spans="1:17" hidden="1" x14ac:dyDescent="0.25">
      <c r="A5" s="16">
        <v>45536</v>
      </c>
      <c r="B5" t="s">
        <v>142</v>
      </c>
      <c r="C5">
        <v>68</v>
      </c>
      <c r="D5" t="s">
        <v>253</v>
      </c>
      <c r="E5" t="s">
        <v>248</v>
      </c>
      <c r="F5" t="s">
        <v>240</v>
      </c>
      <c r="G5" t="s">
        <v>82</v>
      </c>
      <c r="J5" t="s">
        <v>254</v>
      </c>
      <c r="K5" t="s">
        <v>255</v>
      </c>
      <c r="L5">
        <v>1003000</v>
      </c>
      <c r="M5" t="s">
        <v>242</v>
      </c>
      <c r="N5" t="s">
        <v>256</v>
      </c>
      <c r="O5">
        <v>1</v>
      </c>
      <c r="P5" t="s">
        <v>257</v>
      </c>
    </row>
    <row r="6" spans="1:17" hidden="1" x14ac:dyDescent="0.25">
      <c r="A6" s="16">
        <v>45536</v>
      </c>
      <c r="B6" t="s">
        <v>142</v>
      </c>
      <c r="C6">
        <v>68</v>
      </c>
      <c r="D6" t="s">
        <v>253</v>
      </c>
      <c r="E6" t="s">
        <v>248</v>
      </c>
      <c r="F6" t="s">
        <v>240</v>
      </c>
      <c r="G6" t="s">
        <v>82</v>
      </c>
      <c r="J6" t="s">
        <v>258</v>
      </c>
      <c r="K6" t="s">
        <v>255</v>
      </c>
      <c r="L6">
        <v>918000</v>
      </c>
      <c r="M6" t="s">
        <v>242</v>
      </c>
      <c r="N6" t="s">
        <v>259</v>
      </c>
      <c r="O6">
        <v>1</v>
      </c>
      <c r="P6" t="s">
        <v>257</v>
      </c>
    </row>
    <row r="7" spans="1:17" hidden="1" x14ac:dyDescent="0.25">
      <c r="A7" s="16">
        <v>45536</v>
      </c>
      <c r="B7" t="s">
        <v>142</v>
      </c>
      <c r="C7">
        <v>68</v>
      </c>
      <c r="D7" t="s">
        <v>253</v>
      </c>
      <c r="E7" t="s">
        <v>248</v>
      </c>
      <c r="F7" t="s">
        <v>240</v>
      </c>
      <c r="G7" t="s">
        <v>82</v>
      </c>
      <c r="J7" t="s">
        <v>189</v>
      </c>
      <c r="K7" t="s">
        <v>255</v>
      </c>
      <c r="L7">
        <v>878000</v>
      </c>
      <c r="M7" t="s">
        <v>242</v>
      </c>
      <c r="N7" t="s">
        <v>260</v>
      </c>
      <c r="O7">
        <v>1</v>
      </c>
      <c r="P7" t="s">
        <v>261</v>
      </c>
    </row>
    <row r="8" spans="1:17" hidden="1" x14ac:dyDescent="0.25">
      <c r="A8" s="16">
        <v>45536</v>
      </c>
      <c r="B8" t="s">
        <v>142</v>
      </c>
      <c r="C8">
        <v>69</v>
      </c>
      <c r="D8" t="s">
        <v>253</v>
      </c>
      <c r="E8" t="s">
        <v>248</v>
      </c>
      <c r="F8" t="s">
        <v>240</v>
      </c>
      <c r="G8" t="s">
        <v>82</v>
      </c>
      <c r="H8" t="s">
        <v>150</v>
      </c>
      <c r="J8" t="s">
        <v>254</v>
      </c>
      <c r="K8" t="s">
        <v>255</v>
      </c>
      <c r="L8">
        <v>318</v>
      </c>
      <c r="M8" t="s">
        <v>242</v>
      </c>
      <c r="N8" t="s">
        <v>262</v>
      </c>
      <c r="O8">
        <v>1</v>
      </c>
      <c r="P8" t="s">
        <v>257</v>
      </c>
    </row>
    <row r="9" spans="1:17" hidden="1" x14ac:dyDescent="0.25">
      <c r="A9" s="16">
        <v>45536</v>
      </c>
      <c r="B9" t="s">
        <v>142</v>
      </c>
      <c r="C9">
        <v>69</v>
      </c>
      <c r="D9" t="s">
        <v>253</v>
      </c>
      <c r="E9" t="s">
        <v>248</v>
      </c>
      <c r="F9" t="s">
        <v>240</v>
      </c>
      <c r="G9" t="s">
        <v>82</v>
      </c>
      <c r="H9" t="s">
        <v>150</v>
      </c>
      <c r="J9" t="s">
        <v>258</v>
      </c>
      <c r="K9" t="s">
        <v>255</v>
      </c>
      <c r="L9">
        <v>279</v>
      </c>
      <c r="M9" t="s">
        <v>242</v>
      </c>
      <c r="N9" t="s">
        <v>263</v>
      </c>
      <c r="O9">
        <v>1</v>
      </c>
      <c r="P9" t="s">
        <v>257</v>
      </c>
    </row>
    <row r="10" spans="1:17" hidden="1" x14ac:dyDescent="0.25">
      <c r="A10" s="16">
        <v>45536</v>
      </c>
      <c r="B10" t="s">
        <v>142</v>
      </c>
      <c r="C10">
        <v>69</v>
      </c>
      <c r="D10" t="s">
        <v>253</v>
      </c>
      <c r="E10" t="s">
        <v>248</v>
      </c>
      <c r="F10" t="s">
        <v>240</v>
      </c>
      <c r="G10" t="s">
        <v>82</v>
      </c>
      <c r="H10" t="s">
        <v>150</v>
      </c>
      <c r="J10" t="s">
        <v>189</v>
      </c>
      <c r="K10" t="s">
        <v>255</v>
      </c>
      <c r="L10">
        <v>304</v>
      </c>
      <c r="M10" t="s">
        <v>242</v>
      </c>
      <c r="N10" t="s">
        <v>264</v>
      </c>
      <c r="O10">
        <v>1</v>
      </c>
      <c r="P10" t="s">
        <v>261</v>
      </c>
    </row>
    <row r="11" spans="1:17" hidden="1" x14ac:dyDescent="0.25">
      <c r="A11" s="16">
        <v>45536</v>
      </c>
      <c r="B11" t="s">
        <v>142</v>
      </c>
      <c r="C11">
        <v>69</v>
      </c>
      <c r="D11" t="s">
        <v>253</v>
      </c>
      <c r="E11" t="s">
        <v>248</v>
      </c>
      <c r="F11" t="s">
        <v>240</v>
      </c>
      <c r="G11" t="s">
        <v>82</v>
      </c>
      <c r="H11" t="s">
        <v>151</v>
      </c>
      <c r="J11" t="s">
        <v>254</v>
      </c>
      <c r="K11" t="s">
        <v>255</v>
      </c>
      <c r="L11">
        <v>34</v>
      </c>
      <c r="M11" t="s">
        <v>242</v>
      </c>
      <c r="N11" t="s">
        <v>265</v>
      </c>
      <c r="O11">
        <v>1</v>
      </c>
      <c r="P11" t="s">
        <v>257</v>
      </c>
    </row>
    <row r="12" spans="1:17" hidden="1" x14ac:dyDescent="0.25">
      <c r="A12" s="16">
        <v>45536</v>
      </c>
      <c r="B12" t="s">
        <v>142</v>
      </c>
      <c r="C12">
        <v>69</v>
      </c>
      <c r="D12" t="s">
        <v>253</v>
      </c>
      <c r="E12" t="s">
        <v>248</v>
      </c>
      <c r="F12" t="s">
        <v>240</v>
      </c>
      <c r="G12" t="s">
        <v>82</v>
      </c>
      <c r="H12" t="s">
        <v>151</v>
      </c>
      <c r="J12" t="s">
        <v>258</v>
      </c>
      <c r="K12" t="s">
        <v>255</v>
      </c>
      <c r="L12">
        <v>42</v>
      </c>
      <c r="M12" t="s">
        <v>242</v>
      </c>
      <c r="N12" t="s">
        <v>266</v>
      </c>
      <c r="O12">
        <v>1</v>
      </c>
      <c r="P12" t="s">
        <v>257</v>
      </c>
    </row>
    <row r="13" spans="1:17" hidden="1" x14ac:dyDescent="0.25">
      <c r="A13" s="16">
        <v>45536</v>
      </c>
      <c r="B13" t="s">
        <v>142</v>
      </c>
      <c r="C13">
        <v>69</v>
      </c>
      <c r="D13" t="s">
        <v>253</v>
      </c>
      <c r="E13" t="s">
        <v>248</v>
      </c>
      <c r="F13" t="s">
        <v>240</v>
      </c>
      <c r="G13" t="s">
        <v>82</v>
      </c>
      <c r="H13" t="s">
        <v>151</v>
      </c>
      <c r="J13" t="s">
        <v>189</v>
      </c>
      <c r="K13" t="s">
        <v>255</v>
      </c>
      <c r="L13">
        <v>40</v>
      </c>
      <c r="M13" t="s">
        <v>242</v>
      </c>
      <c r="N13" t="s">
        <v>267</v>
      </c>
      <c r="O13">
        <v>1</v>
      </c>
      <c r="P13" t="s">
        <v>261</v>
      </c>
    </row>
    <row r="14" spans="1:17" hidden="1" x14ac:dyDescent="0.25">
      <c r="A14" s="16">
        <v>45536</v>
      </c>
      <c r="B14" t="s">
        <v>142</v>
      </c>
      <c r="C14">
        <v>69</v>
      </c>
      <c r="D14" t="s">
        <v>253</v>
      </c>
      <c r="E14" t="s">
        <v>248</v>
      </c>
      <c r="F14" t="s">
        <v>240</v>
      </c>
      <c r="G14" t="s">
        <v>82</v>
      </c>
      <c r="H14" t="s">
        <v>149</v>
      </c>
      <c r="J14" t="s">
        <v>254</v>
      </c>
      <c r="K14" t="s">
        <v>255</v>
      </c>
      <c r="L14">
        <v>6208</v>
      </c>
      <c r="M14" t="s">
        <v>242</v>
      </c>
      <c r="N14" t="s">
        <v>268</v>
      </c>
      <c r="O14">
        <v>1</v>
      </c>
      <c r="P14" t="s">
        <v>257</v>
      </c>
    </row>
    <row r="15" spans="1:17" hidden="1" x14ac:dyDescent="0.25">
      <c r="A15" s="16">
        <v>45536</v>
      </c>
      <c r="B15" t="s">
        <v>142</v>
      </c>
      <c r="C15">
        <v>69</v>
      </c>
      <c r="D15" t="s">
        <v>253</v>
      </c>
      <c r="E15" t="s">
        <v>248</v>
      </c>
      <c r="F15" t="s">
        <v>240</v>
      </c>
      <c r="G15" t="s">
        <v>82</v>
      </c>
      <c r="H15" t="s">
        <v>149</v>
      </c>
      <c r="J15" t="s">
        <v>258</v>
      </c>
      <c r="K15" t="s">
        <v>255</v>
      </c>
      <c r="L15">
        <v>5318</v>
      </c>
      <c r="M15" t="s">
        <v>242</v>
      </c>
      <c r="N15" t="s">
        <v>269</v>
      </c>
      <c r="O15">
        <v>1</v>
      </c>
      <c r="P15" t="s">
        <v>257</v>
      </c>
    </row>
    <row r="16" spans="1:17" hidden="1" x14ac:dyDescent="0.25">
      <c r="A16" s="16">
        <v>45536</v>
      </c>
      <c r="B16" t="s">
        <v>142</v>
      </c>
      <c r="C16">
        <v>69</v>
      </c>
      <c r="D16" t="s">
        <v>253</v>
      </c>
      <c r="E16" t="s">
        <v>248</v>
      </c>
      <c r="F16" t="s">
        <v>240</v>
      </c>
      <c r="G16" t="s">
        <v>82</v>
      </c>
      <c r="H16" t="s">
        <v>149</v>
      </c>
      <c r="J16" t="s">
        <v>189</v>
      </c>
      <c r="K16" t="s">
        <v>255</v>
      </c>
      <c r="L16">
        <v>5530</v>
      </c>
      <c r="M16" t="s">
        <v>242</v>
      </c>
      <c r="N16" t="s">
        <v>270</v>
      </c>
      <c r="O16">
        <v>1</v>
      </c>
      <c r="P16" t="s">
        <v>261</v>
      </c>
    </row>
    <row r="17" spans="1:16" hidden="1" x14ac:dyDescent="0.25">
      <c r="A17" s="16">
        <v>45536</v>
      </c>
      <c r="B17" t="s">
        <v>142</v>
      </c>
      <c r="C17">
        <v>70</v>
      </c>
      <c r="D17" t="s">
        <v>247</v>
      </c>
      <c r="E17" t="s">
        <v>248</v>
      </c>
      <c r="F17" t="s">
        <v>244</v>
      </c>
      <c r="G17" t="s">
        <v>82</v>
      </c>
      <c r="H17" t="s">
        <v>249</v>
      </c>
      <c r="J17" t="s">
        <v>189</v>
      </c>
      <c r="K17" t="s">
        <v>250</v>
      </c>
      <c r="L17">
        <v>1.4</v>
      </c>
      <c r="M17" t="s">
        <v>251</v>
      </c>
      <c r="N17" t="s">
        <v>271</v>
      </c>
    </row>
    <row r="18" spans="1:16" hidden="1" x14ac:dyDescent="0.25">
      <c r="A18" s="16">
        <v>45536</v>
      </c>
      <c r="B18" t="s">
        <v>142</v>
      </c>
      <c r="C18">
        <v>70</v>
      </c>
      <c r="D18" t="s">
        <v>253</v>
      </c>
      <c r="E18" t="s">
        <v>248</v>
      </c>
      <c r="F18" t="s">
        <v>244</v>
      </c>
      <c r="G18" t="s">
        <v>82</v>
      </c>
      <c r="J18" t="s">
        <v>254</v>
      </c>
      <c r="K18" t="s">
        <v>255</v>
      </c>
      <c r="L18">
        <v>842000000</v>
      </c>
      <c r="M18" t="s">
        <v>245</v>
      </c>
      <c r="N18" t="s">
        <v>272</v>
      </c>
      <c r="O18">
        <v>1</v>
      </c>
      <c r="P18" t="s">
        <v>257</v>
      </c>
    </row>
    <row r="19" spans="1:16" hidden="1" x14ac:dyDescent="0.25">
      <c r="A19" s="16">
        <v>45536</v>
      </c>
      <c r="B19" t="s">
        <v>142</v>
      </c>
      <c r="C19">
        <v>70</v>
      </c>
      <c r="D19" t="s">
        <v>253</v>
      </c>
      <c r="E19" t="s">
        <v>248</v>
      </c>
      <c r="F19" t="s">
        <v>244</v>
      </c>
      <c r="G19" t="s">
        <v>82</v>
      </c>
      <c r="J19" t="s">
        <v>258</v>
      </c>
      <c r="K19" t="s">
        <v>255</v>
      </c>
      <c r="L19">
        <v>764000000</v>
      </c>
      <c r="M19" t="s">
        <v>245</v>
      </c>
      <c r="N19" t="s">
        <v>273</v>
      </c>
      <c r="O19">
        <v>1</v>
      </c>
      <c r="P19" t="s">
        <v>257</v>
      </c>
    </row>
    <row r="20" spans="1:16" hidden="1" x14ac:dyDescent="0.25">
      <c r="A20" s="16">
        <v>45536</v>
      </c>
      <c r="B20" t="s">
        <v>142</v>
      </c>
      <c r="C20">
        <v>70</v>
      </c>
      <c r="D20" t="s">
        <v>253</v>
      </c>
      <c r="E20" t="s">
        <v>248</v>
      </c>
      <c r="F20" t="s">
        <v>244</v>
      </c>
      <c r="G20" t="s">
        <v>82</v>
      </c>
      <c r="J20" t="s">
        <v>189</v>
      </c>
      <c r="K20" t="s">
        <v>255</v>
      </c>
      <c r="L20">
        <v>753000000</v>
      </c>
      <c r="M20" t="s">
        <v>245</v>
      </c>
      <c r="N20" t="s">
        <v>274</v>
      </c>
      <c r="O20">
        <v>1</v>
      </c>
      <c r="P20" t="s">
        <v>261</v>
      </c>
    </row>
    <row r="21" spans="1:16" hidden="1" x14ac:dyDescent="0.25">
      <c r="A21" s="16">
        <v>45536</v>
      </c>
      <c r="B21" t="s">
        <v>142</v>
      </c>
      <c r="C21">
        <v>71</v>
      </c>
      <c r="D21" t="s">
        <v>253</v>
      </c>
      <c r="E21" t="s">
        <v>248</v>
      </c>
      <c r="F21" t="s">
        <v>244</v>
      </c>
      <c r="G21" t="s">
        <v>82</v>
      </c>
      <c r="H21" t="s">
        <v>150</v>
      </c>
      <c r="J21" t="s">
        <v>254</v>
      </c>
      <c r="K21" t="s">
        <v>255</v>
      </c>
      <c r="L21">
        <v>3300000</v>
      </c>
      <c r="M21" t="s">
        <v>150</v>
      </c>
      <c r="N21" t="s">
        <v>275</v>
      </c>
      <c r="O21">
        <v>1</v>
      </c>
      <c r="P21" t="s">
        <v>257</v>
      </c>
    </row>
    <row r="22" spans="1:16" hidden="1" x14ac:dyDescent="0.25">
      <c r="A22" s="16">
        <v>45536</v>
      </c>
      <c r="B22" t="s">
        <v>142</v>
      </c>
      <c r="C22">
        <v>71</v>
      </c>
      <c r="D22" t="s">
        <v>253</v>
      </c>
      <c r="E22" t="s">
        <v>248</v>
      </c>
      <c r="F22" t="s">
        <v>244</v>
      </c>
      <c r="G22" t="s">
        <v>82</v>
      </c>
      <c r="H22" t="s">
        <v>150</v>
      </c>
      <c r="J22" t="s">
        <v>258</v>
      </c>
      <c r="K22" t="s">
        <v>255</v>
      </c>
      <c r="L22">
        <v>3000000</v>
      </c>
      <c r="M22" t="s">
        <v>150</v>
      </c>
      <c r="N22" t="s">
        <v>276</v>
      </c>
      <c r="O22">
        <v>1</v>
      </c>
      <c r="P22" t="s">
        <v>257</v>
      </c>
    </row>
    <row r="23" spans="1:16" hidden="1" x14ac:dyDescent="0.25">
      <c r="A23" s="16">
        <v>45536</v>
      </c>
      <c r="B23" t="s">
        <v>142</v>
      </c>
      <c r="C23">
        <v>71</v>
      </c>
      <c r="D23" t="s">
        <v>253</v>
      </c>
      <c r="E23" t="s">
        <v>248</v>
      </c>
      <c r="F23" t="s">
        <v>244</v>
      </c>
      <c r="G23" t="s">
        <v>82</v>
      </c>
      <c r="H23" t="s">
        <v>150</v>
      </c>
      <c r="J23" t="s">
        <v>189</v>
      </c>
      <c r="K23" t="s">
        <v>255</v>
      </c>
      <c r="L23">
        <v>3000000</v>
      </c>
      <c r="M23" t="s">
        <v>150</v>
      </c>
      <c r="N23" t="s">
        <v>276</v>
      </c>
      <c r="O23">
        <v>1</v>
      </c>
      <c r="P23" t="s">
        <v>261</v>
      </c>
    </row>
    <row r="24" spans="1:16" hidden="1" x14ac:dyDescent="0.25">
      <c r="A24" s="16">
        <v>45536</v>
      </c>
      <c r="B24" t="s">
        <v>142</v>
      </c>
      <c r="C24">
        <v>71</v>
      </c>
      <c r="D24" t="s">
        <v>253</v>
      </c>
      <c r="E24" t="s">
        <v>248</v>
      </c>
      <c r="F24" t="s">
        <v>244</v>
      </c>
      <c r="G24" t="s">
        <v>82</v>
      </c>
      <c r="H24" t="s">
        <v>151</v>
      </c>
      <c r="J24" t="s">
        <v>254</v>
      </c>
      <c r="K24" t="s">
        <v>255</v>
      </c>
      <c r="L24">
        <v>270000</v>
      </c>
      <c r="M24" t="s">
        <v>151</v>
      </c>
      <c r="N24" t="s">
        <v>277</v>
      </c>
      <c r="O24">
        <v>1</v>
      </c>
      <c r="P24" t="s">
        <v>257</v>
      </c>
    </row>
    <row r="25" spans="1:16" hidden="1" x14ac:dyDescent="0.25">
      <c r="A25" s="16">
        <v>45536</v>
      </c>
      <c r="B25" t="s">
        <v>142</v>
      </c>
      <c r="C25">
        <v>71</v>
      </c>
      <c r="D25" t="s">
        <v>253</v>
      </c>
      <c r="E25" t="s">
        <v>248</v>
      </c>
      <c r="F25" t="s">
        <v>244</v>
      </c>
      <c r="G25" t="s">
        <v>82</v>
      </c>
      <c r="H25" t="s">
        <v>151</v>
      </c>
      <c r="J25" t="s">
        <v>258</v>
      </c>
      <c r="K25" t="s">
        <v>255</v>
      </c>
      <c r="L25">
        <v>310000</v>
      </c>
      <c r="M25" t="s">
        <v>151</v>
      </c>
      <c r="N25" t="s">
        <v>278</v>
      </c>
      <c r="O25">
        <v>1</v>
      </c>
      <c r="P25" t="s">
        <v>257</v>
      </c>
    </row>
    <row r="26" spans="1:16" hidden="1" x14ac:dyDescent="0.25">
      <c r="A26" s="16">
        <v>45536</v>
      </c>
      <c r="B26" t="s">
        <v>142</v>
      </c>
      <c r="C26">
        <v>71</v>
      </c>
      <c r="D26" t="s">
        <v>253</v>
      </c>
      <c r="E26" t="s">
        <v>248</v>
      </c>
      <c r="F26" t="s">
        <v>244</v>
      </c>
      <c r="G26" t="s">
        <v>82</v>
      </c>
      <c r="H26" t="s">
        <v>151</v>
      </c>
      <c r="J26" t="s">
        <v>189</v>
      </c>
      <c r="K26" t="s">
        <v>255</v>
      </c>
      <c r="L26">
        <v>250000</v>
      </c>
      <c r="M26" t="s">
        <v>151</v>
      </c>
      <c r="N26" t="s">
        <v>279</v>
      </c>
      <c r="O26">
        <v>1</v>
      </c>
      <c r="P26" t="s">
        <v>261</v>
      </c>
    </row>
    <row r="27" spans="1:16" hidden="1" x14ac:dyDescent="0.25">
      <c r="A27" s="16">
        <v>45536</v>
      </c>
      <c r="B27" t="s">
        <v>142</v>
      </c>
      <c r="C27">
        <v>71</v>
      </c>
      <c r="D27" t="s">
        <v>253</v>
      </c>
      <c r="E27" t="s">
        <v>248</v>
      </c>
      <c r="F27" t="s">
        <v>244</v>
      </c>
      <c r="G27" t="s">
        <v>82</v>
      </c>
      <c r="H27" t="s">
        <v>149</v>
      </c>
      <c r="J27" t="s">
        <v>254</v>
      </c>
      <c r="K27" t="s">
        <v>255</v>
      </c>
      <c r="L27">
        <v>41300000</v>
      </c>
      <c r="M27" t="s">
        <v>149</v>
      </c>
      <c r="N27" t="s">
        <v>280</v>
      </c>
      <c r="O27">
        <v>1</v>
      </c>
      <c r="P27" t="s">
        <v>257</v>
      </c>
    </row>
    <row r="28" spans="1:16" hidden="1" x14ac:dyDescent="0.25">
      <c r="A28" s="16">
        <v>45536</v>
      </c>
      <c r="B28" t="s">
        <v>142</v>
      </c>
      <c r="C28">
        <v>71</v>
      </c>
      <c r="D28" t="s">
        <v>253</v>
      </c>
      <c r="E28" t="s">
        <v>248</v>
      </c>
      <c r="F28" t="s">
        <v>244</v>
      </c>
      <c r="G28" t="s">
        <v>82</v>
      </c>
      <c r="H28" t="s">
        <v>149</v>
      </c>
      <c r="J28" t="s">
        <v>258</v>
      </c>
      <c r="K28" t="s">
        <v>255</v>
      </c>
      <c r="L28">
        <v>41000000</v>
      </c>
      <c r="M28" t="s">
        <v>149</v>
      </c>
      <c r="N28" t="s">
        <v>281</v>
      </c>
      <c r="O28">
        <v>1</v>
      </c>
      <c r="P28" t="s">
        <v>257</v>
      </c>
    </row>
    <row r="29" spans="1:16" hidden="1" x14ac:dyDescent="0.25">
      <c r="A29" s="16">
        <v>45536</v>
      </c>
      <c r="B29" t="s">
        <v>142</v>
      </c>
      <c r="C29">
        <v>71</v>
      </c>
      <c r="D29" t="s">
        <v>253</v>
      </c>
      <c r="E29" t="s">
        <v>248</v>
      </c>
      <c r="F29" t="s">
        <v>244</v>
      </c>
      <c r="G29" t="s">
        <v>82</v>
      </c>
      <c r="H29" t="s">
        <v>149</v>
      </c>
      <c r="J29" t="s">
        <v>189</v>
      </c>
      <c r="K29" t="s">
        <v>255</v>
      </c>
      <c r="L29">
        <v>37000000</v>
      </c>
      <c r="M29" t="s">
        <v>149</v>
      </c>
      <c r="N29" t="s">
        <v>282</v>
      </c>
      <c r="O29">
        <v>1</v>
      </c>
      <c r="P29" t="s">
        <v>261</v>
      </c>
    </row>
    <row r="30" spans="1:16" hidden="1" x14ac:dyDescent="0.25">
      <c r="A30" s="16">
        <v>45536</v>
      </c>
      <c r="B30" t="s">
        <v>35</v>
      </c>
      <c r="C30">
        <v>10</v>
      </c>
      <c r="D30" t="s">
        <v>238</v>
      </c>
      <c r="E30" t="s">
        <v>239</v>
      </c>
      <c r="F30" t="s">
        <v>240</v>
      </c>
      <c r="G30" t="s">
        <v>82</v>
      </c>
      <c r="J30" t="s">
        <v>189</v>
      </c>
      <c r="K30" t="s">
        <v>241</v>
      </c>
      <c r="L30">
        <v>56110000</v>
      </c>
      <c r="M30" t="s">
        <v>242</v>
      </c>
      <c r="N30" t="s">
        <v>283</v>
      </c>
    </row>
    <row r="31" spans="1:16" hidden="1" x14ac:dyDescent="0.25">
      <c r="A31" s="16">
        <v>45536</v>
      </c>
      <c r="B31" t="s">
        <v>35</v>
      </c>
      <c r="C31">
        <v>10</v>
      </c>
      <c r="D31" t="s">
        <v>238</v>
      </c>
      <c r="E31" t="s">
        <v>239</v>
      </c>
      <c r="F31" t="s">
        <v>244</v>
      </c>
      <c r="G31" t="s">
        <v>82</v>
      </c>
      <c r="J31" t="s">
        <v>189</v>
      </c>
      <c r="K31" t="s">
        <v>241</v>
      </c>
      <c r="L31">
        <v>8370000000</v>
      </c>
      <c r="M31" t="s">
        <v>245</v>
      </c>
      <c r="N31" t="s">
        <v>284</v>
      </c>
    </row>
    <row r="32" spans="1:16" hidden="1" x14ac:dyDescent="0.25">
      <c r="A32" s="16">
        <v>45536</v>
      </c>
      <c r="B32" t="s">
        <v>35</v>
      </c>
      <c r="C32">
        <v>11</v>
      </c>
      <c r="D32" t="s">
        <v>247</v>
      </c>
      <c r="E32" t="s">
        <v>248</v>
      </c>
      <c r="F32" t="s">
        <v>285</v>
      </c>
      <c r="G32" t="s">
        <v>63</v>
      </c>
      <c r="H32" t="s">
        <v>286</v>
      </c>
      <c r="J32" t="s">
        <v>189</v>
      </c>
      <c r="K32" t="s">
        <v>250</v>
      </c>
      <c r="L32">
        <v>2.5</v>
      </c>
      <c r="M32" t="s">
        <v>251</v>
      </c>
      <c r="N32" t="s">
        <v>287</v>
      </c>
    </row>
    <row r="33" spans="1:16" hidden="1" x14ac:dyDescent="0.25">
      <c r="A33" s="16">
        <v>45536</v>
      </c>
      <c r="B33" t="s">
        <v>35</v>
      </c>
      <c r="C33">
        <v>11</v>
      </c>
      <c r="D33" t="s">
        <v>253</v>
      </c>
      <c r="E33" t="s">
        <v>248</v>
      </c>
      <c r="F33" t="s">
        <v>285</v>
      </c>
      <c r="G33" t="s">
        <v>63</v>
      </c>
      <c r="J33" t="s">
        <v>254</v>
      </c>
      <c r="K33" t="s">
        <v>255</v>
      </c>
      <c r="L33">
        <v>1470000</v>
      </c>
      <c r="M33" t="s">
        <v>242</v>
      </c>
      <c r="N33" t="s">
        <v>288</v>
      </c>
      <c r="O33">
        <v>1</v>
      </c>
      <c r="P33" t="s">
        <v>257</v>
      </c>
    </row>
    <row r="34" spans="1:16" hidden="1" x14ac:dyDescent="0.25">
      <c r="A34" s="16">
        <v>45536</v>
      </c>
      <c r="B34" t="s">
        <v>35</v>
      </c>
      <c r="C34">
        <v>11</v>
      </c>
      <c r="D34" t="s">
        <v>253</v>
      </c>
      <c r="E34" t="s">
        <v>248</v>
      </c>
      <c r="F34" t="s">
        <v>285</v>
      </c>
      <c r="G34" t="s">
        <v>63</v>
      </c>
      <c r="J34" t="s">
        <v>258</v>
      </c>
      <c r="K34" t="s">
        <v>255</v>
      </c>
      <c r="L34">
        <v>1520000</v>
      </c>
      <c r="M34" t="s">
        <v>242</v>
      </c>
      <c r="N34" t="s">
        <v>289</v>
      </c>
      <c r="O34">
        <v>1</v>
      </c>
      <c r="P34" t="s">
        <v>257</v>
      </c>
    </row>
    <row r="35" spans="1:16" hidden="1" x14ac:dyDescent="0.25">
      <c r="A35" s="16">
        <v>45536</v>
      </c>
      <c r="B35" t="s">
        <v>35</v>
      </c>
      <c r="C35">
        <v>11</v>
      </c>
      <c r="D35" t="s">
        <v>253</v>
      </c>
      <c r="E35" t="s">
        <v>248</v>
      </c>
      <c r="F35" t="s">
        <v>285</v>
      </c>
      <c r="G35" t="s">
        <v>63</v>
      </c>
      <c r="J35" t="s">
        <v>189</v>
      </c>
      <c r="K35" t="s">
        <v>255</v>
      </c>
      <c r="L35">
        <v>1560000</v>
      </c>
      <c r="M35" t="s">
        <v>242</v>
      </c>
      <c r="N35" t="s">
        <v>290</v>
      </c>
      <c r="O35">
        <v>1</v>
      </c>
      <c r="P35" t="s">
        <v>261</v>
      </c>
    </row>
    <row r="36" spans="1:16" hidden="1" x14ac:dyDescent="0.25">
      <c r="A36" s="16">
        <v>45536</v>
      </c>
      <c r="B36" t="s">
        <v>35</v>
      </c>
      <c r="C36">
        <v>12</v>
      </c>
      <c r="D36" t="s">
        <v>291</v>
      </c>
      <c r="E36" t="s">
        <v>292</v>
      </c>
      <c r="F36" t="s">
        <v>285</v>
      </c>
      <c r="G36" t="s">
        <v>63</v>
      </c>
      <c r="H36" t="s">
        <v>64</v>
      </c>
      <c r="J36" t="s">
        <v>189</v>
      </c>
      <c r="K36" t="s">
        <v>250</v>
      </c>
      <c r="L36">
        <v>1500000</v>
      </c>
      <c r="M36" t="s">
        <v>242</v>
      </c>
      <c r="N36" t="s">
        <v>293</v>
      </c>
    </row>
    <row r="37" spans="1:16" hidden="1" x14ac:dyDescent="0.25">
      <c r="A37" s="16">
        <v>45536</v>
      </c>
      <c r="B37" t="s">
        <v>35</v>
      </c>
      <c r="C37">
        <v>12</v>
      </c>
      <c r="D37" t="s">
        <v>291</v>
      </c>
      <c r="E37" t="s">
        <v>292</v>
      </c>
      <c r="F37" t="s">
        <v>285</v>
      </c>
      <c r="G37" t="s">
        <v>63</v>
      </c>
      <c r="H37" t="s">
        <v>65</v>
      </c>
      <c r="J37" t="s">
        <v>189</v>
      </c>
      <c r="K37" t="s">
        <v>250</v>
      </c>
      <c r="L37">
        <v>55000</v>
      </c>
      <c r="M37" t="s">
        <v>242</v>
      </c>
      <c r="N37" t="s">
        <v>294</v>
      </c>
    </row>
    <row r="38" spans="1:16" hidden="1" x14ac:dyDescent="0.25">
      <c r="A38" s="16">
        <v>45536</v>
      </c>
      <c r="B38" t="s">
        <v>35</v>
      </c>
      <c r="C38">
        <v>13</v>
      </c>
      <c r="D38" t="s">
        <v>291</v>
      </c>
      <c r="E38" t="s">
        <v>292</v>
      </c>
      <c r="F38" t="s">
        <v>285</v>
      </c>
      <c r="G38" t="s">
        <v>63</v>
      </c>
      <c r="H38" t="s">
        <v>67</v>
      </c>
      <c r="J38" t="s">
        <v>189</v>
      </c>
      <c r="K38" t="s">
        <v>250</v>
      </c>
      <c r="L38">
        <v>541300</v>
      </c>
      <c r="M38" t="s">
        <v>242</v>
      </c>
      <c r="N38" t="s">
        <v>295</v>
      </c>
    </row>
    <row r="39" spans="1:16" hidden="1" x14ac:dyDescent="0.25">
      <c r="A39" s="16">
        <v>45536</v>
      </c>
      <c r="B39" t="s">
        <v>35</v>
      </c>
      <c r="C39">
        <v>13</v>
      </c>
      <c r="D39" t="s">
        <v>291</v>
      </c>
      <c r="E39" t="s">
        <v>292</v>
      </c>
      <c r="F39" t="s">
        <v>285</v>
      </c>
      <c r="G39" t="s">
        <v>63</v>
      </c>
      <c r="H39" t="s">
        <v>68</v>
      </c>
      <c r="J39" t="s">
        <v>189</v>
      </c>
      <c r="K39" t="s">
        <v>250</v>
      </c>
      <c r="L39">
        <v>973400</v>
      </c>
      <c r="M39" t="s">
        <v>242</v>
      </c>
      <c r="N39" t="s">
        <v>296</v>
      </c>
    </row>
    <row r="40" spans="1:16" x14ac:dyDescent="0.25">
      <c r="A40" s="16">
        <v>45536</v>
      </c>
      <c r="B40" t="s">
        <v>35</v>
      </c>
      <c r="C40">
        <v>14</v>
      </c>
      <c r="D40" t="s">
        <v>291</v>
      </c>
      <c r="E40" t="s">
        <v>292</v>
      </c>
      <c r="F40" t="s">
        <v>285</v>
      </c>
      <c r="G40" t="s">
        <v>63</v>
      </c>
      <c r="H40" t="s">
        <v>77</v>
      </c>
      <c r="J40" t="s">
        <v>189</v>
      </c>
      <c r="K40" t="s">
        <v>250</v>
      </c>
      <c r="L40">
        <v>6000</v>
      </c>
      <c r="M40" t="s">
        <v>242</v>
      </c>
      <c r="N40" t="s">
        <v>304</v>
      </c>
    </row>
    <row r="41" spans="1:16" x14ac:dyDescent="0.25">
      <c r="A41" s="16">
        <v>45536</v>
      </c>
      <c r="B41" t="s">
        <v>35</v>
      </c>
      <c r="C41">
        <v>14</v>
      </c>
      <c r="D41" t="s">
        <v>291</v>
      </c>
      <c r="E41" t="s">
        <v>292</v>
      </c>
      <c r="F41" t="s">
        <v>285</v>
      </c>
      <c r="G41" t="s">
        <v>63</v>
      </c>
      <c r="H41" t="s">
        <v>70</v>
      </c>
      <c r="J41" t="s">
        <v>189</v>
      </c>
      <c r="K41" t="s">
        <v>250</v>
      </c>
      <c r="L41">
        <v>591000</v>
      </c>
      <c r="M41" t="s">
        <v>242</v>
      </c>
      <c r="N41" t="s">
        <v>297</v>
      </c>
    </row>
    <row r="42" spans="1:16" x14ac:dyDescent="0.25">
      <c r="A42" s="16">
        <v>45536</v>
      </c>
      <c r="B42" t="s">
        <v>35</v>
      </c>
      <c r="C42">
        <v>14</v>
      </c>
      <c r="D42" t="s">
        <v>291</v>
      </c>
      <c r="E42" t="s">
        <v>292</v>
      </c>
      <c r="F42" t="s">
        <v>285</v>
      </c>
      <c r="G42" t="s">
        <v>63</v>
      </c>
      <c r="H42" t="s">
        <v>71</v>
      </c>
      <c r="J42" t="s">
        <v>189</v>
      </c>
      <c r="K42" t="s">
        <v>250</v>
      </c>
      <c r="L42">
        <v>409000</v>
      </c>
      <c r="M42" t="s">
        <v>242</v>
      </c>
      <c r="N42" t="s">
        <v>298</v>
      </c>
    </row>
    <row r="43" spans="1:16" x14ac:dyDescent="0.25">
      <c r="A43" s="16">
        <v>45536</v>
      </c>
      <c r="B43" t="s">
        <v>35</v>
      </c>
      <c r="C43">
        <v>14</v>
      </c>
      <c r="D43" t="s">
        <v>291</v>
      </c>
      <c r="E43" t="s">
        <v>292</v>
      </c>
      <c r="F43" t="s">
        <v>285</v>
      </c>
      <c r="G43" t="s">
        <v>63</v>
      </c>
      <c r="H43" t="s">
        <v>72</v>
      </c>
      <c r="J43" t="s">
        <v>189</v>
      </c>
      <c r="K43" t="s">
        <v>250</v>
      </c>
      <c r="L43">
        <v>267000</v>
      </c>
      <c r="M43" t="s">
        <v>242</v>
      </c>
      <c r="N43" t="s">
        <v>299</v>
      </c>
    </row>
    <row r="44" spans="1:16" x14ac:dyDescent="0.25">
      <c r="A44" s="63">
        <v>45536</v>
      </c>
      <c r="B44" s="65" t="s">
        <v>35</v>
      </c>
      <c r="C44" s="65">
        <v>14</v>
      </c>
      <c r="D44" s="65" t="s">
        <v>291</v>
      </c>
      <c r="E44" s="65" t="s">
        <v>292</v>
      </c>
      <c r="F44" s="65" t="s">
        <v>285</v>
      </c>
      <c r="G44" s="65" t="s">
        <v>63</v>
      </c>
      <c r="H44" s="65" t="s">
        <v>73</v>
      </c>
      <c r="I44" s="65"/>
      <c r="J44" s="65" t="s">
        <v>189</v>
      </c>
      <c r="K44" s="65" t="s">
        <v>250</v>
      </c>
      <c r="L44" s="65">
        <v>163000</v>
      </c>
      <c r="M44" s="65" t="s">
        <v>242</v>
      </c>
      <c r="N44" s="65" t="s">
        <v>300</v>
      </c>
    </row>
    <row r="45" spans="1:16" x14ac:dyDescent="0.25">
      <c r="A45" s="63">
        <v>45536</v>
      </c>
      <c r="B45" s="65" t="s">
        <v>35</v>
      </c>
      <c r="C45" s="65">
        <v>14</v>
      </c>
      <c r="D45" s="65" t="s">
        <v>291</v>
      </c>
      <c r="E45" s="65" t="s">
        <v>292</v>
      </c>
      <c r="F45" s="65" t="s">
        <v>285</v>
      </c>
      <c r="G45" s="65" t="s">
        <v>63</v>
      </c>
      <c r="H45" s="65" t="s">
        <v>74</v>
      </c>
      <c r="I45" s="65"/>
      <c r="J45" s="65" t="s">
        <v>189</v>
      </c>
      <c r="K45" s="65" t="s">
        <v>250</v>
      </c>
      <c r="L45" s="65">
        <v>71000</v>
      </c>
      <c r="M45" s="65" t="s">
        <v>242</v>
      </c>
      <c r="N45" s="65" t="s">
        <v>301</v>
      </c>
    </row>
    <row r="46" spans="1:16" x14ac:dyDescent="0.25">
      <c r="A46" s="63">
        <v>45536</v>
      </c>
      <c r="B46" s="65" t="s">
        <v>35</v>
      </c>
      <c r="C46" s="65">
        <v>14</v>
      </c>
      <c r="D46" s="65" t="s">
        <v>291</v>
      </c>
      <c r="E46" s="65" t="s">
        <v>292</v>
      </c>
      <c r="F46" s="65" t="s">
        <v>285</v>
      </c>
      <c r="G46" s="65" t="s">
        <v>63</v>
      </c>
      <c r="H46" s="65" t="s">
        <v>75</v>
      </c>
      <c r="I46" s="65"/>
      <c r="J46" s="65" t="s">
        <v>189</v>
      </c>
      <c r="K46" s="65" t="s">
        <v>250</v>
      </c>
      <c r="L46" s="65">
        <v>18000</v>
      </c>
      <c r="M46" s="65" t="s">
        <v>242</v>
      </c>
      <c r="N46" s="65" t="s">
        <v>302</v>
      </c>
    </row>
    <row r="47" spans="1:16" x14ac:dyDescent="0.25">
      <c r="A47" s="63">
        <v>45536</v>
      </c>
      <c r="B47" s="65" t="s">
        <v>35</v>
      </c>
      <c r="C47" s="65">
        <v>14</v>
      </c>
      <c r="D47" s="65" t="s">
        <v>291</v>
      </c>
      <c r="E47" s="65" t="s">
        <v>292</v>
      </c>
      <c r="F47" s="65" t="s">
        <v>285</v>
      </c>
      <c r="G47" s="65" t="s">
        <v>63</v>
      </c>
      <c r="H47" s="65" t="s">
        <v>76</v>
      </c>
      <c r="I47" s="65"/>
      <c r="J47" s="65" t="s">
        <v>189</v>
      </c>
      <c r="K47" s="65" t="s">
        <v>250</v>
      </c>
      <c r="L47" s="65">
        <v>4000</v>
      </c>
      <c r="M47" s="65" t="s">
        <v>242</v>
      </c>
      <c r="N47" s="65" t="s">
        <v>303</v>
      </c>
    </row>
    <row r="48" spans="1:16" hidden="1" x14ac:dyDescent="0.25">
      <c r="A48" s="16">
        <v>45536</v>
      </c>
      <c r="B48" t="s">
        <v>35</v>
      </c>
      <c r="C48">
        <v>15</v>
      </c>
      <c r="D48" t="s">
        <v>291</v>
      </c>
      <c r="E48" t="s">
        <v>292</v>
      </c>
      <c r="F48" t="s">
        <v>285</v>
      </c>
      <c r="G48" t="s">
        <v>63</v>
      </c>
      <c r="H48" t="s">
        <v>79</v>
      </c>
      <c r="J48" t="s">
        <v>189</v>
      </c>
      <c r="K48" t="s">
        <v>250</v>
      </c>
      <c r="L48">
        <v>1530000</v>
      </c>
      <c r="M48" t="s">
        <v>242</v>
      </c>
      <c r="N48" t="s">
        <v>305</v>
      </c>
    </row>
    <row r="49" spans="1:16" hidden="1" x14ac:dyDescent="0.25">
      <c r="A49" s="16">
        <v>45536</v>
      </c>
      <c r="B49" t="s">
        <v>35</v>
      </c>
      <c r="C49">
        <v>15</v>
      </c>
      <c r="D49" t="s">
        <v>291</v>
      </c>
      <c r="E49" t="s">
        <v>292</v>
      </c>
      <c r="F49" t="s">
        <v>285</v>
      </c>
      <c r="G49" t="s">
        <v>63</v>
      </c>
      <c r="H49" t="s">
        <v>80</v>
      </c>
      <c r="J49" t="s">
        <v>189</v>
      </c>
      <c r="K49" t="s">
        <v>250</v>
      </c>
      <c r="L49">
        <v>26500</v>
      </c>
      <c r="M49" t="s">
        <v>242</v>
      </c>
      <c r="N49" t="s">
        <v>306</v>
      </c>
    </row>
    <row r="50" spans="1:16" hidden="1" x14ac:dyDescent="0.25">
      <c r="A50" s="16">
        <v>45536</v>
      </c>
      <c r="B50" t="s">
        <v>35</v>
      </c>
      <c r="C50">
        <v>16</v>
      </c>
      <c r="D50" t="s">
        <v>247</v>
      </c>
      <c r="E50" t="s">
        <v>248</v>
      </c>
      <c r="F50" t="s">
        <v>240</v>
      </c>
      <c r="G50" t="s">
        <v>82</v>
      </c>
      <c r="H50" t="s">
        <v>249</v>
      </c>
      <c r="J50" t="s">
        <v>189</v>
      </c>
      <c r="K50" t="s">
        <v>250</v>
      </c>
      <c r="L50">
        <v>0.2</v>
      </c>
      <c r="M50" t="s">
        <v>251</v>
      </c>
      <c r="N50" t="s">
        <v>307</v>
      </c>
    </row>
    <row r="51" spans="1:16" hidden="1" x14ac:dyDescent="0.25">
      <c r="A51" s="16">
        <v>45536</v>
      </c>
      <c r="B51" t="s">
        <v>35</v>
      </c>
      <c r="C51">
        <v>16</v>
      </c>
      <c r="D51" t="s">
        <v>253</v>
      </c>
      <c r="E51" t="s">
        <v>248</v>
      </c>
      <c r="F51" t="s">
        <v>240</v>
      </c>
      <c r="G51" t="s">
        <v>82</v>
      </c>
      <c r="J51" t="s">
        <v>254</v>
      </c>
      <c r="K51" t="s">
        <v>255</v>
      </c>
      <c r="L51">
        <v>7420000</v>
      </c>
      <c r="M51" t="s">
        <v>242</v>
      </c>
      <c r="N51" t="s">
        <v>308</v>
      </c>
      <c r="O51">
        <v>1</v>
      </c>
      <c r="P51" t="s">
        <v>257</v>
      </c>
    </row>
    <row r="52" spans="1:16" hidden="1" x14ac:dyDescent="0.25">
      <c r="A52" s="16">
        <v>45536</v>
      </c>
      <c r="B52" t="s">
        <v>35</v>
      </c>
      <c r="C52">
        <v>16</v>
      </c>
      <c r="D52" t="s">
        <v>253</v>
      </c>
      <c r="E52" t="s">
        <v>248</v>
      </c>
      <c r="F52" t="s">
        <v>240</v>
      </c>
      <c r="G52" t="s">
        <v>82</v>
      </c>
      <c r="J52" t="s">
        <v>258</v>
      </c>
      <c r="K52" t="s">
        <v>255</v>
      </c>
      <c r="L52">
        <v>7900000</v>
      </c>
      <c r="M52" t="s">
        <v>242</v>
      </c>
      <c r="N52" t="s">
        <v>309</v>
      </c>
      <c r="O52">
        <v>1</v>
      </c>
      <c r="P52" t="s">
        <v>257</v>
      </c>
    </row>
    <row r="53" spans="1:16" hidden="1" x14ac:dyDescent="0.25">
      <c r="A53" s="16">
        <v>45536</v>
      </c>
      <c r="B53" t="s">
        <v>35</v>
      </c>
      <c r="C53">
        <v>16</v>
      </c>
      <c r="D53" t="s">
        <v>253</v>
      </c>
      <c r="E53" t="s">
        <v>248</v>
      </c>
      <c r="F53" t="s">
        <v>240</v>
      </c>
      <c r="G53" t="s">
        <v>82</v>
      </c>
      <c r="J53" t="s">
        <v>189</v>
      </c>
      <c r="K53" t="s">
        <v>255</v>
      </c>
      <c r="L53">
        <v>7890000</v>
      </c>
      <c r="M53" t="s">
        <v>242</v>
      </c>
      <c r="N53" t="s">
        <v>310</v>
      </c>
      <c r="O53">
        <v>1</v>
      </c>
      <c r="P53" t="s">
        <v>261</v>
      </c>
    </row>
    <row r="54" spans="1:16" hidden="1" x14ac:dyDescent="0.25">
      <c r="A54" s="16">
        <v>45536</v>
      </c>
      <c r="B54" t="s">
        <v>35</v>
      </c>
      <c r="C54">
        <v>17</v>
      </c>
      <c r="D54" t="s">
        <v>291</v>
      </c>
      <c r="E54" t="s">
        <v>292</v>
      </c>
      <c r="F54" t="s">
        <v>240</v>
      </c>
      <c r="G54" t="s">
        <v>82</v>
      </c>
      <c r="H54" t="s">
        <v>83</v>
      </c>
      <c r="J54" t="s">
        <v>189</v>
      </c>
      <c r="K54" t="s">
        <v>250</v>
      </c>
      <c r="L54">
        <v>6800000</v>
      </c>
      <c r="M54" t="s">
        <v>242</v>
      </c>
      <c r="N54" t="s">
        <v>311</v>
      </c>
    </row>
    <row r="55" spans="1:16" hidden="1" x14ac:dyDescent="0.25">
      <c r="A55" s="16">
        <v>45536</v>
      </c>
      <c r="B55" t="s">
        <v>35</v>
      </c>
      <c r="C55">
        <v>17</v>
      </c>
      <c r="D55" t="s">
        <v>291</v>
      </c>
      <c r="E55" t="s">
        <v>292</v>
      </c>
      <c r="F55" t="s">
        <v>240</v>
      </c>
      <c r="G55" t="s">
        <v>82</v>
      </c>
      <c r="H55" t="s">
        <v>84</v>
      </c>
      <c r="J55" t="s">
        <v>189</v>
      </c>
      <c r="K55" t="s">
        <v>250</v>
      </c>
      <c r="L55">
        <v>1090000</v>
      </c>
      <c r="M55" t="s">
        <v>242</v>
      </c>
      <c r="N55" t="s">
        <v>312</v>
      </c>
    </row>
    <row r="56" spans="1:16" hidden="1" x14ac:dyDescent="0.25">
      <c r="A56" s="16">
        <v>45536</v>
      </c>
      <c r="B56" t="s">
        <v>35</v>
      </c>
      <c r="C56">
        <v>18</v>
      </c>
      <c r="D56" t="s">
        <v>291</v>
      </c>
      <c r="E56" t="s">
        <v>292</v>
      </c>
      <c r="F56" t="s">
        <v>240</v>
      </c>
      <c r="G56" t="s">
        <v>82</v>
      </c>
      <c r="H56" t="s">
        <v>83</v>
      </c>
      <c r="I56" t="s">
        <v>313</v>
      </c>
      <c r="J56" t="s">
        <v>189</v>
      </c>
      <c r="K56" t="s">
        <v>250</v>
      </c>
      <c r="L56">
        <v>3.4</v>
      </c>
      <c r="M56" t="s">
        <v>251</v>
      </c>
      <c r="N56" t="s">
        <v>314</v>
      </c>
    </row>
    <row r="57" spans="1:16" hidden="1" x14ac:dyDescent="0.25">
      <c r="A57" s="16">
        <v>45536</v>
      </c>
      <c r="B57" t="s">
        <v>35</v>
      </c>
      <c r="C57">
        <v>18</v>
      </c>
      <c r="D57" t="s">
        <v>291</v>
      </c>
      <c r="E57" t="s">
        <v>292</v>
      </c>
      <c r="F57" t="s">
        <v>240</v>
      </c>
      <c r="G57" t="s">
        <v>82</v>
      </c>
      <c r="H57" t="s">
        <v>83</v>
      </c>
      <c r="I57" t="s">
        <v>315</v>
      </c>
      <c r="J57" t="s">
        <v>189</v>
      </c>
      <c r="K57" t="s">
        <v>250</v>
      </c>
      <c r="L57">
        <v>85</v>
      </c>
      <c r="M57" t="s">
        <v>251</v>
      </c>
      <c r="N57" t="s">
        <v>316</v>
      </c>
    </row>
    <row r="58" spans="1:16" hidden="1" x14ac:dyDescent="0.25">
      <c r="A58" s="16">
        <v>45536</v>
      </c>
      <c r="B58" t="s">
        <v>35</v>
      </c>
      <c r="C58">
        <v>18</v>
      </c>
      <c r="D58" t="s">
        <v>291</v>
      </c>
      <c r="E58" t="s">
        <v>292</v>
      </c>
      <c r="F58" t="s">
        <v>240</v>
      </c>
      <c r="G58" t="s">
        <v>82</v>
      </c>
      <c r="H58" t="s">
        <v>83</v>
      </c>
      <c r="I58" t="s">
        <v>317</v>
      </c>
      <c r="J58" t="s">
        <v>189</v>
      </c>
      <c r="K58" t="s">
        <v>250</v>
      </c>
      <c r="L58">
        <v>11.6</v>
      </c>
      <c r="M58" t="s">
        <v>251</v>
      </c>
      <c r="N58" t="s">
        <v>318</v>
      </c>
    </row>
    <row r="59" spans="1:16" hidden="1" x14ac:dyDescent="0.25">
      <c r="A59" s="16">
        <v>45536</v>
      </c>
      <c r="B59" t="s">
        <v>35</v>
      </c>
      <c r="C59">
        <v>18</v>
      </c>
      <c r="D59" t="s">
        <v>291</v>
      </c>
      <c r="E59" t="s">
        <v>292</v>
      </c>
      <c r="F59" t="s">
        <v>240</v>
      </c>
      <c r="G59" t="s">
        <v>82</v>
      </c>
      <c r="H59" t="s">
        <v>84</v>
      </c>
      <c r="I59" t="s">
        <v>319</v>
      </c>
      <c r="J59" t="s">
        <v>189</v>
      </c>
      <c r="K59" t="s">
        <v>250</v>
      </c>
      <c r="L59">
        <v>99.5</v>
      </c>
      <c r="M59" t="s">
        <v>251</v>
      </c>
      <c r="N59" t="s">
        <v>320</v>
      </c>
    </row>
    <row r="60" spans="1:16" hidden="1" x14ac:dyDescent="0.25">
      <c r="A60" s="16">
        <v>45536</v>
      </c>
      <c r="B60" t="s">
        <v>35</v>
      </c>
      <c r="C60">
        <v>18</v>
      </c>
      <c r="D60" t="s">
        <v>291</v>
      </c>
      <c r="E60" t="s">
        <v>292</v>
      </c>
      <c r="F60" t="s">
        <v>240</v>
      </c>
      <c r="G60" t="s">
        <v>82</v>
      </c>
      <c r="H60" t="s">
        <v>84</v>
      </c>
      <c r="I60" t="s">
        <v>321</v>
      </c>
      <c r="J60" t="s">
        <v>189</v>
      </c>
      <c r="K60" t="s">
        <v>250</v>
      </c>
      <c r="L60">
        <v>0.5</v>
      </c>
      <c r="M60" t="s">
        <v>251</v>
      </c>
      <c r="N60" t="s">
        <v>322</v>
      </c>
    </row>
    <row r="61" spans="1:16" hidden="1" x14ac:dyDescent="0.25">
      <c r="A61" s="16">
        <v>45536</v>
      </c>
      <c r="B61" t="s">
        <v>35</v>
      </c>
      <c r="C61">
        <v>19</v>
      </c>
      <c r="D61" t="s">
        <v>247</v>
      </c>
      <c r="E61" t="s">
        <v>248</v>
      </c>
      <c r="F61" t="s">
        <v>244</v>
      </c>
      <c r="G61" t="s">
        <v>82</v>
      </c>
      <c r="H61" t="s">
        <v>249</v>
      </c>
      <c r="J61" t="s">
        <v>189</v>
      </c>
      <c r="K61" t="s">
        <v>250</v>
      </c>
      <c r="L61">
        <v>1</v>
      </c>
      <c r="M61" t="s">
        <v>251</v>
      </c>
      <c r="N61" t="s">
        <v>323</v>
      </c>
    </row>
    <row r="62" spans="1:16" hidden="1" x14ac:dyDescent="0.25">
      <c r="A62" s="16">
        <v>45536</v>
      </c>
      <c r="B62" t="s">
        <v>35</v>
      </c>
      <c r="C62">
        <v>19</v>
      </c>
      <c r="D62" t="s">
        <v>253</v>
      </c>
      <c r="E62" t="s">
        <v>248</v>
      </c>
      <c r="F62" t="s">
        <v>244</v>
      </c>
      <c r="G62" t="s">
        <v>82</v>
      </c>
      <c r="J62" t="s">
        <v>254</v>
      </c>
      <c r="K62" t="s">
        <v>255</v>
      </c>
      <c r="L62">
        <v>1120000000</v>
      </c>
      <c r="M62" t="s">
        <v>245</v>
      </c>
      <c r="N62" t="s">
        <v>324</v>
      </c>
      <c r="O62">
        <v>1</v>
      </c>
      <c r="P62" t="s">
        <v>257</v>
      </c>
    </row>
    <row r="63" spans="1:16" hidden="1" x14ac:dyDescent="0.25">
      <c r="A63" s="16">
        <v>45536</v>
      </c>
      <c r="B63" t="s">
        <v>35</v>
      </c>
      <c r="C63">
        <v>19</v>
      </c>
      <c r="D63" t="s">
        <v>253</v>
      </c>
      <c r="E63" t="s">
        <v>248</v>
      </c>
      <c r="F63" t="s">
        <v>244</v>
      </c>
      <c r="G63" t="s">
        <v>82</v>
      </c>
      <c r="J63" t="s">
        <v>258</v>
      </c>
      <c r="K63" t="s">
        <v>255</v>
      </c>
      <c r="L63">
        <v>1160000000</v>
      </c>
      <c r="M63" t="s">
        <v>245</v>
      </c>
      <c r="N63" t="s">
        <v>325</v>
      </c>
      <c r="O63">
        <v>1</v>
      </c>
      <c r="P63" t="s">
        <v>257</v>
      </c>
    </row>
    <row r="64" spans="1:16" hidden="1" x14ac:dyDescent="0.25">
      <c r="A64" s="16">
        <v>45536</v>
      </c>
      <c r="B64" t="s">
        <v>35</v>
      </c>
      <c r="C64">
        <v>19</v>
      </c>
      <c r="D64" t="s">
        <v>253</v>
      </c>
      <c r="E64" t="s">
        <v>248</v>
      </c>
      <c r="F64" t="s">
        <v>244</v>
      </c>
      <c r="G64" t="s">
        <v>82</v>
      </c>
      <c r="J64" t="s">
        <v>189</v>
      </c>
      <c r="K64" t="s">
        <v>255</v>
      </c>
      <c r="L64">
        <v>1140000000</v>
      </c>
      <c r="M64" t="s">
        <v>245</v>
      </c>
      <c r="N64" t="s">
        <v>326</v>
      </c>
      <c r="O64">
        <v>1</v>
      </c>
      <c r="P64" t="s">
        <v>261</v>
      </c>
    </row>
    <row r="65" spans="1:16" hidden="1" x14ac:dyDescent="0.25">
      <c r="A65" s="16">
        <v>45536</v>
      </c>
      <c r="B65" t="s">
        <v>35</v>
      </c>
      <c r="C65">
        <v>20</v>
      </c>
      <c r="D65" t="s">
        <v>291</v>
      </c>
      <c r="E65" t="s">
        <v>292</v>
      </c>
      <c r="F65" t="s">
        <v>244</v>
      </c>
      <c r="G65" t="s">
        <v>82</v>
      </c>
      <c r="H65" t="s">
        <v>83</v>
      </c>
      <c r="J65" t="s">
        <v>189</v>
      </c>
      <c r="K65" t="s">
        <v>250</v>
      </c>
      <c r="L65">
        <v>936100000</v>
      </c>
      <c r="M65" t="s">
        <v>245</v>
      </c>
      <c r="N65" t="s">
        <v>327</v>
      </c>
    </row>
    <row r="66" spans="1:16" hidden="1" x14ac:dyDescent="0.25">
      <c r="A66" s="16">
        <v>45536</v>
      </c>
      <c r="B66" t="s">
        <v>35</v>
      </c>
      <c r="C66">
        <v>20</v>
      </c>
      <c r="D66" t="s">
        <v>291</v>
      </c>
      <c r="E66" t="s">
        <v>292</v>
      </c>
      <c r="F66" t="s">
        <v>244</v>
      </c>
      <c r="G66" t="s">
        <v>82</v>
      </c>
      <c r="H66" t="s">
        <v>84</v>
      </c>
      <c r="J66" t="s">
        <v>189</v>
      </c>
      <c r="K66" t="s">
        <v>250</v>
      </c>
      <c r="L66">
        <v>208200000</v>
      </c>
      <c r="M66" t="s">
        <v>245</v>
      </c>
      <c r="N66" t="s">
        <v>328</v>
      </c>
    </row>
    <row r="67" spans="1:16" hidden="1" x14ac:dyDescent="0.25">
      <c r="A67" s="16">
        <v>45536</v>
      </c>
      <c r="B67" t="s">
        <v>35</v>
      </c>
      <c r="C67">
        <v>21</v>
      </c>
      <c r="D67" t="s">
        <v>291</v>
      </c>
      <c r="E67" t="s">
        <v>292</v>
      </c>
      <c r="F67" t="s">
        <v>244</v>
      </c>
      <c r="G67" t="s">
        <v>82</v>
      </c>
      <c r="H67" t="s">
        <v>83</v>
      </c>
      <c r="I67" t="s">
        <v>313</v>
      </c>
      <c r="J67" t="s">
        <v>189</v>
      </c>
      <c r="K67" t="s">
        <v>250</v>
      </c>
      <c r="L67">
        <v>5.3</v>
      </c>
      <c r="M67" t="s">
        <v>251</v>
      </c>
      <c r="N67" t="s">
        <v>329</v>
      </c>
    </row>
    <row r="68" spans="1:16" hidden="1" x14ac:dyDescent="0.25">
      <c r="A68" s="16">
        <v>45536</v>
      </c>
      <c r="B68" t="s">
        <v>35</v>
      </c>
      <c r="C68">
        <v>21</v>
      </c>
      <c r="D68" t="s">
        <v>291</v>
      </c>
      <c r="E68" t="s">
        <v>292</v>
      </c>
      <c r="F68" t="s">
        <v>244</v>
      </c>
      <c r="G68" t="s">
        <v>82</v>
      </c>
      <c r="H68" t="s">
        <v>83</v>
      </c>
      <c r="I68" t="s">
        <v>315</v>
      </c>
      <c r="J68" t="s">
        <v>189</v>
      </c>
      <c r="K68" t="s">
        <v>250</v>
      </c>
      <c r="L68">
        <v>73.8</v>
      </c>
      <c r="M68" t="s">
        <v>251</v>
      </c>
      <c r="N68" t="s">
        <v>330</v>
      </c>
    </row>
    <row r="69" spans="1:16" hidden="1" x14ac:dyDescent="0.25">
      <c r="A69" s="16">
        <v>45536</v>
      </c>
      <c r="B69" t="s">
        <v>35</v>
      </c>
      <c r="C69">
        <v>21</v>
      </c>
      <c r="D69" t="s">
        <v>291</v>
      </c>
      <c r="E69" t="s">
        <v>292</v>
      </c>
      <c r="F69" t="s">
        <v>244</v>
      </c>
      <c r="G69" t="s">
        <v>82</v>
      </c>
      <c r="H69" t="s">
        <v>83</v>
      </c>
      <c r="I69" t="s">
        <v>317</v>
      </c>
      <c r="J69" t="s">
        <v>189</v>
      </c>
      <c r="K69" t="s">
        <v>250</v>
      </c>
      <c r="L69">
        <v>20.9</v>
      </c>
      <c r="M69" t="s">
        <v>251</v>
      </c>
      <c r="N69" t="s">
        <v>331</v>
      </c>
    </row>
    <row r="70" spans="1:16" hidden="1" x14ac:dyDescent="0.25">
      <c r="A70" s="16">
        <v>45536</v>
      </c>
      <c r="B70" t="s">
        <v>35</v>
      </c>
      <c r="C70">
        <v>21</v>
      </c>
      <c r="D70" t="s">
        <v>291</v>
      </c>
      <c r="E70" t="s">
        <v>292</v>
      </c>
      <c r="F70" t="s">
        <v>244</v>
      </c>
      <c r="G70" t="s">
        <v>82</v>
      </c>
      <c r="H70" t="s">
        <v>84</v>
      </c>
      <c r="I70" t="s">
        <v>319</v>
      </c>
      <c r="J70" t="s">
        <v>189</v>
      </c>
      <c r="K70" t="s">
        <v>250</v>
      </c>
      <c r="L70">
        <v>99.92</v>
      </c>
      <c r="M70" t="s">
        <v>251</v>
      </c>
      <c r="N70" t="s">
        <v>332</v>
      </c>
    </row>
    <row r="71" spans="1:16" hidden="1" x14ac:dyDescent="0.25">
      <c r="A71" s="16">
        <v>45536</v>
      </c>
      <c r="B71" t="s">
        <v>35</v>
      </c>
      <c r="C71">
        <v>21</v>
      </c>
      <c r="D71" t="s">
        <v>291</v>
      </c>
      <c r="E71" t="s">
        <v>292</v>
      </c>
      <c r="F71" t="s">
        <v>244</v>
      </c>
      <c r="G71" t="s">
        <v>82</v>
      </c>
      <c r="H71" t="s">
        <v>84</v>
      </c>
      <c r="I71" t="s">
        <v>321</v>
      </c>
      <c r="J71" t="s">
        <v>189</v>
      </c>
      <c r="K71" t="s">
        <v>250</v>
      </c>
      <c r="L71">
        <v>0.08</v>
      </c>
      <c r="M71" t="s">
        <v>251</v>
      </c>
      <c r="N71" t="s">
        <v>333</v>
      </c>
    </row>
    <row r="72" spans="1:16" hidden="1" x14ac:dyDescent="0.25">
      <c r="A72" s="16">
        <v>45536</v>
      </c>
      <c r="B72" t="s">
        <v>35</v>
      </c>
      <c r="C72">
        <v>22</v>
      </c>
      <c r="D72" t="s">
        <v>253</v>
      </c>
      <c r="E72" t="s">
        <v>248</v>
      </c>
      <c r="F72" t="s">
        <v>334</v>
      </c>
      <c r="G72" t="s">
        <v>82</v>
      </c>
      <c r="J72" t="s">
        <v>254</v>
      </c>
      <c r="K72" t="s">
        <v>255</v>
      </c>
      <c r="L72">
        <v>151</v>
      </c>
      <c r="M72" t="s">
        <v>245</v>
      </c>
      <c r="N72" t="s">
        <v>335</v>
      </c>
      <c r="O72">
        <v>1</v>
      </c>
      <c r="P72" t="s">
        <v>257</v>
      </c>
    </row>
    <row r="73" spans="1:16" hidden="1" x14ac:dyDescent="0.25">
      <c r="A73" s="16">
        <v>45536</v>
      </c>
      <c r="B73" t="s">
        <v>35</v>
      </c>
      <c r="C73">
        <v>22</v>
      </c>
      <c r="D73" t="s">
        <v>253</v>
      </c>
      <c r="E73" t="s">
        <v>248</v>
      </c>
      <c r="F73" t="s">
        <v>334</v>
      </c>
      <c r="G73" t="s">
        <v>82</v>
      </c>
      <c r="J73" t="s">
        <v>258</v>
      </c>
      <c r="K73" t="s">
        <v>255</v>
      </c>
      <c r="L73">
        <v>146</v>
      </c>
      <c r="M73" t="s">
        <v>245</v>
      </c>
      <c r="N73" t="s">
        <v>336</v>
      </c>
      <c r="O73">
        <v>1</v>
      </c>
      <c r="P73" t="s">
        <v>257</v>
      </c>
    </row>
    <row r="74" spans="1:16" hidden="1" x14ac:dyDescent="0.25">
      <c r="A74" s="16">
        <v>45536</v>
      </c>
      <c r="B74" t="s">
        <v>35</v>
      </c>
      <c r="C74">
        <v>22</v>
      </c>
      <c r="D74" t="s">
        <v>253</v>
      </c>
      <c r="E74" t="s">
        <v>248</v>
      </c>
      <c r="F74" t="s">
        <v>334</v>
      </c>
      <c r="G74" t="s">
        <v>82</v>
      </c>
      <c r="J74" t="s">
        <v>189</v>
      </c>
      <c r="K74" t="s">
        <v>255</v>
      </c>
      <c r="L74">
        <v>145</v>
      </c>
      <c r="M74" t="s">
        <v>245</v>
      </c>
      <c r="N74" t="s">
        <v>337</v>
      </c>
      <c r="O74">
        <v>1</v>
      </c>
      <c r="P74" t="s">
        <v>261</v>
      </c>
    </row>
    <row r="75" spans="1:16" hidden="1" x14ac:dyDescent="0.25">
      <c r="A75" s="16">
        <v>45536</v>
      </c>
      <c r="B75" t="s">
        <v>35</v>
      </c>
      <c r="C75">
        <v>23</v>
      </c>
      <c r="D75" t="s">
        <v>291</v>
      </c>
      <c r="E75" t="s">
        <v>292</v>
      </c>
      <c r="F75" t="s">
        <v>240</v>
      </c>
      <c r="G75" t="s">
        <v>82</v>
      </c>
      <c r="H75" t="s">
        <v>94</v>
      </c>
      <c r="J75" t="s">
        <v>189</v>
      </c>
      <c r="K75" t="s">
        <v>250</v>
      </c>
      <c r="L75">
        <v>3710000</v>
      </c>
      <c r="M75" t="s">
        <v>242</v>
      </c>
      <c r="N75" t="s">
        <v>338</v>
      </c>
    </row>
    <row r="76" spans="1:16" hidden="1" x14ac:dyDescent="0.25">
      <c r="A76" s="16">
        <v>45536</v>
      </c>
      <c r="B76" t="s">
        <v>35</v>
      </c>
      <c r="C76">
        <v>23</v>
      </c>
      <c r="D76" t="s">
        <v>291</v>
      </c>
      <c r="E76" t="s">
        <v>292</v>
      </c>
      <c r="F76" t="s">
        <v>240</v>
      </c>
      <c r="G76" t="s">
        <v>82</v>
      </c>
      <c r="H76" t="s">
        <v>95</v>
      </c>
      <c r="J76" t="s">
        <v>189</v>
      </c>
      <c r="K76" t="s">
        <v>250</v>
      </c>
      <c r="L76">
        <v>1280000</v>
      </c>
      <c r="M76" t="s">
        <v>242</v>
      </c>
      <c r="N76" t="s">
        <v>339</v>
      </c>
    </row>
    <row r="77" spans="1:16" hidden="1" x14ac:dyDescent="0.25">
      <c r="A77" s="16">
        <v>45536</v>
      </c>
      <c r="B77" t="s">
        <v>35</v>
      </c>
      <c r="C77">
        <v>24</v>
      </c>
      <c r="D77" t="s">
        <v>291</v>
      </c>
      <c r="E77" t="s">
        <v>292</v>
      </c>
      <c r="F77" t="s">
        <v>244</v>
      </c>
      <c r="G77" t="s">
        <v>82</v>
      </c>
      <c r="H77" t="s">
        <v>94</v>
      </c>
      <c r="J77" t="s">
        <v>189</v>
      </c>
      <c r="K77" t="s">
        <v>250</v>
      </c>
      <c r="L77">
        <v>640400000</v>
      </c>
      <c r="M77" t="s">
        <v>245</v>
      </c>
      <c r="N77" t="s">
        <v>340</v>
      </c>
    </row>
    <row r="78" spans="1:16" hidden="1" x14ac:dyDescent="0.25">
      <c r="A78" s="16">
        <v>45536</v>
      </c>
      <c r="B78" t="s">
        <v>35</v>
      </c>
      <c r="C78">
        <v>24</v>
      </c>
      <c r="D78" t="s">
        <v>291</v>
      </c>
      <c r="E78" t="s">
        <v>292</v>
      </c>
      <c r="F78" t="s">
        <v>244</v>
      </c>
      <c r="G78" t="s">
        <v>82</v>
      </c>
      <c r="H78" t="s">
        <v>95</v>
      </c>
      <c r="J78" t="s">
        <v>189</v>
      </c>
      <c r="K78" t="s">
        <v>250</v>
      </c>
      <c r="L78">
        <v>162900000</v>
      </c>
      <c r="M78" t="s">
        <v>245</v>
      </c>
      <c r="N78" t="s">
        <v>341</v>
      </c>
    </row>
    <row r="79" spans="1:16" hidden="1" x14ac:dyDescent="0.25">
      <c r="A79" s="16">
        <v>45536</v>
      </c>
      <c r="B79" t="s">
        <v>156</v>
      </c>
      <c r="C79">
        <v>73</v>
      </c>
      <c r="D79" t="s">
        <v>238</v>
      </c>
      <c r="E79" t="s">
        <v>239</v>
      </c>
      <c r="F79" t="s">
        <v>240</v>
      </c>
      <c r="G79" t="s">
        <v>158</v>
      </c>
      <c r="J79" t="s">
        <v>189</v>
      </c>
      <c r="K79" t="s">
        <v>241</v>
      </c>
      <c r="L79">
        <v>4810000</v>
      </c>
      <c r="M79" t="s">
        <v>242</v>
      </c>
      <c r="N79" t="s">
        <v>342</v>
      </c>
    </row>
    <row r="80" spans="1:16" hidden="1" x14ac:dyDescent="0.25">
      <c r="A80" s="16">
        <v>45536</v>
      </c>
      <c r="B80" t="s">
        <v>156</v>
      </c>
      <c r="C80">
        <v>73</v>
      </c>
      <c r="D80" t="s">
        <v>238</v>
      </c>
      <c r="E80" t="s">
        <v>239</v>
      </c>
      <c r="F80" t="s">
        <v>244</v>
      </c>
      <c r="G80" t="s">
        <v>158</v>
      </c>
      <c r="J80" t="s">
        <v>189</v>
      </c>
      <c r="K80" t="s">
        <v>241</v>
      </c>
      <c r="L80">
        <v>29690000000</v>
      </c>
      <c r="M80" t="s">
        <v>245</v>
      </c>
      <c r="N80" t="s">
        <v>343</v>
      </c>
    </row>
    <row r="81" spans="1:16" hidden="1" x14ac:dyDescent="0.25">
      <c r="A81" s="16">
        <v>45536</v>
      </c>
      <c r="B81" t="s">
        <v>156</v>
      </c>
      <c r="C81">
        <v>74</v>
      </c>
      <c r="D81" t="s">
        <v>247</v>
      </c>
      <c r="E81" t="s">
        <v>248</v>
      </c>
      <c r="F81" t="s">
        <v>344</v>
      </c>
      <c r="G81" t="s">
        <v>158</v>
      </c>
      <c r="H81" t="s">
        <v>286</v>
      </c>
      <c r="J81" t="s">
        <v>189</v>
      </c>
      <c r="K81" t="s">
        <v>250</v>
      </c>
      <c r="L81">
        <v>31.6</v>
      </c>
      <c r="M81" t="s">
        <v>251</v>
      </c>
      <c r="N81" t="s">
        <v>345</v>
      </c>
    </row>
    <row r="82" spans="1:16" hidden="1" x14ac:dyDescent="0.25">
      <c r="A82" s="16">
        <v>45536</v>
      </c>
      <c r="B82" t="s">
        <v>156</v>
      </c>
      <c r="C82">
        <v>74</v>
      </c>
      <c r="D82" t="s">
        <v>253</v>
      </c>
      <c r="E82" t="s">
        <v>248</v>
      </c>
      <c r="F82" t="s">
        <v>344</v>
      </c>
      <c r="G82" t="s">
        <v>158</v>
      </c>
      <c r="J82" t="s">
        <v>254</v>
      </c>
      <c r="K82" t="s">
        <v>255</v>
      </c>
      <c r="L82">
        <v>569000</v>
      </c>
      <c r="M82" t="s">
        <v>242</v>
      </c>
      <c r="N82" t="s">
        <v>346</v>
      </c>
      <c r="O82">
        <v>1</v>
      </c>
      <c r="P82" t="s">
        <v>257</v>
      </c>
    </row>
    <row r="83" spans="1:16" hidden="1" x14ac:dyDescent="0.25">
      <c r="A83" s="16">
        <v>45536</v>
      </c>
      <c r="B83" t="s">
        <v>156</v>
      </c>
      <c r="C83">
        <v>74</v>
      </c>
      <c r="D83" t="s">
        <v>253</v>
      </c>
      <c r="E83" t="s">
        <v>248</v>
      </c>
      <c r="F83" t="s">
        <v>344</v>
      </c>
      <c r="G83" t="s">
        <v>158</v>
      </c>
      <c r="J83" t="s">
        <v>258</v>
      </c>
      <c r="K83" t="s">
        <v>255</v>
      </c>
      <c r="L83">
        <v>474000</v>
      </c>
      <c r="M83" t="s">
        <v>242</v>
      </c>
      <c r="N83" t="s">
        <v>347</v>
      </c>
      <c r="O83">
        <v>1</v>
      </c>
      <c r="P83" t="s">
        <v>257</v>
      </c>
    </row>
    <row r="84" spans="1:16" hidden="1" x14ac:dyDescent="0.25">
      <c r="A84" s="16">
        <v>45536</v>
      </c>
      <c r="B84" t="s">
        <v>156</v>
      </c>
      <c r="C84">
        <v>74</v>
      </c>
      <c r="D84" t="s">
        <v>253</v>
      </c>
      <c r="E84" t="s">
        <v>248</v>
      </c>
      <c r="F84" t="s">
        <v>344</v>
      </c>
      <c r="G84" t="s">
        <v>158</v>
      </c>
      <c r="J84" t="s">
        <v>189</v>
      </c>
      <c r="K84" t="s">
        <v>255</v>
      </c>
      <c r="L84">
        <v>624000</v>
      </c>
      <c r="M84" t="s">
        <v>242</v>
      </c>
      <c r="N84" t="s">
        <v>348</v>
      </c>
      <c r="O84">
        <v>1</v>
      </c>
      <c r="P84" t="s">
        <v>261</v>
      </c>
    </row>
    <row r="85" spans="1:16" hidden="1" x14ac:dyDescent="0.25">
      <c r="A85" s="16">
        <v>45536</v>
      </c>
      <c r="B85" t="s">
        <v>156</v>
      </c>
      <c r="C85">
        <v>75</v>
      </c>
      <c r="D85" t="s">
        <v>247</v>
      </c>
      <c r="E85" t="s">
        <v>248</v>
      </c>
      <c r="F85" t="s">
        <v>349</v>
      </c>
      <c r="G85" t="s">
        <v>158</v>
      </c>
      <c r="H85" t="s">
        <v>286</v>
      </c>
      <c r="J85" t="s">
        <v>189</v>
      </c>
      <c r="K85" t="s">
        <v>250</v>
      </c>
      <c r="L85">
        <v>52.1</v>
      </c>
      <c r="M85" t="s">
        <v>251</v>
      </c>
      <c r="N85" t="s">
        <v>350</v>
      </c>
    </row>
    <row r="86" spans="1:16" hidden="1" x14ac:dyDescent="0.25">
      <c r="A86" s="16">
        <v>45536</v>
      </c>
      <c r="B86" t="s">
        <v>156</v>
      </c>
      <c r="C86">
        <v>75</v>
      </c>
      <c r="D86" t="s">
        <v>253</v>
      </c>
      <c r="E86" t="s">
        <v>248</v>
      </c>
      <c r="F86" t="s">
        <v>349</v>
      </c>
      <c r="G86" t="s">
        <v>158</v>
      </c>
      <c r="J86" t="s">
        <v>254</v>
      </c>
      <c r="K86" t="s">
        <v>255</v>
      </c>
      <c r="L86">
        <v>19200</v>
      </c>
      <c r="M86" t="s">
        <v>242</v>
      </c>
      <c r="N86" t="s">
        <v>351</v>
      </c>
      <c r="O86">
        <v>1</v>
      </c>
      <c r="P86" t="s">
        <v>257</v>
      </c>
    </row>
    <row r="87" spans="1:16" hidden="1" x14ac:dyDescent="0.25">
      <c r="A87" s="16">
        <v>45536</v>
      </c>
      <c r="B87" t="s">
        <v>156</v>
      </c>
      <c r="C87">
        <v>75</v>
      </c>
      <c r="D87" t="s">
        <v>253</v>
      </c>
      <c r="E87" t="s">
        <v>248</v>
      </c>
      <c r="F87" t="s">
        <v>349</v>
      </c>
      <c r="G87" t="s">
        <v>158</v>
      </c>
      <c r="J87" t="s">
        <v>258</v>
      </c>
      <c r="K87" t="s">
        <v>255</v>
      </c>
      <c r="L87">
        <v>13800</v>
      </c>
      <c r="M87" t="s">
        <v>242</v>
      </c>
      <c r="N87" t="s">
        <v>352</v>
      </c>
      <c r="O87">
        <v>1</v>
      </c>
      <c r="P87" t="s">
        <v>257</v>
      </c>
    </row>
    <row r="88" spans="1:16" hidden="1" x14ac:dyDescent="0.25">
      <c r="A88" s="16">
        <v>45536</v>
      </c>
      <c r="B88" t="s">
        <v>156</v>
      </c>
      <c r="C88">
        <v>75</v>
      </c>
      <c r="D88" t="s">
        <v>253</v>
      </c>
      <c r="E88" t="s">
        <v>248</v>
      </c>
      <c r="F88" t="s">
        <v>349</v>
      </c>
      <c r="G88" t="s">
        <v>158</v>
      </c>
      <c r="J88" t="s">
        <v>189</v>
      </c>
      <c r="K88" t="s">
        <v>255</v>
      </c>
      <c r="L88">
        <v>20900</v>
      </c>
      <c r="M88" t="s">
        <v>242</v>
      </c>
      <c r="N88" t="s">
        <v>353</v>
      </c>
      <c r="O88">
        <v>1</v>
      </c>
      <c r="P88" t="s">
        <v>261</v>
      </c>
    </row>
    <row r="89" spans="1:16" hidden="1" x14ac:dyDescent="0.25">
      <c r="A89" s="16">
        <v>45536</v>
      </c>
      <c r="B89" t="s">
        <v>156</v>
      </c>
      <c r="C89">
        <v>76</v>
      </c>
      <c r="D89" t="s">
        <v>291</v>
      </c>
      <c r="E89" t="s">
        <v>292</v>
      </c>
      <c r="F89" t="s">
        <v>349</v>
      </c>
      <c r="G89" t="s">
        <v>158</v>
      </c>
      <c r="H89" t="s">
        <v>159</v>
      </c>
      <c r="J89" t="s">
        <v>189</v>
      </c>
      <c r="K89" t="s">
        <v>250</v>
      </c>
      <c r="L89">
        <v>14443</v>
      </c>
      <c r="M89" t="s">
        <v>242</v>
      </c>
      <c r="N89" t="s">
        <v>354</v>
      </c>
    </row>
    <row r="90" spans="1:16" hidden="1" x14ac:dyDescent="0.25">
      <c r="A90" s="16">
        <v>45536</v>
      </c>
      <c r="B90" t="s">
        <v>156</v>
      </c>
      <c r="C90">
        <v>76</v>
      </c>
      <c r="D90" t="s">
        <v>291</v>
      </c>
      <c r="E90" t="s">
        <v>292</v>
      </c>
      <c r="F90" t="s">
        <v>349</v>
      </c>
      <c r="G90" t="s">
        <v>158</v>
      </c>
      <c r="H90" t="s">
        <v>160</v>
      </c>
      <c r="J90" t="s">
        <v>189</v>
      </c>
      <c r="K90" t="s">
        <v>250</v>
      </c>
      <c r="L90">
        <v>6505</v>
      </c>
      <c r="M90" t="s">
        <v>242</v>
      </c>
      <c r="N90" t="s">
        <v>355</v>
      </c>
    </row>
    <row r="91" spans="1:16" hidden="1" x14ac:dyDescent="0.25">
      <c r="A91" s="16">
        <v>45536</v>
      </c>
      <c r="B91" t="s">
        <v>156</v>
      </c>
      <c r="C91">
        <v>77</v>
      </c>
      <c r="D91" t="s">
        <v>247</v>
      </c>
      <c r="E91" t="s">
        <v>248</v>
      </c>
      <c r="F91" t="s">
        <v>356</v>
      </c>
      <c r="G91" t="s">
        <v>158</v>
      </c>
      <c r="H91" t="s">
        <v>286</v>
      </c>
      <c r="J91" t="s">
        <v>189</v>
      </c>
      <c r="K91" t="s">
        <v>250</v>
      </c>
      <c r="L91">
        <v>8.6999999999999993</v>
      </c>
      <c r="M91" t="s">
        <v>251</v>
      </c>
      <c r="N91" t="s">
        <v>357</v>
      </c>
    </row>
    <row r="92" spans="1:16" hidden="1" x14ac:dyDescent="0.25">
      <c r="A92" s="16">
        <v>45536</v>
      </c>
      <c r="B92" t="s">
        <v>156</v>
      </c>
      <c r="C92">
        <v>77</v>
      </c>
      <c r="D92" t="s">
        <v>253</v>
      </c>
      <c r="E92" t="s">
        <v>248</v>
      </c>
      <c r="F92" t="s">
        <v>356</v>
      </c>
      <c r="G92" t="s">
        <v>158</v>
      </c>
      <c r="J92" t="s">
        <v>254</v>
      </c>
      <c r="K92" t="s">
        <v>255</v>
      </c>
      <c r="L92">
        <v>3650000000</v>
      </c>
      <c r="M92" t="s">
        <v>245</v>
      </c>
      <c r="N92" t="s">
        <v>358</v>
      </c>
      <c r="O92">
        <v>1</v>
      </c>
      <c r="P92" t="s">
        <v>257</v>
      </c>
    </row>
    <row r="93" spans="1:16" hidden="1" x14ac:dyDescent="0.25">
      <c r="A93" s="16">
        <v>45536</v>
      </c>
      <c r="B93" t="s">
        <v>156</v>
      </c>
      <c r="C93">
        <v>77</v>
      </c>
      <c r="D93" t="s">
        <v>253</v>
      </c>
      <c r="E93" t="s">
        <v>248</v>
      </c>
      <c r="F93" t="s">
        <v>356</v>
      </c>
      <c r="G93" t="s">
        <v>158</v>
      </c>
      <c r="J93" t="s">
        <v>258</v>
      </c>
      <c r="K93" t="s">
        <v>255</v>
      </c>
      <c r="L93">
        <v>3240000000</v>
      </c>
      <c r="M93" t="s">
        <v>245</v>
      </c>
      <c r="N93" t="s">
        <v>359</v>
      </c>
      <c r="O93">
        <v>1</v>
      </c>
      <c r="P93" t="s">
        <v>257</v>
      </c>
    </row>
    <row r="94" spans="1:16" hidden="1" x14ac:dyDescent="0.25">
      <c r="A94" s="16">
        <v>45536</v>
      </c>
      <c r="B94" t="s">
        <v>156</v>
      </c>
      <c r="C94">
        <v>77</v>
      </c>
      <c r="D94" t="s">
        <v>253</v>
      </c>
      <c r="E94" t="s">
        <v>248</v>
      </c>
      <c r="F94" t="s">
        <v>356</v>
      </c>
      <c r="G94" t="s">
        <v>158</v>
      </c>
      <c r="J94" t="s">
        <v>189</v>
      </c>
      <c r="K94" t="s">
        <v>255</v>
      </c>
      <c r="L94">
        <v>3530000000</v>
      </c>
      <c r="M94" t="s">
        <v>245</v>
      </c>
      <c r="N94" t="s">
        <v>360</v>
      </c>
      <c r="O94">
        <v>1</v>
      </c>
      <c r="P94" t="s">
        <v>261</v>
      </c>
    </row>
    <row r="95" spans="1:16" hidden="1" x14ac:dyDescent="0.25">
      <c r="A95" s="16">
        <v>45536</v>
      </c>
      <c r="B95" t="s">
        <v>156</v>
      </c>
      <c r="C95">
        <v>78</v>
      </c>
      <c r="D95" t="s">
        <v>247</v>
      </c>
      <c r="E95" t="s">
        <v>248</v>
      </c>
      <c r="F95" t="s">
        <v>361</v>
      </c>
      <c r="G95" t="s">
        <v>158</v>
      </c>
      <c r="H95" t="s">
        <v>286</v>
      </c>
      <c r="J95" t="s">
        <v>189</v>
      </c>
      <c r="K95" t="s">
        <v>250</v>
      </c>
      <c r="L95">
        <v>11.8</v>
      </c>
      <c r="M95" t="s">
        <v>251</v>
      </c>
      <c r="N95" t="s">
        <v>362</v>
      </c>
    </row>
    <row r="96" spans="1:16" hidden="1" x14ac:dyDescent="0.25">
      <c r="A96" s="16">
        <v>45536</v>
      </c>
      <c r="B96" t="s">
        <v>156</v>
      </c>
      <c r="C96">
        <v>78</v>
      </c>
      <c r="D96" t="s">
        <v>253</v>
      </c>
      <c r="E96" t="s">
        <v>248</v>
      </c>
      <c r="F96" t="s">
        <v>361</v>
      </c>
      <c r="G96" t="s">
        <v>158</v>
      </c>
      <c r="J96" t="s">
        <v>254</v>
      </c>
      <c r="K96" t="s">
        <v>255</v>
      </c>
      <c r="L96">
        <v>142000000</v>
      </c>
      <c r="M96" t="s">
        <v>245</v>
      </c>
      <c r="N96" t="s">
        <v>363</v>
      </c>
      <c r="O96">
        <v>1</v>
      </c>
      <c r="P96" t="s">
        <v>257</v>
      </c>
    </row>
    <row r="97" spans="1:16" hidden="1" x14ac:dyDescent="0.25">
      <c r="A97" s="16">
        <v>45536</v>
      </c>
      <c r="B97" t="s">
        <v>156</v>
      </c>
      <c r="C97">
        <v>78</v>
      </c>
      <c r="D97" t="s">
        <v>253</v>
      </c>
      <c r="E97" t="s">
        <v>248</v>
      </c>
      <c r="F97" t="s">
        <v>361</v>
      </c>
      <c r="G97" t="s">
        <v>158</v>
      </c>
      <c r="J97" t="s">
        <v>258</v>
      </c>
      <c r="K97" t="s">
        <v>255</v>
      </c>
      <c r="L97">
        <v>117000000</v>
      </c>
      <c r="M97" t="s">
        <v>245</v>
      </c>
      <c r="N97" t="s">
        <v>364</v>
      </c>
      <c r="O97">
        <v>1</v>
      </c>
      <c r="P97" t="s">
        <v>257</v>
      </c>
    </row>
    <row r="98" spans="1:16" hidden="1" x14ac:dyDescent="0.25">
      <c r="A98" s="16">
        <v>45536</v>
      </c>
      <c r="B98" t="s">
        <v>156</v>
      </c>
      <c r="C98">
        <v>78</v>
      </c>
      <c r="D98" t="s">
        <v>253</v>
      </c>
      <c r="E98" t="s">
        <v>248</v>
      </c>
      <c r="F98" t="s">
        <v>361</v>
      </c>
      <c r="G98" t="s">
        <v>158</v>
      </c>
      <c r="J98" t="s">
        <v>189</v>
      </c>
      <c r="K98" t="s">
        <v>255</v>
      </c>
      <c r="L98">
        <v>130000000</v>
      </c>
      <c r="M98" t="s">
        <v>245</v>
      </c>
      <c r="N98" t="s">
        <v>365</v>
      </c>
      <c r="O98">
        <v>1</v>
      </c>
      <c r="P98" t="s">
        <v>261</v>
      </c>
    </row>
    <row r="99" spans="1:16" hidden="1" x14ac:dyDescent="0.25">
      <c r="A99" s="16">
        <v>45536</v>
      </c>
      <c r="B99" t="s">
        <v>156</v>
      </c>
      <c r="C99">
        <v>79</v>
      </c>
      <c r="D99" t="s">
        <v>291</v>
      </c>
      <c r="E99" t="s">
        <v>292</v>
      </c>
      <c r="F99" t="s">
        <v>361</v>
      </c>
      <c r="G99" t="s">
        <v>158</v>
      </c>
      <c r="H99" t="s">
        <v>159</v>
      </c>
      <c r="J99" t="s">
        <v>189</v>
      </c>
      <c r="K99" t="s">
        <v>250</v>
      </c>
      <c r="L99">
        <v>95400000</v>
      </c>
      <c r="M99" t="s">
        <v>245</v>
      </c>
      <c r="N99" t="s">
        <v>366</v>
      </c>
    </row>
    <row r="100" spans="1:16" hidden="1" x14ac:dyDescent="0.25">
      <c r="A100" s="16">
        <v>45536</v>
      </c>
      <c r="B100" t="s">
        <v>156</v>
      </c>
      <c r="C100">
        <v>79</v>
      </c>
      <c r="D100" t="s">
        <v>291</v>
      </c>
      <c r="E100" t="s">
        <v>292</v>
      </c>
      <c r="F100" t="s">
        <v>361</v>
      </c>
      <c r="G100" t="s">
        <v>158</v>
      </c>
      <c r="H100" t="s">
        <v>160</v>
      </c>
      <c r="J100" t="s">
        <v>189</v>
      </c>
      <c r="K100" t="s">
        <v>250</v>
      </c>
      <c r="L100">
        <v>34900000</v>
      </c>
      <c r="M100" t="s">
        <v>245</v>
      </c>
      <c r="N100" t="s">
        <v>367</v>
      </c>
    </row>
    <row r="101" spans="1:16" hidden="1" x14ac:dyDescent="0.25">
      <c r="A101" s="16">
        <v>45536</v>
      </c>
      <c r="B101" t="s">
        <v>120</v>
      </c>
      <c r="C101">
        <v>55</v>
      </c>
      <c r="D101" t="s">
        <v>238</v>
      </c>
      <c r="E101" t="s">
        <v>239</v>
      </c>
      <c r="F101" t="s">
        <v>240</v>
      </c>
      <c r="G101" t="s">
        <v>82</v>
      </c>
      <c r="J101" t="s">
        <v>189</v>
      </c>
      <c r="K101" t="s">
        <v>241</v>
      </c>
      <c r="L101">
        <v>48460000</v>
      </c>
      <c r="M101" t="s">
        <v>242</v>
      </c>
      <c r="N101" t="s">
        <v>368</v>
      </c>
    </row>
    <row r="102" spans="1:16" hidden="1" x14ac:dyDescent="0.25">
      <c r="A102" s="16">
        <v>45536</v>
      </c>
      <c r="B102" t="s">
        <v>120</v>
      </c>
      <c r="C102">
        <v>55</v>
      </c>
      <c r="D102" t="s">
        <v>238</v>
      </c>
      <c r="E102" t="s">
        <v>239</v>
      </c>
      <c r="F102" t="s">
        <v>244</v>
      </c>
      <c r="G102" t="s">
        <v>82</v>
      </c>
      <c r="J102" t="s">
        <v>189</v>
      </c>
      <c r="K102" t="s">
        <v>241</v>
      </c>
      <c r="L102">
        <v>9770000000</v>
      </c>
      <c r="M102" t="s">
        <v>245</v>
      </c>
      <c r="N102" t="s">
        <v>369</v>
      </c>
    </row>
    <row r="103" spans="1:16" hidden="1" x14ac:dyDescent="0.25">
      <c r="A103" s="16">
        <v>45536</v>
      </c>
      <c r="B103" t="s">
        <v>120</v>
      </c>
      <c r="C103">
        <v>56</v>
      </c>
      <c r="D103" t="s">
        <v>247</v>
      </c>
      <c r="E103" t="s">
        <v>248</v>
      </c>
      <c r="F103" t="s">
        <v>285</v>
      </c>
      <c r="G103" t="s">
        <v>63</v>
      </c>
      <c r="H103" t="s">
        <v>286</v>
      </c>
      <c r="J103" t="s">
        <v>189</v>
      </c>
      <c r="K103" t="s">
        <v>250</v>
      </c>
      <c r="L103">
        <v>0.8</v>
      </c>
      <c r="M103" t="s">
        <v>251</v>
      </c>
      <c r="N103" t="s">
        <v>370</v>
      </c>
    </row>
    <row r="104" spans="1:16" hidden="1" x14ac:dyDescent="0.25">
      <c r="A104" s="16">
        <v>45536</v>
      </c>
      <c r="B104" t="s">
        <v>120</v>
      </c>
      <c r="C104">
        <v>56</v>
      </c>
      <c r="D104" t="s">
        <v>253</v>
      </c>
      <c r="E104" t="s">
        <v>248</v>
      </c>
      <c r="F104" t="s">
        <v>285</v>
      </c>
      <c r="G104" t="s">
        <v>63</v>
      </c>
      <c r="J104" t="s">
        <v>254</v>
      </c>
      <c r="K104" t="s">
        <v>255</v>
      </c>
      <c r="L104">
        <v>4350000</v>
      </c>
      <c r="M104" t="s">
        <v>242</v>
      </c>
      <c r="N104" t="s">
        <v>371</v>
      </c>
      <c r="O104">
        <v>1</v>
      </c>
      <c r="P104" t="s">
        <v>257</v>
      </c>
    </row>
    <row r="105" spans="1:16" hidden="1" x14ac:dyDescent="0.25">
      <c r="A105" s="16">
        <v>45536</v>
      </c>
      <c r="B105" t="s">
        <v>120</v>
      </c>
      <c r="C105">
        <v>56</v>
      </c>
      <c r="D105" t="s">
        <v>253</v>
      </c>
      <c r="E105" t="s">
        <v>248</v>
      </c>
      <c r="F105" t="s">
        <v>285</v>
      </c>
      <c r="G105" t="s">
        <v>63</v>
      </c>
      <c r="J105" t="s">
        <v>258</v>
      </c>
      <c r="K105" t="s">
        <v>255</v>
      </c>
      <c r="L105">
        <v>4390000</v>
      </c>
      <c r="M105" t="s">
        <v>242</v>
      </c>
      <c r="N105" t="s">
        <v>372</v>
      </c>
      <c r="O105">
        <v>1</v>
      </c>
      <c r="P105" t="s">
        <v>257</v>
      </c>
    </row>
    <row r="106" spans="1:16" hidden="1" x14ac:dyDescent="0.25">
      <c r="A106" s="16">
        <v>45536</v>
      </c>
      <c r="B106" t="s">
        <v>120</v>
      </c>
      <c r="C106">
        <v>56</v>
      </c>
      <c r="D106" t="s">
        <v>253</v>
      </c>
      <c r="E106" t="s">
        <v>248</v>
      </c>
      <c r="F106" t="s">
        <v>285</v>
      </c>
      <c r="G106" t="s">
        <v>63</v>
      </c>
      <c r="J106" t="s">
        <v>189</v>
      </c>
      <c r="K106" t="s">
        <v>255</v>
      </c>
      <c r="L106">
        <v>4430000</v>
      </c>
      <c r="M106" t="s">
        <v>242</v>
      </c>
      <c r="N106" t="s">
        <v>373</v>
      </c>
      <c r="O106">
        <v>1</v>
      </c>
      <c r="P106" t="s">
        <v>261</v>
      </c>
    </row>
    <row r="107" spans="1:16" hidden="1" x14ac:dyDescent="0.25">
      <c r="A107" s="16">
        <v>45536</v>
      </c>
      <c r="B107" t="s">
        <v>120</v>
      </c>
      <c r="C107">
        <v>57</v>
      </c>
      <c r="D107" t="s">
        <v>291</v>
      </c>
      <c r="E107" t="s">
        <v>292</v>
      </c>
      <c r="F107" t="s">
        <v>285</v>
      </c>
      <c r="G107" t="s">
        <v>63</v>
      </c>
      <c r="H107" t="s">
        <v>122</v>
      </c>
      <c r="J107" t="s">
        <v>189</v>
      </c>
      <c r="K107" t="s">
        <v>250</v>
      </c>
      <c r="L107">
        <v>4390000</v>
      </c>
      <c r="M107" t="s">
        <v>242</v>
      </c>
      <c r="N107" t="s">
        <v>374</v>
      </c>
    </row>
    <row r="108" spans="1:16" hidden="1" x14ac:dyDescent="0.25">
      <c r="A108" s="16">
        <v>45536</v>
      </c>
      <c r="B108" t="s">
        <v>120</v>
      </c>
      <c r="C108">
        <v>57</v>
      </c>
      <c r="D108" t="s">
        <v>291</v>
      </c>
      <c r="E108" t="s">
        <v>292</v>
      </c>
      <c r="F108" t="s">
        <v>285</v>
      </c>
      <c r="G108" t="s">
        <v>63</v>
      </c>
      <c r="H108" t="s">
        <v>123</v>
      </c>
      <c r="J108" t="s">
        <v>189</v>
      </c>
      <c r="K108" t="s">
        <v>250</v>
      </c>
      <c r="L108">
        <v>38800</v>
      </c>
      <c r="M108" t="s">
        <v>242</v>
      </c>
      <c r="N108" t="s">
        <v>375</v>
      </c>
    </row>
    <row r="109" spans="1:16" hidden="1" x14ac:dyDescent="0.25">
      <c r="A109" s="16">
        <v>45536</v>
      </c>
      <c r="B109" t="s">
        <v>120</v>
      </c>
      <c r="C109">
        <v>57</v>
      </c>
      <c r="D109" t="s">
        <v>238</v>
      </c>
      <c r="E109" t="s">
        <v>239</v>
      </c>
      <c r="F109" t="s">
        <v>285</v>
      </c>
      <c r="G109" t="s">
        <v>63</v>
      </c>
      <c r="H109" t="s">
        <v>376</v>
      </c>
      <c r="J109" t="s">
        <v>189</v>
      </c>
      <c r="K109" t="s">
        <v>250</v>
      </c>
      <c r="L109">
        <v>4430000</v>
      </c>
      <c r="M109" t="s">
        <v>242</v>
      </c>
      <c r="N109" t="s">
        <v>377</v>
      </c>
    </row>
    <row r="110" spans="1:16" hidden="1" x14ac:dyDescent="0.25">
      <c r="A110" s="16">
        <v>45536</v>
      </c>
      <c r="B110" t="s">
        <v>120</v>
      </c>
      <c r="C110">
        <v>58</v>
      </c>
      <c r="D110" t="s">
        <v>238</v>
      </c>
      <c r="E110" t="s">
        <v>239</v>
      </c>
      <c r="F110" t="s">
        <v>378</v>
      </c>
      <c r="G110" t="s">
        <v>379</v>
      </c>
      <c r="J110" t="s">
        <v>189</v>
      </c>
      <c r="K110" t="s">
        <v>250</v>
      </c>
      <c r="L110">
        <v>562</v>
      </c>
      <c r="M110" t="s">
        <v>242</v>
      </c>
      <c r="N110" t="s">
        <v>380</v>
      </c>
    </row>
    <row r="111" spans="1:16" hidden="1" x14ac:dyDescent="0.25">
      <c r="A111" s="16">
        <v>45536</v>
      </c>
      <c r="B111" t="s">
        <v>120</v>
      </c>
      <c r="C111">
        <v>58</v>
      </c>
      <c r="D111" t="s">
        <v>238</v>
      </c>
      <c r="E111" t="s">
        <v>239</v>
      </c>
      <c r="F111" t="s">
        <v>381</v>
      </c>
      <c r="G111" t="s">
        <v>382</v>
      </c>
      <c r="J111" t="s">
        <v>189</v>
      </c>
      <c r="K111" t="s">
        <v>250</v>
      </c>
      <c r="L111">
        <v>1925</v>
      </c>
      <c r="M111" t="s">
        <v>242</v>
      </c>
      <c r="N111" t="s">
        <v>383</v>
      </c>
    </row>
    <row r="112" spans="1:16" hidden="1" x14ac:dyDescent="0.25">
      <c r="A112" s="16">
        <v>45536</v>
      </c>
      <c r="B112" t="s">
        <v>120</v>
      </c>
      <c r="C112">
        <v>59</v>
      </c>
      <c r="D112" t="s">
        <v>247</v>
      </c>
      <c r="E112" t="s">
        <v>248</v>
      </c>
      <c r="F112" t="s">
        <v>240</v>
      </c>
      <c r="G112" t="s">
        <v>82</v>
      </c>
      <c r="H112" t="s">
        <v>286</v>
      </c>
      <c r="J112" t="s">
        <v>189</v>
      </c>
      <c r="K112" t="s">
        <v>250</v>
      </c>
      <c r="L112">
        <v>5.4</v>
      </c>
      <c r="M112" t="s">
        <v>251</v>
      </c>
      <c r="N112" t="s">
        <v>384</v>
      </c>
    </row>
    <row r="113" spans="1:16" hidden="1" x14ac:dyDescent="0.25">
      <c r="A113" s="16">
        <v>45536</v>
      </c>
      <c r="B113" t="s">
        <v>120</v>
      </c>
      <c r="C113">
        <v>59</v>
      </c>
      <c r="D113" t="s">
        <v>253</v>
      </c>
      <c r="E113" t="s">
        <v>248</v>
      </c>
      <c r="F113" t="s">
        <v>240</v>
      </c>
      <c r="G113" t="s">
        <v>82</v>
      </c>
      <c r="J113" t="s">
        <v>254</v>
      </c>
      <c r="K113" t="s">
        <v>255</v>
      </c>
      <c r="L113">
        <v>5910000</v>
      </c>
      <c r="M113" t="s">
        <v>242</v>
      </c>
      <c r="N113" t="s">
        <v>385</v>
      </c>
      <c r="O113">
        <v>1</v>
      </c>
      <c r="P113" t="s">
        <v>257</v>
      </c>
    </row>
    <row r="114" spans="1:16" hidden="1" x14ac:dyDescent="0.25">
      <c r="A114" s="16">
        <v>45536</v>
      </c>
      <c r="B114" t="s">
        <v>120</v>
      </c>
      <c r="C114">
        <v>59</v>
      </c>
      <c r="D114" t="s">
        <v>253</v>
      </c>
      <c r="E114" t="s">
        <v>248</v>
      </c>
      <c r="F114" t="s">
        <v>240</v>
      </c>
      <c r="G114" t="s">
        <v>82</v>
      </c>
      <c r="J114" t="s">
        <v>258</v>
      </c>
      <c r="K114" t="s">
        <v>255</v>
      </c>
      <c r="L114">
        <v>5610000</v>
      </c>
      <c r="M114" t="s">
        <v>242</v>
      </c>
      <c r="N114" t="s">
        <v>386</v>
      </c>
      <c r="O114">
        <v>1</v>
      </c>
      <c r="P114" t="s">
        <v>257</v>
      </c>
    </row>
    <row r="115" spans="1:16" hidden="1" x14ac:dyDescent="0.25">
      <c r="A115" s="16">
        <v>45536</v>
      </c>
      <c r="B115" t="s">
        <v>120</v>
      </c>
      <c r="C115">
        <v>59</v>
      </c>
      <c r="D115" t="s">
        <v>253</v>
      </c>
      <c r="E115" t="s">
        <v>248</v>
      </c>
      <c r="F115" t="s">
        <v>240</v>
      </c>
      <c r="G115" t="s">
        <v>82</v>
      </c>
      <c r="J115" t="s">
        <v>189</v>
      </c>
      <c r="K115" t="s">
        <v>255</v>
      </c>
      <c r="L115">
        <v>5910000</v>
      </c>
      <c r="M115" t="s">
        <v>242</v>
      </c>
      <c r="N115" t="s">
        <v>385</v>
      </c>
      <c r="O115">
        <v>1</v>
      </c>
      <c r="P115" t="s">
        <v>261</v>
      </c>
    </row>
    <row r="116" spans="1:16" hidden="1" x14ac:dyDescent="0.25">
      <c r="A116" s="16">
        <v>45536</v>
      </c>
      <c r="B116" t="s">
        <v>120</v>
      </c>
      <c r="C116">
        <v>60</v>
      </c>
      <c r="D116" t="s">
        <v>291</v>
      </c>
      <c r="E116" t="s">
        <v>292</v>
      </c>
      <c r="F116" t="s">
        <v>240</v>
      </c>
      <c r="G116" t="s">
        <v>82</v>
      </c>
      <c r="H116" t="s">
        <v>125</v>
      </c>
      <c r="J116" t="s">
        <v>189</v>
      </c>
      <c r="K116" t="s">
        <v>250</v>
      </c>
      <c r="L116">
        <v>30000</v>
      </c>
      <c r="M116" t="s">
        <v>242</v>
      </c>
      <c r="N116" t="s">
        <v>387</v>
      </c>
    </row>
    <row r="117" spans="1:16" hidden="1" x14ac:dyDescent="0.25">
      <c r="A117" s="16">
        <v>45536</v>
      </c>
      <c r="B117" t="s">
        <v>120</v>
      </c>
      <c r="C117">
        <v>60</v>
      </c>
      <c r="D117" t="s">
        <v>291</v>
      </c>
      <c r="E117" t="s">
        <v>292</v>
      </c>
      <c r="F117" t="s">
        <v>240</v>
      </c>
      <c r="G117" t="s">
        <v>82</v>
      </c>
      <c r="H117" t="s">
        <v>126</v>
      </c>
      <c r="J117" t="s">
        <v>189</v>
      </c>
      <c r="K117" t="s">
        <v>250</v>
      </c>
      <c r="L117">
        <v>177000</v>
      </c>
      <c r="M117" t="s">
        <v>242</v>
      </c>
      <c r="N117" t="s">
        <v>388</v>
      </c>
    </row>
    <row r="118" spans="1:16" hidden="1" x14ac:dyDescent="0.25">
      <c r="A118" s="16">
        <v>45536</v>
      </c>
      <c r="B118" t="s">
        <v>120</v>
      </c>
      <c r="C118">
        <v>60</v>
      </c>
      <c r="D118" t="s">
        <v>291</v>
      </c>
      <c r="E118" t="s">
        <v>292</v>
      </c>
      <c r="F118" t="s">
        <v>240</v>
      </c>
      <c r="G118" t="s">
        <v>82</v>
      </c>
      <c r="H118" t="s">
        <v>127</v>
      </c>
      <c r="J118" t="s">
        <v>189</v>
      </c>
      <c r="K118" t="s">
        <v>250</v>
      </c>
      <c r="L118">
        <v>302000</v>
      </c>
      <c r="M118" t="s">
        <v>242</v>
      </c>
      <c r="N118" t="s">
        <v>389</v>
      </c>
    </row>
    <row r="119" spans="1:16" hidden="1" x14ac:dyDescent="0.25">
      <c r="A119" s="16">
        <v>45536</v>
      </c>
      <c r="B119" t="s">
        <v>120</v>
      </c>
      <c r="C119">
        <v>60</v>
      </c>
      <c r="D119" t="s">
        <v>291</v>
      </c>
      <c r="E119" t="s">
        <v>292</v>
      </c>
      <c r="F119" t="s">
        <v>240</v>
      </c>
      <c r="G119" t="s">
        <v>82</v>
      </c>
      <c r="H119" t="s">
        <v>128</v>
      </c>
      <c r="J119" t="s">
        <v>189</v>
      </c>
      <c r="K119" t="s">
        <v>250</v>
      </c>
      <c r="L119">
        <v>26000</v>
      </c>
      <c r="M119" t="s">
        <v>242</v>
      </c>
      <c r="N119" t="s">
        <v>390</v>
      </c>
    </row>
    <row r="120" spans="1:16" hidden="1" x14ac:dyDescent="0.25">
      <c r="A120" s="16">
        <v>45536</v>
      </c>
      <c r="B120" t="s">
        <v>120</v>
      </c>
      <c r="C120">
        <v>60</v>
      </c>
      <c r="D120" t="s">
        <v>291</v>
      </c>
      <c r="E120" t="s">
        <v>292</v>
      </c>
      <c r="F120" t="s">
        <v>240</v>
      </c>
      <c r="G120" t="s">
        <v>82</v>
      </c>
      <c r="H120" t="s">
        <v>129</v>
      </c>
      <c r="J120" t="s">
        <v>189</v>
      </c>
      <c r="K120" t="s">
        <v>250</v>
      </c>
      <c r="L120">
        <v>1099000</v>
      </c>
      <c r="M120" t="s">
        <v>242</v>
      </c>
      <c r="N120" t="s">
        <v>391</v>
      </c>
    </row>
    <row r="121" spans="1:16" hidden="1" x14ac:dyDescent="0.25">
      <c r="A121" s="16">
        <v>45536</v>
      </c>
      <c r="B121" t="s">
        <v>120</v>
      </c>
      <c r="C121">
        <v>60</v>
      </c>
      <c r="D121" t="s">
        <v>291</v>
      </c>
      <c r="E121" t="s">
        <v>292</v>
      </c>
      <c r="F121" t="s">
        <v>240</v>
      </c>
      <c r="G121" t="s">
        <v>82</v>
      </c>
      <c r="H121" t="s">
        <v>130</v>
      </c>
      <c r="J121" t="s">
        <v>189</v>
      </c>
      <c r="K121" t="s">
        <v>250</v>
      </c>
      <c r="L121">
        <v>1959000</v>
      </c>
      <c r="M121" t="s">
        <v>242</v>
      </c>
      <c r="N121" t="s">
        <v>392</v>
      </c>
    </row>
    <row r="122" spans="1:16" hidden="1" x14ac:dyDescent="0.25">
      <c r="A122" s="16">
        <v>45536</v>
      </c>
      <c r="B122" t="s">
        <v>120</v>
      </c>
      <c r="C122">
        <v>60</v>
      </c>
      <c r="D122" t="s">
        <v>291</v>
      </c>
      <c r="E122" t="s">
        <v>292</v>
      </c>
      <c r="F122" t="s">
        <v>240</v>
      </c>
      <c r="G122" t="s">
        <v>82</v>
      </c>
      <c r="H122" t="s">
        <v>131</v>
      </c>
      <c r="J122" t="s">
        <v>189</v>
      </c>
      <c r="K122" t="s">
        <v>250</v>
      </c>
      <c r="L122">
        <v>36000</v>
      </c>
      <c r="M122" t="s">
        <v>242</v>
      </c>
      <c r="N122" t="s">
        <v>393</v>
      </c>
    </row>
    <row r="123" spans="1:16" hidden="1" x14ac:dyDescent="0.25">
      <c r="A123" s="16">
        <v>45536</v>
      </c>
      <c r="B123" t="s">
        <v>120</v>
      </c>
      <c r="C123">
        <v>60</v>
      </c>
      <c r="D123" t="s">
        <v>291</v>
      </c>
      <c r="E123" t="s">
        <v>292</v>
      </c>
      <c r="F123" t="s">
        <v>240</v>
      </c>
      <c r="G123" t="s">
        <v>82</v>
      </c>
      <c r="H123" t="s">
        <v>132</v>
      </c>
      <c r="J123" t="s">
        <v>189</v>
      </c>
      <c r="K123" t="s">
        <v>250</v>
      </c>
      <c r="L123">
        <v>41000</v>
      </c>
      <c r="M123" t="s">
        <v>242</v>
      </c>
      <c r="N123" t="s">
        <v>394</v>
      </c>
    </row>
    <row r="124" spans="1:16" hidden="1" x14ac:dyDescent="0.25">
      <c r="A124" s="16">
        <v>45536</v>
      </c>
      <c r="B124" t="s">
        <v>120</v>
      </c>
      <c r="C124">
        <v>60</v>
      </c>
      <c r="D124" t="s">
        <v>291</v>
      </c>
      <c r="E124" t="s">
        <v>292</v>
      </c>
      <c r="F124" t="s">
        <v>240</v>
      </c>
      <c r="G124" t="s">
        <v>82</v>
      </c>
      <c r="H124" t="s">
        <v>133</v>
      </c>
      <c r="J124" t="s">
        <v>189</v>
      </c>
      <c r="K124" t="s">
        <v>250</v>
      </c>
      <c r="L124">
        <v>547000</v>
      </c>
      <c r="M124" t="s">
        <v>242</v>
      </c>
      <c r="N124" t="s">
        <v>395</v>
      </c>
    </row>
    <row r="125" spans="1:16" hidden="1" x14ac:dyDescent="0.25">
      <c r="A125" s="16">
        <v>45536</v>
      </c>
      <c r="B125" t="s">
        <v>120</v>
      </c>
      <c r="C125">
        <v>60</v>
      </c>
      <c r="D125" t="s">
        <v>291</v>
      </c>
      <c r="E125" t="s">
        <v>292</v>
      </c>
      <c r="F125" t="s">
        <v>240</v>
      </c>
      <c r="G125" t="s">
        <v>82</v>
      </c>
      <c r="H125" t="s">
        <v>134</v>
      </c>
      <c r="J125" t="s">
        <v>189</v>
      </c>
      <c r="K125" t="s">
        <v>250</v>
      </c>
      <c r="L125">
        <v>1601000</v>
      </c>
      <c r="M125" t="s">
        <v>242</v>
      </c>
      <c r="N125" t="s">
        <v>396</v>
      </c>
    </row>
    <row r="126" spans="1:16" hidden="1" x14ac:dyDescent="0.25">
      <c r="A126" s="16">
        <v>45536</v>
      </c>
      <c r="B126" t="s">
        <v>120</v>
      </c>
      <c r="C126">
        <v>61</v>
      </c>
      <c r="D126" t="s">
        <v>291</v>
      </c>
      <c r="E126" t="s">
        <v>292</v>
      </c>
      <c r="F126" t="s">
        <v>240</v>
      </c>
      <c r="G126" t="s">
        <v>82</v>
      </c>
      <c r="H126" t="s">
        <v>137</v>
      </c>
      <c r="J126" t="s">
        <v>189</v>
      </c>
      <c r="K126" t="s">
        <v>250</v>
      </c>
      <c r="L126">
        <v>1230000</v>
      </c>
      <c r="M126" t="s">
        <v>242</v>
      </c>
      <c r="N126" t="s">
        <v>397</v>
      </c>
    </row>
    <row r="127" spans="1:16" hidden="1" x14ac:dyDescent="0.25">
      <c r="A127" s="16">
        <v>45536</v>
      </c>
      <c r="B127" t="s">
        <v>120</v>
      </c>
      <c r="C127">
        <v>61</v>
      </c>
      <c r="D127" t="s">
        <v>291</v>
      </c>
      <c r="E127" t="s">
        <v>292</v>
      </c>
      <c r="F127" t="s">
        <v>240</v>
      </c>
      <c r="G127" t="s">
        <v>82</v>
      </c>
      <c r="H127" t="s">
        <v>138</v>
      </c>
      <c r="J127" t="s">
        <v>189</v>
      </c>
      <c r="K127" t="s">
        <v>250</v>
      </c>
      <c r="L127">
        <v>4680000</v>
      </c>
      <c r="M127" t="s">
        <v>242</v>
      </c>
      <c r="N127" t="s">
        <v>398</v>
      </c>
    </row>
    <row r="128" spans="1:16" hidden="1" x14ac:dyDescent="0.25">
      <c r="A128" s="16">
        <v>45536</v>
      </c>
      <c r="B128" t="s">
        <v>120</v>
      </c>
      <c r="C128">
        <v>62</v>
      </c>
      <c r="D128" t="s">
        <v>247</v>
      </c>
      <c r="E128" t="s">
        <v>248</v>
      </c>
      <c r="F128" t="s">
        <v>244</v>
      </c>
      <c r="G128" t="s">
        <v>82</v>
      </c>
      <c r="H128" t="s">
        <v>286</v>
      </c>
      <c r="J128" t="s">
        <v>189</v>
      </c>
      <c r="K128" t="s">
        <v>250</v>
      </c>
      <c r="L128">
        <v>13.2</v>
      </c>
      <c r="M128" t="s">
        <v>251</v>
      </c>
      <c r="N128" t="s">
        <v>399</v>
      </c>
    </row>
    <row r="129" spans="1:16" hidden="1" x14ac:dyDescent="0.25">
      <c r="A129" s="16">
        <v>45536</v>
      </c>
      <c r="B129" t="s">
        <v>120</v>
      </c>
      <c r="C129">
        <v>62</v>
      </c>
      <c r="D129" t="s">
        <v>253</v>
      </c>
      <c r="E129" t="s">
        <v>248</v>
      </c>
      <c r="F129" t="s">
        <v>244</v>
      </c>
      <c r="G129" t="s">
        <v>82</v>
      </c>
      <c r="J129" t="s">
        <v>254</v>
      </c>
      <c r="K129" t="s">
        <v>255</v>
      </c>
      <c r="L129">
        <v>1240000000</v>
      </c>
      <c r="M129" t="s">
        <v>245</v>
      </c>
      <c r="N129" t="s">
        <v>400</v>
      </c>
      <c r="O129">
        <v>1</v>
      </c>
      <c r="P129" t="s">
        <v>257</v>
      </c>
    </row>
    <row r="130" spans="1:16" hidden="1" x14ac:dyDescent="0.25">
      <c r="A130" s="16">
        <v>45536</v>
      </c>
      <c r="B130" t="s">
        <v>120</v>
      </c>
      <c r="C130">
        <v>62</v>
      </c>
      <c r="D130" t="s">
        <v>253</v>
      </c>
      <c r="E130" t="s">
        <v>248</v>
      </c>
      <c r="F130" t="s">
        <v>244</v>
      </c>
      <c r="G130" t="s">
        <v>82</v>
      </c>
      <c r="J130" t="s">
        <v>258</v>
      </c>
      <c r="K130" t="s">
        <v>255</v>
      </c>
      <c r="L130">
        <v>1070000000</v>
      </c>
      <c r="M130" t="s">
        <v>245</v>
      </c>
      <c r="N130" t="s">
        <v>401</v>
      </c>
      <c r="O130">
        <v>1</v>
      </c>
      <c r="P130" t="s">
        <v>257</v>
      </c>
    </row>
    <row r="131" spans="1:16" hidden="1" x14ac:dyDescent="0.25">
      <c r="A131" s="16">
        <v>45536</v>
      </c>
      <c r="B131" t="s">
        <v>120</v>
      </c>
      <c r="C131">
        <v>62</v>
      </c>
      <c r="D131" t="s">
        <v>253</v>
      </c>
      <c r="E131" t="s">
        <v>248</v>
      </c>
      <c r="F131" t="s">
        <v>244</v>
      </c>
      <c r="G131" t="s">
        <v>82</v>
      </c>
      <c r="J131" t="s">
        <v>189</v>
      </c>
      <c r="K131" t="s">
        <v>255</v>
      </c>
      <c r="L131">
        <v>1210000000</v>
      </c>
      <c r="M131" t="s">
        <v>245</v>
      </c>
      <c r="N131" t="s">
        <v>402</v>
      </c>
      <c r="O131">
        <v>1</v>
      </c>
      <c r="P131" t="s">
        <v>261</v>
      </c>
    </row>
    <row r="132" spans="1:16" hidden="1" x14ac:dyDescent="0.25">
      <c r="A132" s="16">
        <v>45536</v>
      </c>
      <c r="B132" t="s">
        <v>120</v>
      </c>
      <c r="C132">
        <v>63</v>
      </c>
      <c r="D132" t="s">
        <v>291</v>
      </c>
      <c r="E132" t="s">
        <v>292</v>
      </c>
      <c r="F132" t="s">
        <v>244</v>
      </c>
      <c r="G132" t="s">
        <v>82</v>
      </c>
      <c r="H132" t="s">
        <v>140</v>
      </c>
      <c r="J132" t="s">
        <v>189</v>
      </c>
      <c r="K132" t="s">
        <v>250</v>
      </c>
      <c r="L132">
        <v>13000000</v>
      </c>
      <c r="M132" t="s">
        <v>245</v>
      </c>
      <c r="N132" t="s">
        <v>403</v>
      </c>
    </row>
    <row r="133" spans="1:16" hidden="1" x14ac:dyDescent="0.25">
      <c r="A133" s="16">
        <v>45536</v>
      </c>
      <c r="B133" t="s">
        <v>120</v>
      </c>
      <c r="C133">
        <v>63</v>
      </c>
      <c r="D133" t="s">
        <v>291</v>
      </c>
      <c r="E133" t="s">
        <v>292</v>
      </c>
      <c r="F133" t="s">
        <v>244</v>
      </c>
      <c r="G133" t="s">
        <v>82</v>
      </c>
      <c r="H133" t="s">
        <v>126</v>
      </c>
      <c r="J133" t="s">
        <v>189</v>
      </c>
      <c r="K133" t="s">
        <v>250</v>
      </c>
      <c r="L133">
        <v>73000000</v>
      </c>
      <c r="M133" t="s">
        <v>245</v>
      </c>
      <c r="N133" t="s">
        <v>404</v>
      </c>
    </row>
    <row r="134" spans="1:16" hidden="1" x14ac:dyDescent="0.25">
      <c r="A134" s="16">
        <v>45536</v>
      </c>
      <c r="B134" t="s">
        <v>120</v>
      </c>
      <c r="C134">
        <v>63</v>
      </c>
      <c r="D134" t="s">
        <v>291</v>
      </c>
      <c r="E134" t="s">
        <v>292</v>
      </c>
      <c r="F134" t="s">
        <v>244</v>
      </c>
      <c r="G134" t="s">
        <v>82</v>
      </c>
      <c r="H134" t="s">
        <v>127</v>
      </c>
      <c r="J134" t="s">
        <v>189</v>
      </c>
      <c r="K134" t="s">
        <v>250</v>
      </c>
      <c r="L134">
        <v>42000000</v>
      </c>
      <c r="M134" t="s">
        <v>245</v>
      </c>
      <c r="N134" t="s">
        <v>405</v>
      </c>
    </row>
    <row r="135" spans="1:16" hidden="1" x14ac:dyDescent="0.25">
      <c r="A135" s="16">
        <v>45536</v>
      </c>
      <c r="B135" t="s">
        <v>120</v>
      </c>
      <c r="C135">
        <v>63</v>
      </c>
      <c r="D135" t="s">
        <v>291</v>
      </c>
      <c r="E135" t="s">
        <v>292</v>
      </c>
      <c r="F135" t="s">
        <v>244</v>
      </c>
      <c r="G135" t="s">
        <v>82</v>
      </c>
      <c r="H135" t="s">
        <v>128</v>
      </c>
      <c r="J135" t="s">
        <v>189</v>
      </c>
      <c r="K135" t="s">
        <v>250</v>
      </c>
      <c r="L135">
        <v>14000000</v>
      </c>
      <c r="M135" t="s">
        <v>245</v>
      </c>
      <c r="N135" t="s">
        <v>406</v>
      </c>
    </row>
    <row r="136" spans="1:16" hidden="1" x14ac:dyDescent="0.25">
      <c r="A136" s="16">
        <v>45536</v>
      </c>
      <c r="B136" t="s">
        <v>120</v>
      </c>
      <c r="C136">
        <v>63</v>
      </c>
      <c r="D136" t="s">
        <v>291</v>
      </c>
      <c r="E136" t="s">
        <v>292</v>
      </c>
      <c r="F136" t="s">
        <v>244</v>
      </c>
      <c r="G136" t="s">
        <v>82</v>
      </c>
      <c r="H136" t="s">
        <v>129</v>
      </c>
      <c r="J136" t="s">
        <v>189</v>
      </c>
      <c r="K136" t="s">
        <v>250</v>
      </c>
      <c r="L136">
        <v>714000000</v>
      </c>
      <c r="M136" t="s">
        <v>245</v>
      </c>
      <c r="N136" t="s">
        <v>407</v>
      </c>
    </row>
    <row r="137" spans="1:16" hidden="1" x14ac:dyDescent="0.25">
      <c r="A137" s="16">
        <v>45536</v>
      </c>
      <c r="B137" t="s">
        <v>120</v>
      </c>
      <c r="C137">
        <v>63</v>
      </c>
      <c r="D137" t="s">
        <v>291</v>
      </c>
      <c r="E137" t="s">
        <v>292</v>
      </c>
      <c r="F137" t="s">
        <v>244</v>
      </c>
      <c r="G137" t="s">
        <v>82</v>
      </c>
      <c r="H137" t="s">
        <v>130</v>
      </c>
      <c r="J137" t="s">
        <v>189</v>
      </c>
      <c r="K137" t="s">
        <v>250</v>
      </c>
      <c r="L137">
        <v>31000000</v>
      </c>
      <c r="M137" t="s">
        <v>245</v>
      </c>
      <c r="N137" t="s">
        <v>408</v>
      </c>
    </row>
    <row r="138" spans="1:16" hidden="1" x14ac:dyDescent="0.25">
      <c r="A138" s="16">
        <v>45536</v>
      </c>
      <c r="B138" t="s">
        <v>120</v>
      </c>
      <c r="C138">
        <v>63</v>
      </c>
      <c r="D138" t="s">
        <v>291</v>
      </c>
      <c r="E138" t="s">
        <v>292</v>
      </c>
      <c r="F138" t="s">
        <v>244</v>
      </c>
      <c r="G138" t="s">
        <v>82</v>
      </c>
      <c r="H138" t="s">
        <v>131</v>
      </c>
      <c r="J138" t="s">
        <v>189</v>
      </c>
      <c r="K138" t="s">
        <v>250</v>
      </c>
      <c r="L138">
        <v>12000000</v>
      </c>
      <c r="M138" t="s">
        <v>245</v>
      </c>
      <c r="N138" t="s">
        <v>409</v>
      </c>
    </row>
    <row r="139" spans="1:16" hidden="1" x14ac:dyDescent="0.25">
      <c r="A139" s="16">
        <v>45536</v>
      </c>
      <c r="B139" t="s">
        <v>120</v>
      </c>
      <c r="C139">
        <v>63</v>
      </c>
      <c r="D139" t="s">
        <v>291</v>
      </c>
      <c r="E139" t="s">
        <v>292</v>
      </c>
      <c r="F139" t="s">
        <v>244</v>
      </c>
      <c r="G139" t="s">
        <v>82</v>
      </c>
      <c r="H139" t="s">
        <v>132</v>
      </c>
      <c r="J139" t="s">
        <v>189</v>
      </c>
      <c r="K139" t="s">
        <v>250</v>
      </c>
      <c r="L139">
        <v>7000000</v>
      </c>
      <c r="M139" t="s">
        <v>245</v>
      </c>
      <c r="N139" t="s">
        <v>410</v>
      </c>
    </row>
    <row r="140" spans="1:16" hidden="1" x14ac:dyDescent="0.25">
      <c r="A140" s="16">
        <v>45536</v>
      </c>
      <c r="B140" t="s">
        <v>120</v>
      </c>
      <c r="C140">
        <v>63</v>
      </c>
      <c r="D140" t="s">
        <v>291</v>
      </c>
      <c r="E140" t="s">
        <v>292</v>
      </c>
      <c r="F140" t="s">
        <v>244</v>
      </c>
      <c r="G140" t="s">
        <v>82</v>
      </c>
      <c r="H140" t="s">
        <v>133</v>
      </c>
      <c r="J140" t="s">
        <v>189</v>
      </c>
      <c r="K140" t="s">
        <v>250</v>
      </c>
      <c r="L140">
        <v>219000000</v>
      </c>
      <c r="M140" t="s">
        <v>245</v>
      </c>
      <c r="N140" t="s">
        <v>411</v>
      </c>
    </row>
    <row r="141" spans="1:16" hidden="1" x14ac:dyDescent="0.25">
      <c r="A141" s="16">
        <v>45536</v>
      </c>
      <c r="B141" t="s">
        <v>120</v>
      </c>
      <c r="C141">
        <v>63</v>
      </c>
      <c r="D141" t="s">
        <v>291</v>
      </c>
      <c r="E141" t="s">
        <v>292</v>
      </c>
      <c r="F141" t="s">
        <v>244</v>
      </c>
      <c r="G141" t="s">
        <v>82</v>
      </c>
      <c r="H141" t="s">
        <v>134</v>
      </c>
      <c r="J141" t="s">
        <v>189</v>
      </c>
      <c r="K141" t="s">
        <v>250</v>
      </c>
      <c r="L141">
        <v>75000000</v>
      </c>
      <c r="M141" t="s">
        <v>245</v>
      </c>
      <c r="N141" t="s">
        <v>412</v>
      </c>
    </row>
    <row r="142" spans="1:16" hidden="1" x14ac:dyDescent="0.25">
      <c r="A142" s="16">
        <v>45536</v>
      </c>
      <c r="B142" t="s">
        <v>120</v>
      </c>
      <c r="C142">
        <v>64</v>
      </c>
      <c r="D142" t="s">
        <v>291</v>
      </c>
      <c r="E142" t="s">
        <v>292</v>
      </c>
      <c r="F142" t="s">
        <v>244</v>
      </c>
      <c r="G142" t="s">
        <v>82</v>
      </c>
      <c r="H142" t="s">
        <v>137</v>
      </c>
      <c r="J142" t="s">
        <v>189</v>
      </c>
      <c r="K142" t="s">
        <v>250</v>
      </c>
      <c r="L142">
        <v>231400000</v>
      </c>
      <c r="M142" t="s">
        <v>245</v>
      </c>
      <c r="N142" t="s">
        <v>413</v>
      </c>
    </row>
    <row r="143" spans="1:16" hidden="1" x14ac:dyDescent="0.25">
      <c r="A143" s="16">
        <v>45536</v>
      </c>
      <c r="B143" t="s">
        <v>120</v>
      </c>
      <c r="C143">
        <v>64</v>
      </c>
      <c r="D143" t="s">
        <v>291</v>
      </c>
      <c r="E143" t="s">
        <v>292</v>
      </c>
      <c r="F143" t="s">
        <v>244</v>
      </c>
      <c r="G143" t="s">
        <v>82</v>
      </c>
      <c r="H143" t="s">
        <v>138</v>
      </c>
      <c r="J143" t="s">
        <v>189</v>
      </c>
      <c r="K143" t="s">
        <v>250</v>
      </c>
      <c r="L143">
        <v>976300000</v>
      </c>
      <c r="M143" t="s">
        <v>245</v>
      </c>
      <c r="N143" t="s">
        <v>414</v>
      </c>
    </row>
    <row r="144" spans="1:16" hidden="1" x14ac:dyDescent="0.25">
      <c r="A144" s="16">
        <v>45536</v>
      </c>
      <c r="B144" t="s">
        <v>120</v>
      </c>
      <c r="C144">
        <v>65</v>
      </c>
      <c r="D144" t="s">
        <v>253</v>
      </c>
      <c r="E144" t="s">
        <v>248</v>
      </c>
      <c r="F144" t="s">
        <v>334</v>
      </c>
      <c r="G144" t="s">
        <v>82</v>
      </c>
      <c r="J144" t="s">
        <v>254</v>
      </c>
      <c r="K144" t="s">
        <v>255</v>
      </c>
      <c r="L144">
        <v>210</v>
      </c>
      <c r="M144" t="s">
        <v>245</v>
      </c>
      <c r="N144" t="s">
        <v>415</v>
      </c>
      <c r="O144">
        <v>1</v>
      </c>
      <c r="P144" t="s">
        <v>257</v>
      </c>
    </row>
    <row r="145" spans="1:16" hidden="1" x14ac:dyDescent="0.25">
      <c r="A145" s="16">
        <v>45536</v>
      </c>
      <c r="B145" t="s">
        <v>120</v>
      </c>
      <c r="C145">
        <v>65</v>
      </c>
      <c r="D145" t="s">
        <v>253</v>
      </c>
      <c r="E145" t="s">
        <v>248</v>
      </c>
      <c r="F145" t="s">
        <v>334</v>
      </c>
      <c r="G145" t="s">
        <v>82</v>
      </c>
      <c r="J145" t="s">
        <v>258</v>
      </c>
      <c r="K145" t="s">
        <v>255</v>
      </c>
      <c r="L145">
        <v>190</v>
      </c>
      <c r="M145" t="s">
        <v>245</v>
      </c>
      <c r="N145" t="s">
        <v>416</v>
      </c>
      <c r="O145">
        <v>1</v>
      </c>
      <c r="P145" t="s">
        <v>257</v>
      </c>
    </row>
    <row r="146" spans="1:16" hidden="1" x14ac:dyDescent="0.25">
      <c r="A146" s="16">
        <v>45536</v>
      </c>
      <c r="B146" t="s">
        <v>120</v>
      </c>
      <c r="C146">
        <v>65</v>
      </c>
      <c r="D146" t="s">
        <v>253</v>
      </c>
      <c r="E146" t="s">
        <v>248</v>
      </c>
      <c r="F146" t="s">
        <v>334</v>
      </c>
      <c r="G146" t="s">
        <v>82</v>
      </c>
      <c r="J146" t="s">
        <v>189</v>
      </c>
      <c r="K146" t="s">
        <v>255</v>
      </c>
      <c r="L146">
        <v>204</v>
      </c>
      <c r="M146" t="s">
        <v>245</v>
      </c>
      <c r="N146" t="s">
        <v>417</v>
      </c>
      <c r="O146">
        <v>1</v>
      </c>
      <c r="P146" t="s">
        <v>261</v>
      </c>
    </row>
    <row r="147" spans="1:16" hidden="1" x14ac:dyDescent="0.25">
      <c r="A147" s="16">
        <v>45536</v>
      </c>
      <c r="B147" t="s">
        <v>162</v>
      </c>
      <c r="C147">
        <v>42</v>
      </c>
      <c r="D147" t="s">
        <v>238</v>
      </c>
      <c r="E147" t="s">
        <v>239</v>
      </c>
      <c r="F147" t="s">
        <v>240</v>
      </c>
      <c r="G147" t="s">
        <v>82</v>
      </c>
      <c r="J147" t="s">
        <v>189</v>
      </c>
      <c r="K147" t="s">
        <v>241</v>
      </c>
      <c r="L147">
        <v>95490000</v>
      </c>
      <c r="M147" t="s">
        <v>242</v>
      </c>
      <c r="N147" t="s">
        <v>418</v>
      </c>
    </row>
    <row r="148" spans="1:16" hidden="1" x14ac:dyDescent="0.25">
      <c r="A148" s="16">
        <v>45536</v>
      </c>
      <c r="B148" t="s">
        <v>162</v>
      </c>
      <c r="C148">
        <v>42</v>
      </c>
      <c r="D148" t="s">
        <v>238</v>
      </c>
      <c r="E148" t="s">
        <v>239</v>
      </c>
      <c r="F148" t="s">
        <v>244</v>
      </c>
      <c r="G148" t="s">
        <v>82</v>
      </c>
      <c r="J148" t="s">
        <v>189</v>
      </c>
      <c r="K148" t="s">
        <v>241</v>
      </c>
      <c r="L148">
        <v>12190000000</v>
      </c>
      <c r="M148" t="s">
        <v>245</v>
      </c>
      <c r="N148" t="s">
        <v>419</v>
      </c>
    </row>
    <row r="149" spans="1:16" hidden="1" x14ac:dyDescent="0.25">
      <c r="A149" s="16">
        <v>45536</v>
      </c>
      <c r="B149" t="s">
        <v>162</v>
      </c>
      <c r="C149">
        <v>43</v>
      </c>
      <c r="D149" t="s">
        <v>247</v>
      </c>
      <c r="E149" t="s">
        <v>248</v>
      </c>
      <c r="F149" t="s">
        <v>240</v>
      </c>
      <c r="G149" t="s">
        <v>82</v>
      </c>
      <c r="H149" t="s">
        <v>286</v>
      </c>
      <c r="J149" t="s">
        <v>189</v>
      </c>
      <c r="K149" t="s">
        <v>250</v>
      </c>
      <c r="L149">
        <v>0.1</v>
      </c>
      <c r="M149" t="s">
        <v>251</v>
      </c>
      <c r="N149" t="s">
        <v>420</v>
      </c>
    </row>
    <row r="150" spans="1:16" hidden="1" x14ac:dyDescent="0.25">
      <c r="A150" s="16">
        <v>45536</v>
      </c>
      <c r="B150" t="s">
        <v>162</v>
      </c>
      <c r="C150">
        <v>43</v>
      </c>
      <c r="D150" t="s">
        <v>253</v>
      </c>
      <c r="E150" t="s">
        <v>248</v>
      </c>
      <c r="F150" t="s">
        <v>240</v>
      </c>
      <c r="G150" t="s">
        <v>82</v>
      </c>
      <c r="J150" t="s">
        <v>254</v>
      </c>
      <c r="K150" t="s">
        <v>255</v>
      </c>
      <c r="L150">
        <v>12550000</v>
      </c>
      <c r="M150" t="s">
        <v>242</v>
      </c>
      <c r="N150" t="s">
        <v>421</v>
      </c>
      <c r="O150">
        <v>1</v>
      </c>
      <c r="P150" t="s">
        <v>257</v>
      </c>
    </row>
    <row r="151" spans="1:16" hidden="1" x14ac:dyDescent="0.25">
      <c r="A151" s="16">
        <v>45536</v>
      </c>
      <c r="B151" t="s">
        <v>162</v>
      </c>
      <c r="C151">
        <v>43</v>
      </c>
      <c r="D151" t="s">
        <v>253</v>
      </c>
      <c r="E151" t="s">
        <v>248</v>
      </c>
      <c r="F151" t="s">
        <v>240</v>
      </c>
      <c r="G151" t="s">
        <v>82</v>
      </c>
      <c r="J151" t="s">
        <v>258</v>
      </c>
      <c r="K151" t="s">
        <v>255</v>
      </c>
      <c r="L151">
        <v>12920000</v>
      </c>
      <c r="M151" t="s">
        <v>242</v>
      </c>
      <c r="N151" t="s">
        <v>422</v>
      </c>
      <c r="O151">
        <v>1</v>
      </c>
      <c r="P151" t="s">
        <v>257</v>
      </c>
    </row>
    <row r="152" spans="1:16" hidden="1" x14ac:dyDescent="0.25">
      <c r="A152" s="16">
        <v>45536</v>
      </c>
      <c r="B152" t="s">
        <v>162</v>
      </c>
      <c r="C152">
        <v>43</v>
      </c>
      <c r="D152" t="s">
        <v>253</v>
      </c>
      <c r="E152" t="s">
        <v>248</v>
      </c>
      <c r="F152" t="s">
        <v>240</v>
      </c>
      <c r="G152" t="s">
        <v>82</v>
      </c>
      <c r="J152" t="s">
        <v>189</v>
      </c>
      <c r="K152" t="s">
        <v>255</v>
      </c>
      <c r="L152">
        <v>12930000</v>
      </c>
      <c r="M152" t="s">
        <v>242</v>
      </c>
      <c r="N152" t="s">
        <v>423</v>
      </c>
      <c r="O152">
        <v>1</v>
      </c>
      <c r="P152" t="s">
        <v>261</v>
      </c>
    </row>
    <row r="153" spans="1:16" hidden="1" x14ac:dyDescent="0.25">
      <c r="A153" s="16">
        <v>45536</v>
      </c>
      <c r="B153" t="s">
        <v>162</v>
      </c>
      <c r="C153">
        <v>44</v>
      </c>
      <c r="D153" t="s">
        <v>291</v>
      </c>
      <c r="E153" t="s">
        <v>292</v>
      </c>
      <c r="F153" t="s">
        <v>240</v>
      </c>
      <c r="G153" t="s">
        <v>82</v>
      </c>
      <c r="H153" t="s">
        <v>164</v>
      </c>
      <c r="J153" t="s">
        <v>189</v>
      </c>
      <c r="K153" t="s">
        <v>250</v>
      </c>
      <c r="L153">
        <v>5720000</v>
      </c>
      <c r="M153" t="s">
        <v>242</v>
      </c>
      <c r="N153" t="s">
        <v>424</v>
      </c>
    </row>
    <row r="154" spans="1:16" hidden="1" x14ac:dyDescent="0.25">
      <c r="A154" s="16">
        <v>45536</v>
      </c>
      <c r="B154" t="s">
        <v>162</v>
      </c>
      <c r="C154">
        <v>44</v>
      </c>
      <c r="D154" t="s">
        <v>291</v>
      </c>
      <c r="E154" t="s">
        <v>292</v>
      </c>
      <c r="F154" t="s">
        <v>240</v>
      </c>
      <c r="G154" t="s">
        <v>82</v>
      </c>
      <c r="H154" t="s">
        <v>165</v>
      </c>
      <c r="J154" t="s">
        <v>189</v>
      </c>
      <c r="K154" t="s">
        <v>250</v>
      </c>
      <c r="L154">
        <v>2160000</v>
      </c>
      <c r="M154" t="s">
        <v>242</v>
      </c>
      <c r="N154" t="s">
        <v>425</v>
      </c>
    </row>
    <row r="155" spans="1:16" hidden="1" x14ac:dyDescent="0.25">
      <c r="A155" s="16">
        <v>45536</v>
      </c>
      <c r="B155" t="s">
        <v>162</v>
      </c>
      <c r="C155">
        <v>44</v>
      </c>
      <c r="D155" t="s">
        <v>291</v>
      </c>
      <c r="E155" t="s">
        <v>292</v>
      </c>
      <c r="F155" t="s">
        <v>240</v>
      </c>
      <c r="G155" t="s">
        <v>82</v>
      </c>
      <c r="H155" t="s">
        <v>166</v>
      </c>
      <c r="J155" t="s">
        <v>189</v>
      </c>
      <c r="K155" t="s">
        <v>250</v>
      </c>
      <c r="L155">
        <v>1510000</v>
      </c>
      <c r="M155" t="s">
        <v>242</v>
      </c>
      <c r="N155" t="s">
        <v>426</v>
      </c>
    </row>
    <row r="156" spans="1:16" hidden="1" x14ac:dyDescent="0.25">
      <c r="A156" s="16">
        <v>45536</v>
      </c>
      <c r="B156" t="s">
        <v>162</v>
      </c>
      <c r="C156">
        <v>44</v>
      </c>
      <c r="D156" t="s">
        <v>291</v>
      </c>
      <c r="E156" t="s">
        <v>292</v>
      </c>
      <c r="F156" t="s">
        <v>240</v>
      </c>
      <c r="G156" t="s">
        <v>82</v>
      </c>
      <c r="H156" t="s">
        <v>167</v>
      </c>
      <c r="J156" t="s">
        <v>189</v>
      </c>
      <c r="K156" t="s">
        <v>250</v>
      </c>
      <c r="L156">
        <v>3450000</v>
      </c>
      <c r="M156" t="s">
        <v>242</v>
      </c>
      <c r="N156" t="s">
        <v>427</v>
      </c>
    </row>
    <row r="157" spans="1:16" hidden="1" x14ac:dyDescent="0.25">
      <c r="A157" s="16">
        <v>45536</v>
      </c>
      <c r="B157" t="s">
        <v>162</v>
      </c>
      <c r="C157">
        <v>45</v>
      </c>
      <c r="D157" t="s">
        <v>247</v>
      </c>
      <c r="E157" t="s">
        <v>248</v>
      </c>
      <c r="F157" t="s">
        <v>428</v>
      </c>
      <c r="G157" t="s">
        <v>82</v>
      </c>
      <c r="H157" t="s">
        <v>286</v>
      </c>
      <c r="J157" t="s">
        <v>189</v>
      </c>
      <c r="K157" t="s">
        <v>250</v>
      </c>
      <c r="L157">
        <v>0.3</v>
      </c>
      <c r="M157" t="s">
        <v>251</v>
      </c>
      <c r="N157" t="s">
        <v>429</v>
      </c>
    </row>
    <row r="158" spans="1:16" hidden="1" x14ac:dyDescent="0.25">
      <c r="A158" s="16">
        <v>45536</v>
      </c>
      <c r="B158" t="s">
        <v>162</v>
      </c>
      <c r="C158">
        <v>45</v>
      </c>
      <c r="D158" t="s">
        <v>253</v>
      </c>
      <c r="E158" t="s">
        <v>248</v>
      </c>
      <c r="F158" t="s">
        <v>428</v>
      </c>
      <c r="G158" t="s">
        <v>82</v>
      </c>
      <c r="J158" t="s">
        <v>254</v>
      </c>
      <c r="K158" t="s">
        <v>255</v>
      </c>
      <c r="L158">
        <v>11010000</v>
      </c>
      <c r="M158" t="s">
        <v>242</v>
      </c>
      <c r="N158" t="s">
        <v>430</v>
      </c>
      <c r="O158">
        <v>1</v>
      </c>
      <c r="P158" t="s">
        <v>257</v>
      </c>
    </row>
    <row r="159" spans="1:16" hidden="1" x14ac:dyDescent="0.25">
      <c r="A159" s="16">
        <v>45536</v>
      </c>
      <c r="B159" t="s">
        <v>162</v>
      </c>
      <c r="C159">
        <v>45</v>
      </c>
      <c r="D159" t="s">
        <v>253</v>
      </c>
      <c r="E159" t="s">
        <v>248</v>
      </c>
      <c r="F159" t="s">
        <v>428</v>
      </c>
      <c r="G159" t="s">
        <v>82</v>
      </c>
      <c r="J159" t="s">
        <v>258</v>
      </c>
      <c r="K159" t="s">
        <v>255</v>
      </c>
      <c r="L159">
        <v>11350000</v>
      </c>
      <c r="M159" t="s">
        <v>242</v>
      </c>
      <c r="N159" t="s">
        <v>431</v>
      </c>
      <c r="O159">
        <v>1</v>
      </c>
      <c r="P159" t="s">
        <v>257</v>
      </c>
    </row>
    <row r="160" spans="1:16" hidden="1" x14ac:dyDescent="0.25">
      <c r="A160" s="16">
        <v>45536</v>
      </c>
      <c r="B160" t="s">
        <v>162</v>
      </c>
      <c r="C160">
        <v>45</v>
      </c>
      <c r="D160" t="s">
        <v>253</v>
      </c>
      <c r="E160" t="s">
        <v>248</v>
      </c>
      <c r="F160" t="s">
        <v>428</v>
      </c>
      <c r="G160" t="s">
        <v>82</v>
      </c>
      <c r="J160" t="s">
        <v>189</v>
      </c>
      <c r="K160" t="s">
        <v>255</v>
      </c>
      <c r="L160">
        <v>11380000</v>
      </c>
      <c r="M160" t="s">
        <v>242</v>
      </c>
      <c r="N160" t="s">
        <v>432</v>
      </c>
      <c r="O160">
        <v>1</v>
      </c>
      <c r="P160" t="s">
        <v>261</v>
      </c>
    </row>
    <row r="161" spans="1:16" hidden="1" x14ac:dyDescent="0.25">
      <c r="A161" s="16">
        <v>45536</v>
      </c>
      <c r="B161" t="s">
        <v>162</v>
      </c>
      <c r="C161">
        <v>46</v>
      </c>
      <c r="D161" t="s">
        <v>291</v>
      </c>
      <c r="E161" t="s">
        <v>292</v>
      </c>
      <c r="F161" t="s">
        <v>428</v>
      </c>
      <c r="G161" t="s">
        <v>82</v>
      </c>
      <c r="H161" t="s">
        <v>94</v>
      </c>
      <c r="J161" t="s">
        <v>189</v>
      </c>
      <c r="K161" t="s">
        <v>250</v>
      </c>
      <c r="L161">
        <v>8530000</v>
      </c>
      <c r="M161" t="s">
        <v>242</v>
      </c>
      <c r="N161" t="s">
        <v>433</v>
      </c>
    </row>
    <row r="162" spans="1:16" hidden="1" x14ac:dyDescent="0.25">
      <c r="A162" s="16">
        <v>45536</v>
      </c>
      <c r="B162" t="s">
        <v>162</v>
      </c>
      <c r="C162">
        <v>46</v>
      </c>
      <c r="D162" t="s">
        <v>291</v>
      </c>
      <c r="E162" t="s">
        <v>292</v>
      </c>
      <c r="F162" t="s">
        <v>428</v>
      </c>
      <c r="G162" t="s">
        <v>82</v>
      </c>
      <c r="H162" t="s">
        <v>95</v>
      </c>
      <c r="J162" t="s">
        <v>189</v>
      </c>
      <c r="K162" t="s">
        <v>250</v>
      </c>
      <c r="L162">
        <v>2850000</v>
      </c>
      <c r="M162" t="s">
        <v>242</v>
      </c>
      <c r="N162" t="s">
        <v>434</v>
      </c>
    </row>
    <row r="163" spans="1:16" hidden="1" x14ac:dyDescent="0.25">
      <c r="A163" s="16">
        <v>45536</v>
      </c>
      <c r="B163" t="s">
        <v>162</v>
      </c>
      <c r="C163">
        <v>47</v>
      </c>
      <c r="D163" t="s">
        <v>291</v>
      </c>
      <c r="E163" t="s">
        <v>292</v>
      </c>
      <c r="F163" t="s">
        <v>428</v>
      </c>
      <c r="G163" t="s">
        <v>82</v>
      </c>
      <c r="H163" t="s">
        <v>173</v>
      </c>
      <c r="J163" t="s">
        <v>189</v>
      </c>
      <c r="K163" t="s">
        <v>250</v>
      </c>
      <c r="L163">
        <v>1800000</v>
      </c>
      <c r="M163" t="s">
        <v>242</v>
      </c>
      <c r="N163" t="s">
        <v>435</v>
      </c>
    </row>
    <row r="164" spans="1:16" hidden="1" x14ac:dyDescent="0.25">
      <c r="A164" s="16">
        <v>45536</v>
      </c>
      <c r="B164" t="s">
        <v>162</v>
      </c>
      <c r="C164">
        <v>47</v>
      </c>
      <c r="D164" t="s">
        <v>291</v>
      </c>
      <c r="E164" t="s">
        <v>292</v>
      </c>
      <c r="F164" t="s">
        <v>428</v>
      </c>
      <c r="G164" t="s">
        <v>82</v>
      </c>
      <c r="H164" t="s">
        <v>174</v>
      </c>
      <c r="J164" t="s">
        <v>189</v>
      </c>
      <c r="K164" t="s">
        <v>250</v>
      </c>
      <c r="L164">
        <v>1490000</v>
      </c>
      <c r="M164" t="s">
        <v>242</v>
      </c>
      <c r="N164" t="s">
        <v>436</v>
      </c>
    </row>
    <row r="165" spans="1:16" hidden="1" x14ac:dyDescent="0.25">
      <c r="A165" s="16">
        <v>45536</v>
      </c>
      <c r="B165" t="s">
        <v>162</v>
      </c>
      <c r="C165">
        <v>48</v>
      </c>
      <c r="D165" t="s">
        <v>247</v>
      </c>
      <c r="E165" t="s">
        <v>248</v>
      </c>
      <c r="F165" t="s">
        <v>244</v>
      </c>
      <c r="G165" t="s">
        <v>82</v>
      </c>
      <c r="H165" t="s">
        <v>249</v>
      </c>
      <c r="J165" t="s">
        <v>189</v>
      </c>
      <c r="K165" t="s">
        <v>250</v>
      </c>
      <c r="L165">
        <v>1.6</v>
      </c>
      <c r="M165" t="s">
        <v>251</v>
      </c>
      <c r="N165" t="s">
        <v>437</v>
      </c>
    </row>
    <row r="166" spans="1:16" hidden="1" x14ac:dyDescent="0.25">
      <c r="A166" s="16">
        <v>45536</v>
      </c>
      <c r="B166" t="s">
        <v>162</v>
      </c>
      <c r="C166">
        <v>48</v>
      </c>
      <c r="D166" t="s">
        <v>253</v>
      </c>
      <c r="E166" t="s">
        <v>248</v>
      </c>
      <c r="F166" t="s">
        <v>244</v>
      </c>
      <c r="G166" t="s">
        <v>82</v>
      </c>
      <c r="J166" t="s">
        <v>254</v>
      </c>
      <c r="K166" t="s">
        <v>255</v>
      </c>
      <c r="L166">
        <v>1600000000</v>
      </c>
      <c r="M166" t="s">
        <v>245</v>
      </c>
      <c r="N166" t="s">
        <v>438</v>
      </c>
      <c r="O166">
        <v>1</v>
      </c>
      <c r="P166" t="s">
        <v>257</v>
      </c>
    </row>
    <row r="167" spans="1:16" hidden="1" x14ac:dyDescent="0.25">
      <c r="A167" s="16">
        <v>45536</v>
      </c>
      <c r="B167" t="s">
        <v>162</v>
      </c>
      <c r="C167">
        <v>48</v>
      </c>
      <c r="D167" t="s">
        <v>253</v>
      </c>
      <c r="E167" t="s">
        <v>248</v>
      </c>
      <c r="F167" t="s">
        <v>244</v>
      </c>
      <c r="G167" t="s">
        <v>82</v>
      </c>
      <c r="J167" t="s">
        <v>258</v>
      </c>
      <c r="K167" t="s">
        <v>255</v>
      </c>
      <c r="L167">
        <v>1620000000</v>
      </c>
      <c r="M167" t="s">
        <v>245</v>
      </c>
      <c r="N167" t="s">
        <v>439</v>
      </c>
      <c r="O167">
        <v>1</v>
      </c>
      <c r="P167" t="s">
        <v>257</v>
      </c>
    </row>
    <row r="168" spans="1:16" hidden="1" x14ac:dyDescent="0.25">
      <c r="A168" s="16">
        <v>45536</v>
      </c>
      <c r="B168" t="s">
        <v>162</v>
      </c>
      <c r="C168">
        <v>48</v>
      </c>
      <c r="D168" t="s">
        <v>253</v>
      </c>
      <c r="E168" t="s">
        <v>248</v>
      </c>
      <c r="F168" t="s">
        <v>244</v>
      </c>
      <c r="G168" t="s">
        <v>82</v>
      </c>
      <c r="J168" t="s">
        <v>189</v>
      </c>
      <c r="K168" t="s">
        <v>255</v>
      </c>
      <c r="L168">
        <v>1590000000</v>
      </c>
      <c r="M168" t="s">
        <v>245</v>
      </c>
      <c r="N168" t="s">
        <v>440</v>
      </c>
      <c r="O168">
        <v>1</v>
      </c>
      <c r="P168" t="s">
        <v>261</v>
      </c>
    </row>
    <row r="169" spans="1:16" hidden="1" x14ac:dyDescent="0.25">
      <c r="A169" s="16">
        <v>45536</v>
      </c>
      <c r="B169" t="s">
        <v>162</v>
      </c>
      <c r="C169">
        <v>49</v>
      </c>
      <c r="D169" t="s">
        <v>291</v>
      </c>
      <c r="E169" t="s">
        <v>292</v>
      </c>
      <c r="F169" t="s">
        <v>244</v>
      </c>
      <c r="G169" t="s">
        <v>82</v>
      </c>
      <c r="H169" t="s">
        <v>164</v>
      </c>
      <c r="J169" t="s">
        <v>189</v>
      </c>
      <c r="K169" t="s">
        <v>250</v>
      </c>
      <c r="L169">
        <v>975000000</v>
      </c>
      <c r="M169" t="s">
        <v>245</v>
      </c>
      <c r="N169" t="s">
        <v>441</v>
      </c>
    </row>
    <row r="170" spans="1:16" hidden="1" x14ac:dyDescent="0.25">
      <c r="A170" s="16">
        <v>45536</v>
      </c>
      <c r="B170" t="s">
        <v>162</v>
      </c>
      <c r="C170">
        <v>49</v>
      </c>
      <c r="D170" t="s">
        <v>291</v>
      </c>
      <c r="E170" t="s">
        <v>292</v>
      </c>
      <c r="F170" t="s">
        <v>244</v>
      </c>
      <c r="G170" t="s">
        <v>82</v>
      </c>
      <c r="H170" t="s">
        <v>165</v>
      </c>
      <c r="J170" t="s">
        <v>189</v>
      </c>
      <c r="K170" t="s">
        <v>250</v>
      </c>
      <c r="L170">
        <v>169000000</v>
      </c>
      <c r="M170" t="s">
        <v>245</v>
      </c>
      <c r="N170" t="s">
        <v>442</v>
      </c>
    </row>
    <row r="171" spans="1:16" hidden="1" x14ac:dyDescent="0.25">
      <c r="A171" s="16">
        <v>45536</v>
      </c>
      <c r="B171" t="s">
        <v>162</v>
      </c>
      <c r="C171">
        <v>49</v>
      </c>
      <c r="D171" t="s">
        <v>291</v>
      </c>
      <c r="E171" t="s">
        <v>292</v>
      </c>
      <c r="F171" t="s">
        <v>244</v>
      </c>
      <c r="G171" t="s">
        <v>82</v>
      </c>
      <c r="H171" t="s">
        <v>166</v>
      </c>
      <c r="J171" t="s">
        <v>189</v>
      </c>
      <c r="K171" t="s">
        <v>250</v>
      </c>
      <c r="L171">
        <v>206000000</v>
      </c>
      <c r="M171" t="s">
        <v>245</v>
      </c>
      <c r="N171" t="s">
        <v>443</v>
      </c>
    </row>
    <row r="172" spans="1:16" hidden="1" x14ac:dyDescent="0.25">
      <c r="A172" s="16">
        <v>45536</v>
      </c>
      <c r="B172" t="s">
        <v>162</v>
      </c>
      <c r="C172">
        <v>49</v>
      </c>
      <c r="D172" t="s">
        <v>291</v>
      </c>
      <c r="E172" t="s">
        <v>292</v>
      </c>
      <c r="F172" t="s">
        <v>244</v>
      </c>
      <c r="G172" t="s">
        <v>82</v>
      </c>
      <c r="H172" t="s">
        <v>167</v>
      </c>
      <c r="J172" t="s">
        <v>189</v>
      </c>
      <c r="K172" t="s">
        <v>250</v>
      </c>
      <c r="L172">
        <v>230000000</v>
      </c>
      <c r="M172" t="s">
        <v>245</v>
      </c>
      <c r="N172" t="s">
        <v>444</v>
      </c>
    </row>
    <row r="173" spans="1:16" hidden="1" x14ac:dyDescent="0.25">
      <c r="A173" s="16">
        <v>45536</v>
      </c>
      <c r="B173" t="s">
        <v>162</v>
      </c>
      <c r="C173">
        <v>50</v>
      </c>
      <c r="D173" t="s">
        <v>247</v>
      </c>
      <c r="E173" t="s">
        <v>248</v>
      </c>
      <c r="F173" t="s">
        <v>445</v>
      </c>
      <c r="G173" t="s">
        <v>82</v>
      </c>
      <c r="H173" t="s">
        <v>249</v>
      </c>
      <c r="J173" t="s">
        <v>189</v>
      </c>
      <c r="K173" t="s">
        <v>250</v>
      </c>
      <c r="L173">
        <v>1.5</v>
      </c>
      <c r="M173" t="s">
        <v>251</v>
      </c>
      <c r="N173" t="s">
        <v>446</v>
      </c>
    </row>
    <row r="174" spans="1:16" hidden="1" x14ac:dyDescent="0.25">
      <c r="A174" s="16">
        <v>45536</v>
      </c>
      <c r="B174" t="s">
        <v>162</v>
      </c>
      <c r="C174">
        <v>50</v>
      </c>
      <c r="D174" t="s">
        <v>253</v>
      </c>
      <c r="E174" t="s">
        <v>248</v>
      </c>
      <c r="F174" t="s">
        <v>445</v>
      </c>
      <c r="G174" t="s">
        <v>82</v>
      </c>
      <c r="J174" t="s">
        <v>254</v>
      </c>
      <c r="K174" t="s">
        <v>255</v>
      </c>
      <c r="L174">
        <v>1320000000</v>
      </c>
      <c r="M174" t="s">
        <v>245</v>
      </c>
      <c r="N174" t="s">
        <v>447</v>
      </c>
      <c r="O174">
        <v>1</v>
      </c>
      <c r="P174" t="s">
        <v>257</v>
      </c>
    </row>
    <row r="175" spans="1:16" hidden="1" x14ac:dyDescent="0.25">
      <c r="A175" s="16">
        <v>45536</v>
      </c>
      <c r="B175" t="s">
        <v>162</v>
      </c>
      <c r="C175">
        <v>50</v>
      </c>
      <c r="D175" t="s">
        <v>253</v>
      </c>
      <c r="E175" t="s">
        <v>248</v>
      </c>
      <c r="F175" t="s">
        <v>445</v>
      </c>
      <c r="G175" t="s">
        <v>82</v>
      </c>
      <c r="J175" t="s">
        <v>258</v>
      </c>
      <c r="K175" t="s">
        <v>255</v>
      </c>
      <c r="L175">
        <v>1340000000</v>
      </c>
      <c r="M175" t="s">
        <v>245</v>
      </c>
      <c r="N175" t="s">
        <v>448</v>
      </c>
      <c r="O175">
        <v>1</v>
      </c>
      <c r="P175" t="s">
        <v>257</v>
      </c>
    </row>
    <row r="176" spans="1:16" hidden="1" x14ac:dyDescent="0.25">
      <c r="A176" s="16">
        <v>45536</v>
      </c>
      <c r="B176" t="s">
        <v>162</v>
      </c>
      <c r="C176">
        <v>50</v>
      </c>
      <c r="D176" t="s">
        <v>253</v>
      </c>
      <c r="E176" t="s">
        <v>248</v>
      </c>
      <c r="F176" t="s">
        <v>445</v>
      </c>
      <c r="G176" t="s">
        <v>82</v>
      </c>
      <c r="J176" t="s">
        <v>189</v>
      </c>
      <c r="K176" t="s">
        <v>255</v>
      </c>
      <c r="L176">
        <v>1320000000</v>
      </c>
      <c r="M176" t="s">
        <v>245</v>
      </c>
      <c r="N176" t="s">
        <v>447</v>
      </c>
      <c r="O176">
        <v>1</v>
      </c>
      <c r="P176" t="s">
        <v>261</v>
      </c>
    </row>
    <row r="177" spans="1:16" hidden="1" x14ac:dyDescent="0.25">
      <c r="A177" s="16">
        <v>45536</v>
      </c>
      <c r="B177" t="s">
        <v>162</v>
      </c>
      <c r="C177">
        <v>51</v>
      </c>
      <c r="D177" t="s">
        <v>291</v>
      </c>
      <c r="E177" t="s">
        <v>292</v>
      </c>
      <c r="F177" t="s">
        <v>445</v>
      </c>
      <c r="G177" t="s">
        <v>82</v>
      </c>
      <c r="H177" t="s">
        <v>94</v>
      </c>
      <c r="J177" t="s">
        <v>189</v>
      </c>
      <c r="K177" t="s">
        <v>250</v>
      </c>
      <c r="L177">
        <v>1060000000</v>
      </c>
      <c r="M177" t="s">
        <v>245</v>
      </c>
      <c r="N177" t="s">
        <v>449</v>
      </c>
    </row>
    <row r="178" spans="1:16" hidden="1" x14ac:dyDescent="0.25">
      <c r="A178" s="16">
        <v>45536</v>
      </c>
      <c r="B178" t="s">
        <v>162</v>
      </c>
      <c r="C178">
        <v>51</v>
      </c>
      <c r="D178" t="s">
        <v>291</v>
      </c>
      <c r="E178" t="s">
        <v>292</v>
      </c>
      <c r="F178" t="s">
        <v>445</v>
      </c>
      <c r="G178" t="s">
        <v>82</v>
      </c>
      <c r="H178" t="s">
        <v>95</v>
      </c>
      <c r="J178" t="s">
        <v>189</v>
      </c>
      <c r="K178" t="s">
        <v>250</v>
      </c>
      <c r="L178">
        <v>254100000</v>
      </c>
      <c r="M178" t="s">
        <v>245</v>
      </c>
      <c r="N178" t="s">
        <v>450</v>
      </c>
    </row>
    <row r="179" spans="1:16" hidden="1" x14ac:dyDescent="0.25">
      <c r="A179" s="16">
        <v>45536</v>
      </c>
      <c r="B179" t="s">
        <v>162</v>
      </c>
      <c r="C179">
        <v>52</v>
      </c>
      <c r="D179" t="s">
        <v>291</v>
      </c>
      <c r="E179" t="s">
        <v>292</v>
      </c>
      <c r="F179" t="s">
        <v>445</v>
      </c>
      <c r="G179" t="s">
        <v>82</v>
      </c>
      <c r="H179" t="s">
        <v>173</v>
      </c>
      <c r="J179" t="s">
        <v>189</v>
      </c>
      <c r="K179" t="s">
        <v>250</v>
      </c>
      <c r="L179">
        <v>132900000</v>
      </c>
      <c r="M179" t="s">
        <v>245</v>
      </c>
      <c r="N179" t="s">
        <v>451</v>
      </c>
    </row>
    <row r="180" spans="1:16" hidden="1" x14ac:dyDescent="0.25">
      <c r="A180" s="16">
        <v>45536</v>
      </c>
      <c r="B180" t="s">
        <v>162</v>
      </c>
      <c r="C180">
        <v>52</v>
      </c>
      <c r="D180" t="s">
        <v>291</v>
      </c>
      <c r="E180" t="s">
        <v>292</v>
      </c>
      <c r="F180" t="s">
        <v>445</v>
      </c>
      <c r="G180" t="s">
        <v>82</v>
      </c>
      <c r="H180" t="s">
        <v>174</v>
      </c>
      <c r="J180" t="s">
        <v>189</v>
      </c>
      <c r="K180" t="s">
        <v>250</v>
      </c>
      <c r="L180">
        <v>201500000</v>
      </c>
      <c r="M180" t="s">
        <v>245</v>
      </c>
      <c r="N180" t="s">
        <v>452</v>
      </c>
    </row>
    <row r="181" spans="1:16" hidden="1" x14ac:dyDescent="0.25">
      <c r="A181" s="16">
        <v>45536</v>
      </c>
      <c r="B181" t="s">
        <v>162</v>
      </c>
      <c r="C181">
        <v>53</v>
      </c>
      <c r="D181" t="s">
        <v>291</v>
      </c>
      <c r="E181" t="s">
        <v>292</v>
      </c>
      <c r="F181" t="s">
        <v>334</v>
      </c>
      <c r="G181" t="s">
        <v>82</v>
      </c>
      <c r="H181" t="s">
        <v>164</v>
      </c>
      <c r="J181" t="s">
        <v>189</v>
      </c>
      <c r="K181" t="s">
        <v>250</v>
      </c>
      <c r="L181">
        <v>171</v>
      </c>
      <c r="M181" t="s">
        <v>245</v>
      </c>
      <c r="N181" t="s">
        <v>453</v>
      </c>
    </row>
    <row r="182" spans="1:16" hidden="1" x14ac:dyDescent="0.25">
      <c r="A182" s="16">
        <v>45536</v>
      </c>
      <c r="B182" t="s">
        <v>162</v>
      </c>
      <c r="C182">
        <v>53</v>
      </c>
      <c r="D182" t="s">
        <v>291</v>
      </c>
      <c r="E182" t="s">
        <v>292</v>
      </c>
      <c r="F182" t="s">
        <v>334</v>
      </c>
      <c r="G182" t="s">
        <v>82</v>
      </c>
      <c r="H182" t="s">
        <v>173</v>
      </c>
      <c r="J182" t="s">
        <v>189</v>
      </c>
      <c r="K182" t="s">
        <v>250</v>
      </c>
      <c r="L182">
        <v>78</v>
      </c>
      <c r="M182" t="s">
        <v>245</v>
      </c>
      <c r="N182" t="s">
        <v>454</v>
      </c>
    </row>
    <row r="183" spans="1:16" hidden="1" x14ac:dyDescent="0.25">
      <c r="A183" s="16">
        <v>45536</v>
      </c>
      <c r="B183" t="s">
        <v>162</v>
      </c>
      <c r="C183">
        <v>53</v>
      </c>
      <c r="D183" t="s">
        <v>238</v>
      </c>
      <c r="E183" t="s">
        <v>239</v>
      </c>
      <c r="F183" t="s">
        <v>334</v>
      </c>
      <c r="G183" t="s">
        <v>82</v>
      </c>
      <c r="H183" t="s">
        <v>455</v>
      </c>
      <c r="J183" t="s">
        <v>189</v>
      </c>
      <c r="K183" t="s">
        <v>250</v>
      </c>
      <c r="L183">
        <v>113</v>
      </c>
      <c r="M183" t="s">
        <v>245</v>
      </c>
      <c r="N183" t="s">
        <v>456</v>
      </c>
    </row>
    <row r="184" spans="1:16" hidden="1" x14ac:dyDescent="0.25">
      <c r="A184" s="16">
        <v>45536</v>
      </c>
      <c r="B184" t="s">
        <v>162</v>
      </c>
      <c r="C184">
        <v>53</v>
      </c>
      <c r="D184" t="s">
        <v>291</v>
      </c>
      <c r="E184" t="s">
        <v>292</v>
      </c>
      <c r="F184" t="s">
        <v>334</v>
      </c>
      <c r="G184" t="s">
        <v>82</v>
      </c>
      <c r="H184" t="s">
        <v>174</v>
      </c>
      <c r="J184" t="s">
        <v>189</v>
      </c>
      <c r="K184" t="s">
        <v>250</v>
      </c>
      <c r="L184">
        <v>136</v>
      </c>
      <c r="M184" t="s">
        <v>245</v>
      </c>
      <c r="N184" t="s">
        <v>457</v>
      </c>
    </row>
    <row r="185" spans="1:16" hidden="1" x14ac:dyDescent="0.25">
      <c r="A185" s="16">
        <v>45536</v>
      </c>
      <c r="B185" t="s">
        <v>162</v>
      </c>
      <c r="C185">
        <v>53</v>
      </c>
      <c r="D185" t="s">
        <v>291</v>
      </c>
      <c r="E185" t="s">
        <v>292</v>
      </c>
      <c r="F185" t="s">
        <v>334</v>
      </c>
      <c r="G185" t="s">
        <v>82</v>
      </c>
      <c r="H185" t="s">
        <v>178</v>
      </c>
      <c r="J185" t="s">
        <v>189</v>
      </c>
      <c r="K185" t="s">
        <v>250</v>
      </c>
      <c r="L185">
        <v>67</v>
      </c>
      <c r="M185" t="s">
        <v>245</v>
      </c>
      <c r="N185" t="s">
        <v>458</v>
      </c>
    </row>
    <row r="186" spans="1:16" hidden="1" x14ac:dyDescent="0.25">
      <c r="A186" s="16">
        <v>45536</v>
      </c>
      <c r="B186" t="s">
        <v>97</v>
      </c>
      <c r="C186">
        <v>26</v>
      </c>
      <c r="D186" t="s">
        <v>238</v>
      </c>
      <c r="E186" t="s">
        <v>239</v>
      </c>
      <c r="F186" t="s">
        <v>240</v>
      </c>
      <c r="G186" t="s">
        <v>82</v>
      </c>
      <c r="J186" t="s">
        <v>189</v>
      </c>
      <c r="K186" t="s">
        <v>241</v>
      </c>
      <c r="L186">
        <v>39380000</v>
      </c>
      <c r="M186" t="s">
        <v>242</v>
      </c>
      <c r="N186" t="s">
        <v>459</v>
      </c>
    </row>
    <row r="187" spans="1:16" hidden="1" x14ac:dyDescent="0.25">
      <c r="A187" s="16">
        <v>45536</v>
      </c>
      <c r="B187" t="s">
        <v>97</v>
      </c>
      <c r="C187">
        <v>26</v>
      </c>
      <c r="D187" t="s">
        <v>238</v>
      </c>
      <c r="E187" t="s">
        <v>239</v>
      </c>
      <c r="F187" t="s">
        <v>244</v>
      </c>
      <c r="G187" t="s">
        <v>82</v>
      </c>
      <c r="J187" t="s">
        <v>189</v>
      </c>
      <c r="K187" t="s">
        <v>241</v>
      </c>
      <c r="L187">
        <v>3820000000</v>
      </c>
      <c r="M187" t="s">
        <v>245</v>
      </c>
      <c r="N187" t="s">
        <v>460</v>
      </c>
    </row>
    <row r="188" spans="1:16" hidden="1" x14ac:dyDescent="0.25">
      <c r="A188" s="16">
        <v>45536</v>
      </c>
      <c r="B188" t="s">
        <v>97</v>
      </c>
      <c r="C188">
        <v>27</v>
      </c>
      <c r="D188" t="s">
        <v>247</v>
      </c>
      <c r="E188" t="s">
        <v>248</v>
      </c>
      <c r="F188" t="s">
        <v>285</v>
      </c>
      <c r="G188" t="s">
        <v>63</v>
      </c>
      <c r="H188" t="s">
        <v>286</v>
      </c>
      <c r="J188" t="s">
        <v>189</v>
      </c>
      <c r="K188" t="s">
        <v>250</v>
      </c>
      <c r="L188">
        <v>1.8</v>
      </c>
      <c r="M188" t="s">
        <v>251</v>
      </c>
      <c r="N188" t="s">
        <v>461</v>
      </c>
    </row>
    <row r="189" spans="1:16" hidden="1" x14ac:dyDescent="0.25">
      <c r="A189" s="16">
        <v>45536</v>
      </c>
      <c r="B189" t="s">
        <v>97</v>
      </c>
      <c r="C189">
        <v>27</v>
      </c>
      <c r="D189" t="s">
        <v>253</v>
      </c>
      <c r="E189" t="s">
        <v>248</v>
      </c>
      <c r="F189" t="s">
        <v>285</v>
      </c>
      <c r="G189" t="s">
        <v>63</v>
      </c>
      <c r="J189" t="s">
        <v>254</v>
      </c>
      <c r="K189" t="s">
        <v>255</v>
      </c>
      <c r="L189">
        <v>2300000</v>
      </c>
      <c r="M189" t="s">
        <v>242</v>
      </c>
      <c r="N189" t="s">
        <v>462</v>
      </c>
      <c r="O189">
        <v>1</v>
      </c>
      <c r="P189" t="s">
        <v>257</v>
      </c>
    </row>
    <row r="190" spans="1:16" hidden="1" x14ac:dyDescent="0.25">
      <c r="A190" s="16">
        <v>45536</v>
      </c>
      <c r="B190" t="s">
        <v>97</v>
      </c>
      <c r="C190">
        <v>27</v>
      </c>
      <c r="D190" t="s">
        <v>253</v>
      </c>
      <c r="E190" t="s">
        <v>248</v>
      </c>
      <c r="F190" t="s">
        <v>285</v>
      </c>
      <c r="G190" t="s">
        <v>63</v>
      </c>
      <c r="J190" t="s">
        <v>258</v>
      </c>
      <c r="K190" t="s">
        <v>255</v>
      </c>
      <c r="L190">
        <v>2290000</v>
      </c>
      <c r="M190" t="s">
        <v>242</v>
      </c>
      <c r="N190" t="s">
        <v>463</v>
      </c>
      <c r="O190">
        <v>1</v>
      </c>
      <c r="P190" t="s">
        <v>257</v>
      </c>
    </row>
    <row r="191" spans="1:16" hidden="1" x14ac:dyDescent="0.25">
      <c r="A191" s="16">
        <v>45536</v>
      </c>
      <c r="B191" t="s">
        <v>97</v>
      </c>
      <c r="C191">
        <v>27</v>
      </c>
      <c r="D191" t="s">
        <v>253</v>
      </c>
      <c r="E191" t="s">
        <v>248</v>
      </c>
      <c r="F191" t="s">
        <v>285</v>
      </c>
      <c r="G191" t="s">
        <v>63</v>
      </c>
      <c r="J191" t="s">
        <v>189</v>
      </c>
      <c r="K191" t="s">
        <v>255</v>
      </c>
      <c r="L191">
        <v>2330000</v>
      </c>
      <c r="M191" t="s">
        <v>242</v>
      </c>
      <c r="N191" t="s">
        <v>464</v>
      </c>
      <c r="O191">
        <v>1</v>
      </c>
      <c r="P191" t="s">
        <v>261</v>
      </c>
    </row>
    <row r="192" spans="1:16" hidden="1" x14ac:dyDescent="0.25">
      <c r="A192" s="16">
        <v>45536</v>
      </c>
      <c r="B192" t="s">
        <v>97</v>
      </c>
      <c r="C192">
        <v>28</v>
      </c>
      <c r="D192" t="s">
        <v>291</v>
      </c>
      <c r="E192" t="s">
        <v>292</v>
      </c>
      <c r="F192" t="s">
        <v>285</v>
      </c>
      <c r="G192" t="s">
        <v>63</v>
      </c>
      <c r="H192" t="s">
        <v>64</v>
      </c>
      <c r="J192" t="s">
        <v>189</v>
      </c>
      <c r="K192" t="s">
        <v>250</v>
      </c>
      <c r="L192">
        <v>2050000</v>
      </c>
      <c r="M192" t="s">
        <v>242</v>
      </c>
      <c r="N192" t="s">
        <v>465</v>
      </c>
    </row>
    <row r="193" spans="1:14" hidden="1" x14ac:dyDescent="0.25">
      <c r="A193" s="16">
        <v>45536</v>
      </c>
      <c r="B193" t="s">
        <v>97</v>
      </c>
      <c r="C193">
        <v>28</v>
      </c>
      <c r="D193" t="s">
        <v>291</v>
      </c>
      <c r="E193" t="s">
        <v>292</v>
      </c>
      <c r="F193" t="s">
        <v>285</v>
      </c>
      <c r="G193" t="s">
        <v>63</v>
      </c>
      <c r="H193" t="s">
        <v>65</v>
      </c>
      <c r="J193" t="s">
        <v>189</v>
      </c>
      <c r="K193" t="s">
        <v>250</v>
      </c>
      <c r="L193">
        <v>278000</v>
      </c>
      <c r="M193" t="s">
        <v>242</v>
      </c>
      <c r="N193" t="s">
        <v>466</v>
      </c>
    </row>
    <row r="194" spans="1:14" hidden="1" x14ac:dyDescent="0.25">
      <c r="A194" s="16">
        <v>45536</v>
      </c>
      <c r="B194" t="s">
        <v>97</v>
      </c>
      <c r="C194">
        <v>29</v>
      </c>
      <c r="D194" t="s">
        <v>291</v>
      </c>
      <c r="E194" t="s">
        <v>292</v>
      </c>
      <c r="F194" t="s">
        <v>285</v>
      </c>
      <c r="G194" t="s">
        <v>63</v>
      </c>
      <c r="H194" t="s">
        <v>67</v>
      </c>
      <c r="J194" t="s">
        <v>189</v>
      </c>
      <c r="K194" t="s">
        <v>250</v>
      </c>
      <c r="L194">
        <v>1140000</v>
      </c>
      <c r="M194" t="s">
        <v>242</v>
      </c>
      <c r="N194" t="s">
        <v>467</v>
      </c>
    </row>
    <row r="195" spans="1:14" hidden="1" x14ac:dyDescent="0.25">
      <c r="A195" s="16">
        <v>45536</v>
      </c>
      <c r="B195" t="s">
        <v>97</v>
      </c>
      <c r="C195">
        <v>29</v>
      </c>
      <c r="D195" t="s">
        <v>291</v>
      </c>
      <c r="E195" t="s">
        <v>292</v>
      </c>
      <c r="F195" t="s">
        <v>285</v>
      </c>
      <c r="G195" t="s">
        <v>63</v>
      </c>
      <c r="H195" t="s">
        <v>68</v>
      </c>
      <c r="J195" t="s">
        <v>189</v>
      </c>
      <c r="K195" t="s">
        <v>250</v>
      </c>
      <c r="L195">
        <v>1180000</v>
      </c>
      <c r="M195" t="s">
        <v>242</v>
      </c>
      <c r="N195" t="s">
        <v>468</v>
      </c>
    </row>
    <row r="196" spans="1:14" hidden="1" x14ac:dyDescent="0.25">
      <c r="A196" s="16">
        <v>45536</v>
      </c>
      <c r="B196" t="s">
        <v>97</v>
      </c>
      <c r="C196">
        <v>30</v>
      </c>
      <c r="D196" t="s">
        <v>291</v>
      </c>
      <c r="E196" t="s">
        <v>292</v>
      </c>
      <c r="F196" t="s">
        <v>285</v>
      </c>
      <c r="G196" t="s">
        <v>63</v>
      </c>
      <c r="H196" t="s">
        <v>70</v>
      </c>
      <c r="J196" t="s">
        <v>189</v>
      </c>
      <c r="K196" t="s">
        <v>250</v>
      </c>
      <c r="L196">
        <v>828000</v>
      </c>
      <c r="M196" t="s">
        <v>242</v>
      </c>
      <c r="N196" t="s">
        <v>469</v>
      </c>
    </row>
    <row r="197" spans="1:14" hidden="1" x14ac:dyDescent="0.25">
      <c r="A197" s="16">
        <v>45536</v>
      </c>
      <c r="B197" t="s">
        <v>97</v>
      </c>
      <c r="C197">
        <v>30</v>
      </c>
      <c r="D197" t="s">
        <v>291</v>
      </c>
      <c r="E197" t="s">
        <v>292</v>
      </c>
      <c r="F197" t="s">
        <v>285</v>
      </c>
      <c r="G197" t="s">
        <v>63</v>
      </c>
      <c r="H197" t="s">
        <v>71</v>
      </c>
      <c r="J197" t="s">
        <v>189</v>
      </c>
      <c r="K197" t="s">
        <v>250</v>
      </c>
      <c r="L197">
        <v>603000</v>
      </c>
      <c r="M197" t="s">
        <v>242</v>
      </c>
      <c r="N197" t="s">
        <v>470</v>
      </c>
    </row>
    <row r="198" spans="1:14" hidden="1" x14ac:dyDescent="0.25">
      <c r="A198" s="16">
        <v>45536</v>
      </c>
      <c r="B198" t="s">
        <v>97</v>
      </c>
      <c r="C198">
        <v>30</v>
      </c>
      <c r="D198" t="s">
        <v>291</v>
      </c>
      <c r="E198" t="s">
        <v>292</v>
      </c>
      <c r="F198" t="s">
        <v>285</v>
      </c>
      <c r="G198" t="s">
        <v>63</v>
      </c>
      <c r="H198" t="s">
        <v>72</v>
      </c>
      <c r="J198" t="s">
        <v>189</v>
      </c>
      <c r="K198" t="s">
        <v>250</v>
      </c>
      <c r="L198">
        <v>456000</v>
      </c>
      <c r="M198" t="s">
        <v>242</v>
      </c>
      <c r="N198" t="s">
        <v>471</v>
      </c>
    </row>
    <row r="199" spans="1:14" hidden="1" x14ac:dyDescent="0.25">
      <c r="A199" s="16">
        <v>45536</v>
      </c>
      <c r="B199" t="s">
        <v>97</v>
      </c>
      <c r="C199">
        <v>30</v>
      </c>
      <c r="D199" t="s">
        <v>291</v>
      </c>
      <c r="E199" t="s">
        <v>292</v>
      </c>
      <c r="F199" t="s">
        <v>285</v>
      </c>
      <c r="G199" t="s">
        <v>63</v>
      </c>
      <c r="H199" t="s">
        <v>73</v>
      </c>
      <c r="J199" t="s">
        <v>189</v>
      </c>
      <c r="K199" t="s">
        <v>250</v>
      </c>
      <c r="L199">
        <v>285000</v>
      </c>
      <c r="M199" t="s">
        <v>242</v>
      </c>
      <c r="N199" t="s">
        <v>472</v>
      </c>
    </row>
    <row r="200" spans="1:14" hidden="1" x14ac:dyDescent="0.25">
      <c r="A200" s="16">
        <v>45536</v>
      </c>
      <c r="B200" t="s">
        <v>97</v>
      </c>
      <c r="C200">
        <v>30</v>
      </c>
      <c r="D200" t="s">
        <v>291</v>
      </c>
      <c r="E200" t="s">
        <v>292</v>
      </c>
      <c r="F200" t="s">
        <v>285</v>
      </c>
      <c r="G200" t="s">
        <v>63</v>
      </c>
      <c r="H200" t="s">
        <v>74</v>
      </c>
      <c r="J200" t="s">
        <v>189</v>
      </c>
      <c r="K200" t="s">
        <v>250</v>
      </c>
      <c r="L200">
        <v>103000</v>
      </c>
      <c r="M200" t="s">
        <v>242</v>
      </c>
      <c r="N200" t="s">
        <v>473</v>
      </c>
    </row>
    <row r="201" spans="1:14" hidden="1" x14ac:dyDescent="0.25">
      <c r="A201" s="16">
        <v>45536</v>
      </c>
      <c r="B201" t="s">
        <v>97</v>
      </c>
      <c r="C201">
        <v>30</v>
      </c>
      <c r="D201" t="s">
        <v>291</v>
      </c>
      <c r="E201" t="s">
        <v>292</v>
      </c>
      <c r="F201" t="s">
        <v>285</v>
      </c>
      <c r="G201" t="s">
        <v>63</v>
      </c>
      <c r="H201" t="s">
        <v>75</v>
      </c>
      <c r="J201" t="s">
        <v>189</v>
      </c>
      <c r="K201" t="s">
        <v>250</v>
      </c>
      <c r="L201">
        <v>34000</v>
      </c>
      <c r="M201" t="s">
        <v>242</v>
      </c>
      <c r="N201" t="s">
        <v>474</v>
      </c>
    </row>
    <row r="202" spans="1:14" hidden="1" x14ac:dyDescent="0.25">
      <c r="A202" s="16">
        <v>45536</v>
      </c>
      <c r="B202" t="s">
        <v>97</v>
      </c>
      <c r="C202">
        <v>30</v>
      </c>
      <c r="D202" t="s">
        <v>291</v>
      </c>
      <c r="E202" t="s">
        <v>292</v>
      </c>
      <c r="F202" t="s">
        <v>285</v>
      </c>
      <c r="G202" t="s">
        <v>63</v>
      </c>
      <c r="H202" t="s">
        <v>76</v>
      </c>
      <c r="J202" t="s">
        <v>189</v>
      </c>
      <c r="K202" t="s">
        <v>250</v>
      </c>
      <c r="L202">
        <v>13000</v>
      </c>
      <c r="M202" t="s">
        <v>242</v>
      </c>
      <c r="N202" t="s">
        <v>475</v>
      </c>
    </row>
    <row r="203" spans="1:14" hidden="1" x14ac:dyDescent="0.25">
      <c r="A203" s="16">
        <v>45536</v>
      </c>
      <c r="B203" t="s">
        <v>97</v>
      </c>
      <c r="C203">
        <v>30</v>
      </c>
      <c r="D203" t="s">
        <v>291</v>
      </c>
      <c r="E203" t="s">
        <v>292</v>
      </c>
      <c r="F203" t="s">
        <v>285</v>
      </c>
      <c r="G203" t="s">
        <v>63</v>
      </c>
      <c r="H203" t="s">
        <v>77</v>
      </c>
      <c r="J203" t="s">
        <v>189</v>
      </c>
      <c r="K203" t="s">
        <v>250</v>
      </c>
      <c r="L203">
        <v>1000</v>
      </c>
      <c r="M203" t="s">
        <v>242</v>
      </c>
      <c r="N203" t="s">
        <v>476</v>
      </c>
    </row>
    <row r="204" spans="1:14" hidden="1" x14ac:dyDescent="0.25">
      <c r="A204" s="16">
        <v>45536</v>
      </c>
      <c r="B204" t="s">
        <v>97</v>
      </c>
      <c r="C204">
        <v>31</v>
      </c>
      <c r="D204" t="s">
        <v>291</v>
      </c>
      <c r="E204" t="s">
        <v>292</v>
      </c>
      <c r="F204" t="s">
        <v>477</v>
      </c>
      <c r="G204" t="s">
        <v>99</v>
      </c>
      <c r="H204" t="s">
        <v>100</v>
      </c>
      <c r="J204" t="s">
        <v>189</v>
      </c>
      <c r="K204" t="s">
        <v>250</v>
      </c>
      <c r="L204">
        <v>1376</v>
      </c>
      <c r="M204" t="s">
        <v>242</v>
      </c>
      <c r="N204" t="s">
        <v>478</v>
      </c>
    </row>
    <row r="205" spans="1:14" hidden="1" x14ac:dyDescent="0.25">
      <c r="A205" s="16">
        <v>45536</v>
      </c>
      <c r="B205" t="s">
        <v>97</v>
      </c>
      <c r="C205">
        <v>31</v>
      </c>
      <c r="D205" t="s">
        <v>291</v>
      </c>
      <c r="E205" t="s">
        <v>292</v>
      </c>
      <c r="F205" t="s">
        <v>477</v>
      </c>
      <c r="G205" t="s">
        <v>99</v>
      </c>
      <c r="H205" t="s">
        <v>101</v>
      </c>
      <c r="J205" t="s">
        <v>189</v>
      </c>
      <c r="K205" t="s">
        <v>250</v>
      </c>
      <c r="L205">
        <v>1088</v>
      </c>
      <c r="M205" t="s">
        <v>242</v>
      </c>
      <c r="N205" t="s">
        <v>479</v>
      </c>
    </row>
    <row r="206" spans="1:14" hidden="1" x14ac:dyDescent="0.25">
      <c r="A206" s="16">
        <v>45536</v>
      </c>
      <c r="B206" t="s">
        <v>97</v>
      </c>
      <c r="C206">
        <v>31</v>
      </c>
      <c r="D206" t="s">
        <v>291</v>
      </c>
      <c r="E206" t="s">
        <v>292</v>
      </c>
      <c r="F206" t="s">
        <v>477</v>
      </c>
      <c r="G206" t="s">
        <v>99</v>
      </c>
      <c r="H206" t="s">
        <v>102</v>
      </c>
      <c r="J206" t="s">
        <v>189</v>
      </c>
      <c r="K206" t="s">
        <v>250</v>
      </c>
      <c r="L206">
        <v>8</v>
      </c>
      <c r="M206" t="s">
        <v>242</v>
      </c>
      <c r="N206" t="s">
        <v>480</v>
      </c>
    </row>
    <row r="207" spans="1:14" hidden="1" x14ac:dyDescent="0.25">
      <c r="A207" s="16">
        <v>45536</v>
      </c>
      <c r="B207" t="s">
        <v>97</v>
      </c>
      <c r="C207">
        <v>31</v>
      </c>
      <c r="D207" t="s">
        <v>291</v>
      </c>
      <c r="E207" t="s">
        <v>292</v>
      </c>
      <c r="F207" t="s">
        <v>477</v>
      </c>
      <c r="G207" t="s">
        <v>99</v>
      </c>
      <c r="H207" t="s">
        <v>103</v>
      </c>
      <c r="J207" t="s">
        <v>189</v>
      </c>
      <c r="K207" t="s">
        <v>250</v>
      </c>
      <c r="L207">
        <v>2240000</v>
      </c>
      <c r="M207" t="s">
        <v>242</v>
      </c>
      <c r="N207" t="s">
        <v>481</v>
      </c>
    </row>
    <row r="208" spans="1:14" hidden="1" x14ac:dyDescent="0.25">
      <c r="A208" s="16">
        <v>45536</v>
      </c>
      <c r="B208" t="s">
        <v>97</v>
      </c>
      <c r="C208">
        <v>31</v>
      </c>
      <c r="D208" t="s">
        <v>291</v>
      </c>
      <c r="E208" t="s">
        <v>292</v>
      </c>
      <c r="F208" t="s">
        <v>477</v>
      </c>
      <c r="G208" t="s">
        <v>99</v>
      </c>
      <c r="H208" t="s">
        <v>104</v>
      </c>
      <c r="J208" t="s">
        <v>189</v>
      </c>
      <c r="K208" t="s">
        <v>250</v>
      </c>
      <c r="L208">
        <v>4122</v>
      </c>
      <c r="M208" t="s">
        <v>242</v>
      </c>
      <c r="N208" t="s">
        <v>482</v>
      </c>
    </row>
    <row r="209" spans="1:16" hidden="1" x14ac:dyDescent="0.25">
      <c r="A209" s="16">
        <v>45536</v>
      </c>
      <c r="B209" t="s">
        <v>97</v>
      </c>
      <c r="C209">
        <v>32</v>
      </c>
      <c r="D209" t="s">
        <v>247</v>
      </c>
      <c r="E209" t="s">
        <v>248</v>
      </c>
      <c r="F209" t="s">
        <v>240</v>
      </c>
      <c r="G209" t="s">
        <v>82</v>
      </c>
      <c r="H209" t="s">
        <v>286</v>
      </c>
      <c r="J209" t="s">
        <v>189</v>
      </c>
      <c r="K209" t="s">
        <v>250</v>
      </c>
      <c r="L209">
        <v>0.6</v>
      </c>
      <c r="M209" t="s">
        <v>251</v>
      </c>
      <c r="N209" t="s">
        <v>483</v>
      </c>
    </row>
    <row r="210" spans="1:16" hidden="1" x14ac:dyDescent="0.25">
      <c r="A210" s="16">
        <v>45536</v>
      </c>
      <c r="B210" t="s">
        <v>97</v>
      </c>
      <c r="C210">
        <v>32</v>
      </c>
      <c r="D210" t="s">
        <v>253</v>
      </c>
      <c r="E210" t="s">
        <v>248</v>
      </c>
      <c r="F210" t="s">
        <v>240</v>
      </c>
      <c r="G210" t="s">
        <v>82</v>
      </c>
      <c r="J210" t="s">
        <v>254</v>
      </c>
      <c r="K210" t="s">
        <v>255</v>
      </c>
      <c r="L210">
        <v>5130000</v>
      </c>
      <c r="M210" t="s">
        <v>242</v>
      </c>
      <c r="N210" t="s">
        <v>484</v>
      </c>
      <c r="O210">
        <v>1</v>
      </c>
      <c r="P210" t="s">
        <v>257</v>
      </c>
    </row>
    <row r="211" spans="1:16" hidden="1" x14ac:dyDescent="0.25">
      <c r="A211" s="16">
        <v>45536</v>
      </c>
      <c r="B211" t="s">
        <v>97</v>
      </c>
      <c r="C211">
        <v>32</v>
      </c>
      <c r="D211" t="s">
        <v>253</v>
      </c>
      <c r="E211" t="s">
        <v>248</v>
      </c>
      <c r="F211" t="s">
        <v>240</v>
      </c>
      <c r="G211" t="s">
        <v>82</v>
      </c>
      <c r="J211" t="s">
        <v>258</v>
      </c>
      <c r="K211" t="s">
        <v>255</v>
      </c>
      <c r="L211">
        <v>5020000</v>
      </c>
      <c r="M211" t="s">
        <v>242</v>
      </c>
      <c r="N211" t="s">
        <v>485</v>
      </c>
      <c r="O211">
        <v>1</v>
      </c>
      <c r="P211" t="s">
        <v>257</v>
      </c>
    </row>
    <row r="212" spans="1:16" hidden="1" x14ac:dyDescent="0.25">
      <c r="A212" s="16">
        <v>45536</v>
      </c>
      <c r="B212" t="s">
        <v>97</v>
      </c>
      <c r="C212">
        <v>32</v>
      </c>
      <c r="D212" t="s">
        <v>253</v>
      </c>
      <c r="E212" t="s">
        <v>248</v>
      </c>
      <c r="F212" t="s">
        <v>240</v>
      </c>
      <c r="G212" t="s">
        <v>82</v>
      </c>
      <c r="J212" t="s">
        <v>189</v>
      </c>
      <c r="K212" t="s">
        <v>255</v>
      </c>
      <c r="L212">
        <v>5040000</v>
      </c>
      <c r="M212" t="s">
        <v>242</v>
      </c>
      <c r="N212" t="s">
        <v>486</v>
      </c>
      <c r="O212">
        <v>1</v>
      </c>
      <c r="P212" t="s">
        <v>261</v>
      </c>
    </row>
    <row r="213" spans="1:16" hidden="1" x14ac:dyDescent="0.25">
      <c r="A213" s="16">
        <v>45536</v>
      </c>
      <c r="B213" t="s">
        <v>97</v>
      </c>
      <c r="C213">
        <v>33</v>
      </c>
      <c r="D213" t="s">
        <v>291</v>
      </c>
      <c r="E213" t="s">
        <v>292</v>
      </c>
      <c r="F213" t="s">
        <v>240</v>
      </c>
      <c r="G213" t="s">
        <v>82</v>
      </c>
      <c r="H213" t="s">
        <v>105</v>
      </c>
      <c r="J213" t="s">
        <v>189</v>
      </c>
      <c r="K213" t="s">
        <v>250</v>
      </c>
      <c r="L213">
        <v>111800</v>
      </c>
      <c r="M213" t="s">
        <v>242</v>
      </c>
      <c r="N213" t="s">
        <v>487</v>
      </c>
    </row>
    <row r="214" spans="1:16" hidden="1" x14ac:dyDescent="0.25">
      <c r="A214" s="16">
        <v>45536</v>
      </c>
      <c r="B214" t="s">
        <v>97</v>
      </c>
      <c r="C214">
        <v>33</v>
      </c>
      <c r="D214" t="s">
        <v>291</v>
      </c>
      <c r="E214" t="s">
        <v>292</v>
      </c>
      <c r="F214" t="s">
        <v>240</v>
      </c>
      <c r="G214" t="s">
        <v>82</v>
      </c>
      <c r="H214" t="s">
        <v>106</v>
      </c>
      <c r="J214" t="s">
        <v>189</v>
      </c>
      <c r="K214" t="s">
        <v>250</v>
      </c>
      <c r="L214">
        <v>172300</v>
      </c>
      <c r="M214" t="s">
        <v>242</v>
      </c>
      <c r="N214" t="s">
        <v>488</v>
      </c>
    </row>
    <row r="215" spans="1:16" hidden="1" x14ac:dyDescent="0.25">
      <c r="A215" s="16">
        <v>45536</v>
      </c>
      <c r="B215" t="s">
        <v>97</v>
      </c>
      <c r="C215">
        <v>33</v>
      </c>
      <c r="D215" t="s">
        <v>291</v>
      </c>
      <c r="E215" t="s">
        <v>292</v>
      </c>
      <c r="F215" t="s">
        <v>240</v>
      </c>
      <c r="G215" t="s">
        <v>82</v>
      </c>
      <c r="H215" t="s">
        <v>83</v>
      </c>
      <c r="J215" t="s">
        <v>189</v>
      </c>
      <c r="K215" t="s">
        <v>250</v>
      </c>
      <c r="L215">
        <v>4580000</v>
      </c>
      <c r="M215" t="s">
        <v>242</v>
      </c>
      <c r="N215" t="s">
        <v>489</v>
      </c>
    </row>
    <row r="216" spans="1:16" hidden="1" x14ac:dyDescent="0.25">
      <c r="A216" s="16">
        <v>45536</v>
      </c>
      <c r="B216" t="s">
        <v>97</v>
      </c>
      <c r="C216">
        <v>33</v>
      </c>
      <c r="D216" t="s">
        <v>291</v>
      </c>
      <c r="E216" t="s">
        <v>292</v>
      </c>
      <c r="F216" t="s">
        <v>240</v>
      </c>
      <c r="G216" t="s">
        <v>82</v>
      </c>
      <c r="H216" t="s">
        <v>84</v>
      </c>
      <c r="J216" t="s">
        <v>189</v>
      </c>
      <c r="K216" t="s">
        <v>250</v>
      </c>
      <c r="L216">
        <v>177900</v>
      </c>
      <c r="M216" t="s">
        <v>242</v>
      </c>
      <c r="N216" t="s">
        <v>490</v>
      </c>
    </row>
    <row r="217" spans="1:16" hidden="1" x14ac:dyDescent="0.25">
      <c r="A217" s="16">
        <v>45536</v>
      </c>
      <c r="B217" t="s">
        <v>97</v>
      </c>
      <c r="C217">
        <v>34</v>
      </c>
      <c r="D217" t="s">
        <v>291</v>
      </c>
      <c r="E217" t="s">
        <v>292</v>
      </c>
      <c r="F217" t="s">
        <v>240</v>
      </c>
      <c r="G217" t="s">
        <v>82</v>
      </c>
      <c r="H217" t="s">
        <v>105</v>
      </c>
      <c r="I217" t="s">
        <v>491</v>
      </c>
      <c r="J217" t="s">
        <v>189</v>
      </c>
      <c r="K217" t="s">
        <v>250</v>
      </c>
      <c r="L217">
        <v>1.73</v>
      </c>
      <c r="M217" t="s">
        <v>251</v>
      </c>
      <c r="N217" t="s">
        <v>492</v>
      </c>
    </row>
    <row r="218" spans="1:16" hidden="1" x14ac:dyDescent="0.25">
      <c r="A218" s="16">
        <v>45536</v>
      </c>
      <c r="B218" t="s">
        <v>97</v>
      </c>
      <c r="C218">
        <v>34</v>
      </c>
      <c r="D218" t="s">
        <v>291</v>
      </c>
      <c r="E218" t="s">
        <v>292</v>
      </c>
      <c r="F218" t="s">
        <v>240</v>
      </c>
      <c r="G218" t="s">
        <v>82</v>
      </c>
      <c r="H218" t="s">
        <v>105</v>
      </c>
      <c r="I218" t="s">
        <v>493</v>
      </c>
      <c r="J218" t="s">
        <v>189</v>
      </c>
      <c r="K218" t="s">
        <v>250</v>
      </c>
      <c r="L218">
        <v>98.27</v>
      </c>
      <c r="M218" t="s">
        <v>251</v>
      </c>
      <c r="N218" t="s">
        <v>494</v>
      </c>
    </row>
    <row r="219" spans="1:16" hidden="1" x14ac:dyDescent="0.25">
      <c r="A219" s="16">
        <v>45536</v>
      </c>
      <c r="B219" t="s">
        <v>97</v>
      </c>
      <c r="C219">
        <v>34</v>
      </c>
      <c r="D219" t="s">
        <v>291</v>
      </c>
      <c r="E219" t="s">
        <v>292</v>
      </c>
      <c r="F219" t="s">
        <v>240</v>
      </c>
      <c r="G219" t="s">
        <v>82</v>
      </c>
      <c r="H219" t="s">
        <v>106</v>
      </c>
      <c r="I219" t="s">
        <v>491</v>
      </c>
      <c r="J219" t="s">
        <v>189</v>
      </c>
      <c r="K219" t="s">
        <v>250</v>
      </c>
      <c r="L219">
        <v>8.7799999999999994</v>
      </c>
      <c r="M219" t="s">
        <v>251</v>
      </c>
      <c r="N219" t="s">
        <v>495</v>
      </c>
    </row>
    <row r="220" spans="1:16" hidden="1" x14ac:dyDescent="0.25">
      <c r="A220" s="16">
        <v>45536</v>
      </c>
      <c r="B220" t="s">
        <v>97</v>
      </c>
      <c r="C220">
        <v>34</v>
      </c>
      <c r="D220" t="s">
        <v>291</v>
      </c>
      <c r="E220" t="s">
        <v>292</v>
      </c>
      <c r="F220" t="s">
        <v>240</v>
      </c>
      <c r="G220" t="s">
        <v>82</v>
      </c>
      <c r="H220" t="s">
        <v>106</v>
      </c>
      <c r="I220" t="s">
        <v>493</v>
      </c>
      <c r="J220" t="s">
        <v>189</v>
      </c>
      <c r="K220" t="s">
        <v>250</v>
      </c>
      <c r="L220">
        <v>91.22</v>
      </c>
      <c r="M220" t="s">
        <v>251</v>
      </c>
      <c r="N220" t="s">
        <v>496</v>
      </c>
    </row>
    <row r="221" spans="1:16" hidden="1" x14ac:dyDescent="0.25">
      <c r="A221" s="16">
        <v>45536</v>
      </c>
      <c r="B221" t="s">
        <v>97</v>
      </c>
      <c r="C221">
        <v>34</v>
      </c>
      <c r="D221" t="s">
        <v>291</v>
      </c>
      <c r="E221" t="s">
        <v>292</v>
      </c>
      <c r="F221" t="s">
        <v>240</v>
      </c>
      <c r="G221" t="s">
        <v>82</v>
      </c>
      <c r="H221" t="s">
        <v>83</v>
      </c>
      <c r="I221" t="s">
        <v>497</v>
      </c>
      <c r="J221" t="s">
        <v>189</v>
      </c>
      <c r="K221" t="s">
        <v>250</v>
      </c>
      <c r="L221">
        <v>2.62</v>
      </c>
      <c r="M221" t="s">
        <v>251</v>
      </c>
      <c r="N221" t="s">
        <v>498</v>
      </c>
    </row>
    <row r="222" spans="1:16" hidden="1" x14ac:dyDescent="0.25">
      <c r="A222" s="16">
        <v>45536</v>
      </c>
      <c r="B222" t="s">
        <v>97</v>
      </c>
      <c r="C222">
        <v>34</v>
      </c>
      <c r="D222" t="s">
        <v>291</v>
      </c>
      <c r="E222" t="s">
        <v>292</v>
      </c>
      <c r="F222" t="s">
        <v>240</v>
      </c>
      <c r="G222" t="s">
        <v>82</v>
      </c>
      <c r="H222" t="s">
        <v>83</v>
      </c>
      <c r="I222" t="s">
        <v>499</v>
      </c>
      <c r="J222" t="s">
        <v>189</v>
      </c>
      <c r="K222" t="s">
        <v>250</v>
      </c>
      <c r="L222">
        <v>0.01</v>
      </c>
      <c r="M222" t="s">
        <v>251</v>
      </c>
      <c r="N222" t="s">
        <v>500</v>
      </c>
    </row>
    <row r="223" spans="1:16" hidden="1" x14ac:dyDescent="0.25">
      <c r="A223" s="16">
        <v>45536</v>
      </c>
      <c r="B223" t="s">
        <v>97</v>
      </c>
      <c r="C223">
        <v>34</v>
      </c>
      <c r="D223" t="s">
        <v>291</v>
      </c>
      <c r="E223" t="s">
        <v>292</v>
      </c>
      <c r="F223" t="s">
        <v>240</v>
      </c>
      <c r="G223" t="s">
        <v>82</v>
      </c>
      <c r="H223" t="s">
        <v>83</v>
      </c>
      <c r="I223" t="s">
        <v>501</v>
      </c>
      <c r="J223" t="s">
        <v>189</v>
      </c>
      <c r="K223" t="s">
        <v>250</v>
      </c>
      <c r="L223">
        <v>0.67</v>
      </c>
      <c r="M223" t="s">
        <v>251</v>
      </c>
      <c r="N223" t="s">
        <v>502</v>
      </c>
    </row>
    <row r="224" spans="1:16" hidden="1" x14ac:dyDescent="0.25">
      <c r="A224" s="16">
        <v>45536</v>
      </c>
      <c r="B224" t="s">
        <v>97</v>
      </c>
      <c r="C224">
        <v>34</v>
      </c>
      <c r="D224" t="s">
        <v>291</v>
      </c>
      <c r="E224" t="s">
        <v>292</v>
      </c>
      <c r="F224" t="s">
        <v>240</v>
      </c>
      <c r="G224" t="s">
        <v>82</v>
      </c>
      <c r="H224" t="s">
        <v>83</v>
      </c>
      <c r="I224" t="s">
        <v>503</v>
      </c>
      <c r="J224" t="s">
        <v>189</v>
      </c>
      <c r="K224" t="s">
        <v>250</v>
      </c>
      <c r="L224">
        <v>3.43</v>
      </c>
      <c r="M224" t="s">
        <v>251</v>
      </c>
      <c r="N224" t="s">
        <v>504</v>
      </c>
    </row>
    <row r="225" spans="1:16" hidden="1" x14ac:dyDescent="0.25">
      <c r="A225" s="16">
        <v>45536</v>
      </c>
      <c r="B225" t="s">
        <v>97</v>
      </c>
      <c r="C225">
        <v>34</v>
      </c>
      <c r="D225" t="s">
        <v>291</v>
      </c>
      <c r="E225" t="s">
        <v>292</v>
      </c>
      <c r="F225" t="s">
        <v>240</v>
      </c>
      <c r="G225" t="s">
        <v>82</v>
      </c>
      <c r="H225" t="s">
        <v>83</v>
      </c>
      <c r="I225" t="s">
        <v>315</v>
      </c>
      <c r="J225" t="s">
        <v>189</v>
      </c>
      <c r="K225" t="s">
        <v>250</v>
      </c>
      <c r="L225">
        <v>86.81</v>
      </c>
      <c r="M225" t="s">
        <v>251</v>
      </c>
      <c r="N225" t="s">
        <v>505</v>
      </c>
    </row>
    <row r="226" spans="1:16" hidden="1" x14ac:dyDescent="0.25">
      <c r="A226" s="16">
        <v>45536</v>
      </c>
      <c r="B226" t="s">
        <v>97</v>
      </c>
      <c r="C226">
        <v>34</v>
      </c>
      <c r="D226" t="s">
        <v>291</v>
      </c>
      <c r="E226" t="s">
        <v>292</v>
      </c>
      <c r="F226" t="s">
        <v>240</v>
      </c>
      <c r="G226" t="s">
        <v>82</v>
      </c>
      <c r="H226" t="s">
        <v>83</v>
      </c>
      <c r="I226" t="s">
        <v>317</v>
      </c>
      <c r="J226" t="s">
        <v>189</v>
      </c>
      <c r="K226" t="s">
        <v>250</v>
      </c>
      <c r="L226">
        <v>6.46</v>
      </c>
      <c r="M226" t="s">
        <v>251</v>
      </c>
      <c r="N226" t="s">
        <v>506</v>
      </c>
    </row>
    <row r="227" spans="1:16" hidden="1" x14ac:dyDescent="0.25">
      <c r="A227" s="16">
        <v>45536</v>
      </c>
      <c r="B227" t="s">
        <v>97</v>
      </c>
      <c r="C227">
        <v>34</v>
      </c>
      <c r="D227" t="s">
        <v>291</v>
      </c>
      <c r="E227" t="s">
        <v>292</v>
      </c>
      <c r="F227" t="s">
        <v>240</v>
      </c>
      <c r="G227" t="s">
        <v>82</v>
      </c>
      <c r="H227" t="s">
        <v>84</v>
      </c>
      <c r="I227" t="s">
        <v>84</v>
      </c>
      <c r="J227" t="s">
        <v>189</v>
      </c>
      <c r="K227" t="s">
        <v>250</v>
      </c>
      <c r="L227">
        <v>84.44</v>
      </c>
      <c r="M227" t="s">
        <v>251</v>
      </c>
      <c r="N227" t="s">
        <v>507</v>
      </c>
    </row>
    <row r="228" spans="1:16" hidden="1" x14ac:dyDescent="0.25">
      <c r="A228" s="16">
        <v>45536</v>
      </c>
      <c r="B228" t="s">
        <v>97</v>
      </c>
      <c r="C228">
        <v>34</v>
      </c>
      <c r="D228" t="s">
        <v>291</v>
      </c>
      <c r="E228" t="s">
        <v>292</v>
      </c>
      <c r="F228" t="s">
        <v>240</v>
      </c>
      <c r="G228" t="s">
        <v>82</v>
      </c>
      <c r="H228" t="s">
        <v>84</v>
      </c>
      <c r="I228" t="s">
        <v>321</v>
      </c>
      <c r="J228" t="s">
        <v>189</v>
      </c>
      <c r="K228" t="s">
        <v>250</v>
      </c>
      <c r="L228">
        <v>15.56</v>
      </c>
      <c r="M228" t="s">
        <v>251</v>
      </c>
      <c r="N228" t="s">
        <v>508</v>
      </c>
    </row>
    <row r="229" spans="1:16" hidden="1" x14ac:dyDescent="0.25">
      <c r="A229" s="16">
        <v>45536</v>
      </c>
      <c r="B229" t="s">
        <v>97</v>
      </c>
      <c r="C229">
        <v>35</v>
      </c>
      <c r="D229" t="s">
        <v>247</v>
      </c>
      <c r="E229" t="s">
        <v>248</v>
      </c>
      <c r="F229" t="s">
        <v>244</v>
      </c>
      <c r="G229" t="s">
        <v>82</v>
      </c>
      <c r="H229" t="s">
        <v>249</v>
      </c>
      <c r="J229" t="s">
        <v>189</v>
      </c>
      <c r="K229" t="s">
        <v>250</v>
      </c>
      <c r="L229">
        <v>3.2</v>
      </c>
      <c r="M229" t="s">
        <v>251</v>
      </c>
      <c r="N229" t="s">
        <v>509</v>
      </c>
    </row>
    <row r="230" spans="1:16" hidden="1" x14ac:dyDescent="0.25">
      <c r="A230" s="16">
        <v>45536</v>
      </c>
      <c r="B230" t="s">
        <v>97</v>
      </c>
      <c r="C230">
        <v>35</v>
      </c>
      <c r="D230" t="s">
        <v>253</v>
      </c>
      <c r="E230" t="s">
        <v>248</v>
      </c>
      <c r="F230" t="s">
        <v>244</v>
      </c>
      <c r="G230" t="s">
        <v>82</v>
      </c>
      <c r="J230" t="s">
        <v>254</v>
      </c>
      <c r="K230" t="s">
        <v>255</v>
      </c>
      <c r="L230">
        <v>476000000</v>
      </c>
      <c r="M230" t="s">
        <v>245</v>
      </c>
      <c r="N230" t="s">
        <v>510</v>
      </c>
      <c r="O230">
        <v>1</v>
      </c>
      <c r="P230" t="s">
        <v>257</v>
      </c>
    </row>
    <row r="231" spans="1:16" hidden="1" x14ac:dyDescent="0.25">
      <c r="A231" s="16">
        <v>45536</v>
      </c>
      <c r="B231" t="s">
        <v>97</v>
      </c>
      <c r="C231">
        <v>35</v>
      </c>
      <c r="D231" t="s">
        <v>253</v>
      </c>
      <c r="E231" t="s">
        <v>248</v>
      </c>
      <c r="F231" t="s">
        <v>244</v>
      </c>
      <c r="G231" t="s">
        <v>82</v>
      </c>
      <c r="J231" t="s">
        <v>258</v>
      </c>
      <c r="K231" t="s">
        <v>255</v>
      </c>
      <c r="L231">
        <v>461000000</v>
      </c>
      <c r="M231" t="s">
        <v>245</v>
      </c>
      <c r="N231" t="s">
        <v>511</v>
      </c>
      <c r="O231">
        <v>1</v>
      </c>
      <c r="P231" t="s">
        <v>257</v>
      </c>
    </row>
    <row r="232" spans="1:16" hidden="1" x14ac:dyDescent="0.25">
      <c r="A232" s="16">
        <v>45536</v>
      </c>
      <c r="B232" t="s">
        <v>97</v>
      </c>
      <c r="C232">
        <v>35</v>
      </c>
      <c r="D232" t="s">
        <v>253</v>
      </c>
      <c r="E232" t="s">
        <v>248</v>
      </c>
      <c r="F232" t="s">
        <v>244</v>
      </c>
      <c r="G232" t="s">
        <v>82</v>
      </c>
      <c r="J232" t="s">
        <v>189</v>
      </c>
      <c r="K232" t="s">
        <v>255</v>
      </c>
      <c r="L232">
        <v>447000000</v>
      </c>
      <c r="M232" t="s">
        <v>245</v>
      </c>
      <c r="N232" t="s">
        <v>512</v>
      </c>
      <c r="O232">
        <v>1</v>
      </c>
      <c r="P232" t="s">
        <v>261</v>
      </c>
    </row>
    <row r="233" spans="1:16" hidden="1" x14ac:dyDescent="0.25">
      <c r="A233" s="16">
        <v>45536</v>
      </c>
      <c r="B233" t="s">
        <v>97</v>
      </c>
      <c r="C233">
        <v>36</v>
      </c>
      <c r="D233" t="s">
        <v>291</v>
      </c>
      <c r="E233" t="s">
        <v>292</v>
      </c>
      <c r="F233" t="s">
        <v>244</v>
      </c>
      <c r="G233" t="s">
        <v>82</v>
      </c>
      <c r="H233" t="s">
        <v>105</v>
      </c>
      <c r="J233" t="s">
        <v>189</v>
      </c>
      <c r="K233" t="s">
        <v>250</v>
      </c>
      <c r="L233">
        <v>19600000</v>
      </c>
      <c r="M233" t="s">
        <v>245</v>
      </c>
      <c r="N233" t="s">
        <v>513</v>
      </c>
    </row>
    <row r="234" spans="1:16" hidden="1" x14ac:dyDescent="0.25">
      <c r="A234" s="16">
        <v>45536</v>
      </c>
      <c r="B234" t="s">
        <v>97</v>
      </c>
      <c r="C234">
        <v>36</v>
      </c>
      <c r="D234" t="s">
        <v>291</v>
      </c>
      <c r="E234" t="s">
        <v>292</v>
      </c>
      <c r="F234" t="s">
        <v>244</v>
      </c>
      <c r="G234" t="s">
        <v>82</v>
      </c>
      <c r="H234" t="s">
        <v>106</v>
      </c>
      <c r="J234" t="s">
        <v>189</v>
      </c>
      <c r="K234" t="s">
        <v>250</v>
      </c>
      <c r="L234">
        <v>29300000</v>
      </c>
      <c r="M234" t="s">
        <v>245</v>
      </c>
      <c r="N234" t="s">
        <v>514</v>
      </c>
    </row>
    <row r="235" spans="1:16" hidden="1" x14ac:dyDescent="0.25">
      <c r="A235" s="16">
        <v>45536</v>
      </c>
      <c r="B235" t="s">
        <v>97</v>
      </c>
      <c r="C235">
        <v>36</v>
      </c>
      <c r="D235" t="s">
        <v>291</v>
      </c>
      <c r="E235" t="s">
        <v>292</v>
      </c>
      <c r="F235" t="s">
        <v>244</v>
      </c>
      <c r="G235" t="s">
        <v>82</v>
      </c>
      <c r="H235" t="s">
        <v>83</v>
      </c>
      <c r="J235" t="s">
        <v>189</v>
      </c>
      <c r="K235" t="s">
        <v>250</v>
      </c>
      <c r="L235">
        <v>382800000</v>
      </c>
      <c r="M235" t="s">
        <v>245</v>
      </c>
      <c r="N235" t="s">
        <v>515</v>
      </c>
    </row>
    <row r="236" spans="1:16" hidden="1" x14ac:dyDescent="0.25">
      <c r="A236" s="16">
        <v>45536</v>
      </c>
      <c r="B236" t="s">
        <v>97</v>
      </c>
      <c r="C236">
        <v>36</v>
      </c>
      <c r="D236" t="s">
        <v>291</v>
      </c>
      <c r="E236" t="s">
        <v>292</v>
      </c>
      <c r="F236" t="s">
        <v>244</v>
      </c>
      <c r="G236" t="s">
        <v>82</v>
      </c>
      <c r="H236" t="s">
        <v>84</v>
      </c>
      <c r="J236" t="s">
        <v>189</v>
      </c>
      <c r="K236" t="s">
        <v>250</v>
      </c>
      <c r="L236">
        <v>14800000</v>
      </c>
      <c r="M236" t="s">
        <v>245</v>
      </c>
      <c r="N236" t="s">
        <v>516</v>
      </c>
    </row>
    <row r="237" spans="1:16" hidden="1" x14ac:dyDescent="0.25">
      <c r="A237" s="16">
        <v>45536</v>
      </c>
      <c r="B237" t="s">
        <v>97</v>
      </c>
      <c r="C237">
        <v>37</v>
      </c>
      <c r="D237" t="s">
        <v>291</v>
      </c>
      <c r="E237" t="s">
        <v>292</v>
      </c>
      <c r="F237" t="s">
        <v>244</v>
      </c>
      <c r="G237" t="s">
        <v>82</v>
      </c>
      <c r="H237" t="s">
        <v>105</v>
      </c>
      <c r="I237" t="s">
        <v>491</v>
      </c>
      <c r="J237" t="s">
        <v>189</v>
      </c>
      <c r="K237" t="s">
        <v>250</v>
      </c>
      <c r="L237">
        <v>1.79</v>
      </c>
      <c r="M237" t="s">
        <v>251</v>
      </c>
      <c r="N237" t="s">
        <v>517</v>
      </c>
    </row>
    <row r="238" spans="1:16" hidden="1" x14ac:dyDescent="0.25">
      <c r="A238" s="16">
        <v>45536</v>
      </c>
      <c r="B238" t="s">
        <v>97</v>
      </c>
      <c r="C238">
        <v>37</v>
      </c>
      <c r="D238" t="s">
        <v>291</v>
      </c>
      <c r="E238" t="s">
        <v>292</v>
      </c>
      <c r="F238" t="s">
        <v>244</v>
      </c>
      <c r="G238" t="s">
        <v>82</v>
      </c>
      <c r="H238" t="s">
        <v>105</v>
      </c>
      <c r="I238" t="s">
        <v>493</v>
      </c>
      <c r="J238" t="s">
        <v>189</v>
      </c>
      <c r="K238" t="s">
        <v>250</v>
      </c>
      <c r="L238">
        <v>98.21</v>
      </c>
      <c r="M238" t="s">
        <v>251</v>
      </c>
      <c r="N238" t="s">
        <v>518</v>
      </c>
    </row>
    <row r="239" spans="1:16" hidden="1" x14ac:dyDescent="0.25">
      <c r="A239" s="16">
        <v>45536</v>
      </c>
      <c r="B239" t="s">
        <v>97</v>
      </c>
      <c r="C239">
        <v>37</v>
      </c>
      <c r="D239" t="s">
        <v>291</v>
      </c>
      <c r="E239" t="s">
        <v>292</v>
      </c>
      <c r="F239" t="s">
        <v>244</v>
      </c>
      <c r="G239" t="s">
        <v>82</v>
      </c>
      <c r="H239" t="s">
        <v>106</v>
      </c>
      <c r="I239" t="s">
        <v>491</v>
      </c>
      <c r="J239" t="s">
        <v>189</v>
      </c>
      <c r="K239" t="s">
        <v>250</v>
      </c>
      <c r="L239">
        <v>7.77</v>
      </c>
      <c r="M239" t="s">
        <v>251</v>
      </c>
      <c r="N239" t="s">
        <v>519</v>
      </c>
    </row>
    <row r="240" spans="1:16" hidden="1" x14ac:dyDescent="0.25">
      <c r="A240" s="16">
        <v>45536</v>
      </c>
      <c r="B240" t="s">
        <v>97</v>
      </c>
      <c r="C240">
        <v>37</v>
      </c>
      <c r="D240" t="s">
        <v>291</v>
      </c>
      <c r="E240" t="s">
        <v>292</v>
      </c>
      <c r="F240" t="s">
        <v>244</v>
      </c>
      <c r="G240" t="s">
        <v>82</v>
      </c>
      <c r="H240" t="s">
        <v>106</v>
      </c>
      <c r="I240" t="s">
        <v>493</v>
      </c>
      <c r="J240" t="s">
        <v>189</v>
      </c>
      <c r="K240" t="s">
        <v>250</v>
      </c>
      <c r="L240">
        <v>92.23</v>
      </c>
      <c r="M240" t="s">
        <v>251</v>
      </c>
      <c r="N240" t="s">
        <v>520</v>
      </c>
    </row>
    <row r="241" spans="1:16" hidden="1" x14ac:dyDescent="0.25">
      <c r="A241" s="16">
        <v>45536</v>
      </c>
      <c r="B241" t="s">
        <v>97</v>
      </c>
      <c r="C241">
        <v>37</v>
      </c>
      <c r="D241" t="s">
        <v>291</v>
      </c>
      <c r="E241" t="s">
        <v>292</v>
      </c>
      <c r="F241" t="s">
        <v>244</v>
      </c>
      <c r="G241" t="s">
        <v>82</v>
      </c>
      <c r="H241" t="s">
        <v>83</v>
      </c>
      <c r="I241" t="s">
        <v>497</v>
      </c>
      <c r="J241" t="s">
        <v>189</v>
      </c>
      <c r="K241" t="s">
        <v>250</v>
      </c>
      <c r="L241">
        <v>4.57</v>
      </c>
      <c r="M241" t="s">
        <v>251</v>
      </c>
      <c r="N241" t="s">
        <v>521</v>
      </c>
    </row>
    <row r="242" spans="1:16" hidden="1" x14ac:dyDescent="0.25">
      <c r="A242" s="16">
        <v>45536</v>
      </c>
      <c r="B242" t="s">
        <v>97</v>
      </c>
      <c r="C242">
        <v>37</v>
      </c>
      <c r="D242" t="s">
        <v>291</v>
      </c>
      <c r="E242" t="s">
        <v>292</v>
      </c>
      <c r="F242" t="s">
        <v>244</v>
      </c>
      <c r="G242" t="s">
        <v>82</v>
      </c>
      <c r="H242" t="s">
        <v>83</v>
      </c>
      <c r="I242" t="s">
        <v>499</v>
      </c>
      <c r="J242" t="s">
        <v>189</v>
      </c>
      <c r="K242" t="s">
        <v>250</v>
      </c>
      <c r="L242">
        <v>0.03</v>
      </c>
      <c r="M242" t="s">
        <v>251</v>
      </c>
      <c r="N242" t="s">
        <v>522</v>
      </c>
    </row>
    <row r="243" spans="1:16" hidden="1" x14ac:dyDescent="0.25">
      <c r="A243" s="16">
        <v>45536</v>
      </c>
      <c r="B243" t="s">
        <v>97</v>
      </c>
      <c r="C243">
        <v>37</v>
      </c>
      <c r="D243" t="s">
        <v>291</v>
      </c>
      <c r="E243" t="s">
        <v>292</v>
      </c>
      <c r="F243" t="s">
        <v>244</v>
      </c>
      <c r="G243" t="s">
        <v>82</v>
      </c>
      <c r="H243" t="s">
        <v>83</v>
      </c>
      <c r="I243" t="s">
        <v>501</v>
      </c>
      <c r="J243" t="s">
        <v>189</v>
      </c>
      <c r="K243" t="s">
        <v>250</v>
      </c>
      <c r="L243">
        <v>2.96</v>
      </c>
      <c r="M243" t="s">
        <v>251</v>
      </c>
      <c r="N243" t="s">
        <v>523</v>
      </c>
    </row>
    <row r="244" spans="1:16" hidden="1" x14ac:dyDescent="0.25">
      <c r="A244" s="16">
        <v>45536</v>
      </c>
      <c r="B244" t="s">
        <v>97</v>
      </c>
      <c r="C244">
        <v>37</v>
      </c>
      <c r="D244" t="s">
        <v>291</v>
      </c>
      <c r="E244" t="s">
        <v>292</v>
      </c>
      <c r="F244" t="s">
        <v>244</v>
      </c>
      <c r="G244" t="s">
        <v>82</v>
      </c>
      <c r="H244" t="s">
        <v>83</v>
      </c>
      <c r="I244" t="s">
        <v>503</v>
      </c>
      <c r="J244" t="s">
        <v>189</v>
      </c>
      <c r="K244" t="s">
        <v>250</v>
      </c>
      <c r="L244">
        <v>4.75</v>
      </c>
      <c r="M244" t="s">
        <v>251</v>
      </c>
      <c r="N244" t="s">
        <v>524</v>
      </c>
    </row>
    <row r="245" spans="1:16" hidden="1" x14ac:dyDescent="0.25">
      <c r="A245" s="16">
        <v>45536</v>
      </c>
      <c r="B245" t="s">
        <v>97</v>
      </c>
      <c r="C245">
        <v>37</v>
      </c>
      <c r="D245" t="s">
        <v>291</v>
      </c>
      <c r="E245" t="s">
        <v>292</v>
      </c>
      <c r="F245" t="s">
        <v>244</v>
      </c>
      <c r="G245" t="s">
        <v>82</v>
      </c>
      <c r="H245" t="s">
        <v>83</v>
      </c>
      <c r="I245" t="s">
        <v>315</v>
      </c>
      <c r="J245" t="s">
        <v>189</v>
      </c>
      <c r="K245" t="s">
        <v>250</v>
      </c>
      <c r="L245">
        <v>73.69</v>
      </c>
      <c r="M245" t="s">
        <v>251</v>
      </c>
      <c r="N245" t="s">
        <v>525</v>
      </c>
    </row>
    <row r="246" spans="1:16" hidden="1" x14ac:dyDescent="0.25">
      <c r="A246" s="16">
        <v>45536</v>
      </c>
      <c r="B246" t="s">
        <v>97</v>
      </c>
      <c r="C246">
        <v>37</v>
      </c>
      <c r="D246" t="s">
        <v>291</v>
      </c>
      <c r="E246" t="s">
        <v>292</v>
      </c>
      <c r="F246" t="s">
        <v>244</v>
      </c>
      <c r="G246" t="s">
        <v>82</v>
      </c>
      <c r="H246" t="s">
        <v>83</v>
      </c>
      <c r="I246" t="s">
        <v>317</v>
      </c>
      <c r="J246" t="s">
        <v>189</v>
      </c>
      <c r="K246" t="s">
        <v>250</v>
      </c>
      <c r="L246">
        <v>14</v>
      </c>
      <c r="M246" t="s">
        <v>251</v>
      </c>
      <c r="N246" t="s">
        <v>526</v>
      </c>
    </row>
    <row r="247" spans="1:16" hidden="1" x14ac:dyDescent="0.25">
      <c r="A247" s="16">
        <v>45536</v>
      </c>
      <c r="B247" t="s">
        <v>97</v>
      </c>
      <c r="C247">
        <v>37</v>
      </c>
      <c r="D247" t="s">
        <v>291</v>
      </c>
      <c r="E247" t="s">
        <v>292</v>
      </c>
      <c r="F247" t="s">
        <v>244</v>
      </c>
      <c r="G247" t="s">
        <v>82</v>
      </c>
      <c r="H247" t="s">
        <v>84</v>
      </c>
      <c r="I247" t="s">
        <v>84</v>
      </c>
      <c r="J247" t="s">
        <v>189</v>
      </c>
      <c r="K247" t="s">
        <v>250</v>
      </c>
      <c r="L247">
        <v>96.77</v>
      </c>
      <c r="M247" t="s">
        <v>251</v>
      </c>
      <c r="N247" t="s">
        <v>527</v>
      </c>
    </row>
    <row r="248" spans="1:16" hidden="1" x14ac:dyDescent="0.25">
      <c r="A248" s="16">
        <v>45536</v>
      </c>
      <c r="B248" t="s">
        <v>97</v>
      </c>
      <c r="C248">
        <v>37</v>
      </c>
      <c r="D248" t="s">
        <v>291</v>
      </c>
      <c r="E248" t="s">
        <v>292</v>
      </c>
      <c r="F248" t="s">
        <v>244</v>
      </c>
      <c r="G248" t="s">
        <v>82</v>
      </c>
      <c r="H248" t="s">
        <v>84</v>
      </c>
      <c r="I248" t="s">
        <v>321</v>
      </c>
      <c r="J248" t="s">
        <v>189</v>
      </c>
      <c r="K248" t="s">
        <v>250</v>
      </c>
      <c r="L248">
        <v>3.23</v>
      </c>
      <c r="M248" t="s">
        <v>251</v>
      </c>
      <c r="N248" t="s">
        <v>528</v>
      </c>
    </row>
    <row r="249" spans="1:16" hidden="1" x14ac:dyDescent="0.25">
      <c r="A249" s="16">
        <v>45536</v>
      </c>
      <c r="B249" t="s">
        <v>97</v>
      </c>
      <c r="C249">
        <v>38</v>
      </c>
      <c r="D249" t="s">
        <v>253</v>
      </c>
      <c r="E249" t="s">
        <v>248</v>
      </c>
      <c r="F249" t="s">
        <v>334</v>
      </c>
      <c r="G249" t="s">
        <v>82</v>
      </c>
      <c r="J249" t="s">
        <v>254</v>
      </c>
      <c r="K249" t="s">
        <v>255</v>
      </c>
      <c r="L249">
        <v>93</v>
      </c>
      <c r="M249" t="s">
        <v>245</v>
      </c>
      <c r="N249" t="s">
        <v>529</v>
      </c>
      <c r="O249">
        <v>1</v>
      </c>
      <c r="P249" t="s">
        <v>257</v>
      </c>
    </row>
    <row r="250" spans="1:16" hidden="1" x14ac:dyDescent="0.25">
      <c r="A250" s="16">
        <v>45536</v>
      </c>
      <c r="B250" t="s">
        <v>97</v>
      </c>
      <c r="C250">
        <v>38</v>
      </c>
      <c r="D250" t="s">
        <v>253</v>
      </c>
      <c r="E250" t="s">
        <v>248</v>
      </c>
      <c r="F250" t="s">
        <v>334</v>
      </c>
      <c r="G250" t="s">
        <v>82</v>
      </c>
      <c r="J250" t="s">
        <v>258</v>
      </c>
      <c r="K250" t="s">
        <v>255</v>
      </c>
      <c r="L250">
        <v>92</v>
      </c>
      <c r="M250" t="s">
        <v>245</v>
      </c>
      <c r="N250" t="s">
        <v>530</v>
      </c>
      <c r="O250">
        <v>1</v>
      </c>
      <c r="P250" t="s">
        <v>257</v>
      </c>
    </row>
    <row r="251" spans="1:16" hidden="1" x14ac:dyDescent="0.25">
      <c r="A251" s="16">
        <v>45536</v>
      </c>
      <c r="B251" t="s">
        <v>97</v>
      </c>
      <c r="C251">
        <v>38</v>
      </c>
      <c r="D251" t="s">
        <v>253</v>
      </c>
      <c r="E251" t="s">
        <v>248</v>
      </c>
      <c r="F251" t="s">
        <v>334</v>
      </c>
      <c r="G251" t="s">
        <v>82</v>
      </c>
      <c r="J251" t="s">
        <v>189</v>
      </c>
      <c r="K251" t="s">
        <v>255</v>
      </c>
      <c r="L251">
        <v>89</v>
      </c>
      <c r="M251" t="s">
        <v>245</v>
      </c>
      <c r="N251" t="s">
        <v>531</v>
      </c>
      <c r="O251">
        <v>1</v>
      </c>
      <c r="P251" t="s">
        <v>261</v>
      </c>
    </row>
    <row r="252" spans="1:16" hidden="1" x14ac:dyDescent="0.25">
      <c r="A252" s="16">
        <v>45536</v>
      </c>
      <c r="B252" t="s">
        <v>97</v>
      </c>
      <c r="C252">
        <v>39</v>
      </c>
      <c r="D252" t="s">
        <v>291</v>
      </c>
      <c r="E252" t="s">
        <v>292</v>
      </c>
      <c r="F252" t="s">
        <v>240</v>
      </c>
      <c r="G252" t="s">
        <v>82</v>
      </c>
      <c r="H252" t="s">
        <v>94</v>
      </c>
      <c r="J252" t="s">
        <v>189</v>
      </c>
      <c r="K252" t="s">
        <v>250</v>
      </c>
      <c r="L252">
        <v>1500000</v>
      </c>
      <c r="M252" t="s">
        <v>242</v>
      </c>
      <c r="N252" t="s">
        <v>293</v>
      </c>
    </row>
    <row r="253" spans="1:16" hidden="1" x14ac:dyDescent="0.25">
      <c r="A253" s="16">
        <v>45536</v>
      </c>
      <c r="B253" t="s">
        <v>97</v>
      </c>
      <c r="C253">
        <v>39</v>
      </c>
      <c r="D253" t="s">
        <v>291</v>
      </c>
      <c r="E253" t="s">
        <v>292</v>
      </c>
      <c r="F253" t="s">
        <v>240</v>
      </c>
      <c r="G253" t="s">
        <v>82</v>
      </c>
      <c r="H253" t="s">
        <v>95</v>
      </c>
      <c r="J253" t="s">
        <v>189</v>
      </c>
      <c r="K253" t="s">
        <v>250</v>
      </c>
      <c r="L253">
        <v>1600000</v>
      </c>
      <c r="M253" t="s">
        <v>242</v>
      </c>
      <c r="N253" t="s">
        <v>532</v>
      </c>
    </row>
    <row r="254" spans="1:16" hidden="1" x14ac:dyDescent="0.25">
      <c r="A254" s="16">
        <v>45536</v>
      </c>
      <c r="B254" t="s">
        <v>97</v>
      </c>
      <c r="C254">
        <v>40</v>
      </c>
      <c r="D254" t="s">
        <v>291</v>
      </c>
      <c r="E254" t="s">
        <v>292</v>
      </c>
      <c r="F254" t="s">
        <v>244</v>
      </c>
      <c r="G254" t="s">
        <v>82</v>
      </c>
      <c r="H254" t="s">
        <v>94</v>
      </c>
      <c r="J254" t="s">
        <v>189</v>
      </c>
      <c r="K254" t="s">
        <v>250</v>
      </c>
      <c r="L254">
        <v>89600000</v>
      </c>
      <c r="M254" t="s">
        <v>245</v>
      </c>
      <c r="N254" t="s">
        <v>533</v>
      </c>
    </row>
    <row r="255" spans="1:16" hidden="1" x14ac:dyDescent="0.25">
      <c r="A255" s="16">
        <v>45536</v>
      </c>
      <c r="B255" t="s">
        <v>97</v>
      </c>
      <c r="C255">
        <v>40</v>
      </c>
      <c r="D255" t="s">
        <v>291</v>
      </c>
      <c r="E255" t="s">
        <v>292</v>
      </c>
      <c r="F255" t="s">
        <v>244</v>
      </c>
      <c r="G255" t="s">
        <v>82</v>
      </c>
      <c r="H255" t="s">
        <v>95</v>
      </c>
      <c r="J255" t="s">
        <v>189</v>
      </c>
      <c r="K255" t="s">
        <v>250</v>
      </c>
      <c r="L255">
        <v>91200000</v>
      </c>
      <c r="M255" t="s">
        <v>245</v>
      </c>
      <c r="N255" t="s">
        <v>534</v>
      </c>
    </row>
    <row r="256" spans="1:16" hidden="1" x14ac:dyDescent="0.25">
      <c r="A256" s="16">
        <v>45536</v>
      </c>
      <c r="B256" t="s">
        <v>535</v>
      </c>
      <c r="C256">
        <v>4</v>
      </c>
      <c r="D256" t="s">
        <v>238</v>
      </c>
      <c r="E256" t="s">
        <v>239</v>
      </c>
      <c r="F256" t="s">
        <v>240</v>
      </c>
      <c r="G256" t="s">
        <v>82</v>
      </c>
      <c r="J256" t="s">
        <v>189</v>
      </c>
      <c r="K256" t="s">
        <v>250</v>
      </c>
      <c r="L256">
        <v>7890000</v>
      </c>
      <c r="M256" t="s">
        <v>242</v>
      </c>
      <c r="N256" t="s">
        <v>536</v>
      </c>
    </row>
    <row r="257" spans="1:14" hidden="1" x14ac:dyDescent="0.25">
      <c r="A257" s="16">
        <v>45536</v>
      </c>
      <c r="B257" t="s">
        <v>535</v>
      </c>
      <c r="C257">
        <v>4</v>
      </c>
      <c r="D257" t="s">
        <v>238</v>
      </c>
      <c r="E257" t="s">
        <v>239</v>
      </c>
      <c r="F257" t="s">
        <v>285</v>
      </c>
      <c r="G257" t="s">
        <v>63</v>
      </c>
      <c r="J257" t="s">
        <v>189</v>
      </c>
      <c r="K257" t="s">
        <v>250</v>
      </c>
      <c r="L257">
        <v>1560000</v>
      </c>
      <c r="M257" t="s">
        <v>242</v>
      </c>
      <c r="N257" t="s">
        <v>537</v>
      </c>
    </row>
    <row r="258" spans="1:14" hidden="1" x14ac:dyDescent="0.25">
      <c r="A258" s="16">
        <v>45536</v>
      </c>
      <c r="B258" t="s">
        <v>535</v>
      </c>
      <c r="C258">
        <v>4</v>
      </c>
      <c r="D258" t="s">
        <v>238</v>
      </c>
      <c r="E258" t="s">
        <v>239</v>
      </c>
      <c r="F258" t="s">
        <v>244</v>
      </c>
      <c r="G258" t="s">
        <v>82</v>
      </c>
      <c r="J258" t="s">
        <v>189</v>
      </c>
      <c r="K258" t="s">
        <v>250</v>
      </c>
      <c r="L258">
        <v>1140000000</v>
      </c>
      <c r="M258" t="s">
        <v>245</v>
      </c>
      <c r="N258" t="s">
        <v>538</v>
      </c>
    </row>
    <row r="259" spans="1:14" hidden="1" x14ac:dyDescent="0.25">
      <c r="A259" s="16">
        <v>45536</v>
      </c>
      <c r="B259" t="s">
        <v>535</v>
      </c>
      <c r="C259">
        <v>5</v>
      </c>
      <c r="D259" t="s">
        <v>238</v>
      </c>
      <c r="E259" t="s">
        <v>239</v>
      </c>
      <c r="F259" t="s">
        <v>240</v>
      </c>
      <c r="G259" t="s">
        <v>82</v>
      </c>
      <c r="J259" t="s">
        <v>189</v>
      </c>
      <c r="K259" t="s">
        <v>250</v>
      </c>
      <c r="L259">
        <v>5040000</v>
      </c>
      <c r="M259" t="s">
        <v>242</v>
      </c>
      <c r="N259" t="s">
        <v>539</v>
      </c>
    </row>
    <row r="260" spans="1:14" hidden="1" x14ac:dyDescent="0.25">
      <c r="A260" s="16">
        <v>45536</v>
      </c>
      <c r="B260" t="s">
        <v>535</v>
      </c>
      <c r="C260">
        <v>5</v>
      </c>
      <c r="D260" t="s">
        <v>238</v>
      </c>
      <c r="E260" t="s">
        <v>239</v>
      </c>
      <c r="F260" t="s">
        <v>285</v>
      </c>
      <c r="G260" t="s">
        <v>63</v>
      </c>
      <c r="J260" t="s">
        <v>189</v>
      </c>
      <c r="K260" t="s">
        <v>250</v>
      </c>
      <c r="L260">
        <v>2330000</v>
      </c>
      <c r="M260" t="s">
        <v>242</v>
      </c>
      <c r="N260" t="s">
        <v>540</v>
      </c>
    </row>
    <row r="261" spans="1:14" hidden="1" x14ac:dyDescent="0.25">
      <c r="A261" s="16">
        <v>45536</v>
      </c>
      <c r="B261" t="s">
        <v>535</v>
      </c>
      <c r="C261">
        <v>5</v>
      </c>
      <c r="D261" t="s">
        <v>238</v>
      </c>
      <c r="E261" t="s">
        <v>239</v>
      </c>
      <c r="F261" t="s">
        <v>244</v>
      </c>
      <c r="G261" t="s">
        <v>82</v>
      </c>
      <c r="J261" t="s">
        <v>189</v>
      </c>
      <c r="K261" t="s">
        <v>250</v>
      </c>
      <c r="L261">
        <v>447000000</v>
      </c>
      <c r="M261" t="s">
        <v>245</v>
      </c>
      <c r="N261" t="s">
        <v>541</v>
      </c>
    </row>
    <row r="262" spans="1:14" hidden="1" x14ac:dyDescent="0.25">
      <c r="A262" s="16">
        <v>45536</v>
      </c>
      <c r="B262" t="s">
        <v>535</v>
      </c>
      <c r="C262">
        <v>6</v>
      </c>
      <c r="D262" t="s">
        <v>238</v>
      </c>
      <c r="E262" t="s">
        <v>239</v>
      </c>
      <c r="F262" t="s">
        <v>378</v>
      </c>
      <c r="G262" t="s">
        <v>379</v>
      </c>
      <c r="J262" t="s">
        <v>189</v>
      </c>
      <c r="K262" t="s">
        <v>250</v>
      </c>
      <c r="L262">
        <v>562</v>
      </c>
      <c r="M262" t="s">
        <v>242</v>
      </c>
      <c r="N262" t="s">
        <v>380</v>
      </c>
    </row>
    <row r="263" spans="1:14" hidden="1" x14ac:dyDescent="0.25">
      <c r="A263" s="16">
        <v>45536</v>
      </c>
      <c r="B263" t="s">
        <v>535</v>
      </c>
      <c r="C263">
        <v>6</v>
      </c>
      <c r="D263" t="s">
        <v>238</v>
      </c>
      <c r="E263" t="s">
        <v>239</v>
      </c>
      <c r="F263" t="s">
        <v>381</v>
      </c>
      <c r="G263" t="s">
        <v>382</v>
      </c>
      <c r="J263" t="s">
        <v>189</v>
      </c>
      <c r="K263" t="s">
        <v>250</v>
      </c>
      <c r="L263">
        <v>1925</v>
      </c>
      <c r="M263" t="s">
        <v>242</v>
      </c>
      <c r="N263" t="s">
        <v>383</v>
      </c>
    </row>
    <row r="264" spans="1:14" hidden="1" x14ac:dyDescent="0.25">
      <c r="A264" s="16">
        <v>45536</v>
      </c>
      <c r="B264" t="s">
        <v>535</v>
      </c>
      <c r="C264">
        <v>6</v>
      </c>
      <c r="D264" t="s">
        <v>238</v>
      </c>
      <c r="E264" t="s">
        <v>239</v>
      </c>
      <c r="F264" t="s">
        <v>240</v>
      </c>
      <c r="G264" t="s">
        <v>82</v>
      </c>
      <c r="J264" t="s">
        <v>189</v>
      </c>
      <c r="K264" t="s">
        <v>250</v>
      </c>
      <c r="L264">
        <v>5910000</v>
      </c>
      <c r="M264" t="s">
        <v>242</v>
      </c>
      <c r="N264" t="s">
        <v>542</v>
      </c>
    </row>
    <row r="265" spans="1:14" hidden="1" x14ac:dyDescent="0.25">
      <c r="A265" s="16">
        <v>45536</v>
      </c>
      <c r="B265" t="s">
        <v>535</v>
      </c>
      <c r="C265">
        <v>6</v>
      </c>
      <c r="D265" t="s">
        <v>238</v>
      </c>
      <c r="E265" t="s">
        <v>239</v>
      </c>
      <c r="F265" t="s">
        <v>285</v>
      </c>
      <c r="G265" t="s">
        <v>63</v>
      </c>
      <c r="J265" t="s">
        <v>189</v>
      </c>
      <c r="K265" t="s">
        <v>250</v>
      </c>
      <c r="L265">
        <v>4430000</v>
      </c>
      <c r="M265" t="s">
        <v>242</v>
      </c>
      <c r="N265" t="s">
        <v>377</v>
      </c>
    </row>
    <row r="266" spans="1:14" hidden="1" x14ac:dyDescent="0.25">
      <c r="A266" s="16">
        <v>45536</v>
      </c>
      <c r="B266" t="s">
        <v>535</v>
      </c>
      <c r="C266">
        <v>6</v>
      </c>
      <c r="D266" t="s">
        <v>238</v>
      </c>
      <c r="E266" t="s">
        <v>239</v>
      </c>
      <c r="F266" t="s">
        <v>244</v>
      </c>
      <c r="G266" t="s">
        <v>82</v>
      </c>
      <c r="J266" t="s">
        <v>189</v>
      </c>
      <c r="K266" t="s">
        <v>250</v>
      </c>
      <c r="L266">
        <v>1210000000</v>
      </c>
      <c r="M266" t="s">
        <v>245</v>
      </c>
      <c r="N266" t="s">
        <v>543</v>
      </c>
    </row>
    <row r="267" spans="1:14" hidden="1" x14ac:dyDescent="0.25">
      <c r="A267" s="16">
        <v>45536</v>
      </c>
      <c r="B267" t="s">
        <v>535</v>
      </c>
      <c r="C267">
        <v>7</v>
      </c>
      <c r="D267" t="s">
        <v>238</v>
      </c>
      <c r="E267" t="s">
        <v>239</v>
      </c>
      <c r="F267" t="s">
        <v>544</v>
      </c>
      <c r="G267" t="s">
        <v>82</v>
      </c>
      <c r="J267" t="s">
        <v>189</v>
      </c>
      <c r="K267" t="s">
        <v>250</v>
      </c>
      <c r="L267">
        <v>878000</v>
      </c>
      <c r="M267" t="s">
        <v>242</v>
      </c>
      <c r="N267" t="s">
        <v>545</v>
      </c>
    </row>
    <row r="268" spans="1:14" hidden="1" x14ac:dyDescent="0.25">
      <c r="A268" s="16">
        <v>45536</v>
      </c>
      <c r="B268" t="s">
        <v>535</v>
      </c>
      <c r="C268">
        <v>7</v>
      </c>
      <c r="D268" t="s">
        <v>238</v>
      </c>
      <c r="E268" t="s">
        <v>239</v>
      </c>
      <c r="F268" t="s">
        <v>240</v>
      </c>
      <c r="G268" t="s">
        <v>82</v>
      </c>
      <c r="J268" t="s">
        <v>189</v>
      </c>
      <c r="K268" t="s">
        <v>250</v>
      </c>
      <c r="L268">
        <v>884000</v>
      </c>
      <c r="M268" t="s">
        <v>242</v>
      </c>
      <c r="N268" t="s">
        <v>546</v>
      </c>
    </row>
    <row r="269" spans="1:14" hidden="1" x14ac:dyDescent="0.25">
      <c r="A269" s="16">
        <v>45536</v>
      </c>
      <c r="B269" t="s">
        <v>535</v>
      </c>
      <c r="C269">
        <v>7</v>
      </c>
      <c r="D269" t="s">
        <v>238</v>
      </c>
      <c r="E269" t="s">
        <v>239</v>
      </c>
      <c r="F269" t="s">
        <v>244</v>
      </c>
      <c r="G269" t="s">
        <v>82</v>
      </c>
      <c r="J269" t="s">
        <v>189</v>
      </c>
      <c r="K269" t="s">
        <v>250</v>
      </c>
      <c r="L269">
        <v>753000000</v>
      </c>
      <c r="M269" t="s">
        <v>245</v>
      </c>
      <c r="N269" t="s">
        <v>547</v>
      </c>
    </row>
    <row r="270" spans="1:14" hidden="1" x14ac:dyDescent="0.25">
      <c r="A270" s="16">
        <v>45536</v>
      </c>
      <c r="B270" t="s">
        <v>535</v>
      </c>
      <c r="C270">
        <v>8</v>
      </c>
      <c r="D270" t="s">
        <v>238</v>
      </c>
      <c r="E270" t="s">
        <v>239</v>
      </c>
      <c r="F270" t="s">
        <v>548</v>
      </c>
      <c r="G270" t="s">
        <v>158</v>
      </c>
      <c r="J270" t="s">
        <v>189</v>
      </c>
      <c r="K270" t="s">
        <v>250</v>
      </c>
      <c r="L270">
        <v>624000</v>
      </c>
      <c r="M270" t="s">
        <v>242</v>
      </c>
      <c r="N270" t="s">
        <v>549</v>
      </c>
    </row>
    <row r="271" spans="1:14" hidden="1" x14ac:dyDescent="0.25">
      <c r="A271" s="16">
        <v>45536</v>
      </c>
      <c r="B271" t="s">
        <v>535</v>
      </c>
      <c r="C271">
        <v>8</v>
      </c>
      <c r="D271" t="s">
        <v>238</v>
      </c>
      <c r="E271" t="s">
        <v>239</v>
      </c>
      <c r="F271" t="s">
        <v>349</v>
      </c>
      <c r="G271" t="s">
        <v>158</v>
      </c>
      <c r="J271" t="s">
        <v>189</v>
      </c>
      <c r="K271" t="s">
        <v>250</v>
      </c>
      <c r="L271">
        <v>20900</v>
      </c>
      <c r="M271" t="s">
        <v>242</v>
      </c>
      <c r="N271" t="s">
        <v>550</v>
      </c>
    </row>
    <row r="272" spans="1:14" hidden="1" x14ac:dyDescent="0.25">
      <c r="A272" s="16">
        <v>45536</v>
      </c>
      <c r="B272" t="s">
        <v>535</v>
      </c>
      <c r="C272">
        <v>8</v>
      </c>
      <c r="D272" t="s">
        <v>238</v>
      </c>
      <c r="E272" t="s">
        <v>239</v>
      </c>
      <c r="F272" t="s">
        <v>551</v>
      </c>
      <c r="G272" t="s">
        <v>158</v>
      </c>
      <c r="J272" t="s">
        <v>189</v>
      </c>
      <c r="K272" t="s">
        <v>250</v>
      </c>
      <c r="L272">
        <v>3530000000</v>
      </c>
      <c r="M272" t="s">
        <v>245</v>
      </c>
      <c r="N272" t="s">
        <v>552</v>
      </c>
    </row>
    <row r="273" spans="1:17" hidden="1" x14ac:dyDescent="0.25">
      <c r="A273" s="16">
        <v>45536</v>
      </c>
      <c r="B273" t="s">
        <v>535</v>
      </c>
      <c r="C273">
        <v>8</v>
      </c>
      <c r="D273" t="s">
        <v>238</v>
      </c>
      <c r="E273" t="s">
        <v>239</v>
      </c>
      <c r="F273" t="s">
        <v>361</v>
      </c>
      <c r="G273" t="s">
        <v>158</v>
      </c>
      <c r="J273" t="s">
        <v>189</v>
      </c>
      <c r="K273" t="s">
        <v>250</v>
      </c>
      <c r="L273">
        <v>130000000</v>
      </c>
      <c r="M273" t="s">
        <v>245</v>
      </c>
      <c r="N273" t="s">
        <v>553</v>
      </c>
    </row>
    <row r="274" spans="1:17" hidden="1" x14ac:dyDescent="0.25">
      <c r="A274" s="16">
        <v>45566</v>
      </c>
      <c r="B274" t="s">
        <v>142</v>
      </c>
      <c r="C274">
        <v>67</v>
      </c>
      <c r="D274" t="s">
        <v>238</v>
      </c>
      <c r="E274" t="s">
        <v>239</v>
      </c>
      <c r="F274" t="s">
        <v>240</v>
      </c>
      <c r="G274" t="s">
        <v>82</v>
      </c>
      <c r="J274" t="s">
        <v>190</v>
      </c>
      <c r="K274" t="s">
        <v>241</v>
      </c>
      <c r="L274">
        <v>9380000</v>
      </c>
      <c r="M274" t="s">
        <v>242</v>
      </c>
      <c r="N274" t="s">
        <v>554</v>
      </c>
    </row>
    <row r="275" spans="1:17" hidden="1" x14ac:dyDescent="0.25">
      <c r="A275" s="16">
        <v>45566</v>
      </c>
      <c r="B275" t="s">
        <v>142</v>
      </c>
      <c r="C275">
        <v>67</v>
      </c>
      <c r="D275" t="s">
        <v>238</v>
      </c>
      <c r="E275" t="s">
        <v>239</v>
      </c>
      <c r="F275" t="s">
        <v>244</v>
      </c>
      <c r="G275" t="s">
        <v>82</v>
      </c>
      <c r="J275" t="s">
        <v>190</v>
      </c>
      <c r="K275" t="s">
        <v>241</v>
      </c>
      <c r="L275">
        <v>7540000000</v>
      </c>
      <c r="M275" t="s">
        <v>245</v>
      </c>
      <c r="N275" t="s">
        <v>555</v>
      </c>
    </row>
    <row r="276" spans="1:17" hidden="1" x14ac:dyDescent="0.25">
      <c r="A276" s="16">
        <v>45566</v>
      </c>
      <c r="B276" t="s">
        <v>142</v>
      </c>
      <c r="C276">
        <v>68</v>
      </c>
      <c r="D276" t="s">
        <v>247</v>
      </c>
      <c r="E276" t="s">
        <v>248</v>
      </c>
      <c r="F276" t="s">
        <v>240</v>
      </c>
      <c r="G276" t="s">
        <v>82</v>
      </c>
      <c r="H276" t="s">
        <v>286</v>
      </c>
      <c r="J276" t="s">
        <v>190</v>
      </c>
      <c r="K276" t="s">
        <v>250</v>
      </c>
      <c r="L276">
        <v>20.3</v>
      </c>
      <c r="M276" t="s">
        <v>251</v>
      </c>
      <c r="N276" t="s">
        <v>556</v>
      </c>
    </row>
    <row r="277" spans="1:17" hidden="1" x14ac:dyDescent="0.25">
      <c r="A277" s="16">
        <v>45566</v>
      </c>
      <c r="B277" t="s">
        <v>142</v>
      </c>
      <c r="C277">
        <v>68</v>
      </c>
      <c r="D277" t="s">
        <v>253</v>
      </c>
      <c r="E277" t="s">
        <v>248</v>
      </c>
      <c r="F277" t="s">
        <v>240</v>
      </c>
      <c r="G277" t="s">
        <v>82</v>
      </c>
      <c r="J277" t="s">
        <v>258</v>
      </c>
      <c r="K277" t="s">
        <v>255</v>
      </c>
      <c r="L277">
        <v>920000</v>
      </c>
      <c r="M277" t="s">
        <v>242</v>
      </c>
      <c r="N277" t="s">
        <v>557</v>
      </c>
      <c r="O277">
        <v>1</v>
      </c>
      <c r="P277" t="s">
        <v>257</v>
      </c>
    </row>
    <row r="278" spans="1:17" hidden="1" x14ac:dyDescent="0.25">
      <c r="A278" s="16">
        <v>45566</v>
      </c>
      <c r="B278" t="s">
        <v>142</v>
      </c>
      <c r="C278">
        <v>68</v>
      </c>
      <c r="D278" t="s">
        <v>253</v>
      </c>
      <c r="E278" t="s">
        <v>248</v>
      </c>
      <c r="F278" t="s">
        <v>240</v>
      </c>
      <c r="G278" t="s">
        <v>82</v>
      </c>
      <c r="J278" t="s">
        <v>189</v>
      </c>
      <c r="K278" t="s">
        <v>255</v>
      </c>
      <c r="L278">
        <v>880000</v>
      </c>
      <c r="M278" t="s">
        <v>242</v>
      </c>
      <c r="N278" t="s">
        <v>558</v>
      </c>
      <c r="O278">
        <v>1</v>
      </c>
      <c r="P278" t="s">
        <v>257</v>
      </c>
      <c r="Q278" t="s">
        <v>559</v>
      </c>
    </row>
    <row r="279" spans="1:17" hidden="1" x14ac:dyDescent="0.25">
      <c r="A279" s="16">
        <v>45566</v>
      </c>
      <c r="B279" t="s">
        <v>142</v>
      </c>
      <c r="C279">
        <v>68</v>
      </c>
      <c r="D279" t="s">
        <v>253</v>
      </c>
      <c r="E279" t="s">
        <v>248</v>
      </c>
      <c r="F279" t="s">
        <v>240</v>
      </c>
      <c r="G279" t="s">
        <v>82</v>
      </c>
      <c r="J279" t="s">
        <v>190</v>
      </c>
      <c r="K279" t="s">
        <v>255</v>
      </c>
      <c r="L279">
        <v>1060000</v>
      </c>
      <c r="M279" t="s">
        <v>242</v>
      </c>
      <c r="N279" t="s">
        <v>560</v>
      </c>
      <c r="O279">
        <v>1</v>
      </c>
      <c r="P279" t="s">
        <v>261</v>
      </c>
    </row>
    <row r="280" spans="1:17" hidden="1" x14ac:dyDescent="0.25">
      <c r="A280" s="16">
        <v>45566</v>
      </c>
      <c r="B280" t="s">
        <v>142</v>
      </c>
      <c r="C280">
        <v>69</v>
      </c>
      <c r="D280" t="s">
        <v>253</v>
      </c>
      <c r="E280" t="s">
        <v>248</v>
      </c>
      <c r="F280" t="s">
        <v>240</v>
      </c>
      <c r="G280" t="s">
        <v>82</v>
      </c>
      <c r="H280" t="s">
        <v>150</v>
      </c>
      <c r="J280" t="s">
        <v>258</v>
      </c>
      <c r="K280" t="s">
        <v>255</v>
      </c>
      <c r="L280">
        <v>279</v>
      </c>
      <c r="M280" t="s">
        <v>242</v>
      </c>
      <c r="N280" t="s">
        <v>263</v>
      </c>
      <c r="O280">
        <v>1</v>
      </c>
      <c r="P280" t="s">
        <v>257</v>
      </c>
    </row>
    <row r="281" spans="1:17" hidden="1" x14ac:dyDescent="0.25">
      <c r="A281" s="16">
        <v>45566</v>
      </c>
      <c r="B281" t="s">
        <v>142</v>
      </c>
      <c r="C281">
        <v>69</v>
      </c>
      <c r="D281" t="s">
        <v>253</v>
      </c>
      <c r="E281" t="s">
        <v>248</v>
      </c>
      <c r="F281" t="s">
        <v>240</v>
      </c>
      <c r="G281" t="s">
        <v>82</v>
      </c>
      <c r="H281" t="s">
        <v>150</v>
      </c>
      <c r="J281" t="s">
        <v>189</v>
      </c>
      <c r="K281" t="s">
        <v>255</v>
      </c>
      <c r="L281">
        <v>304</v>
      </c>
      <c r="M281" t="s">
        <v>242</v>
      </c>
      <c r="N281" t="s">
        <v>264</v>
      </c>
      <c r="O281">
        <v>1</v>
      </c>
      <c r="P281" t="s">
        <v>257</v>
      </c>
    </row>
    <row r="282" spans="1:17" hidden="1" x14ac:dyDescent="0.25">
      <c r="A282" s="16">
        <v>45566</v>
      </c>
      <c r="B282" t="s">
        <v>142</v>
      </c>
      <c r="C282">
        <v>69</v>
      </c>
      <c r="D282" t="s">
        <v>253</v>
      </c>
      <c r="E282" t="s">
        <v>248</v>
      </c>
      <c r="F282" t="s">
        <v>240</v>
      </c>
      <c r="G282" t="s">
        <v>82</v>
      </c>
      <c r="H282" t="s">
        <v>150</v>
      </c>
      <c r="J282" t="s">
        <v>190</v>
      </c>
      <c r="K282" t="s">
        <v>255</v>
      </c>
      <c r="L282">
        <v>320</v>
      </c>
      <c r="M282" t="s">
        <v>242</v>
      </c>
      <c r="N282" t="s">
        <v>561</v>
      </c>
      <c r="O282">
        <v>1</v>
      </c>
      <c r="P282" t="s">
        <v>261</v>
      </c>
    </row>
    <row r="283" spans="1:17" hidden="1" x14ac:dyDescent="0.25">
      <c r="A283" s="16">
        <v>45566</v>
      </c>
      <c r="B283" t="s">
        <v>142</v>
      </c>
      <c r="C283">
        <v>69</v>
      </c>
      <c r="D283" t="s">
        <v>253</v>
      </c>
      <c r="E283" t="s">
        <v>248</v>
      </c>
      <c r="F283" t="s">
        <v>240</v>
      </c>
      <c r="G283" t="s">
        <v>82</v>
      </c>
      <c r="H283" t="s">
        <v>151</v>
      </c>
      <c r="J283" t="s">
        <v>258</v>
      </c>
      <c r="K283" t="s">
        <v>255</v>
      </c>
      <c r="L283">
        <v>42</v>
      </c>
      <c r="M283" t="s">
        <v>242</v>
      </c>
      <c r="N283" t="s">
        <v>266</v>
      </c>
      <c r="O283">
        <v>1</v>
      </c>
      <c r="P283" t="s">
        <v>257</v>
      </c>
    </row>
    <row r="284" spans="1:17" hidden="1" x14ac:dyDescent="0.25">
      <c r="A284" s="16">
        <v>45566</v>
      </c>
      <c r="B284" t="s">
        <v>142</v>
      </c>
      <c r="C284">
        <v>69</v>
      </c>
      <c r="D284" t="s">
        <v>253</v>
      </c>
      <c r="E284" t="s">
        <v>248</v>
      </c>
      <c r="F284" t="s">
        <v>240</v>
      </c>
      <c r="G284" t="s">
        <v>82</v>
      </c>
      <c r="H284" t="s">
        <v>151</v>
      </c>
      <c r="J284" t="s">
        <v>189</v>
      </c>
      <c r="K284" t="s">
        <v>255</v>
      </c>
      <c r="L284">
        <v>40</v>
      </c>
      <c r="M284" t="s">
        <v>242</v>
      </c>
      <c r="N284" t="s">
        <v>267</v>
      </c>
      <c r="O284">
        <v>1</v>
      </c>
      <c r="P284" t="s">
        <v>257</v>
      </c>
    </row>
    <row r="285" spans="1:17" hidden="1" x14ac:dyDescent="0.25">
      <c r="A285" s="16">
        <v>45566</v>
      </c>
      <c r="B285" t="s">
        <v>142</v>
      </c>
      <c r="C285">
        <v>69</v>
      </c>
      <c r="D285" t="s">
        <v>253</v>
      </c>
      <c r="E285" t="s">
        <v>248</v>
      </c>
      <c r="F285" t="s">
        <v>240</v>
      </c>
      <c r="G285" t="s">
        <v>82</v>
      </c>
      <c r="H285" t="s">
        <v>151</v>
      </c>
      <c r="J285" t="s">
        <v>190</v>
      </c>
      <c r="K285" t="s">
        <v>255</v>
      </c>
      <c r="L285">
        <v>50</v>
      </c>
      <c r="M285" t="s">
        <v>242</v>
      </c>
      <c r="N285" t="s">
        <v>562</v>
      </c>
      <c r="O285">
        <v>1</v>
      </c>
      <c r="P285" t="s">
        <v>261</v>
      </c>
    </row>
    <row r="286" spans="1:17" hidden="1" x14ac:dyDescent="0.25">
      <c r="A286" s="16">
        <v>45566</v>
      </c>
      <c r="B286" t="s">
        <v>142</v>
      </c>
      <c r="C286">
        <v>69</v>
      </c>
      <c r="D286" t="s">
        <v>253</v>
      </c>
      <c r="E286" t="s">
        <v>248</v>
      </c>
      <c r="F286" t="s">
        <v>240</v>
      </c>
      <c r="G286" t="s">
        <v>82</v>
      </c>
      <c r="H286" t="s">
        <v>149</v>
      </c>
      <c r="J286" t="s">
        <v>258</v>
      </c>
      <c r="K286" t="s">
        <v>255</v>
      </c>
      <c r="L286">
        <v>5318</v>
      </c>
      <c r="M286" t="s">
        <v>242</v>
      </c>
      <c r="N286" t="s">
        <v>269</v>
      </c>
      <c r="O286">
        <v>1</v>
      </c>
      <c r="P286" t="s">
        <v>257</v>
      </c>
    </row>
    <row r="287" spans="1:17" hidden="1" x14ac:dyDescent="0.25">
      <c r="A287" s="16">
        <v>45566</v>
      </c>
      <c r="B287" t="s">
        <v>142</v>
      </c>
      <c r="C287">
        <v>69</v>
      </c>
      <c r="D287" t="s">
        <v>253</v>
      </c>
      <c r="E287" t="s">
        <v>248</v>
      </c>
      <c r="F287" t="s">
        <v>240</v>
      </c>
      <c r="G287" t="s">
        <v>82</v>
      </c>
      <c r="H287" t="s">
        <v>149</v>
      </c>
      <c r="J287" t="s">
        <v>189</v>
      </c>
      <c r="K287" t="s">
        <v>255</v>
      </c>
      <c r="L287">
        <v>5530</v>
      </c>
      <c r="M287" t="s">
        <v>242</v>
      </c>
      <c r="N287" t="s">
        <v>270</v>
      </c>
      <c r="O287">
        <v>1</v>
      </c>
      <c r="P287" t="s">
        <v>257</v>
      </c>
    </row>
    <row r="288" spans="1:17" hidden="1" x14ac:dyDescent="0.25">
      <c r="A288" s="16">
        <v>45566</v>
      </c>
      <c r="B288" t="s">
        <v>142</v>
      </c>
      <c r="C288">
        <v>69</v>
      </c>
      <c r="D288" t="s">
        <v>253</v>
      </c>
      <c r="E288" t="s">
        <v>248</v>
      </c>
      <c r="F288" t="s">
        <v>240</v>
      </c>
      <c r="G288" t="s">
        <v>82</v>
      </c>
      <c r="H288" t="s">
        <v>149</v>
      </c>
      <c r="J288" t="s">
        <v>190</v>
      </c>
      <c r="K288" t="s">
        <v>255</v>
      </c>
      <c r="L288">
        <v>6564</v>
      </c>
      <c r="M288" t="s">
        <v>242</v>
      </c>
      <c r="N288" t="s">
        <v>563</v>
      </c>
      <c r="O288">
        <v>1</v>
      </c>
      <c r="P288" t="s">
        <v>261</v>
      </c>
    </row>
    <row r="289" spans="1:17" hidden="1" x14ac:dyDescent="0.25">
      <c r="A289" s="16">
        <v>45566</v>
      </c>
      <c r="B289" t="s">
        <v>142</v>
      </c>
      <c r="C289">
        <v>70</v>
      </c>
      <c r="D289" t="s">
        <v>247</v>
      </c>
      <c r="E289" t="s">
        <v>248</v>
      </c>
      <c r="F289" t="s">
        <v>244</v>
      </c>
      <c r="G289" t="s">
        <v>82</v>
      </c>
      <c r="H289" t="s">
        <v>286</v>
      </c>
      <c r="J289" t="s">
        <v>190</v>
      </c>
      <c r="K289" t="s">
        <v>250</v>
      </c>
      <c r="L289">
        <v>10.3</v>
      </c>
      <c r="M289" t="s">
        <v>251</v>
      </c>
      <c r="N289" t="s">
        <v>564</v>
      </c>
    </row>
    <row r="290" spans="1:17" hidden="1" x14ac:dyDescent="0.25">
      <c r="A290" s="16">
        <v>45566</v>
      </c>
      <c r="B290" t="s">
        <v>142</v>
      </c>
      <c r="C290">
        <v>70</v>
      </c>
      <c r="D290" t="s">
        <v>253</v>
      </c>
      <c r="E290" t="s">
        <v>248</v>
      </c>
      <c r="F290" t="s">
        <v>244</v>
      </c>
      <c r="G290" t="s">
        <v>82</v>
      </c>
      <c r="J290" t="s">
        <v>258</v>
      </c>
      <c r="K290" t="s">
        <v>255</v>
      </c>
      <c r="L290">
        <v>764000000</v>
      </c>
      <c r="M290" t="s">
        <v>245</v>
      </c>
      <c r="N290" t="s">
        <v>273</v>
      </c>
      <c r="O290">
        <v>1</v>
      </c>
      <c r="P290" t="s">
        <v>257</v>
      </c>
    </row>
    <row r="291" spans="1:17" hidden="1" x14ac:dyDescent="0.25">
      <c r="A291" s="16">
        <v>45566</v>
      </c>
      <c r="B291" t="s">
        <v>142</v>
      </c>
      <c r="C291">
        <v>70</v>
      </c>
      <c r="D291" t="s">
        <v>253</v>
      </c>
      <c r="E291" t="s">
        <v>248</v>
      </c>
      <c r="F291" t="s">
        <v>244</v>
      </c>
      <c r="G291" t="s">
        <v>82</v>
      </c>
      <c r="J291" t="s">
        <v>189</v>
      </c>
      <c r="K291" t="s">
        <v>255</v>
      </c>
      <c r="L291">
        <v>753000000</v>
      </c>
      <c r="M291" t="s">
        <v>245</v>
      </c>
      <c r="N291" t="s">
        <v>274</v>
      </c>
      <c r="O291">
        <v>1</v>
      </c>
      <c r="P291" t="s">
        <v>257</v>
      </c>
    </row>
    <row r="292" spans="1:17" hidden="1" x14ac:dyDescent="0.25">
      <c r="A292" s="16">
        <v>45566</v>
      </c>
      <c r="B292" t="s">
        <v>142</v>
      </c>
      <c r="C292">
        <v>70</v>
      </c>
      <c r="D292" t="s">
        <v>253</v>
      </c>
      <c r="E292" t="s">
        <v>248</v>
      </c>
      <c r="F292" t="s">
        <v>244</v>
      </c>
      <c r="G292" t="s">
        <v>82</v>
      </c>
      <c r="J292" t="s">
        <v>190</v>
      </c>
      <c r="K292" t="s">
        <v>255</v>
      </c>
      <c r="L292">
        <v>831000000</v>
      </c>
      <c r="M292" t="s">
        <v>245</v>
      </c>
      <c r="N292" t="s">
        <v>565</v>
      </c>
      <c r="O292">
        <v>1</v>
      </c>
      <c r="P292" t="s">
        <v>261</v>
      </c>
    </row>
    <row r="293" spans="1:17" hidden="1" x14ac:dyDescent="0.25">
      <c r="A293" s="16">
        <v>45566</v>
      </c>
      <c r="B293" t="s">
        <v>142</v>
      </c>
      <c r="C293">
        <v>71</v>
      </c>
      <c r="D293" t="s">
        <v>253</v>
      </c>
      <c r="E293" t="s">
        <v>248</v>
      </c>
      <c r="F293" t="s">
        <v>244</v>
      </c>
      <c r="G293" t="s">
        <v>82</v>
      </c>
      <c r="H293" t="s">
        <v>150</v>
      </c>
      <c r="J293" t="s">
        <v>258</v>
      </c>
      <c r="K293" t="s">
        <v>255</v>
      </c>
      <c r="L293">
        <v>3030000</v>
      </c>
      <c r="M293" t="s">
        <v>150</v>
      </c>
      <c r="N293" t="s">
        <v>566</v>
      </c>
      <c r="O293">
        <v>1</v>
      </c>
      <c r="P293" t="s">
        <v>257</v>
      </c>
    </row>
    <row r="294" spans="1:17" hidden="1" x14ac:dyDescent="0.25">
      <c r="A294" s="16">
        <v>45566</v>
      </c>
      <c r="B294" t="s">
        <v>142</v>
      </c>
      <c r="C294">
        <v>71</v>
      </c>
      <c r="D294" t="s">
        <v>253</v>
      </c>
      <c r="E294" t="s">
        <v>248</v>
      </c>
      <c r="F294" t="s">
        <v>244</v>
      </c>
      <c r="G294" t="s">
        <v>82</v>
      </c>
      <c r="H294" t="s">
        <v>150</v>
      </c>
      <c r="J294" t="s">
        <v>189</v>
      </c>
      <c r="K294" t="s">
        <v>255</v>
      </c>
      <c r="L294">
        <v>2970000</v>
      </c>
      <c r="M294" t="s">
        <v>150</v>
      </c>
      <c r="N294" t="s">
        <v>567</v>
      </c>
      <c r="O294">
        <v>1</v>
      </c>
      <c r="P294" t="s">
        <v>257</v>
      </c>
      <c r="Q294" t="s">
        <v>568</v>
      </c>
    </row>
    <row r="295" spans="1:17" hidden="1" x14ac:dyDescent="0.25">
      <c r="A295" s="16">
        <v>45566</v>
      </c>
      <c r="B295" t="s">
        <v>142</v>
      </c>
      <c r="C295">
        <v>71</v>
      </c>
      <c r="D295" t="s">
        <v>253</v>
      </c>
      <c r="E295" t="s">
        <v>248</v>
      </c>
      <c r="F295" t="s">
        <v>244</v>
      </c>
      <c r="G295" t="s">
        <v>82</v>
      </c>
      <c r="H295" t="s">
        <v>150</v>
      </c>
      <c r="J295" t="s">
        <v>190</v>
      </c>
      <c r="K295" t="s">
        <v>255</v>
      </c>
      <c r="L295">
        <v>3070000</v>
      </c>
      <c r="M295" t="s">
        <v>150</v>
      </c>
      <c r="N295" t="s">
        <v>569</v>
      </c>
      <c r="O295">
        <v>1</v>
      </c>
      <c r="P295" t="s">
        <v>261</v>
      </c>
    </row>
    <row r="296" spans="1:17" hidden="1" x14ac:dyDescent="0.25">
      <c r="A296" s="16">
        <v>45566</v>
      </c>
      <c r="B296" t="s">
        <v>142</v>
      </c>
      <c r="C296">
        <v>71</v>
      </c>
      <c r="D296" t="s">
        <v>253</v>
      </c>
      <c r="E296" t="s">
        <v>248</v>
      </c>
      <c r="F296" t="s">
        <v>244</v>
      </c>
      <c r="G296" t="s">
        <v>82</v>
      </c>
      <c r="H296" t="s">
        <v>151</v>
      </c>
      <c r="J296" t="s">
        <v>258</v>
      </c>
      <c r="K296" t="s">
        <v>255</v>
      </c>
      <c r="L296">
        <v>310000</v>
      </c>
      <c r="M296" t="s">
        <v>151</v>
      </c>
      <c r="N296" t="s">
        <v>278</v>
      </c>
      <c r="O296">
        <v>1</v>
      </c>
      <c r="P296" t="s">
        <v>257</v>
      </c>
    </row>
    <row r="297" spans="1:17" hidden="1" x14ac:dyDescent="0.25">
      <c r="A297" s="16">
        <v>45566</v>
      </c>
      <c r="B297" t="s">
        <v>142</v>
      </c>
      <c r="C297">
        <v>71</v>
      </c>
      <c r="D297" t="s">
        <v>253</v>
      </c>
      <c r="E297" t="s">
        <v>248</v>
      </c>
      <c r="F297" t="s">
        <v>244</v>
      </c>
      <c r="G297" t="s">
        <v>82</v>
      </c>
      <c r="H297" t="s">
        <v>151</v>
      </c>
      <c r="J297" t="s">
        <v>189</v>
      </c>
      <c r="K297" t="s">
        <v>255</v>
      </c>
      <c r="L297">
        <v>250000</v>
      </c>
      <c r="M297" t="s">
        <v>151</v>
      </c>
      <c r="N297" t="s">
        <v>279</v>
      </c>
      <c r="O297">
        <v>1</v>
      </c>
      <c r="P297" t="s">
        <v>257</v>
      </c>
    </row>
    <row r="298" spans="1:17" hidden="1" x14ac:dyDescent="0.25">
      <c r="A298" s="16">
        <v>45566</v>
      </c>
      <c r="B298" t="s">
        <v>142</v>
      </c>
      <c r="C298">
        <v>71</v>
      </c>
      <c r="D298" t="s">
        <v>253</v>
      </c>
      <c r="E298" t="s">
        <v>248</v>
      </c>
      <c r="F298" t="s">
        <v>244</v>
      </c>
      <c r="G298" t="s">
        <v>82</v>
      </c>
      <c r="H298" t="s">
        <v>151</v>
      </c>
      <c r="J298" t="s">
        <v>190</v>
      </c>
      <c r="K298" t="s">
        <v>255</v>
      </c>
      <c r="L298">
        <v>380000</v>
      </c>
      <c r="M298" t="s">
        <v>151</v>
      </c>
      <c r="N298" t="s">
        <v>570</v>
      </c>
      <c r="O298">
        <v>1</v>
      </c>
      <c r="P298" t="s">
        <v>261</v>
      </c>
    </row>
    <row r="299" spans="1:17" hidden="1" x14ac:dyDescent="0.25">
      <c r="A299" s="16">
        <v>45566</v>
      </c>
      <c r="B299" t="s">
        <v>142</v>
      </c>
      <c r="C299">
        <v>71</v>
      </c>
      <c r="D299" t="s">
        <v>253</v>
      </c>
      <c r="E299" t="s">
        <v>248</v>
      </c>
      <c r="F299" t="s">
        <v>244</v>
      </c>
      <c r="G299" t="s">
        <v>82</v>
      </c>
      <c r="H299" t="s">
        <v>149</v>
      </c>
      <c r="J299" t="s">
        <v>258</v>
      </c>
      <c r="K299" t="s">
        <v>255</v>
      </c>
      <c r="L299">
        <v>41000000</v>
      </c>
      <c r="M299" t="s">
        <v>149</v>
      </c>
      <c r="N299" t="s">
        <v>281</v>
      </c>
      <c r="O299">
        <v>1</v>
      </c>
      <c r="P299" t="s">
        <v>257</v>
      </c>
    </row>
    <row r="300" spans="1:17" hidden="1" x14ac:dyDescent="0.25">
      <c r="A300" s="16">
        <v>45566</v>
      </c>
      <c r="B300" t="s">
        <v>142</v>
      </c>
      <c r="C300">
        <v>71</v>
      </c>
      <c r="D300" t="s">
        <v>253</v>
      </c>
      <c r="E300" t="s">
        <v>248</v>
      </c>
      <c r="F300" t="s">
        <v>244</v>
      </c>
      <c r="G300" t="s">
        <v>82</v>
      </c>
      <c r="H300" t="s">
        <v>149</v>
      </c>
      <c r="J300" t="s">
        <v>189</v>
      </c>
      <c r="K300" t="s">
        <v>255</v>
      </c>
      <c r="L300">
        <v>37000000</v>
      </c>
      <c r="M300" t="s">
        <v>149</v>
      </c>
      <c r="N300" t="s">
        <v>282</v>
      </c>
      <c r="O300">
        <v>1</v>
      </c>
      <c r="P300" t="s">
        <v>257</v>
      </c>
    </row>
    <row r="301" spans="1:17" hidden="1" x14ac:dyDescent="0.25">
      <c r="A301" s="16">
        <v>45566</v>
      </c>
      <c r="B301" t="s">
        <v>142</v>
      </c>
      <c r="C301">
        <v>71</v>
      </c>
      <c r="D301" t="s">
        <v>253</v>
      </c>
      <c r="E301" t="s">
        <v>248</v>
      </c>
      <c r="F301" t="s">
        <v>244</v>
      </c>
      <c r="G301" t="s">
        <v>82</v>
      </c>
      <c r="H301" t="s">
        <v>149</v>
      </c>
      <c r="J301" t="s">
        <v>190</v>
      </c>
      <c r="K301" t="s">
        <v>255</v>
      </c>
      <c r="L301">
        <v>42100000</v>
      </c>
      <c r="M301" t="s">
        <v>149</v>
      </c>
      <c r="N301" t="s">
        <v>571</v>
      </c>
      <c r="O301">
        <v>1</v>
      </c>
      <c r="P301" t="s">
        <v>261</v>
      </c>
    </row>
    <row r="302" spans="1:17" hidden="1" x14ac:dyDescent="0.25">
      <c r="A302" s="16">
        <v>45566</v>
      </c>
      <c r="B302" t="s">
        <v>35</v>
      </c>
      <c r="C302">
        <v>10</v>
      </c>
      <c r="D302" t="s">
        <v>238</v>
      </c>
      <c r="E302" t="s">
        <v>239</v>
      </c>
      <c r="F302" t="s">
        <v>240</v>
      </c>
      <c r="G302" t="s">
        <v>82</v>
      </c>
      <c r="J302" t="s">
        <v>190</v>
      </c>
      <c r="K302" t="s">
        <v>241</v>
      </c>
      <c r="L302">
        <v>64970000</v>
      </c>
      <c r="M302" t="s">
        <v>242</v>
      </c>
      <c r="N302" t="s">
        <v>572</v>
      </c>
    </row>
    <row r="303" spans="1:17" hidden="1" x14ac:dyDescent="0.25">
      <c r="A303" s="16">
        <v>45566</v>
      </c>
      <c r="B303" t="s">
        <v>35</v>
      </c>
      <c r="C303">
        <v>10</v>
      </c>
      <c r="D303" t="s">
        <v>238</v>
      </c>
      <c r="E303" t="s">
        <v>239</v>
      </c>
      <c r="F303" t="s">
        <v>244</v>
      </c>
      <c r="G303" t="s">
        <v>82</v>
      </c>
      <c r="J303" t="s">
        <v>190</v>
      </c>
      <c r="K303" t="s">
        <v>241</v>
      </c>
      <c r="L303">
        <v>9590000000</v>
      </c>
      <c r="M303" t="s">
        <v>245</v>
      </c>
      <c r="N303" t="s">
        <v>573</v>
      </c>
    </row>
    <row r="304" spans="1:17" hidden="1" x14ac:dyDescent="0.25">
      <c r="A304" s="16">
        <v>45566</v>
      </c>
      <c r="B304" t="s">
        <v>35</v>
      </c>
      <c r="C304">
        <v>11</v>
      </c>
      <c r="D304" t="s">
        <v>247</v>
      </c>
      <c r="E304" t="s">
        <v>248</v>
      </c>
      <c r="F304" t="s">
        <v>285</v>
      </c>
      <c r="G304" t="s">
        <v>63</v>
      </c>
      <c r="H304" t="s">
        <v>286</v>
      </c>
      <c r="J304" t="s">
        <v>190</v>
      </c>
      <c r="K304" t="s">
        <v>250</v>
      </c>
      <c r="L304">
        <v>2.7</v>
      </c>
      <c r="M304" t="s">
        <v>251</v>
      </c>
      <c r="N304" t="s">
        <v>574</v>
      </c>
    </row>
    <row r="305" spans="1:16" hidden="1" x14ac:dyDescent="0.25">
      <c r="A305" s="16">
        <v>45566</v>
      </c>
      <c r="B305" t="s">
        <v>35</v>
      </c>
      <c r="C305">
        <v>11</v>
      </c>
      <c r="D305" t="s">
        <v>253</v>
      </c>
      <c r="E305" t="s">
        <v>248</v>
      </c>
      <c r="F305" t="s">
        <v>285</v>
      </c>
      <c r="G305" t="s">
        <v>63</v>
      </c>
      <c r="J305" t="s">
        <v>258</v>
      </c>
      <c r="K305" t="s">
        <v>255</v>
      </c>
      <c r="L305">
        <v>1520000</v>
      </c>
      <c r="M305" t="s">
        <v>242</v>
      </c>
      <c r="N305" t="s">
        <v>289</v>
      </c>
      <c r="O305">
        <v>1</v>
      </c>
      <c r="P305" t="s">
        <v>257</v>
      </c>
    </row>
    <row r="306" spans="1:16" hidden="1" x14ac:dyDescent="0.25">
      <c r="A306" s="16">
        <v>45566</v>
      </c>
      <c r="B306" t="s">
        <v>35</v>
      </c>
      <c r="C306">
        <v>11</v>
      </c>
      <c r="D306" t="s">
        <v>253</v>
      </c>
      <c r="E306" t="s">
        <v>248</v>
      </c>
      <c r="F306" t="s">
        <v>285</v>
      </c>
      <c r="G306" t="s">
        <v>63</v>
      </c>
      <c r="J306" t="s">
        <v>189</v>
      </c>
      <c r="K306" t="s">
        <v>255</v>
      </c>
      <c r="L306">
        <v>1560000</v>
      </c>
      <c r="M306" t="s">
        <v>242</v>
      </c>
      <c r="N306" t="s">
        <v>290</v>
      </c>
      <c r="O306">
        <v>1</v>
      </c>
      <c r="P306" t="s">
        <v>257</v>
      </c>
    </row>
    <row r="307" spans="1:16" hidden="1" x14ac:dyDescent="0.25">
      <c r="A307" s="16">
        <v>45566</v>
      </c>
      <c r="B307" t="s">
        <v>35</v>
      </c>
      <c r="C307">
        <v>11</v>
      </c>
      <c r="D307" t="s">
        <v>253</v>
      </c>
      <c r="E307" t="s">
        <v>248</v>
      </c>
      <c r="F307" t="s">
        <v>285</v>
      </c>
      <c r="G307" t="s">
        <v>63</v>
      </c>
      <c r="J307" t="s">
        <v>190</v>
      </c>
      <c r="K307" t="s">
        <v>255</v>
      </c>
      <c r="L307">
        <v>1600000</v>
      </c>
      <c r="M307" t="s">
        <v>242</v>
      </c>
      <c r="N307" t="s">
        <v>575</v>
      </c>
      <c r="O307">
        <v>1</v>
      </c>
      <c r="P307" t="s">
        <v>261</v>
      </c>
    </row>
    <row r="308" spans="1:16" hidden="1" x14ac:dyDescent="0.25">
      <c r="A308" s="16">
        <v>45566</v>
      </c>
      <c r="B308" t="s">
        <v>35</v>
      </c>
      <c r="C308">
        <v>12</v>
      </c>
      <c r="D308" t="s">
        <v>291</v>
      </c>
      <c r="E308" t="s">
        <v>292</v>
      </c>
      <c r="F308" t="s">
        <v>285</v>
      </c>
      <c r="G308" t="s">
        <v>63</v>
      </c>
      <c r="H308" t="s">
        <v>64</v>
      </c>
      <c r="J308" t="s">
        <v>190</v>
      </c>
      <c r="K308" t="s">
        <v>250</v>
      </c>
      <c r="L308">
        <v>1540000</v>
      </c>
      <c r="M308" t="s">
        <v>242</v>
      </c>
      <c r="N308" t="s">
        <v>576</v>
      </c>
    </row>
    <row r="309" spans="1:16" hidden="1" x14ac:dyDescent="0.25">
      <c r="A309" s="16">
        <v>45566</v>
      </c>
      <c r="B309" t="s">
        <v>35</v>
      </c>
      <c r="C309">
        <v>12</v>
      </c>
      <c r="D309" t="s">
        <v>291</v>
      </c>
      <c r="E309" t="s">
        <v>292</v>
      </c>
      <c r="F309" t="s">
        <v>285</v>
      </c>
      <c r="G309" t="s">
        <v>63</v>
      </c>
      <c r="H309" t="s">
        <v>65</v>
      </c>
      <c r="J309" t="s">
        <v>190</v>
      </c>
      <c r="K309" t="s">
        <v>250</v>
      </c>
      <c r="L309">
        <v>57000</v>
      </c>
      <c r="M309" t="s">
        <v>242</v>
      </c>
      <c r="N309" t="s">
        <v>577</v>
      </c>
    </row>
    <row r="310" spans="1:16" hidden="1" x14ac:dyDescent="0.25">
      <c r="A310" s="16">
        <v>45566</v>
      </c>
      <c r="B310" t="s">
        <v>35</v>
      </c>
      <c r="C310">
        <v>13</v>
      </c>
      <c r="D310" t="s">
        <v>291</v>
      </c>
      <c r="E310" t="s">
        <v>292</v>
      </c>
      <c r="F310" t="s">
        <v>285</v>
      </c>
      <c r="G310" t="s">
        <v>63</v>
      </c>
      <c r="H310" t="s">
        <v>67</v>
      </c>
      <c r="J310" t="s">
        <v>190</v>
      </c>
      <c r="K310" t="s">
        <v>250</v>
      </c>
      <c r="L310">
        <v>556500</v>
      </c>
      <c r="M310" t="s">
        <v>242</v>
      </c>
      <c r="N310" t="s">
        <v>578</v>
      </c>
    </row>
    <row r="311" spans="1:16" hidden="1" x14ac:dyDescent="0.25">
      <c r="A311" s="16">
        <v>45566</v>
      </c>
      <c r="B311" t="s">
        <v>35</v>
      </c>
      <c r="C311">
        <v>13</v>
      </c>
      <c r="D311" t="s">
        <v>291</v>
      </c>
      <c r="E311" t="s">
        <v>292</v>
      </c>
      <c r="F311" t="s">
        <v>285</v>
      </c>
      <c r="G311" t="s">
        <v>63</v>
      </c>
      <c r="H311" t="s">
        <v>68</v>
      </c>
      <c r="J311" t="s">
        <v>190</v>
      </c>
      <c r="K311" t="s">
        <v>250</v>
      </c>
      <c r="L311">
        <v>997400</v>
      </c>
      <c r="M311" t="s">
        <v>242</v>
      </c>
      <c r="N311" t="s">
        <v>579</v>
      </c>
    </row>
    <row r="312" spans="1:16" x14ac:dyDescent="0.25">
      <c r="A312" s="16">
        <v>45566</v>
      </c>
      <c r="B312" t="s">
        <v>35</v>
      </c>
      <c r="C312">
        <v>14</v>
      </c>
      <c r="D312" t="s">
        <v>291</v>
      </c>
      <c r="E312" t="s">
        <v>292</v>
      </c>
      <c r="F312" t="s">
        <v>285</v>
      </c>
      <c r="G312" t="s">
        <v>63</v>
      </c>
      <c r="H312" t="s">
        <v>77</v>
      </c>
      <c r="J312" t="s">
        <v>190</v>
      </c>
      <c r="K312" t="s">
        <v>250</v>
      </c>
      <c r="L312">
        <v>6000</v>
      </c>
      <c r="M312" t="s">
        <v>242</v>
      </c>
      <c r="N312" t="s">
        <v>304</v>
      </c>
    </row>
    <row r="313" spans="1:16" x14ac:dyDescent="0.25">
      <c r="A313" s="16">
        <v>45566</v>
      </c>
      <c r="B313" t="s">
        <v>35</v>
      </c>
      <c r="C313">
        <v>14</v>
      </c>
      <c r="D313" t="s">
        <v>291</v>
      </c>
      <c r="E313" t="s">
        <v>292</v>
      </c>
      <c r="F313" t="s">
        <v>285</v>
      </c>
      <c r="G313" t="s">
        <v>63</v>
      </c>
      <c r="H313" t="s">
        <v>70</v>
      </c>
      <c r="J313" t="s">
        <v>190</v>
      </c>
      <c r="K313" t="s">
        <v>250</v>
      </c>
      <c r="L313">
        <v>605000</v>
      </c>
      <c r="M313" t="s">
        <v>242</v>
      </c>
      <c r="N313" t="s">
        <v>580</v>
      </c>
    </row>
    <row r="314" spans="1:16" x14ac:dyDescent="0.25">
      <c r="A314" s="16">
        <v>45566</v>
      </c>
      <c r="B314" t="s">
        <v>35</v>
      </c>
      <c r="C314">
        <v>14</v>
      </c>
      <c r="D314" t="s">
        <v>291</v>
      </c>
      <c r="E314" t="s">
        <v>292</v>
      </c>
      <c r="F314" t="s">
        <v>285</v>
      </c>
      <c r="G314" t="s">
        <v>63</v>
      </c>
      <c r="H314" t="s">
        <v>71</v>
      </c>
      <c r="J314" t="s">
        <v>190</v>
      </c>
      <c r="K314" t="s">
        <v>250</v>
      </c>
      <c r="L314">
        <v>419000</v>
      </c>
      <c r="M314" t="s">
        <v>242</v>
      </c>
      <c r="N314" t="s">
        <v>581</v>
      </c>
    </row>
    <row r="315" spans="1:16" x14ac:dyDescent="0.25">
      <c r="A315" s="16">
        <v>45566</v>
      </c>
      <c r="B315" t="s">
        <v>35</v>
      </c>
      <c r="C315">
        <v>14</v>
      </c>
      <c r="D315" t="s">
        <v>291</v>
      </c>
      <c r="E315" t="s">
        <v>292</v>
      </c>
      <c r="F315" t="s">
        <v>285</v>
      </c>
      <c r="G315" t="s">
        <v>63</v>
      </c>
      <c r="H315" t="s">
        <v>72</v>
      </c>
      <c r="J315" t="s">
        <v>190</v>
      </c>
      <c r="K315" t="s">
        <v>250</v>
      </c>
      <c r="L315">
        <v>275000</v>
      </c>
      <c r="M315" t="s">
        <v>242</v>
      </c>
      <c r="N315" t="s">
        <v>582</v>
      </c>
    </row>
    <row r="316" spans="1:16" x14ac:dyDescent="0.25">
      <c r="A316" s="63">
        <v>45566</v>
      </c>
      <c r="B316" s="65" t="s">
        <v>35</v>
      </c>
      <c r="C316" s="65">
        <v>14</v>
      </c>
      <c r="D316" s="65" t="s">
        <v>291</v>
      </c>
      <c r="E316" s="65" t="s">
        <v>292</v>
      </c>
      <c r="F316" s="65" t="s">
        <v>285</v>
      </c>
      <c r="G316" s="65" t="s">
        <v>63</v>
      </c>
      <c r="H316" s="65" t="s">
        <v>73</v>
      </c>
      <c r="I316" s="65"/>
      <c r="J316" s="65" t="s">
        <v>190</v>
      </c>
      <c r="K316" s="65" t="s">
        <v>250</v>
      </c>
      <c r="L316" s="65">
        <v>167000</v>
      </c>
      <c r="M316" s="65" t="s">
        <v>242</v>
      </c>
      <c r="N316" s="65" t="s">
        <v>583</v>
      </c>
    </row>
    <row r="317" spans="1:16" x14ac:dyDescent="0.25">
      <c r="A317" s="63">
        <v>45566</v>
      </c>
      <c r="B317" s="65" t="s">
        <v>35</v>
      </c>
      <c r="C317" s="65">
        <v>14</v>
      </c>
      <c r="D317" s="65" t="s">
        <v>291</v>
      </c>
      <c r="E317" s="65" t="s">
        <v>292</v>
      </c>
      <c r="F317" s="65" t="s">
        <v>285</v>
      </c>
      <c r="G317" s="65" t="s">
        <v>63</v>
      </c>
      <c r="H317" s="65" t="s">
        <v>74</v>
      </c>
      <c r="I317" s="65"/>
      <c r="J317" s="65" t="s">
        <v>190</v>
      </c>
      <c r="K317" s="65" t="s">
        <v>250</v>
      </c>
      <c r="L317" s="65">
        <v>74000</v>
      </c>
      <c r="M317" s="65" t="s">
        <v>242</v>
      </c>
      <c r="N317" s="65" t="s">
        <v>584</v>
      </c>
    </row>
    <row r="318" spans="1:16" x14ac:dyDescent="0.25">
      <c r="A318" s="63">
        <v>45566</v>
      </c>
      <c r="B318" s="65" t="s">
        <v>35</v>
      </c>
      <c r="C318" s="65">
        <v>14</v>
      </c>
      <c r="D318" s="65" t="s">
        <v>291</v>
      </c>
      <c r="E318" s="65" t="s">
        <v>292</v>
      </c>
      <c r="F318" s="65" t="s">
        <v>285</v>
      </c>
      <c r="G318" s="65" t="s">
        <v>63</v>
      </c>
      <c r="H318" s="65" t="s">
        <v>75</v>
      </c>
      <c r="I318" s="65"/>
      <c r="J318" s="65" t="s">
        <v>190</v>
      </c>
      <c r="K318" s="65" t="s">
        <v>250</v>
      </c>
      <c r="L318" s="65">
        <v>19000</v>
      </c>
      <c r="M318" s="65" t="s">
        <v>242</v>
      </c>
      <c r="N318" s="65" t="s">
        <v>585</v>
      </c>
    </row>
    <row r="319" spans="1:16" x14ac:dyDescent="0.25">
      <c r="A319" s="63">
        <v>45566</v>
      </c>
      <c r="B319" s="65" t="s">
        <v>35</v>
      </c>
      <c r="C319" s="65">
        <v>14</v>
      </c>
      <c r="D319" s="65" t="s">
        <v>291</v>
      </c>
      <c r="E319" s="65" t="s">
        <v>292</v>
      </c>
      <c r="F319" s="65" t="s">
        <v>285</v>
      </c>
      <c r="G319" s="65" t="s">
        <v>63</v>
      </c>
      <c r="H319" s="65" t="s">
        <v>76</v>
      </c>
      <c r="I319" s="65"/>
      <c r="J319" s="65" t="s">
        <v>190</v>
      </c>
      <c r="K319" s="65" t="s">
        <v>250</v>
      </c>
      <c r="L319" s="65">
        <v>4000</v>
      </c>
      <c r="M319" s="65" t="s">
        <v>242</v>
      </c>
      <c r="N319" s="65" t="s">
        <v>303</v>
      </c>
    </row>
    <row r="320" spans="1:16" hidden="1" x14ac:dyDescent="0.25">
      <c r="A320" s="16">
        <v>45566</v>
      </c>
      <c r="B320" t="s">
        <v>35</v>
      </c>
      <c r="C320">
        <v>15</v>
      </c>
      <c r="D320" t="s">
        <v>291</v>
      </c>
      <c r="E320" t="s">
        <v>292</v>
      </c>
      <c r="F320" t="s">
        <v>285</v>
      </c>
      <c r="G320" t="s">
        <v>63</v>
      </c>
      <c r="H320" t="s">
        <v>79</v>
      </c>
      <c r="J320" t="s">
        <v>190</v>
      </c>
      <c r="K320" t="s">
        <v>250</v>
      </c>
      <c r="L320">
        <v>1570000</v>
      </c>
      <c r="M320" t="s">
        <v>242</v>
      </c>
      <c r="N320" t="s">
        <v>586</v>
      </c>
    </row>
    <row r="321" spans="1:16" hidden="1" x14ac:dyDescent="0.25">
      <c r="A321" s="16">
        <v>45566</v>
      </c>
      <c r="B321" t="s">
        <v>35</v>
      </c>
      <c r="C321">
        <v>15</v>
      </c>
      <c r="D321" t="s">
        <v>291</v>
      </c>
      <c r="E321" t="s">
        <v>292</v>
      </c>
      <c r="F321" t="s">
        <v>285</v>
      </c>
      <c r="G321" t="s">
        <v>63</v>
      </c>
      <c r="H321" t="s">
        <v>80</v>
      </c>
      <c r="J321" t="s">
        <v>190</v>
      </c>
      <c r="K321" t="s">
        <v>250</v>
      </c>
      <c r="L321">
        <v>28000</v>
      </c>
      <c r="M321" t="s">
        <v>242</v>
      </c>
      <c r="N321" t="s">
        <v>587</v>
      </c>
    </row>
    <row r="322" spans="1:16" hidden="1" x14ac:dyDescent="0.25">
      <c r="A322" s="16">
        <v>45566</v>
      </c>
      <c r="B322" t="s">
        <v>35</v>
      </c>
      <c r="C322">
        <v>16</v>
      </c>
      <c r="D322" t="s">
        <v>247</v>
      </c>
      <c r="E322" t="s">
        <v>248</v>
      </c>
      <c r="F322" t="s">
        <v>240</v>
      </c>
      <c r="G322" t="s">
        <v>82</v>
      </c>
      <c r="H322" t="s">
        <v>286</v>
      </c>
      <c r="J322" t="s">
        <v>190</v>
      </c>
      <c r="K322" t="s">
        <v>250</v>
      </c>
      <c r="L322">
        <v>12.4</v>
      </c>
      <c r="M322" t="s">
        <v>251</v>
      </c>
      <c r="N322" t="s">
        <v>588</v>
      </c>
    </row>
    <row r="323" spans="1:16" hidden="1" x14ac:dyDescent="0.25">
      <c r="A323" s="16">
        <v>45566</v>
      </c>
      <c r="B323" t="s">
        <v>35</v>
      </c>
      <c r="C323">
        <v>16</v>
      </c>
      <c r="D323" t="s">
        <v>253</v>
      </c>
      <c r="E323" t="s">
        <v>248</v>
      </c>
      <c r="F323" t="s">
        <v>240</v>
      </c>
      <c r="G323" t="s">
        <v>82</v>
      </c>
      <c r="J323" t="s">
        <v>258</v>
      </c>
      <c r="K323" t="s">
        <v>255</v>
      </c>
      <c r="L323">
        <v>7900000</v>
      </c>
      <c r="M323" t="s">
        <v>242</v>
      </c>
      <c r="N323" t="s">
        <v>309</v>
      </c>
      <c r="O323">
        <v>1</v>
      </c>
      <c r="P323" t="s">
        <v>257</v>
      </c>
    </row>
    <row r="324" spans="1:16" hidden="1" x14ac:dyDescent="0.25">
      <c r="A324" s="16">
        <v>45566</v>
      </c>
      <c r="B324" t="s">
        <v>35</v>
      </c>
      <c r="C324">
        <v>16</v>
      </c>
      <c r="D324" t="s">
        <v>253</v>
      </c>
      <c r="E324" t="s">
        <v>248</v>
      </c>
      <c r="F324" t="s">
        <v>240</v>
      </c>
      <c r="G324" t="s">
        <v>82</v>
      </c>
      <c r="J324" t="s">
        <v>189</v>
      </c>
      <c r="K324" t="s">
        <v>255</v>
      </c>
      <c r="L324">
        <v>7890000</v>
      </c>
      <c r="M324" t="s">
        <v>242</v>
      </c>
      <c r="N324" t="s">
        <v>310</v>
      </c>
      <c r="O324">
        <v>1</v>
      </c>
      <c r="P324" t="s">
        <v>257</v>
      </c>
    </row>
    <row r="325" spans="1:16" hidden="1" x14ac:dyDescent="0.25">
      <c r="A325" s="16">
        <v>45566</v>
      </c>
      <c r="B325" t="s">
        <v>35</v>
      </c>
      <c r="C325">
        <v>16</v>
      </c>
      <c r="D325" t="s">
        <v>253</v>
      </c>
      <c r="E325" t="s">
        <v>248</v>
      </c>
      <c r="F325" t="s">
        <v>240</v>
      </c>
      <c r="G325" t="s">
        <v>82</v>
      </c>
      <c r="J325" t="s">
        <v>190</v>
      </c>
      <c r="K325" t="s">
        <v>255</v>
      </c>
      <c r="L325">
        <v>8860000</v>
      </c>
      <c r="M325" t="s">
        <v>242</v>
      </c>
      <c r="N325" t="s">
        <v>589</v>
      </c>
      <c r="O325">
        <v>1</v>
      </c>
      <c r="P325" t="s">
        <v>261</v>
      </c>
    </row>
    <row r="326" spans="1:16" hidden="1" x14ac:dyDescent="0.25">
      <c r="A326" s="16">
        <v>45566</v>
      </c>
      <c r="B326" t="s">
        <v>35</v>
      </c>
      <c r="C326">
        <v>17</v>
      </c>
      <c r="D326" t="s">
        <v>291</v>
      </c>
      <c r="E326" t="s">
        <v>292</v>
      </c>
      <c r="F326" t="s">
        <v>240</v>
      </c>
      <c r="G326" t="s">
        <v>82</v>
      </c>
      <c r="H326" t="s">
        <v>83</v>
      </c>
      <c r="J326" t="s">
        <v>190</v>
      </c>
      <c r="K326" t="s">
        <v>250</v>
      </c>
      <c r="L326">
        <v>7620000</v>
      </c>
      <c r="M326" t="s">
        <v>242</v>
      </c>
      <c r="N326" t="s">
        <v>590</v>
      </c>
    </row>
    <row r="327" spans="1:16" hidden="1" x14ac:dyDescent="0.25">
      <c r="A327" s="16">
        <v>45566</v>
      </c>
      <c r="B327" t="s">
        <v>35</v>
      </c>
      <c r="C327">
        <v>17</v>
      </c>
      <c r="D327" t="s">
        <v>291</v>
      </c>
      <c r="E327" t="s">
        <v>292</v>
      </c>
      <c r="F327" t="s">
        <v>240</v>
      </c>
      <c r="G327" t="s">
        <v>82</v>
      </c>
      <c r="H327" t="s">
        <v>84</v>
      </c>
      <c r="J327" t="s">
        <v>190</v>
      </c>
      <c r="K327" t="s">
        <v>250</v>
      </c>
      <c r="L327">
        <v>1240000</v>
      </c>
      <c r="M327" t="s">
        <v>242</v>
      </c>
      <c r="N327" t="s">
        <v>591</v>
      </c>
    </row>
    <row r="328" spans="1:16" hidden="1" x14ac:dyDescent="0.25">
      <c r="A328" s="16">
        <v>45566</v>
      </c>
      <c r="B328" t="s">
        <v>35</v>
      </c>
      <c r="C328">
        <v>18</v>
      </c>
      <c r="D328" t="s">
        <v>291</v>
      </c>
      <c r="E328" t="s">
        <v>292</v>
      </c>
      <c r="F328" t="s">
        <v>240</v>
      </c>
      <c r="G328" t="s">
        <v>82</v>
      </c>
      <c r="H328" t="s">
        <v>83</v>
      </c>
      <c r="I328" t="s">
        <v>313</v>
      </c>
      <c r="J328" t="s">
        <v>190</v>
      </c>
      <c r="K328" t="s">
        <v>250</v>
      </c>
      <c r="L328">
        <v>3.7</v>
      </c>
      <c r="M328" t="s">
        <v>251</v>
      </c>
      <c r="N328" t="s">
        <v>592</v>
      </c>
    </row>
    <row r="329" spans="1:16" hidden="1" x14ac:dyDescent="0.25">
      <c r="A329" s="16">
        <v>45566</v>
      </c>
      <c r="B329" t="s">
        <v>35</v>
      </c>
      <c r="C329">
        <v>18</v>
      </c>
      <c r="D329" t="s">
        <v>291</v>
      </c>
      <c r="E329" t="s">
        <v>292</v>
      </c>
      <c r="F329" t="s">
        <v>240</v>
      </c>
      <c r="G329" t="s">
        <v>82</v>
      </c>
      <c r="H329" t="s">
        <v>83</v>
      </c>
      <c r="I329" t="s">
        <v>315</v>
      </c>
      <c r="J329" t="s">
        <v>190</v>
      </c>
      <c r="K329" t="s">
        <v>250</v>
      </c>
      <c r="L329">
        <v>84.9</v>
      </c>
      <c r="M329" t="s">
        <v>251</v>
      </c>
      <c r="N329" t="s">
        <v>593</v>
      </c>
    </row>
    <row r="330" spans="1:16" hidden="1" x14ac:dyDescent="0.25">
      <c r="A330" s="16">
        <v>45566</v>
      </c>
      <c r="B330" t="s">
        <v>35</v>
      </c>
      <c r="C330">
        <v>18</v>
      </c>
      <c r="D330" t="s">
        <v>291</v>
      </c>
      <c r="E330" t="s">
        <v>292</v>
      </c>
      <c r="F330" t="s">
        <v>240</v>
      </c>
      <c r="G330" t="s">
        <v>82</v>
      </c>
      <c r="H330" t="s">
        <v>83</v>
      </c>
      <c r="I330" t="s">
        <v>317</v>
      </c>
      <c r="J330" t="s">
        <v>190</v>
      </c>
      <c r="K330" t="s">
        <v>250</v>
      </c>
      <c r="L330">
        <v>11.4</v>
      </c>
      <c r="M330" t="s">
        <v>251</v>
      </c>
      <c r="N330" t="s">
        <v>594</v>
      </c>
    </row>
    <row r="331" spans="1:16" hidden="1" x14ac:dyDescent="0.25">
      <c r="A331" s="16">
        <v>45566</v>
      </c>
      <c r="B331" t="s">
        <v>35</v>
      </c>
      <c r="C331">
        <v>18</v>
      </c>
      <c r="D331" t="s">
        <v>291</v>
      </c>
      <c r="E331" t="s">
        <v>292</v>
      </c>
      <c r="F331" t="s">
        <v>240</v>
      </c>
      <c r="G331" t="s">
        <v>82</v>
      </c>
      <c r="H331" t="s">
        <v>84</v>
      </c>
      <c r="I331" t="s">
        <v>319</v>
      </c>
      <c r="J331" t="s">
        <v>190</v>
      </c>
      <c r="K331" t="s">
        <v>250</v>
      </c>
      <c r="L331">
        <v>99.5</v>
      </c>
      <c r="M331" t="s">
        <v>251</v>
      </c>
      <c r="N331" t="s">
        <v>320</v>
      </c>
    </row>
    <row r="332" spans="1:16" hidden="1" x14ac:dyDescent="0.25">
      <c r="A332" s="16">
        <v>45566</v>
      </c>
      <c r="B332" t="s">
        <v>35</v>
      </c>
      <c r="C332">
        <v>18</v>
      </c>
      <c r="D332" t="s">
        <v>291</v>
      </c>
      <c r="E332" t="s">
        <v>292</v>
      </c>
      <c r="F332" t="s">
        <v>240</v>
      </c>
      <c r="G332" t="s">
        <v>82</v>
      </c>
      <c r="H332" t="s">
        <v>84</v>
      </c>
      <c r="I332" t="s">
        <v>321</v>
      </c>
      <c r="J332" t="s">
        <v>190</v>
      </c>
      <c r="K332" t="s">
        <v>250</v>
      </c>
      <c r="L332">
        <v>0.5</v>
      </c>
      <c r="M332" t="s">
        <v>251</v>
      </c>
      <c r="N332" t="s">
        <v>322</v>
      </c>
    </row>
    <row r="333" spans="1:16" hidden="1" x14ac:dyDescent="0.25">
      <c r="A333" s="16">
        <v>45566</v>
      </c>
      <c r="B333" t="s">
        <v>35</v>
      </c>
      <c r="C333">
        <v>19</v>
      </c>
      <c r="D333" t="s">
        <v>247</v>
      </c>
      <c r="E333" t="s">
        <v>248</v>
      </c>
      <c r="F333" t="s">
        <v>244</v>
      </c>
      <c r="G333" t="s">
        <v>82</v>
      </c>
      <c r="H333" t="s">
        <v>286</v>
      </c>
      <c r="J333" t="s">
        <v>190</v>
      </c>
      <c r="K333" t="s">
        <v>250</v>
      </c>
      <c r="L333">
        <v>6.6</v>
      </c>
      <c r="M333" t="s">
        <v>251</v>
      </c>
      <c r="N333" t="s">
        <v>595</v>
      </c>
    </row>
    <row r="334" spans="1:16" hidden="1" x14ac:dyDescent="0.25">
      <c r="A334" s="16">
        <v>45566</v>
      </c>
      <c r="B334" t="s">
        <v>35</v>
      </c>
      <c r="C334">
        <v>19</v>
      </c>
      <c r="D334" t="s">
        <v>253</v>
      </c>
      <c r="E334" t="s">
        <v>248</v>
      </c>
      <c r="F334" t="s">
        <v>244</v>
      </c>
      <c r="G334" t="s">
        <v>82</v>
      </c>
      <c r="J334" t="s">
        <v>258</v>
      </c>
      <c r="K334" t="s">
        <v>255</v>
      </c>
      <c r="L334">
        <v>1160000000</v>
      </c>
      <c r="M334" t="s">
        <v>245</v>
      </c>
      <c r="N334" t="s">
        <v>325</v>
      </c>
      <c r="O334">
        <v>1</v>
      </c>
      <c r="P334" t="s">
        <v>257</v>
      </c>
    </row>
    <row r="335" spans="1:16" hidden="1" x14ac:dyDescent="0.25">
      <c r="A335" s="16">
        <v>45566</v>
      </c>
      <c r="B335" t="s">
        <v>35</v>
      </c>
      <c r="C335">
        <v>19</v>
      </c>
      <c r="D335" t="s">
        <v>253</v>
      </c>
      <c r="E335" t="s">
        <v>248</v>
      </c>
      <c r="F335" t="s">
        <v>244</v>
      </c>
      <c r="G335" t="s">
        <v>82</v>
      </c>
      <c r="J335" t="s">
        <v>189</v>
      </c>
      <c r="K335" t="s">
        <v>255</v>
      </c>
      <c r="L335">
        <v>1140000000</v>
      </c>
      <c r="M335" t="s">
        <v>245</v>
      </c>
      <c r="N335" t="s">
        <v>326</v>
      </c>
      <c r="O335">
        <v>1</v>
      </c>
      <c r="P335" t="s">
        <v>257</v>
      </c>
    </row>
    <row r="336" spans="1:16" hidden="1" x14ac:dyDescent="0.25">
      <c r="A336" s="16">
        <v>45566</v>
      </c>
      <c r="B336" t="s">
        <v>35</v>
      </c>
      <c r="C336">
        <v>19</v>
      </c>
      <c r="D336" t="s">
        <v>253</v>
      </c>
      <c r="E336" t="s">
        <v>248</v>
      </c>
      <c r="F336" t="s">
        <v>244</v>
      </c>
      <c r="G336" t="s">
        <v>82</v>
      </c>
      <c r="J336" t="s">
        <v>190</v>
      </c>
      <c r="K336" t="s">
        <v>255</v>
      </c>
      <c r="L336">
        <v>1220000000</v>
      </c>
      <c r="M336" t="s">
        <v>245</v>
      </c>
      <c r="N336" t="s">
        <v>596</v>
      </c>
      <c r="O336">
        <v>1</v>
      </c>
      <c r="P336" t="s">
        <v>261</v>
      </c>
    </row>
    <row r="337" spans="1:16" hidden="1" x14ac:dyDescent="0.25">
      <c r="A337" s="16">
        <v>45566</v>
      </c>
      <c r="B337" t="s">
        <v>35</v>
      </c>
      <c r="C337">
        <v>20</v>
      </c>
      <c r="D337" t="s">
        <v>291</v>
      </c>
      <c r="E337" t="s">
        <v>292</v>
      </c>
      <c r="F337" t="s">
        <v>244</v>
      </c>
      <c r="G337" t="s">
        <v>82</v>
      </c>
      <c r="H337" t="s">
        <v>83</v>
      </c>
      <c r="J337" t="s">
        <v>190</v>
      </c>
      <c r="K337" t="s">
        <v>250</v>
      </c>
      <c r="L337">
        <v>992600000</v>
      </c>
      <c r="M337" t="s">
        <v>245</v>
      </c>
      <c r="N337" t="s">
        <v>597</v>
      </c>
    </row>
    <row r="338" spans="1:16" hidden="1" x14ac:dyDescent="0.25">
      <c r="A338" s="16">
        <v>45566</v>
      </c>
      <c r="B338" t="s">
        <v>35</v>
      </c>
      <c r="C338">
        <v>20</v>
      </c>
      <c r="D338" t="s">
        <v>291</v>
      </c>
      <c r="E338" t="s">
        <v>292</v>
      </c>
      <c r="F338" t="s">
        <v>244</v>
      </c>
      <c r="G338" t="s">
        <v>82</v>
      </c>
      <c r="H338" t="s">
        <v>84</v>
      </c>
      <c r="J338" t="s">
        <v>190</v>
      </c>
      <c r="K338" t="s">
        <v>250</v>
      </c>
      <c r="L338">
        <v>227200000</v>
      </c>
      <c r="M338" t="s">
        <v>245</v>
      </c>
      <c r="N338" t="s">
        <v>598</v>
      </c>
    </row>
    <row r="339" spans="1:16" hidden="1" x14ac:dyDescent="0.25">
      <c r="A339" s="16">
        <v>45566</v>
      </c>
      <c r="B339" t="s">
        <v>35</v>
      </c>
      <c r="C339">
        <v>21</v>
      </c>
      <c r="D339" t="s">
        <v>291</v>
      </c>
      <c r="E339" t="s">
        <v>292</v>
      </c>
      <c r="F339" t="s">
        <v>244</v>
      </c>
      <c r="G339" t="s">
        <v>82</v>
      </c>
      <c r="H339" t="s">
        <v>83</v>
      </c>
      <c r="I339" t="s">
        <v>313</v>
      </c>
      <c r="J339" t="s">
        <v>190</v>
      </c>
      <c r="K339" t="s">
        <v>250</v>
      </c>
      <c r="L339">
        <v>5.6</v>
      </c>
      <c r="M339" t="s">
        <v>251</v>
      </c>
      <c r="N339" t="s">
        <v>599</v>
      </c>
    </row>
    <row r="340" spans="1:16" hidden="1" x14ac:dyDescent="0.25">
      <c r="A340" s="16">
        <v>45566</v>
      </c>
      <c r="B340" t="s">
        <v>35</v>
      </c>
      <c r="C340">
        <v>21</v>
      </c>
      <c r="D340" t="s">
        <v>291</v>
      </c>
      <c r="E340" t="s">
        <v>292</v>
      </c>
      <c r="F340" t="s">
        <v>244</v>
      </c>
      <c r="G340" t="s">
        <v>82</v>
      </c>
      <c r="H340" t="s">
        <v>83</v>
      </c>
      <c r="I340" t="s">
        <v>315</v>
      </c>
      <c r="J340" t="s">
        <v>190</v>
      </c>
      <c r="K340" t="s">
        <v>250</v>
      </c>
      <c r="L340">
        <v>73.099999999999994</v>
      </c>
      <c r="M340" t="s">
        <v>251</v>
      </c>
      <c r="N340" t="s">
        <v>600</v>
      </c>
    </row>
    <row r="341" spans="1:16" hidden="1" x14ac:dyDescent="0.25">
      <c r="A341" s="16">
        <v>45566</v>
      </c>
      <c r="B341" t="s">
        <v>35</v>
      </c>
      <c r="C341">
        <v>21</v>
      </c>
      <c r="D341" t="s">
        <v>291</v>
      </c>
      <c r="E341" t="s">
        <v>292</v>
      </c>
      <c r="F341" t="s">
        <v>244</v>
      </c>
      <c r="G341" t="s">
        <v>82</v>
      </c>
      <c r="H341" t="s">
        <v>83</v>
      </c>
      <c r="I341" t="s">
        <v>317</v>
      </c>
      <c r="J341" t="s">
        <v>190</v>
      </c>
      <c r="K341" t="s">
        <v>250</v>
      </c>
      <c r="L341">
        <v>21.3</v>
      </c>
      <c r="M341" t="s">
        <v>251</v>
      </c>
      <c r="N341" t="s">
        <v>601</v>
      </c>
    </row>
    <row r="342" spans="1:16" hidden="1" x14ac:dyDescent="0.25">
      <c r="A342" s="16">
        <v>45566</v>
      </c>
      <c r="B342" t="s">
        <v>35</v>
      </c>
      <c r="C342">
        <v>21</v>
      </c>
      <c r="D342" t="s">
        <v>291</v>
      </c>
      <c r="E342" t="s">
        <v>292</v>
      </c>
      <c r="F342" t="s">
        <v>244</v>
      </c>
      <c r="G342" t="s">
        <v>82</v>
      </c>
      <c r="H342" t="s">
        <v>84</v>
      </c>
      <c r="I342" t="s">
        <v>319</v>
      </c>
      <c r="J342" t="s">
        <v>190</v>
      </c>
      <c r="K342" t="s">
        <v>250</v>
      </c>
      <c r="L342">
        <v>99.94</v>
      </c>
      <c r="M342" t="s">
        <v>251</v>
      </c>
      <c r="N342" t="s">
        <v>602</v>
      </c>
    </row>
    <row r="343" spans="1:16" hidden="1" x14ac:dyDescent="0.25">
      <c r="A343" s="16">
        <v>45566</v>
      </c>
      <c r="B343" t="s">
        <v>35</v>
      </c>
      <c r="C343">
        <v>21</v>
      </c>
      <c r="D343" t="s">
        <v>291</v>
      </c>
      <c r="E343" t="s">
        <v>292</v>
      </c>
      <c r="F343" t="s">
        <v>244</v>
      </c>
      <c r="G343" t="s">
        <v>82</v>
      </c>
      <c r="H343" t="s">
        <v>84</v>
      </c>
      <c r="I343" t="s">
        <v>321</v>
      </c>
      <c r="J343" t="s">
        <v>190</v>
      </c>
      <c r="K343" t="s">
        <v>250</v>
      </c>
      <c r="L343">
        <v>0.06</v>
      </c>
      <c r="M343" t="s">
        <v>251</v>
      </c>
      <c r="N343" t="s">
        <v>603</v>
      </c>
    </row>
    <row r="344" spans="1:16" hidden="1" x14ac:dyDescent="0.25">
      <c r="A344" s="16">
        <v>45566</v>
      </c>
      <c r="B344" t="s">
        <v>35</v>
      </c>
      <c r="C344">
        <v>22</v>
      </c>
      <c r="D344" t="s">
        <v>253</v>
      </c>
      <c r="E344" t="s">
        <v>248</v>
      </c>
      <c r="F344" t="s">
        <v>334</v>
      </c>
      <c r="G344" t="s">
        <v>82</v>
      </c>
      <c r="J344" t="s">
        <v>258</v>
      </c>
      <c r="K344" t="s">
        <v>255</v>
      </c>
      <c r="L344">
        <v>146</v>
      </c>
      <c r="M344" t="s">
        <v>245</v>
      </c>
      <c r="N344" t="s">
        <v>336</v>
      </c>
      <c r="O344">
        <v>1</v>
      </c>
      <c r="P344" t="s">
        <v>257</v>
      </c>
    </row>
    <row r="345" spans="1:16" hidden="1" x14ac:dyDescent="0.25">
      <c r="A345" s="16">
        <v>45566</v>
      </c>
      <c r="B345" t="s">
        <v>35</v>
      </c>
      <c r="C345">
        <v>22</v>
      </c>
      <c r="D345" t="s">
        <v>253</v>
      </c>
      <c r="E345" t="s">
        <v>248</v>
      </c>
      <c r="F345" t="s">
        <v>334</v>
      </c>
      <c r="G345" t="s">
        <v>82</v>
      </c>
      <c r="J345" t="s">
        <v>189</v>
      </c>
      <c r="K345" t="s">
        <v>255</v>
      </c>
      <c r="L345">
        <v>145</v>
      </c>
      <c r="M345" t="s">
        <v>245</v>
      </c>
      <c r="N345" t="s">
        <v>337</v>
      </c>
      <c r="O345">
        <v>1</v>
      </c>
      <c r="P345" t="s">
        <v>257</v>
      </c>
    </row>
    <row r="346" spans="1:16" hidden="1" x14ac:dyDescent="0.25">
      <c r="A346" s="16">
        <v>45566</v>
      </c>
      <c r="B346" t="s">
        <v>35</v>
      </c>
      <c r="C346">
        <v>22</v>
      </c>
      <c r="D346" t="s">
        <v>253</v>
      </c>
      <c r="E346" t="s">
        <v>248</v>
      </c>
      <c r="F346" t="s">
        <v>334</v>
      </c>
      <c r="G346" t="s">
        <v>82</v>
      </c>
      <c r="J346" t="s">
        <v>190</v>
      </c>
      <c r="K346" t="s">
        <v>255</v>
      </c>
      <c r="L346">
        <v>138</v>
      </c>
      <c r="M346" t="s">
        <v>245</v>
      </c>
      <c r="N346" t="s">
        <v>604</v>
      </c>
      <c r="O346">
        <v>1</v>
      </c>
      <c r="P346" t="s">
        <v>261</v>
      </c>
    </row>
    <row r="347" spans="1:16" hidden="1" x14ac:dyDescent="0.25">
      <c r="A347" s="16">
        <v>45566</v>
      </c>
      <c r="B347" t="s">
        <v>35</v>
      </c>
      <c r="C347">
        <v>23</v>
      </c>
      <c r="D347" t="s">
        <v>291</v>
      </c>
      <c r="E347" t="s">
        <v>292</v>
      </c>
      <c r="F347" t="s">
        <v>240</v>
      </c>
      <c r="G347" t="s">
        <v>82</v>
      </c>
      <c r="H347" t="s">
        <v>94</v>
      </c>
      <c r="J347" t="s">
        <v>190</v>
      </c>
      <c r="K347" t="s">
        <v>250</v>
      </c>
      <c r="L347">
        <v>4170000</v>
      </c>
      <c r="M347" t="s">
        <v>242</v>
      </c>
      <c r="N347" t="s">
        <v>605</v>
      </c>
    </row>
    <row r="348" spans="1:16" hidden="1" x14ac:dyDescent="0.25">
      <c r="A348" s="16">
        <v>45566</v>
      </c>
      <c r="B348" t="s">
        <v>35</v>
      </c>
      <c r="C348">
        <v>23</v>
      </c>
      <c r="D348" t="s">
        <v>291</v>
      </c>
      <c r="E348" t="s">
        <v>292</v>
      </c>
      <c r="F348" t="s">
        <v>240</v>
      </c>
      <c r="G348" t="s">
        <v>82</v>
      </c>
      <c r="H348" t="s">
        <v>95</v>
      </c>
      <c r="J348" t="s">
        <v>190</v>
      </c>
      <c r="K348" t="s">
        <v>250</v>
      </c>
      <c r="L348">
        <v>1440000</v>
      </c>
      <c r="M348" t="s">
        <v>242</v>
      </c>
      <c r="N348" t="s">
        <v>606</v>
      </c>
    </row>
    <row r="349" spans="1:16" hidden="1" x14ac:dyDescent="0.25">
      <c r="A349" s="16">
        <v>45566</v>
      </c>
      <c r="B349" t="s">
        <v>35</v>
      </c>
      <c r="C349">
        <v>24</v>
      </c>
      <c r="D349" t="s">
        <v>291</v>
      </c>
      <c r="E349" t="s">
        <v>292</v>
      </c>
      <c r="F349" t="s">
        <v>244</v>
      </c>
      <c r="G349" t="s">
        <v>82</v>
      </c>
      <c r="H349" t="s">
        <v>94</v>
      </c>
      <c r="J349" t="s">
        <v>190</v>
      </c>
      <c r="K349" t="s">
        <v>250</v>
      </c>
      <c r="L349">
        <v>680800000</v>
      </c>
      <c r="M349" t="s">
        <v>245</v>
      </c>
      <c r="N349" t="s">
        <v>607</v>
      </c>
    </row>
    <row r="350" spans="1:16" hidden="1" x14ac:dyDescent="0.25">
      <c r="A350" s="16">
        <v>45566</v>
      </c>
      <c r="B350" t="s">
        <v>35</v>
      </c>
      <c r="C350">
        <v>24</v>
      </c>
      <c r="D350" t="s">
        <v>291</v>
      </c>
      <c r="E350" t="s">
        <v>292</v>
      </c>
      <c r="F350" t="s">
        <v>244</v>
      </c>
      <c r="G350" t="s">
        <v>82</v>
      </c>
      <c r="H350" t="s">
        <v>95</v>
      </c>
      <c r="J350" t="s">
        <v>190</v>
      </c>
      <c r="K350" t="s">
        <v>250</v>
      </c>
      <c r="L350">
        <v>172600000</v>
      </c>
      <c r="M350" t="s">
        <v>245</v>
      </c>
      <c r="N350" t="s">
        <v>608</v>
      </c>
    </row>
    <row r="351" spans="1:16" hidden="1" x14ac:dyDescent="0.25">
      <c r="A351" s="16">
        <v>45566</v>
      </c>
      <c r="B351" t="s">
        <v>156</v>
      </c>
      <c r="C351">
        <v>73</v>
      </c>
      <c r="D351" t="s">
        <v>238</v>
      </c>
      <c r="E351" t="s">
        <v>239</v>
      </c>
      <c r="F351" t="s">
        <v>240</v>
      </c>
      <c r="G351" t="s">
        <v>158</v>
      </c>
      <c r="J351" t="s">
        <v>190</v>
      </c>
      <c r="K351" t="s">
        <v>241</v>
      </c>
      <c r="L351">
        <v>5390000</v>
      </c>
      <c r="M351" t="s">
        <v>242</v>
      </c>
      <c r="N351" t="s">
        <v>609</v>
      </c>
    </row>
    <row r="352" spans="1:16" hidden="1" x14ac:dyDescent="0.25">
      <c r="A352" s="16">
        <v>45566</v>
      </c>
      <c r="B352" t="s">
        <v>156</v>
      </c>
      <c r="C352">
        <v>73</v>
      </c>
      <c r="D352" t="s">
        <v>238</v>
      </c>
      <c r="E352" t="s">
        <v>239</v>
      </c>
      <c r="F352" t="s">
        <v>244</v>
      </c>
      <c r="G352" t="s">
        <v>158</v>
      </c>
      <c r="J352" t="s">
        <v>190</v>
      </c>
      <c r="K352" t="s">
        <v>241</v>
      </c>
      <c r="L352">
        <v>33300000000</v>
      </c>
      <c r="M352" t="s">
        <v>245</v>
      </c>
      <c r="N352" t="s">
        <v>610</v>
      </c>
    </row>
    <row r="353" spans="1:16" hidden="1" x14ac:dyDescent="0.25">
      <c r="A353" s="16">
        <v>45566</v>
      </c>
      <c r="B353" t="s">
        <v>156</v>
      </c>
      <c r="C353">
        <v>74</v>
      </c>
      <c r="D353" t="s">
        <v>247</v>
      </c>
      <c r="E353" t="s">
        <v>248</v>
      </c>
      <c r="F353" t="s">
        <v>344</v>
      </c>
      <c r="G353" t="s">
        <v>158</v>
      </c>
      <c r="H353" t="s">
        <v>249</v>
      </c>
      <c r="J353" t="s">
        <v>190</v>
      </c>
      <c r="K353" t="s">
        <v>250</v>
      </c>
      <c r="L353">
        <v>6.7</v>
      </c>
      <c r="M353" t="s">
        <v>251</v>
      </c>
      <c r="N353" t="s">
        <v>611</v>
      </c>
    </row>
    <row r="354" spans="1:16" hidden="1" x14ac:dyDescent="0.25">
      <c r="A354" s="16">
        <v>45566</v>
      </c>
      <c r="B354" t="s">
        <v>156</v>
      </c>
      <c r="C354">
        <v>74</v>
      </c>
      <c r="D354" t="s">
        <v>253</v>
      </c>
      <c r="E354" t="s">
        <v>248</v>
      </c>
      <c r="F354" t="s">
        <v>344</v>
      </c>
      <c r="G354" t="s">
        <v>158</v>
      </c>
      <c r="J354" t="s">
        <v>258</v>
      </c>
      <c r="K354" t="s">
        <v>255</v>
      </c>
      <c r="L354">
        <v>474000</v>
      </c>
      <c r="M354" t="s">
        <v>242</v>
      </c>
      <c r="N354" t="s">
        <v>347</v>
      </c>
      <c r="O354">
        <v>1</v>
      </c>
      <c r="P354" t="s">
        <v>257</v>
      </c>
    </row>
    <row r="355" spans="1:16" hidden="1" x14ac:dyDescent="0.25">
      <c r="A355" s="16">
        <v>45566</v>
      </c>
      <c r="B355" t="s">
        <v>156</v>
      </c>
      <c r="C355">
        <v>74</v>
      </c>
      <c r="D355" t="s">
        <v>253</v>
      </c>
      <c r="E355" t="s">
        <v>248</v>
      </c>
      <c r="F355" t="s">
        <v>344</v>
      </c>
      <c r="G355" t="s">
        <v>158</v>
      </c>
      <c r="J355" t="s">
        <v>189</v>
      </c>
      <c r="K355" t="s">
        <v>255</v>
      </c>
      <c r="L355">
        <v>624000</v>
      </c>
      <c r="M355" t="s">
        <v>242</v>
      </c>
      <c r="N355" t="s">
        <v>348</v>
      </c>
      <c r="O355">
        <v>1</v>
      </c>
      <c r="P355" t="s">
        <v>257</v>
      </c>
    </row>
    <row r="356" spans="1:16" hidden="1" x14ac:dyDescent="0.25">
      <c r="A356" s="16">
        <v>45566</v>
      </c>
      <c r="B356" t="s">
        <v>156</v>
      </c>
      <c r="C356">
        <v>74</v>
      </c>
      <c r="D356" t="s">
        <v>253</v>
      </c>
      <c r="E356" t="s">
        <v>248</v>
      </c>
      <c r="F356" t="s">
        <v>344</v>
      </c>
      <c r="G356" t="s">
        <v>158</v>
      </c>
      <c r="J356" t="s">
        <v>190</v>
      </c>
      <c r="K356" t="s">
        <v>255</v>
      </c>
      <c r="L356">
        <v>583000</v>
      </c>
      <c r="M356" t="s">
        <v>242</v>
      </c>
      <c r="N356" t="s">
        <v>612</v>
      </c>
      <c r="O356">
        <v>1</v>
      </c>
      <c r="P356" t="s">
        <v>261</v>
      </c>
    </row>
    <row r="357" spans="1:16" hidden="1" x14ac:dyDescent="0.25">
      <c r="A357" s="16">
        <v>45566</v>
      </c>
      <c r="B357" t="s">
        <v>156</v>
      </c>
      <c r="C357">
        <v>75</v>
      </c>
      <c r="D357" t="s">
        <v>247</v>
      </c>
      <c r="E357" t="s">
        <v>248</v>
      </c>
      <c r="F357" t="s">
        <v>349</v>
      </c>
      <c r="G357" t="s">
        <v>158</v>
      </c>
      <c r="H357" t="s">
        <v>249</v>
      </c>
      <c r="J357" t="s">
        <v>190</v>
      </c>
      <c r="K357" t="s">
        <v>250</v>
      </c>
      <c r="L357">
        <v>10.8</v>
      </c>
      <c r="M357" t="s">
        <v>251</v>
      </c>
      <c r="N357" t="s">
        <v>613</v>
      </c>
    </row>
    <row r="358" spans="1:16" hidden="1" x14ac:dyDescent="0.25">
      <c r="A358" s="16">
        <v>45566</v>
      </c>
      <c r="B358" t="s">
        <v>156</v>
      </c>
      <c r="C358">
        <v>75</v>
      </c>
      <c r="D358" t="s">
        <v>253</v>
      </c>
      <c r="E358" t="s">
        <v>248</v>
      </c>
      <c r="F358" t="s">
        <v>349</v>
      </c>
      <c r="G358" t="s">
        <v>158</v>
      </c>
      <c r="J358" t="s">
        <v>258</v>
      </c>
      <c r="K358" t="s">
        <v>255</v>
      </c>
      <c r="L358">
        <v>13800</v>
      </c>
      <c r="M358" t="s">
        <v>242</v>
      </c>
      <c r="N358" t="s">
        <v>352</v>
      </c>
      <c r="O358">
        <v>1</v>
      </c>
      <c r="P358" t="s">
        <v>257</v>
      </c>
    </row>
    <row r="359" spans="1:16" hidden="1" x14ac:dyDescent="0.25">
      <c r="A359" s="16">
        <v>45566</v>
      </c>
      <c r="B359" t="s">
        <v>156</v>
      </c>
      <c r="C359">
        <v>75</v>
      </c>
      <c r="D359" t="s">
        <v>253</v>
      </c>
      <c r="E359" t="s">
        <v>248</v>
      </c>
      <c r="F359" t="s">
        <v>349</v>
      </c>
      <c r="G359" t="s">
        <v>158</v>
      </c>
      <c r="J359" t="s">
        <v>189</v>
      </c>
      <c r="K359" t="s">
        <v>255</v>
      </c>
      <c r="L359">
        <v>20900</v>
      </c>
      <c r="M359" t="s">
        <v>242</v>
      </c>
      <c r="N359" t="s">
        <v>353</v>
      </c>
      <c r="O359">
        <v>1</v>
      </c>
      <c r="P359" t="s">
        <v>257</v>
      </c>
    </row>
    <row r="360" spans="1:16" hidden="1" x14ac:dyDescent="0.25">
      <c r="A360" s="16">
        <v>45566</v>
      </c>
      <c r="B360" t="s">
        <v>156</v>
      </c>
      <c r="C360">
        <v>75</v>
      </c>
      <c r="D360" t="s">
        <v>253</v>
      </c>
      <c r="E360" t="s">
        <v>248</v>
      </c>
      <c r="F360" t="s">
        <v>349</v>
      </c>
      <c r="G360" t="s">
        <v>158</v>
      </c>
      <c r="J360" t="s">
        <v>190</v>
      </c>
      <c r="K360" t="s">
        <v>255</v>
      </c>
      <c r="L360">
        <v>18700</v>
      </c>
      <c r="M360" t="s">
        <v>242</v>
      </c>
      <c r="N360" t="s">
        <v>614</v>
      </c>
      <c r="O360">
        <v>1</v>
      </c>
      <c r="P360" t="s">
        <v>261</v>
      </c>
    </row>
    <row r="361" spans="1:16" hidden="1" x14ac:dyDescent="0.25">
      <c r="A361" s="16">
        <v>45566</v>
      </c>
      <c r="B361" t="s">
        <v>156</v>
      </c>
      <c r="C361">
        <v>76</v>
      </c>
      <c r="D361" t="s">
        <v>253</v>
      </c>
      <c r="E361" t="s">
        <v>248</v>
      </c>
      <c r="F361" t="s">
        <v>615</v>
      </c>
      <c r="G361" t="s">
        <v>158</v>
      </c>
      <c r="J361" t="s">
        <v>258</v>
      </c>
      <c r="K361" t="s">
        <v>255</v>
      </c>
      <c r="L361">
        <v>2.9</v>
      </c>
      <c r="M361" t="s">
        <v>251</v>
      </c>
      <c r="N361" t="s">
        <v>616</v>
      </c>
      <c r="O361">
        <v>1</v>
      </c>
      <c r="P361" t="s">
        <v>257</v>
      </c>
    </row>
    <row r="362" spans="1:16" hidden="1" x14ac:dyDescent="0.25">
      <c r="A362" s="16">
        <v>45566</v>
      </c>
      <c r="B362" t="s">
        <v>156</v>
      </c>
      <c r="C362">
        <v>76</v>
      </c>
      <c r="D362" t="s">
        <v>253</v>
      </c>
      <c r="E362" t="s">
        <v>248</v>
      </c>
      <c r="F362" t="s">
        <v>615</v>
      </c>
      <c r="G362" t="s">
        <v>158</v>
      </c>
      <c r="J362" t="s">
        <v>189</v>
      </c>
      <c r="K362" t="s">
        <v>255</v>
      </c>
      <c r="L362">
        <v>3.4</v>
      </c>
      <c r="M362" t="s">
        <v>251</v>
      </c>
      <c r="N362" t="s">
        <v>314</v>
      </c>
      <c r="O362">
        <v>1</v>
      </c>
      <c r="P362" t="s">
        <v>257</v>
      </c>
    </row>
    <row r="363" spans="1:16" hidden="1" x14ac:dyDescent="0.25">
      <c r="A363" s="16">
        <v>45566</v>
      </c>
      <c r="B363" t="s">
        <v>156</v>
      </c>
      <c r="C363">
        <v>76</v>
      </c>
      <c r="D363" t="s">
        <v>253</v>
      </c>
      <c r="E363" t="s">
        <v>248</v>
      </c>
      <c r="F363" t="s">
        <v>615</v>
      </c>
      <c r="G363" t="s">
        <v>158</v>
      </c>
      <c r="J363" t="s">
        <v>190</v>
      </c>
      <c r="K363" t="s">
        <v>255</v>
      </c>
      <c r="L363">
        <v>3.2</v>
      </c>
      <c r="M363" t="s">
        <v>251</v>
      </c>
      <c r="N363" t="s">
        <v>509</v>
      </c>
      <c r="O363">
        <v>1</v>
      </c>
      <c r="P363" t="s">
        <v>261</v>
      </c>
    </row>
    <row r="364" spans="1:16" hidden="1" x14ac:dyDescent="0.25">
      <c r="A364" s="16">
        <v>45566</v>
      </c>
      <c r="B364" t="s">
        <v>156</v>
      </c>
      <c r="C364">
        <v>77</v>
      </c>
      <c r="D364" t="s">
        <v>291</v>
      </c>
      <c r="E364" t="s">
        <v>292</v>
      </c>
      <c r="F364" t="s">
        <v>349</v>
      </c>
      <c r="G364" t="s">
        <v>158</v>
      </c>
      <c r="H364" t="s">
        <v>159</v>
      </c>
      <c r="J364" t="s">
        <v>190</v>
      </c>
      <c r="K364" t="s">
        <v>250</v>
      </c>
      <c r="L364">
        <v>12744</v>
      </c>
      <c r="M364" t="s">
        <v>242</v>
      </c>
      <c r="N364" t="s">
        <v>617</v>
      </c>
    </row>
    <row r="365" spans="1:16" hidden="1" x14ac:dyDescent="0.25">
      <c r="A365" s="16">
        <v>45566</v>
      </c>
      <c r="B365" t="s">
        <v>156</v>
      </c>
      <c r="C365">
        <v>77</v>
      </c>
      <c r="D365" t="s">
        <v>291</v>
      </c>
      <c r="E365" t="s">
        <v>292</v>
      </c>
      <c r="F365" t="s">
        <v>349</v>
      </c>
      <c r="G365" t="s">
        <v>158</v>
      </c>
      <c r="H365" t="s">
        <v>160</v>
      </c>
      <c r="J365" t="s">
        <v>190</v>
      </c>
      <c r="K365" t="s">
        <v>250</v>
      </c>
      <c r="L365">
        <v>5951</v>
      </c>
      <c r="M365" t="s">
        <v>242</v>
      </c>
      <c r="N365" t="s">
        <v>618</v>
      </c>
    </row>
    <row r="366" spans="1:16" hidden="1" x14ac:dyDescent="0.25">
      <c r="A366" s="16">
        <v>45566</v>
      </c>
      <c r="B366" t="s">
        <v>156</v>
      </c>
      <c r="C366">
        <v>78</v>
      </c>
      <c r="D366" t="s">
        <v>247</v>
      </c>
      <c r="E366" t="s">
        <v>248</v>
      </c>
      <c r="F366" t="s">
        <v>356</v>
      </c>
      <c r="G366" t="s">
        <v>158</v>
      </c>
      <c r="H366" t="s">
        <v>286</v>
      </c>
      <c r="J366" t="s">
        <v>190</v>
      </c>
      <c r="K366" t="s">
        <v>250</v>
      </c>
      <c r="L366">
        <v>2.2999999999999998</v>
      </c>
      <c r="M366" t="s">
        <v>251</v>
      </c>
      <c r="N366" t="s">
        <v>619</v>
      </c>
    </row>
    <row r="367" spans="1:16" hidden="1" x14ac:dyDescent="0.25">
      <c r="A367" s="16">
        <v>45566</v>
      </c>
      <c r="B367" t="s">
        <v>156</v>
      </c>
      <c r="C367">
        <v>78</v>
      </c>
      <c r="D367" t="s">
        <v>253</v>
      </c>
      <c r="E367" t="s">
        <v>248</v>
      </c>
      <c r="F367" t="s">
        <v>356</v>
      </c>
      <c r="G367" t="s">
        <v>158</v>
      </c>
      <c r="J367" t="s">
        <v>258</v>
      </c>
      <c r="K367" t="s">
        <v>255</v>
      </c>
      <c r="L367">
        <v>3240000000</v>
      </c>
      <c r="M367" t="s">
        <v>245</v>
      </c>
      <c r="N367" t="s">
        <v>359</v>
      </c>
      <c r="O367">
        <v>1</v>
      </c>
      <c r="P367" t="s">
        <v>257</v>
      </c>
    </row>
    <row r="368" spans="1:16" hidden="1" x14ac:dyDescent="0.25">
      <c r="A368" s="16">
        <v>45566</v>
      </c>
      <c r="B368" t="s">
        <v>156</v>
      </c>
      <c r="C368">
        <v>78</v>
      </c>
      <c r="D368" t="s">
        <v>253</v>
      </c>
      <c r="E368" t="s">
        <v>248</v>
      </c>
      <c r="F368" t="s">
        <v>356</v>
      </c>
      <c r="G368" t="s">
        <v>158</v>
      </c>
      <c r="J368" t="s">
        <v>189</v>
      </c>
      <c r="K368" t="s">
        <v>255</v>
      </c>
      <c r="L368">
        <v>3530000000</v>
      </c>
      <c r="M368" t="s">
        <v>245</v>
      </c>
      <c r="N368" t="s">
        <v>360</v>
      </c>
      <c r="O368">
        <v>1</v>
      </c>
      <c r="P368" t="s">
        <v>257</v>
      </c>
    </row>
    <row r="369" spans="1:16" hidden="1" x14ac:dyDescent="0.25">
      <c r="A369" s="16">
        <v>45566</v>
      </c>
      <c r="B369" t="s">
        <v>156</v>
      </c>
      <c r="C369">
        <v>78</v>
      </c>
      <c r="D369" t="s">
        <v>253</v>
      </c>
      <c r="E369" t="s">
        <v>248</v>
      </c>
      <c r="F369" t="s">
        <v>356</v>
      </c>
      <c r="G369" t="s">
        <v>158</v>
      </c>
      <c r="J369" t="s">
        <v>190</v>
      </c>
      <c r="K369" t="s">
        <v>255</v>
      </c>
      <c r="L369">
        <v>3610000000</v>
      </c>
      <c r="M369" t="s">
        <v>245</v>
      </c>
      <c r="N369" t="s">
        <v>620</v>
      </c>
      <c r="O369">
        <v>1</v>
      </c>
      <c r="P369" t="s">
        <v>261</v>
      </c>
    </row>
    <row r="370" spans="1:16" hidden="1" x14ac:dyDescent="0.25">
      <c r="A370" s="16">
        <v>45566</v>
      </c>
      <c r="B370" t="s">
        <v>156</v>
      </c>
      <c r="C370">
        <v>79</v>
      </c>
      <c r="D370" t="s">
        <v>247</v>
      </c>
      <c r="E370" t="s">
        <v>248</v>
      </c>
      <c r="F370" t="s">
        <v>361</v>
      </c>
      <c r="G370" t="s">
        <v>158</v>
      </c>
      <c r="H370" t="s">
        <v>249</v>
      </c>
      <c r="J370" t="s">
        <v>190</v>
      </c>
      <c r="K370" t="s">
        <v>250</v>
      </c>
      <c r="L370">
        <v>5.3</v>
      </c>
      <c r="M370" t="s">
        <v>251</v>
      </c>
      <c r="N370" t="s">
        <v>329</v>
      </c>
    </row>
    <row r="371" spans="1:16" hidden="1" x14ac:dyDescent="0.25">
      <c r="A371" s="16">
        <v>45566</v>
      </c>
      <c r="B371" t="s">
        <v>156</v>
      </c>
      <c r="C371">
        <v>79</v>
      </c>
      <c r="D371" t="s">
        <v>253</v>
      </c>
      <c r="E371" t="s">
        <v>248</v>
      </c>
      <c r="F371" t="s">
        <v>361</v>
      </c>
      <c r="G371" t="s">
        <v>158</v>
      </c>
      <c r="J371" t="s">
        <v>258</v>
      </c>
      <c r="K371" t="s">
        <v>255</v>
      </c>
      <c r="L371">
        <v>117000000</v>
      </c>
      <c r="M371" t="s">
        <v>245</v>
      </c>
      <c r="N371" t="s">
        <v>364</v>
      </c>
      <c r="O371">
        <v>1</v>
      </c>
      <c r="P371" t="s">
        <v>257</v>
      </c>
    </row>
    <row r="372" spans="1:16" hidden="1" x14ac:dyDescent="0.25">
      <c r="A372" s="16">
        <v>45566</v>
      </c>
      <c r="B372" t="s">
        <v>156</v>
      </c>
      <c r="C372">
        <v>79</v>
      </c>
      <c r="D372" t="s">
        <v>253</v>
      </c>
      <c r="E372" t="s">
        <v>248</v>
      </c>
      <c r="F372" t="s">
        <v>361</v>
      </c>
      <c r="G372" t="s">
        <v>158</v>
      </c>
      <c r="J372" t="s">
        <v>189</v>
      </c>
      <c r="K372" t="s">
        <v>255</v>
      </c>
      <c r="L372">
        <v>130000000</v>
      </c>
      <c r="M372" t="s">
        <v>245</v>
      </c>
      <c r="N372" t="s">
        <v>365</v>
      </c>
      <c r="O372">
        <v>1</v>
      </c>
      <c r="P372" t="s">
        <v>257</v>
      </c>
    </row>
    <row r="373" spans="1:16" hidden="1" x14ac:dyDescent="0.25">
      <c r="A373" s="16">
        <v>45566</v>
      </c>
      <c r="B373" t="s">
        <v>156</v>
      </c>
      <c r="C373">
        <v>79</v>
      </c>
      <c r="D373" t="s">
        <v>253</v>
      </c>
      <c r="E373" t="s">
        <v>248</v>
      </c>
      <c r="F373" t="s">
        <v>361</v>
      </c>
      <c r="G373" t="s">
        <v>158</v>
      </c>
      <c r="J373" t="s">
        <v>190</v>
      </c>
      <c r="K373" t="s">
        <v>255</v>
      </c>
      <c r="L373">
        <v>123000000</v>
      </c>
      <c r="M373" t="s">
        <v>245</v>
      </c>
      <c r="N373" t="s">
        <v>621</v>
      </c>
      <c r="O373">
        <v>1</v>
      </c>
      <c r="P373" t="s">
        <v>261</v>
      </c>
    </row>
    <row r="374" spans="1:16" hidden="1" x14ac:dyDescent="0.25">
      <c r="A374" s="16">
        <v>45566</v>
      </c>
      <c r="B374" t="s">
        <v>156</v>
      </c>
      <c r="C374">
        <v>80</v>
      </c>
      <c r="D374" t="s">
        <v>253</v>
      </c>
      <c r="E374" t="s">
        <v>248</v>
      </c>
      <c r="F374" t="s">
        <v>622</v>
      </c>
      <c r="G374" t="s">
        <v>158</v>
      </c>
      <c r="J374" t="s">
        <v>258</v>
      </c>
      <c r="K374" t="s">
        <v>255</v>
      </c>
      <c r="L374">
        <v>3.59</v>
      </c>
      <c r="M374" t="s">
        <v>251</v>
      </c>
      <c r="N374" t="s">
        <v>623</v>
      </c>
      <c r="O374">
        <v>1</v>
      </c>
      <c r="P374" t="s">
        <v>257</v>
      </c>
    </row>
    <row r="375" spans="1:16" hidden="1" x14ac:dyDescent="0.25">
      <c r="A375" s="16">
        <v>45566</v>
      </c>
      <c r="B375" t="s">
        <v>156</v>
      </c>
      <c r="C375">
        <v>80</v>
      </c>
      <c r="D375" t="s">
        <v>253</v>
      </c>
      <c r="E375" t="s">
        <v>248</v>
      </c>
      <c r="F375" t="s">
        <v>622</v>
      </c>
      <c r="G375" t="s">
        <v>158</v>
      </c>
      <c r="J375" t="s">
        <v>189</v>
      </c>
      <c r="K375" t="s">
        <v>255</v>
      </c>
      <c r="L375">
        <v>3.7</v>
      </c>
      <c r="M375" t="s">
        <v>251</v>
      </c>
      <c r="N375" t="s">
        <v>624</v>
      </c>
      <c r="O375">
        <v>1</v>
      </c>
      <c r="P375" t="s">
        <v>257</v>
      </c>
    </row>
    <row r="376" spans="1:16" hidden="1" x14ac:dyDescent="0.25">
      <c r="A376" s="16">
        <v>45566</v>
      </c>
      <c r="B376" t="s">
        <v>156</v>
      </c>
      <c r="C376">
        <v>80</v>
      </c>
      <c r="D376" t="s">
        <v>253</v>
      </c>
      <c r="E376" t="s">
        <v>248</v>
      </c>
      <c r="F376" t="s">
        <v>622</v>
      </c>
      <c r="G376" t="s">
        <v>158</v>
      </c>
      <c r="J376" t="s">
        <v>190</v>
      </c>
      <c r="K376" t="s">
        <v>255</v>
      </c>
      <c r="L376">
        <v>3.42</v>
      </c>
      <c r="M376" t="s">
        <v>251</v>
      </c>
      <c r="N376" t="s">
        <v>625</v>
      </c>
      <c r="O376">
        <v>1</v>
      </c>
      <c r="P376" t="s">
        <v>261</v>
      </c>
    </row>
    <row r="377" spans="1:16" hidden="1" x14ac:dyDescent="0.25">
      <c r="A377" s="16">
        <v>45566</v>
      </c>
      <c r="B377" t="s">
        <v>156</v>
      </c>
      <c r="C377">
        <v>81</v>
      </c>
      <c r="D377" t="s">
        <v>291</v>
      </c>
      <c r="E377" t="s">
        <v>292</v>
      </c>
      <c r="F377" t="s">
        <v>361</v>
      </c>
      <c r="G377" t="s">
        <v>158</v>
      </c>
      <c r="H377" t="s">
        <v>159</v>
      </c>
      <c r="J377" t="s">
        <v>190</v>
      </c>
      <c r="K377" t="s">
        <v>250</v>
      </c>
      <c r="L377">
        <v>87200000</v>
      </c>
      <c r="M377" t="s">
        <v>245</v>
      </c>
      <c r="N377" t="s">
        <v>626</v>
      </c>
    </row>
    <row r="378" spans="1:16" hidden="1" x14ac:dyDescent="0.25">
      <c r="A378" s="16">
        <v>45566</v>
      </c>
      <c r="B378" t="s">
        <v>156</v>
      </c>
      <c r="C378">
        <v>81</v>
      </c>
      <c r="D378" t="s">
        <v>291</v>
      </c>
      <c r="E378" t="s">
        <v>292</v>
      </c>
      <c r="F378" t="s">
        <v>361</v>
      </c>
      <c r="G378" t="s">
        <v>158</v>
      </c>
      <c r="H378" t="s">
        <v>160</v>
      </c>
      <c r="J378" t="s">
        <v>190</v>
      </c>
      <c r="K378" t="s">
        <v>250</v>
      </c>
      <c r="L378">
        <v>36100000</v>
      </c>
      <c r="M378" t="s">
        <v>245</v>
      </c>
      <c r="N378" t="s">
        <v>627</v>
      </c>
    </row>
    <row r="379" spans="1:16" hidden="1" x14ac:dyDescent="0.25">
      <c r="A379" s="16">
        <v>45566</v>
      </c>
      <c r="B379" t="s">
        <v>120</v>
      </c>
      <c r="C379">
        <v>55</v>
      </c>
      <c r="D379" t="s">
        <v>238</v>
      </c>
      <c r="E379" t="s">
        <v>239</v>
      </c>
      <c r="F379" t="s">
        <v>240</v>
      </c>
      <c r="G379" t="s">
        <v>82</v>
      </c>
      <c r="J379" t="s">
        <v>190</v>
      </c>
      <c r="K379" t="s">
        <v>241</v>
      </c>
      <c r="L379">
        <v>54470000</v>
      </c>
      <c r="M379" t="s">
        <v>242</v>
      </c>
      <c r="N379" t="s">
        <v>628</v>
      </c>
    </row>
    <row r="380" spans="1:16" hidden="1" x14ac:dyDescent="0.25">
      <c r="A380" s="16">
        <v>45566</v>
      </c>
      <c r="B380" t="s">
        <v>120</v>
      </c>
      <c r="C380">
        <v>55</v>
      </c>
      <c r="D380" t="s">
        <v>238</v>
      </c>
      <c r="E380" t="s">
        <v>239</v>
      </c>
      <c r="F380" t="s">
        <v>244</v>
      </c>
      <c r="G380" t="s">
        <v>82</v>
      </c>
      <c r="J380" t="s">
        <v>190</v>
      </c>
      <c r="K380" t="s">
        <v>241</v>
      </c>
      <c r="L380">
        <v>10880000000</v>
      </c>
      <c r="M380" t="s">
        <v>245</v>
      </c>
      <c r="N380" t="s">
        <v>629</v>
      </c>
    </row>
    <row r="381" spans="1:16" hidden="1" x14ac:dyDescent="0.25">
      <c r="A381" s="16">
        <v>45566</v>
      </c>
      <c r="B381" t="s">
        <v>120</v>
      </c>
      <c r="C381">
        <v>56</v>
      </c>
      <c r="D381" t="s">
        <v>247</v>
      </c>
      <c r="E381" t="s">
        <v>248</v>
      </c>
      <c r="F381" t="s">
        <v>285</v>
      </c>
      <c r="G381" t="s">
        <v>63</v>
      </c>
      <c r="H381" t="s">
        <v>286</v>
      </c>
      <c r="J381" t="s">
        <v>190</v>
      </c>
      <c r="K381" t="s">
        <v>250</v>
      </c>
      <c r="L381">
        <v>1</v>
      </c>
      <c r="M381" t="s">
        <v>251</v>
      </c>
      <c r="N381" t="s">
        <v>323</v>
      </c>
    </row>
    <row r="382" spans="1:16" hidden="1" x14ac:dyDescent="0.25">
      <c r="A382" s="16">
        <v>45566</v>
      </c>
      <c r="B382" t="s">
        <v>120</v>
      </c>
      <c r="C382">
        <v>56</v>
      </c>
      <c r="D382" t="s">
        <v>253</v>
      </c>
      <c r="E382" t="s">
        <v>248</v>
      </c>
      <c r="F382" t="s">
        <v>285</v>
      </c>
      <c r="G382" t="s">
        <v>63</v>
      </c>
      <c r="J382" t="s">
        <v>258</v>
      </c>
      <c r="K382" t="s">
        <v>255</v>
      </c>
      <c r="L382">
        <v>4390000</v>
      </c>
      <c r="M382" t="s">
        <v>242</v>
      </c>
      <c r="N382" t="s">
        <v>372</v>
      </c>
      <c r="O382">
        <v>1</v>
      </c>
      <c r="P382" t="s">
        <v>257</v>
      </c>
    </row>
    <row r="383" spans="1:16" hidden="1" x14ac:dyDescent="0.25">
      <c r="A383" s="16">
        <v>45566</v>
      </c>
      <c r="B383" t="s">
        <v>120</v>
      </c>
      <c r="C383">
        <v>56</v>
      </c>
      <c r="D383" t="s">
        <v>253</v>
      </c>
      <c r="E383" t="s">
        <v>248</v>
      </c>
      <c r="F383" t="s">
        <v>285</v>
      </c>
      <c r="G383" t="s">
        <v>63</v>
      </c>
      <c r="J383" t="s">
        <v>189</v>
      </c>
      <c r="K383" t="s">
        <v>255</v>
      </c>
      <c r="L383">
        <v>4430000</v>
      </c>
      <c r="M383" t="s">
        <v>242</v>
      </c>
      <c r="N383" t="s">
        <v>373</v>
      </c>
      <c r="O383">
        <v>1</v>
      </c>
      <c r="P383" t="s">
        <v>257</v>
      </c>
    </row>
    <row r="384" spans="1:16" hidden="1" x14ac:dyDescent="0.25">
      <c r="A384" s="16">
        <v>45566</v>
      </c>
      <c r="B384" t="s">
        <v>120</v>
      </c>
      <c r="C384">
        <v>56</v>
      </c>
      <c r="D384" t="s">
        <v>253</v>
      </c>
      <c r="E384" t="s">
        <v>248</v>
      </c>
      <c r="F384" t="s">
        <v>285</v>
      </c>
      <c r="G384" t="s">
        <v>63</v>
      </c>
      <c r="J384" t="s">
        <v>190</v>
      </c>
      <c r="K384" t="s">
        <v>255</v>
      </c>
      <c r="L384">
        <v>4470000</v>
      </c>
      <c r="M384" t="s">
        <v>242</v>
      </c>
      <c r="N384" t="s">
        <v>630</v>
      </c>
      <c r="O384">
        <v>1</v>
      </c>
      <c r="P384" t="s">
        <v>261</v>
      </c>
    </row>
    <row r="385" spans="1:16" hidden="1" x14ac:dyDescent="0.25">
      <c r="A385" s="16">
        <v>45566</v>
      </c>
      <c r="B385" t="s">
        <v>120</v>
      </c>
      <c r="C385">
        <v>57</v>
      </c>
      <c r="D385" t="s">
        <v>291</v>
      </c>
      <c r="E385" t="s">
        <v>292</v>
      </c>
      <c r="F385" t="s">
        <v>285</v>
      </c>
      <c r="G385" t="s">
        <v>63</v>
      </c>
      <c r="H385" t="s">
        <v>122</v>
      </c>
      <c r="J385" t="s">
        <v>190</v>
      </c>
      <c r="K385" t="s">
        <v>250</v>
      </c>
      <c r="L385">
        <v>4430000</v>
      </c>
      <c r="M385" t="s">
        <v>242</v>
      </c>
      <c r="N385" t="s">
        <v>377</v>
      </c>
    </row>
    <row r="386" spans="1:16" hidden="1" x14ac:dyDescent="0.25">
      <c r="A386" s="16">
        <v>45566</v>
      </c>
      <c r="B386" t="s">
        <v>120</v>
      </c>
      <c r="C386">
        <v>57</v>
      </c>
      <c r="D386" t="s">
        <v>291</v>
      </c>
      <c r="E386" t="s">
        <v>292</v>
      </c>
      <c r="F386" t="s">
        <v>285</v>
      </c>
      <c r="G386" t="s">
        <v>63</v>
      </c>
      <c r="H386" t="s">
        <v>123</v>
      </c>
      <c r="J386" t="s">
        <v>190</v>
      </c>
      <c r="K386" t="s">
        <v>250</v>
      </c>
      <c r="L386">
        <v>40600</v>
      </c>
      <c r="M386" t="s">
        <v>242</v>
      </c>
      <c r="N386" t="s">
        <v>631</v>
      </c>
    </row>
    <row r="387" spans="1:16" hidden="1" x14ac:dyDescent="0.25">
      <c r="A387" s="16">
        <v>45566</v>
      </c>
      <c r="B387" t="s">
        <v>120</v>
      </c>
      <c r="C387">
        <v>57</v>
      </c>
      <c r="D387" t="s">
        <v>238</v>
      </c>
      <c r="E387" t="s">
        <v>239</v>
      </c>
      <c r="F387" t="s">
        <v>285</v>
      </c>
      <c r="G387" t="s">
        <v>63</v>
      </c>
      <c r="H387" t="s">
        <v>376</v>
      </c>
      <c r="J387" t="s">
        <v>190</v>
      </c>
      <c r="K387" t="s">
        <v>250</v>
      </c>
      <c r="L387">
        <v>4470000</v>
      </c>
      <c r="M387" t="s">
        <v>242</v>
      </c>
      <c r="N387" t="s">
        <v>632</v>
      </c>
    </row>
    <row r="388" spans="1:16" hidden="1" x14ac:dyDescent="0.25">
      <c r="A388" s="16">
        <v>45566</v>
      </c>
      <c r="B388" t="s">
        <v>120</v>
      </c>
      <c r="C388">
        <v>58</v>
      </c>
      <c r="D388" t="s">
        <v>238</v>
      </c>
      <c r="E388" t="s">
        <v>239</v>
      </c>
      <c r="F388" t="s">
        <v>378</v>
      </c>
      <c r="G388" t="s">
        <v>379</v>
      </c>
      <c r="J388" t="s">
        <v>190</v>
      </c>
      <c r="K388" t="s">
        <v>250</v>
      </c>
      <c r="L388">
        <v>568</v>
      </c>
      <c r="M388" t="s">
        <v>242</v>
      </c>
      <c r="N388" t="s">
        <v>633</v>
      </c>
    </row>
    <row r="389" spans="1:16" hidden="1" x14ac:dyDescent="0.25">
      <c r="A389" s="16">
        <v>45566</v>
      </c>
      <c r="B389" t="s">
        <v>120</v>
      </c>
      <c r="C389">
        <v>58</v>
      </c>
      <c r="D389" t="s">
        <v>238</v>
      </c>
      <c r="E389" t="s">
        <v>239</v>
      </c>
      <c r="F389" t="s">
        <v>381</v>
      </c>
      <c r="G389" t="s">
        <v>382</v>
      </c>
      <c r="J389" t="s">
        <v>190</v>
      </c>
      <c r="K389" t="s">
        <v>250</v>
      </c>
      <c r="L389">
        <v>1946</v>
      </c>
      <c r="M389" t="s">
        <v>242</v>
      </c>
      <c r="N389" t="s">
        <v>634</v>
      </c>
    </row>
    <row r="390" spans="1:16" hidden="1" x14ac:dyDescent="0.25">
      <c r="A390" s="16">
        <v>45566</v>
      </c>
      <c r="B390" t="s">
        <v>120</v>
      </c>
      <c r="C390">
        <v>59</v>
      </c>
      <c r="D390" t="s">
        <v>247</v>
      </c>
      <c r="E390" t="s">
        <v>248</v>
      </c>
      <c r="F390" t="s">
        <v>240</v>
      </c>
      <c r="G390" t="s">
        <v>82</v>
      </c>
      <c r="H390" t="s">
        <v>286</v>
      </c>
      <c r="J390" t="s">
        <v>190</v>
      </c>
      <c r="K390" t="s">
        <v>250</v>
      </c>
      <c r="L390">
        <v>1.7</v>
      </c>
      <c r="M390" t="s">
        <v>251</v>
      </c>
      <c r="N390" t="s">
        <v>635</v>
      </c>
    </row>
    <row r="391" spans="1:16" hidden="1" x14ac:dyDescent="0.25">
      <c r="A391" s="16">
        <v>45566</v>
      </c>
      <c r="B391" t="s">
        <v>120</v>
      </c>
      <c r="C391">
        <v>59</v>
      </c>
      <c r="D391" t="s">
        <v>253</v>
      </c>
      <c r="E391" t="s">
        <v>248</v>
      </c>
      <c r="F391" t="s">
        <v>240</v>
      </c>
      <c r="G391" t="s">
        <v>82</v>
      </c>
      <c r="J391" t="s">
        <v>258</v>
      </c>
      <c r="K391" t="s">
        <v>255</v>
      </c>
      <c r="L391">
        <v>5610000</v>
      </c>
      <c r="M391" t="s">
        <v>242</v>
      </c>
      <c r="N391" t="s">
        <v>386</v>
      </c>
      <c r="O391">
        <v>1</v>
      </c>
      <c r="P391" t="s">
        <v>257</v>
      </c>
    </row>
    <row r="392" spans="1:16" hidden="1" x14ac:dyDescent="0.25">
      <c r="A392" s="16">
        <v>45566</v>
      </c>
      <c r="B392" t="s">
        <v>120</v>
      </c>
      <c r="C392">
        <v>59</v>
      </c>
      <c r="D392" t="s">
        <v>253</v>
      </c>
      <c r="E392" t="s">
        <v>248</v>
      </c>
      <c r="F392" t="s">
        <v>240</v>
      </c>
      <c r="G392" t="s">
        <v>82</v>
      </c>
      <c r="J392" t="s">
        <v>189</v>
      </c>
      <c r="K392" t="s">
        <v>255</v>
      </c>
      <c r="L392">
        <v>5910000</v>
      </c>
      <c r="M392" t="s">
        <v>242</v>
      </c>
      <c r="N392" t="s">
        <v>385</v>
      </c>
      <c r="O392">
        <v>1</v>
      </c>
      <c r="P392" t="s">
        <v>257</v>
      </c>
    </row>
    <row r="393" spans="1:16" hidden="1" x14ac:dyDescent="0.25">
      <c r="A393" s="16">
        <v>45566</v>
      </c>
      <c r="B393" t="s">
        <v>120</v>
      </c>
      <c r="C393">
        <v>59</v>
      </c>
      <c r="D393" t="s">
        <v>253</v>
      </c>
      <c r="E393" t="s">
        <v>248</v>
      </c>
      <c r="F393" t="s">
        <v>240</v>
      </c>
      <c r="G393" t="s">
        <v>82</v>
      </c>
      <c r="J393" t="s">
        <v>190</v>
      </c>
      <c r="K393" t="s">
        <v>255</v>
      </c>
      <c r="L393">
        <v>6010000</v>
      </c>
      <c r="M393" t="s">
        <v>242</v>
      </c>
      <c r="N393" t="s">
        <v>636</v>
      </c>
      <c r="O393">
        <v>1</v>
      </c>
      <c r="P393" t="s">
        <v>261</v>
      </c>
    </row>
    <row r="394" spans="1:16" hidden="1" x14ac:dyDescent="0.25">
      <c r="A394" s="16">
        <v>45566</v>
      </c>
      <c r="B394" t="s">
        <v>120</v>
      </c>
      <c r="C394">
        <v>60</v>
      </c>
      <c r="D394" t="s">
        <v>291</v>
      </c>
      <c r="E394" t="s">
        <v>292</v>
      </c>
      <c r="F394" t="s">
        <v>240</v>
      </c>
      <c r="G394" t="s">
        <v>82</v>
      </c>
      <c r="H394" t="s">
        <v>125</v>
      </c>
      <c r="J394" t="s">
        <v>190</v>
      </c>
      <c r="K394" t="s">
        <v>250</v>
      </c>
      <c r="L394">
        <v>32000</v>
      </c>
      <c r="M394" t="s">
        <v>242</v>
      </c>
      <c r="N394" t="s">
        <v>637</v>
      </c>
    </row>
    <row r="395" spans="1:16" hidden="1" x14ac:dyDescent="0.25">
      <c r="A395" s="16">
        <v>45566</v>
      </c>
      <c r="B395" t="s">
        <v>120</v>
      </c>
      <c r="C395">
        <v>60</v>
      </c>
      <c r="D395" t="s">
        <v>291</v>
      </c>
      <c r="E395" t="s">
        <v>292</v>
      </c>
      <c r="F395" t="s">
        <v>240</v>
      </c>
      <c r="G395" t="s">
        <v>82</v>
      </c>
      <c r="H395" t="s">
        <v>126</v>
      </c>
      <c r="J395" t="s">
        <v>190</v>
      </c>
      <c r="K395" t="s">
        <v>250</v>
      </c>
      <c r="L395">
        <v>135000</v>
      </c>
      <c r="M395" t="s">
        <v>242</v>
      </c>
      <c r="N395" t="s">
        <v>638</v>
      </c>
    </row>
    <row r="396" spans="1:16" hidden="1" x14ac:dyDescent="0.25">
      <c r="A396" s="16">
        <v>45566</v>
      </c>
      <c r="B396" t="s">
        <v>120</v>
      </c>
      <c r="C396">
        <v>60</v>
      </c>
      <c r="D396" t="s">
        <v>291</v>
      </c>
      <c r="E396" t="s">
        <v>292</v>
      </c>
      <c r="F396" t="s">
        <v>240</v>
      </c>
      <c r="G396" t="s">
        <v>82</v>
      </c>
      <c r="H396" t="s">
        <v>127</v>
      </c>
      <c r="J396" t="s">
        <v>190</v>
      </c>
      <c r="K396" t="s">
        <v>250</v>
      </c>
      <c r="L396">
        <v>313000</v>
      </c>
      <c r="M396" t="s">
        <v>242</v>
      </c>
      <c r="N396" t="s">
        <v>639</v>
      </c>
    </row>
    <row r="397" spans="1:16" hidden="1" x14ac:dyDescent="0.25">
      <c r="A397" s="16">
        <v>45566</v>
      </c>
      <c r="B397" t="s">
        <v>120</v>
      </c>
      <c r="C397">
        <v>60</v>
      </c>
      <c r="D397" t="s">
        <v>291</v>
      </c>
      <c r="E397" t="s">
        <v>292</v>
      </c>
      <c r="F397" t="s">
        <v>240</v>
      </c>
      <c r="G397" t="s">
        <v>82</v>
      </c>
      <c r="H397" t="s">
        <v>128</v>
      </c>
      <c r="J397" t="s">
        <v>190</v>
      </c>
      <c r="K397" t="s">
        <v>250</v>
      </c>
      <c r="L397">
        <v>27000</v>
      </c>
      <c r="M397" t="s">
        <v>242</v>
      </c>
      <c r="N397" t="s">
        <v>640</v>
      </c>
    </row>
    <row r="398" spans="1:16" hidden="1" x14ac:dyDescent="0.25">
      <c r="A398" s="16">
        <v>45566</v>
      </c>
      <c r="B398" t="s">
        <v>120</v>
      </c>
      <c r="C398">
        <v>60</v>
      </c>
      <c r="D398" t="s">
        <v>291</v>
      </c>
      <c r="E398" t="s">
        <v>292</v>
      </c>
      <c r="F398" t="s">
        <v>240</v>
      </c>
      <c r="G398" t="s">
        <v>82</v>
      </c>
      <c r="H398" t="s">
        <v>129</v>
      </c>
      <c r="J398" t="s">
        <v>190</v>
      </c>
      <c r="K398" t="s">
        <v>250</v>
      </c>
      <c r="L398">
        <v>1195000</v>
      </c>
      <c r="M398" t="s">
        <v>242</v>
      </c>
      <c r="N398" t="s">
        <v>641</v>
      </c>
    </row>
    <row r="399" spans="1:16" hidden="1" x14ac:dyDescent="0.25">
      <c r="A399" s="16">
        <v>45566</v>
      </c>
      <c r="B399" t="s">
        <v>120</v>
      </c>
      <c r="C399">
        <v>60</v>
      </c>
      <c r="D399" t="s">
        <v>291</v>
      </c>
      <c r="E399" t="s">
        <v>292</v>
      </c>
      <c r="F399" t="s">
        <v>240</v>
      </c>
      <c r="G399" t="s">
        <v>82</v>
      </c>
      <c r="H399" t="s">
        <v>130</v>
      </c>
      <c r="J399" t="s">
        <v>190</v>
      </c>
      <c r="K399" t="s">
        <v>250</v>
      </c>
      <c r="L399">
        <v>1927000</v>
      </c>
      <c r="M399" t="s">
        <v>242</v>
      </c>
      <c r="N399" t="s">
        <v>642</v>
      </c>
    </row>
    <row r="400" spans="1:16" hidden="1" x14ac:dyDescent="0.25">
      <c r="A400" s="16">
        <v>45566</v>
      </c>
      <c r="B400" t="s">
        <v>120</v>
      </c>
      <c r="C400">
        <v>60</v>
      </c>
      <c r="D400" t="s">
        <v>291</v>
      </c>
      <c r="E400" t="s">
        <v>292</v>
      </c>
      <c r="F400" t="s">
        <v>240</v>
      </c>
      <c r="G400" t="s">
        <v>82</v>
      </c>
      <c r="H400" t="s">
        <v>131</v>
      </c>
      <c r="J400" t="s">
        <v>190</v>
      </c>
      <c r="K400" t="s">
        <v>250</v>
      </c>
      <c r="L400">
        <v>33000</v>
      </c>
      <c r="M400" t="s">
        <v>242</v>
      </c>
      <c r="N400" t="s">
        <v>643</v>
      </c>
    </row>
    <row r="401" spans="1:16" hidden="1" x14ac:dyDescent="0.25">
      <c r="A401" s="16">
        <v>45566</v>
      </c>
      <c r="B401" t="s">
        <v>120</v>
      </c>
      <c r="C401">
        <v>60</v>
      </c>
      <c r="D401" t="s">
        <v>291</v>
      </c>
      <c r="E401" t="s">
        <v>292</v>
      </c>
      <c r="F401" t="s">
        <v>240</v>
      </c>
      <c r="G401" t="s">
        <v>82</v>
      </c>
      <c r="H401" t="s">
        <v>132</v>
      </c>
      <c r="J401" t="s">
        <v>190</v>
      </c>
      <c r="K401" t="s">
        <v>250</v>
      </c>
      <c r="L401">
        <v>43000</v>
      </c>
      <c r="M401" t="s">
        <v>242</v>
      </c>
      <c r="N401" t="s">
        <v>644</v>
      </c>
    </row>
    <row r="402" spans="1:16" hidden="1" x14ac:dyDescent="0.25">
      <c r="A402" s="16">
        <v>45566</v>
      </c>
      <c r="B402" t="s">
        <v>120</v>
      </c>
      <c r="C402">
        <v>60</v>
      </c>
      <c r="D402" t="s">
        <v>291</v>
      </c>
      <c r="E402" t="s">
        <v>292</v>
      </c>
      <c r="F402" t="s">
        <v>240</v>
      </c>
      <c r="G402" t="s">
        <v>82</v>
      </c>
      <c r="H402" t="s">
        <v>133</v>
      </c>
      <c r="J402" t="s">
        <v>190</v>
      </c>
      <c r="K402" t="s">
        <v>250</v>
      </c>
      <c r="L402">
        <v>541000</v>
      </c>
      <c r="M402" t="s">
        <v>242</v>
      </c>
      <c r="N402" t="s">
        <v>645</v>
      </c>
    </row>
    <row r="403" spans="1:16" hidden="1" x14ac:dyDescent="0.25">
      <c r="A403" s="16">
        <v>45566</v>
      </c>
      <c r="B403" t="s">
        <v>120</v>
      </c>
      <c r="C403">
        <v>60</v>
      </c>
      <c r="D403" t="s">
        <v>291</v>
      </c>
      <c r="E403" t="s">
        <v>292</v>
      </c>
      <c r="F403" t="s">
        <v>240</v>
      </c>
      <c r="G403" t="s">
        <v>82</v>
      </c>
      <c r="H403" t="s">
        <v>134</v>
      </c>
      <c r="J403" t="s">
        <v>190</v>
      </c>
      <c r="K403" t="s">
        <v>250</v>
      </c>
      <c r="L403">
        <v>1682000</v>
      </c>
      <c r="M403" t="s">
        <v>242</v>
      </c>
      <c r="N403" t="s">
        <v>646</v>
      </c>
    </row>
    <row r="404" spans="1:16" hidden="1" x14ac:dyDescent="0.25">
      <c r="A404" s="16">
        <v>45566</v>
      </c>
      <c r="B404" t="s">
        <v>120</v>
      </c>
      <c r="C404">
        <v>61</v>
      </c>
      <c r="D404" t="s">
        <v>291</v>
      </c>
      <c r="E404" t="s">
        <v>292</v>
      </c>
      <c r="F404" t="s">
        <v>240</v>
      </c>
      <c r="G404" t="s">
        <v>82</v>
      </c>
      <c r="H404" t="s">
        <v>137</v>
      </c>
      <c r="J404" t="s">
        <v>190</v>
      </c>
      <c r="K404" t="s">
        <v>250</v>
      </c>
      <c r="L404">
        <v>1270000</v>
      </c>
      <c r="M404" t="s">
        <v>242</v>
      </c>
      <c r="N404" t="s">
        <v>647</v>
      </c>
    </row>
    <row r="405" spans="1:16" hidden="1" x14ac:dyDescent="0.25">
      <c r="A405" s="16">
        <v>45566</v>
      </c>
      <c r="B405" t="s">
        <v>120</v>
      </c>
      <c r="C405">
        <v>61</v>
      </c>
      <c r="D405" t="s">
        <v>291</v>
      </c>
      <c r="E405" t="s">
        <v>292</v>
      </c>
      <c r="F405" t="s">
        <v>240</v>
      </c>
      <c r="G405" t="s">
        <v>82</v>
      </c>
      <c r="H405" t="s">
        <v>138</v>
      </c>
      <c r="J405" t="s">
        <v>190</v>
      </c>
      <c r="K405" t="s">
        <v>250</v>
      </c>
      <c r="L405">
        <v>4740000</v>
      </c>
      <c r="M405" t="s">
        <v>242</v>
      </c>
      <c r="N405" t="s">
        <v>648</v>
      </c>
    </row>
    <row r="406" spans="1:16" hidden="1" x14ac:dyDescent="0.25">
      <c r="A406" s="16">
        <v>45566</v>
      </c>
      <c r="B406" t="s">
        <v>120</v>
      </c>
      <c r="C406">
        <v>62</v>
      </c>
      <c r="D406" t="s">
        <v>247</v>
      </c>
      <c r="E406" t="s">
        <v>248</v>
      </c>
      <c r="F406" t="s">
        <v>244</v>
      </c>
      <c r="G406" t="s">
        <v>82</v>
      </c>
      <c r="H406" t="s">
        <v>249</v>
      </c>
      <c r="J406" t="s">
        <v>190</v>
      </c>
      <c r="K406" t="s">
        <v>250</v>
      </c>
      <c r="L406">
        <v>8.1999999999999993</v>
      </c>
      <c r="M406" t="s">
        <v>251</v>
      </c>
      <c r="N406" t="s">
        <v>649</v>
      </c>
    </row>
    <row r="407" spans="1:16" hidden="1" x14ac:dyDescent="0.25">
      <c r="A407" s="16">
        <v>45566</v>
      </c>
      <c r="B407" t="s">
        <v>120</v>
      </c>
      <c r="C407">
        <v>62</v>
      </c>
      <c r="D407" t="s">
        <v>253</v>
      </c>
      <c r="E407" t="s">
        <v>248</v>
      </c>
      <c r="F407" t="s">
        <v>244</v>
      </c>
      <c r="G407" t="s">
        <v>82</v>
      </c>
      <c r="J407" t="s">
        <v>258</v>
      </c>
      <c r="K407" t="s">
        <v>255</v>
      </c>
      <c r="L407">
        <v>1070000000</v>
      </c>
      <c r="M407" t="s">
        <v>245</v>
      </c>
      <c r="N407" t="s">
        <v>401</v>
      </c>
      <c r="O407">
        <v>1</v>
      </c>
      <c r="P407" t="s">
        <v>257</v>
      </c>
    </row>
    <row r="408" spans="1:16" hidden="1" x14ac:dyDescent="0.25">
      <c r="A408" s="16">
        <v>45566</v>
      </c>
      <c r="B408" t="s">
        <v>120</v>
      </c>
      <c r="C408">
        <v>62</v>
      </c>
      <c r="D408" t="s">
        <v>253</v>
      </c>
      <c r="E408" t="s">
        <v>248</v>
      </c>
      <c r="F408" t="s">
        <v>244</v>
      </c>
      <c r="G408" t="s">
        <v>82</v>
      </c>
      <c r="J408" t="s">
        <v>189</v>
      </c>
      <c r="K408" t="s">
        <v>255</v>
      </c>
      <c r="L408">
        <v>1210000000</v>
      </c>
      <c r="M408" t="s">
        <v>245</v>
      </c>
      <c r="N408" t="s">
        <v>402</v>
      </c>
      <c r="O408">
        <v>1</v>
      </c>
      <c r="P408" t="s">
        <v>257</v>
      </c>
    </row>
    <row r="409" spans="1:16" hidden="1" x14ac:dyDescent="0.25">
      <c r="A409" s="16">
        <v>45566</v>
      </c>
      <c r="B409" t="s">
        <v>120</v>
      </c>
      <c r="C409">
        <v>62</v>
      </c>
      <c r="D409" t="s">
        <v>253</v>
      </c>
      <c r="E409" t="s">
        <v>248</v>
      </c>
      <c r="F409" t="s">
        <v>244</v>
      </c>
      <c r="G409" t="s">
        <v>82</v>
      </c>
      <c r="J409" t="s">
        <v>190</v>
      </c>
      <c r="K409" t="s">
        <v>255</v>
      </c>
      <c r="L409">
        <v>1110000000</v>
      </c>
      <c r="M409" t="s">
        <v>245</v>
      </c>
      <c r="N409" t="s">
        <v>650</v>
      </c>
      <c r="O409">
        <v>1</v>
      </c>
      <c r="P409" t="s">
        <v>261</v>
      </c>
    </row>
    <row r="410" spans="1:16" hidden="1" x14ac:dyDescent="0.25">
      <c r="A410" s="16">
        <v>45566</v>
      </c>
      <c r="B410" t="s">
        <v>120</v>
      </c>
      <c r="C410">
        <v>63</v>
      </c>
      <c r="D410" t="s">
        <v>291</v>
      </c>
      <c r="E410" t="s">
        <v>292</v>
      </c>
      <c r="F410" t="s">
        <v>244</v>
      </c>
      <c r="G410" t="s">
        <v>82</v>
      </c>
      <c r="H410" t="s">
        <v>140</v>
      </c>
      <c r="J410" t="s">
        <v>190</v>
      </c>
      <c r="K410" t="s">
        <v>250</v>
      </c>
      <c r="L410">
        <v>13000000</v>
      </c>
      <c r="M410" t="s">
        <v>245</v>
      </c>
      <c r="N410" t="s">
        <v>403</v>
      </c>
    </row>
    <row r="411" spans="1:16" hidden="1" x14ac:dyDescent="0.25">
      <c r="A411" s="16">
        <v>45566</v>
      </c>
      <c r="B411" t="s">
        <v>120</v>
      </c>
      <c r="C411">
        <v>63</v>
      </c>
      <c r="D411" t="s">
        <v>291</v>
      </c>
      <c r="E411" t="s">
        <v>292</v>
      </c>
      <c r="F411" t="s">
        <v>244</v>
      </c>
      <c r="G411" t="s">
        <v>82</v>
      </c>
      <c r="H411" t="s">
        <v>126</v>
      </c>
      <c r="J411" t="s">
        <v>190</v>
      </c>
      <c r="K411" t="s">
        <v>250</v>
      </c>
      <c r="L411">
        <v>53000000</v>
      </c>
      <c r="M411" t="s">
        <v>245</v>
      </c>
      <c r="N411" t="s">
        <v>651</v>
      </c>
    </row>
    <row r="412" spans="1:16" hidden="1" x14ac:dyDescent="0.25">
      <c r="A412" s="16">
        <v>45566</v>
      </c>
      <c r="B412" t="s">
        <v>120</v>
      </c>
      <c r="C412">
        <v>63</v>
      </c>
      <c r="D412" t="s">
        <v>291</v>
      </c>
      <c r="E412" t="s">
        <v>292</v>
      </c>
      <c r="F412" t="s">
        <v>244</v>
      </c>
      <c r="G412" t="s">
        <v>82</v>
      </c>
      <c r="H412" t="s">
        <v>127</v>
      </c>
      <c r="J412" t="s">
        <v>190</v>
      </c>
      <c r="K412" t="s">
        <v>250</v>
      </c>
      <c r="L412">
        <v>45000000</v>
      </c>
      <c r="M412" t="s">
        <v>245</v>
      </c>
      <c r="N412" t="s">
        <v>652</v>
      </c>
    </row>
    <row r="413" spans="1:16" hidden="1" x14ac:dyDescent="0.25">
      <c r="A413" s="16">
        <v>45566</v>
      </c>
      <c r="B413" t="s">
        <v>120</v>
      </c>
      <c r="C413">
        <v>63</v>
      </c>
      <c r="D413" t="s">
        <v>291</v>
      </c>
      <c r="E413" t="s">
        <v>292</v>
      </c>
      <c r="F413" t="s">
        <v>244</v>
      </c>
      <c r="G413" t="s">
        <v>82</v>
      </c>
      <c r="H413" t="s">
        <v>128</v>
      </c>
      <c r="J413" t="s">
        <v>190</v>
      </c>
      <c r="K413" t="s">
        <v>250</v>
      </c>
      <c r="L413">
        <v>14000000</v>
      </c>
      <c r="M413" t="s">
        <v>245</v>
      </c>
      <c r="N413" t="s">
        <v>406</v>
      </c>
    </row>
    <row r="414" spans="1:16" hidden="1" x14ac:dyDescent="0.25">
      <c r="A414" s="16">
        <v>45566</v>
      </c>
      <c r="B414" t="s">
        <v>120</v>
      </c>
      <c r="C414">
        <v>63</v>
      </c>
      <c r="D414" t="s">
        <v>291</v>
      </c>
      <c r="E414" t="s">
        <v>292</v>
      </c>
      <c r="F414" t="s">
        <v>244</v>
      </c>
      <c r="G414" t="s">
        <v>82</v>
      </c>
      <c r="H414" t="s">
        <v>129</v>
      </c>
      <c r="J414" t="s">
        <v>190</v>
      </c>
      <c r="K414" t="s">
        <v>250</v>
      </c>
      <c r="L414">
        <v>628000000</v>
      </c>
      <c r="M414" t="s">
        <v>245</v>
      </c>
      <c r="N414" t="s">
        <v>653</v>
      </c>
    </row>
    <row r="415" spans="1:16" hidden="1" x14ac:dyDescent="0.25">
      <c r="A415" s="16">
        <v>45566</v>
      </c>
      <c r="B415" t="s">
        <v>120</v>
      </c>
      <c r="C415">
        <v>63</v>
      </c>
      <c r="D415" t="s">
        <v>291</v>
      </c>
      <c r="E415" t="s">
        <v>292</v>
      </c>
      <c r="F415" t="s">
        <v>244</v>
      </c>
      <c r="G415" t="s">
        <v>82</v>
      </c>
      <c r="H415" t="s">
        <v>130</v>
      </c>
      <c r="J415" t="s">
        <v>190</v>
      </c>
      <c r="K415" t="s">
        <v>250</v>
      </c>
      <c r="L415">
        <v>31000000</v>
      </c>
      <c r="M415" t="s">
        <v>245</v>
      </c>
      <c r="N415" t="s">
        <v>408</v>
      </c>
    </row>
    <row r="416" spans="1:16" hidden="1" x14ac:dyDescent="0.25">
      <c r="A416" s="16">
        <v>45566</v>
      </c>
      <c r="B416" t="s">
        <v>120</v>
      </c>
      <c r="C416">
        <v>63</v>
      </c>
      <c r="D416" t="s">
        <v>291</v>
      </c>
      <c r="E416" t="s">
        <v>292</v>
      </c>
      <c r="F416" t="s">
        <v>244</v>
      </c>
      <c r="G416" t="s">
        <v>82</v>
      </c>
      <c r="H416" t="s">
        <v>131</v>
      </c>
      <c r="J416" t="s">
        <v>190</v>
      </c>
      <c r="K416" t="s">
        <v>250</v>
      </c>
      <c r="L416">
        <v>13000000</v>
      </c>
      <c r="M416" t="s">
        <v>245</v>
      </c>
      <c r="N416" t="s">
        <v>403</v>
      </c>
    </row>
    <row r="417" spans="1:16" hidden="1" x14ac:dyDescent="0.25">
      <c r="A417" s="16">
        <v>45566</v>
      </c>
      <c r="B417" t="s">
        <v>120</v>
      </c>
      <c r="C417">
        <v>63</v>
      </c>
      <c r="D417" t="s">
        <v>291</v>
      </c>
      <c r="E417" t="s">
        <v>292</v>
      </c>
      <c r="F417" t="s">
        <v>244</v>
      </c>
      <c r="G417" t="s">
        <v>82</v>
      </c>
      <c r="H417" t="s">
        <v>132</v>
      </c>
      <c r="J417" t="s">
        <v>190</v>
      </c>
      <c r="K417" t="s">
        <v>250</v>
      </c>
      <c r="L417">
        <v>5000000</v>
      </c>
      <c r="M417" t="s">
        <v>245</v>
      </c>
      <c r="N417" t="s">
        <v>654</v>
      </c>
    </row>
    <row r="418" spans="1:16" hidden="1" x14ac:dyDescent="0.25">
      <c r="A418" s="16">
        <v>45566</v>
      </c>
      <c r="B418" t="s">
        <v>120</v>
      </c>
      <c r="C418">
        <v>63</v>
      </c>
      <c r="D418" t="s">
        <v>291</v>
      </c>
      <c r="E418" t="s">
        <v>292</v>
      </c>
      <c r="F418" t="s">
        <v>244</v>
      </c>
      <c r="G418" t="s">
        <v>82</v>
      </c>
      <c r="H418" t="s">
        <v>133</v>
      </c>
      <c r="J418" t="s">
        <v>190</v>
      </c>
      <c r="K418" t="s">
        <v>250</v>
      </c>
      <c r="L418">
        <v>228000000</v>
      </c>
      <c r="M418" t="s">
        <v>245</v>
      </c>
      <c r="N418" t="s">
        <v>655</v>
      </c>
    </row>
    <row r="419" spans="1:16" hidden="1" x14ac:dyDescent="0.25">
      <c r="A419" s="16">
        <v>45566</v>
      </c>
      <c r="B419" t="s">
        <v>120</v>
      </c>
      <c r="C419">
        <v>63</v>
      </c>
      <c r="D419" t="s">
        <v>291</v>
      </c>
      <c r="E419" t="s">
        <v>292</v>
      </c>
      <c r="F419" t="s">
        <v>244</v>
      </c>
      <c r="G419" t="s">
        <v>82</v>
      </c>
      <c r="H419" t="s">
        <v>134</v>
      </c>
      <c r="J419" t="s">
        <v>190</v>
      </c>
      <c r="K419" t="s">
        <v>250</v>
      </c>
      <c r="L419">
        <v>71000000</v>
      </c>
      <c r="M419" t="s">
        <v>245</v>
      </c>
      <c r="N419" t="s">
        <v>656</v>
      </c>
    </row>
    <row r="420" spans="1:16" hidden="1" x14ac:dyDescent="0.25">
      <c r="A420" s="16">
        <v>45566</v>
      </c>
      <c r="B420" t="s">
        <v>120</v>
      </c>
      <c r="C420">
        <v>64</v>
      </c>
      <c r="D420" t="s">
        <v>291</v>
      </c>
      <c r="E420" t="s">
        <v>292</v>
      </c>
      <c r="F420" t="s">
        <v>244</v>
      </c>
      <c r="G420" t="s">
        <v>82</v>
      </c>
      <c r="H420" t="s">
        <v>137</v>
      </c>
      <c r="J420" t="s">
        <v>190</v>
      </c>
      <c r="K420" t="s">
        <v>250</v>
      </c>
      <c r="L420">
        <v>230600000</v>
      </c>
      <c r="M420" t="s">
        <v>245</v>
      </c>
      <c r="N420" t="s">
        <v>657</v>
      </c>
    </row>
    <row r="421" spans="1:16" hidden="1" x14ac:dyDescent="0.25">
      <c r="A421" s="16">
        <v>45566</v>
      </c>
      <c r="B421" t="s">
        <v>120</v>
      </c>
      <c r="C421">
        <v>64</v>
      </c>
      <c r="D421" t="s">
        <v>291</v>
      </c>
      <c r="E421" t="s">
        <v>292</v>
      </c>
      <c r="F421" t="s">
        <v>244</v>
      </c>
      <c r="G421" t="s">
        <v>82</v>
      </c>
      <c r="H421" t="s">
        <v>138</v>
      </c>
      <c r="J421" t="s">
        <v>190</v>
      </c>
      <c r="K421" t="s">
        <v>250</v>
      </c>
      <c r="L421">
        <v>878500000</v>
      </c>
      <c r="M421" t="s">
        <v>245</v>
      </c>
      <c r="N421" t="s">
        <v>658</v>
      </c>
    </row>
    <row r="422" spans="1:16" hidden="1" x14ac:dyDescent="0.25">
      <c r="A422" s="16">
        <v>45566</v>
      </c>
      <c r="B422" t="s">
        <v>120</v>
      </c>
      <c r="C422">
        <v>65</v>
      </c>
      <c r="D422" t="s">
        <v>253</v>
      </c>
      <c r="E422" t="s">
        <v>248</v>
      </c>
      <c r="F422" t="s">
        <v>334</v>
      </c>
      <c r="G422" t="s">
        <v>82</v>
      </c>
      <c r="J422" t="s">
        <v>258</v>
      </c>
      <c r="K422" t="s">
        <v>255</v>
      </c>
      <c r="L422">
        <v>190</v>
      </c>
      <c r="M422" t="s">
        <v>245</v>
      </c>
      <c r="N422" t="s">
        <v>416</v>
      </c>
      <c r="O422">
        <v>1</v>
      </c>
      <c r="P422" t="s">
        <v>257</v>
      </c>
    </row>
    <row r="423" spans="1:16" hidden="1" x14ac:dyDescent="0.25">
      <c r="A423" s="16">
        <v>45566</v>
      </c>
      <c r="B423" t="s">
        <v>120</v>
      </c>
      <c r="C423">
        <v>65</v>
      </c>
      <c r="D423" t="s">
        <v>253</v>
      </c>
      <c r="E423" t="s">
        <v>248</v>
      </c>
      <c r="F423" t="s">
        <v>334</v>
      </c>
      <c r="G423" t="s">
        <v>82</v>
      </c>
      <c r="J423" t="s">
        <v>189</v>
      </c>
      <c r="K423" t="s">
        <v>255</v>
      </c>
      <c r="L423">
        <v>204</v>
      </c>
      <c r="M423" t="s">
        <v>245</v>
      </c>
      <c r="N423" t="s">
        <v>417</v>
      </c>
      <c r="O423">
        <v>1</v>
      </c>
      <c r="P423" t="s">
        <v>257</v>
      </c>
    </row>
    <row r="424" spans="1:16" hidden="1" x14ac:dyDescent="0.25">
      <c r="A424" s="16">
        <v>45566</v>
      </c>
      <c r="B424" t="s">
        <v>120</v>
      </c>
      <c r="C424">
        <v>65</v>
      </c>
      <c r="D424" t="s">
        <v>253</v>
      </c>
      <c r="E424" t="s">
        <v>248</v>
      </c>
      <c r="F424" t="s">
        <v>334</v>
      </c>
      <c r="G424" t="s">
        <v>82</v>
      </c>
      <c r="J424" t="s">
        <v>190</v>
      </c>
      <c r="K424" t="s">
        <v>255</v>
      </c>
      <c r="L424">
        <v>185</v>
      </c>
      <c r="M424" t="s">
        <v>245</v>
      </c>
      <c r="N424" t="s">
        <v>659</v>
      </c>
      <c r="O424">
        <v>1</v>
      </c>
      <c r="P424" t="s">
        <v>261</v>
      </c>
    </row>
    <row r="425" spans="1:16" hidden="1" x14ac:dyDescent="0.25">
      <c r="A425" s="16">
        <v>45566</v>
      </c>
      <c r="B425" t="s">
        <v>162</v>
      </c>
      <c r="C425">
        <v>42</v>
      </c>
      <c r="D425" t="s">
        <v>238</v>
      </c>
      <c r="E425" t="s">
        <v>239</v>
      </c>
      <c r="F425" t="s">
        <v>240</v>
      </c>
      <c r="G425" t="s">
        <v>82</v>
      </c>
      <c r="J425" t="s">
        <v>190</v>
      </c>
      <c r="K425" t="s">
        <v>241</v>
      </c>
      <c r="L425">
        <v>109940000</v>
      </c>
      <c r="M425" t="s">
        <v>242</v>
      </c>
      <c r="N425" t="s">
        <v>660</v>
      </c>
    </row>
    <row r="426" spans="1:16" hidden="1" x14ac:dyDescent="0.25">
      <c r="A426" s="16">
        <v>45566</v>
      </c>
      <c r="B426" t="s">
        <v>162</v>
      </c>
      <c r="C426">
        <v>42</v>
      </c>
      <c r="D426" t="s">
        <v>238</v>
      </c>
      <c r="E426" t="s">
        <v>239</v>
      </c>
      <c r="F426" t="s">
        <v>244</v>
      </c>
      <c r="G426" t="s">
        <v>82</v>
      </c>
      <c r="J426" t="s">
        <v>190</v>
      </c>
      <c r="K426" t="s">
        <v>241</v>
      </c>
      <c r="L426">
        <v>13880000000</v>
      </c>
      <c r="M426" t="s">
        <v>245</v>
      </c>
      <c r="N426" t="s">
        <v>661</v>
      </c>
    </row>
    <row r="427" spans="1:16" hidden="1" x14ac:dyDescent="0.25">
      <c r="A427" s="16">
        <v>45566</v>
      </c>
      <c r="B427" t="s">
        <v>162</v>
      </c>
      <c r="C427">
        <v>43</v>
      </c>
      <c r="D427" t="s">
        <v>247</v>
      </c>
      <c r="E427" t="s">
        <v>248</v>
      </c>
      <c r="F427" t="s">
        <v>240</v>
      </c>
      <c r="G427" t="s">
        <v>82</v>
      </c>
      <c r="H427" t="s">
        <v>286</v>
      </c>
      <c r="J427" t="s">
        <v>190</v>
      </c>
      <c r="K427" t="s">
        <v>250</v>
      </c>
      <c r="L427">
        <v>11.8</v>
      </c>
      <c r="M427" t="s">
        <v>251</v>
      </c>
      <c r="N427" t="s">
        <v>362</v>
      </c>
    </row>
    <row r="428" spans="1:16" hidden="1" x14ac:dyDescent="0.25">
      <c r="A428" s="16">
        <v>45566</v>
      </c>
      <c r="B428" t="s">
        <v>162</v>
      </c>
      <c r="C428">
        <v>43</v>
      </c>
      <c r="D428" t="s">
        <v>253</v>
      </c>
      <c r="E428" t="s">
        <v>248</v>
      </c>
      <c r="F428" t="s">
        <v>240</v>
      </c>
      <c r="G428" t="s">
        <v>82</v>
      </c>
      <c r="J428" t="s">
        <v>258</v>
      </c>
      <c r="K428" t="s">
        <v>255</v>
      </c>
      <c r="L428">
        <v>12920000</v>
      </c>
      <c r="M428" t="s">
        <v>242</v>
      </c>
      <c r="N428" t="s">
        <v>422</v>
      </c>
      <c r="O428">
        <v>1</v>
      </c>
      <c r="P428" t="s">
        <v>257</v>
      </c>
    </row>
    <row r="429" spans="1:16" hidden="1" x14ac:dyDescent="0.25">
      <c r="A429" s="16">
        <v>45566</v>
      </c>
      <c r="B429" t="s">
        <v>162</v>
      </c>
      <c r="C429">
        <v>43</v>
      </c>
      <c r="D429" t="s">
        <v>253</v>
      </c>
      <c r="E429" t="s">
        <v>248</v>
      </c>
      <c r="F429" t="s">
        <v>240</v>
      </c>
      <c r="G429" t="s">
        <v>82</v>
      </c>
      <c r="J429" t="s">
        <v>189</v>
      </c>
      <c r="K429" t="s">
        <v>255</v>
      </c>
      <c r="L429">
        <v>12930000</v>
      </c>
      <c r="M429" t="s">
        <v>242</v>
      </c>
      <c r="N429" t="s">
        <v>423</v>
      </c>
      <c r="O429">
        <v>1</v>
      </c>
      <c r="P429" t="s">
        <v>257</v>
      </c>
    </row>
    <row r="430" spans="1:16" hidden="1" x14ac:dyDescent="0.25">
      <c r="A430" s="16">
        <v>45566</v>
      </c>
      <c r="B430" t="s">
        <v>162</v>
      </c>
      <c r="C430">
        <v>43</v>
      </c>
      <c r="D430" t="s">
        <v>253</v>
      </c>
      <c r="E430" t="s">
        <v>248</v>
      </c>
      <c r="F430" t="s">
        <v>240</v>
      </c>
      <c r="G430" t="s">
        <v>82</v>
      </c>
      <c r="J430" t="s">
        <v>190</v>
      </c>
      <c r="K430" t="s">
        <v>255</v>
      </c>
      <c r="L430">
        <v>14450000</v>
      </c>
      <c r="M430" t="s">
        <v>242</v>
      </c>
      <c r="N430" t="s">
        <v>662</v>
      </c>
      <c r="O430">
        <v>1</v>
      </c>
      <c r="P430" t="s">
        <v>261</v>
      </c>
    </row>
    <row r="431" spans="1:16" hidden="1" x14ac:dyDescent="0.25">
      <c r="A431" s="16">
        <v>45566</v>
      </c>
      <c r="B431" t="s">
        <v>162</v>
      </c>
      <c r="C431">
        <v>44</v>
      </c>
      <c r="D431" t="s">
        <v>291</v>
      </c>
      <c r="E431" t="s">
        <v>292</v>
      </c>
      <c r="F431" t="s">
        <v>240</v>
      </c>
      <c r="G431" t="s">
        <v>82</v>
      </c>
      <c r="H431" t="s">
        <v>164</v>
      </c>
      <c r="J431" t="s">
        <v>190</v>
      </c>
      <c r="K431" t="s">
        <v>250</v>
      </c>
      <c r="L431">
        <v>6430000</v>
      </c>
      <c r="M431" t="s">
        <v>242</v>
      </c>
      <c r="N431" t="s">
        <v>663</v>
      </c>
    </row>
    <row r="432" spans="1:16" hidden="1" x14ac:dyDescent="0.25">
      <c r="A432" s="16">
        <v>45566</v>
      </c>
      <c r="B432" t="s">
        <v>162</v>
      </c>
      <c r="C432">
        <v>44</v>
      </c>
      <c r="D432" t="s">
        <v>291</v>
      </c>
      <c r="E432" t="s">
        <v>292</v>
      </c>
      <c r="F432" t="s">
        <v>240</v>
      </c>
      <c r="G432" t="s">
        <v>82</v>
      </c>
      <c r="H432" t="s">
        <v>165</v>
      </c>
      <c r="J432" t="s">
        <v>190</v>
      </c>
      <c r="K432" t="s">
        <v>250</v>
      </c>
      <c r="L432">
        <v>2430000</v>
      </c>
      <c r="M432" t="s">
        <v>242</v>
      </c>
      <c r="N432" t="s">
        <v>664</v>
      </c>
    </row>
    <row r="433" spans="1:16" hidden="1" x14ac:dyDescent="0.25">
      <c r="A433" s="16">
        <v>45566</v>
      </c>
      <c r="B433" t="s">
        <v>162</v>
      </c>
      <c r="C433">
        <v>44</v>
      </c>
      <c r="D433" t="s">
        <v>291</v>
      </c>
      <c r="E433" t="s">
        <v>292</v>
      </c>
      <c r="F433" t="s">
        <v>240</v>
      </c>
      <c r="G433" t="s">
        <v>82</v>
      </c>
      <c r="H433" t="s">
        <v>166</v>
      </c>
      <c r="J433" t="s">
        <v>190</v>
      </c>
      <c r="K433" t="s">
        <v>250</v>
      </c>
      <c r="L433">
        <v>1700000</v>
      </c>
      <c r="M433" t="s">
        <v>242</v>
      </c>
      <c r="N433" t="s">
        <v>665</v>
      </c>
    </row>
    <row r="434" spans="1:16" hidden="1" x14ac:dyDescent="0.25">
      <c r="A434" s="16">
        <v>45566</v>
      </c>
      <c r="B434" t="s">
        <v>162</v>
      </c>
      <c r="C434">
        <v>44</v>
      </c>
      <c r="D434" t="s">
        <v>291</v>
      </c>
      <c r="E434" t="s">
        <v>292</v>
      </c>
      <c r="F434" t="s">
        <v>240</v>
      </c>
      <c r="G434" t="s">
        <v>82</v>
      </c>
      <c r="H434" t="s">
        <v>167</v>
      </c>
      <c r="J434" t="s">
        <v>190</v>
      </c>
      <c r="K434" t="s">
        <v>250</v>
      </c>
      <c r="L434">
        <v>3790000</v>
      </c>
      <c r="M434" t="s">
        <v>242</v>
      </c>
      <c r="N434" t="s">
        <v>666</v>
      </c>
    </row>
    <row r="435" spans="1:16" hidden="1" x14ac:dyDescent="0.25">
      <c r="A435" s="16">
        <v>45566</v>
      </c>
      <c r="B435" t="s">
        <v>162</v>
      </c>
      <c r="C435">
        <v>45</v>
      </c>
      <c r="D435" t="s">
        <v>247</v>
      </c>
      <c r="E435" t="s">
        <v>248</v>
      </c>
      <c r="F435" t="s">
        <v>428</v>
      </c>
      <c r="G435" t="s">
        <v>82</v>
      </c>
      <c r="H435" t="s">
        <v>286</v>
      </c>
      <c r="J435" t="s">
        <v>190</v>
      </c>
      <c r="K435" t="s">
        <v>250</v>
      </c>
      <c r="L435">
        <v>11.6</v>
      </c>
      <c r="M435" t="s">
        <v>251</v>
      </c>
      <c r="N435" t="s">
        <v>318</v>
      </c>
    </row>
    <row r="436" spans="1:16" hidden="1" x14ac:dyDescent="0.25">
      <c r="A436" s="16">
        <v>45566</v>
      </c>
      <c r="B436" t="s">
        <v>162</v>
      </c>
      <c r="C436">
        <v>45</v>
      </c>
      <c r="D436" t="s">
        <v>253</v>
      </c>
      <c r="E436" t="s">
        <v>248</v>
      </c>
      <c r="F436" t="s">
        <v>428</v>
      </c>
      <c r="G436" t="s">
        <v>82</v>
      </c>
      <c r="J436" t="s">
        <v>258</v>
      </c>
      <c r="K436" t="s">
        <v>255</v>
      </c>
      <c r="L436">
        <v>11350000</v>
      </c>
      <c r="M436" t="s">
        <v>242</v>
      </c>
      <c r="N436" t="s">
        <v>431</v>
      </c>
      <c r="O436">
        <v>1</v>
      </c>
      <c r="P436" t="s">
        <v>257</v>
      </c>
    </row>
    <row r="437" spans="1:16" hidden="1" x14ac:dyDescent="0.25">
      <c r="A437" s="16">
        <v>45566</v>
      </c>
      <c r="B437" t="s">
        <v>162</v>
      </c>
      <c r="C437">
        <v>45</v>
      </c>
      <c r="D437" t="s">
        <v>253</v>
      </c>
      <c r="E437" t="s">
        <v>248</v>
      </c>
      <c r="F437" t="s">
        <v>428</v>
      </c>
      <c r="G437" t="s">
        <v>82</v>
      </c>
      <c r="J437" t="s">
        <v>189</v>
      </c>
      <c r="K437" t="s">
        <v>255</v>
      </c>
      <c r="L437">
        <v>11380000</v>
      </c>
      <c r="M437" t="s">
        <v>242</v>
      </c>
      <c r="N437" t="s">
        <v>432</v>
      </c>
      <c r="O437">
        <v>1</v>
      </c>
      <c r="P437" t="s">
        <v>257</v>
      </c>
    </row>
    <row r="438" spans="1:16" hidden="1" x14ac:dyDescent="0.25">
      <c r="A438" s="16">
        <v>45566</v>
      </c>
      <c r="B438" t="s">
        <v>162</v>
      </c>
      <c r="C438">
        <v>45</v>
      </c>
      <c r="D438" t="s">
        <v>253</v>
      </c>
      <c r="E438" t="s">
        <v>248</v>
      </c>
      <c r="F438" t="s">
        <v>428</v>
      </c>
      <c r="G438" t="s">
        <v>82</v>
      </c>
      <c r="J438" t="s">
        <v>190</v>
      </c>
      <c r="K438" t="s">
        <v>255</v>
      </c>
      <c r="L438">
        <v>12700000</v>
      </c>
      <c r="M438" t="s">
        <v>242</v>
      </c>
      <c r="N438" t="s">
        <v>667</v>
      </c>
      <c r="O438">
        <v>1</v>
      </c>
      <c r="P438" t="s">
        <v>261</v>
      </c>
    </row>
    <row r="439" spans="1:16" hidden="1" x14ac:dyDescent="0.25">
      <c r="A439" s="16">
        <v>45566</v>
      </c>
      <c r="B439" t="s">
        <v>162</v>
      </c>
      <c r="C439">
        <v>46</v>
      </c>
      <c r="D439" t="s">
        <v>291</v>
      </c>
      <c r="E439" t="s">
        <v>292</v>
      </c>
      <c r="F439" t="s">
        <v>428</v>
      </c>
      <c r="G439" t="s">
        <v>82</v>
      </c>
      <c r="H439" t="s">
        <v>94</v>
      </c>
      <c r="J439" t="s">
        <v>190</v>
      </c>
      <c r="K439" t="s">
        <v>250</v>
      </c>
      <c r="L439">
        <v>9550000</v>
      </c>
      <c r="M439" t="s">
        <v>242</v>
      </c>
      <c r="N439" t="s">
        <v>668</v>
      </c>
    </row>
    <row r="440" spans="1:16" hidden="1" x14ac:dyDescent="0.25">
      <c r="A440" s="16">
        <v>45566</v>
      </c>
      <c r="B440" t="s">
        <v>162</v>
      </c>
      <c r="C440">
        <v>46</v>
      </c>
      <c r="D440" t="s">
        <v>291</v>
      </c>
      <c r="E440" t="s">
        <v>292</v>
      </c>
      <c r="F440" t="s">
        <v>428</v>
      </c>
      <c r="G440" t="s">
        <v>82</v>
      </c>
      <c r="H440" t="s">
        <v>95</v>
      </c>
      <c r="J440" t="s">
        <v>190</v>
      </c>
      <c r="K440" t="s">
        <v>250</v>
      </c>
      <c r="L440">
        <v>3150000</v>
      </c>
      <c r="M440" t="s">
        <v>242</v>
      </c>
      <c r="N440" t="s">
        <v>669</v>
      </c>
    </row>
    <row r="441" spans="1:16" hidden="1" x14ac:dyDescent="0.25">
      <c r="A441" s="16">
        <v>45566</v>
      </c>
      <c r="B441" t="s">
        <v>162</v>
      </c>
      <c r="C441">
        <v>47</v>
      </c>
      <c r="D441" t="s">
        <v>291</v>
      </c>
      <c r="E441" t="s">
        <v>292</v>
      </c>
      <c r="F441" t="s">
        <v>428</v>
      </c>
      <c r="G441" t="s">
        <v>82</v>
      </c>
      <c r="H441" t="s">
        <v>173</v>
      </c>
      <c r="J441" t="s">
        <v>190</v>
      </c>
      <c r="K441" t="s">
        <v>250</v>
      </c>
      <c r="L441">
        <v>2010000</v>
      </c>
      <c r="M441" t="s">
        <v>242</v>
      </c>
      <c r="N441" t="s">
        <v>670</v>
      </c>
    </row>
    <row r="442" spans="1:16" hidden="1" x14ac:dyDescent="0.25">
      <c r="A442" s="16">
        <v>45566</v>
      </c>
      <c r="B442" t="s">
        <v>162</v>
      </c>
      <c r="C442">
        <v>47</v>
      </c>
      <c r="D442" t="s">
        <v>291</v>
      </c>
      <c r="E442" t="s">
        <v>292</v>
      </c>
      <c r="F442" t="s">
        <v>428</v>
      </c>
      <c r="G442" t="s">
        <v>82</v>
      </c>
      <c r="H442" t="s">
        <v>174</v>
      </c>
      <c r="J442" t="s">
        <v>190</v>
      </c>
      <c r="K442" t="s">
        <v>250</v>
      </c>
      <c r="L442">
        <v>1680000</v>
      </c>
      <c r="M442" t="s">
        <v>242</v>
      </c>
      <c r="N442" t="s">
        <v>671</v>
      </c>
    </row>
    <row r="443" spans="1:16" hidden="1" x14ac:dyDescent="0.25">
      <c r="A443" s="16">
        <v>45566</v>
      </c>
      <c r="B443" t="s">
        <v>162</v>
      </c>
      <c r="C443">
        <v>48</v>
      </c>
      <c r="D443" t="s">
        <v>247</v>
      </c>
      <c r="E443" t="s">
        <v>248</v>
      </c>
      <c r="F443" t="s">
        <v>244</v>
      </c>
      <c r="G443" t="s">
        <v>82</v>
      </c>
      <c r="H443" t="s">
        <v>286</v>
      </c>
      <c r="J443" t="s">
        <v>190</v>
      </c>
      <c r="K443" t="s">
        <v>250</v>
      </c>
      <c r="L443">
        <v>6</v>
      </c>
      <c r="M443" t="s">
        <v>251</v>
      </c>
      <c r="N443" t="s">
        <v>672</v>
      </c>
    </row>
    <row r="444" spans="1:16" hidden="1" x14ac:dyDescent="0.25">
      <c r="A444" s="16">
        <v>45566</v>
      </c>
      <c r="B444" t="s">
        <v>162</v>
      </c>
      <c r="C444">
        <v>48</v>
      </c>
      <c r="D444" t="s">
        <v>253</v>
      </c>
      <c r="E444" t="s">
        <v>248</v>
      </c>
      <c r="F444" t="s">
        <v>244</v>
      </c>
      <c r="G444" t="s">
        <v>82</v>
      </c>
      <c r="J444" t="s">
        <v>258</v>
      </c>
      <c r="K444" t="s">
        <v>255</v>
      </c>
      <c r="L444">
        <v>1620000000</v>
      </c>
      <c r="M444" t="s">
        <v>245</v>
      </c>
      <c r="N444" t="s">
        <v>439</v>
      </c>
      <c r="O444">
        <v>1</v>
      </c>
      <c r="P444" t="s">
        <v>257</v>
      </c>
    </row>
    <row r="445" spans="1:16" hidden="1" x14ac:dyDescent="0.25">
      <c r="A445" s="16">
        <v>45566</v>
      </c>
      <c r="B445" t="s">
        <v>162</v>
      </c>
      <c r="C445">
        <v>48</v>
      </c>
      <c r="D445" t="s">
        <v>253</v>
      </c>
      <c r="E445" t="s">
        <v>248</v>
      </c>
      <c r="F445" t="s">
        <v>244</v>
      </c>
      <c r="G445" t="s">
        <v>82</v>
      </c>
      <c r="J445" t="s">
        <v>189</v>
      </c>
      <c r="K445" t="s">
        <v>255</v>
      </c>
      <c r="L445">
        <v>1590000000</v>
      </c>
      <c r="M445" t="s">
        <v>245</v>
      </c>
      <c r="N445" t="s">
        <v>440</v>
      </c>
      <c r="O445">
        <v>1</v>
      </c>
      <c r="P445" t="s">
        <v>257</v>
      </c>
    </row>
    <row r="446" spans="1:16" hidden="1" x14ac:dyDescent="0.25">
      <c r="A446" s="16">
        <v>45566</v>
      </c>
      <c r="B446" t="s">
        <v>162</v>
      </c>
      <c r="C446">
        <v>48</v>
      </c>
      <c r="D446" t="s">
        <v>253</v>
      </c>
      <c r="E446" t="s">
        <v>248</v>
      </c>
      <c r="F446" t="s">
        <v>244</v>
      </c>
      <c r="G446" t="s">
        <v>82</v>
      </c>
      <c r="J446" t="s">
        <v>190</v>
      </c>
      <c r="K446" t="s">
        <v>255</v>
      </c>
      <c r="L446">
        <v>1690000000</v>
      </c>
      <c r="M446" t="s">
        <v>245</v>
      </c>
      <c r="N446" t="s">
        <v>673</v>
      </c>
      <c r="O446">
        <v>1</v>
      </c>
      <c r="P446" t="s">
        <v>261</v>
      </c>
    </row>
    <row r="447" spans="1:16" hidden="1" x14ac:dyDescent="0.25">
      <c r="A447" s="16">
        <v>45566</v>
      </c>
      <c r="B447" t="s">
        <v>162</v>
      </c>
      <c r="C447">
        <v>49</v>
      </c>
      <c r="D447" t="s">
        <v>291</v>
      </c>
      <c r="E447" t="s">
        <v>292</v>
      </c>
      <c r="F447" t="s">
        <v>244</v>
      </c>
      <c r="G447" t="s">
        <v>82</v>
      </c>
      <c r="H447" t="s">
        <v>164</v>
      </c>
      <c r="J447" t="s">
        <v>190</v>
      </c>
      <c r="K447" t="s">
        <v>250</v>
      </c>
      <c r="L447">
        <v>1040000000</v>
      </c>
      <c r="M447" t="s">
        <v>245</v>
      </c>
      <c r="N447" t="s">
        <v>674</v>
      </c>
    </row>
    <row r="448" spans="1:16" hidden="1" x14ac:dyDescent="0.25">
      <c r="A448" s="16">
        <v>45566</v>
      </c>
      <c r="B448" t="s">
        <v>162</v>
      </c>
      <c r="C448">
        <v>49</v>
      </c>
      <c r="D448" t="s">
        <v>291</v>
      </c>
      <c r="E448" t="s">
        <v>292</v>
      </c>
      <c r="F448" t="s">
        <v>244</v>
      </c>
      <c r="G448" t="s">
        <v>82</v>
      </c>
      <c r="H448" t="s">
        <v>165</v>
      </c>
      <c r="J448" t="s">
        <v>190</v>
      </c>
      <c r="K448" t="s">
        <v>250</v>
      </c>
      <c r="L448">
        <v>179000000</v>
      </c>
      <c r="M448" t="s">
        <v>245</v>
      </c>
      <c r="N448" t="s">
        <v>675</v>
      </c>
    </row>
    <row r="449" spans="1:16" hidden="1" x14ac:dyDescent="0.25">
      <c r="A449" s="16">
        <v>45566</v>
      </c>
      <c r="B449" t="s">
        <v>162</v>
      </c>
      <c r="C449">
        <v>49</v>
      </c>
      <c r="D449" t="s">
        <v>291</v>
      </c>
      <c r="E449" t="s">
        <v>292</v>
      </c>
      <c r="F449" t="s">
        <v>244</v>
      </c>
      <c r="G449" t="s">
        <v>82</v>
      </c>
      <c r="H449" t="s">
        <v>166</v>
      </c>
      <c r="J449" t="s">
        <v>190</v>
      </c>
      <c r="K449" t="s">
        <v>250</v>
      </c>
      <c r="L449">
        <v>222000000</v>
      </c>
      <c r="M449" t="s">
        <v>245</v>
      </c>
      <c r="N449" t="s">
        <v>676</v>
      </c>
    </row>
    <row r="450" spans="1:16" hidden="1" x14ac:dyDescent="0.25">
      <c r="A450" s="16">
        <v>45566</v>
      </c>
      <c r="B450" t="s">
        <v>162</v>
      </c>
      <c r="C450">
        <v>49</v>
      </c>
      <c r="D450" t="s">
        <v>291</v>
      </c>
      <c r="E450" t="s">
        <v>292</v>
      </c>
      <c r="F450" t="s">
        <v>244</v>
      </c>
      <c r="G450" t="s">
        <v>82</v>
      </c>
      <c r="H450" t="s">
        <v>167</v>
      </c>
      <c r="J450" t="s">
        <v>190</v>
      </c>
      <c r="K450" t="s">
        <v>250</v>
      </c>
      <c r="L450">
        <v>233000000</v>
      </c>
      <c r="M450" t="s">
        <v>245</v>
      </c>
      <c r="N450" t="s">
        <v>677</v>
      </c>
    </row>
    <row r="451" spans="1:16" hidden="1" x14ac:dyDescent="0.25">
      <c r="A451" s="16">
        <v>45566</v>
      </c>
      <c r="B451" t="s">
        <v>162</v>
      </c>
      <c r="C451">
        <v>50</v>
      </c>
      <c r="D451" t="s">
        <v>247</v>
      </c>
      <c r="E451" t="s">
        <v>248</v>
      </c>
      <c r="F451" t="s">
        <v>445</v>
      </c>
      <c r="G451" t="s">
        <v>82</v>
      </c>
      <c r="H451" t="s">
        <v>286</v>
      </c>
      <c r="J451" t="s">
        <v>190</v>
      </c>
      <c r="K451" t="s">
        <v>250</v>
      </c>
      <c r="L451">
        <v>5.6</v>
      </c>
      <c r="M451" t="s">
        <v>251</v>
      </c>
      <c r="N451" t="s">
        <v>599</v>
      </c>
    </row>
    <row r="452" spans="1:16" hidden="1" x14ac:dyDescent="0.25">
      <c r="A452" s="16">
        <v>45566</v>
      </c>
      <c r="B452" t="s">
        <v>162</v>
      </c>
      <c r="C452">
        <v>50</v>
      </c>
      <c r="D452" t="s">
        <v>253</v>
      </c>
      <c r="E452" t="s">
        <v>248</v>
      </c>
      <c r="F452" t="s">
        <v>445</v>
      </c>
      <c r="G452" t="s">
        <v>82</v>
      </c>
      <c r="J452" t="s">
        <v>258</v>
      </c>
      <c r="K452" t="s">
        <v>255</v>
      </c>
      <c r="L452">
        <v>1340000000</v>
      </c>
      <c r="M452" t="s">
        <v>245</v>
      </c>
      <c r="N452" t="s">
        <v>448</v>
      </c>
      <c r="O452">
        <v>1</v>
      </c>
      <c r="P452" t="s">
        <v>257</v>
      </c>
    </row>
    <row r="453" spans="1:16" hidden="1" x14ac:dyDescent="0.25">
      <c r="A453" s="16">
        <v>45566</v>
      </c>
      <c r="B453" t="s">
        <v>162</v>
      </c>
      <c r="C453">
        <v>50</v>
      </c>
      <c r="D453" t="s">
        <v>253</v>
      </c>
      <c r="E453" t="s">
        <v>248</v>
      </c>
      <c r="F453" t="s">
        <v>445</v>
      </c>
      <c r="G453" t="s">
        <v>82</v>
      </c>
      <c r="J453" t="s">
        <v>189</v>
      </c>
      <c r="K453" t="s">
        <v>255</v>
      </c>
      <c r="L453">
        <v>1320000000</v>
      </c>
      <c r="M453" t="s">
        <v>245</v>
      </c>
      <c r="N453" t="s">
        <v>447</v>
      </c>
      <c r="O453">
        <v>1</v>
      </c>
      <c r="P453" t="s">
        <v>257</v>
      </c>
    </row>
    <row r="454" spans="1:16" hidden="1" x14ac:dyDescent="0.25">
      <c r="A454" s="16">
        <v>45566</v>
      </c>
      <c r="B454" t="s">
        <v>162</v>
      </c>
      <c r="C454">
        <v>50</v>
      </c>
      <c r="D454" t="s">
        <v>253</v>
      </c>
      <c r="E454" t="s">
        <v>248</v>
      </c>
      <c r="F454" t="s">
        <v>445</v>
      </c>
      <c r="G454" t="s">
        <v>82</v>
      </c>
      <c r="J454" t="s">
        <v>190</v>
      </c>
      <c r="K454" t="s">
        <v>255</v>
      </c>
      <c r="L454">
        <v>1390000000</v>
      </c>
      <c r="M454" t="s">
        <v>245</v>
      </c>
      <c r="N454" t="s">
        <v>678</v>
      </c>
      <c r="O454">
        <v>1</v>
      </c>
      <c r="P454" t="s">
        <v>261</v>
      </c>
    </row>
    <row r="455" spans="1:16" hidden="1" x14ac:dyDescent="0.25">
      <c r="A455" s="16">
        <v>45566</v>
      </c>
      <c r="B455" t="s">
        <v>162</v>
      </c>
      <c r="C455">
        <v>51</v>
      </c>
      <c r="D455" t="s">
        <v>291</v>
      </c>
      <c r="E455" t="s">
        <v>292</v>
      </c>
      <c r="F455" t="s">
        <v>445</v>
      </c>
      <c r="G455" t="s">
        <v>82</v>
      </c>
      <c r="H455" t="s">
        <v>94</v>
      </c>
      <c r="J455" t="s">
        <v>190</v>
      </c>
      <c r="K455" t="s">
        <v>250</v>
      </c>
      <c r="L455">
        <v>1130000000</v>
      </c>
      <c r="M455" t="s">
        <v>245</v>
      </c>
      <c r="N455" t="s">
        <v>679</v>
      </c>
    </row>
    <row r="456" spans="1:16" hidden="1" x14ac:dyDescent="0.25">
      <c r="A456" s="16">
        <v>45566</v>
      </c>
      <c r="B456" t="s">
        <v>162</v>
      </c>
      <c r="C456">
        <v>51</v>
      </c>
      <c r="D456" t="s">
        <v>291</v>
      </c>
      <c r="E456" t="s">
        <v>292</v>
      </c>
      <c r="F456" t="s">
        <v>445</v>
      </c>
      <c r="G456" t="s">
        <v>82</v>
      </c>
      <c r="H456" t="s">
        <v>95</v>
      </c>
      <c r="J456" t="s">
        <v>190</v>
      </c>
      <c r="K456" t="s">
        <v>250</v>
      </c>
      <c r="L456">
        <v>261000000</v>
      </c>
      <c r="M456" t="s">
        <v>245</v>
      </c>
      <c r="N456" t="s">
        <v>680</v>
      </c>
    </row>
    <row r="457" spans="1:16" hidden="1" x14ac:dyDescent="0.25">
      <c r="A457" s="16">
        <v>45566</v>
      </c>
      <c r="B457" t="s">
        <v>162</v>
      </c>
      <c r="C457">
        <v>52</v>
      </c>
      <c r="D457" t="s">
        <v>291</v>
      </c>
      <c r="E457" t="s">
        <v>292</v>
      </c>
      <c r="F457" t="s">
        <v>445</v>
      </c>
      <c r="G457" t="s">
        <v>82</v>
      </c>
      <c r="H457" t="s">
        <v>173</v>
      </c>
      <c r="J457" t="s">
        <v>190</v>
      </c>
      <c r="K457" t="s">
        <v>250</v>
      </c>
      <c r="L457">
        <v>139200000</v>
      </c>
      <c r="M457" t="s">
        <v>245</v>
      </c>
      <c r="N457" t="s">
        <v>681</v>
      </c>
    </row>
    <row r="458" spans="1:16" hidden="1" x14ac:dyDescent="0.25">
      <c r="A458" s="16">
        <v>45566</v>
      </c>
      <c r="B458" t="s">
        <v>162</v>
      </c>
      <c r="C458">
        <v>52</v>
      </c>
      <c r="D458" t="s">
        <v>291</v>
      </c>
      <c r="E458" t="s">
        <v>292</v>
      </c>
      <c r="F458" t="s">
        <v>445</v>
      </c>
      <c r="G458" t="s">
        <v>82</v>
      </c>
      <c r="H458" t="s">
        <v>174</v>
      </c>
      <c r="J458" t="s">
        <v>190</v>
      </c>
      <c r="K458" t="s">
        <v>250</v>
      </c>
      <c r="L458">
        <v>218600000</v>
      </c>
      <c r="M458" t="s">
        <v>245</v>
      </c>
      <c r="N458" t="s">
        <v>682</v>
      </c>
    </row>
    <row r="459" spans="1:16" hidden="1" x14ac:dyDescent="0.25">
      <c r="A459" s="16">
        <v>45566</v>
      </c>
      <c r="B459" t="s">
        <v>162</v>
      </c>
      <c r="C459">
        <v>53</v>
      </c>
      <c r="D459" t="s">
        <v>291</v>
      </c>
      <c r="E459" t="s">
        <v>292</v>
      </c>
      <c r="F459" t="s">
        <v>334</v>
      </c>
      <c r="G459" t="s">
        <v>82</v>
      </c>
      <c r="H459" t="s">
        <v>164</v>
      </c>
      <c r="J459" t="s">
        <v>190</v>
      </c>
      <c r="K459" t="s">
        <v>250</v>
      </c>
      <c r="L459">
        <v>162</v>
      </c>
      <c r="M459" t="s">
        <v>245</v>
      </c>
      <c r="N459" t="s">
        <v>683</v>
      </c>
    </row>
    <row r="460" spans="1:16" hidden="1" x14ac:dyDescent="0.25">
      <c r="A460" s="16">
        <v>45566</v>
      </c>
      <c r="B460" t="s">
        <v>162</v>
      </c>
      <c r="C460">
        <v>53</v>
      </c>
      <c r="D460" t="s">
        <v>291</v>
      </c>
      <c r="E460" t="s">
        <v>292</v>
      </c>
      <c r="F460" t="s">
        <v>334</v>
      </c>
      <c r="G460" t="s">
        <v>82</v>
      </c>
      <c r="H460" t="s">
        <v>173</v>
      </c>
      <c r="J460" t="s">
        <v>190</v>
      </c>
      <c r="K460" t="s">
        <v>250</v>
      </c>
      <c r="L460">
        <v>74</v>
      </c>
      <c r="M460" t="s">
        <v>245</v>
      </c>
      <c r="N460" t="s">
        <v>684</v>
      </c>
    </row>
    <row r="461" spans="1:16" hidden="1" x14ac:dyDescent="0.25">
      <c r="A461" s="16">
        <v>45566</v>
      </c>
      <c r="B461" t="s">
        <v>162</v>
      </c>
      <c r="C461">
        <v>53</v>
      </c>
      <c r="D461" t="s">
        <v>238</v>
      </c>
      <c r="E461" t="s">
        <v>239</v>
      </c>
      <c r="F461" t="s">
        <v>334</v>
      </c>
      <c r="G461" t="s">
        <v>82</v>
      </c>
      <c r="H461" t="s">
        <v>455</v>
      </c>
      <c r="J461" t="s">
        <v>190</v>
      </c>
      <c r="K461" t="s">
        <v>250</v>
      </c>
      <c r="L461">
        <v>107</v>
      </c>
      <c r="M461" t="s">
        <v>245</v>
      </c>
      <c r="N461" t="s">
        <v>685</v>
      </c>
    </row>
    <row r="462" spans="1:16" hidden="1" x14ac:dyDescent="0.25">
      <c r="A462" s="16">
        <v>45566</v>
      </c>
      <c r="B462" t="s">
        <v>162</v>
      </c>
      <c r="C462">
        <v>53</v>
      </c>
      <c r="D462" t="s">
        <v>291</v>
      </c>
      <c r="E462" t="s">
        <v>292</v>
      </c>
      <c r="F462" t="s">
        <v>334</v>
      </c>
      <c r="G462" t="s">
        <v>82</v>
      </c>
      <c r="H462" t="s">
        <v>174</v>
      </c>
      <c r="J462" t="s">
        <v>190</v>
      </c>
      <c r="K462" t="s">
        <v>250</v>
      </c>
      <c r="L462">
        <v>130</v>
      </c>
      <c r="M462" t="s">
        <v>245</v>
      </c>
      <c r="N462" t="s">
        <v>686</v>
      </c>
    </row>
    <row r="463" spans="1:16" hidden="1" x14ac:dyDescent="0.25">
      <c r="A463" s="16">
        <v>45566</v>
      </c>
      <c r="B463" t="s">
        <v>162</v>
      </c>
      <c r="C463">
        <v>53</v>
      </c>
      <c r="D463" t="s">
        <v>291</v>
      </c>
      <c r="E463" t="s">
        <v>292</v>
      </c>
      <c r="F463" t="s">
        <v>334</v>
      </c>
      <c r="G463" t="s">
        <v>82</v>
      </c>
      <c r="H463" t="s">
        <v>178</v>
      </c>
      <c r="J463" t="s">
        <v>190</v>
      </c>
      <c r="K463" t="s">
        <v>250</v>
      </c>
      <c r="L463">
        <v>62</v>
      </c>
      <c r="M463" t="s">
        <v>245</v>
      </c>
      <c r="N463" t="s">
        <v>687</v>
      </c>
    </row>
    <row r="464" spans="1:16" hidden="1" x14ac:dyDescent="0.25">
      <c r="A464" s="16">
        <v>45566</v>
      </c>
      <c r="B464" t="s">
        <v>97</v>
      </c>
      <c r="C464">
        <v>26</v>
      </c>
      <c r="D464" t="s">
        <v>238</v>
      </c>
      <c r="E464" t="s">
        <v>239</v>
      </c>
      <c r="F464" t="s">
        <v>240</v>
      </c>
      <c r="G464" t="s">
        <v>82</v>
      </c>
      <c r="J464" t="s">
        <v>190</v>
      </c>
      <c r="K464" t="s">
        <v>241</v>
      </c>
      <c r="L464">
        <v>44970000</v>
      </c>
      <c r="M464" t="s">
        <v>242</v>
      </c>
      <c r="N464" t="s">
        <v>688</v>
      </c>
    </row>
    <row r="465" spans="1:16" hidden="1" x14ac:dyDescent="0.25">
      <c r="A465" s="16">
        <v>45566</v>
      </c>
      <c r="B465" t="s">
        <v>97</v>
      </c>
      <c r="C465">
        <v>26</v>
      </c>
      <c r="D465" t="s">
        <v>238</v>
      </c>
      <c r="E465" t="s">
        <v>239</v>
      </c>
      <c r="F465" t="s">
        <v>244</v>
      </c>
      <c r="G465" t="s">
        <v>82</v>
      </c>
      <c r="J465" t="s">
        <v>190</v>
      </c>
      <c r="K465" t="s">
        <v>241</v>
      </c>
      <c r="L465">
        <v>4290000000</v>
      </c>
      <c r="M465" t="s">
        <v>245</v>
      </c>
      <c r="N465" t="s">
        <v>689</v>
      </c>
    </row>
    <row r="466" spans="1:16" hidden="1" x14ac:dyDescent="0.25">
      <c r="A466" s="16">
        <v>45566</v>
      </c>
      <c r="B466" t="s">
        <v>97</v>
      </c>
      <c r="C466">
        <v>27</v>
      </c>
      <c r="D466" t="s">
        <v>247</v>
      </c>
      <c r="E466" t="s">
        <v>248</v>
      </c>
      <c r="F466" t="s">
        <v>285</v>
      </c>
      <c r="G466" t="s">
        <v>63</v>
      </c>
      <c r="H466" t="s">
        <v>286</v>
      </c>
      <c r="J466" t="s">
        <v>190</v>
      </c>
      <c r="K466" t="s">
        <v>250</v>
      </c>
      <c r="L466">
        <v>1.6</v>
      </c>
      <c r="M466" t="s">
        <v>251</v>
      </c>
      <c r="N466" t="s">
        <v>437</v>
      </c>
    </row>
    <row r="467" spans="1:16" hidden="1" x14ac:dyDescent="0.25">
      <c r="A467" s="16">
        <v>45566</v>
      </c>
      <c r="B467" t="s">
        <v>97</v>
      </c>
      <c r="C467">
        <v>27</v>
      </c>
      <c r="D467" t="s">
        <v>253</v>
      </c>
      <c r="E467" t="s">
        <v>248</v>
      </c>
      <c r="F467" t="s">
        <v>285</v>
      </c>
      <c r="G467" t="s">
        <v>63</v>
      </c>
      <c r="J467" t="s">
        <v>258</v>
      </c>
      <c r="K467" t="s">
        <v>255</v>
      </c>
      <c r="L467">
        <v>2290000</v>
      </c>
      <c r="M467" t="s">
        <v>242</v>
      </c>
      <c r="N467" t="s">
        <v>463</v>
      </c>
      <c r="O467">
        <v>1</v>
      </c>
      <c r="P467" t="s">
        <v>257</v>
      </c>
    </row>
    <row r="468" spans="1:16" hidden="1" x14ac:dyDescent="0.25">
      <c r="A468" s="16">
        <v>45566</v>
      </c>
      <c r="B468" t="s">
        <v>97</v>
      </c>
      <c r="C468">
        <v>27</v>
      </c>
      <c r="D468" t="s">
        <v>253</v>
      </c>
      <c r="E468" t="s">
        <v>248</v>
      </c>
      <c r="F468" t="s">
        <v>285</v>
      </c>
      <c r="G468" t="s">
        <v>63</v>
      </c>
      <c r="J468" t="s">
        <v>189</v>
      </c>
      <c r="K468" t="s">
        <v>255</v>
      </c>
      <c r="L468">
        <v>2330000</v>
      </c>
      <c r="M468" t="s">
        <v>242</v>
      </c>
      <c r="N468" t="s">
        <v>464</v>
      </c>
      <c r="O468">
        <v>1</v>
      </c>
      <c r="P468" t="s">
        <v>257</v>
      </c>
    </row>
    <row r="469" spans="1:16" hidden="1" x14ac:dyDescent="0.25">
      <c r="A469" s="16">
        <v>45566</v>
      </c>
      <c r="B469" t="s">
        <v>97</v>
      </c>
      <c r="C469">
        <v>27</v>
      </c>
      <c r="D469" t="s">
        <v>253</v>
      </c>
      <c r="E469" t="s">
        <v>248</v>
      </c>
      <c r="F469" t="s">
        <v>285</v>
      </c>
      <c r="G469" t="s">
        <v>63</v>
      </c>
      <c r="J469" t="s">
        <v>190</v>
      </c>
      <c r="K469" t="s">
        <v>255</v>
      </c>
      <c r="L469">
        <v>2370000</v>
      </c>
      <c r="M469" t="s">
        <v>242</v>
      </c>
      <c r="N469" t="s">
        <v>690</v>
      </c>
      <c r="O469">
        <v>1</v>
      </c>
      <c r="P469" t="s">
        <v>261</v>
      </c>
    </row>
    <row r="470" spans="1:16" hidden="1" x14ac:dyDescent="0.25">
      <c r="A470" s="16">
        <v>45566</v>
      </c>
      <c r="B470" t="s">
        <v>97</v>
      </c>
      <c r="C470">
        <v>28</v>
      </c>
      <c r="D470" t="s">
        <v>291</v>
      </c>
      <c r="E470" t="s">
        <v>292</v>
      </c>
      <c r="F470" t="s">
        <v>285</v>
      </c>
      <c r="G470" t="s">
        <v>63</v>
      </c>
      <c r="H470" t="s">
        <v>64</v>
      </c>
      <c r="J470" t="s">
        <v>190</v>
      </c>
      <c r="K470" t="s">
        <v>250</v>
      </c>
      <c r="L470">
        <v>2090000</v>
      </c>
      <c r="M470" t="s">
        <v>242</v>
      </c>
      <c r="N470" t="s">
        <v>691</v>
      </c>
    </row>
    <row r="471" spans="1:16" hidden="1" x14ac:dyDescent="0.25">
      <c r="A471" s="16">
        <v>45566</v>
      </c>
      <c r="B471" t="s">
        <v>97</v>
      </c>
      <c r="C471">
        <v>28</v>
      </c>
      <c r="D471" t="s">
        <v>291</v>
      </c>
      <c r="E471" t="s">
        <v>292</v>
      </c>
      <c r="F471" t="s">
        <v>285</v>
      </c>
      <c r="G471" t="s">
        <v>63</v>
      </c>
      <c r="H471" t="s">
        <v>65</v>
      </c>
      <c r="J471" t="s">
        <v>190</v>
      </c>
      <c r="K471" t="s">
        <v>250</v>
      </c>
      <c r="L471">
        <v>282000</v>
      </c>
      <c r="M471" t="s">
        <v>242</v>
      </c>
      <c r="N471" t="s">
        <v>692</v>
      </c>
    </row>
    <row r="472" spans="1:16" hidden="1" x14ac:dyDescent="0.25">
      <c r="A472" s="16">
        <v>45566</v>
      </c>
      <c r="B472" t="s">
        <v>97</v>
      </c>
      <c r="C472">
        <v>29</v>
      </c>
      <c r="D472" t="s">
        <v>291</v>
      </c>
      <c r="E472" t="s">
        <v>292</v>
      </c>
      <c r="F472" t="s">
        <v>285</v>
      </c>
      <c r="G472" t="s">
        <v>63</v>
      </c>
      <c r="H472" t="s">
        <v>67</v>
      </c>
      <c r="J472" t="s">
        <v>190</v>
      </c>
      <c r="K472" t="s">
        <v>250</v>
      </c>
      <c r="L472">
        <v>1170000</v>
      </c>
      <c r="M472" t="s">
        <v>242</v>
      </c>
      <c r="N472" t="s">
        <v>693</v>
      </c>
    </row>
    <row r="473" spans="1:16" hidden="1" x14ac:dyDescent="0.25">
      <c r="A473" s="16">
        <v>45566</v>
      </c>
      <c r="B473" t="s">
        <v>97</v>
      </c>
      <c r="C473">
        <v>29</v>
      </c>
      <c r="D473" t="s">
        <v>291</v>
      </c>
      <c r="E473" t="s">
        <v>292</v>
      </c>
      <c r="F473" t="s">
        <v>285</v>
      </c>
      <c r="G473" t="s">
        <v>63</v>
      </c>
      <c r="H473" t="s">
        <v>68</v>
      </c>
      <c r="J473" t="s">
        <v>190</v>
      </c>
      <c r="K473" t="s">
        <v>250</v>
      </c>
      <c r="L473">
        <v>1190000</v>
      </c>
      <c r="M473" t="s">
        <v>242</v>
      </c>
      <c r="N473" t="s">
        <v>694</v>
      </c>
    </row>
    <row r="474" spans="1:16" hidden="1" x14ac:dyDescent="0.25">
      <c r="A474" s="16">
        <v>45566</v>
      </c>
      <c r="B474" t="s">
        <v>97</v>
      </c>
      <c r="C474">
        <v>30</v>
      </c>
      <c r="D474" t="s">
        <v>291</v>
      </c>
      <c r="E474" t="s">
        <v>292</v>
      </c>
      <c r="F474" t="s">
        <v>285</v>
      </c>
      <c r="G474" t="s">
        <v>63</v>
      </c>
      <c r="H474" t="s">
        <v>70</v>
      </c>
      <c r="J474" t="s">
        <v>190</v>
      </c>
      <c r="K474" t="s">
        <v>250</v>
      </c>
      <c r="L474">
        <v>842000</v>
      </c>
      <c r="M474" t="s">
        <v>242</v>
      </c>
      <c r="N474" t="s">
        <v>695</v>
      </c>
    </row>
    <row r="475" spans="1:16" hidden="1" x14ac:dyDescent="0.25">
      <c r="A475" s="16">
        <v>45566</v>
      </c>
      <c r="B475" t="s">
        <v>97</v>
      </c>
      <c r="C475">
        <v>30</v>
      </c>
      <c r="D475" t="s">
        <v>291</v>
      </c>
      <c r="E475" t="s">
        <v>292</v>
      </c>
      <c r="F475" t="s">
        <v>285</v>
      </c>
      <c r="G475" t="s">
        <v>63</v>
      </c>
      <c r="H475" t="s">
        <v>71</v>
      </c>
      <c r="J475" t="s">
        <v>190</v>
      </c>
      <c r="K475" t="s">
        <v>250</v>
      </c>
      <c r="L475">
        <v>612000</v>
      </c>
      <c r="M475" t="s">
        <v>242</v>
      </c>
      <c r="N475" t="s">
        <v>696</v>
      </c>
    </row>
    <row r="476" spans="1:16" hidden="1" x14ac:dyDescent="0.25">
      <c r="A476" s="16">
        <v>45566</v>
      </c>
      <c r="B476" t="s">
        <v>97</v>
      </c>
      <c r="C476">
        <v>30</v>
      </c>
      <c r="D476" t="s">
        <v>291</v>
      </c>
      <c r="E476" t="s">
        <v>292</v>
      </c>
      <c r="F476" t="s">
        <v>285</v>
      </c>
      <c r="G476" t="s">
        <v>63</v>
      </c>
      <c r="H476" t="s">
        <v>72</v>
      </c>
      <c r="J476" t="s">
        <v>190</v>
      </c>
      <c r="K476" t="s">
        <v>250</v>
      </c>
      <c r="L476">
        <v>463000</v>
      </c>
      <c r="M476" t="s">
        <v>242</v>
      </c>
      <c r="N476" t="s">
        <v>697</v>
      </c>
    </row>
    <row r="477" spans="1:16" hidden="1" x14ac:dyDescent="0.25">
      <c r="A477" s="16">
        <v>45566</v>
      </c>
      <c r="B477" t="s">
        <v>97</v>
      </c>
      <c r="C477">
        <v>30</v>
      </c>
      <c r="D477" t="s">
        <v>291</v>
      </c>
      <c r="E477" t="s">
        <v>292</v>
      </c>
      <c r="F477" t="s">
        <v>285</v>
      </c>
      <c r="G477" t="s">
        <v>63</v>
      </c>
      <c r="H477" t="s">
        <v>73</v>
      </c>
      <c r="J477" t="s">
        <v>190</v>
      </c>
      <c r="K477" t="s">
        <v>250</v>
      </c>
      <c r="L477">
        <v>290000</v>
      </c>
      <c r="M477" t="s">
        <v>242</v>
      </c>
      <c r="N477" t="s">
        <v>698</v>
      </c>
    </row>
    <row r="478" spans="1:16" hidden="1" x14ac:dyDescent="0.25">
      <c r="A478" s="16">
        <v>45566</v>
      </c>
      <c r="B478" t="s">
        <v>97</v>
      </c>
      <c r="C478">
        <v>30</v>
      </c>
      <c r="D478" t="s">
        <v>291</v>
      </c>
      <c r="E478" t="s">
        <v>292</v>
      </c>
      <c r="F478" t="s">
        <v>285</v>
      </c>
      <c r="G478" t="s">
        <v>63</v>
      </c>
      <c r="H478" t="s">
        <v>74</v>
      </c>
      <c r="J478" t="s">
        <v>190</v>
      </c>
      <c r="K478" t="s">
        <v>250</v>
      </c>
      <c r="L478">
        <v>105000</v>
      </c>
      <c r="M478" t="s">
        <v>242</v>
      </c>
      <c r="N478" t="s">
        <v>699</v>
      </c>
    </row>
    <row r="479" spans="1:16" hidden="1" x14ac:dyDescent="0.25">
      <c r="A479" s="16">
        <v>45566</v>
      </c>
      <c r="B479" t="s">
        <v>97</v>
      </c>
      <c r="C479">
        <v>30</v>
      </c>
      <c r="D479" t="s">
        <v>291</v>
      </c>
      <c r="E479" t="s">
        <v>292</v>
      </c>
      <c r="F479" t="s">
        <v>285</v>
      </c>
      <c r="G479" t="s">
        <v>63</v>
      </c>
      <c r="H479" t="s">
        <v>75</v>
      </c>
      <c r="J479" t="s">
        <v>190</v>
      </c>
      <c r="K479" t="s">
        <v>250</v>
      </c>
      <c r="L479">
        <v>35000</v>
      </c>
      <c r="M479" t="s">
        <v>242</v>
      </c>
      <c r="N479" t="s">
        <v>700</v>
      </c>
    </row>
    <row r="480" spans="1:16" hidden="1" x14ac:dyDescent="0.25">
      <c r="A480" s="16">
        <v>45566</v>
      </c>
      <c r="B480" t="s">
        <v>97</v>
      </c>
      <c r="C480">
        <v>30</v>
      </c>
      <c r="D480" t="s">
        <v>291</v>
      </c>
      <c r="E480" t="s">
        <v>292</v>
      </c>
      <c r="F480" t="s">
        <v>285</v>
      </c>
      <c r="G480" t="s">
        <v>63</v>
      </c>
      <c r="H480" t="s">
        <v>76</v>
      </c>
      <c r="J480" t="s">
        <v>190</v>
      </c>
      <c r="K480" t="s">
        <v>250</v>
      </c>
      <c r="L480">
        <v>13000</v>
      </c>
      <c r="M480" t="s">
        <v>242</v>
      </c>
      <c r="N480" t="s">
        <v>475</v>
      </c>
    </row>
    <row r="481" spans="1:16" hidden="1" x14ac:dyDescent="0.25">
      <c r="A481" s="16">
        <v>45566</v>
      </c>
      <c r="B481" t="s">
        <v>97</v>
      </c>
      <c r="C481">
        <v>30</v>
      </c>
      <c r="D481" t="s">
        <v>291</v>
      </c>
      <c r="E481" t="s">
        <v>292</v>
      </c>
      <c r="F481" t="s">
        <v>285</v>
      </c>
      <c r="G481" t="s">
        <v>63</v>
      </c>
      <c r="H481" t="s">
        <v>77</v>
      </c>
      <c r="J481" t="s">
        <v>190</v>
      </c>
      <c r="K481" t="s">
        <v>250</v>
      </c>
      <c r="L481">
        <v>1000</v>
      </c>
      <c r="M481" t="s">
        <v>242</v>
      </c>
      <c r="N481" t="s">
        <v>476</v>
      </c>
    </row>
    <row r="482" spans="1:16" hidden="1" x14ac:dyDescent="0.25">
      <c r="A482" s="16">
        <v>45566</v>
      </c>
      <c r="B482" t="s">
        <v>97</v>
      </c>
      <c r="C482">
        <v>31</v>
      </c>
      <c r="D482" t="s">
        <v>291</v>
      </c>
      <c r="E482" t="s">
        <v>292</v>
      </c>
      <c r="F482" t="s">
        <v>477</v>
      </c>
      <c r="G482" t="s">
        <v>99</v>
      </c>
      <c r="H482" t="s">
        <v>100</v>
      </c>
      <c r="J482" t="s">
        <v>190</v>
      </c>
      <c r="K482" t="s">
        <v>250</v>
      </c>
      <c r="L482">
        <v>1390</v>
      </c>
      <c r="M482" t="s">
        <v>242</v>
      </c>
      <c r="N482" t="s">
        <v>701</v>
      </c>
    </row>
    <row r="483" spans="1:16" hidden="1" x14ac:dyDescent="0.25">
      <c r="A483" s="16">
        <v>45566</v>
      </c>
      <c r="B483" t="s">
        <v>97</v>
      </c>
      <c r="C483">
        <v>31</v>
      </c>
      <c r="D483" t="s">
        <v>291</v>
      </c>
      <c r="E483" t="s">
        <v>292</v>
      </c>
      <c r="F483" t="s">
        <v>477</v>
      </c>
      <c r="G483" t="s">
        <v>99</v>
      </c>
      <c r="H483" t="s">
        <v>101</v>
      </c>
      <c r="J483" t="s">
        <v>190</v>
      </c>
      <c r="K483" t="s">
        <v>250</v>
      </c>
      <c r="L483">
        <v>1124</v>
      </c>
      <c r="M483" t="s">
        <v>242</v>
      </c>
      <c r="N483" t="s">
        <v>702</v>
      </c>
    </row>
    <row r="484" spans="1:16" hidden="1" x14ac:dyDescent="0.25">
      <c r="A484" s="16">
        <v>45566</v>
      </c>
      <c r="B484" t="s">
        <v>97</v>
      </c>
      <c r="C484">
        <v>31</v>
      </c>
      <c r="D484" t="s">
        <v>291</v>
      </c>
      <c r="E484" t="s">
        <v>292</v>
      </c>
      <c r="F484" t="s">
        <v>477</v>
      </c>
      <c r="G484" t="s">
        <v>99</v>
      </c>
      <c r="H484" t="s">
        <v>102</v>
      </c>
      <c r="J484" t="s">
        <v>190</v>
      </c>
      <c r="K484" t="s">
        <v>250</v>
      </c>
      <c r="L484">
        <v>8</v>
      </c>
      <c r="M484" t="s">
        <v>242</v>
      </c>
      <c r="N484" t="s">
        <v>480</v>
      </c>
    </row>
    <row r="485" spans="1:16" hidden="1" x14ac:dyDescent="0.25">
      <c r="A485" s="16">
        <v>45566</v>
      </c>
      <c r="B485" t="s">
        <v>97</v>
      </c>
      <c r="C485">
        <v>31</v>
      </c>
      <c r="D485" t="s">
        <v>291</v>
      </c>
      <c r="E485" t="s">
        <v>292</v>
      </c>
      <c r="F485" t="s">
        <v>477</v>
      </c>
      <c r="G485" t="s">
        <v>99</v>
      </c>
      <c r="H485" t="s">
        <v>103</v>
      </c>
      <c r="J485" t="s">
        <v>190</v>
      </c>
      <c r="K485" t="s">
        <v>250</v>
      </c>
      <c r="L485">
        <v>2280000</v>
      </c>
      <c r="M485" t="s">
        <v>242</v>
      </c>
      <c r="N485" t="s">
        <v>703</v>
      </c>
    </row>
    <row r="486" spans="1:16" hidden="1" x14ac:dyDescent="0.25">
      <c r="A486" s="16">
        <v>45566</v>
      </c>
      <c r="B486" t="s">
        <v>97</v>
      </c>
      <c r="C486">
        <v>31</v>
      </c>
      <c r="D486" t="s">
        <v>291</v>
      </c>
      <c r="E486" t="s">
        <v>292</v>
      </c>
      <c r="F486" t="s">
        <v>477</v>
      </c>
      <c r="G486" t="s">
        <v>99</v>
      </c>
      <c r="H486" t="s">
        <v>104</v>
      </c>
      <c r="J486" t="s">
        <v>190</v>
      </c>
      <c r="K486" t="s">
        <v>250</v>
      </c>
      <c r="L486">
        <v>4182</v>
      </c>
      <c r="M486" t="s">
        <v>242</v>
      </c>
      <c r="N486" t="s">
        <v>704</v>
      </c>
    </row>
    <row r="487" spans="1:16" hidden="1" x14ac:dyDescent="0.25">
      <c r="A487" s="16">
        <v>45566</v>
      </c>
      <c r="B487" t="s">
        <v>97</v>
      </c>
      <c r="C487">
        <v>32</v>
      </c>
      <c r="D487" t="s">
        <v>247</v>
      </c>
      <c r="E487" t="s">
        <v>248</v>
      </c>
      <c r="F487" t="s">
        <v>240</v>
      </c>
      <c r="G487" t="s">
        <v>82</v>
      </c>
      <c r="H487" t="s">
        <v>286</v>
      </c>
      <c r="J487" t="s">
        <v>190</v>
      </c>
      <c r="K487" t="s">
        <v>250</v>
      </c>
      <c r="L487">
        <v>10.8</v>
      </c>
      <c r="M487" t="s">
        <v>251</v>
      </c>
      <c r="N487" t="s">
        <v>613</v>
      </c>
    </row>
    <row r="488" spans="1:16" hidden="1" x14ac:dyDescent="0.25">
      <c r="A488" s="16">
        <v>45566</v>
      </c>
      <c r="B488" t="s">
        <v>97</v>
      </c>
      <c r="C488">
        <v>32</v>
      </c>
      <c r="D488" t="s">
        <v>253</v>
      </c>
      <c r="E488" t="s">
        <v>248</v>
      </c>
      <c r="F488" t="s">
        <v>240</v>
      </c>
      <c r="G488" t="s">
        <v>82</v>
      </c>
      <c r="J488" t="s">
        <v>258</v>
      </c>
      <c r="K488" t="s">
        <v>255</v>
      </c>
      <c r="L488">
        <v>5020000</v>
      </c>
      <c r="M488" t="s">
        <v>242</v>
      </c>
      <c r="N488" t="s">
        <v>485</v>
      </c>
      <c r="O488">
        <v>1</v>
      </c>
      <c r="P488" t="s">
        <v>257</v>
      </c>
    </row>
    <row r="489" spans="1:16" hidden="1" x14ac:dyDescent="0.25">
      <c r="A489" s="16">
        <v>45566</v>
      </c>
      <c r="B489" t="s">
        <v>97</v>
      </c>
      <c r="C489">
        <v>32</v>
      </c>
      <c r="D489" t="s">
        <v>253</v>
      </c>
      <c r="E489" t="s">
        <v>248</v>
      </c>
      <c r="F489" t="s">
        <v>240</v>
      </c>
      <c r="G489" t="s">
        <v>82</v>
      </c>
      <c r="J489" t="s">
        <v>189</v>
      </c>
      <c r="K489" t="s">
        <v>255</v>
      </c>
      <c r="L489">
        <v>5040000</v>
      </c>
      <c r="M489" t="s">
        <v>242</v>
      </c>
      <c r="N489" t="s">
        <v>486</v>
      </c>
      <c r="O489">
        <v>1</v>
      </c>
      <c r="P489" t="s">
        <v>257</v>
      </c>
    </row>
    <row r="490" spans="1:16" hidden="1" x14ac:dyDescent="0.25">
      <c r="A490" s="16">
        <v>45566</v>
      </c>
      <c r="B490" t="s">
        <v>97</v>
      </c>
      <c r="C490">
        <v>32</v>
      </c>
      <c r="D490" t="s">
        <v>253</v>
      </c>
      <c r="E490" t="s">
        <v>248</v>
      </c>
      <c r="F490" t="s">
        <v>240</v>
      </c>
      <c r="G490" t="s">
        <v>82</v>
      </c>
      <c r="J490" t="s">
        <v>190</v>
      </c>
      <c r="K490" t="s">
        <v>255</v>
      </c>
      <c r="L490">
        <v>5590000</v>
      </c>
      <c r="M490" t="s">
        <v>242</v>
      </c>
      <c r="N490" t="s">
        <v>705</v>
      </c>
      <c r="O490">
        <v>1</v>
      </c>
      <c r="P490" t="s">
        <v>261</v>
      </c>
    </row>
    <row r="491" spans="1:16" hidden="1" x14ac:dyDescent="0.25">
      <c r="A491" s="16">
        <v>45566</v>
      </c>
      <c r="B491" t="s">
        <v>97</v>
      </c>
      <c r="C491">
        <v>33</v>
      </c>
      <c r="D491" t="s">
        <v>291</v>
      </c>
      <c r="E491" t="s">
        <v>292</v>
      </c>
      <c r="F491" t="s">
        <v>240</v>
      </c>
      <c r="G491" t="s">
        <v>82</v>
      </c>
      <c r="H491" t="s">
        <v>105</v>
      </c>
      <c r="J491" t="s">
        <v>190</v>
      </c>
      <c r="K491" t="s">
        <v>250</v>
      </c>
      <c r="L491">
        <v>126100</v>
      </c>
      <c r="M491" t="s">
        <v>242</v>
      </c>
      <c r="N491" t="s">
        <v>706</v>
      </c>
    </row>
    <row r="492" spans="1:16" hidden="1" x14ac:dyDescent="0.25">
      <c r="A492" s="16">
        <v>45566</v>
      </c>
      <c r="B492" t="s">
        <v>97</v>
      </c>
      <c r="C492">
        <v>33</v>
      </c>
      <c r="D492" t="s">
        <v>291</v>
      </c>
      <c r="E492" t="s">
        <v>292</v>
      </c>
      <c r="F492" t="s">
        <v>240</v>
      </c>
      <c r="G492" t="s">
        <v>82</v>
      </c>
      <c r="H492" t="s">
        <v>106</v>
      </c>
      <c r="J492" t="s">
        <v>190</v>
      </c>
      <c r="K492" t="s">
        <v>250</v>
      </c>
      <c r="L492">
        <v>198100</v>
      </c>
      <c r="M492" t="s">
        <v>242</v>
      </c>
      <c r="N492" t="s">
        <v>707</v>
      </c>
    </row>
    <row r="493" spans="1:16" hidden="1" x14ac:dyDescent="0.25">
      <c r="A493" s="16">
        <v>45566</v>
      </c>
      <c r="B493" t="s">
        <v>97</v>
      </c>
      <c r="C493">
        <v>33</v>
      </c>
      <c r="D493" t="s">
        <v>291</v>
      </c>
      <c r="E493" t="s">
        <v>292</v>
      </c>
      <c r="F493" t="s">
        <v>240</v>
      </c>
      <c r="G493" t="s">
        <v>82</v>
      </c>
      <c r="H493" t="s">
        <v>83</v>
      </c>
      <c r="J493" t="s">
        <v>190</v>
      </c>
      <c r="K493" t="s">
        <v>250</v>
      </c>
      <c r="L493">
        <v>5080000</v>
      </c>
      <c r="M493" t="s">
        <v>242</v>
      </c>
      <c r="N493" t="s">
        <v>708</v>
      </c>
    </row>
    <row r="494" spans="1:16" hidden="1" x14ac:dyDescent="0.25">
      <c r="A494" s="16">
        <v>45566</v>
      </c>
      <c r="B494" t="s">
        <v>97</v>
      </c>
      <c r="C494">
        <v>33</v>
      </c>
      <c r="D494" t="s">
        <v>291</v>
      </c>
      <c r="E494" t="s">
        <v>292</v>
      </c>
      <c r="F494" t="s">
        <v>240</v>
      </c>
      <c r="G494" t="s">
        <v>82</v>
      </c>
      <c r="H494" t="s">
        <v>84</v>
      </c>
      <c r="J494" t="s">
        <v>190</v>
      </c>
      <c r="K494" t="s">
        <v>250</v>
      </c>
      <c r="L494">
        <v>187700</v>
      </c>
      <c r="M494" t="s">
        <v>242</v>
      </c>
      <c r="N494" t="s">
        <v>709</v>
      </c>
    </row>
    <row r="495" spans="1:16" hidden="1" x14ac:dyDescent="0.25">
      <c r="A495" s="16">
        <v>45566</v>
      </c>
      <c r="B495" t="s">
        <v>97</v>
      </c>
      <c r="C495">
        <v>34</v>
      </c>
      <c r="D495" t="s">
        <v>291</v>
      </c>
      <c r="E495" t="s">
        <v>292</v>
      </c>
      <c r="F495" t="s">
        <v>240</v>
      </c>
      <c r="G495" t="s">
        <v>82</v>
      </c>
      <c r="H495" t="s">
        <v>105</v>
      </c>
      <c r="I495" t="s">
        <v>491</v>
      </c>
      <c r="J495" t="s">
        <v>190</v>
      </c>
      <c r="K495" t="s">
        <v>250</v>
      </c>
      <c r="L495">
        <v>1.43</v>
      </c>
      <c r="M495" t="s">
        <v>251</v>
      </c>
      <c r="N495" t="s">
        <v>710</v>
      </c>
    </row>
    <row r="496" spans="1:16" hidden="1" x14ac:dyDescent="0.25">
      <c r="A496" s="16">
        <v>45566</v>
      </c>
      <c r="B496" t="s">
        <v>97</v>
      </c>
      <c r="C496">
        <v>34</v>
      </c>
      <c r="D496" t="s">
        <v>291</v>
      </c>
      <c r="E496" t="s">
        <v>292</v>
      </c>
      <c r="F496" t="s">
        <v>240</v>
      </c>
      <c r="G496" t="s">
        <v>82</v>
      </c>
      <c r="H496" t="s">
        <v>105</v>
      </c>
      <c r="I496" t="s">
        <v>493</v>
      </c>
      <c r="J496" t="s">
        <v>190</v>
      </c>
      <c r="K496" t="s">
        <v>250</v>
      </c>
      <c r="L496">
        <v>98.57</v>
      </c>
      <c r="M496" t="s">
        <v>251</v>
      </c>
      <c r="N496" t="s">
        <v>711</v>
      </c>
    </row>
    <row r="497" spans="1:16" hidden="1" x14ac:dyDescent="0.25">
      <c r="A497" s="16">
        <v>45566</v>
      </c>
      <c r="B497" t="s">
        <v>97</v>
      </c>
      <c r="C497">
        <v>34</v>
      </c>
      <c r="D497" t="s">
        <v>291</v>
      </c>
      <c r="E497" t="s">
        <v>292</v>
      </c>
      <c r="F497" t="s">
        <v>240</v>
      </c>
      <c r="G497" t="s">
        <v>82</v>
      </c>
      <c r="H497" t="s">
        <v>106</v>
      </c>
      <c r="I497" t="s">
        <v>491</v>
      </c>
      <c r="J497" t="s">
        <v>190</v>
      </c>
      <c r="K497" t="s">
        <v>250</v>
      </c>
      <c r="L497">
        <v>8.02</v>
      </c>
      <c r="M497" t="s">
        <v>251</v>
      </c>
      <c r="N497" t="s">
        <v>712</v>
      </c>
    </row>
    <row r="498" spans="1:16" hidden="1" x14ac:dyDescent="0.25">
      <c r="A498" s="16">
        <v>45566</v>
      </c>
      <c r="B498" t="s">
        <v>97</v>
      </c>
      <c r="C498">
        <v>34</v>
      </c>
      <c r="D498" t="s">
        <v>291</v>
      </c>
      <c r="E498" t="s">
        <v>292</v>
      </c>
      <c r="F498" t="s">
        <v>240</v>
      </c>
      <c r="G498" t="s">
        <v>82</v>
      </c>
      <c r="H498" t="s">
        <v>106</v>
      </c>
      <c r="I498" t="s">
        <v>493</v>
      </c>
      <c r="J498" t="s">
        <v>190</v>
      </c>
      <c r="K498" t="s">
        <v>250</v>
      </c>
      <c r="L498">
        <v>91.98</v>
      </c>
      <c r="M498" t="s">
        <v>251</v>
      </c>
      <c r="N498" t="s">
        <v>713</v>
      </c>
    </row>
    <row r="499" spans="1:16" hidden="1" x14ac:dyDescent="0.25">
      <c r="A499" s="16">
        <v>45566</v>
      </c>
      <c r="B499" t="s">
        <v>97</v>
      </c>
      <c r="C499">
        <v>34</v>
      </c>
      <c r="D499" t="s">
        <v>291</v>
      </c>
      <c r="E499" t="s">
        <v>292</v>
      </c>
      <c r="F499" t="s">
        <v>240</v>
      </c>
      <c r="G499" t="s">
        <v>82</v>
      </c>
      <c r="H499" t="s">
        <v>83</v>
      </c>
      <c r="I499" t="s">
        <v>497</v>
      </c>
      <c r="J499" t="s">
        <v>190</v>
      </c>
      <c r="K499" t="s">
        <v>250</v>
      </c>
      <c r="L499">
        <v>2.04</v>
      </c>
      <c r="M499" t="s">
        <v>251</v>
      </c>
      <c r="N499" t="s">
        <v>714</v>
      </c>
    </row>
    <row r="500" spans="1:16" hidden="1" x14ac:dyDescent="0.25">
      <c r="A500" s="16">
        <v>45566</v>
      </c>
      <c r="B500" t="s">
        <v>97</v>
      </c>
      <c r="C500">
        <v>34</v>
      </c>
      <c r="D500" t="s">
        <v>291</v>
      </c>
      <c r="E500" t="s">
        <v>292</v>
      </c>
      <c r="F500" t="s">
        <v>240</v>
      </c>
      <c r="G500" t="s">
        <v>82</v>
      </c>
      <c r="H500" t="s">
        <v>83</v>
      </c>
      <c r="I500" t="s">
        <v>499</v>
      </c>
      <c r="J500" t="s">
        <v>190</v>
      </c>
      <c r="K500" t="s">
        <v>250</v>
      </c>
      <c r="L500">
        <v>0.01</v>
      </c>
      <c r="M500" t="s">
        <v>251</v>
      </c>
      <c r="N500" t="s">
        <v>500</v>
      </c>
    </row>
    <row r="501" spans="1:16" hidden="1" x14ac:dyDescent="0.25">
      <c r="A501" s="16">
        <v>45566</v>
      </c>
      <c r="B501" t="s">
        <v>97</v>
      </c>
      <c r="C501">
        <v>34</v>
      </c>
      <c r="D501" t="s">
        <v>291</v>
      </c>
      <c r="E501" t="s">
        <v>292</v>
      </c>
      <c r="F501" t="s">
        <v>240</v>
      </c>
      <c r="G501" t="s">
        <v>82</v>
      </c>
      <c r="H501" t="s">
        <v>83</v>
      </c>
      <c r="I501" t="s">
        <v>501</v>
      </c>
      <c r="J501" t="s">
        <v>190</v>
      </c>
      <c r="K501" t="s">
        <v>250</v>
      </c>
      <c r="L501">
        <v>0.67</v>
      </c>
      <c r="M501" t="s">
        <v>251</v>
      </c>
      <c r="N501" t="s">
        <v>502</v>
      </c>
    </row>
    <row r="502" spans="1:16" hidden="1" x14ac:dyDescent="0.25">
      <c r="A502" s="16">
        <v>45566</v>
      </c>
      <c r="B502" t="s">
        <v>97</v>
      </c>
      <c r="C502">
        <v>34</v>
      </c>
      <c r="D502" t="s">
        <v>291</v>
      </c>
      <c r="E502" t="s">
        <v>292</v>
      </c>
      <c r="F502" t="s">
        <v>240</v>
      </c>
      <c r="G502" t="s">
        <v>82</v>
      </c>
      <c r="H502" t="s">
        <v>83</v>
      </c>
      <c r="I502" t="s">
        <v>503</v>
      </c>
      <c r="J502" t="s">
        <v>190</v>
      </c>
      <c r="K502" t="s">
        <v>250</v>
      </c>
      <c r="L502">
        <v>4.37</v>
      </c>
      <c r="M502" t="s">
        <v>251</v>
      </c>
      <c r="N502" t="s">
        <v>715</v>
      </c>
    </row>
    <row r="503" spans="1:16" hidden="1" x14ac:dyDescent="0.25">
      <c r="A503" s="16">
        <v>45566</v>
      </c>
      <c r="B503" t="s">
        <v>97</v>
      </c>
      <c r="C503">
        <v>34</v>
      </c>
      <c r="D503" t="s">
        <v>291</v>
      </c>
      <c r="E503" t="s">
        <v>292</v>
      </c>
      <c r="F503" t="s">
        <v>240</v>
      </c>
      <c r="G503" t="s">
        <v>82</v>
      </c>
      <c r="H503" t="s">
        <v>83</v>
      </c>
      <c r="I503" t="s">
        <v>315</v>
      </c>
      <c r="J503" t="s">
        <v>190</v>
      </c>
      <c r="K503" t="s">
        <v>250</v>
      </c>
      <c r="L503">
        <v>86.59</v>
      </c>
      <c r="M503" t="s">
        <v>251</v>
      </c>
      <c r="N503" t="s">
        <v>716</v>
      </c>
    </row>
    <row r="504" spans="1:16" hidden="1" x14ac:dyDescent="0.25">
      <c r="A504" s="16">
        <v>45566</v>
      </c>
      <c r="B504" t="s">
        <v>97</v>
      </c>
      <c r="C504">
        <v>34</v>
      </c>
      <c r="D504" t="s">
        <v>291</v>
      </c>
      <c r="E504" t="s">
        <v>292</v>
      </c>
      <c r="F504" t="s">
        <v>240</v>
      </c>
      <c r="G504" t="s">
        <v>82</v>
      </c>
      <c r="H504" t="s">
        <v>83</v>
      </c>
      <c r="I504" t="s">
        <v>317</v>
      </c>
      <c r="J504" t="s">
        <v>190</v>
      </c>
      <c r="K504" t="s">
        <v>250</v>
      </c>
      <c r="L504">
        <v>6.32</v>
      </c>
      <c r="M504" t="s">
        <v>251</v>
      </c>
      <c r="N504" t="s">
        <v>717</v>
      </c>
    </row>
    <row r="505" spans="1:16" hidden="1" x14ac:dyDescent="0.25">
      <c r="A505" s="16">
        <v>45566</v>
      </c>
      <c r="B505" t="s">
        <v>97</v>
      </c>
      <c r="C505">
        <v>34</v>
      </c>
      <c r="D505" t="s">
        <v>291</v>
      </c>
      <c r="E505" t="s">
        <v>292</v>
      </c>
      <c r="F505" t="s">
        <v>240</v>
      </c>
      <c r="G505" t="s">
        <v>82</v>
      </c>
      <c r="H505" t="s">
        <v>84</v>
      </c>
      <c r="I505" t="s">
        <v>84</v>
      </c>
      <c r="J505" t="s">
        <v>190</v>
      </c>
      <c r="K505" t="s">
        <v>250</v>
      </c>
      <c r="L505">
        <v>82.05</v>
      </c>
      <c r="M505" t="s">
        <v>251</v>
      </c>
      <c r="N505" t="s">
        <v>718</v>
      </c>
    </row>
    <row r="506" spans="1:16" hidden="1" x14ac:dyDescent="0.25">
      <c r="A506" s="16">
        <v>45566</v>
      </c>
      <c r="B506" t="s">
        <v>97</v>
      </c>
      <c r="C506">
        <v>34</v>
      </c>
      <c r="D506" t="s">
        <v>291</v>
      </c>
      <c r="E506" t="s">
        <v>292</v>
      </c>
      <c r="F506" t="s">
        <v>240</v>
      </c>
      <c r="G506" t="s">
        <v>82</v>
      </c>
      <c r="H506" t="s">
        <v>84</v>
      </c>
      <c r="I506" t="s">
        <v>321</v>
      </c>
      <c r="J506" t="s">
        <v>190</v>
      </c>
      <c r="K506" t="s">
        <v>250</v>
      </c>
      <c r="L506">
        <v>17.95</v>
      </c>
      <c r="M506" t="s">
        <v>251</v>
      </c>
      <c r="N506" t="s">
        <v>719</v>
      </c>
    </row>
    <row r="507" spans="1:16" hidden="1" x14ac:dyDescent="0.25">
      <c r="A507" s="16">
        <v>45566</v>
      </c>
      <c r="B507" t="s">
        <v>97</v>
      </c>
      <c r="C507">
        <v>35</v>
      </c>
      <c r="D507" t="s">
        <v>247</v>
      </c>
      <c r="E507" t="s">
        <v>248</v>
      </c>
      <c r="F507" t="s">
        <v>244</v>
      </c>
      <c r="G507" t="s">
        <v>82</v>
      </c>
      <c r="H507" t="s">
        <v>286</v>
      </c>
      <c r="J507" t="s">
        <v>190</v>
      </c>
      <c r="K507" t="s">
        <v>250</v>
      </c>
      <c r="L507">
        <v>4.7</v>
      </c>
      <c r="M507" t="s">
        <v>251</v>
      </c>
      <c r="N507" t="s">
        <v>720</v>
      </c>
    </row>
    <row r="508" spans="1:16" hidden="1" x14ac:dyDescent="0.25">
      <c r="A508" s="16">
        <v>45566</v>
      </c>
      <c r="B508" t="s">
        <v>97</v>
      </c>
      <c r="C508">
        <v>35</v>
      </c>
      <c r="D508" t="s">
        <v>253</v>
      </c>
      <c r="E508" t="s">
        <v>248</v>
      </c>
      <c r="F508" t="s">
        <v>244</v>
      </c>
      <c r="G508" t="s">
        <v>82</v>
      </c>
      <c r="J508" t="s">
        <v>258</v>
      </c>
      <c r="K508" t="s">
        <v>255</v>
      </c>
      <c r="L508">
        <v>461000000</v>
      </c>
      <c r="M508" t="s">
        <v>245</v>
      </c>
      <c r="N508" t="s">
        <v>511</v>
      </c>
      <c r="O508">
        <v>1</v>
      </c>
      <c r="P508" t="s">
        <v>257</v>
      </c>
    </row>
    <row r="509" spans="1:16" hidden="1" x14ac:dyDescent="0.25">
      <c r="A509" s="16">
        <v>45566</v>
      </c>
      <c r="B509" t="s">
        <v>97</v>
      </c>
      <c r="C509">
        <v>35</v>
      </c>
      <c r="D509" t="s">
        <v>253</v>
      </c>
      <c r="E509" t="s">
        <v>248</v>
      </c>
      <c r="F509" t="s">
        <v>244</v>
      </c>
      <c r="G509" t="s">
        <v>82</v>
      </c>
      <c r="J509" t="s">
        <v>189</v>
      </c>
      <c r="K509" t="s">
        <v>255</v>
      </c>
      <c r="L509">
        <v>447000000</v>
      </c>
      <c r="M509" t="s">
        <v>245</v>
      </c>
      <c r="N509" t="s">
        <v>512</v>
      </c>
      <c r="O509">
        <v>1</v>
      </c>
      <c r="P509" t="s">
        <v>257</v>
      </c>
    </row>
    <row r="510" spans="1:16" hidden="1" x14ac:dyDescent="0.25">
      <c r="A510" s="16">
        <v>45566</v>
      </c>
      <c r="B510" t="s">
        <v>97</v>
      </c>
      <c r="C510">
        <v>35</v>
      </c>
      <c r="D510" t="s">
        <v>253</v>
      </c>
      <c r="E510" t="s">
        <v>248</v>
      </c>
      <c r="F510" t="s">
        <v>244</v>
      </c>
      <c r="G510" t="s">
        <v>82</v>
      </c>
      <c r="J510" t="s">
        <v>190</v>
      </c>
      <c r="K510" t="s">
        <v>255</v>
      </c>
      <c r="L510">
        <v>467000000</v>
      </c>
      <c r="M510" t="s">
        <v>245</v>
      </c>
      <c r="N510" t="s">
        <v>721</v>
      </c>
      <c r="O510">
        <v>1</v>
      </c>
      <c r="P510" t="s">
        <v>261</v>
      </c>
    </row>
    <row r="511" spans="1:16" hidden="1" x14ac:dyDescent="0.25">
      <c r="A511" s="16">
        <v>45566</v>
      </c>
      <c r="B511" t="s">
        <v>97</v>
      </c>
      <c r="C511">
        <v>36</v>
      </c>
      <c r="D511" t="s">
        <v>291</v>
      </c>
      <c r="E511" t="s">
        <v>292</v>
      </c>
      <c r="F511" t="s">
        <v>244</v>
      </c>
      <c r="G511" t="s">
        <v>82</v>
      </c>
      <c r="H511" t="s">
        <v>105</v>
      </c>
      <c r="J511" t="s">
        <v>190</v>
      </c>
      <c r="K511" t="s">
        <v>250</v>
      </c>
      <c r="L511">
        <v>20300000</v>
      </c>
      <c r="M511" t="s">
        <v>245</v>
      </c>
      <c r="N511" t="s">
        <v>722</v>
      </c>
    </row>
    <row r="512" spans="1:16" hidden="1" x14ac:dyDescent="0.25">
      <c r="A512" s="16">
        <v>45566</v>
      </c>
      <c r="B512" t="s">
        <v>97</v>
      </c>
      <c r="C512">
        <v>36</v>
      </c>
      <c r="D512" t="s">
        <v>291</v>
      </c>
      <c r="E512" t="s">
        <v>292</v>
      </c>
      <c r="F512" t="s">
        <v>244</v>
      </c>
      <c r="G512" t="s">
        <v>82</v>
      </c>
      <c r="H512" t="s">
        <v>106</v>
      </c>
      <c r="J512" t="s">
        <v>190</v>
      </c>
      <c r="K512" t="s">
        <v>250</v>
      </c>
      <c r="L512">
        <v>32000000</v>
      </c>
      <c r="M512" t="s">
        <v>245</v>
      </c>
      <c r="N512" t="s">
        <v>723</v>
      </c>
    </row>
    <row r="513" spans="1:16" hidden="1" x14ac:dyDescent="0.25">
      <c r="A513" s="16">
        <v>45566</v>
      </c>
      <c r="B513" t="s">
        <v>97</v>
      </c>
      <c r="C513">
        <v>36</v>
      </c>
      <c r="D513" t="s">
        <v>291</v>
      </c>
      <c r="E513" t="s">
        <v>292</v>
      </c>
      <c r="F513" t="s">
        <v>244</v>
      </c>
      <c r="G513" t="s">
        <v>82</v>
      </c>
      <c r="H513" t="s">
        <v>83</v>
      </c>
      <c r="J513" t="s">
        <v>190</v>
      </c>
      <c r="K513" t="s">
        <v>250</v>
      </c>
      <c r="L513">
        <v>399700000</v>
      </c>
      <c r="M513" t="s">
        <v>245</v>
      </c>
      <c r="N513" t="s">
        <v>724</v>
      </c>
    </row>
    <row r="514" spans="1:16" hidden="1" x14ac:dyDescent="0.25">
      <c r="A514" s="16">
        <v>45566</v>
      </c>
      <c r="B514" t="s">
        <v>97</v>
      </c>
      <c r="C514">
        <v>36</v>
      </c>
      <c r="D514" t="s">
        <v>291</v>
      </c>
      <c r="E514" t="s">
        <v>292</v>
      </c>
      <c r="F514" t="s">
        <v>244</v>
      </c>
      <c r="G514" t="s">
        <v>82</v>
      </c>
      <c r="H514" t="s">
        <v>84</v>
      </c>
      <c r="J514" t="s">
        <v>190</v>
      </c>
      <c r="K514" t="s">
        <v>250</v>
      </c>
      <c r="L514">
        <v>15300000</v>
      </c>
      <c r="M514" t="s">
        <v>245</v>
      </c>
      <c r="N514" t="s">
        <v>725</v>
      </c>
    </row>
    <row r="515" spans="1:16" hidden="1" x14ac:dyDescent="0.25">
      <c r="A515" s="16">
        <v>45566</v>
      </c>
      <c r="B515" t="s">
        <v>97</v>
      </c>
      <c r="C515">
        <v>37</v>
      </c>
      <c r="D515" t="s">
        <v>291</v>
      </c>
      <c r="E515" t="s">
        <v>292</v>
      </c>
      <c r="F515" t="s">
        <v>244</v>
      </c>
      <c r="G515" t="s">
        <v>82</v>
      </c>
      <c r="H515" t="s">
        <v>105</v>
      </c>
      <c r="I515" t="s">
        <v>491</v>
      </c>
      <c r="J515" t="s">
        <v>190</v>
      </c>
      <c r="K515" t="s">
        <v>250</v>
      </c>
      <c r="L515">
        <v>1.71</v>
      </c>
      <c r="M515" t="s">
        <v>251</v>
      </c>
      <c r="N515" t="s">
        <v>726</v>
      </c>
    </row>
    <row r="516" spans="1:16" hidden="1" x14ac:dyDescent="0.25">
      <c r="A516" s="16">
        <v>45566</v>
      </c>
      <c r="B516" t="s">
        <v>97</v>
      </c>
      <c r="C516">
        <v>37</v>
      </c>
      <c r="D516" t="s">
        <v>291</v>
      </c>
      <c r="E516" t="s">
        <v>292</v>
      </c>
      <c r="F516" t="s">
        <v>244</v>
      </c>
      <c r="G516" t="s">
        <v>82</v>
      </c>
      <c r="H516" t="s">
        <v>105</v>
      </c>
      <c r="I516" t="s">
        <v>493</v>
      </c>
      <c r="J516" t="s">
        <v>190</v>
      </c>
      <c r="K516" t="s">
        <v>250</v>
      </c>
      <c r="L516">
        <v>98.29</v>
      </c>
      <c r="M516" t="s">
        <v>251</v>
      </c>
      <c r="N516" t="s">
        <v>727</v>
      </c>
    </row>
    <row r="517" spans="1:16" hidden="1" x14ac:dyDescent="0.25">
      <c r="A517" s="16">
        <v>45566</v>
      </c>
      <c r="B517" t="s">
        <v>97</v>
      </c>
      <c r="C517">
        <v>37</v>
      </c>
      <c r="D517" t="s">
        <v>291</v>
      </c>
      <c r="E517" t="s">
        <v>292</v>
      </c>
      <c r="F517" t="s">
        <v>244</v>
      </c>
      <c r="G517" t="s">
        <v>82</v>
      </c>
      <c r="H517" t="s">
        <v>106</v>
      </c>
      <c r="I517" t="s">
        <v>491</v>
      </c>
      <c r="J517" t="s">
        <v>190</v>
      </c>
      <c r="K517" t="s">
        <v>250</v>
      </c>
      <c r="L517">
        <v>7.48</v>
      </c>
      <c r="M517" t="s">
        <v>251</v>
      </c>
      <c r="N517" t="s">
        <v>728</v>
      </c>
    </row>
    <row r="518" spans="1:16" hidden="1" x14ac:dyDescent="0.25">
      <c r="A518" s="16">
        <v>45566</v>
      </c>
      <c r="B518" t="s">
        <v>97</v>
      </c>
      <c r="C518">
        <v>37</v>
      </c>
      <c r="D518" t="s">
        <v>291</v>
      </c>
      <c r="E518" t="s">
        <v>292</v>
      </c>
      <c r="F518" t="s">
        <v>244</v>
      </c>
      <c r="G518" t="s">
        <v>82</v>
      </c>
      <c r="H518" t="s">
        <v>106</v>
      </c>
      <c r="I518" t="s">
        <v>493</v>
      </c>
      <c r="J518" t="s">
        <v>190</v>
      </c>
      <c r="K518" t="s">
        <v>250</v>
      </c>
      <c r="L518">
        <v>92.52</v>
      </c>
      <c r="M518" t="s">
        <v>251</v>
      </c>
      <c r="N518" t="s">
        <v>729</v>
      </c>
    </row>
    <row r="519" spans="1:16" hidden="1" x14ac:dyDescent="0.25">
      <c r="A519" s="16">
        <v>45566</v>
      </c>
      <c r="B519" t="s">
        <v>97</v>
      </c>
      <c r="C519">
        <v>37</v>
      </c>
      <c r="D519" t="s">
        <v>291</v>
      </c>
      <c r="E519" t="s">
        <v>292</v>
      </c>
      <c r="F519" t="s">
        <v>244</v>
      </c>
      <c r="G519" t="s">
        <v>82</v>
      </c>
      <c r="H519" t="s">
        <v>83</v>
      </c>
      <c r="I519" t="s">
        <v>497</v>
      </c>
      <c r="J519" t="s">
        <v>190</v>
      </c>
      <c r="K519" t="s">
        <v>250</v>
      </c>
      <c r="L519">
        <v>4.0599999999999996</v>
      </c>
      <c r="M519" t="s">
        <v>251</v>
      </c>
      <c r="N519" t="s">
        <v>730</v>
      </c>
    </row>
    <row r="520" spans="1:16" hidden="1" x14ac:dyDescent="0.25">
      <c r="A520" s="16">
        <v>45566</v>
      </c>
      <c r="B520" t="s">
        <v>97</v>
      </c>
      <c r="C520">
        <v>37</v>
      </c>
      <c r="D520" t="s">
        <v>291</v>
      </c>
      <c r="E520" t="s">
        <v>292</v>
      </c>
      <c r="F520" t="s">
        <v>244</v>
      </c>
      <c r="G520" t="s">
        <v>82</v>
      </c>
      <c r="H520" t="s">
        <v>83</v>
      </c>
      <c r="I520" t="s">
        <v>499</v>
      </c>
      <c r="J520" t="s">
        <v>190</v>
      </c>
      <c r="K520" t="s">
        <v>250</v>
      </c>
      <c r="L520">
        <v>0.02</v>
      </c>
      <c r="M520" t="s">
        <v>251</v>
      </c>
      <c r="N520" t="s">
        <v>731</v>
      </c>
    </row>
    <row r="521" spans="1:16" hidden="1" x14ac:dyDescent="0.25">
      <c r="A521" s="16">
        <v>45566</v>
      </c>
      <c r="B521" t="s">
        <v>97</v>
      </c>
      <c r="C521">
        <v>37</v>
      </c>
      <c r="D521" t="s">
        <v>291</v>
      </c>
      <c r="E521" t="s">
        <v>292</v>
      </c>
      <c r="F521" t="s">
        <v>244</v>
      </c>
      <c r="G521" t="s">
        <v>82</v>
      </c>
      <c r="H521" t="s">
        <v>83</v>
      </c>
      <c r="I521" t="s">
        <v>501</v>
      </c>
      <c r="J521" t="s">
        <v>190</v>
      </c>
      <c r="K521" t="s">
        <v>250</v>
      </c>
      <c r="L521">
        <v>3.07</v>
      </c>
      <c r="M521" t="s">
        <v>251</v>
      </c>
      <c r="N521" t="s">
        <v>732</v>
      </c>
    </row>
    <row r="522" spans="1:16" hidden="1" x14ac:dyDescent="0.25">
      <c r="A522" s="16">
        <v>45566</v>
      </c>
      <c r="B522" t="s">
        <v>97</v>
      </c>
      <c r="C522">
        <v>37</v>
      </c>
      <c r="D522" t="s">
        <v>291</v>
      </c>
      <c r="E522" t="s">
        <v>292</v>
      </c>
      <c r="F522" t="s">
        <v>244</v>
      </c>
      <c r="G522" t="s">
        <v>82</v>
      </c>
      <c r="H522" t="s">
        <v>83</v>
      </c>
      <c r="I522" t="s">
        <v>503</v>
      </c>
      <c r="J522" t="s">
        <v>190</v>
      </c>
      <c r="K522" t="s">
        <v>250</v>
      </c>
      <c r="L522">
        <v>5.6</v>
      </c>
      <c r="M522" t="s">
        <v>251</v>
      </c>
      <c r="N522" t="s">
        <v>733</v>
      </c>
    </row>
    <row r="523" spans="1:16" hidden="1" x14ac:dyDescent="0.25">
      <c r="A523" s="16">
        <v>45566</v>
      </c>
      <c r="B523" t="s">
        <v>97</v>
      </c>
      <c r="C523">
        <v>37</v>
      </c>
      <c r="D523" t="s">
        <v>291</v>
      </c>
      <c r="E523" t="s">
        <v>292</v>
      </c>
      <c r="F523" t="s">
        <v>244</v>
      </c>
      <c r="G523" t="s">
        <v>82</v>
      </c>
      <c r="H523" t="s">
        <v>83</v>
      </c>
      <c r="I523" t="s">
        <v>315</v>
      </c>
      <c r="J523" t="s">
        <v>190</v>
      </c>
      <c r="K523" t="s">
        <v>250</v>
      </c>
      <c r="L523">
        <v>71.88</v>
      </c>
      <c r="M523" t="s">
        <v>251</v>
      </c>
      <c r="N523" t="s">
        <v>734</v>
      </c>
    </row>
    <row r="524" spans="1:16" hidden="1" x14ac:dyDescent="0.25">
      <c r="A524" s="16">
        <v>45566</v>
      </c>
      <c r="B524" t="s">
        <v>97</v>
      </c>
      <c r="C524">
        <v>37</v>
      </c>
      <c r="D524" t="s">
        <v>291</v>
      </c>
      <c r="E524" t="s">
        <v>292</v>
      </c>
      <c r="F524" t="s">
        <v>244</v>
      </c>
      <c r="G524" t="s">
        <v>82</v>
      </c>
      <c r="H524" t="s">
        <v>83</v>
      </c>
      <c r="I524" t="s">
        <v>317</v>
      </c>
      <c r="J524" t="s">
        <v>190</v>
      </c>
      <c r="K524" t="s">
        <v>250</v>
      </c>
      <c r="L524">
        <v>15.37</v>
      </c>
      <c r="M524" t="s">
        <v>251</v>
      </c>
      <c r="N524" t="s">
        <v>735</v>
      </c>
    </row>
    <row r="525" spans="1:16" hidden="1" x14ac:dyDescent="0.25">
      <c r="A525" s="16">
        <v>45566</v>
      </c>
      <c r="B525" t="s">
        <v>97</v>
      </c>
      <c r="C525">
        <v>37</v>
      </c>
      <c r="D525" t="s">
        <v>291</v>
      </c>
      <c r="E525" t="s">
        <v>292</v>
      </c>
      <c r="F525" t="s">
        <v>244</v>
      </c>
      <c r="G525" t="s">
        <v>82</v>
      </c>
      <c r="H525" t="s">
        <v>84</v>
      </c>
      <c r="I525" t="s">
        <v>84</v>
      </c>
      <c r="J525" t="s">
        <v>190</v>
      </c>
      <c r="K525" t="s">
        <v>250</v>
      </c>
      <c r="L525">
        <v>96.13</v>
      </c>
      <c r="M525" t="s">
        <v>251</v>
      </c>
      <c r="N525" t="s">
        <v>736</v>
      </c>
    </row>
    <row r="526" spans="1:16" hidden="1" x14ac:dyDescent="0.25">
      <c r="A526" s="16">
        <v>45566</v>
      </c>
      <c r="B526" t="s">
        <v>97</v>
      </c>
      <c r="C526">
        <v>37</v>
      </c>
      <c r="D526" t="s">
        <v>291</v>
      </c>
      <c r="E526" t="s">
        <v>292</v>
      </c>
      <c r="F526" t="s">
        <v>244</v>
      </c>
      <c r="G526" t="s">
        <v>82</v>
      </c>
      <c r="H526" t="s">
        <v>84</v>
      </c>
      <c r="I526" t="s">
        <v>321</v>
      </c>
      <c r="J526" t="s">
        <v>190</v>
      </c>
      <c r="K526" t="s">
        <v>250</v>
      </c>
      <c r="L526">
        <v>3.87</v>
      </c>
      <c r="M526" t="s">
        <v>251</v>
      </c>
      <c r="N526" t="s">
        <v>737</v>
      </c>
    </row>
    <row r="527" spans="1:16" hidden="1" x14ac:dyDescent="0.25">
      <c r="A527" s="16">
        <v>45566</v>
      </c>
      <c r="B527" t="s">
        <v>97</v>
      </c>
      <c r="C527">
        <v>38</v>
      </c>
      <c r="D527" t="s">
        <v>253</v>
      </c>
      <c r="E527" t="s">
        <v>248</v>
      </c>
      <c r="F527" t="s">
        <v>334</v>
      </c>
      <c r="G527" t="s">
        <v>82</v>
      </c>
      <c r="J527" t="s">
        <v>258</v>
      </c>
      <c r="K527" t="s">
        <v>255</v>
      </c>
      <c r="L527">
        <v>92</v>
      </c>
      <c r="M527" t="s">
        <v>245</v>
      </c>
      <c r="N527" t="s">
        <v>530</v>
      </c>
      <c r="O527">
        <v>1</v>
      </c>
      <c r="P527" t="s">
        <v>257</v>
      </c>
    </row>
    <row r="528" spans="1:16" hidden="1" x14ac:dyDescent="0.25">
      <c r="A528" s="16">
        <v>45566</v>
      </c>
      <c r="B528" t="s">
        <v>97</v>
      </c>
      <c r="C528">
        <v>38</v>
      </c>
      <c r="D528" t="s">
        <v>253</v>
      </c>
      <c r="E528" t="s">
        <v>248</v>
      </c>
      <c r="F528" t="s">
        <v>334</v>
      </c>
      <c r="G528" t="s">
        <v>82</v>
      </c>
      <c r="J528" t="s">
        <v>189</v>
      </c>
      <c r="K528" t="s">
        <v>255</v>
      </c>
      <c r="L528">
        <v>89</v>
      </c>
      <c r="M528" t="s">
        <v>245</v>
      </c>
      <c r="N528" t="s">
        <v>531</v>
      </c>
      <c r="O528">
        <v>1</v>
      </c>
      <c r="P528" t="s">
        <v>257</v>
      </c>
    </row>
    <row r="529" spans="1:16" hidden="1" x14ac:dyDescent="0.25">
      <c r="A529" s="16">
        <v>45566</v>
      </c>
      <c r="B529" t="s">
        <v>97</v>
      </c>
      <c r="C529">
        <v>38</v>
      </c>
      <c r="D529" t="s">
        <v>253</v>
      </c>
      <c r="E529" t="s">
        <v>248</v>
      </c>
      <c r="F529" t="s">
        <v>334</v>
      </c>
      <c r="G529" t="s">
        <v>82</v>
      </c>
      <c r="J529" t="s">
        <v>190</v>
      </c>
      <c r="K529" t="s">
        <v>255</v>
      </c>
      <c r="L529">
        <v>84</v>
      </c>
      <c r="M529" t="s">
        <v>245</v>
      </c>
      <c r="N529" t="s">
        <v>738</v>
      </c>
      <c r="O529">
        <v>1</v>
      </c>
      <c r="P529" t="s">
        <v>261</v>
      </c>
    </row>
    <row r="530" spans="1:16" hidden="1" x14ac:dyDescent="0.25">
      <c r="A530" s="16">
        <v>45566</v>
      </c>
      <c r="B530" t="s">
        <v>97</v>
      </c>
      <c r="C530">
        <v>39</v>
      </c>
      <c r="D530" t="s">
        <v>291</v>
      </c>
      <c r="E530" t="s">
        <v>292</v>
      </c>
      <c r="F530" t="s">
        <v>240</v>
      </c>
      <c r="G530" t="s">
        <v>82</v>
      </c>
      <c r="H530" t="s">
        <v>94</v>
      </c>
      <c r="J530" t="s">
        <v>190</v>
      </c>
      <c r="K530" t="s">
        <v>250</v>
      </c>
      <c r="L530">
        <v>1650000</v>
      </c>
      <c r="M530" t="s">
        <v>242</v>
      </c>
      <c r="N530" t="s">
        <v>739</v>
      </c>
    </row>
    <row r="531" spans="1:16" hidden="1" x14ac:dyDescent="0.25">
      <c r="A531" s="16">
        <v>45566</v>
      </c>
      <c r="B531" t="s">
        <v>97</v>
      </c>
      <c r="C531">
        <v>39</v>
      </c>
      <c r="D531" t="s">
        <v>291</v>
      </c>
      <c r="E531" t="s">
        <v>292</v>
      </c>
      <c r="F531" t="s">
        <v>240</v>
      </c>
      <c r="G531" t="s">
        <v>82</v>
      </c>
      <c r="H531" t="s">
        <v>95</v>
      </c>
      <c r="J531" t="s">
        <v>190</v>
      </c>
      <c r="K531" t="s">
        <v>250</v>
      </c>
      <c r="L531">
        <v>1710000</v>
      </c>
      <c r="M531" t="s">
        <v>242</v>
      </c>
      <c r="N531" t="s">
        <v>740</v>
      </c>
    </row>
    <row r="532" spans="1:16" hidden="1" x14ac:dyDescent="0.25">
      <c r="A532" s="16">
        <v>45566</v>
      </c>
      <c r="B532" t="s">
        <v>97</v>
      </c>
      <c r="C532">
        <v>40</v>
      </c>
      <c r="D532" t="s">
        <v>291</v>
      </c>
      <c r="E532" t="s">
        <v>292</v>
      </c>
      <c r="F532" t="s">
        <v>244</v>
      </c>
      <c r="G532" t="s">
        <v>82</v>
      </c>
      <c r="H532" t="s">
        <v>94</v>
      </c>
      <c r="J532" t="s">
        <v>190</v>
      </c>
      <c r="K532" t="s">
        <v>250</v>
      </c>
      <c r="L532">
        <v>92300000</v>
      </c>
      <c r="M532" t="s">
        <v>245</v>
      </c>
      <c r="N532" t="s">
        <v>741</v>
      </c>
    </row>
    <row r="533" spans="1:16" hidden="1" x14ac:dyDescent="0.25">
      <c r="A533" s="16">
        <v>45566</v>
      </c>
      <c r="B533" t="s">
        <v>97</v>
      </c>
      <c r="C533">
        <v>40</v>
      </c>
      <c r="D533" t="s">
        <v>291</v>
      </c>
      <c r="E533" t="s">
        <v>292</v>
      </c>
      <c r="F533" t="s">
        <v>244</v>
      </c>
      <c r="G533" t="s">
        <v>82</v>
      </c>
      <c r="H533" t="s">
        <v>95</v>
      </c>
      <c r="J533" t="s">
        <v>190</v>
      </c>
      <c r="K533" t="s">
        <v>250</v>
      </c>
      <c r="L533">
        <v>88400000</v>
      </c>
      <c r="M533" t="s">
        <v>245</v>
      </c>
      <c r="N533" t="s">
        <v>742</v>
      </c>
    </row>
    <row r="534" spans="1:16" hidden="1" x14ac:dyDescent="0.25">
      <c r="A534" s="16">
        <v>45566</v>
      </c>
      <c r="B534" t="s">
        <v>535</v>
      </c>
      <c r="C534">
        <v>4</v>
      </c>
      <c r="D534" t="s">
        <v>238</v>
      </c>
      <c r="E534" t="s">
        <v>239</v>
      </c>
      <c r="F534" t="s">
        <v>240</v>
      </c>
      <c r="G534" t="s">
        <v>82</v>
      </c>
      <c r="J534" t="s">
        <v>190</v>
      </c>
      <c r="K534" t="s">
        <v>250</v>
      </c>
      <c r="L534">
        <v>8860000</v>
      </c>
      <c r="M534" t="s">
        <v>242</v>
      </c>
      <c r="N534" t="s">
        <v>743</v>
      </c>
    </row>
    <row r="535" spans="1:16" hidden="1" x14ac:dyDescent="0.25">
      <c r="A535" s="16">
        <v>45566</v>
      </c>
      <c r="B535" t="s">
        <v>535</v>
      </c>
      <c r="C535">
        <v>4</v>
      </c>
      <c r="D535" t="s">
        <v>238</v>
      </c>
      <c r="E535" t="s">
        <v>239</v>
      </c>
      <c r="F535" t="s">
        <v>285</v>
      </c>
      <c r="G535" t="s">
        <v>63</v>
      </c>
      <c r="J535" t="s">
        <v>190</v>
      </c>
      <c r="K535" t="s">
        <v>250</v>
      </c>
      <c r="L535">
        <v>1600000</v>
      </c>
      <c r="M535" t="s">
        <v>242</v>
      </c>
      <c r="N535" t="s">
        <v>532</v>
      </c>
    </row>
    <row r="536" spans="1:16" hidden="1" x14ac:dyDescent="0.25">
      <c r="A536" s="16">
        <v>45566</v>
      </c>
      <c r="B536" t="s">
        <v>535</v>
      </c>
      <c r="C536">
        <v>4</v>
      </c>
      <c r="D536" t="s">
        <v>238</v>
      </c>
      <c r="E536" t="s">
        <v>239</v>
      </c>
      <c r="F536" t="s">
        <v>244</v>
      </c>
      <c r="G536" t="s">
        <v>82</v>
      </c>
      <c r="J536" t="s">
        <v>190</v>
      </c>
      <c r="K536" t="s">
        <v>250</v>
      </c>
      <c r="L536">
        <v>1220000000</v>
      </c>
      <c r="M536" t="s">
        <v>245</v>
      </c>
      <c r="N536" t="s">
        <v>744</v>
      </c>
    </row>
    <row r="537" spans="1:16" hidden="1" x14ac:dyDescent="0.25">
      <c r="A537" s="16">
        <v>45566</v>
      </c>
      <c r="B537" t="s">
        <v>535</v>
      </c>
      <c r="C537">
        <v>5</v>
      </c>
      <c r="D537" t="s">
        <v>238</v>
      </c>
      <c r="E537" t="s">
        <v>239</v>
      </c>
      <c r="F537" t="s">
        <v>240</v>
      </c>
      <c r="G537" t="s">
        <v>82</v>
      </c>
      <c r="J537" t="s">
        <v>190</v>
      </c>
      <c r="K537" t="s">
        <v>250</v>
      </c>
      <c r="L537">
        <v>5590000</v>
      </c>
      <c r="M537" t="s">
        <v>242</v>
      </c>
      <c r="N537" t="s">
        <v>745</v>
      </c>
    </row>
    <row r="538" spans="1:16" hidden="1" x14ac:dyDescent="0.25">
      <c r="A538" s="16">
        <v>45566</v>
      </c>
      <c r="B538" t="s">
        <v>535</v>
      </c>
      <c r="C538">
        <v>5</v>
      </c>
      <c r="D538" t="s">
        <v>238</v>
      </c>
      <c r="E538" t="s">
        <v>239</v>
      </c>
      <c r="F538" t="s">
        <v>285</v>
      </c>
      <c r="G538" t="s">
        <v>63</v>
      </c>
      <c r="J538" t="s">
        <v>190</v>
      </c>
      <c r="K538" t="s">
        <v>250</v>
      </c>
      <c r="L538">
        <v>2370000</v>
      </c>
      <c r="M538" t="s">
        <v>242</v>
      </c>
      <c r="N538" t="s">
        <v>746</v>
      </c>
    </row>
    <row r="539" spans="1:16" hidden="1" x14ac:dyDescent="0.25">
      <c r="A539" s="16">
        <v>45566</v>
      </c>
      <c r="B539" t="s">
        <v>535</v>
      </c>
      <c r="C539">
        <v>5</v>
      </c>
      <c r="D539" t="s">
        <v>238</v>
      </c>
      <c r="E539" t="s">
        <v>239</v>
      </c>
      <c r="F539" t="s">
        <v>244</v>
      </c>
      <c r="G539" t="s">
        <v>82</v>
      </c>
      <c r="J539" t="s">
        <v>190</v>
      </c>
      <c r="K539" t="s">
        <v>250</v>
      </c>
      <c r="L539">
        <v>467000000</v>
      </c>
      <c r="M539" t="s">
        <v>245</v>
      </c>
      <c r="N539" t="s">
        <v>747</v>
      </c>
    </row>
    <row r="540" spans="1:16" hidden="1" x14ac:dyDescent="0.25">
      <c r="A540" s="16">
        <v>45566</v>
      </c>
      <c r="B540" t="s">
        <v>535</v>
      </c>
      <c r="C540">
        <v>6</v>
      </c>
      <c r="D540" t="s">
        <v>238</v>
      </c>
      <c r="E540" t="s">
        <v>239</v>
      </c>
      <c r="F540" t="s">
        <v>378</v>
      </c>
      <c r="G540" t="s">
        <v>379</v>
      </c>
      <c r="J540" t="s">
        <v>190</v>
      </c>
      <c r="K540" t="s">
        <v>250</v>
      </c>
      <c r="L540">
        <v>568</v>
      </c>
      <c r="M540" t="s">
        <v>242</v>
      </c>
      <c r="N540" t="s">
        <v>633</v>
      </c>
    </row>
    <row r="541" spans="1:16" hidden="1" x14ac:dyDescent="0.25">
      <c r="A541" s="16">
        <v>45566</v>
      </c>
      <c r="B541" t="s">
        <v>535</v>
      </c>
      <c r="C541">
        <v>6</v>
      </c>
      <c r="D541" t="s">
        <v>238</v>
      </c>
      <c r="E541" t="s">
        <v>239</v>
      </c>
      <c r="F541" t="s">
        <v>381</v>
      </c>
      <c r="G541" t="s">
        <v>382</v>
      </c>
      <c r="J541" t="s">
        <v>190</v>
      </c>
      <c r="K541" t="s">
        <v>250</v>
      </c>
      <c r="L541">
        <v>1946</v>
      </c>
      <c r="M541" t="s">
        <v>242</v>
      </c>
      <c r="N541" t="s">
        <v>634</v>
      </c>
    </row>
    <row r="542" spans="1:16" hidden="1" x14ac:dyDescent="0.25">
      <c r="A542" s="16">
        <v>45566</v>
      </c>
      <c r="B542" t="s">
        <v>535</v>
      </c>
      <c r="C542">
        <v>6</v>
      </c>
      <c r="D542" t="s">
        <v>238</v>
      </c>
      <c r="E542" t="s">
        <v>239</v>
      </c>
      <c r="F542" t="s">
        <v>240</v>
      </c>
      <c r="G542" t="s">
        <v>82</v>
      </c>
      <c r="J542" t="s">
        <v>190</v>
      </c>
      <c r="K542" t="s">
        <v>250</v>
      </c>
      <c r="L542">
        <v>6010000</v>
      </c>
      <c r="M542" t="s">
        <v>242</v>
      </c>
      <c r="N542" t="s">
        <v>748</v>
      </c>
    </row>
    <row r="543" spans="1:16" hidden="1" x14ac:dyDescent="0.25">
      <c r="A543" s="16">
        <v>45566</v>
      </c>
      <c r="B543" t="s">
        <v>535</v>
      </c>
      <c r="C543">
        <v>6</v>
      </c>
      <c r="D543" t="s">
        <v>238</v>
      </c>
      <c r="E543" t="s">
        <v>239</v>
      </c>
      <c r="F543" t="s">
        <v>285</v>
      </c>
      <c r="G543" t="s">
        <v>63</v>
      </c>
      <c r="J543" t="s">
        <v>190</v>
      </c>
      <c r="K543" t="s">
        <v>250</v>
      </c>
      <c r="L543">
        <v>4470000</v>
      </c>
      <c r="M543" t="s">
        <v>242</v>
      </c>
      <c r="N543" t="s">
        <v>632</v>
      </c>
    </row>
    <row r="544" spans="1:16" hidden="1" x14ac:dyDescent="0.25">
      <c r="A544" s="16">
        <v>45566</v>
      </c>
      <c r="B544" t="s">
        <v>535</v>
      </c>
      <c r="C544">
        <v>6</v>
      </c>
      <c r="D544" t="s">
        <v>238</v>
      </c>
      <c r="E544" t="s">
        <v>239</v>
      </c>
      <c r="F544" t="s">
        <v>244</v>
      </c>
      <c r="G544" t="s">
        <v>82</v>
      </c>
      <c r="J544" t="s">
        <v>190</v>
      </c>
      <c r="K544" t="s">
        <v>250</v>
      </c>
      <c r="L544">
        <v>1110000000</v>
      </c>
      <c r="M544" t="s">
        <v>245</v>
      </c>
      <c r="N544" t="s">
        <v>749</v>
      </c>
    </row>
    <row r="545" spans="1:17" hidden="1" x14ac:dyDescent="0.25">
      <c r="A545" s="16">
        <v>45566</v>
      </c>
      <c r="B545" t="s">
        <v>535</v>
      </c>
      <c r="C545">
        <v>7</v>
      </c>
      <c r="D545" t="s">
        <v>238</v>
      </c>
      <c r="E545" t="s">
        <v>239</v>
      </c>
      <c r="F545" t="s">
        <v>544</v>
      </c>
      <c r="G545" t="s">
        <v>82</v>
      </c>
      <c r="J545" t="s">
        <v>190</v>
      </c>
      <c r="K545" t="s">
        <v>250</v>
      </c>
      <c r="L545">
        <v>1060000</v>
      </c>
      <c r="M545" t="s">
        <v>242</v>
      </c>
      <c r="N545" t="s">
        <v>750</v>
      </c>
    </row>
    <row r="546" spans="1:17" hidden="1" x14ac:dyDescent="0.25">
      <c r="A546" s="16">
        <v>45566</v>
      </c>
      <c r="B546" t="s">
        <v>535</v>
      </c>
      <c r="C546">
        <v>7</v>
      </c>
      <c r="D546" t="s">
        <v>238</v>
      </c>
      <c r="E546" t="s">
        <v>239</v>
      </c>
      <c r="F546" t="s">
        <v>240</v>
      </c>
      <c r="G546" t="s">
        <v>82</v>
      </c>
      <c r="J546" t="s">
        <v>190</v>
      </c>
      <c r="K546" t="s">
        <v>250</v>
      </c>
      <c r="L546">
        <v>1060000</v>
      </c>
      <c r="M546" t="s">
        <v>242</v>
      </c>
      <c r="N546" t="s">
        <v>750</v>
      </c>
    </row>
    <row r="547" spans="1:17" hidden="1" x14ac:dyDescent="0.25">
      <c r="A547" s="16">
        <v>45566</v>
      </c>
      <c r="B547" t="s">
        <v>535</v>
      </c>
      <c r="C547">
        <v>7</v>
      </c>
      <c r="D547" t="s">
        <v>238</v>
      </c>
      <c r="E547" t="s">
        <v>239</v>
      </c>
      <c r="F547" t="s">
        <v>244</v>
      </c>
      <c r="G547" t="s">
        <v>82</v>
      </c>
      <c r="J547" t="s">
        <v>190</v>
      </c>
      <c r="K547" t="s">
        <v>250</v>
      </c>
      <c r="L547">
        <v>831000000</v>
      </c>
      <c r="M547" t="s">
        <v>245</v>
      </c>
      <c r="N547" t="s">
        <v>751</v>
      </c>
    </row>
    <row r="548" spans="1:17" hidden="1" x14ac:dyDescent="0.25">
      <c r="A548" s="16">
        <v>45566</v>
      </c>
      <c r="B548" t="s">
        <v>535</v>
      </c>
      <c r="C548">
        <v>8</v>
      </c>
      <c r="D548" t="s">
        <v>238</v>
      </c>
      <c r="E548" t="s">
        <v>239</v>
      </c>
      <c r="F548" t="s">
        <v>548</v>
      </c>
      <c r="G548" t="s">
        <v>158</v>
      </c>
      <c r="J548" t="s">
        <v>190</v>
      </c>
      <c r="K548" t="s">
        <v>250</v>
      </c>
      <c r="L548">
        <v>583000</v>
      </c>
      <c r="M548" t="s">
        <v>242</v>
      </c>
      <c r="N548" t="s">
        <v>752</v>
      </c>
    </row>
    <row r="549" spans="1:17" hidden="1" x14ac:dyDescent="0.25">
      <c r="A549" s="16">
        <v>45566</v>
      </c>
      <c r="B549" t="s">
        <v>535</v>
      </c>
      <c r="C549">
        <v>8</v>
      </c>
      <c r="D549" t="s">
        <v>238</v>
      </c>
      <c r="E549" t="s">
        <v>239</v>
      </c>
      <c r="F549" t="s">
        <v>349</v>
      </c>
      <c r="G549" t="s">
        <v>158</v>
      </c>
      <c r="J549" t="s">
        <v>190</v>
      </c>
      <c r="K549" t="s">
        <v>250</v>
      </c>
      <c r="L549">
        <v>18700</v>
      </c>
      <c r="M549" t="s">
        <v>242</v>
      </c>
      <c r="N549" t="s">
        <v>753</v>
      </c>
    </row>
    <row r="550" spans="1:17" hidden="1" x14ac:dyDescent="0.25">
      <c r="A550" s="16">
        <v>45566</v>
      </c>
      <c r="B550" t="s">
        <v>535</v>
      </c>
      <c r="C550">
        <v>8</v>
      </c>
      <c r="D550" t="s">
        <v>238</v>
      </c>
      <c r="E550" t="s">
        <v>239</v>
      </c>
      <c r="F550" t="s">
        <v>551</v>
      </c>
      <c r="G550" t="s">
        <v>158</v>
      </c>
      <c r="J550" t="s">
        <v>190</v>
      </c>
      <c r="K550" t="s">
        <v>250</v>
      </c>
      <c r="L550">
        <v>3610000000</v>
      </c>
      <c r="M550" t="s">
        <v>245</v>
      </c>
      <c r="N550" t="s">
        <v>754</v>
      </c>
    </row>
    <row r="551" spans="1:17" hidden="1" x14ac:dyDescent="0.25">
      <c r="A551" s="16">
        <v>45566</v>
      </c>
      <c r="B551" t="s">
        <v>535</v>
      </c>
      <c r="C551">
        <v>8</v>
      </c>
      <c r="D551" t="s">
        <v>238</v>
      </c>
      <c r="E551" t="s">
        <v>239</v>
      </c>
      <c r="F551" t="s">
        <v>361</v>
      </c>
      <c r="G551" t="s">
        <v>158</v>
      </c>
      <c r="J551" t="s">
        <v>190</v>
      </c>
      <c r="K551" t="s">
        <v>250</v>
      </c>
      <c r="L551">
        <v>123000000</v>
      </c>
      <c r="M551" t="s">
        <v>245</v>
      </c>
      <c r="N551" t="s">
        <v>755</v>
      </c>
    </row>
    <row r="552" spans="1:17" hidden="1" x14ac:dyDescent="0.25">
      <c r="A552" s="16">
        <v>45597</v>
      </c>
      <c r="B552" t="s">
        <v>142</v>
      </c>
      <c r="C552">
        <v>67</v>
      </c>
      <c r="D552" t="s">
        <v>238</v>
      </c>
      <c r="E552" t="s">
        <v>239</v>
      </c>
      <c r="F552" t="s">
        <v>240</v>
      </c>
      <c r="G552" t="s">
        <v>82</v>
      </c>
      <c r="J552" t="s">
        <v>191</v>
      </c>
      <c r="K552" t="s">
        <v>241</v>
      </c>
      <c r="L552">
        <v>10270000</v>
      </c>
      <c r="M552" t="s">
        <v>242</v>
      </c>
      <c r="N552" t="s">
        <v>756</v>
      </c>
    </row>
    <row r="553" spans="1:17" hidden="1" x14ac:dyDescent="0.25">
      <c r="A553" s="16">
        <v>45597</v>
      </c>
      <c r="B553" t="s">
        <v>142</v>
      </c>
      <c r="C553">
        <v>67</v>
      </c>
      <c r="D553" t="s">
        <v>238</v>
      </c>
      <c r="E553" t="s">
        <v>239</v>
      </c>
      <c r="F553" t="s">
        <v>244</v>
      </c>
      <c r="G553" t="s">
        <v>82</v>
      </c>
      <c r="J553" t="s">
        <v>191</v>
      </c>
      <c r="K553" t="s">
        <v>241</v>
      </c>
      <c r="L553">
        <v>8260000000</v>
      </c>
      <c r="M553" t="s">
        <v>245</v>
      </c>
      <c r="N553" t="s">
        <v>757</v>
      </c>
    </row>
    <row r="554" spans="1:17" hidden="1" x14ac:dyDescent="0.25">
      <c r="A554" s="16">
        <v>45597</v>
      </c>
      <c r="B554" t="s">
        <v>142</v>
      </c>
      <c r="C554">
        <v>68</v>
      </c>
      <c r="D554" t="s">
        <v>247</v>
      </c>
      <c r="E554" t="s">
        <v>248</v>
      </c>
      <c r="F554" t="s">
        <v>240</v>
      </c>
      <c r="G554" t="s">
        <v>82</v>
      </c>
      <c r="H554" t="s">
        <v>249</v>
      </c>
      <c r="J554" t="s">
        <v>191</v>
      </c>
      <c r="K554" t="s">
        <v>250</v>
      </c>
      <c r="L554">
        <v>15.9</v>
      </c>
      <c r="M554" t="s">
        <v>251</v>
      </c>
      <c r="N554" t="s">
        <v>758</v>
      </c>
    </row>
    <row r="555" spans="1:17" hidden="1" x14ac:dyDescent="0.25">
      <c r="A555" s="16">
        <v>45597</v>
      </c>
      <c r="B555" t="s">
        <v>142</v>
      </c>
      <c r="C555">
        <v>68</v>
      </c>
      <c r="D555" t="s">
        <v>253</v>
      </c>
      <c r="E555" t="s">
        <v>248</v>
      </c>
      <c r="F555" t="s">
        <v>240</v>
      </c>
      <c r="G555" t="s">
        <v>82</v>
      </c>
      <c r="J555" t="s">
        <v>189</v>
      </c>
      <c r="K555" t="s">
        <v>255</v>
      </c>
      <c r="L555">
        <v>880000</v>
      </c>
      <c r="M555" t="s">
        <v>242</v>
      </c>
      <c r="N555" t="s">
        <v>558</v>
      </c>
      <c r="O555">
        <v>1</v>
      </c>
      <c r="P555" t="s">
        <v>257</v>
      </c>
      <c r="Q555" t="s">
        <v>559</v>
      </c>
    </row>
    <row r="556" spans="1:17" hidden="1" x14ac:dyDescent="0.25">
      <c r="A556" s="16">
        <v>45597</v>
      </c>
      <c r="B556" t="s">
        <v>142</v>
      </c>
      <c r="C556">
        <v>68</v>
      </c>
      <c r="D556" t="s">
        <v>253</v>
      </c>
      <c r="E556" t="s">
        <v>248</v>
      </c>
      <c r="F556" t="s">
        <v>240</v>
      </c>
      <c r="G556" t="s">
        <v>82</v>
      </c>
      <c r="J556" t="s">
        <v>190</v>
      </c>
      <c r="K556" t="s">
        <v>255</v>
      </c>
      <c r="L556">
        <v>1060000</v>
      </c>
      <c r="M556" t="s">
        <v>242</v>
      </c>
      <c r="N556" t="s">
        <v>560</v>
      </c>
      <c r="O556">
        <v>1</v>
      </c>
      <c r="P556" t="s">
        <v>257</v>
      </c>
    </row>
    <row r="557" spans="1:17" hidden="1" x14ac:dyDescent="0.25">
      <c r="A557" s="16">
        <v>45597</v>
      </c>
      <c r="B557" t="s">
        <v>142</v>
      </c>
      <c r="C557">
        <v>68</v>
      </c>
      <c r="D557" t="s">
        <v>253</v>
      </c>
      <c r="E557" t="s">
        <v>248</v>
      </c>
      <c r="F557" t="s">
        <v>240</v>
      </c>
      <c r="G557" t="s">
        <v>82</v>
      </c>
      <c r="J557" t="s">
        <v>191</v>
      </c>
      <c r="K557" t="s">
        <v>255</v>
      </c>
      <c r="L557">
        <v>890000</v>
      </c>
      <c r="M557" t="s">
        <v>242</v>
      </c>
      <c r="N557" t="s">
        <v>759</v>
      </c>
      <c r="O557">
        <v>1</v>
      </c>
      <c r="P557" t="s">
        <v>261</v>
      </c>
    </row>
    <row r="558" spans="1:17" hidden="1" x14ac:dyDescent="0.25">
      <c r="A558" s="16">
        <v>45597</v>
      </c>
      <c r="B558" t="s">
        <v>142</v>
      </c>
      <c r="C558">
        <v>69</v>
      </c>
      <c r="D558" t="s">
        <v>253</v>
      </c>
      <c r="E558" t="s">
        <v>248</v>
      </c>
      <c r="F558" t="s">
        <v>240</v>
      </c>
      <c r="G558" t="s">
        <v>82</v>
      </c>
      <c r="H558" t="s">
        <v>150</v>
      </c>
      <c r="J558" t="s">
        <v>189</v>
      </c>
      <c r="K558" t="s">
        <v>255</v>
      </c>
      <c r="L558">
        <v>304</v>
      </c>
      <c r="M558" t="s">
        <v>242</v>
      </c>
      <c r="N558" t="s">
        <v>264</v>
      </c>
      <c r="O558">
        <v>1</v>
      </c>
      <c r="P558" t="s">
        <v>257</v>
      </c>
    </row>
    <row r="559" spans="1:17" hidden="1" x14ac:dyDescent="0.25">
      <c r="A559" s="16">
        <v>45597</v>
      </c>
      <c r="B559" t="s">
        <v>142</v>
      </c>
      <c r="C559">
        <v>69</v>
      </c>
      <c r="D559" t="s">
        <v>253</v>
      </c>
      <c r="E559" t="s">
        <v>248</v>
      </c>
      <c r="F559" t="s">
        <v>240</v>
      </c>
      <c r="G559" t="s">
        <v>82</v>
      </c>
      <c r="H559" t="s">
        <v>150</v>
      </c>
      <c r="J559" t="s">
        <v>190</v>
      </c>
      <c r="K559" t="s">
        <v>255</v>
      </c>
      <c r="L559">
        <v>320</v>
      </c>
      <c r="M559" t="s">
        <v>242</v>
      </c>
      <c r="N559" t="s">
        <v>561</v>
      </c>
      <c r="O559">
        <v>1</v>
      </c>
      <c r="P559" t="s">
        <v>257</v>
      </c>
    </row>
    <row r="560" spans="1:17" hidden="1" x14ac:dyDescent="0.25">
      <c r="A560" s="16">
        <v>45597</v>
      </c>
      <c r="B560" t="s">
        <v>142</v>
      </c>
      <c r="C560">
        <v>69</v>
      </c>
      <c r="D560" t="s">
        <v>253</v>
      </c>
      <c r="E560" t="s">
        <v>248</v>
      </c>
      <c r="F560" t="s">
        <v>240</v>
      </c>
      <c r="G560" t="s">
        <v>82</v>
      </c>
      <c r="H560" t="s">
        <v>150</v>
      </c>
      <c r="J560" t="s">
        <v>191</v>
      </c>
      <c r="K560" t="s">
        <v>255</v>
      </c>
      <c r="L560">
        <v>285</v>
      </c>
      <c r="M560" t="s">
        <v>242</v>
      </c>
      <c r="N560" t="s">
        <v>760</v>
      </c>
      <c r="O560">
        <v>1</v>
      </c>
      <c r="P560" t="s">
        <v>261</v>
      </c>
    </row>
    <row r="561" spans="1:17" hidden="1" x14ac:dyDescent="0.25">
      <c r="A561" s="16">
        <v>45597</v>
      </c>
      <c r="B561" t="s">
        <v>142</v>
      </c>
      <c r="C561">
        <v>69</v>
      </c>
      <c r="D561" t="s">
        <v>253</v>
      </c>
      <c r="E561" t="s">
        <v>248</v>
      </c>
      <c r="F561" t="s">
        <v>240</v>
      </c>
      <c r="G561" t="s">
        <v>82</v>
      </c>
      <c r="H561" t="s">
        <v>151</v>
      </c>
      <c r="J561" t="s">
        <v>189</v>
      </c>
      <c r="K561" t="s">
        <v>255</v>
      </c>
      <c r="L561">
        <v>40</v>
      </c>
      <c r="M561" t="s">
        <v>242</v>
      </c>
      <c r="N561" t="s">
        <v>267</v>
      </c>
      <c r="O561">
        <v>1</v>
      </c>
      <c r="P561" t="s">
        <v>257</v>
      </c>
    </row>
    <row r="562" spans="1:17" hidden="1" x14ac:dyDescent="0.25">
      <c r="A562" s="16">
        <v>45597</v>
      </c>
      <c r="B562" t="s">
        <v>142</v>
      </c>
      <c r="C562">
        <v>69</v>
      </c>
      <c r="D562" t="s">
        <v>253</v>
      </c>
      <c r="E562" t="s">
        <v>248</v>
      </c>
      <c r="F562" t="s">
        <v>240</v>
      </c>
      <c r="G562" t="s">
        <v>82</v>
      </c>
      <c r="H562" t="s">
        <v>151</v>
      </c>
      <c r="J562" t="s">
        <v>190</v>
      </c>
      <c r="K562" t="s">
        <v>255</v>
      </c>
      <c r="L562">
        <v>50</v>
      </c>
      <c r="M562" t="s">
        <v>242</v>
      </c>
      <c r="N562" t="s">
        <v>562</v>
      </c>
      <c r="O562">
        <v>1</v>
      </c>
      <c r="P562" t="s">
        <v>257</v>
      </c>
    </row>
    <row r="563" spans="1:17" hidden="1" x14ac:dyDescent="0.25">
      <c r="A563" s="16">
        <v>45597</v>
      </c>
      <c r="B563" t="s">
        <v>142</v>
      </c>
      <c r="C563">
        <v>69</v>
      </c>
      <c r="D563" t="s">
        <v>253</v>
      </c>
      <c r="E563" t="s">
        <v>248</v>
      </c>
      <c r="F563" t="s">
        <v>240</v>
      </c>
      <c r="G563" t="s">
        <v>82</v>
      </c>
      <c r="H563" t="s">
        <v>151</v>
      </c>
      <c r="J563" t="s">
        <v>191</v>
      </c>
      <c r="K563" t="s">
        <v>255</v>
      </c>
      <c r="L563">
        <v>30</v>
      </c>
      <c r="M563" t="s">
        <v>242</v>
      </c>
      <c r="N563" t="s">
        <v>761</v>
      </c>
      <c r="O563">
        <v>1</v>
      </c>
      <c r="P563" t="s">
        <v>261</v>
      </c>
    </row>
    <row r="564" spans="1:17" hidden="1" x14ac:dyDescent="0.25">
      <c r="A564" s="16">
        <v>45597</v>
      </c>
      <c r="B564" t="s">
        <v>142</v>
      </c>
      <c r="C564">
        <v>69</v>
      </c>
      <c r="D564" t="s">
        <v>253</v>
      </c>
      <c r="E564" t="s">
        <v>248</v>
      </c>
      <c r="F564" t="s">
        <v>240</v>
      </c>
      <c r="G564" t="s">
        <v>82</v>
      </c>
      <c r="H564" t="s">
        <v>149</v>
      </c>
      <c r="J564" t="s">
        <v>189</v>
      </c>
      <c r="K564" t="s">
        <v>255</v>
      </c>
      <c r="L564">
        <v>5530</v>
      </c>
      <c r="M564" t="s">
        <v>242</v>
      </c>
      <c r="N564" t="s">
        <v>270</v>
      </c>
      <c r="O564">
        <v>1</v>
      </c>
      <c r="P564" t="s">
        <v>257</v>
      </c>
    </row>
    <row r="565" spans="1:17" hidden="1" x14ac:dyDescent="0.25">
      <c r="A565" s="16">
        <v>45597</v>
      </c>
      <c r="B565" t="s">
        <v>142</v>
      </c>
      <c r="C565">
        <v>69</v>
      </c>
      <c r="D565" t="s">
        <v>253</v>
      </c>
      <c r="E565" t="s">
        <v>248</v>
      </c>
      <c r="F565" t="s">
        <v>240</v>
      </c>
      <c r="G565" t="s">
        <v>82</v>
      </c>
      <c r="H565" t="s">
        <v>149</v>
      </c>
      <c r="J565" t="s">
        <v>190</v>
      </c>
      <c r="K565" t="s">
        <v>255</v>
      </c>
      <c r="L565">
        <v>6564</v>
      </c>
      <c r="M565" t="s">
        <v>242</v>
      </c>
      <c r="N565" t="s">
        <v>563</v>
      </c>
      <c r="O565">
        <v>1</v>
      </c>
      <c r="P565" t="s">
        <v>257</v>
      </c>
    </row>
    <row r="566" spans="1:17" hidden="1" x14ac:dyDescent="0.25">
      <c r="A566" s="16">
        <v>45597</v>
      </c>
      <c r="B566" t="s">
        <v>142</v>
      </c>
      <c r="C566">
        <v>69</v>
      </c>
      <c r="D566" t="s">
        <v>253</v>
      </c>
      <c r="E566" t="s">
        <v>248</v>
      </c>
      <c r="F566" t="s">
        <v>240</v>
      </c>
      <c r="G566" t="s">
        <v>82</v>
      </c>
      <c r="H566" t="s">
        <v>149</v>
      </c>
      <c r="J566" t="s">
        <v>191</v>
      </c>
      <c r="K566" t="s">
        <v>255</v>
      </c>
      <c r="L566">
        <v>5179</v>
      </c>
      <c r="M566" t="s">
        <v>242</v>
      </c>
      <c r="N566" t="s">
        <v>762</v>
      </c>
      <c r="O566">
        <v>1</v>
      </c>
      <c r="P566" t="s">
        <v>261</v>
      </c>
    </row>
    <row r="567" spans="1:17" hidden="1" x14ac:dyDescent="0.25">
      <c r="A567" s="16">
        <v>45597</v>
      </c>
      <c r="B567" t="s">
        <v>142</v>
      </c>
      <c r="C567">
        <v>70</v>
      </c>
      <c r="D567" t="s">
        <v>247</v>
      </c>
      <c r="E567" t="s">
        <v>248</v>
      </c>
      <c r="F567" t="s">
        <v>244</v>
      </c>
      <c r="G567" t="s">
        <v>82</v>
      </c>
      <c r="H567" t="s">
        <v>249</v>
      </c>
      <c r="J567" t="s">
        <v>191</v>
      </c>
      <c r="K567" t="s">
        <v>250</v>
      </c>
      <c r="L567">
        <v>13.9</v>
      </c>
      <c r="M567" t="s">
        <v>251</v>
      </c>
      <c r="N567" t="s">
        <v>763</v>
      </c>
    </row>
    <row r="568" spans="1:17" hidden="1" x14ac:dyDescent="0.25">
      <c r="A568" s="16">
        <v>45597</v>
      </c>
      <c r="B568" t="s">
        <v>142</v>
      </c>
      <c r="C568">
        <v>70</v>
      </c>
      <c r="D568" t="s">
        <v>253</v>
      </c>
      <c r="E568" t="s">
        <v>248</v>
      </c>
      <c r="F568" t="s">
        <v>244</v>
      </c>
      <c r="G568" t="s">
        <v>82</v>
      </c>
      <c r="J568" t="s">
        <v>189</v>
      </c>
      <c r="K568" t="s">
        <v>255</v>
      </c>
      <c r="L568">
        <v>753000000</v>
      </c>
      <c r="M568" t="s">
        <v>245</v>
      </c>
      <c r="N568" t="s">
        <v>274</v>
      </c>
      <c r="O568">
        <v>1</v>
      </c>
      <c r="P568" t="s">
        <v>257</v>
      </c>
    </row>
    <row r="569" spans="1:17" hidden="1" x14ac:dyDescent="0.25">
      <c r="A569" s="16">
        <v>45597</v>
      </c>
      <c r="B569" t="s">
        <v>142</v>
      </c>
      <c r="C569">
        <v>70</v>
      </c>
      <c r="D569" t="s">
        <v>253</v>
      </c>
      <c r="E569" t="s">
        <v>248</v>
      </c>
      <c r="F569" t="s">
        <v>244</v>
      </c>
      <c r="G569" t="s">
        <v>82</v>
      </c>
      <c r="J569" t="s">
        <v>190</v>
      </c>
      <c r="K569" t="s">
        <v>255</v>
      </c>
      <c r="L569">
        <v>831000000</v>
      </c>
      <c r="M569" t="s">
        <v>245</v>
      </c>
      <c r="N569" t="s">
        <v>565</v>
      </c>
      <c r="O569">
        <v>1</v>
      </c>
      <c r="P569" t="s">
        <v>257</v>
      </c>
    </row>
    <row r="570" spans="1:17" hidden="1" x14ac:dyDescent="0.25">
      <c r="A570" s="16">
        <v>45597</v>
      </c>
      <c r="B570" t="s">
        <v>142</v>
      </c>
      <c r="C570">
        <v>70</v>
      </c>
      <c r="D570" t="s">
        <v>253</v>
      </c>
      <c r="E570" t="s">
        <v>248</v>
      </c>
      <c r="F570" t="s">
        <v>244</v>
      </c>
      <c r="G570" t="s">
        <v>82</v>
      </c>
      <c r="J570" t="s">
        <v>191</v>
      </c>
      <c r="K570" t="s">
        <v>255</v>
      </c>
      <c r="L570">
        <v>715000000</v>
      </c>
      <c r="M570" t="s">
        <v>245</v>
      </c>
      <c r="N570" t="s">
        <v>764</v>
      </c>
      <c r="O570">
        <v>1</v>
      </c>
      <c r="P570" t="s">
        <v>261</v>
      </c>
    </row>
    <row r="571" spans="1:17" hidden="1" x14ac:dyDescent="0.25">
      <c r="A571" s="16">
        <v>45597</v>
      </c>
      <c r="B571" t="s">
        <v>142</v>
      </c>
      <c r="C571">
        <v>71</v>
      </c>
      <c r="D571" t="s">
        <v>253</v>
      </c>
      <c r="E571" t="s">
        <v>248</v>
      </c>
      <c r="F571" t="s">
        <v>244</v>
      </c>
      <c r="G571" t="s">
        <v>82</v>
      </c>
      <c r="H571" t="s">
        <v>150</v>
      </c>
      <c r="J571" t="s">
        <v>189</v>
      </c>
      <c r="K571" t="s">
        <v>255</v>
      </c>
      <c r="L571">
        <v>2970000</v>
      </c>
      <c r="M571" t="s">
        <v>150</v>
      </c>
      <c r="N571" t="s">
        <v>567</v>
      </c>
      <c r="O571">
        <v>1</v>
      </c>
      <c r="P571" t="s">
        <v>257</v>
      </c>
      <c r="Q571" t="s">
        <v>568</v>
      </c>
    </row>
    <row r="572" spans="1:17" hidden="1" x14ac:dyDescent="0.25">
      <c r="A572" s="16">
        <v>45597</v>
      </c>
      <c r="B572" t="s">
        <v>142</v>
      </c>
      <c r="C572">
        <v>71</v>
      </c>
      <c r="D572" t="s">
        <v>253</v>
      </c>
      <c r="E572" t="s">
        <v>248</v>
      </c>
      <c r="F572" t="s">
        <v>244</v>
      </c>
      <c r="G572" t="s">
        <v>82</v>
      </c>
      <c r="H572" t="s">
        <v>150</v>
      </c>
      <c r="J572" t="s">
        <v>190</v>
      </c>
      <c r="K572" t="s">
        <v>255</v>
      </c>
      <c r="L572">
        <v>3070000</v>
      </c>
      <c r="M572" t="s">
        <v>150</v>
      </c>
      <c r="N572" t="s">
        <v>569</v>
      </c>
      <c r="O572">
        <v>1</v>
      </c>
      <c r="P572" t="s">
        <v>257</v>
      </c>
    </row>
    <row r="573" spans="1:17" hidden="1" x14ac:dyDescent="0.25">
      <c r="A573" s="16">
        <v>45597</v>
      </c>
      <c r="B573" t="s">
        <v>142</v>
      </c>
      <c r="C573">
        <v>71</v>
      </c>
      <c r="D573" t="s">
        <v>253</v>
      </c>
      <c r="E573" t="s">
        <v>248</v>
      </c>
      <c r="F573" t="s">
        <v>244</v>
      </c>
      <c r="G573" t="s">
        <v>82</v>
      </c>
      <c r="H573" t="s">
        <v>150</v>
      </c>
      <c r="J573" t="s">
        <v>191</v>
      </c>
      <c r="K573" t="s">
        <v>255</v>
      </c>
      <c r="L573">
        <v>2300000</v>
      </c>
      <c r="M573" t="s">
        <v>150</v>
      </c>
      <c r="N573" t="s">
        <v>765</v>
      </c>
      <c r="O573">
        <v>1</v>
      </c>
      <c r="P573" t="s">
        <v>261</v>
      </c>
    </row>
    <row r="574" spans="1:17" hidden="1" x14ac:dyDescent="0.25">
      <c r="A574" s="16">
        <v>45597</v>
      </c>
      <c r="B574" t="s">
        <v>142</v>
      </c>
      <c r="C574">
        <v>71</v>
      </c>
      <c r="D574" t="s">
        <v>253</v>
      </c>
      <c r="E574" t="s">
        <v>248</v>
      </c>
      <c r="F574" t="s">
        <v>244</v>
      </c>
      <c r="G574" t="s">
        <v>82</v>
      </c>
      <c r="H574" t="s">
        <v>151</v>
      </c>
      <c r="J574" t="s">
        <v>189</v>
      </c>
      <c r="K574" t="s">
        <v>255</v>
      </c>
      <c r="L574">
        <v>250000</v>
      </c>
      <c r="M574" t="s">
        <v>151</v>
      </c>
      <c r="N574" t="s">
        <v>279</v>
      </c>
      <c r="O574">
        <v>1</v>
      </c>
      <c r="P574" t="s">
        <v>257</v>
      </c>
    </row>
    <row r="575" spans="1:17" hidden="1" x14ac:dyDescent="0.25">
      <c r="A575" s="16">
        <v>45597</v>
      </c>
      <c r="B575" t="s">
        <v>142</v>
      </c>
      <c r="C575">
        <v>71</v>
      </c>
      <c r="D575" t="s">
        <v>253</v>
      </c>
      <c r="E575" t="s">
        <v>248</v>
      </c>
      <c r="F575" t="s">
        <v>244</v>
      </c>
      <c r="G575" t="s">
        <v>82</v>
      </c>
      <c r="H575" t="s">
        <v>151</v>
      </c>
      <c r="J575" t="s">
        <v>190</v>
      </c>
      <c r="K575" t="s">
        <v>255</v>
      </c>
      <c r="L575">
        <v>380000</v>
      </c>
      <c r="M575" t="s">
        <v>151</v>
      </c>
      <c r="N575" t="s">
        <v>570</v>
      </c>
      <c r="O575">
        <v>1</v>
      </c>
      <c r="P575" t="s">
        <v>257</v>
      </c>
    </row>
    <row r="576" spans="1:17" hidden="1" x14ac:dyDescent="0.25">
      <c r="A576" s="16">
        <v>45597</v>
      </c>
      <c r="B576" t="s">
        <v>142</v>
      </c>
      <c r="C576">
        <v>71</v>
      </c>
      <c r="D576" t="s">
        <v>253</v>
      </c>
      <c r="E576" t="s">
        <v>248</v>
      </c>
      <c r="F576" t="s">
        <v>244</v>
      </c>
      <c r="G576" t="s">
        <v>82</v>
      </c>
      <c r="H576" t="s">
        <v>151</v>
      </c>
      <c r="J576" t="s">
        <v>191</v>
      </c>
      <c r="K576" t="s">
        <v>255</v>
      </c>
      <c r="L576">
        <v>270000</v>
      </c>
      <c r="M576" t="s">
        <v>151</v>
      </c>
      <c r="N576" t="s">
        <v>277</v>
      </c>
      <c r="O576">
        <v>1</v>
      </c>
      <c r="P576" t="s">
        <v>261</v>
      </c>
    </row>
    <row r="577" spans="1:16" hidden="1" x14ac:dyDescent="0.25">
      <c r="A577" s="16">
        <v>45597</v>
      </c>
      <c r="B577" t="s">
        <v>142</v>
      </c>
      <c r="C577">
        <v>71</v>
      </c>
      <c r="D577" t="s">
        <v>253</v>
      </c>
      <c r="E577" t="s">
        <v>248</v>
      </c>
      <c r="F577" t="s">
        <v>244</v>
      </c>
      <c r="G577" t="s">
        <v>82</v>
      </c>
      <c r="H577" t="s">
        <v>149</v>
      </c>
      <c r="J577" t="s">
        <v>189</v>
      </c>
      <c r="K577" t="s">
        <v>255</v>
      </c>
      <c r="L577">
        <v>37000000</v>
      </c>
      <c r="M577" t="s">
        <v>149</v>
      </c>
      <c r="N577" t="s">
        <v>282</v>
      </c>
      <c r="O577">
        <v>1</v>
      </c>
      <c r="P577" t="s">
        <v>257</v>
      </c>
    </row>
    <row r="578" spans="1:16" hidden="1" x14ac:dyDescent="0.25">
      <c r="A578" s="16">
        <v>45597</v>
      </c>
      <c r="B578" t="s">
        <v>142</v>
      </c>
      <c r="C578">
        <v>71</v>
      </c>
      <c r="D578" t="s">
        <v>253</v>
      </c>
      <c r="E578" t="s">
        <v>248</v>
      </c>
      <c r="F578" t="s">
        <v>244</v>
      </c>
      <c r="G578" t="s">
        <v>82</v>
      </c>
      <c r="H578" t="s">
        <v>149</v>
      </c>
      <c r="J578" t="s">
        <v>190</v>
      </c>
      <c r="K578" t="s">
        <v>255</v>
      </c>
      <c r="L578">
        <v>42100000</v>
      </c>
      <c r="M578" t="s">
        <v>149</v>
      </c>
      <c r="N578" t="s">
        <v>571</v>
      </c>
      <c r="O578">
        <v>1</v>
      </c>
      <c r="P578" t="s">
        <v>257</v>
      </c>
    </row>
    <row r="579" spans="1:16" hidden="1" x14ac:dyDescent="0.25">
      <c r="A579" s="16">
        <v>45597</v>
      </c>
      <c r="B579" t="s">
        <v>142</v>
      </c>
      <c r="C579">
        <v>71</v>
      </c>
      <c r="D579" t="s">
        <v>253</v>
      </c>
      <c r="E579" t="s">
        <v>248</v>
      </c>
      <c r="F579" t="s">
        <v>244</v>
      </c>
      <c r="G579" t="s">
        <v>82</v>
      </c>
      <c r="H579" t="s">
        <v>149</v>
      </c>
      <c r="J579" t="s">
        <v>191</v>
      </c>
      <c r="K579" t="s">
        <v>255</v>
      </c>
      <c r="L579">
        <v>33700000</v>
      </c>
      <c r="M579" t="s">
        <v>149</v>
      </c>
      <c r="N579" t="s">
        <v>766</v>
      </c>
      <c r="O579">
        <v>1</v>
      </c>
      <c r="P579" t="s">
        <v>261</v>
      </c>
    </row>
    <row r="580" spans="1:16" hidden="1" x14ac:dyDescent="0.25">
      <c r="A580" s="16">
        <v>45597</v>
      </c>
      <c r="B580" t="s">
        <v>35</v>
      </c>
      <c r="C580">
        <v>10</v>
      </c>
      <c r="D580" t="s">
        <v>238</v>
      </c>
      <c r="E580" t="s">
        <v>239</v>
      </c>
      <c r="F580" t="s">
        <v>240</v>
      </c>
      <c r="G580" t="s">
        <v>82</v>
      </c>
      <c r="J580" t="s">
        <v>191</v>
      </c>
      <c r="K580" t="s">
        <v>241</v>
      </c>
      <c r="L580">
        <v>73960000</v>
      </c>
      <c r="M580" t="s">
        <v>242</v>
      </c>
      <c r="N580" t="s">
        <v>767</v>
      </c>
    </row>
    <row r="581" spans="1:16" hidden="1" x14ac:dyDescent="0.25">
      <c r="A581" s="16">
        <v>45597</v>
      </c>
      <c r="B581" t="s">
        <v>35</v>
      </c>
      <c r="C581">
        <v>10</v>
      </c>
      <c r="D581" t="s">
        <v>238</v>
      </c>
      <c r="E581" t="s">
        <v>239</v>
      </c>
      <c r="F581" t="s">
        <v>244</v>
      </c>
      <c r="G581" t="s">
        <v>82</v>
      </c>
      <c r="J581" t="s">
        <v>191</v>
      </c>
      <c r="K581" t="s">
        <v>241</v>
      </c>
      <c r="L581">
        <v>10770000000</v>
      </c>
      <c r="M581" t="s">
        <v>245</v>
      </c>
      <c r="N581" t="s">
        <v>768</v>
      </c>
    </row>
    <row r="582" spans="1:16" hidden="1" x14ac:dyDescent="0.25">
      <c r="A582" s="16">
        <v>45597</v>
      </c>
      <c r="B582" t="s">
        <v>35</v>
      </c>
      <c r="C582">
        <v>11</v>
      </c>
      <c r="D582" t="s">
        <v>247</v>
      </c>
      <c r="E582" t="s">
        <v>248</v>
      </c>
      <c r="F582" t="s">
        <v>285</v>
      </c>
      <c r="G582" t="s">
        <v>63</v>
      </c>
      <c r="H582" t="s">
        <v>286</v>
      </c>
      <c r="J582" t="s">
        <v>191</v>
      </c>
      <c r="K582" t="s">
        <v>250</v>
      </c>
      <c r="L582">
        <v>2.2000000000000002</v>
      </c>
      <c r="M582" t="s">
        <v>251</v>
      </c>
      <c r="N582" t="s">
        <v>769</v>
      </c>
    </row>
    <row r="583" spans="1:16" hidden="1" x14ac:dyDescent="0.25">
      <c r="A583" s="16">
        <v>45597</v>
      </c>
      <c r="B583" t="s">
        <v>35</v>
      </c>
      <c r="C583">
        <v>11</v>
      </c>
      <c r="D583" t="s">
        <v>253</v>
      </c>
      <c r="E583" t="s">
        <v>248</v>
      </c>
      <c r="F583" t="s">
        <v>285</v>
      </c>
      <c r="G583" t="s">
        <v>63</v>
      </c>
      <c r="J583" t="s">
        <v>189</v>
      </c>
      <c r="K583" t="s">
        <v>255</v>
      </c>
      <c r="L583">
        <v>1560000</v>
      </c>
      <c r="M583" t="s">
        <v>242</v>
      </c>
      <c r="N583" t="s">
        <v>290</v>
      </c>
      <c r="O583">
        <v>1</v>
      </c>
      <c r="P583" t="s">
        <v>257</v>
      </c>
    </row>
    <row r="584" spans="1:16" hidden="1" x14ac:dyDescent="0.25">
      <c r="A584" s="16">
        <v>45597</v>
      </c>
      <c r="B584" t="s">
        <v>35</v>
      </c>
      <c r="C584">
        <v>11</v>
      </c>
      <c r="D584" t="s">
        <v>253</v>
      </c>
      <c r="E584" t="s">
        <v>248</v>
      </c>
      <c r="F584" t="s">
        <v>285</v>
      </c>
      <c r="G584" t="s">
        <v>63</v>
      </c>
      <c r="J584" t="s">
        <v>190</v>
      </c>
      <c r="K584" t="s">
        <v>255</v>
      </c>
      <c r="L584">
        <v>1600000</v>
      </c>
      <c r="M584" t="s">
        <v>242</v>
      </c>
      <c r="N584" t="s">
        <v>575</v>
      </c>
      <c r="O584">
        <v>1</v>
      </c>
      <c r="P584" t="s">
        <v>257</v>
      </c>
    </row>
    <row r="585" spans="1:16" hidden="1" x14ac:dyDescent="0.25">
      <c r="A585" s="16">
        <v>45597</v>
      </c>
      <c r="B585" t="s">
        <v>35</v>
      </c>
      <c r="C585">
        <v>11</v>
      </c>
      <c r="D585" t="s">
        <v>253</v>
      </c>
      <c r="E585" t="s">
        <v>248</v>
      </c>
      <c r="F585" t="s">
        <v>285</v>
      </c>
      <c r="G585" t="s">
        <v>63</v>
      </c>
      <c r="J585" t="s">
        <v>191</v>
      </c>
      <c r="K585" t="s">
        <v>255</v>
      </c>
      <c r="L585">
        <v>1630000</v>
      </c>
      <c r="M585" t="s">
        <v>242</v>
      </c>
      <c r="N585" t="s">
        <v>770</v>
      </c>
      <c r="O585">
        <v>1</v>
      </c>
      <c r="P585" t="s">
        <v>261</v>
      </c>
    </row>
    <row r="586" spans="1:16" hidden="1" x14ac:dyDescent="0.25">
      <c r="A586" s="16">
        <v>45597</v>
      </c>
      <c r="B586" t="s">
        <v>35</v>
      </c>
      <c r="C586">
        <v>12</v>
      </c>
      <c r="D586" t="s">
        <v>291</v>
      </c>
      <c r="E586" t="s">
        <v>292</v>
      </c>
      <c r="F586" t="s">
        <v>285</v>
      </c>
      <c r="G586" t="s">
        <v>63</v>
      </c>
      <c r="H586" t="s">
        <v>64</v>
      </c>
      <c r="J586" t="s">
        <v>191</v>
      </c>
      <c r="K586" t="s">
        <v>250</v>
      </c>
      <c r="L586">
        <v>1570000</v>
      </c>
      <c r="M586" t="s">
        <v>242</v>
      </c>
      <c r="N586" t="s">
        <v>586</v>
      </c>
    </row>
    <row r="587" spans="1:16" hidden="1" x14ac:dyDescent="0.25">
      <c r="A587" s="16">
        <v>45597</v>
      </c>
      <c r="B587" t="s">
        <v>35</v>
      </c>
      <c r="C587">
        <v>12</v>
      </c>
      <c r="D587" t="s">
        <v>291</v>
      </c>
      <c r="E587" t="s">
        <v>292</v>
      </c>
      <c r="F587" t="s">
        <v>285</v>
      </c>
      <c r="G587" t="s">
        <v>63</v>
      </c>
      <c r="H587" t="s">
        <v>65</v>
      </c>
      <c r="J587" t="s">
        <v>191</v>
      </c>
      <c r="K587" t="s">
        <v>250</v>
      </c>
      <c r="L587">
        <v>59000</v>
      </c>
      <c r="M587" t="s">
        <v>242</v>
      </c>
      <c r="N587" t="s">
        <v>771</v>
      </c>
    </row>
    <row r="588" spans="1:16" hidden="1" x14ac:dyDescent="0.25">
      <c r="A588" s="16">
        <v>45597</v>
      </c>
      <c r="B588" t="s">
        <v>35</v>
      </c>
      <c r="C588">
        <v>13</v>
      </c>
      <c r="D588" t="s">
        <v>291</v>
      </c>
      <c r="E588" t="s">
        <v>292</v>
      </c>
      <c r="F588" t="s">
        <v>285</v>
      </c>
      <c r="G588" t="s">
        <v>63</v>
      </c>
      <c r="H588" t="s">
        <v>67</v>
      </c>
      <c r="J588" t="s">
        <v>191</v>
      </c>
      <c r="K588" t="s">
        <v>250</v>
      </c>
      <c r="L588">
        <v>570000</v>
      </c>
      <c r="M588" t="s">
        <v>242</v>
      </c>
      <c r="N588" t="s">
        <v>772</v>
      </c>
    </row>
    <row r="589" spans="1:16" hidden="1" x14ac:dyDescent="0.25">
      <c r="A589" s="16">
        <v>45597</v>
      </c>
      <c r="B589" t="s">
        <v>35</v>
      </c>
      <c r="C589">
        <v>13</v>
      </c>
      <c r="D589" t="s">
        <v>291</v>
      </c>
      <c r="E589" t="s">
        <v>292</v>
      </c>
      <c r="F589" t="s">
        <v>285</v>
      </c>
      <c r="G589" t="s">
        <v>63</v>
      </c>
      <c r="H589" t="s">
        <v>68</v>
      </c>
      <c r="J589" t="s">
        <v>191</v>
      </c>
      <c r="K589" t="s">
        <v>250</v>
      </c>
      <c r="L589">
        <v>1020000</v>
      </c>
      <c r="M589" t="s">
        <v>242</v>
      </c>
      <c r="N589" t="s">
        <v>773</v>
      </c>
    </row>
    <row r="590" spans="1:16" x14ac:dyDescent="0.25">
      <c r="A590" s="16">
        <v>45597</v>
      </c>
      <c r="B590" t="s">
        <v>35</v>
      </c>
      <c r="C590">
        <v>14</v>
      </c>
      <c r="D590" t="s">
        <v>291</v>
      </c>
      <c r="E590" t="s">
        <v>292</v>
      </c>
      <c r="F590" t="s">
        <v>285</v>
      </c>
      <c r="G590" t="s">
        <v>63</v>
      </c>
      <c r="H590" t="s">
        <v>77</v>
      </c>
      <c r="J590" t="s">
        <v>191</v>
      </c>
      <c r="K590" t="s">
        <v>250</v>
      </c>
      <c r="L590">
        <v>6000</v>
      </c>
      <c r="M590" t="s">
        <v>242</v>
      </c>
      <c r="N590" t="s">
        <v>304</v>
      </c>
    </row>
    <row r="591" spans="1:16" x14ac:dyDescent="0.25">
      <c r="A591" s="16">
        <v>45597</v>
      </c>
      <c r="B591" t="s">
        <v>35</v>
      </c>
      <c r="C591">
        <v>14</v>
      </c>
      <c r="D591" t="s">
        <v>291</v>
      </c>
      <c r="E591" t="s">
        <v>292</v>
      </c>
      <c r="F591" t="s">
        <v>285</v>
      </c>
      <c r="G591" t="s">
        <v>63</v>
      </c>
      <c r="H591" t="s">
        <v>70</v>
      </c>
      <c r="J591" t="s">
        <v>191</v>
      </c>
      <c r="K591" t="s">
        <v>250</v>
      </c>
      <c r="L591">
        <v>615000</v>
      </c>
      <c r="M591" t="s">
        <v>242</v>
      </c>
      <c r="N591" t="s">
        <v>774</v>
      </c>
    </row>
    <row r="592" spans="1:16" x14ac:dyDescent="0.25">
      <c r="A592" s="16">
        <v>45597</v>
      </c>
      <c r="B592" t="s">
        <v>35</v>
      </c>
      <c r="C592">
        <v>14</v>
      </c>
      <c r="D592" t="s">
        <v>291</v>
      </c>
      <c r="E592" t="s">
        <v>292</v>
      </c>
      <c r="F592" t="s">
        <v>285</v>
      </c>
      <c r="G592" t="s">
        <v>63</v>
      </c>
      <c r="H592" t="s">
        <v>71</v>
      </c>
      <c r="J592" t="s">
        <v>191</v>
      </c>
      <c r="K592" t="s">
        <v>250</v>
      </c>
      <c r="L592">
        <v>428000</v>
      </c>
      <c r="M592" t="s">
        <v>242</v>
      </c>
      <c r="N592" t="s">
        <v>775</v>
      </c>
    </row>
    <row r="593" spans="1:16" x14ac:dyDescent="0.25">
      <c r="A593" s="16">
        <v>45597</v>
      </c>
      <c r="B593" t="s">
        <v>35</v>
      </c>
      <c r="C593">
        <v>14</v>
      </c>
      <c r="D593" t="s">
        <v>291</v>
      </c>
      <c r="E593" t="s">
        <v>292</v>
      </c>
      <c r="F593" t="s">
        <v>285</v>
      </c>
      <c r="G593" t="s">
        <v>63</v>
      </c>
      <c r="H593" t="s">
        <v>72</v>
      </c>
      <c r="J593" t="s">
        <v>191</v>
      </c>
      <c r="K593" t="s">
        <v>250</v>
      </c>
      <c r="L593">
        <v>282000</v>
      </c>
      <c r="M593" t="s">
        <v>242</v>
      </c>
      <c r="N593" t="s">
        <v>776</v>
      </c>
    </row>
    <row r="594" spans="1:16" x14ac:dyDescent="0.25">
      <c r="A594" s="63">
        <v>45597</v>
      </c>
      <c r="B594" s="65" t="s">
        <v>35</v>
      </c>
      <c r="C594" s="65">
        <v>14</v>
      </c>
      <c r="D594" s="65" t="s">
        <v>291</v>
      </c>
      <c r="E594" s="65" t="s">
        <v>292</v>
      </c>
      <c r="F594" s="65" t="s">
        <v>285</v>
      </c>
      <c r="G594" s="65" t="s">
        <v>63</v>
      </c>
      <c r="H594" s="65" t="s">
        <v>73</v>
      </c>
      <c r="I594" s="65"/>
      <c r="J594" s="65" t="s">
        <v>191</v>
      </c>
      <c r="K594" s="65" t="s">
        <v>250</v>
      </c>
      <c r="L594" s="65">
        <v>172000</v>
      </c>
      <c r="M594" s="65" t="s">
        <v>242</v>
      </c>
      <c r="N594" s="65" t="s">
        <v>777</v>
      </c>
    </row>
    <row r="595" spans="1:16" x14ac:dyDescent="0.25">
      <c r="A595" s="63">
        <v>45597</v>
      </c>
      <c r="B595" s="65" t="s">
        <v>35</v>
      </c>
      <c r="C595" s="65">
        <v>14</v>
      </c>
      <c r="D595" s="65" t="s">
        <v>291</v>
      </c>
      <c r="E595" s="65" t="s">
        <v>292</v>
      </c>
      <c r="F595" s="65" t="s">
        <v>285</v>
      </c>
      <c r="G595" s="65" t="s">
        <v>63</v>
      </c>
      <c r="H595" s="65" t="s">
        <v>74</v>
      </c>
      <c r="I595" s="65"/>
      <c r="J595" s="65" t="s">
        <v>191</v>
      </c>
      <c r="K595" s="65" t="s">
        <v>250</v>
      </c>
      <c r="L595" s="65">
        <v>76000</v>
      </c>
      <c r="M595" s="65" t="s">
        <v>242</v>
      </c>
      <c r="N595" s="65" t="s">
        <v>778</v>
      </c>
    </row>
    <row r="596" spans="1:16" x14ac:dyDescent="0.25">
      <c r="A596" s="63">
        <v>45597</v>
      </c>
      <c r="B596" s="65" t="s">
        <v>35</v>
      </c>
      <c r="C596" s="65">
        <v>14</v>
      </c>
      <c r="D596" s="65" t="s">
        <v>291</v>
      </c>
      <c r="E596" s="65" t="s">
        <v>292</v>
      </c>
      <c r="F596" s="65" t="s">
        <v>285</v>
      </c>
      <c r="G596" s="65" t="s">
        <v>63</v>
      </c>
      <c r="H596" s="65" t="s">
        <v>75</v>
      </c>
      <c r="I596" s="65"/>
      <c r="J596" s="65" t="s">
        <v>191</v>
      </c>
      <c r="K596" s="65" t="s">
        <v>250</v>
      </c>
      <c r="L596" s="65">
        <v>19000</v>
      </c>
      <c r="M596" s="65" t="s">
        <v>242</v>
      </c>
      <c r="N596" s="65" t="s">
        <v>585</v>
      </c>
    </row>
    <row r="597" spans="1:16" x14ac:dyDescent="0.25">
      <c r="A597" s="63">
        <v>45597</v>
      </c>
      <c r="B597" s="65" t="s">
        <v>35</v>
      </c>
      <c r="C597" s="65">
        <v>14</v>
      </c>
      <c r="D597" s="65" t="s">
        <v>291</v>
      </c>
      <c r="E597" s="65" t="s">
        <v>292</v>
      </c>
      <c r="F597" s="65" t="s">
        <v>285</v>
      </c>
      <c r="G597" s="65" t="s">
        <v>63</v>
      </c>
      <c r="H597" s="65" t="s">
        <v>76</v>
      </c>
      <c r="I597" s="65"/>
      <c r="J597" s="65" t="s">
        <v>191</v>
      </c>
      <c r="K597" s="65" t="s">
        <v>250</v>
      </c>
      <c r="L597" s="65">
        <v>4000</v>
      </c>
      <c r="M597" s="65" t="s">
        <v>242</v>
      </c>
      <c r="N597" s="65" t="s">
        <v>303</v>
      </c>
    </row>
    <row r="598" spans="1:16" hidden="1" x14ac:dyDescent="0.25">
      <c r="A598" s="16">
        <v>45597</v>
      </c>
      <c r="B598" t="s">
        <v>35</v>
      </c>
      <c r="C598">
        <v>15</v>
      </c>
      <c r="D598" t="s">
        <v>291</v>
      </c>
      <c r="E598" t="s">
        <v>292</v>
      </c>
      <c r="F598" t="s">
        <v>285</v>
      </c>
      <c r="G598" t="s">
        <v>63</v>
      </c>
      <c r="H598" t="s">
        <v>79</v>
      </c>
      <c r="J598" t="s">
        <v>191</v>
      </c>
      <c r="K598" t="s">
        <v>250</v>
      </c>
      <c r="L598">
        <v>1600000</v>
      </c>
      <c r="M598" t="s">
        <v>242</v>
      </c>
      <c r="N598" t="s">
        <v>532</v>
      </c>
    </row>
    <row r="599" spans="1:16" hidden="1" x14ac:dyDescent="0.25">
      <c r="A599" s="16">
        <v>45597</v>
      </c>
      <c r="B599" t="s">
        <v>35</v>
      </c>
      <c r="C599">
        <v>15</v>
      </c>
      <c r="D599" t="s">
        <v>291</v>
      </c>
      <c r="E599" t="s">
        <v>292</v>
      </c>
      <c r="F599" t="s">
        <v>285</v>
      </c>
      <c r="G599" t="s">
        <v>63</v>
      </c>
      <c r="H599" t="s">
        <v>80</v>
      </c>
      <c r="J599" t="s">
        <v>191</v>
      </c>
      <c r="K599" t="s">
        <v>250</v>
      </c>
      <c r="L599">
        <v>29000</v>
      </c>
      <c r="M599" t="s">
        <v>242</v>
      </c>
      <c r="N599" t="s">
        <v>779</v>
      </c>
    </row>
    <row r="600" spans="1:16" hidden="1" x14ac:dyDescent="0.25">
      <c r="A600" s="16">
        <v>45597</v>
      </c>
      <c r="B600" t="s">
        <v>35</v>
      </c>
      <c r="C600">
        <v>16</v>
      </c>
      <c r="D600" t="s">
        <v>247</v>
      </c>
      <c r="E600" t="s">
        <v>248</v>
      </c>
      <c r="F600" t="s">
        <v>240</v>
      </c>
      <c r="G600" t="s">
        <v>82</v>
      </c>
      <c r="H600" t="s">
        <v>286</v>
      </c>
      <c r="J600" t="s">
        <v>191</v>
      </c>
      <c r="K600" t="s">
        <v>250</v>
      </c>
      <c r="L600">
        <v>1.4</v>
      </c>
      <c r="M600" t="s">
        <v>251</v>
      </c>
      <c r="N600" t="s">
        <v>271</v>
      </c>
    </row>
    <row r="601" spans="1:16" hidden="1" x14ac:dyDescent="0.25">
      <c r="A601" s="16">
        <v>45597</v>
      </c>
      <c r="B601" t="s">
        <v>35</v>
      </c>
      <c r="C601">
        <v>16</v>
      </c>
      <c r="D601" t="s">
        <v>253</v>
      </c>
      <c r="E601" t="s">
        <v>248</v>
      </c>
      <c r="F601" t="s">
        <v>240</v>
      </c>
      <c r="G601" t="s">
        <v>82</v>
      </c>
      <c r="J601" t="s">
        <v>189</v>
      </c>
      <c r="K601" t="s">
        <v>255</v>
      </c>
      <c r="L601">
        <v>7890000</v>
      </c>
      <c r="M601" t="s">
        <v>242</v>
      </c>
      <c r="N601" t="s">
        <v>310</v>
      </c>
      <c r="O601">
        <v>1</v>
      </c>
      <c r="P601" t="s">
        <v>257</v>
      </c>
    </row>
    <row r="602" spans="1:16" hidden="1" x14ac:dyDescent="0.25">
      <c r="A602" s="16">
        <v>45597</v>
      </c>
      <c r="B602" t="s">
        <v>35</v>
      </c>
      <c r="C602">
        <v>16</v>
      </c>
      <c r="D602" t="s">
        <v>253</v>
      </c>
      <c r="E602" t="s">
        <v>248</v>
      </c>
      <c r="F602" t="s">
        <v>240</v>
      </c>
      <c r="G602" t="s">
        <v>82</v>
      </c>
      <c r="J602" t="s">
        <v>190</v>
      </c>
      <c r="K602" t="s">
        <v>255</v>
      </c>
      <c r="L602">
        <v>8860000</v>
      </c>
      <c r="M602" t="s">
        <v>242</v>
      </c>
      <c r="N602" t="s">
        <v>589</v>
      </c>
      <c r="O602">
        <v>1</v>
      </c>
      <c r="P602" t="s">
        <v>257</v>
      </c>
    </row>
    <row r="603" spans="1:16" hidden="1" x14ac:dyDescent="0.25">
      <c r="A603" s="16">
        <v>45597</v>
      </c>
      <c r="B603" t="s">
        <v>35</v>
      </c>
      <c r="C603">
        <v>16</v>
      </c>
      <c r="D603" t="s">
        <v>253</v>
      </c>
      <c r="E603" t="s">
        <v>248</v>
      </c>
      <c r="F603" t="s">
        <v>240</v>
      </c>
      <c r="G603" t="s">
        <v>82</v>
      </c>
      <c r="J603" t="s">
        <v>191</v>
      </c>
      <c r="K603" t="s">
        <v>255</v>
      </c>
      <c r="L603">
        <v>8990000</v>
      </c>
      <c r="M603" t="s">
        <v>242</v>
      </c>
      <c r="N603" t="s">
        <v>780</v>
      </c>
      <c r="O603">
        <v>1</v>
      </c>
      <c r="P603" t="s">
        <v>261</v>
      </c>
    </row>
    <row r="604" spans="1:16" hidden="1" x14ac:dyDescent="0.25">
      <c r="A604" s="16">
        <v>45597</v>
      </c>
      <c r="B604" t="s">
        <v>35</v>
      </c>
      <c r="C604">
        <v>17</v>
      </c>
      <c r="D604" t="s">
        <v>291</v>
      </c>
      <c r="E604" t="s">
        <v>292</v>
      </c>
      <c r="F604" t="s">
        <v>240</v>
      </c>
      <c r="G604" t="s">
        <v>82</v>
      </c>
      <c r="H604" t="s">
        <v>83</v>
      </c>
      <c r="J604" t="s">
        <v>191</v>
      </c>
      <c r="K604" t="s">
        <v>250</v>
      </c>
      <c r="L604">
        <v>7720000</v>
      </c>
      <c r="M604" t="s">
        <v>242</v>
      </c>
      <c r="N604" t="s">
        <v>781</v>
      </c>
    </row>
    <row r="605" spans="1:16" hidden="1" x14ac:dyDescent="0.25">
      <c r="A605" s="16">
        <v>45597</v>
      </c>
      <c r="B605" t="s">
        <v>35</v>
      </c>
      <c r="C605">
        <v>17</v>
      </c>
      <c r="D605" t="s">
        <v>291</v>
      </c>
      <c r="E605" t="s">
        <v>292</v>
      </c>
      <c r="F605" t="s">
        <v>240</v>
      </c>
      <c r="G605" t="s">
        <v>82</v>
      </c>
      <c r="H605" t="s">
        <v>84</v>
      </c>
      <c r="J605" t="s">
        <v>191</v>
      </c>
      <c r="K605" t="s">
        <v>250</v>
      </c>
      <c r="L605">
        <v>1260000</v>
      </c>
      <c r="M605" t="s">
        <v>242</v>
      </c>
      <c r="N605" t="s">
        <v>782</v>
      </c>
    </row>
    <row r="606" spans="1:16" hidden="1" x14ac:dyDescent="0.25">
      <c r="A606" s="16">
        <v>45597</v>
      </c>
      <c r="B606" t="s">
        <v>35</v>
      </c>
      <c r="C606">
        <v>18</v>
      </c>
      <c r="D606" t="s">
        <v>291</v>
      </c>
      <c r="E606" t="s">
        <v>292</v>
      </c>
      <c r="F606" t="s">
        <v>240</v>
      </c>
      <c r="G606" t="s">
        <v>82</v>
      </c>
      <c r="H606" t="s">
        <v>83</v>
      </c>
      <c r="I606" t="s">
        <v>313</v>
      </c>
      <c r="J606" t="s">
        <v>191</v>
      </c>
      <c r="K606" t="s">
        <v>250</v>
      </c>
      <c r="L606">
        <v>3.6</v>
      </c>
      <c r="M606" t="s">
        <v>251</v>
      </c>
      <c r="N606" t="s">
        <v>783</v>
      </c>
    </row>
    <row r="607" spans="1:16" hidden="1" x14ac:dyDescent="0.25">
      <c r="A607" s="16">
        <v>45597</v>
      </c>
      <c r="B607" t="s">
        <v>35</v>
      </c>
      <c r="C607">
        <v>18</v>
      </c>
      <c r="D607" t="s">
        <v>291</v>
      </c>
      <c r="E607" t="s">
        <v>292</v>
      </c>
      <c r="F607" t="s">
        <v>240</v>
      </c>
      <c r="G607" t="s">
        <v>82</v>
      </c>
      <c r="H607" t="s">
        <v>83</v>
      </c>
      <c r="I607" t="s">
        <v>315</v>
      </c>
      <c r="J607" t="s">
        <v>191</v>
      </c>
      <c r="K607" t="s">
        <v>250</v>
      </c>
      <c r="L607">
        <v>84.9</v>
      </c>
      <c r="M607" t="s">
        <v>251</v>
      </c>
      <c r="N607" t="s">
        <v>593</v>
      </c>
    </row>
    <row r="608" spans="1:16" hidden="1" x14ac:dyDescent="0.25">
      <c r="A608" s="16">
        <v>45597</v>
      </c>
      <c r="B608" t="s">
        <v>35</v>
      </c>
      <c r="C608">
        <v>18</v>
      </c>
      <c r="D608" t="s">
        <v>291</v>
      </c>
      <c r="E608" t="s">
        <v>292</v>
      </c>
      <c r="F608" t="s">
        <v>240</v>
      </c>
      <c r="G608" t="s">
        <v>82</v>
      </c>
      <c r="H608" t="s">
        <v>83</v>
      </c>
      <c r="I608" t="s">
        <v>317</v>
      </c>
      <c r="J608" t="s">
        <v>191</v>
      </c>
      <c r="K608" t="s">
        <v>250</v>
      </c>
      <c r="L608">
        <v>11.5</v>
      </c>
      <c r="M608" t="s">
        <v>251</v>
      </c>
      <c r="N608" t="s">
        <v>784</v>
      </c>
    </row>
    <row r="609" spans="1:16" hidden="1" x14ac:dyDescent="0.25">
      <c r="A609" s="16">
        <v>45597</v>
      </c>
      <c r="B609" t="s">
        <v>35</v>
      </c>
      <c r="C609">
        <v>18</v>
      </c>
      <c r="D609" t="s">
        <v>291</v>
      </c>
      <c r="E609" t="s">
        <v>292</v>
      </c>
      <c r="F609" t="s">
        <v>240</v>
      </c>
      <c r="G609" t="s">
        <v>82</v>
      </c>
      <c r="H609" t="s">
        <v>84</v>
      </c>
      <c r="I609" t="s">
        <v>319</v>
      </c>
      <c r="J609" t="s">
        <v>191</v>
      </c>
      <c r="K609" t="s">
        <v>250</v>
      </c>
      <c r="L609">
        <v>99.5</v>
      </c>
      <c r="M609" t="s">
        <v>251</v>
      </c>
      <c r="N609" t="s">
        <v>320</v>
      </c>
    </row>
    <row r="610" spans="1:16" hidden="1" x14ac:dyDescent="0.25">
      <c r="A610" s="16">
        <v>45597</v>
      </c>
      <c r="B610" t="s">
        <v>35</v>
      </c>
      <c r="C610">
        <v>18</v>
      </c>
      <c r="D610" t="s">
        <v>291</v>
      </c>
      <c r="E610" t="s">
        <v>292</v>
      </c>
      <c r="F610" t="s">
        <v>240</v>
      </c>
      <c r="G610" t="s">
        <v>82</v>
      </c>
      <c r="H610" t="s">
        <v>84</v>
      </c>
      <c r="I610" t="s">
        <v>321</v>
      </c>
      <c r="J610" t="s">
        <v>191</v>
      </c>
      <c r="K610" t="s">
        <v>250</v>
      </c>
      <c r="L610">
        <v>0.5</v>
      </c>
      <c r="M610" t="s">
        <v>251</v>
      </c>
      <c r="N610" t="s">
        <v>322</v>
      </c>
    </row>
    <row r="611" spans="1:16" hidden="1" x14ac:dyDescent="0.25">
      <c r="A611" s="16">
        <v>45597</v>
      </c>
      <c r="B611" t="s">
        <v>35</v>
      </c>
      <c r="C611">
        <v>19</v>
      </c>
      <c r="D611" t="s">
        <v>247</v>
      </c>
      <c r="E611" t="s">
        <v>248</v>
      </c>
      <c r="F611" t="s">
        <v>244</v>
      </c>
      <c r="G611" t="s">
        <v>82</v>
      </c>
      <c r="H611" t="s">
        <v>249</v>
      </c>
      <c r="J611" t="s">
        <v>191</v>
      </c>
      <c r="K611" t="s">
        <v>250</v>
      </c>
      <c r="L611">
        <v>3.7</v>
      </c>
      <c r="M611" t="s">
        <v>251</v>
      </c>
      <c r="N611" t="s">
        <v>592</v>
      </c>
    </row>
    <row r="612" spans="1:16" hidden="1" x14ac:dyDescent="0.25">
      <c r="A612" s="16">
        <v>45597</v>
      </c>
      <c r="B612" t="s">
        <v>35</v>
      </c>
      <c r="C612">
        <v>19</v>
      </c>
      <c r="D612" t="s">
        <v>253</v>
      </c>
      <c r="E612" t="s">
        <v>248</v>
      </c>
      <c r="F612" t="s">
        <v>244</v>
      </c>
      <c r="G612" t="s">
        <v>82</v>
      </c>
      <c r="J612" t="s">
        <v>189</v>
      </c>
      <c r="K612" t="s">
        <v>255</v>
      </c>
      <c r="L612">
        <v>1140000000</v>
      </c>
      <c r="M612" t="s">
        <v>245</v>
      </c>
      <c r="N612" t="s">
        <v>326</v>
      </c>
      <c r="O612">
        <v>1</v>
      </c>
      <c r="P612" t="s">
        <v>257</v>
      </c>
    </row>
    <row r="613" spans="1:16" hidden="1" x14ac:dyDescent="0.25">
      <c r="A613" s="16">
        <v>45597</v>
      </c>
      <c r="B613" t="s">
        <v>35</v>
      </c>
      <c r="C613">
        <v>19</v>
      </c>
      <c r="D613" t="s">
        <v>253</v>
      </c>
      <c r="E613" t="s">
        <v>248</v>
      </c>
      <c r="F613" t="s">
        <v>244</v>
      </c>
      <c r="G613" t="s">
        <v>82</v>
      </c>
      <c r="J613" t="s">
        <v>190</v>
      </c>
      <c r="K613" t="s">
        <v>255</v>
      </c>
      <c r="L613">
        <v>1220000000</v>
      </c>
      <c r="M613" t="s">
        <v>245</v>
      </c>
      <c r="N613" t="s">
        <v>596</v>
      </c>
      <c r="O613">
        <v>1</v>
      </c>
      <c r="P613" t="s">
        <v>257</v>
      </c>
    </row>
    <row r="614" spans="1:16" hidden="1" x14ac:dyDescent="0.25">
      <c r="A614" s="16">
        <v>45597</v>
      </c>
      <c r="B614" t="s">
        <v>35</v>
      </c>
      <c r="C614">
        <v>19</v>
      </c>
      <c r="D614" t="s">
        <v>253</v>
      </c>
      <c r="E614" t="s">
        <v>248</v>
      </c>
      <c r="F614" t="s">
        <v>244</v>
      </c>
      <c r="G614" t="s">
        <v>82</v>
      </c>
      <c r="J614" t="s">
        <v>191</v>
      </c>
      <c r="K614" t="s">
        <v>255</v>
      </c>
      <c r="L614">
        <v>1180000000</v>
      </c>
      <c r="M614" t="s">
        <v>245</v>
      </c>
      <c r="N614" t="s">
        <v>785</v>
      </c>
      <c r="O614">
        <v>1</v>
      </c>
      <c r="P614" t="s">
        <v>261</v>
      </c>
    </row>
    <row r="615" spans="1:16" hidden="1" x14ac:dyDescent="0.25">
      <c r="A615" s="16">
        <v>45597</v>
      </c>
      <c r="B615" t="s">
        <v>35</v>
      </c>
      <c r="C615">
        <v>20</v>
      </c>
      <c r="D615" t="s">
        <v>291</v>
      </c>
      <c r="E615" t="s">
        <v>292</v>
      </c>
      <c r="F615" t="s">
        <v>244</v>
      </c>
      <c r="G615" t="s">
        <v>82</v>
      </c>
      <c r="H615" t="s">
        <v>83</v>
      </c>
      <c r="J615" t="s">
        <v>191</v>
      </c>
      <c r="K615" t="s">
        <v>250</v>
      </c>
      <c r="L615">
        <v>954200000</v>
      </c>
      <c r="M615" t="s">
        <v>245</v>
      </c>
      <c r="N615" t="s">
        <v>786</v>
      </c>
    </row>
    <row r="616" spans="1:16" hidden="1" x14ac:dyDescent="0.25">
      <c r="A616" s="16">
        <v>45597</v>
      </c>
      <c r="B616" t="s">
        <v>35</v>
      </c>
      <c r="C616">
        <v>20</v>
      </c>
      <c r="D616" t="s">
        <v>291</v>
      </c>
      <c r="E616" t="s">
        <v>292</v>
      </c>
      <c r="F616" t="s">
        <v>244</v>
      </c>
      <c r="G616" t="s">
        <v>82</v>
      </c>
      <c r="H616" t="s">
        <v>84</v>
      </c>
      <c r="J616" t="s">
        <v>191</v>
      </c>
      <c r="K616" t="s">
        <v>250</v>
      </c>
      <c r="L616">
        <v>220900000</v>
      </c>
      <c r="M616" t="s">
        <v>245</v>
      </c>
      <c r="N616" t="s">
        <v>787</v>
      </c>
    </row>
    <row r="617" spans="1:16" hidden="1" x14ac:dyDescent="0.25">
      <c r="A617" s="16">
        <v>45597</v>
      </c>
      <c r="B617" t="s">
        <v>35</v>
      </c>
      <c r="C617">
        <v>21</v>
      </c>
      <c r="D617" t="s">
        <v>291</v>
      </c>
      <c r="E617" t="s">
        <v>292</v>
      </c>
      <c r="F617" t="s">
        <v>244</v>
      </c>
      <c r="G617" t="s">
        <v>82</v>
      </c>
      <c r="H617" t="s">
        <v>83</v>
      </c>
      <c r="I617" t="s">
        <v>313</v>
      </c>
      <c r="J617" t="s">
        <v>191</v>
      </c>
      <c r="K617" t="s">
        <v>250</v>
      </c>
      <c r="L617">
        <v>5.68</v>
      </c>
      <c r="M617" t="s">
        <v>251</v>
      </c>
      <c r="N617" t="s">
        <v>788</v>
      </c>
    </row>
    <row r="618" spans="1:16" hidden="1" x14ac:dyDescent="0.25">
      <c r="A618" s="16">
        <v>45597</v>
      </c>
      <c r="B618" t="s">
        <v>35</v>
      </c>
      <c r="C618">
        <v>21</v>
      </c>
      <c r="D618" t="s">
        <v>291</v>
      </c>
      <c r="E618" t="s">
        <v>292</v>
      </c>
      <c r="F618" t="s">
        <v>244</v>
      </c>
      <c r="G618" t="s">
        <v>82</v>
      </c>
      <c r="H618" t="s">
        <v>83</v>
      </c>
      <c r="I618" t="s">
        <v>315</v>
      </c>
      <c r="J618" t="s">
        <v>191</v>
      </c>
      <c r="K618" t="s">
        <v>250</v>
      </c>
      <c r="L618">
        <v>72.86</v>
      </c>
      <c r="M618" t="s">
        <v>251</v>
      </c>
      <c r="N618" t="s">
        <v>789</v>
      </c>
    </row>
    <row r="619" spans="1:16" hidden="1" x14ac:dyDescent="0.25">
      <c r="A619" s="16">
        <v>45597</v>
      </c>
      <c r="B619" t="s">
        <v>35</v>
      </c>
      <c r="C619">
        <v>21</v>
      </c>
      <c r="D619" t="s">
        <v>291</v>
      </c>
      <c r="E619" t="s">
        <v>292</v>
      </c>
      <c r="F619" t="s">
        <v>244</v>
      </c>
      <c r="G619" t="s">
        <v>82</v>
      </c>
      <c r="H619" t="s">
        <v>83</v>
      </c>
      <c r="I619" t="s">
        <v>317</v>
      </c>
      <c r="J619" t="s">
        <v>191</v>
      </c>
      <c r="K619" t="s">
        <v>250</v>
      </c>
      <c r="L619">
        <v>21.46</v>
      </c>
      <c r="M619" t="s">
        <v>251</v>
      </c>
      <c r="N619" t="s">
        <v>790</v>
      </c>
    </row>
    <row r="620" spans="1:16" hidden="1" x14ac:dyDescent="0.25">
      <c r="A620" s="16">
        <v>45597</v>
      </c>
      <c r="B620" t="s">
        <v>35</v>
      </c>
      <c r="C620">
        <v>21</v>
      </c>
      <c r="D620" t="s">
        <v>291</v>
      </c>
      <c r="E620" t="s">
        <v>292</v>
      </c>
      <c r="F620" t="s">
        <v>244</v>
      </c>
      <c r="G620" t="s">
        <v>82</v>
      </c>
      <c r="H620" t="s">
        <v>84</v>
      </c>
      <c r="I620" t="s">
        <v>319</v>
      </c>
      <c r="J620" t="s">
        <v>191</v>
      </c>
      <c r="K620" t="s">
        <v>250</v>
      </c>
      <c r="L620">
        <v>99.92</v>
      </c>
      <c r="M620" t="s">
        <v>251</v>
      </c>
      <c r="N620" t="s">
        <v>332</v>
      </c>
    </row>
    <row r="621" spans="1:16" hidden="1" x14ac:dyDescent="0.25">
      <c r="A621" s="16">
        <v>45597</v>
      </c>
      <c r="B621" t="s">
        <v>35</v>
      </c>
      <c r="C621">
        <v>21</v>
      </c>
      <c r="D621" t="s">
        <v>291</v>
      </c>
      <c r="E621" t="s">
        <v>292</v>
      </c>
      <c r="F621" t="s">
        <v>244</v>
      </c>
      <c r="G621" t="s">
        <v>82</v>
      </c>
      <c r="H621" t="s">
        <v>84</v>
      </c>
      <c r="I621" t="s">
        <v>321</v>
      </c>
      <c r="J621" t="s">
        <v>191</v>
      </c>
      <c r="K621" t="s">
        <v>250</v>
      </c>
      <c r="L621">
        <v>0.08</v>
      </c>
      <c r="M621" t="s">
        <v>251</v>
      </c>
      <c r="N621" t="s">
        <v>333</v>
      </c>
    </row>
    <row r="622" spans="1:16" hidden="1" x14ac:dyDescent="0.25">
      <c r="A622" s="16">
        <v>45597</v>
      </c>
      <c r="B622" t="s">
        <v>35</v>
      </c>
      <c r="C622">
        <v>22</v>
      </c>
      <c r="D622" t="s">
        <v>253</v>
      </c>
      <c r="E622" t="s">
        <v>248</v>
      </c>
      <c r="F622" t="s">
        <v>334</v>
      </c>
      <c r="G622" t="s">
        <v>82</v>
      </c>
      <c r="J622" t="s">
        <v>189</v>
      </c>
      <c r="K622" t="s">
        <v>255</v>
      </c>
      <c r="L622">
        <v>145</v>
      </c>
      <c r="M622" t="s">
        <v>245</v>
      </c>
      <c r="N622" t="s">
        <v>337</v>
      </c>
      <c r="O622">
        <v>1</v>
      </c>
      <c r="P622" t="s">
        <v>257</v>
      </c>
    </row>
    <row r="623" spans="1:16" hidden="1" x14ac:dyDescent="0.25">
      <c r="A623" s="16">
        <v>45597</v>
      </c>
      <c r="B623" t="s">
        <v>35</v>
      </c>
      <c r="C623">
        <v>22</v>
      </c>
      <c r="D623" t="s">
        <v>253</v>
      </c>
      <c r="E623" t="s">
        <v>248</v>
      </c>
      <c r="F623" t="s">
        <v>334</v>
      </c>
      <c r="G623" t="s">
        <v>82</v>
      </c>
      <c r="J623" t="s">
        <v>190</v>
      </c>
      <c r="K623" t="s">
        <v>255</v>
      </c>
      <c r="L623">
        <v>138</v>
      </c>
      <c r="M623" t="s">
        <v>245</v>
      </c>
      <c r="N623" t="s">
        <v>604</v>
      </c>
      <c r="O623">
        <v>1</v>
      </c>
      <c r="P623" t="s">
        <v>257</v>
      </c>
    </row>
    <row r="624" spans="1:16" hidden="1" x14ac:dyDescent="0.25">
      <c r="A624" s="16">
        <v>45597</v>
      </c>
      <c r="B624" t="s">
        <v>35</v>
      </c>
      <c r="C624">
        <v>22</v>
      </c>
      <c r="D624" t="s">
        <v>253</v>
      </c>
      <c r="E624" t="s">
        <v>248</v>
      </c>
      <c r="F624" t="s">
        <v>334</v>
      </c>
      <c r="G624" t="s">
        <v>82</v>
      </c>
      <c r="J624" t="s">
        <v>191</v>
      </c>
      <c r="K624" t="s">
        <v>255</v>
      </c>
      <c r="L624">
        <v>131</v>
      </c>
      <c r="M624" t="s">
        <v>245</v>
      </c>
      <c r="N624" t="s">
        <v>791</v>
      </c>
      <c r="O624">
        <v>1</v>
      </c>
      <c r="P624" t="s">
        <v>261</v>
      </c>
    </row>
    <row r="625" spans="1:16" hidden="1" x14ac:dyDescent="0.25">
      <c r="A625" s="16">
        <v>45597</v>
      </c>
      <c r="B625" t="s">
        <v>35</v>
      </c>
      <c r="C625">
        <v>23</v>
      </c>
      <c r="D625" t="s">
        <v>291</v>
      </c>
      <c r="E625" t="s">
        <v>292</v>
      </c>
      <c r="F625" t="s">
        <v>240</v>
      </c>
      <c r="G625" t="s">
        <v>82</v>
      </c>
      <c r="H625" t="s">
        <v>94</v>
      </c>
      <c r="J625" t="s">
        <v>191</v>
      </c>
      <c r="K625" t="s">
        <v>250</v>
      </c>
      <c r="L625">
        <v>4190000</v>
      </c>
      <c r="M625" t="s">
        <v>242</v>
      </c>
      <c r="N625" t="s">
        <v>792</v>
      </c>
    </row>
    <row r="626" spans="1:16" hidden="1" x14ac:dyDescent="0.25">
      <c r="A626" s="16">
        <v>45597</v>
      </c>
      <c r="B626" t="s">
        <v>35</v>
      </c>
      <c r="C626">
        <v>23</v>
      </c>
      <c r="D626" t="s">
        <v>291</v>
      </c>
      <c r="E626" t="s">
        <v>292</v>
      </c>
      <c r="F626" t="s">
        <v>240</v>
      </c>
      <c r="G626" t="s">
        <v>82</v>
      </c>
      <c r="H626" t="s">
        <v>95</v>
      </c>
      <c r="J626" t="s">
        <v>191</v>
      </c>
      <c r="K626" t="s">
        <v>250</v>
      </c>
      <c r="L626">
        <v>1460000</v>
      </c>
      <c r="M626" t="s">
        <v>242</v>
      </c>
      <c r="N626" t="s">
        <v>793</v>
      </c>
    </row>
    <row r="627" spans="1:16" hidden="1" x14ac:dyDescent="0.25">
      <c r="A627" s="16">
        <v>45597</v>
      </c>
      <c r="B627" t="s">
        <v>35</v>
      </c>
      <c r="C627">
        <v>24</v>
      </c>
      <c r="D627" t="s">
        <v>291</v>
      </c>
      <c r="E627" t="s">
        <v>292</v>
      </c>
      <c r="F627" t="s">
        <v>244</v>
      </c>
      <c r="G627" t="s">
        <v>82</v>
      </c>
      <c r="H627" t="s">
        <v>94</v>
      </c>
      <c r="J627" t="s">
        <v>191</v>
      </c>
      <c r="K627" t="s">
        <v>250</v>
      </c>
      <c r="L627">
        <v>651100000</v>
      </c>
      <c r="M627" t="s">
        <v>245</v>
      </c>
      <c r="N627" t="s">
        <v>794</v>
      </c>
    </row>
    <row r="628" spans="1:16" hidden="1" x14ac:dyDescent="0.25">
      <c r="A628" s="16">
        <v>45597</v>
      </c>
      <c r="B628" t="s">
        <v>35</v>
      </c>
      <c r="C628">
        <v>24</v>
      </c>
      <c r="D628" t="s">
        <v>291</v>
      </c>
      <c r="E628" t="s">
        <v>292</v>
      </c>
      <c r="F628" t="s">
        <v>244</v>
      </c>
      <c r="G628" t="s">
        <v>82</v>
      </c>
      <c r="H628" t="s">
        <v>95</v>
      </c>
      <c r="J628" t="s">
        <v>191</v>
      </c>
      <c r="K628" t="s">
        <v>250</v>
      </c>
      <c r="L628">
        <v>167300000</v>
      </c>
      <c r="M628" t="s">
        <v>245</v>
      </c>
      <c r="N628" t="s">
        <v>795</v>
      </c>
    </row>
    <row r="629" spans="1:16" hidden="1" x14ac:dyDescent="0.25">
      <c r="A629" s="16">
        <v>45597</v>
      </c>
      <c r="B629" t="s">
        <v>156</v>
      </c>
      <c r="C629">
        <v>73</v>
      </c>
      <c r="D629" t="s">
        <v>238</v>
      </c>
      <c r="E629" t="s">
        <v>239</v>
      </c>
      <c r="F629" t="s">
        <v>240</v>
      </c>
      <c r="G629" t="s">
        <v>158</v>
      </c>
      <c r="J629" t="s">
        <v>191</v>
      </c>
      <c r="K629" t="s">
        <v>241</v>
      </c>
      <c r="L629">
        <v>5840000</v>
      </c>
      <c r="M629" t="s">
        <v>242</v>
      </c>
      <c r="N629" t="s">
        <v>796</v>
      </c>
    </row>
    <row r="630" spans="1:16" hidden="1" x14ac:dyDescent="0.25">
      <c r="A630" s="16">
        <v>45597</v>
      </c>
      <c r="B630" t="s">
        <v>156</v>
      </c>
      <c r="C630">
        <v>73</v>
      </c>
      <c r="D630" t="s">
        <v>238</v>
      </c>
      <c r="E630" t="s">
        <v>239</v>
      </c>
      <c r="F630" t="s">
        <v>244</v>
      </c>
      <c r="G630" t="s">
        <v>158</v>
      </c>
      <c r="J630" t="s">
        <v>191</v>
      </c>
      <c r="K630" t="s">
        <v>241</v>
      </c>
      <c r="L630">
        <v>36340000000</v>
      </c>
      <c r="M630" t="s">
        <v>245</v>
      </c>
      <c r="N630" t="s">
        <v>797</v>
      </c>
    </row>
    <row r="631" spans="1:16" hidden="1" x14ac:dyDescent="0.25">
      <c r="A631" s="16">
        <v>45597</v>
      </c>
      <c r="B631" t="s">
        <v>156</v>
      </c>
      <c r="C631">
        <v>74</v>
      </c>
      <c r="D631" t="s">
        <v>247</v>
      </c>
      <c r="E631" t="s">
        <v>248</v>
      </c>
      <c r="F631" t="s">
        <v>344</v>
      </c>
      <c r="G631" t="s">
        <v>158</v>
      </c>
      <c r="H631" t="s">
        <v>249</v>
      </c>
      <c r="J631" t="s">
        <v>191</v>
      </c>
      <c r="K631" t="s">
        <v>250</v>
      </c>
      <c r="L631">
        <v>22.7</v>
      </c>
      <c r="M631" t="s">
        <v>251</v>
      </c>
      <c r="N631" t="s">
        <v>798</v>
      </c>
    </row>
    <row r="632" spans="1:16" hidden="1" x14ac:dyDescent="0.25">
      <c r="A632" s="16">
        <v>45597</v>
      </c>
      <c r="B632" t="s">
        <v>156</v>
      </c>
      <c r="C632">
        <v>74</v>
      </c>
      <c r="D632" t="s">
        <v>253</v>
      </c>
      <c r="E632" t="s">
        <v>248</v>
      </c>
      <c r="F632" t="s">
        <v>344</v>
      </c>
      <c r="G632" t="s">
        <v>158</v>
      </c>
      <c r="J632" t="s">
        <v>189</v>
      </c>
      <c r="K632" t="s">
        <v>255</v>
      </c>
      <c r="L632">
        <v>624000</v>
      </c>
      <c r="M632" t="s">
        <v>242</v>
      </c>
      <c r="N632" t="s">
        <v>348</v>
      </c>
      <c r="O632">
        <v>1</v>
      </c>
      <c r="P632" t="s">
        <v>257</v>
      </c>
    </row>
    <row r="633" spans="1:16" hidden="1" x14ac:dyDescent="0.25">
      <c r="A633" s="16">
        <v>45597</v>
      </c>
      <c r="B633" t="s">
        <v>156</v>
      </c>
      <c r="C633">
        <v>74</v>
      </c>
      <c r="D633" t="s">
        <v>253</v>
      </c>
      <c r="E633" t="s">
        <v>248</v>
      </c>
      <c r="F633" t="s">
        <v>344</v>
      </c>
      <c r="G633" t="s">
        <v>158</v>
      </c>
      <c r="J633" t="s">
        <v>190</v>
      </c>
      <c r="K633" t="s">
        <v>255</v>
      </c>
      <c r="L633">
        <v>583000</v>
      </c>
      <c r="M633" t="s">
        <v>242</v>
      </c>
      <c r="N633" t="s">
        <v>612</v>
      </c>
      <c r="O633">
        <v>1</v>
      </c>
      <c r="P633" t="s">
        <v>257</v>
      </c>
    </row>
    <row r="634" spans="1:16" hidden="1" x14ac:dyDescent="0.25">
      <c r="A634" s="16">
        <v>45597</v>
      </c>
      <c r="B634" t="s">
        <v>156</v>
      </c>
      <c r="C634">
        <v>74</v>
      </c>
      <c r="D634" t="s">
        <v>253</v>
      </c>
      <c r="E634" t="s">
        <v>248</v>
      </c>
      <c r="F634" t="s">
        <v>344</v>
      </c>
      <c r="G634" t="s">
        <v>158</v>
      </c>
      <c r="J634" t="s">
        <v>191</v>
      </c>
      <c r="K634" t="s">
        <v>255</v>
      </c>
      <c r="L634">
        <v>451000</v>
      </c>
      <c r="M634" t="s">
        <v>242</v>
      </c>
      <c r="N634" t="s">
        <v>799</v>
      </c>
      <c r="O634">
        <v>1</v>
      </c>
      <c r="P634" t="s">
        <v>261</v>
      </c>
    </row>
    <row r="635" spans="1:16" hidden="1" x14ac:dyDescent="0.25">
      <c r="A635" s="16">
        <v>45597</v>
      </c>
      <c r="B635" t="s">
        <v>156</v>
      </c>
      <c r="C635">
        <v>75</v>
      </c>
      <c r="D635" t="s">
        <v>253</v>
      </c>
      <c r="E635" t="s">
        <v>248</v>
      </c>
      <c r="F635" t="s">
        <v>349</v>
      </c>
      <c r="G635" t="s">
        <v>158</v>
      </c>
      <c r="J635" t="s">
        <v>189</v>
      </c>
      <c r="K635" t="s">
        <v>255</v>
      </c>
      <c r="L635">
        <v>20900</v>
      </c>
      <c r="M635" t="s">
        <v>242</v>
      </c>
      <c r="N635" t="s">
        <v>353</v>
      </c>
      <c r="O635">
        <v>1</v>
      </c>
      <c r="P635" t="s">
        <v>257</v>
      </c>
    </row>
    <row r="636" spans="1:16" hidden="1" x14ac:dyDescent="0.25">
      <c r="A636" s="16">
        <v>45597</v>
      </c>
      <c r="B636" t="s">
        <v>156</v>
      </c>
      <c r="C636">
        <v>75</v>
      </c>
      <c r="D636" t="s">
        <v>253</v>
      </c>
      <c r="E636" t="s">
        <v>248</v>
      </c>
      <c r="F636" t="s">
        <v>349</v>
      </c>
      <c r="G636" t="s">
        <v>158</v>
      </c>
      <c r="J636" t="s">
        <v>190</v>
      </c>
      <c r="K636" t="s">
        <v>255</v>
      </c>
      <c r="L636">
        <v>18700</v>
      </c>
      <c r="M636" t="s">
        <v>242</v>
      </c>
      <c r="N636" t="s">
        <v>614</v>
      </c>
      <c r="O636">
        <v>1</v>
      </c>
      <c r="P636" t="s">
        <v>257</v>
      </c>
    </row>
    <row r="637" spans="1:16" hidden="1" x14ac:dyDescent="0.25">
      <c r="A637" s="16">
        <v>45597</v>
      </c>
      <c r="B637" t="s">
        <v>156</v>
      </c>
      <c r="C637">
        <v>75</v>
      </c>
      <c r="D637" t="s">
        <v>253</v>
      </c>
      <c r="E637" t="s">
        <v>248</v>
      </c>
      <c r="F637" t="s">
        <v>349</v>
      </c>
      <c r="G637" t="s">
        <v>158</v>
      </c>
      <c r="J637" t="s">
        <v>191</v>
      </c>
      <c r="K637" t="s">
        <v>255</v>
      </c>
      <c r="L637">
        <v>13000</v>
      </c>
      <c r="M637" t="s">
        <v>242</v>
      </c>
      <c r="N637" t="s">
        <v>475</v>
      </c>
      <c r="O637">
        <v>1</v>
      </c>
      <c r="P637" t="s">
        <v>261</v>
      </c>
    </row>
    <row r="638" spans="1:16" hidden="1" x14ac:dyDescent="0.25">
      <c r="A638" s="16">
        <v>45597</v>
      </c>
      <c r="B638" t="s">
        <v>156</v>
      </c>
      <c r="C638">
        <v>76</v>
      </c>
      <c r="D638" t="s">
        <v>253</v>
      </c>
      <c r="E638" t="s">
        <v>248</v>
      </c>
      <c r="F638" t="s">
        <v>615</v>
      </c>
      <c r="G638" t="s">
        <v>158</v>
      </c>
      <c r="J638" t="s">
        <v>189</v>
      </c>
      <c r="K638" t="s">
        <v>255</v>
      </c>
      <c r="L638">
        <v>3.4</v>
      </c>
      <c r="M638" t="s">
        <v>251</v>
      </c>
      <c r="N638" t="s">
        <v>314</v>
      </c>
      <c r="O638">
        <v>1</v>
      </c>
      <c r="P638" t="s">
        <v>257</v>
      </c>
    </row>
    <row r="639" spans="1:16" hidden="1" x14ac:dyDescent="0.25">
      <c r="A639" s="16">
        <v>45597</v>
      </c>
      <c r="B639" t="s">
        <v>156</v>
      </c>
      <c r="C639">
        <v>76</v>
      </c>
      <c r="D639" t="s">
        <v>253</v>
      </c>
      <c r="E639" t="s">
        <v>248</v>
      </c>
      <c r="F639" t="s">
        <v>615</v>
      </c>
      <c r="G639" t="s">
        <v>158</v>
      </c>
      <c r="J639" t="s">
        <v>190</v>
      </c>
      <c r="K639" t="s">
        <v>255</v>
      </c>
      <c r="L639">
        <v>3.2</v>
      </c>
      <c r="M639" t="s">
        <v>251</v>
      </c>
      <c r="N639" t="s">
        <v>509</v>
      </c>
      <c r="O639">
        <v>1</v>
      </c>
      <c r="P639" t="s">
        <v>257</v>
      </c>
    </row>
    <row r="640" spans="1:16" hidden="1" x14ac:dyDescent="0.25">
      <c r="A640" s="16">
        <v>45597</v>
      </c>
      <c r="B640" t="s">
        <v>156</v>
      </c>
      <c r="C640">
        <v>76</v>
      </c>
      <c r="D640" t="s">
        <v>253</v>
      </c>
      <c r="E640" t="s">
        <v>248</v>
      </c>
      <c r="F640" t="s">
        <v>615</v>
      </c>
      <c r="G640" t="s">
        <v>158</v>
      </c>
      <c r="J640" t="s">
        <v>191</v>
      </c>
      <c r="K640" t="s">
        <v>255</v>
      </c>
      <c r="L640">
        <v>2.9</v>
      </c>
      <c r="M640" t="s">
        <v>251</v>
      </c>
      <c r="N640" t="s">
        <v>616</v>
      </c>
      <c r="O640">
        <v>1</v>
      </c>
      <c r="P640" t="s">
        <v>261</v>
      </c>
    </row>
    <row r="641" spans="1:16" hidden="1" x14ac:dyDescent="0.25">
      <c r="A641" s="16">
        <v>45597</v>
      </c>
      <c r="B641" t="s">
        <v>156</v>
      </c>
      <c r="C641">
        <v>77</v>
      </c>
      <c r="D641" t="s">
        <v>291</v>
      </c>
      <c r="E641" t="s">
        <v>292</v>
      </c>
      <c r="F641" t="s">
        <v>349</v>
      </c>
      <c r="G641" t="s">
        <v>158</v>
      </c>
      <c r="H641" t="s">
        <v>159</v>
      </c>
      <c r="J641" t="s">
        <v>191</v>
      </c>
      <c r="K641" t="s">
        <v>250</v>
      </c>
      <c r="L641">
        <v>8711</v>
      </c>
      <c r="M641" t="s">
        <v>242</v>
      </c>
      <c r="N641" t="s">
        <v>800</v>
      </c>
    </row>
    <row r="642" spans="1:16" hidden="1" x14ac:dyDescent="0.25">
      <c r="A642" s="16">
        <v>45597</v>
      </c>
      <c r="B642" t="s">
        <v>156</v>
      </c>
      <c r="C642">
        <v>77</v>
      </c>
      <c r="D642" t="s">
        <v>291</v>
      </c>
      <c r="E642" t="s">
        <v>292</v>
      </c>
      <c r="F642" t="s">
        <v>349</v>
      </c>
      <c r="G642" t="s">
        <v>158</v>
      </c>
      <c r="H642" t="s">
        <v>160</v>
      </c>
      <c r="J642" t="s">
        <v>191</v>
      </c>
      <c r="K642" t="s">
        <v>250</v>
      </c>
      <c r="L642">
        <v>4277</v>
      </c>
      <c r="M642" t="s">
        <v>242</v>
      </c>
      <c r="N642" t="s">
        <v>801</v>
      </c>
    </row>
    <row r="643" spans="1:16" hidden="1" x14ac:dyDescent="0.25">
      <c r="A643" s="16">
        <v>45597</v>
      </c>
      <c r="B643" t="s">
        <v>156</v>
      </c>
      <c r="C643">
        <v>78</v>
      </c>
      <c r="D643" t="s">
        <v>247</v>
      </c>
      <c r="E643" t="s">
        <v>248</v>
      </c>
      <c r="F643" t="s">
        <v>356</v>
      </c>
      <c r="G643" t="s">
        <v>158</v>
      </c>
      <c r="H643" t="s">
        <v>249</v>
      </c>
      <c r="J643" t="s">
        <v>191</v>
      </c>
      <c r="K643" t="s">
        <v>250</v>
      </c>
      <c r="L643">
        <v>15.5</v>
      </c>
      <c r="M643" t="s">
        <v>251</v>
      </c>
      <c r="N643" t="s">
        <v>802</v>
      </c>
    </row>
    <row r="644" spans="1:16" hidden="1" x14ac:dyDescent="0.25">
      <c r="A644" s="16">
        <v>45597</v>
      </c>
      <c r="B644" t="s">
        <v>156</v>
      </c>
      <c r="C644">
        <v>78</v>
      </c>
      <c r="D644" t="s">
        <v>253</v>
      </c>
      <c r="E644" t="s">
        <v>248</v>
      </c>
      <c r="F644" t="s">
        <v>356</v>
      </c>
      <c r="G644" t="s">
        <v>158</v>
      </c>
      <c r="J644" t="s">
        <v>189</v>
      </c>
      <c r="K644" t="s">
        <v>255</v>
      </c>
      <c r="L644">
        <v>3530000000</v>
      </c>
      <c r="M644" t="s">
        <v>245</v>
      </c>
      <c r="N644" t="s">
        <v>360</v>
      </c>
      <c r="O644">
        <v>1</v>
      </c>
      <c r="P644" t="s">
        <v>257</v>
      </c>
    </row>
    <row r="645" spans="1:16" hidden="1" x14ac:dyDescent="0.25">
      <c r="A645" s="16">
        <v>45597</v>
      </c>
      <c r="B645" t="s">
        <v>156</v>
      </c>
      <c r="C645">
        <v>78</v>
      </c>
      <c r="D645" t="s">
        <v>253</v>
      </c>
      <c r="E645" t="s">
        <v>248</v>
      </c>
      <c r="F645" t="s">
        <v>356</v>
      </c>
      <c r="G645" t="s">
        <v>158</v>
      </c>
      <c r="J645" t="s">
        <v>190</v>
      </c>
      <c r="K645" t="s">
        <v>255</v>
      </c>
      <c r="L645">
        <v>3610000000</v>
      </c>
      <c r="M645" t="s">
        <v>245</v>
      </c>
      <c r="N645" t="s">
        <v>620</v>
      </c>
      <c r="O645">
        <v>1</v>
      </c>
      <c r="P645" t="s">
        <v>257</v>
      </c>
    </row>
    <row r="646" spans="1:16" hidden="1" x14ac:dyDescent="0.25">
      <c r="A646" s="16">
        <v>45597</v>
      </c>
      <c r="B646" t="s">
        <v>156</v>
      </c>
      <c r="C646">
        <v>78</v>
      </c>
      <c r="D646" t="s">
        <v>253</v>
      </c>
      <c r="E646" t="s">
        <v>248</v>
      </c>
      <c r="F646" t="s">
        <v>356</v>
      </c>
      <c r="G646" t="s">
        <v>158</v>
      </c>
      <c r="J646" t="s">
        <v>191</v>
      </c>
      <c r="K646" t="s">
        <v>255</v>
      </c>
      <c r="L646">
        <v>3050000000</v>
      </c>
      <c r="M646" t="s">
        <v>245</v>
      </c>
      <c r="N646" t="s">
        <v>803</v>
      </c>
      <c r="O646">
        <v>1</v>
      </c>
      <c r="P646" t="s">
        <v>261</v>
      </c>
    </row>
    <row r="647" spans="1:16" hidden="1" x14ac:dyDescent="0.25">
      <c r="A647" s="16">
        <v>45597</v>
      </c>
      <c r="B647" t="s">
        <v>156</v>
      </c>
      <c r="C647">
        <v>79</v>
      </c>
      <c r="D647" t="s">
        <v>253</v>
      </c>
      <c r="E647" t="s">
        <v>248</v>
      </c>
      <c r="F647" t="s">
        <v>361</v>
      </c>
      <c r="G647" t="s">
        <v>158</v>
      </c>
      <c r="J647" t="s">
        <v>189</v>
      </c>
      <c r="K647" t="s">
        <v>255</v>
      </c>
      <c r="L647">
        <v>130000000</v>
      </c>
      <c r="M647" t="s">
        <v>245</v>
      </c>
      <c r="N647" t="s">
        <v>365</v>
      </c>
      <c r="O647">
        <v>1</v>
      </c>
      <c r="P647" t="s">
        <v>257</v>
      </c>
    </row>
    <row r="648" spans="1:16" hidden="1" x14ac:dyDescent="0.25">
      <c r="A648" s="16">
        <v>45597</v>
      </c>
      <c r="B648" t="s">
        <v>156</v>
      </c>
      <c r="C648">
        <v>79</v>
      </c>
      <c r="D648" t="s">
        <v>253</v>
      </c>
      <c r="E648" t="s">
        <v>248</v>
      </c>
      <c r="F648" t="s">
        <v>361</v>
      </c>
      <c r="G648" t="s">
        <v>158</v>
      </c>
      <c r="J648" t="s">
        <v>190</v>
      </c>
      <c r="K648" t="s">
        <v>255</v>
      </c>
      <c r="L648">
        <v>123000000</v>
      </c>
      <c r="M648" t="s">
        <v>245</v>
      </c>
      <c r="N648" t="s">
        <v>621</v>
      </c>
      <c r="O648">
        <v>1</v>
      </c>
      <c r="P648" t="s">
        <v>257</v>
      </c>
    </row>
    <row r="649" spans="1:16" hidden="1" x14ac:dyDescent="0.25">
      <c r="A649" s="16">
        <v>45597</v>
      </c>
      <c r="B649" t="s">
        <v>156</v>
      </c>
      <c r="C649">
        <v>79</v>
      </c>
      <c r="D649" t="s">
        <v>253</v>
      </c>
      <c r="E649" t="s">
        <v>248</v>
      </c>
      <c r="F649" t="s">
        <v>361</v>
      </c>
      <c r="G649" t="s">
        <v>158</v>
      </c>
      <c r="J649" t="s">
        <v>191</v>
      </c>
      <c r="K649" t="s">
        <v>255</v>
      </c>
      <c r="L649">
        <v>82000000</v>
      </c>
      <c r="M649" t="s">
        <v>245</v>
      </c>
      <c r="N649" t="s">
        <v>804</v>
      </c>
      <c r="O649">
        <v>1</v>
      </c>
      <c r="P649" t="s">
        <v>261</v>
      </c>
    </row>
    <row r="650" spans="1:16" hidden="1" x14ac:dyDescent="0.25">
      <c r="A650" s="16">
        <v>45597</v>
      </c>
      <c r="B650" t="s">
        <v>156</v>
      </c>
      <c r="C650">
        <v>80</v>
      </c>
      <c r="D650" t="s">
        <v>253</v>
      </c>
      <c r="E650" t="s">
        <v>248</v>
      </c>
      <c r="F650" t="s">
        <v>622</v>
      </c>
      <c r="G650" t="s">
        <v>158</v>
      </c>
      <c r="J650" t="s">
        <v>189</v>
      </c>
      <c r="K650" t="s">
        <v>255</v>
      </c>
      <c r="L650">
        <v>3.7</v>
      </c>
      <c r="M650" t="s">
        <v>251</v>
      </c>
      <c r="N650" t="s">
        <v>624</v>
      </c>
      <c r="O650">
        <v>1</v>
      </c>
      <c r="P650" t="s">
        <v>257</v>
      </c>
    </row>
    <row r="651" spans="1:16" hidden="1" x14ac:dyDescent="0.25">
      <c r="A651" s="16">
        <v>45597</v>
      </c>
      <c r="B651" t="s">
        <v>156</v>
      </c>
      <c r="C651">
        <v>80</v>
      </c>
      <c r="D651" t="s">
        <v>253</v>
      </c>
      <c r="E651" t="s">
        <v>248</v>
      </c>
      <c r="F651" t="s">
        <v>622</v>
      </c>
      <c r="G651" t="s">
        <v>158</v>
      </c>
      <c r="J651" t="s">
        <v>190</v>
      </c>
      <c r="K651" t="s">
        <v>255</v>
      </c>
      <c r="L651">
        <v>3.42</v>
      </c>
      <c r="M651" t="s">
        <v>251</v>
      </c>
      <c r="N651" t="s">
        <v>625</v>
      </c>
      <c r="O651">
        <v>1</v>
      </c>
      <c r="P651" t="s">
        <v>257</v>
      </c>
    </row>
    <row r="652" spans="1:16" hidden="1" x14ac:dyDescent="0.25">
      <c r="A652" s="16">
        <v>45597</v>
      </c>
      <c r="B652" t="s">
        <v>156</v>
      </c>
      <c r="C652">
        <v>80</v>
      </c>
      <c r="D652" t="s">
        <v>253</v>
      </c>
      <c r="E652" t="s">
        <v>248</v>
      </c>
      <c r="F652" t="s">
        <v>622</v>
      </c>
      <c r="G652" t="s">
        <v>158</v>
      </c>
      <c r="J652" t="s">
        <v>191</v>
      </c>
      <c r="K652" t="s">
        <v>255</v>
      </c>
      <c r="L652">
        <v>2.7</v>
      </c>
      <c r="M652" t="s">
        <v>251</v>
      </c>
      <c r="N652" t="s">
        <v>805</v>
      </c>
      <c r="O652">
        <v>1</v>
      </c>
      <c r="P652" t="s">
        <v>261</v>
      </c>
    </row>
    <row r="653" spans="1:16" hidden="1" x14ac:dyDescent="0.25">
      <c r="A653" s="16">
        <v>45597</v>
      </c>
      <c r="B653" t="s">
        <v>156</v>
      </c>
      <c r="C653">
        <v>81</v>
      </c>
      <c r="D653" t="s">
        <v>291</v>
      </c>
      <c r="E653" t="s">
        <v>292</v>
      </c>
      <c r="F653" t="s">
        <v>361</v>
      </c>
      <c r="G653" t="s">
        <v>158</v>
      </c>
      <c r="H653" t="s">
        <v>159</v>
      </c>
      <c r="J653" t="s">
        <v>191</v>
      </c>
      <c r="K653" t="s">
        <v>250</v>
      </c>
      <c r="L653">
        <v>57900000</v>
      </c>
      <c r="M653" t="s">
        <v>245</v>
      </c>
      <c r="N653" t="s">
        <v>806</v>
      </c>
    </row>
    <row r="654" spans="1:16" hidden="1" x14ac:dyDescent="0.25">
      <c r="A654" s="16">
        <v>45597</v>
      </c>
      <c r="B654" t="s">
        <v>156</v>
      </c>
      <c r="C654">
        <v>81</v>
      </c>
      <c r="D654" t="s">
        <v>291</v>
      </c>
      <c r="E654" t="s">
        <v>292</v>
      </c>
      <c r="F654" t="s">
        <v>361</v>
      </c>
      <c r="G654" t="s">
        <v>158</v>
      </c>
      <c r="H654" t="s">
        <v>160</v>
      </c>
      <c r="J654" t="s">
        <v>191</v>
      </c>
      <c r="K654" t="s">
        <v>250</v>
      </c>
      <c r="L654">
        <v>24300000</v>
      </c>
      <c r="M654" t="s">
        <v>245</v>
      </c>
      <c r="N654" t="s">
        <v>807</v>
      </c>
    </row>
    <row r="655" spans="1:16" hidden="1" x14ac:dyDescent="0.25">
      <c r="A655" s="16">
        <v>45597</v>
      </c>
      <c r="B655" t="s">
        <v>120</v>
      </c>
      <c r="C655">
        <v>55</v>
      </c>
      <c r="D655" t="s">
        <v>238</v>
      </c>
      <c r="E655" t="s">
        <v>239</v>
      </c>
      <c r="F655" t="s">
        <v>240</v>
      </c>
      <c r="G655" t="s">
        <v>82</v>
      </c>
      <c r="J655" t="s">
        <v>191</v>
      </c>
      <c r="K655" t="s">
        <v>241</v>
      </c>
      <c r="L655">
        <v>59640000</v>
      </c>
      <c r="M655" t="s">
        <v>242</v>
      </c>
      <c r="N655" t="s">
        <v>808</v>
      </c>
    </row>
    <row r="656" spans="1:16" hidden="1" x14ac:dyDescent="0.25">
      <c r="A656" s="16">
        <v>45597</v>
      </c>
      <c r="B656" t="s">
        <v>120</v>
      </c>
      <c r="C656">
        <v>55</v>
      </c>
      <c r="D656" t="s">
        <v>238</v>
      </c>
      <c r="E656" t="s">
        <v>239</v>
      </c>
      <c r="F656" t="s">
        <v>244</v>
      </c>
      <c r="G656" t="s">
        <v>82</v>
      </c>
      <c r="J656" t="s">
        <v>191</v>
      </c>
      <c r="K656" t="s">
        <v>241</v>
      </c>
      <c r="L656">
        <v>11850000000</v>
      </c>
      <c r="M656" t="s">
        <v>245</v>
      </c>
      <c r="N656" t="s">
        <v>809</v>
      </c>
    </row>
    <row r="657" spans="1:16" hidden="1" x14ac:dyDescent="0.25">
      <c r="A657" s="16">
        <v>45597</v>
      </c>
      <c r="B657" t="s">
        <v>120</v>
      </c>
      <c r="C657">
        <v>56</v>
      </c>
      <c r="D657" t="s">
        <v>247</v>
      </c>
      <c r="E657" t="s">
        <v>248</v>
      </c>
      <c r="F657" t="s">
        <v>285</v>
      </c>
      <c r="G657" t="s">
        <v>63</v>
      </c>
      <c r="H657" t="s">
        <v>286</v>
      </c>
      <c r="J657" t="s">
        <v>191</v>
      </c>
      <c r="K657" t="s">
        <v>250</v>
      </c>
      <c r="L657">
        <v>0.7</v>
      </c>
      <c r="M657" t="s">
        <v>251</v>
      </c>
      <c r="N657" t="s">
        <v>810</v>
      </c>
    </row>
    <row r="658" spans="1:16" hidden="1" x14ac:dyDescent="0.25">
      <c r="A658" s="16">
        <v>45597</v>
      </c>
      <c r="B658" t="s">
        <v>120</v>
      </c>
      <c r="C658">
        <v>56</v>
      </c>
      <c r="D658" t="s">
        <v>253</v>
      </c>
      <c r="E658" t="s">
        <v>248</v>
      </c>
      <c r="F658" t="s">
        <v>285</v>
      </c>
      <c r="G658" t="s">
        <v>63</v>
      </c>
      <c r="J658" t="s">
        <v>189</v>
      </c>
      <c r="K658" t="s">
        <v>255</v>
      </c>
      <c r="L658">
        <v>4430000</v>
      </c>
      <c r="M658" t="s">
        <v>242</v>
      </c>
      <c r="N658" t="s">
        <v>373</v>
      </c>
      <c r="O658">
        <v>1</v>
      </c>
      <c r="P658" t="s">
        <v>257</v>
      </c>
    </row>
    <row r="659" spans="1:16" hidden="1" x14ac:dyDescent="0.25">
      <c r="A659" s="16">
        <v>45597</v>
      </c>
      <c r="B659" t="s">
        <v>120</v>
      </c>
      <c r="C659">
        <v>56</v>
      </c>
      <c r="D659" t="s">
        <v>253</v>
      </c>
      <c r="E659" t="s">
        <v>248</v>
      </c>
      <c r="F659" t="s">
        <v>285</v>
      </c>
      <c r="G659" t="s">
        <v>63</v>
      </c>
      <c r="J659" t="s">
        <v>190</v>
      </c>
      <c r="K659" t="s">
        <v>255</v>
      </c>
      <c r="L659">
        <v>4470000</v>
      </c>
      <c r="M659" t="s">
        <v>242</v>
      </c>
      <c r="N659" t="s">
        <v>630</v>
      </c>
      <c r="O659">
        <v>1</v>
      </c>
      <c r="P659" t="s">
        <v>257</v>
      </c>
    </row>
    <row r="660" spans="1:16" hidden="1" x14ac:dyDescent="0.25">
      <c r="A660" s="16">
        <v>45597</v>
      </c>
      <c r="B660" t="s">
        <v>120</v>
      </c>
      <c r="C660">
        <v>56</v>
      </c>
      <c r="D660" t="s">
        <v>253</v>
      </c>
      <c r="E660" t="s">
        <v>248</v>
      </c>
      <c r="F660" t="s">
        <v>285</v>
      </c>
      <c r="G660" t="s">
        <v>63</v>
      </c>
      <c r="J660" t="s">
        <v>191</v>
      </c>
      <c r="K660" t="s">
        <v>255</v>
      </c>
      <c r="L660">
        <v>4500000</v>
      </c>
      <c r="M660" t="s">
        <v>242</v>
      </c>
      <c r="N660" t="s">
        <v>811</v>
      </c>
      <c r="O660">
        <v>1</v>
      </c>
      <c r="P660" t="s">
        <v>261</v>
      </c>
    </row>
    <row r="661" spans="1:16" hidden="1" x14ac:dyDescent="0.25">
      <c r="A661" s="16">
        <v>45597</v>
      </c>
      <c r="B661" t="s">
        <v>120</v>
      </c>
      <c r="C661">
        <v>57</v>
      </c>
      <c r="D661" t="s">
        <v>291</v>
      </c>
      <c r="E661" t="s">
        <v>292</v>
      </c>
      <c r="F661" t="s">
        <v>285</v>
      </c>
      <c r="G661" t="s">
        <v>63</v>
      </c>
      <c r="H661" t="s">
        <v>122</v>
      </c>
      <c r="J661" t="s">
        <v>191</v>
      </c>
      <c r="K661" t="s">
        <v>250</v>
      </c>
      <c r="L661">
        <v>4470000</v>
      </c>
      <c r="M661" t="s">
        <v>242</v>
      </c>
      <c r="N661" t="s">
        <v>632</v>
      </c>
    </row>
    <row r="662" spans="1:16" hidden="1" x14ac:dyDescent="0.25">
      <c r="A662" s="16">
        <v>45597</v>
      </c>
      <c r="B662" t="s">
        <v>120</v>
      </c>
      <c r="C662">
        <v>57</v>
      </c>
      <c r="D662" t="s">
        <v>291</v>
      </c>
      <c r="E662" t="s">
        <v>292</v>
      </c>
      <c r="F662" t="s">
        <v>285</v>
      </c>
      <c r="G662" t="s">
        <v>63</v>
      </c>
      <c r="H662" t="s">
        <v>123</v>
      </c>
      <c r="J662" t="s">
        <v>191</v>
      </c>
      <c r="K662" t="s">
        <v>250</v>
      </c>
      <c r="L662">
        <v>34400</v>
      </c>
      <c r="M662" t="s">
        <v>242</v>
      </c>
      <c r="N662" t="s">
        <v>812</v>
      </c>
    </row>
    <row r="663" spans="1:16" hidden="1" x14ac:dyDescent="0.25">
      <c r="A663" s="16">
        <v>45597</v>
      </c>
      <c r="B663" t="s">
        <v>120</v>
      </c>
      <c r="C663">
        <v>57</v>
      </c>
      <c r="D663" t="s">
        <v>238</v>
      </c>
      <c r="E663" t="s">
        <v>239</v>
      </c>
      <c r="F663" t="s">
        <v>285</v>
      </c>
      <c r="G663" t="s">
        <v>63</v>
      </c>
      <c r="H663" t="s">
        <v>376</v>
      </c>
      <c r="J663" t="s">
        <v>191</v>
      </c>
      <c r="K663" t="s">
        <v>250</v>
      </c>
      <c r="L663">
        <v>4500000</v>
      </c>
      <c r="M663" t="s">
        <v>242</v>
      </c>
      <c r="N663" t="s">
        <v>813</v>
      </c>
    </row>
    <row r="664" spans="1:16" hidden="1" x14ac:dyDescent="0.25">
      <c r="A664" s="16">
        <v>45597</v>
      </c>
      <c r="B664" t="s">
        <v>120</v>
      </c>
      <c r="C664">
        <v>58</v>
      </c>
      <c r="D664" t="s">
        <v>238</v>
      </c>
      <c r="E664" t="s">
        <v>239</v>
      </c>
      <c r="F664" t="s">
        <v>378</v>
      </c>
      <c r="G664" t="s">
        <v>379</v>
      </c>
      <c r="J664" t="s">
        <v>191</v>
      </c>
      <c r="K664" t="s">
        <v>250</v>
      </c>
      <c r="L664">
        <v>577</v>
      </c>
      <c r="M664" t="s">
        <v>242</v>
      </c>
      <c r="N664" t="s">
        <v>814</v>
      </c>
    </row>
    <row r="665" spans="1:16" hidden="1" x14ac:dyDescent="0.25">
      <c r="A665" s="16">
        <v>45597</v>
      </c>
      <c r="B665" t="s">
        <v>120</v>
      </c>
      <c r="C665">
        <v>58</v>
      </c>
      <c r="D665" t="s">
        <v>238</v>
      </c>
      <c r="E665" t="s">
        <v>239</v>
      </c>
      <c r="F665" t="s">
        <v>381</v>
      </c>
      <c r="G665" t="s">
        <v>382</v>
      </c>
      <c r="J665" t="s">
        <v>191</v>
      </c>
      <c r="K665" t="s">
        <v>250</v>
      </c>
      <c r="L665">
        <v>1973</v>
      </c>
      <c r="M665" t="s">
        <v>242</v>
      </c>
      <c r="N665" t="s">
        <v>815</v>
      </c>
    </row>
    <row r="666" spans="1:16" hidden="1" x14ac:dyDescent="0.25">
      <c r="A666" s="16">
        <v>45597</v>
      </c>
      <c r="B666" t="s">
        <v>120</v>
      </c>
      <c r="C666">
        <v>59</v>
      </c>
      <c r="D666" t="s">
        <v>247</v>
      </c>
      <c r="E666" t="s">
        <v>248</v>
      </c>
      <c r="F666" t="s">
        <v>240</v>
      </c>
      <c r="G666" t="s">
        <v>82</v>
      </c>
      <c r="H666" t="s">
        <v>249</v>
      </c>
      <c r="J666" t="s">
        <v>191</v>
      </c>
      <c r="K666" t="s">
        <v>250</v>
      </c>
      <c r="L666">
        <v>14.1</v>
      </c>
      <c r="M666" t="s">
        <v>251</v>
      </c>
      <c r="N666" t="s">
        <v>816</v>
      </c>
    </row>
    <row r="667" spans="1:16" hidden="1" x14ac:dyDescent="0.25">
      <c r="A667" s="16">
        <v>45597</v>
      </c>
      <c r="B667" t="s">
        <v>120</v>
      </c>
      <c r="C667">
        <v>59</v>
      </c>
      <c r="D667" t="s">
        <v>253</v>
      </c>
      <c r="E667" t="s">
        <v>248</v>
      </c>
      <c r="F667" t="s">
        <v>240</v>
      </c>
      <c r="G667" t="s">
        <v>82</v>
      </c>
      <c r="J667" t="s">
        <v>189</v>
      </c>
      <c r="K667" t="s">
        <v>255</v>
      </c>
      <c r="L667">
        <v>5910000</v>
      </c>
      <c r="M667" t="s">
        <v>242</v>
      </c>
      <c r="N667" t="s">
        <v>385</v>
      </c>
      <c r="O667">
        <v>1</v>
      </c>
      <c r="P667" t="s">
        <v>257</v>
      </c>
    </row>
    <row r="668" spans="1:16" hidden="1" x14ac:dyDescent="0.25">
      <c r="A668" s="16">
        <v>45597</v>
      </c>
      <c r="B668" t="s">
        <v>120</v>
      </c>
      <c r="C668">
        <v>59</v>
      </c>
      <c r="D668" t="s">
        <v>253</v>
      </c>
      <c r="E668" t="s">
        <v>248</v>
      </c>
      <c r="F668" t="s">
        <v>240</v>
      </c>
      <c r="G668" t="s">
        <v>82</v>
      </c>
      <c r="J668" t="s">
        <v>190</v>
      </c>
      <c r="K668" t="s">
        <v>255</v>
      </c>
      <c r="L668">
        <v>6010000</v>
      </c>
      <c r="M668" t="s">
        <v>242</v>
      </c>
      <c r="N668" t="s">
        <v>636</v>
      </c>
      <c r="O668">
        <v>1</v>
      </c>
      <c r="P668" t="s">
        <v>257</v>
      </c>
    </row>
    <row r="669" spans="1:16" hidden="1" x14ac:dyDescent="0.25">
      <c r="A669" s="16">
        <v>45597</v>
      </c>
      <c r="B669" t="s">
        <v>120</v>
      </c>
      <c r="C669">
        <v>59</v>
      </c>
      <c r="D669" t="s">
        <v>253</v>
      </c>
      <c r="E669" t="s">
        <v>248</v>
      </c>
      <c r="F669" t="s">
        <v>240</v>
      </c>
      <c r="G669" t="s">
        <v>82</v>
      </c>
      <c r="J669" t="s">
        <v>191</v>
      </c>
      <c r="K669" t="s">
        <v>255</v>
      </c>
      <c r="L669">
        <v>5160000</v>
      </c>
      <c r="M669" t="s">
        <v>242</v>
      </c>
      <c r="N669" t="s">
        <v>817</v>
      </c>
      <c r="O669">
        <v>1</v>
      </c>
      <c r="P669" t="s">
        <v>261</v>
      </c>
    </row>
    <row r="670" spans="1:16" hidden="1" x14ac:dyDescent="0.25">
      <c r="A670" s="16">
        <v>45597</v>
      </c>
      <c r="B670" t="s">
        <v>120</v>
      </c>
      <c r="C670">
        <v>60</v>
      </c>
      <c r="D670" t="s">
        <v>291</v>
      </c>
      <c r="E670" t="s">
        <v>292</v>
      </c>
      <c r="F670" t="s">
        <v>240</v>
      </c>
      <c r="G670" t="s">
        <v>82</v>
      </c>
      <c r="H670" t="s">
        <v>125</v>
      </c>
      <c r="J670" t="s">
        <v>191</v>
      </c>
      <c r="K670" t="s">
        <v>250</v>
      </c>
      <c r="L670">
        <v>30000</v>
      </c>
      <c r="M670" t="s">
        <v>242</v>
      </c>
      <c r="N670" t="s">
        <v>387</v>
      </c>
    </row>
    <row r="671" spans="1:16" hidden="1" x14ac:dyDescent="0.25">
      <c r="A671" s="16">
        <v>45597</v>
      </c>
      <c r="B671" t="s">
        <v>120</v>
      </c>
      <c r="C671">
        <v>60</v>
      </c>
      <c r="D671" t="s">
        <v>291</v>
      </c>
      <c r="E671" t="s">
        <v>292</v>
      </c>
      <c r="F671" t="s">
        <v>240</v>
      </c>
      <c r="G671" t="s">
        <v>82</v>
      </c>
      <c r="H671" t="s">
        <v>126</v>
      </c>
      <c r="J671" t="s">
        <v>191</v>
      </c>
      <c r="K671" t="s">
        <v>250</v>
      </c>
      <c r="L671">
        <v>41000</v>
      </c>
      <c r="M671" t="s">
        <v>242</v>
      </c>
      <c r="N671" t="s">
        <v>394</v>
      </c>
    </row>
    <row r="672" spans="1:16" hidden="1" x14ac:dyDescent="0.25">
      <c r="A672" s="16">
        <v>45597</v>
      </c>
      <c r="B672" t="s">
        <v>120</v>
      </c>
      <c r="C672">
        <v>60</v>
      </c>
      <c r="D672" t="s">
        <v>291</v>
      </c>
      <c r="E672" t="s">
        <v>292</v>
      </c>
      <c r="F672" t="s">
        <v>240</v>
      </c>
      <c r="G672" t="s">
        <v>82</v>
      </c>
      <c r="H672" t="s">
        <v>127</v>
      </c>
      <c r="J672" t="s">
        <v>191</v>
      </c>
      <c r="K672" t="s">
        <v>250</v>
      </c>
      <c r="L672">
        <v>283000</v>
      </c>
      <c r="M672" t="s">
        <v>242</v>
      </c>
      <c r="N672" t="s">
        <v>818</v>
      </c>
    </row>
    <row r="673" spans="1:16" hidden="1" x14ac:dyDescent="0.25">
      <c r="A673" s="16">
        <v>45597</v>
      </c>
      <c r="B673" t="s">
        <v>120</v>
      </c>
      <c r="C673">
        <v>60</v>
      </c>
      <c r="D673" t="s">
        <v>291</v>
      </c>
      <c r="E673" t="s">
        <v>292</v>
      </c>
      <c r="F673" t="s">
        <v>240</v>
      </c>
      <c r="G673" t="s">
        <v>82</v>
      </c>
      <c r="H673" t="s">
        <v>128</v>
      </c>
      <c r="J673" t="s">
        <v>191</v>
      </c>
      <c r="K673" t="s">
        <v>250</v>
      </c>
      <c r="L673">
        <v>24000</v>
      </c>
      <c r="M673" t="s">
        <v>242</v>
      </c>
      <c r="N673" t="s">
        <v>819</v>
      </c>
    </row>
    <row r="674" spans="1:16" hidden="1" x14ac:dyDescent="0.25">
      <c r="A674" s="16">
        <v>45597</v>
      </c>
      <c r="B674" t="s">
        <v>120</v>
      </c>
      <c r="C674">
        <v>60</v>
      </c>
      <c r="D674" t="s">
        <v>291</v>
      </c>
      <c r="E674" t="s">
        <v>292</v>
      </c>
      <c r="F674" t="s">
        <v>240</v>
      </c>
      <c r="G674" t="s">
        <v>82</v>
      </c>
      <c r="H674" t="s">
        <v>129</v>
      </c>
      <c r="J674" t="s">
        <v>191</v>
      </c>
      <c r="K674" t="s">
        <v>250</v>
      </c>
      <c r="L674">
        <v>954000</v>
      </c>
      <c r="M674" t="s">
        <v>242</v>
      </c>
      <c r="N674" t="s">
        <v>820</v>
      </c>
    </row>
    <row r="675" spans="1:16" hidden="1" x14ac:dyDescent="0.25">
      <c r="A675" s="16">
        <v>45597</v>
      </c>
      <c r="B675" t="s">
        <v>120</v>
      </c>
      <c r="C675">
        <v>60</v>
      </c>
      <c r="D675" t="s">
        <v>291</v>
      </c>
      <c r="E675" t="s">
        <v>292</v>
      </c>
      <c r="F675" t="s">
        <v>240</v>
      </c>
      <c r="G675" t="s">
        <v>82</v>
      </c>
      <c r="H675" t="s">
        <v>130</v>
      </c>
      <c r="J675" t="s">
        <v>191</v>
      </c>
      <c r="K675" t="s">
        <v>250</v>
      </c>
      <c r="L675">
        <v>1732000</v>
      </c>
      <c r="M675" t="s">
        <v>242</v>
      </c>
      <c r="N675" t="s">
        <v>821</v>
      </c>
    </row>
    <row r="676" spans="1:16" hidden="1" x14ac:dyDescent="0.25">
      <c r="A676" s="16">
        <v>45597</v>
      </c>
      <c r="B676" t="s">
        <v>120</v>
      </c>
      <c r="C676">
        <v>60</v>
      </c>
      <c r="D676" t="s">
        <v>291</v>
      </c>
      <c r="E676" t="s">
        <v>292</v>
      </c>
      <c r="F676" t="s">
        <v>240</v>
      </c>
      <c r="G676" t="s">
        <v>82</v>
      </c>
      <c r="H676" t="s">
        <v>131</v>
      </c>
      <c r="J676" t="s">
        <v>191</v>
      </c>
      <c r="K676" t="s">
        <v>250</v>
      </c>
      <c r="L676">
        <v>31000</v>
      </c>
      <c r="M676" t="s">
        <v>242</v>
      </c>
      <c r="N676" t="s">
        <v>822</v>
      </c>
    </row>
    <row r="677" spans="1:16" hidden="1" x14ac:dyDescent="0.25">
      <c r="A677" s="16">
        <v>45597</v>
      </c>
      <c r="B677" t="s">
        <v>120</v>
      </c>
      <c r="C677">
        <v>60</v>
      </c>
      <c r="D677" t="s">
        <v>291</v>
      </c>
      <c r="E677" t="s">
        <v>292</v>
      </c>
      <c r="F677" t="s">
        <v>240</v>
      </c>
      <c r="G677" t="s">
        <v>82</v>
      </c>
      <c r="H677" t="s">
        <v>132</v>
      </c>
      <c r="J677" t="s">
        <v>191</v>
      </c>
      <c r="K677" t="s">
        <v>250</v>
      </c>
      <c r="L677">
        <v>40000</v>
      </c>
      <c r="M677" t="s">
        <v>242</v>
      </c>
      <c r="N677" t="s">
        <v>823</v>
      </c>
    </row>
    <row r="678" spans="1:16" hidden="1" x14ac:dyDescent="0.25">
      <c r="A678" s="16">
        <v>45597</v>
      </c>
      <c r="B678" t="s">
        <v>120</v>
      </c>
      <c r="C678">
        <v>60</v>
      </c>
      <c r="D678" t="s">
        <v>291</v>
      </c>
      <c r="E678" t="s">
        <v>292</v>
      </c>
      <c r="F678" t="s">
        <v>240</v>
      </c>
      <c r="G678" t="s">
        <v>82</v>
      </c>
      <c r="H678" t="s">
        <v>133</v>
      </c>
      <c r="J678" t="s">
        <v>191</v>
      </c>
      <c r="K678" t="s">
        <v>250</v>
      </c>
      <c r="L678">
        <v>476000</v>
      </c>
      <c r="M678" t="s">
        <v>242</v>
      </c>
      <c r="N678" t="s">
        <v>824</v>
      </c>
    </row>
    <row r="679" spans="1:16" hidden="1" x14ac:dyDescent="0.25">
      <c r="A679" s="16">
        <v>45597</v>
      </c>
      <c r="B679" t="s">
        <v>120</v>
      </c>
      <c r="C679">
        <v>60</v>
      </c>
      <c r="D679" t="s">
        <v>291</v>
      </c>
      <c r="E679" t="s">
        <v>292</v>
      </c>
      <c r="F679" t="s">
        <v>240</v>
      </c>
      <c r="G679" t="s">
        <v>82</v>
      </c>
      <c r="H679" t="s">
        <v>134</v>
      </c>
      <c r="J679" t="s">
        <v>191</v>
      </c>
      <c r="K679" t="s">
        <v>250</v>
      </c>
      <c r="L679">
        <v>1481000</v>
      </c>
      <c r="M679" t="s">
        <v>242</v>
      </c>
      <c r="N679" t="s">
        <v>825</v>
      </c>
    </row>
    <row r="680" spans="1:16" hidden="1" x14ac:dyDescent="0.25">
      <c r="A680" s="16">
        <v>45597</v>
      </c>
      <c r="B680" t="s">
        <v>120</v>
      </c>
      <c r="C680">
        <v>61</v>
      </c>
      <c r="D680" t="s">
        <v>291</v>
      </c>
      <c r="E680" t="s">
        <v>292</v>
      </c>
      <c r="F680" t="s">
        <v>240</v>
      </c>
      <c r="G680" t="s">
        <v>82</v>
      </c>
      <c r="H680" t="s">
        <v>137</v>
      </c>
      <c r="J680" t="s">
        <v>191</v>
      </c>
      <c r="K680" t="s">
        <v>250</v>
      </c>
      <c r="L680">
        <v>1030000</v>
      </c>
      <c r="M680" t="s">
        <v>242</v>
      </c>
      <c r="N680" t="s">
        <v>826</v>
      </c>
    </row>
    <row r="681" spans="1:16" hidden="1" x14ac:dyDescent="0.25">
      <c r="A681" s="16">
        <v>45597</v>
      </c>
      <c r="B681" t="s">
        <v>120</v>
      </c>
      <c r="C681">
        <v>61</v>
      </c>
      <c r="D681" t="s">
        <v>291</v>
      </c>
      <c r="E681" t="s">
        <v>292</v>
      </c>
      <c r="F681" t="s">
        <v>240</v>
      </c>
      <c r="G681" t="s">
        <v>82</v>
      </c>
      <c r="H681" t="s">
        <v>138</v>
      </c>
      <c r="J681" t="s">
        <v>191</v>
      </c>
      <c r="K681" t="s">
        <v>250</v>
      </c>
      <c r="L681">
        <v>4130000</v>
      </c>
      <c r="M681" t="s">
        <v>242</v>
      </c>
      <c r="N681" t="s">
        <v>827</v>
      </c>
    </row>
    <row r="682" spans="1:16" hidden="1" x14ac:dyDescent="0.25">
      <c r="A682" s="16">
        <v>45597</v>
      </c>
      <c r="B682" t="s">
        <v>120</v>
      </c>
      <c r="C682">
        <v>62</v>
      </c>
      <c r="D682" t="s">
        <v>247</v>
      </c>
      <c r="E682" t="s">
        <v>248</v>
      </c>
      <c r="F682" t="s">
        <v>244</v>
      </c>
      <c r="G682" t="s">
        <v>82</v>
      </c>
      <c r="H682" t="s">
        <v>249</v>
      </c>
      <c r="J682" t="s">
        <v>191</v>
      </c>
      <c r="K682" t="s">
        <v>250</v>
      </c>
      <c r="L682">
        <v>12.3</v>
      </c>
      <c r="M682" t="s">
        <v>251</v>
      </c>
      <c r="N682" t="s">
        <v>828</v>
      </c>
    </row>
    <row r="683" spans="1:16" hidden="1" x14ac:dyDescent="0.25">
      <c r="A683" s="16">
        <v>45597</v>
      </c>
      <c r="B683" t="s">
        <v>120</v>
      </c>
      <c r="C683">
        <v>62</v>
      </c>
      <c r="D683" t="s">
        <v>253</v>
      </c>
      <c r="E683" t="s">
        <v>248</v>
      </c>
      <c r="F683" t="s">
        <v>244</v>
      </c>
      <c r="G683" t="s">
        <v>82</v>
      </c>
      <c r="J683" t="s">
        <v>189</v>
      </c>
      <c r="K683" t="s">
        <v>255</v>
      </c>
      <c r="L683">
        <v>1210000000</v>
      </c>
      <c r="M683" t="s">
        <v>245</v>
      </c>
      <c r="N683" t="s">
        <v>402</v>
      </c>
      <c r="O683">
        <v>1</v>
      </c>
      <c r="P683" t="s">
        <v>257</v>
      </c>
    </row>
    <row r="684" spans="1:16" hidden="1" x14ac:dyDescent="0.25">
      <c r="A684" s="16">
        <v>45597</v>
      </c>
      <c r="B684" t="s">
        <v>120</v>
      </c>
      <c r="C684">
        <v>62</v>
      </c>
      <c r="D684" t="s">
        <v>253</v>
      </c>
      <c r="E684" t="s">
        <v>248</v>
      </c>
      <c r="F684" t="s">
        <v>244</v>
      </c>
      <c r="G684" t="s">
        <v>82</v>
      </c>
      <c r="J684" t="s">
        <v>190</v>
      </c>
      <c r="K684" t="s">
        <v>255</v>
      </c>
      <c r="L684">
        <v>1110000000</v>
      </c>
      <c r="M684" t="s">
        <v>245</v>
      </c>
      <c r="N684" t="s">
        <v>650</v>
      </c>
      <c r="O684">
        <v>1</v>
      </c>
      <c r="P684" t="s">
        <v>257</v>
      </c>
    </row>
    <row r="685" spans="1:16" hidden="1" x14ac:dyDescent="0.25">
      <c r="A685" s="16">
        <v>45597</v>
      </c>
      <c r="B685" t="s">
        <v>120</v>
      </c>
      <c r="C685">
        <v>62</v>
      </c>
      <c r="D685" t="s">
        <v>253</v>
      </c>
      <c r="E685" t="s">
        <v>248</v>
      </c>
      <c r="F685" t="s">
        <v>244</v>
      </c>
      <c r="G685" t="s">
        <v>82</v>
      </c>
      <c r="J685" t="s">
        <v>191</v>
      </c>
      <c r="K685" t="s">
        <v>255</v>
      </c>
      <c r="L685">
        <v>970000000</v>
      </c>
      <c r="M685" t="s">
        <v>245</v>
      </c>
      <c r="N685" t="s">
        <v>829</v>
      </c>
      <c r="O685">
        <v>1</v>
      </c>
      <c r="P685" t="s">
        <v>261</v>
      </c>
    </row>
    <row r="686" spans="1:16" hidden="1" x14ac:dyDescent="0.25">
      <c r="A686" s="16">
        <v>45597</v>
      </c>
      <c r="B686" t="s">
        <v>120</v>
      </c>
      <c r="C686">
        <v>63</v>
      </c>
      <c r="D686" t="s">
        <v>291</v>
      </c>
      <c r="E686" t="s">
        <v>292</v>
      </c>
      <c r="F686" t="s">
        <v>244</v>
      </c>
      <c r="G686" t="s">
        <v>82</v>
      </c>
      <c r="H686" t="s">
        <v>140</v>
      </c>
      <c r="J686" t="s">
        <v>191</v>
      </c>
      <c r="K686" t="s">
        <v>250</v>
      </c>
      <c r="L686">
        <v>11000000</v>
      </c>
      <c r="M686" t="s">
        <v>245</v>
      </c>
      <c r="N686" t="s">
        <v>830</v>
      </c>
    </row>
    <row r="687" spans="1:16" hidden="1" x14ac:dyDescent="0.25">
      <c r="A687" s="16">
        <v>45597</v>
      </c>
      <c r="B687" t="s">
        <v>120</v>
      </c>
      <c r="C687">
        <v>63</v>
      </c>
      <c r="D687" t="s">
        <v>291</v>
      </c>
      <c r="E687" t="s">
        <v>292</v>
      </c>
      <c r="F687" t="s">
        <v>244</v>
      </c>
      <c r="G687" t="s">
        <v>82</v>
      </c>
      <c r="H687" t="s">
        <v>126</v>
      </c>
      <c r="J687" t="s">
        <v>191</v>
      </c>
      <c r="K687" t="s">
        <v>250</v>
      </c>
      <c r="L687">
        <v>8000000</v>
      </c>
      <c r="M687" t="s">
        <v>245</v>
      </c>
      <c r="N687" t="s">
        <v>831</v>
      </c>
    </row>
    <row r="688" spans="1:16" hidden="1" x14ac:dyDescent="0.25">
      <c r="A688" s="16">
        <v>45597</v>
      </c>
      <c r="B688" t="s">
        <v>120</v>
      </c>
      <c r="C688">
        <v>63</v>
      </c>
      <c r="D688" t="s">
        <v>291</v>
      </c>
      <c r="E688" t="s">
        <v>292</v>
      </c>
      <c r="F688" t="s">
        <v>244</v>
      </c>
      <c r="G688" t="s">
        <v>82</v>
      </c>
      <c r="H688" t="s">
        <v>127</v>
      </c>
      <c r="J688" t="s">
        <v>191</v>
      </c>
      <c r="K688" t="s">
        <v>250</v>
      </c>
      <c r="L688">
        <v>44000000</v>
      </c>
      <c r="M688" t="s">
        <v>245</v>
      </c>
      <c r="N688" t="s">
        <v>832</v>
      </c>
    </row>
    <row r="689" spans="1:16" hidden="1" x14ac:dyDescent="0.25">
      <c r="A689" s="16">
        <v>45597</v>
      </c>
      <c r="B689" t="s">
        <v>120</v>
      </c>
      <c r="C689">
        <v>63</v>
      </c>
      <c r="D689" t="s">
        <v>291</v>
      </c>
      <c r="E689" t="s">
        <v>292</v>
      </c>
      <c r="F689" t="s">
        <v>244</v>
      </c>
      <c r="G689" t="s">
        <v>82</v>
      </c>
      <c r="H689" t="s">
        <v>128</v>
      </c>
      <c r="J689" t="s">
        <v>191</v>
      </c>
      <c r="K689" t="s">
        <v>250</v>
      </c>
      <c r="L689">
        <v>13000000</v>
      </c>
      <c r="M689" t="s">
        <v>245</v>
      </c>
      <c r="N689" t="s">
        <v>403</v>
      </c>
    </row>
    <row r="690" spans="1:16" hidden="1" x14ac:dyDescent="0.25">
      <c r="A690" s="16">
        <v>45597</v>
      </c>
      <c r="B690" t="s">
        <v>120</v>
      </c>
      <c r="C690">
        <v>63</v>
      </c>
      <c r="D690" t="s">
        <v>291</v>
      </c>
      <c r="E690" t="s">
        <v>292</v>
      </c>
      <c r="F690" t="s">
        <v>244</v>
      </c>
      <c r="G690" t="s">
        <v>82</v>
      </c>
      <c r="H690" t="s">
        <v>129</v>
      </c>
      <c r="J690" t="s">
        <v>191</v>
      </c>
      <c r="K690" t="s">
        <v>250</v>
      </c>
      <c r="L690">
        <v>599000000</v>
      </c>
      <c r="M690" t="s">
        <v>245</v>
      </c>
      <c r="N690" t="s">
        <v>833</v>
      </c>
    </row>
    <row r="691" spans="1:16" hidden="1" x14ac:dyDescent="0.25">
      <c r="A691" s="16">
        <v>45597</v>
      </c>
      <c r="B691" t="s">
        <v>120</v>
      </c>
      <c r="C691">
        <v>63</v>
      </c>
      <c r="D691" t="s">
        <v>291</v>
      </c>
      <c r="E691" t="s">
        <v>292</v>
      </c>
      <c r="F691" t="s">
        <v>244</v>
      </c>
      <c r="G691" t="s">
        <v>82</v>
      </c>
      <c r="H691" t="s">
        <v>130</v>
      </c>
      <c r="J691" t="s">
        <v>191</v>
      </c>
      <c r="K691" t="s">
        <v>250</v>
      </c>
      <c r="L691">
        <v>28000000</v>
      </c>
      <c r="M691" t="s">
        <v>245</v>
      </c>
      <c r="N691" t="s">
        <v>834</v>
      </c>
    </row>
    <row r="692" spans="1:16" hidden="1" x14ac:dyDescent="0.25">
      <c r="A692" s="16">
        <v>45597</v>
      </c>
      <c r="B692" t="s">
        <v>120</v>
      </c>
      <c r="C692">
        <v>63</v>
      </c>
      <c r="D692" t="s">
        <v>291</v>
      </c>
      <c r="E692" t="s">
        <v>292</v>
      </c>
      <c r="F692" t="s">
        <v>244</v>
      </c>
      <c r="G692" t="s">
        <v>82</v>
      </c>
      <c r="H692" t="s">
        <v>131</v>
      </c>
      <c r="J692" t="s">
        <v>191</v>
      </c>
      <c r="K692" t="s">
        <v>250</v>
      </c>
      <c r="L692">
        <v>11000000</v>
      </c>
      <c r="M692" t="s">
        <v>245</v>
      </c>
      <c r="N692" t="s">
        <v>830</v>
      </c>
    </row>
    <row r="693" spans="1:16" hidden="1" x14ac:dyDescent="0.25">
      <c r="A693" s="16">
        <v>45597</v>
      </c>
      <c r="B693" t="s">
        <v>120</v>
      </c>
      <c r="C693">
        <v>63</v>
      </c>
      <c r="D693" t="s">
        <v>291</v>
      </c>
      <c r="E693" t="s">
        <v>292</v>
      </c>
      <c r="F693" t="s">
        <v>244</v>
      </c>
      <c r="G693" t="s">
        <v>82</v>
      </c>
      <c r="H693" t="s">
        <v>132</v>
      </c>
      <c r="J693" t="s">
        <v>191</v>
      </c>
      <c r="K693" t="s">
        <v>250</v>
      </c>
      <c r="L693">
        <v>5000000</v>
      </c>
      <c r="M693" t="s">
        <v>245</v>
      </c>
      <c r="N693" t="s">
        <v>654</v>
      </c>
    </row>
    <row r="694" spans="1:16" hidden="1" x14ac:dyDescent="0.25">
      <c r="A694" s="16">
        <v>45597</v>
      </c>
      <c r="B694" t="s">
        <v>120</v>
      </c>
      <c r="C694">
        <v>63</v>
      </c>
      <c r="D694" t="s">
        <v>291</v>
      </c>
      <c r="E694" t="s">
        <v>292</v>
      </c>
      <c r="F694" t="s">
        <v>244</v>
      </c>
      <c r="G694" t="s">
        <v>82</v>
      </c>
      <c r="H694" t="s">
        <v>133</v>
      </c>
      <c r="J694" t="s">
        <v>191</v>
      </c>
      <c r="K694" t="s">
        <v>250</v>
      </c>
      <c r="L694">
        <v>188000000</v>
      </c>
      <c r="M694" t="s">
        <v>245</v>
      </c>
      <c r="N694" t="s">
        <v>835</v>
      </c>
    </row>
    <row r="695" spans="1:16" hidden="1" x14ac:dyDescent="0.25">
      <c r="A695" s="16">
        <v>45597</v>
      </c>
      <c r="B695" t="s">
        <v>120</v>
      </c>
      <c r="C695">
        <v>63</v>
      </c>
      <c r="D695" t="s">
        <v>291</v>
      </c>
      <c r="E695" t="s">
        <v>292</v>
      </c>
      <c r="F695" t="s">
        <v>244</v>
      </c>
      <c r="G695" t="s">
        <v>82</v>
      </c>
      <c r="H695" t="s">
        <v>134</v>
      </c>
      <c r="J695" t="s">
        <v>191</v>
      </c>
      <c r="K695" t="s">
        <v>250</v>
      </c>
      <c r="L695">
        <v>58000000</v>
      </c>
      <c r="M695" t="s">
        <v>245</v>
      </c>
      <c r="N695" t="s">
        <v>836</v>
      </c>
    </row>
    <row r="696" spans="1:16" hidden="1" x14ac:dyDescent="0.25">
      <c r="A696" s="16">
        <v>45597</v>
      </c>
      <c r="B696" t="s">
        <v>120</v>
      </c>
      <c r="C696">
        <v>64</v>
      </c>
      <c r="D696" t="s">
        <v>291</v>
      </c>
      <c r="E696" t="s">
        <v>292</v>
      </c>
      <c r="F696" t="s">
        <v>244</v>
      </c>
      <c r="G696" t="s">
        <v>82</v>
      </c>
      <c r="H696" t="s">
        <v>137</v>
      </c>
      <c r="J696" t="s">
        <v>191</v>
      </c>
      <c r="K696" t="s">
        <v>250</v>
      </c>
      <c r="L696">
        <v>185000000</v>
      </c>
      <c r="M696" t="s">
        <v>245</v>
      </c>
      <c r="N696" t="s">
        <v>837</v>
      </c>
    </row>
    <row r="697" spans="1:16" hidden="1" x14ac:dyDescent="0.25">
      <c r="A697" s="16">
        <v>45597</v>
      </c>
      <c r="B697" t="s">
        <v>120</v>
      </c>
      <c r="C697">
        <v>64</v>
      </c>
      <c r="D697" t="s">
        <v>291</v>
      </c>
      <c r="E697" t="s">
        <v>292</v>
      </c>
      <c r="F697" t="s">
        <v>244</v>
      </c>
      <c r="G697" t="s">
        <v>82</v>
      </c>
      <c r="H697" t="s">
        <v>138</v>
      </c>
      <c r="J697" t="s">
        <v>191</v>
      </c>
      <c r="K697" t="s">
        <v>250</v>
      </c>
      <c r="L697">
        <v>787400000</v>
      </c>
      <c r="M697" t="s">
        <v>245</v>
      </c>
      <c r="N697" t="s">
        <v>838</v>
      </c>
    </row>
    <row r="698" spans="1:16" hidden="1" x14ac:dyDescent="0.25">
      <c r="A698" s="16">
        <v>45597</v>
      </c>
      <c r="B698" t="s">
        <v>120</v>
      </c>
      <c r="C698">
        <v>65</v>
      </c>
      <c r="D698" t="s">
        <v>253</v>
      </c>
      <c r="E698" t="s">
        <v>248</v>
      </c>
      <c r="F698" t="s">
        <v>334</v>
      </c>
      <c r="G698" t="s">
        <v>82</v>
      </c>
      <c r="J698" t="s">
        <v>189</v>
      </c>
      <c r="K698" t="s">
        <v>255</v>
      </c>
      <c r="L698">
        <v>204</v>
      </c>
      <c r="M698" t="s">
        <v>245</v>
      </c>
      <c r="N698" t="s">
        <v>417</v>
      </c>
      <c r="O698">
        <v>1</v>
      </c>
      <c r="P698" t="s">
        <v>257</v>
      </c>
    </row>
    <row r="699" spans="1:16" hidden="1" x14ac:dyDescent="0.25">
      <c r="A699" s="16">
        <v>45597</v>
      </c>
      <c r="B699" t="s">
        <v>120</v>
      </c>
      <c r="C699">
        <v>65</v>
      </c>
      <c r="D699" t="s">
        <v>253</v>
      </c>
      <c r="E699" t="s">
        <v>248</v>
      </c>
      <c r="F699" t="s">
        <v>334</v>
      </c>
      <c r="G699" t="s">
        <v>82</v>
      </c>
      <c r="J699" t="s">
        <v>190</v>
      </c>
      <c r="K699" t="s">
        <v>255</v>
      </c>
      <c r="L699">
        <v>185</v>
      </c>
      <c r="M699" t="s">
        <v>245</v>
      </c>
      <c r="N699" t="s">
        <v>659</v>
      </c>
      <c r="O699">
        <v>1</v>
      </c>
      <c r="P699" t="s">
        <v>257</v>
      </c>
    </row>
    <row r="700" spans="1:16" hidden="1" x14ac:dyDescent="0.25">
      <c r="A700" s="16">
        <v>45597</v>
      </c>
      <c r="B700" t="s">
        <v>120</v>
      </c>
      <c r="C700">
        <v>65</v>
      </c>
      <c r="D700" t="s">
        <v>253</v>
      </c>
      <c r="E700" t="s">
        <v>248</v>
      </c>
      <c r="F700" t="s">
        <v>334</v>
      </c>
      <c r="G700" t="s">
        <v>82</v>
      </c>
      <c r="J700" t="s">
        <v>191</v>
      </c>
      <c r="K700" t="s">
        <v>255</v>
      </c>
      <c r="L700">
        <v>188</v>
      </c>
      <c r="M700" t="s">
        <v>245</v>
      </c>
      <c r="N700" t="s">
        <v>839</v>
      </c>
      <c r="O700">
        <v>1</v>
      </c>
      <c r="P700" t="s">
        <v>261</v>
      </c>
    </row>
    <row r="701" spans="1:16" hidden="1" x14ac:dyDescent="0.25">
      <c r="A701" s="16">
        <v>45597</v>
      </c>
      <c r="B701" t="s">
        <v>162</v>
      </c>
      <c r="C701">
        <v>42</v>
      </c>
      <c r="D701" t="s">
        <v>238</v>
      </c>
      <c r="E701" t="s">
        <v>239</v>
      </c>
      <c r="F701" t="s">
        <v>240</v>
      </c>
      <c r="G701" t="s">
        <v>82</v>
      </c>
      <c r="J701" t="s">
        <v>191</v>
      </c>
      <c r="K701" t="s">
        <v>241</v>
      </c>
      <c r="L701">
        <v>124490000</v>
      </c>
      <c r="M701" t="s">
        <v>242</v>
      </c>
      <c r="N701" t="s">
        <v>840</v>
      </c>
    </row>
    <row r="702" spans="1:16" hidden="1" x14ac:dyDescent="0.25">
      <c r="A702" s="16">
        <v>45597</v>
      </c>
      <c r="B702" t="s">
        <v>162</v>
      </c>
      <c r="C702">
        <v>42</v>
      </c>
      <c r="D702" t="s">
        <v>238</v>
      </c>
      <c r="E702" t="s">
        <v>239</v>
      </c>
      <c r="F702" t="s">
        <v>244</v>
      </c>
      <c r="G702" t="s">
        <v>82</v>
      </c>
      <c r="J702" t="s">
        <v>191</v>
      </c>
      <c r="K702" t="s">
        <v>241</v>
      </c>
      <c r="L702">
        <v>15500000000</v>
      </c>
      <c r="M702" t="s">
        <v>245</v>
      </c>
      <c r="N702" t="s">
        <v>841</v>
      </c>
    </row>
    <row r="703" spans="1:16" hidden="1" x14ac:dyDescent="0.25">
      <c r="A703" s="16">
        <v>45597</v>
      </c>
      <c r="B703" t="s">
        <v>162</v>
      </c>
      <c r="C703">
        <v>43</v>
      </c>
      <c r="D703" t="s">
        <v>247</v>
      </c>
      <c r="E703" t="s">
        <v>248</v>
      </c>
      <c r="F703" t="s">
        <v>240</v>
      </c>
      <c r="G703" t="s">
        <v>82</v>
      </c>
      <c r="H703" t="s">
        <v>286</v>
      </c>
      <c r="J703" t="s">
        <v>191</v>
      </c>
      <c r="K703" t="s">
        <v>250</v>
      </c>
      <c r="L703">
        <v>0.7</v>
      </c>
      <c r="M703" t="s">
        <v>251</v>
      </c>
      <c r="N703" t="s">
        <v>810</v>
      </c>
    </row>
    <row r="704" spans="1:16" hidden="1" x14ac:dyDescent="0.25">
      <c r="A704" s="16">
        <v>45597</v>
      </c>
      <c r="B704" t="s">
        <v>162</v>
      </c>
      <c r="C704">
        <v>43</v>
      </c>
      <c r="D704" t="s">
        <v>253</v>
      </c>
      <c r="E704" t="s">
        <v>248</v>
      </c>
      <c r="F704" t="s">
        <v>240</v>
      </c>
      <c r="G704" t="s">
        <v>82</v>
      </c>
      <c r="J704" t="s">
        <v>189</v>
      </c>
      <c r="K704" t="s">
        <v>255</v>
      </c>
      <c r="L704">
        <v>12930000</v>
      </c>
      <c r="M704" t="s">
        <v>242</v>
      </c>
      <c r="N704" t="s">
        <v>423</v>
      </c>
      <c r="O704">
        <v>1</v>
      </c>
      <c r="P704" t="s">
        <v>257</v>
      </c>
    </row>
    <row r="705" spans="1:16" hidden="1" x14ac:dyDescent="0.25">
      <c r="A705" s="16">
        <v>45597</v>
      </c>
      <c r="B705" t="s">
        <v>162</v>
      </c>
      <c r="C705">
        <v>43</v>
      </c>
      <c r="D705" t="s">
        <v>253</v>
      </c>
      <c r="E705" t="s">
        <v>248</v>
      </c>
      <c r="F705" t="s">
        <v>240</v>
      </c>
      <c r="G705" t="s">
        <v>82</v>
      </c>
      <c r="J705" t="s">
        <v>190</v>
      </c>
      <c r="K705" t="s">
        <v>255</v>
      </c>
      <c r="L705">
        <v>14450000</v>
      </c>
      <c r="M705" t="s">
        <v>242</v>
      </c>
      <c r="N705" t="s">
        <v>662</v>
      </c>
      <c r="O705">
        <v>1</v>
      </c>
      <c r="P705" t="s">
        <v>257</v>
      </c>
    </row>
    <row r="706" spans="1:16" hidden="1" x14ac:dyDescent="0.25">
      <c r="A706" s="16">
        <v>45597</v>
      </c>
      <c r="B706" t="s">
        <v>162</v>
      </c>
      <c r="C706">
        <v>43</v>
      </c>
      <c r="D706" t="s">
        <v>253</v>
      </c>
      <c r="E706" t="s">
        <v>248</v>
      </c>
      <c r="F706" t="s">
        <v>240</v>
      </c>
      <c r="G706" t="s">
        <v>82</v>
      </c>
      <c r="J706" t="s">
        <v>191</v>
      </c>
      <c r="K706" t="s">
        <v>255</v>
      </c>
      <c r="L706">
        <v>14550000</v>
      </c>
      <c r="M706" t="s">
        <v>242</v>
      </c>
      <c r="N706" t="s">
        <v>842</v>
      </c>
      <c r="O706">
        <v>1</v>
      </c>
      <c r="P706" t="s">
        <v>261</v>
      </c>
    </row>
    <row r="707" spans="1:16" hidden="1" x14ac:dyDescent="0.25">
      <c r="A707" s="16">
        <v>45597</v>
      </c>
      <c r="B707" t="s">
        <v>162</v>
      </c>
      <c r="C707">
        <v>44</v>
      </c>
      <c r="D707" t="s">
        <v>291</v>
      </c>
      <c r="E707" t="s">
        <v>292</v>
      </c>
      <c r="F707" t="s">
        <v>240</v>
      </c>
      <c r="G707" t="s">
        <v>82</v>
      </c>
      <c r="H707" t="s">
        <v>164</v>
      </c>
      <c r="J707" t="s">
        <v>191</v>
      </c>
      <c r="K707" t="s">
        <v>250</v>
      </c>
      <c r="L707">
        <v>6480000</v>
      </c>
      <c r="M707" t="s">
        <v>242</v>
      </c>
      <c r="N707" t="s">
        <v>843</v>
      </c>
    </row>
    <row r="708" spans="1:16" hidden="1" x14ac:dyDescent="0.25">
      <c r="A708" s="16">
        <v>45597</v>
      </c>
      <c r="B708" t="s">
        <v>162</v>
      </c>
      <c r="C708">
        <v>44</v>
      </c>
      <c r="D708" t="s">
        <v>291</v>
      </c>
      <c r="E708" t="s">
        <v>292</v>
      </c>
      <c r="F708" t="s">
        <v>240</v>
      </c>
      <c r="G708" t="s">
        <v>82</v>
      </c>
      <c r="H708" t="s">
        <v>165</v>
      </c>
      <c r="J708" t="s">
        <v>191</v>
      </c>
      <c r="K708" t="s">
        <v>250</v>
      </c>
      <c r="L708">
        <v>2500000</v>
      </c>
      <c r="M708" t="s">
        <v>242</v>
      </c>
      <c r="N708" t="s">
        <v>844</v>
      </c>
    </row>
    <row r="709" spans="1:16" hidden="1" x14ac:dyDescent="0.25">
      <c r="A709" s="16">
        <v>45597</v>
      </c>
      <c r="B709" t="s">
        <v>162</v>
      </c>
      <c r="C709">
        <v>44</v>
      </c>
      <c r="D709" t="s">
        <v>291</v>
      </c>
      <c r="E709" t="s">
        <v>292</v>
      </c>
      <c r="F709" t="s">
        <v>240</v>
      </c>
      <c r="G709" t="s">
        <v>82</v>
      </c>
      <c r="H709" t="s">
        <v>166</v>
      </c>
      <c r="J709" t="s">
        <v>191</v>
      </c>
      <c r="K709" t="s">
        <v>250</v>
      </c>
      <c r="L709">
        <v>1680000</v>
      </c>
      <c r="M709" t="s">
        <v>242</v>
      </c>
      <c r="N709" t="s">
        <v>671</v>
      </c>
    </row>
    <row r="710" spans="1:16" hidden="1" x14ac:dyDescent="0.25">
      <c r="A710" s="16">
        <v>45597</v>
      </c>
      <c r="B710" t="s">
        <v>162</v>
      </c>
      <c r="C710">
        <v>44</v>
      </c>
      <c r="D710" t="s">
        <v>291</v>
      </c>
      <c r="E710" t="s">
        <v>292</v>
      </c>
      <c r="F710" t="s">
        <v>240</v>
      </c>
      <c r="G710" t="s">
        <v>82</v>
      </c>
      <c r="H710" t="s">
        <v>167</v>
      </c>
      <c r="J710" t="s">
        <v>191</v>
      </c>
      <c r="K710" t="s">
        <v>250</v>
      </c>
      <c r="L710">
        <v>3790000</v>
      </c>
      <c r="M710" t="s">
        <v>242</v>
      </c>
      <c r="N710" t="s">
        <v>666</v>
      </c>
    </row>
    <row r="711" spans="1:16" hidden="1" x14ac:dyDescent="0.25">
      <c r="A711" s="16">
        <v>45597</v>
      </c>
      <c r="B711" t="s">
        <v>162</v>
      </c>
      <c r="C711">
        <v>45</v>
      </c>
      <c r="D711" t="s">
        <v>247</v>
      </c>
      <c r="E711" t="s">
        <v>248</v>
      </c>
      <c r="F711" t="s">
        <v>428</v>
      </c>
      <c r="G711" t="s">
        <v>82</v>
      </c>
      <c r="H711" t="s">
        <v>286</v>
      </c>
      <c r="J711" t="s">
        <v>191</v>
      </c>
      <c r="K711" t="s">
        <v>250</v>
      </c>
      <c r="L711">
        <v>0.9</v>
      </c>
      <c r="M711" t="s">
        <v>251</v>
      </c>
      <c r="N711" t="s">
        <v>845</v>
      </c>
    </row>
    <row r="712" spans="1:16" hidden="1" x14ac:dyDescent="0.25">
      <c r="A712" s="16">
        <v>45597</v>
      </c>
      <c r="B712" t="s">
        <v>162</v>
      </c>
      <c r="C712">
        <v>45</v>
      </c>
      <c r="D712" t="s">
        <v>253</v>
      </c>
      <c r="E712" t="s">
        <v>248</v>
      </c>
      <c r="F712" t="s">
        <v>428</v>
      </c>
      <c r="G712" t="s">
        <v>82</v>
      </c>
      <c r="J712" t="s">
        <v>189</v>
      </c>
      <c r="K712" t="s">
        <v>255</v>
      </c>
      <c r="L712">
        <v>11380000</v>
      </c>
      <c r="M712" t="s">
        <v>242</v>
      </c>
      <c r="N712" t="s">
        <v>432</v>
      </c>
      <c r="O712">
        <v>1</v>
      </c>
      <c r="P712" t="s">
        <v>257</v>
      </c>
    </row>
    <row r="713" spans="1:16" hidden="1" x14ac:dyDescent="0.25">
      <c r="A713" s="16">
        <v>45597</v>
      </c>
      <c r="B713" t="s">
        <v>162</v>
      </c>
      <c r="C713">
        <v>45</v>
      </c>
      <c r="D713" t="s">
        <v>253</v>
      </c>
      <c r="E713" t="s">
        <v>248</v>
      </c>
      <c r="F713" t="s">
        <v>428</v>
      </c>
      <c r="G713" t="s">
        <v>82</v>
      </c>
      <c r="J713" t="s">
        <v>190</v>
      </c>
      <c r="K713" t="s">
        <v>255</v>
      </c>
      <c r="L713">
        <v>12700000</v>
      </c>
      <c r="M713" t="s">
        <v>242</v>
      </c>
      <c r="N713" t="s">
        <v>667</v>
      </c>
      <c r="O713">
        <v>1</v>
      </c>
      <c r="P713" t="s">
        <v>257</v>
      </c>
    </row>
    <row r="714" spans="1:16" hidden="1" x14ac:dyDescent="0.25">
      <c r="A714" s="16">
        <v>45597</v>
      </c>
      <c r="B714" t="s">
        <v>162</v>
      </c>
      <c r="C714">
        <v>45</v>
      </c>
      <c r="D714" t="s">
        <v>253</v>
      </c>
      <c r="E714" t="s">
        <v>248</v>
      </c>
      <c r="F714" t="s">
        <v>428</v>
      </c>
      <c r="G714" t="s">
        <v>82</v>
      </c>
      <c r="J714" t="s">
        <v>191</v>
      </c>
      <c r="K714" t="s">
        <v>255</v>
      </c>
      <c r="L714">
        <v>12810000</v>
      </c>
      <c r="M714" t="s">
        <v>242</v>
      </c>
      <c r="N714" t="s">
        <v>846</v>
      </c>
      <c r="O714">
        <v>1</v>
      </c>
      <c r="P714" t="s">
        <v>261</v>
      </c>
    </row>
    <row r="715" spans="1:16" hidden="1" x14ac:dyDescent="0.25">
      <c r="A715" s="16">
        <v>45597</v>
      </c>
      <c r="B715" t="s">
        <v>162</v>
      </c>
      <c r="C715">
        <v>46</v>
      </c>
      <c r="D715" t="s">
        <v>291</v>
      </c>
      <c r="E715" t="s">
        <v>292</v>
      </c>
      <c r="F715" t="s">
        <v>428</v>
      </c>
      <c r="G715" t="s">
        <v>82</v>
      </c>
      <c r="H715" t="s">
        <v>94</v>
      </c>
      <c r="J715" t="s">
        <v>191</v>
      </c>
      <c r="K715" t="s">
        <v>250</v>
      </c>
      <c r="L715">
        <v>9550000</v>
      </c>
      <c r="M715" t="s">
        <v>242</v>
      </c>
      <c r="N715" t="s">
        <v>668</v>
      </c>
    </row>
    <row r="716" spans="1:16" hidden="1" x14ac:dyDescent="0.25">
      <c r="A716" s="16">
        <v>45597</v>
      </c>
      <c r="B716" t="s">
        <v>162</v>
      </c>
      <c r="C716">
        <v>46</v>
      </c>
      <c r="D716" t="s">
        <v>291</v>
      </c>
      <c r="E716" t="s">
        <v>292</v>
      </c>
      <c r="F716" t="s">
        <v>428</v>
      </c>
      <c r="G716" t="s">
        <v>82</v>
      </c>
      <c r="H716" t="s">
        <v>95</v>
      </c>
      <c r="J716" t="s">
        <v>191</v>
      </c>
      <c r="K716" t="s">
        <v>250</v>
      </c>
      <c r="L716">
        <v>3270000</v>
      </c>
      <c r="M716" t="s">
        <v>242</v>
      </c>
      <c r="N716" t="s">
        <v>847</v>
      </c>
    </row>
    <row r="717" spans="1:16" hidden="1" x14ac:dyDescent="0.25">
      <c r="A717" s="16">
        <v>45597</v>
      </c>
      <c r="B717" t="s">
        <v>162</v>
      </c>
      <c r="C717">
        <v>47</v>
      </c>
      <c r="D717" t="s">
        <v>291</v>
      </c>
      <c r="E717" t="s">
        <v>292</v>
      </c>
      <c r="F717" t="s">
        <v>428</v>
      </c>
      <c r="G717" t="s">
        <v>82</v>
      </c>
      <c r="H717" t="s">
        <v>173</v>
      </c>
      <c r="J717" t="s">
        <v>191</v>
      </c>
      <c r="K717" t="s">
        <v>250</v>
      </c>
      <c r="L717">
        <v>2080000</v>
      </c>
      <c r="M717" t="s">
        <v>242</v>
      </c>
      <c r="N717" t="s">
        <v>848</v>
      </c>
    </row>
    <row r="718" spans="1:16" hidden="1" x14ac:dyDescent="0.25">
      <c r="A718" s="16">
        <v>45597</v>
      </c>
      <c r="B718" t="s">
        <v>162</v>
      </c>
      <c r="C718">
        <v>47</v>
      </c>
      <c r="D718" t="s">
        <v>291</v>
      </c>
      <c r="E718" t="s">
        <v>292</v>
      </c>
      <c r="F718" t="s">
        <v>428</v>
      </c>
      <c r="G718" t="s">
        <v>82</v>
      </c>
      <c r="H718" t="s">
        <v>174</v>
      </c>
      <c r="J718" t="s">
        <v>191</v>
      </c>
      <c r="K718" t="s">
        <v>250</v>
      </c>
      <c r="L718">
        <v>1660000</v>
      </c>
      <c r="M718" t="s">
        <v>242</v>
      </c>
      <c r="N718" t="s">
        <v>849</v>
      </c>
    </row>
    <row r="719" spans="1:16" hidden="1" x14ac:dyDescent="0.25">
      <c r="A719" s="16">
        <v>45597</v>
      </c>
      <c r="B719" t="s">
        <v>162</v>
      </c>
      <c r="C719">
        <v>48</v>
      </c>
      <c r="D719" t="s">
        <v>247</v>
      </c>
      <c r="E719" t="s">
        <v>248</v>
      </c>
      <c r="F719" t="s">
        <v>244</v>
      </c>
      <c r="G719" t="s">
        <v>82</v>
      </c>
      <c r="H719" t="s">
        <v>249</v>
      </c>
      <c r="J719" t="s">
        <v>191</v>
      </c>
      <c r="K719" t="s">
        <v>250</v>
      </c>
      <c r="L719">
        <v>4</v>
      </c>
      <c r="M719" t="s">
        <v>251</v>
      </c>
      <c r="N719" t="s">
        <v>850</v>
      </c>
    </row>
    <row r="720" spans="1:16" hidden="1" x14ac:dyDescent="0.25">
      <c r="A720" s="16">
        <v>45597</v>
      </c>
      <c r="B720" t="s">
        <v>162</v>
      </c>
      <c r="C720">
        <v>48</v>
      </c>
      <c r="D720" t="s">
        <v>253</v>
      </c>
      <c r="E720" t="s">
        <v>248</v>
      </c>
      <c r="F720" t="s">
        <v>244</v>
      </c>
      <c r="G720" t="s">
        <v>82</v>
      </c>
      <c r="J720" t="s">
        <v>189</v>
      </c>
      <c r="K720" t="s">
        <v>255</v>
      </c>
      <c r="L720">
        <v>1590000000</v>
      </c>
      <c r="M720" t="s">
        <v>245</v>
      </c>
      <c r="N720" t="s">
        <v>440</v>
      </c>
      <c r="O720">
        <v>1</v>
      </c>
      <c r="P720" t="s">
        <v>257</v>
      </c>
    </row>
    <row r="721" spans="1:16" hidden="1" x14ac:dyDescent="0.25">
      <c r="A721" s="16">
        <v>45597</v>
      </c>
      <c r="B721" t="s">
        <v>162</v>
      </c>
      <c r="C721">
        <v>48</v>
      </c>
      <c r="D721" t="s">
        <v>253</v>
      </c>
      <c r="E721" t="s">
        <v>248</v>
      </c>
      <c r="F721" t="s">
        <v>244</v>
      </c>
      <c r="G721" t="s">
        <v>82</v>
      </c>
      <c r="J721" t="s">
        <v>190</v>
      </c>
      <c r="K721" t="s">
        <v>255</v>
      </c>
      <c r="L721">
        <v>1690000000</v>
      </c>
      <c r="M721" t="s">
        <v>245</v>
      </c>
      <c r="N721" t="s">
        <v>673</v>
      </c>
      <c r="O721">
        <v>1</v>
      </c>
      <c r="P721" t="s">
        <v>257</v>
      </c>
    </row>
    <row r="722" spans="1:16" hidden="1" x14ac:dyDescent="0.25">
      <c r="A722" s="16">
        <v>45597</v>
      </c>
      <c r="B722" t="s">
        <v>162</v>
      </c>
      <c r="C722">
        <v>48</v>
      </c>
      <c r="D722" t="s">
        <v>253</v>
      </c>
      <c r="E722" t="s">
        <v>248</v>
      </c>
      <c r="F722" t="s">
        <v>244</v>
      </c>
      <c r="G722" t="s">
        <v>82</v>
      </c>
      <c r="J722" t="s">
        <v>191</v>
      </c>
      <c r="K722" t="s">
        <v>255</v>
      </c>
      <c r="L722">
        <v>1620000000</v>
      </c>
      <c r="M722" t="s">
        <v>245</v>
      </c>
      <c r="N722" t="s">
        <v>439</v>
      </c>
      <c r="O722">
        <v>1</v>
      </c>
      <c r="P722" t="s">
        <v>261</v>
      </c>
    </row>
    <row r="723" spans="1:16" hidden="1" x14ac:dyDescent="0.25">
      <c r="A723" s="16">
        <v>45597</v>
      </c>
      <c r="B723" t="s">
        <v>162</v>
      </c>
      <c r="C723">
        <v>49</v>
      </c>
      <c r="D723" t="s">
        <v>291</v>
      </c>
      <c r="E723" t="s">
        <v>292</v>
      </c>
      <c r="F723" t="s">
        <v>244</v>
      </c>
      <c r="G723" t="s">
        <v>82</v>
      </c>
      <c r="H723" t="s">
        <v>164</v>
      </c>
      <c r="J723" t="s">
        <v>191</v>
      </c>
      <c r="K723" t="s">
        <v>250</v>
      </c>
      <c r="L723">
        <v>1000000000</v>
      </c>
      <c r="M723" t="s">
        <v>245</v>
      </c>
      <c r="N723" t="s">
        <v>851</v>
      </c>
    </row>
    <row r="724" spans="1:16" hidden="1" x14ac:dyDescent="0.25">
      <c r="A724" s="16">
        <v>45597</v>
      </c>
      <c r="B724" t="s">
        <v>162</v>
      </c>
      <c r="C724">
        <v>49</v>
      </c>
      <c r="D724" t="s">
        <v>291</v>
      </c>
      <c r="E724" t="s">
        <v>292</v>
      </c>
      <c r="F724" t="s">
        <v>244</v>
      </c>
      <c r="G724" t="s">
        <v>82</v>
      </c>
      <c r="H724" t="s">
        <v>165</v>
      </c>
      <c r="J724" t="s">
        <v>191</v>
      </c>
      <c r="K724" t="s">
        <v>250</v>
      </c>
      <c r="L724">
        <v>174000000</v>
      </c>
      <c r="M724" t="s">
        <v>245</v>
      </c>
      <c r="N724" t="s">
        <v>852</v>
      </c>
    </row>
    <row r="725" spans="1:16" hidden="1" x14ac:dyDescent="0.25">
      <c r="A725" s="16">
        <v>45597</v>
      </c>
      <c r="B725" t="s">
        <v>162</v>
      </c>
      <c r="C725">
        <v>49</v>
      </c>
      <c r="D725" t="s">
        <v>291</v>
      </c>
      <c r="E725" t="s">
        <v>292</v>
      </c>
      <c r="F725" t="s">
        <v>244</v>
      </c>
      <c r="G725" t="s">
        <v>82</v>
      </c>
      <c r="H725" t="s">
        <v>166</v>
      </c>
      <c r="J725" t="s">
        <v>191</v>
      </c>
      <c r="K725" t="s">
        <v>250</v>
      </c>
      <c r="L725">
        <v>215000000</v>
      </c>
      <c r="M725" t="s">
        <v>245</v>
      </c>
      <c r="N725" t="s">
        <v>853</v>
      </c>
    </row>
    <row r="726" spans="1:16" hidden="1" x14ac:dyDescent="0.25">
      <c r="A726" s="16">
        <v>45597</v>
      </c>
      <c r="B726" t="s">
        <v>162</v>
      </c>
      <c r="C726">
        <v>49</v>
      </c>
      <c r="D726" t="s">
        <v>291</v>
      </c>
      <c r="E726" t="s">
        <v>292</v>
      </c>
      <c r="F726" t="s">
        <v>244</v>
      </c>
      <c r="G726" t="s">
        <v>82</v>
      </c>
      <c r="H726" t="s">
        <v>167</v>
      </c>
      <c r="J726" t="s">
        <v>191</v>
      </c>
      <c r="K726" t="s">
        <v>250</v>
      </c>
      <c r="L726">
        <v>218000000</v>
      </c>
      <c r="M726" t="s">
        <v>245</v>
      </c>
      <c r="N726" t="s">
        <v>854</v>
      </c>
    </row>
    <row r="727" spans="1:16" hidden="1" x14ac:dyDescent="0.25">
      <c r="A727" s="16">
        <v>45597</v>
      </c>
      <c r="B727" t="s">
        <v>162</v>
      </c>
      <c r="C727">
        <v>50</v>
      </c>
      <c r="D727" t="s">
        <v>247</v>
      </c>
      <c r="E727" t="s">
        <v>248</v>
      </c>
      <c r="F727" t="s">
        <v>445</v>
      </c>
      <c r="G727" t="s">
        <v>82</v>
      </c>
      <c r="H727" t="s">
        <v>249</v>
      </c>
      <c r="J727" t="s">
        <v>191</v>
      </c>
      <c r="K727" t="s">
        <v>250</v>
      </c>
      <c r="L727">
        <v>3.8</v>
      </c>
      <c r="M727" t="s">
        <v>251</v>
      </c>
      <c r="N727" t="s">
        <v>855</v>
      </c>
    </row>
    <row r="728" spans="1:16" hidden="1" x14ac:dyDescent="0.25">
      <c r="A728" s="16">
        <v>45597</v>
      </c>
      <c r="B728" t="s">
        <v>162</v>
      </c>
      <c r="C728">
        <v>50</v>
      </c>
      <c r="D728" t="s">
        <v>253</v>
      </c>
      <c r="E728" t="s">
        <v>248</v>
      </c>
      <c r="F728" t="s">
        <v>445</v>
      </c>
      <c r="G728" t="s">
        <v>82</v>
      </c>
      <c r="J728" t="s">
        <v>189</v>
      </c>
      <c r="K728" t="s">
        <v>255</v>
      </c>
      <c r="L728">
        <v>1320000000</v>
      </c>
      <c r="M728" t="s">
        <v>245</v>
      </c>
      <c r="N728" t="s">
        <v>447</v>
      </c>
      <c r="O728">
        <v>1</v>
      </c>
      <c r="P728" t="s">
        <v>257</v>
      </c>
    </row>
    <row r="729" spans="1:16" hidden="1" x14ac:dyDescent="0.25">
      <c r="A729" s="16">
        <v>45597</v>
      </c>
      <c r="B729" t="s">
        <v>162</v>
      </c>
      <c r="C729">
        <v>50</v>
      </c>
      <c r="D729" t="s">
        <v>253</v>
      </c>
      <c r="E729" t="s">
        <v>248</v>
      </c>
      <c r="F729" t="s">
        <v>445</v>
      </c>
      <c r="G729" t="s">
        <v>82</v>
      </c>
      <c r="J729" t="s">
        <v>190</v>
      </c>
      <c r="K729" t="s">
        <v>255</v>
      </c>
      <c r="L729">
        <v>1390000000</v>
      </c>
      <c r="M729" t="s">
        <v>245</v>
      </c>
      <c r="N729" t="s">
        <v>678</v>
      </c>
      <c r="O729">
        <v>1</v>
      </c>
      <c r="P729" t="s">
        <v>257</v>
      </c>
    </row>
    <row r="730" spans="1:16" hidden="1" x14ac:dyDescent="0.25">
      <c r="A730" s="16">
        <v>45597</v>
      </c>
      <c r="B730" t="s">
        <v>162</v>
      </c>
      <c r="C730">
        <v>50</v>
      </c>
      <c r="D730" t="s">
        <v>253</v>
      </c>
      <c r="E730" t="s">
        <v>248</v>
      </c>
      <c r="F730" t="s">
        <v>445</v>
      </c>
      <c r="G730" t="s">
        <v>82</v>
      </c>
      <c r="J730" t="s">
        <v>191</v>
      </c>
      <c r="K730" t="s">
        <v>255</v>
      </c>
      <c r="L730">
        <v>1340000000</v>
      </c>
      <c r="M730" t="s">
        <v>245</v>
      </c>
      <c r="N730" t="s">
        <v>448</v>
      </c>
      <c r="O730">
        <v>1</v>
      </c>
      <c r="P730" t="s">
        <v>261</v>
      </c>
    </row>
    <row r="731" spans="1:16" hidden="1" x14ac:dyDescent="0.25">
      <c r="A731" s="16">
        <v>45597</v>
      </c>
      <c r="B731" t="s">
        <v>162</v>
      </c>
      <c r="C731">
        <v>51</v>
      </c>
      <c r="D731" t="s">
        <v>291</v>
      </c>
      <c r="E731" t="s">
        <v>292</v>
      </c>
      <c r="F731" t="s">
        <v>445</v>
      </c>
      <c r="G731" t="s">
        <v>82</v>
      </c>
      <c r="H731" t="s">
        <v>94</v>
      </c>
      <c r="J731" t="s">
        <v>191</v>
      </c>
      <c r="K731" t="s">
        <v>250</v>
      </c>
      <c r="L731">
        <v>1090000000</v>
      </c>
      <c r="M731" t="s">
        <v>245</v>
      </c>
      <c r="N731" t="s">
        <v>856</v>
      </c>
    </row>
    <row r="732" spans="1:16" hidden="1" x14ac:dyDescent="0.25">
      <c r="A732" s="16">
        <v>45597</v>
      </c>
      <c r="B732" t="s">
        <v>162</v>
      </c>
      <c r="C732">
        <v>51</v>
      </c>
      <c r="D732" t="s">
        <v>291</v>
      </c>
      <c r="E732" t="s">
        <v>292</v>
      </c>
      <c r="F732" t="s">
        <v>445</v>
      </c>
      <c r="G732" t="s">
        <v>82</v>
      </c>
      <c r="H732" t="s">
        <v>95</v>
      </c>
      <c r="J732" t="s">
        <v>191</v>
      </c>
      <c r="K732" t="s">
        <v>250</v>
      </c>
      <c r="L732">
        <v>254100000</v>
      </c>
      <c r="M732" t="s">
        <v>245</v>
      </c>
      <c r="N732" t="s">
        <v>450</v>
      </c>
    </row>
    <row r="733" spans="1:16" hidden="1" x14ac:dyDescent="0.25">
      <c r="A733" s="16">
        <v>45597</v>
      </c>
      <c r="B733" t="s">
        <v>162</v>
      </c>
      <c r="C733">
        <v>52</v>
      </c>
      <c r="D733" t="s">
        <v>291</v>
      </c>
      <c r="E733" t="s">
        <v>292</v>
      </c>
      <c r="F733" t="s">
        <v>445</v>
      </c>
      <c r="G733" t="s">
        <v>82</v>
      </c>
      <c r="H733" t="s">
        <v>173</v>
      </c>
      <c r="J733" t="s">
        <v>191</v>
      </c>
      <c r="K733" t="s">
        <v>250</v>
      </c>
      <c r="L733">
        <v>136000000</v>
      </c>
      <c r="M733" t="s">
        <v>245</v>
      </c>
      <c r="N733" t="s">
        <v>857</v>
      </c>
    </row>
    <row r="734" spans="1:16" hidden="1" x14ac:dyDescent="0.25">
      <c r="A734" s="16">
        <v>45597</v>
      </c>
      <c r="B734" t="s">
        <v>162</v>
      </c>
      <c r="C734">
        <v>52</v>
      </c>
      <c r="D734" t="s">
        <v>291</v>
      </c>
      <c r="E734" t="s">
        <v>292</v>
      </c>
      <c r="F734" t="s">
        <v>445</v>
      </c>
      <c r="G734" t="s">
        <v>82</v>
      </c>
      <c r="H734" t="s">
        <v>174</v>
      </c>
      <c r="J734" t="s">
        <v>191</v>
      </c>
      <c r="K734" t="s">
        <v>250</v>
      </c>
      <c r="L734">
        <v>212000000</v>
      </c>
      <c r="M734" t="s">
        <v>245</v>
      </c>
      <c r="N734" t="s">
        <v>858</v>
      </c>
    </row>
    <row r="735" spans="1:16" hidden="1" x14ac:dyDescent="0.25">
      <c r="A735" s="16">
        <v>45597</v>
      </c>
      <c r="B735" t="s">
        <v>162</v>
      </c>
      <c r="C735">
        <v>53</v>
      </c>
      <c r="D735" t="s">
        <v>291</v>
      </c>
      <c r="E735" t="s">
        <v>292</v>
      </c>
      <c r="F735" t="s">
        <v>334</v>
      </c>
      <c r="G735" t="s">
        <v>82</v>
      </c>
      <c r="H735" t="s">
        <v>164</v>
      </c>
      <c r="J735" t="s">
        <v>191</v>
      </c>
      <c r="K735" t="s">
        <v>250</v>
      </c>
      <c r="L735">
        <v>154</v>
      </c>
      <c r="M735" t="s">
        <v>245</v>
      </c>
      <c r="N735" t="s">
        <v>859</v>
      </c>
    </row>
    <row r="736" spans="1:16" hidden="1" x14ac:dyDescent="0.25">
      <c r="A736" s="16">
        <v>45597</v>
      </c>
      <c r="B736" t="s">
        <v>162</v>
      </c>
      <c r="C736">
        <v>53</v>
      </c>
      <c r="D736" t="s">
        <v>291</v>
      </c>
      <c r="E736" t="s">
        <v>292</v>
      </c>
      <c r="F736" t="s">
        <v>334</v>
      </c>
      <c r="G736" t="s">
        <v>82</v>
      </c>
      <c r="H736" t="s">
        <v>173</v>
      </c>
      <c r="J736" t="s">
        <v>191</v>
      </c>
      <c r="K736" t="s">
        <v>250</v>
      </c>
      <c r="L736">
        <v>70</v>
      </c>
      <c r="M736" t="s">
        <v>245</v>
      </c>
      <c r="N736" t="s">
        <v>860</v>
      </c>
    </row>
    <row r="737" spans="1:16" hidden="1" x14ac:dyDescent="0.25">
      <c r="A737" s="16">
        <v>45597</v>
      </c>
      <c r="B737" t="s">
        <v>162</v>
      </c>
      <c r="C737">
        <v>53</v>
      </c>
      <c r="D737" t="s">
        <v>238</v>
      </c>
      <c r="E737" t="s">
        <v>239</v>
      </c>
      <c r="F737" t="s">
        <v>334</v>
      </c>
      <c r="G737" t="s">
        <v>82</v>
      </c>
      <c r="H737" t="s">
        <v>455</v>
      </c>
      <c r="J737" t="s">
        <v>191</v>
      </c>
      <c r="K737" t="s">
        <v>250</v>
      </c>
      <c r="L737">
        <v>103</v>
      </c>
      <c r="M737" t="s">
        <v>245</v>
      </c>
      <c r="N737" t="s">
        <v>861</v>
      </c>
    </row>
    <row r="738" spans="1:16" hidden="1" x14ac:dyDescent="0.25">
      <c r="A738" s="16">
        <v>45597</v>
      </c>
      <c r="B738" t="s">
        <v>162</v>
      </c>
      <c r="C738">
        <v>53</v>
      </c>
      <c r="D738" t="s">
        <v>291</v>
      </c>
      <c r="E738" t="s">
        <v>292</v>
      </c>
      <c r="F738" t="s">
        <v>334</v>
      </c>
      <c r="G738" t="s">
        <v>82</v>
      </c>
      <c r="H738" t="s">
        <v>174</v>
      </c>
      <c r="J738" t="s">
        <v>191</v>
      </c>
      <c r="K738" t="s">
        <v>250</v>
      </c>
      <c r="L738">
        <v>128</v>
      </c>
      <c r="M738" t="s">
        <v>245</v>
      </c>
      <c r="N738" t="s">
        <v>862</v>
      </c>
    </row>
    <row r="739" spans="1:16" hidden="1" x14ac:dyDescent="0.25">
      <c r="A739" s="16">
        <v>45597</v>
      </c>
      <c r="B739" t="s">
        <v>162</v>
      </c>
      <c r="C739">
        <v>53</v>
      </c>
      <c r="D739" t="s">
        <v>291</v>
      </c>
      <c r="E739" t="s">
        <v>292</v>
      </c>
      <c r="F739" t="s">
        <v>334</v>
      </c>
      <c r="G739" t="s">
        <v>82</v>
      </c>
      <c r="H739" t="s">
        <v>178</v>
      </c>
      <c r="J739" t="s">
        <v>191</v>
      </c>
      <c r="K739" t="s">
        <v>250</v>
      </c>
      <c r="L739">
        <v>58</v>
      </c>
      <c r="M739" t="s">
        <v>245</v>
      </c>
      <c r="N739" t="s">
        <v>863</v>
      </c>
    </row>
    <row r="740" spans="1:16" hidden="1" x14ac:dyDescent="0.25">
      <c r="A740" s="16">
        <v>45597</v>
      </c>
      <c r="B740" t="s">
        <v>97</v>
      </c>
      <c r="C740">
        <v>26</v>
      </c>
      <c r="D740" t="s">
        <v>238</v>
      </c>
      <c r="E740" t="s">
        <v>239</v>
      </c>
      <c r="F740" t="s">
        <v>240</v>
      </c>
      <c r="G740" t="s">
        <v>82</v>
      </c>
      <c r="J740" t="s">
        <v>191</v>
      </c>
      <c r="K740" t="s">
        <v>241</v>
      </c>
      <c r="L740">
        <v>50540000</v>
      </c>
      <c r="M740" t="s">
        <v>242</v>
      </c>
      <c r="N740" t="s">
        <v>864</v>
      </c>
    </row>
    <row r="741" spans="1:16" hidden="1" x14ac:dyDescent="0.25">
      <c r="A741" s="16">
        <v>45597</v>
      </c>
      <c r="B741" t="s">
        <v>97</v>
      </c>
      <c r="C741">
        <v>26</v>
      </c>
      <c r="D741" t="s">
        <v>238</v>
      </c>
      <c r="E741" t="s">
        <v>239</v>
      </c>
      <c r="F741" t="s">
        <v>244</v>
      </c>
      <c r="G741" t="s">
        <v>82</v>
      </c>
      <c r="J741" t="s">
        <v>191</v>
      </c>
      <c r="K741" t="s">
        <v>241</v>
      </c>
      <c r="L741">
        <v>4730000000</v>
      </c>
      <c r="M741" t="s">
        <v>245</v>
      </c>
      <c r="N741" t="s">
        <v>865</v>
      </c>
    </row>
    <row r="742" spans="1:16" hidden="1" x14ac:dyDescent="0.25">
      <c r="A742" s="16">
        <v>45597</v>
      </c>
      <c r="B742" t="s">
        <v>97</v>
      </c>
      <c r="C742">
        <v>27</v>
      </c>
      <c r="D742" t="s">
        <v>247</v>
      </c>
      <c r="E742" t="s">
        <v>248</v>
      </c>
      <c r="F742" t="s">
        <v>285</v>
      </c>
      <c r="G742" t="s">
        <v>63</v>
      </c>
      <c r="H742" t="s">
        <v>286</v>
      </c>
      <c r="J742" t="s">
        <v>191</v>
      </c>
      <c r="K742" t="s">
        <v>250</v>
      </c>
      <c r="L742">
        <v>1.4</v>
      </c>
      <c r="M742" t="s">
        <v>251</v>
      </c>
      <c r="N742" t="s">
        <v>271</v>
      </c>
    </row>
    <row r="743" spans="1:16" hidden="1" x14ac:dyDescent="0.25">
      <c r="A743" s="16">
        <v>45597</v>
      </c>
      <c r="B743" t="s">
        <v>97</v>
      </c>
      <c r="C743">
        <v>27</v>
      </c>
      <c r="D743" t="s">
        <v>253</v>
      </c>
      <c r="E743" t="s">
        <v>248</v>
      </c>
      <c r="F743" t="s">
        <v>285</v>
      </c>
      <c r="G743" t="s">
        <v>63</v>
      </c>
      <c r="J743" t="s">
        <v>189</v>
      </c>
      <c r="K743" t="s">
        <v>255</v>
      </c>
      <c r="L743">
        <v>2330000</v>
      </c>
      <c r="M743" t="s">
        <v>242</v>
      </c>
      <c r="N743" t="s">
        <v>464</v>
      </c>
      <c r="O743">
        <v>1</v>
      </c>
      <c r="P743" t="s">
        <v>257</v>
      </c>
    </row>
    <row r="744" spans="1:16" hidden="1" x14ac:dyDescent="0.25">
      <c r="A744" s="16">
        <v>45597</v>
      </c>
      <c r="B744" t="s">
        <v>97</v>
      </c>
      <c r="C744">
        <v>27</v>
      </c>
      <c r="D744" t="s">
        <v>253</v>
      </c>
      <c r="E744" t="s">
        <v>248</v>
      </c>
      <c r="F744" t="s">
        <v>285</v>
      </c>
      <c r="G744" t="s">
        <v>63</v>
      </c>
      <c r="J744" t="s">
        <v>190</v>
      </c>
      <c r="K744" t="s">
        <v>255</v>
      </c>
      <c r="L744">
        <v>2370000</v>
      </c>
      <c r="M744" t="s">
        <v>242</v>
      </c>
      <c r="N744" t="s">
        <v>690</v>
      </c>
      <c r="O744">
        <v>1</v>
      </c>
      <c r="P744" t="s">
        <v>257</v>
      </c>
    </row>
    <row r="745" spans="1:16" hidden="1" x14ac:dyDescent="0.25">
      <c r="A745" s="16">
        <v>45597</v>
      </c>
      <c r="B745" t="s">
        <v>97</v>
      </c>
      <c r="C745">
        <v>27</v>
      </c>
      <c r="D745" t="s">
        <v>253</v>
      </c>
      <c r="E745" t="s">
        <v>248</v>
      </c>
      <c r="F745" t="s">
        <v>285</v>
      </c>
      <c r="G745" t="s">
        <v>63</v>
      </c>
      <c r="J745" t="s">
        <v>191</v>
      </c>
      <c r="K745" t="s">
        <v>255</v>
      </c>
      <c r="L745">
        <v>2400000</v>
      </c>
      <c r="M745" t="s">
        <v>242</v>
      </c>
      <c r="N745" t="s">
        <v>866</v>
      </c>
      <c r="O745">
        <v>1</v>
      </c>
      <c r="P745" t="s">
        <v>261</v>
      </c>
    </row>
    <row r="746" spans="1:16" hidden="1" x14ac:dyDescent="0.25">
      <c r="A746" s="16">
        <v>45597</v>
      </c>
      <c r="B746" t="s">
        <v>97</v>
      </c>
      <c r="C746">
        <v>28</v>
      </c>
      <c r="D746" t="s">
        <v>291</v>
      </c>
      <c r="E746" t="s">
        <v>292</v>
      </c>
      <c r="F746" t="s">
        <v>285</v>
      </c>
      <c r="G746" t="s">
        <v>63</v>
      </c>
      <c r="H746" t="s">
        <v>64</v>
      </c>
      <c r="J746" t="s">
        <v>191</v>
      </c>
      <c r="K746" t="s">
        <v>250</v>
      </c>
      <c r="L746">
        <v>2120000</v>
      </c>
      <c r="M746" t="s">
        <v>242</v>
      </c>
      <c r="N746" t="s">
        <v>867</v>
      </c>
    </row>
    <row r="747" spans="1:16" hidden="1" x14ac:dyDescent="0.25">
      <c r="A747" s="16">
        <v>45597</v>
      </c>
      <c r="B747" t="s">
        <v>97</v>
      </c>
      <c r="C747">
        <v>28</v>
      </c>
      <c r="D747" t="s">
        <v>291</v>
      </c>
      <c r="E747" t="s">
        <v>292</v>
      </c>
      <c r="F747" t="s">
        <v>285</v>
      </c>
      <c r="G747" t="s">
        <v>63</v>
      </c>
      <c r="H747" t="s">
        <v>65</v>
      </c>
      <c r="J747" t="s">
        <v>191</v>
      </c>
      <c r="K747" t="s">
        <v>250</v>
      </c>
      <c r="L747">
        <v>285000</v>
      </c>
      <c r="M747" t="s">
        <v>242</v>
      </c>
      <c r="N747" t="s">
        <v>868</v>
      </c>
    </row>
    <row r="748" spans="1:16" hidden="1" x14ac:dyDescent="0.25">
      <c r="A748" s="16">
        <v>45597</v>
      </c>
      <c r="B748" t="s">
        <v>97</v>
      </c>
      <c r="C748">
        <v>29</v>
      </c>
      <c r="D748" t="s">
        <v>291</v>
      </c>
      <c r="E748" t="s">
        <v>292</v>
      </c>
      <c r="F748" t="s">
        <v>285</v>
      </c>
      <c r="G748" t="s">
        <v>63</v>
      </c>
      <c r="H748" t="s">
        <v>67</v>
      </c>
      <c r="J748" t="s">
        <v>191</v>
      </c>
      <c r="K748" t="s">
        <v>250</v>
      </c>
      <c r="L748">
        <v>1190000</v>
      </c>
      <c r="M748" t="s">
        <v>242</v>
      </c>
      <c r="N748" t="s">
        <v>694</v>
      </c>
    </row>
    <row r="749" spans="1:16" hidden="1" x14ac:dyDescent="0.25">
      <c r="A749" s="16">
        <v>45597</v>
      </c>
      <c r="B749" t="s">
        <v>97</v>
      </c>
      <c r="C749">
        <v>29</v>
      </c>
      <c r="D749" t="s">
        <v>291</v>
      </c>
      <c r="E749" t="s">
        <v>292</v>
      </c>
      <c r="F749" t="s">
        <v>285</v>
      </c>
      <c r="G749" t="s">
        <v>63</v>
      </c>
      <c r="H749" t="s">
        <v>68</v>
      </c>
      <c r="J749" t="s">
        <v>191</v>
      </c>
      <c r="K749" t="s">
        <v>250</v>
      </c>
      <c r="L749">
        <v>1200000</v>
      </c>
      <c r="M749" t="s">
        <v>242</v>
      </c>
      <c r="N749" t="s">
        <v>869</v>
      </c>
    </row>
    <row r="750" spans="1:16" hidden="1" x14ac:dyDescent="0.25">
      <c r="A750" s="16">
        <v>45597</v>
      </c>
      <c r="B750" t="s">
        <v>97</v>
      </c>
      <c r="C750">
        <v>30</v>
      </c>
      <c r="D750" t="s">
        <v>291</v>
      </c>
      <c r="E750" t="s">
        <v>292</v>
      </c>
      <c r="F750" t="s">
        <v>285</v>
      </c>
      <c r="G750" t="s">
        <v>63</v>
      </c>
      <c r="H750" t="s">
        <v>70</v>
      </c>
      <c r="J750" t="s">
        <v>191</v>
      </c>
      <c r="K750" t="s">
        <v>250</v>
      </c>
      <c r="L750">
        <v>854000</v>
      </c>
      <c r="M750" t="s">
        <v>242</v>
      </c>
      <c r="N750" t="s">
        <v>870</v>
      </c>
    </row>
    <row r="751" spans="1:16" hidden="1" x14ac:dyDescent="0.25">
      <c r="A751" s="16">
        <v>45597</v>
      </c>
      <c r="B751" t="s">
        <v>97</v>
      </c>
      <c r="C751">
        <v>30</v>
      </c>
      <c r="D751" t="s">
        <v>291</v>
      </c>
      <c r="E751" t="s">
        <v>292</v>
      </c>
      <c r="F751" t="s">
        <v>285</v>
      </c>
      <c r="G751" t="s">
        <v>63</v>
      </c>
      <c r="H751" t="s">
        <v>71</v>
      </c>
      <c r="J751" t="s">
        <v>191</v>
      </c>
      <c r="K751" t="s">
        <v>250</v>
      </c>
      <c r="L751">
        <v>621000</v>
      </c>
      <c r="M751" t="s">
        <v>242</v>
      </c>
      <c r="N751" t="s">
        <v>871</v>
      </c>
    </row>
    <row r="752" spans="1:16" hidden="1" x14ac:dyDescent="0.25">
      <c r="A752" s="16">
        <v>45597</v>
      </c>
      <c r="B752" t="s">
        <v>97</v>
      </c>
      <c r="C752">
        <v>30</v>
      </c>
      <c r="D752" t="s">
        <v>291</v>
      </c>
      <c r="E752" t="s">
        <v>292</v>
      </c>
      <c r="F752" t="s">
        <v>285</v>
      </c>
      <c r="G752" t="s">
        <v>63</v>
      </c>
      <c r="H752" t="s">
        <v>72</v>
      </c>
      <c r="J752" t="s">
        <v>191</v>
      </c>
      <c r="K752" t="s">
        <v>250</v>
      </c>
      <c r="L752">
        <v>470000</v>
      </c>
      <c r="M752" t="s">
        <v>242</v>
      </c>
      <c r="N752" t="s">
        <v>872</v>
      </c>
    </row>
    <row r="753" spans="1:16" hidden="1" x14ac:dyDescent="0.25">
      <c r="A753" s="16">
        <v>45597</v>
      </c>
      <c r="B753" t="s">
        <v>97</v>
      </c>
      <c r="C753">
        <v>30</v>
      </c>
      <c r="D753" t="s">
        <v>291</v>
      </c>
      <c r="E753" t="s">
        <v>292</v>
      </c>
      <c r="F753" t="s">
        <v>285</v>
      </c>
      <c r="G753" t="s">
        <v>63</v>
      </c>
      <c r="H753" t="s">
        <v>73</v>
      </c>
      <c r="J753" t="s">
        <v>191</v>
      </c>
      <c r="K753" t="s">
        <v>250</v>
      </c>
      <c r="L753">
        <v>294000</v>
      </c>
      <c r="M753" t="s">
        <v>242</v>
      </c>
      <c r="N753" t="s">
        <v>873</v>
      </c>
    </row>
    <row r="754" spans="1:16" hidden="1" x14ac:dyDescent="0.25">
      <c r="A754" s="16">
        <v>45597</v>
      </c>
      <c r="B754" t="s">
        <v>97</v>
      </c>
      <c r="C754">
        <v>30</v>
      </c>
      <c r="D754" t="s">
        <v>291</v>
      </c>
      <c r="E754" t="s">
        <v>292</v>
      </c>
      <c r="F754" t="s">
        <v>285</v>
      </c>
      <c r="G754" t="s">
        <v>63</v>
      </c>
      <c r="H754" t="s">
        <v>74</v>
      </c>
      <c r="J754" t="s">
        <v>191</v>
      </c>
      <c r="K754" t="s">
        <v>250</v>
      </c>
      <c r="L754">
        <v>107000</v>
      </c>
      <c r="M754" t="s">
        <v>242</v>
      </c>
      <c r="N754" t="s">
        <v>874</v>
      </c>
    </row>
    <row r="755" spans="1:16" hidden="1" x14ac:dyDescent="0.25">
      <c r="A755" s="16">
        <v>45597</v>
      </c>
      <c r="B755" t="s">
        <v>97</v>
      </c>
      <c r="C755">
        <v>30</v>
      </c>
      <c r="D755" t="s">
        <v>291</v>
      </c>
      <c r="E755" t="s">
        <v>292</v>
      </c>
      <c r="F755" t="s">
        <v>285</v>
      </c>
      <c r="G755" t="s">
        <v>63</v>
      </c>
      <c r="H755" t="s">
        <v>75</v>
      </c>
      <c r="J755" t="s">
        <v>191</v>
      </c>
      <c r="K755" t="s">
        <v>250</v>
      </c>
      <c r="L755">
        <v>35000</v>
      </c>
      <c r="M755" t="s">
        <v>242</v>
      </c>
      <c r="N755" t="s">
        <v>700</v>
      </c>
    </row>
    <row r="756" spans="1:16" hidden="1" x14ac:dyDescent="0.25">
      <c r="A756" s="16">
        <v>45597</v>
      </c>
      <c r="B756" t="s">
        <v>97</v>
      </c>
      <c r="C756">
        <v>30</v>
      </c>
      <c r="D756" t="s">
        <v>291</v>
      </c>
      <c r="E756" t="s">
        <v>292</v>
      </c>
      <c r="F756" t="s">
        <v>285</v>
      </c>
      <c r="G756" t="s">
        <v>63</v>
      </c>
      <c r="H756" t="s">
        <v>76</v>
      </c>
      <c r="J756" t="s">
        <v>191</v>
      </c>
      <c r="K756" t="s">
        <v>250</v>
      </c>
      <c r="L756">
        <v>13000</v>
      </c>
      <c r="M756" t="s">
        <v>242</v>
      </c>
      <c r="N756" t="s">
        <v>475</v>
      </c>
    </row>
    <row r="757" spans="1:16" hidden="1" x14ac:dyDescent="0.25">
      <c r="A757" s="16">
        <v>45597</v>
      </c>
      <c r="B757" t="s">
        <v>97</v>
      </c>
      <c r="C757">
        <v>30</v>
      </c>
      <c r="D757" t="s">
        <v>291</v>
      </c>
      <c r="E757" t="s">
        <v>292</v>
      </c>
      <c r="F757" t="s">
        <v>285</v>
      </c>
      <c r="G757" t="s">
        <v>63</v>
      </c>
      <c r="H757" t="s">
        <v>77</v>
      </c>
      <c r="J757" t="s">
        <v>191</v>
      </c>
      <c r="K757" t="s">
        <v>250</v>
      </c>
      <c r="L757">
        <v>1000</v>
      </c>
      <c r="M757" t="s">
        <v>242</v>
      </c>
      <c r="N757" t="s">
        <v>476</v>
      </c>
    </row>
    <row r="758" spans="1:16" hidden="1" x14ac:dyDescent="0.25">
      <c r="A758" s="16">
        <v>45597</v>
      </c>
      <c r="B758" t="s">
        <v>97</v>
      </c>
      <c r="C758">
        <v>31</v>
      </c>
      <c r="D758" t="s">
        <v>291</v>
      </c>
      <c r="E758" t="s">
        <v>292</v>
      </c>
      <c r="F758" t="s">
        <v>477</v>
      </c>
      <c r="G758" t="s">
        <v>99</v>
      </c>
      <c r="H758" t="s">
        <v>100</v>
      </c>
      <c r="J758" t="s">
        <v>191</v>
      </c>
      <c r="K758" t="s">
        <v>250</v>
      </c>
      <c r="L758">
        <v>1255</v>
      </c>
      <c r="M758" t="s">
        <v>242</v>
      </c>
      <c r="N758" t="s">
        <v>875</v>
      </c>
    </row>
    <row r="759" spans="1:16" hidden="1" x14ac:dyDescent="0.25">
      <c r="A759" s="16">
        <v>45597</v>
      </c>
      <c r="B759" t="s">
        <v>97</v>
      </c>
      <c r="C759">
        <v>31</v>
      </c>
      <c r="D759" t="s">
        <v>291</v>
      </c>
      <c r="E759" t="s">
        <v>292</v>
      </c>
      <c r="F759" t="s">
        <v>477</v>
      </c>
      <c r="G759" t="s">
        <v>99</v>
      </c>
      <c r="H759" t="s">
        <v>101</v>
      </c>
      <c r="J759" t="s">
        <v>191</v>
      </c>
      <c r="K759" t="s">
        <v>250</v>
      </c>
      <c r="L759">
        <v>1139</v>
      </c>
      <c r="M759" t="s">
        <v>242</v>
      </c>
      <c r="N759" t="s">
        <v>876</v>
      </c>
    </row>
    <row r="760" spans="1:16" hidden="1" x14ac:dyDescent="0.25">
      <c r="A760" s="16">
        <v>45597</v>
      </c>
      <c r="B760" t="s">
        <v>97</v>
      </c>
      <c r="C760">
        <v>31</v>
      </c>
      <c r="D760" t="s">
        <v>291</v>
      </c>
      <c r="E760" t="s">
        <v>292</v>
      </c>
      <c r="F760" t="s">
        <v>477</v>
      </c>
      <c r="G760" t="s">
        <v>99</v>
      </c>
      <c r="H760" t="s">
        <v>102</v>
      </c>
      <c r="J760" t="s">
        <v>191</v>
      </c>
      <c r="K760" t="s">
        <v>250</v>
      </c>
      <c r="L760">
        <v>8</v>
      </c>
      <c r="M760" t="s">
        <v>242</v>
      </c>
      <c r="N760" t="s">
        <v>480</v>
      </c>
    </row>
    <row r="761" spans="1:16" hidden="1" x14ac:dyDescent="0.25">
      <c r="A761" s="16">
        <v>45597</v>
      </c>
      <c r="B761" t="s">
        <v>97</v>
      </c>
      <c r="C761">
        <v>31</v>
      </c>
      <c r="D761" t="s">
        <v>291</v>
      </c>
      <c r="E761" t="s">
        <v>292</v>
      </c>
      <c r="F761" t="s">
        <v>477</v>
      </c>
      <c r="G761" t="s">
        <v>99</v>
      </c>
      <c r="H761" t="s">
        <v>103</v>
      </c>
      <c r="J761" t="s">
        <v>191</v>
      </c>
      <c r="K761" t="s">
        <v>250</v>
      </c>
      <c r="L761">
        <v>2320000</v>
      </c>
      <c r="M761" t="s">
        <v>242</v>
      </c>
      <c r="N761" t="s">
        <v>877</v>
      </c>
    </row>
    <row r="762" spans="1:16" hidden="1" x14ac:dyDescent="0.25">
      <c r="A762" s="16">
        <v>45597</v>
      </c>
      <c r="B762" t="s">
        <v>97</v>
      </c>
      <c r="C762">
        <v>31</v>
      </c>
      <c r="D762" t="s">
        <v>291</v>
      </c>
      <c r="E762" t="s">
        <v>292</v>
      </c>
      <c r="F762" t="s">
        <v>477</v>
      </c>
      <c r="G762" t="s">
        <v>99</v>
      </c>
      <c r="H762" t="s">
        <v>104</v>
      </c>
      <c r="J762" t="s">
        <v>191</v>
      </c>
      <c r="K762" t="s">
        <v>250</v>
      </c>
      <c r="L762">
        <v>3960</v>
      </c>
      <c r="M762" t="s">
        <v>242</v>
      </c>
      <c r="N762" t="s">
        <v>878</v>
      </c>
    </row>
    <row r="763" spans="1:16" hidden="1" x14ac:dyDescent="0.25">
      <c r="A763" s="16">
        <v>45597</v>
      </c>
      <c r="B763" t="s">
        <v>97</v>
      </c>
      <c r="C763">
        <v>32</v>
      </c>
      <c r="D763" t="s">
        <v>247</v>
      </c>
      <c r="E763" t="s">
        <v>248</v>
      </c>
      <c r="F763" t="s">
        <v>240</v>
      </c>
      <c r="G763" t="s">
        <v>82</v>
      </c>
      <c r="H763" t="s">
        <v>249</v>
      </c>
      <c r="J763" t="s">
        <v>191</v>
      </c>
      <c r="K763" t="s">
        <v>250</v>
      </c>
      <c r="L763">
        <v>0.4</v>
      </c>
      <c r="M763" t="s">
        <v>251</v>
      </c>
      <c r="N763" t="s">
        <v>879</v>
      </c>
    </row>
    <row r="764" spans="1:16" hidden="1" x14ac:dyDescent="0.25">
      <c r="A764" s="16">
        <v>45597</v>
      </c>
      <c r="B764" t="s">
        <v>97</v>
      </c>
      <c r="C764">
        <v>32</v>
      </c>
      <c r="D764" t="s">
        <v>253</v>
      </c>
      <c r="E764" t="s">
        <v>248</v>
      </c>
      <c r="F764" t="s">
        <v>240</v>
      </c>
      <c r="G764" t="s">
        <v>82</v>
      </c>
      <c r="J764" t="s">
        <v>189</v>
      </c>
      <c r="K764" t="s">
        <v>255</v>
      </c>
      <c r="L764">
        <v>5040000</v>
      </c>
      <c r="M764" t="s">
        <v>242</v>
      </c>
      <c r="N764" t="s">
        <v>486</v>
      </c>
      <c r="O764">
        <v>1</v>
      </c>
      <c r="P764" t="s">
        <v>257</v>
      </c>
    </row>
    <row r="765" spans="1:16" hidden="1" x14ac:dyDescent="0.25">
      <c r="A765" s="16">
        <v>45597</v>
      </c>
      <c r="B765" t="s">
        <v>97</v>
      </c>
      <c r="C765">
        <v>32</v>
      </c>
      <c r="D765" t="s">
        <v>253</v>
      </c>
      <c r="E765" t="s">
        <v>248</v>
      </c>
      <c r="F765" t="s">
        <v>240</v>
      </c>
      <c r="G765" t="s">
        <v>82</v>
      </c>
      <c r="J765" t="s">
        <v>190</v>
      </c>
      <c r="K765" t="s">
        <v>255</v>
      </c>
      <c r="L765">
        <v>5590000</v>
      </c>
      <c r="M765" t="s">
        <v>242</v>
      </c>
      <c r="N765" t="s">
        <v>705</v>
      </c>
      <c r="O765">
        <v>1</v>
      </c>
      <c r="P765" t="s">
        <v>257</v>
      </c>
    </row>
    <row r="766" spans="1:16" hidden="1" x14ac:dyDescent="0.25">
      <c r="A766" s="16">
        <v>45597</v>
      </c>
      <c r="B766" t="s">
        <v>97</v>
      </c>
      <c r="C766">
        <v>32</v>
      </c>
      <c r="D766" t="s">
        <v>253</v>
      </c>
      <c r="E766" t="s">
        <v>248</v>
      </c>
      <c r="F766" t="s">
        <v>240</v>
      </c>
      <c r="G766" t="s">
        <v>82</v>
      </c>
      <c r="J766" t="s">
        <v>191</v>
      </c>
      <c r="K766" t="s">
        <v>255</v>
      </c>
      <c r="L766">
        <v>5560000</v>
      </c>
      <c r="M766" t="s">
        <v>242</v>
      </c>
      <c r="N766" t="s">
        <v>880</v>
      </c>
      <c r="O766">
        <v>1</v>
      </c>
      <c r="P766" t="s">
        <v>261</v>
      </c>
    </row>
    <row r="767" spans="1:16" hidden="1" x14ac:dyDescent="0.25">
      <c r="A767" s="16">
        <v>45597</v>
      </c>
      <c r="B767" t="s">
        <v>97</v>
      </c>
      <c r="C767">
        <v>33</v>
      </c>
      <c r="D767" t="s">
        <v>291</v>
      </c>
      <c r="E767" t="s">
        <v>292</v>
      </c>
      <c r="F767" t="s">
        <v>240</v>
      </c>
      <c r="G767" t="s">
        <v>82</v>
      </c>
      <c r="H767" t="s">
        <v>105</v>
      </c>
      <c r="J767" t="s">
        <v>191</v>
      </c>
      <c r="K767" t="s">
        <v>250</v>
      </c>
      <c r="L767">
        <v>115400</v>
      </c>
      <c r="M767" t="s">
        <v>242</v>
      </c>
      <c r="N767" t="s">
        <v>881</v>
      </c>
    </row>
    <row r="768" spans="1:16" hidden="1" x14ac:dyDescent="0.25">
      <c r="A768" s="16">
        <v>45597</v>
      </c>
      <c r="B768" t="s">
        <v>97</v>
      </c>
      <c r="C768">
        <v>33</v>
      </c>
      <c r="D768" t="s">
        <v>291</v>
      </c>
      <c r="E768" t="s">
        <v>292</v>
      </c>
      <c r="F768" t="s">
        <v>240</v>
      </c>
      <c r="G768" t="s">
        <v>82</v>
      </c>
      <c r="H768" t="s">
        <v>106</v>
      </c>
      <c r="J768" t="s">
        <v>191</v>
      </c>
      <c r="K768" t="s">
        <v>250</v>
      </c>
      <c r="L768">
        <v>169300</v>
      </c>
      <c r="M768" t="s">
        <v>242</v>
      </c>
      <c r="N768" t="s">
        <v>882</v>
      </c>
    </row>
    <row r="769" spans="1:16" hidden="1" x14ac:dyDescent="0.25">
      <c r="A769" s="16">
        <v>45597</v>
      </c>
      <c r="B769" t="s">
        <v>97</v>
      </c>
      <c r="C769">
        <v>33</v>
      </c>
      <c r="D769" t="s">
        <v>291</v>
      </c>
      <c r="E769" t="s">
        <v>292</v>
      </c>
      <c r="F769" t="s">
        <v>240</v>
      </c>
      <c r="G769" t="s">
        <v>82</v>
      </c>
      <c r="H769" t="s">
        <v>83</v>
      </c>
      <c r="J769" t="s">
        <v>191</v>
      </c>
      <c r="K769" t="s">
        <v>250</v>
      </c>
      <c r="L769">
        <v>5090000</v>
      </c>
      <c r="M769" t="s">
        <v>242</v>
      </c>
      <c r="N769" t="s">
        <v>883</v>
      </c>
    </row>
    <row r="770" spans="1:16" hidden="1" x14ac:dyDescent="0.25">
      <c r="A770" s="16">
        <v>45597</v>
      </c>
      <c r="B770" t="s">
        <v>97</v>
      </c>
      <c r="C770">
        <v>33</v>
      </c>
      <c r="D770" t="s">
        <v>291</v>
      </c>
      <c r="E770" t="s">
        <v>292</v>
      </c>
      <c r="F770" t="s">
        <v>240</v>
      </c>
      <c r="G770" t="s">
        <v>82</v>
      </c>
      <c r="H770" t="s">
        <v>84</v>
      </c>
      <c r="J770" t="s">
        <v>191</v>
      </c>
      <c r="K770" t="s">
        <v>250</v>
      </c>
      <c r="L770">
        <v>191900</v>
      </c>
      <c r="M770" t="s">
        <v>242</v>
      </c>
      <c r="N770" t="s">
        <v>884</v>
      </c>
    </row>
    <row r="771" spans="1:16" hidden="1" x14ac:dyDescent="0.25">
      <c r="A771" s="16">
        <v>45597</v>
      </c>
      <c r="B771" t="s">
        <v>97</v>
      </c>
      <c r="C771">
        <v>34</v>
      </c>
      <c r="D771" t="s">
        <v>291</v>
      </c>
      <c r="E771" t="s">
        <v>292</v>
      </c>
      <c r="F771" t="s">
        <v>240</v>
      </c>
      <c r="G771" t="s">
        <v>82</v>
      </c>
      <c r="H771" t="s">
        <v>105</v>
      </c>
      <c r="I771" t="s">
        <v>491</v>
      </c>
      <c r="J771" t="s">
        <v>191</v>
      </c>
      <c r="K771" t="s">
        <v>250</v>
      </c>
      <c r="L771">
        <v>1.5</v>
      </c>
      <c r="M771" t="s">
        <v>251</v>
      </c>
      <c r="N771" t="s">
        <v>885</v>
      </c>
    </row>
    <row r="772" spans="1:16" hidden="1" x14ac:dyDescent="0.25">
      <c r="A772" s="16">
        <v>45597</v>
      </c>
      <c r="B772" t="s">
        <v>97</v>
      </c>
      <c r="C772">
        <v>34</v>
      </c>
      <c r="D772" t="s">
        <v>291</v>
      </c>
      <c r="E772" t="s">
        <v>292</v>
      </c>
      <c r="F772" t="s">
        <v>240</v>
      </c>
      <c r="G772" t="s">
        <v>82</v>
      </c>
      <c r="H772" t="s">
        <v>105</v>
      </c>
      <c r="I772" t="s">
        <v>493</v>
      </c>
      <c r="J772" t="s">
        <v>191</v>
      </c>
      <c r="K772" t="s">
        <v>250</v>
      </c>
      <c r="L772">
        <v>98.5</v>
      </c>
      <c r="M772" t="s">
        <v>251</v>
      </c>
      <c r="N772" t="s">
        <v>886</v>
      </c>
    </row>
    <row r="773" spans="1:16" hidden="1" x14ac:dyDescent="0.25">
      <c r="A773" s="16">
        <v>45597</v>
      </c>
      <c r="B773" t="s">
        <v>97</v>
      </c>
      <c r="C773">
        <v>34</v>
      </c>
      <c r="D773" t="s">
        <v>291</v>
      </c>
      <c r="E773" t="s">
        <v>292</v>
      </c>
      <c r="F773" t="s">
        <v>240</v>
      </c>
      <c r="G773" t="s">
        <v>82</v>
      </c>
      <c r="H773" t="s">
        <v>106</v>
      </c>
      <c r="I773" t="s">
        <v>491</v>
      </c>
      <c r="J773" t="s">
        <v>191</v>
      </c>
      <c r="K773" t="s">
        <v>250</v>
      </c>
      <c r="L773">
        <v>8.52</v>
      </c>
      <c r="M773" t="s">
        <v>251</v>
      </c>
      <c r="N773" t="s">
        <v>887</v>
      </c>
    </row>
    <row r="774" spans="1:16" hidden="1" x14ac:dyDescent="0.25">
      <c r="A774" s="16">
        <v>45597</v>
      </c>
      <c r="B774" t="s">
        <v>97</v>
      </c>
      <c r="C774">
        <v>34</v>
      </c>
      <c r="D774" t="s">
        <v>291</v>
      </c>
      <c r="E774" t="s">
        <v>292</v>
      </c>
      <c r="F774" t="s">
        <v>240</v>
      </c>
      <c r="G774" t="s">
        <v>82</v>
      </c>
      <c r="H774" t="s">
        <v>106</v>
      </c>
      <c r="I774" t="s">
        <v>493</v>
      </c>
      <c r="J774" t="s">
        <v>191</v>
      </c>
      <c r="K774" t="s">
        <v>250</v>
      </c>
      <c r="L774">
        <v>91.48</v>
      </c>
      <c r="M774" t="s">
        <v>251</v>
      </c>
      <c r="N774" t="s">
        <v>888</v>
      </c>
    </row>
    <row r="775" spans="1:16" hidden="1" x14ac:dyDescent="0.25">
      <c r="A775" s="16">
        <v>45597</v>
      </c>
      <c r="B775" t="s">
        <v>97</v>
      </c>
      <c r="C775">
        <v>34</v>
      </c>
      <c r="D775" t="s">
        <v>291</v>
      </c>
      <c r="E775" t="s">
        <v>292</v>
      </c>
      <c r="F775" t="s">
        <v>240</v>
      </c>
      <c r="G775" t="s">
        <v>82</v>
      </c>
      <c r="H775" t="s">
        <v>83</v>
      </c>
      <c r="I775" t="s">
        <v>497</v>
      </c>
      <c r="J775" t="s">
        <v>191</v>
      </c>
      <c r="K775" t="s">
        <v>250</v>
      </c>
      <c r="L775">
        <v>2.14</v>
      </c>
      <c r="M775" t="s">
        <v>251</v>
      </c>
      <c r="N775" t="s">
        <v>889</v>
      </c>
    </row>
    <row r="776" spans="1:16" hidden="1" x14ac:dyDescent="0.25">
      <c r="A776" s="16">
        <v>45597</v>
      </c>
      <c r="B776" t="s">
        <v>97</v>
      </c>
      <c r="C776">
        <v>34</v>
      </c>
      <c r="D776" t="s">
        <v>291</v>
      </c>
      <c r="E776" t="s">
        <v>292</v>
      </c>
      <c r="F776" t="s">
        <v>240</v>
      </c>
      <c r="G776" t="s">
        <v>82</v>
      </c>
      <c r="H776" t="s">
        <v>83</v>
      </c>
      <c r="I776" t="s">
        <v>499</v>
      </c>
      <c r="J776" t="s">
        <v>191</v>
      </c>
      <c r="K776" t="s">
        <v>250</v>
      </c>
      <c r="L776">
        <v>0.01</v>
      </c>
      <c r="M776" t="s">
        <v>251</v>
      </c>
      <c r="N776" t="s">
        <v>500</v>
      </c>
    </row>
    <row r="777" spans="1:16" hidden="1" x14ac:dyDescent="0.25">
      <c r="A777" s="16">
        <v>45597</v>
      </c>
      <c r="B777" t="s">
        <v>97</v>
      </c>
      <c r="C777">
        <v>34</v>
      </c>
      <c r="D777" t="s">
        <v>291</v>
      </c>
      <c r="E777" t="s">
        <v>292</v>
      </c>
      <c r="F777" t="s">
        <v>240</v>
      </c>
      <c r="G777" t="s">
        <v>82</v>
      </c>
      <c r="H777" t="s">
        <v>83</v>
      </c>
      <c r="I777" t="s">
        <v>501</v>
      </c>
      <c r="J777" t="s">
        <v>191</v>
      </c>
      <c r="K777" t="s">
        <v>250</v>
      </c>
      <c r="L777">
        <v>0.56999999999999995</v>
      </c>
      <c r="M777" t="s">
        <v>251</v>
      </c>
      <c r="N777" t="s">
        <v>890</v>
      </c>
    </row>
    <row r="778" spans="1:16" hidden="1" x14ac:dyDescent="0.25">
      <c r="A778" s="16">
        <v>45597</v>
      </c>
      <c r="B778" t="s">
        <v>97</v>
      </c>
      <c r="C778">
        <v>34</v>
      </c>
      <c r="D778" t="s">
        <v>291</v>
      </c>
      <c r="E778" t="s">
        <v>292</v>
      </c>
      <c r="F778" t="s">
        <v>240</v>
      </c>
      <c r="G778" t="s">
        <v>82</v>
      </c>
      <c r="H778" t="s">
        <v>83</v>
      </c>
      <c r="I778" t="s">
        <v>503</v>
      </c>
      <c r="J778" t="s">
        <v>191</v>
      </c>
      <c r="K778" t="s">
        <v>250</v>
      </c>
      <c r="L778">
        <v>3.02</v>
      </c>
      <c r="M778" t="s">
        <v>251</v>
      </c>
      <c r="N778" t="s">
        <v>891</v>
      </c>
    </row>
    <row r="779" spans="1:16" hidden="1" x14ac:dyDescent="0.25">
      <c r="A779" s="16">
        <v>45597</v>
      </c>
      <c r="B779" t="s">
        <v>97</v>
      </c>
      <c r="C779">
        <v>34</v>
      </c>
      <c r="D779" t="s">
        <v>291</v>
      </c>
      <c r="E779" t="s">
        <v>292</v>
      </c>
      <c r="F779" t="s">
        <v>240</v>
      </c>
      <c r="G779" t="s">
        <v>82</v>
      </c>
      <c r="H779" t="s">
        <v>83</v>
      </c>
      <c r="I779" t="s">
        <v>315</v>
      </c>
      <c r="J779" t="s">
        <v>191</v>
      </c>
      <c r="K779" t="s">
        <v>250</v>
      </c>
      <c r="L779">
        <v>88.08</v>
      </c>
      <c r="M779" t="s">
        <v>251</v>
      </c>
      <c r="N779" t="s">
        <v>892</v>
      </c>
    </row>
    <row r="780" spans="1:16" hidden="1" x14ac:dyDescent="0.25">
      <c r="A780" s="16">
        <v>45597</v>
      </c>
      <c r="B780" t="s">
        <v>97</v>
      </c>
      <c r="C780">
        <v>34</v>
      </c>
      <c r="D780" t="s">
        <v>291</v>
      </c>
      <c r="E780" t="s">
        <v>292</v>
      </c>
      <c r="F780" t="s">
        <v>240</v>
      </c>
      <c r="G780" t="s">
        <v>82</v>
      </c>
      <c r="H780" t="s">
        <v>83</v>
      </c>
      <c r="I780" t="s">
        <v>317</v>
      </c>
      <c r="J780" t="s">
        <v>191</v>
      </c>
      <c r="K780" t="s">
        <v>250</v>
      </c>
      <c r="L780">
        <v>6.18</v>
      </c>
      <c r="M780" t="s">
        <v>251</v>
      </c>
      <c r="N780" t="s">
        <v>893</v>
      </c>
    </row>
    <row r="781" spans="1:16" hidden="1" x14ac:dyDescent="0.25">
      <c r="A781" s="16">
        <v>45597</v>
      </c>
      <c r="B781" t="s">
        <v>97</v>
      </c>
      <c r="C781">
        <v>34</v>
      </c>
      <c r="D781" t="s">
        <v>291</v>
      </c>
      <c r="E781" t="s">
        <v>292</v>
      </c>
      <c r="F781" t="s">
        <v>240</v>
      </c>
      <c r="G781" t="s">
        <v>82</v>
      </c>
      <c r="H781" t="s">
        <v>84</v>
      </c>
      <c r="I781" t="s">
        <v>84</v>
      </c>
      <c r="J781" t="s">
        <v>191</v>
      </c>
      <c r="K781" t="s">
        <v>250</v>
      </c>
      <c r="L781">
        <v>80.680000000000007</v>
      </c>
      <c r="M781" t="s">
        <v>251</v>
      </c>
      <c r="N781" t="s">
        <v>894</v>
      </c>
    </row>
    <row r="782" spans="1:16" hidden="1" x14ac:dyDescent="0.25">
      <c r="A782" s="16">
        <v>45597</v>
      </c>
      <c r="B782" t="s">
        <v>97</v>
      </c>
      <c r="C782">
        <v>34</v>
      </c>
      <c r="D782" t="s">
        <v>291</v>
      </c>
      <c r="E782" t="s">
        <v>292</v>
      </c>
      <c r="F782" t="s">
        <v>240</v>
      </c>
      <c r="G782" t="s">
        <v>82</v>
      </c>
      <c r="H782" t="s">
        <v>84</v>
      </c>
      <c r="I782" t="s">
        <v>321</v>
      </c>
      <c r="J782" t="s">
        <v>191</v>
      </c>
      <c r="K782" t="s">
        <v>250</v>
      </c>
      <c r="L782">
        <v>19.32</v>
      </c>
      <c r="M782" t="s">
        <v>251</v>
      </c>
      <c r="N782" t="s">
        <v>895</v>
      </c>
    </row>
    <row r="783" spans="1:16" hidden="1" x14ac:dyDescent="0.25">
      <c r="A783" s="16">
        <v>45597</v>
      </c>
      <c r="B783" t="s">
        <v>97</v>
      </c>
      <c r="C783">
        <v>35</v>
      </c>
      <c r="D783" t="s">
        <v>247</v>
      </c>
      <c r="E783" t="s">
        <v>248</v>
      </c>
      <c r="F783" t="s">
        <v>244</v>
      </c>
      <c r="G783" t="s">
        <v>82</v>
      </c>
      <c r="H783" t="s">
        <v>249</v>
      </c>
      <c r="J783" t="s">
        <v>191</v>
      </c>
      <c r="K783" t="s">
        <v>250</v>
      </c>
      <c r="L783">
        <v>4.9000000000000004</v>
      </c>
      <c r="M783" t="s">
        <v>251</v>
      </c>
      <c r="N783" t="s">
        <v>896</v>
      </c>
    </row>
    <row r="784" spans="1:16" hidden="1" x14ac:dyDescent="0.25">
      <c r="A784" s="16">
        <v>45597</v>
      </c>
      <c r="B784" t="s">
        <v>97</v>
      </c>
      <c r="C784">
        <v>35</v>
      </c>
      <c r="D784" t="s">
        <v>253</v>
      </c>
      <c r="E784" t="s">
        <v>248</v>
      </c>
      <c r="F784" t="s">
        <v>244</v>
      </c>
      <c r="G784" t="s">
        <v>82</v>
      </c>
      <c r="J784" t="s">
        <v>189</v>
      </c>
      <c r="K784" t="s">
        <v>255</v>
      </c>
      <c r="L784">
        <v>447000000</v>
      </c>
      <c r="M784" t="s">
        <v>245</v>
      </c>
      <c r="N784" t="s">
        <v>512</v>
      </c>
      <c r="O784">
        <v>1</v>
      </c>
      <c r="P784" t="s">
        <v>257</v>
      </c>
    </row>
    <row r="785" spans="1:16" hidden="1" x14ac:dyDescent="0.25">
      <c r="A785" s="16">
        <v>45597</v>
      </c>
      <c r="B785" t="s">
        <v>97</v>
      </c>
      <c r="C785">
        <v>35</v>
      </c>
      <c r="D785" t="s">
        <v>253</v>
      </c>
      <c r="E785" t="s">
        <v>248</v>
      </c>
      <c r="F785" t="s">
        <v>244</v>
      </c>
      <c r="G785" t="s">
        <v>82</v>
      </c>
      <c r="J785" t="s">
        <v>190</v>
      </c>
      <c r="K785" t="s">
        <v>255</v>
      </c>
      <c r="L785">
        <v>467000000</v>
      </c>
      <c r="M785" t="s">
        <v>245</v>
      </c>
      <c r="N785" t="s">
        <v>721</v>
      </c>
      <c r="O785">
        <v>1</v>
      </c>
      <c r="P785" t="s">
        <v>257</v>
      </c>
    </row>
    <row r="786" spans="1:16" hidden="1" x14ac:dyDescent="0.25">
      <c r="A786" s="16">
        <v>45597</v>
      </c>
      <c r="B786" t="s">
        <v>97</v>
      </c>
      <c r="C786">
        <v>35</v>
      </c>
      <c r="D786" t="s">
        <v>253</v>
      </c>
      <c r="E786" t="s">
        <v>248</v>
      </c>
      <c r="F786" t="s">
        <v>244</v>
      </c>
      <c r="G786" t="s">
        <v>82</v>
      </c>
      <c r="J786" t="s">
        <v>191</v>
      </c>
      <c r="K786" t="s">
        <v>255</v>
      </c>
      <c r="L786">
        <v>444000000</v>
      </c>
      <c r="M786" t="s">
        <v>245</v>
      </c>
      <c r="N786" t="s">
        <v>897</v>
      </c>
      <c r="O786">
        <v>1</v>
      </c>
      <c r="P786" t="s">
        <v>261</v>
      </c>
    </row>
    <row r="787" spans="1:16" hidden="1" x14ac:dyDescent="0.25">
      <c r="A787" s="16">
        <v>45597</v>
      </c>
      <c r="B787" t="s">
        <v>97</v>
      </c>
      <c r="C787">
        <v>36</v>
      </c>
      <c r="D787" t="s">
        <v>291</v>
      </c>
      <c r="E787" t="s">
        <v>292</v>
      </c>
      <c r="F787" t="s">
        <v>244</v>
      </c>
      <c r="G787" t="s">
        <v>82</v>
      </c>
      <c r="H787" t="s">
        <v>105</v>
      </c>
      <c r="J787" t="s">
        <v>191</v>
      </c>
      <c r="K787" t="s">
        <v>250</v>
      </c>
      <c r="L787">
        <v>17700000</v>
      </c>
      <c r="M787" t="s">
        <v>245</v>
      </c>
      <c r="N787" t="s">
        <v>898</v>
      </c>
    </row>
    <row r="788" spans="1:16" hidden="1" x14ac:dyDescent="0.25">
      <c r="A788" s="16">
        <v>45597</v>
      </c>
      <c r="B788" t="s">
        <v>97</v>
      </c>
      <c r="C788">
        <v>36</v>
      </c>
      <c r="D788" t="s">
        <v>291</v>
      </c>
      <c r="E788" t="s">
        <v>292</v>
      </c>
      <c r="F788" t="s">
        <v>244</v>
      </c>
      <c r="G788" t="s">
        <v>82</v>
      </c>
      <c r="H788" t="s">
        <v>106</v>
      </c>
      <c r="J788" t="s">
        <v>191</v>
      </c>
      <c r="K788" t="s">
        <v>250</v>
      </c>
      <c r="L788">
        <v>27100000</v>
      </c>
      <c r="M788" t="s">
        <v>245</v>
      </c>
      <c r="N788" t="s">
        <v>899</v>
      </c>
    </row>
    <row r="789" spans="1:16" hidden="1" x14ac:dyDescent="0.25">
      <c r="A789" s="16">
        <v>45597</v>
      </c>
      <c r="B789" t="s">
        <v>97</v>
      </c>
      <c r="C789">
        <v>36</v>
      </c>
      <c r="D789" t="s">
        <v>291</v>
      </c>
      <c r="E789" t="s">
        <v>292</v>
      </c>
      <c r="F789" t="s">
        <v>244</v>
      </c>
      <c r="G789" t="s">
        <v>82</v>
      </c>
      <c r="H789" t="s">
        <v>83</v>
      </c>
      <c r="J789" t="s">
        <v>191</v>
      </c>
      <c r="K789" t="s">
        <v>250</v>
      </c>
      <c r="L789">
        <v>385200000</v>
      </c>
      <c r="M789" t="s">
        <v>245</v>
      </c>
      <c r="N789" t="s">
        <v>900</v>
      </c>
    </row>
    <row r="790" spans="1:16" hidden="1" x14ac:dyDescent="0.25">
      <c r="A790" s="16">
        <v>45597</v>
      </c>
      <c r="B790" t="s">
        <v>97</v>
      </c>
      <c r="C790">
        <v>36</v>
      </c>
      <c r="D790" t="s">
        <v>291</v>
      </c>
      <c r="E790" t="s">
        <v>292</v>
      </c>
      <c r="F790" t="s">
        <v>244</v>
      </c>
      <c r="G790" t="s">
        <v>82</v>
      </c>
      <c r="H790" t="s">
        <v>84</v>
      </c>
      <c r="J790" t="s">
        <v>191</v>
      </c>
      <c r="K790" t="s">
        <v>250</v>
      </c>
      <c r="L790">
        <v>1420000</v>
      </c>
      <c r="M790" t="s">
        <v>245</v>
      </c>
      <c r="N790" t="s">
        <v>901</v>
      </c>
    </row>
    <row r="791" spans="1:16" hidden="1" x14ac:dyDescent="0.25">
      <c r="A791" s="16">
        <v>45597</v>
      </c>
      <c r="B791" t="s">
        <v>97</v>
      </c>
      <c r="C791">
        <v>37</v>
      </c>
      <c r="D791" t="s">
        <v>291</v>
      </c>
      <c r="E791" t="s">
        <v>292</v>
      </c>
      <c r="F791" t="s">
        <v>244</v>
      </c>
      <c r="G791" t="s">
        <v>82</v>
      </c>
      <c r="H791" t="s">
        <v>105</v>
      </c>
      <c r="I791" t="s">
        <v>491</v>
      </c>
      <c r="J791" t="s">
        <v>191</v>
      </c>
      <c r="K791" t="s">
        <v>250</v>
      </c>
      <c r="L791">
        <v>1.7</v>
      </c>
      <c r="M791" t="s">
        <v>251</v>
      </c>
      <c r="N791" t="s">
        <v>902</v>
      </c>
    </row>
    <row r="792" spans="1:16" hidden="1" x14ac:dyDescent="0.25">
      <c r="A792" s="16">
        <v>45597</v>
      </c>
      <c r="B792" t="s">
        <v>97</v>
      </c>
      <c r="C792">
        <v>37</v>
      </c>
      <c r="D792" t="s">
        <v>291</v>
      </c>
      <c r="E792" t="s">
        <v>292</v>
      </c>
      <c r="F792" t="s">
        <v>244</v>
      </c>
      <c r="G792" t="s">
        <v>82</v>
      </c>
      <c r="H792" t="s">
        <v>105</v>
      </c>
      <c r="I792" t="s">
        <v>493</v>
      </c>
      <c r="J792" t="s">
        <v>191</v>
      </c>
      <c r="K792" t="s">
        <v>250</v>
      </c>
      <c r="L792">
        <v>98.3</v>
      </c>
      <c r="M792" t="s">
        <v>251</v>
      </c>
      <c r="N792" t="s">
        <v>903</v>
      </c>
    </row>
    <row r="793" spans="1:16" hidden="1" x14ac:dyDescent="0.25">
      <c r="A793" s="16">
        <v>45597</v>
      </c>
      <c r="B793" t="s">
        <v>97</v>
      </c>
      <c r="C793">
        <v>37</v>
      </c>
      <c r="D793" t="s">
        <v>291</v>
      </c>
      <c r="E793" t="s">
        <v>292</v>
      </c>
      <c r="F793" t="s">
        <v>244</v>
      </c>
      <c r="G793" t="s">
        <v>82</v>
      </c>
      <c r="H793" t="s">
        <v>106</v>
      </c>
      <c r="I793" t="s">
        <v>491</v>
      </c>
      <c r="J793" t="s">
        <v>191</v>
      </c>
      <c r="K793" t="s">
        <v>250</v>
      </c>
      <c r="L793">
        <v>8.39</v>
      </c>
      <c r="M793" t="s">
        <v>251</v>
      </c>
      <c r="N793" t="s">
        <v>904</v>
      </c>
    </row>
    <row r="794" spans="1:16" hidden="1" x14ac:dyDescent="0.25">
      <c r="A794" s="16">
        <v>45597</v>
      </c>
      <c r="B794" t="s">
        <v>97</v>
      </c>
      <c r="C794">
        <v>37</v>
      </c>
      <c r="D794" t="s">
        <v>291</v>
      </c>
      <c r="E794" t="s">
        <v>292</v>
      </c>
      <c r="F794" t="s">
        <v>244</v>
      </c>
      <c r="G794" t="s">
        <v>82</v>
      </c>
      <c r="H794" t="s">
        <v>106</v>
      </c>
      <c r="I794" t="s">
        <v>493</v>
      </c>
      <c r="J794" t="s">
        <v>191</v>
      </c>
      <c r="K794" t="s">
        <v>250</v>
      </c>
      <c r="L794">
        <v>91.61</v>
      </c>
      <c r="M794" t="s">
        <v>251</v>
      </c>
      <c r="N794" t="s">
        <v>905</v>
      </c>
    </row>
    <row r="795" spans="1:16" hidden="1" x14ac:dyDescent="0.25">
      <c r="A795" s="16">
        <v>45597</v>
      </c>
      <c r="B795" t="s">
        <v>97</v>
      </c>
      <c r="C795">
        <v>37</v>
      </c>
      <c r="D795" t="s">
        <v>291</v>
      </c>
      <c r="E795" t="s">
        <v>292</v>
      </c>
      <c r="F795" t="s">
        <v>244</v>
      </c>
      <c r="G795" t="s">
        <v>82</v>
      </c>
      <c r="H795" t="s">
        <v>83</v>
      </c>
      <c r="I795" t="s">
        <v>497</v>
      </c>
      <c r="J795" t="s">
        <v>191</v>
      </c>
      <c r="K795" t="s">
        <v>250</v>
      </c>
      <c r="L795">
        <v>4.37</v>
      </c>
      <c r="M795" t="s">
        <v>251</v>
      </c>
      <c r="N795" t="s">
        <v>715</v>
      </c>
    </row>
    <row r="796" spans="1:16" hidden="1" x14ac:dyDescent="0.25">
      <c r="A796" s="16">
        <v>45597</v>
      </c>
      <c r="B796" t="s">
        <v>97</v>
      </c>
      <c r="C796">
        <v>37</v>
      </c>
      <c r="D796" t="s">
        <v>291</v>
      </c>
      <c r="E796" t="s">
        <v>292</v>
      </c>
      <c r="F796" t="s">
        <v>244</v>
      </c>
      <c r="G796" t="s">
        <v>82</v>
      </c>
      <c r="H796" t="s">
        <v>83</v>
      </c>
      <c r="I796" t="s">
        <v>499</v>
      </c>
      <c r="J796" t="s">
        <v>191</v>
      </c>
      <c r="K796" t="s">
        <v>250</v>
      </c>
      <c r="L796">
        <v>0.04</v>
      </c>
      <c r="M796" t="s">
        <v>251</v>
      </c>
      <c r="N796" t="s">
        <v>906</v>
      </c>
    </row>
    <row r="797" spans="1:16" hidden="1" x14ac:dyDescent="0.25">
      <c r="A797" s="16">
        <v>45597</v>
      </c>
      <c r="B797" t="s">
        <v>97</v>
      </c>
      <c r="C797">
        <v>37</v>
      </c>
      <c r="D797" t="s">
        <v>291</v>
      </c>
      <c r="E797" t="s">
        <v>292</v>
      </c>
      <c r="F797" t="s">
        <v>244</v>
      </c>
      <c r="G797" t="s">
        <v>82</v>
      </c>
      <c r="H797" t="s">
        <v>83</v>
      </c>
      <c r="I797" t="s">
        <v>501</v>
      </c>
      <c r="J797" t="s">
        <v>191</v>
      </c>
      <c r="K797" t="s">
        <v>250</v>
      </c>
      <c r="L797">
        <v>2.75</v>
      </c>
      <c r="M797" t="s">
        <v>251</v>
      </c>
      <c r="N797" t="s">
        <v>907</v>
      </c>
    </row>
    <row r="798" spans="1:16" hidden="1" x14ac:dyDescent="0.25">
      <c r="A798" s="16">
        <v>45597</v>
      </c>
      <c r="B798" t="s">
        <v>97</v>
      </c>
      <c r="C798">
        <v>37</v>
      </c>
      <c r="D798" t="s">
        <v>291</v>
      </c>
      <c r="E798" t="s">
        <v>292</v>
      </c>
      <c r="F798" t="s">
        <v>244</v>
      </c>
      <c r="G798" t="s">
        <v>82</v>
      </c>
      <c r="H798" t="s">
        <v>83</v>
      </c>
      <c r="I798" t="s">
        <v>503</v>
      </c>
      <c r="J798" t="s">
        <v>191</v>
      </c>
      <c r="K798" t="s">
        <v>250</v>
      </c>
      <c r="L798">
        <v>4.05</v>
      </c>
      <c r="M798" t="s">
        <v>251</v>
      </c>
      <c r="N798" t="s">
        <v>908</v>
      </c>
    </row>
    <row r="799" spans="1:16" hidden="1" x14ac:dyDescent="0.25">
      <c r="A799" s="16">
        <v>45597</v>
      </c>
      <c r="B799" t="s">
        <v>97</v>
      </c>
      <c r="C799">
        <v>37</v>
      </c>
      <c r="D799" t="s">
        <v>291</v>
      </c>
      <c r="E799" t="s">
        <v>292</v>
      </c>
      <c r="F799" t="s">
        <v>244</v>
      </c>
      <c r="G799" t="s">
        <v>82</v>
      </c>
      <c r="H799" t="s">
        <v>83</v>
      </c>
      <c r="I799" t="s">
        <v>315</v>
      </c>
      <c r="J799" t="s">
        <v>191</v>
      </c>
      <c r="K799" t="s">
        <v>250</v>
      </c>
      <c r="L799">
        <v>73.39</v>
      </c>
      <c r="M799" t="s">
        <v>251</v>
      </c>
      <c r="N799" t="s">
        <v>909</v>
      </c>
    </row>
    <row r="800" spans="1:16" hidden="1" x14ac:dyDescent="0.25">
      <c r="A800" s="16">
        <v>45597</v>
      </c>
      <c r="B800" t="s">
        <v>97</v>
      </c>
      <c r="C800">
        <v>37</v>
      </c>
      <c r="D800" t="s">
        <v>291</v>
      </c>
      <c r="E800" t="s">
        <v>292</v>
      </c>
      <c r="F800" t="s">
        <v>244</v>
      </c>
      <c r="G800" t="s">
        <v>82</v>
      </c>
      <c r="H800" t="s">
        <v>83</v>
      </c>
      <c r="I800" t="s">
        <v>317</v>
      </c>
      <c r="J800" t="s">
        <v>191</v>
      </c>
      <c r="K800" t="s">
        <v>250</v>
      </c>
      <c r="L800">
        <v>15.41</v>
      </c>
      <c r="M800" t="s">
        <v>251</v>
      </c>
      <c r="N800" t="s">
        <v>910</v>
      </c>
    </row>
    <row r="801" spans="1:16" hidden="1" x14ac:dyDescent="0.25">
      <c r="A801" s="16">
        <v>45597</v>
      </c>
      <c r="B801" t="s">
        <v>97</v>
      </c>
      <c r="C801">
        <v>37</v>
      </c>
      <c r="D801" t="s">
        <v>291</v>
      </c>
      <c r="E801" t="s">
        <v>292</v>
      </c>
      <c r="F801" t="s">
        <v>244</v>
      </c>
      <c r="G801" t="s">
        <v>82</v>
      </c>
      <c r="H801" t="s">
        <v>84</v>
      </c>
      <c r="I801" t="s">
        <v>84</v>
      </c>
      <c r="J801" t="s">
        <v>191</v>
      </c>
      <c r="K801" t="s">
        <v>250</v>
      </c>
      <c r="L801">
        <v>95.28</v>
      </c>
      <c r="M801" t="s">
        <v>251</v>
      </c>
      <c r="N801" t="s">
        <v>911</v>
      </c>
    </row>
    <row r="802" spans="1:16" hidden="1" x14ac:dyDescent="0.25">
      <c r="A802" s="16">
        <v>45597</v>
      </c>
      <c r="B802" t="s">
        <v>97</v>
      </c>
      <c r="C802">
        <v>37</v>
      </c>
      <c r="D802" t="s">
        <v>291</v>
      </c>
      <c r="E802" t="s">
        <v>292</v>
      </c>
      <c r="F802" t="s">
        <v>244</v>
      </c>
      <c r="G802" t="s">
        <v>82</v>
      </c>
      <c r="H802" t="s">
        <v>84</v>
      </c>
      <c r="I802" t="s">
        <v>321</v>
      </c>
      <c r="J802" t="s">
        <v>191</v>
      </c>
      <c r="K802" t="s">
        <v>250</v>
      </c>
      <c r="L802">
        <v>4.72</v>
      </c>
      <c r="M802" t="s">
        <v>251</v>
      </c>
      <c r="N802" t="s">
        <v>912</v>
      </c>
    </row>
    <row r="803" spans="1:16" hidden="1" x14ac:dyDescent="0.25">
      <c r="A803" s="16">
        <v>45597</v>
      </c>
      <c r="B803" t="s">
        <v>97</v>
      </c>
      <c r="C803">
        <v>38</v>
      </c>
      <c r="D803" t="s">
        <v>253</v>
      </c>
      <c r="E803" t="s">
        <v>248</v>
      </c>
      <c r="F803" t="s">
        <v>334</v>
      </c>
      <c r="G803" t="s">
        <v>82</v>
      </c>
      <c r="J803" t="s">
        <v>189</v>
      </c>
      <c r="K803" t="s">
        <v>255</v>
      </c>
      <c r="L803">
        <v>89</v>
      </c>
      <c r="M803" t="s">
        <v>245</v>
      </c>
      <c r="N803" t="s">
        <v>531</v>
      </c>
      <c r="O803">
        <v>1</v>
      </c>
      <c r="P803" t="s">
        <v>257</v>
      </c>
    </row>
    <row r="804" spans="1:16" hidden="1" x14ac:dyDescent="0.25">
      <c r="A804" s="16">
        <v>45597</v>
      </c>
      <c r="B804" t="s">
        <v>97</v>
      </c>
      <c r="C804">
        <v>38</v>
      </c>
      <c r="D804" t="s">
        <v>253</v>
      </c>
      <c r="E804" t="s">
        <v>248</v>
      </c>
      <c r="F804" t="s">
        <v>334</v>
      </c>
      <c r="G804" t="s">
        <v>82</v>
      </c>
      <c r="J804" t="s">
        <v>190</v>
      </c>
      <c r="K804" t="s">
        <v>255</v>
      </c>
      <c r="L804">
        <v>84</v>
      </c>
      <c r="M804" t="s">
        <v>245</v>
      </c>
      <c r="N804" t="s">
        <v>738</v>
      </c>
      <c r="O804">
        <v>1</v>
      </c>
      <c r="P804" t="s">
        <v>257</v>
      </c>
    </row>
    <row r="805" spans="1:16" hidden="1" x14ac:dyDescent="0.25">
      <c r="A805" s="16">
        <v>45597</v>
      </c>
      <c r="B805" t="s">
        <v>97</v>
      </c>
      <c r="C805">
        <v>38</v>
      </c>
      <c r="D805" t="s">
        <v>253</v>
      </c>
      <c r="E805" t="s">
        <v>248</v>
      </c>
      <c r="F805" t="s">
        <v>334</v>
      </c>
      <c r="G805" t="s">
        <v>82</v>
      </c>
      <c r="J805" t="s">
        <v>191</v>
      </c>
      <c r="K805" t="s">
        <v>255</v>
      </c>
      <c r="L805">
        <v>80</v>
      </c>
      <c r="M805" t="s">
        <v>245</v>
      </c>
      <c r="N805" t="s">
        <v>913</v>
      </c>
      <c r="O805">
        <v>1</v>
      </c>
      <c r="P805" t="s">
        <v>261</v>
      </c>
    </row>
    <row r="806" spans="1:16" hidden="1" x14ac:dyDescent="0.25">
      <c r="A806" s="16">
        <v>45597</v>
      </c>
      <c r="B806" t="s">
        <v>97</v>
      </c>
      <c r="C806">
        <v>39</v>
      </c>
      <c r="D806" t="s">
        <v>291</v>
      </c>
      <c r="E806" t="s">
        <v>292</v>
      </c>
      <c r="F806" t="s">
        <v>240</v>
      </c>
      <c r="G806" t="s">
        <v>82</v>
      </c>
      <c r="H806" t="s">
        <v>94</v>
      </c>
      <c r="J806" t="s">
        <v>191</v>
      </c>
      <c r="K806" t="s">
        <v>250</v>
      </c>
      <c r="L806">
        <v>1590000</v>
      </c>
      <c r="M806" t="s">
        <v>242</v>
      </c>
      <c r="N806" t="s">
        <v>914</v>
      </c>
    </row>
    <row r="807" spans="1:16" hidden="1" x14ac:dyDescent="0.25">
      <c r="A807" s="16">
        <v>45597</v>
      </c>
      <c r="B807" t="s">
        <v>97</v>
      </c>
      <c r="C807">
        <v>39</v>
      </c>
      <c r="D807" t="s">
        <v>291</v>
      </c>
      <c r="E807" t="s">
        <v>292</v>
      </c>
      <c r="F807" t="s">
        <v>240</v>
      </c>
      <c r="G807" t="s">
        <v>82</v>
      </c>
      <c r="H807" t="s">
        <v>95</v>
      </c>
      <c r="J807" t="s">
        <v>191</v>
      </c>
      <c r="K807" t="s">
        <v>250</v>
      </c>
      <c r="L807">
        <v>1810000</v>
      </c>
      <c r="M807" t="s">
        <v>242</v>
      </c>
      <c r="N807" t="s">
        <v>915</v>
      </c>
    </row>
    <row r="808" spans="1:16" hidden="1" x14ac:dyDescent="0.25">
      <c r="A808" s="16">
        <v>45597</v>
      </c>
      <c r="B808" t="s">
        <v>97</v>
      </c>
      <c r="C808">
        <v>40</v>
      </c>
      <c r="D808" t="s">
        <v>291</v>
      </c>
      <c r="E808" t="s">
        <v>292</v>
      </c>
      <c r="F808" t="s">
        <v>244</v>
      </c>
      <c r="G808" t="s">
        <v>82</v>
      </c>
      <c r="H808" t="s">
        <v>94</v>
      </c>
      <c r="J808" t="s">
        <v>191</v>
      </c>
      <c r="K808" t="s">
        <v>250</v>
      </c>
      <c r="L808">
        <v>85800000</v>
      </c>
      <c r="M808" t="s">
        <v>245</v>
      </c>
      <c r="N808" t="s">
        <v>916</v>
      </c>
    </row>
    <row r="809" spans="1:16" hidden="1" x14ac:dyDescent="0.25">
      <c r="A809" s="16">
        <v>45597</v>
      </c>
      <c r="B809" t="s">
        <v>97</v>
      </c>
      <c r="C809">
        <v>40</v>
      </c>
      <c r="D809" t="s">
        <v>291</v>
      </c>
      <c r="E809" t="s">
        <v>292</v>
      </c>
      <c r="F809" t="s">
        <v>244</v>
      </c>
      <c r="G809" t="s">
        <v>82</v>
      </c>
      <c r="H809" t="s">
        <v>95</v>
      </c>
      <c r="J809" t="s">
        <v>191</v>
      </c>
      <c r="K809" t="s">
        <v>250</v>
      </c>
      <c r="L809">
        <v>86800000</v>
      </c>
      <c r="M809" t="s">
        <v>245</v>
      </c>
      <c r="N809" t="s">
        <v>917</v>
      </c>
    </row>
    <row r="810" spans="1:16" hidden="1" x14ac:dyDescent="0.25">
      <c r="A810" s="16">
        <v>45597</v>
      </c>
      <c r="B810" t="s">
        <v>535</v>
      </c>
      <c r="C810">
        <v>4</v>
      </c>
      <c r="D810" t="s">
        <v>238</v>
      </c>
      <c r="E810" t="s">
        <v>239</v>
      </c>
      <c r="F810" t="s">
        <v>240</v>
      </c>
      <c r="G810" t="s">
        <v>82</v>
      </c>
      <c r="J810" t="s">
        <v>191</v>
      </c>
      <c r="K810" t="s">
        <v>250</v>
      </c>
      <c r="L810">
        <v>8990000</v>
      </c>
      <c r="M810" t="s">
        <v>242</v>
      </c>
      <c r="N810" t="s">
        <v>918</v>
      </c>
    </row>
    <row r="811" spans="1:16" hidden="1" x14ac:dyDescent="0.25">
      <c r="A811" s="16">
        <v>45597</v>
      </c>
      <c r="B811" t="s">
        <v>535</v>
      </c>
      <c r="C811">
        <v>4</v>
      </c>
      <c r="D811" t="s">
        <v>238</v>
      </c>
      <c r="E811" t="s">
        <v>239</v>
      </c>
      <c r="F811" t="s">
        <v>285</v>
      </c>
      <c r="G811" t="s">
        <v>63</v>
      </c>
      <c r="J811" t="s">
        <v>191</v>
      </c>
      <c r="K811" t="s">
        <v>250</v>
      </c>
      <c r="L811">
        <v>1630000</v>
      </c>
      <c r="M811" t="s">
        <v>242</v>
      </c>
      <c r="N811" t="s">
        <v>919</v>
      </c>
    </row>
    <row r="812" spans="1:16" hidden="1" x14ac:dyDescent="0.25">
      <c r="A812" s="16">
        <v>45597</v>
      </c>
      <c r="B812" t="s">
        <v>535</v>
      </c>
      <c r="C812">
        <v>4</v>
      </c>
      <c r="D812" t="s">
        <v>238</v>
      </c>
      <c r="E812" t="s">
        <v>239</v>
      </c>
      <c r="F812" t="s">
        <v>244</v>
      </c>
      <c r="G812" t="s">
        <v>82</v>
      </c>
      <c r="J812" t="s">
        <v>191</v>
      </c>
      <c r="K812" t="s">
        <v>250</v>
      </c>
      <c r="L812">
        <v>1180000000</v>
      </c>
      <c r="M812" t="s">
        <v>245</v>
      </c>
      <c r="N812" t="s">
        <v>920</v>
      </c>
    </row>
    <row r="813" spans="1:16" hidden="1" x14ac:dyDescent="0.25">
      <c r="A813" s="16">
        <v>45597</v>
      </c>
      <c r="B813" t="s">
        <v>535</v>
      </c>
      <c r="C813">
        <v>5</v>
      </c>
      <c r="D813" t="s">
        <v>238</v>
      </c>
      <c r="E813" t="s">
        <v>239</v>
      </c>
      <c r="F813" t="s">
        <v>240</v>
      </c>
      <c r="G813" t="s">
        <v>82</v>
      </c>
      <c r="J813" t="s">
        <v>191</v>
      </c>
      <c r="K813" t="s">
        <v>250</v>
      </c>
      <c r="L813">
        <v>5560000</v>
      </c>
      <c r="M813" t="s">
        <v>242</v>
      </c>
      <c r="N813" t="s">
        <v>921</v>
      </c>
    </row>
    <row r="814" spans="1:16" hidden="1" x14ac:dyDescent="0.25">
      <c r="A814" s="16">
        <v>45597</v>
      </c>
      <c r="B814" t="s">
        <v>535</v>
      </c>
      <c r="C814">
        <v>5</v>
      </c>
      <c r="D814" t="s">
        <v>238</v>
      </c>
      <c r="E814" t="s">
        <v>239</v>
      </c>
      <c r="F814" t="s">
        <v>285</v>
      </c>
      <c r="G814" t="s">
        <v>63</v>
      </c>
      <c r="J814" t="s">
        <v>191</v>
      </c>
      <c r="K814" t="s">
        <v>250</v>
      </c>
      <c r="L814">
        <v>2400000</v>
      </c>
      <c r="M814" t="s">
        <v>242</v>
      </c>
      <c r="N814" t="s">
        <v>922</v>
      </c>
    </row>
    <row r="815" spans="1:16" hidden="1" x14ac:dyDescent="0.25">
      <c r="A815" s="16">
        <v>45597</v>
      </c>
      <c r="B815" t="s">
        <v>535</v>
      </c>
      <c r="C815">
        <v>5</v>
      </c>
      <c r="D815" t="s">
        <v>238</v>
      </c>
      <c r="E815" t="s">
        <v>239</v>
      </c>
      <c r="F815" t="s">
        <v>244</v>
      </c>
      <c r="G815" t="s">
        <v>82</v>
      </c>
      <c r="J815" t="s">
        <v>191</v>
      </c>
      <c r="K815" t="s">
        <v>250</v>
      </c>
      <c r="L815">
        <v>444000000</v>
      </c>
      <c r="M815" t="s">
        <v>245</v>
      </c>
      <c r="N815" t="s">
        <v>923</v>
      </c>
    </row>
    <row r="816" spans="1:16" hidden="1" x14ac:dyDescent="0.25">
      <c r="A816" s="16">
        <v>45597</v>
      </c>
      <c r="B816" t="s">
        <v>535</v>
      </c>
      <c r="C816">
        <v>6</v>
      </c>
      <c r="D816" t="s">
        <v>238</v>
      </c>
      <c r="E816" t="s">
        <v>239</v>
      </c>
      <c r="F816" t="s">
        <v>378</v>
      </c>
      <c r="G816" t="s">
        <v>379</v>
      </c>
      <c r="J816" t="s">
        <v>191</v>
      </c>
      <c r="K816" t="s">
        <v>250</v>
      </c>
      <c r="L816">
        <v>577</v>
      </c>
      <c r="M816" t="s">
        <v>242</v>
      </c>
      <c r="N816" t="s">
        <v>814</v>
      </c>
    </row>
    <row r="817" spans="1:16" hidden="1" x14ac:dyDescent="0.25">
      <c r="A817" s="16">
        <v>45597</v>
      </c>
      <c r="B817" t="s">
        <v>535</v>
      </c>
      <c r="C817">
        <v>6</v>
      </c>
      <c r="D817" t="s">
        <v>238</v>
      </c>
      <c r="E817" t="s">
        <v>239</v>
      </c>
      <c r="F817" t="s">
        <v>381</v>
      </c>
      <c r="G817" t="s">
        <v>382</v>
      </c>
      <c r="J817" t="s">
        <v>191</v>
      </c>
      <c r="K817" t="s">
        <v>250</v>
      </c>
      <c r="L817">
        <v>1973</v>
      </c>
      <c r="M817" t="s">
        <v>242</v>
      </c>
      <c r="N817" t="s">
        <v>815</v>
      </c>
    </row>
    <row r="818" spans="1:16" hidden="1" x14ac:dyDescent="0.25">
      <c r="A818" s="16">
        <v>45597</v>
      </c>
      <c r="B818" t="s">
        <v>535</v>
      </c>
      <c r="C818">
        <v>6</v>
      </c>
      <c r="D818" t="s">
        <v>238</v>
      </c>
      <c r="E818" t="s">
        <v>239</v>
      </c>
      <c r="F818" t="s">
        <v>240</v>
      </c>
      <c r="G818" t="s">
        <v>82</v>
      </c>
      <c r="J818" t="s">
        <v>191</v>
      </c>
      <c r="K818" t="s">
        <v>250</v>
      </c>
      <c r="L818">
        <v>5160000</v>
      </c>
      <c r="M818" t="s">
        <v>242</v>
      </c>
      <c r="N818" t="s">
        <v>924</v>
      </c>
    </row>
    <row r="819" spans="1:16" hidden="1" x14ac:dyDescent="0.25">
      <c r="A819" s="16">
        <v>45597</v>
      </c>
      <c r="B819" t="s">
        <v>535</v>
      </c>
      <c r="C819">
        <v>6</v>
      </c>
      <c r="D819" t="s">
        <v>238</v>
      </c>
      <c r="E819" t="s">
        <v>239</v>
      </c>
      <c r="F819" t="s">
        <v>285</v>
      </c>
      <c r="G819" t="s">
        <v>63</v>
      </c>
      <c r="J819" t="s">
        <v>191</v>
      </c>
      <c r="K819" t="s">
        <v>250</v>
      </c>
      <c r="L819">
        <v>4500000</v>
      </c>
      <c r="M819" t="s">
        <v>242</v>
      </c>
      <c r="N819" t="s">
        <v>925</v>
      </c>
    </row>
    <row r="820" spans="1:16" hidden="1" x14ac:dyDescent="0.25">
      <c r="A820" s="16">
        <v>45597</v>
      </c>
      <c r="B820" t="s">
        <v>535</v>
      </c>
      <c r="C820">
        <v>6</v>
      </c>
      <c r="D820" t="s">
        <v>238</v>
      </c>
      <c r="E820" t="s">
        <v>239</v>
      </c>
      <c r="F820" t="s">
        <v>244</v>
      </c>
      <c r="G820" t="s">
        <v>82</v>
      </c>
      <c r="J820" t="s">
        <v>191</v>
      </c>
      <c r="K820" t="s">
        <v>250</v>
      </c>
      <c r="L820">
        <v>972000000</v>
      </c>
      <c r="M820" t="s">
        <v>245</v>
      </c>
      <c r="N820" t="s">
        <v>926</v>
      </c>
    </row>
    <row r="821" spans="1:16" hidden="1" x14ac:dyDescent="0.25">
      <c r="A821" s="16">
        <v>45597</v>
      </c>
      <c r="B821" t="s">
        <v>535</v>
      </c>
      <c r="C821">
        <v>7</v>
      </c>
      <c r="D821" t="s">
        <v>238</v>
      </c>
      <c r="E821" t="s">
        <v>239</v>
      </c>
      <c r="F821" t="s">
        <v>544</v>
      </c>
      <c r="G821" t="s">
        <v>82</v>
      </c>
      <c r="J821" t="s">
        <v>191</v>
      </c>
      <c r="K821" t="s">
        <v>250</v>
      </c>
      <c r="L821">
        <v>888000</v>
      </c>
      <c r="M821" t="s">
        <v>242</v>
      </c>
      <c r="N821" t="s">
        <v>927</v>
      </c>
    </row>
    <row r="822" spans="1:16" hidden="1" x14ac:dyDescent="0.25">
      <c r="A822" s="16">
        <v>45597</v>
      </c>
      <c r="B822" t="s">
        <v>535</v>
      </c>
      <c r="C822">
        <v>7</v>
      </c>
      <c r="D822" t="s">
        <v>238</v>
      </c>
      <c r="E822" t="s">
        <v>239</v>
      </c>
      <c r="F822" t="s">
        <v>240</v>
      </c>
      <c r="G822" t="s">
        <v>82</v>
      </c>
      <c r="J822" t="s">
        <v>191</v>
      </c>
      <c r="K822" t="s">
        <v>250</v>
      </c>
      <c r="L822">
        <v>893000</v>
      </c>
      <c r="M822" t="s">
        <v>242</v>
      </c>
      <c r="N822" t="s">
        <v>928</v>
      </c>
    </row>
    <row r="823" spans="1:16" hidden="1" x14ac:dyDescent="0.25">
      <c r="A823" s="16">
        <v>45597</v>
      </c>
      <c r="B823" t="s">
        <v>535</v>
      </c>
      <c r="C823">
        <v>7</v>
      </c>
      <c r="D823" t="s">
        <v>238</v>
      </c>
      <c r="E823" t="s">
        <v>239</v>
      </c>
      <c r="F823" t="s">
        <v>929</v>
      </c>
      <c r="G823" t="s">
        <v>82</v>
      </c>
      <c r="J823" t="s">
        <v>191</v>
      </c>
      <c r="K823" t="s">
        <v>250</v>
      </c>
      <c r="L823">
        <v>715000000</v>
      </c>
      <c r="M823" t="s">
        <v>245</v>
      </c>
      <c r="N823" t="s">
        <v>930</v>
      </c>
    </row>
    <row r="824" spans="1:16" hidden="1" x14ac:dyDescent="0.25">
      <c r="A824" s="16">
        <v>45597</v>
      </c>
      <c r="B824" t="s">
        <v>535</v>
      </c>
      <c r="C824">
        <v>8</v>
      </c>
      <c r="D824" t="s">
        <v>238</v>
      </c>
      <c r="E824" t="s">
        <v>239</v>
      </c>
      <c r="F824" t="s">
        <v>548</v>
      </c>
      <c r="G824" t="s">
        <v>158</v>
      </c>
      <c r="J824" t="s">
        <v>191</v>
      </c>
      <c r="K824" t="s">
        <v>250</v>
      </c>
      <c r="L824">
        <v>451000</v>
      </c>
      <c r="M824" t="s">
        <v>242</v>
      </c>
      <c r="N824" t="s">
        <v>931</v>
      </c>
    </row>
    <row r="825" spans="1:16" hidden="1" x14ac:dyDescent="0.25">
      <c r="A825" s="16">
        <v>45597</v>
      </c>
      <c r="B825" t="s">
        <v>535</v>
      </c>
      <c r="C825">
        <v>8</v>
      </c>
      <c r="D825" t="s">
        <v>238</v>
      </c>
      <c r="E825" t="s">
        <v>239</v>
      </c>
      <c r="F825" t="s">
        <v>349</v>
      </c>
      <c r="G825" t="s">
        <v>158</v>
      </c>
      <c r="J825" t="s">
        <v>191</v>
      </c>
      <c r="K825" t="s">
        <v>250</v>
      </c>
      <c r="L825">
        <v>13000</v>
      </c>
      <c r="M825" t="s">
        <v>242</v>
      </c>
      <c r="N825" t="s">
        <v>932</v>
      </c>
    </row>
    <row r="826" spans="1:16" hidden="1" x14ac:dyDescent="0.25">
      <c r="A826" s="16">
        <v>45597</v>
      </c>
      <c r="B826" t="s">
        <v>535</v>
      </c>
      <c r="C826">
        <v>8</v>
      </c>
      <c r="D826" t="s">
        <v>238</v>
      </c>
      <c r="E826" t="s">
        <v>239</v>
      </c>
      <c r="F826" t="s">
        <v>551</v>
      </c>
      <c r="G826" t="s">
        <v>158</v>
      </c>
      <c r="J826" t="s">
        <v>191</v>
      </c>
      <c r="K826" t="s">
        <v>250</v>
      </c>
      <c r="L826">
        <v>3050000000</v>
      </c>
      <c r="M826" t="s">
        <v>245</v>
      </c>
      <c r="N826" t="s">
        <v>933</v>
      </c>
    </row>
    <row r="827" spans="1:16" hidden="1" x14ac:dyDescent="0.25">
      <c r="A827" s="16">
        <v>45597</v>
      </c>
      <c r="B827" t="s">
        <v>535</v>
      </c>
      <c r="C827">
        <v>8</v>
      </c>
      <c r="D827" t="s">
        <v>238</v>
      </c>
      <c r="E827" t="s">
        <v>239</v>
      </c>
      <c r="F827" t="s">
        <v>361</v>
      </c>
      <c r="G827" t="s">
        <v>158</v>
      </c>
      <c r="J827" t="s">
        <v>191</v>
      </c>
      <c r="K827" t="s">
        <v>250</v>
      </c>
      <c r="L827">
        <v>82200000</v>
      </c>
      <c r="M827" t="s">
        <v>245</v>
      </c>
      <c r="N827" t="s">
        <v>934</v>
      </c>
    </row>
    <row r="828" spans="1:16" hidden="1" x14ac:dyDescent="0.25">
      <c r="A828" s="16">
        <v>45627</v>
      </c>
      <c r="B828" t="s">
        <v>142</v>
      </c>
      <c r="C828">
        <v>67</v>
      </c>
      <c r="D828" t="s">
        <v>238</v>
      </c>
      <c r="E828" t="s">
        <v>239</v>
      </c>
      <c r="F828" t="s">
        <v>240</v>
      </c>
      <c r="G828" t="s">
        <v>82</v>
      </c>
      <c r="J828" t="s">
        <v>192</v>
      </c>
      <c r="K828" t="s">
        <v>241</v>
      </c>
      <c r="L828">
        <v>11290000</v>
      </c>
      <c r="M828" t="s">
        <v>242</v>
      </c>
      <c r="N828" t="s">
        <v>935</v>
      </c>
    </row>
    <row r="829" spans="1:16" hidden="1" x14ac:dyDescent="0.25">
      <c r="A829" s="16">
        <v>45627</v>
      </c>
      <c r="B829" t="s">
        <v>142</v>
      </c>
      <c r="C829">
        <v>67</v>
      </c>
      <c r="D829" t="s">
        <v>238</v>
      </c>
      <c r="E829" t="s">
        <v>239</v>
      </c>
      <c r="F829" t="s">
        <v>244</v>
      </c>
      <c r="G829" t="s">
        <v>82</v>
      </c>
      <c r="J829" t="s">
        <v>192</v>
      </c>
      <c r="K829" t="s">
        <v>241</v>
      </c>
      <c r="L829">
        <v>9130000000</v>
      </c>
      <c r="M829" t="s">
        <v>245</v>
      </c>
      <c r="N829" t="s">
        <v>936</v>
      </c>
    </row>
    <row r="830" spans="1:16" hidden="1" x14ac:dyDescent="0.25">
      <c r="A830" s="16">
        <v>45627</v>
      </c>
      <c r="B830" t="s">
        <v>142</v>
      </c>
      <c r="C830">
        <v>68</v>
      </c>
      <c r="D830" t="s">
        <v>253</v>
      </c>
      <c r="E830" t="s">
        <v>248</v>
      </c>
      <c r="F830" t="s">
        <v>240</v>
      </c>
      <c r="G830" t="s">
        <v>82</v>
      </c>
      <c r="J830" t="s">
        <v>190</v>
      </c>
      <c r="K830" t="s">
        <v>255</v>
      </c>
      <c r="L830">
        <v>1060000</v>
      </c>
      <c r="M830" t="s">
        <v>242</v>
      </c>
      <c r="N830" t="s">
        <v>560</v>
      </c>
      <c r="O830">
        <v>1</v>
      </c>
      <c r="P830" t="s">
        <v>257</v>
      </c>
    </row>
    <row r="831" spans="1:16" hidden="1" x14ac:dyDescent="0.25">
      <c r="A831" s="16">
        <v>45627</v>
      </c>
      <c r="B831" t="s">
        <v>142</v>
      </c>
      <c r="C831">
        <v>68</v>
      </c>
      <c r="D831" t="s">
        <v>253</v>
      </c>
      <c r="E831" t="s">
        <v>248</v>
      </c>
      <c r="F831" t="s">
        <v>240</v>
      </c>
      <c r="G831" t="s">
        <v>82</v>
      </c>
      <c r="J831" t="s">
        <v>191</v>
      </c>
      <c r="K831" t="s">
        <v>255</v>
      </c>
      <c r="L831">
        <v>890000</v>
      </c>
      <c r="M831" t="s">
        <v>242</v>
      </c>
      <c r="N831" t="s">
        <v>759</v>
      </c>
      <c r="O831">
        <v>1</v>
      </c>
      <c r="P831" t="s">
        <v>257</v>
      </c>
    </row>
    <row r="832" spans="1:16" hidden="1" x14ac:dyDescent="0.25">
      <c r="A832" s="16">
        <v>45627</v>
      </c>
      <c r="B832" t="s">
        <v>142</v>
      </c>
      <c r="C832">
        <v>68</v>
      </c>
      <c r="D832" t="s">
        <v>253</v>
      </c>
      <c r="E832" t="s">
        <v>248</v>
      </c>
      <c r="F832" t="s">
        <v>240</v>
      </c>
      <c r="G832" t="s">
        <v>82</v>
      </c>
      <c r="J832" t="s">
        <v>192</v>
      </c>
      <c r="K832" t="s">
        <v>255</v>
      </c>
      <c r="L832">
        <v>1020000</v>
      </c>
      <c r="M832" t="s">
        <v>242</v>
      </c>
      <c r="N832" t="s">
        <v>937</v>
      </c>
      <c r="O832">
        <v>1</v>
      </c>
      <c r="P832" t="s">
        <v>261</v>
      </c>
    </row>
    <row r="833" spans="1:16" hidden="1" x14ac:dyDescent="0.25">
      <c r="A833" s="16">
        <v>45627</v>
      </c>
      <c r="B833" t="s">
        <v>142</v>
      </c>
      <c r="C833">
        <v>68</v>
      </c>
      <c r="D833" t="s">
        <v>247</v>
      </c>
      <c r="E833" t="s">
        <v>248</v>
      </c>
      <c r="F833" t="s">
        <v>240</v>
      </c>
      <c r="G833" t="s">
        <v>82</v>
      </c>
      <c r="H833" t="s">
        <v>286</v>
      </c>
      <c r="J833" t="s">
        <v>192</v>
      </c>
      <c r="K833" t="s">
        <v>250</v>
      </c>
      <c r="L833">
        <v>15</v>
      </c>
      <c r="M833" t="s">
        <v>251</v>
      </c>
      <c r="N833" t="s">
        <v>938</v>
      </c>
    </row>
    <row r="834" spans="1:16" hidden="1" x14ac:dyDescent="0.25">
      <c r="A834" s="16">
        <v>45627</v>
      </c>
      <c r="B834" t="s">
        <v>142</v>
      </c>
      <c r="C834">
        <v>69</v>
      </c>
      <c r="D834" t="s">
        <v>253</v>
      </c>
      <c r="E834" t="s">
        <v>248</v>
      </c>
      <c r="F834" t="s">
        <v>240</v>
      </c>
      <c r="G834" t="s">
        <v>82</v>
      </c>
      <c r="H834" t="s">
        <v>150</v>
      </c>
      <c r="J834" t="s">
        <v>190</v>
      </c>
      <c r="K834" t="s">
        <v>255</v>
      </c>
      <c r="L834">
        <v>320</v>
      </c>
      <c r="M834" t="s">
        <v>242</v>
      </c>
      <c r="N834" t="s">
        <v>561</v>
      </c>
      <c r="O834">
        <v>1</v>
      </c>
      <c r="P834" t="s">
        <v>257</v>
      </c>
    </row>
    <row r="835" spans="1:16" hidden="1" x14ac:dyDescent="0.25">
      <c r="A835" s="16">
        <v>45627</v>
      </c>
      <c r="B835" t="s">
        <v>142</v>
      </c>
      <c r="C835">
        <v>69</v>
      </c>
      <c r="D835" t="s">
        <v>253</v>
      </c>
      <c r="E835" t="s">
        <v>248</v>
      </c>
      <c r="F835" t="s">
        <v>240</v>
      </c>
      <c r="G835" t="s">
        <v>82</v>
      </c>
      <c r="H835" t="s">
        <v>150</v>
      </c>
      <c r="J835" t="s">
        <v>191</v>
      </c>
      <c r="K835" t="s">
        <v>255</v>
      </c>
      <c r="L835">
        <v>285</v>
      </c>
      <c r="M835" t="s">
        <v>242</v>
      </c>
      <c r="N835" t="s">
        <v>760</v>
      </c>
      <c r="O835">
        <v>1</v>
      </c>
      <c r="P835" t="s">
        <v>257</v>
      </c>
    </row>
    <row r="836" spans="1:16" hidden="1" x14ac:dyDescent="0.25">
      <c r="A836" s="16">
        <v>45627</v>
      </c>
      <c r="B836" t="s">
        <v>142</v>
      </c>
      <c r="C836">
        <v>69</v>
      </c>
      <c r="D836" t="s">
        <v>253</v>
      </c>
      <c r="E836" t="s">
        <v>248</v>
      </c>
      <c r="F836" t="s">
        <v>240</v>
      </c>
      <c r="G836" t="s">
        <v>82</v>
      </c>
      <c r="H836" t="s">
        <v>150</v>
      </c>
      <c r="J836" t="s">
        <v>192</v>
      </c>
      <c r="K836" t="s">
        <v>255</v>
      </c>
      <c r="L836">
        <v>336</v>
      </c>
      <c r="M836" t="s">
        <v>242</v>
      </c>
      <c r="N836" t="s">
        <v>939</v>
      </c>
      <c r="O836">
        <v>1</v>
      </c>
      <c r="P836" t="s">
        <v>261</v>
      </c>
    </row>
    <row r="837" spans="1:16" hidden="1" x14ac:dyDescent="0.25">
      <c r="A837" s="16">
        <v>45627</v>
      </c>
      <c r="B837" t="s">
        <v>142</v>
      </c>
      <c r="C837">
        <v>69</v>
      </c>
      <c r="D837" t="s">
        <v>253</v>
      </c>
      <c r="E837" t="s">
        <v>248</v>
      </c>
      <c r="F837" t="s">
        <v>240</v>
      </c>
      <c r="G837" t="s">
        <v>82</v>
      </c>
      <c r="H837" t="s">
        <v>151</v>
      </c>
      <c r="J837" t="s">
        <v>190</v>
      </c>
      <c r="K837" t="s">
        <v>255</v>
      </c>
      <c r="L837">
        <v>50</v>
      </c>
      <c r="M837" t="s">
        <v>242</v>
      </c>
      <c r="N837" t="s">
        <v>562</v>
      </c>
      <c r="O837">
        <v>1</v>
      </c>
      <c r="P837" t="s">
        <v>257</v>
      </c>
    </row>
    <row r="838" spans="1:16" hidden="1" x14ac:dyDescent="0.25">
      <c r="A838" s="16">
        <v>45627</v>
      </c>
      <c r="B838" t="s">
        <v>142</v>
      </c>
      <c r="C838">
        <v>69</v>
      </c>
      <c r="D838" t="s">
        <v>253</v>
      </c>
      <c r="E838" t="s">
        <v>248</v>
      </c>
      <c r="F838" t="s">
        <v>240</v>
      </c>
      <c r="G838" t="s">
        <v>82</v>
      </c>
      <c r="H838" t="s">
        <v>151</v>
      </c>
      <c r="J838" t="s">
        <v>191</v>
      </c>
      <c r="K838" t="s">
        <v>255</v>
      </c>
      <c r="L838">
        <v>30</v>
      </c>
      <c r="M838" t="s">
        <v>242</v>
      </c>
      <c r="N838" t="s">
        <v>761</v>
      </c>
      <c r="O838">
        <v>1</v>
      </c>
      <c r="P838" t="s">
        <v>257</v>
      </c>
    </row>
    <row r="839" spans="1:16" hidden="1" x14ac:dyDescent="0.25">
      <c r="A839" s="16">
        <v>45627</v>
      </c>
      <c r="B839" t="s">
        <v>142</v>
      </c>
      <c r="C839">
        <v>69</v>
      </c>
      <c r="D839" t="s">
        <v>253</v>
      </c>
      <c r="E839" t="s">
        <v>248</v>
      </c>
      <c r="F839" t="s">
        <v>240</v>
      </c>
      <c r="G839" t="s">
        <v>82</v>
      </c>
      <c r="H839" t="s">
        <v>151</v>
      </c>
      <c r="J839" t="s">
        <v>192</v>
      </c>
      <c r="K839" t="s">
        <v>255</v>
      </c>
      <c r="L839">
        <v>33</v>
      </c>
      <c r="M839" t="s">
        <v>242</v>
      </c>
      <c r="N839" t="s">
        <v>940</v>
      </c>
      <c r="O839">
        <v>1</v>
      </c>
      <c r="P839" t="s">
        <v>261</v>
      </c>
    </row>
    <row r="840" spans="1:16" hidden="1" x14ac:dyDescent="0.25">
      <c r="A840" s="16">
        <v>45627</v>
      </c>
      <c r="B840" t="s">
        <v>142</v>
      </c>
      <c r="C840">
        <v>69</v>
      </c>
      <c r="D840" t="s">
        <v>253</v>
      </c>
      <c r="E840" t="s">
        <v>248</v>
      </c>
      <c r="F840" t="s">
        <v>240</v>
      </c>
      <c r="G840" t="s">
        <v>82</v>
      </c>
      <c r="H840" t="s">
        <v>149</v>
      </c>
      <c r="J840" t="s">
        <v>190</v>
      </c>
      <c r="K840" t="s">
        <v>255</v>
      </c>
      <c r="L840">
        <v>6564</v>
      </c>
      <c r="M840" t="s">
        <v>242</v>
      </c>
      <c r="N840" t="s">
        <v>563</v>
      </c>
      <c r="O840">
        <v>1</v>
      </c>
      <c r="P840" t="s">
        <v>257</v>
      </c>
    </row>
    <row r="841" spans="1:16" hidden="1" x14ac:dyDescent="0.25">
      <c r="A841" s="16">
        <v>45627</v>
      </c>
      <c r="B841" t="s">
        <v>142</v>
      </c>
      <c r="C841">
        <v>69</v>
      </c>
      <c r="D841" t="s">
        <v>253</v>
      </c>
      <c r="E841" t="s">
        <v>248</v>
      </c>
      <c r="F841" t="s">
        <v>240</v>
      </c>
      <c r="G841" t="s">
        <v>82</v>
      </c>
      <c r="H841" t="s">
        <v>149</v>
      </c>
      <c r="J841" t="s">
        <v>191</v>
      </c>
      <c r="K841" t="s">
        <v>255</v>
      </c>
      <c r="L841">
        <v>5179</v>
      </c>
      <c r="M841" t="s">
        <v>242</v>
      </c>
      <c r="N841" t="s">
        <v>762</v>
      </c>
      <c r="O841">
        <v>1</v>
      </c>
      <c r="P841" t="s">
        <v>257</v>
      </c>
    </row>
    <row r="842" spans="1:16" hidden="1" x14ac:dyDescent="0.25">
      <c r="A842" s="16">
        <v>45627</v>
      </c>
      <c r="B842" t="s">
        <v>142</v>
      </c>
      <c r="C842">
        <v>69</v>
      </c>
      <c r="D842" t="s">
        <v>253</v>
      </c>
      <c r="E842" t="s">
        <v>248</v>
      </c>
      <c r="F842" t="s">
        <v>240</v>
      </c>
      <c r="G842" t="s">
        <v>82</v>
      </c>
      <c r="H842" t="s">
        <v>149</v>
      </c>
      <c r="J842" t="s">
        <v>192</v>
      </c>
      <c r="K842" t="s">
        <v>255</v>
      </c>
      <c r="L842">
        <v>5800</v>
      </c>
      <c r="M842" t="s">
        <v>242</v>
      </c>
      <c r="N842" t="s">
        <v>941</v>
      </c>
      <c r="O842">
        <v>1</v>
      </c>
      <c r="P842" t="s">
        <v>261</v>
      </c>
    </row>
    <row r="843" spans="1:16" hidden="1" x14ac:dyDescent="0.25">
      <c r="A843" s="16">
        <v>45627</v>
      </c>
      <c r="B843" t="s">
        <v>142</v>
      </c>
      <c r="C843">
        <v>70</v>
      </c>
      <c r="D843" t="s">
        <v>253</v>
      </c>
      <c r="E843" t="s">
        <v>248</v>
      </c>
      <c r="F843" t="s">
        <v>244</v>
      </c>
      <c r="G843" t="s">
        <v>82</v>
      </c>
      <c r="J843" t="s">
        <v>190</v>
      </c>
      <c r="K843" t="s">
        <v>255</v>
      </c>
      <c r="L843">
        <v>831000000</v>
      </c>
      <c r="M843" t="s">
        <v>245</v>
      </c>
      <c r="N843" t="s">
        <v>565</v>
      </c>
      <c r="O843">
        <v>1</v>
      </c>
      <c r="P843" t="s">
        <v>257</v>
      </c>
    </row>
    <row r="844" spans="1:16" hidden="1" x14ac:dyDescent="0.25">
      <c r="A844" s="16">
        <v>45627</v>
      </c>
      <c r="B844" t="s">
        <v>142</v>
      </c>
      <c r="C844">
        <v>70</v>
      </c>
      <c r="D844" t="s">
        <v>253</v>
      </c>
      <c r="E844" t="s">
        <v>248</v>
      </c>
      <c r="F844" t="s">
        <v>244</v>
      </c>
      <c r="G844" t="s">
        <v>82</v>
      </c>
      <c r="J844" t="s">
        <v>191</v>
      </c>
      <c r="K844" t="s">
        <v>255</v>
      </c>
      <c r="L844">
        <v>715000000</v>
      </c>
      <c r="M844" t="s">
        <v>245</v>
      </c>
      <c r="N844" t="s">
        <v>764</v>
      </c>
      <c r="O844">
        <v>1</v>
      </c>
      <c r="P844" t="s">
        <v>257</v>
      </c>
    </row>
    <row r="845" spans="1:16" hidden="1" x14ac:dyDescent="0.25">
      <c r="A845" s="16">
        <v>45627</v>
      </c>
      <c r="B845" t="s">
        <v>142</v>
      </c>
      <c r="C845">
        <v>70</v>
      </c>
      <c r="D845" t="s">
        <v>253</v>
      </c>
      <c r="E845" t="s">
        <v>248</v>
      </c>
      <c r="F845" t="s">
        <v>244</v>
      </c>
      <c r="G845" t="s">
        <v>82</v>
      </c>
      <c r="J845" t="s">
        <v>192</v>
      </c>
      <c r="K845" t="s">
        <v>255</v>
      </c>
      <c r="L845">
        <v>870000000</v>
      </c>
      <c r="M845" t="s">
        <v>245</v>
      </c>
      <c r="N845" t="s">
        <v>942</v>
      </c>
      <c r="O845">
        <v>1</v>
      </c>
      <c r="P845" t="s">
        <v>261</v>
      </c>
    </row>
    <row r="846" spans="1:16" hidden="1" x14ac:dyDescent="0.25">
      <c r="A846" s="16">
        <v>45627</v>
      </c>
      <c r="B846" t="s">
        <v>142</v>
      </c>
      <c r="C846">
        <v>70</v>
      </c>
      <c r="D846" t="s">
        <v>247</v>
      </c>
      <c r="E846" t="s">
        <v>248</v>
      </c>
      <c r="F846" t="s">
        <v>244</v>
      </c>
      <c r="G846" t="s">
        <v>82</v>
      </c>
      <c r="H846" t="s">
        <v>286</v>
      </c>
      <c r="J846" t="s">
        <v>192</v>
      </c>
      <c r="K846" t="s">
        <v>250</v>
      </c>
      <c r="L846">
        <v>21.6</v>
      </c>
      <c r="M846" t="s">
        <v>251</v>
      </c>
      <c r="N846" t="s">
        <v>943</v>
      </c>
    </row>
    <row r="847" spans="1:16" hidden="1" x14ac:dyDescent="0.25">
      <c r="A847" s="16">
        <v>45627</v>
      </c>
      <c r="B847" t="s">
        <v>142</v>
      </c>
      <c r="C847">
        <v>71</v>
      </c>
      <c r="D847" t="s">
        <v>253</v>
      </c>
      <c r="E847" t="s">
        <v>248</v>
      </c>
      <c r="F847" t="s">
        <v>244</v>
      </c>
      <c r="G847" t="s">
        <v>82</v>
      </c>
      <c r="H847" t="s">
        <v>150</v>
      </c>
      <c r="J847" t="s">
        <v>190</v>
      </c>
      <c r="K847" t="s">
        <v>255</v>
      </c>
      <c r="L847">
        <v>3070000</v>
      </c>
      <c r="M847" t="s">
        <v>150</v>
      </c>
      <c r="N847" t="s">
        <v>569</v>
      </c>
      <c r="O847">
        <v>1</v>
      </c>
      <c r="P847" t="s">
        <v>257</v>
      </c>
    </row>
    <row r="848" spans="1:16" hidden="1" x14ac:dyDescent="0.25">
      <c r="A848" s="16">
        <v>45627</v>
      </c>
      <c r="B848" t="s">
        <v>142</v>
      </c>
      <c r="C848">
        <v>71</v>
      </c>
      <c r="D848" t="s">
        <v>253</v>
      </c>
      <c r="E848" t="s">
        <v>248</v>
      </c>
      <c r="F848" t="s">
        <v>244</v>
      </c>
      <c r="G848" t="s">
        <v>82</v>
      </c>
      <c r="H848" t="s">
        <v>150</v>
      </c>
      <c r="J848" t="s">
        <v>191</v>
      </c>
      <c r="K848" t="s">
        <v>255</v>
      </c>
      <c r="L848">
        <v>2300000</v>
      </c>
      <c r="M848" t="s">
        <v>150</v>
      </c>
      <c r="N848" t="s">
        <v>765</v>
      </c>
      <c r="O848">
        <v>1</v>
      </c>
      <c r="P848" t="s">
        <v>257</v>
      </c>
    </row>
    <row r="849" spans="1:16" hidden="1" x14ac:dyDescent="0.25">
      <c r="A849" s="16">
        <v>45627</v>
      </c>
      <c r="B849" t="s">
        <v>142</v>
      </c>
      <c r="C849">
        <v>71</v>
      </c>
      <c r="D849" t="s">
        <v>253</v>
      </c>
      <c r="E849" t="s">
        <v>248</v>
      </c>
      <c r="F849" t="s">
        <v>244</v>
      </c>
      <c r="G849" t="s">
        <v>82</v>
      </c>
      <c r="H849" t="s">
        <v>150</v>
      </c>
      <c r="J849" t="s">
        <v>192</v>
      </c>
      <c r="K849" t="s">
        <v>255</v>
      </c>
      <c r="L849">
        <v>2790000</v>
      </c>
      <c r="M849" t="s">
        <v>150</v>
      </c>
      <c r="N849" t="s">
        <v>944</v>
      </c>
      <c r="O849">
        <v>1</v>
      </c>
      <c r="P849" t="s">
        <v>261</v>
      </c>
    </row>
    <row r="850" spans="1:16" hidden="1" x14ac:dyDescent="0.25">
      <c r="A850" s="16">
        <v>45627</v>
      </c>
      <c r="B850" t="s">
        <v>142</v>
      </c>
      <c r="C850">
        <v>71</v>
      </c>
      <c r="D850" t="s">
        <v>253</v>
      </c>
      <c r="E850" t="s">
        <v>248</v>
      </c>
      <c r="F850" t="s">
        <v>244</v>
      </c>
      <c r="G850" t="s">
        <v>82</v>
      </c>
      <c r="H850" t="s">
        <v>151</v>
      </c>
      <c r="J850" t="s">
        <v>190</v>
      </c>
      <c r="K850" t="s">
        <v>255</v>
      </c>
      <c r="L850">
        <v>380000</v>
      </c>
      <c r="M850" t="s">
        <v>151</v>
      </c>
      <c r="N850" t="s">
        <v>570</v>
      </c>
      <c r="O850">
        <v>1</v>
      </c>
      <c r="P850" t="s">
        <v>257</v>
      </c>
    </row>
    <row r="851" spans="1:16" hidden="1" x14ac:dyDescent="0.25">
      <c r="A851" s="16">
        <v>45627</v>
      </c>
      <c r="B851" t="s">
        <v>142</v>
      </c>
      <c r="C851">
        <v>71</v>
      </c>
      <c r="D851" t="s">
        <v>253</v>
      </c>
      <c r="E851" t="s">
        <v>248</v>
      </c>
      <c r="F851" t="s">
        <v>244</v>
      </c>
      <c r="G851" t="s">
        <v>82</v>
      </c>
      <c r="H851" t="s">
        <v>151</v>
      </c>
      <c r="J851" t="s">
        <v>191</v>
      </c>
      <c r="K851" t="s">
        <v>255</v>
      </c>
      <c r="L851">
        <v>270000</v>
      </c>
      <c r="M851" t="s">
        <v>151</v>
      </c>
      <c r="N851" t="s">
        <v>277</v>
      </c>
      <c r="O851">
        <v>1</v>
      </c>
      <c r="P851" t="s">
        <v>257</v>
      </c>
    </row>
    <row r="852" spans="1:16" hidden="1" x14ac:dyDescent="0.25">
      <c r="A852" s="16">
        <v>45627</v>
      </c>
      <c r="B852" t="s">
        <v>142</v>
      </c>
      <c r="C852">
        <v>71</v>
      </c>
      <c r="D852" t="s">
        <v>253</v>
      </c>
      <c r="E852" t="s">
        <v>248</v>
      </c>
      <c r="F852" t="s">
        <v>244</v>
      </c>
      <c r="G852" t="s">
        <v>82</v>
      </c>
      <c r="H852" t="s">
        <v>151</v>
      </c>
      <c r="J852" t="s">
        <v>192</v>
      </c>
      <c r="K852" t="s">
        <v>255</v>
      </c>
      <c r="L852">
        <v>250000</v>
      </c>
      <c r="M852" t="s">
        <v>151</v>
      </c>
      <c r="N852" t="s">
        <v>279</v>
      </c>
      <c r="O852">
        <v>1</v>
      </c>
      <c r="P852" t="s">
        <v>261</v>
      </c>
    </row>
    <row r="853" spans="1:16" hidden="1" x14ac:dyDescent="0.25">
      <c r="A853" s="16">
        <v>45627</v>
      </c>
      <c r="B853" t="s">
        <v>142</v>
      </c>
      <c r="C853">
        <v>71</v>
      </c>
      <c r="D853" t="s">
        <v>253</v>
      </c>
      <c r="E853" t="s">
        <v>248</v>
      </c>
      <c r="F853" t="s">
        <v>244</v>
      </c>
      <c r="G853" t="s">
        <v>82</v>
      </c>
      <c r="H853" t="s">
        <v>149</v>
      </c>
      <c r="J853" t="s">
        <v>190</v>
      </c>
      <c r="K853" t="s">
        <v>255</v>
      </c>
      <c r="L853">
        <v>42100000</v>
      </c>
      <c r="M853" t="s">
        <v>149</v>
      </c>
      <c r="N853" t="s">
        <v>571</v>
      </c>
      <c r="O853">
        <v>1</v>
      </c>
      <c r="P853" t="s">
        <v>257</v>
      </c>
    </row>
    <row r="854" spans="1:16" hidden="1" x14ac:dyDescent="0.25">
      <c r="A854" s="16">
        <v>45627</v>
      </c>
      <c r="B854" t="s">
        <v>142</v>
      </c>
      <c r="C854">
        <v>71</v>
      </c>
      <c r="D854" t="s">
        <v>253</v>
      </c>
      <c r="E854" t="s">
        <v>248</v>
      </c>
      <c r="F854" t="s">
        <v>244</v>
      </c>
      <c r="G854" t="s">
        <v>82</v>
      </c>
      <c r="H854" t="s">
        <v>149</v>
      </c>
      <c r="J854" t="s">
        <v>191</v>
      </c>
      <c r="K854" t="s">
        <v>255</v>
      </c>
      <c r="L854">
        <v>33700000</v>
      </c>
      <c r="M854" t="s">
        <v>149</v>
      </c>
      <c r="N854" t="s">
        <v>766</v>
      </c>
      <c r="O854">
        <v>1</v>
      </c>
      <c r="P854" t="s">
        <v>257</v>
      </c>
    </row>
    <row r="855" spans="1:16" hidden="1" x14ac:dyDescent="0.25">
      <c r="A855" s="16">
        <v>45627</v>
      </c>
      <c r="B855" t="s">
        <v>142</v>
      </c>
      <c r="C855">
        <v>71</v>
      </c>
      <c r="D855" t="s">
        <v>253</v>
      </c>
      <c r="E855" t="s">
        <v>248</v>
      </c>
      <c r="F855" t="s">
        <v>244</v>
      </c>
      <c r="G855" t="s">
        <v>82</v>
      </c>
      <c r="H855" t="s">
        <v>149</v>
      </c>
      <c r="J855" t="s">
        <v>192</v>
      </c>
      <c r="K855" t="s">
        <v>255</v>
      </c>
      <c r="L855">
        <v>41500000</v>
      </c>
      <c r="M855" t="s">
        <v>149</v>
      </c>
      <c r="N855" t="s">
        <v>945</v>
      </c>
      <c r="O855">
        <v>1</v>
      </c>
      <c r="P855" t="s">
        <v>261</v>
      </c>
    </row>
    <row r="856" spans="1:16" hidden="1" x14ac:dyDescent="0.25">
      <c r="A856" s="16">
        <v>45627</v>
      </c>
      <c r="B856" t="s">
        <v>35</v>
      </c>
      <c r="C856">
        <v>10</v>
      </c>
      <c r="D856" t="s">
        <v>238</v>
      </c>
      <c r="E856" t="s">
        <v>239</v>
      </c>
      <c r="F856" t="s">
        <v>240</v>
      </c>
      <c r="G856" t="s">
        <v>82</v>
      </c>
      <c r="J856" t="s">
        <v>192</v>
      </c>
      <c r="K856" t="s">
        <v>241</v>
      </c>
      <c r="L856">
        <v>83950000</v>
      </c>
      <c r="M856" t="s">
        <v>242</v>
      </c>
      <c r="N856" t="s">
        <v>946</v>
      </c>
    </row>
    <row r="857" spans="1:16" hidden="1" x14ac:dyDescent="0.25">
      <c r="A857" s="16">
        <v>45627</v>
      </c>
      <c r="B857" t="s">
        <v>35</v>
      </c>
      <c r="C857">
        <v>10</v>
      </c>
      <c r="D857" t="s">
        <v>238</v>
      </c>
      <c r="E857" t="s">
        <v>239</v>
      </c>
      <c r="F857" t="s">
        <v>244</v>
      </c>
      <c r="G857" t="s">
        <v>82</v>
      </c>
      <c r="J857" t="s">
        <v>192</v>
      </c>
      <c r="K857" t="s">
        <v>241</v>
      </c>
      <c r="L857">
        <v>12100000000</v>
      </c>
      <c r="M857" t="s">
        <v>245</v>
      </c>
      <c r="N857" t="s">
        <v>947</v>
      </c>
    </row>
    <row r="858" spans="1:16" hidden="1" x14ac:dyDescent="0.25">
      <c r="A858" s="16">
        <v>45627</v>
      </c>
      <c r="B858" t="s">
        <v>35</v>
      </c>
      <c r="C858">
        <v>11</v>
      </c>
      <c r="D858" t="s">
        <v>253</v>
      </c>
      <c r="E858" t="s">
        <v>248</v>
      </c>
      <c r="F858" t="s">
        <v>285</v>
      </c>
      <c r="G858" t="s">
        <v>63</v>
      </c>
      <c r="J858" t="s">
        <v>190</v>
      </c>
      <c r="K858" t="s">
        <v>255</v>
      </c>
      <c r="L858">
        <v>1600000</v>
      </c>
      <c r="M858" t="s">
        <v>242</v>
      </c>
      <c r="N858" t="s">
        <v>575</v>
      </c>
      <c r="O858">
        <v>1</v>
      </c>
      <c r="P858" t="s">
        <v>257</v>
      </c>
    </row>
    <row r="859" spans="1:16" hidden="1" x14ac:dyDescent="0.25">
      <c r="A859" s="16">
        <v>45627</v>
      </c>
      <c r="B859" t="s">
        <v>35</v>
      </c>
      <c r="C859">
        <v>11</v>
      </c>
      <c r="D859" t="s">
        <v>253</v>
      </c>
      <c r="E859" t="s">
        <v>248</v>
      </c>
      <c r="F859" t="s">
        <v>285</v>
      </c>
      <c r="G859" t="s">
        <v>63</v>
      </c>
      <c r="J859" t="s">
        <v>191</v>
      </c>
      <c r="K859" t="s">
        <v>255</v>
      </c>
      <c r="L859">
        <v>1630000</v>
      </c>
      <c r="M859" t="s">
        <v>242</v>
      </c>
      <c r="N859" t="s">
        <v>770</v>
      </c>
      <c r="O859">
        <v>1</v>
      </c>
      <c r="P859" t="s">
        <v>257</v>
      </c>
    </row>
    <row r="860" spans="1:16" hidden="1" x14ac:dyDescent="0.25">
      <c r="A860" s="16">
        <v>45627</v>
      </c>
      <c r="B860" t="s">
        <v>35</v>
      </c>
      <c r="C860">
        <v>11</v>
      </c>
      <c r="D860" t="s">
        <v>253</v>
      </c>
      <c r="E860" t="s">
        <v>248</v>
      </c>
      <c r="F860" t="s">
        <v>285</v>
      </c>
      <c r="G860" t="s">
        <v>63</v>
      </c>
      <c r="J860" t="s">
        <v>192</v>
      </c>
      <c r="K860" t="s">
        <v>255</v>
      </c>
      <c r="L860">
        <v>1670000</v>
      </c>
      <c r="M860" t="s">
        <v>242</v>
      </c>
      <c r="N860" t="s">
        <v>948</v>
      </c>
      <c r="O860">
        <v>1</v>
      </c>
      <c r="P860" t="s">
        <v>261</v>
      </c>
    </row>
    <row r="861" spans="1:16" hidden="1" x14ac:dyDescent="0.25">
      <c r="A861" s="16">
        <v>45627</v>
      </c>
      <c r="B861" t="s">
        <v>35</v>
      </c>
      <c r="C861">
        <v>11</v>
      </c>
      <c r="D861" t="s">
        <v>247</v>
      </c>
      <c r="E861" t="s">
        <v>248</v>
      </c>
      <c r="F861" t="s">
        <v>285</v>
      </c>
      <c r="G861" t="s">
        <v>63</v>
      </c>
      <c r="H861" t="s">
        <v>286</v>
      </c>
      <c r="J861" t="s">
        <v>192</v>
      </c>
      <c r="K861" t="s">
        <v>250</v>
      </c>
      <c r="L861">
        <v>2.2999999999999998</v>
      </c>
      <c r="M861" t="s">
        <v>251</v>
      </c>
      <c r="N861" t="s">
        <v>619</v>
      </c>
    </row>
    <row r="862" spans="1:16" hidden="1" x14ac:dyDescent="0.25">
      <c r="A862" s="16">
        <v>45627</v>
      </c>
      <c r="B862" t="s">
        <v>35</v>
      </c>
      <c r="C862">
        <v>12</v>
      </c>
      <c r="D862" t="s">
        <v>291</v>
      </c>
      <c r="E862" t="s">
        <v>292</v>
      </c>
      <c r="F862" t="s">
        <v>285</v>
      </c>
      <c r="G862" t="s">
        <v>63</v>
      </c>
      <c r="H862" t="s">
        <v>64</v>
      </c>
      <c r="J862" t="s">
        <v>192</v>
      </c>
      <c r="K862" t="s">
        <v>250</v>
      </c>
      <c r="L862">
        <v>1610000</v>
      </c>
      <c r="M862" t="s">
        <v>242</v>
      </c>
      <c r="N862" t="s">
        <v>949</v>
      </c>
    </row>
    <row r="863" spans="1:16" hidden="1" x14ac:dyDescent="0.25">
      <c r="A863" s="16">
        <v>45627</v>
      </c>
      <c r="B863" t="s">
        <v>35</v>
      </c>
      <c r="C863">
        <v>12</v>
      </c>
      <c r="D863" t="s">
        <v>291</v>
      </c>
      <c r="E863" t="s">
        <v>292</v>
      </c>
      <c r="F863" t="s">
        <v>285</v>
      </c>
      <c r="G863" t="s">
        <v>63</v>
      </c>
      <c r="H863" t="s">
        <v>65</v>
      </c>
      <c r="J863" t="s">
        <v>192</v>
      </c>
      <c r="K863" t="s">
        <v>250</v>
      </c>
      <c r="L863">
        <v>61000</v>
      </c>
      <c r="M863" t="s">
        <v>242</v>
      </c>
      <c r="N863" t="s">
        <v>950</v>
      </c>
    </row>
    <row r="864" spans="1:16" hidden="1" x14ac:dyDescent="0.25">
      <c r="A864" s="16">
        <v>45627</v>
      </c>
      <c r="B864" t="s">
        <v>35</v>
      </c>
      <c r="C864">
        <v>13</v>
      </c>
      <c r="D864" t="s">
        <v>291</v>
      </c>
      <c r="E864" t="s">
        <v>292</v>
      </c>
      <c r="F864" t="s">
        <v>285</v>
      </c>
      <c r="G864" t="s">
        <v>63</v>
      </c>
      <c r="H864" t="s">
        <v>67</v>
      </c>
      <c r="J864" t="s">
        <v>192</v>
      </c>
      <c r="K864" t="s">
        <v>250</v>
      </c>
      <c r="L864">
        <v>580000</v>
      </c>
      <c r="M864" t="s">
        <v>242</v>
      </c>
      <c r="N864" t="s">
        <v>951</v>
      </c>
    </row>
    <row r="865" spans="1:16" hidden="1" x14ac:dyDescent="0.25">
      <c r="A865" s="16">
        <v>45627</v>
      </c>
      <c r="B865" t="s">
        <v>35</v>
      </c>
      <c r="C865">
        <v>13</v>
      </c>
      <c r="D865" t="s">
        <v>291</v>
      </c>
      <c r="E865" t="s">
        <v>292</v>
      </c>
      <c r="F865" t="s">
        <v>285</v>
      </c>
      <c r="G865" t="s">
        <v>63</v>
      </c>
      <c r="H865" t="s">
        <v>68</v>
      </c>
      <c r="J865" t="s">
        <v>192</v>
      </c>
      <c r="K865" t="s">
        <v>250</v>
      </c>
      <c r="L865">
        <v>1040000</v>
      </c>
      <c r="M865" t="s">
        <v>242</v>
      </c>
      <c r="N865" t="s">
        <v>952</v>
      </c>
    </row>
    <row r="866" spans="1:16" x14ac:dyDescent="0.25">
      <c r="A866" s="16">
        <v>45627</v>
      </c>
      <c r="B866" t="s">
        <v>35</v>
      </c>
      <c r="C866">
        <v>14</v>
      </c>
      <c r="D866" t="s">
        <v>291</v>
      </c>
      <c r="E866" t="s">
        <v>292</v>
      </c>
      <c r="F866" t="s">
        <v>285</v>
      </c>
      <c r="G866" t="s">
        <v>63</v>
      </c>
      <c r="H866" t="s">
        <v>77</v>
      </c>
      <c r="J866" t="s">
        <v>192</v>
      </c>
      <c r="K866" t="s">
        <v>250</v>
      </c>
      <c r="L866">
        <v>6000</v>
      </c>
      <c r="M866" t="s">
        <v>242</v>
      </c>
      <c r="N866" t="s">
        <v>304</v>
      </c>
    </row>
    <row r="867" spans="1:16" x14ac:dyDescent="0.25">
      <c r="A867" s="16">
        <v>45627</v>
      </c>
      <c r="B867" t="s">
        <v>35</v>
      </c>
      <c r="C867">
        <v>14</v>
      </c>
      <c r="D867" t="s">
        <v>291</v>
      </c>
      <c r="E867" t="s">
        <v>292</v>
      </c>
      <c r="F867" t="s">
        <v>285</v>
      </c>
      <c r="G867" t="s">
        <v>63</v>
      </c>
      <c r="H867" t="s">
        <v>70</v>
      </c>
      <c r="J867" t="s">
        <v>192</v>
      </c>
      <c r="K867" t="s">
        <v>250</v>
      </c>
      <c r="L867">
        <v>626000</v>
      </c>
      <c r="M867" t="s">
        <v>242</v>
      </c>
      <c r="N867" t="s">
        <v>953</v>
      </c>
    </row>
    <row r="868" spans="1:16" x14ac:dyDescent="0.25">
      <c r="A868" s="16">
        <v>45627</v>
      </c>
      <c r="B868" t="s">
        <v>35</v>
      </c>
      <c r="C868">
        <v>14</v>
      </c>
      <c r="D868" t="s">
        <v>291</v>
      </c>
      <c r="E868" t="s">
        <v>292</v>
      </c>
      <c r="F868" t="s">
        <v>285</v>
      </c>
      <c r="G868" t="s">
        <v>63</v>
      </c>
      <c r="H868" t="s">
        <v>71</v>
      </c>
      <c r="J868" t="s">
        <v>192</v>
      </c>
      <c r="K868" t="s">
        <v>250</v>
      </c>
      <c r="L868">
        <v>438000</v>
      </c>
      <c r="M868" t="s">
        <v>242</v>
      </c>
      <c r="N868" t="s">
        <v>954</v>
      </c>
    </row>
    <row r="869" spans="1:16" x14ac:dyDescent="0.25">
      <c r="A869" s="16">
        <v>45627</v>
      </c>
      <c r="B869" t="s">
        <v>35</v>
      </c>
      <c r="C869">
        <v>14</v>
      </c>
      <c r="D869" t="s">
        <v>291</v>
      </c>
      <c r="E869" t="s">
        <v>292</v>
      </c>
      <c r="F869" t="s">
        <v>285</v>
      </c>
      <c r="G869" t="s">
        <v>63</v>
      </c>
      <c r="H869" t="s">
        <v>72</v>
      </c>
      <c r="J869" t="s">
        <v>192</v>
      </c>
      <c r="K869" t="s">
        <v>250</v>
      </c>
      <c r="L869">
        <v>289000</v>
      </c>
      <c r="M869" t="s">
        <v>242</v>
      </c>
      <c r="N869" t="s">
        <v>955</v>
      </c>
    </row>
    <row r="870" spans="1:16" x14ac:dyDescent="0.25">
      <c r="A870" s="63">
        <v>45627</v>
      </c>
      <c r="B870" s="65" t="s">
        <v>35</v>
      </c>
      <c r="C870" s="65">
        <v>14</v>
      </c>
      <c r="D870" s="65" t="s">
        <v>291</v>
      </c>
      <c r="E870" s="65" t="s">
        <v>292</v>
      </c>
      <c r="F870" s="65" t="s">
        <v>285</v>
      </c>
      <c r="G870" s="65" t="s">
        <v>63</v>
      </c>
      <c r="H870" s="65" t="s">
        <v>73</v>
      </c>
      <c r="I870" s="65"/>
      <c r="J870" s="65" t="s">
        <v>192</v>
      </c>
      <c r="K870" s="65" t="s">
        <v>250</v>
      </c>
      <c r="L870" s="65">
        <v>177000</v>
      </c>
      <c r="M870" s="65" t="s">
        <v>242</v>
      </c>
      <c r="N870" s="65" t="s">
        <v>388</v>
      </c>
    </row>
    <row r="871" spans="1:16" x14ac:dyDescent="0.25">
      <c r="A871" s="63">
        <v>45627</v>
      </c>
      <c r="B871" s="65" t="s">
        <v>35</v>
      </c>
      <c r="C871" s="65">
        <v>14</v>
      </c>
      <c r="D871" s="65" t="s">
        <v>291</v>
      </c>
      <c r="E871" s="65" t="s">
        <v>292</v>
      </c>
      <c r="F871" s="65" t="s">
        <v>285</v>
      </c>
      <c r="G871" s="65" t="s">
        <v>63</v>
      </c>
      <c r="H871" s="65" t="s">
        <v>74</v>
      </c>
      <c r="I871" s="65"/>
      <c r="J871" s="65" t="s">
        <v>192</v>
      </c>
      <c r="K871" s="65" t="s">
        <v>250</v>
      </c>
      <c r="L871" s="65">
        <v>78000</v>
      </c>
      <c r="M871" s="65" t="s">
        <v>242</v>
      </c>
      <c r="N871" s="65" t="s">
        <v>956</v>
      </c>
    </row>
    <row r="872" spans="1:16" x14ac:dyDescent="0.25">
      <c r="A872" s="63">
        <v>45627</v>
      </c>
      <c r="B872" s="65" t="s">
        <v>35</v>
      </c>
      <c r="C872" s="65">
        <v>14</v>
      </c>
      <c r="D872" s="65" t="s">
        <v>291</v>
      </c>
      <c r="E872" s="65" t="s">
        <v>292</v>
      </c>
      <c r="F872" s="65" t="s">
        <v>285</v>
      </c>
      <c r="G872" s="65" t="s">
        <v>63</v>
      </c>
      <c r="H872" s="65" t="s">
        <v>75</v>
      </c>
      <c r="I872" s="65"/>
      <c r="J872" s="65" t="s">
        <v>192</v>
      </c>
      <c r="K872" s="65" t="s">
        <v>250</v>
      </c>
      <c r="L872" s="65">
        <v>20000</v>
      </c>
      <c r="M872" s="65" t="s">
        <v>242</v>
      </c>
      <c r="N872" s="65" t="s">
        <v>957</v>
      </c>
    </row>
    <row r="873" spans="1:16" x14ac:dyDescent="0.25">
      <c r="A873" s="63">
        <v>45627</v>
      </c>
      <c r="B873" s="65" t="s">
        <v>35</v>
      </c>
      <c r="C873" s="65">
        <v>14</v>
      </c>
      <c r="D873" s="65" t="s">
        <v>291</v>
      </c>
      <c r="E873" s="65" t="s">
        <v>292</v>
      </c>
      <c r="F873" s="65" t="s">
        <v>285</v>
      </c>
      <c r="G873" s="65" t="s">
        <v>63</v>
      </c>
      <c r="H873" s="65" t="s">
        <v>76</v>
      </c>
      <c r="I873" s="65"/>
      <c r="J873" s="65" t="s">
        <v>192</v>
      </c>
      <c r="K873" s="65" t="s">
        <v>250</v>
      </c>
      <c r="L873" s="65">
        <v>4000</v>
      </c>
      <c r="M873" s="65" t="s">
        <v>242</v>
      </c>
      <c r="N873" s="65" t="s">
        <v>303</v>
      </c>
    </row>
    <row r="874" spans="1:16" hidden="1" x14ac:dyDescent="0.25">
      <c r="A874" s="16">
        <v>45627</v>
      </c>
      <c r="B874" t="s">
        <v>35</v>
      </c>
      <c r="C874">
        <v>15</v>
      </c>
      <c r="D874" t="s">
        <v>291</v>
      </c>
      <c r="E874" t="s">
        <v>292</v>
      </c>
      <c r="F874" t="s">
        <v>285</v>
      </c>
      <c r="G874" t="s">
        <v>63</v>
      </c>
      <c r="H874" t="s">
        <v>79</v>
      </c>
      <c r="J874" t="s">
        <v>192</v>
      </c>
      <c r="K874" t="s">
        <v>250</v>
      </c>
      <c r="L874">
        <v>1640000</v>
      </c>
      <c r="M874" t="s">
        <v>242</v>
      </c>
      <c r="N874" t="s">
        <v>958</v>
      </c>
    </row>
    <row r="875" spans="1:16" hidden="1" x14ac:dyDescent="0.25">
      <c r="A875" s="16">
        <v>45627</v>
      </c>
      <c r="B875" t="s">
        <v>35</v>
      </c>
      <c r="C875">
        <v>15</v>
      </c>
      <c r="D875" t="s">
        <v>291</v>
      </c>
      <c r="E875" t="s">
        <v>292</v>
      </c>
      <c r="F875" t="s">
        <v>285</v>
      </c>
      <c r="G875" t="s">
        <v>63</v>
      </c>
      <c r="H875" t="s">
        <v>80</v>
      </c>
      <c r="J875" t="s">
        <v>192</v>
      </c>
      <c r="K875" t="s">
        <v>250</v>
      </c>
      <c r="L875">
        <v>30400</v>
      </c>
      <c r="M875" t="s">
        <v>242</v>
      </c>
      <c r="N875" t="s">
        <v>959</v>
      </c>
    </row>
    <row r="876" spans="1:16" hidden="1" x14ac:dyDescent="0.25">
      <c r="A876" s="16">
        <v>45627</v>
      </c>
      <c r="B876" t="s">
        <v>35</v>
      </c>
      <c r="C876">
        <v>16</v>
      </c>
      <c r="D876" t="s">
        <v>253</v>
      </c>
      <c r="E876" t="s">
        <v>248</v>
      </c>
      <c r="F876" t="s">
        <v>240</v>
      </c>
      <c r="G876" t="s">
        <v>82</v>
      </c>
      <c r="J876" t="s">
        <v>190</v>
      </c>
      <c r="K876" t="s">
        <v>255</v>
      </c>
      <c r="L876">
        <v>8860000</v>
      </c>
      <c r="M876" t="s">
        <v>242</v>
      </c>
      <c r="N876" t="s">
        <v>589</v>
      </c>
      <c r="O876">
        <v>1</v>
      </c>
      <c r="P876" t="s">
        <v>257</v>
      </c>
    </row>
    <row r="877" spans="1:16" hidden="1" x14ac:dyDescent="0.25">
      <c r="A877" s="16">
        <v>45627</v>
      </c>
      <c r="B877" t="s">
        <v>35</v>
      </c>
      <c r="C877">
        <v>16</v>
      </c>
      <c r="D877" t="s">
        <v>253</v>
      </c>
      <c r="E877" t="s">
        <v>248</v>
      </c>
      <c r="F877" t="s">
        <v>240</v>
      </c>
      <c r="G877" t="s">
        <v>82</v>
      </c>
      <c r="J877" t="s">
        <v>191</v>
      </c>
      <c r="K877" t="s">
        <v>255</v>
      </c>
      <c r="L877">
        <v>8990000</v>
      </c>
      <c r="M877" t="s">
        <v>242</v>
      </c>
      <c r="N877" t="s">
        <v>780</v>
      </c>
      <c r="O877">
        <v>1</v>
      </c>
      <c r="P877" t="s">
        <v>257</v>
      </c>
    </row>
    <row r="878" spans="1:16" hidden="1" x14ac:dyDescent="0.25">
      <c r="A878" s="16">
        <v>45627</v>
      </c>
      <c r="B878" t="s">
        <v>35</v>
      </c>
      <c r="C878">
        <v>16</v>
      </c>
      <c r="D878" t="s">
        <v>253</v>
      </c>
      <c r="E878" t="s">
        <v>248</v>
      </c>
      <c r="F878" t="s">
        <v>240</v>
      </c>
      <c r="G878" t="s">
        <v>82</v>
      </c>
      <c r="J878" t="s">
        <v>192</v>
      </c>
      <c r="K878" t="s">
        <v>255</v>
      </c>
      <c r="L878">
        <v>10000000</v>
      </c>
      <c r="M878" t="s">
        <v>242</v>
      </c>
      <c r="N878" t="s">
        <v>960</v>
      </c>
      <c r="O878">
        <v>1</v>
      </c>
      <c r="P878" t="s">
        <v>261</v>
      </c>
    </row>
    <row r="879" spans="1:16" hidden="1" x14ac:dyDescent="0.25">
      <c r="A879" s="16">
        <v>45627</v>
      </c>
      <c r="B879" t="s">
        <v>35</v>
      </c>
      <c r="C879">
        <v>16</v>
      </c>
      <c r="D879" t="s">
        <v>247</v>
      </c>
      <c r="E879" t="s">
        <v>248</v>
      </c>
      <c r="F879" t="s">
        <v>240</v>
      </c>
      <c r="G879" t="s">
        <v>82</v>
      </c>
      <c r="H879" t="s">
        <v>286</v>
      </c>
      <c r="J879" t="s">
        <v>192</v>
      </c>
      <c r="K879" t="s">
        <v>250</v>
      </c>
      <c r="L879">
        <v>11.2</v>
      </c>
      <c r="M879" t="s">
        <v>251</v>
      </c>
      <c r="N879" t="s">
        <v>961</v>
      </c>
    </row>
    <row r="880" spans="1:16" hidden="1" x14ac:dyDescent="0.25">
      <c r="A880" s="16">
        <v>45627</v>
      </c>
      <c r="B880" t="s">
        <v>35</v>
      </c>
      <c r="C880">
        <v>17</v>
      </c>
      <c r="D880" t="s">
        <v>291</v>
      </c>
      <c r="E880" t="s">
        <v>292</v>
      </c>
      <c r="F880" t="s">
        <v>240</v>
      </c>
      <c r="G880" t="s">
        <v>82</v>
      </c>
      <c r="H880" t="s">
        <v>83</v>
      </c>
      <c r="J880" t="s">
        <v>192</v>
      </c>
      <c r="K880" t="s">
        <v>250</v>
      </c>
      <c r="L880">
        <v>8570000</v>
      </c>
      <c r="M880" t="s">
        <v>242</v>
      </c>
      <c r="N880" t="s">
        <v>962</v>
      </c>
    </row>
    <row r="881" spans="1:16" hidden="1" x14ac:dyDescent="0.25">
      <c r="A881" s="16">
        <v>45627</v>
      </c>
      <c r="B881" t="s">
        <v>35</v>
      </c>
      <c r="C881">
        <v>17</v>
      </c>
      <c r="D881" t="s">
        <v>291</v>
      </c>
      <c r="E881" t="s">
        <v>292</v>
      </c>
      <c r="F881" t="s">
        <v>240</v>
      </c>
      <c r="G881" t="s">
        <v>82</v>
      </c>
      <c r="H881" t="s">
        <v>84</v>
      </c>
      <c r="J881" t="s">
        <v>192</v>
      </c>
      <c r="K881" t="s">
        <v>250</v>
      </c>
      <c r="L881">
        <v>1430000</v>
      </c>
      <c r="M881" t="s">
        <v>242</v>
      </c>
      <c r="N881" t="s">
        <v>963</v>
      </c>
    </row>
    <row r="882" spans="1:16" hidden="1" x14ac:dyDescent="0.25">
      <c r="A882" s="16">
        <v>45627</v>
      </c>
      <c r="B882" t="s">
        <v>35</v>
      </c>
      <c r="C882">
        <v>18</v>
      </c>
      <c r="D882" t="s">
        <v>291</v>
      </c>
      <c r="E882" t="s">
        <v>292</v>
      </c>
      <c r="F882" t="s">
        <v>240</v>
      </c>
      <c r="G882" t="s">
        <v>82</v>
      </c>
      <c r="H882" t="s">
        <v>83</v>
      </c>
      <c r="I882" t="s">
        <v>313</v>
      </c>
      <c r="J882" t="s">
        <v>192</v>
      </c>
      <c r="K882" t="s">
        <v>250</v>
      </c>
      <c r="L882">
        <v>3.57</v>
      </c>
      <c r="M882" t="s">
        <v>251</v>
      </c>
      <c r="N882" t="s">
        <v>964</v>
      </c>
    </row>
    <row r="883" spans="1:16" hidden="1" x14ac:dyDescent="0.25">
      <c r="A883" s="16">
        <v>45627</v>
      </c>
      <c r="B883" t="s">
        <v>35</v>
      </c>
      <c r="C883">
        <v>18</v>
      </c>
      <c r="D883" t="s">
        <v>291</v>
      </c>
      <c r="E883" t="s">
        <v>292</v>
      </c>
      <c r="F883" t="s">
        <v>240</v>
      </c>
      <c r="G883" t="s">
        <v>82</v>
      </c>
      <c r="H883" t="s">
        <v>83</v>
      </c>
      <c r="I883" t="s">
        <v>315</v>
      </c>
      <c r="J883" t="s">
        <v>192</v>
      </c>
      <c r="K883" t="s">
        <v>250</v>
      </c>
      <c r="L883">
        <v>84.96</v>
      </c>
      <c r="M883" t="s">
        <v>251</v>
      </c>
      <c r="N883" t="s">
        <v>965</v>
      </c>
    </row>
    <row r="884" spans="1:16" hidden="1" x14ac:dyDescent="0.25">
      <c r="A884" s="16">
        <v>45627</v>
      </c>
      <c r="B884" t="s">
        <v>35</v>
      </c>
      <c r="C884">
        <v>18</v>
      </c>
      <c r="D884" t="s">
        <v>291</v>
      </c>
      <c r="E884" t="s">
        <v>292</v>
      </c>
      <c r="F884" t="s">
        <v>240</v>
      </c>
      <c r="G884" t="s">
        <v>82</v>
      </c>
      <c r="H884" t="s">
        <v>83</v>
      </c>
      <c r="I884" t="s">
        <v>317</v>
      </c>
      <c r="J884" t="s">
        <v>192</v>
      </c>
      <c r="K884" t="s">
        <v>250</v>
      </c>
      <c r="L884">
        <v>11.47</v>
      </c>
      <c r="M884" t="s">
        <v>251</v>
      </c>
      <c r="N884" t="s">
        <v>966</v>
      </c>
    </row>
    <row r="885" spans="1:16" hidden="1" x14ac:dyDescent="0.25">
      <c r="A885" s="16">
        <v>45627</v>
      </c>
      <c r="B885" t="s">
        <v>35</v>
      </c>
      <c r="C885">
        <v>18</v>
      </c>
      <c r="D885" t="s">
        <v>291</v>
      </c>
      <c r="E885" t="s">
        <v>292</v>
      </c>
      <c r="F885" t="s">
        <v>240</v>
      </c>
      <c r="G885" t="s">
        <v>82</v>
      </c>
      <c r="H885" t="s">
        <v>84</v>
      </c>
      <c r="I885" t="s">
        <v>319</v>
      </c>
      <c r="J885" t="s">
        <v>192</v>
      </c>
      <c r="K885" t="s">
        <v>250</v>
      </c>
      <c r="L885">
        <v>99.5</v>
      </c>
      <c r="M885" t="s">
        <v>251</v>
      </c>
      <c r="N885" t="s">
        <v>320</v>
      </c>
    </row>
    <row r="886" spans="1:16" hidden="1" x14ac:dyDescent="0.25">
      <c r="A886" s="16">
        <v>45627</v>
      </c>
      <c r="B886" t="s">
        <v>35</v>
      </c>
      <c r="C886">
        <v>18</v>
      </c>
      <c r="D886" t="s">
        <v>291</v>
      </c>
      <c r="E886" t="s">
        <v>292</v>
      </c>
      <c r="F886" t="s">
        <v>240</v>
      </c>
      <c r="G886" t="s">
        <v>82</v>
      </c>
      <c r="H886" t="s">
        <v>84</v>
      </c>
      <c r="I886" t="s">
        <v>321</v>
      </c>
      <c r="J886" t="s">
        <v>192</v>
      </c>
      <c r="K886" t="s">
        <v>250</v>
      </c>
      <c r="L886">
        <v>0.5</v>
      </c>
      <c r="M886" t="s">
        <v>251</v>
      </c>
      <c r="N886" t="s">
        <v>322</v>
      </c>
    </row>
    <row r="887" spans="1:16" hidden="1" x14ac:dyDescent="0.25">
      <c r="A887" s="16">
        <v>45627</v>
      </c>
      <c r="B887" t="s">
        <v>35</v>
      </c>
      <c r="C887">
        <v>19</v>
      </c>
      <c r="D887" t="s">
        <v>253</v>
      </c>
      <c r="E887" t="s">
        <v>248</v>
      </c>
      <c r="F887" t="s">
        <v>244</v>
      </c>
      <c r="G887" t="s">
        <v>82</v>
      </c>
      <c r="J887" t="s">
        <v>190</v>
      </c>
      <c r="K887" t="s">
        <v>255</v>
      </c>
      <c r="L887">
        <v>1220000000</v>
      </c>
      <c r="M887" t="s">
        <v>245</v>
      </c>
      <c r="N887" t="s">
        <v>596</v>
      </c>
      <c r="O887">
        <v>1</v>
      </c>
      <c r="P887" t="s">
        <v>257</v>
      </c>
    </row>
    <row r="888" spans="1:16" hidden="1" x14ac:dyDescent="0.25">
      <c r="A888" s="16">
        <v>45627</v>
      </c>
      <c r="B888" t="s">
        <v>35</v>
      </c>
      <c r="C888">
        <v>19</v>
      </c>
      <c r="D888" t="s">
        <v>253</v>
      </c>
      <c r="E888" t="s">
        <v>248</v>
      </c>
      <c r="F888" t="s">
        <v>244</v>
      </c>
      <c r="G888" t="s">
        <v>82</v>
      </c>
      <c r="J888" t="s">
        <v>191</v>
      </c>
      <c r="K888" t="s">
        <v>255</v>
      </c>
      <c r="L888">
        <v>1180000000</v>
      </c>
      <c r="M888" t="s">
        <v>245</v>
      </c>
      <c r="N888" t="s">
        <v>785</v>
      </c>
      <c r="O888">
        <v>1</v>
      </c>
      <c r="P888" t="s">
        <v>257</v>
      </c>
    </row>
    <row r="889" spans="1:16" hidden="1" x14ac:dyDescent="0.25">
      <c r="A889" s="16">
        <v>45627</v>
      </c>
      <c r="B889" t="s">
        <v>35</v>
      </c>
      <c r="C889">
        <v>19</v>
      </c>
      <c r="D889" t="s">
        <v>253</v>
      </c>
      <c r="E889" t="s">
        <v>248</v>
      </c>
      <c r="F889" t="s">
        <v>244</v>
      </c>
      <c r="G889" t="s">
        <v>82</v>
      </c>
      <c r="J889" t="s">
        <v>192</v>
      </c>
      <c r="K889" t="s">
        <v>255</v>
      </c>
      <c r="L889">
        <v>1330000000</v>
      </c>
      <c r="M889" t="s">
        <v>245</v>
      </c>
      <c r="N889" t="s">
        <v>967</v>
      </c>
      <c r="O889">
        <v>1</v>
      </c>
      <c r="P889" t="s">
        <v>261</v>
      </c>
    </row>
    <row r="890" spans="1:16" hidden="1" x14ac:dyDescent="0.25">
      <c r="A890" s="16">
        <v>45627</v>
      </c>
      <c r="B890" t="s">
        <v>35</v>
      </c>
      <c r="C890">
        <v>19</v>
      </c>
      <c r="D890" t="s">
        <v>247</v>
      </c>
      <c r="E890" t="s">
        <v>248</v>
      </c>
      <c r="F890" t="s">
        <v>244</v>
      </c>
      <c r="G890" t="s">
        <v>82</v>
      </c>
      <c r="H890" t="s">
        <v>286</v>
      </c>
      <c r="J890" t="s">
        <v>192</v>
      </c>
      <c r="K890" t="s">
        <v>250</v>
      </c>
      <c r="L890">
        <v>13.6</v>
      </c>
      <c r="M890" t="s">
        <v>251</v>
      </c>
      <c r="N890" t="s">
        <v>968</v>
      </c>
    </row>
    <row r="891" spans="1:16" hidden="1" x14ac:dyDescent="0.25">
      <c r="A891" s="16">
        <v>45627</v>
      </c>
      <c r="B891" t="s">
        <v>35</v>
      </c>
      <c r="C891">
        <v>20</v>
      </c>
      <c r="D891" t="s">
        <v>291</v>
      </c>
      <c r="E891" t="s">
        <v>292</v>
      </c>
      <c r="F891" t="s">
        <v>244</v>
      </c>
      <c r="G891" t="s">
        <v>82</v>
      </c>
      <c r="H891" t="s">
        <v>83</v>
      </c>
      <c r="J891" t="s">
        <v>192</v>
      </c>
      <c r="K891" t="s">
        <v>250</v>
      </c>
      <c r="L891">
        <v>1080000000</v>
      </c>
      <c r="M891" t="s">
        <v>245</v>
      </c>
      <c r="N891" t="s">
        <v>969</v>
      </c>
    </row>
    <row r="892" spans="1:16" hidden="1" x14ac:dyDescent="0.25">
      <c r="A892" s="16">
        <v>45627</v>
      </c>
      <c r="B892" t="s">
        <v>35</v>
      </c>
      <c r="C892">
        <v>20</v>
      </c>
      <c r="D892" t="s">
        <v>291</v>
      </c>
      <c r="E892" t="s">
        <v>292</v>
      </c>
      <c r="F892" t="s">
        <v>244</v>
      </c>
      <c r="G892" t="s">
        <v>82</v>
      </c>
      <c r="H892" t="s">
        <v>84</v>
      </c>
      <c r="J892" t="s">
        <v>192</v>
      </c>
      <c r="K892" t="s">
        <v>250</v>
      </c>
      <c r="L892">
        <v>253700000</v>
      </c>
      <c r="M892" t="s">
        <v>245</v>
      </c>
      <c r="N892" t="s">
        <v>970</v>
      </c>
    </row>
    <row r="893" spans="1:16" hidden="1" x14ac:dyDescent="0.25">
      <c r="A893" s="16">
        <v>45627</v>
      </c>
      <c r="B893" t="s">
        <v>35</v>
      </c>
      <c r="C893">
        <v>21</v>
      </c>
      <c r="D893" t="s">
        <v>291</v>
      </c>
      <c r="E893" t="s">
        <v>292</v>
      </c>
      <c r="F893" t="s">
        <v>244</v>
      </c>
      <c r="G893" t="s">
        <v>82</v>
      </c>
      <c r="H893" t="s">
        <v>83</v>
      </c>
      <c r="I893" t="s">
        <v>313</v>
      </c>
      <c r="J893" t="s">
        <v>192</v>
      </c>
      <c r="K893" t="s">
        <v>250</v>
      </c>
      <c r="L893">
        <v>5.72</v>
      </c>
      <c r="M893" t="s">
        <v>251</v>
      </c>
      <c r="N893" t="s">
        <v>971</v>
      </c>
    </row>
    <row r="894" spans="1:16" hidden="1" x14ac:dyDescent="0.25">
      <c r="A894" s="16">
        <v>45627</v>
      </c>
      <c r="B894" t="s">
        <v>35</v>
      </c>
      <c r="C894">
        <v>21</v>
      </c>
      <c r="D894" t="s">
        <v>291</v>
      </c>
      <c r="E894" t="s">
        <v>292</v>
      </c>
      <c r="F894" t="s">
        <v>244</v>
      </c>
      <c r="G894" t="s">
        <v>82</v>
      </c>
      <c r="H894" t="s">
        <v>83</v>
      </c>
      <c r="I894" t="s">
        <v>315</v>
      </c>
      <c r="J894" t="s">
        <v>192</v>
      </c>
      <c r="K894" t="s">
        <v>250</v>
      </c>
      <c r="L894">
        <v>72.150000000000006</v>
      </c>
      <c r="M894" t="s">
        <v>251</v>
      </c>
      <c r="N894" t="s">
        <v>972</v>
      </c>
    </row>
    <row r="895" spans="1:16" hidden="1" x14ac:dyDescent="0.25">
      <c r="A895" s="16">
        <v>45627</v>
      </c>
      <c r="B895" t="s">
        <v>35</v>
      </c>
      <c r="C895">
        <v>21</v>
      </c>
      <c r="D895" t="s">
        <v>291</v>
      </c>
      <c r="E895" t="s">
        <v>292</v>
      </c>
      <c r="F895" t="s">
        <v>244</v>
      </c>
      <c r="G895" t="s">
        <v>82</v>
      </c>
      <c r="H895" t="s">
        <v>83</v>
      </c>
      <c r="I895" t="s">
        <v>317</v>
      </c>
      <c r="J895" t="s">
        <v>192</v>
      </c>
      <c r="K895" t="s">
        <v>250</v>
      </c>
      <c r="L895">
        <v>22.13</v>
      </c>
      <c r="M895" t="s">
        <v>251</v>
      </c>
      <c r="N895" t="s">
        <v>973</v>
      </c>
    </row>
    <row r="896" spans="1:16" hidden="1" x14ac:dyDescent="0.25">
      <c r="A896" s="16">
        <v>45627</v>
      </c>
      <c r="B896" t="s">
        <v>35</v>
      </c>
      <c r="C896">
        <v>21</v>
      </c>
      <c r="D896" t="s">
        <v>291</v>
      </c>
      <c r="E896" t="s">
        <v>292</v>
      </c>
      <c r="F896" t="s">
        <v>244</v>
      </c>
      <c r="G896" t="s">
        <v>82</v>
      </c>
      <c r="H896" t="s">
        <v>84</v>
      </c>
      <c r="I896" t="s">
        <v>319</v>
      </c>
      <c r="J896" t="s">
        <v>192</v>
      </c>
      <c r="K896" t="s">
        <v>250</v>
      </c>
      <c r="L896">
        <v>99.93</v>
      </c>
      <c r="M896" t="s">
        <v>251</v>
      </c>
      <c r="N896" t="s">
        <v>974</v>
      </c>
    </row>
    <row r="897" spans="1:16" hidden="1" x14ac:dyDescent="0.25">
      <c r="A897" s="16">
        <v>45627</v>
      </c>
      <c r="B897" t="s">
        <v>35</v>
      </c>
      <c r="C897">
        <v>21</v>
      </c>
      <c r="D897" t="s">
        <v>291</v>
      </c>
      <c r="E897" t="s">
        <v>292</v>
      </c>
      <c r="F897" t="s">
        <v>244</v>
      </c>
      <c r="G897" t="s">
        <v>82</v>
      </c>
      <c r="H897" t="s">
        <v>84</v>
      </c>
      <c r="I897" t="s">
        <v>321</v>
      </c>
      <c r="J897" t="s">
        <v>192</v>
      </c>
      <c r="K897" t="s">
        <v>250</v>
      </c>
      <c r="L897">
        <v>7.0000000000000007E-2</v>
      </c>
      <c r="M897" t="s">
        <v>251</v>
      </c>
      <c r="N897" t="s">
        <v>975</v>
      </c>
    </row>
    <row r="898" spans="1:16" hidden="1" x14ac:dyDescent="0.25">
      <c r="A898" s="16">
        <v>45627</v>
      </c>
      <c r="B898" t="s">
        <v>35</v>
      </c>
      <c r="C898">
        <v>22</v>
      </c>
      <c r="D898" t="s">
        <v>253</v>
      </c>
      <c r="E898" t="s">
        <v>248</v>
      </c>
      <c r="F898" t="s">
        <v>334</v>
      </c>
      <c r="G898" t="s">
        <v>82</v>
      </c>
      <c r="J898" t="s">
        <v>190</v>
      </c>
      <c r="K898" t="s">
        <v>255</v>
      </c>
      <c r="L898">
        <v>138</v>
      </c>
      <c r="M898" t="s">
        <v>245</v>
      </c>
      <c r="N898" t="s">
        <v>604</v>
      </c>
      <c r="O898">
        <v>1</v>
      </c>
      <c r="P898" t="s">
        <v>257</v>
      </c>
    </row>
    <row r="899" spans="1:16" hidden="1" x14ac:dyDescent="0.25">
      <c r="A899" s="16">
        <v>45627</v>
      </c>
      <c r="B899" t="s">
        <v>35</v>
      </c>
      <c r="C899">
        <v>22</v>
      </c>
      <c r="D899" t="s">
        <v>253</v>
      </c>
      <c r="E899" t="s">
        <v>248</v>
      </c>
      <c r="F899" t="s">
        <v>334</v>
      </c>
      <c r="G899" t="s">
        <v>82</v>
      </c>
      <c r="J899" t="s">
        <v>191</v>
      </c>
      <c r="K899" t="s">
        <v>255</v>
      </c>
      <c r="L899">
        <v>131</v>
      </c>
      <c r="M899" t="s">
        <v>245</v>
      </c>
      <c r="N899" t="s">
        <v>791</v>
      </c>
      <c r="O899">
        <v>1</v>
      </c>
      <c r="P899" t="s">
        <v>257</v>
      </c>
    </row>
    <row r="900" spans="1:16" hidden="1" x14ac:dyDescent="0.25">
      <c r="A900" s="16">
        <v>45627</v>
      </c>
      <c r="B900" t="s">
        <v>35</v>
      </c>
      <c r="C900">
        <v>22</v>
      </c>
      <c r="D900" t="s">
        <v>253</v>
      </c>
      <c r="E900" t="s">
        <v>248</v>
      </c>
      <c r="F900" t="s">
        <v>334</v>
      </c>
      <c r="G900" t="s">
        <v>82</v>
      </c>
      <c r="J900" t="s">
        <v>192</v>
      </c>
      <c r="K900" t="s">
        <v>255</v>
      </c>
      <c r="L900">
        <v>134</v>
      </c>
      <c r="M900" t="s">
        <v>245</v>
      </c>
      <c r="N900" t="s">
        <v>976</v>
      </c>
      <c r="O900">
        <v>1</v>
      </c>
      <c r="P900" t="s">
        <v>261</v>
      </c>
    </row>
    <row r="901" spans="1:16" hidden="1" x14ac:dyDescent="0.25">
      <c r="A901" s="16">
        <v>45627</v>
      </c>
      <c r="B901" t="s">
        <v>35</v>
      </c>
      <c r="C901">
        <v>23</v>
      </c>
      <c r="D901" t="s">
        <v>291</v>
      </c>
      <c r="E901" t="s">
        <v>292</v>
      </c>
      <c r="F901" t="s">
        <v>240</v>
      </c>
      <c r="G901" t="s">
        <v>82</v>
      </c>
      <c r="H901" t="s">
        <v>94</v>
      </c>
      <c r="J901" t="s">
        <v>192</v>
      </c>
      <c r="K901" t="s">
        <v>250</v>
      </c>
      <c r="L901">
        <v>4650000</v>
      </c>
      <c r="M901" t="s">
        <v>242</v>
      </c>
      <c r="N901" t="s">
        <v>977</v>
      </c>
    </row>
    <row r="902" spans="1:16" hidden="1" x14ac:dyDescent="0.25">
      <c r="A902" s="16">
        <v>45627</v>
      </c>
      <c r="B902" t="s">
        <v>35</v>
      </c>
      <c r="C902">
        <v>23</v>
      </c>
      <c r="D902" t="s">
        <v>291</v>
      </c>
      <c r="E902" t="s">
        <v>292</v>
      </c>
      <c r="F902" t="s">
        <v>240</v>
      </c>
      <c r="G902" t="s">
        <v>82</v>
      </c>
      <c r="H902" t="s">
        <v>95</v>
      </c>
      <c r="J902" t="s">
        <v>192</v>
      </c>
      <c r="K902" t="s">
        <v>250</v>
      </c>
      <c r="L902">
        <v>1620000</v>
      </c>
      <c r="M902" t="s">
        <v>242</v>
      </c>
      <c r="N902" t="s">
        <v>978</v>
      </c>
    </row>
    <row r="903" spans="1:16" hidden="1" x14ac:dyDescent="0.25">
      <c r="A903" s="16">
        <v>45627</v>
      </c>
      <c r="B903" t="s">
        <v>35</v>
      </c>
      <c r="C903">
        <v>24</v>
      </c>
      <c r="D903" t="s">
        <v>291</v>
      </c>
      <c r="E903" t="s">
        <v>292</v>
      </c>
      <c r="F903" t="s">
        <v>244</v>
      </c>
      <c r="G903" t="s">
        <v>82</v>
      </c>
      <c r="H903" t="s">
        <v>94</v>
      </c>
      <c r="J903" t="s">
        <v>192</v>
      </c>
      <c r="K903" t="s">
        <v>250</v>
      </c>
      <c r="L903">
        <v>743000000</v>
      </c>
      <c r="M903" t="s">
        <v>245</v>
      </c>
      <c r="N903" t="s">
        <v>979</v>
      </c>
    </row>
    <row r="904" spans="1:16" hidden="1" x14ac:dyDescent="0.25">
      <c r="A904" s="16">
        <v>45627</v>
      </c>
      <c r="B904" t="s">
        <v>35</v>
      </c>
      <c r="C904">
        <v>24</v>
      </c>
      <c r="D904" t="s">
        <v>291</v>
      </c>
      <c r="E904" t="s">
        <v>292</v>
      </c>
      <c r="F904" t="s">
        <v>244</v>
      </c>
      <c r="G904" t="s">
        <v>82</v>
      </c>
      <c r="H904" t="s">
        <v>95</v>
      </c>
      <c r="J904" t="s">
        <v>192</v>
      </c>
      <c r="K904" t="s">
        <v>250</v>
      </c>
      <c r="L904">
        <v>190500000</v>
      </c>
      <c r="M904" t="s">
        <v>245</v>
      </c>
      <c r="N904" t="s">
        <v>980</v>
      </c>
    </row>
    <row r="905" spans="1:16" hidden="1" x14ac:dyDescent="0.25">
      <c r="A905" s="16">
        <v>45627</v>
      </c>
      <c r="B905" t="s">
        <v>156</v>
      </c>
      <c r="C905">
        <v>73</v>
      </c>
      <c r="D905" t="s">
        <v>238</v>
      </c>
      <c r="E905" t="s">
        <v>239</v>
      </c>
      <c r="F905" t="s">
        <v>240</v>
      </c>
      <c r="G905" t="s">
        <v>158</v>
      </c>
      <c r="J905" t="s">
        <v>192</v>
      </c>
      <c r="K905" t="s">
        <v>241</v>
      </c>
      <c r="L905">
        <v>6510000</v>
      </c>
      <c r="M905" t="s">
        <v>242</v>
      </c>
      <c r="N905" t="s">
        <v>981</v>
      </c>
    </row>
    <row r="906" spans="1:16" hidden="1" x14ac:dyDescent="0.25">
      <c r="A906" s="16">
        <v>45627</v>
      </c>
      <c r="B906" t="s">
        <v>156</v>
      </c>
      <c r="C906">
        <v>73</v>
      </c>
      <c r="D906" t="s">
        <v>238</v>
      </c>
      <c r="E906" t="s">
        <v>239</v>
      </c>
      <c r="F906" t="s">
        <v>244</v>
      </c>
      <c r="G906" t="s">
        <v>158</v>
      </c>
      <c r="J906" t="s">
        <v>192</v>
      </c>
      <c r="K906" t="s">
        <v>241</v>
      </c>
      <c r="L906">
        <v>40300000000</v>
      </c>
      <c r="M906" t="s">
        <v>245</v>
      </c>
      <c r="N906" t="s">
        <v>982</v>
      </c>
    </row>
    <row r="907" spans="1:16" hidden="1" x14ac:dyDescent="0.25">
      <c r="A907" s="16">
        <v>45627</v>
      </c>
      <c r="B907" t="s">
        <v>156</v>
      </c>
      <c r="C907">
        <v>74</v>
      </c>
      <c r="D907" t="s">
        <v>253</v>
      </c>
      <c r="E907" t="s">
        <v>248</v>
      </c>
      <c r="F907" t="s">
        <v>344</v>
      </c>
      <c r="G907" t="s">
        <v>158</v>
      </c>
      <c r="J907" t="s">
        <v>190</v>
      </c>
      <c r="K907" t="s">
        <v>255</v>
      </c>
      <c r="L907">
        <v>583000</v>
      </c>
      <c r="M907" t="s">
        <v>242</v>
      </c>
      <c r="N907" t="s">
        <v>612</v>
      </c>
      <c r="O907">
        <v>1</v>
      </c>
      <c r="P907" t="s">
        <v>257</v>
      </c>
    </row>
    <row r="908" spans="1:16" hidden="1" x14ac:dyDescent="0.25">
      <c r="A908" s="16">
        <v>45627</v>
      </c>
      <c r="B908" t="s">
        <v>156</v>
      </c>
      <c r="C908">
        <v>74</v>
      </c>
      <c r="D908" t="s">
        <v>253</v>
      </c>
      <c r="E908" t="s">
        <v>248</v>
      </c>
      <c r="F908" t="s">
        <v>344</v>
      </c>
      <c r="G908" t="s">
        <v>158</v>
      </c>
      <c r="J908" t="s">
        <v>191</v>
      </c>
      <c r="K908" t="s">
        <v>255</v>
      </c>
      <c r="L908">
        <v>451000</v>
      </c>
      <c r="M908" t="s">
        <v>242</v>
      </c>
      <c r="N908" t="s">
        <v>799</v>
      </c>
      <c r="O908">
        <v>1</v>
      </c>
      <c r="P908" t="s">
        <v>257</v>
      </c>
    </row>
    <row r="909" spans="1:16" hidden="1" x14ac:dyDescent="0.25">
      <c r="A909" s="16">
        <v>45627</v>
      </c>
      <c r="B909" t="s">
        <v>156</v>
      </c>
      <c r="C909">
        <v>74</v>
      </c>
      <c r="D909" t="s">
        <v>253</v>
      </c>
      <c r="E909" t="s">
        <v>248</v>
      </c>
      <c r="F909" t="s">
        <v>344</v>
      </c>
      <c r="G909" t="s">
        <v>158</v>
      </c>
      <c r="J909" t="s">
        <v>192</v>
      </c>
      <c r="K909" t="s">
        <v>255</v>
      </c>
      <c r="L909">
        <v>670000</v>
      </c>
      <c r="M909" t="s">
        <v>242</v>
      </c>
      <c r="N909" t="s">
        <v>983</v>
      </c>
      <c r="O909">
        <v>1</v>
      </c>
      <c r="P909" t="s">
        <v>261</v>
      </c>
    </row>
    <row r="910" spans="1:16" hidden="1" x14ac:dyDescent="0.25">
      <c r="A910" s="16">
        <v>45627</v>
      </c>
      <c r="B910" t="s">
        <v>156</v>
      </c>
      <c r="C910">
        <v>74</v>
      </c>
      <c r="D910" t="s">
        <v>247</v>
      </c>
      <c r="E910" t="s">
        <v>248</v>
      </c>
      <c r="F910" t="s">
        <v>344</v>
      </c>
      <c r="G910" t="s">
        <v>158</v>
      </c>
      <c r="H910" t="s">
        <v>286</v>
      </c>
      <c r="J910" t="s">
        <v>192</v>
      </c>
      <c r="K910" t="s">
        <v>250</v>
      </c>
      <c r="L910">
        <v>48.7</v>
      </c>
      <c r="M910" t="s">
        <v>251</v>
      </c>
      <c r="N910" t="s">
        <v>984</v>
      </c>
    </row>
    <row r="911" spans="1:16" hidden="1" x14ac:dyDescent="0.25">
      <c r="A911" s="16">
        <v>45627</v>
      </c>
      <c r="B911" t="s">
        <v>156</v>
      </c>
      <c r="C911">
        <v>75</v>
      </c>
      <c r="D911" t="s">
        <v>253</v>
      </c>
      <c r="E911" t="s">
        <v>248</v>
      </c>
      <c r="F911" t="s">
        <v>349</v>
      </c>
      <c r="G911" t="s">
        <v>158</v>
      </c>
      <c r="J911" t="s">
        <v>190</v>
      </c>
      <c r="K911" t="s">
        <v>255</v>
      </c>
      <c r="L911">
        <v>18700</v>
      </c>
      <c r="M911" t="s">
        <v>242</v>
      </c>
      <c r="N911" t="s">
        <v>614</v>
      </c>
      <c r="O911">
        <v>1</v>
      </c>
      <c r="P911" t="s">
        <v>257</v>
      </c>
    </row>
    <row r="912" spans="1:16" hidden="1" x14ac:dyDescent="0.25">
      <c r="A912" s="16">
        <v>45627</v>
      </c>
      <c r="B912" t="s">
        <v>156</v>
      </c>
      <c r="C912">
        <v>75</v>
      </c>
      <c r="D912" t="s">
        <v>253</v>
      </c>
      <c r="E912" t="s">
        <v>248</v>
      </c>
      <c r="F912" t="s">
        <v>349</v>
      </c>
      <c r="G912" t="s">
        <v>158</v>
      </c>
      <c r="J912" t="s">
        <v>191</v>
      </c>
      <c r="K912" t="s">
        <v>255</v>
      </c>
      <c r="L912">
        <v>13000</v>
      </c>
      <c r="M912" t="s">
        <v>242</v>
      </c>
      <c r="N912" t="s">
        <v>475</v>
      </c>
      <c r="O912">
        <v>1</v>
      </c>
      <c r="P912" t="s">
        <v>257</v>
      </c>
    </row>
    <row r="913" spans="1:16" hidden="1" x14ac:dyDescent="0.25">
      <c r="A913" s="16">
        <v>45627</v>
      </c>
      <c r="B913" t="s">
        <v>156</v>
      </c>
      <c r="C913">
        <v>75</v>
      </c>
      <c r="D913" t="s">
        <v>253</v>
      </c>
      <c r="E913" t="s">
        <v>248</v>
      </c>
      <c r="F913" t="s">
        <v>349</v>
      </c>
      <c r="G913" t="s">
        <v>158</v>
      </c>
      <c r="J913" t="s">
        <v>192</v>
      </c>
      <c r="K913" t="s">
        <v>255</v>
      </c>
      <c r="L913">
        <v>23800</v>
      </c>
      <c r="M913" t="s">
        <v>242</v>
      </c>
      <c r="N913" t="s">
        <v>985</v>
      </c>
      <c r="O913">
        <v>1</v>
      </c>
      <c r="P913" t="s">
        <v>261</v>
      </c>
    </row>
    <row r="914" spans="1:16" hidden="1" x14ac:dyDescent="0.25">
      <c r="A914" s="16">
        <v>45627</v>
      </c>
      <c r="B914" t="s">
        <v>156</v>
      </c>
      <c r="C914">
        <v>76</v>
      </c>
      <c r="D914" t="s">
        <v>253</v>
      </c>
      <c r="E914" t="s">
        <v>248</v>
      </c>
      <c r="F914" t="s">
        <v>615</v>
      </c>
      <c r="G914" t="s">
        <v>158</v>
      </c>
      <c r="J914" t="s">
        <v>190</v>
      </c>
      <c r="K914" t="s">
        <v>255</v>
      </c>
      <c r="L914">
        <v>3.2</v>
      </c>
      <c r="M914" t="s">
        <v>251</v>
      </c>
      <c r="N914" t="s">
        <v>509</v>
      </c>
      <c r="O914">
        <v>1</v>
      </c>
      <c r="P914" t="s">
        <v>257</v>
      </c>
    </row>
    <row r="915" spans="1:16" hidden="1" x14ac:dyDescent="0.25">
      <c r="A915" s="16">
        <v>45627</v>
      </c>
      <c r="B915" t="s">
        <v>156</v>
      </c>
      <c r="C915">
        <v>76</v>
      </c>
      <c r="D915" t="s">
        <v>253</v>
      </c>
      <c r="E915" t="s">
        <v>248</v>
      </c>
      <c r="F915" t="s">
        <v>615</v>
      </c>
      <c r="G915" t="s">
        <v>158</v>
      </c>
      <c r="J915" t="s">
        <v>191</v>
      </c>
      <c r="K915" t="s">
        <v>255</v>
      </c>
      <c r="L915">
        <v>2.9</v>
      </c>
      <c r="M915" t="s">
        <v>251</v>
      </c>
      <c r="N915" t="s">
        <v>616</v>
      </c>
      <c r="O915">
        <v>1</v>
      </c>
      <c r="P915" t="s">
        <v>257</v>
      </c>
    </row>
    <row r="916" spans="1:16" hidden="1" x14ac:dyDescent="0.25">
      <c r="A916" s="16">
        <v>45627</v>
      </c>
      <c r="B916" t="s">
        <v>156</v>
      </c>
      <c r="C916">
        <v>76</v>
      </c>
      <c r="D916" t="s">
        <v>253</v>
      </c>
      <c r="E916" t="s">
        <v>248</v>
      </c>
      <c r="F916" t="s">
        <v>615</v>
      </c>
      <c r="G916" t="s">
        <v>158</v>
      </c>
      <c r="J916" t="s">
        <v>192</v>
      </c>
      <c r="K916" t="s">
        <v>255</v>
      </c>
      <c r="L916">
        <v>3.6</v>
      </c>
      <c r="M916" t="s">
        <v>251</v>
      </c>
      <c r="N916" t="s">
        <v>783</v>
      </c>
      <c r="O916">
        <v>1</v>
      </c>
      <c r="P916" t="s">
        <v>261</v>
      </c>
    </row>
    <row r="917" spans="1:16" hidden="1" x14ac:dyDescent="0.25">
      <c r="A917" s="16">
        <v>45627</v>
      </c>
      <c r="B917" t="s">
        <v>156</v>
      </c>
      <c r="C917">
        <v>77</v>
      </c>
      <c r="D917" t="s">
        <v>291</v>
      </c>
      <c r="E917" t="s">
        <v>292</v>
      </c>
      <c r="F917" t="s">
        <v>349</v>
      </c>
      <c r="G917" t="s">
        <v>158</v>
      </c>
      <c r="H917" t="s">
        <v>159</v>
      </c>
      <c r="J917" t="s">
        <v>192</v>
      </c>
      <c r="K917" t="s">
        <v>250</v>
      </c>
      <c r="L917">
        <v>16247</v>
      </c>
      <c r="M917" t="s">
        <v>242</v>
      </c>
      <c r="N917" t="s">
        <v>986</v>
      </c>
    </row>
    <row r="918" spans="1:16" hidden="1" x14ac:dyDescent="0.25">
      <c r="A918" s="16">
        <v>45627</v>
      </c>
      <c r="B918" t="s">
        <v>156</v>
      </c>
      <c r="C918">
        <v>77</v>
      </c>
      <c r="D918" t="s">
        <v>291</v>
      </c>
      <c r="E918" t="s">
        <v>292</v>
      </c>
      <c r="F918" t="s">
        <v>349</v>
      </c>
      <c r="G918" t="s">
        <v>158</v>
      </c>
      <c r="H918" t="s">
        <v>160</v>
      </c>
      <c r="J918" t="s">
        <v>192</v>
      </c>
      <c r="K918" t="s">
        <v>250</v>
      </c>
      <c r="L918">
        <v>7560</v>
      </c>
      <c r="M918" t="s">
        <v>242</v>
      </c>
      <c r="N918" t="s">
        <v>987</v>
      </c>
    </row>
    <row r="919" spans="1:16" hidden="1" x14ac:dyDescent="0.25">
      <c r="A919" s="16">
        <v>45627</v>
      </c>
      <c r="B919" t="s">
        <v>156</v>
      </c>
      <c r="C919">
        <v>78</v>
      </c>
      <c r="D919" t="s">
        <v>253</v>
      </c>
      <c r="E919" t="s">
        <v>248</v>
      </c>
      <c r="F919" t="s">
        <v>356</v>
      </c>
      <c r="G919" t="s">
        <v>158</v>
      </c>
      <c r="J919" t="s">
        <v>190</v>
      </c>
      <c r="K919" t="s">
        <v>255</v>
      </c>
      <c r="L919">
        <v>3610000000</v>
      </c>
      <c r="M919" t="s">
        <v>245</v>
      </c>
      <c r="N919" t="s">
        <v>620</v>
      </c>
      <c r="O919">
        <v>1</v>
      </c>
      <c r="P919" t="s">
        <v>257</v>
      </c>
    </row>
    <row r="920" spans="1:16" hidden="1" x14ac:dyDescent="0.25">
      <c r="A920" s="16">
        <v>45627</v>
      </c>
      <c r="B920" t="s">
        <v>156</v>
      </c>
      <c r="C920">
        <v>78</v>
      </c>
      <c r="D920" t="s">
        <v>253</v>
      </c>
      <c r="E920" t="s">
        <v>248</v>
      </c>
      <c r="F920" t="s">
        <v>356</v>
      </c>
      <c r="G920" t="s">
        <v>158</v>
      </c>
      <c r="J920" t="s">
        <v>191</v>
      </c>
      <c r="K920" t="s">
        <v>255</v>
      </c>
      <c r="L920">
        <v>3050000000</v>
      </c>
      <c r="M920" t="s">
        <v>245</v>
      </c>
      <c r="N920" t="s">
        <v>803</v>
      </c>
      <c r="O920">
        <v>1</v>
      </c>
      <c r="P920" t="s">
        <v>257</v>
      </c>
    </row>
    <row r="921" spans="1:16" hidden="1" x14ac:dyDescent="0.25">
      <c r="A921" s="16">
        <v>45627</v>
      </c>
      <c r="B921" t="s">
        <v>156</v>
      </c>
      <c r="C921">
        <v>78</v>
      </c>
      <c r="D921" t="s">
        <v>253</v>
      </c>
      <c r="E921" t="s">
        <v>248</v>
      </c>
      <c r="F921" t="s">
        <v>356</v>
      </c>
      <c r="G921" t="s">
        <v>158</v>
      </c>
      <c r="J921" t="s">
        <v>192</v>
      </c>
      <c r="K921" t="s">
        <v>255</v>
      </c>
      <c r="L921">
        <v>3960000000</v>
      </c>
      <c r="M921" t="s">
        <v>245</v>
      </c>
      <c r="N921" t="s">
        <v>988</v>
      </c>
      <c r="O921">
        <v>1</v>
      </c>
      <c r="P921" t="s">
        <v>261</v>
      </c>
    </row>
    <row r="922" spans="1:16" hidden="1" x14ac:dyDescent="0.25">
      <c r="A922" s="16">
        <v>45627</v>
      </c>
      <c r="B922" t="s">
        <v>156</v>
      </c>
      <c r="C922">
        <v>78</v>
      </c>
      <c r="D922" t="s">
        <v>247</v>
      </c>
      <c r="E922" t="s">
        <v>248</v>
      </c>
      <c r="F922" t="s">
        <v>356</v>
      </c>
      <c r="G922" t="s">
        <v>158</v>
      </c>
      <c r="H922" t="s">
        <v>286</v>
      </c>
      <c r="J922" t="s">
        <v>192</v>
      </c>
      <c r="K922" t="s">
        <v>250</v>
      </c>
      <c r="L922">
        <v>29.9</v>
      </c>
      <c r="M922" t="s">
        <v>251</v>
      </c>
      <c r="N922" t="s">
        <v>989</v>
      </c>
    </row>
    <row r="923" spans="1:16" hidden="1" x14ac:dyDescent="0.25">
      <c r="A923" s="16">
        <v>45627</v>
      </c>
      <c r="B923" t="s">
        <v>156</v>
      </c>
      <c r="C923">
        <v>79</v>
      </c>
      <c r="D923" t="s">
        <v>253</v>
      </c>
      <c r="E923" t="s">
        <v>248</v>
      </c>
      <c r="F923" t="s">
        <v>361</v>
      </c>
      <c r="G923" t="s">
        <v>158</v>
      </c>
      <c r="J923" t="s">
        <v>190</v>
      </c>
      <c r="K923" t="s">
        <v>255</v>
      </c>
      <c r="L923">
        <v>123000000</v>
      </c>
      <c r="M923" t="s">
        <v>245</v>
      </c>
      <c r="N923" t="s">
        <v>621</v>
      </c>
      <c r="O923">
        <v>1</v>
      </c>
      <c r="P923" t="s">
        <v>257</v>
      </c>
    </row>
    <row r="924" spans="1:16" hidden="1" x14ac:dyDescent="0.25">
      <c r="A924" s="16">
        <v>45627</v>
      </c>
      <c r="B924" t="s">
        <v>156</v>
      </c>
      <c r="C924">
        <v>79</v>
      </c>
      <c r="D924" t="s">
        <v>253</v>
      </c>
      <c r="E924" t="s">
        <v>248</v>
      </c>
      <c r="F924" t="s">
        <v>361</v>
      </c>
      <c r="G924" t="s">
        <v>158</v>
      </c>
      <c r="J924" t="s">
        <v>191</v>
      </c>
      <c r="K924" t="s">
        <v>255</v>
      </c>
      <c r="L924">
        <v>82000000</v>
      </c>
      <c r="M924" t="s">
        <v>245</v>
      </c>
      <c r="N924" t="s">
        <v>804</v>
      </c>
      <c r="O924">
        <v>1</v>
      </c>
      <c r="P924" t="s">
        <v>257</v>
      </c>
    </row>
    <row r="925" spans="1:16" hidden="1" x14ac:dyDescent="0.25">
      <c r="A925" s="16">
        <v>45627</v>
      </c>
      <c r="B925" t="s">
        <v>156</v>
      </c>
      <c r="C925">
        <v>79</v>
      </c>
      <c r="D925" t="s">
        <v>253</v>
      </c>
      <c r="E925" t="s">
        <v>248</v>
      </c>
      <c r="F925" t="s">
        <v>361</v>
      </c>
      <c r="G925" t="s">
        <v>158</v>
      </c>
      <c r="J925" t="s">
        <v>192</v>
      </c>
      <c r="K925" t="s">
        <v>255</v>
      </c>
      <c r="L925">
        <v>162000000</v>
      </c>
      <c r="M925" t="s">
        <v>245</v>
      </c>
      <c r="N925" t="s">
        <v>990</v>
      </c>
      <c r="O925">
        <v>1</v>
      </c>
      <c r="P925" t="s">
        <v>261</v>
      </c>
    </row>
    <row r="926" spans="1:16" hidden="1" x14ac:dyDescent="0.25">
      <c r="A926" s="16">
        <v>45627</v>
      </c>
      <c r="B926" t="s">
        <v>156</v>
      </c>
      <c r="C926">
        <v>80</v>
      </c>
      <c r="D926" t="s">
        <v>253</v>
      </c>
      <c r="E926" t="s">
        <v>248</v>
      </c>
      <c r="F926" t="s">
        <v>622</v>
      </c>
      <c r="G926" t="s">
        <v>158</v>
      </c>
      <c r="J926" t="s">
        <v>190</v>
      </c>
      <c r="K926" t="s">
        <v>255</v>
      </c>
      <c r="L926">
        <v>3.42</v>
      </c>
      <c r="M926" t="s">
        <v>251</v>
      </c>
      <c r="N926" t="s">
        <v>625</v>
      </c>
      <c r="O926">
        <v>1</v>
      </c>
      <c r="P926" t="s">
        <v>257</v>
      </c>
    </row>
    <row r="927" spans="1:16" hidden="1" x14ac:dyDescent="0.25">
      <c r="A927" s="16">
        <v>45627</v>
      </c>
      <c r="B927" t="s">
        <v>156</v>
      </c>
      <c r="C927">
        <v>80</v>
      </c>
      <c r="D927" t="s">
        <v>253</v>
      </c>
      <c r="E927" t="s">
        <v>248</v>
      </c>
      <c r="F927" t="s">
        <v>622</v>
      </c>
      <c r="G927" t="s">
        <v>158</v>
      </c>
      <c r="J927" t="s">
        <v>191</v>
      </c>
      <c r="K927" t="s">
        <v>255</v>
      </c>
      <c r="L927">
        <v>2.7</v>
      </c>
      <c r="M927" t="s">
        <v>251</v>
      </c>
      <c r="N927" t="s">
        <v>805</v>
      </c>
      <c r="O927">
        <v>1</v>
      </c>
      <c r="P927" t="s">
        <v>257</v>
      </c>
    </row>
    <row r="928" spans="1:16" hidden="1" x14ac:dyDescent="0.25">
      <c r="A928" s="16">
        <v>45627</v>
      </c>
      <c r="B928" t="s">
        <v>156</v>
      </c>
      <c r="C928">
        <v>80</v>
      </c>
      <c r="D928" t="s">
        <v>253</v>
      </c>
      <c r="E928" t="s">
        <v>248</v>
      </c>
      <c r="F928" t="s">
        <v>622</v>
      </c>
      <c r="G928" t="s">
        <v>158</v>
      </c>
      <c r="J928" t="s">
        <v>192</v>
      </c>
      <c r="K928" t="s">
        <v>255</v>
      </c>
      <c r="L928">
        <v>4.0999999999999996</v>
      </c>
      <c r="M928" t="s">
        <v>251</v>
      </c>
      <c r="N928" t="s">
        <v>991</v>
      </c>
      <c r="O928">
        <v>1</v>
      </c>
      <c r="P928" t="s">
        <v>261</v>
      </c>
    </row>
    <row r="929" spans="1:16" hidden="1" x14ac:dyDescent="0.25">
      <c r="A929" s="16">
        <v>45627</v>
      </c>
      <c r="B929" t="s">
        <v>156</v>
      </c>
      <c r="C929">
        <v>81</v>
      </c>
      <c r="D929" t="s">
        <v>291</v>
      </c>
      <c r="E929" t="s">
        <v>292</v>
      </c>
      <c r="F929" t="s">
        <v>361</v>
      </c>
      <c r="G929" t="s">
        <v>158</v>
      </c>
      <c r="H929" t="s">
        <v>159</v>
      </c>
      <c r="J929" t="s">
        <v>192</v>
      </c>
      <c r="K929" t="s">
        <v>250</v>
      </c>
      <c r="L929">
        <v>111600000</v>
      </c>
      <c r="M929" t="s">
        <v>245</v>
      </c>
      <c r="N929" t="s">
        <v>992</v>
      </c>
    </row>
    <row r="930" spans="1:16" hidden="1" x14ac:dyDescent="0.25">
      <c r="A930" s="16">
        <v>45627</v>
      </c>
      <c r="B930" t="s">
        <v>156</v>
      </c>
      <c r="C930">
        <v>81</v>
      </c>
      <c r="D930" t="s">
        <v>291</v>
      </c>
      <c r="E930" t="s">
        <v>292</v>
      </c>
      <c r="F930" t="s">
        <v>361</v>
      </c>
      <c r="G930" t="s">
        <v>158</v>
      </c>
      <c r="H930" t="s">
        <v>160</v>
      </c>
      <c r="J930" t="s">
        <v>192</v>
      </c>
      <c r="K930" t="s">
        <v>250</v>
      </c>
      <c r="L930">
        <v>50500000</v>
      </c>
      <c r="M930" t="s">
        <v>245</v>
      </c>
      <c r="N930" t="s">
        <v>993</v>
      </c>
    </row>
    <row r="931" spans="1:16" hidden="1" x14ac:dyDescent="0.25">
      <c r="A931" s="16">
        <v>45627</v>
      </c>
      <c r="B931" t="s">
        <v>120</v>
      </c>
      <c r="C931">
        <v>55</v>
      </c>
      <c r="D931" t="s">
        <v>238</v>
      </c>
      <c r="E931" t="s">
        <v>239</v>
      </c>
      <c r="F931" t="s">
        <v>240</v>
      </c>
      <c r="G931" t="s">
        <v>82</v>
      </c>
      <c r="J931" t="s">
        <v>192</v>
      </c>
      <c r="K931" t="s">
        <v>241</v>
      </c>
      <c r="L931">
        <v>66070000</v>
      </c>
      <c r="M931" t="s">
        <v>242</v>
      </c>
      <c r="N931" t="s">
        <v>994</v>
      </c>
    </row>
    <row r="932" spans="1:16" hidden="1" x14ac:dyDescent="0.25">
      <c r="A932" s="16">
        <v>45627</v>
      </c>
      <c r="B932" t="s">
        <v>120</v>
      </c>
      <c r="C932">
        <v>55</v>
      </c>
      <c r="D932" t="s">
        <v>238</v>
      </c>
      <c r="E932" t="s">
        <v>239</v>
      </c>
      <c r="F932" t="s">
        <v>244</v>
      </c>
      <c r="G932" t="s">
        <v>82</v>
      </c>
      <c r="J932" t="s">
        <v>192</v>
      </c>
      <c r="K932" t="s">
        <v>241</v>
      </c>
      <c r="L932">
        <v>13190000000</v>
      </c>
      <c r="M932" t="s">
        <v>245</v>
      </c>
      <c r="N932" t="s">
        <v>995</v>
      </c>
    </row>
    <row r="933" spans="1:16" hidden="1" x14ac:dyDescent="0.25">
      <c r="A933" s="16">
        <v>45627</v>
      </c>
      <c r="B933" t="s">
        <v>120</v>
      </c>
      <c r="C933">
        <v>56</v>
      </c>
      <c r="D933" t="s">
        <v>253</v>
      </c>
      <c r="E933" t="s">
        <v>248</v>
      </c>
      <c r="F933" t="s">
        <v>285</v>
      </c>
      <c r="G933" t="s">
        <v>63</v>
      </c>
      <c r="J933" t="s">
        <v>190</v>
      </c>
      <c r="K933" t="s">
        <v>255</v>
      </c>
      <c r="L933">
        <v>4470000</v>
      </c>
      <c r="M933" t="s">
        <v>242</v>
      </c>
      <c r="N933" t="s">
        <v>630</v>
      </c>
      <c r="O933">
        <v>1</v>
      </c>
      <c r="P933" t="s">
        <v>257</v>
      </c>
    </row>
    <row r="934" spans="1:16" hidden="1" x14ac:dyDescent="0.25">
      <c r="A934" s="16">
        <v>45627</v>
      </c>
      <c r="B934" t="s">
        <v>120</v>
      </c>
      <c r="C934">
        <v>56</v>
      </c>
      <c r="D934" t="s">
        <v>253</v>
      </c>
      <c r="E934" t="s">
        <v>248</v>
      </c>
      <c r="F934" t="s">
        <v>285</v>
      </c>
      <c r="G934" t="s">
        <v>63</v>
      </c>
      <c r="J934" t="s">
        <v>191</v>
      </c>
      <c r="K934" t="s">
        <v>255</v>
      </c>
      <c r="L934">
        <v>4500000</v>
      </c>
      <c r="M934" t="s">
        <v>242</v>
      </c>
      <c r="N934" t="s">
        <v>811</v>
      </c>
      <c r="O934">
        <v>1</v>
      </c>
      <c r="P934" t="s">
        <v>257</v>
      </c>
    </row>
    <row r="935" spans="1:16" hidden="1" x14ac:dyDescent="0.25">
      <c r="A935" s="16">
        <v>45627</v>
      </c>
      <c r="B935" t="s">
        <v>120</v>
      </c>
      <c r="C935">
        <v>56</v>
      </c>
      <c r="D935" t="s">
        <v>253</v>
      </c>
      <c r="E935" t="s">
        <v>248</v>
      </c>
      <c r="F935" t="s">
        <v>285</v>
      </c>
      <c r="G935" t="s">
        <v>63</v>
      </c>
      <c r="J935" t="s">
        <v>192</v>
      </c>
      <c r="K935" t="s">
        <v>255</v>
      </c>
      <c r="L935">
        <v>4540000</v>
      </c>
      <c r="M935" t="s">
        <v>242</v>
      </c>
      <c r="N935" t="s">
        <v>996</v>
      </c>
      <c r="O935">
        <v>1</v>
      </c>
      <c r="P935" t="s">
        <v>261</v>
      </c>
    </row>
    <row r="936" spans="1:16" hidden="1" x14ac:dyDescent="0.25">
      <c r="A936" s="16">
        <v>45627</v>
      </c>
      <c r="B936" t="s">
        <v>120</v>
      </c>
      <c r="C936">
        <v>56</v>
      </c>
      <c r="D936" t="s">
        <v>247</v>
      </c>
      <c r="E936" t="s">
        <v>248</v>
      </c>
      <c r="F936" t="s">
        <v>285</v>
      </c>
      <c r="G936" t="s">
        <v>63</v>
      </c>
      <c r="H936" t="s">
        <v>286</v>
      </c>
      <c r="J936" t="s">
        <v>192</v>
      </c>
      <c r="K936" t="s">
        <v>250</v>
      </c>
      <c r="L936">
        <v>0.9</v>
      </c>
      <c r="M936" t="s">
        <v>251</v>
      </c>
      <c r="N936" t="s">
        <v>845</v>
      </c>
    </row>
    <row r="937" spans="1:16" hidden="1" x14ac:dyDescent="0.25">
      <c r="A937" s="16">
        <v>45627</v>
      </c>
      <c r="B937" t="s">
        <v>120</v>
      </c>
      <c r="C937">
        <v>57</v>
      </c>
      <c r="D937" t="s">
        <v>291</v>
      </c>
      <c r="E937" t="s">
        <v>292</v>
      </c>
      <c r="F937" t="s">
        <v>285</v>
      </c>
      <c r="G937" t="s">
        <v>63</v>
      </c>
      <c r="H937" t="s">
        <v>122</v>
      </c>
      <c r="J937" t="s">
        <v>192</v>
      </c>
      <c r="K937" t="s">
        <v>250</v>
      </c>
      <c r="L937">
        <v>4500000</v>
      </c>
      <c r="M937" t="s">
        <v>242</v>
      </c>
      <c r="N937" t="s">
        <v>813</v>
      </c>
    </row>
    <row r="938" spans="1:16" hidden="1" x14ac:dyDescent="0.25">
      <c r="A938" s="16">
        <v>45627</v>
      </c>
      <c r="B938" t="s">
        <v>120</v>
      </c>
      <c r="C938">
        <v>57</v>
      </c>
      <c r="D938" t="s">
        <v>291</v>
      </c>
      <c r="E938" t="s">
        <v>292</v>
      </c>
      <c r="F938" t="s">
        <v>285</v>
      </c>
      <c r="G938" t="s">
        <v>63</v>
      </c>
      <c r="H938" t="s">
        <v>123</v>
      </c>
      <c r="J938" t="s">
        <v>192</v>
      </c>
      <c r="K938" t="s">
        <v>250</v>
      </c>
      <c r="L938">
        <v>38100</v>
      </c>
      <c r="M938" t="s">
        <v>242</v>
      </c>
      <c r="N938" t="s">
        <v>997</v>
      </c>
    </row>
    <row r="939" spans="1:16" hidden="1" x14ac:dyDescent="0.25">
      <c r="A939" s="16">
        <v>45627</v>
      </c>
      <c r="B939" t="s">
        <v>120</v>
      </c>
      <c r="C939">
        <v>57</v>
      </c>
      <c r="D939" t="s">
        <v>238</v>
      </c>
      <c r="E939" t="s">
        <v>239</v>
      </c>
      <c r="F939" t="s">
        <v>285</v>
      </c>
      <c r="G939" t="s">
        <v>63</v>
      </c>
      <c r="H939" t="s">
        <v>376</v>
      </c>
      <c r="J939" t="s">
        <v>192</v>
      </c>
      <c r="K939" t="s">
        <v>250</v>
      </c>
      <c r="L939">
        <v>4540000</v>
      </c>
      <c r="M939" t="s">
        <v>242</v>
      </c>
      <c r="N939" t="s">
        <v>998</v>
      </c>
    </row>
    <row r="940" spans="1:16" hidden="1" x14ac:dyDescent="0.25">
      <c r="A940" s="16">
        <v>45627</v>
      </c>
      <c r="B940" t="s">
        <v>120</v>
      </c>
      <c r="C940">
        <v>58</v>
      </c>
      <c r="D940" t="s">
        <v>238</v>
      </c>
      <c r="E940" t="s">
        <v>239</v>
      </c>
      <c r="F940" t="s">
        <v>378</v>
      </c>
      <c r="G940" t="s">
        <v>379</v>
      </c>
      <c r="J940" t="s">
        <v>192</v>
      </c>
      <c r="K940" t="s">
        <v>250</v>
      </c>
      <c r="L940">
        <v>589</v>
      </c>
      <c r="M940" t="s">
        <v>242</v>
      </c>
      <c r="N940" t="s">
        <v>999</v>
      </c>
    </row>
    <row r="941" spans="1:16" hidden="1" x14ac:dyDescent="0.25">
      <c r="A941" s="16">
        <v>45627</v>
      </c>
      <c r="B941" t="s">
        <v>120</v>
      </c>
      <c r="C941">
        <v>58</v>
      </c>
      <c r="D941" t="s">
        <v>238</v>
      </c>
      <c r="E941" t="s">
        <v>239</v>
      </c>
      <c r="F941" t="s">
        <v>381</v>
      </c>
      <c r="G941" t="s">
        <v>382</v>
      </c>
      <c r="J941" t="s">
        <v>192</v>
      </c>
      <c r="K941" t="s">
        <v>250</v>
      </c>
      <c r="L941">
        <v>2018</v>
      </c>
      <c r="M941" t="s">
        <v>242</v>
      </c>
      <c r="N941" t="s">
        <v>1000</v>
      </c>
    </row>
    <row r="942" spans="1:16" hidden="1" x14ac:dyDescent="0.25">
      <c r="A942" s="16">
        <v>45627</v>
      </c>
      <c r="B942" t="s">
        <v>120</v>
      </c>
      <c r="C942">
        <v>59</v>
      </c>
      <c r="D942" t="s">
        <v>253</v>
      </c>
      <c r="E942" t="s">
        <v>248</v>
      </c>
      <c r="F942" t="s">
        <v>240</v>
      </c>
      <c r="G942" t="s">
        <v>82</v>
      </c>
      <c r="J942" t="s">
        <v>190</v>
      </c>
      <c r="K942" t="s">
        <v>255</v>
      </c>
      <c r="L942">
        <v>6010000</v>
      </c>
      <c r="M942" t="s">
        <v>242</v>
      </c>
      <c r="N942" t="s">
        <v>636</v>
      </c>
      <c r="O942">
        <v>1</v>
      </c>
      <c r="P942" t="s">
        <v>257</v>
      </c>
    </row>
    <row r="943" spans="1:16" hidden="1" x14ac:dyDescent="0.25">
      <c r="A943" s="16">
        <v>45627</v>
      </c>
      <c r="B943" t="s">
        <v>120</v>
      </c>
      <c r="C943">
        <v>59</v>
      </c>
      <c r="D943" t="s">
        <v>253</v>
      </c>
      <c r="E943" t="s">
        <v>248</v>
      </c>
      <c r="F943" t="s">
        <v>240</v>
      </c>
      <c r="G943" t="s">
        <v>82</v>
      </c>
      <c r="J943" t="s">
        <v>191</v>
      </c>
      <c r="K943" t="s">
        <v>255</v>
      </c>
      <c r="L943">
        <v>5160000</v>
      </c>
      <c r="M943" t="s">
        <v>242</v>
      </c>
      <c r="N943" t="s">
        <v>817</v>
      </c>
      <c r="O943">
        <v>1</v>
      </c>
      <c r="P943" t="s">
        <v>257</v>
      </c>
    </row>
    <row r="944" spans="1:16" hidden="1" x14ac:dyDescent="0.25">
      <c r="A944" s="16">
        <v>45627</v>
      </c>
      <c r="B944" t="s">
        <v>120</v>
      </c>
      <c r="C944">
        <v>59</v>
      </c>
      <c r="D944" t="s">
        <v>253</v>
      </c>
      <c r="E944" t="s">
        <v>248</v>
      </c>
      <c r="F944" t="s">
        <v>240</v>
      </c>
      <c r="G944" t="s">
        <v>82</v>
      </c>
      <c r="J944" t="s">
        <v>192</v>
      </c>
      <c r="K944" t="s">
        <v>255</v>
      </c>
      <c r="L944">
        <v>6430000</v>
      </c>
      <c r="M944" t="s">
        <v>242</v>
      </c>
      <c r="N944" t="s">
        <v>1001</v>
      </c>
      <c r="O944">
        <v>1</v>
      </c>
      <c r="P944" t="s">
        <v>261</v>
      </c>
    </row>
    <row r="945" spans="1:16" hidden="1" x14ac:dyDescent="0.25">
      <c r="A945" s="16">
        <v>45627</v>
      </c>
      <c r="B945" t="s">
        <v>120</v>
      </c>
      <c r="C945">
        <v>59</v>
      </c>
      <c r="D945" t="s">
        <v>247</v>
      </c>
      <c r="E945" t="s">
        <v>248</v>
      </c>
      <c r="F945" t="s">
        <v>240</v>
      </c>
      <c r="G945" t="s">
        <v>82</v>
      </c>
      <c r="H945" t="s">
        <v>286</v>
      </c>
      <c r="J945" t="s">
        <v>192</v>
      </c>
      <c r="K945" t="s">
        <v>250</v>
      </c>
      <c r="L945">
        <v>24.6</v>
      </c>
      <c r="M945" t="s">
        <v>251</v>
      </c>
      <c r="N945" t="s">
        <v>1002</v>
      </c>
    </row>
    <row r="946" spans="1:16" hidden="1" x14ac:dyDescent="0.25">
      <c r="A946" s="16">
        <v>45627</v>
      </c>
      <c r="B946" t="s">
        <v>120</v>
      </c>
      <c r="C946">
        <v>60</v>
      </c>
      <c r="D946" t="s">
        <v>291</v>
      </c>
      <c r="E946" t="s">
        <v>292</v>
      </c>
      <c r="F946" t="s">
        <v>240</v>
      </c>
      <c r="G946" t="s">
        <v>82</v>
      </c>
      <c r="H946" t="s">
        <v>125</v>
      </c>
      <c r="J946" t="s">
        <v>192</v>
      </c>
      <c r="K946" t="s">
        <v>250</v>
      </c>
      <c r="L946">
        <v>36000</v>
      </c>
      <c r="M946" t="s">
        <v>242</v>
      </c>
      <c r="N946" t="s">
        <v>393</v>
      </c>
    </row>
    <row r="947" spans="1:16" hidden="1" x14ac:dyDescent="0.25">
      <c r="A947" s="16">
        <v>45627</v>
      </c>
      <c r="B947" t="s">
        <v>120</v>
      </c>
      <c r="C947">
        <v>60</v>
      </c>
      <c r="D947" t="s">
        <v>291</v>
      </c>
      <c r="E947" t="s">
        <v>292</v>
      </c>
      <c r="F947" t="s">
        <v>240</v>
      </c>
      <c r="G947" t="s">
        <v>82</v>
      </c>
      <c r="H947" t="s">
        <v>126</v>
      </c>
      <c r="J947" t="s">
        <v>192</v>
      </c>
      <c r="K947" t="s">
        <v>250</v>
      </c>
      <c r="L947">
        <v>116000</v>
      </c>
      <c r="M947" t="s">
        <v>242</v>
      </c>
      <c r="N947" t="s">
        <v>1003</v>
      </c>
    </row>
    <row r="948" spans="1:16" hidden="1" x14ac:dyDescent="0.25">
      <c r="A948" s="16">
        <v>45627</v>
      </c>
      <c r="B948" t="s">
        <v>120</v>
      </c>
      <c r="C948">
        <v>60</v>
      </c>
      <c r="D948" t="s">
        <v>291</v>
      </c>
      <c r="E948" t="s">
        <v>292</v>
      </c>
      <c r="F948" t="s">
        <v>240</v>
      </c>
      <c r="G948" t="s">
        <v>82</v>
      </c>
      <c r="H948" t="s">
        <v>127</v>
      </c>
      <c r="J948" t="s">
        <v>192</v>
      </c>
      <c r="K948" t="s">
        <v>250</v>
      </c>
      <c r="L948">
        <v>321000</v>
      </c>
      <c r="M948" t="s">
        <v>242</v>
      </c>
      <c r="N948" t="s">
        <v>1004</v>
      </c>
    </row>
    <row r="949" spans="1:16" hidden="1" x14ac:dyDescent="0.25">
      <c r="A949" s="16">
        <v>45627</v>
      </c>
      <c r="B949" t="s">
        <v>120</v>
      </c>
      <c r="C949">
        <v>60</v>
      </c>
      <c r="D949" t="s">
        <v>291</v>
      </c>
      <c r="E949" t="s">
        <v>292</v>
      </c>
      <c r="F949" t="s">
        <v>240</v>
      </c>
      <c r="G949" t="s">
        <v>82</v>
      </c>
      <c r="H949" t="s">
        <v>128</v>
      </c>
      <c r="J949" t="s">
        <v>192</v>
      </c>
      <c r="K949" t="s">
        <v>250</v>
      </c>
      <c r="L949">
        <v>31000</v>
      </c>
      <c r="M949" t="s">
        <v>242</v>
      </c>
      <c r="N949" t="s">
        <v>822</v>
      </c>
    </row>
    <row r="950" spans="1:16" hidden="1" x14ac:dyDescent="0.25">
      <c r="A950" s="16">
        <v>45627</v>
      </c>
      <c r="B950" t="s">
        <v>120</v>
      </c>
      <c r="C950">
        <v>60</v>
      </c>
      <c r="D950" t="s">
        <v>291</v>
      </c>
      <c r="E950" t="s">
        <v>292</v>
      </c>
      <c r="F950" t="s">
        <v>240</v>
      </c>
      <c r="G950" t="s">
        <v>82</v>
      </c>
      <c r="H950" t="s">
        <v>129</v>
      </c>
      <c r="J950" t="s">
        <v>192</v>
      </c>
      <c r="K950" t="s">
        <v>250</v>
      </c>
      <c r="L950">
        <v>1218000</v>
      </c>
      <c r="M950" t="s">
        <v>242</v>
      </c>
      <c r="N950" t="s">
        <v>1005</v>
      </c>
    </row>
    <row r="951" spans="1:16" hidden="1" x14ac:dyDescent="0.25">
      <c r="A951" s="16">
        <v>45627</v>
      </c>
      <c r="B951" t="s">
        <v>120</v>
      </c>
      <c r="C951">
        <v>60</v>
      </c>
      <c r="D951" t="s">
        <v>291</v>
      </c>
      <c r="E951" t="s">
        <v>292</v>
      </c>
      <c r="F951" t="s">
        <v>240</v>
      </c>
      <c r="G951" t="s">
        <v>82</v>
      </c>
      <c r="H951" t="s">
        <v>130</v>
      </c>
      <c r="J951" t="s">
        <v>192</v>
      </c>
      <c r="K951" t="s">
        <v>250</v>
      </c>
      <c r="L951">
        <v>2082000</v>
      </c>
      <c r="M951" t="s">
        <v>242</v>
      </c>
      <c r="N951" t="s">
        <v>1006</v>
      </c>
    </row>
    <row r="952" spans="1:16" hidden="1" x14ac:dyDescent="0.25">
      <c r="A952" s="16">
        <v>45627</v>
      </c>
      <c r="B952" t="s">
        <v>120</v>
      </c>
      <c r="C952">
        <v>60</v>
      </c>
      <c r="D952" t="s">
        <v>291</v>
      </c>
      <c r="E952" t="s">
        <v>292</v>
      </c>
      <c r="F952" t="s">
        <v>240</v>
      </c>
      <c r="G952" t="s">
        <v>82</v>
      </c>
      <c r="H952" t="s">
        <v>131</v>
      </c>
      <c r="J952" t="s">
        <v>192</v>
      </c>
      <c r="K952" t="s">
        <v>250</v>
      </c>
      <c r="L952">
        <v>50000</v>
      </c>
      <c r="M952" t="s">
        <v>242</v>
      </c>
      <c r="N952" t="s">
        <v>1007</v>
      </c>
    </row>
    <row r="953" spans="1:16" hidden="1" x14ac:dyDescent="0.25">
      <c r="A953" s="16">
        <v>45627</v>
      </c>
      <c r="B953" t="s">
        <v>120</v>
      </c>
      <c r="C953">
        <v>60</v>
      </c>
      <c r="D953" t="s">
        <v>291</v>
      </c>
      <c r="E953" t="s">
        <v>292</v>
      </c>
      <c r="F953" t="s">
        <v>240</v>
      </c>
      <c r="G953" t="s">
        <v>82</v>
      </c>
      <c r="H953" t="s">
        <v>132</v>
      </c>
      <c r="J953" t="s">
        <v>192</v>
      </c>
      <c r="K953" t="s">
        <v>250</v>
      </c>
      <c r="L953">
        <v>46000</v>
      </c>
      <c r="M953" t="s">
        <v>242</v>
      </c>
      <c r="N953" t="s">
        <v>1008</v>
      </c>
    </row>
    <row r="954" spans="1:16" hidden="1" x14ac:dyDescent="0.25">
      <c r="A954" s="16">
        <v>45627</v>
      </c>
      <c r="B954" t="s">
        <v>120</v>
      </c>
      <c r="C954">
        <v>60</v>
      </c>
      <c r="D954" t="s">
        <v>291</v>
      </c>
      <c r="E954" t="s">
        <v>292</v>
      </c>
      <c r="F954" t="s">
        <v>240</v>
      </c>
      <c r="G954" t="s">
        <v>82</v>
      </c>
      <c r="H954" t="s">
        <v>133</v>
      </c>
      <c r="J954" t="s">
        <v>192</v>
      </c>
      <c r="K954" t="s">
        <v>250</v>
      </c>
      <c r="L954">
        <v>566000</v>
      </c>
      <c r="M954" t="s">
        <v>242</v>
      </c>
      <c r="N954" t="s">
        <v>1009</v>
      </c>
    </row>
    <row r="955" spans="1:16" hidden="1" x14ac:dyDescent="0.25">
      <c r="A955" s="16">
        <v>45627</v>
      </c>
      <c r="B955" t="s">
        <v>120</v>
      </c>
      <c r="C955">
        <v>60</v>
      </c>
      <c r="D955" t="s">
        <v>291</v>
      </c>
      <c r="E955" t="s">
        <v>292</v>
      </c>
      <c r="F955" t="s">
        <v>240</v>
      </c>
      <c r="G955" t="s">
        <v>82</v>
      </c>
      <c r="H955" t="s">
        <v>134</v>
      </c>
      <c r="J955" t="s">
        <v>192</v>
      </c>
      <c r="K955" t="s">
        <v>250</v>
      </c>
      <c r="L955">
        <v>1880000</v>
      </c>
      <c r="M955" t="s">
        <v>242</v>
      </c>
      <c r="N955" t="s">
        <v>1010</v>
      </c>
    </row>
    <row r="956" spans="1:16" hidden="1" x14ac:dyDescent="0.25">
      <c r="A956" s="16">
        <v>45627</v>
      </c>
      <c r="B956" t="s">
        <v>120</v>
      </c>
      <c r="C956">
        <v>61</v>
      </c>
      <c r="D956" t="s">
        <v>291</v>
      </c>
      <c r="E956" t="s">
        <v>292</v>
      </c>
      <c r="F956" t="s">
        <v>240</v>
      </c>
      <c r="G956" t="s">
        <v>82</v>
      </c>
      <c r="H956" t="s">
        <v>137</v>
      </c>
      <c r="J956" t="s">
        <v>192</v>
      </c>
      <c r="K956" t="s">
        <v>250</v>
      </c>
      <c r="L956">
        <v>1280000</v>
      </c>
      <c r="M956" t="s">
        <v>242</v>
      </c>
      <c r="N956" t="s">
        <v>339</v>
      </c>
    </row>
    <row r="957" spans="1:16" hidden="1" x14ac:dyDescent="0.25">
      <c r="A957" s="16">
        <v>45627</v>
      </c>
      <c r="B957" t="s">
        <v>120</v>
      </c>
      <c r="C957">
        <v>61</v>
      </c>
      <c r="D957" t="s">
        <v>291</v>
      </c>
      <c r="E957" t="s">
        <v>292</v>
      </c>
      <c r="F957" t="s">
        <v>240</v>
      </c>
      <c r="G957" t="s">
        <v>82</v>
      </c>
      <c r="H957" t="s">
        <v>138</v>
      </c>
      <c r="J957" t="s">
        <v>192</v>
      </c>
      <c r="K957" t="s">
        <v>250</v>
      </c>
      <c r="L957">
        <v>5150000</v>
      </c>
      <c r="M957" t="s">
        <v>242</v>
      </c>
      <c r="N957" t="s">
        <v>1011</v>
      </c>
    </row>
    <row r="958" spans="1:16" hidden="1" x14ac:dyDescent="0.25">
      <c r="A958" s="16">
        <v>45627</v>
      </c>
      <c r="B958" t="s">
        <v>120</v>
      </c>
      <c r="C958">
        <v>62</v>
      </c>
      <c r="D958" t="s">
        <v>253</v>
      </c>
      <c r="E958" t="s">
        <v>248</v>
      </c>
      <c r="F958" t="s">
        <v>244</v>
      </c>
      <c r="G958" t="s">
        <v>82</v>
      </c>
      <c r="J958" t="s">
        <v>190</v>
      </c>
      <c r="K958" t="s">
        <v>255</v>
      </c>
      <c r="L958">
        <v>1110000000</v>
      </c>
      <c r="M958" t="s">
        <v>245</v>
      </c>
      <c r="N958" t="s">
        <v>650</v>
      </c>
      <c r="O958">
        <v>1</v>
      </c>
      <c r="P958" t="s">
        <v>257</v>
      </c>
    </row>
    <row r="959" spans="1:16" hidden="1" x14ac:dyDescent="0.25">
      <c r="A959" s="16">
        <v>45627</v>
      </c>
      <c r="B959" t="s">
        <v>120</v>
      </c>
      <c r="C959">
        <v>62</v>
      </c>
      <c r="D959" t="s">
        <v>253</v>
      </c>
      <c r="E959" t="s">
        <v>248</v>
      </c>
      <c r="F959" t="s">
        <v>244</v>
      </c>
      <c r="G959" t="s">
        <v>82</v>
      </c>
      <c r="J959" t="s">
        <v>191</v>
      </c>
      <c r="K959" t="s">
        <v>255</v>
      </c>
      <c r="L959">
        <v>970000000</v>
      </c>
      <c r="M959" t="s">
        <v>245</v>
      </c>
      <c r="N959" t="s">
        <v>829</v>
      </c>
      <c r="O959">
        <v>1</v>
      </c>
      <c r="P959" t="s">
        <v>257</v>
      </c>
    </row>
    <row r="960" spans="1:16" hidden="1" x14ac:dyDescent="0.25">
      <c r="A960" s="16">
        <v>45627</v>
      </c>
      <c r="B960" t="s">
        <v>120</v>
      </c>
      <c r="C960">
        <v>62</v>
      </c>
      <c r="D960" t="s">
        <v>253</v>
      </c>
      <c r="E960" t="s">
        <v>248</v>
      </c>
      <c r="F960" t="s">
        <v>244</v>
      </c>
      <c r="G960" t="s">
        <v>82</v>
      </c>
      <c r="J960" t="s">
        <v>192</v>
      </c>
      <c r="K960" t="s">
        <v>255</v>
      </c>
      <c r="L960">
        <v>1340000000</v>
      </c>
      <c r="M960" t="s">
        <v>245</v>
      </c>
      <c r="N960" t="s">
        <v>448</v>
      </c>
      <c r="O960">
        <v>1</v>
      </c>
      <c r="P960" t="s">
        <v>261</v>
      </c>
    </row>
    <row r="961" spans="1:16" hidden="1" x14ac:dyDescent="0.25">
      <c r="A961" s="16">
        <v>45627</v>
      </c>
      <c r="B961" t="s">
        <v>120</v>
      </c>
      <c r="C961">
        <v>62</v>
      </c>
      <c r="D961" t="s">
        <v>247</v>
      </c>
      <c r="E961" t="s">
        <v>248</v>
      </c>
      <c r="F961" t="s">
        <v>244</v>
      </c>
      <c r="G961" t="s">
        <v>82</v>
      </c>
      <c r="H961" t="s">
        <v>286</v>
      </c>
      <c r="J961" t="s">
        <v>192</v>
      </c>
      <c r="K961" t="s">
        <v>250</v>
      </c>
      <c r="L961">
        <v>37.9</v>
      </c>
      <c r="M961" t="s">
        <v>251</v>
      </c>
      <c r="N961" t="s">
        <v>1012</v>
      </c>
    </row>
    <row r="962" spans="1:16" hidden="1" x14ac:dyDescent="0.25">
      <c r="A962" s="16">
        <v>45627</v>
      </c>
      <c r="B962" t="s">
        <v>120</v>
      </c>
      <c r="C962">
        <v>63</v>
      </c>
      <c r="D962" t="s">
        <v>291</v>
      </c>
      <c r="E962" t="s">
        <v>292</v>
      </c>
      <c r="F962" t="s">
        <v>244</v>
      </c>
      <c r="G962" t="s">
        <v>82</v>
      </c>
      <c r="H962" t="s">
        <v>140</v>
      </c>
      <c r="J962" t="s">
        <v>192</v>
      </c>
      <c r="K962" t="s">
        <v>250</v>
      </c>
      <c r="L962">
        <v>13000000</v>
      </c>
      <c r="M962" t="s">
        <v>245</v>
      </c>
      <c r="N962" t="s">
        <v>403</v>
      </c>
    </row>
    <row r="963" spans="1:16" hidden="1" x14ac:dyDescent="0.25">
      <c r="A963" s="16">
        <v>45627</v>
      </c>
      <c r="B963" t="s">
        <v>120</v>
      </c>
      <c r="C963">
        <v>63</v>
      </c>
      <c r="D963" t="s">
        <v>291</v>
      </c>
      <c r="E963" t="s">
        <v>292</v>
      </c>
      <c r="F963" t="s">
        <v>244</v>
      </c>
      <c r="G963" t="s">
        <v>82</v>
      </c>
      <c r="H963" t="s">
        <v>126</v>
      </c>
      <c r="J963" t="s">
        <v>192</v>
      </c>
      <c r="K963" t="s">
        <v>250</v>
      </c>
      <c r="L963">
        <v>32000000</v>
      </c>
      <c r="M963" t="s">
        <v>245</v>
      </c>
      <c r="N963" t="s">
        <v>1013</v>
      </c>
    </row>
    <row r="964" spans="1:16" hidden="1" x14ac:dyDescent="0.25">
      <c r="A964" s="16">
        <v>45627</v>
      </c>
      <c r="B964" t="s">
        <v>120</v>
      </c>
      <c r="C964">
        <v>63</v>
      </c>
      <c r="D964" t="s">
        <v>291</v>
      </c>
      <c r="E964" t="s">
        <v>292</v>
      </c>
      <c r="F964" t="s">
        <v>244</v>
      </c>
      <c r="G964" t="s">
        <v>82</v>
      </c>
      <c r="H964" t="s">
        <v>127</v>
      </c>
      <c r="J964" t="s">
        <v>192</v>
      </c>
      <c r="K964" t="s">
        <v>250</v>
      </c>
      <c r="L964">
        <v>46000000</v>
      </c>
      <c r="M964" t="s">
        <v>245</v>
      </c>
      <c r="N964" t="s">
        <v>1014</v>
      </c>
    </row>
    <row r="965" spans="1:16" hidden="1" x14ac:dyDescent="0.25">
      <c r="A965" s="16">
        <v>45627</v>
      </c>
      <c r="B965" t="s">
        <v>120</v>
      </c>
      <c r="C965">
        <v>63</v>
      </c>
      <c r="D965" t="s">
        <v>291</v>
      </c>
      <c r="E965" t="s">
        <v>292</v>
      </c>
      <c r="F965" t="s">
        <v>244</v>
      </c>
      <c r="G965" t="s">
        <v>82</v>
      </c>
      <c r="H965" t="s">
        <v>128</v>
      </c>
      <c r="J965" t="s">
        <v>192</v>
      </c>
      <c r="K965" t="s">
        <v>250</v>
      </c>
      <c r="L965">
        <v>19000000</v>
      </c>
      <c r="M965" t="s">
        <v>245</v>
      </c>
      <c r="N965" t="s">
        <v>1015</v>
      </c>
    </row>
    <row r="966" spans="1:16" hidden="1" x14ac:dyDescent="0.25">
      <c r="A966" s="16">
        <v>45627</v>
      </c>
      <c r="B966" t="s">
        <v>120</v>
      </c>
      <c r="C966">
        <v>63</v>
      </c>
      <c r="D966" t="s">
        <v>291</v>
      </c>
      <c r="E966" t="s">
        <v>292</v>
      </c>
      <c r="F966" t="s">
        <v>244</v>
      </c>
      <c r="G966" t="s">
        <v>82</v>
      </c>
      <c r="H966" t="s">
        <v>129</v>
      </c>
      <c r="J966" t="s">
        <v>192</v>
      </c>
      <c r="K966" t="s">
        <v>250</v>
      </c>
      <c r="L966">
        <v>866000000</v>
      </c>
      <c r="M966" t="s">
        <v>245</v>
      </c>
      <c r="N966" t="s">
        <v>1016</v>
      </c>
    </row>
    <row r="967" spans="1:16" hidden="1" x14ac:dyDescent="0.25">
      <c r="A967" s="16">
        <v>45627</v>
      </c>
      <c r="B967" t="s">
        <v>120</v>
      </c>
      <c r="C967">
        <v>63</v>
      </c>
      <c r="D967" t="s">
        <v>291</v>
      </c>
      <c r="E967" t="s">
        <v>292</v>
      </c>
      <c r="F967" t="s">
        <v>244</v>
      </c>
      <c r="G967" t="s">
        <v>82</v>
      </c>
      <c r="H967" t="s">
        <v>130</v>
      </c>
      <c r="J967" t="s">
        <v>192</v>
      </c>
      <c r="K967" t="s">
        <v>250</v>
      </c>
      <c r="L967">
        <v>33000000</v>
      </c>
      <c r="M967" t="s">
        <v>245</v>
      </c>
      <c r="N967" t="s">
        <v>1017</v>
      </c>
    </row>
    <row r="968" spans="1:16" hidden="1" x14ac:dyDescent="0.25">
      <c r="A968" s="16">
        <v>45627</v>
      </c>
      <c r="B968" t="s">
        <v>120</v>
      </c>
      <c r="C968">
        <v>63</v>
      </c>
      <c r="D968" t="s">
        <v>291</v>
      </c>
      <c r="E968" t="s">
        <v>292</v>
      </c>
      <c r="F968" t="s">
        <v>244</v>
      </c>
      <c r="G968" t="s">
        <v>82</v>
      </c>
      <c r="H968" t="s">
        <v>131</v>
      </c>
      <c r="J968" t="s">
        <v>192</v>
      </c>
      <c r="K968" t="s">
        <v>250</v>
      </c>
      <c r="L968">
        <v>15000000</v>
      </c>
      <c r="M968" t="s">
        <v>245</v>
      </c>
      <c r="N968" t="s">
        <v>1018</v>
      </c>
    </row>
    <row r="969" spans="1:16" hidden="1" x14ac:dyDescent="0.25">
      <c r="A969" s="16">
        <v>45627</v>
      </c>
      <c r="B969" t="s">
        <v>120</v>
      </c>
      <c r="C969">
        <v>63</v>
      </c>
      <c r="D969" t="s">
        <v>291</v>
      </c>
      <c r="E969" t="s">
        <v>292</v>
      </c>
      <c r="F969" t="s">
        <v>244</v>
      </c>
      <c r="G969" t="s">
        <v>82</v>
      </c>
      <c r="H969" t="s">
        <v>132</v>
      </c>
      <c r="J969" t="s">
        <v>192</v>
      </c>
      <c r="K969" t="s">
        <v>250</v>
      </c>
      <c r="L969">
        <v>6000000</v>
      </c>
      <c r="M969" t="s">
        <v>245</v>
      </c>
      <c r="N969" t="s">
        <v>1019</v>
      </c>
    </row>
    <row r="970" spans="1:16" hidden="1" x14ac:dyDescent="0.25">
      <c r="A970" s="16">
        <v>45627</v>
      </c>
      <c r="B970" t="s">
        <v>120</v>
      </c>
      <c r="C970">
        <v>63</v>
      </c>
      <c r="D970" t="s">
        <v>291</v>
      </c>
      <c r="E970" t="s">
        <v>292</v>
      </c>
      <c r="F970" t="s">
        <v>244</v>
      </c>
      <c r="G970" t="s">
        <v>82</v>
      </c>
      <c r="H970" t="s">
        <v>133</v>
      </c>
      <c r="J970" t="s">
        <v>192</v>
      </c>
      <c r="K970" t="s">
        <v>250</v>
      </c>
      <c r="L970">
        <v>231000000</v>
      </c>
      <c r="M970" t="s">
        <v>245</v>
      </c>
      <c r="N970" t="s">
        <v>1020</v>
      </c>
    </row>
    <row r="971" spans="1:16" hidden="1" x14ac:dyDescent="0.25">
      <c r="A971" s="16">
        <v>45627</v>
      </c>
      <c r="B971" t="s">
        <v>120</v>
      </c>
      <c r="C971">
        <v>63</v>
      </c>
      <c r="D971" t="s">
        <v>291</v>
      </c>
      <c r="E971" t="s">
        <v>292</v>
      </c>
      <c r="F971" t="s">
        <v>244</v>
      </c>
      <c r="G971" t="s">
        <v>82</v>
      </c>
      <c r="H971" t="s">
        <v>134</v>
      </c>
      <c r="J971" t="s">
        <v>192</v>
      </c>
      <c r="K971" t="s">
        <v>250</v>
      </c>
      <c r="L971">
        <v>72000000</v>
      </c>
      <c r="M971" t="s">
        <v>245</v>
      </c>
      <c r="N971" t="s">
        <v>1021</v>
      </c>
    </row>
    <row r="972" spans="1:16" hidden="1" x14ac:dyDescent="0.25">
      <c r="A972" s="16">
        <v>45627</v>
      </c>
      <c r="B972" t="s">
        <v>120</v>
      </c>
      <c r="C972">
        <v>64</v>
      </c>
      <c r="D972" t="s">
        <v>291</v>
      </c>
      <c r="E972" t="s">
        <v>292</v>
      </c>
      <c r="F972" t="s">
        <v>244</v>
      </c>
      <c r="G972" t="s">
        <v>82</v>
      </c>
      <c r="H972" t="s">
        <v>137</v>
      </c>
      <c r="J972" t="s">
        <v>192</v>
      </c>
      <c r="K972" t="s">
        <v>250</v>
      </c>
      <c r="L972">
        <v>239200000</v>
      </c>
      <c r="M972" t="s">
        <v>245</v>
      </c>
      <c r="N972" t="s">
        <v>1022</v>
      </c>
    </row>
    <row r="973" spans="1:16" hidden="1" x14ac:dyDescent="0.25">
      <c r="A973" s="16">
        <v>45627</v>
      </c>
      <c r="B973" t="s">
        <v>120</v>
      </c>
      <c r="C973">
        <v>64</v>
      </c>
      <c r="D973" t="s">
        <v>291</v>
      </c>
      <c r="E973" t="s">
        <v>292</v>
      </c>
      <c r="F973" t="s">
        <v>244</v>
      </c>
      <c r="G973" t="s">
        <v>82</v>
      </c>
      <c r="H973" t="s">
        <v>138</v>
      </c>
      <c r="J973" t="s">
        <v>192</v>
      </c>
      <c r="K973" t="s">
        <v>250</v>
      </c>
      <c r="L973">
        <v>1100000000</v>
      </c>
      <c r="M973" t="s">
        <v>245</v>
      </c>
      <c r="N973" t="s">
        <v>1023</v>
      </c>
    </row>
    <row r="974" spans="1:16" hidden="1" x14ac:dyDescent="0.25">
      <c r="A974" s="16">
        <v>45627</v>
      </c>
      <c r="B974" t="s">
        <v>120</v>
      </c>
      <c r="C974">
        <v>65</v>
      </c>
      <c r="D974" t="s">
        <v>253</v>
      </c>
      <c r="E974" t="s">
        <v>248</v>
      </c>
      <c r="F974" t="s">
        <v>334</v>
      </c>
      <c r="G974" t="s">
        <v>82</v>
      </c>
      <c r="J974" t="s">
        <v>190</v>
      </c>
      <c r="K974" t="s">
        <v>255</v>
      </c>
      <c r="L974">
        <v>185</v>
      </c>
      <c r="M974" t="s">
        <v>245</v>
      </c>
      <c r="N974" t="s">
        <v>659</v>
      </c>
      <c r="O974">
        <v>1</v>
      </c>
      <c r="P974" t="s">
        <v>257</v>
      </c>
    </row>
    <row r="975" spans="1:16" hidden="1" x14ac:dyDescent="0.25">
      <c r="A975" s="16">
        <v>45627</v>
      </c>
      <c r="B975" t="s">
        <v>120</v>
      </c>
      <c r="C975">
        <v>65</v>
      </c>
      <c r="D975" t="s">
        <v>253</v>
      </c>
      <c r="E975" t="s">
        <v>248</v>
      </c>
      <c r="F975" t="s">
        <v>334</v>
      </c>
      <c r="G975" t="s">
        <v>82</v>
      </c>
      <c r="J975" t="s">
        <v>191</v>
      </c>
      <c r="K975" t="s">
        <v>255</v>
      </c>
      <c r="L975">
        <v>188</v>
      </c>
      <c r="M975" t="s">
        <v>245</v>
      </c>
      <c r="N975" t="s">
        <v>839</v>
      </c>
      <c r="O975">
        <v>1</v>
      </c>
      <c r="P975" t="s">
        <v>257</v>
      </c>
    </row>
    <row r="976" spans="1:16" hidden="1" x14ac:dyDescent="0.25">
      <c r="A976" s="16">
        <v>45627</v>
      </c>
      <c r="B976" t="s">
        <v>120</v>
      </c>
      <c r="C976">
        <v>65</v>
      </c>
      <c r="D976" t="s">
        <v>253</v>
      </c>
      <c r="E976" t="s">
        <v>248</v>
      </c>
      <c r="F976" t="s">
        <v>334</v>
      </c>
      <c r="G976" t="s">
        <v>82</v>
      </c>
      <c r="J976" t="s">
        <v>192</v>
      </c>
      <c r="K976" t="s">
        <v>255</v>
      </c>
      <c r="L976">
        <v>209</v>
      </c>
      <c r="M976" t="s">
        <v>245</v>
      </c>
      <c r="N976" t="s">
        <v>1024</v>
      </c>
      <c r="O976">
        <v>1</v>
      </c>
      <c r="P976" t="s">
        <v>261</v>
      </c>
    </row>
    <row r="977" spans="1:16" hidden="1" x14ac:dyDescent="0.25">
      <c r="A977" s="16">
        <v>45627</v>
      </c>
      <c r="B977" t="s">
        <v>162</v>
      </c>
      <c r="C977">
        <v>42</v>
      </c>
      <c r="D977" t="s">
        <v>238</v>
      </c>
      <c r="E977" t="s">
        <v>239</v>
      </c>
      <c r="F977" t="s">
        <v>240</v>
      </c>
      <c r="G977" t="s">
        <v>82</v>
      </c>
      <c r="J977" t="s">
        <v>192</v>
      </c>
      <c r="K977" t="s">
        <v>241</v>
      </c>
      <c r="L977">
        <v>140740000</v>
      </c>
      <c r="M977" t="s">
        <v>242</v>
      </c>
      <c r="N977" t="s">
        <v>1025</v>
      </c>
    </row>
    <row r="978" spans="1:16" hidden="1" x14ac:dyDescent="0.25">
      <c r="A978" s="16">
        <v>45627</v>
      </c>
      <c r="B978" t="s">
        <v>162</v>
      </c>
      <c r="C978">
        <v>42</v>
      </c>
      <c r="D978" t="s">
        <v>238</v>
      </c>
      <c r="E978" t="s">
        <v>239</v>
      </c>
      <c r="F978" t="s">
        <v>244</v>
      </c>
      <c r="G978" t="s">
        <v>82</v>
      </c>
      <c r="J978" t="s">
        <v>192</v>
      </c>
      <c r="K978" t="s">
        <v>241</v>
      </c>
      <c r="L978">
        <v>17330000000</v>
      </c>
      <c r="M978" t="s">
        <v>245</v>
      </c>
      <c r="N978" t="s">
        <v>1026</v>
      </c>
    </row>
    <row r="979" spans="1:16" hidden="1" x14ac:dyDescent="0.25">
      <c r="A979" s="16">
        <v>45627</v>
      </c>
      <c r="B979" t="s">
        <v>162</v>
      </c>
      <c r="C979">
        <v>43</v>
      </c>
      <c r="D979" t="s">
        <v>253</v>
      </c>
      <c r="E979" t="s">
        <v>248</v>
      </c>
      <c r="F979" t="s">
        <v>240</v>
      </c>
      <c r="G979" t="s">
        <v>82</v>
      </c>
      <c r="J979" t="s">
        <v>190</v>
      </c>
      <c r="K979" t="s">
        <v>255</v>
      </c>
      <c r="L979">
        <v>14450000</v>
      </c>
      <c r="M979" t="s">
        <v>242</v>
      </c>
      <c r="N979" t="s">
        <v>662</v>
      </c>
      <c r="O979">
        <v>1</v>
      </c>
      <c r="P979" t="s">
        <v>257</v>
      </c>
    </row>
    <row r="980" spans="1:16" hidden="1" x14ac:dyDescent="0.25">
      <c r="A980" s="16">
        <v>45627</v>
      </c>
      <c r="B980" t="s">
        <v>162</v>
      </c>
      <c r="C980">
        <v>43</v>
      </c>
      <c r="D980" t="s">
        <v>253</v>
      </c>
      <c r="E980" t="s">
        <v>248</v>
      </c>
      <c r="F980" t="s">
        <v>240</v>
      </c>
      <c r="G980" t="s">
        <v>82</v>
      </c>
      <c r="J980" t="s">
        <v>191</v>
      </c>
      <c r="K980" t="s">
        <v>255</v>
      </c>
      <c r="L980">
        <v>14550000</v>
      </c>
      <c r="M980" t="s">
        <v>242</v>
      </c>
      <c r="N980" t="s">
        <v>842</v>
      </c>
      <c r="O980">
        <v>1</v>
      </c>
      <c r="P980" t="s">
        <v>257</v>
      </c>
    </row>
    <row r="981" spans="1:16" hidden="1" x14ac:dyDescent="0.25">
      <c r="A981" s="16">
        <v>45627</v>
      </c>
      <c r="B981" t="s">
        <v>162</v>
      </c>
      <c r="C981">
        <v>43</v>
      </c>
      <c r="D981" t="s">
        <v>253</v>
      </c>
      <c r="E981" t="s">
        <v>248</v>
      </c>
      <c r="F981" t="s">
        <v>240</v>
      </c>
      <c r="G981" t="s">
        <v>82</v>
      </c>
      <c r="J981" t="s">
        <v>192</v>
      </c>
      <c r="K981" t="s">
        <v>255</v>
      </c>
      <c r="L981">
        <v>16250000</v>
      </c>
      <c r="M981" t="s">
        <v>242</v>
      </c>
      <c r="N981" t="s">
        <v>1027</v>
      </c>
      <c r="O981">
        <v>1</v>
      </c>
      <c r="P981" t="s">
        <v>261</v>
      </c>
    </row>
    <row r="982" spans="1:16" hidden="1" x14ac:dyDescent="0.25">
      <c r="A982" s="16">
        <v>45627</v>
      </c>
      <c r="B982" t="s">
        <v>162</v>
      </c>
      <c r="C982">
        <v>43</v>
      </c>
      <c r="D982" t="s">
        <v>247</v>
      </c>
      <c r="E982" t="s">
        <v>248</v>
      </c>
      <c r="F982" t="s">
        <v>240</v>
      </c>
      <c r="G982" t="s">
        <v>82</v>
      </c>
      <c r="H982" t="s">
        <v>286</v>
      </c>
      <c r="J982" t="s">
        <v>192</v>
      </c>
      <c r="K982" t="s">
        <v>250</v>
      </c>
      <c r="L982">
        <v>11.7</v>
      </c>
      <c r="M982" t="s">
        <v>251</v>
      </c>
      <c r="N982" t="s">
        <v>1028</v>
      </c>
    </row>
    <row r="983" spans="1:16" hidden="1" x14ac:dyDescent="0.25">
      <c r="A983" s="16">
        <v>45627</v>
      </c>
      <c r="B983" t="s">
        <v>162</v>
      </c>
      <c r="C983">
        <v>44</v>
      </c>
      <c r="D983" t="s">
        <v>291</v>
      </c>
      <c r="E983" t="s">
        <v>292</v>
      </c>
      <c r="F983" t="s">
        <v>240</v>
      </c>
      <c r="G983" t="s">
        <v>82</v>
      </c>
      <c r="H983" t="s">
        <v>164</v>
      </c>
      <c r="J983" t="s">
        <v>192</v>
      </c>
      <c r="K983" t="s">
        <v>250</v>
      </c>
      <c r="L983">
        <v>7220000</v>
      </c>
      <c r="M983" t="s">
        <v>242</v>
      </c>
      <c r="N983" t="s">
        <v>1029</v>
      </c>
    </row>
    <row r="984" spans="1:16" hidden="1" x14ac:dyDescent="0.25">
      <c r="A984" s="16">
        <v>45627</v>
      </c>
      <c r="B984" t="s">
        <v>162</v>
      </c>
      <c r="C984">
        <v>44</v>
      </c>
      <c r="D984" t="s">
        <v>291</v>
      </c>
      <c r="E984" t="s">
        <v>292</v>
      </c>
      <c r="F984" t="s">
        <v>240</v>
      </c>
      <c r="G984" t="s">
        <v>82</v>
      </c>
      <c r="H984" t="s">
        <v>165</v>
      </c>
      <c r="J984" t="s">
        <v>192</v>
      </c>
      <c r="K984" t="s">
        <v>250</v>
      </c>
      <c r="L984">
        <v>2770000</v>
      </c>
      <c r="M984" t="s">
        <v>242</v>
      </c>
      <c r="N984" t="s">
        <v>1030</v>
      </c>
    </row>
    <row r="985" spans="1:16" hidden="1" x14ac:dyDescent="0.25">
      <c r="A985" s="16">
        <v>45627</v>
      </c>
      <c r="B985" t="s">
        <v>162</v>
      </c>
      <c r="C985">
        <v>44</v>
      </c>
      <c r="D985" t="s">
        <v>291</v>
      </c>
      <c r="E985" t="s">
        <v>292</v>
      </c>
      <c r="F985" t="s">
        <v>240</v>
      </c>
      <c r="G985" t="s">
        <v>82</v>
      </c>
      <c r="H985" t="s">
        <v>166</v>
      </c>
      <c r="J985" t="s">
        <v>192</v>
      </c>
      <c r="K985" t="s">
        <v>250</v>
      </c>
      <c r="L985">
        <v>1860000</v>
      </c>
      <c r="M985" t="s">
        <v>242</v>
      </c>
      <c r="N985" t="s">
        <v>1031</v>
      </c>
    </row>
    <row r="986" spans="1:16" hidden="1" x14ac:dyDescent="0.25">
      <c r="A986" s="16">
        <v>45627</v>
      </c>
      <c r="B986" t="s">
        <v>162</v>
      </c>
      <c r="C986">
        <v>44</v>
      </c>
      <c r="D986" t="s">
        <v>291</v>
      </c>
      <c r="E986" t="s">
        <v>292</v>
      </c>
      <c r="F986" t="s">
        <v>240</v>
      </c>
      <c r="G986" t="s">
        <v>82</v>
      </c>
      <c r="H986" t="s">
        <v>167</v>
      </c>
      <c r="J986" t="s">
        <v>192</v>
      </c>
      <c r="K986" t="s">
        <v>250</v>
      </c>
      <c r="L986">
        <v>4270000</v>
      </c>
      <c r="M986" t="s">
        <v>242</v>
      </c>
      <c r="N986" t="s">
        <v>1032</v>
      </c>
    </row>
    <row r="987" spans="1:16" hidden="1" x14ac:dyDescent="0.25">
      <c r="A987" s="16">
        <v>45627</v>
      </c>
      <c r="B987" t="s">
        <v>162</v>
      </c>
      <c r="C987">
        <v>45</v>
      </c>
      <c r="D987" t="s">
        <v>253</v>
      </c>
      <c r="E987" t="s">
        <v>248</v>
      </c>
      <c r="F987" t="s">
        <v>428</v>
      </c>
      <c r="G987" t="s">
        <v>82</v>
      </c>
      <c r="J987" t="s">
        <v>190</v>
      </c>
      <c r="K987" t="s">
        <v>255</v>
      </c>
      <c r="L987">
        <v>12700000</v>
      </c>
      <c r="M987" t="s">
        <v>242</v>
      </c>
      <c r="N987" t="s">
        <v>667</v>
      </c>
      <c r="O987">
        <v>1</v>
      </c>
      <c r="P987" t="s">
        <v>257</v>
      </c>
    </row>
    <row r="988" spans="1:16" hidden="1" x14ac:dyDescent="0.25">
      <c r="A988" s="16">
        <v>45627</v>
      </c>
      <c r="B988" t="s">
        <v>162</v>
      </c>
      <c r="C988">
        <v>45</v>
      </c>
      <c r="D988" t="s">
        <v>253</v>
      </c>
      <c r="E988" t="s">
        <v>248</v>
      </c>
      <c r="F988" t="s">
        <v>428</v>
      </c>
      <c r="G988" t="s">
        <v>82</v>
      </c>
      <c r="J988" t="s">
        <v>191</v>
      </c>
      <c r="K988" t="s">
        <v>255</v>
      </c>
      <c r="L988">
        <v>12810000</v>
      </c>
      <c r="M988" t="s">
        <v>242</v>
      </c>
      <c r="N988" t="s">
        <v>846</v>
      </c>
      <c r="O988">
        <v>1</v>
      </c>
      <c r="P988" t="s">
        <v>257</v>
      </c>
    </row>
    <row r="989" spans="1:16" hidden="1" x14ac:dyDescent="0.25">
      <c r="A989" s="16">
        <v>45627</v>
      </c>
      <c r="B989" t="s">
        <v>162</v>
      </c>
      <c r="C989">
        <v>45</v>
      </c>
      <c r="D989" t="s">
        <v>253</v>
      </c>
      <c r="E989" t="s">
        <v>248</v>
      </c>
      <c r="F989" t="s">
        <v>428</v>
      </c>
      <c r="G989" t="s">
        <v>82</v>
      </c>
      <c r="J989" t="s">
        <v>192</v>
      </c>
      <c r="K989" t="s">
        <v>255</v>
      </c>
      <c r="L989">
        <v>14290000</v>
      </c>
      <c r="M989" t="s">
        <v>242</v>
      </c>
      <c r="N989" t="s">
        <v>1033</v>
      </c>
      <c r="O989">
        <v>1</v>
      </c>
      <c r="P989" t="s">
        <v>261</v>
      </c>
    </row>
    <row r="990" spans="1:16" hidden="1" x14ac:dyDescent="0.25">
      <c r="A990" s="16">
        <v>45627</v>
      </c>
      <c r="B990" t="s">
        <v>162</v>
      </c>
      <c r="C990">
        <v>45</v>
      </c>
      <c r="D990" t="s">
        <v>247</v>
      </c>
      <c r="E990" t="s">
        <v>248</v>
      </c>
      <c r="F990" t="s">
        <v>428</v>
      </c>
      <c r="G990" t="s">
        <v>82</v>
      </c>
      <c r="H990" t="s">
        <v>286</v>
      </c>
      <c r="J990" t="s">
        <v>192</v>
      </c>
      <c r="K990" t="s">
        <v>250</v>
      </c>
      <c r="L990">
        <v>11.6</v>
      </c>
      <c r="M990" t="s">
        <v>251</v>
      </c>
      <c r="N990" t="s">
        <v>318</v>
      </c>
    </row>
    <row r="991" spans="1:16" hidden="1" x14ac:dyDescent="0.25">
      <c r="A991" s="16">
        <v>45627</v>
      </c>
      <c r="B991" t="s">
        <v>162</v>
      </c>
      <c r="C991">
        <v>46</v>
      </c>
      <c r="D991" t="s">
        <v>291</v>
      </c>
      <c r="E991" t="s">
        <v>292</v>
      </c>
      <c r="F991" t="s">
        <v>428</v>
      </c>
      <c r="G991" t="s">
        <v>82</v>
      </c>
      <c r="H991" t="s">
        <v>94</v>
      </c>
      <c r="J991" t="s">
        <v>192</v>
      </c>
      <c r="K991" t="s">
        <v>250</v>
      </c>
      <c r="L991">
        <v>10600000</v>
      </c>
      <c r="M991" t="s">
        <v>242</v>
      </c>
      <c r="N991" t="s">
        <v>1034</v>
      </c>
    </row>
    <row r="992" spans="1:16" hidden="1" x14ac:dyDescent="0.25">
      <c r="A992" s="16">
        <v>45627</v>
      </c>
      <c r="B992" t="s">
        <v>162</v>
      </c>
      <c r="C992">
        <v>46</v>
      </c>
      <c r="D992" t="s">
        <v>291</v>
      </c>
      <c r="E992" t="s">
        <v>292</v>
      </c>
      <c r="F992" t="s">
        <v>428</v>
      </c>
      <c r="G992" t="s">
        <v>82</v>
      </c>
      <c r="H992" t="s">
        <v>95</v>
      </c>
      <c r="J992" t="s">
        <v>192</v>
      </c>
      <c r="K992" t="s">
        <v>250</v>
      </c>
      <c r="L992">
        <v>3710000</v>
      </c>
      <c r="M992" t="s">
        <v>242</v>
      </c>
      <c r="N992" t="s">
        <v>338</v>
      </c>
    </row>
    <row r="993" spans="1:16" hidden="1" x14ac:dyDescent="0.25">
      <c r="A993" s="16">
        <v>45627</v>
      </c>
      <c r="B993" t="s">
        <v>162</v>
      </c>
      <c r="C993">
        <v>47</v>
      </c>
      <c r="D993" t="s">
        <v>291</v>
      </c>
      <c r="E993" t="s">
        <v>292</v>
      </c>
      <c r="F993" t="s">
        <v>428</v>
      </c>
      <c r="G993" t="s">
        <v>82</v>
      </c>
      <c r="H993" t="s">
        <v>173</v>
      </c>
      <c r="J993" t="s">
        <v>192</v>
      </c>
      <c r="K993" t="s">
        <v>250</v>
      </c>
      <c r="L993">
        <v>2290000</v>
      </c>
      <c r="M993" t="s">
        <v>242</v>
      </c>
      <c r="N993" t="s">
        <v>1035</v>
      </c>
    </row>
    <row r="994" spans="1:16" hidden="1" x14ac:dyDescent="0.25">
      <c r="A994" s="16">
        <v>45627</v>
      </c>
      <c r="B994" t="s">
        <v>162</v>
      </c>
      <c r="C994">
        <v>47</v>
      </c>
      <c r="D994" t="s">
        <v>291</v>
      </c>
      <c r="E994" t="s">
        <v>292</v>
      </c>
      <c r="F994" t="s">
        <v>428</v>
      </c>
      <c r="G994" t="s">
        <v>82</v>
      </c>
      <c r="H994" t="s">
        <v>174</v>
      </c>
      <c r="J994" t="s">
        <v>192</v>
      </c>
      <c r="K994" t="s">
        <v>250</v>
      </c>
      <c r="L994">
        <v>1840000</v>
      </c>
      <c r="M994" t="s">
        <v>242</v>
      </c>
      <c r="N994" t="s">
        <v>1036</v>
      </c>
    </row>
    <row r="995" spans="1:16" hidden="1" x14ac:dyDescent="0.25">
      <c r="A995" s="16">
        <v>45627</v>
      </c>
      <c r="B995" t="s">
        <v>162</v>
      </c>
      <c r="C995">
        <v>48</v>
      </c>
      <c r="D995" t="s">
        <v>253</v>
      </c>
      <c r="E995" t="s">
        <v>248</v>
      </c>
      <c r="F995" t="s">
        <v>244</v>
      </c>
      <c r="G995" t="s">
        <v>82</v>
      </c>
      <c r="J995" t="s">
        <v>190</v>
      </c>
      <c r="K995" t="s">
        <v>255</v>
      </c>
      <c r="L995">
        <v>1690000000</v>
      </c>
      <c r="M995" t="s">
        <v>245</v>
      </c>
      <c r="N995" t="s">
        <v>673</v>
      </c>
      <c r="O995">
        <v>1</v>
      </c>
      <c r="P995" t="s">
        <v>257</v>
      </c>
    </row>
    <row r="996" spans="1:16" hidden="1" x14ac:dyDescent="0.25">
      <c r="A996" s="16">
        <v>45627</v>
      </c>
      <c r="B996" t="s">
        <v>162</v>
      </c>
      <c r="C996">
        <v>48</v>
      </c>
      <c r="D996" t="s">
        <v>253</v>
      </c>
      <c r="E996" t="s">
        <v>248</v>
      </c>
      <c r="F996" t="s">
        <v>244</v>
      </c>
      <c r="G996" t="s">
        <v>82</v>
      </c>
      <c r="J996" t="s">
        <v>191</v>
      </c>
      <c r="K996" t="s">
        <v>255</v>
      </c>
      <c r="L996">
        <v>1620000000</v>
      </c>
      <c r="M996" t="s">
        <v>245</v>
      </c>
      <c r="N996" t="s">
        <v>439</v>
      </c>
      <c r="O996">
        <v>1</v>
      </c>
      <c r="P996" t="s">
        <v>257</v>
      </c>
    </row>
    <row r="997" spans="1:16" hidden="1" x14ac:dyDescent="0.25">
      <c r="A997" s="16">
        <v>45627</v>
      </c>
      <c r="B997" t="s">
        <v>162</v>
      </c>
      <c r="C997">
        <v>48</v>
      </c>
      <c r="D997" t="s">
        <v>253</v>
      </c>
      <c r="E997" t="s">
        <v>248</v>
      </c>
      <c r="F997" t="s">
        <v>244</v>
      </c>
      <c r="G997" t="s">
        <v>82</v>
      </c>
      <c r="J997" t="s">
        <v>192</v>
      </c>
      <c r="K997" t="s">
        <v>255</v>
      </c>
      <c r="L997">
        <v>1830000000</v>
      </c>
      <c r="M997" t="s">
        <v>245</v>
      </c>
      <c r="N997" t="s">
        <v>1037</v>
      </c>
      <c r="O997">
        <v>1</v>
      </c>
      <c r="P997" t="s">
        <v>261</v>
      </c>
    </row>
    <row r="998" spans="1:16" hidden="1" x14ac:dyDescent="0.25">
      <c r="A998" s="16">
        <v>45627</v>
      </c>
      <c r="B998" t="s">
        <v>162</v>
      </c>
      <c r="C998">
        <v>48</v>
      </c>
      <c r="D998" t="s">
        <v>247</v>
      </c>
      <c r="E998" t="s">
        <v>248</v>
      </c>
      <c r="F998" t="s">
        <v>244</v>
      </c>
      <c r="G998" t="s">
        <v>82</v>
      </c>
      <c r="H998" t="s">
        <v>286</v>
      </c>
      <c r="J998" t="s">
        <v>192</v>
      </c>
      <c r="K998" t="s">
        <v>250</v>
      </c>
      <c r="L998">
        <v>12.9</v>
      </c>
      <c r="M998" t="s">
        <v>251</v>
      </c>
      <c r="N998" t="s">
        <v>1038</v>
      </c>
    </row>
    <row r="999" spans="1:16" hidden="1" x14ac:dyDescent="0.25">
      <c r="A999" s="16">
        <v>45627</v>
      </c>
      <c r="B999" t="s">
        <v>162</v>
      </c>
      <c r="C999">
        <v>49</v>
      </c>
      <c r="D999" t="s">
        <v>291</v>
      </c>
      <c r="E999" t="s">
        <v>292</v>
      </c>
      <c r="F999" t="s">
        <v>244</v>
      </c>
      <c r="G999" t="s">
        <v>82</v>
      </c>
      <c r="H999" t="s">
        <v>164</v>
      </c>
      <c r="J999" t="s">
        <v>192</v>
      </c>
      <c r="K999" t="s">
        <v>250</v>
      </c>
      <c r="L999">
        <v>1150000000</v>
      </c>
      <c r="M999" t="s">
        <v>245</v>
      </c>
      <c r="N999" t="s">
        <v>1039</v>
      </c>
    </row>
    <row r="1000" spans="1:16" hidden="1" x14ac:dyDescent="0.25">
      <c r="A1000" s="16">
        <v>45627</v>
      </c>
      <c r="B1000" t="s">
        <v>162</v>
      </c>
      <c r="C1000">
        <v>49</v>
      </c>
      <c r="D1000" t="s">
        <v>291</v>
      </c>
      <c r="E1000" t="s">
        <v>292</v>
      </c>
      <c r="F1000" t="s">
        <v>244</v>
      </c>
      <c r="G1000" t="s">
        <v>82</v>
      </c>
      <c r="H1000" t="s">
        <v>165</v>
      </c>
      <c r="J1000" t="s">
        <v>192</v>
      </c>
      <c r="K1000" t="s">
        <v>250</v>
      </c>
      <c r="L1000">
        <v>189300000</v>
      </c>
      <c r="M1000" t="s">
        <v>245</v>
      </c>
      <c r="N1000" t="s">
        <v>1040</v>
      </c>
    </row>
    <row r="1001" spans="1:16" hidden="1" x14ac:dyDescent="0.25">
      <c r="A1001" s="16">
        <v>45627</v>
      </c>
      <c r="B1001" t="s">
        <v>162</v>
      </c>
      <c r="C1001">
        <v>49</v>
      </c>
      <c r="D1001" t="s">
        <v>291</v>
      </c>
      <c r="E1001" t="s">
        <v>292</v>
      </c>
      <c r="F1001" t="s">
        <v>244</v>
      </c>
      <c r="G1001" t="s">
        <v>82</v>
      </c>
      <c r="H1001" t="s">
        <v>166</v>
      </c>
      <c r="J1001" t="s">
        <v>192</v>
      </c>
      <c r="K1001" t="s">
        <v>250</v>
      </c>
      <c r="L1001">
        <v>234200000</v>
      </c>
      <c r="M1001" t="s">
        <v>245</v>
      </c>
      <c r="N1001" t="s">
        <v>1041</v>
      </c>
    </row>
    <row r="1002" spans="1:16" hidden="1" x14ac:dyDescent="0.25">
      <c r="A1002" s="16">
        <v>45627</v>
      </c>
      <c r="B1002" t="s">
        <v>162</v>
      </c>
      <c r="C1002">
        <v>49</v>
      </c>
      <c r="D1002" t="s">
        <v>291</v>
      </c>
      <c r="E1002" t="s">
        <v>292</v>
      </c>
      <c r="F1002" t="s">
        <v>244</v>
      </c>
      <c r="G1002" t="s">
        <v>82</v>
      </c>
      <c r="H1002" t="s">
        <v>167</v>
      </c>
      <c r="J1002" t="s">
        <v>192</v>
      </c>
      <c r="K1002" t="s">
        <v>250</v>
      </c>
      <c r="L1002">
        <v>247000000</v>
      </c>
      <c r="M1002" t="s">
        <v>245</v>
      </c>
      <c r="N1002" t="s">
        <v>1042</v>
      </c>
    </row>
    <row r="1003" spans="1:16" hidden="1" x14ac:dyDescent="0.25">
      <c r="A1003" s="16">
        <v>45627</v>
      </c>
      <c r="B1003" t="s">
        <v>162</v>
      </c>
      <c r="C1003">
        <v>50</v>
      </c>
      <c r="D1003" t="s">
        <v>253</v>
      </c>
      <c r="E1003" t="s">
        <v>248</v>
      </c>
      <c r="F1003" t="s">
        <v>445</v>
      </c>
      <c r="G1003" t="s">
        <v>82</v>
      </c>
      <c r="J1003" t="s">
        <v>190</v>
      </c>
      <c r="K1003" t="s">
        <v>255</v>
      </c>
      <c r="L1003">
        <v>1390000000</v>
      </c>
      <c r="M1003" t="s">
        <v>245</v>
      </c>
      <c r="N1003" t="s">
        <v>678</v>
      </c>
      <c r="O1003">
        <v>1</v>
      </c>
      <c r="P1003" t="s">
        <v>257</v>
      </c>
    </row>
    <row r="1004" spans="1:16" hidden="1" x14ac:dyDescent="0.25">
      <c r="A1004" s="16">
        <v>45627</v>
      </c>
      <c r="B1004" t="s">
        <v>162</v>
      </c>
      <c r="C1004">
        <v>50</v>
      </c>
      <c r="D1004" t="s">
        <v>253</v>
      </c>
      <c r="E1004" t="s">
        <v>248</v>
      </c>
      <c r="F1004" t="s">
        <v>445</v>
      </c>
      <c r="G1004" t="s">
        <v>82</v>
      </c>
      <c r="J1004" t="s">
        <v>191</v>
      </c>
      <c r="K1004" t="s">
        <v>255</v>
      </c>
      <c r="L1004">
        <v>1340000000</v>
      </c>
      <c r="M1004" t="s">
        <v>245</v>
      </c>
      <c r="N1004" t="s">
        <v>448</v>
      </c>
      <c r="O1004">
        <v>1</v>
      </c>
      <c r="P1004" t="s">
        <v>257</v>
      </c>
    </row>
    <row r="1005" spans="1:16" hidden="1" x14ac:dyDescent="0.25">
      <c r="A1005" s="16">
        <v>45627</v>
      </c>
      <c r="B1005" t="s">
        <v>162</v>
      </c>
      <c r="C1005">
        <v>50</v>
      </c>
      <c r="D1005" t="s">
        <v>253</v>
      </c>
      <c r="E1005" t="s">
        <v>248</v>
      </c>
      <c r="F1005" t="s">
        <v>445</v>
      </c>
      <c r="G1005" t="s">
        <v>82</v>
      </c>
      <c r="J1005" t="s">
        <v>192</v>
      </c>
      <c r="K1005" t="s">
        <v>255</v>
      </c>
      <c r="L1005">
        <v>1510000000</v>
      </c>
      <c r="M1005" t="s">
        <v>245</v>
      </c>
      <c r="N1005" t="s">
        <v>1043</v>
      </c>
      <c r="O1005">
        <v>1</v>
      </c>
      <c r="P1005" t="s">
        <v>261</v>
      </c>
    </row>
    <row r="1006" spans="1:16" hidden="1" x14ac:dyDescent="0.25">
      <c r="A1006" s="16">
        <v>45627</v>
      </c>
      <c r="B1006" t="s">
        <v>162</v>
      </c>
      <c r="C1006">
        <v>50</v>
      </c>
      <c r="D1006" t="s">
        <v>247</v>
      </c>
      <c r="E1006" t="s">
        <v>248</v>
      </c>
      <c r="F1006" t="s">
        <v>445</v>
      </c>
      <c r="G1006" t="s">
        <v>82</v>
      </c>
      <c r="H1006" t="s">
        <v>286</v>
      </c>
      <c r="J1006" t="s">
        <v>192</v>
      </c>
      <c r="K1006" t="s">
        <v>250</v>
      </c>
      <c r="L1006">
        <v>12.8</v>
      </c>
      <c r="M1006" t="s">
        <v>251</v>
      </c>
      <c r="N1006" t="s">
        <v>1044</v>
      </c>
    </row>
    <row r="1007" spans="1:16" hidden="1" x14ac:dyDescent="0.25">
      <c r="A1007" s="16">
        <v>45627</v>
      </c>
      <c r="B1007" t="s">
        <v>162</v>
      </c>
      <c r="C1007">
        <v>51</v>
      </c>
      <c r="D1007" t="s">
        <v>291</v>
      </c>
      <c r="E1007" t="s">
        <v>292</v>
      </c>
      <c r="F1007" t="s">
        <v>445</v>
      </c>
      <c r="G1007" t="s">
        <v>82</v>
      </c>
      <c r="H1007" t="s">
        <v>94</v>
      </c>
      <c r="J1007" t="s">
        <v>192</v>
      </c>
      <c r="K1007" t="s">
        <v>250</v>
      </c>
      <c r="L1007">
        <v>1220000000</v>
      </c>
      <c r="M1007" t="s">
        <v>245</v>
      </c>
      <c r="N1007" t="s">
        <v>744</v>
      </c>
    </row>
    <row r="1008" spans="1:16" hidden="1" x14ac:dyDescent="0.25">
      <c r="A1008" s="16">
        <v>45627</v>
      </c>
      <c r="B1008" t="s">
        <v>162</v>
      </c>
      <c r="C1008">
        <v>51</v>
      </c>
      <c r="D1008" t="s">
        <v>291</v>
      </c>
      <c r="E1008" t="s">
        <v>292</v>
      </c>
      <c r="F1008" t="s">
        <v>445</v>
      </c>
      <c r="G1008" t="s">
        <v>82</v>
      </c>
      <c r="H1008" t="s">
        <v>95</v>
      </c>
      <c r="J1008" t="s">
        <v>192</v>
      </c>
      <c r="K1008" t="s">
        <v>250</v>
      </c>
      <c r="L1008">
        <v>295400000</v>
      </c>
      <c r="M1008" t="s">
        <v>245</v>
      </c>
      <c r="N1008" t="s">
        <v>1045</v>
      </c>
    </row>
    <row r="1009" spans="1:16" hidden="1" x14ac:dyDescent="0.25">
      <c r="A1009" s="16">
        <v>45627</v>
      </c>
      <c r="B1009" t="s">
        <v>162</v>
      </c>
      <c r="C1009">
        <v>52</v>
      </c>
      <c r="D1009" t="s">
        <v>291</v>
      </c>
      <c r="E1009" t="s">
        <v>292</v>
      </c>
      <c r="F1009" t="s">
        <v>445</v>
      </c>
      <c r="G1009" t="s">
        <v>82</v>
      </c>
      <c r="H1009" t="s">
        <v>173</v>
      </c>
      <c r="J1009" t="s">
        <v>192</v>
      </c>
      <c r="K1009" t="s">
        <v>250</v>
      </c>
      <c r="L1009">
        <v>147300000</v>
      </c>
      <c r="M1009" t="s">
        <v>245</v>
      </c>
      <c r="N1009" t="s">
        <v>1046</v>
      </c>
    </row>
    <row r="1010" spans="1:16" hidden="1" x14ac:dyDescent="0.25">
      <c r="A1010" s="16">
        <v>45627</v>
      </c>
      <c r="B1010" t="s">
        <v>162</v>
      </c>
      <c r="C1010">
        <v>52</v>
      </c>
      <c r="D1010" t="s">
        <v>291</v>
      </c>
      <c r="E1010" t="s">
        <v>292</v>
      </c>
      <c r="F1010" t="s">
        <v>445</v>
      </c>
      <c r="G1010" t="s">
        <v>82</v>
      </c>
      <c r="H1010" t="s">
        <v>174</v>
      </c>
      <c r="J1010" t="s">
        <v>192</v>
      </c>
      <c r="K1010" t="s">
        <v>250</v>
      </c>
      <c r="L1010">
        <v>230600000</v>
      </c>
      <c r="M1010" t="s">
        <v>245</v>
      </c>
      <c r="N1010" t="s">
        <v>657</v>
      </c>
    </row>
    <row r="1011" spans="1:16" hidden="1" x14ac:dyDescent="0.25">
      <c r="A1011" s="16">
        <v>45627</v>
      </c>
      <c r="B1011" t="s">
        <v>162</v>
      </c>
      <c r="C1011">
        <v>53</v>
      </c>
      <c r="D1011" t="s">
        <v>291</v>
      </c>
      <c r="E1011" t="s">
        <v>292</v>
      </c>
      <c r="F1011" t="s">
        <v>334</v>
      </c>
      <c r="G1011" t="s">
        <v>82</v>
      </c>
      <c r="H1011" t="s">
        <v>164</v>
      </c>
      <c r="J1011" t="s">
        <v>192</v>
      </c>
      <c r="K1011" t="s">
        <v>250</v>
      </c>
      <c r="L1011">
        <v>159</v>
      </c>
      <c r="M1011" t="s">
        <v>245</v>
      </c>
      <c r="N1011" t="s">
        <v>1047</v>
      </c>
    </row>
    <row r="1012" spans="1:16" hidden="1" x14ac:dyDescent="0.25">
      <c r="A1012" s="16">
        <v>45627</v>
      </c>
      <c r="B1012" t="s">
        <v>162</v>
      </c>
      <c r="C1012">
        <v>53</v>
      </c>
      <c r="D1012" t="s">
        <v>291</v>
      </c>
      <c r="E1012" t="s">
        <v>292</v>
      </c>
      <c r="F1012" t="s">
        <v>334</v>
      </c>
      <c r="G1012" t="s">
        <v>82</v>
      </c>
      <c r="H1012" t="s">
        <v>173</v>
      </c>
      <c r="J1012" t="s">
        <v>192</v>
      </c>
      <c r="K1012" t="s">
        <v>250</v>
      </c>
      <c r="L1012">
        <v>68</v>
      </c>
      <c r="M1012" t="s">
        <v>245</v>
      </c>
      <c r="N1012" t="s">
        <v>1048</v>
      </c>
    </row>
    <row r="1013" spans="1:16" hidden="1" x14ac:dyDescent="0.25">
      <c r="A1013" s="16">
        <v>45627</v>
      </c>
      <c r="B1013" t="s">
        <v>162</v>
      </c>
      <c r="C1013">
        <v>53</v>
      </c>
      <c r="D1013" t="s">
        <v>238</v>
      </c>
      <c r="E1013" t="s">
        <v>239</v>
      </c>
      <c r="F1013" t="s">
        <v>334</v>
      </c>
      <c r="G1013" t="s">
        <v>82</v>
      </c>
      <c r="H1013" t="s">
        <v>455</v>
      </c>
      <c r="J1013" t="s">
        <v>192</v>
      </c>
      <c r="K1013" t="s">
        <v>250</v>
      </c>
      <c r="L1013">
        <v>103</v>
      </c>
      <c r="M1013" t="s">
        <v>245</v>
      </c>
      <c r="N1013" t="s">
        <v>861</v>
      </c>
    </row>
    <row r="1014" spans="1:16" hidden="1" x14ac:dyDescent="0.25">
      <c r="A1014" s="16">
        <v>45627</v>
      </c>
      <c r="B1014" t="s">
        <v>162</v>
      </c>
      <c r="C1014">
        <v>53</v>
      </c>
      <c r="D1014" t="s">
        <v>291</v>
      </c>
      <c r="E1014" t="s">
        <v>292</v>
      </c>
      <c r="F1014" t="s">
        <v>334</v>
      </c>
      <c r="G1014" t="s">
        <v>82</v>
      </c>
      <c r="H1014" t="s">
        <v>174</v>
      </c>
      <c r="J1014" t="s">
        <v>192</v>
      </c>
      <c r="K1014" t="s">
        <v>250</v>
      </c>
      <c r="L1014">
        <v>126</v>
      </c>
      <c r="M1014" t="s">
        <v>245</v>
      </c>
      <c r="N1014" t="s">
        <v>1049</v>
      </c>
    </row>
    <row r="1015" spans="1:16" hidden="1" x14ac:dyDescent="0.25">
      <c r="A1015" s="16">
        <v>45627</v>
      </c>
      <c r="B1015" t="s">
        <v>162</v>
      </c>
      <c r="C1015">
        <v>53</v>
      </c>
      <c r="D1015" t="s">
        <v>291</v>
      </c>
      <c r="E1015" t="s">
        <v>292</v>
      </c>
      <c r="F1015" t="s">
        <v>334</v>
      </c>
      <c r="G1015" t="s">
        <v>82</v>
      </c>
      <c r="H1015" t="s">
        <v>178</v>
      </c>
      <c r="J1015" t="s">
        <v>192</v>
      </c>
      <c r="K1015" t="s">
        <v>250</v>
      </c>
      <c r="L1015">
        <v>58</v>
      </c>
      <c r="M1015" t="s">
        <v>245</v>
      </c>
      <c r="N1015" t="s">
        <v>863</v>
      </c>
    </row>
    <row r="1016" spans="1:16" hidden="1" x14ac:dyDescent="0.25">
      <c r="A1016" s="16">
        <v>45627</v>
      </c>
      <c r="B1016" t="s">
        <v>97</v>
      </c>
      <c r="C1016">
        <v>26</v>
      </c>
      <c r="D1016" t="s">
        <v>238</v>
      </c>
      <c r="E1016" t="s">
        <v>239</v>
      </c>
      <c r="F1016" t="s">
        <v>240</v>
      </c>
      <c r="G1016" t="s">
        <v>82</v>
      </c>
      <c r="J1016" t="s">
        <v>192</v>
      </c>
      <c r="K1016" t="s">
        <v>241</v>
      </c>
      <c r="L1016">
        <v>56790000</v>
      </c>
      <c r="M1016" t="s">
        <v>242</v>
      </c>
      <c r="N1016" t="s">
        <v>1050</v>
      </c>
    </row>
    <row r="1017" spans="1:16" hidden="1" x14ac:dyDescent="0.25">
      <c r="A1017" s="16">
        <v>45627</v>
      </c>
      <c r="B1017" t="s">
        <v>97</v>
      </c>
      <c r="C1017">
        <v>26</v>
      </c>
      <c r="D1017" t="s">
        <v>238</v>
      </c>
      <c r="E1017" t="s">
        <v>239</v>
      </c>
      <c r="F1017" t="s">
        <v>244</v>
      </c>
      <c r="G1017" t="s">
        <v>82</v>
      </c>
      <c r="J1017" t="s">
        <v>192</v>
      </c>
      <c r="K1017" t="s">
        <v>241</v>
      </c>
      <c r="L1017">
        <v>5230000000</v>
      </c>
      <c r="M1017" t="s">
        <v>245</v>
      </c>
      <c r="N1017" t="s">
        <v>1051</v>
      </c>
    </row>
    <row r="1018" spans="1:16" hidden="1" x14ac:dyDescent="0.25">
      <c r="A1018" s="16">
        <v>45627</v>
      </c>
      <c r="B1018" t="s">
        <v>97</v>
      </c>
      <c r="C1018">
        <v>27</v>
      </c>
      <c r="D1018" t="s">
        <v>253</v>
      </c>
      <c r="E1018" t="s">
        <v>248</v>
      </c>
      <c r="F1018" t="s">
        <v>285</v>
      </c>
      <c r="G1018" t="s">
        <v>63</v>
      </c>
      <c r="J1018" t="s">
        <v>190</v>
      </c>
      <c r="K1018" t="s">
        <v>255</v>
      </c>
      <c r="L1018">
        <v>2370000</v>
      </c>
      <c r="M1018" t="s">
        <v>242</v>
      </c>
      <c r="N1018" t="s">
        <v>690</v>
      </c>
      <c r="O1018">
        <v>1</v>
      </c>
      <c r="P1018" t="s">
        <v>257</v>
      </c>
    </row>
    <row r="1019" spans="1:16" hidden="1" x14ac:dyDescent="0.25">
      <c r="A1019" s="16">
        <v>45627</v>
      </c>
      <c r="B1019" t="s">
        <v>97</v>
      </c>
      <c r="C1019">
        <v>27</v>
      </c>
      <c r="D1019" t="s">
        <v>253</v>
      </c>
      <c r="E1019" t="s">
        <v>248</v>
      </c>
      <c r="F1019" t="s">
        <v>285</v>
      </c>
      <c r="G1019" t="s">
        <v>63</v>
      </c>
      <c r="J1019" t="s">
        <v>191</v>
      </c>
      <c r="K1019" t="s">
        <v>255</v>
      </c>
      <c r="L1019">
        <v>2400000</v>
      </c>
      <c r="M1019" t="s">
        <v>242</v>
      </c>
      <c r="N1019" t="s">
        <v>866</v>
      </c>
      <c r="O1019">
        <v>1</v>
      </c>
      <c r="P1019" t="s">
        <v>257</v>
      </c>
    </row>
    <row r="1020" spans="1:16" hidden="1" x14ac:dyDescent="0.25">
      <c r="A1020" s="16">
        <v>45627</v>
      </c>
      <c r="B1020" t="s">
        <v>97</v>
      </c>
      <c r="C1020">
        <v>27</v>
      </c>
      <c r="D1020" t="s">
        <v>253</v>
      </c>
      <c r="E1020" t="s">
        <v>248</v>
      </c>
      <c r="F1020" t="s">
        <v>285</v>
      </c>
      <c r="G1020" t="s">
        <v>63</v>
      </c>
      <c r="J1020" t="s">
        <v>192</v>
      </c>
      <c r="K1020" t="s">
        <v>255</v>
      </c>
      <c r="L1020">
        <v>2590000</v>
      </c>
      <c r="M1020" t="s">
        <v>242</v>
      </c>
      <c r="N1020" t="s">
        <v>1052</v>
      </c>
      <c r="O1020">
        <v>1</v>
      </c>
      <c r="P1020" t="s">
        <v>261</v>
      </c>
    </row>
    <row r="1021" spans="1:16" hidden="1" x14ac:dyDescent="0.25">
      <c r="A1021" s="16">
        <v>45627</v>
      </c>
      <c r="B1021" t="s">
        <v>97</v>
      </c>
      <c r="C1021">
        <v>27</v>
      </c>
      <c r="D1021" t="s">
        <v>247</v>
      </c>
      <c r="E1021" t="s">
        <v>248</v>
      </c>
      <c r="F1021" t="s">
        <v>285</v>
      </c>
      <c r="G1021" t="s">
        <v>63</v>
      </c>
      <c r="H1021" t="s">
        <v>286</v>
      </c>
      <c r="J1021" t="s">
        <v>192</v>
      </c>
      <c r="K1021" t="s">
        <v>250</v>
      </c>
      <c r="L1021">
        <v>7.7</v>
      </c>
      <c r="M1021" t="s">
        <v>251</v>
      </c>
      <c r="N1021" t="s">
        <v>1053</v>
      </c>
    </row>
    <row r="1022" spans="1:16" hidden="1" x14ac:dyDescent="0.25">
      <c r="A1022" s="16">
        <v>45627</v>
      </c>
      <c r="B1022" t="s">
        <v>97</v>
      </c>
      <c r="C1022">
        <v>28</v>
      </c>
      <c r="D1022" t="s">
        <v>291</v>
      </c>
      <c r="E1022" t="s">
        <v>292</v>
      </c>
      <c r="F1022" t="s">
        <v>285</v>
      </c>
      <c r="G1022" t="s">
        <v>63</v>
      </c>
      <c r="H1022" t="s">
        <v>64</v>
      </c>
      <c r="J1022" t="s">
        <v>192</v>
      </c>
      <c r="K1022" t="s">
        <v>250</v>
      </c>
      <c r="L1022">
        <v>2290000</v>
      </c>
      <c r="M1022" t="s">
        <v>242</v>
      </c>
      <c r="N1022" t="s">
        <v>1035</v>
      </c>
    </row>
    <row r="1023" spans="1:16" hidden="1" x14ac:dyDescent="0.25">
      <c r="A1023" s="16">
        <v>45627</v>
      </c>
      <c r="B1023" t="s">
        <v>97</v>
      </c>
      <c r="C1023">
        <v>28</v>
      </c>
      <c r="D1023" t="s">
        <v>291</v>
      </c>
      <c r="E1023" t="s">
        <v>292</v>
      </c>
      <c r="F1023" t="s">
        <v>285</v>
      </c>
      <c r="G1023" t="s">
        <v>63</v>
      </c>
      <c r="H1023" t="s">
        <v>65</v>
      </c>
      <c r="J1023" t="s">
        <v>192</v>
      </c>
      <c r="K1023" t="s">
        <v>250</v>
      </c>
      <c r="L1023">
        <v>300400</v>
      </c>
      <c r="M1023" t="s">
        <v>242</v>
      </c>
      <c r="N1023" t="s">
        <v>1054</v>
      </c>
    </row>
    <row r="1024" spans="1:16" hidden="1" x14ac:dyDescent="0.25">
      <c r="A1024" s="16">
        <v>45627</v>
      </c>
      <c r="B1024" t="s">
        <v>97</v>
      </c>
      <c r="C1024">
        <v>29</v>
      </c>
      <c r="D1024" t="s">
        <v>291</v>
      </c>
      <c r="E1024" t="s">
        <v>292</v>
      </c>
      <c r="F1024" t="s">
        <v>285</v>
      </c>
      <c r="G1024" t="s">
        <v>63</v>
      </c>
      <c r="H1024" t="s">
        <v>67</v>
      </c>
      <c r="J1024" t="s">
        <v>192</v>
      </c>
      <c r="K1024" t="s">
        <v>250</v>
      </c>
      <c r="L1024">
        <v>1260000</v>
      </c>
      <c r="M1024" t="s">
        <v>242</v>
      </c>
      <c r="N1024" t="s">
        <v>782</v>
      </c>
    </row>
    <row r="1025" spans="1:16" hidden="1" x14ac:dyDescent="0.25">
      <c r="A1025" s="16">
        <v>45627</v>
      </c>
      <c r="B1025" t="s">
        <v>97</v>
      </c>
      <c r="C1025">
        <v>29</v>
      </c>
      <c r="D1025" t="s">
        <v>291</v>
      </c>
      <c r="E1025" t="s">
        <v>292</v>
      </c>
      <c r="F1025" t="s">
        <v>285</v>
      </c>
      <c r="G1025" t="s">
        <v>63</v>
      </c>
      <c r="H1025" t="s">
        <v>68</v>
      </c>
      <c r="J1025" t="s">
        <v>192</v>
      </c>
      <c r="K1025" t="s">
        <v>250</v>
      </c>
      <c r="L1025">
        <v>1310000</v>
      </c>
      <c r="M1025" t="s">
        <v>242</v>
      </c>
      <c r="N1025" t="s">
        <v>1055</v>
      </c>
    </row>
    <row r="1026" spans="1:16" hidden="1" x14ac:dyDescent="0.25">
      <c r="A1026" s="16">
        <v>45627</v>
      </c>
      <c r="B1026" t="s">
        <v>97</v>
      </c>
      <c r="C1026">
        <v>30</v>
      </c>
      <c r="D1026" t="s">
        <v>291</v>
      </c>
      <c r="E1026" t="s">
        <v>292</v>
      </c>
      <c r="F1026" t="s">
        <v>285</v>
      </c>
      <c r="G1026" t="s">
        <v>63</v>
      </c>
      <c r="H1026" t="s">
        <v>70</v>
      </c>
      <c r="J1026" t="s">
        <v>192</v>
      </c>
      <c r="K1026" t="s">
        <v>250</v>
      </c>
      <c r="L1026">
        <v>917000</v>
      </c>
      <c r="M1026" t="s">
        <v>242</v>
      </c>
      <c r="N1026" t="s">
        <v>1056</v>
      </c>
    </row>
    <row r="1027" spans="1:16" hidden="1" x14ac:dyDescent="0.25">
      <c r="A1027" s="16">
        <v>45627</v>
      </c>
      <c r="B1027" t="s">
        <v>97</v>
      </c>
      <c r="C1027">
        <v>30</v>
      </c>
      <c r="D1027" t="s">
        <v>291</v>
      </c>
      <c r="E1027" t="s">
        <v>292</v>
      </c>
      <c r="F1027" t="s">
        <v>285</v>
      </c>
      <c r="G1027" t="s">
        <v>63</v>
      </c>
      <c r="H1027" t="s">
        <v>71</v>
      </c>
      <c r="J1027" t="s">
        <v>192</v>
      </c>
      <c r="K1027" t="s">
        <v>250</v>
      </c>
      <c r="L1027">
        <v>667000</v>
      </c>
      <c r="M1027" t="s">
        <v>242</v>
      </c>
      <c r="N1027" t="s">
        <v>1057</v>
      </c>
    </row>
    <row r="1028" spans="1:16" hidden="1" x14ac:dyDescent="0.25">
      <c r="A1028" s="16">
        <v>45627</v>
      </c>
      <c r="B1028" t="s">
        <v>97</v>
      </c>
      <c r="C1028">
        <v>30</v>
      </c>
      <c r="D1028" t="s">
        <v>291</v>
      </c>
      <c r="E1028" t="s">
        <v>292</v>
      </c>
      <c r="F1028" t="s">
        <v>285</v>
      </c>
      <c r="G1028" t="s">
        <v>63</v>
      </c>
      <c r="H1028" t="s">
        <v>72</v>
      </c>
      <c r="J1028" t="s">
        <v>192</v>
      </c>
      <c r="K1028" t="s">
        <v>250</v>
      </c>
      <c r="L1028">
        <v>503000</v>
      </c>
      <c r="M1028" t="s">
        <v>242</v>
      </c>
      <c r="N1028" t="s">
        <v>1058</v>
      </c>
    </row>
    <row r="1029" spans="1:16" hidden="1" x14ac:dyDescent="0.25">
      <c r="A1029" s="16">
        <v>45627</v>
      </c>
      <c r="B1029" t="s">
        <v>97</v>
      </c>
      <c r="C1029">
        <v>30</v>
      </c>
      <c r="D1029" t="s">
        <v>291</v>
      </c>
      <c r="E1029" t="s">
        <v>292</v>
      </c>
      <c r="F1029" t="s">
        <v>285</v>
      </c>
      <c r="G1029" t="s">
        <v>63</v>
      </c>
      <c r="H1029" t="s">
        <v>73</v>
      </c>
      <c r="J1029" t="s">
        <v>192</v>
      </c>
      <c r="K1029" t="s">
        <v>250</v>
      </c>
      <c r="L1029">
        <v>318000</v>
      </c>
      <c r="M1029" t="s">
        <v>242</v>
      </c>
      <c r="N1029" t="s">
        <v>1059</v>
      </c>
    </row>
    <row r="1030" spans="1:16" hidden="1" x14ac:dyDescent="0.25">
      <c r="A1030" s="16">
        <v>45627</v>
      </c>
      <c r="B1030" t="s">
        <v>97</v>
      </c>
      <c r="C1030">
        <v>30</v>
      </c>
      <c r="D1030" t="s">
        <v>291</v>
      </c>
      <c r="E1030" t="s">
        <v>292</v>
      </c>
      <c r="F1030" t="s">
        <v>285</v>
      </c>
      <c r="G1030" t="s">
        <v>63</v>
      </c>
      <c r="H1030" t="s">
        <v>74</v>
      </c>
      <c r="J1030" t="s">
        <v>192</v>
      </c>
      <c r="K1030" t="s">
        <v>250</v>
      </c>
      <c r="L1030">
        <v>119000</v>
      </c>
      <c r="M1030" t="s">
        <v>242</v>
      </c>
      <c r="N1030" t="s">
        <v>1060</v>
      </c>
    </row>
    <row r="1031" spans="1:16" hidden="1" x14ac:dyDescent="0.25">
      <c r="A1031" s="16">
        <v>45627</v>
      </c>
      <c r="B1031" t="s">
        <v>97</v>
      </c>
      <c r="C1031">
        <v>30</v>
      </c>
      <c r="D1031" t="s">
        <v>291</v>
      </c>
      <c r="E1031" t="s">
        <v>292</v>
      </c>
      <c r="F1031" t="s">
        <v>285</v>
      </c>
      <c r="G1031" t="s">
        <v>63</v>
      </c>
      <c r="H1031" t="s">
        <v>75</v>
      </c>
      <c r="J1031" t="s">
        <v>192</v>
      </c>
      <c r="K1031" t="s">
        <v>250</v>
      </c>
      <c r="L1031">
        <v>40000</v>
      </c>
      <c r="M1031" t="s">
        <v>242</v>
      </c>
      <c r="N1031" t="s">
        <v>823</v>
      </c>
    </row>
    <row r="1032" spans="1:16" hidden="1" x14ac:dyDescent="0.25">
      <c r="A1032" s="16">
        <v>45627</v>
      </c>
      <c r="B1032" t="s">
        <v>97</v>
      </c>
      <c r="C1032">
        <v>30</v>
      </c>
      <c r="D1032" t="s">
        <v>291</v>
      </c>
      <c r="E1032" t="s">
        <v>292</v>
      </c>
      <c r="F1032" t="s">
        <v>285</v>
      </c>
      <c r="G1032" t="s">
        <v>63</v>
      </c>
      <c r="H1032" t="s">
        <v>76</v>
      </c>
      <c r="J1032" t="s">
        <v>192</v>
      </c>
      <c r="K1032" t="s">
        <v>250</v>
      </c>
      <c r="L1032">
        <v>14000</v>
      </c>
      <c r="M1032" t="s">
        <v>242</v>
      </c>
      <c r="N1032" t="s">
        <v>1061</v>
      </c>
    </row>
    <row r="1033" spans="1:16" hidden="1" x14ac:dyDescent="0.25">
      <c r="A1033" s="16">
        <v>45627</v>
      </c>
      <c r="B1033" t="s">
        <v>97</v>
      </c>
      <c r="C1033">
        <v>30</v>
      </c>
      <c r="D1033" t="s">
        <v>291</v>
      </c>
      <c r="E1033" t="s">
        <v>292</v>
      </c>
      <c r="F1033" t="s">
        <v>285</v>
      </c>
      <c r="G1033" t="s">
        <v>63</v>
      </c>
      <c r="H1033" t="s">
        <v>77</v>
      </c>
      <c r="J1033" t="s">
        <v>192</v>
      </c>
      <c r="K1033" t="s">
        <v>250</v>
      </c>
      <c r="L1033">
        <v>1000</v>
      </c>
      <c r="M1033" t="s">
        <v>242</v>
      </c>
      <c r="N1033" t="s">
        <v>476</v>
      </c>
    </row>
    <row r="1034" spans="1:16" hidden="1" x14ac:dyDescent="0.25">
      <c r="A1034" s="16">
        <v>45627</v>
      </c>
      <c r="B1034" t="s">
        <v>97</v>
      </c>
      <c r="C1034">
        <v>31</v>
      </c>
      <c r="D1034" t="s">
        <v>291</v>
      </c>
      <c r="E1034" t="s">
        <v>292</v>
      </c>
      <c r="F1034" t="s">
        <v>477</v>
      </c>
      <c r="G1034" t="s">
        <v>99</v>
      </c>
      <c r="H1034" t="s">
        <v>100</v>
      </c>
      <c r="J1034" t="s">
        <v>192</v>
      </c>
      <c r="K1034" t="s">
        <v>250</v>
      </c>
      <c r="L1034">
        <v>1077</v>
      </c>
      <c r="M1034" t="s">
        <v>242</v>
      </c>
      <c r="N1034" t="s">
        <v>1062</v>
      </c>
    </row>
    <row r="1035" spans="1:16" hidden="1" x14ac:dyDescent="0.25">
      <c r="A1035" s="16">
        <v>45627</v>
      </c>
      <c r="B1035" t="s">
        <v>97</v>
      </c>
      <c r="C1035">
        <v>31</v>
      </c>
      <c r="D1035" t="s">
        <v>291</v>
      </c>
      <c r="E1035" t="s">
        <v>292</v>
      </c>
      <c r="F1035" t="s">
        <v>477</v>
      </c>
      <c r="G1035" t="s">
        <v>99</v>
      </c>
      <c r="H1035" t="s">
        <v>101</v>
      </c>
      <c r="J1035" t="s">
        <v>192</v>
      </c>
      <c r="K1035" t="s">
        <v>250</v>
      </c>
      <c r="L1035">
        <v>1149</v>
      </c>
      <c r="M1035" t="s">
        <v>242</v>
      </c>
      <c r="N1035" t="s">
        <v>1063</v>
      </c>
    </row>
    <row r="1036" spans="1:16" hidden="1" x14ac:dyDescent="0.25">
      <c r="A1036" s="16">
        <v>45627</v>
      </c>
      <c r="B1036" t="s">
        <v>97</v>
      </c>
      <c r="C1036">
        <v>31</v>
      </c>
      <c r="D1036" t="s">
        <v>291</v>
      </c>
      <c r="E1036" t="s">
        <v>292</v>
      </c>
      <c r="F1036" t="s">
        <v>477</v>
      </c>
      <c r="G1036" t="s">
        <v>99</v>
      </c>
      <c r="H1036" t="s">
        <v>102</v>
      </c>
      <c r="J1036" t="s">
        <v>192</v>
      </c>
      <c r="K1036" t="s">
        <v>250</v>
      </c>
      <c r="L1036">
        <v>7</v>
      </c>
      <c r="M1036" t="s">
        <v>242</v>
      </c>
      <c r="N1036" t="s">
        <v>1064</v>
      </c>
    </row>
    <row r="1037" spans="1:16" hidden="1" x14ac:dyDescent="0.25">
      <c r="A1037" s="16">
        <v>45627</v>
      </c>
      <c r="B1037" t="s">
        <v>97</v>
      </c>
      <c r="C1037">
        <v>31</v>
      </c>
      <c r="D1037" t="s">
        <v>291</v>
      </c>
      <c r="E1037" t="s">
        <v>292</v>
      </c>
      <c r="F1037" t="s">
        <v>477</v>
      </c>
      <c r="G1037" t="s">
        <v>99</v>
      </c>
      <c r="H1037" t="s">
        <v>103</v>
      </c>
      <c r="J1037" t="s">
        <v>192</v>
      </c>
      <c r="K1037" t="s">
        <v>250</v>
      </c>
      <c r="L1037">
        <v>2510000</v>
      </c>
      <c r="M1037" t="s">
        <v>242</v>
      </c>
      <c r="N1037" t="s">
        <v>1065</v>
      </c>
    </row>
    <row r="1038" spans="1:16" hidden="1" x14ac:dyDescent="0.25">
      <c r="A1038" s="16">
        <v>45627</v>
      </c>
      <c r="B1038" t="s">
        <v>97</v>
      </c>
      <c r="C1038">
        <v>31</v>
      </c>
      <c r="D1038" t="s">
        <v>291</v>
      </c>
      <c r="E1038" t="s">
        <v>292</v>
      </c>
      <c r="F1038" t="s">
        <v>477</v>
      </c>
      <c r="G1038" t="s">
        <v>99</v>
      </c>
      <c r="H1038" t="s">
        <v>104</v>
      </c>
      <c r="J1038" t="s">
        <v>192</v>
      </c>
      <c r="K1038" t="s">
        <v>250</v>
      </c>
      <c r="L1038">
        <v>3415</v>
      </c>
      <c r="M1038" t="s">
        <v>242</v>
      </c>
      <c r="N1038" t="s">
        <v>1066</v>
      </c>
    </row>
    <row r="1039" spans="1:16" hidden="1" x14ac:dyDescent="0.25">
      <c r="A1039" s="16">
        <v>45627</v>
      </c>
      <c r="B1039" t="s">
        <v>97</v>
      </c>
      <c r="C1039">
        <v>32</v>
      </c>
      <c r="D1039" t="s">
        <v>253</v>
      </c>
      <c r="E1039" t="s">
        <v>248</v>
      </c>
      <c r="F1039" t="s">
        <v>240</v>
      </c>
      <c r="G1039" t="s">
        <v>82</v>
      </c>
      <c r="J1039" t="s">
        <v>190</v>
      </c>
      <c r="K1039" t="s">
        <v>255</v>
      </c>
      <c r="L1039">
        <v>5590000</v>
      </c>
      <c r="M1039" t="s">
        <v>242</v>
      </c>
      <c r="N1039" t="s">
        <v>705</v>
      </c>
      <c r="O1039">
        <v>1</v>
      </c>
      <c r="P1039" t="s">
        <v>257</v>
      </c>
    </row>
    <row r="1040" spans="1:16" hidden="1" x14ac:dyDescent="0.25">
      <c r="A1040" s="16">
        <v>45627</v>
      </c>
      <c r="B1040" t="s">
        <v>97</v>
      </c>
      <c r="C1040">
        <v>32</v>
      </c>
      <c r="D1040" t="s">
        <v>253</v>
      </c>
      <c r="E1040" t="s">
        <v>248</v>
      </c>
      <c r="F1040" t="s">
        <v>240</v>
      </c>
      <c r="G1040" t="s">
        <v>82</v>
      </c>
      <c r="J1040" t="s">
        <v>191</v>
      </c>
      <c r="K1040" t="s">
        <v>255</v>
      </c>
      <c r="L1040">
        <v>5560000</v>
      </c>
      <c r="M1040" t="s">
        <v>242</v>
      </c>
      <c r="N1040" t="s">
        <v>880</v>
      </c>
      <c r="O1040">
        <v>1</v>
      </c>
      <c r="P1040" t="s">
        <v>257</v>
      </c>
    </row>
    <row r="1041" spans="1:16" hidden="1" x14ac:dyDescent="0.25">
      <c r="A1041" s="16">
        <v>45627</v>
      </c>
      <c r="B1041" t="s">
        <v>97</v>
      </c>
      <c r="C1041">
        <v>32</v>
      </c>
      <c r="D1041" t="s">
        <v>253</v>
      </c>
      <c r="E1041" t="s">
        <v>248</v>
      </c>
      <c r="F1041" t="s">
        <v>240</v>
      </c>
      <c r="G1041" t="s">
        <v>82</v>
      </c>
      <c r="J1041" t="s">
        <v>192</v>
      </c>
      <c r="K1041" t="s">
        <v>255</v>
      </c>
      <c r="L1041">
        <v>6250000</v>
      </c>
      <c r="M1041" t="s">
        <v>242</v>
      </c>
      <c r="N1041" t="s">
        <v>1067</v>
      </c>
      <c r="O1041">
        <v>1</v>
      </c>
      <c r="P1041" t="s">
        <v>261</v>
      </c>
    </row>
    <row r="1042" spans="1:16" hidden="1" x14ac:dyDescent="0.25">
      <c r="A1042" s="16">
        <v>45627</v>
      </c>
      <c r="B1042" t="s">
        <v>97</v>
      </c>
      <c r="C1042">
        <v>32</v>
      </c>
      <c r="D1042" t="s">
        <v>247</v>
      </c>
      <c r="E1042" t="s">
        <v>248</v>
      </c>
      <c r="F1042" t="s">
        <v>240</v>
      </c>
      <c r="G1042" t="s">
        <v>82</v>
      </c>
      <c r="H1042" t="s">
        <v>286</v>
      </c>
      <c r="J1042" t="s">
        <v>192</v>
      </c>
      <c r="K1042" t="s">
        <v>250</v>
      </c>
      <c r="L1042">
        <v>12.4</v>
      </c>
      <c r="M1042" t="s">
        <v>251</v>
      </c>
      <c r="N1042" t="s">
        <v>588</v>
      </c>
    </row>
    <row r="1043" spans="1:16" hidden="1" x14ac:dyDescent="0.25">
      <c r="A1043" s="16">
        <v>45627</v>
      </c>
      <c r="B1043" t="s">
        <v>97</v>
      </c>
      <c r="C1043">
        <v>33</v>
      </c>
      <c r="D1043" t="s">
        <v>291</v>
      </c>
      <c r="E1043" t="s">
        <v>292</v>
      </c>
      <c r="F1043" t="s">
        <v>240</v>
      </c>
      <c r="G1043" t="s">
        <v>82</v>
      </c>
      <c r="H1043" t="s">
        <v>105</v>
      </c>
      <c r="J1043" t="s">
        <v>192</v>
      </c>
      <c r="K1043" t="s">
        <v>250</v>
      </c>
      <c r="L1043">
        <v>125700</v>
      </c>
      <c r="M1043" t="s">
        <v>242</v>
      </c>
      <c r="N1043" t="s">
        <v>1068</v>
      </c>
    </row>
    <row r="1044" spans="1:16" hidden="1" x14ac:dyDescent="0.25">
      <c r="A1044" s="16">
        <v>45627</v>
      </c>
      <c r="B1044" t="s">
        <v>97</v>
      </c>
      <c r="C1044">
        <v>33</v>
      </c>
      <c r="D1044" t="s">
        <v>291</v>
      </c>
      <c r="E1044" t="s">
        <v>292</v>
      </c>
      <c r="F1044" t="s">
        <v>240</v>
      </c>
      <c r="G1044" t="s">
        <v>82</v>
      </c>
      <c r="H1044" t="s">
        <v>106</v>
      </c>
      <c r="J1044" t="s">
        <v>192</v>
      </c>
      <c r="K1044" t="s">
        <v>250</v>
      </c>
      <c r="L1044">
        <v>183600</v>
      </c>
      <c r="M1044" t="s">
        <v>242</v>
      </c>
      <c r="N1044" t="s">
        <v>1069</v>
      </c>
    </row>
    <row r="1045" spans="1:16" hidden="1" x14ac:dyDescent="0.25">
      <c r="A1045" s="16">
        <v>45627</v>
      </c>
      <c r="B1045" t="s">
        <v>97</v>
      </c>
      <c r="C1045">
        <v>33</v>
      </c>
      <c r="D1045" t="s">
        <v>291</v>
      </c>
      <c r="E1045" t="s">
        <v>292</v>
      </c>
      <c r="F1045" t="s">
        <v>240</v>
      </c>
      <c r="G1045" t="s">
        <v>82</v>
      </c>
      <c r="H1045" t="s">
        <v>83</v>
      </c>
      <c r="J1045" t="s">
        <v>192</v>
      </c>
      <c r="K1045" t="s">
        <v>250</v>
      </c>
      <c r="L1045">
        <v>5730000</v>
      </c>
      <c r="M1045" t="s">
        <v>242</v>
      </c>
      <c r="N1045" t="s">
        <v>1070</v>
      </c>
    </row>
    <row r="1046" spans="1:16" hidden="1" x14ac:dyDescent="0.25">
      <c r="A1046" s="16">
        <v>45627</v>
      </c>
      <c r="B1046" t="s">
        <v>97</v>
      </c>
      <c r="C1046">
        <v>33</v>
      </c>
      <c r="D1046" t="s">
        <v>291</v>
      </c>
      <c r="E1046" t="s">
        <v>292</v>
      </c>
      <c r="F1046" t="s">
        <v>240</v>
      </c>
      <c r="G1046" t="s">
        <v>82</v>
      </c>
      <c r="H1046" t="s">
        <v>84</v>
      </c>
      <c r="J1046" t="s">
        <v>192</v>
      </c>
      <c r="K1046" t="s">
        <v>250</v>
      </c>
      <c r="L1046">
        <v>217200</v>
      </c>
      <c r="M1046" t="s">
        <v>242</v>
      </c>
      <c r="N1046" t="s">
        <v>1071</v>
      </c>
    </row>
    <row r="1047" spans="1:16" hidden="1" x14ac:dyDescent="0.25">
      <c r="A1047" s="16">
        <v>45627</v>
      </c>
      <c r="B1047" t="s">
        <v>97</v>
      </c>
      <c r="C1047">
        <v>34</v>
      </c>
      <c r="D1047" t="s">
        <v>291</v>
      </c>
      <c r="E1047" t="s">
        <v>292</v>
      </c>
      <c r="F1047" t="s">
        <v>240</v>
      </c>
      <c r="G1047" t="s">
        <v>82</v>
      </c>
      <c r="H1047" t="s">
        <v>105</v>
      </c>
      <c r="I1047" t="s">
        <v>491</v>
      </c>
      <c r="J1047" t="s">
        <v>192</v>
      </c>
      <c r="K1047" t="s">
        <v>250</v>
      </c>
      <c r="L1047">
        <v>1.21</v>
      </c>
      <c r="M1047" t="s">
        <v>251</v>
      </c>
      <c r="N1047" t="s">
        <v>1072</v>
      </c>
    </row>
    <row r="1048" spans="1:16" hidden="1" x14ac:dyDescent="0.25">
      <c r="A1048" s="16">
        <v>45627</v>
      </c>
      <c r="B1048" t="s">
        <v>97</v>
      </c>
      <c r="C1048">
        <v>34</v>
      </c>
      <c r="D1048" t="s">
        <v>291</v>
      </c>
      <c r="E1048" t="s">
        <v>292</v>
      </c>
      <c r="F1048" t="s">
        <v>240</v>
      </c>
      <c r="G1048" t="s">
        <v>82</v>
      </c>
      <c r="H1048" t="s">
        <v>105</v>
      </c>
      <c r="I1048" t="s">
        <v>493</v>
      </c>
      <c r="J1048" t="s">
        <v>192</v>
      </c>
      <c r="K1048" t="s">
        <v>250</v>
      </c>
      <c r="L1048">
        <v>98.79</v>
      </c>
      <c r="M1048" t="s">
        <v>251</v>
      </c>
      <c r="N1048" t="s">
        <v>1073</v>
      </c>
    </row>
    <row r="1049" spans="1:16" hidden="1" x14ac:dyDescent="0.25">
      <c r="A1049" s="16">
        <v>45627</v>
      </c>
      <c r="B1049" t="s">
        <v>97</v>
      </c>
      <c r="C1049">
        <v>34</v>
      </c>
      <c r="D1049" t="s">
        <v>291</v>
      </c>
      <c r="E1049" t="s">
        <v>292</v>
      </c>
      <c r="F1049" t="s">
        <v>240</v>
      </c>
      <c r="G1049" t="s">
        <v>82</v>
      </c>
      <c r="H1049" t="s">
        <v>106</v>
      </c>
      <c r="I1049" t="s">
        <v>491</v>
      </c>
      <c r="J1049" t="s">
        <v>192</v>
      </c>
      <c r="K1049" t="s">
        <v>250</v>
      </c>
      <c r="L1049">
        <v>7.55</v>
      </c>
      <c r="M1049" t="s">
        <v>251</v>
      </c>
      <c r="N1049" t="s">
        <v>1074</v>
      </c>
    </row>
    <row r="1050" spans="1:16" hidden="1" x14ac:dyDescent="0.25">
      <c r="A1050" s="16">
        <v>45627</v>
      </c>
      <c r="B1050" t="s">
        <v>97</v>
      </c>
      <c r="C1050">
        <v>34</v>
      </c>
      <c r="D1050" t="s">
        <v>291</v>
      </c>
      <c r="E1050" t="s">
        <v>292</v>
      </c>
      <c r="F1050" t="s">
        <v>240</v>
      </c>
      <c r="G1050" t="s">
        <v>82</v>
      </c>
      <c r="H1050" t="s">
        <v>106</v>
      </c>
      <c r="I1050" t="s">
        <v>493</v>
      </c>
      <c r="J1050" t="s">
        <v>192</v>
      </c>
      <c r="K1050" t="s">
        <v>250</v>
      </c>
      <c r="L1050">
        <v>92.45</v>
      </c>
      <c r="M1050" t="s">
        <v>251</v>
      </c>
      <c r="N1050" t="s">
        <v>1075</v>
      </c>
    </row>
    <row r="1051" spans="1:16" hidden="1" x14ac:dyDescent="0.25">
      <c r="A1051" s="16">
        <v>45627</v>
      </c>
      <c r="B1051" t="s">
        <v>97</v>
      </c>
      <c r="C1051">
        <v>34</v>
      </c>
      <c r="D1051" t="s">
        <v>291</v>
      </c>
      <c r="E1051" t="s">
        <v>292</v>
      </c>
      <c r="F1051" t="s">
        <v>240</v>
      </c>
      <c r="G1051" t="s">
        <v>82</v>
      </c>
      <c r="H1051" t="s">
        <v>83</v>
      </c>
      <c r="I1051" t="s">
        <v>497</v>
      </c>
      <c r="J1051" t="s">
        <v>192</v>
      </c>
      <c r="K1051" t="s">
        <v>250</v>
      </c>
      <c r="L1051">
        <v>2.2599999999999998</v>
      </c>
      <c r="M1051" t="s">
        <v>251</v>
      </c>
      <c r="N1051" t="s">
        <v>1076</v>
      </c>
    </row>
    <row r="1052" spans="1:16" hidden="1" x14ac:dyDescent="0.25">
      <c r="A1052" s="16">
        <v>45627</v>
      </c>
      <c r="B1052" t="s">
        <v>97</v>
      </c>
      <c r="C1052">
        <v>34</v>
      </c>
      <c r="D1052" t="s">
        <v>291</v>
      </c>
      <c r="E1052" t="s">
        <v>292</v>
      </c>
      <c r="F1052" t="s">
        <v>240</v>
      </c>
      <c r="G1052" t="s">
        <v>82</v>
      </c>
      <c r="H1052" t="s">
        <v>83</v>
      </c>
      <c r="I1052" t="s">
        <v>499</v>
      </c>
      <c r="J1052" t="s">
        <v>192</v>
      </c>
      <c r="K1052" t="s">
        <v>250</v>
      </c>
      <c r="L1052">
        <v>0.01</v>
      </c>
      <c r="M1052" t="s">
        <v>251</v>
      </c>
      <c r="N1052" t="s">
        <v>500</v>
      </c>
    </row>
    <row r="1053" spans="1:16" hidden="1" x14ac:dyDescent="0.25">
      <c r="A1053" s="16">
        <v>45627</v>
      </c>
      <c r="B1053" t="s">
        <v>97</v>
      </c>
      <c r="C1053">
        <v>34</v>
      </c>
      <c r="D1053" t="s">
        <v>291</v>
      </c>
      <c r="E1053" t="s">
        <v>292</v>
      </c>
      <c r="F1053" t="s">
        <v>240</v>
      </c>
      <c r="G1053" t="s">
        <v>82</v>
      </c>
      <c r="H1053" t="s">
        <v>83</v>
      </c>
      <c r="I1053" t="s">
        <v>501</v>
      </c>
      <c r="J1053" t="s">
        <v>192</v>
      </c>
      <c r="K1053" t="s">
        <v>250</v>
      </c>
      <c r="L1053">
        <v>0.53</v>
      </c>
      <c r="M1053" t="s">
        <v>251</v>
      </c>
      <c r="N1053" t="s">
        <v>1077</v>
      </c>
    </row>
    <row r="1054" spans="1:16" hidden="1" x14ac:dyDescent="0.25">
      <c r="A1054" s="16">
        <v>45627</v>
      </c>
      <c r="B1054" t="s">
        <v>97</v>
      </c>
      <c r="C1054">
        <v>34</v>
      </c>
      <c r="D1054" t="s">
        <v>291</v>
      </c>
      <c r="E1054" t="s">
        <v>292</v>
      </c>
      <c r="F1054" t="s">
        <v>240</v>
      </c>
      <c r="G1054" t="s">
        <v>82</v>
      </c>
      <c r="H1054" t="s">
        <v>83</v>
      </c>
      <c r="I1054" t="s">
        <v>503</v>
      </c>
      <c r="J1054" t="s">
        <v>192</v>
      </c>
      <c r="K1054" t="s">
        <v>250</v>
      </c>
      <c r="L1054">
        <v>4.03</v>
      </c>
      <c r="M1054" t="s">
        <v>251</v>
      </c>
      <c r="N1054" t="s">
        <v>1078</v>
      </c>
    </row>
    <row r="1055" spans="1:16" hidden="1" x14ac:dyDescent="0.25">
      <c r="A1055" s="16">
        <v>45627</v>
      </c>
      <c r="B1055" t="s">
        <v>97</v>
      </c>
      <c r="C1055">
        <v>34</v>
      </c>
      <c r="D1055" t="s">
        <v>291</v>
      </c>
      <c r="E1055" t="s">
        <v>292</v>
      </c>
      <c r="F1055" t="s">
        <v>240</v>
      </c>
      <c r="G1055" t="s">
        <v>82</v>
      </c>
      <c r="H1055" t="s">
        <v>83</v>
      </c>
      <c r="I1055" t="s">
        <v>315</v>
      </c>
      <c r="J1055" t="s">
        <v>192</v>
      </c>
      <c r="K1055" t="s">
        <v>250</v>
      </c>
      <c r="L1055">
        <v>87.15</v>
      </c>
      <c r="M1055" t="s">
        <v>251</v>
      </c>
      <c r="N1055" t="s">
        <v>1079</v>
      </c>
    </row>
    <row r="1056" spans="1:16" hidden="1" x14ac:dyDescent="0.25">
      <c r="A1056" s="16">
        <v>45627</v>
      </c>
      <c r="B1056" t="s">
        <v>97</v>
      </c>
      <c r="C1056">
        <v>34</v>
      </c>
      <c r="D1056" t="s">
        <v>291</v>
      </c>
      <c r="E1056" t="s">
        <v>292</v>
      </c>
      <c r="F1056" t="s">
        <v>240</v>
      </c>
      <c r="G1056" t="s">
        <v>82</v>
      </c>
      <c r="H1056" t="s">
        <v>83</v>
      </c>
      <c r="I1056" t="s">
        <v>317</v>
      </c>
      <c r="J1056" t="s">
        <v>192</v>
      </c>
      <c r="K1056" t="s">
        <v>250</v>
      </c>
      <c r="L1056">
        <v>6.01</v>
      </c>
      <c r="M1056" t="s">
        <v>251</v>
      </c>
      <c r="N1056" t="s">
        <v>1080</v>
      </c>
    </row>
    <row r="1057" spans="1:16" hidden="1" x14ac:dyDescent="0.25">
      <c r="A1057" s="16">
        <v>45627</v>
      </c>
      <c r="B1057" t="s">
        <v>97</v>
      </c>
      <c r="C1057">
        <v>34</v>
      </c>
      <c r="D1057" t="s">
        <v>291</v>
      </c>
      <c r="E1057" t="s">
        <v>292</v>
      </c>
      <c r="F1057" t="s">
        <v>240</v>
      </c>
      <c r="G1057" t="s">
        <v>82</v>
      </c>
      <c r="H1057" t="s">
        <v>84</v>
      </c>
      <c r="I1057" t="s">
        <v>84</v>
      </c>
      <c r="J1057" t="s">
        <v>192</v>
      </c>
      <c r="K1057" t="s">
        <v>250</v>
      </c>
      <c r="L1057">
        <v>78.150000000000006</v>
      </c>
      <c r="M1057" t="s">
        <v>251</v>
      </c>
      <c r="N1057" t="s">
        <v>1081</v>
      </c>
    </row>
    <row r="1058" spans="1:16" hidden="1" x14ac:dyDescent="0.25">
      <c r="A1058" s="16">
        <v>45627</v>
      </c>
      <c r="B1058" t="s">
        <v>97</v>
      </c>
      <c r="C1058">
        <v>34</v>
      </c>
      <c r="D1058" t="s">
        <v>291</v>
      </c>
      <c r="E1058" t="s">
        <v>292</v>
      </c>
      <c r="F1058" t="s">
        <v>240</v>
      </c>
      <c r="G1058" t="s">
        <v>82</v>
      </c>
      <c r="H1058" t="s">
        <v>84</v>
      </c>
      <c r="I1058" t="s">
        <v>321</v>
      </c>
      <c r="J1058" t="s">
        <v>192</v>
      </c>
      <c r="K1058" t="s">
        <v>250</v>
      </c>
      <c r="L1058">
        <v>21.85</v>
      </c>
      <c r="M1058" t="s">
        <v>251</v>
      </c>
      <c r="N1058" t="s">
        <v>1082</v>
      </c>
    </row>
    <row r="1059" spans="1:16" hidden="1" x14ac:dyDescent="0.25">
      <c r="A1059" s="16">
        <v>45627</v>
      </c>
      <c r="B1059" t="s">
        <v>97</v>
      </c>
      <c r="C1059">
        <v>35</v>
      </c>
      <c r="D1059" t="s">
        <v>253</v>
      </c>
      <c r="E1059" t="s">
        <v>248</v>
      </c>
      <c r="F1059" t="s">
        <v>244</v>
      </c>
      <c r="G1059" t="s">
        <v>82</v>
      </c>
      <c r="J1059" t="s">
        <v>190</v>
      </c>
      <c r="K1059" t="s">
        <v>255</v>
      </c>
      <c r="L1059">
        <v>467000000</v>
      </c>
      <c r="M1059" t="s">
        <v>245</v>
      </c>
      <c r="N1059" t="s">
        <v>721</v>
      </c>
      <c r="O1059">
        <v>1</v>
      </c>
      <c r="P1059" t="s">
        <v>257</v>
      </c>
    </row>
    <row r="1060" spans="1:16" hidden="1" x14ac:dyDescent="0.25">
      <c r="A1060" s="16">
        <v>45627</v>
      </c>
      <c r="B1060" t="s">
        <v>97</v>
      </c>
      <c r="C1060">
        <v>35</v>
      </c>
      <c r="D1060" t="s">
        <v>253</v>
      </c>
      <c r="E1060" t="s">
        <v>248</v>
      </c>
      <c r="F1060" t="s">
        <v>244</v>
      </c>
      <c r="G1060" t="s">
        <v>82</v>
      </c>
      <c r="J1060" t="s">
        <v>191</v>
      </c>
      <c r="K1060" t="s">
        <v>255</v>
      </c>
      <c r="L1060">
        <v>444000000</v>
      </c>
      <c r="M1060" t="s">
        <v>245</v>
      </c>
      <c r="N1060" t="s">
        <v>897</v>
      </c>
      <c r="O1060">
        <v>1</v>
      </c>
      <c r="P1060" t="s">
        <v>257</v>
      </c>
    </row>
    <row r="1061" spans="1:16" hidden="1" x14ac:dyDescent="0.25">
      <c r="A1061" s="16">
        <v>45627</v>
      </c>
      <c r="B1061" t="s">
        <v>97</v>
      </c>
      <c r="C1061">
        <v>35</v>
      </c>
      <c r="D1061" t="s">
        <v>253</v>
      </c>
      <c r="E1061" t="s">
        <v>248</v>
      </c>
      <c r="F1061" t="s">
        <v>244</v>
      </c>
      <c r="G1061" t="s">
        <v>82</v>
      </c>
      <c r="J1061" t="s">
        <v>192</v>
      </c>
      <c r="K1061" t="s">
        <v>255</v>
      </c>
      <c r="L1061">
        <v>493000000</v>
      </c>
      <c r="M1061" t="s">
        <v>245</v>
      </c>
      <c r="N1061" t="s">
        <v>1083</v>
      </c>
      <c r="O1061">
        <v>1</v>
      </c>
      <c r="P1061" t="s">
        <v>261</v>
      </c>
    </row>
    <row r="1062" spans="1:16" hidden="1" x14ac:dyDescent="0.25">
      <c r="A1062" s="16">
        <v>45627</v>
      </c>
      <c r="B1062" t="s">
        <v>97</v>
      </c>
      <c r="C1062">
        <v>35</v>
      </c>
      <c r="D1062" t="s">
        <v>247</v>
      </c>
      <c r="E1062" t="s">
        <v>248</v>
      </c>
      <c r="F1062" t="s">
        <v>244</v>
      </c>
      <c r="G1062" t="s">
        <v>82</v>
      </c>
      <c r="H1062" t="s">
        <v>286</v>
      </c>
      <c r="J1062" t="s">
        <v>192</v>
      </c>
      <c r="K1062" t="s">
        <v>250</v>
      </c>
      <c r="L1062">
        <v>11.1</v>
      </c>
      <c r="M1062" t="s">
        <v>251</v>
      </c>
      <c r="N1062" t="s">
        <v>1084</v>
      </c>
    </row>
    <row r="1063" spans="1:16" hidden="1" x14ac:dyDescent="0.25">
      <c r="A1063" s="16">
        <v>45627</v>
      </c>
      <c r="B1063" t="s">
        <v>97</v>
      </c>
      <c r="C1063">
        <v>36</v>
      </c>
      <c r="D1063" t="s">
        <v>291</v>
      </c>
      <c r="E1063" t="s">
        <v>292</v>
      </c>
      <c r="F1063" t="s">
        <v>244</v>
      </c>
      <c r="G1063" t="s">
        <v>82</v>
      </c>
      <c r="H1063" t="s">
        <v>105</v>
      </c>
      <c r="J1063" t="s">
        <v>192</v>
      </c>
      <c r="K1063" t="s">
        <v>250</v>
      </c>
      <c r="L1063">
        <v>18800000</v>
      </c>
      <c r="M1063" t="s">
        <v>245</v>
      </c>
      <c r="N1063" t="s">
        <v>1085</v>
      </c>
    </row>
    <row r="1064" spans="1:16" hidden="1" x14ac:dyDescent="0.25">
      <c r="A1064" s="16">
        <v>45627</v>
      </c>
      <c r="B1064" t="s">
        <v>97</v>
      </c>
      <c r="C1064">
        <v>36</v>
      </c>
      <c r="D1064" t="s">
        <v>291</v>
      </c>
      <c r="E1064" t="s">
        <v>292</v>
      </c>
      <c r="F1064" t="s">
        <v>244</v>
      </c>
      <c r="G1064" t="s">
        <v>82</v>
      </c>
      <c r="H1064" t="s">
        <v>106</v>
      </c>
      <c r="J1064" t="s">
        <v>192</v>
      </c>
      <c r="K1064" t="s">
        <v>250</v>
      </c>
      <c r="L1064">
        <v>29300000</v>
      </c>
      <c r="M1064" t="s">
        <v>245</v>
      </c>
      <c r="N1064" t="s">
        <v>514</v>
      </c>
    </row>
    <row r="1065" spans="1:16" hidden="1" x14ac:dyDescent="0.25">
      <c r="A1065" s="16">
        <v>45627</v>
      </c>
      <c r="B1065" t="s">
        <v>97</v>
      </c>
      <c r="C1065">
        <v>36</v>
      </c>
      <c r="D1065" t="s">
        <v>291</v>
      </c>
      <c r="E1065" t="s">
        <v>292</v>
      </c>
      <c r="F1065" t="s">
        <v>244</v>
      </c>
      <c r="G1065" t="s">
        <v>82</v>
      </c>
      <c r="H1065" t="s">
        <v>83</v>
      </c>
      <c r="J1065" t="s">
        <v>192</v>
      </c>
      <c r="K1065" t="s">
        <v>250</v>
      </c>
      <c r="L1065">
        <v>429900000</v>
      </c>
      <c r="M1065" t="s">
        <v>245</v>
      </c>
      <c r="N1065" t="s">
        <v>1086</v>
      </c>
    </row>
    <row r="1066" spans="1:16" hidden="1" x14ac:dyDescent="0.25">
      <c r="A1066" s="16">
        <v>45627</v>
      </c>
      <c r="B1066" t="s">
        <v>97</v>
      </c>
      <c r="C1066">
        <v>36</v>
      </c>
      <c r="D1066" t="s">
        <v>291</v>
      </c>
      <c r="E1066" t="s">
        <v>292</v>
      </c>
      <c r="F1066" t="s">
        <v>244</v>
      </c>
      <c r="G1066" t="s">
        <v>82</v>
      </c>
      <c r="H1066" t="s">
        <v>84</v>
      </c>
      <c r="J1066" t="s">
        <v>192</v>
      </c>
      <c r="K1066" t="s">
        <v>250</v>
      </c>
      <c r="L1066">
        <v>15500000</v>
      </c>
      <c r="M1066" t="s">
        <v>245</v>
      </c>
      <c r="N1066" t="s">
        <v>1087</v>
      </c>
    </row>
    <row r="1067" spans="1:16" hidden="1" x14ac:dyDescent="0.25">
      <c r="A1067" s="16">
        <v>45627</v>
      </c>
      <c r="B1067" t="s">
        <v>97</v>
      </c>
      <c r="C1067">
        <v>37</v>
      </c>
      <c r="D1067" t="s">
        <v>291</v>
      </c>
      <c r="E1067" t="s">
        <v>292</v>
      </c>
      <c r="F1067" t="s">
        <v>244</v>
      </c>
      <c r="G1067" t="s">
        <v>82</v>
      </c>
      <c r="H1067" t="s">
        <v>105</v>
      </c>
      <c r="I1067" t="s">
        <v>491</v>
      </c>
      <c r="J1067" t="s">
        <v>192</v>
      </c>
      <c r="K1067" t="s">
        <v>250</v>
      </c>
      <c r="L1067">
        <v>1.53</v>
      </c>
      <c r="M1067" t="s">
        <v>251</v>
      </c>
      <c r="N1067" t="s">
        <v>1088</v>
      </c>
    </row>
    <row r="1068" spans="1:16" hidden="1" x14ac:dyDescent="0.25">
      <c r="A1068" s="16">
        <v>45627</v>
      </c>
      <c r="B1068" t="s">
        <v>97</v>
      </c>
      <c r="C1068">
        <v>37</v>
      </c>
      <c r="D1068" t="s">
        <v>291</v>
      </c>
      <c r="E1068" t="s">
        <v>292</v>
      </c>
      <c r="F1068" t="s">
        <v>244</v>
      </c>
      <c r="G1068" t="s">
        <v>82</v>
      </c>
      <c r="H1068" t="s">
        <v>105</v>
      </c>
      <c r="I1068" t="s">
        <v>493</v>
      </c>
      <c r="J1068" t="s">
        <v>192</v>
      </c>
      <c r="K1068" t="s">
        <v>250</v>
      </c>
      <c r="L1068">
        <v>98.47</v>
      </c>
      <c r="M1068" t="s">
        <v>251</v>
      </c>
      <c r="N1068" t="s">
        <v>1089</v>
      </c>
    </row>
    <row r="1069" spans="1:16" hidden="1" x14ac:dyDescent="0.25">
      <c r="A1069" s="16">
        <v>45627</v>
      </c>
      <c r="B1069" t="s">
        <v>97</v>
      </c>
      <c r="C1069">
        <v>37</v>
      </c>
      <c r="D1069" t="s">
        <v>291</v>
      </c>
      <c r="E1069" t="s">
        <v>292</v>
      </c>
      <c r="F1069" t="s">
        <v>244</v>
      </c>
      <c r="G1069" t="s">
        <v>82</v>
      </c>
      <c r="H1069" t="s">
        <v>106</v>
      </c>
      <c r="I1069" t="s">
        <v>491</v>
      </c>
      <c r="J1069" t="s">
        <v>192</v>
      </c>
      <c r="K1069" t="s">
        <v>250</v>
      </c>
      <c r="L1069">
        <v>8.26</v>
      </c>
      <c r="M1069" t="s">
        <v>251</v>
      </c>
      <c r="N1069" t="s">
        <v>1090</v>
      </c>
    </row>
    <row r="1070" spans="1:16" hidden="1" x14ac:dyDescent="0.25">
      <c r="A1070" s="16">
        <v>45627</v>
      </c>
      <c r="B1070" t="s">
        <v>97</v>
      </c>
      <c r="C1070">
        <v>37</v>
      </c>
      <c r="D1070" t="s">
        <v>291</v>
      </c>
      <c r="E1070" t="s">
        <v>292</v>
      </c>
      <c r="F1070" t="s">
        <v>244</v>
      </c>
      <c r="G1070" t="s">
        <v>82</v>
      </c>
      <c r="H1070" t="s">
        <v>106</v>
      </c>
      <c r="I1070" t="s">
        <v>493</v>
      </c>
      <c r="J1070" t="s">
        <v>192</v>
      </c>
      <c r="K1070" t="s">
        <v>250</v>
      </c>
      <c r="L1070">
        <v>91.74</v>
      </c>
      <c r="M1070" t="s">
        <v>251</v>
      </c>
      <c r="N1070" t="s">
        <v>1091</v>
      </c>
    </row>
    <row r="1071" spans="1:16" hidden="1" x14ac:dyDescent="0.25">
      <c r="A1071" s="16">
        <v>45627</v>
      </c>
      <c r="B1071" t="s">
        <v>97</v>
      </c>
      <c r="C1071">
        <v>37</v>
      </c>
      <c r="D1071" t="s">
        <v>291</v>
      </c>
      <c r="E1071" t="s">
        <v>292</v>
      </c>
      <c r="F1071" t="s">
        <v>244</v>
      </c>
      <c r="G1071" t="s">
        <v>82</v>
      </c>
      <c r="H1071" t="s">
        <v>83</v>
      </c>
      <c r="I1071" t="s">
        <v>497</v>
      </c>
      <c r="J1071" t="s">
        <v>192</v>
      </c>
      <c r="K1071" t="s">
        <v>250</v>
      </c>
      <c r="L1071">
        <v>4.9400000000000004</v>
      </c>
      <c r="M1071" t="s">
        <v>251</v>
      </c>
      <c r="N1071" t="s">
        <v>1092</v>
      </c>
    </row>
    <row r="1072" spans="1:16" hidden="1" x14ac:dyDescent="0.25">
      <c r="A1072" s="16">
        <v>45627</v>
      </c>
      <c r="B1072" t="s">
        <v>97</v>
      </c>
      <c r="C1072">
        <v>37</v>
      </c>
      <c r="D1072" t="s">
        <v>291</v>
      </c>
      <c r="E1072" t="s">
        <v>292</v>
      </c>
      <c r="F1072" t="s">
        <v>244</v>
      </c>
      <c r="G1072" t="s">
        <v>82</v>
      </c>
      <c r="H1072" t="s">
        <v>83</v>
      </c>
      <c r="I1072" t="s">
        <v>499</v>
      </c>
      <c r="J1072" t="s">
        <v>192</v>
      </c>
      <c r="K1072" t="s">
        <v>250</v>
      </c>
      <c r="L1072">
        <v>0.04</v>
      </c>
      <c r="M1072" t="s">
        <v>251</v>
      </c>
      <c r="N1072" t="s">
        <v>906</v>
      </c>
    </row>
    <row r="1073" spans="1:16" hidden="1" x14ac:dyDescent="0.25">
      <c r="A1073" s="16">
        <v>45627</v>
      </c>
      <c r="B1073" t="s">
        <v>97</v>
      </c>
      <c r="C1073">
        <v>37</v>
      </c>
      <c r="D1073" t="s">
        <v>291</v>
      </c>
      <c r="E1073" t="s">
        <v>292</v>
      </c>
      <c r="F1073" t="s">
        <v>244</v>
      </c>
      <c r="G1073" t="s">
        <v>82</v>
      </c>
      <c r="H1073" t="s">
        <v>83</v>
      </c>
      <c r="I1073" t="s">
        <v>501</v>
      </c>
      <c r="J1073" t="s">
        <v>192</v>
      </c>
      <c r="K1073" t="s">
        <v>250</v>
      </c>
      <c r="L1073">
        <v>2.54</v>
      </c>
      <c r="M1073" t="s">
        <v>251</v>
      </c>
      <c r="N1073" t="s">
        <v>1093</v>
      </c>
    </row>
    <row r="1074" spans="1:16" hidden="1" x14ac:dyDescent="0.25">
      <c r="A1074" s="16">
        <v>45627</v>
      </c>
      <c r="B1074" t="s">
        <v>97</v>
      </c>
      <c r="C1074">
        <v>37</v>
      </c>
      <c r="D1074" t="s">
        <v>291</v>
      </c>
      <c r="E1074" t="s">
        <v>292</v>
      </c>
      <c r="F1074" t="s">
        <v>244</v>
      </c>
      <c r="G1074" t="s">
        <v>82</v>
      </c>
      <c r="H1074" t="s">
        <v>83</v>
      </c>
      <c r="I1074" t="s">
        <v>503</v>
      </c>
      <c r="J1074" t="s">
        <v>192</v>
      </c>
      <c r="K1074" t="s">
        <v>250</v>
      </c>
      <c r="L1074">
        <v>5.0999999999999996</v>
      </c>
      <c r="M1074" t="s">
        <v>251</v>
      </c>
      <c r="N1074" t="s">
        <v>1094</v>
      </c>
    </row>
    <row r="1075" spans="1:16" hidden="1" x14ac:dyDescent="0.25">
      <c r="A1075" s="16">
        <v>45627</v>
      </c>
      <c r="B1075" t="s">
        <v>97</v>
      </c>
      <c r="C1075">
        <v>37</v>
      </c>
      <c r="D1075" t="s">
        <v>291</v>
      </c>
      <c r="E1075" t="s">
        <v>292</v>
      </c>
      <c r="F1075" t="s">
        <v>244</v>
      </c>
      <c r="G1075" t="s">
        <v>82</v>
      </c>
      <c r="H1075" t="s">
        <v>83</v>
      </c>
      <c r="I1075" t="s">
        <v>315</v>
      </c>
      <c r="J1075" t="s">
        <v>192</v>
      </c>
      <c r="K1075" t="s">
        <v>250</v>
      </c>
      <c r="L1075">
        <v>72.19</v>
      </c>
      <c r="M1075" t="s">
        <v>251</v>
      </c>
      <c r="N1075" t="s">
        <v>1095</v>
      </c>
    </row>
    <row r="1076" spans="1:16" hidden="1" x14ac:dyDescent="0.25">
      <c r="A1076" s="16">
        <v>45627</v>
      </c>
      <c r="B1076" t="s">
        <v>97</v>
      </c>
      <c r="C1076">
        <v>37</v>
      </c>
      <c r="D1076" t="s">
        <v>291</v>
      </c>
      <c r="E1076" t="s">
        <v>292</v>
      </c>
      <c r="F1076" t="s">
        <v>244</v>
      </c>
      <c r="G1076" t="s">
        <v>82</v>
      </c>
      <c r="H1076" t="s">
        <v>83</v>
      </c>
      <c r="I1076" t="s">
        <v>317</v>
      </c>
      <c r="J1076" t="s">
        <v>192</v>
      </c>
      <c r="K1076" t="s">
        <v>250</v>
      </c>
      <c r="L1076">
        <v>15.18</v>
      </c>
      <c r="M1076" t="s">
        <v>251</v>
      </c>
      <c r="N1076" t="s">
        <v>1096</v>
      </c>
    </row>
    <row r="1077" spans="1:16" hidden="1" x14ac:dyDescent="0.25">
      <c r="A1077" s="16">
        <v>45627</v>
      </c>
      <c r="B1077" t="s">
        <v>97</v>
      </c>
      <c r="C1077">
        <v>37</v>
      </c>
      <c r="D1077" t="s">
        <v>291</v>
      </c>
      <c r="E1077" t="s">
        <v>292</v>
      </c>
      <c r="F1077" t="s">
        <v>244</v>
      </c>
      <c r="G1077" t="s">
        <v>82</v>
      </c>
      <c r="H1077" t="s">
        <v>84</v>
      </c>
      <c r="I1077" t="s">
        <v>84</v>
      </c>
      <c r="J1077" t="s">
        <v>192</v>
      </c>
      <c r="K1077" t="s">
        <v>250</v>
      </c>
      <c r="L1077">
        <v>95.44</v>
      </c>
      <c r="M1077" t="s">
        <v>251</v>
      </c>
      <c r="N1077" t="s">
        <v>1097</v>
      </c>
    </row>
    <row r="1078" spans="1:16" hidden="1" x14ac:dyDescent="0.25">
      <c r="A1078" s="16">
        <v>45627</v>
      </c>
      <c r="B1078" t="s">
        <v>97</v>
      </c>
      <c r="C1078">
        <v>37</v>
      </c>
      <c r="D1078" t="s">
        <v>291</v>
      </c>
      <c r="E1078" t="s">
        <v>292</v>
      </c>
      <c r="F1078" t="s">
        <v>244</v>
      </c>
      <c r="G1078" t="s">
        <v>82</v>
      </c>
      <c r="H1078" t="s">
        <v>84</v>
      </c>
      <c r="I1078" t="s">
        <v>321</v>
      </c>
      <c r="J1078" t="s">
        <v>192</v>
      </c>
      <c r="K1078" t="s">
        <v>250</v>
      </c>
      <c r="L1078">
        <v>4.5599999999999996</v>
      </c>
      <c r="M1078" t="s">
        <v>251</v>
      </c>
      <c r="N1078" t="s">
        <v>1098</v>
      </c>
    </row>
    <row r="1079" spans="1:16" hidden="1" x14ac:dyDescent="0.25">
      <c r="A1079" s="16">
        <v>45627</v>
      </c>
      <c r="B1079" t="s">
        <v>97</v>
      </c>
      <c r="C1079">
        <v>38</v>
      </c>
      <c r="D1079" t="s">
        <v>253</v>
      </c>
      <c r="E1079" t="s">
        <v>248</v>
      </c>
      <c r="F1079" t="s">
        <v>334</v>
      </c>
      <c r="G1079" t="s">
        <v>82</v>
      </c>
      <c r="J1079" t="s">
        <v>190</v>
      </c>
      <c r="K1079" t="s">
        <v>255</v>
      </c>
      <c r="L1079">
        <v>84</v>
      </c>
      <c r="M1079" t="s">
        <v>245</v>
      </c>
      <c r="N1079" t="s">
        <v>738</v>
      </c>
      <c r="O1079">
        <v>1</v>
      </c>
      <c r="P1079" t="s">
        <v>257</v>
      </c>
    </row>
    <row r="1080" spans="1:16" hidden="1" x14ac:dyDescent="0.25">
      <c r="A1080" s="16">
        <v>45627</v>
      </c>
      <c r="B1080" t="s">
        <v>97</v>
      </c>
      <c r="C1080">
        <v>38</v>
      </c>
      <c r="D1080" t="s">
        <v>253</v>
      </c>
      <c r="E1080" t="s">
        <v>248</v>
      </c>
      <c r="F1080" t="s">
        <v>334</v>
      </c>
      <c r="G1080" t="s">
        <v>82</v>
      </c>
      <c r="J1080" t="s">
        <v>191</v>
      </c>
      <c r="K1080" t="s">
        <v>255</v>
      </c>
      <c r="L1080">
        <v>80</v>
      </c>
      <c r="M1080" t="s">
        <v>245</v>
      </c>
      <c r="N1080" t="s">
        <v>913</v>
      </c>
      <c r="O1080">
        <v>1</v>
      </c>
      <c r="P1080" t="s">
        <v>257</v>
      </c>
    </row>
    <row r="1081" spans="1:16" hidden="1" x14ac:dyDescent="0.25">
      <c r="A1081" s="16">
        <v>45627</v>
      </c>
      <c r="B1081" t="s">
        <v>97</v>
      </c>
      <c r="C1081">
        <v>38</v>
      </c>
      <c r="D1081" t="s">
        <v>253</v>
      </c>
      <c r="E1081" t="s">
        <v>248</v>
      </c>
      <c r="F1081" t="s">
        <v>334</v>
      </c>
      <c r="G1081" t="s">
        <v>82</v>
      </c>
      <c r="J1081" t="s">
        <v>192</v>
      </c>
      <c r="K1081" t="s">
        <v>255</v>
      </c>
      <c r="L1081">
        <v>79</v>
      </c>
      <c r="M1081" t="s">
        <v>245</v>
      </c>
      <c r="N1081" t="s">
        <v>1099</v>
      </c>
      <c r="O1081">
        <v>1</v>
      </c>
      <c r="P1081" t="s">
        <v>261</v>
      </c>
    </row>
    <row r="1082" spans="1:16" hidden="1" x14ac:dyDescent="0.25">
      <c r="A1082" s="16">
        <v>45627</v>
      </c>
      <c r="B1082" t="s">
        <v>97</v>
      </c>
      <c r="C1082">
        <v>39</v>
      </c>
      <c r="D1082" t="s">
        <v>291</v>
      </c>
      <c r="E1082" t="s">
        <v>292</v>
      </c>
      <c r="F1082" t="s">
        <v>240</v>
      </c>
      <c r="G1082" t="s">
        <v>82</v>
      </c>
      <c r="H1082" t="s">
        <v>94</v>
      </c>
      <c r="J1082" t="s">
        <v>192</v>
      </c>
      <c r="K1082" t="s">
        <v>250</v>
      </c>
      <c r="L1082">
        <v>1750000</v>
      </c>
      <c r="M1082" t="s">
        <v>242</v>
      </c>
      <c r="N1082" t="s">
        <v>1100</v>
      </c>
    </row>
    <row r="1083" spans="1:16" hidden="1" x14ac:dyDescent="0.25">
      <c r="A1083" s="16">
        <v>45627</v>
      </c>
      <c r="B1083" t="s">
        <v>97</v>
      </c>
      <c r="C1083">
        <v>39</v>
      </c>
      <c r="D1083" t="s">
        <v>291</v>
      </c>
      <c r="E1083" t="s">
        <v>292</v>
      </c>
      <c r="F1083" t="s">
        <v>240</v>
      </c>
      <c r="G1083" t="s">
        <v>82</v>
      </c>
      <c r="H1083" t="s">
        <v>95</v>
      </c>
      <c r="J1083" t="s">
        <v>192</v>
      </c>
      <c r="K1083" t="s">
        <v>250</v>
      </c>
      <c r="L1083">
        <v>2090000</v>
      </c>
      <c r="M1083" t="s">
        <v>242</v>
      </c>
      <c r="N1083" t="s">
        <v>691</v>
      </c>
    </row>
    <row r="1084" spans="1:16" hidden="1" x14ac:dyDescent="0.25">
      <c r="A1084" s="16">
        <v>45627</v>
      </c>
      <c r="B1084" t="s">
        <v>97</v>
      </c>
      <c r="C1084">
        <v>40</v>
      </c>
      <c r="D1084" t="s">
        <v>291</v>
      </c>
      <c r="E1084" t="s">
        <v>292</v>
      </c>
      <c r="F1084" t="s">
        <v>244</v>
      </c>
      <c r="G1084" t="s">
        <v>82</v>
      </c>
      <c r="H1084" t="s">
        <v>94</v>
      </c>
      <c r="J1084" t="s">
        <v>192</v>
      </c>
      <c r="K1084" t="s">
        <v>250</v>
      </c>
      <c r="L1084">
        <v>93800000</v>
      </c>
      <c r="M1084" t="s">
        <v>245</v>
      </c>
      <c r="N1084" t="s">
        <v>1101</v>
      </c>
    </row>
    <row r="1085" spans="1:16" hidden="1" x14ac:dyDescent="0.25">
      <c r="A1085" s="16">
        <v>45627</v>
      </c>
      <c r="B1085" t="s">
        <v>97</v>
      </c>
      <c r="C1085">
        <v>40</v>
      </c>
      <c r="D1085" t="s">
        <v>291</v>
      </c>
      <c r="E1085" t="s">
        <v>292</v>
      </c>
      <c r="F1085" t="s">
        <v>244</v>
      </c>
      <c r="G1085" t="s">
        <v>82</v>
      </c>
      <c r="H1085" t="s">
        <v>95</v>
      </c>
      <c r="J1085" t="s">
        <v>192</v>
      </c>
      <c r="K1085" t="s">
        <v>250</v>
      </c>
      <c r="L1085">
        <v>104800000</v>
      </c>
      <c r="M1085" t="s">
        <v>245</v>
      </c>
      <c r="N1085" t="s">
        <v>1102</v>
      </c>
    </row>
    <row r="1086" spans="1:16" hidden="1" x14ac:dyDescent="0.25">
      <c r="A1086" s="16">
        <v>45627</v>
      </c>
      <c r="B1086" t="s">
        <v>535</v>
      </c>
      <c r="C1086">
        <v>4</v>
      </c>
      <c r="D1086" t="s">
        <v>238</v>
      </c>
      <c r="E1086" t="s">
        <v>239</v>
      </c>
      <c r="F1086" t="s">
        <v>240</v>
      </c>
      <c r="G1086" t="s">
        <v>82</v>
      </c>
      <c r="J1086" t="s">
        <v>192</v>
      </c>
      <c r="K1086" t="s">
        <v>250</v>
      </c>
      <c r="L1086">
        <v>10000000</v>
      </c>
      <c r="M1086" t="s">
        <v>242</v>
      </c>
      <c r="N1086" t="s">
        <v>1103</v>
      </c>
    </row>
    <row r="1087" spans="1:16" hidden="1" x14ac:dyDescent="0.25">
      <c r="A1087" s="16">
        <v>45627</v>
      </c>
      <c r="B1087" t="s">
        <v>535</v>
      </c>
      <c r="C1087">
        <v>4</v>
      </c>
      <c r="D1087" t="s">
        <v>238</v>
      </c>
      <c r="E1087" t="s">
        <v>239</v>
      </c>
      <c r="F1087" t="s">
        <v>285</v>
      </c>
      <c r="G1087" t="s">
        <v>63</v>
      </c>
      <c r="J1087" t="s">
        <v>192</v>
      </c>
      <c r="K1087" t="s">
        <v>250</v>
      </c>
      <c r="L1087">
        <v>1670000</v>
      </c>
      <c r="M1087" t="s">
        <v>242</v>
      </c>
      <c r="N1087" t="s">
        <v>1104</v>
      </c>
    </row>
    <row r="1088" spans="1:16" hidden="1" x14ac:dyDescent="0.25">
      <c r="A1088" s="16">
        <v>45627</v>
      </c>
      <c r="B1088" t="s">
        <v>535</v>
      </c>
      <c r="C1088">
        <v>4</v>
      </c>
      <c r="D1088" t="s">
        <v>238</v>
      </c>
      <c r="E1088" t="s">
        <v>239</v>
      </c>
      <c r="F1088" t="s">
        <v>244</v>
      </c>
      <c r="G1088" t="s">
        <v>82</v>
      </c>
      <c r="J1088" t="s">
        <v>192</v>
      </c>
      <c r="K1088" t="s">
        <v>250</v>
      </c>
      <c r="L1088">
        <v>1330000000</v>
      </c>
      <c r="M1088" t="s">
        <v>245</v>
      </c>
      <c r="N1088" t="s">
        <v>1105</v>
      </c>
    </row>
    <row r="1089" spans="1:14" hidden="1" x14ac:dyDescent="0.25">
      <c r="A1089" s="16">
        <v>45627</v>
      </c>
      <c r="B1089" t="s">
        <v>535</v>
      </c>
      <c r="C1089">
        <v>5</v>
      </c>
      <c r="D1089" t="s">
        <v>238</v>
      </c>
      <c r="E1089" t="s">
        <v>239</v>
      </c>
      <c r="F1089" t="s">
        <v>240</v>
      </c>
      <c r="G1089" t="s">
        <v>82</v>
      </c>
      <c r="J1089" t="s">
        <v>192</v>
      </c>
      <c r="K1089" t="s">
        <v>250</v>
      </c>
      <c r="L1089">
        <v>6250000</v>
      </c>
      <c r="M1089" t="s">
        <v>242</v>
      </c>
      <c r="N1089" t="s">
        <v>1106</v>
      </c>
    </row>
    <row r="1090" spans="1:14" hidden="1" x14ac:dyDescent="0.25">
      <c r="A1090" s="16">
        <v>45627</v>
      </c>
      <c r="B1090" t="s">
        <v>535</v>
      </c>
      <c r="C1090">
        <v>5</v>
      </c>
      <c r="D1090" t="s">
        <v>238</v>
      </c>
      <c r="E1090" t="s">
        <v>239</v>
      </c>
      <c r="F1090" t="s">
        <v>285</v>
      </c>
      <c r="G1090" t="s">
        <v>63</v>
      </c>
      <c r="J1090" t="s">
        <v>192</v>
      </c>
      <c r="K1090" t="s">
        <v>250</v>
      </c>
      <c r="L1090">
        <v>2590000</v>
      </c>
      <c r="M1090" t="s">
        <v>242</v>
      </c>
      <c r="N1090" t="s">
        <v>1107</v>
      </c>
    </row>
    <row r="1091" spans="1:14" hidden="1" x14ac:dyDescent="0.25">
      <c r="A1091" s="16">
        <v>45627</v>
      </c>
      <c r="B1091" t="s">
        <v>535</v>
      </c>
      <c r="C1091">
        <v>5</v>
      </c>
      <c r="D1091" t="s">
        <v>238</v>
      </c>
      <c r="E1091" t="s">
        <v>239</v>
      </c>
      <c r="F1091" t="s">
        <v>244</v>
      </c>
      <c r="G1091" t="s">
        <v>82</v>
      </c>
      <c r="J1091" t="s">
        <v>192</v>
      </c>
      <c r="K1091" t="s">
        <v>250</v>
      </c>
      <c r="L1091">
        <v>493000000</v>
      </c>
      <c r="M1091" t="s">
        <v>245</v>
      </c>
      <c r="N1091" t="s">
        <v>1108</v>
      </c>
    </row>
    <row r="1092" spans="1:14" hidden="1" x14ac:dyDescent="0.25">
      <c r="A1092" s="16">
        <v>45627</v>
      </c>
      <c r="B1092" t="s">
        <v>535</v>
      </c>
      <c r="C1092">
        <v>6</v>
      </c>
      <c r="D1092" t="s">
        <v>238</v>
      </c>
      <c r="E1092" t="s">
        <v>239</v>
      </c>
      <c r="F1092" t="s">
        <v>378</v>
      </c>
      <c r="G1092" t="s">
        <v>379</v>
      </c>
      <c r="J1092" t="s">
        <v>192</v>
      </c>
      <c r="K1092" t="s">
        <v>250</v>
      </c>
      <c r="L1092">
        <v>589</v>
      </c>
      <c r="M1092" t="s">
        <v>242</v>
      </c>
      <c r="N1092" t="s">
        <v>999</v>
      </c>
    </row>
    <row r="1093" spans="1:14" hidden="1" x14ac:dyDescent="0.25">
      <c r="A1093" s="16">
        <v>45627</v>
      </c>
      <c r="B1093" t="s">
        <v>535</v>
      </c>
      <c r="C1093">
        <v>6</v>
      </c>
      <c r="D1093" t="s">
        <v>238</v>
      </c>
      <c r="E1093" t="s">
        <v>239</v>
      </c>
      <c r="F1093" t="s">
        <v>381</v>
      </c>
      <c r="G1093" t="s">
        <v>382</v>
      </c>
      <c r="J1093" t="s">
        <v>192</v>
      </c>
      <c r="K1093" t="s">
        <v>250</v>
      </c>
      <c r="L1093">
        <v>2018</v>
      </c>
      <c r="M1093" t="s">
        <v>242</v>
      </c>
      <c r="N1093" t="s">
        <v>1000</v>
      </c>
    </row>
    <row r="1094" spans="1:14" hidden="1" x14ac:dyDescent="0.25">
      <c r="A1094" s="16">
        <v>45627</v>
      </c>
      <c r="B1094" t="s">
        <v>535</v>
      </c>
      <c r="C1094">
        <v>6</v>
      </c>
      <c r="D1094" t="s">
        <v>238</v>
      </c>
      <c r="E1094" t="s">
        <v>239</v>
      </c>
      <c r="F1094" t="s">
        <v>240</v>
      </c>
      <c r="G1094" t="s">
        <v>82</v>
      </c>
      <c r="J1094" t="s">
        <v>192</v>
      </c>
      <c r="K1094" t="s">
        <v>250</v>
      </c>
      <c r="L1094">
        <v>6430000</v>
      </c>
      <c r="M1094" t="s">
        <v>242</v>
      </c>
      <c r="N1094" t="s">
        <v>663</v>
      </c>
    </row>
    <row r="1095" spans="1:14" hidden="1" x14ac:dyDescent="0.25">
      <c r="A1095" s="16">
        <v>45627</v>
      </c>
      <c r="B1095" t="s">
        <v>535</v>
      </c>
      <c r="C1095">
        <v>6</v>
      </c>
      <c r="D1095" t="s">
        <v>238</v>
      </c>
      <c r="E1095" t="s">
        <v>239</v>
      </c>
      <c r="F1095" t="s">
        <v>285</v>
      </c>
      <c r="G1095" t="s">
        <v>63</v>
      </c>
      <c r="J1095" t="s">
        <v>192</v>
      </c>
      <c r="K1095" t="s">
        <v>250</v>
      </c>
      <c r="L1095">
        <v>4540000</v>
      </c>
      <c r="M1095" t="s">
        <v>242</v>
      </c>
      <c r="N1095" t="s">
        <v>998</v>
      </c>
    </row>
    <row r="1096" spans="1:14" hidden="1" x14ac:dyDescent="0.25">
      <c r="A1096" s="16">
        <v>45627</v>
      </c>
      <c r="B1096" t="s">
        <v>535</v>
      </c>
      <c r="C1096">
        <v>6</v>
      </c>
      <c r="D1096" t="s">
        <v>238</v>
      </c>
      <c r="E1096" t="s">
        <v>239</v>
      </c>
      <c r="F1096" t="s">
        <v>244</v>
      </c>
      <c r="G1096" t="s">
        <v>82</v>
      </c>
      <c r="J1096" t="s">
        <v>192</v>
      </c>
      <c r="K1096" t="s">
        <v>250</v>
      </c>
      <c r="L1096">
        <v>1340000000</v>
      </c>
      <c r="M1096" t="s">
        <v>245</v>
      </c>
      <c r="N1096" t="s">
        <v>1109</v>
      </c>
    </row>
    <row r="1097" spans="1:14" hidden="1" x14ac:dyDescent="0.25">
      <c r="A1097" s="16">
        <v>45627</v>
      </c>
      <c r="B1097" t="s">
        <v>535</v>
      </c>
      <c r="C1097">
        <v>7</v>
      </c>
      <c r="D1097" t="s">
        <v>238</v>
      </c>
      <c r="E1097" t="s">
        <v>239</v>
      </c>
      <c r="F1097" t="s">
        <v>544</v>
      </c>
      <c r="G1097" t="s">
        <v>82</v>
      </c>
      <c r="J1097" t="s">
        <v>192</v>
      </c>
      <c r="K1097" t="s">
        <v>250</v>
      </c>
      <c r="L1097">
        <v>1020000</v>
      </c>
      <c r="M1097" t="s">
        <v>242</v>
      </c>
      <c r="N1097" t="s">
        <v>773</v>
      </c>
    </row>
    <row r="1098" spans="1:14" hidden="1" x14ac:dyDescent="0.25">
      <c r="A1098" s="16">
        <v>45627</v>
      </c>
      <c r="B1098" t="s">
        <v>535</v>
      </c>
      <c r="C1098">
        <v>7</v>
      </c>
      <c r="D1098" t="s">
        <v>238</v>
      </c>
      <c r="E1098" t="s">
        <v>239</v>
      </c>
      <c r="F1098" t="s">
        <v>240</v>
      </c>
      <c r="G1098" t="s">
        <v>82</v>
      </c>
      <c r="J1098" t="s">
        <v>192</v>
      </c>
      <c r="K1098" t="s">
        <v>250</v>
      </c>
      <c r="L1098">
        <v>1030000</v>
      </c>
      <c r="M1098" t="s">
        <v>242</v>
      </c>
      <c r="N1098" t="s">
        <v>826</v>
      </c>
    </row>
    <row r="1099" spans="1:14" hidden="1" x14ac:dyDescent="0.25">
      <c r="A1099" s="16">
        <v>45627</v>
      </c>
      <c r="B1099" t="s">
        <v>535</v>
      </c>
      <c r="C1099">
        <v>7</v>
      </c>
      <c r="D1099" t="s">
        <v>238</v>
      </c>
      <c r="E1099" t="s">
        <v>239</v>
      </c>
      <c r="F1099" t="s">
        <v>929</v>
      </c>
      <c r="G1099" t="s">
        <v>82</v>
      </c>
      <c r="J1099" t="s">
        <v>192</v>
      </c>
      <c r="K1099" t="s">
        <v>250</v>
      </c>
      <c r="L1099">
        <v>870000000</v>
      </c>
      <c r="M1099" t="s">
        <v>245</v>
      </c>
      <c r="N1099" t="s">
        <v>1110</v>
      </c>
    </row>
    <row r="1100" spans="1:14" hidden="1" x14ac:dyDescent="0.25">
      <c r="A1100" s="16">
        <v>45627</v>
      </c>
      <c r="B1100" t="s">
        <v>535</v>
      </c>
      <c r="C1100">
        <v>8</v>
      </c>
      <c r="D1100" t="s">
        <v>238</v>
      </c>
      <c r="E1100" t="s">
        <v>239</v>
      </c>
      <c r="F1100" t="s">
        <v>548</v>
      </c>
      <c r="G1100" t="s">
        <v>158</v>
      </c>
      <c r="J1100" t="s">
        <v>192</v>
      </c>
      <c r="K1100" t="s">
        <v>250</v>
      </c>
      <c r="L1100">
        <v>670000</v>
      </c>
      <c r="M1100" t="s">
        <v>242</v>
      </c>
      <c r="N1100" t="s">
        <v>1111</v>
      </c>
    </row>
    <row r="1101" spans="1:14" hidden="1" x14ac:dyDescent="0.25">
      <c r="A1101" s="16">
        <v>45627</v>
      </c>
      <c r="B1101" t="s">
        <v>535</v>
      </c>
      <c r="C1101">
        <v>8</v>
      </c>
      <c r="D1101" t="s">
        <v>238</v>
      </c>
      <c r="E1101" t="s">
        <v>239</v>
      </c>
      <c r="F1101" t="s">
        <v>349</v>
      </c>
      <c r="G1101" t="s">
        <v>158</v>
      </c>
      <c r="J1101" t="s">
        <v>192</v>
      </c>
      <c r="K1101" t="s">
        <v>250</v>
      </c>
      <c r="L1101">
        <v>23800</v>
      </c>
      <c r="M1101" t="s">
        <v>242</v>
      </c>
      <c r="N1101" t="s">
        <v>1112</v>
      </c>
    </row>
    <row r="1102" spans="1:14" hidden="1" x14ac:dyDescent="0.25">
      <c r="A1102" s="16">
        <v>45627</v>
      </c>
      <c r="B1102" t="s">
        <v>535</v>
      </c>
      <c r="C1102">
        <v>8</v>
      </c>
      <c r="D1102" t="s">
        <v>238</v>
      </c>
      <c r="E1102" t="s">
        <v>239</v>
      </c>
      <c r="F1102" t="s">
        <v>551</v>
      </c>
      <c r="G1102" t="s">
        <v>158</v>
      </c>
      <c r="J1102" t="s">
        <v>192</v>
      </c>
      <c r="K1102" t="s">
        <v>250</v>
      </c>
      <c r="L1102">
        <v>3960000000</v>
      </c>
      <c r="M1102" t="s">
        <v>245</v>
      </c>
      <c r="N1102" t="s">
        <v>1113</v>
      </c>
    </row>
    <row r="1103" spans="1:14" hidden="1" x14ac:dyDescent="0.25">
      <c r="A1103" s="16">
        <v>45627</v>
      </c>
      <c r="B1103" t="s">
        <v>535</v>
      </c>
      <c r="C1103">
        <v>8</v>
      </c>
      <c r="D1103" t="s">
        <v>238</v>
      </c>
      <c r="E1103" t="s">
        <v>239</v>
      </c>
      <c r="F1103" t="s">
        <v>361</v>
      </c>
      <c r="G1103" t="s">
        <v>158</v>
      </c>
      <c r="J1103" t="s">
        <v>192</v>
      </c>
      <c r="K1103" t="s">
        <v>250</v>
      </c>
      <c r="L1103">
        <v>162000000</v>
      </c>
      <c r="M1103" t="s">
        <v>245</v>
      </c>
      <c r="N1103" t="s">
        <v>1114</v>
      </c>
    </row>
    <row r="1104" spans="1:14" hidden="1" x14ac:dyDescent="0.25">
      <c r="A1104" s="16">
        <v>45658</v>
      </c>
      <c r="B1104" t="s">
        <v>142</v>
      </c>
      <c r="C1104">
        <v>72</v>
      </c>
      <c r="D1104" t="s">
        <v>238</v>
      </c>
      <c r="E1104" t="s">
        <v>239</v>
      </c>
      <c r="F1104" t="s">
        <v>240</v>
      </c>
      <c r="G1104" t="s">
        <v>82</v>
      </c>
      <c r="J1104" t="s">
        <v>193</v>
      </c>
      <c r="K1104" t="s">
        <v>241</v>
      </c>
      <c r="L1104">
        <v>935600</v>
      </c>
      <c r="M1104" t="s">
        <v>242</v>
      </c>
      <c r="N1104" t="s">
        <v>1115</v>
      </c>
    </row>
    <row r="1105" spans="1:17" hidden="1" x14ac:dyDescent="0.25">
      <c r="A1105" s="16">
        <v>45658</v>
      </c>
      <c r="B1105" t="s">
        <v>142</v>
      </c>
      <c r="C1105">
        <v>72</v>
      </c>
      <c r="D1105" t="s">
        <v>238</v>
      </c>
      <c r="E1105" t="s">
        <v>239</v>
      </c>
      <c r="F1105" t="s">
        <v>244</v>
      </c>
      <c r="G1105" t="s">
        <v>82</v>
      </c>
      <c r="J1105" t="s">
        <v>193</v>
      </c>
      <c r="K1105" t="s">
        <v>241</v>
      </c>
      <c r="L1105">
        <v>767200000</v>
      </c>
      <c r="M1105" t="s">
        <v>245</v>
      </c>
      <c r="N1105" t="s">
        <v>1116</v>
      </c>
    </row>
    <row r="1106" spans="1:17" hidden="1" x14ac:dyDescent="0.25">
      <c r="A1106" s="16">
        <v>45658</v>
      </c>
      <c r="B1106" t="s">
        <v>142</v>
      </c>
      <c r="C1106">
        <v>74</v>
      </c>
      <c r="D1106" t="s">
        <v>253</v>
      </c>
      <c r="E1106" t="s">
        <v>248</v>
      </c>
      <c r="F1106" t="s">
        <v>240</v>
      </c>
      <c r="G1106" t="s">
        <v>82</v>
      </c>
      <c r="J1106" t="s">
        <v>191</v>
      </c>
      <c r="K1106" t="s">
        <v>255</v>
      </c>
      <c r="L1106">
        <v>1020000</v>
      </c>
      <c r="M1106" t="s">
        <v>242</v>
      </c>
      <c r="N1106" t="s">
        <v>937</v>
      </c>
      <c r="O1106">
        <v>1</v>
      </c>
      <c r="P1106" t="s">
        <v>257</v>
      </c>
      <c r="Q1106" t="s">
        <v>1117</v>
      </c>
    </row>
    <row r="1107" spans="1:17" hidden="1" x14ac:dyDescent="0.25">
      <c r="A1107" s="16">
        <v>45658</v>
      </c>
      <c r="B1107" t="s">
        <v>142</v>
      </c>
      <c r="C1107">
        <v>74</v>
      </c>
      <c r="D1107" t="s">
        <v>253</v>
      </c>
      <c r="E1107" t="s">
        <v>248</v>
      </c>
      <c r="F1107" t="s">
        <v>240</v>
      </c>
      <c r="G1107" t="s">
        <v>82</v>
      </c>
      <c r="J1107" t="s">
        <v>192</v>
      </c>
      <c r="K1107" t="s">
        <v>255</v>
      </c>
      <c r="L1107">
        <v>890000</v>
      </c>
      <c r="M1107" t="s">
        <v>242</v>
      </c>
      <c r="N1107" t="s">
        <v>759</v>
      </c>
      <c r="O1107">
        <v>1</v>
      </c>
      <c r="P1107" t="s">
        <v>257</v>
      </c>
      <c r="Q1107" t="s">
        <v>1118</v>
      </c>
    </row>
    <row r="1108" spans="1:17" hidden="1" x14ac:dyDescent="0.25">
      <c r="A1108" s="16">
        <v>45658</v>
      </c>
      <c r="B1108" t="s">
        <v>142</v>
      </c>
      <c r="C1108">
        <v>74</v>
      </c>
      <c r="D1108" t="s">
        <v>253</v>
      </c>
      <c r="E1108" t="s">
        <v>248</v>
      </c>
      <c r="F1108" t="s">
        <v>240</v>
      </c>
      <c r="G1108" t="s">
        <v>82</v>
      </c>
      <c r="J1108" t="s">
        <v>193</v>
      </c>
      <c r="K1108" t="s">
        <v>255</v>
      </c>
      <c r="L1108">
        <v>940000</v>
      </c>
      <c r="M1108" t="s">
        <v>242</v>
      </c>
      <c r="N1108" t="s">
        <v>1119</v>
      </c>
      <c r="O1108">
        <v>1</v>
      </c>
      <c r="P1108" t="s">
        <v>261</v>
      </c>
    </row>
    <row r="1109" spans="1:17" hidden="1" x14ac:dyDescent="0.25">
      <c r="A1109" s="16">
        <v>45658</v>
      </c>
      <c r="B1109" t="s">
        <v>142</v>
      </c>
      <c r="C1109">
        <v>74</v>
      </c>
      <c r="D1109" t="s">
        <v>247</v>
      </c>
      <c r="E1109" t="s">
        <v>248</v>
      </c>
      <c r="F1109" t="s">
        <v>240</v>
      </c>
      <c r="G1109" t="s">
        <v>82</v>
      </c>
      <c r="H1109" t="s">
        <v>249</v>
      </c>
      <c r="J1109" t="s">
        <v>193</v>
      </c>
      <c r="K1109" t="s">
        <v>250</v>
      </c>
      <c r="L1109">
        <v>8.4</v>
      </c>
      <c r="M1109" t="s">
        <v>251</v>
      </c>
      <c r="N1109" t="s">
        <v>1120</v>
      </c>
    </row>
    <row r="1110" spans="1:17" hidden="1" x14ac:dyDescent="0.25">
      <c r="A1110" s="16">
        <v>45658</v>
      </c>
      <c r="B1110" t="s">
        <v>142</v>
      </c>
      <c r="C1110">
        <v>75</v>
      </c>
      <c r="D1110" t="s">
        <v>253</v>
      </c>
      <c r="E1110" t="s">
        <v>248</v>
      </c>
      <c r="F1110" t="s">
        <v>240</v>
      </c>
      <c r="G1110" t="s">
        <v>82</v>
      </c>
      <c r="H1110" t="s">
        <v>150</v>
      </c>
      <c r="J1110" t="s">
        <v>191</v>
      </c>
      <c r="K1110" t="s">
        <v>255</v>
      </c>
      <c r="L1110">
        <v>285</v>
      </c>
      <c r="M1110" t="s">
        <v>242</v>
      </c>
      <c r="N1110" t="s">
        <v>760</v>
      </c>
      <c r="O1110">
        <v>1</v>
      </c>
      <c r="P1110" t="s">
        <v>257</v>
      </c>
    </row>
    <row r="1111" spans="1:17" hidden="1" x14ac:dyDescent="0.25">
      <c r="A1111" s="16">
        <v>45658</v>
      </c>
      <c r="B1111" t="s">
        <v>142</v>
      </c>
      <c r="C1111">
        <v>75</v>
      </c>
      <c r="D1111" t="s">
        <v>253</v>
      </c>
      <c r="E1111" t="s">
        <v>248</v>
      </c>
      <c r="F1111" t="s">
        <v>240</v>
      </c>
      <c r="G1111" t="s">
        <v>82</v>
      </c>
      <c r="H1111" t="s">
        <v>150</v>
      </c>
      <c r="J1111" t="s">
        <v>192</v>
      </c>
      <c r="K1111" t="s">
        <v>255</v>
      </c>
      <c r="L1111">
        <v>336</v>
      </c>
      <c r="M1111" t="s">
        <v>242</v>
      </c>
      <c r="N1111" t="s">
        <v>939</v>
      </c>
      <c r="O1111">
        <v>1</v>
      </c>
      <c r="P1111" t="s">
        <v>257</v>
      </c>
    </row>
    <row r="1112" spans="1:17" hidden="1" x14ac:dyDescent="0.25">
      <c r="A1112" s="16">
        <v>45658</v>
      </c>
      <c r="B1112" t="s">
        <v>142</v>
      </c>
      <c r="C1112">
        <v>75</v>
      </c>
      <c r="D1112" t="s">
        <v>253</v>
      </c>
      <c r="E1112" t="s">
        <v>248</v>
      </c>
      <c r="F1112" t="s">
        <v>240</v>
      </c>
      <c r="G1112" t="s">
        <v>82</v>
      </c>
      <c r="H1112" t="s">
        <v>150</v>
      </c>
      <c r="J1112" t="s">
        <v>193</v>
      </c>
      <c r="K1112" t="s">
        <v>255</v>
      </c>
      <c r="L1112">
        <v>372</v>
      </c>
      <c r="M1112" t="s">
        <v>242</v>
      </c>
      <c r="N1112" t="s">
        <v>1121</v>
      </c>
      <c r="O1112">
        <v>1</v>
      </c>
      <c r="P1112" t="s">
        <v>261</v>
      </c>
    </row>
    <row r="1113" spans="1:17" hidden="1" x14ac:dyDescent="0.25">
      <c r="A1113" s="16">
        <v>45658</v>
      </c>
      <c r="B1113" t="s">
        <v>142</v>
      </c>
      <c r="C1113">
        <v>75</v>
      </c>
      <c r="D1113" t="s">
        <v>253</v>
      </c>
      <c r="E1113" t="s">
        <v>248</v>
      </c>
      <c r="F1113" t="s">
        <v>240</v>
      </c>
      <c r="G1113" t="s">
        <v>82</v>
      </c>
      <c r="H1113" t="s">
        <v>151</v>
      </c>
      <c r="J1113" t="s">
        <v>191</v>
      </c>
      <c r="K1113" t="s">
        <v>255</v>
      </c>
      <c r="L1113">
        <v>30</v>
      </c>
      <c r="M1113" t="s">
        <v>242</v>
      </c>
      <c r="N1113" t="s">
        <v>761</v>
      </c>
      <c r="O1113">
        <v>1</v>
      </c>
      <c r="P1113" t="s">
        <v>257</v>
      </c>
    </row>
    <row r="1114" spans="1:17" hidden="1" x14ac:dyDescent="0.25">
      <c r="A1114" s="16">
        <v>45658</v>
      </c>
      <c r="B1114" t="s">
        <v>142</v>
      </c>
      <c r="C1114">
        <v>75</v>
      </c>
      <c r="D1114" t="s">
        <v>253</v>
      </c>
      <c r="E1114" t="s">
        <v>248</v>
      </c>
      <c r="F1114" t="s">
        <v>240</v>
      </c>
      <c r="G1114" t="s">
        <v>82</v>
      </c>
      <c r="H1114" t="s">
        <v>151</v>
      </c>
      <c r="J1114" t="s">
        <v>192</v>
      </c>
      <c r="K1114" t="s">
        <v>255</v>
      </c>
      <c r="L1114">
        <v>33</v>
      </c>
      <c r="M1114" t="s">
        <v>242</v>
      </c>
      <c r="N1114" t="s">
        <v>940</v>
      </c>
      <c r="O1114">
        <v>1</v>
      </c>
      <c r="P1114" t="s">
        <v>257</v>
      </c>
    </row>
    <row r="1115" spans="1:17" hidden="1" x14ac:dyDescent="0.25">
      <c r="A1115" s="16">
        <v>45658</v>
      </c>
      <c r="B1115" t="s">
        <v>142</v>
      </c>
      <c r="C1115">
        <v>75</v>
      </c>
      <c r="D1115" t="s">
        <v>253</v>
      </c>
      <c r="E1115" t="s">
        <v>248</v>
      </c>
      <c r="F1115" t="s">
        <v>240</v>
      </c>
      <c r="G1115" t="s">
        <v>82</v>
      </c>
      <c r="H1115" t="s">
        <v>151</v>
      </c>
      <c r="J1115" t="s">
        <v>193</v>
      </c>
      <c r="K1115" t="s">
        <v>255</v>
      </c>
      <c r="L1115">
        <v>35</v>
      </c>
      <c r="M1115" t="s">
        <v>242</v>
      </c>
      <c r="N1115" t="s">
        <v>1122</v>
      </c>
      <c r="O1115">
        <v>1</v>
      </c>
      <c r="P1115" t="s">
        <v>261</v>
      </c>
    </row>
    <row r="1116" spans="1:17" hidden="1" x14ac:dyDescent="0.25">
      <c r="A1116" s="16">
        <v>45658</v>
      </c>
      <c r="B1116" t="s">
        <v>142</v>
      </c>
      <c r="C1116">
        <v>75</v>
      </c>
      <c r="D1116" t="s">
        <v>253</v>
      </c>
      <c r="E1116" t="s">
        <v>248</v>
      </c>
      <c r="F1116" t="s">
        <v>240</v>
      </c>
      <c r="G1116" t="s">
        <v>82</v>
      </c>
      <c r="H1116" t="s">
        <v>149</v>
      </c>
      <c r="J1116" t="s">
        <v>191</v>
      </c>
      <c r="K1116" t="s">
        <v>255</v>
      </c>
      <c r="L1116">
        <v>5179</v>
      </c>
      <c r="M1116" t="s">
        <v>242</v>
      </c>
      <c r="N1116" t="s">
        <v>762</v>
      </c>
      <c r="O1116">
        <v>1</v>
      </c>
      <c r="P1116" t="s">
        <v>257</v>
      </c>
    </row>
    <row r="1117" spans="1:17" hidden="1" x14ac:dyDescent="0.25">
      <c r="A1117" s="16">
        <v>45658</v>
      </c>
      <c r="B1117" t="s">
        <v>142</v>
      </c>
      <c r="C1117">
        <v>75</v>
      </c>
      <c r="D1117" t="s">
        <v>253</v>
      </c>
      <c r="E1117" t="s">
        <v>248</v>
      </c>
      <c r="F1117" t="s">
        <v>240</v>
      </c>
      <c r="G1117" t="s">
        <v>82</v>
      </c>
      <c r="H1117" t="s">
        <v>149</v>
      </c>
      <c r="J1117" t="s">
        <v>192</v>
      </c>
      <c r="K1117" t="s">
        <v>255</v>
      </c>
      <c r="L1117">
        <v>5800</v>
      </c>
      <c r="M1117" t="s">
        <v>242</v>
      </c>
      <c r="N1117" t="s">
        <v>941</v>
      </c>
      <c r="O1117">
        <v>1</v>
      </c>
      <c r="P1117" t="s">
        <v>257</v>
      </c>
    </row>
    <row r="1118" spans="1:17" hidden="1" x14ac:dyDescent="0.25">
      <c r="A1118" s="16">
        <v>45658</v>
      </c>
      <c r="B1118" t="s">
        <v>142</v>
      </c>
      <c r="C1118">
        <v>75</v>
      </c>
      <c r="D1118" t="s">
        <v>253</v>
      </c>
      <c r="E1118" t="s">
        <v>248</v>
      </c>
      <c r="F1118" t="s">
        <v>240</v>
      </c>
      <c r="G1118" t="s">
        <v>82</v>
      </c>
      <c r="H1118" t="s">
        <v>149</v>
      </c>
      <c r="J1118" t="s">
        <v>193</v>
      </c>
      <c r="K1118" t="s">
        <v>255</v>
      </c>
      <c r="L1118">
        <v>5986</v>
      </c>
      <c r="M1118" t="s">
        <v>242</v>
      </c>
      <c r="N1118" t="s">
        <v>1123</v>
      </c>
      <c r="O1118">
        <v>1</v>
      </c>
      <c r="P1118" t="s">
        <v>261</v>
      </c>
    </row>
    <row r="1119" spans="1:17" hidden="1" x14ac:dyDescent="0.25">
      <c r="A1119" s="16">
        <v>45658</v>
      </c>
      <c r="B1119" t="s">
        <v>142</v>
      </c>
      <c r="C1119">
        <v>76</v>
      </c>
      <c r="D1119" t="s">
        <v>253</v>
      </c>
      <c r="E1119" t="s">
        <v>248</v>
      </c>
      <c r="F1119" t="s">
        <v>244</v>
      </c>
      <c r="G1119" t="s">
        <v>82</v>
      </c>
      <c r="J1119" t="s">
        <v>191</v>
      </c>
      <c r="K1119" t="s">
        <v>255</v>
      </c>
      <c r="L1119">
        <v>715000000</v>
      </c>
      <c r="M1119" t="s">
        <v>245</v>
      </c>
      <c r="N1119" t="s">
        <v>764</v>
      </c>
      <c r="O1119">
        <v>1</v>
      </c>
      <c r="P1119" t="s">
        <v>257</v>
      </c>
    </row>
    <row r="1120" spans="1:17" hidden="1" x14ac:dyDescent="0.25">
      <c r="A1120" s="16">
        <v>45658</v>
      </c>
      <c r="B1120" t="s">
        <v>142</v>
      </c>
      <c r="C1120">
        <v>76</v>
      </c>
      <c r="D1120" t="s">
        <v>253</v>
      </c>
      <c r="E1120" t="s">
        <v>248</v>
      </c>
      <c r="F1120" t="s">
        <v>244</v>
      </c>
      <c r="G1120" t="s">
        <v>82</v>
      </c>
      <c r="J1120" t="s">
        <v>192</v>
      </c>
      <c r="K1120" t="s">
        <v>255</v>
      </c>
      <c r="L1120">
        <v>870000000</v>
      </c>
      <c r="M1120" t="s">
        <v>245</v>
      </c>
      <c r="N1120" t="s">
        <v>942</v>
      </c>
      <c r="O1120">
        <v>1</v>
      </c>
      <c r="P1120" t="s">
        <v>257</v>
      </c>
    </row>
    <row r="1121" spans="1:16" hidden="1" x14ac:dyDescent="0.25">
      <c r="A1121" s="16">
        <v>45658</v>
      </c>
      <c r="B1121" t="s">
        <v>142</v>
      </c>
      <c r="C1121">
        <v>76</v>
      </c>
      <c r="D1121" t="s">
        <v>253</v>
      </c>
      <c r="E1121" t="s">
        <v>248</v>
      </c>
      <c r="F1121" t="s">
        <v>244</v>
      </c>
      <c r="G1121" t="s">
        <v>82</v>
      </c>
      <c r="J1121" t="s">
        <v>193</v>
      </c>
      <c r="K1121" t="s">
        <v>255</v>
      </c>
      <c r="L1121">
        <v>767000000</v>
      </c>
      <c r="M1121" t="s">
        <v>245</v>
      </c>
      <c r="N1121" t="s">
        <v>1124</v>
      </c>
      <c r="O1121">
        <v>1</v>
      </c>
      <c r="P1121" t="s">
        <v>261</v>
      </c>
    </row>
    <row r="1122" spans="1:16" hidden="1" x14ac:dyDescent="0.25">
      <c r="A1122" s="16">
        <v>45658</v>
      </c>
      <c r="B1122" t="s">
        <v>142</v>
      </c>
      <c r="C1122">
        <v>76</v>
      </c>
      <c r="D1122" t="s">
        <v>247</v>
      </c>
      <c r="E1122" t="s">
        <v>248</v>
      </c>
      <c r="F1122" t="s">
        <v>244</v>
      </c>
      <c r="G1122" t="s">
        <v>82</v>
      </c>
      <c r="H1122" t="s">
        <v>249</v>
      </c>
      <c r="J1122" t="s">
        <v>193</v>
      </c>
      <c r="K1122" t="s">
        <v>250</v>
      </c>
      <c r="L1122">
        <v>11.8</v>
      </c>
      <c r="M1122" t="s">
        <v>251</v>
      </c>
      <c r="N1122" t="s">
        <v>362</v>
      </c>
    </row>
    <row r="1123" spans="1:16" hidden="1" x14ac:dyDescent="0.25">
      <c r="A1123" s="16">
        <v>45658</v>
      </c>
      <c r="B1123" t="s">
        <v>142</v>
      </c>
      <c r="C1123">
        <v>77</v>
      </c>
      <c r="D1123" t="s">
        <v>253</v>
      </c>
      <c r="E1123" t="s">
        <v>248</v>
      </c>
      <c r="F1123" t="s">
        <v>244</v>
      </c>
      <c r="G1123" t="s">
        <v>82</v>
      </c>
      <c r="H1123" t="s">
        <v>150</v>
      </c>
      <c r="J1123" t="s">
        <v>191</v>
      </c>
      <c r="K1123" t="s">
        <v>255</v>
      </c>
      <c r="L1123">
        <v>2300000</v>
      </c>
      <c r="M1123" t="s">
        <v>150</v>
      </c>
      <c r="N1123" t="s">
        <v>765</v>
      </c>
      <c r="O1123">
        <v>1</v>
      </c>
      <c r="P1123" t="s">
        <v>257</v>
      </c>
    </row>
    <row r="1124" spans="1:16" hidden="1" x14ac:dyDescent="0.25">
      <c r="A1124" s="16">
        <v>45658</v>
      </c>
      <c r="B1124" t="s">
        <v>142</v>
      </c>
      <c r="C1124">
        <v>77</v>
      </c>
      <c r="D1124" t="s">
        <v>253</v>
      </c>
      <c r="E1124" t="s">
        <v>248</v>
      </c>
      <c r="F1124" t="s">
        <v>244</v>
      </c>
      <c r="G1124" t="s">
        <v>82</v>
      </c>
      <c r="H1124" t="s">
        <v>150</v>
      </c>
      <c r="J1124" t="s">
        <v>192</v>
      </c>
      <c r="K1124" t="s">
        <v>255</v>
      </c>
      <c r="L1124">
        <v>2790000</v>
      </c>
      <c r="M1124" t="s">
        <v>150</v>
      </c>
      <c r="N1124" t="s">
        <v>944</v>
      </c>
      <c r="O1124">
        <v>1</v>
      </c>
      <c r="P1124" t="s">
        <v>257</v>
      </c>
    </row>
    <row r="1125" spans="1:16" hidden="1" x14ac:dyDescent="0.25">
      <c r="A1125" s="16">
        <v>45658</v>
      </c>
      <c r="B1125" t="s">
        <v>142</v>
      </c>
      <c r="C1125">
        <v>77</v>
      </c>
      <c r="D1125" t="s">
        <v>253</v>
      </c>
      <c r="E1125" t="s">
        <v>248</v>
      </c>
      <c r="F1125" t="s">
        <v>244</v>
      </c>
      <c r="G1125" t="s">
        <v>82</v>
      </c>
      <c r="H1125" t="s">
        <v>150</v>
      </c>
      <c r="J1125" t="s">
        <v>193</v>
      </c>
      <c r="K1125" t="s">
        <v>255</v>
      </c>
      <c r="L1125">
        <v>2960000</v>
      </c>
      <c r="M1125" t="s">
        <v>150</v>
      </c>
      <c r="N1125" t="s">
        <v>1125</v>
      </c>
      <c r="O1125">
        <v>1</v>
      </c>
      <c r="P1125" t="s">
        <v>261</v>
      </c>
    </row>
    <row r="1126" spans="1:16" hidden="1" x14ac:dyDescent="0.25">
      <c r="A1126" s="16">
        <v>45658</v>
      </c>
      <c r="B1126" t="s">
        <v>142</v>
      </c>
      <c r="C1126">
        <v>77</v>
      </c>
      <c r="D1126" t="s">
        <v>253</v>
      </c>
      <c r="E1126" t="s">
        <v>248</v>
      </c>
      <c r="F1126" t="s">
        <v>244</v>
      </c>
      <c r="G1126" t="s">
        <v>82</v>
      </c>
      <c r="H1126" t="s">
        <v>151</v>
      </c>
      <c r="J1126" t="s">
        <v>191</v>
      </c>
      <c r="K1126" t="s">
        <v>255</v>
      </c>
      <c r="L1126">
        <v>270000</v>
      </c>
      <c r="M1126" t="s">
        <v>151</v>
      </c>
      <c r="N1126" t="s">
        <v>277</v>
      </c>
      <c r="O1126">
        <v>1</v>
      </c>
      <c r="P1126" t="s">
        <v>257</v>
      </c>
    </row>
    <row r="1127" spans="1:16" hidden="1" x14ac:dyDescent="0.25">
      <c r="A1127" s="16">
        <v>45658</v>
      </c>
      <c r="B1127" t="s">
        <v>142</v>
      </c>
      <c r="C1127">
        <v>77</v>
      </c>
      <c r="D1127" t="s">
        <v>253</v>
      </c>
      <c r="E1127" t="s">
        <v>248</v>
      </c>
      <c r="F1127" t="s">
        <v>244</v>
      </c>
      <c r="G1127" t="s">
        <v>82</v>
      </c>
      <c r="H1127" t="s">
        <v>151</v>
      </c>
      <c r="J1127" t="s">
        <v>192</v>
      </c>
      <c r="K1127" t="s">
        <v>255</v>
      </c>
      <c r="L1127">
        <v>250000</v>
      </c>
      <c r="M1127" t="s">
        <v>151</v>
      </c>
      <c r="N1127" t="s">
        <v>279</v>
      </c>
      <c r="O1127">
        <v>1</v>
      </c>
      <c r="P1127" t="s">
        <v>257</v>
      </c>
    </row>
    <row r="1128" spans="1:16" hidden="1" x14ac:dyDescent="0.25">
      <c r="A1128" s="16">
        <v>45658</v>
      </c>
      <c r="B1128" t="s">
        <v>142</v>
      </c>
      <c r="C1128">
        <v>77</v>
      </c>
      <c r="D1128" t="s">
        <v>253</v>
      </c>
      <c r="E1128" t="s">
        <v>248</v>
      </c>
      <c r="F1128" t="s">
        <v>244</v>
      </c>
      <c r="G1128" t="s">
        <v>82</v>
      </c>
      <c r="H1128" t="s">
        <v>151</v>
      </c>
      <c r="J1128" t="s">
        <v>193</v>
      </c>
      <c r="K1128" t="s">
        <v>255</v>
      </c>
      <c r="L1128">
        <v>320000</v>
      </c>
      <c r="M1128" t="s">
        <v>151</v>
      </c>
      <c r="N1128" t="s">
        <v>1126</v>
      </c>
      <c r="O1128">
        <v>1</v>
      </c>
      <c r="P1128" t="s">
        <v>261</v>
      </c>
    </row>
    <row r="1129" spans="1:16" hidden="1" x14ac:dyDescent="0.25">
      <c r="A1129" s="16">
        <v>45658</v>
      </c>
      <c r="B1129" t="s">
        <v>142</v>
      </c>
      <c r="C1129">
        <v>77</v>
      </c>
      <c r="D1129" t="s">
        <v>253</v>
      </c>
      <c r="E1129" t="s">
        <v>248</v>
      </c>
      <c r="F1129" t="s">
        <v>244</v>
      </c>
      <c r="G1129" t="s">
        <v>82</v>
      </c>
      <c r="H1129" t="s">
        <v>149</v>
      </c>
      <c r="J1129" t="s">
        <v>191</v>
      </c>
      <c r="K1129" t="s">
        <v>255</v>
      </c>
      <c r="L1129">
        <v>33700000</v>
      </c>
      <c r="M1129" t="s">
        <v>149</v>
      </c>
      <c r="N1129" t="s">
        <v>766</v>
      </c>
      <c r="O1129">
        <v>1</v>
      </c>
      <c r="P1129" t="s">
        <v>257</v>
      </c>
    </row>
    <row r="1130" spans="1:16" hidden="1" x14ac:dyDescent="0.25">
      <c r="A1130" s="16">
        <v>45658</v>
      </c>
      <c r="B1130" t="s">
        <v>142</v>
      </c>
      <c r="C1130">
        <v>77</v>
      </c>
      <c r="D1130" t="s">
        <v>253</v>
      </c>
      <c r="E1130" t="s">
        <v>248</v>
      </c>
      <c r="F1130" t="s">
        <v>244</v>
      </c>
      <c r="G1130" t="s">
        <v>82</v>
      </c>
      <c r="H1130" t="s">
        <v>149</v>
      </c>
      <c r="J1130" t="s">
        <v>192</v>
      </c>
      <c r="K1130" t="s">
        <v>255</v>
      </c>
      <c r="L1130">
        <v>41500000</v>
      </c>
      <c r="M1130" t="s">
        <v>149</v>
      </c>
      <c r="N1130" t="s">
        <v>945</v>
      </c>
      <c r="O1130">
        <v>1</v>
      </c>
      <c r="P1130" t="s">
        <v>257</v>
      </c>
    </row>
    <row r="1131" spans="1:16" hidden="1" x14ac:dyDescent="0.25">
      <c r="A1131" s="16">
        <v>45658</v>
      </c>
      <c r="B1131" t="s">
        <v>142</v>
      </c>
      <c r="C1131">
        <v>77</v>
      </c>
      <c r="D1131" t="s">
        <v>253</v>
      </c>
      <c r="E1131" t="s">
        <v>248</v>
      </c>
      <c r="F1131" t="s">
        <v>244</v>
      </c>
      <c r="G1131" t="s">
        <v>82</v>
      </c>
      <c r="H1131" t="s">
        <v>149</v>
      </c>
      <c r="J1131" t="s">
        <v>193</v>
      </c>
      <c r="K1131" t="s">
        <v>255</v>
      </c>
      <c r="L1131">
        <v>38300000</v>
      </c>
      <c r="M1131" t="s">
        <v>149</v>
      </c>
      <c r="N1131" t="s">
        <v>1127</v>
      </c>
      <c r="O1131">
        <v>1</v>
      </c>
      <c r="P1131" t="s">
        <v>261</v>
      </c>
    </row>
    <row r="1132" spans="1:16" hidden="1" x14ac:dyDescent="0.25">
      <c r="A1132" s="16">
        <v>45658</v>
      </c>
      <c r="B1132" t="s">
        <v>35</v>
      </c>
      <c r="C1132">
        <v>10</v>
      </c>
      <c r="D1132" t="s">
        <v>238</v>
      </c>
      <c r="E1132" t="s">
        <v>239</v>
      </c>
      <c r="F1132" t="s">
        <v>240</v>
      </c>
      <c r="G1132" t="s">
        <v>82</v>
      </c>
      <c r="J1132" t="s">
        <v>193</v>
      </c>
      <c r="K1132" t="s">
        <v>241</v>
      </c>
      <c r="L1132">
        <v>10320000</v>
      </c>
      <c r="M1132" t="s">
        <v>242</v>
      </c>
      <c r="N1132" t="s">
        <v>1128</v>
      </c>
    </row>
    <row r="1133" spans="1:16" hidden="1" x14ac:dyDescent="0.25">
      <c r="A1133" s="16">
        <v>45658</v>
      </c>
      <c r="B1133" t="s">
        <v>35</v>
      </c>
      <c r="C1133">
        <v>10</v>
      </c>
      <c r="D1133" t="s">
        <v>238</v>
      </c>
      <c r="E1133" t="s">
        <v>239</v>
      </c>
      <c r="F1133" t="s">
        <v>244</v>
      </c>
      <c r="G1133" t="s">
        <v>82</v>
      </c>
      <c r="J1133" t="s">
        <v>193</v>
      </c>
      <c r="K1133" t="s">
        <v>241</v>
      </c>
      <c r="L1133">
        <v>1330000000</v>
      </c>
      <c r="M1133" t="s">
        <v>245</v>
      </c>
      <c r="N1133" t="s">
        <v>1105</v>
      </c>
    </row>
    <row r="1134" spans="1:16" hidden="1" x14ac:dyDescent="0.25">
      <c r="A1134" s="16">
        <v>45658</v>
      </c>
      <c r="B1134" t="s">
        <v>35</v>
      </c>
      <c r="C1134">
        <v>11</v>
      </c>
      <c r="D1134" t="s">
        <v>253</v>
      </c>
      <c r="E1134" t="s">
        <v>248</v>
      </c>
      <c r="F1134" t="s">
        <v>285</v>
      </c>
      <c r="G1134" t="s">
        <v>63</v>
      </c>
      <c r="J1134" t="s">
        <v>191</v>
      </c>
      <c r="K1134" t="s">
        <v>255</v>
      </c>
      <c r="L1134">
        <v>1630000</v>
      </c>
      <c r="M1134" t="s">
        <v>242</v>
      </c>
      <c r="N1134" t="s">
        <v>770</v>
      </c>
      <c r="O1134">
        <v>1</v>
      </c>
      <c r="P1134" t="s">
        <v>257</v>
      </c>
    </row>
    <row r="1135" spans="1:16" hidden="1" x14ac:dyDescent="0.25">
      <c r="A1135" s="16">
        <v>45658</v>
      </c>
      <c r="B1135" t="s">
        <v>35</v>
      </c>
      <c r="C1135">
        <v>11</v>
      </c>
      <c r="D1135" t="s">
        <v>253</v>
      </c>
      <c r="E1135" t="s">
        <v>248</v>
      </c>
      <c r="F1135" t="s">
        <v>285</v>
      </c>
      <c r="G1135" t="s">
        <v>63</v>
      </c>
      <c r="J1135" t="s">
        <v>192</v>
      </c>
      <c r="K1135" t="s">
        <v>255</v>
      </c>
      <c r="L1135">
        <v>1670000</v>
      </c>
      <c r="M1135" t="s">
        <v>242</v>
      </c>
      <c r="N1135" t="s">
        <v>948</v>
      </c>
      <c r="O1135">
        <v>1</v>
      </c>
      <c r="P1135" t="s">
        <v>257</v>
      </c>
    </row>
    <row r="1136" spans="1:16" hidden="1" x14ac:dyDescent="0.25">
      <c r="A1136" s="16">
        <v>45658</v>
      </c>
      <c r="B1136" t="s">
        <v>35</v>
      </c>
      <c r="C1136">
        <v>11</v>
      </c>
      <c r="D1136" t="s">
        <v>253</v>
      </c>
      <c r="E1136" t="s">
        <v>248</v>
      </c>
      <c r="F1136" t="s">
        <v>285</v>
      </c>
      <c r="G1136" t="s">
        <v>63</v>
      </c>
      <c r="J1136" t="s">
        <v>193</v>
      </c>
      <c r="K1136" t="s">
        <v>255</v>
      </c>
      <c r="L1136">
        <v>1710000</v>
      </c>
      <c r="M1136" t="s">
        <v>242</v>
      </c>
      <c r="N1136" t="s">
        <v>1129</v>
      </c>
      <c r="O1136">
        <v>1</v>
      </c>
      <c r="P1136" t="s">
        <v>261</v>
      </c>
    </row>
    <row r="1137" spans="1:16" hidden="1" x14ac:dyDescent="0.25">
      <c r="A1137" s="16">
        <v>45658</v>
      </c>
      <c r="B1137" t="s">
        <v>35</v>
      </c>
      <c r="C1137">
        <v>11</v>
      </c>
      <c r="D1137" t="s">
        <v>247</v>
      </c>
      <c r="E1137" t="s">
        <v>248</v>
      </c>
      <c r="F1137" t="s">
        <v>285</v>
      </c>
      <c r="G1137" t="s">
        <v>63</v>
      </c>
      <c r="H1137" t="s">
        <v>286</v>
      </c>
      <c r="J1137" t="s">
        <v>193</v>
      </c>
      <c r="K1137" t="s">
        <v>250</v>
      </c>
      <c r="L1137">
        <v>2.2999999999999998</v>
      </c>
      <c r="M1137" t="s">
        <v>251</v>
      </c>
      <c r="N1137" t="s">
        <v>619</v>
      </c>
    </row>
    <row r="1138" spans="1:16" hidden="1" x14ac:dyDescent="0.25">
      <c r="A1138" s="16">
        <v>45658</v>
      </c>
      <c r="B1138" t="s">
        <v>35</v>
      </c>
      <c r="C1138">
        <v>12</v>
      </c>
      <c r="D1138" t="s">
        <v>291</v>
      </c>
      <c r="E1138" t="s">
        <v>292</v>
      </c>
      <c r="F1138" t="s">
        <v>285</v>
      </c>
      <c r="G1138" t="s">
        <v>63</v>
      </c>
      <c r="H1138" t="s">
        <v>64</v>
      </c>
      <c r="J1138" t="s">
        <v>193</v>
      </c>
      <c r="K1138" t="s">
        <v>250</v>
      </c>
      <c r="L1138">
        <v>1640000</v>
      </c>
      <c r="M1138" t="s">
        <v>242</v>
      </c>
      <c r="N1138" t="s">
        <v>958</v>
      </c>
    </row>
    <row r="1139" spans="1:16" hidden="1" x14ac:dyDescent="0.25">
      <c r="A1139" s="16">
        <v>45658</v>
      </c>
      <c r="B1139" t="s">
        <v>35</v>
      </c>
      <c r="C1139">
        <v>12</v>
      </c>
      <c r="D1139" t="s">
        <v>291</v>
      </c>
      <c r="E1139" t="s">
        <v>292</v>
      </c>
      <c r="F1139" t="s">
        <v>285</v>
      </c>
      <c r="G1139" t="s">
        <v>63</v>
      </c>
      <c r="H1139" t="s">
        <v>65</v>
      </c>
      <c r="J1139" t="s">
        <v>193</v>
      </c>
      <c r="K1139" t="s">
        <v>250</v>
      </c>
      <c r="L1139">
        <v>63000</v>
      </c>
      <c r="M1139" t="s">
        <v>242</v>
      </c>
      <c r="N1139" t="s">
        <v>1130</v>
      </c>
    </row>
    <row r="1140" spans="1:16" hidden="1" x14ac:dyDescent="0.25">
      <c r="A1140" s="16">
        <v>45658</v>
      </c>
      <c r="B1140" t="s">
        <v>35</v>
      </c>
      <c r="C1140">
        <v>13</v>
      </c>
      <c r="D1140" t="s">
        <v>291</v>
      </c>
      <c r="E1140" t="s">
        <v>292</v>
      </c>
      <c r="F1140" t="s">
        <v>285</v>
      </c>
      <c r="G1140" t="s">
        <v>63</v>
      </c>
      <c r="H1140" t="s">
        <v>67</v>
      </c>
      <c r="J1140" t="s">
        <v>193</v>
      </c>
      <c r="K1140" t="s">
        <v>250</v>
      </c>
      <c r="L1140">
        <v>600000</v>
      </c>
      <c r="M1140" t="s">
        <v>242</v>
      </c>
      <c r="N1140" t="s">
        <v>1131</v>
      </c>
    </row>
    <row r="1141" spans="1:16" hidden="1" x14ac:dyDescent="0.25">
      <c r="A1141" s="16">
        <v>45658</v>
      </c>
      <c r="B1141" t="s">
        <v>35</v>
      </c>
      <c r="C1141">
        <v>13</v>
      </c>
      <c r="D1141" t="s">
        <v>291</v>
      </c>
      <c r="E1141" t="s">
        <v>292</v>
      </c>
      <c r="F1141" t="s">
        <v>285</v>
      </c>
      <c r="G1141" t="s">
        <v>63</v>
      </c>
      <c r="H1141" t="s">
        <v>68</v>
      </c>
      <c r="J1141" t="s">
        <v>193</v>
      </c>
      <c r="K1141" t="s">
        <v>250</v>
      </c>
      <c r="L1141">
        <v>1060000</v>
      </c>
      <c r="M1141" t="s">
        <v>242</v>
      </c>
      <c r="N1141" t="s">
        <v>750</v>
      </c>
    </row>
    <row r="1142" spans="1:16" x14ac:dyDescent="0.25">
      <c r="A1142" s="16">
        <v>45658</v>
      </c>
      <c r="B1142" t="s">
        <v>35</v>
      </c>
      <c r="C1142">
        <v>14</v>
      </c>
      <c r="D1142" t="s">
        <v>291</v>
      </c>
      <c r="E1142" t="s">
        <v>292</v>
      </c>
      <c r="F1142" t="s">
        <v>285</v>
      </c>
      <c r="G1142" t="s">
        <v>63</v>
      </c>
      <c r="H1142" t="s">
        <v>77</v>
      </c>
      <c r="J1142" t="s">
        <v>193</v>
      </c>
      <c r="K1142" t="s">
        <v>250</v>
      </c>
      <c r="L1142">
        <v>6000</v>
      </c>
      <c r="M1142" t="s">
        <v>242</v>
      </c>
      <c r="N1142" t="s">
        <v>304</v>
      </c>
    </row>
    <row r="1143" spans="1:16" x14ac:dyDescent="0.25">
      <c r="A1143" s="16">
        <v>45658</v>
      </c>
      <c r="B1143" t="s">
        <v>35</v>
      </c>
      <c r="C1143">
        <v>14</v>
      </c>
      <c r="D1143" t="s">
        <v>291</v>
      </c>
      <c r="E1143" t="s">
        <v>292</v>
      </c>
      <c r="F1143" t="s">
        <v>285</v>
      </c>
      <c r="G1143" t="s">
        <v>63</v>
      </c>
      <c r="H1143" t="s">
        <v>70</v>
      </c>
      <c r="J1143" t="s">
        <v>193</v>
      </c>
      <c r="K1143" t="s">
        <v>250</v>
      </c>
      <c r="L1143">
        <v>637000</v>
      </c>
      <c r="M1143" t="s">
        <v>242</v>
      </c>
      <c r="N1143" t="s">
        <v>1132</v>
      </c>
    </row>
    <row r="1144" spans="1:16" x14ac:dyDescent="0.25">
      <c r="A1144" s="16">
        <v>45658</v>
      </c>
      <c r="B1144" t="s">
        <v>35</v>
      </c>
      <c r="C1144">
        <v>14</v>
      </c>
      <c r="D1144" t="s">
        <v>291</v>
      </c>
      <c r="E1144" t="s">
        <v>292</v>
      </c>
      <c r="F1144" t="s">
        <v>285</v>
      </c>
      <c r="G1144" t="s">
        <v>63</v>
      </c>
      <c r="H1144" t="s">
        <v>71</v>
      </c>
      <c r="J1144" t="s">
        <v>193</v>
      </c>
      <c r="K1144" t="s">
        <v>250</v>
      </c>
      <c r="L1144">
        <v>448000</v>
      </c>
      <c r="M1144" t="s">
        <v>242</v>
      </c>
      <c r="N1144" t="s">
        <v>1133</v>
      </c>
    </row>
    <row r="1145" spans="1:16" x14ac:dyDescent="0.25">
      <c r="A1145" s="16">
        <v>45658</v>
      </c>
      <c r="B1145" t="s">
        <v>35</v>
      </c>
      <c r="C1145">
        <v>14</v>
      </c>
      <c r="D1145" t="s">
        <v>291</v>
      </c>
      <c r="E1145" t="s">
        <v>292</v>
      </c>
      <c r="F1145" t="s">
        <v>285</v>
      </c>
      <c r="G1145" t="s">
        <v>63</v>
      </c>
      <c r="H1145" t="s">
        <v>72</v>
      </c>
      <c r="J1145" t="s">
        <v>193</v>
      </c>
      <c r="K1145" t="s">
        <v>250</v>
      </c>
      <c r="L1145">
        <v>297000</v>
      </c>
      <c r="M1145" t="s">
        <v>242</v>
      </c>
      <c r="N1145" t="s">
        <v>1134</v>
      </c>
    </row>
    <row r="1146" spans="1:16" x14ac:dyDescent="0.25">
      <c r="A1146" s="63">
        <v>45658</v>
      </c>
      <c r="B1146" s="65" t="s">
        <v>35</v>
      </c>
      <c r="C1146" s="65">
        <v>14</v>
      </c>
      <c r="D1146" s="65" t="s">
        <v>291</v>
      </c>
      <c r="E1146" s="65" t="s">
        <v>292</v>
      </c>
      <c r="F1146" s="65" t="s">
        <v>285</v>
      </c>
      <c r="G1146" s="65" t="s">
        <v>63</v>
      </c>
      <c r="H1146" s="65" t="s">
        <v>73</v>
      </c>
      <c r="I1146" s="65"/>
      <c r="J1146" s="65" t="s">
        <v>193</v>
      </c>
      <c r="K1146" s="65" t="s">
        <v>250</v>
      </c>
      <c r="L1146" s="65">
        <v>181000</v>
      </c>
      <c r="M1146" s="65" t="s">
        <v>242</v>
      </c>
      <c r="N1146" s="65" t="s">
        <v>1135</v>
      </c>
    </row>
    <row r="1147" spans="1:16" x14ac:dyDescent="0.25">
      <c r="A1147" s="63">
        <v>45658</v>
      </c>
      <c r="B1147" s="65" t="s">
        <v>35</v>
      </c>
      <c r="C1147" s="65">
        <v>14</v>
      </c>
      <c r="D1147" s="65" t="s">
        <v>291</v>
      </c>
      <c r="E1147" s="65" t="s">
        <v>292</v>
      </c>
      <c r="F1147" s="65" t="s">
        <v>285</v>
      </c>
      <c r="G1147" s="65" t="s">
        <v>63</v>
      </c>
      <c r="H1147" s="65" t="s">
        <v>74</v>
      </c>
      <c r="I1147" s="65"/>
      <c r="J1147" s="65" t="s">
        <v>193</v>
      </c>
      <c r="K1147" s="65" t="s">
        <v>250</v>
      </c>
      <c r="L1147" s="65">
        <v>81000</v>
      </c>
      <c r="M1147" s="65" t="s">
        <v>242</v>
      </c>
      <c r="N1147" s="65" t="s">
        <v>1136</v>
      </c>
    </row>
    <row r="1148" spans="1:16" x14ac:dyDescent="0.25">
      <c r="A1148" s="63">
        <v>45658</v>
      </c>
      <c r="B1148" s="65" t="s">
        <v>35</v>
      </c>
      <c r="C1148" s="65">
        <v>14</v>
      </c>
      <c r="D1148" s="65" t="s">
        <v>291</v>
      </c>
      <c r="E1148" s="65" t="s">
        <v>292</v>
      </c>
      <c r="F1148" s="65" t="s">
        <v>285</v>
      </c>
      <c r="G1148" s="65" t="s">
        <v>63</v>
      </c>
      <c r="H1148" s="65" t="s">
        <v>75</v>
      </c>
      <c r="I1148" s="65"/>
      <c r="J1148" s="65" t="s">
        <v>193</v>
      </c>
      <c r="K1148" s="65" t="s">
        <v>250</v>
      </c>
      <c r="L1148" s="65">
        <v>21000</v>
      </c>
      <c r="M1148" s="65" t="s">
        <v>242</v>
      </c>
      <c r="N1148" s="65" t="s">
        <v>1137</v>
      </c>
    </row>
    <row r="1149" spans="1:16" x14ac:dyDescent="0.25">
      <c r="A1149" s="63">
        <v>45658</v>
      </c>
      <c r="B1149" s="65" t="s">
        <v>35</v>
      </c>
      <c r="C1149" s="65">
        <v>14</v>
      </c>
      <c r="D1149" s="65" t="s">
        <v>291</v>
      </c>
      <c r="E1149" s="65" t="s">
        <v>292</v>
      </c>
      <c r="F1149" s="65" t="s">
        <v>285</v>
      </c>
      <c r="G1149" s="65" t="s">
        <v>63</v>
      </c>
      <c r="H1149" s="65" t="s">
        <v>76</v>
      </c>
      <c r="I1149" s="65"/>
      <c r="J1149" s="65" t="s">
        <v>193</v>
      </c>
      <c r="K1149" s="65" t="s">
        <v>250</v>
      </c>
      <c r="L1149" s="65">
        <v>4000</v>
      </c>
      <c r="M1149" s="65" t="s">
        <v>242</v>
      </c>
      <c r="N1149" s="65" t="s">
        <v>303</v>
      </c>
    </row>
    <row r="1150" spans="1:16" hidden="1" x14ac:dyDescent="0.25">
      <c r="A1150" s="16">
        <v>45658</v>
      </c>
      <c r="B1150" t="s">
        <v>35</v>
      </c>
      <c r="C1150">
        <v>15</v>
      </c>
      <c r="D1150" t="s">
        <v>291</v>
      </c>
      <c r="E1150" t="s">
        <v>292</v>
      </c>
      <c r="F1150" t="s">
        <v>285</v>
      </c>
      <c r="G1150" t="s">
        <v>63</v>
      </c>
      <c r="H1150" t="s">
        <v>79</v>
      </c>
      <c r="J1150" t="s">
        <v>193</v>
      </c>
      <c r="K1150" t="s">
        <v>250</v>
      </c>
      <c r="L1150">
        <v>1680000</v>
      </c>
      <c r="M1150" t="s">
        <v>242</v>
      </c>
      <c r="N1150" t="s">
        <v>671</v>
      </c>
    </row>
    <row r="1151" spans="1:16" hidden="1" x14ac:dyDescent="0.25">
      <c r="A1151" s="16">
        <v>45658</v>
      </c>
      <c r="B1151" t="s">
        <v>35</v>
      </c>
      <c r="C1151">
        <v>15</v>
      </c>
      <c r="D1151" t="s">
        <v>291</v>
      </c>
      <c r="E1151" t="s">
        <v>292</v>
      </c>
      <c r="F1151" t="s">
        <v>285</v>
      </c>
      <c r="G1151" t="s">
        <v>63</v>
      </c>
      <c r="H1151" t="s">
        <v>80</v>
      </c>
      <c r="J1151" t="s">
        <v>193</v>
      </c>
      <c r="K1151" t="s">
        <v>250</v>
      </c>
      <c r="L1151">
        <v>31600</v>
      </c>
      <c r="M1151" t="s">
        <v>242</v>
      </c>
      <c r="N1151" t="s">
        <v>1138</v>
      </c>
    </row>
    <row r="1152" spans="1:16" hidden="1" x14ac:dyDescent="0.25">
      <c r="A1152" s="16">
        <v>45658</v>
      </c>
      <c r="B1152" t="s">
        <v>35</v>
      </c>
      <c r="C1152">
        <v>16</v>
      </c>
      <c r="D1152" t="s">
        <v>253</v>
      </c>
      <c r="E1152" t="s">
        <v>248</v>
      </c>
      <c r="F1152" t="s">
        <v>240</v>
      </c>
      <c r="G1152" t="s">
        <v>82</v>
      </c>
      <c r="J1152" t="s">
        <v>191</v>
      </c>
      <c r="K1152" t="s">
        <v>255</v>
      </c>
      <c r="L1152">
        <v>8990000</v>
      </c>
      <c r="M1152" t="s">
        <v>242</v>
      </c>
      <c r="N1152" t="s">
        <v>780</v>
      </c>
      <c r="O1152">
        <v>1</v>
      </c>
      <c r="P1152" t="s">
        <v>257</v>
      </c>
    </row>
    <row r="1153" spans="1:16" hidden="1" x14ac:dyDescent="0.25">
      <c r="A1153" s="16">
        <v>45658</v>
      </c>
      <c r="B1153" t="s">
        <v>35</v>
      </c>
      <c r="C1153">
        <v>16</v>
      </c>
      <c r="D1153" t="s">
        <v>253</v>
      </c>
      <c r="E1153" t="s">
        <v>248</v>
      </c>
      <c r="F1153" t="s">
        <v>240</v>
      </c>
      <c r="G1153" t="s">
        <v>82</v>
      </c>
      <c r="J1153" t="s">
        <v>192</v>
      </c>
      <c r="K1153" t="s">
        <v>255</v>
      </c>
      <c r="L1153">
        <v>10000000</v>
      </c>
      <c r="M1153" t="s">
        <v>242</v>
      </c>
      <c r="N1153" t="s">
        <v>960</v>
      </c>
      <c r="O1153">
        <v>1</v>
      </c>
      <c r="P1153" t="s">
        <v>257</v>
      </c>
    </row>
    <row r="1154" spans="1:16" hidden="1" x14ac:dyDescent="0.25">
      <c r="A1154" s="16">
        <v>45658</v>
      </c>
      <c r="B1154" t="s">
        <v>35</v>
      </c>
      <c r="C1154">
        <v>16</v>
      </c>
      <c r="D1154" t="s">
        <v>253</v>
      </c>
      <c r="E1154" t="s">
        <v>248</v>
      </c>
      <c r="F1154" t="s">
        <v>240</v>
      </c>
      <c r="G1154" t="s">
        <v>82</v>
      </c>
      <c r="J1154" t="s">
        <v>193</v>
      </c>
      <c r="K1154" t="s">
        <v>255</v>
      </c>
      <c r="L1154">
        <v>10320000</v>
      </c>
      <c r="M1154" t="s">
        <v>242</v>
      </c>
      <c r="N1154" t="s">
        <v>1139</v>
      </c>
      <c r="O1154">
        <v>1</v>
      </c>
      <c r="P1154" t="s">
        <v>261</v>
      </c>
    </row>
    <row r="1155" spans="1:16" hidden="1" x14ac:dyDescent="0.25">
      <c r="A1155" s="16">
        <v>45658</v>
      </c>
      <c r="B1155" t="s">
        <v>35</v>
      </c>
      <c r="C1155">
        <v>16</v>
      </c>
      <c r="D1155" t="s">
        <v>247</v>
      </c>
      <c r="E1155" t="s">
        <v>248</v>
      </c>
      <c r="F1155" t="s">
        <v>240</v>
      </c>
      <c r="G1155" t="s">
        <v>82</v>
      </c>
      <c r="H1155" t="s">
        <v>286</v>
      </c>
      <c r="J1155" t="s">
        <v>193</v>
      </c>
      <c r="K1155" t="s">
        <v>250</v>
      </c>
      <c r="L1155">
        <v>3.2</v>
      </c>
      <c r="M1155" t="s">
        <v>251</v>
      </c>
      <c r="N1155" t="s">
        <v>509</v>
      </c>
    </row>
    <row r="1156" spans="1:16" hidden="1" x14ac:dyDescent="0.25">
      <c r="A1156" s="16">
        <v>45658</v>
      </c>
      <c r="B1156" t="s">
        <v>35</v>
      </c>
      <c r="C1156">
        <v>17</v>
      </c>
      <c r="D1156" t="s">
        <v>291</v>
      </c>
      <c r="E1156" t="s">
        <v>292</v>
      </c>
      <c r="F1156" t="s">
        <v>240</v>
      </c>
      <c r="G1156" t="s">
        <v>82</v>
      </c>
      <c r="H1156" t="s">
        <v>83</v>
      </c>
      <c r="J1156" t="s">
        <v>193</v>
      </c>
      <c r="K1156" t="s">
        <v>250</v>
      </c>
      <c r="L1156">
        <v>8820000</v>
      </c>
      <c r="M1156" t="s">
        <v>242</v>
      </c>
      <c r="N1156" t="s">
        <v>1140</v>
      </c>
    </row>
    <row r="1157" spans="1:16" hidden="1" x14ac:dyDescent="0.25">
      <c r="A1157" s="16">
        <v>45658</v>
      </c>
      <c r="B1157" t="s">
        <v>35</v>
      </c>
      <c r="C1157">
        <v>17</v>
      </c>
      <c r="D1157" t="s">
        <v>291</v>
      </c>
      <c r="E1157" t="s">
        <v>292</v>
      </c>
      <c r="F1157" t="s">
        <v>240</v>
      </c>
      <c r="G1157" t="s">
        <v>82</v>
      </c>
      <c r="H1157" t="s">
        <v>84</v>
      </c>
      <c r="J1157" t="s">
        <v>193</v>
      </c>
      <c r="K1157" t="s">
        <v>250</v>
      </c>
      <c r="L1157">
        <v>1500000</v>
      </c>
      <c r="M1157" t="s">
        <v>242</v>
      </c>
      <c r="N1157" t="s">
        <v>293</v>
      </c>
    </row>
    <row r="1158" spans="1:16" hidden="1" x14ac:dyDescent="0.25">
      <c r="A1158" s="16">
        <v>45658</v>
      </c>
      <c r="B1158" t="s">
        <v>35</v>
      </c>
      <c r="C1158">
        <v>18</v>
      </c>
      <c r="D1158" t="s">
        <v>291</v>
      </c>
      <c r="E1158" t="s">
        <v>292</v>
      </c>
      <c r="F1158" t="s">
        <v>240</v>
      </c>
      <c r="G1158" t="s">
        <v>82</v>
      </c>
      <c r="H1158" t="s">
        <v>83</v>
      </c>
      <c r="I1158" t="s">
        <v>313</v>
      </c>
      <c r="J1158" t="s">
        <v>193</v>
      </c>
      <c r="K1158" t="s">
        <v>250</v>
      </c>
      <c r="L1158">
        <v>3.5</v>
      </c>
      <c r="M1158" t="s">
        <v>251</v>
      </c>
      <c r="N1158" t="s">
        <v>1141</v>
      </c>
    </row>
    <row r="1159" spans="1:16" hidden="1" x14ac:dyDescent="0.25">
      <c r="A1159" s="16">
        <v>45658</v>
      </c>
      <c r="B1159" t="s">
        <v>35</v>
      </c>
      <c r="C1159">
        <v>18</v>
      </c>
      <c r="D1159" t="s">
        <v>291</v>
      </c>
      <c r="E1159" t="s">
        <v>292</v>
      </c>
      <c r="F1159" t="s">
        <v>240</v>
      </c>
      <c r="G1159" t="s">
        <v>82</v>
      </c>
      <c r="H1159" t="s">
        <v>83</v>
      </c>
      <c r="I1159" t="s">
        <v>315</v>
      </c>
      <c r="J1159" t="s">
        <v>193</v>
      </c>
      <c r="K1159" t="s">
        <v>250</v>
      </c>
      <c r="L1159">
        <v>85.2</v>
      </c>
      <c r="M1159" t="s">
        <v>251</v>
      </c>
      <c r="N1159" t="s">
        <v>1142</v>
      </c>
    </row>
    <row r="1160" spans="1:16" hidden="1" x14ac:dyDescent="0.25">
      <c r="A1160" s="16">
        <v>45658</v>
      </c>
      <c r="B1160" t="s">
        <v>35</v>
      </c>
      <c r="C1160">
        <v>18</v>
      </c>
      <c r="D1160" t="s">
        <v>291</v>
      </c>
      <c r="E1160" t="s">
        <v>292</v>
      </c>
      <c r="F1160" t="s">
        <v>240</v>
      </c>
      <c r="G1160" t="s">
        <v>82</v>
      </c>
      <c r="H1160" t="s">
        <v>83</v>
      </c>
      <c r="I1160" t="s">
        <v>317</v>
      </c>
      <c r="J1160" t="s">
        <v>193</v>
      </c>
      <c r="K1160" t="s">
        <v>250</v>
      </c>
      <c r="L1160">
        <v>11.3</v>
      </c>
      <c r="M1160" t="s">
        <v>251</v>
      </c>
      <c r="N1160" t="s">
        <v>1143</v>
      </c>
    </row>
    <row r="1161" spans="1:16" hidden="1" x14ac:dyDescent="0.25">
      <c r="A1161" s="16">
        <v>45658</v>
      </c>
      <c r="B1161" t="s">
        <v>35</v>
      </c>
      <c r="C1161">
        <v>18</v>
      </c>
      <c r="D1161" t="s">
        <v>291</v>
      </c>
      <c r="E1161" t="s">
        <v>292</v>
      </c>
      <c r="F1161" t="s">
        <v>240</v>
      </c>
      <c r="G1161" t="s">
        <v>82</v>
      </c>
      <c r="H1161" t="s">
        <v>84</v>
      </c>
      <c r="I1161" t="s">
        <v>319</v>
      </c>
      <c r="J1161" t="s">
        <v>193</v>
      </c>
      <c r="K1161" t="s">
        <v>250</v>
      </c>
      <c r="L1161">
        <v>99.5</v>
      </c>
      <c r="M1161" t="s">
        <v>251</v>
      </c>
      <c r="N1161" t="s">
        <v>320</v>
      </c>
    </row>
    <row r="1162" spans="1:16" hidden="1" x14ac:dyDescent="0.25">
      <c r="A1162" s="16">
        <v>45658</v>
      </c>
      <c r="B1162" t="s">
        <v>35</v>
      </c>
      <c r="C1162">
        <v>18</v>
      </c>
      <c r="D1162" t="s">
        <v>291</v>
      </c>
      <c r="E1162" t="s">
        <v>292</v>
      </c>
      <c r="F1162" t="s">
        <v>240</v>
      </c>
      <c r="G1162" t="s">
        <v>82</v>
      </c>
      <c r="H1162" t="s">
        <v>84</v>
      </c>
      <c r="I1162" t="s">
        <v>321</v>
      </c>
      <c r="J1162" t="s">
        <v>193</v>
      </c>
      <c r="K1162" t="s">
        <v>250</v>
      </c>
      <c r="L1162">
        <v>0.5</v>
      </c>
      <c r="M1162" t="s">
        <v>251</v>
      </c>
      <c r="N1162" t="s">
        <v>322</v>
      </c>
    </row>
    <row r="1163" spans="1:16" hidden="1" x14ac:dyDescent="0.25">
      <c r="A1163" s="16">
        <v>45658</v>
      </c>
      <c r="B1163" t="s">
        <v>35</v>
      </c>
      <c r="C1163">
        <v>19</v>
      </c>
      <c r="D1163" t="s">
        <v>253</v>
      </c>
      <c r="E1163" t="s">
        <v>248</v>
      </c>
      <c r="F1163" t="s">
        <v>244</v>
      </c>
      <c r="G1163" t="s">
        <v>82</v>
      </c>
      <c r="J1163" t="s">
        <v>191</v>
      </c>
      <c r="K1163" t="s">
        <v>255</v>
      </c>
      <c r="L1163">
        <v>1180000000</v>
      </c>
      <c r="M1163" t="s">
        <v>245</v>
      </c>
      <c r="N1163" t="s">
        <v>785</v>
      </c>
      <c r="O1163">
        <v>1</v>
      </c>
      <c r="P1163" t="s">
        <v>257</v>
      </c>
    </row>
    <row r="1164" spans="1:16" hidden="1" x14ac:dyDescent="0.25">
      <c r="A1164" s="16">
        <v>45658</v>
      </c>
      <c r="B1164" t="s">
        <v>35</v>
      </c>
      <c r="C1164">
        <v>19</v>
      </c>
      <c r="D1164" t="s">
        <v>253</v>
      </c>
      <c r="E1164" t="s">
        <v>248</v>
      </c>
      <c r="F1164" t="s">
        <v>244</v>
      </c>
      <c r="G1164" t="s">
        <v>82</v>
      </c>
      <c r="J1164" t="s">
        <v>192</v>
      </c>
      <c r="K1164" t="s">
        <v>255</v>
      </c>
      <c r="L1164">
        <v>1330000000</v>
      </c>
      <c r="M1164" t="s">
        <v>245</v>
      </c>
      <c r="N1164" t="s">
        <v>967</v>
      </c>
      <c r="O1164">
        <v>1</v>
      </c>
      <c r="P1164" t="s">
        <v>257</v>
      </c>
    </row>
    <row r="1165" spans="1:16" hidden="1" x14ac:dyDescent="0.25">
      <c r="A1165" s="16">
        <v>45658</v>
      </c>
      <c r="B1165" t="s">
        <v>35</v>
      </c>
      <c r="C1165">
        <v>19</v>
      </c>
      <c r="D1165" t="s">
        <v>253</v>
      </c>
      <c r="E1165" t="s">
        <v>248</v>
      </c>
      <c r="F1165" t="s">
        <v>244</v>
      </c>
      <c r="G1165" t="s">
        <v>82</v>
      </c>
      <c r="J1165" t="s">
        <v>193</v>
      </c>
      <c r="K1165" t="s">
        <v>255</v>
      </c>
      <c r="L1165">
        <v>1330000000</v>
      </c>
      <c r="M1165" t="s">
        <v>245</v>
      </c>
      <c r="N1165" t="s">
        <v>967</v>
      </c>
      <c r="O1165">
        <v>1</v>
      </c>
      <c r="P1165" t="s">
        <v>261</v>
      </c>
    </row>
    <row r="1166" spans="1:16" hidden="1" x14ac:dyDescent="0.25">
      <c r="A1166" s="16">
        <v>45658</v>
      </c>
      <c r="B1166" t="s">
        <v>35</v>
      </c>
      <c r="C1166">
        <v>19</v>
      </c>
      <c r="D1166" t="s">
        <v>247</v>
      </c>
      <c r="E1166" t="s">
        <v>248</v>
      </c>
      <c r="F1166" t="s">
        <v>244</v>
      </c>
      <c r="G1166" t="s">
        <v>82</v>
      </c>
      <c r="H1166" t="s">
        <v>286</v>
      </c>
      <c r="J1166" t="s">
        <v>193</v>
      </c>
      <c r="K1166" t="s">
        <v>250</v>
      </c>
      <c r="L1166">
        <v>0.02</v>
      </c>
      <c r="M1166" t="s">
        <v>251</v>
      </c>
      <c r="N1166" t="s">
        <v>731</v>
      </c>
    </row>
    <row r="1167" spans="1:16" hidden="1" x14ac:dyDescent="0.25">
      <c r="A1167" s="16">
        <v>45658</v>
      </c>
      <c r="B1167" t="s">
        <v>35</v>
      </c>
      <c r="C1167">
        <v>20</v>
      </c>
      <c r="D1167" t="s">
        <v>291</v>
      </c>
      <c r="E1167" t="s">
        <v>292</v>
      </c>
      <c r="F1167" t="s">
        <v>244</v>
      </c>
      <c r="G1167" t="s">
        <v>82</v>
      </c>
      <c r="H1167" t="s">
        <v>83</v>
      </c>
      <c r="J1167" t="s">
        <v>193</v>
      </c>
      <c r="K1167" t="s">
        <v>250</v>
      </c>
      <c r="L1167">
        <v>1080000000</v>
      </c>
      <c r="M1167" t="s">
        <v>245</v>
      </c>
      <c r="N1167" t="s">
        <v>969</v>
      </c>
    </row>
    <row r="1168" spans="1:16" hidden="1" x14ac:dyDescent="0.25">
      <c r="A1168" s="16">
        <v>45658</v>
      </c>
      <c r="B1168" t="s">
        <v>35</v>
      </c>
      <c r="C1168">
        <v>20</v>
      </c>
      <c r="D1168" t="s">
        <v>291</v>
      </c>
      <c r="E1168" t="s">
        <v>292</v>
      </c>
      <c r="F1168" t="s">
        <v>244</v>
      </c>
      <c r="G1168" t="s">
        <v>82</v>
      </c>
      <c r="H1168" t="s">
        <v>84</v>
      </c>
      <c r="J1168" t="s">
        <v>193</v>
      </c>
      <c r="K1168" t="s">
        <v>250</v>
      </c>
      <c r="L1168">
        <v>259000000</v>
      </c>
      <c r="M1168" t="s">
        <v>245</v>
      </c>
      <c r="N1168" t="s">
        <v>1144</v>
      </c>
    </row>
    <row r="1169" spans="1:16" hidden="1" x14ac:dyDescent="0.25">
      <c r="A1169" s="16">
        <v>45658</v>
      </c>
      <c r="B1169" t="s">
        <v>35</v>
      </c>
      <c r="C1169">
        <v>21</v>
      </c>
      <c r="D1169" t="s">
        <v>291</v>
      </c>
      <c r="E1169" t="s">
        <v>292</v>
      </c>
      <c r="F1169" t="s">
        <v>244</v>
      </c>
      <c r="G1169" t="s">
        <v>82</v>
      </c>
      <c r="H1169" t="s">
        <v>83</v>
      </c>
      <c r="I1169" t="s">
        <v>313</v>
      </c>
      <c r="J1169" t="s">
        <v>193</v>
      </c>
      <c r="K1169" t="s">
        <v>250</v>
      </c>
      <c r="L1169">
        <v>5.7</v>
      </c>
      <c r="M1169" t="s">
        <v>251</v>
      </c>
      <c r="N1169" t="s">
        <v>1145</v>
      </c>
    </row>
    <row r="1170" spans="1:16" hidden="1" x14ac:dyDescent="0.25">
      <c r="A1170" s="16">
        <v>45658</v>
      </c>
      <c r="B1170" t="s">
        <v>35</v>
      </c>
      <c r="C1170">
        <v>21</v>
      </c>
      <c r="D1170" t="s">
        <v>291</v>
      </c>
      <c r="E1170" t="s">
        <v>292</v>
      </c>
      <c r="F1170" t="s">
        <v>244</v>
      </c>
      <c r="G1170" t="s">
        <v>82</v>
      </c>
      <c r="H1170" t="s">
        <v>83</v>
      </c>
      <c r="I1170" t="s">
        <v>315</v>
      </c>
      <c r="J1170" t="s">
        <v>193</v>
      </c>
      <c r="K1170" t="s">
        <v>250</v>
      </c>
      <c r="L1170">
        <v>72.2</v>
      </c>
      <c r="M1170" t="s">
        <v>251</v>
      </c>
      <c r="N1170" t="s">
        <v>1146</v>
      </c>
    </row>
    <row r="1171" spans="1:16" hidden="1" x14ac:dyDescent="0.25">
      <c r="A1171" s="16">
        <v>45658</v>
      </c>
      <c r="B1171" t="s">
        <v>35</v>
      </c>
      <c r="C1171">
        <v>21</v>
      </c>
      <c r="D1171" t="s">
        <v>291</v>
      </c>
      <c r="E1171" t="s">
        <v>292</v>
      </c>
      <c r="F1171" t="s">
        <v>244</v>
      </c>
      <c r="G1171" t="s">
        <v>82</v>
      </c>
      <c r="H1171" t="s">
        <v>83</v>
      </c>
      <c r="I1171" t="s">
        <v>317</v>
      </c>
      <c r="J1171" t="s">
        <v>193</v>
      </c>
      <c r="K1171" t="s">
        <v>250</v>
      </c>
      <c r="L1171">
        <v>22.1</v>
      </c>
      <c r="M1171" t="s">
        <v>251</v>
      </c>
      <c r="N1171" t="s">
        <v>1147</v>
      </c>
    </row>
    <row r="1172" spans="1:16" hidden="1" x14ac:dyDescent="0.25">
      <c r="A1172" s="16">
        <v>45658</v>
      </c>
      <c r="B1172" t="s">
        <v>35</v>
      </c>
      <c r="C1172">
        <v>21</v>
      </c>
      <c r="D1172" t="s">
        <v>291</v>
      </c>
      <c r="E1172" t="s">
        <v>292</v>
      </c>
      <c r="F1172" t="s">
        <v>244</v>
      </c>
      <c r="G1172" t="s">
        <v>82</v>
      </c>
      <c r="H1172" t="s">
        <v>84</v>
      </c>
      <c r="I1172" t="s">
        <v>319</v>
      </c>
      <c r="J1172" t="s">
        <v>193</v>
      </c>
      <c r="K1172" t="s">
        <v>250</v>
      </c>
      <c r="L1172">
        <v>99.93</v>
      </c>
      <c r="M1172" t="s">
        <v>251</v>
      </c>
      <c r="N1172" t="s">
        <v>974</v>
      </c>
    </row>
    <row r="1173" spans="1:16" hidden="1" x14ac:dyDescent="0.25">
      <c r="A1173" s="16">
        <v>45658</v>
      </c>
      <c r="B1173" t="s">
        <v>35</v>
      </c>
      <c r="C1173">
        <v>21</v>
      </c>
      <c r="D1173" t="s">
        <v>291</v>
      </c>
      <c r="E1173" t="s">
        <v>292</v>
      </c>
      <c r="F1173" t="s">
        <v>244</v>
      </c>
      <c r="G1173" t="s">
        <v>82</v>
      </c>
      <c r="H1173" t="s">
        <v>84</v>
      </c>
      <c r="I1173" t="s">
        <v>321</v>
      </c>
      <c r="J1173" t="s">
        <v>193</v>
      </c>
      <c r="K1173" t="s">
        <v>250</v>
      </c>
      <c r="L1173">
        <v>7.0000000000000007E-2</v>
      </c>
      <c r="M1173" t="s">
        <v>251</v>
      </c>
      <c r="N1173" t="s">
        <v>975</v>
      </c>
    </row>
    <row r="1174" spans="1:16" hidden="1" x14ac:dyDescent="0.25">
      <c r="A1174" s="16">
        <v>45658</v>
      </c>
      <c r="B1174" t="s">
        <v>35</v>
      </c>
      <c r="C1174">
        <v>22</v>
      </c>
      <c r="D1174" t="s">
        <v>253</v>
      </c>
      <c r="E1174" t="s">
        <v>248</v>
      </c>
      <c r="F1174" t="s">
        <v>334</v>
      </c>
      <c r="G1174" t="s">
        <v>82</v>
      </c>
      <c r="J1174" t="s">
        <v>191</v>
      </c>
      <c r="K1174" t="s">
        <v>255</v>
      </c>
      <c r="L1174">
        <v>131</v>
      </c>
      <c r="M1174" t="s">
        <v>245</v>
      </c>
      <c r="N1174" t="s">
        <v>791</v>
      </c>
      <c r="O1174">
        <v>1</v>
      </c>
      <c r="P1174" t="s">
        <v>257</v>
      </c>
    </row>
    <row r="1175" spans="1:16" hidden="1" x14ac:dyDescent="0.25">
      <c r="A1175" s="16">
        <v>45658</v>
      </c>
      <c r="B1175" t="s">
        <v>35</v>
      </c>
      <c r="C1175">
        <v>22</v>
      </c>
      <c r="D1175" t="s">
        <v>253</v>
      </c>
      <c r="E1175" t="s">
        <v>248</v>
      </c>
      <c r="F1175" t="s">
        <v>334</v>
      </c>
      <c r="G1175" t="s">
        <v>82</v>
      </c>
      <c r="J1175" t="s">
        <v>192</v>
      </c>
      <c r="K1175" t="s">
        <v>255</v>
      </c>
      <c r="L1175">
        <v>134</v>
      </c>
      <c r="M1175" t="s">
        <v>245</v>
      </c>
      <c r="N1175" t="s">
        <v>976</v>
      </c>
      <c r="O1175">
        <v>1</v>
      </c>
      <c r="P1175" t="s">
        <v>257</v>
      </c>
    </row>
    <row r="1176" spans="1:16" hidden="1" x14ac:dyDescent="0.25">
      <c r="A1176" s="16">
        <v>45658</v>
      </c>
      <c r="B1176" t="s">
        <v>35</v>
      </c>
      <c r="C1176">
        <v>22</v>
      </c>
      <c r="D1176" t="s">
        <v>253</v>
      </c>
      <c r="E1176" t="s">
        <v>248</v>
      </c>
      <c r="F1176" t="s">
        <v>334</v>
      </c>
      <c r="G1176" t="s">
        <v>82</v>
      </c>
      <c r="J1176" t="s">
        <v>193</v>
      </c>
      <c r="K1176" t="s">
        <v>255</v>
      </c>
      <c r="L1176">
        <v>129</v>
      </c>
      <c r="M1176" t="s">
        <v>245</v>
      </c>
      <c r="N1176" t="s">
        <v>1148</v>
      </c>
      <c r="O1176">
        <v>1</v>
      </c>
      <c r="P1176" t="s">
        <v>261</v>
      </c>
    </row>
    <row r="1177" spans="1:16" hidden="1" x14ac:dyDescent="0.25">
      <c r="A1177" s="16">
        <v>45658</v>
      </c>
      <c r="B1177" t="s">
        <v>35</v>
      </c>
      <c r="C1177">
        <v>23</v>
      </c>
      <c r="D1177" t="s">
        <v>291</v>
      </c>
      <c r="E1177" t="s">
        <v>292</v>
      </c>
      <c r="F1177" t="s">
        <v>240</v>
      </c>
      <c r="G1177" t="s">
        <v>82</v>
      </c>
      <c r="H1177" t="s">
        <v>94</v>
      </c>
      <c r="J1177" t="s">
        <v>193</v>
      </c>
      <c r="K1177" t="s">
        <v>250</v>
      </c>
      <c r="L1177">
        <v>4720000</v>
      </c>
      <c r="M1177" t="s">
        <v>242</v>
      </c>
      <c r="N1177" t="s">
        <v>1149</v>
      </c>
    </row>
    <row r="1178" spans="1:16" hidden="1" x14ac:dyDescent="0.25">
      <c r="A1178" s="16">
        <v>45658</v>
      </c>
      <c r="B1178" t="s">
        <v>35</v>
      </c>
      <c r="C1178">
        <v>23</v>
      </c>
      <c r="D1178" t="s">
        <v>291</v>
      </c>
      <c r="E1178" t="s">
        <v>292</v>
      </c>
      <c r="F1178" t="s">
        <v>240</v>
      </c>
      <c r="G1178" t="s">
        <v>82</v>
      </c>
      <c r="H1178" t="s">
        <v>95</v>
      </c>
      <c r="J1178" t="s">
        <v>193</v>
      </c>
      <c r="K1178" t="s">
        <v>250</v>
      </c>
      <c r="L1178">
        <v>1670000</v>
      </c>
      <c r="M1178" t="s">
        <v>242</v>
      </c>
      <c r="N1178" t="s">
        <v>1104</v>
      </c>
    </row>
    <row r="1179" spans="1:16" hidden="1" x14ac:dyDescent="0.25">
      <c r="A1179" s="16">
        <v>45658</v>
      </c>
      <c r="B1179" t="s">
        <v>35</v>
      </c>
      <c r="C1179">
        <v>24</v>
      </c>
      <c r="D1179" t="s">
        <v>291</v>
      </c>
      <c r="E1179" t="s">
        <v>292</v>
      </c>
      <c r="F1179" t="s">
        <v>244</v>
      </c>
      <c r="G1179" t="s">
        <v>82</v>
      </c>
      <c r="H1179" t="s">
        <v>94</v>
      </c>
      <c r="J1179" t="s">
        <v>193</v>
      </c>
      <c r="K1179" t="s">
        <v>250</v>
      </c>
      <c r="L1179">
        <v>736600000</v>
      </c>
      <c r="M1179" t="s">
        <v>245</v>
      </c>
      <c r="N1179" t="s">
        <v>1150</v>
      </c>
    </row>
    <row r="1180" spans="1:16" hidden="1" x14ac:dyDescent="0.25">
      <c r="A1180" s="16">
        <v>45658</v>
      </c>
      <c r="B1180" t="s">
        <v>35</v>
      </c>
      <c r="C1180">
        <v>24</v>
      </c>
      <c r="D1180" t="s">
        <v>291</v>
      </c>
      <c r="E1180" t="s">
        <v>292</v>
      </c>
      <c r="F1180" t="s">
        <v>244</v>
      </c>
      <c r="G1180" t="s">
        <v>82</v>
      </c>
      <c r="H1180" t="s">
        <v>95</v>
      </c>
      <c r="J1180" t="s">
        <v>193</v>
      </c>
      <c r="K1180" t="s">
        <v>250</v>
      </c>
      <c r="L1180">
        <v>189400000</v>
      </c>
      <c r="M1180" t="s">
        <v>245</v>
      </c>
      <c r="N1180" t="s">
        <v>1151</v>
      </c>
    </row>
    <row r="1181" spans="1:16" hidden="1" x14ac:dyDescent="0.25">
      <c r="A1181" s="16">
        <v>45658</v>
      </c>
      <c r="B1181" t="s">
        <v>156</v>
      </c>
      <c r="C1181">
        <v>78</v>
      </c>
      <c r="D1181" t="s">
        <v>238</v>
      </c>
      <c r="E1181" t="s">
        <v>239</v>
      </c>
      <c r="F1181" t="s">
        <v>240</v>
      </c>
      <c r="G1181" t="s">
        <v>158</v>
      </c>
      <c r="J1181" t="s">
        <v>193</v>
      </c>
      <c r="K1181" t="s">
        <v>241</v>
      </c>
      <c r="L1181">
        <v>477200</v>
      </c>
      <c r="M1181" t="s">
        <v>242</v>
      </c>
      <c r="N1181" t="s">
        <v>1152</v>
      </c>
    </row>
    <row r="1182" spans="1:16" hidden="1" x14ac:dyDescent="0.25">
      <c r="A1182" s="16">
        <v>45658</v>
      </c>
      <c r="B1182" t="s">
        <v>156</v>
      </c>
      <c r="C1182">
        <v>78</v>
      </c>
      <c r="D1182" t="s">
        <v>238</v>
      </c>
      <c r="E1182" t="s">
        <v>239</v>
      </c>
      <c r="F1182" t="s">
        <v>244</v>
      </c>
      <c r="G1182" t="s">
        <v>158</v>
      </c>
      <c r="J1182" t="s">
        <v>193</v>
      </c>
      <c r="K1182" t="s">
        <v>241</v>
      </c>
      <c r="L1182">
        <v>3370000000</v>
      </c>
      <c r="M1182" t="s">
        <v>245</v>
      </c>
      <c r="N1182" t="s">
        <v>1153</v>
      </c>
    </row>
    <row r="1183" spans="1:16" hidden="1" x14ac:dyDescent="0.25">
      <c r="A1183" s="16">
        <v>45658</v>
      </c>
      <c r="B1183" t="s">
        <v>156</v>
      </c>
      <c r="C1183">
        <v>80</v>
      </c>
      <c r="D1183" t="s">
        <v>253</v>
      </c>
      <c r="E1183" t="s">
        <v>248</v>
      </c>
      <c r="F1183" t="s">
        <v>344</v>
      </c>
      <c r="G1183" t="s">
        <v>158</v>
      </c>
      <c r="J1183" t="s">
        <v>191</v>
      </c>
      <c r="K1183" t="s">
        <v>255</v>
      </c>
      <c r="L1183">
        <v>451000</v>
      </c>
      <c r="M1183" t="s">
        <v>242</v>
      </c>
      <c r="N1183" t="s">
        <v>799</v>
      </c>
      <c r="O1183">
        <v>1</v>
      </c>
      <c r="P1183" t="s">
        <v>257</v>
      </c>
    </row>
    <row r="1184" spans="1:16" hidden="1" x14ac:dyDescent="0.25">
      <c r="A1184" s="16">
        <v>45658</v>
      </c>
      <c r="B1184" t="s">
        <v>156</v>
      </c>
      <c r="C1184">
        <v>80</v>
      </c>
      <c r="D1184" t="s">
        <v>253</v>
      </c>
      <c r="E1184" t="s">
        <v>248</v>
      </c>
      <c r="F1184" t="s">
        <v>344</v>
      </c>
      <c r="G1184" t="s">
        <v>158</v>
      </c>
      <c r="J1184" t="s">
        <v>192</v>
      </c>
      <c r="K1184" t="s">
        <v>255</v>
      </c>
      <c r="L1184">
        <v>670000</v>
      </c>
      <c r="M1184" t="s">
        <v>242</v>
      </c>
      <c r="N1184" t="s">
        <v>983</v>
      </c>
      <c r="O1184">
        <v>1</v>
      </c>
      <c r="P1184" t="s">
        <v>257</v>
      </c>
    </row>
    <row r="1185" spans="1:16" hidden="1" x14ac:dyDescent="0.25">
      <c r="A1185" s="16">
        <v>45658</v>
      </c>
      <c r="B1185" t="s">
        <v>156</v>
      </c>
      <c r="C1185">
        <v>80</v>
      </c>
      <c r="D1185" t="s">
        <v>253</v>
      </c>
      <c r="E1185" t="s">
        <v>248</v>
      </c>
      <c r="F1185" t="s">
        <v>344</v>
      </c>
      <c r="G1185" t="s">
        <v>158</v>
      </c>
      <c r="J1185" t="s">
        <v>193</v>
      </c>
      <c r="K1185" t="s">
        <v>255</v>
      </c>
      <c r="L1185">
        <v>477000</v>
      </c>
      <c r="M1185" t="s">
        <v>242</v>
      </c>
      <c r="N1185" t="s">
        <v>1154</v>
      </c>
      <c r="O1185">
        <v>1</v>
      </c>
      <c r="P1185" t="s">
        <v>261</v>
      </c>
    </row>
    <row r="1186" spans="1:16" hidden="1" x14ac:dyDescent="0.25">
      <c r="A1186" s="16">
        <v>45658</v>
      </c>
      <c r="B1186" t="s">
        <v>156</v>
      </c>
      <c r="C1186">
        <v>80</v>
      </c>
      <c r="D1186" t="s">
        <v>247</v>
      </c>
      <c r="E1186" t="s">
        <v>248</v>
      </c>
      <c r="F1186" t="s">
        <v>344</v>
      </c>
      <c r="G1186" t="s">
        <v>158</v>
      </c>
      <c r="H1186" t="s">
        <v>249</v>
      </c>
      <c r="J1186" t="s">
        <v>193</v>
      </c>
      <c r="K1186" t="s">
        <v>250</v>
      </c>
      <c r="L1186">
        <v>28.8</v>
      </c>
      <c r="M1186" t="s">
        <v>251</v>
      </c>
      <c r="N1186" t="s">
        <v>1155</v>
      </c>
    </row>
    <row r="1187" spans="1:16" hidden="1" x14ac:dyDescent="0.25">
      <c r="A1187" s="16">
        <v>45658</v>
      </c>
      <c r="B1187" t="s">
        <v>156</v>
      </c>
      <c r="C1187">
        <v>81</v>
      </c>
      <c r="D1187" t="s">
        <v>253</v>
      </c>
      <c r="E1187" t="s">
        <v>248</v>
      </c>
      <c r="F1187" t="s">
        <v>349</v>
      </c>
      <c r="G1187" t="s">
        <v>158</v>
      </c>
      <c r="J1187" t="s">
        <v>191</v>
      </c>
      <c r="K1187" t="s">
        <v>255</v>
      </c>
      <c r="L1187">
        <v>13000</v>
      </c>
      <c r="M1187" t="s">
        <v>242</v>
      </c>
      <c r="N1187" t="s">
        <v>475</v>
      </c>
      <c r="O1187">
        <v>1</v>
      </c>
      <c r="P1187" t="s">
        <v>257</v>
      </c>
    </row>
    <row r="1188" spans="1:16" hidden="1" x14ac:dyDescent="0.25">
      <c r="A1188" s="16">
        <v>45658</v>
      </c>
      <c r="B1188" t="s">
        <v>156</v>
      </c>
      <c r="C1188">
        <v>81</v>
      </c>
      <c r="D1188" t="s">
        <v>253</v>
      </c>
      <c r="E1188" t="s">
        <v>248</v>
      </c>
      <c r="F1188" t="s">
        <v>349</v>
      </c>
      <c r="G1188" t="s">
        <v>158</v>
      </c>
      <c r="J1188" t="s">
        <v>192</v>
      </c>
      <c r="K1188" t="s">
        <v>255</v>
      </c>
      <c r="L1188">
        <v>23800</v>
      </c>
      <c r="M1188" t="s">
        <v>242</v>
      </c>
      <c r="N1188" t="s">
        <v>985</v>
      </c>
      <c r="O1188">
        <v>1</v>
      </c>
      <c r="P1188" t="s">
        <v>257</v>
      </c>
    </row>
    <row r="1189" spans="1:16" hidden="1" x14ac:dyDescent="0.25">
      <c r="A1189" s="16">
        <v>45658</v>
      </c>
      <c r="B1189" t="s">
        <v>156</v>
      </c>
      <c r="C1189">
        <v>81</v>
      </c>
      <c r="D1189" t="s">
        <v>253</v>
      </c>
      <c r="E1189" t="s">
        <v>248</v>
      </c>
      <c r="F1189" t="s">
        <v>349</v>
      </c>
      <c r="G1189" t="s">
        <v>158</v>
      </c>
      <c r="J1189" t="s">
        <v>193</v>
      </c>
      <c r="K1189" t="s">
        <v>255</v>
      </c>
      <c r="L1189">
        <v>15300</v>
      </c>
      <c r="M1189" t="s">
        <v>242</v>
      </c>
      <c r="N1189" t="s">
        <v>1156</v>
      </c>
      <c r="O1189">
        <v>1</v>
      </c>
      <c r="P1189" t="s">
        <v>261</v>
      </c>
    </row>
    <row r="1190" spans="1:16" hidden="1" x14ac:dyDescent="0.25">
      <c r="A1190" s="16">
        <v>45658</v>
      </c>
      <c r="B1190" t="s">
        <v>156</v>
      </c>
      <c r="C1190">
        <v>82</v>
      </c>
      <c r="D1190" t="s">
        <v>253</v>
      </c>
      <c r="E1190" t="s">
        <v>248</v>
      </c>
      <c r="F1190" t="s">
        <v>615</v>
      </c>
      <c r="G1190" t="s">
        <v>158</v>
      </c>
      <c r="J1190" t="s">
        <v>191</v>
      </c>
      <c r="K1190" t="s">
        <v>255</v>
      </c>
      <c r="L1190">
        <v>2.9</v>
      </c>
      <c r="M1190" t="s">
        <v>251</v>
      </c>
      <c r="N1190" t="s">
        <v>616</v>
      </c>
      <c r="O1190">
        <v>1</v>
      </c>
      <c r="P1190" t="s">
        <v>257</v>
      </c>
    </row>
    <row r="1191" spans="1:16" hidden="1" x14ac:dyDescent="0.25">
      <c r="A1191" s="16">
        <v>45658</v>
      </c>
      <c r="B1191" t="s">
        <v>156</v>
      </c>
      <c r="C1191">
        <v>82</v>
      </c>
      <c r="D1191" t="s">
        <v>253</v>
      </c>
      <c r="E1191" t="s">
        <v>248</v>
      </c>
      <c r="F1191" t="s">
        <v>615</v>
      </c>
      <c r="G1191" t="s">
        <v>158</v>
      </c>
      <c r="J1191" t="s">
        <v>192</v>
      </c>
      <c r="K1191" t="s">
        <v>255</v>
      </c>
      <c r="L1191">
        <v>3.6</v>
      </c>
      <c r="M1191" t="s">
        <v>251</v>
      </c>
      <c r="N1191" t="s">
        <v>783</v>
      </c>
      <c r="O1191">
        <v>1</v>
      </c>
      <c r="P1191" t="s">
        <v>257</v>
      </c>
    </row>
    <row r="1192" spans="1:16" hidden="1" x14ac:dyDescent="0.25">
      <c r="A1192" s="16">
        <v>45658</v>
      </c>
      <c r="B1192" t="s">
        <v>156</v>
      </c>
      <c r="C1192">
        <v>82</v>
      </c>
      <c r="D1192" t="s">
        <v>253</v>
      </c>
      <c r="E1192" t="s">
        <v>248</v>
      </c>
      <c r="F1192" t="s">
        <v>615</v>
      </c>
      <c r="G1192" t="s">
        <v>158</v>
      </c>
      <c r="J1192" t="s">
        <v>193</v>
      </c>
      <c r="K1192" t="s">
        <v>255</v>
      </c>
      <c r="L1192">
        <v>3.2</v>
      </c>
      <c r="M1192" t="s">
        <v>251</v>
      </c>
      <c r="N1192" t="s">
        <v>509</v>
      </c>
      <c r="O1192">
        <v>1</v>
      </c>
      <c r="P1192" t="s">
        <v>261</v>
      </c>
    </row>
    <row r="1193" spans="1:16" hidden="1" x14ac:dyDescent="0.25">
      <c r="A1193" s="16">
        <v>45658</v>
      </c>
      <c r="B1193" t="s">
        <v>156</v>
      </c>
      <c r="C1193">
        <v>83</v>
      </c>
      <c r="D1193" t="s">
        <v>291</v>
      </c>
      <c r="E1193" t="s">
        <v>292</v>
      </c>
      <c r="F1193" t="s">
        <v>349</v>
      </c>
      <c r="G1193" t="s">
        <v>158</v>
      </c>
      <c r="H1193" t="s">
        <v>159</v>
      </c>
      <c r="J1193" t="s">
        <v>193</v>
      </c>
      <c r="K1193" t="s">
        <v>250</v>
      </c>
      <c r="L1193">
        <v>9864</v>
      </c>
      <c r="M1193" t="s">
        <v>242</v>
      </c>
      <c r="N1193" t="s">
        <v>1157</v>
      </c>
    </row>
    <row r="1194" spans="1:16" hidden="1" x14ac:dyDescent="0.25">
      <c r="A1194" s="16">
        <v>45658</v>
      </c>
      <c r="B1194" t="s">
        <v>156</v>
      </c>
      <c r="C1194">
        <v>83</v>
      </c>
      <c r="D1194" t="s">
        <v>291</v>
      </c>
      <c r="E1194" t="s">
        <v>292</v>
      </c>
      <c r="F1194" t="s">
        <v>349</v>
      </c>
      <c r="G1194" t="s">
        <v>158</v>
      </c>
      <c r="H1194" t="s">
        <v>160</v>
      </c>
      <c r="J1194" t="s">
        <v>193</v>
      </c>
      <c r="K1194" t="s">
        <v>250</v>
      </c>
      <c r="L1194">
        <v>5386</v>
      </c>
      <c r="M1194" t="s">
        <v>242</v>
      </c>
      <c r="N1194" t="s">
        <v>1158</v>
      </c>
    </row>
    <row r="1195" spans="1:16" hidden="1" x14ac:dyDescent="0.25">
      <c r="A1195" s="16">
        <v>45658</v>
      </c>
      <c r="B1195" t="s">
        <v>156</v>
      </c>
      <c r="C1195">
        <v>84</v>
      </c>
      <c r="D1195" t="s">
        <v>253</v>
      </c>
      <c r="E1195" t="s">
        <v>248</v>
      </c>
      <c r="F1195" t="s">
        <v>356</v>
      </c>
      <c r="G1195" t="s">
        <v>158</v>
      </c>
      <c r="J1195" t="s">
        <v>191</v>
      </c>
      <c r="K1195" t="s">
        <v>255</v>
      </c>
      <c r="L1195">
        <v>3050000000</v>
      </c>
      <c r="M1195" t="s">
        <v>245</v>
      </c>
      <c r="N1195" t="s">
        <v>803</v>
      </c>
      <c r="O1195">
        <v>1</v>
      </c>
      <c r="P1195" t="s">
        <v>257</v>
      </c>
    </row>
    <row r="1196" spans="1:16" hidden="1" x14ac:dyDescent="0.25">
      <c r="A1196" s="16">
        <v>45658</v>
      </c>
      <c r="B1196" t="s">
        <v>156</v>
      </c>
      <c r="C1196">
        <v>84</v>
      </c>
      <c r="D1196" t="s">
        <v>253</v>
      </c>
      <c r="E1196" t="s">
        <v>248</v>
      </c>
      <c r="F1196" t="s">
        <v>356</v>
      </c>
      <c r="G1196" t="s">
        <v>158</v>
      </c>
      <c r="J1196" t="s">
        <v>192</v>
      </c>
      <c r="K1196" t="s">
        <v>255</v>
      </c>
      <c r="L1196">
        <v>3960000000</v>
      </c>
      <c r="M1196" t="s">
        <v>245</v>
      </c>
      <c r="N1196" t="s">
        <v>988</v>
      </c>
      <c r="O1196">
        <v>1</v>
      </c>
      <c r="P1196" t="s">
        <v>257</v>
      </c>
    </row>
    <row r="1197" spans="1:16" hidden="1" x14ac:dyDescent="0.25">
      <c r="A1197" s="16">
        <v>45658</v>
      </c>
      <c r="B1197" t="s">
        <v>156</v>
      </c>
      <c r="C1197">
        <v>84</v>
      </c>
      <c r="D1197" t="s">
        <v>253</v>
      </c>
      <c r="E1197" t="s">
        <v>248</v>
      </c>
      <c r="F1197" t="s">
        <v>356</v>
      </c>
      <c r="G1197" t="s">
        <v>158</v>
      </c>
      <c r="J1197" t="s">
        <v>193</v>
      </c>
      <c r="K1197" t="s">
        <v>255</v>
      </c>
      <c r="L1197">
        <v>3370000000</v>
      </c>
      <c r="M1197" t="s">
        <v>245</v>
      </c>
      <c r="N1197" t="s">
        <v>1159</v>
      </c>
      <c r="O1197">
        <v>1</v>
      </c>
      <c r="P1197" t="s">
        <v>261</v>
      </c>
    </row>
    <row r="1198" spans="1:16" hidden="1" x14ac:dyDescent="0.25">
      <c r="A1198" s="16">
        <v>45658</v>
      </c>
      <c r="B1198" t="s">
        <v>156</v>
      </c>
      <c r="C1198">
        <v>84</v>
      </c>
      <c r="D1198" t="s">
        <v>247</v>
      </c>
      <c r="E1198" t="s">
        <v>248</v>
      </c>
      <c r="F1198" t="s">
        <v>356</v>
      </c>
      <c r="G1198" t="s">
        <v>158</v>
      </c>
      <c r="H1198" t="s">
        <v>249</v>
      </c>
      <c r="J1198" t="s">
        <v>193</v>
      </c>
      <c r="K1198" t="s">
        <v>250</v>
      </c>
      <c r="L1198">
        <v>14.9</v>
      </c>
      <c r="M1198" t="s">
        <v>251</v>
      </c>
      <c r="N1198" t="s">
        <v>1160</v>
      </c>
    </row>
    <row r="1199" spans="1:16" hidden="1" x14ac:dyDescent="0.25">
      <c r="A1199" s="16">
        <v>45658</v>
      </c>
      <c r="B1199" t="s">
        <v>156</v>
      </c>
      <c r="C1199">
        <v>85</v>
      </c>
      <c r="D1199" t="s">
        <v>253</v>
      </c>
      <c r="E1199" t="s">
        <v>248</v>
      </c>
      <c r="F1199" t="s">
        <v>361</v>
      </c>
      <c r="G1199" t="s">
        <v>158</v>
      </c>
      <c r="J1199" t="s">
        <v>191</v>
      </c>
      <c r="K1199" t="s">
        <v>255</v>
      </c>
      <c r="L1199">
        <v>82000000</v>
      </c>
      <c r="M1199" t="s">
        <v>245</v>
      </c>
      <c r="N1199" t="s">
        <v>804</v>
      </c>
      <c r="O1199">
        <v>1</v>
      </c>
      <c r="P1199" t="s">
        <v>257</v>
      </c>
    </row>
    <row r="1200" spans="1:16" hidden="1" x14ac:dyDescent="0.25">
      <c r="A1200" s="16">
        <v>45658</v>
      </c>
      <c r="B1200" t="s">
        <v>156</v>
      </c>
      <c r="C1200">
        <v>85</v>
      </c>
      <c r="D1200" t="s">
        <v>253</v>
      </c>
      <c r="E1200" t="s">
        <v>248</v>
      </c>
      <c r="F1200" t="s">
        <v>361</v>
      </c>
      <c r="G1200" t="s">
        <v>158</v>
      </c>
      <c r="J1200" t="s">
        <v>192</v>
      </c>
      <c r="K1200" t="s">
        <v>255</v>
      </c>
      <c r="L1200">
        <v>162000000</v>
      </c>
      <c r="M1200" t="s">
        <v>245</v>
      </c>
      <c r="N1200" t="s">
        <v>990</v>
      </c>
      <c r="O1200">
        <v>1</v>
      </c>
      <c r="P1200" t="s">
        <v>257</v>
      </c>
    </row>
    <row r="1201" spans="1:16" hidden="1" x14ac:dyDescent="0.25">
      <c r="A1201" s="16">
        <v>45658</v>
      </c>
      <c r="B1201" t="s">
        <v>156</v>
      </c>
      <c r="C1201">
        <v>85</v>
      </c>
      <c r="D1201" t="s">
        <v>253</v>
      </c>
      <c r="E1201" t="s">
        <v>248</v>
      </c>
      <c r="F1201" t="s">
        <v>361</v>
      </c>
      <c r="G1201" t="s">
        <v>158</v>
      </c>
      <c r="J1201" t="s">
        <v>193</v>
      </c>
      <c r="K1201" t="s">
        <v>255</v>
      </c>
      <c r="L1201">
        <v>91000000</v>
      </c>
      <c r="M1201" t="s">
        <v>245</v>
      </c>
      <c r="N1201" t="s">
        <v>1161</v>
      </c>
      <c r="O1201">
        <v>1</v>
      </c>
      <c r="P1201" t="s">
        <v>261</v>
      </c>
    </row>
    <row r="1202" spans="1:16" hidden="1" x14ac:dyDescent="0.25">
      <c r="A1202" s="16">
        <v>45658</v>
      </c>
      <c r="B1202" t="s">
        <v>156</v>
      </c>
      <c r="C1202">
        <v>86</v>
      </c>
      <c r="D1202" t="s">
        <v>253</v>
      </c>
      <c r="E1202" t="s">
        <v>248</v>
      </c>
      <c r="F1202" t="s">
        <v>622</v>
      </c>
      <c r="G1202" t="s">
        <v>158</v>
      </c>
      <c r="J1202" t="s">
        <v>191</v>
      </c>
      <c r="K1202" t="s">
        <v>255</v>
      </c>
      <c r="L1202">
        <v>2.7</v>
      </c>
      <c r="M1202" t="s">
        <v>251</v>
      </c>
      <c r="N1202" t="s">
        <v>805</v>
      </c>
      <c r="O1202">
        <v>1</v>
      </c>
      <c r="P1202" t="s">
        <v>257</v>
      </c>
    </row>
    <row r="1203" spans="1:16" hidden="1" x14ac:dyDescent="0.25">
      <c r="A1203" s="16">
        <v>45658</v>
      </c>
      <c r="B1203" t="s">
        <v>156</v>
      </c>
      <c r="C1203">
        <v>86</v>
      </c>
      <c r="D1203" t="s">
        <v>253</v>
      </c>
      <c r="E1203" t="s">
        <v>248</v>
      </c>
      <c r="F1203" t="s">
        <v>622</v>
      </c>
      <c r="G1203" t="s">
        <v>158</v>
      </c>
      <c r="J1203" t="s">
        <v>192</v>
      </c>
      <c r="K1203" t="s">
        <v>255</v>
      </c>
      <c r="L1203">
        <v>4.0999999999999996</v>
      </c>
      <c r="M1203" t="s">
        <v>251</v>
      </c>
      <c r="N1203" t="s">
        <v>991</v>
      </c>
      <c r="O1203">
        <v>1</v>
      </c>
      <c r="P1203" t="s">
        <v>257</v>
      </c>
    </row>
    <row r="1204" spans="1:16" hidden="1" x14ac:dyDescent="0.25">
      <c r="A1204" s="16">
        <v>45658</v>
      </c>
      <c r="B1204" t="s">
        <v>156</v>
      </c>
      <c r="C1204">
        <v>86</v>
      </c>
      <c r="D1204" t="s">
        <v>253</v>
      </c>
      <c r="E1204" t="s">
        <v>248</v>
      </c>
      <c r="F1204" t="s">
        <v>622</v>
      </c>
      <c r="G1204" t="s">
        <v>158</v>
      </c>
      <c r="J1204" t="s">
        <v>193</v>
      </c>
      <c r="K1204" t="s">
        <v>255</v>
      </c>
      <c r="L1204">
        <v>2.69</v>
      </c>
      <c r="M1204" t="s">
        <v>251</v>
      </c>
      <c r="N1204" t="s">
        <v>1162</v>
      </c>
      <c r="O1204">
        <v>1</v>
      </c>
      <c r="P1204" t="s">
        <v>261</v>
      </c>
    </row>
    <row r="1205" spans="1:16" hidden="1" x14ac:dyDescent="0.25">
      <c r="A1205" s="16">
        <v>45658</v>
      </c>
      <c r="B1205" t="s">
        <v>156</v>
      </c>
      <c r="C1205">
        <v>87</v>
      </c>
      <c r="D1205" t="s">
        <v>291</v>
      </c>
      <c r="E1205" t="s">
        <v>292</v>
      </c>
      <c r="F1205" t="s">
        <v>361</v>
      </c>
      <c r="G1205" t="s">
        <v>158</v>
      </c>
      <c r="H1205" t="s">
        <v>159</v>
      </c>
      <c r="J1205" t="s">
        <v>193</v>
      </c>
      <c r="K1205" t="s">
        <v>250</v>
      </c>
      <c r="L1205">
        <v>58000000</v>
      </c>
      <c r="M1205" t="s">
        <v>245</v>
      </c>
      <c r="N1205" t="s">
        <v>1163</v>
      </c>
    </row>
    <row r="1206" spans="1:16" hidden="1" x14ac:dyDescent="0.25">
      <c r="A1206" s="16">
        <v>45658</v>
      </c>
      <c r="B1206" t="s">
        <v>156</v>
      </c>
      <c r="C1206">
        <v>87</v>
      </c>
      <c r="D1206" t="s">
        <v>291</v>
      </c>
      <c r="E1206" t="s">
        <v>292</v>
      </c>
      <c r="F1206" t="s">
        <v>361</v>
      </c>
      <c r="G1206" t="s">
        <v>158</v>
      </c>
      <c r="H1206" t="s">
        <v>160</v>
      </c>
      <c r="J1206" t="s">
        <v>193</v>
      </c>
      <c r="K1206" t="s">
        <v>250</v>
      </c>
      <c r="L1206">
        <v>32600000</v>
      </c>
      <c r="M1206" t="s">
        <v>245</v>
      </c>
      <c r="N1206" t="s">
        <v>1164</v>
      </c>
    </row>
    <row r="1207" spans="1:16" hidden="1" x14ac:dyDescent="0.25">
      <c r="A1207" s="16">
        <v>45658</v>
      </c>
      <c r="B1207" t="s">
        <v>120</v>
      </c>
      <c r="C1207">
        <v>60</v>
      </c>
      <c r="D1207" t="s">
        <v>238</v>
      </c>
      <c r="E1207" t="s">
        <v>239</v>
      </c>
      <c r="F1207" t="s">
        <v>240</v>
      </c>
      <c r="G1207" t="s">
        <v>82</v>
      </c>
      <c r="J1207" t="s">
        <v>193</v>
      </c>
      <c r="K1207" t="s">
        <v>241</v>
      </c>
      <c r="L1207">
        <v>5890000</v>
      </c>
      <c r="M1207" t="s">
        <v>242</v>
      </c>
      <c r="N1207" t="s">
        <v>1165</v>
      </c>
    </row>
    <row r="1208" spans="1:16" hidden="1" x14ac:dyDescent="0.25">
      <c r="A1208" s="16">
        <v>45658</v>
      </c>
      <c r="B1208" t="s">
        <v>120</v>
      </c>
      <c r="C1208">
        <v>60</v>
      </c>
      <c r="D1208" t="s">
        <v>238</v>
      </c>
      <c r="E1208" t="s">
        <v>239</v>
      </c>
      <c r="F1208" t="s">
        <v>244</v>
      </c>
      <c r="G1208" t="s">
        <v>82</v>
      </c>
      <c r="J1208" t="s">
        <v>193</v>
      </c>
      <c r="K1208" t="s">
        <v>241</v>
      </c>
      <c r="L1208">
        <v>1350000000</v>
      </c>
      <c r="M1208" t="s">
        <v>245</v>
      </c>
      <c r="N1208" t="s">
        <v>1166</v>
      </c>
    </row>
    <row r="1209" spans="1:16" hidden="1" x14ac:dyDescent="0.25">
      <c r="A1209" s="16">
        <v>45658</v>
      </c>
      <c r="B1209" t="s">
        <v>120</v>
      </c>
      <c r="C1209">
        <v>62</v>
      </c>
      <c r="D1209" t="s">
        <v>253</v>
      </c>
      <c r="E1209" t="s">
        <v>248</v>
      </c>
      <c r="F1209" t="s">
        <v>285</v>
      </c>
      <c r="G1209" t="s">
        <v>63</v>
      </c>
      <c r="J1209" t="s">
        <v>191</v>
      </c>
      <c r="K1209" t="s">
        <v>255</v>
      </c>
      <c r="L1209">
        <v>4500000</v>
      </c>
      <c r="M1209" t="s">
        <v>242</v>
      </c>
      <c r="N1209" t="s">
        <v>811</v>
      </c>
      <c r="O1209">
        <v>1</v>
      </c>
      <c r="P1209" t="s">
        <v>257</v>
      </c>
    </row>
    <row r="1210" spans="1:16" hidden="1" x14ac:dyDescent="0.25">
      <c r="A1210" s="16">
        <v>45658</v>
      </c>
      <c r="B1210" t="s">
        <v>120</v>
      </c>
      <c r="C1210">
        <v>62</v>
      </c>
      <c r="D1210" t="s">
        <v>253</v>
      </c>
      <c r="E1210" t="s">
        <v>248</v>
      </c>
      <c r="F1210" t="s">
        <v>285</v>
      </c>
      <c r="G1210" t="s">
        <v>63</v>
      </c>
      <c r="J1210" t="s">
        <v>192</v>
      </c>
      <c r="K1210" t="s">
        <v>255</v>
      </c>
      <c r="L1210">
        <v>4540000</v>
      </c>
      <c r="M1210" t="s">
        <v>242</v>
      </c>
      <c r="N1210" t="s">
        <v>996</v>
      </c>
      <c r="O1210">
        <v>1</v>
      </c>
      <c r="P1210" t="s">
        <v>257</v>
      </c>
    </row>
    <row r="1211" spans="1:16" hidden="1" x14ac:dyDescent="0.25">
      <c r="A1211" s="16">
        <v>45658</v>
      </c>
      <c r="B1211" t="s">
        <v>120</v>
      </c>
      <c r="C1211">
        <v>62</v>
      </c>
      <c r="D1211" t="s">
        <v>253</v>
      </c>
      <c r="E1211" t="s">
        <v>248</v>
      </c>
      <c r="F1211" t="s">
        <v>285</v>
      </c>
      <c r="G1211" t="s">
        <v>63</v>
      </c>
      <c r="J1211" t="s">
        <v>193</v>
      </c>
      <c r="K1211" t="s">
        <v>255</v>
      </c>
      <c r="L1211">
        <v>4580000</v>
      </c>
      <c r="M1211" t="s">
        <v>242</v>
      </c>
      <c r="N1211" t="s">
        <v>1167</v>
      </c>
      <c r="O1211">
        <v>1</v>
      </c>
      <c r="P1211" t="s">
        <v>261</v>
      </c>
    </row>
    <row r="1212" spans="1:16" hidden="1" x14ac:dyDescent="0.25">
      <c r="A1212" s="16">
        <v>45658</v>
      </c>
      <c r="B1212" t="s">
        <v>120</v>
      </c>
      <c r="C1212">
        <v>62</v>
      </c>
      <c r="D1212" t="s">
        <v>247</v>
      </c>
      <c r="E1212" t="s">
        <v>248</v>
      </c>
      <c r="F1212" t="s">
        <v>285</v>
      </c>
      <c r="G1212" t="s">
        <v>63</v>
      </c>
      <c r="H1212" t="s">
        <v>286</v>
      </c>
      <c r="J1212" t="s">
        <v>193</v>
      </c>
      <c r="K1212" t="s">
        <v>250</v>
      </c>
      <c r="L1212">
        <v>0.8</v>
      </c>
      <c r="M1212" t="s">
        <v>251</v>
      </c>
      <c r="N1212" t="s">
        <v>370</v>
      </c>
    </row>
    <row r="1213" spans="1:16" hidden="1" x14ac:dyDescent="0.25">
      <c r="A1213" s="16">
        <v>45658</v>
      </c>
      <c r="B1213" t="s">
        <v>120</v>
      </c>
      <c r="C1213">
        <v>63</v>
      </c>
      <c r="D1213" t="s">
        <v>291</v>
      </c>
      <c r="E1213" t="s">
        <v>292</v>
      </c>
      <c r="F1213" t="s">
        <v>285</v>
      </c>
      <c r="G1213" t="s">
        <v>63</v>
      </c>
      <c r="H1213" t="s">
        <v>122</v>
      </c>
      <c r="J1213" t="s">
        <v>193</v>
      </c>
      <c r="K1213" t="s">
        <v>250</v>
      </c>
      <c r="L1213">
        <v>4540000</v>
      </c>
      <c r="M1213" t="s">
        <v>242</v>
      </c>
      <c r="N1213" t="s">
        <v>998</v>
      </c>
    </row>
    <row r="1214" spans="1:16" hidden="1" x14ac:dyDescent="0.25">
      <c r="A1214" s="16">
        <v>45658</v>
      </c>
      <c r="B1214" t="s">
        <v>120</v>
      </c>
      <c r="C1214">
        <v>63</v>
      </c>
      <c r="D1214" t="s">
        <v>291</v>
      </c>
      <c r="E1214" t="s">
        <v>292</v>
      </c>
      <c r="F1214" t="s">
        <v>285</v>
      </c>
      <c r="G1214" t="s">
        <v>63</v>
      </c>
      <c r="H1214" t="s">
        <v>123</v>
      </c>
      <c r="J1214" t="s">
        <v>193</v>
      </c>
      <c r="K1214" t="s">
        <v>250</v>
      </c>
      <c r="L1214">
        <v>37100</v>
      </c>
      <c r="M1214" t="s">
        <v>242</v>
      </c>
      <c r="N1214" t="s">
        <v>1168</v>
      </c>
    </row>
    <row r="1215" spans="1:16" hidden="1" x14ac:dyDescent="0.25">
      <c r="A1215" s="16">
        <v>45658</v>
      </c>
      <c r="B1215" t="s">
        <v>120</v>
      </c>
      <c r="C1215">
        <v>63</v>
      </c>
      <c r="D1215" t="s">
        <v>238</v>
      </c>
      <c r="E1215" t="s">
        <v>239</v>
      </c>
      <c r="F1215" t="s">
        <v>285</v>
      </c>
      <c r="G1215" t="s">
        <v>63</v>
      </c>
      <c r="H1215" t="s">
        <v>376</v>
      </c>
      <c r="J1215" t="s">
        <v>193</v>
      </c>
      <c r="K1215" t="s">
        <v>250</v>
      </c>
      <c r="L1215">
        <v>4580000</v>
      </c>
      <c r="M1215" t="s">
        <v>242</v>
      </c>
      <c r="N1215" t="s">
        <v>489</v>
      </c>
    </row>
    <row r="1216" spans="1:16" hidden="1" x14ac:dyDescent="0.25">
      <c r="A1216" s="16">
        <v>45658</v>
      </c>
      <c r="B1216" t="s">
        <v>120</v>
      </c>
      <c r="C1216">
        <v>64</v>
      </c>
      <c r="D1216" t="s">
        <v>238</v>
      </c>
      <c r="E1216" t="s">
        <v>239</v>
      </c>
      <c r="F1216" t="s">
        <v>378</v>
      </c>
      <c r="G1216" t="s">
        <v>379</v>
      </c>
      <c r="J1216" t="s">
        <v>193</v>
      </c>
      <c r="K1216" t="s">
        <v>250</v>
      </c>
      <c r="L1216">
        <v>591</v>
      </c>
      <c r="M1216" t="s">
        <v>242</v>
      </c>
      <c r="N1216" t="s">
        <v>1169</v>
      </c>
    </row>
    <row r="1217" spans="1:16" hidden="1" x14ac:dyDescent="0.25">
      <c r="A1217" s="16">
        <v>45658</v>
      </c>
      <c r="B1217" t="s">
        <v>120</v>
      </c>
      <c r="C1217">
        <v>64</v>
      </c>
      <c r="D1217" t="s">
        <v>238</v>
      </c>
      <c r="E1217" t="s">
        <v>239</v>
      </c>
      <c r="F1217" t="s">
        <v>381</v>
      </c>
      <c r="G1217" t="s">
        <v>382</v>
      </c>
      <c r="J1217" t="s">
        <v>193</v>
      </c>
      <c r="K1217" t="s">
        <v>250</v>
      </c>
      <c r="L1217">
        <v>2044</v>
      </c>
      <c r="M1217" t="s">
        <v>242</v>
      </c>
      <c r="N1217" t="s">
        <v>1170</v>
      </c>
    </row>
    <row r="1218" spans="1:16" hidden="1" x14ac:dyDescent="0.25">
      <c r="A1218" s="16">
        <v>45658</v>
      </c>
      <c r="B1218" t="s">
        <v>120</v>
      </c>
      <c r="C1218">
        <v>65</v>
      </c>
      <c r="D1218" t="s">
        <v>253</v>
      </c>
      <c r="E1218" t="s">
        <v>248</v>
      </c>
      <c r="F1218" t="s">
        <v>240</v>
      </c>
      <c r="G1218" t="s">
        <v>82</v>
      </c>
      <c r="J1218" t="s">
        <v>191</v>
      </c>
      <c r="K1218" t="s">
        <v>255</v>
      </c>
      <c r="L1218">
        <v>5160000</v>
      </c>
      <c r="M1218" t="s">
        <v>242</v>
      </c>
      <c r="N1218" t="s">
        <v>817</v>
      </c>
      <c r="O1218">
        <v>1</v>
      </c>
      <c r="P1218" t="s">
        <v>257</v>
      </c>
    </row>
    <row r="1219" spans="1:16" hidden="1" x14ac:dyDescent="0.25">
      <c r="A1219" s="16">
        <v>45658</v>
      </c>
      <c r="B1219" t="s">
        <v>120</v>
      </c>
      <c r="C1219">
        <v>65</v>
      </c>
      <c r="D1219" t="s">
        <v>253</v>
      </c>
      <c r="E1219" t="s">
        <v>248</v>
      </c>
      <c r="F1219" t="s">
        <v>240</v>
      </c>
      <c r="G1219" t="s">
        <v>82</v>
      </c>
      <c r="J1219" t="s">
        <v>192</v>
      </c>
      <c r="K1219" t="s">
        <v>255</v>
      </c>
      <c r="L1219">
        <v>6430000</v>
      </c>
      <c r="M1219" t="s">
        <v>242</v>
      </c>
      <c r="N1219" t="s">
        <v>1001</v>
      </c>
      <c r="O1219">
        <v>1</v>
      </c>
      <c r="P1219" t="s">
        <v>257</v>
      </c>
    </row>
    <row r="1220" spans="1:16" hidden="1" x14ac:dyDescent="0.25">
      <c r="A1220" s="16">
        <v>45658</v>
      </c>
      <c r="B1220" t="s">
        <v>120</v>
      </c>
      <c r="C1220">
        <v>65</v>
      </c>
      <c r="D1220" t="s">
        <v>253</v>
      </c>
      <c r="E1220" t="s">
        <v>248</v>
      </c>
      <c r="F1220" t="s">
        <v>240</v>
      </c>
      <c r="G1220" t="s">
        <v>82</v>
      </c>
      <c r="J1220" t="s">
        <v>193</v>
      </c>
      <c r="K1220" t="s">
        <v>255</v>
      </c>
      <c r="L1220">
        <v>5890000</v>
      </c>
      <c r="M1220" t="s">
        <v>242</v>
      </c>
      <c r="N1220" t="s">
        <v>1171</v>
      </c>
      <c r="O1220">
        <v>1</v>
      </c>
      <c r="P1220" t="s">
        <v>261</v>
      </c>
    </row>
    <row r="1221" spans="1:16" hidden="1" x14ac:dyDescent="0.25">
      <c r="A1221" s="16">
        <v>45658</v>
      </c>
      <c r="B1221" t="s">
        <v>120</v>
      </c>
      <c r="C1221">
        <v>65</v>
      </c>
      <c r="D1221" t="s">
        <v>247</v>
      </c>
      <c r="E1221" t="s">
        <v>248</v>
      </c>
      <c r="F1221" t="s">
        <v>240</v>
      </c>
      <c r="G1221" t="s">
        <v>82</v>
      </c>
      <c r="H1221" t="s">
        <v>249</v>
      </c>
      <c r="J1221" t="s">
        <v>193</v>
      </c>
      <c r="K1221" t="s">
        <v>250</v>
      </c>
      <c r="L1221">
        <v>8.5</v>
      </c>
      <c r="M1221" t="s">
        <v>251</v>
      </c>
      <c r="N1221" t="s">
        <v>1172</v>
      </c>
    </row>
    <row r="1222" spans="1:16" hidden="1" x14ac:dyDescent="0.25">
      <c r="A1222" s="16">
        <v>45658</v>
      </c>
      <c r="B1222" t="s">
        <v>120</v>
      </c>
      <c r="C1222">
        <v>66</v>
      </c>
      <c r="D1222" t="s">
        <v>291</v>
      </c>
      <c r="E1222" t="s">
        <v>292</v>
      </c>
      <c r="F1222" t="s">
        <v>240</v>
      </c>
      <c r="G1222" t="s">
        <v>82</v>
      </c>
      <c r="H1222" t="s">
        <v>125</v>
      </c>
      <c r="J1222" t="s">
        <v>193</v>
      </c>
      <c r="K1222" t="s">
        <v>250</v>
      </c>
      <c r="L1222">
        <v>60000</v>
      </c>
      <c r="M1222" t="s">
        <v>242</v>
      </c>
      <c r="N1222" t="s">
        <v>1173</v>
      </c>
    </row>
    <row r="1223" spans="1:16" hidden="1" x14ac:dyDescent="0.25">
      <c r="A1223" s="16">
        <v>45658</v>
      </c>
      <c r="B1223" t="s">
        <v>120</v>
      </c>
      <c r="C1223">
        <v>66</v>
      </c>
      <c r="D1223" t="s">
        <v>291</v>
      </c>
      <c r="E1223" t="s">
        <v>292</v>
      </c>
      <c r="F1223" t="s">
        <v>240</v>
      </c>
      <c r="G1223" t="s">
        <v>82</v>
      </c>
      <c r="H1223" t="s">
        <v>126</v>
      </c>
      <c r="J1223" t="s">
        <v>193</v>
      </c>
      <c r="K1223" t="s">
        <v>250</v>
      </c>
      <c r="L1223">
        <v>95000</v>
      </c>
      <c r="M1223" t="s">
        <v>242</v>
      </c>
      <c r="N1223" t="s">
        <v>1174</v>
      </c>
    </row>
    <row r="1224" spans="1:16" hidden="1" x14ac:dyDescent="0.25">
      <c r="A1224" s="16">
        <v>45658</v>
      </c>
      <c r="B1224" t="s">
        <v>120</v>
      </c>
      <c r="C1224">
        <v>66</v>
      </c>
      <c r="D1224" t="s">
        <v>291</v>
      </c>
      <c r="E1224" t="s">
        <v>292</v>
      </c>
      <c r="F1224" t="s">
        <v>240</v>
      </c>
      <c r="G1224" t="s">
        <v>82</v>
      </c>
      <c r="H1224" t="s">
        <v>127</v>
      </c>
      <c r="J1224" t="s">
        <v>193</v>
      </c>
      <c r="K1224" t="s">
        <v>250</v>
      </c>
      <c r="L1224">
        <v>295000</v>
      </c>
      <c r="M1224" t="s">
        <v>242</v>
      </c>
      <c r="N1224" t="s">
        <v>1175</v>
      </c>
    </row>
    <row r="1225" spans="1:16" hidden="1" x14ac:dyDescent="0.25">
      <c r="A1225" s="16">
        <v>45658</v>
      </c>
      <c r="B1225" t="s">
        <v>120</v>
      </c>
      <c r="C1225">
        <v>66</v>
      </c>
      <c r="D1225" t="s">
        <v>291</v>
      </c>
      <c r="E1225" t="s">
        <v>292</v>
      </c>
      <c r="F1225" t="s">
        <v>240</v>
      </c>
      <c r="G1225" t="s">
        <v>82</v>
      </c>
      <c r="H1225" t="s">
        <v>128</v>
      </c>
      <c r="J1225" t="s">
        <v>193</v>
      </c>
      <c r="K1225" t="s">
        <v>250</v>
      </c>
      <c r="L1225">
        <v>29000</v>
      </c>
      <c r="M1225" t="s">
        <v>242</v>
      </c>
      <c r="N1225" t="s">
        <v>1176</v>
      </c>
    </row>
    <row r="1226" spans="1:16" hidden="1" x14ac:dyDescent="0.25">
      <c r="A1226" s="16">
        <v>45658</v>
      </c>
      <c r="B1226" t="s">
        <v>120</v>
      </c>
      <c r="C1226">
        <v>66</v>
      </c>
      <c r="D1226" t="s">
        <v>291</v>
      </c>
      <c r="E1226" t="s">
        <v>292</v>
      </c>
      <c r="F1226" t="s">
        <v>240</v>
      </c>
      <c r="G1226" t="s">
        <v>82</v>
      </c>
      <c r="H1226" t="s">
        <v>129</v>
      </c>
      <c r="J1226" t="s">
        <v>193</v>
      </c>
      <c r="K1226" t="s">
        <v>250</v>
      </c>
      <c r="L1226">
        <v>1309000</v>
      </c>
      <c r="M1226" t="s">
        <v>242</v>
      </c>
      <c r="N1226" t="s">
        <v>1177</v>
      </c>
    </row>
    <row r="1227" spans="1:16" hidden="1" x14ac:dyDescent="0.25">
      <c r="A1227" s="16">
        <v>45658</v>
      </c>
      <c r="B1227" t="s">
        <v>120</v>
      </c>
      <c r="C1227">
        <v>66</v>
      </c>
      <c r="D1227" t="s">
        <v>291</v>
      </c>
      <c r="E1227" t="s">
        <v>292</v>
      </c>
      <c r="F1227" t="s">
        <v>240</v>
      </c>
      <c r="G1227" t="s">
        <v>82</v>
      </c>
      <c r="H1227" t="s">
        <v>130</v>
      </c>
      <c r="J1227" t="s">
        <v>193</v>
      </c>
      <c r="K1227" t="s">
        <v>250</v>
      </c>
      <c r="L1227">
        <v>1846000</v>
      </c>
      <c r="M1227" t="s">
        <v>242</v>
      </c>
      <c r="N1227" t="s">
        <v>1178</v>
      </c>
    </row>
    <row r="1228" spans="1:16" hidden="1" x14ac:dyDescent="0.25">
      <c r="A1228" s="16">
        <v>45658</v>
      </c>
      <c r="B1228" t="s">
        <v>120</v>
      </c>
      <c r="C1228">
        <v>66</v>
      </c>
      <c r="D1228" t="s">
        <v>291</v>
      </c>
      <c r="E1228" t="s">
        <v>292</v>
      </c>
      <c r="F1228" t="s">
        <v>240</v>
      </c>
      <c r="G1228" t="s">
        <v>82</v>
      </c>
      <c r="H1228" t="s">
        <v>131</v>
      </c>
      <c r="J1228" t="s">
        <v>193</v>
      </c>
      <c r="K1228" t="s">
        <v>250</v>
      </c>
      <c r="L1228">
        <v>35000</v>
      </c>
      <c r="M1228" t="s">
        <v>242</v>
      </c>
      <c r="N1228" t="s">
        <v>700</v>
      </c>
    </row>
    <row r="1229" spans="1:16" hidden="1" x14ac:dyDescent="0.25">
      <c r="A1229" s="16">
        <v>45658</v>
      </c>
      <c r="B1229" t="s">
        <v>120</v>
      </c>
      <c r="C1229">
        <v>66</v>
      </c>
      <c r="D1229" t="s">
        <v>291</v>
      </c>
      <c r="E1229" t="s">
        <v>292</v>
      </c>
      <c r="F1229" t="s">
        <v>240</v>
      </c>
      <c r="G1229" t="s">
        <v>82</v>
      </c>
      <c r="H1229" t="s">
        <v>132</v>
      </c>
      <c r="J1229" t="s">
        <v>193</v>
      </c>
      <c r="K1229" t="s">
        <v>250</v>
      </c>
      <c r="L1229">
        <v>42000</v>
      </c>
      <c r="M1229" t="s">
        <v>242</v>
      </c>
      <c r="N1229" t="s">
        <v>1179</v>
      </c>
    </row>
    <row r="1230" spans="1:16" hidden="1" x14ac:dyDescent="0.25">
      <c r="A1230" s="16">
        <v>45658</v>
      </c>
      <c r="B1230" t="s">
        <v>120</v>
      </c>
      <c r="C1230">
        <v>66</v>
      </c>
      <c r="D1230" t="s">
        <v>291</v>
      </c>
      <c r="E1230" t="s">
        <v>292</v>
      </c>
      <c r="F1230" t="s">
        <v>240</v>
      </c>
      <c r="G1230" t="s">
        <v>82</v>
      </c>
      <c r="H1230" t="s">
        <v>133</v>
      </c>
      <c r="J1230" t="s">
        <v>193</v>
      </c>
      <c r="K1230" t="s">
        <v>250</v>
      </c>
      <c r="L1230">
        <v>509000</v>
      </c>
      <c r="M1230" t="s">
        <v>242</v>
      </c>
      <c r="N1230" t="s">
        <v>1180</v>
      </c>
    </row>
    <row r="1231" spans="1:16" hidden="1" x14ac:dyDescent="0.25">
      <c r="A1231" s="16">
        <v>45658</v>
      </c>
      <c r="B1231" t="s">
        <v>120</v>
      </c>
      <c r="C1231">
        <v>66</v>
      </c>
      <c r="D1231" t="s">
        <v>291</v>
      </c>
      <c r="E1231" t="s">
        <v>292</v>
      </c>
      <c r="F1231" t="s">
        <v>240</v>
      </c>
      <c r="G1231" t="s">
        <v>82</v>
      </c>
      <c r="H1231" t="s">
        <v>134</v>
      </c>
      <c r="J1231" t="s">
        <v>193</v>
      </c>
      <c r="K1231" t="s">
        <v>250</v>
      </c>
      <c r="L1231">
        <v>1592000</v>
      </c>
      <c r="M1231" t="s">
        <v>242</v>
      </c>
      <c r="N1231" t="s">
        <v>1181</v>
      </c>
    </row>
    <row r="1232" spans="1:16" hidden="1" x14ac:dyDescent="0.25">
      <c r="A1232" s="16">
        <v>45658</v>
      </c>
      <c r="B1232" t="s">
        <v>120</v>
      </c>
      <c r="C1232">
        <v>67</v>
      </c>
      <c r="D1232" t="s">
        <v>291</v>
      </c>
      <c r="E1232" t="s">
        <v>292</v>
      </c>
      <c r="F1232" t="s">
        <v>240</v>
      </c>
      <c r="G1232" t="s">
        <v>82</v>
      </c>
      <c r="H1232" t="s">
        <v>137</v>
      </c>
      <c r="J1232" t="s">
        <v>193</v>
      </c>
      <c r="K1232" t="s">
        <v>250</v>
      </c>
      <c r="L1232">
        <v>1180000</v>
      </c>
      <c r="M1232" t="s">
        <v>242</v>
      </c>
      <c r="N1232" t="s">
        <v>468</v>
      </c>
    </row>
    <row r="1233" spans="1:16" hidden="1" x14ac:dyDescent="0.25">
      <c r="A1233" s="16">
        <v>45658</v>
      </c>
      <c r="B1233" t="s">
        <v>120</v>
      </c>
      <c r="C1233">
        <v>67</v>
      </c>
      <c r="D1233" t="s">
        <v>291</v>
      </c>
      <c r="E1233" t="s">
        <v>292</v>
      </c>
      <c r="F1233" t="s">
        <v>240</v>
      </c>
      <c r="G1233" t="s">
        <v>82</v>
      </c>
      <c r="H1233" t="s">
        <v>138</v>
      </c>
      <c r="J1233" t="s">
        <v>193</v>
      </c>
      <c r="K1233" t="s">
        <v>250</v>
      </c>
      <c r="L1233">
        <v>4710000</v>
      </c>
      <c r="M1233" t="s">
        <v>242</v>
      </c>
      <c r="N1233" t="s">
        <v>1182</v>
      </c>
    </row>
    <row r="1234" spans="1:16" hidden="1" x14ac:dyDescent="0.25">
      <c r="A1234" s="16">
        <v>45658</v>
      </c>
      <c r="B1234" t="s">
        <v>120</v>
      </c>
      <c r="C1234">
        <v>68</v>
      </c>
      <c r="D1234" t="s">
        <v>253</v>
      </c>
      <c r="E1234" t="s">
        <v>248</v>
      </c>
      <c r="F1234" t="s">
        <v>244</v>
      </c>
      <c r="G1234" t="s">
        <v>82</v>
      </c>
      <c r="J1234" t="s">
        <v>191</v>
      </c>
      <c r="K1234" t="s">
        <v>255</v>
      </c>
      <c r="L1234">
        <v>970000000</v>
      </c>
      <c r="M1234" t="s">
        <v>245</v>
      </c>
      <c r="N1234" t="s">
        <v>829</v>
      </c>
      <c r="O1234">
        <v>1</v>
      </c>
      <c r="P1234" t="s">
        <v>257</v>
      </c>
    </row>
    <row r="1235" spans="1:16" hidden="1" x14ac:dyDescent="0.25">
      <c r="A1235" s="16">
        <v>45658</v>
      </c>
      <c r="B1235" t="s">
        <v>120</v>
      </c>
      <c r="C1235">
        <v>68</v>
      </c>
      <c r="D1235" t="s">
        <v>253</v>
      </c>
      <c r="E1235" t="s">
        <v>248</v>
      </c>
      <c r="F1235" t="s">
        <v>244</v>
      </c>
      <c r="G1235" t="s">
        <v>82</v>
      </c>
      <c r="J1235" t="s">
        <v>192</v>
      </c>
      <c r="K1235" t="s">
        <v>255</v>
      </c>
      <c r="L1235">
        <v>1340000000</v>
      </c>
      <c r="M1235" t="s">
        <v>245</v>
      </c>
      <c r="N1235" t="s">
        <v>448</v>
      </c>
      <c r="O1235">
        <v>1</v>
      </c>
      <c r="P1235" t="s">
        <v>257</v>
      </c>
    </row>
    <row r="1236" spans="1:16" hidden="1" x14ac:dyDescent="0.25">
      <c r="A1236" s="16">
        <v>45658</v>
      </c>
      <c r="B1236" t="s">
        <v>120</v>
      </c>
      <c r="C1236">
        <v>68</v>
      </c>
      <c r="D1236" t="s">
        <v>253</v>
      </c>
      <c r="E1236" t="s">
        <v>248</v>
      </c>
      <c r="F1236" t="s">
        <v>244</v>
      </c>
      <c r="G1236" t="s">
        <v>82</v>
      </c>
      <c r="J1236" t="s">
        <v>193</v>
      </c>
      <c r="K1236" t="s">
        <v>255</v>
      </c>
      <c r="L1236">
        <v>1350000000</v>
      </c>
      <c r="M1236" t="s">
        <v>245</v>
      </c>
      <c r="N1236" t="s">
        <v>1183</v>
      </c>
      <c r="O1236">
        <v>1</v>
      </c>
      <c r="P1236" t="s">
        <v>261</v>
      </c>
    </row>
    <row r="1237" spans="1:16" hidden="1" x14ac:dyDescent="0.25">
      <c r="A1237" s="16">
        <v>45658</v>
      </c>
      <c r="B1237" t="s">
        <v>120</v>
      </c>
      <c r="C1237">
        <v>68</v>
      </c>
      <c r="D1237" t="s">
        <v>247</v>
      </c>
      <c r="E1237" t="s">
        <v>248</v>
      </c>
      <c r="F1237" t="s">
        <v>244</v>
      </c>
      <c r="G1237" t="s">
        <v>82</v>
      </c>
      <c r="H1237" t="s">
        <v>286</v>
      </c>
      <c r="J1237" t="s">
        <v>193</v>
      </c>
      <c r="K1237" t="s">
        <v>250</v>
      </c>
      <c r="L1237">
        <v>0.4</v>
      </c>
      <c r="M1237" t="s">
        <v>251</v>
      </c>
      <c r="N1237" t="s">
        <v>879</v>
      </c>
    </row>
    <row r="1238" spans="1:16" hidden="1" x14ac:dyDescent="0.25">
      <c r="A1238" s="16">
        <v>45658</v>
      </c>
      <c r="B1238" t="s">
        <v>120</v>
      </c>
      <c r="C1238">
        <v>69</v>
      </c>
      <c r="D1238" t="s">
        <v>291</v>
      </c>
      <c r="E1238" t="s">
        <v>292</v>
      </c>
      <c r="F1238" t="s">
        <v>244</v>
      </c>
      <c r="G1238" t="s">
        <v>82</v>
      </c>
      <c r="H1238" t="s">
        <v>140</v>
      </c>
      <c r="J1238" t="s">
        <v>193</v>
      </c>
      <c r="K1238" t="s">
        <v>250</v>
      </c>
      <c r="L1238">
        <v>12000000</v>
      </c>
      <c r="M1238" t="s">
        <v>245</v>
      </c>
      <c r="N1238" t="s">
        <v>409</v>
      </c>
    </row>
    <row r="1239" spans="1:16" hidden="1" x14ac:dyDescent="0.25">
      <c r="A1239" s="16">
        <v>45658</v>
      </c>
      <c r="B1239" t="s">
        <v>120</v>
      </c>
      <c r="C1239">
        <v>69</v>
      </c>
      <c r="D1239" t="s">
        <v>291</v>
      </c>
      <c r="E1239" t="s">
        <v>292</v>
      </c>
      <c r="F1239" t="s">
        <v>244</v>
      </c>
      <c r="G1239" t="s">
        <v>82</v>
      </c>
      <c r="H1239" t="s">
        <v>126</v>
      </c>
      <c r="J1239" t="s">
        <v>193</v>
      </c>
      <c r="K1239" t="s">
        <v>250</v>
      </c>
      <c r="L1239">
        <v>33000000</v>
      </c>
      <c r="M1239" t="s">
        <v>245</v>
      </c>
      <c r="N1239" t="s">
        <v>1017</v>
      </c>
    </row>
    <row r="1240" spans="1:16" hidden="1" x14ac:dyDescent="0.25">
      <c r="A1240" s="16">
        <v>45658</v>
      </c>
      <c r="B1240" t="s">
        <v>120</v>
      </c>
      <c r="C1240">
        <v>69</v>
      </c>
      <c r="D1240" t="s">
        <v>291</v>
      </c>
      <c r="E1240" t="s">
        <v>292</v>
      </c>
      <c r="F1240" t="s">
        <v>244</v>
      </c>
      <c r="G1240" t="s">
        <v>82</v>
      </c>
      <c r="H1240" t="s">
        <v>127</v>
      </c>
      <c r="J1240" t="s">
        <v>193</v>
      </c>
      <c r="K1240" t="s">
        <v>250</v>
      </c>
      <c r="L1240">
        <v>43000000</v>
      </c>
      <c r="M1240" t="s">
        <v>245</v>
      </c>
      <c r="N1240" t="s">
        <v>1184</v>
      </c>
    </row>
    <row r="1241" spans="1:16" hidden="1" x14ac:dyDescent="0.25">
      <c r="A1241" s="16">
        <v>45658</v>
      </c>
      <c r="B1241" t="s">
        <v>120</v>
      </c>
      <c r="C1241">
        <v>69</v>
      </c>
      <c r="D1241" t="s">
        <v>291</v>
      </c>
      <c r="E1241" t="s">
        <v>292</v>
      </c>
      <c r="F1241" t="s">
        <v>244</v>
      </c>
      <c r="G1241" t="s">
        <v>82</v>
      </c>
      <c r="H1241" t="s">
        <v>128</v>
      </c>
      <c r="J1241" t="s">
        <v>193</v>
      </c>
      <c r="K1241" t="s">
        <v>250</v>
      </c>
      <c r="L1241">
        <v>16000000</v>
      </c>
      <c r="M1241" t="s">
        <v>245</v>
      </c>
      <c r="N1241" t="s">
        <v>1185</v>
      </c>
    </row>
    <row r="1242" spans="1:16" hidden="1" x14ac:dyDescent="0.25">
      <c r="A1242" s="16">
        <v>45658</v>
      </c>
      <c r="B1242" t="s">
        <v>120</v>
      </c>
      <c r="C1242">
        <v>69</v>
      </c>
      <c r="D1242" t="s">
        <v>291</v>
      </c>
      <c r="E1242" t="s">
        <v>292</v>
      </c>
      <c r="F1242" t="s">
        <v>244</v>
      </c>
      <c r="G1242" t="s">
        <v>82</v>
      </c>
      <c r="H1242" t="s">
        <v>129</v>
      </c>
      <c r="J1242" t="s">
        <v>193</v>
      </c>
      <c r="K1242" t="s">
        <v>250</v>
      </c>
      <c r="L1242">
        <v>877000000</v>
      </c>
      <c r="M1242" t="s">
        <v>245</v>
      </c>
      <c r="N1242" t="s">
        <v>1186</v>
      </c>
    </row>
    <row r="1243" spans="1:16" hidden="1" x14ac:dyDescent="0.25">
      <c r="A1243" s="16">
        <v>45658</v>
      </c>
      <c r="B1243" t="s">
        <v>120</v>
      </c>
      <c r="C1243">
        <v>69</v>
      </c>
      <c r="D1243" t="s">
        <v>291</v>
      </c>
      <c r="E1243" t="s">
        <v>292</v>
      </c>
      <c r="F1243" t="s">
        <v>244</v>
      </c>
      <c r="G1243" t="s">
        <v>82</v>
      </c>
      <c r="H1243" t="s">
        <v>130</v>
      </c>
      <c r="J1243" t="s">
        <v>193</v>
      </c>
      <c r="K1243" t="s">
        <v>250</v>
      </c>
      <c r="L1243">
        <v>30000000</v>
      </c>
      <c r="M1243" t="s">
        <v>245</v>
      </c>
      <c r="N1243" t="s">
        <v>1187</v>
      </c>
    </row>
    <row r="1244" spans="1:16" hidden="1" x14ac:dyDescent="0.25">
      <c r="A1244" s="16">
        <v>45658</v>
      </c>
      <c r="B1244" t="s">
        <v>120</v>
      </c>
      <c r="C1244">
        <v>69</v>
      </c>
      <c r="D1244" t="s">
        <v>291</v>
      </c>
      <c r="E1244" t="s">
        <v>292</v>
      </c>
      <c r="F1244" t="s">
        <v>244</v>
      </c>
      <c r="G1244" t="s">
        <v>82</v>
      </c>
      <c r="H1244" t="s">
        <v>131</v>
      </c>
      <c r="J1244" t="s">
        <v>193</v>
      </c>
      <c r="K1244" t="s">
        <v>250</v>
      </c>
      <c r="L1244">
        <v>15000000</v>
      </c>
      <c r="M1244" t="s">
        <v>245</v>
      </c>
      <c r="N1244" t="s">
        <v>1018</v>
      </c>
    </row>
    <row r="1245" spans="1:16" hidden="1" x14ac:dyDescent="0.25">
      <c r="A1245" s="16">
        <v>45658</v>
      </c>
      <c r="B1245" t="s">
        <v>120</v>
      </c>
      <c r="C1245">
        <v>69</v>
      </c>
      <c r="D1245" t="s">
        <v>291</v>
      </c>
      <c r="E1245" t="s">
        <v>292</v>
      </c>
      <c r="F1245" t="s">
        <v>244</v>
      </c>
      <c r="G1245" t="s">
        <v>82</v>
      </c>
      <c r="H1245" t="s">
        <v>132</v>
      </c>
      <c r="J1245" t="s">
        <v>193</v>
      </c>
      <c r="K1245" t="s">
        <v>250</v>
      </c>
      <c r="L1245">
        <v>6000000</v>
      </c>
      <c r="M1245" t="s">
        <v>245</v>
      </c>
      <c r="N1245" t="s">
        <v>1019</v>
      </c>
    </row>
    <row r="1246" spans="1:16" hidden="1" x14ac:dyDescent="0.25">
      <c r="A1246" s="16">
        <v>45658</v>
      </c>
      <c r="B1246" t="s">
        <v>120</v>
      </c>
      <c r="C1246">
        <v>69</v>
      </c>
      <c r="D1246" t="s">
        <v>291</v>
      </c>
      <c r="E1246" t="s">
        <v>292</v>
      </c>
      <c r="F1246" t="s">
        <v>244</v>
      </c>
      <c r="G1246" t="s">
        <v>82</v>
      </c>
      <c r="H1246" t="s">
        <v>133</v>
      </c>
      <c r="J1246" t="s">
        <v>193</v>
      </c>
      <c r="K1246" t="s">
        <v>250</v>
      </c>
      <c r="L1246">
        <v>236000000</v>
      </c>
      <c r="M1246" t="s">
        <v>245</v>
      </c>
      <c r="N1246" t="s">
        <v>1188</v>
      </c>
    </row>
    <row r="1247" spans="1:16" hidden="1" x14ac:dyDescent="0.25">
      <c r="A1247" s="16">
        <v>45658</v>
      </c>
      <c r="B1247" t="s">
        <v>120</v>
      </c>
      <c r="C1247">
        <v>69</v>
      </c>
      <c r="D1247" t="s">
        <v>291</v>
      </c>
      <c r="E1247" t="s">
        <v>292</v>
      </c>
      <c r="F1247" t="s">
        <v>244</v>
      </c>
      <c r="G1247" t="s">
        <v>82</v>
      </c>
      <c r="H1247" t="s">
        <v>134</v>
      </c>
      <c r="J1247" t="s">
        <v>193</v>
      </c>
      <c r="K1247" t="s">
        <v>250</v>
      </c>
      <c r="L1247">
        <v>67000000</v>
      </c>
      <c r="M1247" t="s">
        <v>245</v>
      </c>
      <c r="N1247" t="s">
        <v>1189</v>
      </c>
    </row>
    <row r="1248" spans="1:16" hidden="1" x14ac:dyDescent="0.25">
      <c r="A1248" s="16">
        <v>45658</v>
      </c>
      <c r="B1248" t="s">
        <v>120</v>
      </c>
      <c r="C1248">
        <v>70</v>
      </c>
      <c r="D1248" t="s">
        <v>291</v>
      </c>
      <c r="E1248" t="s">
        <v>292</v>
      </c>
      <c r="F1248" t="s">
        <v>244</v>
      </c>
      <c r="G1248" t="s">
        <v>82</v>
      </c>
      <c r="H1248" t="s">
        <v>137</v>
      </c>
      <c r="J1248" t="s">
        <v>193</v>
      </c>
      <c r="K1248" t="s">
        <v>250</v>
      </c>
      <c r="L1248">
        <v>255600000</v>
      </c>
      <c r="M1248" t="s">
        <v>245</v>
      </c>
      <c r="N1248" t="s">
        <v>1190</v>
      </c>
    </row>
    <row r="1249" spans="1:16" hidden="1" x14ac:dyDescent="0.25">
      <c r="A1249" s="16">
        <v>45658</v>
      </c>
      <c r="B1249" t="s">
        <v>120</v>
      </c>
      <c r="C1249">
        <v>70</v>
      </c>
      <c r="D1249" t="s">
        <v>291</v>
      </c>
      <c r="E1249" t="s">
        <v>292</v>
      </c>
      <c r="F1249" t="s">
        <v>244</v>
      </c>
      <c r="G1249" t="s">
        <v>82</v>
      </c>
      <c r="H1249" t="s">
        <v>138</v>
      </c>
      <c r="J1249" t="s">
        <v>193</v>
      </c>
      <c r="K1249" t="s">
        <v>250</v>
      </c>
      <c r="L1249">
        <v>1100000000</v>
      </c>
      <c r="M1249" t="s">
        <v>245</v>
      </c>
      <c r="N1249" t="s">
        <v>1023</v>
      </c>
    </row>
    <row r="1250" spans="1:16" hidden="1" x14ac:dyDescent="0.25">
      <c r="A1250" s="16">
        <v>45658</v>
      </c>
      <c r="B1250" t="s">
        <v>120</v>
      </c>
      <c r="C1250">
        <v>71</v>
      </c>
      <c r="D1250" t="s">
        <v>253</v>
      </c>
      <c r="E1250" t="s">
        <v>248</v>
      </c>
      <c r="F1250" t="s">
        <v>334</v>
      </c>
      <c r="G1250" t="s">
        <v>82</v>
      </c>
      <c r="J1250" t="s">
        <v>191</v>
      </c>
      <c r="K1250" t="s">
        <v>255</v>
      </c>
      <c r="L1250">
        <v>188</v>
      </c>
      <c r="M1250" t="s">
        <v>245</v>
      </c>
      <c r="N1250" t="s">
        <v>839</v>
      </c>
      <c r="O1250">
        <v>1</v>
      </c>
      <c r="P1250" t="s">
        <v>257</v>
      </c>
    </row>
    <row r="1251" spans="1:16" hidden="1" x14ac:dyDescent="0.25">
      <c r="A1251" s="16">
        <v>45658</v>
      </c>
      <c r="B1251" t="s">
        <v>120</v>
      </c>
      <c r="C1251">
        <v>71</v>
      </c>
      <c r="D1251" t="s">
        <v>253</v>
      </c>
      <c r="E1251" t="s">
        <v>248</v>
      </c>
      <c r="F1251" t="s">
        <v>334</v>
      </c>
      <c r="G1251" t="s">
        <v>82</v>
      </c>
      <c r="J1251" t="s">
        <v>192</v>
      </c>
      <c r="K1251" t="s">
        <v>255</v>
      </c>
      <c r="L1251">
        <v>209</v>
      </c>
      <c r="M1251" t="s">
        <v>245</v>
      </c>
      <c r="N1251" t="s">
        <v>1024</v>
      </c>
      <c r="O1251">
        <v>1</v>
      </c>
      <c r="P1251" t="s">
        <v>257</v>
      </c>
    </row>
    <row r="1252" spans="1:16" hidden="1" x14ac:dyDescent="0.25">
      <c r="A1252" s="16">
        <v>45658</v>
      </c>
      <c r="B1252" t="s">
        <v>120</v>
      </c>
      <c r="C1252">
        <v>71</v>
      </c>
      <c r="D1252" t="s">
        <v>253</v>
      </c>
      <c r="E1252" t="s">
        <v>248</v>
      </c>
      <c r="F1252" t="s">
        <v>334</v>
      </c>
      <c r="G1252" t="s">
        <v>82</v>
      </c>
      <c r="J1252" t="s">
        <v>193</v>
      </c>
      <c r="K1252" t="s">
        <v>255</v>
      </c>
      <c r="L1252">
        <v>229</v>
      </c>
      <c r="M1252" t="s">
        <v>245</v>
      </c>
      <c r="N1252" t="s">
        <v>1191</v>
      </c>
      <c r="O1252">
        <v>1</v>
      </c>
      <c r="P1252" t="s">
        <v>261</v>
      </c>
    </row>
    <row r="1253" spans="1:16" hidden="1" x14ac:dyDescent="0.25">
      <c r="A1253" s="16">
        <v>45658</v>
      </c>
      <c r="B1253" t="s">
        <v>1192</v>
      </c>
      <c r="C1253">
        <v>55</v>
      </c>
      <c r="D1253" t="s">
        <v>238</v>
      </c>
      <c r="E1253" t="s">
        <v>239</v>
      </c>
      <c r="F1253" t="s">
        <v>240</v>
      </c>
      <c r="G1253" t="s">
        <v>82</v>
      </c>
      <c r="H1253" t="s">
        <v>184</v>
      </c>
      <c r="J1253" t="s">
        <v>193</v>
      </c>
      <c r="K1253" t="s">
        <v>241</v>
      </c>
      <c r="L1253">
        <v>10320000</v>
      </c>
      <c r="M1253" t="s">
        <v>242</v>
      </c>
      <c r="N1253" t="s">
        <v>1128</v>
      </c>
    </row>
    <row r="1254" spans="1:16" hidden="1" x14ac:dyDescent="0.25">
      <c r="A1254" s="16">
        <v>45658</v>
      </c>
      <c r="B1254" t="s">
        <v>1192</v>
      </c>
      <c r="C1254">
        <v>55</v>
      </c>
      <c r="D1254" t="s">
        <v>238</v>
      </c>
      <c r="E1254" t="s">
        <v>239</v>
      </c>
      <c r="F1254" t="s">
        <v>240</v>
      </c>
      <c r="G1254" t="s">
        <v>82</v>
      </c>
      <c r="H1254" t="s">
        <v>185</v>
      </c>
      <c r="J1254" t="s">
        <v>193</v>
      </c>
      <c r="K1254" t="s">
        <v>241</v>
      </c>
      <c r="L1254">
        <v>6420000</v>
      </c>
      <c r="M1254" t="s">
        <v>242</v>
      </c>
      <c r="N1254" t="s">
        <v>1193</v>
      </c>
    </row>
    <row r="1255" spans="1:16" hidden="1" x14ac:dyDescent="0.25">
      <c r="A1255" s="16">
        <v>45658</v>
      </c>
      <c r="B1255" t="s">
        <v>1192</v>
      </c>
      <c r="C1255">
        <v>55</v>
      </c>
      <c r="D1255" t="s">
        <v>238</v>
      </c>
      <c r="E1255" t="s">
        <v>239</v>
      </c>
      <c r="F1255" t="s">
        <v>1194</v>
      </c>
      <c r="G1255" t="s">
        <v>82</v>
      </c>
      <c r="J1255" t="s">
        <v>193</v>
      </c>
      <c r="K1255" t="s">
        <v>241</v>
      </c>
      <c r="L1255">
        <v>16720000</v>
      </c>
      <c r="M1255" t="s">
        <v>242</v>
      </c>
      <c r="N1255" t="s">
        <v>1195</v>
      </c>
    </row>
    <row r="1256" spans="1:16" hidden="1" x14ac:dyDescent="0.25">
      <c r="A1256" s="16">
        <v>45658</v>
      </c>
      <c r="B1256" t="s">
        <v>1192</v>
      </c>
      <c r="C1256">
        <v>55</v>
      </c>
      <c r="D1256" t="s">
        <v>238</v>
      </c>
      <c r="E1256" t="s">
        <v>239</v>
      </c>
      <c r="F1256" t="s">
        <v>1196</v>
      </c>
      <c r="G1256" t="s">
        <v>82</v>
      </c>
      <c r="J1256" t="s">
        <v>193</v>
      </c>
      <c r="K1256" t="s">
        <v>241</v>
      </c>
      <c r="L1256">
        <v>1800000000</v>
      </c>
      <c r="M1256" t="s">
        <v>245</v>
      </c>
      <c r="N1256" t="s">
        <v>1197</v>
      </c>
    </row>
    <row r="1257" spans="1:16" hidden="1" x14ac:dyDescent="0.25">
      <c r="A1257" s="16">
        <v>45658</v>
      </c>
      <c r="B1257" t="s">
        <v>1192</v>
      </c>
      <c r="C1257">
        <v>55</v>
      </c>
      <c r="D1257" t="s">
        <v>238</v>
      </c>
      <c r="E1257" t="s">
        <v>239</v>
      </c>
      <c r="F1257" t="s">
        <v>244</v>
      </c>
      <c r="G1257" t="s">
        <v>82</v>
      </c>
      <c r="H1257" t="s">
        <v>184</v>
      </c>
      <c r="J1257" t="s">
        <v>193</v>
      </c>
      <c r="K1257" t="s">
        <v>241</v>
      </c>
      <c r="L1257">
        <v>1330000000</v>
      </c>
      <c r="M1257" t="s">
        <v>245</v>
      </c>
      <c r="N1257" t="s">
        <v>1105</v>
      </c>
    </row>
    <row r="1258" spans="1:16" hidden="1" x14ac:dyDescent="0.25">
      <c r="A1258" s="16">
        <v>45658</v>
      </c>
      <c r="B1258" t="s">
        <v>1192</v>
      </c>
      <c r="C1258">
        <v>55</v>
      </c>
      <c r="D1258" t="s">
        <v>238</v>
      </c>
      <c r="E1258" t="s">
        <v>239</v>
      </c>
      <c r="F1258" t="s">
        <v>244</v>
      </c>
      <c r="G1258" t="s">
        <v>82</v>
      </c>
      <c r="H1258" t="s">
        <v>185</v>
      </c>
      <c r="J1258" t="s">
        <v>193</v>
      </c>
      <c r="K1258" t="s">
        <v>241</v>
      </c>
      <c r="L1258">
        <v>470000</v>
      </c>
      <c r="M1258" t="s">
        <v>245</v>
      </c>
      <c r="N1258" t="s">
        <v>1198</v>
      </c>
    </row>
    <row r="1259" spans="1:16" hidden="1" x14ac:dyDescent="0.25">
      <c r="A1259" s="16">
        <v>45658</v>
      </c>
      <c r="B1259" t="s">
        <v>1192</v>
      </c>
      <c r="C1259">
        <v>56</v>
      </c>
      <c r="D1259" t="s">
        <v>291</v>
      </c>
      <c r="E1259" t="s">
        <v>292</v>
      </c>
      <c r="F1259" t="s">
        <v>1199</v>
      </c>
      <c r="G1259" t="s">
        <v>63</v>
      </c>
      <c r="H1259" t="s">
        <v>1200</v>
      </c>
      <c r="J1259" t="s">
        <v>193</v>
      </c>
      <c r="K1259" t="s">
        <v>241</v>
      </c>
      <c r="L1259">
        <v>836800</v>
      </c>
      <c r="M1259" t="s">
        <v>242</v>
      </c>
      <c r="N1259" t="s">
        <v>1201</v>
      </c>
    </row>
    <row r="1260" spans="1:16" hidden="1" x14ac:dyDescent="0.25">
      <c r="A1260" s="16">
        <v>45658</v>
      </c>
      <c r="B1260" t="s">
        <v>1192</v>
      </c>
      <c r="C1260">
        <v>56</v>
      </c>
      <c r="D1260" t="s">
        <v>291</v>
      </c>
      <c r="E1260" t="s">
        <v>292</v>
      </c>
      <c r="F1260" t="s">
        <v>1199</v>
      </c>
      <c r="G1260" t="s">
        <v>63</v>
      </c>
      <c r="H1260" t="s">
        <v>1202</v>
      </c>
      <c r="J1260" t="s">
        <v>193</v>
      </c>
      <c r="K1260" t="s">
        <v>241</v>
      </c>
      <c r="L1260">
        <v>870800</v>
      </c>
      <c r="M1260" t="s">
        <v>242</v>
      </c>
      <c r="N1260" t="s">
        <v>1203</v>
      </c>
    </row>
    <row r="1261" spans="1:16" hidden="1" x14ac:dyDescent="0.25">
      <c r="A1261" s="16">
        <v>45658</v>
      </c>
      <c r="B1261" t="s">
        <v>1192</v>
      </c>
      <c r="C1261">
        <v>56</v>
      </c>
      <c r="D1261" t="s">
        <v>291</v>
      </c>
      <c r="E1261" t="s">
        <v>292</v>
      </c>
      <c r="F1261" t="s">
        <v>1199</v>
      </c>
      <c r="G1261" t="s">
        <v>63</v>
      </c>
      <c r="H1261" t="s">
        <v>1204</v>
      </c>
      <c r="J1261" t="s">
        <v>193</v>
      </c>
      <c r="K1261" t="s">
        <v>241</v>
      </c>
      <c r="L1261">
        <v>1709000</v>
      </c>
      <c r="M1261" t="s">
        <v>242</v>
      </c>
      <c r="N1261" t="s">
        <v>1205</v>
      </c>
    </row>
    <row r="1262" spans="1:16" hidden="1" x14ac:dyDescent="0.25">
      <c r="A1262" s="16">
        <v>45658</v>
      </c>
      <c r="B1262" t="s">
        <v>1192</v>
      </c>
      <c r="C1262">
        <v>56</v>
      </c>
      <c r="D1262" t="s">
        <v>238</v>
      </c>
      <c r="E1262" t="s">
        <v>239</v>
      </c>
      <c r="F1262" t="s">
        <v>1206</v>
      </c>
      <c r="G1262" t="s">
        <v>63</v>
      </c>
      <c r="H1262" t="s">
        <v>1207</v>
      </c>
      <c r="J1262" t="s">
        <v>193</v>
      </c>
      <c r="K1262" t="s">
        <v>241</v>
      </c>
      <c r="L1262">
        <v>3468000</v>
      </c>
      <c r="M1262" t="s">
        <v>242</v>
      </c>
      <c r="N1262" t="s">
        <v>1208</v>
      </c>
    </row>
    <row r="1263" spans="1:16" hidden="1" x14ac:dyDescent="0.25">
      <c r="A1263" s="16">
        <v>45658</v>
      </c>
      <c r="B1263" t="s">
        <v>1192</v>
      </c>
      <c r="C1263">
        <v>57</v>
      </c>
      <c r="D1263" t="s">
        <v>291</v>
      </c>
      <c r="E1263" t="s">
        <v>292</v>
      </c>
      <c r="F1263" t="s">
        <v>240</v>
      </c>
      <c r="G1263" t="s">
        <v>82</v>
      </c>
      <c r="H1263" t="s">
        <v>184</v>
      </c>
      <c r="J1263" t="s">
        <v>193</v>
      </c>
      <c r="K1263" t="s">
        <v>250</v>
      </c>
      <c r="L1263">
        <v>10320000</v>
      </c>
      <c r="M1263" t="s">
        <v>242</v>
      </c>
      <c r="N1263" t="s">
        <v>1128</v>
      </c>
    </row>
    <row r="1264" spans="1:16" hidden="1" x14ac:dyDescent="0.25">
      <c r="A1264" s="16">
        <v>45658</v>
      </c>
      <c r="B1264" t="s">
        <v>1192</v>
      </c>
      <c r="C1264">
        <v>57</v>
      </c>
      <c r="D1264" t="s">
        <v>291</v>
      </c>
      <c r="E1264" t="s">
        <v>292</v>
      </c>
      <c r="F1264" t="s">
        <v>240</v>
      </c>
      <c r="G1264" t="s">
        <v>82</v>
      </c>
      <c r="H1264" t="s">
        <v>185</v>
      </c>
      <c r="J1264" t="s">
        <v>193</v>
      </c>
      <c r="K1264" t="s">
        <v>250</v>
      </c>
      <c r="L1264">
        <v>6420000</v>
      </c>
      <c r="M1264" t="s">
        <v>242</v>
      </c>
      <c r="N1264" t="s">
        <v>1193</v>
      </c>
    </row>
    <row r="1265" spans="1:16" hidden="1" x14ac:dyDescent="0.25">
      <c r="A1265" s="16">
        <v>45658</v>
      </c>
      <c r="B1265" t="s">
        <v>1192</v>
      </c>
      <c r="C1265">
        <v>57</v>
      </c>
      <c r="D1265" t="s">
        <v>238</v>
      </c>
      <c r="E1265" t="s">
        <v>239</v>
      </c>
      <c r="F1265" t="s">
        <v>1194</v>
      </c>
      <c r="G1265" t="s">
        <v>82</v>
      </c>
      <c r="J1265" t="s">
        <v>193</v>
      </c>
      <c r="K1265" t="s">
        <v>250</v>
      </c>
      <c r="L1265">
        <v>16720000</v>
      </c>
      <c r="M1265" t="s">
        <v>242</v>
      </c>
      <c r="N1265" t="s">
        <v>1195</v>
      </c>
    </row>
    <row r="1266" spans="1:16" hidden="1" x14ac:dyDescent="0.25">
      <c r="A1266" s="16">
        <v>45658</v>
      </c>
      <c r="B1266" t="s">
        <v>1192</v>
      </c>
      <c r="C1266">
        <v>58</v>
      </c>
      <c r="D1266" t="s">
        <v>238</v>
      </c>
      <c r="E1266" t="s">
        <v>239</v>
      </c>
      <c r="F1266" t="s">
        <v>1196</v>
      </c>
      <c r="G1266" t="s">
        <v>82</v>
      </c>
      <c r="J1266" t="s">
        <v>193</v>
      </c>
      <c r="K1266" t="s">
        <v>250</v>
      </c>
      <c r="L1266">
        <v>1800000000</v>
      </c>
      <c r="M1266" t="s">
        <v>245</v>
      </c>
      <c r="N1266" t="s">
        <v>1197</v>
      </c>
    </row>
    <row r="1267" spans="1:16" hidden="1" x14ac:dyDescent="0.25">
      <c r="A1267" s="16">
        <v>45658</v>
      </c>
      <c r="B1267" t="s">
        <v>1192</v>
      </c>
      <c r="C1267">
        <v>58</v>
      </c>
      <c r="D1267" t="s">
        <v>291</v>
      </c>
      <c r="E1267" t="s">
        <v>292</v>
      </c>
      <c r="F1267" t="s">
        <v>244</v>
      </c>
      <c r="G1267" t="s">
        <v>82</v>
      </c>
      <c r="H1267" t="s">
        <v>184</v>
      </c>
      <c r="J1267" t="s">
        <v>193</v>
      </c>
      <c r="K1267" t="s">
        <v>250</v>
      </c>
      <c r="L1267">
        <v>1330000000</v>
      </c>
      <c r="M1267" t="s">
        <v>245</v>
      </c>
      <c r="N1267" t="s">
        <v>1105</v>
      </c>
    </row>
    <row r="1268" spans="1:16" hidden="1" x14ac:dyDescent="0.25">
      <c r="A1268" s="16">
        <v>45658</v>
      </c>
      <c r="B1268" t="s">
        <v>1192</v>
      </c>
      <c r="C1268">
        <v>58</v>
      </c>
      <c r="D1268" t="s">
        <v>291</v>
      </c>
      <c r="E1268" t="s">
        <v>292</v>
      </c>
      <c r="F1268" t="s">
        <v>244</v>
      </c>
      <c r="G1268" t="s">
        <v>82</v>
      </c>
      <c r="H1268" t="s">
        <v>185</v>
      </c>
      <c r="J1268" t="s">
        <v>193</v>
      </c>
      <c r="K1268" t="s">
        <v>250</v>
      </c>
      <c r="L1268">
        <v>470000000</v>
      </c>
      <c r="M1268" t="s">
        <v>245</v>
      </c>
      <c r="N1268" t="s">
        <v>1209</v>
      </c>
    </row>
    <row r="1269" spans="1:16" hidden="1" x14ac:dyDescent="0.25">
      <c r="A1269" s="16">
        <v>45658</v>
      </c>
      <c r="B1269" t="s">
        <v>1192</v>
      </c>
      <c r="C1269">
        <v>59</v>
      </c>
      <c r="D1269" t="s">
        <v>291</v>
      </c>
      <c r="E1269" t="s">
        <v>292</v>
      </c>
      <c r="F1269" t="s">
        <v>1210</v>
      </c>
      <c r="G1269" t="s">
        <v>82</v>
      </c>
      <c r="H1269" t="s">
        <v>184</v>
      </c>
      <c r="J1269" t="s">
        <v>193</v>
      </c>
      <c r="K1269" t="s">
        <v>250</v>
      </c>
      <c r="L1269">
        <v>129.4</v>
      </c>
      <c r="M1269" t="s">
        <v>245</v>
      </c>
      <c r="N1269" t="s">
        <v>1211</v>
      </c>
    </row>
    <row r="1270" spans="1:16" hidden="1" x14ac:dyDescent="0.25">
      <c r="A1270" s="16">
        <v>45658</v>
      </c>
      <c r="B1270" t="s">
        <v>1192</v>
      </c>
      <c r="C1270">
        <v>59</v>
      </c>
      <c r="D1270" t="s">
        <v>291</v>
      </c>
      <c r="E1270" t="s">
        <v>292</v>
      </c>
      <c r="F1270" t="s">
        <v>1210</v>
      </c>
      <c r="G1270" t="s">
        <v>82</v>
      </c>
      <c r="H1270" t="s">
        <v>185</v>
      </c>
      <c r="J1270" t="s">
        <v>193</v>
      </c>
      <c r="K1270" t="s">
        <v>250</v>
      </c>
      <c r="L1270">
        <v>73.13</v>
      </c>
      <c r="M1270" t="s">
        <v>245</v>
      </c>
      <c r="N1270" t="s">
        <v>1212</v>
      </c>
    </row>
    <row r="1271" spans="1:16" hidden="1" x14ac:dyDescent="0.25">
      <c r="A1271" s="16">
        <v>45658</v>
      </c>
      <c r="B1271" t="s">
        <v>1192</v>
      </c>
      <c r="C1271">
        <v>59</v>
      </c>
      <c r="D1271" t="s">
        <v>238</v>
      </c>
      <c r="E1271" t="s">
        <v>239</v>
      </c>
      <c r="F1271" t="s">
        <v>1213</v>
      </c>
      <c r="G1271" t="s">
        <v>82</v>
      </c>
      <c r="H1271" t="s">
        <v>1214</v>
      </c>
      <c r="J1271" t="s">
        <v>193</v>
      </c>
      <c r="K1271" t="s">
        <v>250</v>
      </c>
      <c r="L1271">
        <v>107.8</v>
      </c>
      <c r="M1271" t="s">
        <v>245</v>
      </c>
      <c r="N1271" t="s">
        <v>1215</v>
      </c>
    </row>
    <row r="1272" spans="1:16" hidden="1" x14ac:dyDescent="0.25">
      <c r="A1272" s="16">
        <v>45658</v>
      </c>
      <c r="B1272" t="s">
        <v>162</v>
      </c>
      <c r="C1272">
        <v>42</v>
      </c>
      <c r="D1272" t="s">
        <v>238</v>
      </c>
      <c r="E1272" t="s">
        <v>239</v>
      </c>
      <c r="F1272" t="s">
        <v>240</v>
      </c>
      <c r="G1272" t="s">
        <v>82</v>
      </c>
      <c r="J1272" t="s">
        <v>193</v>
      </c>
      <c r="K1272" t="s">
        <v>241</v>
      </c>
      <c r="L1272">
        <v>16730000</v>
      </c>
      <c r="M1272" t="s">
        <v>242</v>
      </c>
      <c r="N1272" t="s">
        <v>1216</v>
      </c>
    </row>
    <row r="1273" spans="1:16" hidden="1" x14ac:dyDescent="0.25">
      <c r="A1273" s="16">
        <v>45658</v>
      </c>
      <c r="B1273" t="s">
        <v>162</v>
      </c>
      <c r="C1273">
        <v>42</v>
      </c>
      <c r="D1273" t="s">
        <v>238</v>
      </c>
      <c r="E1273" t="s">
        <v>239</v>
      </c>
      <c r="F1273" t="s">
        <v>244</v>
      </c>
      <c r="G1273" t="s">
        <v>82</v>
      </c>
      <c r="J1273" t="s">
        <v>193</v>
      </c>
      <c r="K1273" t="s">
        <v>241</v>
      </c>
      <c r="L1273">
        <v>1800000000</v>
      </c>
      <c r="M1273" t="s">
        <v>245</v>
      </c>
      <c r="N1273" t="s">
        <v>1217</v>
      </c>
    </row>
    <row r="1274" spans="1:16" hidden="1" x14ac:dyDescent="0.25">
      <c r="A1274" s="16">
        <v>45658</v>
      </c>
      <c r="B1274" t="s">
        <v>162</v>
      </c>
      <c r="C1274">
        <v>43</v>
      </c>
      <c r="D1274" t="s">
        <v>253</v>
      </c>
      <c r="E1274" t="s">
        <v>248</v>
      </c>
      <c r="F1274" t="s">
        <v>240</v>
      </c>
      <c r="G1274" t="s">
        <v>82</v>
      </c>
      <c r="J1274" t="s">
        <v>191</v>
      </c>
      <c r="K1274" t="s">
        <v>255</v>
      </c>
      <c r="L1274">
        <v>14550000</v>
      </c>
      <c r="M1274" t="s">
        <v>242</v>
      </c>
      <c r="N1274" t="s">
        <v>842</v>
      </c>
      <c r="O1274">
        <v>1</v>
      </c>
      <c r="P1274" t="s">
        <v>257</v>
      </c>
    </row>
    <row r="1275" spans="1:16" hidden="1" x14ac:dyDescent="0.25">
      <c r="A1275" s="16">
        <v>45658</v>
      </c>
      <c r="B1275" t="s">
        <v>162</v>
      </c>
      <c r="C1275">
        <v>43</v>
      </c>
      <c r="D1275" t="s">
        <v>253</v>
      </c>
      <c r="E1275" t="s">
        <v>248</v>
      </c>
      <c r="F1275" t="s">
        <v>240</v>
      </c>
      <c r="G1275" t="s">
        <v>82</v>
      </c>
      <c r="J1275" t="s">
        <v>192</v>
      </c>
      <c r="K1275" t="s">
        <v>255</v>
      </c>
      <c r="L1275">
        <v>16250000</v>
      </c>
      <c r="M1275" t="s">
        <v>242</v>
      </c>
      <c r="N1275" t="s">
        <v>1027</v>
      </c>
      <c r="O1275">
        <v>1</v>
      </c>
      <c r="P1275" t="s">
        <v>257</v>
      </c>
    </row>
    <row r="1276" spans="1:16" hidden="1" x14ac:dyDescent="0.25">
      <c r="A1276" s="16">
        <v>45658</v>
      </c>
      <c r="B1276" t="s">
        <v>162</v>
      </c>
      <c r="C1276">
        <v>43</v>
      </c>
      <c r="D1276" t="s">
        <v>253</v>
      </c>
      <c r="E1276" t="s">
        <v>248</v>
      </c>
      <c r="F1276" t="s">
        <v>240</v>
      </c>
      <c r="G1276" t="s">
        <v>82</v>
      </c>
      <c r="J1276" t="s">
        <v>193</v>
      </c>
      <c r="K1276" t="s">
        <v>255</v>
      </c>
      <c r="L1276">
        <v>16730000</v>
      </c>
      <c r="M1276" t="s">
        <v>242</v>
      </c>
      <c r="N1276" t="s">
        <v>1218</v>
      </c>
      <c r="O1276">
        <v>1</v>
      </c>
      <c r="P1276" t="s">
        <v>261</v>
      </c>
    </row>
    <row r="1277" spans="1:16" hidden="1" x14ac:dyDescent="0.25">
      <c r="A1277" s="16">
        <v>45658</v>
      </c>
      <c r="B1277" t="s">
        <v>162</v>
      </c>
      <c r="C1277">
        <v>43</v>
      </c>
      <c r="D1277" t="s">
        <v>247</v>
      </c>
      <c r="E1277" t="s">
        <v>248</v>
      </c>
      <c r="F1277" t="s">
        <v>240</v>
      </c>
      <c r="G1277" t="s">
        <v>82</v>
      </c>
      <c r="H1277" t="s">
        <v>286</v>
      </c>
      <c r="J1277" t="s">
        <v>193</v>
      </c>
      <c r="K1277" t="s">
        <v>250</v>
      </c>
      <c r="L1277">
        <v>2.9</v>
      </c>
      <c r="M1277" t="s">
        <v>251</v>
      </c>
      <c r="N1277" t="s">
        <v>616</v>
      </c>
    </row>
    <row r="1278" spans="1:16" hidden="1" x14ac:dyDescent="0.25">
      <c r="A1278" s="16">
        <v>45658</v>
      </c>
      <c r="B1278" t="s">
        <v>162</v>
      </c>
      <c r="C1278">
        <v>44</v>
      </c>
      <c r="D1278" t="s">
        <v>291</v>
      </c>
      <c r="E1278" t="s">
        <v>292</v>
      </c>
      <c r="F1278" t="s">
        <v>240</v>
      </c>
      <c r="G1278" t="s">
        <v>82</v>
      </c>
      <c r="H1278" t="s">
        <v>164</v>
      </c>
      <c r="J1278" t="s">
        <v>193</v>
      </c>
      <c r="K1278" t="s">
        <v>250</v>
      </c>
      <c r="L1278">
        <v>7380000</v>
      </c>
      <c r="M1278" t="s">
        <v>242</v>
      </c>
      <c r="N1278" t="s">
        <v>1219</v>
      </c>
    </row>
    <row r="1279" spans="1:16" hidden="1" x14ac:dyDescent="0.25">
      <c r="A1279" s="16">
        <v>45658</v>
      </c>
      <c r="B1279" t="s">
        <v>162</v>
      </c>
      <c r="C1279">
        <v>44</v>
      </c>
      <c r="D1279" t="s">
        <v>291</v>
      </c>
      <c r="E1279" t="s">
        <v>292</v>
      </c>
      <c r="F1279" t="s">
        <v>240</v>
      </c>
      <c r="G1279" t="s">
        <v>82</v>
      </c>
      <c r="H1279" t="s">
        <v>165</v>
      </c>
      <c r="J1279" t="s">
        <v>193</v>
      </c>
      <c r="K1279" t="s">
        <v>250</v>
      </c>
      <c r="L1279">
        <v>2930000</v>
      </c>
      <c r="M1279" t="s">
        <v>242</v>
      </c>
      <c r="N1279" t="s">
        <v>1220</v>
      </c>
    </row>
    <row r="1280" spans="1:16" hidden="1" x14ac:dyDescent="0.25">
      <c r="A1280" s="16">
        <v>45658</v>
      </c>
      <c r="B1280" t="s">
        <v>162</v>
      </c>
      <c r="C1280">
        <v>44</v>
      </c>
      <c r="D1280" t="s">
        <v>291</v>
      </c>
      <c r="E1280" t="s">
        <v>292</v>
      </c>
      <c r="F1280" t="s">
        <v>240</v>
      </c>
      <c r="G1280" t="s">
        <v>82</v>
      </c>
      <c r="H1280" t="s">
        <v>166</v>
      </c>
      <c r="J1280" t="s">
        <v>193</v>
      </c>
      <c r="K1280" t="s">
        <v>250</v>
      </c>
      <c r="L1280">
        <v>1930000</v>
      </c>
      <c r="M1280" t="s">
        <v>242</v>
      </c>
      <c r="N1280" t="s">
        <v>1221</v>
      </c>
    </row>
    <row r="1281" spans="1:17" hidden="1" x14ac:dyDescent="0.25">
      <c r="A1281" s="16">
        <v>45658</v>
      </c>
      <c r="B1281" t="s">
        <v>162</v>
      </c>
      <c r="C1281">
        <v>44</v>
      </c>
      <c r="D1281" t="s">
        <v>291</v>
      </c>
      <c r="E1281" t="s">
        <v>292</v>
      </c>
      <c r="F1281" t="s">
        <v>240</v>
      </c>
      <c r="G1281" t="s">
        <v>82</v>
      </c>
      <c r="H1281" t="s">
        <v>167</v>
      </c>
      <c r="J1281" t="s">
        <v>193</v>
      </c>
      <c r="K1281" t="s">
        <v>250</v>
      </c>
      <c r="L1281">
        <v>4380000</v>
      </c>
      <c r="M1281" t="s">
        <v>242</v>
      </c>
      <c r="N1281" t="s">
        <v>1222</v>
      </c>
    </row>
    <row r="1282" spans="1:17" hidden="1" x14ac:dyDescent="0.25">
      <c r="A1282" s="16">
        <v>45658</v>
      </c>
      <c r="B1282" t="s">
        <v>162</v>
      </c>
      <c r="C1282">
        <v>45</v>
      </c>
      <c r="D1282" t="s">
        <v>253</v>
      </c>
      <c r="E1282" t="s">
        <v>248</v>
      </c>
      <c r="F1282" t="s">
        <v>428</v>
      </c>
      <c r="G1282" t="s">
        <v>82</v>
      </c>
      <c r="J1282" t="s">
        <v>191</v>
      </c>
      <c r="K1282" t="s">
        <v>255</v>
      </c>
      <c r="L1282">
        <v>12810000</v>
      </c>
      <c r="M1282" t="s">
        <v>242</v>
      </c>
      <c r="N1282" t="s">
        <v>846</v>
      </c>
      <c r="O1282">
        <v>1</v>
      </c>
      <c r="P1282" t="s">
        <v>257</v>
      </c>
    </row>
    <row r="1283" spans="1:17" hidden="1" x14ac:dyDescent="0.25">
      <c r="A1283" s="16">
        <v>45658</v>
      </c>
      <c r="B1283" t="s">
        <v>162</v>
      </c>
      <c r="C1283">
        <v>45</v>
      </c>
      <c r="D1283" t="s">
        <v>253</v>
      </c>
      <c r="E1283" t="s">
        <v>248</v>
      </c>
      <c r="F1283" t="s">
        <v>428</v>
      </c>
      <c r="G1283" t="s">
        <v>82</v>
      </c>
      <c r="J1283" t="s">
        <v>192</v>
      </c>
      <c r="K1283" t="s">
        <v>255</v>
      </c>
      <c r="L1283">
        <v>14750000</v>
      </c>
      <c r="M1283" t="s">
        <v>242</v>
      </c>
      <c r="N1283" t="s">
        <v>1223</v>
      </c>
      <c r="O1283">
        <v>1</v>
      </c>
      <c r="P1283" t="s">
        <v>257</v>
      </c>
      <c r="Q1283" t="s">
        <v>1224</v>
      </c>
    </row>
    <row r="1284" spans="1:17" hidden="1" x14ac:dyDescent="0.25">
      <c r="A1284" s="16">
        <v>45658</v>
      </c>
      <c r="B1284" t="s">
        <v>162</v>
      </c>
      <c r="C1284">
        <v>45</v>
      </c>
      <c r="D1284" t="s">
        <v>253</v>
      </c>
      <c r="E1284" t="s">
        <v>248</v>
      </c>
      <c r="F1284" t="s">
        <v>428</v>
      </c>
      <c r="G1284" t="s">
        <v>82</v>
      </c>
      <c r="J1284" t="s">
        <v>193</v>
      </c>
      <c r="K1284" t="s">
        <v>255</v>
      </c>
      <c r="L1284">
        <v>14290000</v>
      </c>
      <c r="M1284" t="s">
        <v>242</v>
      </c>
      <c r="N1284" t="s">
        <v>1033</v>
      </c>
      <c r="O1284">
        <v>1</v>
      </c>
      <c r="P1284" t="s">
        <v>261</v>
      </c>
    </row>
    <row r="1285" spans="1:17" hidden="1" x14ac:dyDescent="0.25">
      <c r="A1285" s="16">
        <v>45658</v>
      </c>
      <c r="B1285" t="s">
        <v>162</v>
      </c>
      <c r="C1285">
        <v>45</v>
      </c>
      <c r="D1285" t="s">
        <v>253</v>
      </c>
      <c r="E1285" t="s">
        <v>248</v>
      </c>
      <c r="F1285" t="s">
        <v>428</v>
      </c>
      <c r="G1285" t="s">
        <v>82</v>
      </c>
      <c r="J1285" t="s">
        <v>191</v>
      </c>
      <c r="K1285" t="s">
        <v>255</v>
      </c>
      <c r="L1285">
        <v>14290000</v>
      </c>
      <c r="M1285" t="s">
        <v>242</v>
      </c>
      <c r="N1285" t="s">
        <v>1033</v>
      </c>
      <c r="O1285">
        <v>1</v>
      </c>
      <c r="P1285" t="s">
        <v>257</v>
      </c>
      <c r="Q1285" t="s">
        <v>1225</v>
      </c>
    </row>
    <row r="1286" spans="1:17" hidden="1" x14ac:dyDescent="0.25">
      <c r="A1286" s="16">
        <v>45658</v>
      </c>
      <c r="B1286" t="s">
        <v>162</v>
      </c>
      <c r="C1286">
        <v>45</v>
      </c>
      <c r="D1286" t="s">
        <v>253</v>
      </c>
      <c r="E1286" t="s">
        <v>248</v>
      </c>
      <c r="F1286" t="s">
        <v>428</v>
      </c>
      <c r="G1286" t="s">
        <v>82</v>
      </c>
      <c r="J1286" t="s">
        <v>192</v>
      </c>
      <c r="K1286" t="s">
        <v>255</v>
      </c>
      <c r="L1286">
        <v>14750000</v>
      </c>
      <c r="M1286" t="s">
        <v>242</v>
      </c>
      <c r="N1286" t="s">
        <v>1223</v>
      </c>
      <c r="O1286">
        <v>1</v>
      </c>
      <c r="P1286" t="s">
        <v>257</v>
      </c>
      <c r="Q1286" t="s">
        <v>1224</v>
      </c>
    </row>
    <row r="1287" spans="1:17" hidden="1" x14ac:dyDescent="0.25">
      <c r="A1287" s="16">
        <v>45658</v>
      </c>
      <c r="B1287" t="s">
        <v>162</v>
      </c>
      <c r="C1287">
        <v>45</v>
      </c>
      <c r="D1287" t="s">
        <v>253</v>
      </c>
      <c r="E1287" t="s">
        <v>248</v>
      </c>
      <c r="F1287" t="s">
        <v>428</v>
      </c>
      <c r="G1287" t="s">
        <v>82</v>
      </c>
      <c r="J1287" t="s">
        <v>193</v>
      </c>
      <c r="K1287" t="s">
        <v>255</v>
      </c>
      <c r="L1287">
        <v>12810000</v>
      </c>
      <c r="M1287" t="s">
        <v>242</v>
      </c>
      <c r="N1287" t="s">
        <v>846</v>
      </c>
      <c r="O1287">
        <v>1</v>
      </c>
      <c r="P1287" t="s">
        <v>261</v>
      </c>
    </row>
    <row r="1288" spans="1:17" hidden="1" x14ac:dyDescent="0.25">
      <c r="A1288" s="16">
        <v>45658</v>
      </c>
      <c r="B1288" t="s">
        <v>162</v>
      </c>
      <c r="C1288">
        <v>45</v>
      </c>
      <c r="D1288" t="s">
        <v>247</v>
      </c>
      <c r="E1288" t="s">
        <v>248</v>
      </c>
      <c r="F1288" t="s">
        <v>428</v>
      </c>
      <c r="G1288" t="s">
        <v>82</v>
      </c>
      <c r="H1288" t="s">
        <v>249</v>
      </c>
      <c r="J1288" t="s">
        <v>193</v>
      </c>
      <c r="K1288" t="s">
        <v>250</v>
      </c>
      <c r="L1288">
        <v>3.2</v>
      </c>
      <c r="M1288" t="s">
        <v>251</v>
      </c>
      <c r="N1288" t="s">
        <v>509</v>
      </c>
    </row>
    <row r="1289" spans="1:17" hidden="1" x14ac:dyDescent="0.25">
      <c r="A1289" s="16">
        <v>45658</v>
      </c>
      <c r="B1289" t="s">
        <v>162</v>
      </c>
      <c r="C1289">
        <v>45</v>
      </c>
      <c r="D1289" t="s">
        <v>247</v>
      </c>
      <c r="E1289" t="s">
        <v>248</v>
      </c>
      <c r="F1289" t="s">
        <v>428</v>
      </c>
      <c r="G1289" t="s">
        <v>82</v>
      </c>
      <c r="H1289" t="s">
        <v>286</v>
      </c>
      <c r="J1289" t="s">
        <v>193</v>
      </c>
      <c r="K1289" t="s">
        <v>250</v>
      </c>
      <c r="L1289">
        <v>3.2</v>
      </c>
      <c r="M1289" t="s">
        <v>251</v>
      </c>
      <c r="N1289" t="s">
        <v>509</v>
      </c>
    </row>
    <row r="1290" spans="1:17" hidden="1" x14ac:dyDescent="0.25">
      <c r="A1290" s="16">
        <v>45658</v>
      </c>
      <c r="B1290" t="s">
        <v>162</v>
      </c>
      <c r="C1290">
        <v>46</v>
      </c>
      <c r="D1290" t="s">
        <v>291</v>
      </c>
      <c r="E1290" t="s">
        <v>292</v>
      </c>
      <c r="F1290" t="s">
        <v>428</v>
      </c>
      <c r="G1290" t="s">
        <v>82</v>
      </c>
      <c r="H1290" t="s">
        <v>94</v>
      </c>
      <c r="J1290" t="s">
        <v>193</v>
      </c>
      <c r="K1290" t="s">
        <v>250</v>
      </c>
      <c r="L1290">
        <v>10910000</v>
      </c>
      <c r="M1290" t="s">
        <v>242</v>
      </c>
      <c r="N1290" t="s">
        <v>1226</v>
      </c>
    </row>
    <row r="1291" spans="1:17" hidden="1" x14ac:dyDescent="0.25">
      <c r="A1291" s="16">
        <v>45658</v>
      </c>
      <c r="B1291" t="s">
        <v>162</v>
      </c>
      <c r="C1291">
        <v>46</v>
      </c>
      <c r="D1291" t="s">
        <v>291</v>
      </c>
      <c r="E1291" t="s">
        <v>292</v>
      </c>
      <c r="F1291" t="s">
        <v>428</v>
      </c>
      <c r="G1291" t="s">
        <v>82</v>
      </c>
      <c r="H1291" t="s">
        <v>95</v>
      </c>
      <c r="J1291" t="s">
        <v>193</v>
      </c>
      <c r="K1291" t="s">
        <v>250</v>
      </c>
      <c r="L1291">
        <v>3840000</v>
      </c>
      <c r="M1291" t="s">
        <v>242</v>
      </c>
      <c r="N1291" t="s">
        <v>1227</v>
      </c>
    </row>
    <row r="1292" spans="1:17" hidden="1" x14ac:dyDescent="0.25">
      <c r="A1292" s="16">
        <v>45658</v>
      </c>
      <c r="B1292" t="s">
        <v>162</v>
      </c>
      <c r="C1292">
        <v>47</v>
      </c>
      <c r="D1292" t="s">
        <v>291</v>
      </c>
      <c r="E1292" t="s">
        <v>292</v>
      </c>
      <c r="F1292" t="s">
        <v>428</v>
      </c>
      <c r="G1292" t="s">
        <v>82</v>
      </c>
      <c r="H1292" t="s">
        <v>173</v>
      </c>
      <c r="J1292" t="s">
        <v>193</v>
      </c>
      <c r="K1292" t="s">
        <v>250</v>
      </c>
      <c r="L1292">
        <v>2430000</v>
      </c>
      <c r="M1292" t="s">
        <v>242</v>
      </c>
      <c r="N1292" t="s">
        <v>664</v>
      </c>
    </row>
    <row r="1293" spans="1:17" hidden="1" x14ac:dyDescent="0.25">
      <c r="A1293" s="16">
        <v>45658</v>
      </c>
      <c r="B1293" t="s">
        <v>162</v>
      </c>
      <c r="C1293">
        <v>47</v>
      </c>
      <c r="D1293" t="s">
        <v>291</v>
      </c>
      <c r="E1293" t="s">
        <v>292</v>
      </c>
      <c r="F1293" t="s">
        <v>428</v>
      </c>
      <c r="G1293" t="s">
        <v>82</v>
      </c>
      <c r="H1293" t="s">
        <v>174</v>
      </c>
      <c r="J1293" t="s">
        <v>193</v>
      </c>
      <c r="K1293" t="s">
        <v>250</v>
      </c>
      <c r="L1293">
        <v>1910000</v>
      </c>
      <c r="M1293" t="s">
        <v>242</v>
      </c>
      <c r="N1293" t="s">
        <v>1228</v>
      </c>
    </row>
    <row r="1294" spans="1:17" hidden="1" x14ac:dyDescent="0.25">
      <c r="A1294" s="16">
        <v>45658</v>
      </c>
      <c r="B1294" t="s">
        <v>162</v>
      </c>
      <c r="C1294">
        <v>48</v>
      </c>
      <c r="D1294" t="s">
        <v>253</v>
      </c>
      <c r="E1294" t="s">
        <v>248</v>
      </c>
      <c r="F1294" t="s">
        <v>244</v>
      </c>
      <c r="G1294" t="s">
        <v>82</v>
      </c>
      <c r="J1294" t="s">
        <v>191</v>
      </c>
      <c r="K1294" t="s">
        <v>255</v>
      </c>
      <c r="L1294">
        <v>1620000000</v>
      </c>
      <c r="M1294" t="s">
        <v>245</v>
      </c>
      <c r="N1294" t="s">
        <v>439</v>
      </c>
      <c r="O1294">
        <v>1</v>
      </c>
      <c r="P1294" t="s">
        <v>257</v>
      </c>
    </row>
    <row r="1295" spans="1:17" hidden="1" x14ac:dyDescent="0.25">
      <c r="A1295" s="16">
        <v>45658</v>
      </c>
      <c r="B1295" t="s">
        <v>162</v>
      </c>
      <c r="C1295">
        <v>48</v>
      </c>
      <c r="D1295" t="s">
        <v>253</v>
      </c>
      <c r="E1295" t="s">
        <v>248</v>
      </c>
      <c r="F1295" t="s">
        <v>244</v>
      </c>
      <c r="G1295" t="s">
        <v>82</v>
      </c>
      <c r="J1295" t="s">
        <v>192</v>
      </c>
      <c r="K1295" t="s">
        <v>255</v>
      </c>
      <c r="L1295">
        <v>1830000000</v>
      </c>
      <c r="M1295" t="s">
        <v>245</v>
      </c>
      <c r="N1295" t="s">
        <v>1037</v>
      </c>
      <c r="O1295">
        <v>1</v>
      </c>
      <c r="P1295" t="s">
        <v>257</v>
      </c>
    </row>
    <row r="1296" spans="1:17" hidden="1" x14ac:dyDescent="0.25">
      <c r="A1296" s="16">
        <v>45658</v>
      </c>
      <c r="B1296" t="s">
        <v>162</v>
      </c>
      <c r="C1296">
        <v>48</v>
      </c>
      <c r="D1296" t="s">
        <v>253</v>
      </c>
      <c r="E1296" t="s">
        <v>248</v>
      </c>
      <c r="F1296" t="s">
        <v>244</v>
      </c>
      <c r="G1296" t="s">
        <v>82</v>
      </c>
      <c r="J1296" t="s">
        <v>193</v>
      </c>
      <c r="K1296" t="s">
        <v>255</v>
      </c>
      <c r="L1296">
        <v>1800000000</v>
      </c>
      <c r="M1296" t="s">
        <v>245</v>
      </c>
      <c r="N1296" t="s">
        <v>1229</v>
      </c>
      <c r="O1296">
        <v>1</v>
      </c>
      <c r="P1296" t="s">
        <v>261</v>
      </c>
    </row>
    <row r="1297" spans="1:16" hidden="1" x14ac:dyDescent="0.25">
      <c r="A1297" s="16">
        <v>45658</v>
      </c>
      <c r="B1297" t="s">
        <v>162</v>
      </c>
      <c r="C1297">
        <v>48</v>
      </c>
      <c r="D1297" t="s">
        <v>247</v>
      </c>
      <c r="E1297" t="s">
        <v>248</v>
      </c>
      <c r="F1297" t="s">
        <v>244</v>
      </c>
      <c r="G1297" t="s">
        <v>82</v>
      </c>
      <c r="H1297" t="s">
        <v>249</v>
      </c>
      <c r="J1297" t="s">
        <v>193</v>
      </c>
      <c r="K1297" t="s">
        <v>250</v>
      </c>
      <c r="L1297">
        <v>1.3</v>
      </c>
      <c r="M1297" t="s">
        <v>251</v>
      </c>
      <c r="N1297" t="s">
        <v>1230</v>
      </c>
    </row>
    <row r="1298" spans="1:16" hidden="1" x14ac:dyDescent="0.25">
      <c r="A1298" s="16">
        <v>45658</v>
      </c>
      <c r="B1298" t="s">
        <v>162</v>
      </c>
      <c r="C1298">
        <v>49</v>
      </c>
      <c r="D1298" t="s">
        <v>291</v>
      </c>
      <c r="E1298" t="s">
        <v>292</v>
      </c>
      <c r="F1298" t="s">
        <v>244</v>
      </c>
      <c r="G1298" t="s">
        <v>82</v>
      </c>
      <c r="H1298" t="s">
        <v>164</v>
      </c>
      <c r="J1298" t="s">
        <v>193</v>
      </c>
      <c r="K1298" t="s">
        <v>250</v>
      </c>
      <c r="L1298">
        <v>1140000000</v>
      </c>
      <c r="M1298" t="s">
        <v>245</v>
      </c>
      <c r="N1298" t="s">
        <v>538</v>
      </c>
    </row>
    <row r="1299" spans="1:16" hidden="1" x14ac:dyDescent="0.25">
      <c r="A1299" s="16">
        <v>45658</v>
      </c>
      <c r="B1299" t="s">
        <v>162</v>
      </c>
      <c r="C1299">
        <v>49</v>
      </c>
      <c r="D1299" t="s">
        <v>291</v>
      </c>
      <c r="E1299" t="s">
        <v>292</v>
      </c>
      <c r="F1299" t="s">
        <v>244</v>
      </c>
      <c r="G1299" t="s">
        <v>82</v>
      </c>
      <c r="H1299" t="s">
        <v>165</v>
      </c>
      <c r="J1299" t="s">
        <v>193</v>
      </c>
      <c r="K1299" t="s">
        <v>250</v>
      </c>
      <c r="L1299">
        <v>191800000</v>
      </c>
      <c r="M1299" t="s">
        <v>245</v>
      </c>
      <c r="N1299" t="s">
        <v>1231</v>
      </c>
    </row>
    <row r="1300" spans="1:16" hidden="1" x14ac:dyDescent="0.25">
      <c r="A1300" s="16">
        <v>45658</v>
      </c>
      <c r="B1300" t="s">
        <v>162</v>
      </c>
      <c r="C1300">
        <v>49</v>
      </c>
      <c r="D1300" t="s">
        <v>291</v>
      </c>
      <c r="E1300" t="s">
        <v>292</v>
      </c>
      <c r="F1300" t="s">
        <v>244</v>
      </c>
      <c r="G1300" t="s">
        <v>82</v>
      </c>
      <c r="H1300" t="s">
        <v>166</v>
      </c>
      <c r="J1300" t="s">
        <v>193</v>
      </c>
      <c r="K1300" t="s">
        <v>250</v>
      </c>
      <c r="L1300">
        <v>229300000</v>
      </c>
      <c r="M1300" t="s">
        <v>245</v>
      </c>
      <c r="N1300" t="s">
        <v>1232</v>
      </c>
    </row>
    <row r="1301" spans="1:16" hidden="1" x14ac:dyDescent="0.25">
      <c r="A1301" s="16">
        <v>45658</v>
      </c>
      <c r="B1301" t="s">
        <v>162</v>
      </c>
      <c r="C1301">
        <v>49</v>
      </c>
      <c r="D1301" t="s">
        <v>291</v>
      </c>
      <c r="E1301" t="s">
        <v>292</v>
      </c>
      <c r="F1301" t="s">
        <v>244</v>
      </c>
      <c r="G1301" t="s">
        <v>82</v>
      </c>
      <c r="H1301" t="s">
        <v>167</v>
      </c>
      <c r="J1301" t="s">
        <v>193</v>
      </c>
      <c r="K1301" t="s">
        <v>250</v>
      </c>
      <c r="L1301">
        <v>237900000</v>
      </c>
      <c r="M1301" t="s">
        <v>245</v>
      </c>
      <c r="N1301" t="s">
        <v>1233</v>
      </c>
    </row>
    <row r="1302" spans="1:16" hidden="1" x14ac:dyDescent="0.25">
      <c r="A1302" s="16">
        <v>45658</v>
      </c>
      <c r="B1302" t="s">
        <v>162</v>
      </c>
      <c r="C1302">
        <v>50</v>
      </c>
      <c r="D1302" t="s">
        <v>253</v>
      </c>
      <c r="E1302" t="s">
        <v>248</v>
      </c>
      <c r="F1302" t="s">
        <v>445</v>
      </c>
      <c r="G1302" t="s">
        <v>82</v>
      </c>
      <c r="J1302" t="s">
        <v>191</v>
      </c>
      <c r="K1302" t="s">
        <v>255</v>
      </c>
      <c r="L1302">
        <v>1340000000</v>
      </c>
      <c r="M1302" t="s">
        <v>245</v>
      </c>
      <c r="N1302" t="s">
        <v>448</v>
      </c>
      <c r="O1302">
        <v>1</v>
      </c>
      <c r="P1302" t="s">
        <v>257</v>
      </c>
    </row>
    <row r="1303" spans="1:16" hidden="1" x14ac:dyDescent="0.25">
      <c r="A1303" s="16">
        <v>45658</v>
      </c>
      <c r="B1303" t="s">
        <v>162</v>
      </c>
      <c r="C1303">
        <v>50</v>
      </c>
      <c r="D1303" t="s">
        <v>253</v>
      </c>
      <c r="E1303" t="s">
        <v>248</v>
      </c>
      <c r="F1303" t="s">
        <v>445</v>
      </c>
      <c r="G1303" t="s">
        <v>82</v>
      </c>
      <c r="J1303" t="s">
        <v>192</v>
      </c>
      <c r="K1303" t="s">
        <v>255</v>
      </c>
      <c r="L1303">
        <v>1510000000</v>
      </c>
      <c r="M1303" t="s">
        <v>245</v>
      </c>
      <c r="N1303" t="s">
        <v>1043</v>
      </c>
      <c r="O1303">
        <v>1</v>
      </c>
      <c r="P1303" t="s">
        <v>257</v>
      </c>
    </row>
    <row r="1304" spans="1:16" hidden="1" x14ac:dyDescent="0.25">
      <c r="A1304" s="16">
        <v>45658</v>
      </c>
      <c r="B1304" t="s">
        <v>162</v>
      </c>
      <c r="C1304">
        <v>50</v>
      </c>
      <c r="D1304" t="s">
        <v>253</v>
      </c>
      <c r="E1304" t="s">
        <v>248</v>
      </c>
      <c r="F1304" t="s">
        <v>445</v>
      </c>
      <c r="G1304" t="s">
        <v>82</v>
      </c>
      <c r="J1304" t="s">
        <v>193</v>
      </c>
      <c r="K1304" t="s">
        <v>255</v>
      </c>
      <c r="L1304">
        <v>1490000000</v>
      </c>
      <c r="M1304" t="s">
        <v>245</v>
      </c>
      <c r="N1304" t="s">
        <v>1234</v>
      </c>
      <c r="O1304">
        <v>1</v>
      </c>
      <c r="P1304" t="s">
        <v>261</v>
      </c>
    </row>
    <row r="1305" spans="1:16" hidden="1" x14ac:dyDescent="0.25">
      <c r="A1305" s="16">
        <v>45658</v>
      </c>
      <c r="B1305" t="s">
        <v>162</v>
      </c>
      <c r="C1305">
        <v>50</v>
      </c>
      <c r="D1305" t="s">
        <v>247</v>
      </c>
      <c r="E1305" t="s">
        <v>248</v>
      </c>
      <c r="F1305" t="s">
        <v>445</v>
      </c>
      <c r="G1305" t="s">
        <v>82</v>
      </c>
      <c r="H1305" t="s">
        <v>249</v>
      </c>
      <c r="J1305" t="s">
        <v>193</v>
      </c>
      <c r="K1305" t="s">
        <v>250</v>
      </c>
      <c r="L1305">
        <v>1.1000000000000001</v>
      </c>
      <c r="M1305" t="s">
        <v>251</v>
      </c>
      <c r="N1305" t="s">
        <v>1235</v>
      </c>
    </row>
    <row r="1306" spans="1:16" hidden="1" x14ac:dyDescent="0.25">
      <c r="A1306" s="16">
        <v>45658</v>
      </c>
      <c r="B1306" t="s">
        <v>162</v>
      </c>
      <c r="C1306">
        <v>51</v>
      </c>
      <c r="D1306" t="s">
        <v>291</v>
      </c>
      <c r="E1306" t="s">
        <v>292</v>
      </c>
      <c r="F1306" t="s">
        <v>445</v>
      </c>
      <c r="G1306" t="s">
        <v>82</v>
      </c>
      <c r="H1306" t="s">
        <v>94</v>
      </c>
      <c r="J1306" t="s">
        <v>193</v>
      </c>
      <c r="K1306" t="s">
        <v>250</v>
      </c>
      <c r="L1306">
        <v>1200000000</v>
      </c>
      <c r="M1306" t="s">
        <v>245</v>
      </c>
      <c r="N1306" t="s">
        <v>1236</v>
      </c>
    </row>
    <row r="1307" spans="1:16" hidden="1" x14ac:dyDescent="0.25">
      <c r="A1307" s="16">
        <v>45658</v>
      </c>
      <c r="B1307" t="s">
        <v>162</v>
      </c>
      <c r="C1307">
        <v>51</v>
      </c>
      <c r="D1307" t="s">
        <v>291</v>
      </c>
      <c r="E1307" t="s">
        <v>292</v>
      </c>
      <c r="F1307" t="s">
        <v>445</v>
      </c>
      <c r="G1307" t="s">
        <v>82</v>
      </c>
      <c r="H1307" t="s">
        <v>95</v>
      </c>
      <c r="J1307" t="s">
        <v>193</v>
      </c>
      <c r="K1307" t="s">
        <v>250</v>
      </c>
      <c r="L1307">
        <v>290600000</v>
      </c>
      <c r="M1307" t="s">
        <v>245</v>
      </c>
      <c r="N1307" t="s">
        <v>1237</v>
      </c>
    </row>
    <row r="1308" spans="1:16" hidden="1" x14ac:dyDescent="0.25">
      <c r="A1308" s="16">
        <v>45658</v>
      </c>
      <c r="B1308" t="s">
        <v>162</v>
      </c>
      <c r="C1308">
        <v>52</v>
      </c>
      <c r="D1308" t="s">
        <v>291</v>
      </c>
      <c r="E1308" t="s">
        <v>292</v>
      </c>
      <c r="F1308" t="s">
        <v>445</v>
      </c>
      <c r="G1308" t="s">
        <v>82</v>
      </c>
      <c r="H1308" t="s">
        <v>173</v>
      </c>
      <c r="J1308" t="s">
        <v>193</v>
      </c>
      <c r="K1308" t="s">
        <v>250</v>
      </c>
      <c r="L1308">
        <v>149900000</v>
      </c>
      <c r="M1308" t="s">
        <v>245</v>
      </c>
      <c r="N1308" t="s">
        <v>1238</v>
      </c>
    </row>
    <row r="1309" spans="1:16" hidden="1" x14ac:dyDescent="0.25">
      <c r="A1309" s="16">
        <v>45658</v>
      </c>
      <c r="B1309" t="s">
        <v>162</v>
      </c>
      <c r="C1309">
        <v>52</v>
      </c>
      <c r="D1309" t="s">
        <v>291</v>
      </c>
      <c r="E1309" t="s">
        <v>292</v>
      </c>
      <c r="F1309" t="s">
        <v>445</v>
      </c>
      <c r="G1309" t="s">
        <v>82</v>
      </c>
      <c r="H1309" t="s">
        <v>174</v>
      </c>
      <c r="J1309" t="s">
        <v>193</v>
      </c>
      <c r="K1309" t="s">
        <v>250</v>
      </c>
      <c r="L1309">
        <v>225900000</v>
      </c>
      <c r="M1309" t="s">
        <v>245</v>
      </c>
      <c r="N1309" t="s">
        <v>1239</v>
      </c>
    </row>
    <row r="1310" spans="1:16" hidden="1" x14ac:dyDescent="0.25">
      <c r="A1310" s="16">
        <v>45658</v>
      </c>
      <c r="B1310" t="s">
        <v>162</v>
      </c>
      <c r="C1310">
        <v>53</v>
      </c>
      <c r="D1310" t="s">
        <v>291</v>
      </c>
      <c r="E1310" t="s">
        <v>292</v>
      </c>
      <c r="F1310" t="s">
        <v>334</v>
      </c>
      <c r="G1310" t="s">
        <v>82</v>
      </c>
      <c r="H1310" t="s">
        <v>164</v>
      </c>
      <c r="J1310" t="s">
        <v>193</v>
      </c>
      <c r="K1310" t="s">
        <v>250</v>
      </c>
      <c r="L1310">
        <v>155</v>
      </c>
      <c r="M1310" t="s">
        <v>245</v>
      </c>
      <c r="N1310" t="s">
        <v>1240</v>
      </c>
    </row>
    <row r="1311" spans="1:16" hidden="1" x14ac:dyDescent="0.25">
      <c r="A1311" s="16">
        <v>45658</v>
      </c>
      <c r="B1311" t="s">
        <v>162</v>
      </c>
      <c r="C1311">
        <v>53</v>
      </c>
      <c r="D1311" t="s">
        <v>291</v>
      </c>
      <c r="E1311" t="s">
        <v>292</v>
      </c>
      <c r="F1311" t="s">
        <v>334</v>
      </c>
      <c r="G1311" t="s">
        <v>82</v>
      </c>
      <c r="H1311" t="s">
        <v>173</v>
      </c>
      <c r="J1311" t="s">
        <v>193</v>
      </c>
      <c r="K1311" t="s">
        <v>250</v>
      </c>
      <c r="L1311">
        <v>66</v>
      </c>
      <c r="M1311" t="s">
        <v>245</v>
      </c>
      <c r="N1311" t="s">
        <v>1241</v>
      </c>
    </row>
    <row r="1312" spans="1:16" hidden="1" x14ac:dyDescent="0.25">
      <c r="A1312" s="16">
        <v>45658</v>
      </c>
      <c r="B1312" t="s">
        <v>162</v>
      </c>
      <c r="C1312">
        <v>53</v>
      </c>
      <c r="D1312" t="s">
        <v>238</v>
      </c>
      <c r="E1312" t="s">
        <v>239</v>
      </c>
      <c r="F1312" t="s">
        <v>334</v>
      </c>
      <c r="G1312" t="s">
        <v>82</v>
      </c>
      <c r="H1312" t="s">
        <v>455</v>
      </c>
      <c r="J1312" t="s">
        <v>193</v>
      </c>
      <c r="K1312" t="s">
        <v>250</v>
      </c>
      <c r="L1312">
        <v>99</v>
      </c>
      <c r="M1312" t="s">
        <v>245</v>
      </c>
      <c r="N1312" t="s">
        <v>1242</v>
      </c>
    </row>
    <row r="1313" spans="1:16" hidden="1" x14ac:dyDescent="0.25">
      <c r="A1313" s="16">
        <v>45658</v>
      </c>
      <c r="B1313" t="s">
        <v>162</v>
      </c>
      <c r="C1313">
        <v>53</v>
      </c>
      <c r="D1313" t="s">
        <v>291</v>
      </c>
      <c r="E1313" t="s">
        <v>292</v>
      </c>
      <c r="F1313" t="s">
        <v>334</v>
      </c>
      <c r="G1313" t="s">
        <v>82</v>
      </c>
      <c r="H1313" t="s">
        <v>174</v>
      </c>
      <c r="J1313" t="s">
        <v>193</v>
      </c>
      <c r="K1313" t="s">
        <v>250</v>
      </c>
      <c r="L1313">
        <v>119</v>
      </c>
      <c r="M1313" t="s">
        <v>245</v>
      </c>
      <c r="N1313" t="s">
        <v>1243</v>
      </c>
    </row>
    <row r="1314" spans="1:16" hidden="1" x14ac:dyDescent="0.25">
      <c r="A1314" s="16">
        <v>45658</v>
      </c>
      <c r="B1314" t="s">
        <v>162</v>
      </c>
      <c r="C1314">
        <v>53</v>
      </c>
      <c r="D1314" t="s">
        <v>291</v>
      </c>
      <c r="E1314" t="s">
        <v>292</v>
      </c>
      <c r="F1314" t="s">
        <v>334</v>
      </c>
      <c r="G1314" t="s">
        <v>82</v>
      </c>
      <c r="H1314" t="s">
        <v>178</v>
      </c>
      <c r="J1314" t="s">
        <v>193</v>
      </c>
      <c r="K1314" t="s">
        <v>250</v>
      </c>
      <c r="L1314">
        <v>54</v>
      </c>
      <c r="M1314" t="s">
        <v>245</v>
      </c>
      <c r="N1314" t="s">
        <v>1244</v>
      </c>
    </row>
    <row r="1315" spans="1:16" hidden="1" x14ac:dyDescent="0.25">
      <c r="A1315" s="16">
        <v>45658</v>
      </c>
      <c r="B1315" t="s">
        <v>97</v>
      </c>
      <c r="C1315">
        <v>26</v>
      </c>
      <c r="D1315" t="s">
        <v>238</v>
      </c>
      <c r="E1315" t="s">
        <v>239</v>
      </c>
      <c r="F1315" t="s">
        <v>240</v>
      </c>
      <c r="G1315" t="s">
        <v>82</v>
      </c>
      <c r="J1315" t="s">
        <v>193</v>
      </c>
      <c r="K1315" t="s">
        <v>241</v>
      </c>
      <c r="L1315">
        <v>6410000</v>
      </c>
      <c r="M1315" t="s">
        <v>242</v>
      </c>
      <c r="N1315" t="s">
        <v>1245</v>
      </c>
    </row>
    <row r="1316" spans="1:16" hidden="1" x14ac:dyDescent="0.25">
      <c r="A1316" s="16">
        <v>45658</v>
      </c>
      <c r="B1316" t="s">
        <v>97</v>
      </c>
      <c r="C1316">
        <v>26</v>
      </c>
      <c r="D1316" t="s">
        <v>238</v>
      </c>
      <c r="E1316" t="s">
        <v>239</v>
      </c>
      <c r="F1316" t="s">
        <v>244</v>
      </c>
      <c r="G1316" t="s">
        <v>82</v>
      </c>
      <c r="J1316" t="s">
        <v>193</v>
      </c>
      <c r="K1316" t="s">
        <v>241</v>
      </c>
      <c r="L1316">
        <v>468600000</v>
      </c>
      <c r="M1316" t="s">
        <v>245</v>
      </c>
      <c r="N1316" t="s">
        <v>1246</v>
      </c>
    </row>
    <row r="1317" spans="1:16" hidden="1" x14ac:dyDescent="0.25">
      <c r="A1317" s="16">
        <v>45658</v>
      </c>
      <c r="B1317" t="s">
        <v>97</v>
      </c>
      <c r="C1317">
        <v>27</v>
      </c>
      <c r="D1317" t="s">
        <v>253</v>
      </c>
      <c r="E1317" t="s">
        <v>248</v>
      </c>
      <c r="F1317" t="s">
        <v>285</v>
      </c>
      <c r="G1317" t="s">
        <v>63</v>
      </c>
      <c r="J1317" t="s">
        <v>191</v>
      </c>
      <c r="K1317" t="s">
        <v>255</v>
      </c>
      <c r="L1317">
        <v>2400000</v>
      </c>
      <c r="M1317" t="s">
        <v>242</v>
      </c>
      <c r="N1317" t="s">
        <v>866</v>
      </c>
      <c r="O1317">
        <v>1</v>
      </c>
      <c r="P1317" t="s">
        <v>257</v>
      </c>
    </row>
    <row r="1318" spans="1:16" hidden="1" x14ac:dyDescent="0.25">
      <c r="A1318" s="16">
        <v>45658</v>
      </c>
      <c r="B1318" t="s">
        <v>97</v>
      </c>
      <c r="C1318">
        <v>27</v>
      </c>
      <c r="D1318" t="s">
        <v>253</v>
      </c>
      <c r="E1318" t="s">
        <v>248</v>
      </c>
      <c r="F1318" t="s">
        <v>285</v>
      </c>
      <c r="G1318" t="s">
        <v>63</v>
      </c>
      <c r="J1318" t="s">
        <v>192</v>
      </c>
      <c r="K1318" t="s">
        <v>255</v>
      </c>
      <c r="L1318">
        <v>2590000</v>
      </c>
      <c r="M1318" t="s">
        <v>242</v>
      </c>
      <c r="N1318" t="s">
        <v>1052</v>
      </c>
      <c r="O1318">
        <v>1</v>
      </c>
      <c r="P1318" t="s">
        <v>257</v>
      </c>
    </row>
    <row r="1319" spans="1:16" hidden="1" x14ac:dyDescent="0.25">
      <c r="A1319" s="16">
        <v>45658</v>
      </c>
      <c r="B1319" t="s">
        <v>97</v>
      </c>
      <c r="C1319">
        <v>27</v>
      </c>
      <c r="D1319" t="s">
        <v>253</v>
      </c>
      <c r="E1319" t="s">
        <v>248</v>
      </c>
      <c r="F1319" t="s">
        <v>285</v>
      </c>
      <c r="G1319" t="s">
        <v>63</v>
      </c>
      <c r="J1319" t="s">
        <v>193</v>
      </c>
      <c r="K1319" t="s">
        <v>255</v>
      </c>
      <c r="L1319">
        <v>2550000</v>
      </c>
      <c r="M1319" t="s">
        <v>242</v>
      </c>
      <c r="N1319" t="s">
        <v>1247</v>
      </c>
      <c r="O1319">
        <v>1</v>
      </c>
      <c r="P1319" t="s">
        <v>261</v>
      </c>
    </row>
    <row r="1320" spans="1:16" hidden="1" x14ac:dyDescent="0.25">
      <c r="A1320" s="16">
        <v>45658</v>
      </c>
      <c r="B1320" t="s">
        <v>97</v>
      </c>
      <c r="C1320">
        <v>27</v>
      </c>
      <c r="D1320" t="s">
        <v>247</v>
      </c>
      <c r="E1320" t="s">
        <v>248</v>
      </c>
      <c r="F1320" t="s">
        <v>285</v>
      </c>
      <c r="G1320" t="s">
        <v>63</v>
      </c>
      <c r="H1320" t="s">
        <v>249</v>
      </c>
      <c r="J1320" t="s">
        <v>193</v>
      </c>
      <c r="K1320" t="s">
        <v>250</v>
      </c>
      <c r="L1320">
        <v>1.7</v>
      </c>
      <c r="M1320" t="s">
        <v>251</v>
      </c>
      <c r="N1320" t="s">
        <v>635</v>
      </c>
    </row>
    <row r="1321" spans="1:16" hidden="1" x14ac:dyDescent="0.25">
      <c r="A1321" s="16">
        <v>45658</v>
      </c>
      <c r="B1321" t="s">
        <v>97</v>
      </c>
      <c r="C1321">
        <v>28</v>
      </c>
      <c r="D1321" t="s">
        <v>291</v>
      </c>
      <c r="E1321" t="s">
        <v>292</v>
      </c>
      <c r="F1321" t="s">
        <v>285</v>
      </c>
      <c r="G1321" t="s">
        <v>63</v>
      </c>
      <c r="H1321" t="s">
        <v>64</v>
      </c>
      <c r="J1321" t="s">
        <v>193</v>
      </c>
      <c r="K1321" t="s">
        <v>250</v>
      </c>
      <c r="L1321">
        <v>2240000</v>
      </c>
      <c r="M1321" t="s">
        <v>242</v>
      </c>
      <c r="N1321" t="s">
        <v>1248</v>
      </c>
    </row>
    <row r="1322" spans="1:16" hidden="1" x14ac:dyDescent="0.25">
      <c r="A1322" s="16">
        <v>45658</v>
      </c>
      <c r="B1322" t="s">
        <v>97</v>
      </c>
      <c r="C1322">
        <v>28</v>
      </c>
      <c r="D1322" t="s">
        <v>291</v>
      </c>
      <c r="E1322" t="s">
        <v>292</v>
      </c>
      <c r="F1322" t="s">
        <v>285</v>
      </c>
      <c r="G1322" t="s">
        <v>63</v>
      </c>
      <c r="H1322" t="s">
        <v>65</v>
      </c>
      <c r="J1322" t="s">
        <v>193</v>
      </c>
      <c r="K1322" t="s">
        <v>250</v>
      </c>
      <c r="L1322">
        <v>303900</v>
      </c>
      <c r="M1322" t="s">
        <v>242</v>
      </c>
      <c r="N1322" t="s">
        <v>1249</v>
      </c>
    </row>
    <row r="1323" spans="1:16" hidden="1" x14ac:dyDescent="0.25">
      <c r="A1323" s="16">
        <v>45658</v>
      </c>
      <c r="B1323" t="s">
        <v>97</v>
      </c>
      <c r="C1323">
        <v>29</v>
      </c>
      <c r="D1323" t="s">
        <v>291</v>
      </c>
      <c r="E1323" t="s">
        <v>292</v>
      </c>
      <c r="F1323" t="s">
        <v>285</v>
      </c>
      <c r="G1323" t="s">
        <v>63</v>
      </c>
      <c r="H1323" t="s">
        <v>67</v>
      </c>
      <c r="J1323" t="s">
        <v>193</v>
      </c>
      <c r="K1323" t="s">
        <v>250</v>
      </c>
      <c r="L1323">
        <v>1280000</v>
      </c>
      <c r="M1323" t="s">
        <v>242</v>
      </c>
      <c r="N1323" t="s">
        <v>339</v>
      </c>
    </row>
    <row r="1324" spans="1:16" hidden="1" x14ac:dyDescent="0.25">
      <c r="A1324" s="16">
        <v>45658</v>
      </c>
      <c r="B1324" t="s">
        <v>97</v>
      </c>
      <c r="C1324">
        <v>29</v>
      </c>
      <c r="D1324" t="s">
        <v>291</v>
      </c>
      <c r="E1324" t="s">
        <v>292</v>
      </c>
      <c r="F1324" t="s">
        <v>285</v>
      </c>
      <c r="G1324" t="s">
        <v>63</v>
      </c>
      <c r="H1324" t="s">
        <v>68</v>
      </c>
      <c r="J1324" t="s">
        <v>193</v>
      </c>
      <c r="K1324" t="s">
        <v>250</v>
      </c>
      <c r="L1324">
        <v>1260000</v>
      </c>
      <c r="M1324" t="s">
        <v>242</v>
      </c>
      <c r="N1324" t="s">
        <v>782</v>
      </c>
    </row>
    <row r="1325" spans="1:16" hidden="1" x14ac:dyDescent="0.25">
      <c r="A1325" s="16">
        <v>45658</v>
      </c>
      <c r="B1325" t="s">
        <v>97</v>
      </c>
      <c r="C1325">
        <v>30</v>
      </c>
      <c r="D1325" t="s">
        <v>291</v>
      </c>
      <c r="E1325" t="s">
        <v>292</v>
      </c>
      <c r="F1325" t="s">
        <v>285</v>
      </c>
      <c r="G1325" t="s">
        <v>63</v>
      </c>
      <c r="H1325" t="s">
        <v>70</v>
      </c>
      <c r="J1325" t="s">
        <v>193</v>
      </c>
      <c r="K1325" t="s">
        <v>250</v>
      </c>
      <c r="L1325">
        <v>919000</v>
      </c>
      <c r="M1325" t="s">
        <v>242</v>
      </c>
      <c r="N1325" t="s">
        <v>1250</v>
      </c>
    </row>
    <row r="1326" spans="1:16" hidden="1" x14ac:dyDescent="0.25">
      <c r="A1326" s="16">
        <v>45658</v>
      </c>
      <c r="B1326" t="s">
        <v>97</v>
      </c>
      <c r="C1326">
        <v>30</v>
      </c>
      <c r="D1326" t="s">
        <v>291</v>
      </c>
      <c r="E1326" t="s">
        <v>292</v>
      </c>
      <c r="F1326" t="s">
        <v>285</v>
      </c>
      <c r="G1326" t="s">
        <v>63</v>
      </c>
      <c r="H1326" t="s">
        <v>71</v>
      </c>
      <c r="J1326" t="s">
        <v>193</v>
      </c>
      <c r="K1326" t="s">
        <v>250</v>
      </c>
      <c r="L1326">
        <v>653000</v>
      </c>
      <c r="M1326" t="s">
        <v>242</v>
      </c>
      <c r="N1326" t="s">
        <v>1251</v>
      </c>
    </row>
    <row r="1327" spans="1:16" hidden="1" x14ac:dyDescent="0.25">
      <c r="A1327" s="16">
        <v>45658</v>
      </c>
      <c r="B1327" t="s">
        <v>97</v>
      </c>
      <c r="C1327">
        <v>30</v>
      </c>
      <c r="D1327" t="s">
        <v>291</v>
      </c>
      <c r="E1327" t="s">
        <v>292</v>
      </c>
      <c r="F1327" t="s">
        <v>285</v>
      </c>
      <c r="G1327" t="s">
        <v>63</v>
      </c>
      <c r="H1327" t="s">
        <v>72</v>
      </c>
      <c r="J1327" t="s">
        <v>193</v>
      </c>
      <c r="K1327" t="s">
        <v>250</v>
      </c>
      <c r="L1327">
        <v>493000</v>
      </c>
      <c r="M1327" t="s">
        <v>242</v>
      </c>
      <c r="N1327" t="s">
        <v>1252</v>
      </c>
    </row>
    <row r="1328" spans="1:16" hidden="1" x14ac:dyDescent="0.25">
      <c r="A1328" s="16">
        <v>45658</v>
      </c>
      <c r="B1328" t="s">
        <v>97</v>
      </c>
      <c r="C1328">
        <v>30</v>
      </c>
      <c r="D1328" t="s">
        <v>291</v>
      </c>
      <c r="E1328" t="s">
        <v>292</v>
      </c>
      <c r="F1328" t="s">
        <v>285</v>
      </c>
      <c r="G1328" t="s">
        <v>63</v>
      </c>
      <c r="H1328" t="s">
        <v>73</v>
      </c>
      <c r="J1328" t="s">
        <v>193</v>
      </c>
      <c r="K1328" t="s">
        <v>250</v>
      </c>
      <c r="L1328">
        <v>309000</v>
      </c>
      <c r="M1328" t="s">
        <v>242</v>
      </c>
      <c r="N1328" t="s">
        <v>1253</v>
      </c>
    </row>
    <row r="1329" spans="1:17" hidden="1" x14ac:dyDescent="0.25">
      <c r="A1329" s="16">
        <v>45658</v>
      </c>
      <c r="B1329" t="s">
        <v>97</v>
      </c>
      <c r="C1329">
        <v>30</v>
      </c>
      <c r="D1329" t="s">
        <v>291</v>
      </c>
      <c r="E1329" t="s">
        <v>292</v>
      </c>
      <c r="F1329" t="s">
        <v>285</v>
      </c>
      <c r="G1329" t="s">
        <v>63</v>
      </c>
      <c r="H1329" t="s">
        <v>74</v>
      </c>
      <c r="J1329" t="s">
        <v>193</v>
      </c>
      <c r="K1329" t="s">
        <v>250</v>
      </c>
      <c r="L1329">
        <v>114000</v>
      </c>
      <c r="M1329" t="s">
        <v>242</v>
      </c>
      <c r="N1329" t="s">
        <v>1254</v>
      </c>
    </row>
    <row r="1330" spans="1:17" hidden="1" x14ac:dyDescent="0.25">
      <c r="A1330" s="16">
        <v>45658</v>
      </c>
      <c r="B1330" t="s">
        <v>97</v>
      </c>
      <c r="C1330">
        <v>30</v>
      </c>
      <c r="D1330" t="s">
        <v>291</v>
      </c>
      <c r="E1330" t="s">
        <v>292</v>
      </c>
      <c r="F1330" t="s">
        <v>285</v>
      </c>
      <c r="G1330" t="s">
        <v>63</v>
      </c>
      <c r="H1330" t="s">
        <v>75</v>
      </c>
      <c r="J1330" t="s">
        <v>193</v>
      </c>
      <c r="K1330" t="s">
        <v>250</v>
      </c>
      <c r="L1330">
        <v>36000</v>
      </c>
      <c r="M1330" t="s">
        <v>242</v>
      </c>
      <c r="N1330" t="s">
        <v>393</v>
      </c>
    </row>
    <row r="1331" spans="1:17" hidden="1" x14ac:dyDescent="0.25">
      <c r="A1331" s="16">
        <v>45658</v>
      </c>
      <c r="B1331" t="s">
        <v>97</v>
      </c>
      <c r="C1331">
        <v>30</v>
      </c>
      <c r="D1331" t="s">
        <v>291</v>
      </c>
      <c r="E1331" t="s">
        <v>292</v>
      </c>
      <c r="F1331" t="s">
        <v>285</v>
      </c>
      <c r="G1331" t="s">
        <v>63</v>
      </c>
      <c r="H1331" t="s">
        <v>76</v>
      </c>
      <c r="J1331" t="s">
        <v>193</v>
      </c>
      <c r="K1331" t="s">
        <v>250</v>
      </c>
      <c r="L1331">
        <v>12000</v>
      </c>
      <c r="M1331" t="s">
        <v>242</v>
      </c>
      <c r="N1331" t="s">
        <v>1255</v>
      </c>
    </row>
    <row r="1332" spans="1:17" hidden="1" x14ac:dyDescent="0.25">
      <c r="A1332" s="16">
        <v>45658</v>
      </c>
      <c r="B1332" t="s">
        <v>97</v>
      </c>
      <c r="C1332">
        <v>30</v>
      </c>
      <c r="D1332" t="s">
        <v>291</v>
      </c>
      <c r="E1332" t="s">
        <v>292</v>
      </c>
      <c r="F1332" t="s">
        <v>285</v>
      </c>
      <c r="G1332" t="s">
        <v>63</v>
      </c>
      <c r="H1332" t="s">
        <v>77</v>
      </c>
      <c r="J1332" t="s">
        <v>193</v>
      </c>
      <c r="K1332" t="s">
        <v>250</v>
      </c>
      <c r="L1332">
        <v>1000</v>
      </c>
      <c r="M1332" t="s">
        <v>242</v>
      </c>
      <c r="N1332" t="s">
        <v>476</v>
      </c>
    </row>
    <row r="1333" spans="1:17" hidden="1" x14ac:dyDescent="0.25">
      <c r="A1333" s="16">
        <v>45658</v>
      </c>
      <c r="B1333" t="s">
        <v>97</v>
      </c>
      <c r="C1333">
        <v>31</v>
      </c>
      <c r="D1333" t="s">
        <v>291</v>
      </c>
      <c r="E1333" t="s">
        <v>292</v>
      </c>
      <c r="F1333" t="s">
        <v>477</v>
      </c>
      <c r="G1333" t="s">
        <v>99</v>
      </c>
      <c r="H1333" t="s">
        <v>100</v>
      </c>
      <c r="J1333" t="s">
        <v>193</v>
      </c>
      <c r="K1333" t="s">
        <v>250</v>
      </c>
      <c r="L1333">
        <v>911</v>
      </c>
      <c r="M1333" t="s">
        <v>242</v>
      </c>
      <c r="N1333" t="s">
        <v>1256</v>
      </c>
    </row>
    <row r="1334" spans="1:17" hidden="1" x14ac:dyDescent="0.25">
      <c r="A1334" s="16">
        <v>45658</v>
      </c>
      <c r="B1334" t="s">
        <v>97</v>
      </c>
      <c r="C1334">
        <v>31</v>
      </c>
      <c r="D1334" t="s">
        <v>291</v>
      </c>
      <c r="E1334" t="s">
        <v>292</v>
      </c>
      <c r="F1334" t="s">
        <v>477</v>
      </c>
      <c r="G1334" t="s">
        <v>99</v>
      </c>
      <c r="H1334" t="s">
        <v>101</v>
      </c>
      <c r="J1334" t="s">
        <v>193</v>
      </c>
      <c r="K1334" t="s">
        <v>250</v>
      </c>
      <c r="L1334">
        <v>1149</v>
      </c>
      <c r="M1334" t="s">
        <v>242</v>
      </c>
      <c r="N1334" t="s">
        <v>1063</v>
      </c>
    </row>
    <row r="1335" spans="1:17" hidden="1" x14ac:dyDescent="0.25">
      <c r="A1335" s="16">
        <v>45658</v>
      </c>
      <c r="B1335" t="s">
        <v>97</v>
      </c>
      <c r="C1335">
        <v>31</v>
      </c>
      <c r="D1335" t="s">
        <v>291</v>
      </c>
      <c r="E1335" t="s">
        <v>292</v>
      </c>
      <c r="F1335" t="s">
        <v>477</v>
      </c>
      <c r="G1335" t="s">
        <v>99</v>
      </c>
      <c r="H1335" t="s">
        <v>102</v>
      </c>
      <c r="J1335" t="s">
        <v>193</v>
      </c>
      <c r="K1335" t="s">
        <v>250</v>
      </c>
      <c r="L1335">
        <v>6</v>
      </c>
      <c r="M1335" t="s">
        <v>242</v>
      </c>
      <c r="N1335" t="s">
        <v>1257</v>
      </c>
    </row>
    <row r="1336" spans="1:17" hidden="1" x14ac:dyDescent="0.25">
      <c r="A1336" s="16">
        <v>45658</v>
      </c>
      <c r="B1336" t="s">
        <v>97</v>
      </c>
      <c r="C1336">
        <v>31</v>
      </c>
      <c r="D1336" t="s">
        <v>291</v>
      </c>
      <c r="E1336" t="s">
        <v>292</v>
      </c>
      <c r="F1336" t="s">
        <v>477</v>
      </c>
      <c r="G1336" t="s">
        <v>99</v>
      </c>
      <c r="H1336" t="s">
        <v>103</v>
      </c>
      <c r="J1336" t="s">
        <v>193</v>
      </c>
      <c r="K1336" t="s">
        <v>250</v>
      </c>
      <c r="L1336">
        <v>2460000</v>
      </c>
      <c r="M1336" t="s">
        <v>242</v>
      </c>
      <c r="N1336" t="s">
        <v>1258</v>
      </c>
    </row>
    <row r="1337" spans="1:17" hidden="1" x14ac:dyDescent="0.25">
      <c r="A1337" s="16">
        <v>45658</v>
      </c>
      <c r="B1337" t="s">
        <v>97</v>
      </c>
      <c r="C1337">
        <v>31</v>
      </c>
      <c r="D1337" t="s">
        <v>291</v>
      </c>
      <c r="E1337" t="s">
        <v>292</v>
      </c>
      <c r="F1337" t="s">
        <v>477</v>
      </c>
      <c r="G1337" t="s">
        <v>99</v>
      </c>
      <c r="H1337" t="s">
        <v>104</v>
      </c>
      <c r="J1337" t="s">
        <v>193</v>
      </c>
      <c r="K1337" t="s">
        <v>250</v>
      </c>
      <c r="L1337">
        <v>3268</v>
      </c>
      <c r="M1337" t="s">
        <v>242</v>
      </c>
      <c r="N1337" t="s">
        <v>1259</v>
      </c>
    </row>
    <row r="1338" spans="1:17" hidden="1" x14ac:dyDescent="0.25">
      <c r="A1338" s="16">
        <v>45658</v>
      </c>
      <c r="B1338" t="s">
        <v>97</v>
      </c>
      <c r="C1338">
        <v>32</v>
      </c>
      <c r="D1338" t="s">
        <v>253</v>
      </c>
      <c r="E1338" t="s">
        <v>248</v>
      </c>
      <c r="F1338" t="s">
        <v>240</v>
      </c>
      <c r="G1338" t="s">
        <v>82</v>
      </c>
      <c r="J1338" t="s">
        <v>191</v>
      </c>
      <c r="K1338" t="s">
        <v>255</v>
      </c>
      <c r="L1338">
        <v>5560000</v>
      </c>
      <c r="M1338" t="s">
        <v>242</v>
      </c>
      <c r="N1338" t="s">
        <v>880</v>
      </c>
      <c r="O1338">
        <v>1</v>
      </c>
      <c r="P1338" t="s">
        <v>257</v>
      </c>
    </row>
    <row r="1339" spans="1:17" hidden="1" x14ac:dyDescent="0.25">
      <c r="A1339" s="16">
        <v>45658</v>
      </c>
      <c r="B1339" t="s">
        <v>97</v>
      </c>
      <c r="C1339">
        <v>32</v>
      </c>
      <c r="D1339" t="s">
        <v>253</v>
      </c>
      <c r="E1339" t="s">
        <v>248</v>
      </c>
      <c r="F1339" t="s">
        <v>240</v>
      </c>
      <c r="G1339" t="s">
        <v>82</v>
      </c>
      <c r="J1339" t="s">
        <v>192</v>
      </c>
      <c r="K1339" t="s">
        <v>255</v>
      </c>
      <c r="L1339">
        <v>6410000</v>
      </c>
      <c r="M1339" t="s">
        <v>242</v>
      </c>
      <c r="N1339" t="s">
        <v>1260</v>
      </c>
      <c r="O1339">
        <v>1</v>
      </c>
      <c r="P1339" t="s">
        <v>257</v>
      </c>
      <c r="Q1339" t="s">
        <v>1261</v>
      </c>
    </row>
    <row r="1340" spans="1:17" hidden="1" x14ac:dyDescent="0.25">
      <c r="A1340" s="16">
        <v>45658</v>
      </c>
      <c r="B1340" t="s">
        <v>97</v>
      </c>
      <c r="C1340">
        <v>32</v>
      </c>
      <c r="D1340" t="s">
        <v>253</v>
      </c>
      <c r="E1340" t="s">
        <v>248</v>
      </c>
      <c r="F1340" t="s">
        <v>240</v>
      </c>
      <c r="G1340" t="s">
        <v>82</v>
      </c>
      <c r="J1340" t="s">
        <v>193</v>
      </c>
      <c r="K1340" t="s">
        <v>255</v>
      </c>
      <c r="L1340">
        <v>6250000</v>
      </c>
      <c r="M1340" t="s">
        <v>242</v>
      </c>
      <c r="N1340" t="s">
        <v>1067</v>
      </c>
      <c r="O1340">
        <v>1</v>
      </c>
      <c r="P1340" t="s">
        <v>261</v>
      </c>
    </row>
    <row r="1341" spans="1:17" hidden="1" x14ac:dyDescent="0.25">
      <c r="A1341" s="16">
        <v>45658</v>
      </c>
      <c r="B1341" t="s">
        <v>97</v>
      </c>
      <c r="C1341">
        <v>32</v>
      </c>
      <c r="D1341" t="s">
        <v>247</v>
      </c>
      <c r="E1341" t="s">
        <v>248</v>
      </c>
      <c r="F1341" t="s">
        <v>240</v>
      </c>
      <c r="G1341" t="s">
        <v>82</v>
      </c>
      <c r="H1341" t="s">
        <v>249</v>
      </c>
      <c r="J1341" t="s">
        <v>193</v>
      </c>
      <c r="K1341" t="s">
        <v>250</v>
      </c>
      <c r="L1341">
        <v>2.5</v>
      </c>
      <c r="M1341" t="s">
        <v>251</v>
      </c>
      <c r="N1341" t="s">
        <v>287</v>
      </c>
    </row>
    <row r="1342" spans="1:17" hidden="1" x14ac:dyDescent="0.25">
      <c r="A1342" s="16">
        <v>45658</v>
      </c>
      <c r="B1342" t="s">
        <v>97</v>
      </c>
      <c r="C1342">
        <v>33</v>
      </c>
      <c r="D1342" t="s">
        <v>291</v>
      </c>
      <c r="E1342" t="s">
        <v>292</v>
      </c>
      <c r="F1342" t="s">
        <v>240</v>
      </c>
      <c r="G1342" t="s">
        <v>82</v>
      </c>
      <c r="H1342" t="s">
        <v>105</v>
      </c>
      <c r="J1342" t="s">
        <v>193</v>
      </c>
      <c r="K1342" t="s">
        <v>250</v>
      </c>
      <c r="L1342">
        <v>117400</v>
      </c>
      <c r="M1342" t="s">
        <v>242</v>
      </c>
      <c r="N1342" t="s">
        <v>1262</v>
      </c>
    </row>
    <row r="1343" spans="1:17" hidden="1" x14ac:dyDescent="0.25">
      <c r="A1343" s="16">
        <v>45658</v>
      </c>
      <c r="B1343" t="s">
        <v>97</v>
      </c>
      <c r="C1343">
        <v>33</v>
      </c>
      <c r="D1343" t="s">
        <v>291</v>
      </c>
      <c r="E1343" t="s">
        <v>292</v>
      </c>
      <c r="F1343" t="s">
        <v>240</v>
      </c>
      <c r="G1343" t="s">
        <v>82</v>
      </c>
      <c r="H1343" t="s">
        <v>106</v>
      </c>
      <c r="J1343" t="s">
        <v>193</v>
      </c>
      <c r="K1343" t="s">
        <v>250</v>
      </c>
      <c r="L1343">
        <v>172900</v>
      </c>
      <c r="M1343" t="s">
        <v>242</v>
      </c>
      <c r="N1343" t="s">
        <v>1263</v>
      </c>
    </row>
    <row r="1344" spans="1:17" hidden="1" x14ac:dyDescent="0.25">
      <c r="A1344" s="16">
        <v>45658</v>
      </c>
      <c r="B1344" t="s">
        <v>97</v>
      </c>
      <c r="C1344">
        <v>33</v>
      </c>
      <c r="D1344" t="s">
        <v>291</v>
      </c>
      <c r="E1344" t="s">
        <v>292</v>
      </c>
      <c r="F1344" t="s">
        <v>240</v>
      </c>
      <c r="G1344" t="s">
        <v>82</v>
      </c>
      <c r="H1344" t="s">
        <v>83</v>
      </c>
      <c r="J1344" t="s">
        <v>193</v>
      </c>
      <c r="K1344" t="s">
        <v>250</v>
      </c>
      <c r="L1344">
        <v>5930000</v>
      </c>
      <c r="M1344" t="s">
        <v>242</v>
      </c>
      <c r="N1344" t="s">
        <v>1264</v>
      </c>
    </row>
    <row r="1345" spans="1:16" hidden="1" x14ac:dyDescent="0.25">
      <c r="A1345" s="16">
        <v>45658</v>
      </c>
      <c r="B1345" t="s">
        <v>97</v>
      </c>
      <c r="C1345">
        <v>33</v>
      </c>
      <c r="D1345" t="s">
        <v>291</v>
      </c>
      <c r="E1345" t="s">
        <v>292</v>
      </c>
      <c r="F1345" t="s">
        <v>240</v>
      </c>
      <c r="G1345" t="s">
        <v>82</v>
      </c>
      <c r="H1345" t="s">
        <v>84</v>
      </c>
      <c r="J1345" t="s">
        <v>193</v>
      </c>
      <c r="K1345" t="s">
        <v>250</v>
      </c>
      <c r="L1345">
        <v>190800</v>
      </c>
      <c r="M1345" t="s">
        <v>242</v>
      </c>
      <c r="N1345" t="s">
        <v>1265</v>
      </c>
    </row>
    <row r="1346" spans="1:16" hidden="1" x14ac:dyDescent="0.25">
      <c r="A1346" s="16">
        <v>45658</v>
      </c>
      <c r="B1346" t="s">
        <v>97</v>
      </c>
      <c r="C1346">
        <v>34</v>
      </c>
      <c r="D1346" t="s">
        <v>291</v>
      </c>
      <c r="E1346" t="s">
        <v>292</v>
      </c>
      <c r="F1346" t="s">
        <v>240</v>
      </c>
      <c r="G1346" t="s">
        <v>82</v>
      </c>
      <c r="H1346" t="s">
        <v>105</v>
      </c>
      <c r="I1346" t="s">
        <v>491</v>
      </c>
      <c r="J1346" t="s">
        <v>193</v>
      </c>
      <c r="K1346" t="s">
        <v>250</v>
      </c>
      <c r="L1346">
        <v>1.34</v>
      </c>
      <c r="M1346" t="s">
        <v>251</v>
      </c>
      <c r="N1346" t="s">
        <v>1266</v>
      </c>
    </row>
    <row r="1347" spans="1:16" hidden="1" x14ac:dyDescent="0.25">
      <c r="A1347" s="16">
        <v>45658</v>
      </c>
      <c r="B1347" t="s">
        <v>97</v>
      </c>
      <c r="C1347">
        <v>34</v>
      </c>
      <c r="D1347" t="s">
        <v>291</v>
      </c>
      <c r="E1347" t="s">
        <v>292</v>
      </c>
      <c r="F1347" t="s">
        <v>240</v>
      </c>
      <c r="G1347" t="s">
        <v>82</v>
      </c>
      <c r="H1347" t="s">
        <v>105</v>
      </c>
      <c r="I1347" t="s">
        <v>493</v>
      </c>
      <c r="J1347" t="s">
        <v>193</v>
      </c>
      <c r="K1347" t="s">
        <v>250</v>
      </c>
      <c r="L1347">
        <v>98.66</v>
      </c>
      <c r="M1347" t="s">
        <v>251</v>
      </c>
      <c r="N1347" t="s">
        <v>1267</v>
      </c>
    </row>
    <row r="1348" spans="1:16" hidden="1" x14ac:dyDescent="0.25">
      <c r="A1348" s="16">
        <v>45658</v>
      </c>
      <c r="B1348" t="s">
        <v>97</v>
      </c>
      <c r="C1348">
        <v>34</v>
      </c>
      <c r="D1348" t="s">
        <v>291</v>
      </c>
      <c r="E1348" t="s">
        <v>292</v>
      </c>
      <c r="F1348" t="s">
        <v>240</v>
      </c>
      <c r="G1348" t="s">
        <v>82</v>
      </c>
      <c r="H1348" t="s">
        <v>106</v>
      </c>
      <c r="I1348" t="s">
        <v>491</v>
      </c>
      <c r="J1348" t="s">
        <v>193</v>
      </c>
      <c r="K1348" t="s">
        <v>250</v>
      </c>
      <c r="L1348">
        <v>7.29</v>
      </c>
      <c r="M1348" t="s">
        <v>251</v>
      </c>
      <c r="N1348" t="s">
        <v>1268</v>
      </c>
    </row>
    <row r="1349" spans="1:16" hidden="1" x14ac:dyDescent="0.25">
      <c r="A1349" s="16">
        <v>45658</v>
      </c>
      <c r="B1349" t="s">
        <v>97</v>
      </c>
      <c r="C1349">
        <v>34</v>
      </c>
      <c r="D1349" t="s">
        <v>291</v>
      </c>
      <c r="E1349" t="s">
        <v>292</v>
      </c>
      <c r="F1349" t="s">
        <v>240</v>
      </c>
      <c r="G1349" t="s">
        <v>82</v>
      </c>
      <c r="H1349" t="s">
        <v>106</v>
      </c>
      <c r="I1349" t="s">
        <v>493</v>
      </c>
      <c r="J1349" t="s">
        <v>193</v>
      </c>
      <c r="K1349" t="s">
        <v>250</v>
      </c>
      <c r="L1349">
        <v>92.71</v>
      </c>
      <c r="M1349" t="s">
        <v>251</v>
      </c>
      <c r="N1349" t="s">
        <v>1269</v>
      </c>
    </row>
    <row r="1350" spans="1:16" hidden="1" x14ac:dyDescent="0.25">
      <c r="A1350" s="16">
        <v>45658</v>
      </c>
      <c r="B1350" t="s">
        <v>97</v>
      </c>
      <c r="C1350">
        <v>34</v>
      </c>
      <c r="D1350" t="s">
        <v>291</v>
      </c>
      <c r="E1350" t="s">
        <v>292</v>
      </c>
      <c r="F1350" t="s">
        <v>240</v>
      </c>
      <c r="G1350" t="s">
        <v>82</v>
      </c>
      <c r="H1350" t="s">
        <v>83</v>
      </c>
      <c r="I1350" t="s">
        <v>497</v>
      </c>
      <c r="J1350" t="s">
        <v>193</v>
      </c>
      <c r="K1350" t="s">
        <v>250</v>
      </c>
      <c r="L1350">
        <v>1.57</v>
      </c>
      <c r="M1350" t="s">
        <v>251</v>
      </c>
      <c r="N1350" t="s">
        <v>1270</v>
      </c>
    </row>
    <row r="1351" spans="1:16" hidden="1" x14ac:dyDescent="0.25">
      <c r="A1351" s="16">
        <v>45658</v>
      </c>
      <c r="B1351" t="s">
        <v>97</v>
      </c>
      <c r="C1351">
        <v>34</v>
      </c>
      <c r="D1351" t="s">
        <v>291</v>
      </c>
      <c r="E1351" t="s">
        <v>292</v>
      </c>
      <c r="F1351" t="s">
        <v>240</v>
      </c>
      <c r="G1351" t="s">
        <v>82</v>
      </c>
      <c r="H1351" t="s">
        <v>83</v>
      </c>
      <c r="I1351" t="s">
        <v>499</v>
      </c>
      <c r="J1351" t="s">
        <v>193</v>
      </c>
      <c r="K1351" t="s">
        <v>250</v>
      </c>
      <c r="L1351">
        <v>0</v>
      </c>
      <c r="M1351" t="s">
        <v>251</v>
      </c>
      <c r="N1351" t="s">
        <v>1271</v>
      </c>
    </row>
    <row r="1352" spans="1:16" hidden="1" x14ac:dyDescent="0.25">
      <c r="A1352" s="16">
        <v>45658</v>
      </c>
      <c r="B1352" t="s">
        <v>97</v>
      </c>
      <c r="C1352">
        <v>34</v>
      </c>
      <c r="D1352" t="s">
        <v>291</v>
      </c>
      <c r="E1352" t="s">
        <v>292</v>
      </c>
      <c r="F1352" t="s">
        <v>240</v>
      </c>
      <c r="G1352" t="s">
        <v>82</v>
      </c>
      <c r="H1352" t="s">
        <v>83</v>
      </c>
      <c r="I1352" t="s">
        <v>501</v>
      </c>
      <c r="J1352" t="s">
        <v>193</v>
      </c>
      <c r="K1352" t="s">
        <v>250</v>
      </c>
      <c r="L1352">
        <v>0.5</v>
      </c>
      <c r="M1352" t="s">
        <v>251</v>
      </c>
      <c r="N1352" t="s">
        <v>1272</v>
      </c>
    </row>
    <row r="1353" spans="1:16" hidden="1" x14ac:dyDescent="0.25">
      <c r="A1353" s="16">
        <v>45658</v>
      </c>
      <c r="B1353" t="s">
        <v>97</v>
      </c>
      <c r="C1353">
        <v>34</v>
      </c>
      <c r="D1353" t="s">
        <v>291</v>
      </c>
      <c r="E1353" t="s">
        <v>292</v>
      </c>
      <c r="F1353" t="s">
        <v>240</v>
      </c>
      <c r="G1353" t="s">
        <v>82</v>
      </c>
      <c r="H1353" t="s">
        <v>83</v>
      </c>
      <c r="I1353" t="s">
        <v>503</v>
      </c>
      <c r="J1353" t="s">
        <v>193</v>
      </c>
      <c r="K1353" t="s">
        <v>250</v>
      </c>
      <c r="L1353">
        <v>3.66</v>
      </c>
      <c r="M1353" t="s">
        <v>251</v>
      </c>
      <c r="N1353" t="s">
        <v>1273</v>
      </c>
    </row>
    <row r="1354" spans="1:16" hidden="1" x14ac:dyDescent="0.25">
      <c r="A1354" s="16">
        <v>45658</v>
      </c>
      <c r="B1354" t="s">
        <v>97</v>
      </c>
      <c r="C1354">
        <v>34</v>
      </c>
      <c r="D1354" t="s">
        <v>291</v>
      </c>
      <c r="E1354" t="s">
        <v>292</v>
      </c>
      <c r="F1354" t="s">
        <v>240</v>
      </c>
      <c r="G1354" t="s">
        <v>82</v>
      </c>
      <c r="H1354" t="s">
        <v>83</v>
      </c>
      <c r="I1354" t="s">
        <v>315</v>
      </c>
      <c r="J1354" t="s">
        <v>193</v>
      </c>
      <c r="K1354" t="s">
        <v>250</v>
      </c>
      <c r="L1354">
        <v>88.29</v>
      </c>
      <c r="M1354" t="s">
        <v>251</v>
      </c>
      <c r="N1354" t="s">
        <v>1274</v>
      </c>
    </row>
    <row r="1355" spans="1:16" hidden="1" x14ac:dyDescent="0.25">
      <c r="A1355" s="16">
        <v>45658</v>
      </c>
      <c r="B1355" t="s">
        <v>97</v>
      </c>
      <c r="C1355">
        <v>34</v>
      </c>
      <c r="D1355" t="s">
        <v>291</v>
      </c>
      <c r="E1355" t="s">
        <v>292</v>
      </c>
      <c r="F1355" t="s">
        <v>240</v>
      </c>
      <c r="G1355" t="s">
        <v>82</v>
      </c>
      <c r="H1355" t="s">
        <v>83</v>
      </c>
      <c r="I1355" t="s">
        <v>317</v>
      </c>
      <c r="J1355" t="s">
        <v>193</v>
      </c>
      <c r="K1355" t="s">
        <v>250</v>
      </c>
      <c r="L1355">
        <v>5.98</v>
      </c>
      <c r="M1355" t="s">
        <v>251</v>
      </c>
      <c r="N1355" t="s">
        <v>1275</v>
      </c>
    </row>
    <row r="1356" spans="1:16" hidden="1" x14ac:dyDescent="0.25">
      <c r="A1356" s="16">
        <v>45658</v>
      </c>
      <c r="B1356" t="s">
        <v>97</v>
      </c>
      <c r="C1356">
        <v>34</v>
      </c>
      <c r="D1356" t="s">
        <v>291</v>
      </c>
      <c r="E1356" t="s">
        <v>292</v>
      </c>
      <c r="F1356" t="s">
        <v>240</v>
      </c>
      <c r="G1356" t="s">
        <v>82</v>
      </c>
      <c r="H1356" t="s">
        <v>84</v>
      </c>
      <c r="I1356" t="s">
        <v>84</v>
      </c>
      <c r="J1356" t="s">
        <v>193</v>
      </c>
      <c r="K1356" t="s">
        <v>250</v>
      </c>
      <c r="L1356">
        <v>69.05</v>
      </c>
      <c r="M1356" t="s">
        <v>251</v>
      </c>
      <c r="N1356" t="s">
        <v>1276</v>
      </c>
    </row>
    <row r="1357" spans="1:16" hidden="1" x14ac:dyDescent="0.25">
      <c r="A1357" s="16">
        <v>45658</v>
      </c>
      <c r="B1357" t="s">
        <v>97</v>
      </c>
      <c r="C1357">
        <v>34</v>
      </c>
      <c r="D1357" t="s">
        <v>291</v>
      </c>
      <c r="E1357" t="s">
        <v>292</v>
      </c>
      <c r="F1357" t="s">
        <v>240</v>
      </c>
      <c r="G1357" t="s">
        <v>82</v>
      </c>
      <c r="H1357" t="s">
        <v>84</v>
      </c>
      <c r="I1357" t="s">
        <v>321</v>
      </c>
      <c r="J1357" t="s">
        <v>193</v>
      </c>
      <c r="K1357" t="s">
        <v>250</v>
      </c>
      <c r="L1357">
        <v>30.95</v>
      </c>
      <c r="M1357" t="s">
        <v>251</v>
      </c>
      <c r="N1357" t="s">
        <v>1277</v>
      </c>
    </row>
    <row r="1358" spans="1:16" hidden="1" x14ac:dyDescent="0.25">
      <c r="A1358" s="16">
        <v>45658</v>
      </c>
      <c r="B1358" t="s">
        <v>97</v>
      </c>
      <c r="C1358">
        <v>35</v>
      </c>
      <c r="D1358" t="s">
        <v>253</v>
      </c>
      <c r="E1358" t="s">
        <v>248</v>
      </c>
      <c r="F1358" t="s">
        <v>244</v>
      </c>
      <c r="G1358" t="s">
        <v>82</v>
      </c>
      <c r="J1358" t="s">
        <v>191</v>
      </c>
      <c r="K1358" t="s">
        <v>255</v>
      </c>
      <c r="L1358">
        <v>444000000</v>
      </c>
      <c r="M1358" t="s">
        <v>245</v>
      </c>
      <c r="N1358" t="s">
        <v>897</v>
      </c>
      <c r="O1358">
        <v>1</v>
      </c>
      <c r="P1358" t="s">
        <v>257</v>
      </c>
    </row>
    <row r="1359" spans="1:16" hidden="1" x14ac:dyDescent="0.25">
      <c r="A1359" s="16">
        <v>45658</v>
      </c>
      <c r="B1359" t="s">
        <v>97</v>
      </c>
      <c r="C1359">
        <v>35</v>
      </c>
      <c r="D1359" t="s">
        <v>253</v>
      </c>
      <c r="E1359" t="s">
        <v>248</v>
      </c>
      <c r="F1359" t="s">
        <v>244</v>
      </c>
      <c r="G1359" t="s">
        <v>82</v>
      </c>
      <c r="J1359" t="s">
        <v>192</v>
      </c>
      <c r="K1359" t="s">
        <v>255</v>
      </c>
      <c r="L1359">
        <v>493000000</v>
      </c>
      <c r="M1359" t="s">
        <v>245</v>
      </c>
      <c r="N1359" t="s">
        <v>1083</v>
      </c>
      <c r="O1359">
        <v>1</v>
      </c>
      <c r="P1359" t="s">
        <v>257</v>
      </c>
    </row>
    <row r="1360" spans="1:16" hidden="1" x14ac:dyDescent="0.25">
      <c r="A1360" s="16">
        <v>45658</v>
      </c>
      <c r="B1360" t="s">
        <v>97</v>
      </c>
      <c r="C1360">
        <v>35</v>
      </c>
      <c r="D1360" t="s">
        <v>253</v>
      </c>
      <c r="E1360" t="s">
        <v>248</v>
      </c>
      <c r="F1360" t="s">
        <v>244</v>
      </c>
      <c r="G1360" t="s">
        <v>82</v>
      </c>
      <c r="J1360" t="s">
        <v>193</v>
      </c>
      <c r="K1360" t="s">
        <v>255</v>
      </c>
      <c r="L1360">
        <v>469000000</v>
      </c>
      <c r="M1360" t="s">
        <v>245</v>
      </c>
      <c r="N1360" t="s">
        <v>1278</v>
      </c>
      <c r="O1360">
        <v>1</v>
      </c>
      <c r="P1360" t="s">
        <v>261</v>
      </c>
    </row>
    <row r="1361" spans="1:14" hidden="1" x14ac:dyDescent="0.25">
      <c r="A1361" s="16">
        <v>45658</v>
      </c>
      <c r="B1361" t="s">
        <v>97</v>
      </c>
      <c r="C1361">
        <v>35</v>
      </c>
      <c r="D1361" t="s">
        <v>247</v>
      </c>
      <c r="E1361" t="s">
        <v>248</v>
      </c>
      <c r="F1361" t="s">
        <v>244</v>
      </c>
      <c r="G1361" t="s">
        <v>82</v>
      </c>
      <c r="H1361" t="s">
        <v>249</v>
      </c>
      <c r="J1361" t="s">
        <v>193</v>
      </c>
      <c r="K1361" t="s">
        <v>250</v>
      </c>
      <c r="L1361">
        <v>5</v>
      </c>
      <c r="M1361" t="s">
        <v>251</v>
      </c>
      <c r="N1361" t="s">
        <v>1279</v>
      </c>
    </row>
    <row r="1362" spans="1:14" hidden="1" x14ac:dyDescent="0.25">
      <c r="A1362" s="16">
        <v>45658</v>
      </c>
      <c r="B1362" t="s">
        <v>97</v>
      </c>
      <c r="C1362">
        <v>36</v>
      </c>
      <c r="D1362" t="s">
        <v>291</v>
      </c>
      <c r="E1362" t="s">
        <v>292</v>
      </c>
      <c r="F1362" t="s">
        <v>244</v>
      </c>
      <c r="G1362" t="s">
        <v>82</v>
      </c>
      <c r="H1362" t="s">
        <v>105</v>
      </c>
      <c r="J1362" t="s">
        <v>193</v>
      </c>
      <c r="K1362" t="s">
        <v>250</v>
      </c>
      <c r="L1362">
        <v>18080000</v>
      </c>
      <c r="M1362" t="s">
        <v>245</v>
      </c>
      <c r="N1362" t="s">
        <v>1280</v>
      </c>
    </row>
    <row r="1363" spans="1:14" hidden="1" x14ac:dyDescent="0.25">
      <c r="A1363" s="16">
        <v>45658</v>
      </c>
      <c r="B1363" t="s">
        <v>97</v>
      </c>
      <c r="C1363">
        <v>36</v>
      </c>
      <c r="D1363" t="s">
        <v>291</v>
      </c>
      <c r="E1363" t="s">
        <v>292</v>
      </c>
      <c r="F1363" t="s">
        <v>244</v>
      </c>
      <c r="G1363" t="s">
        <v>82</v>
      </c>
      <c r="H1363" t="s">
        <v>106</v>
      </c>
      <c r="J1363" t="s">
        <v>193</v>
      </c>
      <c r="K1363" t="s">
        <v>250</v>
      </c>
      <c r="L1363">
        <v>27200000</v>
      </c>
      <c r="M1363" t="s">
        <v>245</v>
      </c>
      <c r="N1363" t="s">
        <v>1281</v>
      </c>
    </row>
    <row r="1364" spans="1:14" hidden="1" x14ac:dyDescent="0.25">
      <c r="A1364" s="16">
        <v>45658</v>
      </c>
      <c r="B1364" t="s">
        <v>97</v>
      </c>
      <c r="C1364">
        <v>36</v>
      </c>
      <c r="D1364" t="s">
        <v>291</v>
      </c>
      <c r="E1364" t="s">
        <v>292</v>
      </c>
      <c r="F1364" t="s">
        <v>244</v>
      </c>
      <c r="G1364" t="s">
        <v>82</v>
      </c>
      <c r="H1364" t="s">
        <v>83</v>
      </c>
      <c r="J1364" t="s">
        <v>193</v>
      </c>
      <c r="K1364" t="s">
        <v>250</v>
      </c>
      <c r="L1364">
        <v>418190000</v>
      </c>
      <c r="M1364" t="s">
        <v>245</v>
      </c>
      <c r="N1364" t="s">
        <v>1282</v>
      </c>
    </row>
    <row r="1365" spans="1:14" hidden="1" x14ac:dyDescent="0.25">
      <c r="A1365" s="16">
        <v>45658</v>
      </c>
      <c r="B1365" t="s">
        <v>97</v>
      </c>
      <c r="C1365">
        <v>36</v>
      </c>
      <c r="D1365" t="s">
        <v>291</v>
      </c>
      <c r="E1365" t="s">
        <v>292</v>
      </c>
      <c r="F1365" t="s">
        <v>244</v>
      </c>
      <c r="G1365" t="s">
        <v>82</v>
      </c>
      <c r="H1365" t="s">
        <v>84</v>
      </c>
      <c r="J1365" t="s">
        <v>193</v>
      </c>
      <c r="K1365" t="s">
        <v>250</v>
      </c>
      <c r="L1365">
        <v>5180000</v>
      </c>
      <c r="M1365" t="s">
        <v>245</v>
      </c>
      <c r="N1365" t="s">
        <v>1283</v>
      </c>
    </row>
    <row r="1366" spans="1:14" hidden="1" x14ac:dyDescent="0.25">
      <c r="A1366" s="16">
        <v>45658</v>
      </c>
      <c r="B1366" t="s">
        <v>97</v>
      </c>
      <c r="C1366">
        <v>37</v>
      </c>
      <c r="D1366" t="s">
        <v>291</v>
      </c>
      <c r="E1366" t="s">
        <v>292</v>
      </c>
      <c r="F1366" t="s">
        <v>244</v>
      </c>
      <c r="G1366" t="s">
        <v>82</v>
      </c>
      <c r="H1366" t="s">
        <v>105</v>
      </c>
      <c r="I1366" t="s">
        <v>491</v>
      </c>
      <c r="J1366" t="s">
        <v>193</v>
      </c>
      <c r="K1366" t="s">
        <v>250</v>
      </c>
      <c r="L1366">
        <v>1.39</v>
      </c>
      <c r="M1366" t="s">
        <v>251</v>
      </c>
      <c r="N1366" t="s">
        <v>1284</v>
      </c>
    </row>
    <row r="1367" spans="1:14" hidden="1" x14ac:dyDescent="0.25">
      <c r="A1367" s="16">
        <v>45658</v>
      </c>
      <c r="B1367" t="s">
        <v>97</v>
      </c>
      <c r="C1367">
        <v>37</v>
      </c>
      <c r="D1367" t="s">
        <v>291</v>
      </c>
      <c r="E1367" t="s">
        <v>292</v>
      </c>
      <c r="F1367" t="s">
        <v>244</v>
      </c>
      <c r="G1367" t="s">
        <v>82</v>
      </c>
      <c r="H1367" t="s">
        <v>105</v>
      </c>
      <c r="I1367" t="s">
        <v>493</v>
      </c>
      <c r="J1367" t="s">
        <v>193</v>
      </c>
      <c r="K1367" t="s">
        <v>250</v>
      </c>
      <c r="L1367">
        <v>98.61</v>
      </c>
      <c r="M1367" t="s">
        <v>251</v>
      </c>
      <c r="N1367" t="s">
        <v>1285</v>
      </c>
    </row>
    <row r="1368" spans="1:14" hidden="1" x14ac:dyDescent="0.25">
      <c r="A1368" s="16">
        <v>45658</v>
      </c>
      <c r="B1368" t="s">
        <v>97</v>
      </c>
      <c r="C1368">
        <v>37</v>
      </c>
      <c r="D1368" t="s">
        <v>291</v>
      </c>
      <c r="E1368" t="s">
        <v>292</v>
      </c>
      <c r="F1368" t="s">
        <v>244</v>
      </c>
      <c r="G1368" t="s">
        <v>82</v>
      </c>
      <c r="H1368" t="s">
        <v>106</v>
      </c>
      <c r="I1368" t="s">
        <v>491</v>
      </c>
      <c r="J1368" t="s">
        <v>193</v>
      </c>
      <c r="K1368" t="s">
        <v>250</v>
      </c>
      <c r="L1368">
        <v>7.69</v>
      </c>
      <c r="M1368" t="s">
        <v>251</v>
      </c>
      <c r="N1368" t="s">
        <v>1286</v>
      </c>
    </row>
    <row r="1369" spans="1:14" hidden="1" x14ac:dyDescent="0.25">
      <c r="A1369" s="16">
        <v>45658</v>
      </c>
      <c r="B1369" t="s">
        <v>97</v>
      </c>
      <c r="C1369">
        <v>37</v>
      </c>
      <c r="D1369" t="s">
        <v>291</v>
      </c>
      <c r="E1369" t="s">
        <v>292</v>
      </c>
      <c r="F1369" t="s">
        <v>244</v>
      </c>
      <c r="G1369" t="s">
        <v>82</v>
      </c>
      <c r="H1369" t="s">
        <v>106</v>
      </c>
      <c r="I1369" t="s">
        <v>493</v>
      </c>
      <c r="J1369" t="s">
        <v>193</v>
      </c>
      <c r="K1369" t="s">
        <v>250</v>
      </c>
      <c r="L1369">
        <v>92.31</v>
      </c>
      <c r="M1369" t="s">
        <v>251</v>
      </c>
      <c r="N1369" t="s">
        <v>1287</v>
      </c>
    </row>
    <row r="1370" spans="1:14" hidden="1" x14ac:dyDescent="0.25">
      <c r="A1370" s="16">
        <v>45658</v>
      </c>
      <c r="B1370" t="s">
        <v>97</v>
      </c>
      <c r="C1370">
        <v>37</v>
      </c>
      <c r="D1370" t="s">
        <v>291</v>
      </c>
      <c r="E1370" t="s">
        <v>292</v>
      </c>
      <c r="F1370" t="s">
        <v>244</v>
      </c>
      <c r="G1370" t="s">
        <v>82</v>
      </c>
      <c r="H1370" t="s">
        <v>83</v>
      </c>
      <c r="I1370" t="s">
        <v>497</v>
      </c>
      <c r="J1370" t="s">
        <v>193</v>
      </c>
      <c r="K1370" t="s">
        <v>250</v>
      </c>
      <c r="L1370">
        <v>3.8</v>
      </c>
      <c r="M1370" t="s">
        <v>251</v>
      </c>
      <c r="N1370" t="s">
        <v>1288</v>
      </c>
    </row>
    <row r="1371" spans="1:14" hidden="1" x14ac:dyDescent="0.25">
      <c r="A1371" s="16">
        <v>45658</v>
      </c>
      <c r="B1371" t="s">
        <v>97</v>
      </c>
      <c r="C1371">
        <v>37</v>
      </c>
      <c r="D1371" t="s">
        <v>291</v>
      </c>
      <c r="E1371" t="s">
        <v>292</v>
      </c>
      <c r="F1371" t="s">
        <v>244</v>
      </c>
      <c r="G1371" t="s">
        <v>82</v>
      </c>
      <c r="H1371" t="s">
        <v>83</v>
      </c>
      <c r="I1371" t="s">
        <v>499</v>
      </c>
      <c r="J1371" t="s">
        <v>193</v>
      </c>
      <c r="K1371" t="s">
        <v>250</v>
      </c>
      <c r="L1371">
        <v>0.01</v>
      </c>
      <c r="M1371" t="s">
        <v>251</v>
      </c>
      <c r="N1371" t="s">
        <v>500</v>
      </c>
    </row>
    <row r="1372" spans="1:14" hidden="1" x14ac:dyDescent="0.25">
      <c r="A1372" s="16">
        <v>45658</v>
      </c>
      <c r="B1372" t="s">
        <v>97</v>
      </c>
      <c r="C1372">
        <v>37</v>
      </c>
      <c r="D1372" t="s">
        <v>291</v>
      </c>
      <c r="E1372" t="s">
        <v>292</v>
      </c>
      <c r="F1372" t="s">
        <v>244</v>
      </c>
      <c r="G1372" t="s">
        <v>82</v>
      </c>
      <c r="H1372" t="s">
        <v>83</v>
      </c>
      <c r="I1372" t="s">
        <v>501</v>
      </c>
      <c r="J1372" t="s">
        <v>193</v>
      </c>
      <c r="K1372" t="s">
        <v>250</v>
      </c>
      <c r="L1372">
        <v>2.4700000000000002</v>
      </c>
      <c r="M1372" t="s">
        <v>251</v>
      </c>
      <c r="N1372" t="s">
        <v>1289</v>
      </c>
    </row>
    <row r="1373" spans="1:14" hidden="1" x14ac:dyDescent="0.25">
      <c r="A1373" s="16">
        <v>45658</v>
      </c>
      <c r="B1373" t="s">
        <v>97</v>
      </c>
      <c r="C1373">
        <v>37</v>
      </c>
      <c r="D1373" t="s">
        <v>291</v>
      </c>
      <c r="E1373" t="s">
        <v>292</v>
      </c>
      <c r="F1373" t="s">
        <v>244</v>
      </c>
      <c r="G1373" t="s">
        <v>82</v>
      </c>
      <c r="H1373" t="s">
        <v>83</v>
      </c>
      <c r="I1373" t="s">
        <v>503</v>
      </c>
      <c r="J1373" t="s">
        <v>193</v>
      </c>
      <c r="K1373" t="s">
        <v>250</v>
      </c>
      <c r="L1373">
        <v>4.68</v>
      </c>
      <c r="M1373" t="s">
        <v>251</v>
      </c>
      <c r="N1373" t="s">
        <v>1290</v>
      </c>
    </row>
    <row r="1374" spans="1:14" hidden="1" x14ac:dyDescent="0.25">
      <c r="A1374" s="16">
        <v>45658</v>
      </c>
      <c r="B1374" t="s">
        <v>97</v>
      </c>
      <c r="C1374">
        <v>37</v>
      </c>
      <c r="D1374" t="s">
        <v>291</v>
      </c>
      <c r="E1374" t="s">
        <v>292</v>
      </c>
      <c r="F1374" t="s">
        <v>244</v>
      </c>
      <c r="G1374" t="s">
        <v>82</v>
      </c>
      <c r="H1374" t="s">
        <v>83</v>
      </c>
      <c r="I1374" t="s">
        <v>315</v>
      </c>
      <c r="J1374" t="s">
        <v>193</v>
      </c>
      <c r="K1374" t="s">
        <v>250</v>
      </c>
      <c r="L1374">
        <v>73.52</v>
      </c>
      <c r="M1374" t="s">
        <v>251</v>
      </c>
      <c r="N1374" t="s">
        <v>1291</v>
      </c>
    </row>
    <row r="1375" spans="1:14" hidden="1" x14ac:dyDescent="0.25">
      <c r="A1375" s="16">
        <v>45658</v>
      </c>
      <c r="B1375" t="s">
        <v>97</v>
      </c>
      <c r="C1375">
        <v>37</v>
      </c>
      <c r="D1375" t="s">
        <v>291</v>
      </c>
      <c r="E1375" t="s">
        <v>292</v>
      </c>
      <c r="F1375" t="s">
        <v>244</v>
      </c>
      <c r="G1375" t="s">
        <v>82</v>
      </c>
      <c r="H1375" t="s">
        <v>83</v>
      </c>
      <c r="I1375" t="s">
        <v>317</v>
      </c>
      <c r="J1375" t="s">
        <v>193</v>
      </c>
      <c r="K1375" t="s">
        <v>250</v>
      </c>
      <c r="L1375">
        <v>15.52</v>
      </c>
      <c r="M1375" t="s">
        <v>251</v>
      </c>
      <c r="N1375" t="s">
        <v>1292</v>
      </c>
    </row>
    <row r="1376" spans="1:14" hidden="1" x14ac:dyDescent="0.25">
      <c r="A1376" s="16">
        <v>45658</v>
      </c>
      <c r="B1376" t="s">
        <v>97</v>
      </c>
      <c r="C1376">
        <v>37</v>
      </c>
      <c r="D1376" t="s">
        <v>291</v>
      </c>
      <c r="E1376" t="s">
        <v>292</v>
      </c>
      <c r="F1376" t="s">
        <v>244</v>
      </c>
      <c r="G1376" t="s">
        <v>82</v>
      </c>
      <c r="H1376" t="s">
        <v>84</v>
      </c>
      <c r="I1376" t="s">
        <v>84</v>
      </c>
      <c r="J1376" t="s">
        <v>193</v>
      </c>
      <c r="K1376" t="s">
        <v>250</v>
      </c>
      <c r="L1376">
        <v>84.49</v>
      </c>
      <c r="M1376" t="s">
        <v>251</v>
      </c>
      <c r="N1376" t="s">
        <v>1293</v>
      </c>
    </row>
    <row r="1377" spans="1:16" hidden="1" x14ac:dyDescent="0.25">
      <c r="A1377" s="16">
        <v>45658</v>
      </c>
      <c r="B1377" t="s">
        <v>97</v>
      </c>
      <c r="C1377">
        <v>37</v>
      </c>
      <c r="D1377" t="s">
        <v>291</v>
      </c>
      <c r="E1377" t="s">
        <v>292</v>
      </c>
      <c r="F1377" t="s">
        <v>244</v>
      </c>
      <c r="G1377" t="s">
        <v>82</v>
      </c>
      <c r="H1377" t="s">
        <v>84</v>
      </c>
      <c r="I1377" t="s">
        <v>321</v>
      </c>
      <c r="J1377" t="s">
        <v>193</v>
      </c>
      <c r="K1377" t="s">
        <v>250</v>
      </c>
      <c r="L1377">
        <v>15.51</v>
      </c>
      <c r="M1377" t="s">
        <v>251</v>
      </c>
      <c r="N1377" t="s">
        <v>1294</v>
      </c>
    </row>
    <row r="1378" spans="1:16" hidden="1" x14ac:dyDescent="0.25">
      <c r="A1378" s="16">
        <v>45658</v>
      </c>
      <c r="B1378" t="s">
        <v>97</v>
      </c>
      <c r="C1378">
        <v>38</v>
      </c>
      <c r="D1378" t="s">
        <v>253</v>
      </c>
      <c r="E1378" t="s">
        <v>248</v>
      </c>
      <c r="F1378" t="s">
        <v>334</v>
      </c>
      <c r="G1378" t="s">
        <v>82</v>
      </c>
      <c r="J1378" t="s">
        <v>191</v>
      </c>
      <c r="K1378" t="s">
        <v>255</v>
      </c>
      <c r="L1378">
        <v>80</v>
      </c>
      <c r="M1378" t="s">
        <v>245</v>
      </c>
      <c r="N1378" t="s">
        <v>913</v>
      </c>
      <c r="O1378">
        <v>1</v>
      </c>
      <c r="P1378" t="s">
        <v>257</v>
      </c>
    </row>
    <row r="1379" spans="1:16" hidden="1" x14ac:dyDescent="0.25">
      <c r="A1379" s="16">
        <v>45658</v>
      </c>
      <c r="B1379" t="s">
        <v>97</v>
      </c>
      <c r="C1379">
        <v>38</v>
      </c>
      <c r="D1379" t="s">
        <v>253</v>
      </c>
      <c r="E1379" t="s">
        <v>248</v>
      </c>
      <c r="F1379" t="s">
        <v>334</v>
      </c>
      <c r="G1379" t="s">
        <v>82</v>
      </c>
      <c r="J1379" t="s">
        <v>192</v>
      </c>
      <c r="K1379" t="s">
        <v>255</v>
      </c>
      <c r="L1379">
        <v>79</v>
      </c>
      <c r="M1379" t="s">
        <v>245</v>
      </c>
      <c r="N1379" t="s">
        <v>1099</v>
      </c>
      <c r="O1379">
        <v>1</v>
      </c>
      <c r="P1379" t="s">
        <v>257</v>
      </c>
    </row>
    <row r="1380" spans="1:16" hidden="1" x14ac:dyDescent="0.25">
      <c r="A1380" s="16">
        <v>45658</v>
      </c>
      <c r="B1380" t="s">
        <v>97</v>
      </c>
      <c r="C1380">
        <v>38</v>
      </c>
      <c r="D1380" t="s">
        <v>253</v>
      </c>
      <c r="E1380" t="s">
        <v>248</v>
      </c>
      <c r="F1380" t="s">
        <v>334</v>
      </c>
      <c r="G1380" t="s">
        <v>82</v>
      </c>
      <c r="J1380" t="s">
        <v>193</v>
      </c>
      <c r="K1380" t="s">
        <v>255</v>
      </c>
      <c r="L1380">
        <v>73</v>
      </c>
      <c r="M1380" t="s">
        <v>245</v>
      </c>
      <c r="N1380" t="s">
        <v>1295</v>
      </c>
      <c r="O1380">
        <v>1</v>
      </c>
      <c r="P1380" t="s">
        <v>261</v>
      </c>
    </row>
    <row r="1381" spans="1:16" hidden="1" x14ac:dyDescent="0.25">
      <c r="A1381" s="16">
        <v>45658</v>
      </c>
      <c r="B1381" t="s">
        <v>97</v>
      </c>
      <c r="C1381">
        <v>39</v>
      </c>
      <c r="D1381" t="s">
        <v>291</v>
      </c>
      <c r="E1381" t="s">
        <v>292</v>
      </c>
      <c r="F1381" t="s">
        <v>240</v>
      </c>
      <c r="G1381" t="s">
        <v>82</v>
      </c>
      <c r="H1381" t="s">
        <v>94</v>
      </c>
      <c r="J1381" t="s">
        <v>193</v>
      </c>
      <c r="K1381" t="s">
        <v>250</v>
      </c>
      <c r="L1381">
        <v>1800000</v>
      </c>
      <c r="M1381" t="s">
        <v>242</v>
      </c>
      <c r="N1381" t="s">
        <v>435</v>
      </c>
    </row>
    <row r="1382" spans="1:16" hidden="1" x14ac:dyDescent="0.25">
      <c r="A1382" s="16">
        <v>45658</v>
      </c>
      <c r="B1382" t="s">
        <v>97</v>
      </c>
      <c r="C1382">
        <v>39</v>
      </c>
      <c r="D1382" t="s">
        <v>291</v>
      </c>
      <c r="E1382" t="s">
        <v>292</v>
      </c>
      <c r="F1382" t="s">
        <v>240</v>
      </c>
      <c r="G1382" t="s">
        <v>82</v>
      </c>
      <c r="H1382" t="s">
        <v>95</v>
      </c>
      <c r="J1382" t="s">
        <v>193</v>
      </c>
      <c r="K1382" t="s">
        <v>250</v>
      </c>
      <c r="L1382">
        <v>2170000</v>
      </c>
      <c r="M1382" t="s">
        <v>242</v>
      </c>
      <c r="N1382" t="s">
        <v>1296</v>
      </c>
    </row>
    <row r="1383" spans="1:16" hidden="1" x14ac:dyDescent="0.25">
      <c r="A1383" s="16">
        <v>45658</v>
      </c>
      <c r="B1383" t="s">
        <v>97</v>
      </c>
      <c r="C1383">
        <v>40</v>
      </c>
      <c r="D1383" t="s">
        <v>291</v>
      </c>
      <c r="E1383" t="s">
        <v>292</v>
      </c>
      <c r="F1383" t="s">
        <v>244</v>
      </c>
      <c r="G1383" t="s">
        <v>82</v>
      </c>
      <c r="H1383" t="s">
        <v>94</v>
      </c>
      <c r="J1383" t="s">
        <v>193</v>
      </c>
      <c r="K1383" t="s">
        <v>250</v>
      </c>
      <c r="L1383">
        <v>90400000</v>
      </c>
      <c r="M1383" t="s">
        <v>245</v>
      </c>
      <c r="N1383" t="s">
        <v>1297</v>
      </c>
    </row>
    <row r="1384" spans="1:16" hidden="1" x14ac:dyDescent="0.25">
      <c r="A1384" s="16">
        <v>45658</v>
      </c>
      <c r="B1384" t="s">
        <v>97</v>
      </c>
      <c r="C1384">
        <v>40</v>
      </c>
      <c r="D1384" t="s">
        <v>291</v>
      </c>
      <c r="E1384" t="s">
        <v>292</v>
      </c>
      <c r="F1384" t="s">
        <v>244</v>
      </c>
      <c r="G1384" t="s">
        <v>82</v>
      </c>
      <c r="H1384" t="s">
        <v>95</v>
      </c>
      <c r="J1384" t="s">
        <v>193</v>
      </c>
      <c r="K1384" t="s">
        <v>250</v>
      </c>
      <c r="L1384">
        <v>101300000</v>
      </c>
      <c r="M1384" t="s">
        <v>245</v>
      </c>
      <c r="N1384" t="s">
        <v>1298</v>
      </c>
    </row>
    <row r="1385" spans="1:16" hidden="1" x14ac:dyDescent="0.25">
      <c r="A1385" s="16">
        <v>45658</v>
      </c>
      <c r="B1385" t="s">
        <v>535</v>
      </c>
      <c r="C1385">
        <v>4</v>
      </c>
      <c r="D1385" t="s">
        <v>238</v>
      </c>
      <c r="E1385" t="s">
        <v>239</v>
      </c>
      <c r="F1385" t="s">
        <v>240</v>
      </c>
      <c r="G1385" t="s">
        <v>82</v>
      </c>
      <c r="J1385" t="s">
        <v>193</v>
      </c>
      <c r="K1385" t="s">
        <v>250</v>
      </c>
      <c r="L1385">
        <v>10320000</v>
      </c>
      <c r="M1385" t="s">
        <v>242</v>
      </c>
      <c r="N1385" t="s">
        <v>1128</v>
      </c>
    </row>
    <row r="1386" spans="1:16" hidden="1" x14ac:dyDescent="0.25">
      <c r="A1386" s="16">
        <v>45658</v>
      </c>
      <c r="B1386" t="s">
        <v>535</v>
      </c>
      <c r="C1386">
        <v>4</v>
      </c>
      <c r="D1386" t="s">
        <v>238</v>
      </c>
      <c r="E1386" t="s">
        <v>239</v>
      </c>
      <c r="F1386" t="s">
        <v>285</v>
      </c>
      <c r="G1386" t="s">
        <v>63</v>
      </c>
      <c r="J1386" t="s">
        <v>193</v>
      </c>
      <c r="K1386" t="s">
        <v>250</v>
      </c>
      <c r="L1386">
        <v>1710000</v>
      </c>
      <c r="M1386" t="s">
        <v>242</v>
      </c>
      <c r="N1386" t="s">
        <v>740</v>
      </c>
    </row>
    <row r="1387" spans="1:16" hidden="1" x14ac:dyDescent="0.25">
      <c r="A1387" s="16">
        <v>45658</v>
      </c>
      <c r="B1387" t="s">
        <v>535</v>
      </c>
      <c r="C1387">
        <v>4</v>
      </c>
      <c r="D1387" t="s">
        <v>238</v>
      </c>
      <c r="E1387" t="s">
        <v>239</v>
      </c>
      <c r="F1387" t="s">
        <v>244</v>
      </c>
      <c r="G1387" t="s">
        <v>82</v>
      </c>
      <c r="J1387" t="s">
        <v>193</v>
      </c>
      <c r="K1387" t="s">
        <v>250</v>
      </c>
      <c r="L1387">
        <v>1330000000</v>
      </c>
      <c r="M1387" t="s">
        <v>245</v>
      </c>
      <c r="N1387" t="s">
        <v>1105</v>
      </c>
    </row>
    <row r="1388" spans="1:16" hidden="1" x14ac:dyDescent="0.25">
      <c r="A1388" s="16">
        <v>45658</v>
      </c>
      <c r="B1388" t="s">
        <v>535</v>
      </c>
      <c r="C1388">
        <v>5</v>
      </c>
      <c r="D1388" t="s">
        <v>238</v>
      </c>
      <c r="E1388" t="s">
        <v>239</v>
      </c>
      <c r="F1388" t="s">
        <v>240</v>
      </c>
      <c r="G1388" t="s">
        <v>82</v>
      </c>
      <c r="J1388" t="s">
        <v>193</v>
      </c>
      <c r="K1388" t="s">
        <v>250</v>
      </c>
      <c r="L1388">
        <v>6410000</v>
      </c>
      <c r="M1388" t="s">
        <v>242</v>
      </c>
      <c r="N1388" t="s">
        <v>1245</v>
      </c>
    </row>
    <row r="1389" spans="1:16" hidden="1" x14ac:dyDescent="0.25">
      <c r="A1389" s="16">
        <v>45658</v>
      </c>
      <c r="B1389" t="s">
        <v>535</v>
      </c>
      <c r="C1389">
        <v>5</v>
      </c>
      <c r="D1389" t="s">
        <v>238</v>
      </c>
      <c r="E1389" t="s">
        <v>239</v>
      </c>
      <c r="F1389" t="s">
        <v>285</v>
      </c>
      <c r="G1389" t="s">
        <v>63</v>
      </c>
      <c r="J1389" t="s">
        <v>193</v>
      </c>
      <c r="K1389" t="s">
        <v>250</v>
      </c>
      <c r="L1389">
        <v>2550000</v>
      </c>
      <c r="M1389" t="s">
        <v>242</v>
      </c>
      <c r="N1389" t="s">
        <v>1299</v>
      </c>
    </row>
    <row r="1390" spans="1:16" hidden="1" x14ac:dyDescent="0.25">
      <c r="A1390" s="16">
        <v>45658</v>
      </c>
      <c r="B1390" t="s">
        <v>535</v>
      </c>
      <c r="C1390">
        <v>5</v>
      </c>
      <c r="D1390" t="s">
        <v>238</v>
      </c>
      <c r="E1390" t="s">
        <v>239</v>
      </c>
      <c r="F1390" t="s">
        <v>244</v>
      </c>
      <c r="G1390" t="s">
        <v>82</v>
      </c>
      <c r="J1390" t="s">
        <v>193</v>
      </c>
      <c r="K1390" t="s">
        <v>250</v>
      </c>
      <c r="L1390">
        <v>469000000</v>
      </c>
      <c r="M1390" t="s">
        <v>245</v>
      </c>
      <c r="N1390" t="s">
        <v>1300</v>
      </c>
    </row>
    <row r="1391" spans="1:16" hidden="1" x14ac:dyDescent="0.25">
      <c r="A1391" s="16">
        <v>45658</v>
      </c>
      <c r="B1391" t="s">
        <v>535</v>
      </c>
      <c r="C1391">
        <v>6</v>
      </c>
      <c r="D1391" t="s">
        <v>238</v>
      </c>
      <c r="E1391" t="s">
        <v>239</v>
      </c>
      <c r="F1391" t="s">
        <v>378</v>
      </c>
      <c r="G1391" t="s">
        <v>379</v>
      </c>
      <c r="J1391" t="s">
        <v>193</v>
      </c>
      <c r="K1391" t="s">
        <v>250</v>
      </c>
      <c r="L1391">
        <v>591</v>
      </c>
      <c r="M1391" t="s">
        <v>242</v>
      </c>
      <c r="N1391" t="s">
        <v>1169</v>
      </c>
    </row>
    <row r="1392" spans="1:16" hidden="1" x14ac:dyDescent="0.25">
      <c r="A1392" s="16">
        <v>45658</v>
      </c>
      <c r="B1392" t="s">
        <v>535</v>
      </c>
      <c r="C1392">
        <v>6</v>
      </c>
      <c r="D1392" t="s">
        <v>238</v>
      </c>
      <c r="E1392" t="s">
        <v>239</v>
      </c>
      <c r="F1392" t="s">
        <v>381</v>
      </c>
      <c r="G1392" t="s">
        <v>382</v>
      </c>
      <c r="J1392" t="s">
        <v>193</v>
      </c>
      <c r="K1392" t="s">
        <v>250</v>
      </c>
      <c r="L1392">
        <v>2044</v>
      </c>
      <c r="M1392" t="s">
        <v>242</v>
      </c>
      <c r="N1392" t="s">
        <v>1170</v>
      </c>
    </row>
    <row r="1393" spans="1:16" hidden="1" x14ac:dyDescent="0.25">
      <c r="A1393" s="16">
        <v>45658</v>
      </c>
      <c r="B1393" t="s">
        <v>535</v>
      </c>
      <c r="C1393">
        <v>6</v>
      </c>
      <c r="D1393" t="s">
        <v>238</v>
      </c>
      <c r="E1393" t="s">
        <v>239</v>
      </c>
      <c r="F1393" t="s">
        <v>240</v>
      </c>
      <c r="G1393" t="s">
        <v>82</v>
      </c>
      <c r="J1393" t="s">
        <v>193</v>
      </c>
      <c r="K1393" t="s">
        <v>250</v>
      </c>
      <c r="L1393">
        <v>5890000</v>
      </c>
      <c r="M1393" t="s">
        <v>242</v>
      </c>
      <c r="N1393" t="s">
        <v>1165</v>
      </c>
    </row>
    <row r="1394" spans="1:16" hidden="1" x14ac:dyDescent="0.25">
      <c r="A1394" s="16">
        <v>45658</v>
      </c>
      <c r="B1394" t="s">
        <v>535</v>
      </c>
      <c r="C1394">
        <v>6</v>
      </c>
      <c r="D1394" t="s">
        <v>238</v>
      </c>
      <c r="E1394" t="s">
        <v>239</v>
      </c>
      <c r="F1394" t="s">
        <v>285</v>
      </c>
      <c r="G1394" t="s">
        <v>63</v>
      </c>
      <c r="J1394" t="s">
        <v>193</v>
      </c>
      <c r="K1394" t="s">
        <v>250</v>
      </c>
      <c r="L1394">
        <v>4580000</v>
      </c>
      <c r="M1394" t="s">
        <v>242</v>
      </c>
      <c r="N1394" t="s">
        <v>489</v>
      </c>
    </row>
    <row r="1395" spans="1:16" hidden="1" x14ac:dyDescent="0.25">
      <c r="A1395" s="16">
        <v>45658</v>
      </c>
      <c r="B1395" t="s">
        <v>535</v>
      </c>
      <c r="C1395">
        <v>6</v>
      </c>
      <c r="D1395" t="s">
        <v>238</v>
      </c>
      <c r="E1395" t="s">
        <v>239</v>
      </c>
      <c r="F1395" t="s">
        <v>244</v>
      </c>
      <c r="G1395" t="s">
        <v>82</v>
      </c>
      <c r="J1395" t="s">
        <v>193</v>
      </c>
      <c r="K1395" t="s">
        <v>250</v>
      </c>
      <c r="L1395">
        <v>1350000000</v>
      </c>
      <c r="M1395" t="s">
        <v>245</v>
      </c>
      <c r="N1395" t="s">
        <v>1166</v>
      </c>
    </row>
    <row r="1396" spans="1:16" hidden="1" x14ac:dyDescent="0.25">
      <c r="A1396" s="16">
        <v>45658</v>
      </c>
      <c r="B1396" t="s">
        <v>535</v>
      </c>
      <c r="C1396">
        <v>7</v>
      </c>
      <c r="D1396" t="s">
        <v>238</v>
      </c>
      <c r="E1396" t="s">
        <v>239</v>
      </c>
      <c r="F1396" t="s">
        <v>544</v>
      </c>
      <c r="G1396" t="s">
        <v>82</v>
      </c>
      <c r="J1396" t="s">
        <v>193</v>
      </c>
      <c r="K1396" t="s">
        <v>250</v>
      </c>
      <c r="L1396">
        <v>935000</v>
      </c>
      <c r="M1396" t="s">
        <v>242</v>
      </c>
      <c r="N1396" t="s">
        <v>1301</v>
      </c>
    </row>
    <row r="1397" spans="1:16" hidden="1" x14ac:dyDescent="0.25">
      <c r="A1397" s="16">
        <v>45658</v>
      </c>
      <c r="B1397" t="s">
        <v>535</v>
      </c>
      <c r="C1397">
        <v>7</v>
      </c>
      <c r="D1397" t="s">
        <v>238</v>
      </c>
      <c r="E1397" t="s">
        <v>239</v>
      </c>
      <c r="F1397" t="s">
        <v>240</v>
      </c>
      <c r="G1397" t="s">
        <v>82</v>
      </c>
      <c r="J1397" t="s">
        <v>193</v>
      </c>
      <c r="K1397" t="s">
        <v>250</v>
      </c>
      <c r="L1397">
        <v>942000</v>
      </c>
      <c r="M1397" t="s">
        <v>242</v>
      </c>
      <c r="N1397" t="s">
        <v>1302</v>
      </c>
    </row>
    <row r="1398" spans="1:16" hidden="1" x14ac:dyDescent="0.25">
      <c r="A1398" s="16">
        <v>45658</v>
      </c>
      <c r="B1398" t="s">
        <v>535</v>
      </c>
      <c r="C1398">
        <v>7</v>
      </c>
      <c r="D1398" t="s">
        <v>238</v>
      </c>
      <c r="E1398" t="s">
        <v>239</v>
      </c>
      <c r="F1398" t="s">
        <v>929</v>
      </c>
      <c r="G1398" t="s">
        <v>82</v>
      </c>
      <c r="J1398" t="s">
        <v>193</v>
      </c>
      <c r="K1398" t="s">
        <v>250</v>
      </c>
      <c r="L1398">
        <v>767000000</v>
      </c>
      <c r="M1398" t="s">
        <v>245</v>
      </c>
      <c r="N1398" t="s">
        <v>1303</v>
      </c>
    </row>
    <row r="1399" spans="1:16" hidden="1" x14ac:dyDescent="0.25">
      <c r="A1399" s="16">
        <v>45658</v>
      </c>
      <c r="B1399" t="s">
        <v>535</v>
      </c>
      <c r="C1399">
        <v>8</v>
      </c>
      <c r="D1399" t="s">
        <v>238</v>
      </c>
      <c r="E1399" t="s">
        <v>239</v>
      </c>
      <c r="F1399" t="s">
        <v>548</v>
      </c>
      <c r="G1399" t="s">
        <v>158</v>
      </c>
      <c r="J1399" t="s">
        <v>193</v>
      </c>
      <c r="K1399" t="s">
        <v>250</v>
      </c>
      <c r="L1399">
        <v>477000</v>
      </c>
      <c r="M1399" t="s">
        <v>242</v>
      </c>
      <c r="N1399" t="s">
        <v>1304</v>
      </c>
    </row>
    <row r="1400" spans="1:16" hidden="1" x14ac:dyDescent="0.25">
      <c r="A1400" s="16">
        <v>45658</v>
      </c>
      <c r="B1400" t="s">
        <v>535</v>
      </c>
      <c r="C1400">
        <v>8</v>
      </c>
      <c r="D1400" t="s">
        <v>238</v>
      </c>
      <c r="E1400" t="s">
        <v>239</v>
      </c>
      <c r="F1400" t="s">
        <v>349</v>
      </c>
      <c r="G1400" t="s">
        <v>158</v>
      </c>
      <c r="J1400" t="s">
        <v>193</v>
      </c>
      <c r="K1400" t="s">
        <v>250</v>
      </c>
      <c r="L1400">
        <v>15300</v>
      </c>
      <c r="M1400" t="s">
        <v>242</v>
      </c>
      <c r="N1400" t="s">
        <v>1305</v>
      </c>
    </row>
    <row r="1401" spans="1:16" hidden="1" x14ac:dyDescent="0.25">
      <c r="A1401" s="16">
        <v>45658</v>
      </c>
      <c r="B1401" t="s">
        <v>535</v>
      </c>
      <c r="C1401">
        <v>8</v>
      </c>
      <c r="D1401" t="s">
        <v>238</v>
      </c>
      <c r="E1401" t="s">
        <v>239</v>
      </c>
      <c r="F1401" t="s">
        <v>551</v>
      </c>
      <c r="G1401" t="s">
        <v>158</v>
      </c>
      <c r="J1401" t="s">
        <v>193</v>
      </c>
      <c r="K1401" t="s">
        <v>250</v>
      </c>
      <c r="L1401">
        <v>3370000000</v>
      </c>
      <c r="M1401" t="s">
        <v>245</v>
      </c>
      <c r="N1401" t="s">
        <v>1153</v>
      </c>
    </row>
    <row r="1402" spans="1:16" hidden="1" x14ac:dyDescent="0.25">
      <c r="A1402" s="16">
        <v>45658</v>
      </c>
      <c r="B1402" t="s">
        <v>535</v>
      </c>
      <c r="C1402">
        <v>8</v>
      </c>
      <c r="D1402" t="s">
        <v>238</v>
      </c>
      <c r="E1402" t="s">
        <v>239</v>
      </c>
      <c r="F1402" t="s">
        <v>361</v>
      </c>
      <c r="G1402" t="s">
        <v>158</v>
      </c>
      <c r="J1402" t="s">
        <v>193</v>
      </c>
      <c r="K1402" t="s">
        <v>250</v>
      </c>
      <c r="L1402">
        <v>91000000</v>
      </c>
      <c r="M1402" t="s">
        <v>245</v>
      </c>
      <c r="N1402" t="s">
        <v>1306</v>
      </c>
    </row>
    <row r="1403" spans="1:16" hidden="1" x14ac:dyDescent="0.25">
      <c r="A1403" s="16">
        <v>45689</v>
      </c>
      <c r="B1403" t="s">
        <v>142</v>
      </c>
      <c r="C1403">
        <v>72</v>
      </c>
      <c r="D1403" t="s">
        <v>238</v>
      </c>
      <c r="E1403" t="s">
        <v>239</v>
      </c>
      <c r="F1403" t="s">
        <v>240</v>
      </c>
      <c r="G1403" t="s">
        <v>82</v>
      </c>
      <c r="J1403" t="s">
        <v>194</v>
      </c>
      <c r="K1403" t="s">
        <v>241</v>
      </c>
      <c r="L1403">
        <v>1920000</v>
      </c>
      <c r="M1403" t="s">
        <v>242</v>
      </c>
      <c r="N1403" t="s">
        <v>1307</v>
      </c>
    </row>
    <row r="1404" spans="1:16" hidden="1" x14ac:dyDescent="0.25">
      <c r="A1404" s="16">
        <v>45689</v>
      </c>
      <c r="B1404" t="s">
        <v>142</v>
      </c>
      <c r="C1404">
        <v>72</v>
      </c>
      <c r="D1404" t="s">
        <v>238</v>
      </c>
      <c r="E1404" t="s">
        <v>239</v>
      </c>
      <c r="F1404" t="s">
        <v>244</v>
      </c>
      <c r="G1404" t="s">
        <v>82</v>
      </c>
      <c r="J1404" t="s">
        <v>194</v>
      </c>
      <c r="K1404" t="s">
        <v>241</v>
      </c>
      <c r="L1404">
        <v>1550000000</v>
      </c>
      <c r="M1404" t="s">
        <v>245</v>
      </c>
      <c r="N1404" t="s">
        <v>1308</v>
      </c>
    </row>
    <row r="1405" spans="1:16" hidden="1" x14ac:dyDescent="0.25">
      <c r="A1405" s="16">
        <v>45689</v>
      </c>
      <c r="B1405" t="s">
        <v>142</v>
      </c>
      <c r="C1405">
        <v>74</v>
      </c>
      <c r="D1405" t="s">
        <v>253</v>
      </c>
      <c r="E1405" t="s">
        <v>248</v>
      </c>
      <c r="F1405" t="s">
        <v>240</v>
      </c>
      <c r="G1405" t="s">
        <v>82</v>
      </c>
      <c r="J1405" t="s">
        <v>192</v>
      </c>
      <c r="K1405" t="s">
        <v>255</v>
      </c>
      <c r="L1405">
        <v>1020000</v>
      </c>
      <c r="M1405" t="s">
        <v>242</v>
      </c>
      <c r="N1405" t="s">
        <v>937</v>
      </c>
      <c r="O1405">
        <v>1</v>
      </c>
      <c r="P1405" t="s">
        <v>257</v>
      </c>
    </row>
    <row r="1406" spans="1:16" hidden="1" x14ac:dyDescent="0.25">
      <c r="A1406" s="16">
        <v>45689</v>
      </c>
      <c r="B1406" t="s">
        <v>142</v>
      </c>
      <c r="C1406">
        <v>74</v>
      </c>
      <c r="D1406" t="s">
        <v>253</v>
      </c>
      <c r="E1406" t="s">
        <v>248</v>
      </c>
      <c r="F1406" t="s">
        <v>240</v>
      </c>
      <c r="G1406" t="s">
        <v>82</v>
      </c>
      <c r="J1406" t="s">
        <v>193</v>
      </c>
      <c r="K1406" t="s">
        <v>255</v>
      </c>
      <c r="L1406">
        <v>940000</v>
      </c>
      <c r="M1406" t="s">
        <v>242</v>
      </c>
      <c r="N1406" t="s">
        <v>1119</v>
      </c>
      <c r="O1406">
        <v>1</v>
      </c>
      <c r="P1406" t="s">
        <v>257</v>
      </c>
    </row>
    <row r="1407" spans="1:16" hidden="1" x14ac:dyDescent="0.25">
      <c r="A1407" s="16">
        <v>45689</v>
      </c>
      <c r="B1407" t="s">
        <v>142</v>
      </c>
      <c r="C1407">
        <v>74</v>
      </c>
      <c r="D1407" t="s">
        <v>253</v>
      </c>
      <c r="E1407" t="s">
        <v>248</v>
      </c>
      <c r="F1407" t="s">
        <v>240</v>
      </c>
      <c r="G1407" t="s">
        <v>82</v>
      </c>
      <c r="J1407" t="s">
        <v>194</v>
      </c>
      <c r="K1407" t="s">
        <v>255</v>
      </c>
      <c r="L1407">
        <v>980000</v>
      </c>
      <c r="M1407" t="s">
        <v>242</v>
      </c>
      <c r="N1407" t="s">
        <v>1309</v>
      </c>
      <c r="O1407">
        <v>1</v>
      </c>
      <c r="P1407" t="s">
        <v>261</v>
      </c>
    </row>
    <row r="1408" spans="1:16" hidden="1" x14ac:dyDescent="0.25">
      <c r="A1408" s="16">
        <v>45689</v>
      </c>
      <c r="B1408" t="s">
        <v>142</v>
      </c>
      <c r="C1408">
        <v>74</v>
      </c>
      <c r="D1408" t="s">
        <v>247</v>
      </c>
      <c r="E1408" t="s">
        <v>248</v>
      </c>
      <c r="F1408" t="s">
        <v>240</v>
      </c>
      <c r="G1408" t="s">
        <v>82</v>
      </c>
      <c r="H1408" t="s">
        <v>286</v>
      </c>
      <c r="J1408" t="s">
        <v>194</v>
      </c>
      <c r="K1408" t="s">
        <v>250</v>
      </c>
      <c r="L1408">
        <v>4.9000000000000004</v>
      </c>
      <c r="M1408" t="s">
        <v>251</v>
      </c>
      <c r="N1408" t="s">
        <v>896</v>
      </c>
    </row>
    <row r="1409" spans="1:16" hidden="1" x14ac:dyDescent="0.25">
      <c r="A1409" s="16">
        <v>45689</v>
      </c>
      <c r="B1409" t="s">
        <v>142</v>
      </c>
      <c r="C1409">
        <v>75</v>
      </c>
      <c r="D1409" t="s">
        <v>253</v>
      </c>
      <c r="E1409" t="s">
        <v>248</v>
      </c>
      <c r="F1409" t="s">
        <v>240</v>
      </c>
      <c r="G1409" t="s">
        <v>82</v>
      </c>
      <c r="H1409" t="s">
        <v>150</v>
      </c>
      <c r="J1409" t="s">
        <v>192</v>
      </c>
      <c r="K1409" t="s">
        <v>255</v>
      </c>
      <c r="L1409">
        <v>336</v>
      </c>
      <c r="M1409" t="s">
        <v>242</v>
      </c>
      <c r="N1409" t="s">
        <v>939</v>
      </c>
      <c r="O1409">
        <v>1</v>
      </c>
      <c r="P1409" t="s">
        <v>257</v>
      </c>
    </row>
    <row r="1410" spans="1:16" hidden="1" x14ac:dyDescent="0.25">
      <c r="A1410" s="16">
        <v>45689</v>
      </c>
      <c r="B1410" t="s">
        <v>142</v>
      </c>
      <c r="C1410">
        <v>75</v>
      </c>
      <c r="D1410" t="s">
        <v>253</v>
      </c>
      <c r="E1410" t="s">
        <v>248</v>
      </c>
      <c r="F1410" t="s">
        <v>240</v>
      </c>
      <c r="G1410" t="s">
        <v>82</v>
      </c>
      <c r="H1410" t="s">
        <v>150</v>
      </c>
      <c r="J1410" t="s">
        <v>193</v>
      </c>
      <c r="K1410" t="s">
        <v>255</v>
      </c>
      <c r="L1410">
        <v>372</v>
      </c>
      <c r="M1410" t="s">
        <v>242</v>
      </c>
      <c r="N1410" t="s">
        <v>1121</v>
      </c>
      <c r="O1410">
        <v>1</v>
      </c>
      <c r="P1410" t="s">
        <v>257</v>
      </c>
    </row>
    <row r="1411" spans="1:16" hidden="1" x14ac:dyDescent="0.25">
      <c r="A1411" s="16">
        <v>45689</v>
      </c>
      <c r="B1411" t="s">
        <v>142</v>
      </c>
      <c r="C1411">
        <v>75</v>
      </c>
      <c r="D1411" t="s">
        <v>253</v>
      </c>
      <c r="E1411" t="s">
        <v>248</v>
      </c>
      <c r="F1411" t="s">
        <v>240</v>
      </c>
      <c r="G1411" t="s">
        <v>82</v>
      </c>
      <c r="H1411" t="s">
        <v>150</v>
      </c>
      <c r="J1411" t="s">
        <v>194</v>
      </c>
      <c r="K1411" t="s">
        <v>255</v>
      </c>
      <c r="L1411">
        <v>304</v>
      </c>
      <c r="M1411" t="s">
        <v>242</v>
      </c>
      <c r="N1411" t="s">
        <v>264</v>
      </c>
      <c r="O1411">
        <v>1</v>
      </c>
      <c r="P1411" t="s">
        <v>261</v>
      </c>
    </row>
    <row r="1412" spans="1:16" hidden="1" x14ac:dyDescent="0.25">
      <c r="A1412" s="16">
        <v>45689</v>
      </c>
      <c r="B1412" t="s">
        <v>142</v>
      </c>
      <c r="C1412">
        <v>75</v>
      </c>
      <c r="D1412" t="s">
        <v>253</v>
      </c>
      <c r="E1412" t="s">
        <v>248</v>
      </c>
      <c r="F1412" t="s">
        <v>240</v>
      </c>
      <c r="G1412" t="s">
        <v>82</v>
      </c>
      <c r="H1412" t="s">
        <v>151</v>
      </c>
      <c r="J1412" t="s">
        <v>192</v>
      </c>
      <c r="K1412" t="s">
        <v>255</v>
      </c>
      <c r="L1412">
        <v>33</v>
      </c>
      <c r="M1412" t="s">
        <v>242</v>
      </c>
      <c r="N1412" t="s">
        <v>940</v>
      </c>
      <c r="O1412">
        <v>1</v>
      </c>
      <c r="P1412" t="s">
        <v>257</v>
      </c>
    </row>
    <row r="1413" spans="1:16" hidden="1" x14ac:dyDescent="0.25">
      <c r="A1413" s="16">
        <v>45689</v>
      </c>
      <c r="B1413" t="s">
        <v>142</v>
      </c>
      <c r="C1413">
        <v>75</v>
      </c>
      <c r="D1413" t="s">
        <v>253</v>
      </c>
      <c r="E1413" t="s">
        <v>248</v>
      </c>
      <c r="F1413" t="s">
        <v>240</v>
      </c>
      <c r="G1413" t="s">
        <v>82</v>
      </c>
      <c r="H1413" t="s">
        <v>151</v>
      </c>
      <c r="J1413" t="s">
        <v>193</v>
      </c>
      <c r="K1413" t="s">
        <v>255</v>
      </c>
      <c r="L1413">
        <v>35</v>
      </c>
      <c r="M1413" t="s">
        <v>242</v>
      </c>
      <c r="N1413" t="s">
        <v>1122</v>
      </c>
      <c r="O1413">
        <v>1</v>
      </c>
      <c r="P1413" t="s">
        <v>257</v>
      </c>
    </row>
    <row r="1414" spans="1:16" hidden="1" x14ac:dyDescent="0.25">
      <c r="A1414" s="16">
        <v>45689</v>
      </c>
      <c r="B1414" t="s">
        <v>142</v>
      </c>
      <c r="C1414">
        <v>75</v>
      </c>
      <c r="D1414" t="s">
        <v>253</v>
      </c>
      <c r="E1414" t="s">
        <v>248</v>
      </c>
      <c r="F1414" t="s">
        <v>240</v>
      </c>
      <c r="G1414" t="s">
        <v>82</v>
      </c>
      <c r="H1414" t="s">
        <v>151</v>
      </c>
      <c r="J1414" t="s">
        <v>194</v>
      </c>
      <c r="K1414" t="s">
        <v>255</v>
      </c>
      <c r="L1414">
        <v>37</v>
      </c>
      <c r="M1414" t="s">
        <v>242</v>
      </c>
      <c r="N1414" t="s">
        <v>1310</v>
      </c>
      <c r="O1414">
        <v>1</v>
      </c>
      <c r="P1414" t="s">
        <v>261</v>
      </c>
    </row>
    <row r="1415" spans="1:16" hidden="1" x14ac:dyDescent="0.25">
      <c r="A1415" s="16">
        <v>45689</v>
      </c>
      <c r="B1415" t="s">
        <v>142</v>
      </c>
      <c r="C1415">
        <v>75</v>
      </c>
      <c r="D1415" t="s">
        <v>253</v>
      </c>
      <c r="E1415" t="s">
        <v>248</v>
      </c>
      <c r="F1415" t="s">
        <v>240</v>
      </c>
      <c r="G1415" t="s">
        <v>82</v>
      </c>
      <c r="H1415" t="s">
        <v>149</v>
      </c>
      <c r="J1415" t="s">
        <v>192</v>
      </c>
      <c r="K1415" t="s">
        <v>255</v>
      </c>
      <c r="L1415">
        <v>5800</v>
      </c>
      <c r="M1415" t="s">
        <v>242</v>
      </c>
      <c r="N1415" t="s">
        <v>941</v>
      </c>
      <c r="O1415">
        <v>1</v>
      </c>
      <c r="P1415" t="s">
        <v>257</v>
      </c>
    </row>
    <row r="1416" spans="1:16" hidden="1" x14ac:dyDescent="0.25">
      <c r="A1416" s="16">
        <v>45689</v>
      </c>
      <c r="B1416" t="s">
        <v>142</v>
      </c>
      <c r="C1416">
        <v>75</v>
      </c>
      <c r="D1416" t="s">
        <v>253</v>
      </c>
      <c r="E1416" t="s">
        <v>248</v>
      </c>
      <c r="F1416" t="s">
        <v>240</v>
      </c>
      <c r="G1416" t="s">
        <v>82</v>
      </c>
      <c r="H1416" t="s">
        <v>149</v>
      </c>
      <c r="J1416" t="s">
        <v>193</v>
      </c>
      <c r="K1416" t="s">
        <v>255</v>
      </c>
      <c r="L1416">
        <v>5986</v>
      </c>
      <c r="M1416" t="s">
        <v>242</v>
      </c>
      <c r="N1416" t="s">
        <v>1123</v>
      </c>
      <c r="O1416">
        <v>1</v>
      </c>
      <c r="P1416" t="s">
        <v>257</v>
      </c>
    </row>
    <row r="1417" spans="1:16" hidden="1" x14ac:dyDescent="0.25">
      <c r="A1417" s="16">
        <v>45689</v>
      </c>
      <c r="B1417" t="s">
        <v>142</v>
      </c>
      <c r="C1417">
        <v>75</v>
      </c>
      <c r="D1417" t="s">
        <v>253</v>
      </c>
      <c r="E1417" t="s">
        <v>248</v>
      </c>
      <c r="F1417" t="s">
        <v>240</v>
      </c>
      <c r="G1417" t="s">
        <v>82</v>
      </c>
      <c r="H1417" t="s">
        <v>149</v>
      </c>
      <c r="J1417" t="s">
        <v>194</v>
      </c>
      <c r="K1417" t="s">
        <v>255</v>
      </c>
      <c r="L1417">
        <v>5710</v>
      </c>
      <c r="M1417" t="s">
        <v>242</v>
      </c>
      <c r="N1417" t="s">
        <v>1311</v>
      </c>
      <c r="O1417">
        <v>1</v>
      </c>
      <c r="P1417" t="s">
        <v>261</v>
      </c>
    </row>
    <row r="1418" spans="1:16" hidden="1" x14ac:dyDescent="0.25">
      <c r="A1418" s="16">
        <v>45689</v>
      </c>
      <c r="B1418" t="s">
        <v>142</v>
      </c>
      <c r="C1418">
        <v>76</v>
      </c>
      <c r="D1418" t="s">
        <v>253</v>
      </c>
      <c r="E1418" t="s">
        <v>248</v>
      </c>
      <c r="F1418" t="s">
        <v>244</v>
      </c>
      <c r="G1418" t="s">
        <v>82</v>
      </c>
      <c r="J1418" t="s">
        <v>192</v>
      </c>
      <c r="K1418" t="s">
        <v>255</v>
      </c>
      <c r="L1418">
        <v>870000000</v>
      </c>
      <c r="M1418" t="s">
        <v>245</v>
      </c>
      <c r="N1418" t="s">
        <v>942</v>
      </c>
      <c r="O1418">
        <v>1</v>
      </c>
      <c r="P1418" t="s">
        <v>257</v>
      </c>
    </row>
    <row r="1419" spans="1:16" hidden="1" x14ac:dyDescent="0.25">
      <c r="A1419" s="16">
        <v>45689</v>
      </c>
      <c r="B1419" t="s">
        <v>142</v>
      </c>
      <c r="C1419">
        <v>76</v>
      </c>
      <c r="D1419" t="s">
        <v>253</v>
      </c>
      <c r="E1419" t="s">
        <v>248</v>
      </c>
      <c r="F1419" t="s">
        <v>244</v>
      </c>
      <c r="G1419" t="s">
        <v>82</v>
      </c>
      <c r="J1419" t="s">
        <v>193</v>
      </c>
      <c r="K1419" t="s">
        <v>255</v>
      </c>
      <c r="L1419">
        <v>767000000</v>
      </c>
      <c r="M1419" t="s">
        <v>245</v>
      </c>
      <c r="N1419" t="s">
        <v>1124</v>
      </c>
      <c r="O1419">
        <v>1</v>
      </c>
      <c r="P1419" t="s">
        <v>257</v>
      </c>
    </row>
    <row r="1420" spans="1:16" hidden="1" x14ac:dyDescent="0.25">
      <c r="A1420" s="16">
        <v>45689</v>
      </c>
      <c r="B1420" t="s">
        <v>142</v>
      </c>
      <c r="C1420">
        <v>76</v>
      </c>
      <c r="D1420" t="s">
        <v>253</v>
      </c>
      <c r="E1420" t="s">
        <v>248</v>
      </c>
      <c r="F1420" t="s">
        <v>244</v>
      </c>
      <c r="G1420" t="s">
        <v>82</v>
      </c>
      <c r="J1420" t="s">
        <v>194</v>
      </c>
      <c r="K1420" t="s">
        <v>255</v>
      </c>
      <c r="L1420">
        <v>783000000</v>
      </c>
      <c r="M1420" t="s">
        <v>245</v>
      </c>
      <c r="N1420" t="s">
        <v>1312</v>
      </c>
      <c r="O1420">
        <v>1</v>
      </c>
      <c r="P1420" t="s">
        <v>261</v>
      </c>
    </row>
    <row r="1421" spans="1:16" hidden="1" x14ac:dyDescent="0.25">
      <c r="A1421" s="16">
        <v>45689</v>
      </c>
      <c r="B1421" t="s">
        <v>142</v>
      </c>
      <c r="C1421">
        <v>76</v>
      </c>
      <c r="D1421" t="s">
        <v>247</v>
      </c>
      <c r="E1421" t="s">
        <v>248</v>
      </c>
      <c r="F1421" t="s">
        <v>244</v>
      </c>
      <c r="G1421" t="s">
        <v>82</v>
      </c>
      <c r="H1421" t="s">
        <v>286</v>
      </c>
      <c r="J1421" t="s">
        <v>194</v>
      </c>
      <c r="K1421" t="s">
        <v>250</v>
      </c>
      <c r="L1421">
        <v>2</v>
      </c>
      <c r="M1421" t="s">
        <v>251</v>
      </c>
      <c r="N1421" t="s">
        <v>1313</v>
      </c>
    </row>
    <row r="1422" spans="1:16" hidden="1" x14ac:dyDescent="0.25">
      <c r="A1422" s="16">
        <v>45689</v>
      </c>
      <c r="B1422" t="s">
        <v>142</v>
      </c>
      <c r="C1422">
        <v>77</v>
      </c>
      <c r="D1422" t="s">
        <v>253</v>
      </c>
      <c r="E1422" t="s">
        <v>248</v>
      </c>
      <c r="F1422" t="s">
        <v>244</v>
      </c>
      <c r="G1422" t="s">
        <v>82</v>
      </c>
      <c r="H1422" t="s">
        <v>150</v>
      </c>
      <c r="J1422" t="s">
        <v>192</v>
      </c>
      <c r="K1422" t="s">
        <v>255</v>
      </c>
      <c r="L1422">
        <v>2790000</v>
      </c>
      <c r="M1422" t="s">
        <v>150</v>
      </c>
      <c r="N1422" t="s">
        <v>944</v>
      </c>
      <c r="O1422">
        <v>1</v>
      </c>
      <c r="P1422" t="s">
        <v>257</v>
      </c>
    </row>
    <row r="1423" spans="1:16" hidden="1" x14ac:dyDescent="0.25">
      <c r="A1423" s="16">
        <v>45689</v>
      </c>
      <c r="B1423" t="s">
        <v>142</v>
      </c>
      <c r="C1423">
        <v>77</v>
      </c>
      <c r="D1423" t="s">
        <v>253</v>
      </c>
      <c r="E1423" t="s">
        <v>248</v>
      </c>
      <c r="F1423" t="s">
        <v>244</v>
      </c>
      <c r="G1423" t="s">
        <v>82</v>
      </c>
      <c r="H1423" t="s">
        <v>150</v>
      </c>
      <c r="J1423" t="s">
        <v>193</v>
      </c>
      <c r="K1423" t="s">
        <v>255</v>
      </c>
      <c r="L1423">
        <v>2960000</v>
      </c>
      <c r="M1423" t="s">
        <v>150</v>
      </c>
      <c r="N1423" t="s">
        <v>1125</v>
      </c>
      <c r="O1423">
        <v>1</v>
      </c>
      <c r="P1423" t="s">
        <v>257</v>
      </c>
    </row>
    <row r="1424" spans="1:16" hidden="1" x14ac:dyDescent="0.25">
      <c r="A1424" s="16">
        <v>45689</v>
      </c>
      <c r="B1424" t="s">
        <v>142</v>
      </c>
      <c r="C1424">
        <v>77</v>
      </c>
      <c r="D1424" t="s">
        <v>253</v>
      </c>
      <c r="E1424" t="s">
        <v>248</v>
      </c>
      <c r="F1424" t="s">
        <v>244</v>
      </c>
      <c r="G1424" t="s">
        <v>82</v>
      </c>
      <c r="H1424" t="s">
        <v>150</v>
      </c>
      <c r="J1424" t="s">
        <v>194</v>
      </c>
      <c r="K1424" t="s">
        <v>255</v>
      </c>
      <c r="L1424">
        <v>2660000</v>
      </c>
      <c r="M1424" t="s">
        <v>150</v>
      </c>
      <c r="N1424" t="s">
        <v>1314</v>
      </c>
      <c r="O1424">
        <v>1</v>
      </c>
      <c r="P1424" t="s">
        <v>261</v>
      </c>
    </row>
    <row r="1425" spans="1:16" hidden="1" x14ac:dyDescent="0.25">
      <c r="A1425" s="16">
        <v>45689</v>
      </c>
      <c r="B1425" t="s">
        <v>142</v>
      </c>
      <c r="C1425">
        <v>77</v>
      </c>
      <c r="D1425" t="s">
        <v>253</v>
      </c>
      <c r="E1425" t="s">
        <v>248</v>
      </c>
      <c r="F1425" t="s">
        <v>244</v>
      </c>
      <c r="G1425" t="s">
        <v>82</v>
      </c>
      <c r="H1425" t="s">
        <v>151</v>
      </c>
      <c r="J1425" t="s">
        <v>192</v>
      </c>
      <c r="K1425" t="s">
        <v>255</v>
      </c>
      <c r="L1425">
        <v>250000</v>
      </c>
      <c r="M1425" t="s">
        <v>151</v>
      </c>
      <c r="N1425" t="s">
        <v>279</v>
      </c>
      <c r="O1425">
        <v>1</v>
      </c>
      <c r="P1425" t="s">
        <v>257</v>
      </c>
    </row>
    <row r="1426" spans="1:16" hidden="1" x14ac:dyDescent="0.25">
      <c r="A1426" s="16">
        <v>45689</v>
      </c>
      <c r="B1426" t="s">
        <v>142</v>
      </c>
      <c r="C1426">
        <v>77</v>
      </c>
      <c r="D1426" t="s">
        <v>253</v>
      </c>
      <c r="E1426" t="s">
        <v>248</v>
      </c>
      <c r="F1426" t="s">
        <v>244</v>
      </c>
      <c r="G1426" t="s">
        <v>82</v>
      </c>
      <c r="H1426" t="s">
        <v>151</v>
      </c>
      <c r="J1426" t="s">
        <v>193</v>
      </c>
      <c r="K1426" t="s">
        <v>255</v>
      </c>
      <c r="L1426">
        <v>320000</v>
      </c>
      <c r="M1426" t="s">
        <v>151</v>
      </c>
      <c r="N1426" t="s">
        <v>1126</v>
      </c>
      <c r="O1426">
        <v>1</v>
      </c>
      <c r="P1426" t="s">
        <v>257</v>
      </c>
    </row>
    <row r="1427" spans="1:16" hidden="1" x14ac:dyDescent="0.25">
      <c r="A1427" s="16">
        <v>45689</v>
      </c>
      <c r="B1427" t="s">
        <v>142</v>
      </c>
      <c r="C1427">
        <v>77</v>
      </c>
      <c r="D1427" t="s">
        <v>253</v>
      </c>
      <c r="E1427" t="s">
        <v>248</v>
      </c>
      <c r="F1427" t="s">
        <v>244</v>
      </c>
      <c r="G1427" t="s">
        <v>82</v>
      </c>
      <c r="H1427" t="s">
        <v>151</v>
      </c>
      <c r="J1427" t="s">
        <v>194</v>
      </c>
      <c r="K1427" t="s">
        <v>255</v>
      </c>
      <c r="L1427">
        <v>410000</v>
      </c>
      <c r="M1427" t="s">
        <v>151</v>
      </c>
      <c r="N1427" t="s">
        <v>1315</v>
      </c>
      <c r="O1427">
        <v>1</v>
      </c>
      <c r="P1427" t="s">
        <v>261</v>
      </c>
    </row>
    <row r="1428" spans="1:16" hidden="1" x14ac:dyDescent="0.25">
      <c r="A1428" s="16">
        <v>45689</v>
      </c>
      <c r="B1428" t="s">
        <v>142</v>
      </c>
      <c r="C1428">
        <v>77</v>
      </c>
      <c r="D1428" t="s">
        <v>253</v>
      </c>
      <c r="E1428" t="s">
        <v>248</v>
      </c>
      <c r="F1428" t="s">
        <v>244</v>
      </c>
      <c r="G1428" t="s">
        <v>82</v>
      </c>
      <c r="H1428" t="s">
        <v>149</v>
      </c>
      <c r="J1428" t="s">
        <v>192</v>
      </c>
      <c r="K1428" t="s">
        <v>255</v>
      </c>
      <c r="L1428">
        <v>41500000</v>
      </c>
      <c r="M1428" t="s">
        <v>149</v>
      </c>
      <c r="N1428" t="s">
        <v>945</v>
      </c>
      <c r="O1428">
        <v>1</v>
      </c>
      <c r="P1428" t="s">
        <v>257</v>
      </c>
    </row>
    <row r="1429" spans="1:16" hidden="1" x14ac:dyDescent="0.25">
      <c r="A1429" s="16">
        <v>45689</v>
      </c>
      <c r="B1429" t="s">
        <v>142</v>
      </c>
      <c r="C1429">
        <v>77</v>
      </c>
      <c r="D1429" t="s">
        <v>253</v>
      </c>
      <c r="E1429" t="s">
        <v>248</v>
      </c>
      <c r="F1429" t="s">
        <v>244</v>
      </c>
      <c r="G1429" t="s">
        <v>82</v>
      </c>
      <c r="H1429" t="s">
        <v>149</v>
      </c>
      <c r="J1429" t="s">
        <v>193</v>
      </c>
      <c r="K1429" t="s">
        <v>255</v>
      </c>
      <c r="L1429">
        <v>38300000</v>
      </c>
      <c r="M1429" t="s">
        <v>149</v>
      </c>
      <c r="N1429" t="s">
        <v>1127</v>
      </c>
      <c r="O1429">
        <v>1</v>
      </c>
      <c r="P1429" t="s">
        <v>257</v>
      </c>
    </row>
    <row r="1430" spans="1:16" hidden="1" x14ac:dyDescent="0.25">
      <c r="A1430" s="16">
        <v>45689</v>
      </c>
      <c r="B1430" t="s">
        <v>142</v>
      </c>
      <c r="C1430">
        <v>77</v>
      </c>
      <c r="D1430" t="s">
        <v>253</v>
      </c>
      <c r="E1430" t="s">
        <v>248</v>
      </c>
      <c r="F1430" t="s">
        <v>244</v>
      </c>
      <c r="G1430" t="s">
        <v>82</v>
      </c>
      <c r="H1430" t="s">
        <v>149</v>
      </c>
      <c r="J1430" t="s">
        <v>194</v>
      </c>
      <c r="K1430" t="s">
        <v>255</v>
      </c>
      <c r="L1430">
        <v>37700000</v>
      </c>
      <c r="M1430" t="s">
        <v>149</v>
      </c>
      <c r="N1430" t="s">
        <v>1316</v>
      </c>
      <c r="O1430">
        <v>1</v>
      </c>
      <c r="P1430" t="s">
        <v>261</v>
      </c>
    </row>
    <row r="1431" spans="1:16" hidden="1" x14ac:dyDescent="0.25">
      <c r="A1431" s="16">
        <v>45689</v>
      </c>
      <c r="B1431" t="s">
        <v>35</v>
      </c>
      <c r="C1431">
        <v>10</v>
      </c>
      <c r="D1431" t="s">
        <v>238</v>
      </c>
      <c r="E1431" t="s">
        <v>239</v>
      </c>
      <c r="F1431" t="s">
        <v>240</v>
      </c>
      <c r="G1431" t="s">
        <v>82</v>
      </c>
      <c r="J1431" t="s">
        <v>194</v>
      </c>
      <c r="K1431" t="s">
        <v>241</v>
      </c>
      <c r="L1431">
        <v>20220000</v>
      </c>
      <c r="M1431" t="s">
        <v>242</v>
      </c>
      <c r="N1431" t="s">
        <v>1317</v>
      </c>
    </row>
    <row r="1432" spans="1:16" hidden="1" x14ac:dyDescent="0.25">
      <c r="A1432" s="16">
        <v>45689</v>
      </c>
      <c r="B1432" t="s">
        <v>35</v>
      </c>
      <c r="C1432">
        <v>10</v>
      </c>
      <c r="D1432" t="s">
        <v>238</v>
      </c>
      <c r="E1432" t="s">
        <v>239</v>
      </c>
      <c r="F1432" t="s">
        <v>244</v>
      </c>
      <c r="G1432" t="s">
        <v>82</v>
      </c>
      <c r="J1432" t="s">
        <v>194</v>
      </c>
      <c r="K1432" t="s">
        <v>241</v>
      </c>
      <c r="L1432">
        <v>2610000000</v>
      </c>
      <c r="M1432" t="s">
        <v>245</v>
      </c>
      <c r="N1432" t="s">
        <v>1318</v>
      </c>
    </row>
    <row r="1433" spans="1:16" hidden="1" x14ac:dyDescent="0.25">
      <c r="A1433" s="16">
        <v>45689</v>
      </c>
      <c r="B1433" t="s">
        <v>35</v>
      </c>
      <c r="C1433">
        <v>11</v>
      </c>
      <c r="D1433" t="s">
        <v>253</v>
      </c>
      <c r="E1433" t="s">
        <v>248</v>
      </c>
      <c r="F1433" t="s">
        <v>285</v>
      </c>
      <c r="G1433" t="s">
        <v>63</v>
      </c>
      <c r="J1433" t="s">
        <v>192</v>
      </c>
      <c r="K1433" t="s">
        <v>255</v>
      </c>
      <c r="L1433">
        <v>1670000</v>
      </c>
      <c r="M1433" t="s">
        <v>242</v>
      </c>
      <c r="N1433" t="s">
        <v>948</v>
      </c>
      <c r="O1433">
        <v>1</v>
      </c>
      <c r="P1433" t="s">
        <v>257</v>
      </c>
    </row>
    <row r="1434" spans="1:16" hidden="1" x14ac:dyDescent="0.25">
      <c r="A1434" s="16">
        <v>45689</v>
      </c>
      <c r="B1434" t="s">
        <v>35</v>
      </c>
      <c r="C1434">
        <v>11</v>
      </c>
      <c r="D1434" t="s">
        <v>253</v>
      </c>
      <c r="E1434" t="s">
        <v>248</v>
      </c>
      <c r="F1434" t="s">
        <v>285</v>
      </c>
      <c r="G1434" t="s">
        <v>63</v>
      </c>
      <c r="J1434" t="s">
        <v>193</v>
      </c>
      <c r="K1434" t="s">
        <v>255</v>
      </c>
      <c r="L1434">
        <v>1710000</v>
      </c>
      <c r="M1434" t="s">
        <v>242</v>
      </c>
      <c r="N1434" t="s">
        <v>1129</v>
      </c>
      <c r="O1434">
        <v>1</v>
      </c>
      <c r="P1434" t="s">
        <v>257</v>
      </c>
    </row>
    <row r="1435" spans="1:16" hidden="1" x14ac:dyDescent="0.25">
      <c r="A1435" s="16">
        <v>45689</v>
      </c>
      <c r="B1435" t="s">
        <v>35</v>
      </c>
      <c r="C1435">
        <v>11</v>
      </c>
      <c r="D1435" t="s">
        <v>253</v>
      </c>
      <c r="E1435" t="s">
        <v>248</v>
      </c>
      <c r="F1435" t="s">
        <v>285</v>
      </c>
      <c r="G1435" t="s">
        <v>63</v>
      </c>
      <c r="J1435" t="s">
        <v>194</v>
      </c>
      <c r="K1435" t="s">
        <v>255</v>
      </c>
      <c r="L1435">
        <v>1740000</v>
      </c>
      <c r="M1435" t="s">
        <v>242</v>
      </c>
      <c r="N1435" t="s">
        <v>1319</v>
      </c>
      <c r="O1435">
        <v>1</v>
      </c>
      <c r="P1435" t="s">
        <v>261</v>
      </c>
    </row>
    <row r="1436" spans="1:16" hidden="1" x14ac:dyDescent="0.25">
      <c r="A1436" s="16">
        <v>45689</v>
      </c>
      <c r="B1436" t="s">
        <v>35</v>
      </c>
      <c r="C1436">
        <v>11</v>
      </c>
      <c r="D1436" t="s">
        <v>247</v>
      </c>
      <c r="E1436" t="s">
        <v>248</v>
      </c>
      <c r="F1436" t="s">
        <v>285</v>
      </c>
      <c r="G1436" t="s">
        <v>63</v>
      </c>
      <c r="H1436" t="s">
        <v>286</v>
      </c>
      <c r="J1436" t="s">
        <v>194</v>
      </c>
      <c r="K1436" t="s">
        <v>250</v>
      </c>
      <c r="L1436">
        <v>2</v>
      </c>
      <c r="M1436" t="s">
        <v>251</v>
      </c>
      <c r="N1436" t="s">
        <v>1313</v>
      </c>
    </row>
    <row r="1437" spans="1:16" hidden="1" x14ac:dyDescent="0.25">
      <c r="A1437" s="16">
        <v>45689</v>
      </c>
      <c r="B1437" t="s">
        <v>35</v>
      </c>
      <c r="C1437">
        <v>12</v>
      </c>
      <c r="D1437" t="s">
        <v>291</v>
      </c>
      <c r="E1437" t="s">
        <v>292</v>
      </c>
      <c r="F1437" t="s">
        <v>285</v>
      </c>
      <c r="G1437" t="s">
        <v>63</v>
      </c>
      <c r="H1437" t="s">
        <v>64</v>
      </c>
      <c r="J1437" t="s">
        <v>194</v>
      </c>
      <c r="K1437" t="s">
        <v>250</v>
      </c>
      <c r="L1437">
        <v>1680000</v>
      </c>
      <c r="M1437" t="s">
        <v>242</v>
      </c>
      <c r="N1437" t="s">
        <v>671</v>
      </c>
    </row>
    <row r="1438" spans="1:16" hidden="1" x14ac:dyDescent="0.25">
      <c r="A1438" s="16">
        <v>45689</v>
      </c>
      <c r="B1438" t="s">
        <v>35</v>
      </c>
      <c r="C1438">
        <v>12</v>
      </c>
      <c r="D1438" t="s">
        <v>291</v>
      </c>
      <c r="E1438" t="s">
        <v>292</v>
      </c>
      <c r="F1438" t="s">
        <v>285</v>
      </c>
      <c r="G1438" t="s">
        <v>63</v>
      </c>
      <c r="H1438" t="s">
        <v>65</v>
      </c>
      <c r="J1438" t="s">
        <v>194</v>
      </c>
      <c r="K1438" t="s">
        <v>250</v>
      </c>
      <c r="L1438">
        <v>65000</v>
      </c>
      <c r="M1438" t="s">
        <v>242</v>
      </c>
      <c r="N1438" t="s">
        <v>1320</v>
      </c>
    </row>
    <row r="1439" spans="1:16" hidden="1" x14ac:dyDescent="0.25">
      <c r="A1439" s="16">
        <v>45689</v>
      </c>
      <c r="B1439" t="s">
        <v>35</v>
      </c>
      <c r="C1439">
        <v>13</v>
      </c>
      <c r="D1439" t="s">
        <v>291</v>
      </c>
      <c r="E1439" t="s">
        <v>292</v>
      </c>
      <c r="F1439" t="s">
        <v>285</v>
      </c>
      <c r="G1439" t="s">
        <v>63</v>
      </c>
      <c r="H1439" t="s">
        <v>67</v>
      </c>
      <c r="J1439" t="s">
        <v>194</v>
      </c>
      <c r="K1439" t="s">
        <v>250</v>
      </c>
      <c r="L1439">
        <v>610000</v>
      </c>
      <c r="M1439" t="s">
        <v>242</v>
      </c>
      <c r="N1439" t="s">
        <v>1321</v>
      </c>
    </row>
    <row r="1440" spans="1:16" hidden="1" x14ac:dyDescent="0.25">
      <c r="A1440" s="16">
        <v>45689</v>
      </c>
      <c r="B1440" t="s">
        <v>35</v>
      </c>
      <c r="C1440">
        <v>13</v>
      </c>
      <c r="D1440" t="s">
        <v>291</v>
      </c>
      <c r="E1440" t="s">
        <v>292</v>
      </c>
      <c r="F1440" t="s">
        <v>285</v>
      </c>
      <c r="G1440" t="s">
        <v>63</v>
      </c>
      <c r="H1440" t="s">
        <v>68</v>
      </c>
      <c r="J1440" t="s">
        <v>194</v>
      </c>
      <c r="K1440" t="s">
        <v>250</v>
      </c>
      <c r="L1440">
        <v>1080000</v>
      </c>
      <c r="M1440" t="s">
        <v>242</v>
      </c>
      <c r="N1440" t="s">
        <v>1322</v>
      </c>
    </row>
    <row r="1441" spans="1:16" x14ac:dyDescent="0.25">
      <c r="A1441" s="16">
        <v>45689</v>
      </c>
      <c r="B1441" t="s">
        <v>35</v>
      </c>
      <c r="C1441">
        <v>14</v>
      </c>
      <c r="D1441" t="s">
        <v>291</v>
      </c>
      <c r="E1441" t="s">
        <v>292</v>
      </c>
      <c r="F1441" t="s">
        <v>285</v>
      </c>
      <c r="G1441" t="s">
        <v>63</v>
      </c>
      <c r="H1441" t="s">
        <v>77</v>
      </c>
      <c r="J1441" t="s">
        <v>194</v>
      </c>
      <c r="K1441" t="s">
        <v>250</v>
      </c>
      <c r="L1441">
        <v>7000</v>
      </c>
      <c r="M1441" t="s">
        <v>242</v>
      </c>
      <c r="N1441" t="s">
        <v>1328</v>
      </c>
    </row>
    <row r="1442" spans="1:16" x14ac:dyDescent="0.25">
      <c r="A1442" s="16">
        <v>45689</v>
      </c>
      <c r="B1442" t="s">
        <v>35</v>
      </c>
      <c r="C1442">
        <v>14</v>
      </c>
      <c r="D1442" t="s">
        <v>291</v>
      </c>
      <c r="E1442" t="s">
        <v>292</v>
      </c>
      <c r="F1442" t="s">
        <v>285</v>
      </c>
      <c r="G1442" t="s">
        <v>63</v>
      </c>
      <c r="H1442" t="s">
        <v>70</v>
      </c>
      <c r="J1442" t="s">
        <v>194</v>
      </c>
      <c r="K1442" t="s">
        <v>250</v>
      </c>
      <c r="L1442">
        <v>647000</v>
      </c>
      <c r="M1442" t="s">
        <v>242</v>
      </c>
      <c r="N1442" t="s">
        <v>1323</v>
      </c>
    </row>
    <row r="1443" spans="1:16" x14ac:dyDescent="0.25">
      <c r="A1443" s="16">
        <v>45689</v>
      </c>
      <c r="B1443" t="s">
        <v>35</v>
      </c>
      <c r="C1443">
        <v>14</v>
      </c>
      <c r="D1443" t="s">
        <v>291</v>
      </c>
      <c r="E1443" t="s">
        <v>292</v>
      </c>
      <c r="F1443" t="s">
        <v>285</v>
      </c>
      <c r="G1443" t="s">
        <v>63</v>
      </c>
      <c r="H1443" t="s">
        <v>71</v>
      </c>
      <c r="J1443" t="s">
        <v>194</v>
      </c>
      <c r="K1443" t="s">
        <v>250</v>
      </c>
      <c r="L1443">
        <v>457000</v>
      </c>
      <c r="M1443" t="s">
        <v>242</v>
      </c>
      <c r="N1443" t="s">
        <v>1324</v>
      </c>
    </row>
    <row r="1444" spans="1:16" x14ac:dyDescent="0.25">
      <c r="A1444" s="16">
        <v>45689</v>
      </c>
      <c r="B1444" t="s">
        <v>35</v>
      </c>
      <c r="C1444">
        <v>14</v>
      </c>
      <c r="D1444" t="s">
        <v>291</v>
      </c>
      <c r="E1444" t="s">
        <v>292</v>
      </c>
      <c r="F1444" t="s">
        <v>285</v>
      </c>
      <c r="G1444" t="s">
        <v>63</v>
      </c>
      <c r="H1444" t="s">
        <v>72</v>
      </c>
      <c r="J1444" t="s">
        <v>194</v>
      </c>
      <c r="K1444" t="s">
        <v>250</v>
      </c>
      <c r="L1444">
        <v>304000</v>
      </c>
      <c r="M1444" t="s">
        <v>242</v>
      </c>
      <c r="N1444" t="s">
        <v>1325</v>
      </c>
    </row>
    <row r="1445" spans="1:16" x14ac:dyDescent="0.25">
      <c r="A1445" s="63">
        <v>45689</v>
      </c>
      <c r="B1445" s="65" t="s">
        <v>35</v>
      </c>
      <c r="C1445" s="65">
        <v>14</v>
      </c>
      <c r="D1445" s="65" t="s">
        <v>291</v>
      </c>
      <c r="E1445" s="65" t="s">
        <v>292</v>
      </c>
      <c r="F1445" s="65" t="s">
        <v>285</v>
      </c>
      <c r="G1445" s="65" t="s">
        <v>63</v>
      </c>
      <c r="H1445" s="65" t="s">
        <v>73</v>
      </c>
      <c r="I1445" s="65"/>
      <c r="J1445" s="65" t="s">
        <v>194</v>
      </c>
      <c r="K1445" s="65" t="s">
        <v>250</v>
      </c>
      <c r="L1445" s="65">
        <v>186000</v>
      </c>
      <c r="M1445" s="65" t="s">
        <v>242</v>
      </c>
      <c r="N1445" s="65" t="s">
        <v>1326</v>
      </c>
    </row>
    <row r="1446" spans="1:16" x14ac:dyDescent="0.25">
      <c r="A1446" s="63">
        <v>45689</v>
      </c>
      <c r="B1446" s="65" t="s">
        <v>35</v>
      </c>
      <c r="C1446" s="65">
        <v>14</v>
      </c>
      <c r="D1446" s="65" t="s">
        <v>291</v>
      </c>
      <c r="E1446" s="65" t="s">
        <v>292</v>
      </c>
      <c r="F1446" s="65" t="s">
        <v>285</v>
      </c>
      <c r="G1446" s="65" t="s">
        <v>63</v>
      </c>
      <c r="H1446" s="65" t="s">
        <v>74</v>
      </c>
      <c r="I1446" s="65"/>
      <c r="J1446" s="65" t="s">
        <v>194</v>
      </c>
      <c r="K1446" s="65" t="s">
        <v>250</v>
      </c>
      <c r="L1446" s="65">
        <v>83000</v>
      </c>
      <c r="M1446" s="65" t="s">
        <v>242</v>
      </c>
      <c r="N1446" s="65" t="s">
        <v>1327</v>
      </c>
    </row>
    <row r="1447" spans="1:16" x14ac:dyDescent="0.25">
      <c r="A1447" s="63">
        <v>45689</v>
      </c>
      <c r="B1447" s="65" t="s">
        <v>35</v>
      </c>
      <c r="C1447" s="65">
        <v>14</v>
      </c>
      <c r="D1447" s="65" t="s">
        <v>291</v>
      </c>
      <c r="E1447" s="65" t="s">
        <v>292</v>
      </c>
      <c r="F1447" s="65" t="s">
        <v>285</v>
      </c>
      <c r="G1447" s="65" t="s">
        <v>63</v>
      </c>
      <c r="H1447" s="65" t="s">
        <v>75</v>
      </c>
      <c r="I1447" s="65"/>
      <c r="J1447" s="65" t="s">
        <v>194</v>
      </c>
      <c r="K1447" s="65" t="s">
        <v>250</v>
      </c>
      <c r="L1447" s="65">
        <v>21000</v>
      </c>
      <c r="M1447" s="65" t="s">
        <v>242</v>
      </c>
      <c r="N1447" s="65" t="s">
        <v>1137</v>
      </c>
    </row>
    <row r="1448" spans="1:16" x14ac:dyDescent="0.25">
      <c r="A1448" s="63">
        <v>45689</v>
      </c>
      <c r="B1448" s="65" t="s">
        <v>35</v>
      </c>
      <c r="C1448" s="65">
        <v>14</v>
      </c>
      <c r="D1448" s="65" t="s">
        <v>291</v>
      </c>
      <c r="E1448" s="65" t="s">
        <v>292</v>
      </c>
      <c r="F1448" s="65" t="s">
        <v>285</v>
      </c>
      <c r="G1448" s="65" t="s">
        <v>63</v>
      </c>
      <c r="H1448" s="65" t="s">
        <v>76</v>
      </c>
      <c r="I1448" s="65"/>
      <c r="J1448" s="65" t="s">
        <v>194</v>
      </c>
      <c r="K1448" s="65" t="s">
        <v>250</v>
      </c>
      <c r="L1448" s="65">
        <v>4000</v>
      </c>
      <c r="M1448" s="65" t="s">
        <v>242</v>
      </c>
      <c r="N1448" s="65" t="s">
        <v>303</v>
      </c>
    </row>
    <row r="1449" spans="1:16" hidden="1" x14ac:dyDescent="0.25">
      <c r="A1449" s="16">
        <v>45689</v>
      </c>
      <c r="B1449" t="s">
        <v>35</v>
      </c>
      <c r="C1449">
        <v>15</v>
      </c>
      <c r="D1449" t="s">
        <v>291</v>
      </c>
      <c r="E1449" t="s">
        <v>292</v>
      </c>
      <c r="F1449" t="s">
        <v>285</v>
      </c>
      <c r="G1449" t="s">
        <v>63</v>
      </c>
      <c r="H1449" t="s">
        <v>79</v>
      </c>
      <c r="J1449" t="s">
        <v>194</v>
      </c>
      <c r="K1449" t="s">
        <v>250</v>
      </c>
      <c r="L1449">
        <v>1710000</v>
      </c>
      <c r="M1449" t="s">
        <v>242</v>
      </c>
      <c r="N1449" t="s">
        <v>740</v>
      </c>
    </row>
    <row r="1450" spans="1:16" hidden="1" x14ac:dyDescent="0.25">
      <c r="A1450" s="16">
        <v>45689</v>
      </c>
      <c r="B1450" t="s">
        <v>35</v>
      </c>
      <c r="C1450">
        <v>15</v>
      </c>
      <c r="D1450" t="s">
        <v>291</v>
      </c>
      <c r="E1450" t="s">
        <v>292</v>
      </c>
      <c r="F1450" t="s">
        <v>285</v>
      </c>
      <c r="G1450" t="s">
        <v>63</v>
      </c>
      <c r="H1450" t="s">
        <v>80</v>
      </c>
      <c r="J1450" t="s">
        <v>194</v>
      </c>
      <c r="K1450" t="s">
        <v>250</v>
      </c>
      <c r="L1450">
        <v>32800</v>
      </c>
      <c r="M1450" t="s">
        <v>242</v>
      </c>
      <c r="N1450" t="s">
        <v>1329</v>
      </c>
    </row>
    <row r="1451" spans="1:16" hidden="1" x14ac:dyDescent="0.25">
      <c r="A1451" s="16">
        <v>45689</v>
      </c>
      <c r="B1451" t="s">
        <v>35</v>
      </c>
      <c r="C1451">
        <v>16</v>
      </c>
      <c r="D1451" t="s">
        <v>253</v>
      </c>
      <c r="E1451" t="s">
        <v>248</v>
      </c>
      <c r="F1451" t="s">
        <v>240</v>
      </c>
      <c r="G1451" t="s">
        <v>82</v>
      </c>
      <c r="J1451" t="s">
        <v>192</v>
      </c>
      <c r="K1451" t="s">
        <v>255</v>
      </c>
      <c r="L1451">
        <v>10000000</v>
      </c>
      <c r="M1451" t="s">
        <v>242</v>
      </c>
      <c r="N1451" t="s">
        <v>960</v>
      </c>
      <c r="O1451">
        <v>1</v>
      </c>
      <c r="P1451" t="s">
        <v>257</v>
      </c>
    </row>
    <row r="1452" spans="1:16" hidden="1" x14ac:dyDescent="0.25">
      <c r="A1452" s="16">
        <v>45689</v>
      </c>
      <c r="B1452" t="s">
        <v>35</v>
      </c>
      <c r="C1452">
        <v>16</v>
      </c>
      <c r="D1452" t="s">
        <v>253</v>
      </c>
      <c r="E1452" t="s">
        <v>248</v>
      </c>
      <c r="F1452" t="s">
        <v>240</v>
      </c>
      <c r="G1452" t="s">
        <v>82</v>
      </c>
      <c r="J1452" t="s">
        <v>193</v>
      </c>
      <c r="K1452" t="s">
        <v>255</v>
      </c>
      <c r="L1452">
        <v>10320000</v>
      </c>
      <c r="M1452" t="s">
        <v>242</v>
      </c>
      <c r="N1452" t="s">
        <v>1139</v>
      </c>
      <c r="O1452">
        <v>1</v>
      </c>
      <c r="P1452" t="s">
        <v>257</v>
      </c>
    </row>
    <row r="1453" spans="1:16" hidden="1" x14ac:dyDescent="0.25">
      <c r="A1453" s="16">
        <v>45689</v>
      </c>
      <c r="B1453" t="s">
        <v>35</v>
      </c>
      <c r="C1453">
        <v>16</v>
      </c>
      <c r="D1453" t="s">
        <v>253</v>
      </c>
      <c r="E1453" t="s">
        <v>248</v>
      </c>
      <c r="F1453" t="s">
        <v>240</v>
      </c>
      <c r="G1453" t="s">
        <v>82</v>
      </c>
      <c r="J1453" t="s">
        <v>194</v>
      </c>
      <c r="K1453" t="s">
        <v>255</v>
      </c>
      <c r="L1453">
        <v>9900000</v>
      </c>
      <c r="M1453" t="s">
        <v>242</v>
      </c>
      <c r="N1453" t="s">
        <v>1330</v>
      </c>
      <c r="O1453">
        <v>1</v>
      </c>
      <c r="P1453" t="s">
        <v>261</v>
      </c>
    </row>
    <row r="1454" spans="1:16" hidden="1" x14ac:dyDescent="0.25">
      <c r="A1454" s="16">
        <v>45689</v>
      </c>
      <c r="B1454" t="s">
        <v>35</v>
      </c>
      <c r="C1454">
        <v>16</v>
      </c>
      <c r="D1454" t="s">
        <v>247</v>
      </c>
      <c r="E1454" t="s">
        <v>248</v>
      </c>
      <c r="F1454" t="s">
        <v>240</v>
      </c>
      <c r="G1454" t="s">
        <v>82</v>
      </c>
      <c r="H1454" t="s">
        <v>249</v>
      </c>
      <c r="J1454" t="s">
        <v>194</v>
      </c>
      <c r="K1454" t="s">
        <v>250</v>
      </c>
      <c r="L1454">
        <v>4</v>
      </c>
      <c r="M1454" t="s">
        <v>251</v>
      </c>
      <c r="N1454" t="s">
        <v>850</v>
      </c>
    </row>
    <row r="1455" spans="1:16" hidden="1" x14ac:dyDescent="0.25">
      <c r="A1455" s="16">
        <v>45689</v>
      </c>
      <c r="B1455" t="s">
        <v>35</v>
      </c>
      <c r="C1455">
        <v>17</v>
      </c>
      <c r="D1455" t="s">
        <v>291</v>
      </c>
      <c r="E1455" t="s">
        <v>292</v>
      </c>
      <c r="F1455" t="s">
        <v>240</v>
      </c>
      <c r="G1455" t="s">
        <v>82</v>
      </c>
      <c r="H1455" t="s">
        <v>83</v>
      </c>
      <c r="J1455" t="s">
        <v>194</v>
      </c>
      <c r="K1455" t="s">
        <v>250</v>
      </c>
      <c r="L1455">
        <v>8450000</v>
      </c>
      <c r="M1455" t="s">
        <v>242</v>
      </c>
      <c r="N1455" t="s">
        <v>1331</v>
      </c>
    </row>
    <row r="1456" spans="1:16" hidden="1" x14ac:dyDescent="0.25">
      <c r="A1456" s="16">
        <v>45689</v>
      </c>
      <c r="B1456" t="s">
        <v>35</v>
      </c>
      <c r="C1456">
        <v>17</v>
      </c>
      <c r="D1456" t="s">
        <v>291</v>
      </c>
      <c r="E1456" t="s">
        <v>292</v>
      </c>
      <c r="F1456" t="s">
        <v>240</v>
      </c>
      <c r="G1456" t="s">
        <v>82</v>
      </c>
      <c r="H1456" t="s">
        <v>84</v>
      </c>
      <c r="J1456" t="s">
        <v>194</v>
      </c>
      <c r="K1456" t="s">
        <v>250</v>
      </c>
      <c r="L1456">
        <v>1450000</v>
      </c>
      <c r="M1456" t="s">
        <v>242</v>
      </c>
      <c r="N1456" t="s">
        <v>1332</v>
      </c>
    </row>
    <row r="1457" spans="1:16" hidden="1" x14ac:dyDescent="0.25">
      <c r="A1457" s="16">
        <v>45689</v>
      </c>
      <c r="B1457" t="s">
        <v>35</v>
      </c>
      <c r="C1457">
        <v>18</v>
      </c>
      <c r="D1457" t="s">
        <v>291</v>
      </c>
      <c r="E1457" t="s">
        <v>292</v>
      </c>
      <c r="F1457" t="s">
        <v>240</v>
      </c>
      <c r="G1457" t="s">
        <v>82</v>
      </c>
      <c r="H1457" t="s">
        <v>83</v>
      </c>
      <c r="I1457" t="s">
        <v>313</v>
      </c>
      <c r="J1457" t="s">
        <v>194</v>
      </c>
      <c r="K1457" t="s">
        <v>250</v>
      </c>
      <c r="L1457">
        <v>3.6</v>
      </c>
      <c r="M1457" t="s">
        <v>251</v>
      </c>
      <c r="N1457" t="s">
        <v>783</v>
      </c>
    </row>
    <row r="1458" spans="1:16" hidden="1" x14ac:dyDescent="0.25">
      <c r="A1458" s="16">
        <v>45689</v>
      </c>
      <c r="B1458" t="s">
        <v>35</v>
      </c>
      <c r="C1458">
        <v>18</v>
      </c>
      <c r="D1458" t="s">
        <v>291</v>
      </c>
      <c r="E1458" t="s">
        <v>292</v>
      </c>
      <c r="F1458" t="s">
        <v>240</v>
      </c>
      <c r="G1458" t="s">
        <v>82</v>
      </c>
      <c r="H1458" t="s">
        <v>83</v>
      </c>
      <c r="I1458" t="s">
        <v>315</v>
      </c>
      <c r="J1458" t="s">
        <v>194</v>
      </c>
      <c r="K1458" t="s">
        <v>250</v>
      </c>
      <c r="L1458">
        <v>85.2</v>
      </c>
      <c r="M1458" t="s">
        <v>251</v>
      </c>
      <c r="N1458" t="s">
        <v>1142</v>
      </c>
    </row>
    <row r="1459" spans="1:16" hidden="1" x14ac:dyDescent="0.25">
      <c r="A1459" s="16">
        <v>45689</v>
      </c>
      <c r="B1459" t="s">
        <v>35</v>
      </c>
      <c r="C1459">
        <v>18</v>
      </c>
      <c r="D1459" t="s">
        <v>291</v>
      </c>
      <c r="E1459" t="s">
        <v>292</v>
      </c>
      <c r="F1459" t="s">
        <v>240</v>
      </c>
      <c r="G1459" t="s">
        <v>82</v>
      </c>
      <c r="H1459" t="s">
        <v>83</v>
      </c>
      <c r="I1459" t="s">
        <v>317</v>
      </c>
      <c r="J1459" t="s">
        <v>194</v>
      </c>
      <c r="K1459" t="s">
        <v>250</v>
      </c>
      <c r="L1459">
        <v>11.2</v>
      </c>
      <c r="M1459" t="s">
        <v>251</v>
      </c>
      <c r="N1459" t="s">
        <v>961</v>
      </c>
    </row>
    <row r="1460" spans="1:16" hidden="1" x14ac:dyDescent="0.25">
      <c r="A1460" s="16">
        <v>45689</v>
      </c>
      <c r="B1460" t="s">
        <v>35</v>
      </c>
      <c r="C1460">
        <v>18</v>
      </c>
      <c r="D1460" t="s">
        <v>291</v>
      </c>
      <c r="E1460" t="s">
        <v>292</v>
      </c>
      <c r="F1460" t="s">
        <v>240</v>
      </c>
      <c r="G1460" t="s">
        <v>82</v>
      </c>
      <c r="H1460" t="s">
        <v>84</v>
      </c>
      <c r="I1460" t="s">
        <v>319</v>
      </c>
      <c r="J1460" t="s">
        <v>194</v>
      </c>
      <c r="K1460" t="s">
        <v>250</v>
      </c>
      <c r="L1460">
        <v>99.4</v>
      </c>
      <c r="M1460" t="s">
        <v>251</v>
      </c>
      <c r="N1460" t="s">
        <v>1333</v>
      </c>
    </row>
    <row r="1461" spans="1:16" hidden="1" x14ac:dyDescent="0.25">
      <c r="A1461" s="16">
        <v>45689</v>
      </c>
      <c r="B1461" t="s">
        <v>35</v>
      </c>
      <c r="C1461">
        <v>18</v>
      </c>
      <c r="D1461" t="s">
        <v>291</v>
      </c>
      <c r="E1461" t="s">
        <v>292</v>
      </c>
      <c r="F1461" t="s">
        <v>240</v>
      </c>
      <c r="G1461" t="s">
        <v>82</v>
      </c>
      <c r="H1461" t="s">
        <v>84</v>
      </c>
      <c r="I1461" t="s">
        <v>321</v>
      </c>
      <c r="J1461" t="s">
        <v>194</v>
      </c>
      <c r="K1461" t="s">
        <v>250</v>
      </c>
      <c r="L1461">
        <v>0.6</v>
      </c>
      <c r="M1461" t="s">
        <v>251</v>
      </c>
      <c r="N1461" t="s">
        <v>483</v>
      </c>
    </row>
    <row r="1462" spans="1:16" hidden="1" x14ac:dyDescent="0.25">
      <c r="A1462" s="16">
        <v>45689</v>
      </c>
      <c r="B1462" t="s">
        <v>35</v>
      </c>
      <c r="C1462">
        <v>19</v>
      </c>
      <c r="D1462" t="s">
        <v>253</v>
      </c>
      <c r="E1462" t="s">
        <v>248</v>
      </c>
      <c r="F1462" t="s">
        <v>244</v>
      </c>
      <c r="G1462" t="s">
        <v>82</v>
      </c>
      <c r="J1462" t="s">
        <v>192</v>
      </c>
      <c r="K1462" t="s">
        <v>255</v>
      </c>
      <c r="L1462">
        <v>1330000000</v>
      </c>
      <c r="M1462" t="s">
        <v>245</v>
      </c>
      <c r="N1462" t="s">
        <v>967</v>
      </c>
      <c r="O1462">
        <v>1</v>
      </c>
      <c r="P1462" t="s">
        <v>257</v>
      </c>
    </row>
    <row r="1463" spans="1:16" hidden="1" x14ac:dyDescent="0.25">
      <c r="A1463" s="16">
        <v>45689</v>
      </c>
      <c r="B1463" t="s">
        <v>35</v>
      </c>
      <c r="C1463">
        <v>19</v>
      </c>
      <c r="D1463" t="s">
        <v>253</v>
      </c>
      <c r="E1463" t="s">
        <v>248</v>
      </c>
      <c r="F1463" t="s">
        <v>244</v>
      </c>
      <c r="G1463" t="s">
        <v>82</v>
      </c>
      <c r="J1463" t="s">
        <v>193</v>
      </c>
      <c r="K1463" t="s">
        <v>255</v>
      </c>
      <c r="L1463">
        <v>1330000000</v>
      </c>
      <c r="M1463" t="s">
        <v>245</v>
      </c>
      <c r="N1463" t="s">
        <v>967</v>
      </c>
      <c r="O1463">
        <v>1</v>
      </c>
      <c r="P1463" t="s">
        <v>257</v>
      </c>
    </row>
    <row r="1464" spans="1:16" hidden="1" x14ac:dyDescent="0.25">
      <c r="A1464" s="16">
        <v>45689</v>
      </c>
      <c r="B1464" t="s">
        <v>35</v>
      </c>
      <c r="C1464">
        <v>19</v>
      </c>
      <c r="D1464" t="s">
        <v>253</v>
      </c>
      <c r="E1464" t="s">
        <v>248</v>
      </c>
      <c r="F1464" t="s">
        <v>244</v>
      </c>
      <c r="G1464" t="s">
        <v>82</v>
      </c>
      <c r="J1464" t="s">
        <v>194</v>
      </c>
      <c r="K1464" t="s">
        <v>255</v>
      </c>
      <c r="L1464">
        <v>1280000000</v>
      </c>
      <c r="M1464" t="s">
        <v>245</v>
      </c>
      <c r="N1464" t="s">
        <v>1334</v>
      </c>
      <c r="O1464">
        <v>1</v>
      </c>
      <c r="P1464" t="s">
        <v>261</v>
      </c>
    </row>
    <row r="1465" spans="1:16" hidden="1" x14ac:dyDescent="0.25">
      <c r="A1465" s="16">
        <v>45689</v>
      </c>
      <c r="B1465" t="s">
        <v>35</v>
      </c>
      <c r="C1465">
        <v>19</v>
      </c>
      <c r="D1465" t="s">
        <v>247</v>
      </c>
      <c r="E1465" t="s">
        <v>248</v>
      </c>
      <c r="F1465" t="s">
        <v>244</v>
      </c>
      <c r="G1465" t="s">
        <v>82</v>
      </c>
      <c r="H1465" t="s">
        <v>249</v>
      </c>
      <c r="J1465" t="s">
        <v>194</v>
      </c>
      <c r="K1465" t="s">
        <v>250</v>
      </c>
      <c r="L1465">
        <v>4.3</v>
      </c>
      <c r="M1465" t="s">
        <v>251</v>
      </c>
      <c r="N1465" t="s">
        <v>252</v>
      </c>
    </row>
    <row r="1466" spans="1:16" hidden="1" x14ac:dyDescent="0.25">
      <c r="A1466" s="16">
        <v>45689</v>
      </c>
      <c r="B1466" t="s">
        <v>35</v>
      </c>
      <c r="C1466">
        <v>20</v>
      </c>
      <c r="D1466" t="s">
        <v>291</v>
      </c>
      <c r="E1466" t="s">
        <v>292</v>
      </c>
      <c r="F1466" t="s">
        <v>244</v>
      </c>
      <c r="G1466" t="s">
        <v>82</v>
      </c>
      <c r="H1466" t="s">
        <v>83</v>
      </c>
      <c r="J1466" t="s">
        <v>194</v>
      </c>
      <c r="K1466" t="s">
        <v>250</v>
      </c>
      <c r="L1466">
        <v>1030000000</v>
      </c>
      <c r="M1466" t="s">
        <v>245</v>
      </c>
      <c r="N1466" t="s">
        <v>1335</v>
      </c>
    </row>
    <row r="1467" spans="1:16" hidden="1" x14ac:dyDescent="0.25">
      <c r="A1467" s="16">
        <v>45689</v>
      </c>
      <c r="B1467" t="s">
        <v>35</v>
      </c>
      <c r="C1467">
        <v>20</v>
      </c>
      <c r="D1467" t="s">
        <v>291</v>
      </c>
      <c r="E1467" t="s">
        <v>292</v>
      </c>
      <c r="F1467" t="s">
        <v>244</v>
      </c>
      <c r="G1467" t="s">
        <v>82</v>
      </c>
      <c r="H1467" t="s">
        <v>84</v>
      </c>
      <c r="J1467" t="s">
        <v>194</v>
      </c>
      <c r="K1467" t="s">
        <v>250</v>
      </c>
      <c r="L1467">
        <v>248700000</v>
      </c>
      <c r="M1467" t="s">
        <v>245</v>
      </c>
      <c r="N1467" t="s">
        <v>1336</v>
      </c>
    </row>
    <row r="1468" spans="1:16" hidden="1" x14ac:dyDescent="0.25">
      <c r="A1468" s="16">
        <v>45689</v>
      </c>
      <c r="B1468" t="s">
        <v>35</v>
      </c>
      <c r="C1468">
        <v>21</v>
      </c>
      <c r="D1468" t="s">
        <v>291</v>
      </c>
      <c r="E1468" t="s">
        <v>292</v>
      </c>
      <c r="F1468" t="s">
        <v>244</v>
      </c>
      <c r="G1468" t="s">
        <v>82</v>
      </c>
      <c r="H1468" t="s">
        <v>83</v>
      </c>
      <c r="I1468" t="s">
        <v>313</v>
      </c>
      <c r="J1468" t="s">
        <v>194</v>
      </c>
      <c r="K1468" t="s">
        <v>250</v>
      </c>
      <c r="L1468">
        <v>5.8</v>
      </c>
      <c r="M1468" t="s">
        <v>251</v>
      </c>
      <c r="N1468" t="s">
        <v>1337</v>
      </c>
    </row>
    <row r="1469" spans="1:16" hidden="1" x14ac:dyDescent="0.25">
      <c r="A1469" s="16">
        <v>45689</v>
      </c>
      <c r="B1469" t="s">
        <v>35</v>
      </c>
      <c r="C1469">
        <v>21</v>
      </c>
      <c r="D1469" t="s">
        <v>291</v>
      </c>
      <c r="E1469" t="s">
        <v>292</v>
      </c>
      <c r="F1469" t="s">
        <v>244</v>
      </c>
      <c r="G1469" t="s">
        <v>82</v>
      </c>
      <c r="H1469" t="s">
        <v>83</v>
      </c>
      <c r="I1469" t="s">
        <v>315</v>
      </c>
      <c r="J1469" t="s">
        <v>194</v>
      </c>
      <c r="K1469" t="s">
        <v>250</v>
      </c>
      <c r="L1469">
        <v>72.400000000000006</v>
      </c>
      <c r="M1469" t="s">
        <v>251</v>
      </c>
      <c r="N1469" t="s">
        <v>1338</v>
      </c>
    </row>
    <row r="1470" spans="1:16" hidden="1" x14ac:dyDescent="0.25">
      <c r="A1470" s="16">
        <v>45689</v>
      </c>
      <c r="B1470" t="s">
        <v>35</v>
      </c>
      <c r="C1470">
        <v>21</v>
      </c>
      <c r="D1470" t="s">
        <v>291</v>
      </c>
      <c r="E1470" t="s">
        <v>292</v>
      </c>
      <c r="F1470" t="s">
        <v>244</v>
      </c>
      <c r="G1470" t="s">
        <v>82</v>
      </c>
      <c r="H1470" t="s">
        <v>83</v>
      </c>
      <c r="I1470" t="s">
        <v>317</v>
      </c>
      <c r="J1470" t="s">
        <v>194</v>
      </c>
      <c r="K1470" t="s">
        <v>250</v>
      </c>
      <c r="L1470">
        <v>21.8</v>
      </c>
      <c r="M1470" t="s">
        <v>251</v>
      </c>
      <c r="N1470" t="s">
        <v>1339</v>
      </c>
    </row>
    <row r="1471" spans="1:16" hidden="1" x14ac:dyDescent="0.25">
      <c r="A1471" s="16">
        <v>45689</v>
      </c>
      <c r="B1471" t="s">
        <v>35</v>
      </c>
      <c r="C1471">
        <v>21</v>
      </c>
      <c r="D1471" t="s">
        <v>291</v>
      </c>
      <c r="E1471" t="s">
        <v>292</v>
      </c>
      <c r="F1471" t="s">
        <v>244</v>
      </c>
      <c r="G1471" t="s">
        <v>82</v>
      </c>
      <c r="H1471" t="s">
        <v>84</v>
      </c>
      <c r="I1471" t="s">
        <v>319</v>
      </c>
      <c r="J1471" t="s">
        <v>194</v>
      </c>
      <c r="K1471" t="s">
        <v>250</v>
      </c>
      <c r="L1471">
        <v>99.92</v>
      </c>
      <c r="M1471" t="s">
        <v>251</v>
      </c>
      <c r="N1471" t="s">
        <v>332</v>
      </c>
    </row>
    <row r="1472" spans="1:16" hidden="1" x14ac:dyDescent="0.25">
      <c r="A1472" s="16">
        <v>45689</v>
      </c>
      <c r="B1472" t="s">
        <v>35</v>
      </c>
      <c r="C1472">
        <v>21</v>
      </c>
      <c r="D1472" t="s">
        <v>291</v>
      </c>
      <c r="E1472" t="s">
        <v>292</v>
      </c>
      <c r="F1472" t="s">
        <v>244</v>
      </c>
      <c r="G1472" t="s">
        <v>82</v>
      </c>
      <c r="H1472" t="s">
        <v>84</v>
      </c>
      <c r="I1472" t="s">
        <v>321</v>
      </c>
      <c r="J1472" t="s">
        <v>194</v>
      </c>
      <c r="K1472" t="s">
        <v>250</v>
      </c>
      <c r="L1472">
        <v>0.08</v>
      </c>
      <c r="M1472" t="s">
        <v>251</v>
      </c>
      <c r="N1472" t="s">
        <v>333</v>
      </c>
    </row>
    <row r="1473" spans="1:16" hidden="1" x14ac:dyDescent="0.25">
      <c r="A1473" s="16">
        <v>45689</v>
      </c>
      <c r="B1473" t="s">
        <v>35</v>
      </c>
      <c r="C1473">
        <v>22</v>
      </c>
      <c r="D1473" t="s">
        <v>253</v>
      </c>
      <c r="E1473" t="s">
        <v>248</v>
      </c>
      <c r="F1473" t="s">
        <v>334</v>
      </c>
      <c r="G1473" t="s">
        <v>82</v>
      </c>
      <c r="J1473" t="s">
        <v>192</v>
      </c>
      <c r="K1473" t="s">
        <v>255</v>
      </c>
      <c r="L1473">
        <v>134</v>
      </c>
      <c r="M1473" t="s">
        <v>245</v>
      </c>
      <c r="N1473" t="s">
        <v>976</v>
      </c>
      <c r="O1473">
        <v>1</v>
      </c>
      <c r="P1473" t="s">
        <v>257</v>
      </c>
    </row>
    <row r="1474" spans="1:16" hidden="1" x14ac:dyDescent="0.25">
      <c r="A1474" s="16">
        <v>45689</v>
      </c>
      <c r="B1474" t="s">
        <v>35</v>
      </c>
      <c r="C1474">
        <v>22</v>
      </c>
      <c r="D1474" t="s">
        <v>253</v>
      </c>
      <c r="E1474" t="s">
        <v>248</v>
      </c>
      <c r="F1474" t="s">
        <v>334</v>
      </c>
      <c r="G1474" t="s">
        <v>82</v>
      </c>
      <c r="J1474" t="s">
        <v>193</v>
      </c>
      <c r="K1474" t="s">
        <v>255</v>
      </c>
      <c r="L1474">
        <v>129</v>
      </c>
      <c r="M1474" t="s">
        <v>245</v>
      </c>
      <c r="N1474" t="s">
        <v>1148</v>
      </c>
      <c r="O1474">
        <v>1</v>
      </c>
      <c r="P1474" t="s">
        <v>257</v>
      </c>
    </row>
    <row r="1475" spans="1:16" hidden="1" x14ac:dyDescent="0.25">
      <c r="A1475" s="16">
        <v>45689</v>
      </c>
      <c r="B1475" t="s">
        <v>35</v>
      </c>
      <c r="C1475">
        <v>22</v>
      </c>
      <c r="D1475" t="s">
        <v>253</v>
      </c>
      <c r="E1475" t="s">
        <v>248</v>
      </c>
      <c r="F1475" t="s">
        <v>334</v>
      </c>
      <c r="G1475" t="s">
        <v>82</v>
      </c>
      <c r="J1475" t="s">
        <v>194</v>
      </c>
      <c r="K1475" t="s">
        <v>255</v>
      </c>
      <c r="L1475">
        <v>129</v>
      </c>
      <c r="M1475" t="s">
        <v>245</v>
      </c>
      <c r="N1475" t="s">
        <v>1148</v>
      </c>
      <c r="O1475">
        <v>1</v>
      </c>
      <c r="P1475" t="s">
        <v>261</v>
      </c>
    </row>
    <row r="1476" spans="1:16" hidden="1" x14ac:dyDescent="0.25">
      <c r="A1476" s="16">
        <v>45689</v>
      </c>
      <c r="B1476" t="s">
        <v>35</v>
      </c>
      <c r="C1476">
        <v>23</v>
      </c>
      <c r="D1476" t="s">
        <v>291</v>
      </c>
      <c r="E1476" t="s">
        <v>292</v>
      </c>
      <c r="F1476" t="s">
        <v>240</v>
      </c>
      <c r="G1476" t="s">
        <v>82</v>
      </c>
      <c r="H1476" t="s">
        <v>94</v>
      </c>
      <c r="J1476" t="s">
        <v>194</v>
      </c>
      <c r="K1476" t="s">
        <v>250</v>
      </c>
      <c r="L1476">
        <v>4510000</v>
      </c>
      <c r="M1476" t="s">
        <v>242</v>
      </c>
      <c r="N1476" t="s">
        <v>1340</v>
      </c>
    </row>
    <row r="1477" spans="1:16" hidden="1" x14ac:dyDescent="0.25">
      <c r="A1477" s="16">
        <v>45689</v>
      </c>
      <c r="B1477" t="s">
        <v>35</v>
      </c>
      <c r="C1477">
        <v>23</v>
      </c>
      <c r="D1477" t="s">
        <v>291</v>
      </c>
      <c r="E1477" t="s">
        <v>292</v>
      </c>
      <c r="F1477" t="s">
        <v>240</v>
      </c>
      <c r="G1477" t="s">
        <v>82</v>
      </c>
      <c r="H1477" t="s">
        <v>95</v>
      </c>
      <c r="J1477" t="s">
        <v>194</v>
      </c>
      <c r="K1477" t="s">
        <v>250</v>
      </c>
      <c r="L1477">
        <v>1600000</v>
      </c>
      <c r="M1477" t="s">
        <v>242</v>
      </c>
      <c r="N1477" t="s">
        <v>532</v>
      </c>
    </row>
    <row r="1478" spans="1:16" hidden="1" x14ac:dyDescent="0.25">
      <c r="A1478" s="16">
        <v>45689</v>
      </c>
      <c r="B1478" t="s">
        <v>35</v>
      </c>
      <c r="C1478">
        <v>24</v>
      </c>
      <c r="D1478" t="s">
        <v>291</v>
      </c>
      <c r="E1478" t="s">
        <v>292</v>
      </c>
      <c r="F1478" t="s">
        <v>244</v>
      </c>
      <c r="G1478" t="s">
        <v>82</v>
      </c>
      <c r="H1478" t="s">
        <v>94</v>
      </c>
      <c r="J1478" t="s">
        <v>194</v>
      </c>
      <c r="K1478" t="s">
        <v>250</v>
      </c>
      <c r="L1478">
        <v>700800000</v>
      </c>
      <c r="M1478" t="s">
        <v>245</v>
      </c>
      <c r="N1478" t="s">
        <v>1341</v>
      </c>
    </row>
    <row r="1479" spans="1:16" hidden="1" x14ac:dyDescent="0.25">
      <c r="A1479" s="16">
        <v>45689</v>
      </c>
      <c r="B1479" t="s">
        <v>35</v>
      </c>
      <c r="C1479">
        <v>24</v>
      </c>
      <c r="D1479" t="s">
        <v>291</v>
      </c>
      <c r="E1479" t="s">
        <v>292</v>
      </c>
      <c r="F1479" t="s">
        <v>244</v>
      </c>
      <c r="G1479" t="s">
        <v>82</v>
      </c>
      <c r="H1479" t="s">
        <v>95</v>
      </c>
      <c r="J1479" t="s">
        <v>194</v>
      </c>
      <c r="K1479" t="s">
        <v>250</v>
      </c>
      <c r="L1479">
        <v>181700000</v>
      </c>
      <c r="M1479" t="s">
        <v>245</v>
      </c>
      <c r="N1479" t="s">
        <v>1342</v>
      </c>
    </row>
    <row r="1480" spans="1:16" hidden="1" x14ac:dyDescent="0.25">
      <c r="A1480" s="16">
        <v>45689</v>
      </c>
      <c r="B1480" t="s">
        <v>156</v>
      </c>
      <c r="C1480">
        <v>78</v>
      </c>
      <c r="D1480" t="s">
        <v>238</v>
      </c>
      <c r="E1480" t="s">
        <v>239</v>
      </c>
      <c r="F1480" t="s">
        <v>240</v>
      </c>
      <c r="G1480" t="s">
        <v>158</v>
      </c>
      <c r="J1480" t="s">
        <v>194</v>
      </c>
      <c r="K1480" t="s">
        <v>241</v>
      </c>
      <c r="L1480">
        <v>941200</v>
      </c>
      <c r="M1480" t="s">
        <v>242</v>
      </c>
      <c r="N1480" t="s">
        <v>1343</v>
      </c>
    </row>
    <row r="1481" spans="1:16" hidden="1" x14ac:dyDescent="0.25">
      <c r="A1481" s="16">
        <v>45689</v>
      </c>
      <c r="B1481" t="s">
        <v>156</v>
      </c>
      <c r="C1481">
        <v>78</v>
      </c>
      <c r="D1481" t="s">
        <v>238</v>
      </c>
      <c r="E1481" t="s">
        <v>239</v>
      </c>
      <c r="F1481" t="s">
        <v>244</v>
      </c>
      <c r="G1481" t="s">
        <v>158</v>
      </c>
      <c r="J1481" t="s">
        <v>194</v>
      </c>
      <c r="K1481" t="s">
        <v>241</v>
      </c>
      <c r="L1481">
        <v>6570000000</v>
      </c>
      <c r="M1481" t="s">
        <v>245</v>
      </c>
      <c r="N1481" t="s">
        <v>1344</v>
      </c>
    </row>
    <row r="1482" spans="1:16" hidden="1" x14ac:dyDescent="0.25">
      <c r="A1482" s="16">
        <v>45689</v>
      </c>
      <c r="B1482" t="s">
        <v>156</v>
      </c>
      <c r="C1482">
        <v>80</v>
      </c>
      <c r="D1482" t="s">
        <v>253</v>
      </c>
      <c r="E1482" t="s">
        <v>248</v>
      </c>
      <c r="F1482" t="s">
        <v>344</v>
      </c>
      <c r="G1482" t="s">
        <v>158</v>
      </c>
      <c r="J1482" t="s">
        <v>192</v>
      </c>
      <c r="K1482" t="s">
        <v>255</v>
      </c>
      <c r="L1482">
        <v>670000</v>
      </c>
      <c r="M1482" t="s">
        <v>242</v>
      </c>
      <c r="N1482" t="s">
        <v>983</v>
      </c>
      <c r="O1482">
        <v>1</v>
      </c>
      <c r="P1482" t="s">
        <v>257</v>
      </c>
    </row>
    <row r="1483" spans="1:16" hidden="1" x14ac:dyDescent="0.25">
      <c r="A1483" s="16">
        <v>45689</v>
      </c>
      <c r="B1483" t="s">
        <v>156</v>
      </c>
      <c r="C1483">
        <v>80</v>
      </c>
      <c r="D1483" t="s">
        <v>253</v>
      </c>
      <c r="E1483" t="s">
        <v>248</v>
      </c>
      <c r="F1483" t="s">
        <v>344</v>
      </c>
      <c r="G1483" t="s">
        <v>158</v>
      </c>
      <c r="J1483" t="s">
        <v>193</v>
      </c>
      <c r="K1483" t="s">
        <v>255</v>
      </c>
      <c r="L1483">
        <v>477000</v>
      </c>
      <c r="M1483" t="s">
        <v>242</v>
      </c>
      <c r="N1483" t="s">
        <v>1154</v>
      </c>
      <c r="O1483">
        <v>1</v>
      </c>
      <c r="P1483" t="s">
        <v>257</v>
      </c>
    </row>
    <row r="1484" spans="1:16" hidden="1" x14ac:dyDescent="0.25">
      <c r="A1484" s="16">
        <v>45689</v>
      </c>
      <c r="B1484" t="s">
        <v>156</v>
      </c>
      <c r="C1484">
        <v>80</v>
      </c>
      <c r="D1484" t="s">
        <v>253</v>
      </c>
      <c r="E1484" t="s">
        <v>248</v>
      </c>
      <c r="F1484" t="s">
        <v>344</v>
      </c>
      <c r="G1484" t="s">
        <v>158</v>
      </c>
      <c r="J1484" t="s">
        <v>194</v>
      </c>
      <c r="K1484" t="s">
        <v>255</v>
      </c>
      <c r="L1484">
        <v>464000</v>
      </c>
      <c r="M1484" t="s">
        <v>242</v>
      </c>
      <c r="N1484" t="s">
        <v>1345</v>
      </c>
      <c r="O1484">
        <v>1</v>
      </c>
      <c r="P1484" t="s">
        <v>261</v>
      </c>
    </row>
    <row r="1485" spans="1:16" hidden="1" x14ac:dyDescent="0.25">
      <c r="A1485" s="16">
        <v>45689</v>
      </c>
      <c r="B1485" t="s">
        <v>156</v>
      </c>
      <c r="C1485">
        <v>80</v>
      </c>
      <c r="D1485" t="s">
        <v>247</v>
      </c>
      <c r="E1485" t="s">
        <v>248</v>
      </c>
      <c r="F1485" t="s">
        <v>344</v>
      </c>
      <c r="G1485" t="s">
        <v>158</v>
      </c>
      <c r="H1485" t="s">
        <v>249</v>
      </c>
      <c r="J1485" t="s">
        <v>194</v>
      </c>
      <c r="K1485" t="s">
        <v>250</v>
      </c>
      <c r="L1485">
        <v>2.8</v>
      </c>
      <c r="M1485" t="s">
        <v>251</v>
      </c>
      <c r="N1485" t="s">
        <v>1346</v>
      </c>
    </row>
    <row r="1486" spans="1:16" hidden="1" x14ac:dyDescent="0.25">
      <c r="A1486" s="16">
        <v>45689</v>
      </c>
      <c r="B1486" t="s">
        <v>156</v>
      </c>
      <c r="C1486">
        <v>81</v>
      </c>
      <c r="D1486" t="s">
        <v>253</v>
      </c>
      <c r="E1486" t="s">
        <v>248</v>
      </c>
      <c r="F1486" t="s">
        <v>349</v>
      </c>
      <c r="G1486" t="s">
        <v>158</v>
      </c>
      <c r="J1486" t="s">
        <v>192</v>
      </c>
      <c r="K1486" t="s">
        <v>255</v>
      </c>
      <c r="L1486">
        <v>23800</v>
      </c>
      <c r="M1486" t="s">
        <v>242</v>
      </c>
      <c r="N1486" t="s">
        <v>985</v>
      </c>
      <c r="O1486">
        <v>1</v>
      </c>
      <c r="P1486" t="s">
        <v>257</v>
      </c>
    </row>
    <row r="1487" spans="1:16" hidden="1" x14ac:dyDescent="0.25">
      <c r="A1487" s="16">
        <v>45689</v>
      </c>
      <c r="B1487" t="s">
        <v>156</v>
      </c>
      <c r="C1487">
        <v>81</v>
      </c>
      <c r="D1487" t="s">
        <v>253</v>
      </c>
      <c r="E1487" t="s">
        <v>248</v>
      </c>
      <c r="F1487" t="s">
        <v>349</v>
      </c>
      <c r="G1487" t="s">
        <v>158</v>
      </c>
      <c r="J1487" t="s">
        <v>193</v>
      </c>
      <c r="K1487" t="s">
        <v>255</v>
      </c>
      <c r="L1487">
        <v>15300</v>
      </c>
      <c r="M1487" t="s">
        <v>242</v>
      </c>
      <c r="N1487" t="s">
        <v>1156</v>
      </c>
      <c r="O1487">
        <v>1</v>
      </c>
      <c r="P1487" t="s">
        <v>257</v>
      </c>
    </row>
    <row r="1488" spans="1:16" hidden="1" x14ac:dyDescent="0.25">
      <c r="A1488" s="16">
        <v>45689</v>
      </c>
      <c r="B1488" t="s">
        <v>156</v>
      </c>
      <c r="C1488">
        <v>81</v>
      </c>
      <c r="D1488" t="s">
        <v>253</v>
      </c>
      <c r="E1488" t="s">
        <v>248</v>
      </c>
      <c r="F1488" t="s">
        <v>349</v>
      </c>
      <c r="G1488" t="s">
        <v>158</v>
      </c>
      <c r="J1488" t="s">
        <v>194</v>
      </c>
      <c r="K1488" t="s">
        <v>255</v>
      </c>
      <c r="L1488">
        <v>14400</v>
      </c>
      <c r="M1488" t="s">
        <v>242</v>
      </c>
      <c r="N1488" t="s">
        <v>1347</v>
      </c>
      <c r="O1488">
        <v>1</v>
      </c>
      <c r="P1488" t="s">
        <v>261</v>
      </c>
    </row>
    <row r="1489" spans="1:16" hidden="1" x14ac:dyDescent="0.25">
      <c r="A1489" s="16">
        <v>45689</v>
      </c>
      <c r="B1489" t="s">
        <v>156</v>
      </c>
      <c r="C1489">
        <v>82</v>
      </c>
      <c r="D1489" t="s">
        <v>253</v>
      </c>
      <c r="E1489" t="s">
        <v>248</v>
      </c>
      <c r="F1489" t="s">
        <v>615</v>
      </c>
      <c r="G1489" t="s">
        <v>158</v>
      </c>
      <c r="J1489" t="s">
        <v>192</v>
      </c>
      <c r="K1489" t="s">
        <v>255</v>
      </c>
      <c r="L1489">
        <v>3.6</v>
      </c>
      <c r="M1489" t="s">
        <v>251</v>
      </c>
      <c r="N1489" t="s">
        <v>783</v>
      </c>
      <c r="O1489">
        <v>1</v>
      </c>
      <c r="P1489" t="s">
        <v>257</v>
      </c>
    </row>
    <row r="1490" spans="1:16" hidden="1" x14ac:dyDescent="0.25">
      <c r="A1490" s="16">
        <v>45689</v>
      </c>
      <c r="B1490" t="s">
        <v>156</v>
      </c>
      <c r="C1490">
        <v>82</v>
      </c>
      <c r="D1490" t="s">
        <v>253</v>
      </c>
      <c r="E1490" t="s">
        <v>248</v>
      </c>
      <c r="F1490" t="s">
        <v>615</v>
      </c>
      <c r="G1490" t="s">
        <v>158</v>
      </c>
      <c r="J1490" t="s">
        <v>193</v>
      </c>
      <c r="K1490" t="s">
        <v>255</v>
      </c>
      <c r="L1490">
        <v>3.2</v>
      </c>
      <c r="M1490" t="s">
        <v>251</v>
      </c>
      <c r="N1490" t="s">
        <v>509</v>
      </c>
      <c r="O1490">
        <v>1</v>
      </c>
      <c r="P1490" t="s">
        <v>257</v>
      </c>
    </row>
    <row r="1491" spans="1:16" hidden="1" x14ac:dyDescent="0.25">
      <c r="A1491" s="16">
        <v>45689</v>
      </c>
      <c r="B1491" t="s">
        <v>156</v>
      </c>
      <c r="C1491">
        <v>82</v>
      </c>
      <c r="D1491" t="s">
        <v>253</v>
      </c>
      <c r="E1491" t="s">
        <v>248</v>
      </c>
      <c r="F1491" t="s">
        <v>615</v>
      </c>
      <c r="G1491" t="s">
        <v>158</v>
      </c>
      <c r="J1491" t="s">
        <v>194</v>
      </c>
      <c r="K1491" t="s">
        <v>255</v>
      </c>
      <c r="L1491">
        <v>2.9</v>
      </c>
      <c r="M1491" t="s">
        <v>251</v>
      </c>
      <c r="N1491" t="s">
        <v>616</v>
      </c>
      <c r="O1491">
        <v>1</v>
      </c>
      <c r="P1491" t="s">
        <v>261</v>
      </c>
    </row>
    <row r="1492" spans="1:16" hidden="1" x14ac:dyDescent="0.25">
      <c r="A1492" s="16">
        <v>45689</v>
      </c>
      <c r="B1492" t="s">
        <v>156</v>
      </c>
      <c r="C1492">
        <v>83</v>
      </c>
      <c r="D1492" t="s">
        <v>291</v>
      </c>
      <c r="E1492" t="s">
        <v>292</v>
      </c>
      <c r="F1492" t="s">
        <v>349</v>
      </c>
      <c r="G1492" t="s">
        <v>158</v>
      </c>
      <c r="H1492" t="s">
        <v>159</v>
      </c>
      <c r="J1492" t="s">
        <v>194</v>
      </c>
      <c r="K1492" t="s">
        <v>250</v>
      </c>
      <c r="L1492">
        <v>9355</v>
      </c>
      <c r="M1492" t="s">
        <v>242</v>
      </c>
      <c r="N1492" t="s">
        <v>1348</v>
      </c>
    </row>
    <row r="1493" spans="1:16" hidden="1" x14ac:dyDescent="0.25">
      <c r="A1493" s="16">
        <v>45689</v>
      </c>
      <c r="B1493" t="s">
        <v>156</v>
      </c>
      <c r="C1493">
        <v>83</v>
      </c>
      <c r="D1493" t="s">
        <v>291</v>
      </c>
      <c r="E1493" t="s">
        <v>292</v>
      </c>
      <c r="F1493" t="s">
        <v>349</v>
      </c>
      <c r="G1493" t="s">
        <v>158</v>
      </c>
      <c r="H1493" t="s">
        <v>160</v>
      </c>
      <c r="J1493" t="s">
        <v>194</v>
      </c>
      <c r="K1493" t="s">
        <v>250</v>
      </c>
      <c r="L1493">
        <v>5062</v>
      </c>
      <c r="M1493" t="s">
        <v>242</v>
      </c>
      <c r="N1493" t="s">
        <v>1349</v>
      </c>
    </row>
    <row r="1494" spans="1:16" hidden="1" x14ac:dyDescent="0.25">
      <c r="A1494" s="16">
        <v>45689</v>
      </c>
      <c r="B1494" t="s">
        <v>156</v>
      </c>
      <c r="C1494">
        <v>84</v>
      </c>
      <c r="D1494" t="s">
        <v>253</v>
      </c>
      <c r="E1494" t="s">
        <v>248</v>
      </c>
      <c r="F1494" t="s">
        <v>356</v>
      </c>
      <c r="G1494" t="s">
        <v>158</v>
      </c>
      <c r="J1494" t="s">
        <v>192</v>
      </c>
      <c r="K1494" t="s">
        <v>255</v>
      </c>
      <c r="L1494">
        <v>3960000000</v>
      </c>
      <c r="M1494" t="s">
        <v>245</v>
      </c>
      <c r="N1494" t="s">
        <v>988</v>
      </c>
      <c r="O1494">
        <v>1</v>
      </c>
      <c r="P1494" t="s">
        <v>257</v>
      </c>
    </row>
    <row r="1495" spans="1:16" hidden="1" x14ac:dyDescent="0.25">
      <c r="A1495" s="16">
        <v>45689</v>
      </c>
      <c r="B1495" t="s">
        <v>156</v>
      </c>
      <c r="C1495">
        <v>84</v>
      </c>
      <c r="D1495" t="s">
        <v>253</v>
      </c>
      <c r="E1495" t="s">
        <v>248</v>
      </c>
      <c r="F1495" t="s">
        <v>356</v>
      </c>
      <c r="G1495" t="s">
        <v>158</v>
      </c>
      <c r="J1495" t="s">
        <v>193</v>
      </c>
      <c r="K1495" t="s">
        <v>255</v>
      </c>
      <c r="L1495">
        <v>3370000000</v>
      </c>
      <c r="M1495" t="s">
        <v>245</v>
      </c>
      <c r="N1495" t="s">
        <v>1159</v>
      </c>
      <c r="O1495">
        <v>1</v>
      </c>
      <c r="P1495" t="s">
        <v>257</v>
      </c>
    </row>
    <row r="1496" spans="1:16" hidden="1" x14ac:dyDescent="0.25">
      <c r="A1496" s="16">
        <v>45689</v>
      </c>
      <c r="B1496" t="s">
        <v>156</v>
      </c>
      <c r="C1496">
        <v>84</v>
      </c>
      <c r="D1496" t="s">
        <v>253</v>
      </c>
      <c r="E1496" t="s">
        <v>248</v>
      </c>
      <c r="F1496" t="s">
        <v>356</v>
      </c>
      <c r="G1496" t="s">
        <v>158</v>
      </c>
      <c r="J1496" t="s">
        <v>194</v>
      </c>
      <c r="K1496" t="s">
        <v>255</v>
      </c>
      <c r="L1496">
        <v>3200000000</v>
      </c>
      <c r="M1496" t="s">
        <v>245</v>
      </c>
      <c r="N1496" t="s">
        <v>1350</v>
      </c>
      <c r="O1496">
        <v>1</v>
      </c>
      <c r="P1496" t="s">
        <v>261</v>
      </c>
    </row>
    <row r="1497" spans="1:16" hidden="1" x14ac:dyDescent="0.25">
      <c r="A1497" s="16">
        <v>45689</v>
      </c>
      <c r="B1497" t="s">
        <v>156</v>
      </c>
      <c r="C1497">
        <v>84</v>
      </c>
      <c r="D1497" t="s">
        <v>247</v>
      </c>
      <c r="E1497" t="s">
        <v>248</v>
      </c>
      <c r="F1497" t="s">
        <v>356</v>
      </c>
      <c r="G1497" t="s">
        <v>158</v>
      </c>
      <c r="H1497" t="s">
        <v>249</v>
      </c>
      <c r="J1497" t="s">
        <v>194</v>
      </c>
      <c r="K1497" t="s">
        <v>250</v>
      </c>
      <c r="L1497">
        <v>5</v>
      </c>
      <c r="M1497" t="s">
        <v>251</v>
      </c>
      <c r="N1497" t="s">
        <v>1279</v>
      </c>
    </row>
    <row r="1498" spans="1:16" hidden="1" x14ac:dyDescent="0.25">
      <c r="A1498" s="16">
        <v>45689</v>
      </c>
      <c r="B1498" t="s">
        <v>156</v>
      </c>
      <c r="C1498">
        <v>85</v>
      </c>
      <c r="D1498" t="s">
        <v>253</v>
      </c>
      <c r="E1498" t="s">
        <v>248</v>
      </c>
      <c r="F1498" t="s">
        <v>361</v>
      </c>
      <c r="G1498" t="s">
        <v>158</v>
      </c>
      <c r="J1498" t="s">
        <v>192</v>
      </c>
      <c r="K1498" t="s">
        <v>255</v>
      </c>
      <c r="L1498">
        <v>162000000</v>
      </c>
      <c r="M1498" t="s">
        <v>245</v>
      </c>
      <c r="N1498" t="s">
        <v>990</v>
      </c>
      <c r="O1498">
        <v>1</v>
      </c>
      <c r="P1498" t="s">
        <v>257</v>
      </c>
    </row>
    <row r="1499" spans="1:16" hidden="1" x14ac:dyDescent="0.25">
      <c r="A1499" s="16">
        <v>45689</v>
      </c>
      <c r="B1499" t="s">
        <v>156</v>
      </c>
      <c r="C1499">
        <v>85</v>
      </c>
      <c r="D1499" t="s">
        <v>253</v>
      </c>
      <c r="E1499" t="s">
        <v>248</v>
      </c>
      <c r="F1499" t="s">
        <v>361</v>
      </c>
      <c r="G1499" t="s">
        <v>158</v>
      </c>
      <c r="J1499" t="s">
        <v>193</v>
      </c>
      <c r="K1499" t="s">
        <v>255</v>
      </c>
      <c r="L1499">
        <v>91000000</v>
      </c>
      <c r="M1499" t="s">
        <v>245</v>
      </c>
      <c r="N1499" t="s">
        <v>1161</v>
      </c>
      <c r="O1499">
        <v>1</v>
      </c>
      <c r="P1499" t="s">
        <v>257</v>
      </c>
    </row>
    <row r="1500" spans="1:16" hidden="1" x14ac:dyDescent="0.25">
      <c r="A1500" s="16">
        <v>45689</v>
      </c>
      <c r="B1500" t="s">
        <v>156</v>
      </c>
      <c r="C1500">
        <v>85</v>
      </c>
      <c r="D1500" t="s">
        <v>253</v>
      </c>
      <c r="E1500" t="s">
        <v>248</v>
      </c>
      <c r="F1500" t="s">
        <v>361</v>
      </c>
      <c r="G1500" t="s">
        <v>158</v>
      </c>
      <c r="J1500" t="s">
        <v>194</v>
      </c>
      <c r="K1500" t="s">
        <v>255</v>
      </c>
      <c r="L1500">
        <v>82000000</v>
      </c>
      <c r="M1500" t="s">
        <v>245</v>
      </c>
      <c r="N1500" t="s">
        <v>804</v>
      </c>
      <c r="O1500">
        <v>1</v>
      </c>
      <c r="P1500" t="s">
        <v>261</v>
      </c>
    </row>
    <row r="1501" spans="1:16" hidden="1" x14ac:dyDescent="0.25">
      <c r="A1501" s="16">
        <v>45689</v>
      </c>
      <c r="B1501" t="s">
        <v>156</v>
      </c>
      <c r="C1501">
        <v>86</v>
      </c>
      <c r="D1501" t="s">
        <v>253</v>
      </c>
      <c r="E1501" t="s">
        <v>248</v>
      </c>
      <c r="F1501" t="s">
        <v>622</v>
      </c>
      <c r="G1501" t="s">
        <v>158</v>
      </c>
      <c r="J1501" t="s">
        <v>192</v>
      </c>
      <c r="K1501" t="s">
        <v>255</v>
      </c>
      <c r="L1501">
        <v>4.0999999999999996</v>
      </c>
      <c r="M1501" t="s">
        <v>251</v>
      </c>
      <c r="N1501" t="s">
        <v>991</v>
      </c>
      <c r="O1501">
        <v>1</v>
      </c>
      <c r="P1501" t="s">
        <v>257</v>
      </c>
    </row>
    <row r="1502" spans="1:16" hidden="1" x14ac:dyDescent="0.25">
      <c r="A1502" s="16">
        <v>45689</v>
      </c>
      <c r="B1502" t="s">
        <v>156</v>
      </c>
      <c r="C1502">
        <v>86</v>
      </c>
      <c r="D1502" t="s">
        <v>253</v>
      </c>
      <c r="E1502" t="s">
        <v>248</v>
      </c>
      <c r="F1502" t="s">
        <v>622</v>
      </c>
      <c r="G1502" t="s">
        <v>158</v>
      </c>
      <c r="J1502" t="s">
        <v>193</v>
      </c>
      <c r="K1502" t="s">
        <v>255</v>
      </c>
      <c r="L1502">
        <v>2.69</v>
      </c>
      <c r="M1502" t="s">
        <v>251</v>
      </c>
      <c r="N1502" t="s">
        <v>1162</v>
      </c>
      <c r="O1502">
        <v>1</v>
      </c>
      <c r="P1502" t="s">
        <v>257</v>
      </c>
    </row>
    <row r="1503" spans="1:16" hidden="1" x14ac:dyDescent="0.25">
      <c r="A1503" s="16">
        <v>45689</v>
      </c>
      <c r="B1503" t="s">
        <v>156</v>
      </c>
      <c r="C1503">
        <v>86</v>
      </c>
      <c r="D1503" t="s">
        <v>253</v>
      </c>
      <c r="E1503" t="s">
        <v>248</v>
      </c>
      <c r="F1503" t="s">
        <v>622</v>
      </c>
      <c r="G1503" t="s">
        <v>158</v>
      </c>
      <c r="J1503" t="s">
        <v>194</v>
      </c>
      <c r="K1503" t="s">
        <v>255</v>
      </c>
      <c r="L1503">
        <v>2.57</v>
      </c>
      <c r="M1503" t="s">
        <v>251</v>
      </c>
      <c r="N1503" t="s">
        <v>1351</v>
      </c>
      <c r="O1503">
        <v>1</v>
      </c>
      <c r="P1503" t="s">
        <v>261</v>
      </c>
    </row>
    <row r="1504" spans="1:16" hidden="1" x14ac:dyDescent="0.25">
      <c r="A1504" s="16">
        <v>45689</v>
      </c>
      <c r="B1504" t="s">
        <v>156</v>
      </c>
      <c r="C1504">
        <v>87</v>
      </c>
      <c r="D1504" t="s">
        <v>291</v>
      </c>
      <c r="E1504" t="s">
        <v>292</v>
      </c>
      <c r="F1504" t="s">
        <v>361</v>
      </c>
      <c r="G1504" t="s">
        <v>158</v>
      </c>
      <c r="H1504" t="s">
        <v>159</v>
      </c>
      <c r="J1504" t="s">
        <v>194</v>
      </c>
      <c r="K1504" t="s">
        <v>250</v>
      </c>
      <c r="L1504">
        <v>54100000</v>
      </c>
      <c r="M1504" t="s">
        <v>245</v>
      </c>
      <c r="N1504" t="s">
        <v>1352</v>
      </c>
    </row>
    <row r="1505" spans="1:16" hidden="1" x14ac:dyDescent="0.25">
      <c r="A1505" s="16">
        <v>45689</v>
      </c>
      <c r="B1505" t="s">
        <v>156</v>
      </c>
      <c r="C1505">
        <v>87</v>
      </c>
      <c r="D1505" t="s">
        <v>291</v>
      </c>
      <c r="E1505" t="s">
        <v>292</v>
      </c>
      <c r="F1505" t="s">
        <v>361</v>
      </c>
      <c r="G1505" t="s">
        <v>158</v>
      </c>
      <c r="H1505" t="s">
        <v>160</v>
      </c>
      <c r="J1505" t="s">
        <v>194</v>
      </c>
      <c r="K1505" t="s">
        <v>250</v>
      </c>
      <c r="L1505">
        <v>28100000</v>
      </c>
      <c r="M1505" t="s">
        <v>245</v>
      </c>
      <c r="N1505" t="s">
        <v>1353</v>
      </c>
    </row>
    <row r="1506" spans="1:16" hidden="1" x14ac:dyDescent="0.25">
      <c r="A1506" s="16">
        <v>45689</v>
      </c>
      <c r="B1506" t="s">
        <v>120</v>
      </c>
      <c r="C1506">
        <v>60</v>
      </c>
      <c r="D1506" t="s">
        <v>238</v>
      </c>
      <c r="E1506" t="s">
        <v>239</v>
      </c>
      <c r="F1506" t="s">
        <v>240</v>
      </c>
      <c r="G1506" t="s">
        <v>82</v>
      </c>
      <c r="J1506" t="s">
        <v>194</v>
      </c>
      <c r="K1506" t="s">
        <v>241</v>
      </c>
      <c r="L1506">
        <v>11590000</v>
      </c>
      <c r="M1506" t="s">
        <v>242</v>
      </c>
      <c r="N1506" t="s">
        <v>1354</v>
      </c>
    </row>
    <row r="1507" spans="1:16" hidden="1" x14ac:dyDescent="0.25">
      <c r="A1507" s="16">
        <v>45689</v>
      </c>
      <c r="B1507" t="s">
        <v>120</v>
      </c>
      <c r="C1507">
        <v>60</v>
      </c>
      <c r="D1507" t="s">
        <v>238</v>
      </c>
      <c r="E1507" t="s">
        <v>239</v>
      </c>
      <c r="F1507" t="s">
        <v>244</v>
      </c>
      <c r="G1507" t="s">
        <v>82</v>
      </c>
      <c r="J1507" t="s">
        <v>194</v>
      </c>
      <c r="K1507" t="s">
        <v>241</v>
      </c>
      <c r="L1507">
        <v>2540000000</v>
      </c>
      <c r="M1507" t="s">
        <v>245</v>
      </c>
      <c r="N1507" t="s">
        <v>1355</v>
      </c>
    </row>
    <row r="1508" spans="1:16" hidden="1" x14ac:dyDescent="0.25">
      <c r="A1508" s="16">
        <v>45689</v>
      </c>
      <c r="B1508" t="s">
        <v>120</v>
      </c>
      <c r="C1508">
        <v>62</v>
      </c>
      <c r="D1508" t="s">
        <v>253</v>
      </c>
      <c r="E1508" t="s">
        <v>248</v>
      </c>
      <c r="F1508" t="s">
        <v>285</v>
      </c>
      <c r="G1508" t="s">
        <v>63</v>
      </c>
      <c r="J1508" t="s">
        <v>192</v>
      </c>
      <c r="K1508" t="s">
        <v>255</v>
      </c>
      <c r="L1508">
        <v>4540000</v>
      </c>
      <c r="M1508" t="s">
        <v>242</v>
      </c>
      <c r="N1508" t="s">
        <v>996</v>
      </c>
      <c r="O1508">
        <v>1</v>
      </c>
      <c r="P1508" t="s">
        <v>257</v>
      </c>
    </row>
    <row r="1509" spans="1:16" hidden="1" x14ac:dyDescent="0.25">
      <c r="A1509" s="16">
        <v>45689</v>
      </c>
      <c r="B1509" t="s">
        <v>120</v>
      </c>
      <c r="C1509">
        <v>62</v>
      </c>
      <c r="D1509" t="s">
        <v>253</v>
      </c>
      <c r="E1509" t="s">
        <v>248</v>
      </c>
      <c r="F1509" t="s">
        <v>285</v>
      </c>
      <c r="G1509" t="s">
        <v>63</v>
      </c>
      <c r="J1509" t="s">
        <v>193</v>
      </c>
      <c r="K1509" t="s">
        <v>255</v>
      </c>
      <c r="L1509">
        <v>4580000</v>
      </c>
      <c r="M1509" t="s">
        <v>242</v>
      </c>
      <c r="N1509" t="s">
        <v>1167</v>
      </c>
      <c r="O1509">
        <v>1</v>
      </c>
      <c r="P1509" t="s">
        <v>257</v>
      </c>
    </row>
    <row r="1510" spans="1:16" hidden="1" x14ac:dyDescent="0.25">
      <c r="A1510" s="16">
        <v>45689</v>
      </c>
      <c r="B1510" t="s">
        <v>120</v>
      </c>
      <c r="C1510">
        <v>62</v>
      </c>
      <c r="D1510" t="s">
        <v>253</v>
      </c>
      <c r="E1510" t="s">
        <v>248</v>
      </c>
      <c r="F1510" t="s">
        <v>285</v>
      </c>
      <c r="G1510" t="s">
        <v>63</v>
      </c>
      <c r="J1510" t="s">
        <v>194</v>
      </c>
      <c r="K1510" t="s">
        <v>255</v>
      </c>
      <c r="L1510">
        <v>4620000</v>
      </c>
      <c r="M1510" t="s">
        <v>242</v>
      </c>
      <c r="N1510" t="s">
        <v>1356</v>
      </c>
      <c r="O1510">
        <v>1</v>
      </c>
      <c r="P1510" t="s">
        <v>261</v>
      </c>
    </row>
    <row r="1511" spans="1:16" hidden="1" x14ac:dyDescent="0.25">
      <c r="A1511" s="16">
        <v>45689</v>
      </c>
      <c r="B1511" t="s">
        <v>120</v>
      </c>
      <c r="C1511">
        <v>62</v>
      </c>
      <c r="D1511" t="s">
        <v>247</v>
      </c>
      <c r="E1511" t="s">
        <v>248</v>
      </c>
      <c r="F1511" t="s">
        <v>285</v>
      </c>
      <c r="G1511" t="s">
        <v>63</v>
      </c>
      <c r="H1511" t="s">
        <v>286</v>
      </c>
      <c r="J1511" t="s">
        <v>194</v>
      </c>
      <c r="K1511" t="s">
        <v>250</v>
      </c>
      <c r="L1511">
        <v>0.8</v>
      </c>
      <c r="M1511" t="s">
        <v>251</v>
      </c>
      <c r="N1511" t="s">
        <v>370</v>
      </c>
    </row>
    <row r="1512" spans="1:16" hidden="1" x14ac:dyDescent="0.25">
      <c r="A1512" s="16">
        <v>45689</v>
      </c>
      <c r="B1512" t="s">
        <v>120</v>
      </c>
      <c r="C1512">
        <v>63</v>
      </c>
      <c r="D1512" t="s">
        <v>291</v>
      </c>
      <c r="E1512" t="s">
        <v>292</v>
      </c>
      <c r="F1512" t="s">
        <v>285</v>
      </c>
      <c r="G1512" t="s">
        <v>63</v>
      </c>
      <c r="H1512" t="s">
        <v>122</v>
      </c>
      <c r="J1512" t="s">
        <v>194</v>
      </c>
      <c r="K1512" t="s">
        <v>250</v>
      </c>
      <c r="L1512">
        <v>4580000</v>
      </c>
      <c r="M1512" t="s">
        <v>242</v>
      </c>
      <c r="N1512" t="s">
        <v>489</v>
      </c>
    </row>
    <row r="1513" spans="1:16" hidden="1" x14ac:dyDescent="0.25">
      <c r="A1513" s="16">
        <v>45689</v>
      </c>
      <c r="B1513" t="s">
        <v>120</v>
      </c>
      <c r="C1513">
        <v>63</v>
      </c>
      <c r="D1513" t="s">
        <v>291</v>
      </c>
      <c r="E1513" t="s">
        <v>292</v>
      </c>
      <c r="F1513" t="s">
        <v>285</v>
      </c>
      <c r="G1513" t="s">
        <v>63</v>
      </c>
      <c r="H1513" t="s">
        <v>123</v>
      </c>
      <c r="J1513" t="s">
        <v>194</v>
      </c>
      <c r="K1513" t="s">
        <v>250</v>
      </c>
      <c r="L1513">
        <v>37900</v>
      </c>
      <c r="M1513" t="s">
        <v>242</v>
      </c>
      <c r="N1513" t="s">
        <v>1357</v>
      </c>
    </row>
    <row r="1514" spans="1:16" hidden="1" x14ac:dyDescent="0.25">
      <c r="A1514" s="16">
        <v>45689</v>
      </c>
      <c r="B1514" t="s">
        <v>120</v>
      </c>
      <c r="C1514">
        <v>63</v>
      </c>
      <c r="D1514" t="s">
        <v>238</v>
      </c>
      <c r="E1514" t="s">
        <v>239</v>
      </c>
      <c r="F1514" t="s">
        <v>285</v>
      </c>
      <c r="G1514" t="s">
        <v>63</v>
      </c>
      <c r="H1514" t="s">
        <v>376</v>
      </c>
      <c r="J1514" t="s">
        <v>194</v>
      </c>
      <c r="K1514" t="s">
        <v>250</v>
      </c>
      <c r="L1514">
        <v>4620000</v>
      </c>
      <c r="M1514" t="s">
        <v>242</v>
      </c>
      <c r="N1514" t="s">
        <v>1358</v>
      </c>
    </row>
    <row r="1515" spans="1:16" hidden="1" x14ac:dyDescent="0.25">
      <c r="A1515" s="16">
        <v>45689</v>
      </c>
      <c r="B1515" t="s">
        <v>120</v>
      </c>
      <c r="C1515">
        <v>64</v>
      </c>
      <c r="D1515" t="s">
        <v>238</v>
      </c>
      <c r="E1515" t="s">
        <v>239</v>
      </c>
      <c r="F1515" t="s">
        <v>378</v>
      </c>
      <c r="G1515" t="s">
        <v>379</v>
      </c>
      <c r="J1515" t="s">
        <v>194</v>
      </c>
      <c r="K1515" t="s">
        <v>250</v>
      </c>
      <c r="L1515">
        <v>599</v>
      </c>
      <c r="M1515" t="s">
        <v>242</v>
      </c>
      <c r="N1515" t="s">
        <v>1359</v>
      </c>
    </row>
    <row r="1516" spans="1:16" hidden="1" x14ac:dyDescent="0.25">
      <c r="A1516" s="16">
        <v>45689</v>
      </c>
      <c r="B1516" t="s">
        <v>120</v>
      </c>
      <c r="C1516">
        <v>64</v>
      </c>
      <c r="D1516" t="s">
        <v>238</v>
      </c>
      <c r="E1516" t="s">
        <v>239</v>
      </c>
      <c r="F1516" t="s">
        <v>381</v>
      </c>
      <c r="G1516" t="s">
        <v>382</v>
      </c>
      <c r="J1516" t="s">
        <v>194</v>
      </c>
      <c r="K1516" t="s">
        <v>250</v>
      </c>
      <c r="L1516">
        <v>2078</v>
      </c>
      <c r="M1516" t="s">
        <v>242</v>
      </c>
      <c r="N1516" t="s">
        <v>1360</v>
      </c>
    </row>
    <row r="1517" spans="1:16" hidden="1" x14ac:dyDescent="0.25">
      <c r="A1517" s="16">
        <v>45689</v>
      </c>
      <c r="B1517" t="s">
        <v>120</v>
      </c>
      <c r="C1517">
        <v>65</v>
      </c>
      <c r="D1517" t="s">
        <v>253</v>
      </c>
      <c r="E1517" t="s">
        <v>248</v>
      </c>
      <c r="F1517" t="s">
        <v>240</v>
      </c>
      <c r="G1517" t="s">
        <v>82</v>
      </c>
      <c r="J1517" t="s">
        <v>192</v>
      </c>
      <c r="K1517" t="s">
        <v>255</v>
      </c>
      <c r="L1517">
        <v>6430000</v>
      </c>
      <c r="M1517" t="s">
        <v>242</v>
      </c>
      <c r="N1517" t="s">
        <v>1001</v>
      </c>
      <c r="O1517">
        <v>1</v>
      </c>
      <c r="P1517" t="s">
        <v>257</v>
      </c>
    </row>
    <row r="1518" spans="1:16" hidden="1" x14ac:dyDescent="0.25">
      <c r="A1518" s="16">
        <v>45689</v>
      </c>
      <c r="B1518" t="s">
        <v>120</v>
      </c>
      <c r="C1518">
        <v>65</v>
      </c>
      <c r="D1518" t="s">
        <v>253</v>
      </c>
      <c r="E1518" t="s">
        <v>248</v>
      </c>
      <c r="F1518" t="s">
        <v>240</v>
      </c>
      <c r="G1518" t="s">
        <v>82</v>
      </c>
      <c r="J1518" t="s">
        <v>193</v>
      </c>
      <c r="K1518" t="s">
        <v>255</v>
      </c>
      <c r="L1518">
        <v>5890000</v>
      </c>
      <c r="M1518" t="s">
        <v>242</v>
      </c>
      <c r="N1518" t="s">
        <v>1171</v>
      </c>
      <c r="O1518">
        <v>1</v>
      </c>
      <c r="P1518" t="s">
        <v>257</v>
      </c>
    </row>
    <row r="1519" spans="1:16" hidden="1" x14ac:dyDescent="0.25">
      <c r="A1519" s="16">
        <v>45689</v>
      </c>
      <c r="B1519" t="s">
        <v>120</v>
      </c>
      <c r="C1519">
        <v>65</v>
      </c>
      <c r="D1519" t="s">
        <v>253</v>
      </c>
      <c r="E1519" t="s">
        <v>248</v>
      </c>
      <c r="F1519" t="s">
        <v>240</v>
      </c>
      <c r="G1519" t="s">
        <v>82</v>
      </c>
      <c r="J1519" t="s">
        <v>194</v>
      </c>
      <c r="K1519" t="s">
        <v>255</v>
      </c>
      <c r="L1519">
        <v>5700000</v>
      </c>
      <c r="M1519" t="s">
        <v>242</v>
      </c>
      <c r="N1519" t="s">
        <v>1361</v>
      </c>
      <c r="O1519">
        <v>1</v>
      </c>
      <c r="P1519" t="s">
        <v>261</v>
      </c>
    </row>
    <row r="1520" spans="1:16" hidden="1" x14ac:dyDescent="0.25">
      <c r="A1520" s="16">
        <v>45689</v>
      </c>
      <c r="B1520" t="s">
        <v>120</v>
      </c>
      <c r="C1520">
        <v>65</v>
      </c>
      <c r="D1520" t="s">
        <v>247</v>
      </c>
      <c r="E1520" t="s">
        <v>248</v>
      </c>
      <c r="F1520" t="s">
        <v>240</v>
      </c>
      <c r="G1520" t="s">
        <v>82</v>
      </c>
      <c r="H1520" t="s">
        <v>249</v>
      </c>
      <c r="J1520" t="s">
        <v>194</v>
      </c>
      <c r="K1520" t="s">
        <v>250</v>
      </c>
      <c r="L1520">
        <v>3.2</v>
      </c>
      <c r="M1520" t="s">
        <v>251</v>
      </c>
      <c r="N1520" t="s">
        <v>509</v>
      </c>
    </row>
    <row r="1521" spans="1:16" hidden="1" x14ac:dyDescent="0.25">
      <c r="A1521" s="16">
        <v>45689</v>
      </c>
      <c r="B1521" t="s">
        <v>120</v>
      </c>
      <c r="C1521">
        <v>66</v>
      </c>
      <c r="D1521" t="s">
        <v>291</v>
      </c>
      <c r="E1521" t="s">
        <v>292</v>
      </c>
      <c r="F1521" t="s">
        <v>240</v>
      </c>
      <c r="G1521" t="s">
        <v>82</v>
      </c>
      <c r="H1521" t="s">
        <v>125</v>
      </c>
      <c r="J1521" t="s">
        <v>194</v>
      </c>
      <c r="K1521" t="s">
        <v>250</v>
      </c>
      <c r="L1521">
        <v>46000</v>
      </c>
      <c r="M1521" t="s">
        <v>242</v>
      </c>
      <c r="N1521" t="s">
        <v>1008</v>
      </c>
    </row>
    <row r="1522" spans="1:16" hidden="1" x14ac:dyDescent="0.25">
      <c r="A1522" s="16">
        <v>45689</v>
      </c>
      <c r="B1522" t="s">
        <v>120</v>
      </c>
      <c r="C1522">
        <v>66</v>
      </c>
      <c r="D1522" t="s">
        <v>291</v>
      </c>
      <c r="E1522" t="s">
        <v>292</v>
      </c>
      <c r="F1522" t="s">
        <v>240</v>
      </c>
      <c r="G1522" t="s">
        <v>82</v>
      </c>
      <c r="H1522" t="s">
        <v>126</v>
      </c>
      <c r="J1522" t="s">
        <v>194</v>
      </c>
      <c r="K1522" t="s">
        <v>250</v>
      </c>
      <c r="L1522">
        <v>210000</v>
      </c>
      <c r="M1522" t="s">
        <v>242</v>
      </c>
      <c r="N1522" t="s">
        <v>1362</v>
      </c>
    </row>
    <row r="1523" spans="1:16" hidden="1" x14ac:dyDescent="0.25">
      <c r="A1523" s="16">
        <v>45689</v>
      </c>
      <c r="B1523" t="s">
        <v>120</v>
      </c>
      <c r="C1523">
        <v>66</v>
      </c>
      <c r="D1523" t="s">
        <v>291</v>
      </c>
      <c r="E1523" t="s">
        <v>292</v>
      </c>
      <c r="F1523" t="s">
        <v>240</v>
      </c>
      <c r="G1523" t="s">
        <v>82</v>
      </c>
      <c r="H1523" t="s">
        <v>127</v>
      </c>
      <c r="J1523" t="s">
        <v>194</v>
      </c>
      <c r="K1523" t="s">
        <v>250</v>
      </c>
      <c r="L1523">
        <v>286000</v>
      </c>
      <c r="M1523" t="s">
        <v>242</v>
      </c>
      <c r="N1523" t="s">
        <v>1363</v>
      </c>
    </row>
    <row r="1524" spans="1:16" hidden="1" x14ac:dyDescent="0.25">
      <c r="A1524" s="16">
        <v>45689</v>
      </c>
      <c r="B1524" t="s">
        <v>120</v>
      </c>
      <c r="C1524">
        <v>66</v>
      </c>
      <c r="D1524" t="s">
        <v>291</v>
      </c>
      <c r="E1524" t="s">
        <v>292</v>
      </c>
      <c r="F1524" t="s">
        <v>240</v>
      </c>
      <c r="G1524" t="s">
        <v>82</v>
      </c>
      <c r="H1524" t="s">
        <v>128</v>
      </c>
      <c r="J1524" t="s">
        <v>194</v>
      </c>
      <c r="K1524" t="s">
        <v>250</v>
      </c>
      <c r="L1524">
        <v>28000</v>
      </c>
      <c r="M1524" t="s">
        <v>242</v>
      </c>
      <c r="N1524" t="s">
        <v>1364</v>
      </c>
    </row>
    <row r="1525" spans="1:16" hidden="1" x14ac:dyDescent="0.25">
      <c r="A1525" s="16">
        <v>45689</v>
      </c>
      <c r="B1525" t="s">
        <v>120</v>
      </c>
      <c r="C1525">
        <v>66</v>
      </c>
      <c r="D1525" t="s">
        <v>291</v>
      </c>
      <c r="E1525" t="s">
        <v>292</v>
      </c>
      <c r="F1525" t="s">
        <v>240</v>
      </c>
      <c r="G1525" t="s">
        <v>82</v>
      </c>
      <c r="H1525" t="s">
        <v>129</v>
      </c>
      <c r="J1525" t="s">
        <v>194</v>
      </c>
      <c r="K1525" t="s">
        <v>250</v>
      </c>
      <c r="L1525">
        <v>1179000</v>
      </c>
      <c r="M1525" t="s">
        <v>242</v>
      </c>
      <c r="N1525" t="s">
        <v>1365</v>
      </c>
    </row>
    <row r="1526" spans="1:16" hidden="1" x14ac:dyDescent="0.25">
      <c r="A1526" s="16">
        <v>45689</v>
      </c>
      <c r="B1526" t="s">
        <v>120</v>
      </c>
      <c r="C1526">
        <v>66</v>
      </c>
      <c r="D1526" t="s">
        <v>291</v>
      </c>
      <c r="E1526" t="s">
        <v>292</v>
      </c>
      <c r="F1526" t="s">
        <v>240</v>
      </c>
      <c r="G1526" t="s">
        <v>82</v>
      </c>
      <c r="H1526" t="s">
        <v>130</v>
      </c>
      <c r="J1526" t="s">
        <v>194</v>
      </c>
      <c r="K1526" t="s">
        <v>250</v>
      </c>
      <c r="L1526">
        <v>1770000</v>
      </c>
      <c r="M1526" t="s">
        <v>242</v>
      </c>
      <c r="N1526" t="s">
        <v>1366</v>
      </c>
    </row>
    <row r="1527" spans="1:16" hidden="1" x14ac:dyDescent="0.25">
      <c r="A1527" s="16">
        <v>45689</v>
      </c>
      <c r="B1527" t="s">
        <v>120</v>
      </c>
      <c r="C1527">
        <v>66</v>
      </c>
      <c r="D1527" t="s">
        <v>291</v>
      </c>
      <c r="E1527" t="s">
        <v>292</v>
      </c>
      <c r="F1527" t="s">
        <v>240</v>
      </c>
      <c r="G1527" t="s">
        <v>82</v>
      </c>
      <c r="H1527" t="s">
        <v>131</v>
      </c>
      <c r="J1527" t="s">
        <v>194</v>
      </c>
      <c r="K1527" t="s">
        <v>250</v>
      </c>
      <c r="L1527">
        <v>31000</v>
      </c>
      <c r="M1527" t="s">
        <v>242</v>
      </c>
      <c r="N1527" t="s">
        <v>822</v>
      </c>
    </row>
    <row r="1528" spans="1:16" hidden="1" x14ac:dyDescent="0.25">
      <c r="A1528" s="16">
        <v>45689</v>
      </c>
      <c r="B1528" t="s">
        <v>120</v>
      </c>
      <c r="C1528">
        <v>66</v>
      </c>
      <c r="D1528" t="s">
        <v>291</v>
      </c>
      <c r="E1528" t="s">
        <v>292</v>
      </c>
      <c r="F1528" t="s">
        <v>240</v>
      </c>
      <c r="G1528" t="s">
        <v>82</v>
      </c>
      <c r="H1528" t="s">
        <v>132</v>
      </c>
      <c r="J1528" t="s">
        <v>194</v>
      </c>
      <c r="K1528" t="s">
        <v>250</v>
      </c>
      <c r="L1528">
        <v>38000</v>
      </c>
      <c r="M1528" t="s">
        <v>242</v>
      </c>
      <c r="N1528" t="s">
        <v>1367</v>
      </c>
    </row>
    <row r="1529" spans="1:16" hidden="1" x14ac:dyDescent="0.25">
      <c r="A1529" s="16">
        <v>45689</v>
      </c>
      <c r="B1529" t="s">
        <v>120</v>
      </c>
      <c r="C1529">
        <v>66</v>
      </c>
      <c r="D1529" t="s">
        <v>291</v>
      </c>
      <c r="E1529" t="s">
        <v>292</v>
      </c>
      <c r="F1529" t="s">
        <v>240</v>
      </c>
      <c r="G1529" t="s">
        <v>82</v>
      </c>
      <c r="H1529" t="s">
        <v>133</v>
      </c>
      <c r="J1529" t="s">
        <v>194</v>
      </c>
      <c r="K1529" t="s">
        <v>250</v>
      </c>
      <c r="L1529">
        <v>492000</v>
      </c>
      <c r="M1529" t="s">
        <v>242</v>
      </c>
      <c r="N1529" t="s">
        <v>1368</v>
      </c>
    </row>
    <row r="1530" spans="1:16" hidden="1" x14ac:dyDescent="0.25">
      <c r="A1530" s="16">
        <v>45689</v>
      </c>
      <c r="B1530" t="s">
        <v>120</v>
      </c>
      <c r="C1530">
        <v>66</v>
      </c>
      <c r="D1530" t="s">
        <v>291</v>
      </c>
      <c r="E1530" t="s">
        <v>292</v>
      </c>
      <c r="F1530" t="s">
        <v>240</v>
      </c>
      <c r="G1530" t="s">
        <v>82</v>
      </c>
      <c r="H1530" t="s">
        <v>134</v>
      </c>
      <c r="J1530" t="s">
        <v>194</v>
      </c>
      <c r="K1530" t="s">
        <v>250</v>
      </c>
      <c r="L1530">
        <v>1547000</v>
      </c>
      <c r="M1530" t="s">
        <v>242</v>
      </c>
      <c r="N1530" t="s">
        <v>1369</v>
      </c>
    </row>
    <row r="1531" spans="1:16" hidden="1" x14ac:dyDescent="0.25">
      <c r="A1531" s="16">
        <v>45689</v>
      </c>
      <c r="B1531" t="s">
        <v>120</v>
      </c>
      <c r="C1531">
        <v>67</v>
      </c>
      <c r="D1531" t="s">
        <v>291</v>
      </c>
      <c r="E1531" t="s">
        <v>292</v>
      </c>
      <c r="F1531" t="s">
        <v>240</v>
      </c>
      <c r="G1531" t="s">
        <v>82</v>
      </c>
      <c r="H1531" t="s">
        <v>137</v>
      </c>
      <c r="J1531" t="s">
        <v>194</v>
      </c>
      <c r="K1531" t="s">
        <v>250</v>
      </c>
      <c r="L1531">
        <v>1160000</v>
      </c>
      <c r="M1531" t="s">
        <v>242</v>
      </c>
      <c r="N1531" t="s">
        <v>1370</v>
      </c>
    </row>
    <row r="1532" spans="1:16" hidden="1" x14ac:dyDescent="0.25">
      <c r="A1532" s="16">
        <v>45689</v>
      </c>
      <c r="B1532" t="s">
        <v>120</v>
      </c>
      <c r="C1532">
        <v>67</v>
      </c>
      <c r="D1532" t="s">
        <v>291</v>
      </c>
      <c r="E1532" t="s">
        <v>292</v>
      </c>
      <c r="F1532" t="s">
        <v>240</v>
      </c>
      <c r="G1532" t="s">
        <v>82</v>
      </c>
      <c r="H1532" t="s">
        <v>138</v>
      </c>
      <c r="J1532" t="s">
        <v>194</v>
      </c>
      <c r="K1532" t="s">
        <v>250</v>
      </c>
      <c r="L1532">
        <v>4540000</v>
      </c>
      <c r="M1532" t="s">
        <v>242</v>
      </c>
      <c r="N1532" t="s">
        <v>998</v>
      </c>
    </row>
    <row r="1533" spans="1:16" hidden="1" x14ac:dyDescent="0.25">
      <c r="A1533" s="16">
        <v>45689</v>
      </c>
      <c r="B1533" t="s">
        <v>120</v>
      </c>
      <c r="C1533">
        <v>68</v>
      </c>
      <c r="D1533" t="s">
        <v>253</v>
      </c>
      <c r="E1533" t="s">
        <v>248</v>
      </c>
      <c r="F1533" t="s">
        <v>244</v>
      </c>
      <c r="G1533" t="s">
        <v>82</v>
      </c>
      <c r="J1533" t="s">
        <v>192</v>
      </c>
      <c r="K1533" t="s">
        <v>255</v>
      </c>
      <c r="L1533">
        <v>1340000000</v>
      </c>
      <c r="M1533" t="s">
        <v>245</v>
      </c>
      <c r="N1533" t="s">
        <v>448</v>
      </c>
      <c r="O1533">
        <v>1</v>
      </c>
      <c r="P1533" t="s">
        <v>257</v>
      </c>
    </row>
    <row r="1534" spans="1:16" hidden="1" x14ac:dyDescent="0.25">
      <c r="A1534" s="16">
        <v>45689</v>
      </c>
      <c r="B1534" t="s">
        <v>120</v>
      </c>
      <c r="C1534">
        <v>68</v>
      </c>
      <c r="D1534" t="s">
        <v>253</v>
      </c>
      <c r="E1534" t="s">
        <v>248</v>
      </c>
      <c r="F1534" t="s">
        <v>244</v>
      </c>
      <c r="G1534" t="s">
        <v>82</v>
      </c>
      <c r="J1534" t="s">
        <v>193</v>
      </c>
      <c r="K1534" t="s">
        <v>255</v>
      </c>
      <c r="L1534">
        <v>1350000000</v>
      </c>
      <c r="M1534" t="s">
        <v>245</v>
      </c>
      <c r="N1534" t="s">
        <v>1183</v>
      </c>
      <c r="O1534">
        <v>1</v>
      </c>
      <c r="P1534" t="s">
        <v>257</v>
      </c>
    </row>
    <row r="1535" spans="1:16" hidden="1" x14ac:dyDescent="0.25">
      <c r="A1535" s="16">
        <v>45689</v>
      </c>
      <c r="B1535" t="s">
        <v>120</v>
      </c>
      <c r="C1535">
        <v>68</v>
      </c>
      <c r="D1535" t="s">
        <v>253</v>
      </c>
      <c r="E1535" t="s">
        <v>248</v>
      </c>
      <c r="F1535" t="s">
        <v>244</v>
      </c>
      <c r="G1535" t="s">
        <v>82</v>
      </c>
      <c r="J1535" t="s">
        <v>194</v>
      </c>
      <c r="K1535" t="s">
        <v>255</v>
      </c>
      <c r="L1535">
        <v>1190000000</v>
      </c>
      <c r="M1535" t="s">
        <v>245</v>
      </c>
      <c r="N1535" t="s">
        <v>1371</v>
      </c>
      <c r="O1535">
        <v>1</v>
      </c>
      <c r="P1535" t="s">
        <v>261</v>
      </c>
    </row>
    <row r="1536" spans="1:16" hidden="1" x14ac:dyDescent="0.25">
      <c r="A1536" s="16">
        <v>45689</v>
      </c>
      <c r="B1536" t="s">
        <v>120</v>
      </c>
      <c r="C1536">
        <v>68</v>
      </c>
      <c r="D1536" t="s">
        <v>247</v>
      </c>
      <c r="E1536" t="s">
        <v>248</v>
      </c>
      <c r="F1536" t="s">
        <v>244</v>
      </c>
      <c r="G1536" t="s">
        <v>82</v>
      </c>
      <c r="H1536" t="s">
        <v>249</v>
      </c>
      <c r="J1536" t="s">
        <v>194</v>
      </c>
      <c r="K1536" t="s">
        <v>250</v>
      </c>
      <c r="L1536">
        <v>11.6</v>
      </c>
      <c r="M1536" t="s">
        <v>251</v>
      </c>
      <c r="N1536" t="s">
        <v>318</v>
      </c>
    </row>
    <row r="1537" spans="1:16" hidden="1" x14ac:dyDescent="0.25">
      <c r="A1537" s="16">
        <v>45689</v>
      </c>
      <c r="B1537" t="s">
        <v>120</v>
      </c>
      <c r="C1537">
        <v>69</v>
      </c>
      <c r="D1537" t="s">
        <v>291</v>
      </c>
      <c r="E1537" t="s">
        <v>292</v>
      </c>
      <c r="F1537" t="s">
        <v>244</v>
      </c>
      <c r="G1537" t="s">
        <v>82</v>
      </c>
      <c r="H1537" t="s">
        <v>125</v>
      </c>
      <c r="J1537" t="s">
        <v>194</v>
      </c>
      <c r="K1537" t="s">
        <v>250</v>
      </c>
      <c r="L1537">
        <v>4000000</v>
      </c>
      <c r="M1537" t="s">
        <v>245</v>
      </c>
      <c r="N1537" t="s">
        <v>1372</v>
      </c>
    </row>
    <row r="1538" spans="1:16" hidden="1" x14ac:dyDescent="0.25">
      <c r="A1538" s="16">
        <v>45689</v>
      </c>
      <c r="B1538" t="s">
        <v>120</v>
      </c>
      <c r="C1538">
        <v>69</v>
      </c>
      <c r="D1538" t="s">
        <v>291</v>
      </c>
      <c r="E1538" t="s">
        <v>292</v>
      </c>
      <c r="F1538" t="s">
        <v>244</v>
      </c>
      <c r="G1538" t="s">
        <v>82</v>
      </c>
      <c r="H1538" t="s">
        <v>140</v>
      </c>
      <c r="J1538" t="s">
        <v>194</v>
      </c>
      <c r="K1538" t="s">
        <v>250</v>
      </c>
      <c r="L1538">
        <v>11000000</v>
      </c>
      <c r="M1538" t="s">
        <v>245</v>
      </c>
      <c r="N1538" t="s">
        <v>830</v>
      </c>
    </row>
    <row r="1539" spans="1:16" hidden="1" x14ac:dyDescent="0.25">
      <c r="A1539" s="16">
        <v>45689</v>
      </c>
      <c r="B1539" t="s">
        <v>120</v>
      </c>
      <c r="C1539">
        <v>69</v>
      </c>
      <c r="D1539" t="s">
        <v>291</v>
      </c>
      <c r="E1539" t="s">
        <v>292</v>
      </c>
      <c r="F1539" t="s">
        <v>244</v>
      </c>
      <c r="G1539" t="s">
        <v>82</v>
      </c>
      <c r="H1539" t="s">
        <v>126</v>
      </c>
      <c r="J1539" t="s">
        <v>194</v>
      </c>
      <c r="K1539" t="s">
        <v>250</v>
      </c>
      <c r="L1539">
        <v>75000000</v>
      </c>
      <c r="M1539" t="s">
        <v>245</v>
      </c>
      <c r="N1539" t="s">
        <v>412</v>
      </c>
    </row>
    <row r="1540" spans="1:16" hidden="1" x14ac:dyDescent="0.25">
      <c r="A1540" s="16">
        <v>45689</v>
      </c>
      <c r="B1540" t="s">
        <v>120</v>
      </c>
      <c r="C1540">
        <v>69</v>
      </c>
      <c r="D1540" t="s">
        <v>291</v>
      </c>
      <c r="E1540" t="s">
        <v>292</v>
      </c>
      <c r="F1540" t="s">
        <v>244</v>
      </c>
      <c r="G1540" t="s">
        <v>82</v>
      </c>
      <c r="H1540" t="s">
        <v>127</v>
      </c>
      <c r="J1540" t="s">
        <v>194</v>
      </c>
      <c r="K1540" t="s">
        <v>250</v>
      </c>
      <c r="L1540">
        <v>43000000</v>
      </c>
      <c r="M1540" t="s">
        <v>245</v>
      </c>
      <c r="N1540" t="s">
        <v>1184</v>
      </c>
    </row>
    <row r="1541" spans="1:16" hidden="1" x14ac:dyDescent="0.25">
      <c r="A1541" s="16">
        <v>45689</v>
      </c>
      <c r="B1541" t="s">
        <v>120</v>
      </c>
      <c r="C1541">
        <v>69</v>
      </c>
      <c r="D1541" t="s">
        <v>291</v>
      </c>
      <c r="E1541" t="s">
        <v>292</v>
      </c>
      <c r="F1541" t="s">
        <v>244</v>
      </c>
      <c r="G1541" t="s">
        <v>82</v>
      </c>
      <c r="H1541" t="s">
        <v>128</v>
      </c>
      <c r="J1541" t="s">
        <v>194</v>
      </c>
      <c r="K1541" t="s">
        <v>250</v>
      </c>
      <c r="L1541">
        <v>17000000</v>
      </c>
      <c r="M1541" t="s">
        <v>245</v>
      </c>
      <c r="N1541" t="s">
        <v>1373</v>
      </c>
    </row>
    <row r="1542" spans="1:16" hidden="1" x14ac:dyDescent="0.25">
      <c r="A1542" s="16">
        <v>45689</v>
      </c>
      <c r="B1542" t="s">
        <v>120</v>
      </c>
      <c r="C1542">
        <v>69</v>
      </c>
      <c r="D1542" t="s">
        <v>291</v>
      </c>
      <c r="E1542" t="s">
        <v>292</v>
      </c>
      <c r="F1542" t="s">
        <v>244</v>
      </c>
      <c r="G1542" t="s">
        <v>82</v>
      </c>
      <c r="H1542" t="s">
        <v>129</v>
      </c>
      <c r="J1542" t="s">
        <v>194</v>
      </c>
      <c r="K1542" t="s">
        <v>250</v>
      </c>
      <c r="L1542">
        <v>665000000</v>
      </c>
      <c r="M1542" t="s">
        <v>245</v>
      </c>
      <c r="N1542" t="s">
        <v>1374</v>
      </c>
    </row>
    <row r="1543" spans="1:16" hidden="1" x14ac:dyDescent="0.25">
      <c r="A1543" s="16">
        <v>45689</v>
      </c>
      <c r="B1543" t="s">
        <v>120</v>
      </c>
      <c r="C1543">
        <v>69</v>
      </c>
      <c r="D1543" t="s">
        <v>291</v>
      </c>
      <c r="E1543" t="s">
        <v>292</v>
      </c>
      <c r="F1543" t="s">
        <v>244</v>
      </c>
      <c r="G1543" t="s">
        <v>82</v>
      </c>
      <c r="H1543" t="s">
        <v>130</v>
      </c>
      <c r="J1543" t="s">
        <v>194</v>
      </c>
      <c r="K1543" t="s">
        <v>250</v>
      </c>
      <c r="L1543">
        <v>29000000</v>
      </c>
      <c r="M1543" t="s">
        <v>245</v>
      </c>
      <c r="N1543" t="s">
        <v>1375</v>
      </c>
    </row>
    <row r="1544" spans="1:16" hidden="1" x14ac:dyDescent="0.25">
      <c r="A1544" s="16">
        <v>45689</v>
      </c>
      <c r="B1544" t="s">
        <v>120</v>
      </c>
      <c r="C1544">
        <v>69</v>
      </c>
      <c r="D1544" t="s">
        <v>291</v>
      </c>
      <c r="E1544" t="s">
        <v>292</v>
      </c>
      <c r="F1544" t="s">
        <v>244</v>
      </c>
      <c r="G1544" t="s">
        <v>82</v>
      </c>
      <c r="H1544" t="s">
        <v>131</v>
      </c>
      <c r="J1544" t="s">
        <v>194</v>
      </c>
      <c r="K1544" t="s">
        <v>250</v>
      </c>
      <c r="L1544">
        <v>10000000</v>
      </c>
      <c r="M1544" t="s">
        <v>245</v>
      </c>
      <c r="N1544" t="s">
        <v>1376</v>
      </c>
    </row>
    <row r="1545" spans="1:16" hidden="1" x14ac:dyDescent="0.25">
      <c r="A1545" s="16">
        <v>45689</v>
      </c>
      <c r="B1545" t="s">
        <v>120</v>
      </c>
      <c r="C1545">
        <v>69</v>
      </c>
      <c r="D1545" t="s">
        <v>291</v>
      </c>
      <c r="E1545" t="s">
        <v>292</v>
      </c>
      <c r="F1545" t="s">
        <v>244</v>
      </c>
      <c r="G1545" t="s">
        <v>82</v>
      </c>
      <c r="H1545" t="s">
        <v>133</v>
      </c>
      <c r="J1545" t="s">
        <v>194</v>
      </c>
      <c r="K1545" t="s">
        <v>250</v>
      </c>
      <c r="L1545">
        <v>261000000</v>
      </c>
      <c r="M1545" t="s">
        <v>245</v>
      </c>
      <c r="N1545" t="s">
        <v>1377</v>
      </c>
    </row>
    <row r="1546" spans="1:16" hidden="1" x14ac:dyDescent="0.25">
      <c r="A1546" s="16">
        <v>45689</v>
      </c>
      <c r="B1546" t="s">
        <v>120</v>
      </c>
      <c r="C1546">
        <v>69</v>
      </c>
      <c r="D1546" t="s">
        <v>291</v>
      </c>
      <c r="E1546" t="s">
        <v>292</v>
      </c>
      <c r="F1546" t="s">
        <v>244</v>
      </c>
      <c r="G1546" t="s">
        <v>82</v>
      </c>
      <c r="H1546" t="s">
        <v>134</v>
      </c>
      <c r="J1546" t="s">
        <v>194</v>
      </c>
      <c r="K1546" t="s">
        <v>250</v>
      </c>
      <c r="L1546">
        <v>67000000</v>
      </c>
      <c r="M1546" t="s">
        <v>245</v>
      </c>
      <c r="N1546" t="s">
        <v>1189</v>
      </c>
    </row>
    <row r="1547" spans="1:16" hidden="1" x14ac:dyDescent="0.25">
      <c r="A1547" s="16">
        <v>45689</v>
      </c>
      <c r="B1547" t="s">
        <v>120</v>
      </c>
      <c r="C1547">
        <v>70</v>
      </c>
      <c r="D1547" t="s">
        <v>291</v>
      </c>
      <c r="E1547" t="s">
        <v>292</v>
      </c>
      <c r="F1547" t="s">
        <v>244</v>
      </c>
      <c r="G1547" t="s">
        <v>82</v>
      </c>
      <c r="H1547" t="s">
        <v>137</v>
      </c>
      <c r="J1547" t="s">
        <v>194</v>
      </c>
      <c r="K1547" t="s">
        <v>250</v>
      </c>
      <c r="L1547">
        <v>279700000</v>
      </c>
      <c r="M1547" t="s">
        <v>245</v>
      </c>
      <c r="N1547" t="s">
        <v>1378</v>
      </c>
    </row>
    <row r="1548" spans="1:16" hidden="1" x14ac:dyDescent="0.25">
      <c r="A1548" s="16">
        <v>45689</v>
      </c>
      <c r="B1548" t="s">
        <v>120</v>
      </c>
      <c r="C1548">
        <v>70</v>
      </c>
      <c r="D1548" t="s">
        <v>291</v>
      </c>
      <c r="E1548" t="s">
        <v>292</v>
      </c>
      <c r="F1548" t="s">
        <v>244</v>
      </c>
      <c r="G1548" t="s">
        <v>82</v>
      </c>
      <c r="H1548" t="s">
        <v>138</v>
      </c>
      <c r="J1548" t="s">
        <v>194</v>
      </c>
      <c r="K1548" t="s">
        <v>250</v>
      </c>
      <c r="L1548">
        <v>910400000</v>
      </c>
      <c r="M1548" t="s">
        <v>245</v>
      </c>
      <c r="N1548" t="s">
        <v>1379</v>
      </c>
    </row>
    <row r="1549" spans="1:16" hidden="1" x14ac:dyDescent="0.25">
      <c r="A1549" s="16">
        <v>45689</v>
      </c>
      <c r="B1549" t="s">
        <v>120</v>
      </c>
      <c r="C1549">
        <v>71</v>
      </c>
      <c r="D1549" t="s">
        <v>253</v>
      </c>
      <c r="E1549" t="s">
        <v>248</v>
      </c>
      <c r="F1549" t="s">
        <v>334</v>
      </c>
      <c r="G1549" t="s">
        <v>82</v>
      </c>
      <c r="J1549" t="s">
        <v>192</v>
      </c>
      <c r="K1549" t="s">
        <v>255</v>
      </c>
      <c r="L1549">
        <v>209</v>
      </c>
      <c r="M1549" t="s">
        <v>245</v>
      </c>
      <c r="N1549" t="s">
        <v>1024</v>
      </c>
      <c r="O1549">
        <v>1</v>
      </c>
      <c r="P1549" t="s">
        <v>257</v>
      </c>
    </row>
    <row r="1550" spans="1:16" hidden="1" x14ac:dyDescent="0.25">
      <c r="A1550" s="16">
        <v>45689</v>
      </c>
      <c r="B1550" t="s">
        <v>120</v>
      </c>
      <c r="C1550">
        <v>71</v>
      </c>
      <c r="D1550" t="s">
        <v>253</v>
      </c>
      <c r="E1550" t="s">
        <v>248</v>
      </c>
      <c r="F1550" t="s">
        <v>334</v>
      </c>
      <c r="G1550" t="s">
        <v>82</v>
      </c>
      <c r="J1550" t="s">
        <v>193</v>
      </c>
      <c r="K1550" t="s">
        <v>255</v>
      </c>
      <c r="L1550">
        <v>229</v>
      </c>
      <c r="M1550" t="s">
        <v>245</v>
      </c>
      <c r="N1550" t="s">
        <v>1191</v>
      </c>
      <c r="O1550">
        <v>1</v>
      </c>
      <c r="P1550" t="s">
        <v>257</v>
      </c>
    </row>
    <row r="1551" spans="1:16" hidden="1" x14ac:dyDescent="0.25">
      <c r="A1551" s="16">
        <v>45689</v>
      </c>
      <c r="B1551" t="s">
        <v>120</v>
      </c>
      <c r="C1551">
        <v>71</v>
      </c>
      <c r="D1551" t="s">
        <v>253</v>
      </c>
      <c r="E1551" t="s">
        <v>248</v>
      </c>
      <c r="F1551" t="s">
        <v>334</v>
      </c>
      <c r="G1551" t="s">
        <v>82</v>
      </c>
      <c r="J1551" t="s">
        <v>194</v>
      </c>
      <c r="K1551" t="s">
        <v>255</v>
      </c>
      <c r="L1551">
        <v>209</v>
      </c>
      <c r="M1551" t="s">
        <v>245</v>
      </c>
      <c r="N1551" t="s">
        <v>1024</v>
      </c>
      <c r="O1551">
        <v>1</v>
      </c>
      <c r="P1551" t="s">
        <v>261</v>
      </c>
    </row>
    <row r="1552" spans="1:16" hidden="1" x14ac:dyDescent="0.25">
      <c r="A1552" s="16">
        <v>45689</v>
      </c>
      <c r="B1552" t="s">
        <v>1192</v>
      </c>
      <c r="C1552">
        <v>55</v>
      </c>
      <c r="D1552" t="s">
        <v>238</v>
      </c>
      <c r="E1552" t="s">
        <v>239</v>
      </c>
      <c r="F1552" t="s">
        <v>240</v>
      </c>
      <c r="G1552" t="s">
        <v>82</v>
      </c>
      <c r="H1552" t="s">
        <v>184</v>
      </c>
      <c r="J1552" t="s">
        <v>194</v>
      </c>
      <c r="K1552" t="s">
        <v>241</v>
      </c>
      <c r="L1552">
        <v>20220000</v>
      </c>
      <c r="M1552" t="s">
        <v>242</v>
      </c>
      <c r="N1552" t="s">
        <v>1317</v>
      </c>
    </row>
    <row r="1553" spans="1:14" hidden="1" x14ac:dyDescent="0.25">
      <c r="A1553" s="16">
        <v>45689</v>
      </c>
      <c r="B1553" t="s">
        <v>1192</v>
      </c>
      <c r="C1553">
        <v>55</v>
      </c>
      <c r="D1553" t="s">
        <v>238</v>
      </c>
      <c r="E1553" t="s">
        <v>239</v>
      </c>
      <c r="F1553" t="s">
        <v>240</v>
      </c>
      <c r="G1553" t="s">
        <v>82</v>
      </c>
      <c r="H1553" t="s">
        <v>185</v>
      </c>
      <c r="J1553" t="s">
        <v>194</v>
      </c>
      <c r="K1553" t="s">
        <v>241</v>
      </c>
      <c r="L1553">
        <v>12290000</v>
      </c>
      <c r="M1553" t="s">
        <v>242</v>
      </c>
      <c r="N1553" t="s">
        <v>1380</v>
      </c>
    </row>
    <row r="1554" spans="1:14" hidden="1" x14ac:dyDescent="0.25">
      <c r="A1554" s="16">
        <v>45689</v>
      </c>
      <c r="B1554" t="s">
        <v>1192</v>
      </c>
      <c r="C1554">
        <v>55</v>
      </c>
      <c r="D1554" t="s">
        <v>238</v>
      </c>
      <c r="E1554" t="s">
        <v>239</v>
      </c>
      <c r="F1554" t="s">
        <v>1194</v>
      </c>
      <c r="G1554" t="s">
        <v>82</v>
      </c>
      <c r="J1554" t="s">
        <v>194</v>
      </c>
      <c r="K1554" t="s">
        <v>241</v>
      </c>
      <c r="L1554">
        <v>32510000</v>
      </c>
      <c r="M1554" t="s">
        <v>242</v>
      </c>
      <c r="N1554" t="s">
        <v>1381</v>
      </c>
    </row>
    <row r="1555" spans="1:14" hidden="1" x14ac:dyDescent="0.25">
      <c r="A1555" s="16">
        <v>45689</v>
      </c>
      <c r="B1555" t="s">
        <v>1192</v>
      </c>
      <c r="C1555">
        <v>55</v>
      </c>
      <c r="D1555" t="s">
        <v>238</v>
      </c>
      <c r="E1555" t="s">
        <v>239</v>
      </c>
      <c r="F1555" t="s">
        <v>1196</v>
      </c>
      <c r="G1555" t="s">
        <v>82</v>
      </c>
      <c r="J1555" t="s">
        <v>194</v>
      </c>
      <c r="K1555" t="s">
        <v>241</v>
      </c>
      <c r="L1555">
        <v>3510000000</v>
      </c>
      <c r="M1555" t="s">
        <v>245</v>
      </c>
      <c r="N1555" t="s">
        <v>1382</v>
      </c>
    </row>
    <row r="1556" spans="1:14" hidden="1" x14ac:dyDescent="0.25">
      <c r="A1556" s="16">
        <v>45689</v>
      </c>
      <c r="B1556" t="s">
        <v>1192</v>
      </c>
      <c r="C1556">
        <v>55</v>
      </c>
      <c r="D1556" t="s">
        <v>238</v>
      </c>
      <c r="E1556" t="s">
        <v>239</v>
      </c>
      <c r="F1556" t="s">
        <v>244</v>
      </c>
      <c r="G1556" t="s">
        <v>82</v>
      </c>
      <c r="H1556" t="s">
        <v>184</v>
      </c>
      <c r="J1556" t="s">
        <v>194</v>
      </c>
      <c r="K1556" t="s">
        <v>241</v>
      </c>
      <c r="L1556">
        <v>2610000000</v>
      </c>
      <c r="M1556" t="s">
        <v>245</v>
      </c>
      <c r="N1556" t="s">
        <v>1318</v>
      </c>
    </row>
    <row r="1557" spans="1:14" hidden="1" x14ac:dyDescent="0.25">
      <c r="A1557" s="16">
        <v>45689</v>
      </c>
      <c r="B1557" t="s">
        <v>1192</v>
      </c>
      <c r="C1557">
        <v>55</v>
      </c>
      <c r="D1557" t="s">
        <v>238</v>
      </c>
      <c r="E1557" t="s">
        <v>239</v>
      </c>
      <c r="F1557" t="s">
        <v>244</v>
      </c>
      <c r="G1557" t="s">
        <v>82</v>
      </c>
      <c r="H1557" t="s">
        <v>185</v>
      </c>
      <c r="J1557" t="s">
        <v>194</v>
      </c>
      <c r="K1557" t="s">
        <v>241</v>
      </c>
      <c r="L1557">
        <v>899700000</v>
      </c>
      <c r="M1557" t="s">
        <v>245</v>
      </c>
      <c r="N1557" t="s">
        <v>1383</v>
      </c>
    </row>
    <row r="1558" spans="1:14" hidden="1" x14ac:dyDescent="0.25">
      <c r="A1558" s="16">
        <v>45689</v>
      </c>
      <c r="B1558" t="s">
        <v>1192</v>
      </c>
      <c r="C1558">
        <v>56</v>
      </c>
      <c r="D1558" t="s">
        <v>291</v>
      </c>
      <c r="E1558" t="s">
        <v>292</v>
      </c>
      <c r="F1558" t="s">
        <v>1199</v>
      </c>
      <c r="G1558" t="s">
        <v>63</v>
      </c>
      <c r="H1558" t="s">
        <v>1200</v>
      </c>
      <c r="J1558" t="s">
        <v>194</v>
      </c>
      <c r="K1558" t="s">
        <v>241</v>
      </c>
      <c r="L1558">
        <v>858000</v>
      </c>
      <c r="M1558" t="s">
        <v>242</v>
      </c>
      <c r="N1558" t="s">
        <v>1384</v>
      </c>
    </row>
    <row r="1559" spans="1:14" hidden="1" x14ac:dyDescent="0.25">
      <c r="A1559" s="16">
        <v>45689</v>
      </c>
      <c r="B1559" t="s">
        <v>1192</v>
      </c>
      <c r="C1559">
        <v>56</v>
      </c>
      <c r="D1559" t="s">
        <v>291</v>
      </c>
      <c r="E1559" t="s">
        <v>292</v>
      </c>
      <c r="F1559" t="s">
        <v>1199</v>
      </c>
      <c r="G1559" t="s">
        <v>63</v>
      </c>
      <c r="H1559" t="s">
        <v>1202</v>
      </c>
      <c r="J1559" t="s">
        <v>194</v>
      </c>
      <c r="K1559" t="s">
        <v>241</v>
      </c>
      <c r="L1559">
        <v>884000</v>
      </c>
      <c r="M1559" t="s">
        <v>242</v>
      </c>
      <c r="N1559" t="s">
        <v>1385</v>
      </c>
    </row>
    <row r="1560" spans="1:14" hidden="1" x14ac:dyDescent="0.25">
      <c r="A1560" s="16">
        <v>45689</v>
      </c>
      <c r="B1560" t="s">
        <v>1192</v>
      </c>
      <c r="C1560">
        <v>56</v>
      </c>
      <c r="D1560" t="s">
        <v>291</v>
      </c>
      <c r="E1560" t="s">
        <v>292</v>
      </c>
      <c r="F1560" t="s">
        <v>1199</v>
      </c>
      <c r="G1560" t="s">
        <v>63</v>
      </c>
      <c r="H1560" t="s">
        <v>1204</v>
      </c>
      <c r="J1560" t="s">
        <v>194</v>
      </c>
      <c r="K1560" t="s">
        <v>241</v>
      </c>
      <c r="L1560">
        <v>1718000</v>
      </c>
      <c r="M1560" t="s">
        <v>242</v>
      </c>
      <c r="N1560" t="s">
        <v>1386</v>
      </c>
    </row>
    <row r="1561" spans="1:14" hidden="1" x14ac:dyDescent="0.25">
      <c r="A1561" s="16">
        <v>45689</v>
      </c>
      <c r="B1561" t="s">
        <v>1192</v>
      </c>
      <c r="C1561">
        <v>56</v>
      </c>
      <c r="D1561" t="s">
        <v>238</v>
      </c>
      <c r="E1561" t="s">
        <v>239</v>
      </c>
      <c r="F1561" t="s">
        <v>1206</v>
      </c>
      <c r="G1561" t="s">
        <v>63</v>
      </c>
      <c r="H1561" t="s">
        <v>1207</v>
      </c>
      <c r="J1561" t="s">
        <v>194</v>
      </c>
      <c r="K1561" t="s">
        <v>241</v>
      </c>
      <c r="L1561">
        <v>3513000</v>
      </c>
      <c r="M1561" t="s">
        <v>242</v>
      </c>
      <c r="N1561" t="s">
        <v>1387</v>
      </c>
    </row>
    <row r="1562" spans="1:14" hidden="1" x14ac:dyDescent="0.25">
      <c r="A1562" s="16">
        <v>45689</v>
      </c>
      <c r="B1562" t="s">
        <v>1192</v>
      </c>
      <c r="C1562">
        <v>57</v>
      </c>
      <c r="D1562" t="s">
        <v>291</v>
      </c>
      <c r="E1562" t="s">
        <v>292</v>
      </c>
      <c r="F1562" t="s">
        <v>240</v>
      </c>
      <c r="G1562" t="s">
        <v>82</v>
      </c>
      <c r="H1562" t="s">
        <v>184</v>
      </c>
      <c r="J1562" t="s">
        <v>194</v>
      </c>
      <c r="K1562" t="s">
        <v>250</v>
      </c>
      <c r="L1562">
        <v>9900000</v>
      </c>
      <c r="M1562" t="s">
        <v>242</v>
      </c>
      <c r="N1562" t="s">
        <v>1330</v>
      </c>
    </row>
    <row r="1563" spans="1:14" hidden="1" x14ac:dyDescent="0.25">
      <c r="A1563" s="16">
        <v>45689</v>
      </c>
      <c r="B1563" t="s">
        <v>1192</v>
      </c>
      <c r="C1563">
        <v>57</v>
      </c>
      <c r="D1563" t="s">
        <v>291</v>
      </c>
      <c r="E1563" t="s">
        <v>292</v>
      </c>
      <c r="F1563" t="s">
        <v>240</v>
      </c>
      <c r="G1563" t="s">
        <v>82</v>
      </c>
      <c r="H1563" t="s">
        <v>185</v>
      </c>
      <c r="J1563" t="s">
        <v>194</v>
      </c>
      <c r="K1563" t="s">
        <v>250</v>
      </c>
      <c r="L1563">
        <v>5890000</v>
      </c>
      <c r="M1563" t="s">
        <v>242</v>
      </c>
      <c r="N1563" t="s">
        <v>1171</v>
      </c>
    </row>
    <row r="1564" spans="1:14" hidden="1" x14ac:dyDescent="0.25">
      <c r="A1564" s="16">
        <v>45689</v>
      </c>
      <c r="B1564" t="s">
        <v>1192</v>
      </c>
      <c r="C1564">
        <v>57</v>
      </c>
      <c r="D1564" t="s">
        <v>238</v>
      </c>
      <c r="E1564" t="s">
        <v>239</v>
      </c>
      <c r="F1564" t="s">
        <v>1194</v>
      </c>
      <c r="G1564" t="s">
        <v>82</v>
      </c>
      <c r="J1564" t="s">
        <v>194</v>
      </c>
      <c r="K1564" t="s">
        <v>250</v>
      </c>
      <c r="L1564">
        <v>15790000</v>
      </c>
      <c r="M1564" t="s">
        <v>242</v>
      </c>
      <c r="N1564" t="s">
        <v>1388</v>
      </c>
    </row>
    <row r="1565" spans="1:14" hidden="1" x14ac:dyDescent="0.25">
      <c r="A1565" s="16">
        <v>45689</v>
      </c>
      <c r="B1565" t="s">
        <v>1192</v>
      </c>
      <c r="C1565">
        <v>58</v>
      </c>
      <c r="D1565" t="s">
        <v>238</v>
      </c>
      <c r="E1565" t="s">
        <v>239</v>
      </c>
      <c r="F1565" t="s">
        <v>1196</v>
      </c>
      <c r="G1565" t="s">
        <v>82</v>
      </c>
      <c r="J1565" t="s">
        <v>194</v>
      </c>
      <c r="K1565" t="s">
        <v>250</v>
      </c>
      <c r="L1565">
        <v>1710000000</v>
      </c>
      <c r="M1565" t="s">
        <v>245</v>
      </c>
      <c r="N1565" t="s">
        <v>1389</v>
      </c>
    </row>
    <row r="1566" spans="1:14" hidden="1" x14ac:dyDescent="0.25">
      <c r="A1566" s="16">
        <v>45689</v>
      </c>
      <c r="B1566" t="s">
        <v>1192</v>
      </c>
      <c r="C1566">
        <v>58</v>
      </c>
      <c r="D1566" t="s">
        <v>291</v>
      </c>
      <c r="E1566" t="s">
        <v>292</v>
      </c>
      <c r="F1566" t="s">
        <v>244</v>
      </c>
      <c r="G1566" t="s">
        <v>82</v>
      </c>
      <c r="H1566" t="s">
        <v>184</v>
      </c>
      <c r="J1566" t="s">
        <v>194</v>
      </c>
      <c r="K1566" t="s">
        <v>250</v>
      </c>
      <c r="L1566">
        <v>1280000000</v>
      </c>
      <c r="M1566" t="s">
        <v>245</v>
      </c>
      <c r="N1566" t="s">
        <v>1390</v>
      </c>
    </row>
    <row r="1567" spans="1:14" hidden="1" x14ac:dyDescent="0.25">
      <c r="A1567" s="16">
        <v>45689</v>
      </c>
      <c r="B1567" t="s">
        <v>1192</v>
      </c>
      <c r="C1567">
        <v>58</v>
      </c>
      <c r="D1567" t="s">
        <v>291</v>
      </c>
      <c r="E1567" t="s">
        <v>292</v>
      </c>
      <c r="F1567" t="s">
        <v>244</v>
      </c>
      <c r="G1567" t="s">
        <v>82</v>
      </c>
      <c r="H1567" t="s">
        <v>185</v>
      </c>
      <c r="J1567" t="s">
        <v>194</v>
      </c>
      <c r="K1567" t="s">
        <v>250</v>
      </c>
      <c r="L1567">
        <v>430000000</v>
      </c>
      <c r="M1567" t="s">
        <v>245</v>
      </c>
      <c r="N1567" t="s">
        <v>1391</v>
      </c>
    </row>
    <row r="1568" spans="1:14" hidden="1" x14ac:dyDescent="0.25">
      <c r="A1568" s="16">
        <v>45689</v>
      </c>
      <c r="B1568" t="s">
        <v>1192</v>
      </c>
      <c r="C1568">
        <v>59</v>
      </c>
      <c r="D1568" t="s">
        <v>291</v>
      </c>
      <c r="E1568" t="s">
        <v>292</v>
      </c>
      <c r="F1568" t="s">
        <v>1210</v>
      </c>
      <c r="G1568" t="s">
        <v>82</v>
      </c>
      <c r="H1568" t="s">
        <v>184</v>
      </c>
      <c r="J1568" t="s">
        <v>194</v>
      </c>
      <c r="K1568" t="s">
        <v>250</v>
      </c>
      <c r="L1568">
        <v>129</v>
      </c>
      <c r="M1568" t="s">
        <v>245</v>
      </c>
      <c r="N1568" t="s">
        <v>1392</v>
      </c>
    </row>
    <row r="1569" spans="1:16" hidden="1" x14ac:dyDescent="0.25">
      <c r="A1569" s="16">
        <v>45689</v>
      </c>
      <c r="B1569" t="s">
        <v>1192</v>
      </c>
      <c r="C1569">
        <v>59</v>
      </c>
      <c r="D1569" t="s">
        <v>291</v>
      </c>
      <c r="E1569" t="s">
        <v>292</v>
      </c>
      <c r="F1569" t="s">
        <v>1210</v>
      </c>
      <c r="G1569" t="s">
        <v>82</v>
      </c>
      <c r="H1569" t="s">
        <v>185</v>
      </c>
      <c r="J1569" t="s">
        <v>194</v>
      </c>
      <c r="K1569" t="s">
        <v>250</v>
      </c>
      <c r="L1569">
        <v>73.2</v>
      </c>
      <c r="M1569" t="s">
        <v>245</v>
      </c>
      <c r="N1569" t="s">
        <v>1393</v>
      </c>
    </row>
    <row r="1570" spans="1:16" hidden="1" x14ac:dyDescent="0.25">
      <c r="A1570" s="16">
        <v>45689</v>
      </c>
      <c r="B1570" t="s">
        <v>1192</v>
      </c>
      <c r="C1570">
        <v>59</v>
      </c>
      <c r="D1570" t="s">
        <v>238</v>
      </c>
      <c r="E1570" t="s">
        <v>239</v>
      </c>
      <c r="F1570" t="s">
        <v>1213</v>
      </c>
      <c r="G1570" t="s">
        <v>82</v>
      </c>
      <c r="H1570" t="s">
        <v>1214</v>
      </c>
      <c r="J1570" t="s">
        <v>194</v>
      </c>
      <c r="K1570" t="s">
        <v>250</v>
      </c>
      <c r="L1570">
        <v>108.2</v>
      </c>
      <c r="M1570" t="s">
        <v>245</v>
      </c>
      <c r="N1570" t="s">
        <v>1394</v>
      </c>
    </row>
    <row r="1571" spans="1:16" hidden="1" x14ac:dyDescent="0.25">
      <c r="A1571" s="16">
        <v>45689</v>
      </c>
      <c r="B1571" t="s">
        <v>162</v>
      </c>
      <c r="C1571">
        <v>42</v>
      </c>
      <c r="D1571" t="s">
        <v>238</v>
      </c>
      <c r="E1571" t="s">
        <v>239</v>
      </c>
      <c r="F1571" t="s">
        <v>240</v>
      </c>
      <c r="G1571" t="s">
        <v>82</v>
      </c>
      <c r="J1571" t="s">
        <v>194</v>
      </c>
      <c r="K1571" t="s">
        <v>241</v>
      </c>
      <c r="L1571">
        <v>32510000</v>
      </c>
      <c r="M1571" t="s">
        <v>242</v>
      </c>
      <c r="N1571" t="s">
        <v>1381</v>
      </c>
    </row>
    <row r="1572" spans="1:16" hidden="1" x14ac:dyDescent="0.25">
      <c r="A1572" s="16">
        <v>45689</v>
      </c>
      <c r="B1572" t="s">
        <v>162</v>
      </c>
      <c r="C1572">
        <v>42</v>
      </c>
      <c r="D1572" t="s">
        <v>238</v>
      </c>
      <c r="E1572" t="s">
        <v>239</v>
      </c>
      <c r="F1572" t="s">
        <v>244</v>
      </c>
      <c r="G1572" t="s">
        <v>82</v>
      </c>
      <c r="J1572" t="s">
        <v>194</v>
      </c>
      <c r="K1572" t="s">
        <v>241</v>
      </c>
      <c r="L1572">
        <v>3510000000</v>
      </c>
      <c r="M1572" t="s">
        <v>245</v>
      </c>
      <c r="N1572" t="s">
        <v>1382</v>
      </c>
    </row>
    <row r="1573" spans="1:16" hidden="1" x14ac:dyDescent="0.25">
      <c r="A1573" s="16">
        <v>45689</v>
      </c>
      <c r="B1573" t="s">
        <v>162</v>
      </c>
      <c r="C1573">
        <v>43</v>
      </c>
      <c r="D1573" t="s">
        <v>253</v>
      </c>
      <c r="E1573" t="s">
        <v>248</v>
      </c>
      <c r="F1573" t="s">
        <v>240</v>
      </c>
      <c r="G1573" t="s">
        <v>82</v>
      </c>
      <c r="J1573" t="s">
        <v>192</v>
      </c>
      <c r="K1573" t="s">
        <v>255</v>
      </c>
      <c r="L1573">
        <v>16250000</v>
      </c>
      <c r="M1573" t="s">
        <v>242</v>
      </c>
      <c r="N1573" t="s">
        <v>1027</v>
      </c>
      <c r="O1573">
        <v>1</v>
      </c>
      <c r="P1573" t="s">
        <v>257</v>
      </c>
    </row>
    <row r="1574" spans="1:16" hidden="1" x14ac:dyDescent="0.25">
      <c r="A1574" s="16">
        <v>45689</v>
      </c>
      <c r="B1574" t="s">
        <v>162</v>
      </c>
      <c r="C1574">
        <v>43</v>
      </c>
      <c r="D1574" t="s">
        <v>253</v>
      </c>
      <c r="E1574" t="s">
        <v>248</v>
      </c>
      <c r="F1574" t="s">
        <v>240</v>
      </c>
      <c r="G1574" t="s">
        <v>82</v>
      </c>
      <c r="J1574" t="s">
        <v>193</v>
      </c>
      <c r="K1574" t="s">
        <v>255</v>
      </c>
      <c r="L1574">
        <v>16730000</v>
      </c>
      <c r="M1574" t="s">
        <v>242</v>
      </c>
      <c r="N1574" t="s">
        <v>1218</v>
      </c>
      <c r="O1574">
        <v>1</v>
      </c>
      <c r="P1574" t="s">
        <v>257</v>
      </c>
    </row>
    <row r="1575" spans="1:16" hidden="1" x14ac:dyDescent="0.25">
      <c r="A1575" s="16">
        <v>45689</v>
      </c>
      <c r="B1575" t="s">
        <v>162</v>
      </c>
      <c r="C1575">
        <v>43</v>
      </c>
      <c r="D1575" t="s">
        <v>253</v>
      </c>
      <c r="E1575" t="s">
        <v>248</v>
      </c>
      <c r="F1575" t="s">
        <v>240</v>
      </c>
      <c r="G1575" t="s">
        <v>82</v>
      </c>
      <c r="J1575" t="s">
        <v>194</v>
      </c>
      <c r="K1575" t="s">
        <v>255</v>
      </c>
      <c r="L1575">
        <v>15790000</v>
      </c>
      <c r="M1575" t="s">
        <v>242</v>
      </c>
      <c r="N1575" t="s">
        <v>1395</v>
      </c>
      <c r="O1575">
        <v>1</v>
      </c>
      <c r="P1575" t="s">
        <v>261</v>
      </c>
    </row>
    <row r="1576" spans="1:16" hidden="1" x14ac:dyDescent="0.25">
      <c r="A1576" s="16">
        <v>45689</v>
      </c>
      <c r="B1576" t="s">
        <v>162</v>
      </c>
      <c r="C1576">
        <v>43</v>
      </c>
      <c r="D1576" t="s">
        <v>247</v>
      </c>
      <c r="E1576" t="s">
        <v>248</v>
      </c>
      <c r="F1576" t="s">
        <v>240</v>
      </c>
      <c r="G1576" t="s">
        <v>82</v>
      </c>
      <c r="H1576" t="s">
        <v>249</v>
      </c>
      <c r="J1576" t="s">
        <v>194</v>
      </c>
      <c r="K1576" t="s">
        <v>250</v>
      </c>
      <c r="L1576">
        <v>5.6</v>
      </c>
      <c r="M1576" t="s">
        <v>251</v>
      </c>
      <c r="N1576" t="s">
        <v>599</v>
      </c>
    </row>
    <row r="1577" spans="1:16" hidden="1" x14ac:dyDescent="0.25">
      <c r="A1577" s="16">
        <v>45689</v>
      </c>
      <c r="B1577" t="s">
        <v>162</v>
      </c>
      <c r="C1577">
        <v>44</v>
      </c>
      <c r="D1577" t="s">
        <v>291</v>
      </c>
      <c r="E1577" t="s">
        <v>292</v>
      </c>
      <c r="F1577" t="s">
        <v>240</v>
      </c>
      <c r="G1577" t="s">
        <v>82</v>
      </c>
      <c r="H1577" t="s">
        <v>168</v>
      </c>
      <c r="J1577" t="s">
        <v>194</v>
      </c>
      <c r="K1577" t="s">
        <v>250</v>
      </c>
      <c r="L1577">
        <v>49970</v>
      </c>
      <c r="M1577" t="s">
        <v>242</v>
      </c>
      <c r="N1577" t="s">
        <v>1396</v>
      </c>
    </row>
    <row r="1578" spans="1:16" hidden="1" x14ac:dyDescent="0.25">
      <c r="A1578" s="16">
        <v>45689</v>
      </c>
      <c r="B1578" t="s">
        <v>162</v>
      </c>
      <c r="C1578">
        <v>44</v>
      </c>
      <c r="D1578" t="s">
        <v>291</v>
      </c>
      <c r="E1578" t="s">
        <v>292</v>
      </c>
      <c r="F1578" t="s">
        <v>240</v>
      </c>
      <c r="G1578" t="s">
        <v>82</v>
      </c>
      <c r="H1578" t="s">
        <v>169</v>
      </c>
      <c r="J1578" t="s">
        <v>194</v>
      </c>
      <c r="K1578" t="s">
        <v>250</v>
      </c>
      <c r="L1578">
        <v>0</v>
      </c>
      <c r="M1578" t="s">
        <v>242</v>
      </c>
      <c r="N1578" t="s">
        <v>1397</v>
      </c>
    </row>
    <row r="1579" spans="1:16" hidden="1" x14ac:dyDescent="0.25">
      <c r="A1579" s="16">
        <v>45689</v>
      </c>
      <c r="B1579" t="s">
        <v>162</v>
      </c>
      <c r="C1579">
        <v>44</v>
      </c>
      <c r="D1579" t="s">
        <v>291</v>
      </c>
      <c r="E1579" t="s">
        <v>292</v>
      </c>
      <c r="F1579" t="s">
        <v>240</v>
      </c>
      <c r="G1579" t="s">
        <v>82</v>
      </c>
      <c r="H1579" t="s">
        <v>170</v>
      </c>
      <c r="J1579" t="s">
        <v>194</v>
      </c>
      <c r="K1579" t="s">
        <v>250</v>
      </c>
      <c r="L1579">
        <v>6500</v>
      </c>
      <c r="M1579" t="s">
        <v>242</v>
      </c>
      <c r="N1579" t="s">
        <v>1398</v>
      </c>
    </row>
    <row r="1580" spans="1:16" hidden="1" x14ac:dyDescent="0.25">
      <c r="A1580" s="16">
        <v>45689</v>
      </c>
      <c r="B1580" t="s">
        <v>162</v>
      </c>
      <c r="C1580">
        <v>44</v>
      </c>
      <c r="D1580" t="s">
        <v>291</v>
      </c>
      <c r="E1580" t="s">
        <v>292</v>
      </c>
      <c r="F1580" t="s">
        <v>240</v>
      </c>
      <c r="G1580" t="s">
        <v>82</v>
      </c>
      <c r="H1580" t="s">
        <v>164</v>
      </c>
      <c r="J1580" t="s">
        <v>194</v>
      </c>
      <c r="K1580" t="s">
        <v>250</v>
      </c>
      <c r="L1580">
        <v>7070000</v>
      </c>
      <c r="M1580" t="s">
        <v>242</v>
      </c>
      <c r="N1580" t="s">
        <v>1399</v>
      </c>
    </row>
    <row r="1581" spans="1:16" hidden="1" x14ac:dyDescent="0.25">
      <c r="A1581" s="16">
        <v>45689</v>
      </c>
      <c r="B1581" t="s">
        <v>162</v>
      </c>
      <c r="C1581">
        <v>44</v>
      </c>
      <c r="D1581" t="s">
        <v>291</v>
      </c>
      <c r="E1581" t="s">
        <v>292</v>
      </c>
      <c r="F1581" t="s">
        <v>240</v>
      </c>
      <c r="G1581" t="s">
        <v>82</v>
      </c>
      <c r="H1581" t="s">
        <v>165</v>
      </c>
      <c r="J1581" t="s">
        <v>194</v>
      </c>
      <c r="K1581" t="s">
        <v>250</v>
      </c>
      <c r="L1581">
        <v>2820000</v>
      </c>
      <c r="M1581" t="s">
        <v>242</v>
      </c>
      <c r="N1581" t="s">
        <v>1400</v>
      </c>
    </row>
    <row r="1582" spans="1:16" hidden="1" x14ac:dyDescent="0.25">
      <c r="A1582" s="16">
        <v>45689</v>
      </c>
      <c r="B1582" t="s">
        <v>162</v>
      </c>
      <c r="C1582">
        <v>44</v>
      </c>
      <c r="D1582" t="s">
        <v>291</v>
      </c>
      <c r="E1582" t="s">
        <v>292</v>
      </c>
      <c r="F1582" t="s">
        <v>240</v>
      </c>
      <c r="G1582" t="s">
        <v>82</v>
      </c>
      <c r="H1582" t="s">
        <v>171</v>
      </c>
      <c r="J1582" t="s">
        <v>194</v>
      </c>
      <c r="K1582" t="s">
        <v>250</v>
      </c>
      <c r="L1582">
        <v>45080</v>
      </c>
      <c r="M1582" t="s">
        <v>242</v>
      </c>
      <c r="N1582" t="s">
        <v>1401</v>
      </c>
    </row>
    <row r="1583" spans="1:16" hidden="1" x14ac:dyDescent="0.25">
      <c r="A1583" s="16">
        <v>45689</v>
      </c>
      <c r="B1583" t="s">
        <v>162</v>
      </c>
      <c r="C1583">
        <v>44</v>
      </c>
      <c r="D1583" t="s">
        <v>291</v>
      </c>
      <c r="E1583" t="s">
        <v>292</v>
      </c>
      <c r="F1583" t="s">
        <v>240</v>
      </c>
      <c r="G1583" t="s">
        <v>82</v>
      </c>
      <c r="H1583" t="s">
        <v>166</v>
      </c>
      <c r="J1583" t="s">
        <v>194</v>
      </c>
      <c r="K1583" t="s">
        <v>250</v>
      </c>
      <c r="L1583">
        <v>1820000</v>
      </c>
      <c r="M1583" t="s">
        <v>242</v>
      </c>
      <c r="N1583" t="s">
        <v>1402</v>
      </c>
    </row>
    <row r="1584" spans="1:16" hidden="1" x14ac:dyDescent="0.25">
      <c r="A1584" s="16">
        <v>45689</v>
      </c>
      <c r="B1584" t="s">
        <v>162</v>
      </c>
      <c r="C1584">
        <v>44</v>
      </c>
      <c r="D1584" t="s">
        <v>291</v>
      </c>
      <c r="E1584" t="s">
        <v>292</v>
      </c>
      <c r="F1584" t="s">
        <v>240</v>
      </c>
      <c r="G1584" t="s">
        <v>82</v>
      </c>
      <c r="H1584" t="s">
        <v>167</v>
      </c>
      <c r="J1584" t="s">
        <v>194</v>
      </c>
      <c r="K1584" t="s">
        <v>250</v>
      </c>
      <c r="L1584">
        <v>3970000</v>
      </c>
      <c r="M1584" t="s">
        <v>242</v>
      </c>
      <c r="N1584" t="s">
        <v>1403</v>
      </c>
    </row>
    <row r="1585" spans="1:17" hidden="1" x14ac:dyDescent="0.25">
      <c r="A1585" s="16">
        <v>45689</v>
      </c>
      <c r="B1585" t="s">
        <v>162</v>
      </c>
      <c r="C1585">
        <v>45</v>
      </c>
      <c r="D1585" t="s">
        <v>253</v>
      </c>
      <c r="E1585" t="s">
        <v>248</v>
      </c>
      <c r="F1585" t="s">
        <v>428</v>
      </c>
      <c r="G1585" t="s">
        <v>82</v>
      </c>
      <c r="J1585" t="s">
        <v>192</v>
      </c>
      <c r="K1585" t="s">
        <v>255</v>
      </c>
      <c r="L1585">
        <v>14290000</v>
      </c>
      <c r="M1585" t="s">
        <v>242</v>
      </c>
      <c r="N1585" t="s">
        <v>1033</v>
      </c>
      <c r="O1585">
        <v>1</v>
      </c>
      <c r="P1585" t="s">
        <v>257</v>
      </c>
    </row>
    <row r="1586" spans="1:17" hidden="1" x14ac:dyDescent="0.25">
      <c r="A1586" s="16">
        <v>45689</v>
      </c>
      <c r="B1586" t="s">
        <v>162</v>
      </c>
      <c r="C1586">
        <v>45</v>
      </c>
      <c r="D1586" t="s">
        <v>253</v>
      </c>
      <c r="E1586" t="s">
        <v>248</v>
      </c>
      <c r="F1586" t="s">
        <v>428</v>
      </c>
      <c r="G1586" t="s">
        <v>82</v>
      </c>
      <c r="J1586" t="s">
        <v>193</v>
      </c>
      <c r="K1586" t="s">
        <v>255</v>
      </c>
      <c r="L1586">
        <v>14750000</v>
      </c>
      <c r="M1586" t="s">
        <v>242</v>
      </c>
      <c r="N1586" t="s">
        <v>1223</v>
      </c>
      <c r="O1586">
        <v>1</v>
      </c>
      <c r="P1586" t="s">
        <v>257</v>
      </c>
      <c r="Q1586" t="s">
        <v>1404</v>
      </c>
    </row>
    <row r="1587" spans="1:17" hidden="1" x14ac:dyDescent="0.25">
      <c r="A1587" s="16">
        <v>45689</v>
      </c>
      <c r="B1587" t="s">
        <v>162</v>
      </c>
      <c r="C1587">
        <v>45</v>
      </c>
      <c r="D1587" t="s">
        <v>253</v>
      </c>
      <c r="E1587" t="s">
        <v>248</v>
      </c>
      <c r="F1587" t="s">
        <v>428</v>
      </c>
      <c r="G1587" t="s">
        <v>82</v>
      </c>
      <c r="J1587" t="s">
        <v>194</v>
      </c>
      <c r="K1587" t="s">
        <v>255</v>
      </c>
      <c r="L1587">
        <v>13900000</v>
      </c>
      <c r="M1587" t="s">
        <v>242</v>
      </c>
      <c r="N1587" t="s">
        <v>1405</v>
      </c>
      <c r="O1587">
        <v>1</v>
      </c>
      <c r="P1587" t="s">
        <v>261</v>
      </c>
    </row>
    <row r="1588" spans="1:17" hidden="1" x14ac:dyDescent="0.25">
      <c r="A1588" s="16">
        <v>45689</v>
      </c>
      <c r="B1588" t="s">
        <v>162</v>
      </c>
      <c r="C1588">
        <v>45</v>
      </c>
      <c r="D1588" t="s">
        <v>247</v>
      </c>
      <c r="E1588" t="s">
        <v>248</v>
      </c>
      <c r="F1588" t="s">
        <v>428</v>
      </c>
      <c r="G1588" t="s">
        <v>82</v>
      </c>
      <c r="H1588" t="s">
        <v>249</v>
      </c>
      <c r="J1588" t="s">
        <v>194</v>
      </c>
      <c r="K1588" t="s">
        <v>250</v>
      </c>
      <c r="L1588">
        <v>5.7</v>
      </c>
      <c r="M1588" t="s">
        <v>251</v>
      </c>
      <c r="N1588" t="s">
        <v>1145</v>
      </c>
    </row>
    <row r="1589" spans="1:17" hidden="1" x14ac:dyDescent="0.25">
      <c r="A1589" s="16">
        <v>45689</v>
      </c>
      <c r="B1589" t="s">
        <v>162</v>
      </c>
      <c r="C1589">
        <v>46</v>
      </c>
      <c r="D1589" t="s">
        <v>291</v>
      </c>
      <c r="E1589" t="s">
        <v>292</v>
      </c>
      <c r="F1589" t="s">
        <v>428</v>
      </c>
      <c r="G1589" t="s">
        <v>82</v>
      </c>
      <c r="H1589" t="s">
        <v>94</v>
      </c>
      <c r="J1589" t="s">
        <v>194</v>
      </c>
      <c r="K1589" t="s">
        <v>250</v>
      </c>
      <c r="L1589">
        <v>10310000</v>
      </c>
      <c r="M1589" t="s">
        <v>242</v>
      </c>
      <c r="N1589" t="s">
        <v>1406</v>
      </c>
    </row>
    <row r="1590" spans="1:17" hidden="1" x14ac:dyDescent="0.25">
      <c r="A1590" s="16">
        <v>45689</v>
      </c>
      <c r="B1590" t="s">
        <v>162</v>
      </c>
      <c r="C1590">
        <v>46</v>
      </c>
      <c r="D1590" t="s">
        <v>291</v>
      </c>
      <c r="E1590" t="s">
        <v>292</v>
      </c>
      <c r="F1590" t="s">
        <v>428</v>
      </c>
      <c r="G1590" t="s">
        <v>82</v>
      </c>
      <c r="H1590" t="s">
        <v>95</v>
      </c>
      <c r="J1590" t="s">
        <v>194</v>
      </c>
      <c r="K1590" t="s">
        <v>250</v>
      </c>
      <c r="L1590">
        <v>3590000</v>
      </c>
      <c r="M1590" t="s">
        <v>242</v>
      </c>
      <c r="N1590" t="s">
        <v>1407</v>
      </c>
    </row>
    <row r="1591" spans="1:17" hidden="1" x14ac:dyDescent="0.25">
      <c r="A1591" s="16">
        <v>45689</v>
      </c>
      <c r="B1591" t="s">
        <v>162</v>
      </c>
      <c r="C1591">
        <v>47</v>
      </c>
      <c r="D1591" t="s">
        <v>291</v>
      </c>
      <c r="E1591" t="s">
        <v>292</v>
      </c>
      <c r="F1591" t="s">
        <v>428</v>
      </c>
      <c r="G1591" t="s">
        <v>82</v>
      </c>
      <c r="H1591" t="s">
        <v>173</v>
      </c>
      <c r="J1591" t="s">
        <v>194</v>
      </c>
      <c r="K1591" t="s">
        <v>250</v>
      </c>
      <c r="L1591">
        <v>2340000</v>
      </c>
      <c r="M1591" t="s">
        <v>242</v>
      </c>
      <c r="N1591" t="s">
        <v>1408</v>
      </c>
    </row>
    <row r="1592" spans="1:17" hidden="1" x14ac:dyDescent="0.25">
      <c r="A1592" s="16">
        <v>45689</v>
      </c>
      <c r="B1592" t="s">
        <v>162</v>
      </c>
      <c r="C1592">
        <v>47</v>
      </c>
      <c r="D1592" t="s">
        <v>291</v>
      </c>
      <c r="E1592" t="s">
        <v>292</v>
      </c>
      <c r="F1592" t="s">
        <v>428</v>
      </c>
      <c r="G1592" t="s">
        <v>82</v>
      </c>
      <c r="H1592" t="s">
        <v>174</v>
      </c>
      <c r="J1592" t="s">
        <v>194</v>
      </c>
      <c r="K1592" t="s">
        <v>250</v>
      </c>
      <c r="L1592">
        <v>1790000</v>
      </c>
      <c r="M1592" t="s">
        <v>242</v>
      </c>
      <c r="N1592" t="s">
        <v>1409</v>
      </c>
    </row>
    <row r="1593" spans="1:17" hidden="1" x14ac:dyDescent="0.25">
      <c r="A1593" s="16">
        <v>45689</v>
      </c>
      <c r="B1593" t="s">
        <v>162</v>
      </c>
      <c r="C1593">
        <v>48</v>
      </c>
      <c r="D1593" t="s">
        <v>253</v>
      </c>
      <c r="E1593" t="s">
        <v>248</v>
      </c>
      <c r="F1593" t="s">
        <v>244</v>
      </c>
      <c r="G1593" t="s">
        <v>82</v>
      </c>
      <c r="J1593" t="s">
        <v>192</v>
      </c>
      <c r="K1593" t="s">
        <v>255</v>
      </c>
      <c r="L1593">
        <v>1830000000</v>
      </c>
      <c r="M1593" t="s">
        <v>245</v>
      </c>
      <c r="N1593" t="s">
        <v>1037</v>
      </c>
      <c r="O1593">
        <v>1</v>
      </c>
      <c r="P1593" t="s">
        <v>257</v>
      </c>
    </row>
    <row r="1594" spans="1:17" hidden="1" x14ac:dyDescent="0.25">
      <c r="A1594" s="16">
        <v>45689</v>
      </c>
      <c r="B1594" t="s">
        <v>162</v>
      </c>
      <c r="C1594">
        <v>48</v>
      </c>
      <c r="D1594" t="s">
        <v>253</v>
      </c>
      <c r="E1594" t="s">
        <v>248</v>
      </c>
      <c r="F1594" t="s">
        <v>244</v>
      </c>
      <c r="G1594" t="s">
        <v>82</v>
      </c>
      <c r="J1594" t="s">
        <v>193</v>
      </c>
      <c r="K1594" t="s">
        <v>255</v>
      </c>
      <c r="L1594">
        <v>1800000000</v>
      </c>
      <c r="M1594" t="s">
        <v>245</v>
      </c>
      <c r="N1594" t="s">
        <v>1229</v>
      </c>
      <c r="O1594">
        <v>1</v>
      </c>
      <c r="P1594" t="s">
        <v>257</v>
      </c>
    </row>
    <row r="1595" spans="1:17" hidden="1" x14ac:dyDescent="0.25">
      <c r="A1595" s="16">
        <v>45689</v>
      </c>
      <c r="B1595" t="s">
        <v>162</v>
      </c>
      <c r="C1595">
        <v>48</v>
      </c>
      <c r="D1595" t="s">
        <v>253</v>
      </c>
      <c r="E1595" t="s">
        <v>248</v>
      </c>
      <c r="F1595" t="s">
        <v>244</v>
      </c>
      <c r="G1595" t="s">
        <v>82</v>
      </c>
      <c r="J1595" t="s">
        <v>194</v>
      </c>
      <c r="K1595" t="s">
        <v>255</v>
      </c>
      <c r="L1595">
        <v>1710000000</v>
      </c>
      <c r="M1595" t="s">
        <v>245</v>
      </c>
      <c r="N1595" t="s">
        <v>1410</v>
      </c>
      <c r="O1595">
        <v>1</v>
      </c>
      <c r="P1595" t="s">
        <v>261</v>
      </c>
    </row>
    <row r="1596" spans="1:17" hidden="1" x14ac:dyDescent="0.25">
      <c r="A1596" s="16">
        <v>45689</v>
      </c>
      <c r="B1596" t="s">
        <v>162</v>
      </c>
      <c r="C1596">
        <v>48</v>
      </c>
      <c r="D1596" t="s">
        <v>247</v>
      </c>
      <c r="E1596" t="s">
        <v>248</v>
      </c>
      <c r="F1596" t="s">
        <v>244</v>
      </c>
      <c r="G1596" t="s">
        <v>82</v>
      </c>
      <c r="H1596" t="s">
        <v>249</v>
      </c>
      <c r="J1596" t="s">
        <v>194</v>
      </c>
      <c r="K1596" t="s">
        <v>250</v>
      </c>
      <c r="L1596">
        <v>5.3</v>
      </c>
      <c r="M1596" t="s">
        <v>251</v>
      </c>
      <c r="N1596" t="s">
        <v>329</v>
      </c>
    </row>
    <row r="1597" spans="1:17" hidden="1" x14ac:dyDescent="0.25">
      <c r="A1597" s="16">
        <v>45689</v>
      </c>
      <c r="B1597" t="s">
        <v>162</v>
      </c>
      <c r="C1597">
        <v>49</v>
      </c>
      <c r="D1597" t="s">
        <v>291</v>
      </c>
      <c r="E1597" t="s">
        <v>292</v>
      </c>
      <c r="F1597" t="s">
        <v>244</v>
      </c>
      <c r="G1597" t="s">
        <v>82</v>
      </c>
      <c r="H1597" t="s">
        <v>168</v>
      </c>
      <c r="J1597" t="s">
        <v>194</v>
      </c>
      <c r="K1597" t="s">
        <v>250</v>
      </c>
      <c r="L1597">
        <v>681800</v>
      </c>
      <c r="M1597" t="s">
        <v>245</v>
      </c>
      <c r="N1597" t="s">
        <v>1411</v>
      </c>
    </row>
    <row r="1598" spans="1:17" hidden="1" x14ac:dyDescent="0.25">
      <c r="A1598" s="16">
        <v>45689</v>
      </c>
      <c r="B1598" t="s">
        <v>162</v>
      </c>
      <c r="C1598">
        <v>49</v>
      </c>
      <c r="D1598" t="s">
        <v>291</v>
      </c>
      <c r="E1598" t="s">
        <v>292</v>
      </c>
      <c r="F1598" t="s">
        <v>244</v>
      </c>
      <c r="G1598" t="s">
        <v>82</v>
      </c>
      <c r="H1598" t="s">
        <v>169</v>
      </c>
      <c r="J1598" t="s">
        <v>194</v>
      </c>
      <c r="K1598" t="s">
        <v>250</v>
      </c>
      <c r="L1598">
        <v>0</v>
      </c>
      <c r="M1598" t="s">
        <v>245</v>
      </c>
      <c r="N1598" t="s">
        <v>1397</v>
      </c>
    </row>
    <row r="1599" spans="1:17" hidden="1" x14ac:dyDescent="0.25">
      <c r="A1599" s="16">
        <v>45689</v>
      </c>
      <c r="B1599" t="s">
        <v>162</v>
      </c>
      <c r="C1599">
        <v>49</v>
      </c>
      <c r="D1599" t="s">
        <v>291</v>
      </c>
      <c r="E1599" t="s">
        <v>292</v>
      </c>
      <c r="F1599" t="s">
        <v>244</v>
      </c>
      <c r="G1599" t="s">
        <v>82</v>
      </c>
      <c r="H1599" t="s">
        <v>170</v>
      </c>
      <c r="J1599" t="s">
        <v>194</v>
      </c>
      <c r="K1599" t="s">
        <v>250</v>
      </c>
      <c r="L1599">
        <v>124600</v>
      </c>
      <c r="M1599" t="s">
        <v>245</v>
      </c>
      <c r="N1599" t="s">
        <v>1412</v>
      </c>
    </row>
    <row r="1600" spans="1:17" hidden="1" x14ac:dyDescent="0.25">
      <c r="A1600" s="16">
        <v>45689</v>
      </c>
      <c r="B1600" t="s">
        <v>162</v>
      </c>
      <c r="C1600">
        <v>49</v>
      </c>
      <c r="D1600" t="s">
        <v>291</v>
      </c>
      <c r="E1600" t="s">
        <v>292</v>
      </c>
      <c r="F1600" t="s">
        <v>244</v>
      </c>
      <c r="G1600" t="s">
        <v>82</v>
      </c>
      <c r="H1600" t="s">
        <v>164</v>
      </c>
      <c r="J1600" t="s">
        <v>194</v>
      </c>
      <c r="K1600" t="s">
        <v>250</v>
      </c>
      <c r="L1600">
        <v>1090000000</v>
      </c>
      <c r="M1600" t="s">
        <v>245</v>
      </c>
      <c r="N1600" t="s">
        <v>856</v>
      </c>
    </row>
    <row r="1601" spans="1:16" hidden="1" x14ac:dyDescent="0.25">
      <c r="A1601" s="16">
        <v>45689</v>
      </c>
      <c r="B1601" t="s">
        <v>162</v>
      </c>
      <c r="C1601">
        <v>49</v>
      </c>
      <c r="D1601" t="s">
        <v>291</v>
      </c>
      <c r="E1601" t="s">
        <v>292</v>
      </c>
      <c r="F1601" t="s">
        <v>244</v>
      </c>
      <c r="G1601" t="s">
        <v>82</v>
      </c>
      <c r="H1601" t="s">
        <v>165</v>
      </c>
      <c r="J1601" t="s">
        <v>194</v>
      </c>
      <c r="K1601" t="s">
        <v>250</v>
      </c>
      <c r="L1601">
        <v>186700000</v>
      </c>
      <c r="M1601" t="s">
        <v>245</v>
      </c>
      <c r="N1601" t="s">
        <v>1413</v>
      </c>
    </row>
    <row r="1602" spans="1:16" hidden="1" x14ac:dyDescent="0.25">
      <c r="A1602" s="16">
        <v>45689</v>
      </c>
      <c r="B1602" t="s">
        <v>162</v>
      </c>
      <c r="C1602">
        <v>49</v>
      </c>
      <c r="D1602" t="s">
        <v>291</v>
      </c>
      <c r="E1602" t="s">
        <v>292</v>
      </c>
      <c r="F1602" t="s">
        <v>244</v>
      </c>
      <c r="G1602" t="s">
        <v>82</v>
      </c>
      <c r="H1602" t="s">
        <v>171</v>
      </c>
      <c r="J1602" t="s">
        <v>194</v>
      </c>
      <c r="K1602" t="s">
        <v>250</v>
      </c>
      <c r="L1602">
        <v>589200</v>
      </c>
      <c r="M1602" t="s">
        <v>245</v>
      </c>
      <c r="N1602" t="s">
        <v>1414</v>
      </c>
    </row>
    <row r="1603" spans="1:16" hidden="1" x14ac:dyDescent="0.25">
      <c r="A1603" s="16">
        <v>45689</v>
      </c>
      <c r="B1603" t="s">
        <v>162</v>
      </c>
      <c r="C1603">
        <v>49</v>
      </c>
      <c r="D1603" t="s">
        <v>291</v>
      </c>
      <c r="E1603" t="s">
        <v>292</v>
      </c>
      <c r="F1603" t="s">
        <v>244</v>
      </c>
      <c r="G1603" t="s">
        <v>82</v>
      </c>
      <c r="H1603" t="s">
        <v>166</v>
      </c>
      <c r="J1603" t="s">
        <v>194</v>
      </c>
      <c r="K1603" t="s">
        <v>250</v>
      </c>
      <c r="L1603">
        <v>215300000</v>
      </c>
      <c r="M1603" t="s">
        <v>245</v>
      </c>
      <c r="N1603" t="s">
        <v>1415</v>
      </c>
    </row>
    <row r="1604" spans="1:16" hidden="1" x14ac:dyDescent="0.25">
      <c r="A1604" s="16">
        <v>45689</v>
      </c>
      <c r="B1604" t="s">
        <v>162</v>
      </c>
      <c r="C1604">
        <v>49</v>
      </c>
      <c r="D1604" t="s">
        <v>291</v>
      </c>
      <c r="E1604" t="s">
        <v>292</v>
      </c>
      <c r="F1604" t="s">
        <v>244</v>
      </c>
      <c r="G1604" t="s">
        <v>82</v>
      </c>
      <c r="H1604" t="s">
        <v>167</v>
      </c>
      <c r="J1604" t="s">
        <v>194</v>
      </c>
      <c r="K1604" t="s">
        <v>250</v>
      </c>
      <c r="L1604">
        <v>214200000</v>
      </c>
      <c r="M1604" t="s">
        <v>245</v>
      </c>
      <c r="N1604" t="s">
        <v>1416</v>
      </c>
    </row>
    <row r="1605" spans="1:16" hidden="1" x14ac:dyDescent="0.25">
      <c r="A1605" s="16">
        <v>45689</v>
      </c>
      <c r="B1605" t="s">
        <v>162</v>
      </c>
      <c r="C1605">
        <v>50</v>
      </c>
      <c r="D1605" t="s">
        <v>253</v>
      </c>
      <c r="E1605" t="s">
        <v>248</v>
      </c>
      <c r="F1605" t="s">
        <v>445</v>
      </c>
      <c r="G1605" t="s">
        <v>82</v>
      </c>
      <c r="J1605" t="s">
        <v>192</v>
      </c>
      <c r="K1605" t="s">
        <v>255</v>
      </c>
      <c r="L1605">
        <v>1510000000</v>
      </c>
      <c r="M1605" t="s">
        <v>245</v>
      </c>
      <c r="N1605" t="s">
        <v>1043</v>
      </c>
      <c r="O1605">
        <v>1</v>
      </c>
      <c r="P1605" t="s">
        <v>257</v>
      </c>
    </row>
    <row r="1606" spans="1:16" hidden="1" x14ac:dyDescent="0.25">
      <c r="A1606" s="16">
        <v>45689</v>
      </c>
      <c r="B1606" t="s">
        <v>162</v>
      </c>
      <c r="C1606">
        <v>50</v>
      </c>
      <c r="D1606" t="s">
        <v>253</v>
      </c>
      <c r="E1606" t="s">
        <v>248</v>
      </c>
      <c r="F1606" t="s">
        <v>445</v>
      </c>
      <c r="G1606" t="s">
        <v>82</v>
      </c>
      <c r="J1606" t="s">
        <v>193</v>
      </c>
      <c r="K1606" t="s">
        <v>255</v>
      </c>
      <c r="L1606">
        <v>1490000000</v>
      </c>
      <c r="M1606" t="s">
        <v>245</v>
      </c>
      <c r="N1606" t="s">
        <v>1234</v>
      </c>
      <c r="O1606">
        <v>1</v>
      </c>
      <c r="P1606" t="s">
        <v>257</v>
      </c>
    </row>
    <row r="1607" spans="1:16" hidden="1" x14ac:dyDescent="0.25">
      <c r="A1607" s="16">
        <v>45689</v>
      </c>
      <c r="B1607" t="s">
        <v>162</v>
      </c>
      <c r="C1607">
        <v>50</v>
      </c>
      <c r="D1607" t="s">
        <v>253</v>
      </c>
      <c r="E1607" t="s">
        <v>248</v>
      </c>
      <c r="F1607" t="s">
        <v>445</v>
      </c>
      <c r="G1607" t="s">
        <v>82</v>
      </c>
      <c r="J1607" t="s">
        <v>194</v>
      </c>
      <c r="K1607" t="s">
        <v>255</v>
      </c>
      <c r="L1607">
        <v>1410000000</v>
      </c>
      <c r="M1607" t="s">
        <v>245</v>
      </c>
      <c r="N1607" t="s">
        <v>1417</v>
      </c>
      <c r="O1607">
        <v>1</v>
      </c>
      <c r="P1607" t="s">
        <v>261</v>
      </c>
    </row>
    <row r="1608" spans="1:16" hidden="1" x14ac:dyDescent="0.25">
      <c r="A1608" s="16">
        <v>45689</v>
      </c>
      <c r="B1608" t="s">
        <v>162</v>
      </c>
      <c r="C1608">
        <v>50</v>
      </c>
      <c r="D1608" t="s">
        <v>247</v>
      </c>
      <c r="E1608" t="s">
        <v>248</v>
      </c>
      <c r="F1608" t="s">
        <v>445</v>
      </c>
      <c r="G1608" t="s">
        <v>82</v>
      </c>
      <c r="H1608" t="s">
        <v>249</v>
      </c>
      <c r="J1608" t="s">
        <v>194</v>
      </c>
      <c r="K1608" t="s">
        <v>250</v>
      </c>
      <c r="L1608">
        <v>5.4</v>
      </c>
      <c r="M1608" t="s">
        <v>251</v>
      </c>
      <c r="N1608" t="s">
        <v>384</v>
      </c>
    </row>
    <row r="1609" spans="1:16" hidden="1" x14ac:dyDescent="0.25">
      <c r="A1609" s="16">
        <v>45689</v>
      </c>
      <c r="B1609" t="s">
        <v>162</v>
      </c>
      <c r="C1609">
        <v>51</v>
      </c>
      <c r="D1609" t="s">
        <v>291</v>
      </c>
      <c r="E1609" t="s">
        <v>292</v>
      </c>
      <c r="F1609" t="s">
        <v>445</v>
      </c>
      <c r="G1609" t="s">
        <v>82</v>
      </c>
      <c r="H1609" t="s">
        <v>94</v>
      </c>
      <c r="J1609" t="s">
        <v>194</v>
      </c>
      <c r="K1609" t="s">
        <v>250</v>
      </c>
      <c r="L1609">
        <v>1140000000</v>
      </c>
      <c r="M1609" t="s">
        <v>245</v>
      </c>
      <c r="N1609" t="s">
        <v>538</v>
      </c>
    </row>
    <row r="1610" spans="1:16" hidden="1" x14ac:dyDescent="0.25">
      <c r="A1610" s="16">
        <v>45689</v>
      </c>
      <c r="B1610" t="s">
        <v>162</v>
      </c>
      <c r="C1610">
        <v>51</v>
      </c>
      <c r="D1610" t="s">
        <v>291</v>
      </c>
      <c r="E1610" t="s">
        <v>292</v>
      </c>
      <c r="F1610" t="s">
        <v>445</v>
      </c>
      <c r="G1610" t="s">
        <v>82</v>
      </c>
      <c r="H1610" t="s">
        <v>95</v>
      </c>
      <c r="J1610" t="s">
        <v>194</v>
      </c>
      <c r="K1610" t="s">
        <v>250</v>
      </c>
      <c r="L1610">
        <v>275100000</v>
      </c>
      <c r="M1610" t="s">
        <v>245</v>
      </c>
      <c r="N1610" t="s">
        <v>1418</v>
      </c>
    </row>
    <row r="1611" spans="1:16" hidden="1" x14ac:dyDescent="0.25">
      <c r="A1611" s="16">
        <v>45689</v>
      </c>
      <c r="B1611" t="s">
        <v>162</v>
      </c>
      <c r="C1611">
        <v>52</v>
      </c>
      <c r="D1611" t="s">
        <v>291</v>
      </c>
      <c r="E1611" t="s">
        <v>292</v>
      </c>
      <c r="F1611" t="s">
        <v>445</v>
      </c>
      <c r="G1611" t="s">
        <v>82</v>
      </c>
      <c r="H1611" t="s">
        <v>173</v>
      </c>
      <c r="J1611" t="s">
        <v>194</v>
      </c>
      <c r="K1611" t="s">
        <v>250</v>
      </c>
      <c r="L1611">
        <v>146300000</v>
      </c>
      <c r="M1611" t="s">
        <v>245</v>
      </c>
      <c r="N1611" t="s">
        <v>1419</v>
      </c>
    </row>
    <row r="1612" spans="1:16" hidden="1" x14ac:dyDescent="0.25">
      <c r="A1612" s="16">
        <v>45689</v>
      </c>
      <c r="B1612" t="s">
        <v>162</v>
      </c>
      <c r="C1612">
        <v>52</v>
      </c>
      <c r="D1612" t="s">
        <v>291</v>
      </c>
      <c r="E1612" t="s">
        <v>292</v>
      </c>
      <c r="F1612" t="s">
        <v>445</v>
      </c>
      <c r="G1612" t="s">
        <v>82</v>
      </c>
      <c r="H1612" t="s">
        <v>174</v>
      </c>
      <c r="J1612" t="s">
        <v>194</v>
      </c>
      <c r="K1612" t="s">
        <v>250</v>
      </c>
      <c r="L1612">
        <v>211100000</v>
      </c>
      <c r="M1612" t="s">
        <v>245</v>
      </c>
      <c r="N1612" t="s">
        <v>1420</v>
      </c>
    </row>
    <row r="1613" spans="1:16" hidden="1" x14ac:dyDescent="0.25">
      <c r="A1613" s="16">
        <v>45689</v>
      </c>
      <c r="B1613" t="s">
        <v>162</v>
      </c>
      <c r="C1613">
        <v>53</v>
      </c>
      <c r="D1613" t="s">
        <v>291</v>
      </c>
      <c r="E1613" t="s">
        <v>292</v>
      </c>
      <c r="F1613" t="s">
        <v>334</v>
      </c>
      <c r="G1613" t="s">
        <v>82</v>
      </c>
      <c r="H1613" t="s">
        <v>168</v>
      </c>
      <c r="J1613" t="s">
        <v>194</v>
      </c>
      <c r="K1613" t="s">
        <v>250</v>
      </c>
      <c r="L1613">
        <v>14</v>
      </c>
      <c r="M1613" t="s">
        <v>245</v>
      </c>
      <c r="N1613" t="s">
        <v>1421</v>
      </c>
    </row>
    <row r="1614" spans="1:16" hidden="1" x14ac:dyDescent="0.25">
      <c r="A1614" s="16">
        <v>45689</v>
      </c>
      <c r="B1614" t="s">
        <v>162</v>
      </c>
      <c r="C1614">
        <v>53</v>
      </c>
      <c r="D1614" t="s">
        <v>291</v>
      </c>
      <c r="E1614" t="s">
        <v>292</v>
      </c>
      <c r="F1614" t="s">
        <v>334</v>
      </c>
      <c r="G1614" t="s">
        <v>82</v>
      </c>
      <c r="H1614" t="s">
        <v>170</v>
      </c>
      <c r="J1614" t="s">
        <v>194</v>
      </c>
      <c r="K1614" t="s">
        <v>250</v>
      </c>
      <c r="L1614">
        <v>19</v>
      </c>
      <c r="M1614" t="s">
        <v>245</v>
      </c>
      <c r="N1614" t="s">
        <v>1422</v>
      </c>
    </row>
    <row r="1615" spans="1:16" hidden="1" x14ac:dyDescent="0.25">
      <c r="A1615" s="16">
        <v>45689</v>
      </c>
      <c r="B1615" t="s">
        <v>162</v>
      </c>
      <c r="C1615">
        <v>53</v>
      </c>
      <c r="D1615" t="s">
        <v>291</v>
      </c>
      <c r="E1615" t="s">
        <v>292</v>
      </c>
      <c r="F1615" t="s">
        <v>334</v>
      </c>
      <c r="G1615" t="s">
        <v>82</v>
      </c>
      <c r="H1615" t="s">
        <v>164</v>
      </c>
      <c r="J1615" t="s">
        <v>194</v>
      </c>
      <c r="K1615" t="s">
        <v>250</v>
      </c>
      <c r="L1615">
        <v>154</v>
      </c>
      <c r="M1615" t="s">
        <v>245</v>
      </c>
      <c r="N1615" t="s">
        <v>859</v>
      </c>
    </row>
    <row r="1616" spans="1:16" hidden="1" x14ac:dyDescent="0.25">
      <c r="A1616" s="16">
        <v>45689</v>
      </c>
      <c r="B1616" t="s">
        <v>162</v>
      </c>
      <c r="C1616">
        <v>53</v>
      </c>
      <c r="D1616" t="s">
        <v>291</v>
      </c>
      <c r="E1616" t="s">
        <v>292</v>
      </c>
      <c r="F1616" t="s">
        <v>334</v>
      </c>
      <c r="G1616" t="s">
        <v>82</v>
      </c>
      <c r="H1616" t="s">
        <v>173</v>
      </c>
      <c r="J1616" t="s">
        <v>194</v>
      </c>
      <c r="K1616" t="s">
        <v>250</v>
      </c>
      <c r="L1616">
        <v>66</v>
      </c>
      <c r="M1616" t="s">
        <v>245</v>
      </c>
      <c r="N1616" t="s">
        <v>1241</v>
      </c>
    </row>
    <row r="1617" spans="1:16" hidden="1" x14ac:dyDescent="0.25">
      <c r="A1617" s="16">
        <v>45689</v>
      </c>
      <c r="B1617" t="s">
        <v>162</v>
      </c>
      <c r="C1617">
        <v>53</v>
      </c>
      <c r="D1617" t="s">
        <v>238</v>
      </c>
      <c r="E1617" t="s">
        <v>239</v>
      </c>
      <c r="F1617" t="s">
        <v>334</v>
      </c>
      <c r="G1617" t="s">
        <v>82</v>
      </c>
      <c r="H1617" t="s">
        <v>455</v>
      </c>
      <c r="J1617" t="s">
        <v>194</v>
      </c>
      <c r="K1617" t="s">
        <v>250</v>
      </c>
      <c r="L1617">
        <v>108</v>
      </c>
      <c r="M1617" t="s">
        <v>245</v>
      </c>
      <c r="N1617" t="s">
        <v>1423</v>
      </c>
    </row>
    <row r="1618" spans="1:16" hidden="1" x14ac:dyDescent="0.25">
      <c r="A1618" s="16">
        <v>45689</v>
      </c>
      <c r="B1618" t="s">
        <v>162</v>
      </c>
      <c r="C1618">
        <v>53</v>
      </c>
      <c r="D1618" t="s">
        <v>291</v>
      </c>
      <c r="E1618" t="s">
        <v>292</v>
      </c>
      <c r="F1618" t="s">
        <v>334</v>
      </c>
      <c r="G1618" t="s">
        <v>82</v>
      </c>
      <c r="H1618" t="s">
        <v>179</v>
      </c>
      <c r="J1618" t="s">
        <v>194</v>
      </c>
      <c r="K1618" t="s">
        <v>250</v>
      </c>
      <c r="L1618">
        <v>13</v>
      </c>
      <c r="M1618" t="s">
        <v>245</v>
      </c>
      <c r="N1618" t="s">
        <v>1424</v>
      </c>
    </row>
    <row r="1619" spans="1:16" hidden="1" x14ac:dyDescent="0.25">
      <c r="A1619" s="16">
        <v>45689</v>
      </c>
      <c r="B1619" t="s">
        <v>162</v>
      </c>
      <c r="C1619">
        <v>53</v>
      </c>
      <c r="D1619" t="s">
        <v>291</v>
      </c>
      <c r="E1619" t="s">
        <v>292</v>
      </c>
      <c r="F1619" t="s">
        <v>334</v>
      </c>
      <c r="G1619" t="s">
        <v>82</v>
      </c>
      <c r="H1619" t="s">
        <v>174</v>
      </c>
      <c r="J1619" t="s">
        <v>194</v>
      </c>
      <c r="K1619" t="s">
        <v>250</v>
      </c>
      <c r="L1619">
        <v>118</v>
      </c>
      <c r="M1619" t="s">
        <v>245</v>
      </c>
      <c r="N1619" t="s">
        <v>1425</v>
      </c>
    </row>
    <row r="1620" spans="1:16" hidden="1" x14ac:dyDescent="0.25">
      <c r="A1620" s="16">
        <v>45689</v>
      </c>
      <c r="B1620" t="s">
        <v>162</v>
      </c>
      <c r="C1620">
        <v>53</v>
      </c>
      <c r="D1620" t="s">
        <v>291</v>
      </c>
      <c r="E1620" t="s">
        <v>292</v>
      </c>
      <c r="F1620" t="s">
        <v>334</v>
      </c>
      <c r="G1620" t="s">
        <v>82</v>
      </c>
      <c r="H1620" t="s">
        <v>178</v>
      </c>
      <c r="J1620" t="s">
        <v>194</v>
      </c>
      <c r="K1620" t="s">
        <v>250</v>
      </c>
      <c r="L1620">
        <v>54</v>
      </c>
      <c r="M1620" t="s">
        <v>245</v>
      </c>
      <c r="N1620" t="s">
        <v>1244</v>
      </c>
    </row>
    <row r="1621" spans="1:16" hidden="1" x14ac:dyDescent="0.25">
      <c r="A1621" s="16">
        <v>45689</v>
      </c>
      <c r="B1621" t="s">
        <v>97</v>
      </c>
      <c r="C1621">
        <v>26</v>
      </c>
      <c r="D1621" t="s">
        <v>238</v>
      </c>
      <c r="E1621" t="s">
        <v>239</v>
      </c>
      <c r="F1621" t="s">
        <v>240</v>
      </c>
      <c r="G1621" t="s">
        <v>82</v>
      </c>
      <c r="J1621" t="s">
        <v>194</v>
      </c>
      <c r="K1621" t="s">
        <v>241</v>
      </c>
      <c r="L1621">
        <v>12290000</v>
      </c>
      <c r="M1621" t="s">
        <v>242</v>
      </c>
      <c r="N1621" t="s">
        <v>1380</v>
      </c>
    </row>
    <row r="1622" spans="1:16" hidden="1" x14ac:dyDescent="0.25">
      <c r="A1622" s="16">
        <v>45689</v>
      </c>
      <c r="B1622" t="s">
        <v>97</v>
      </c>
      <c r="C1622">
        <v>26</v>
      </c>
      <c r="D1622" t="s">
        <v>238</v>
      </c>
      <c r="E1622" t="s">
        <v>239</v>
      </c>
      <c r="F1622" t="s">
        <v>244</v>
      </c>
      <c r="G1622" t="s">
        <v>82</v>
      </c>
      <c r="J1622" t="s">
        <v>194</v>
      </c>
      <c r="K1622" t="s">
        <v>241</v>
      </c>
      <c r="L1622">
        <v>899700000</v>
      </c>
      <c r="M1622" t="s">
        <v>245</v>
      </c>
      <c r="N1622" t="s">
        <v>1383</v>
      </c>
    </row>
    <row r="1623" spans="1:16" hidden="1" x14ac:dyDescent="0.25">
      <c r="A1623" s="16">
        <v>45689</v>
      </c>
      <c r="B1623" t="s">
        <v>97</v>
      </c>
      <c r="C1623">
        <v>27</v>
      </c>
      <c r="D1623" t="s">
        <v>253</v>
      </c>
      <c r="E1623" t="s">
        <v>248</v>
      </c>
      <c r="F1623" t="s">
        <v>285</v>
      </c>
      <c r="G1623" t="s">
        <v>63</v>
      </c>
      <c r="J1623" t="s">
        <v>192</v>
      </c>
      <c r="K1623" t="s">
        <v>255</v>
      </c>
      <c r="L1623">
        <v>2590000</v>
      </c>
      <c r="M1623" t="s">
        <v>242</v>
      </c>
      <c r="N1623" t="s">
        <v>1052</v>
      </c>
      <c r="O1623">
        <v>1</v>
      </c>
      <c r="P1623" t="s">
        <v>257</v>
      </c>
    </row>
    <row r="1624" spans="1:16" hidden="1" x14ac:dyDescent="0.25">
      <c r="A1624" s="16">
        <v>45689</v>
      </c>
      <c r="B1624" t="s">
        <v>97</v>
      </c>
      <c r="C1624">
        <v>27</v>
      </c>
      <c r="D1624" t="s">
        <v>253</v>
      </c>
      <c r="E1624" t="s">
        <v>248</v>
      </c>
      <c r="F1624" t="s">
        <v>285</v>
      </c>
      <c r="G1624" t="s">
        <v>63</v>
      </c>
      <c r="J1624" t="s">
        <v>193</v>
      </c>
      <c r="K1624" t="s">
        <v>255</v>
      </c>
      <c r="L1624">
        <v>2550000</v>
      </c>
      <c r="M1624" t="s">
        <v>242</v>
      </c>
      <c r="N1624" t="s">
        <v>1247</v>
      </c>
      <c r="O1624">
        <v>1</v>
      </c>
      <c r="P1624" t="s">
        <v>257</v>
      </c>
    </row>
    <row r="1625" spans="1:16" hidden="1" x14ac:dyDescent="0.25">
      <c r="A1625" s="16">
        <v>45689</v>
      </c>
      <c r="B1625" t="s">
        <v>97</v>
      </c>
      <c r="C1625">
        <v>27</v>
      </c>
      <c r="D1625" t="s">
        <v>253</v>
      </c>
      <c r="E1625" t="s">
        <v>248</v>
      </c>
      <c r="F1625" t="s">
        <v>285</v>
      </c>
      <c r="G1625" t="s">
        <v>63</v>
      </c>
      <c r="J1625" t="s">
        <v>194</v>
      </c>
      <c r="K1625" t="s">
        <v>255</v>
      </c>
      <c r="L1625">
        <v>2580000</v>
      </c>
      <c r="M1625" t="s">
        <v>242</v>
      </c>
      <c r="N1625" t="s">
        <v>1426</v>
      </c>
      <c r="O1625">
        <v>1</v>
      </c>
      <c r="P1625" t="s">
        <v>261</v>
      </c>
    </row>
    <row r="1626" spans="1:16" hidden="1" x14ac:dyDescent="0.25">
      <c r="A1626" s="16">
        <v>45689</v>
      </c>
      <c r="B1626" t="s">
        <v>97</v>
      </c>
      <c r="C1626">
        <v>27</v>
      </c>
      <c r="D1626" t="s">
        <v>247</v>
      </c>
      <c r="E1626" t="s">
        <v>248</v>
      </c>
      <c r="F1626" t="s">
        <v>285</v>
      </c>
      <c r="G1626" t="s">
        <v>63</v>
      </c>
      <c r="H1626" t="s">
        <v>286</v>
      </c>
      <c r="J1626" t="s">
        <v>194</v>
      </c>
      <c r="K1626" t="s">
        <v>250</v>
      </c>
      <c r="L1626">
        <v>1.2</v>
      </c>
      <c r="M1626" t="s">
        <v>251</v>
      </c>
      <c r="N1626" t="s">
        <v>1427</v>
      </c>
    </row>
    <row r="1627" spans="1:16" hidden="1" x14ac:dyDescent="0.25">
      <c r="A1627" s="16">
        <v>45689</v>
      </c>
      <c r="B1627" t="s">
        <v>97</v>
      </c>
      <c r="C1627">
        <v>28</v>
      </c>
      <c r="D1627" t="s">
        <v>291</v>
      </c>
      <c r="E1627" t="s">
        <v>292</v>
      </c>
      <c r="F1627" t="s">
        <v>285</v>
      </c>
      <c r="G1627" t="s">
        <v>63</v>
      </c>
      <c r="H1627" t="s">
        <v>64</v>
      </c>
      <c r="J1627" t="s">
        <v>194</v>
      </c>
      <c r="K1627" t="s">
        <v>250</v>
      </c>
      <c r="L1627">
        <v>2270000</v>
      </c>
      <c r="M1627" t="s">
        <v>242</v>
      </c>
      <c r="N1627" t="s">
        <v>1428</v>
      </c>
    </row>
    <row r="1628" spans="1:16" hidden="1" x14ac:dyDescent="0.25">
      <c r="A1628" s="16">
        <v>45689</v>
      </c>
      <c r="B1628" t="s">
        <v>97</v>
      </c>
      <c r="C1628">
        <v>28</v>
      </c>
      <c r="D1628" t="s">
        <v>291</v>
      </c>
      <c r="E1628" t="s">
        <v>292</v>
      </c>
      <c r="F1628" t="s">
        <v>285</v>
      </c>
      <c r="G1628" t="s">
        <v>63</v>
      </c>
      <c r="H1628" t="s">
        <v>65</v>
      </c>
      <c r="J1628" t="s">
        <v>194</v>
      </c>
      <c r="K1628" t="s">
        <v>250</v>
      </c>
      <c r="L1628">
        <v>307100</v>
      </c>
      <c r="M1628" t="s">
        <v>242</v>
      </c>
      <c r="N1628" t="s">
        <v>1429</v>
      </c>
    </row>
    <row r="1629" spans="1:16" hidden="1" x14ac:dyDescent="0.25">
      <c r="A1629" s="16">
        <v>45689</v>
      </c>
      <c r="B1629" t="s">
        <v>97</v>
      </c>
      <c r="C1629">
        <v>29</v>
      </c>
      <c r="D1629" t="s">
        <v>291</v>
      </c>
      <c r="E1629" t="s">
        <v>292</v>
      </c>
      <c r="F1629" t="s">
        <v>285</v>
      </c>
      <c r="G1629" t="s">
        <v>63</v>
      </c>
      <c r="H1629" t="s">
        <v>67</v>
      </c>
      <c r="J1629" t="s">
        <v>194</v>
      </c>
      <c r="K1629" t="s">
        <v>250</v>
      </c>
      <c r="L1629">
        <v>1300000</v>
      </c>
      <c r="M1629" t="s">
        <v>242</v>
      </c>
      <c r="N1629" t="s">
        <v>1430</v>
      </c>
    </row>
    <row r="1630" spans="1:16" hidden="1" x14ac:dyDescent="0.25">
      <c r="A1630" s="16">
        <v>45689</v>
      </c>
      <c r="B1630" t="s">
        <v>97</v>
      </c>
      <c r="C1630">
        <v>29</v>
      </c>
      <c r="D1630" t="s">
        <v>291</v>
      </c>
      <c r="E1630" t="s">
        <v>292</v>
      </c>
      <c r="F1630" t="s">
        <v>285</v>
      </c>
      <c r="G1630" t="s">
        <v>63</v>
      </c>
      <c r="H1630" t="s">
        <v>68</v>
      </c>
      <c r="J1630" t="s">
        <v>194</v>
      </c>
      <c r="K1630" t="s">
        <v>250</v>
      </c>
      <c r="L1630">
        <v>1270000</v>
      </c>
      <c r="M1630" t="s">
        <v>242</v>
      </c>
      <c r="N1630" t="s">
        <v>647</v>
      </c>
    </row>
    <row r="1631" spans="1:16" hidden="1" x14ac:dyDescent="0.25">
      <c r="A1631" s="16">
        <v>45689</v>
      </c>
      <c r="B1631" t="s">
        <v>97</v>
      </c>
      <c r="C1631">
        <v>30</v>
      </c>
      <c r="D1631" t="s">
        <v>291</v>
      </c>
      <c r="E1631" t="s">
        <v>292</v>
      </c>
      <c r="F1631" t="s">
        <v>285</v>
      </c>
      <c r="G1631" t="s">
        <v>63</v>
      </c>
      <c r="H1631" t="s">
        <v>70</v>
      </c>
      <c r="J1631" t="s">
        <v>194</v>
      </c>
      <c r="K1631" t="s">
        <v>250</v>
      </c>
      <c r="L1631">
        <v>929000</v>
      </c>
      <c r="M1631" t="s">
        <v>242</v>
      </c>
      <c r="N1631" t="s">
        <v>1431</v>
      </c>
    </row>
    <row r="1632" spans="1:16" hidden="1" x14ac:dyDescent="0.25">
      <c r="A1632" s="16">
        <v>45689</v>
      </c>
      <c r="B1632" t="s">
        <v>97</v>
      </c>
      <c r="C1632">
        <v>30</v>
      </c>
      <c r="D1632" t="s">
        <v>291</v>
      </c>
      <c r="E1632" t="s">
        <v>292</v>
      </c>
      <c r="F1632" t="s">
        <v>285</v>
      </c>
      <c r="G1632" t="s">
        <v>63</v>
      </c>
      <c r="H1632" t="s">
        <v>71</v>
      </c>
      <c r="J1632" t="s">
        <v>194</v>
      </c>
      <c r="K1632" t="s">
        <v>250</v>
      </c>
      <c r="L1632">
        <v>661000</v>
      </c>
      <c r="M1632" t="s">
        <v>242</v>
      </c>
      <c r="N1632" t="s">
        <v>1432</v>
      </c>
    </row>
    <row r="1633" spans="1:17" hidden="1" x14ac:dyDescent="0.25">
      <c r="A1633" s="16">
        <v>45689</v>
      </c>
      <c r="B1633" t="s">
        <v>97</v>
      </c>
      <c r="C1633">
        <v>30</v>
      </c>
      <c r="D1633" t="s">
        <v>291</v>
      </c>
      <c r="E1633" t="s">
        <v>292</v>
      </c>
      <c r="F1633" t="s">
        <v>285</v>
      </c>
      <c r="G1633" t="s">
        <v>63</v>
      </c>
      <c r="H1633" t="s">
        <v>72</v>
      </c>
      <c r="J1633" t="s">
        <v>194</v>
      </c>
      <c r="K1633" t="s">
        <v>250</v>
      </c>
      <c r="L1633">
        <v>499000</v>
      </c>
      <c r="M1633" t="s">
        <v>242</v>
      </c>
      <c r="N1633" t="s">
        <v>1433</v>
      </c>
    </row>
    <row r="1634" spans="1:17" hidden="1" x14ac:dyDescent="0.25">
      <c r="A1634" s="16">
        <v>45689</v>
      </c>
      <c r="B1634" t="s">
        <v>97</v>
      </c>
      <c r="C1634">
        <v>30</v>
      </c>
      <c r="D1634" t="s">
        <v>291</v>
      </c>
      <c r="E1634" t="s">
        <v>292</v>
      </c>
      <c r="F1634" t="s">
        <v>285</v>
      </c>
      <c r="G1634" t="s">
        <v>63</v>
      </c>
      <c r="H1634" t="s">
        <v>73</v>
      </c>
      <c r="J1634" t="s">
        <v>194</v>
      </c>
      <c r="K1634" t="s">
        <v>250</v>
      </c>
      <c r="L1634">
        <v>313000</v>
      </c>
      <c r="M1634" t="s">
        <v>242</v>
      </c>
      <c r="N1634" t="s">
        <v>639</v>
      </c>
    </row>
    <row r="1635" spans="1:17" hidden="1" x14ac:dyDescent="0.25">
      <c r="A1635" s="16">
        <v>45689</v>
      </c>
      <c r="B1635" t="s">
        <v>97</v>
      </c>
      <c r="C1635">
        <v>30</v>
      </c>
      <c r="D1635" t="s">
        <v>291</v>
      </c>
      <c r="E1635" t="s">
        <v>292</v>
      </c>
      <c r="F1635" t="s">
        <v>285</v>
      </c>
      <c r="G1635" t="s">
        <v>63</v>
      </c>
      <c r="H1635" t="s">
        <v>74</v>
      </c>
      <c r="J1635" t="s">
        <v>194</v>
      </c>
      <c r="K1635" t="s">
        <v>250</v>
      </c>
      <c r="L1635">
        <v>117000</v>
      </c>
      <c r="M1635" t="s">
        <v>242</v>
      </c>
      <c r="N1635" t="s">
        <v>1434</v>
      </c>
    </row>
    <row r="1636" spans="1:17" hidden="1" x14ac:dyDescent="0.25">
      <c r="A1636" s="16">
        <v>45689</v>
      </c>
      <c r="B1636" t="s">
        <v>97</v>
      </c>
      <c r="C1636">
        <v>30</v>
      </c>
      <c r="D1636" t="s">
        <v>291</v>
      </c>
      <c r="E1636" t="s">
        <v>292</v>
      </c>
      <c r="F1636" t="s">
        <v>285</v>
      </c>
      <c r="G1636" t="s">
        <v>63</v>
      </c>
      <c r="H1636" t="s">
        <v>75</v>
      </c>
      <c r="J1636" t="s">
        <v>194</v>
      </c>
      <c r="K1636" t="s">
        <v>250</v>
      </c>
      <c r="L1636">
        <v>36000</v>
      </c>
      <c r="M1636" t="s">
        <v>242</v>
      </c>
      <c r="N1636" t="s">
        <v>393</v>
      </c>
    </row>
    <row r="1637" spans="1:17" hidden="1" x14ac:dyDescent="0.25">
      <c r="A1637" s="16">
        <v>45689</v>
      </c>
      <c r="B1637" t="s">
        <v>97</v>
      </c>
      <c r="C1637">
        <v>30</v>
      </c>
      <c r="D1637" t="s">
        <v>291</v>
      </c>
      <c r="E1637" t="s">
        <v>292</v>
      </c>
      <c r="F1637" t="s">
        <v>285</v>
      </c>
      <c r="G1637" t="s">
        <v>63</v>
      </c>
      <c r="H1637" t="s">
        <v>76</v>
      </c>
      <c r="J1637" t="s">
        <v>194</v>
      </c>
      <c r="K1637" t="s">
        <v>250</v>
      </c>
      <c r="L1637">
        <v>12000</v>
      </c>
      <c r="M1637" t="s">
        <v>242</v>
      </c>
      <c r="N1637" t="s">
        <v>1255</v>
      </c>
    </row>
    <row r="1638" spans="1:17" hidden="1" x14ac:dyDescent="0.25">
      <c r="A1638" s="16">
        <v>45689</v>
      </c>
      <c r="B1638" t="s">
        <v>97</v>
      </c>
      <c r="C1638">
        <v>30</v>
      </c>
      <c r="D1638" t="s">
        <v>291</v>
      </c>
      <c r="E1638" t="s">
        <v>292</v>
      </c>
      <c r="F1638" t="s">
        <v>285</v>
      </c>
      <c r="G1638" t="s">
        <v>63</v>
      </c>
      <c r="H1638" t="s">
        <v>77</v>
      </c>
      <c r="J1638" t="s">
        <v>194</v>
      </c>
      <c r="K1638" t="s">
        <v>250</v>
      </c>
      <c r="L1638">
        <v>1000</v>
      </c>
      <c r="M1638" t="s">
        <v>242</v>
      </c>
      <c r="N1638" t="s">
        <v>476</v>
      </c>
    </row>
    <row r="1639" spans="1:17" hidden="1" x14ac:dyDescent="0.25">
      <c r="A1639" s="16">
        <v>45689</v>
      </c>
      <c r="B1639" t="s">
        <v>97</v>
      </c>
      <c r="C1639">
        <v>31</v>
      </c>
      <c r="D1639" t="s">
        <v>291</v>
      </c>
      <c r="E1639" t="s">
        <v>292</v>
      </c>
      <c r="F1639" t="s">
        <v>477</v>
      </c>
      <c r="G1639" t="s">
        <v>99</v>
      </c>
      <c r="H1639" t="s">
        <v>100</v>
      </c>
      <c r="J1639" t="s">
        <v>194</v>
      </c>
      <c r="K1639" t="s">
        <v>250</v>
      </c>
      <c r="L1639">
        <v>909</v>
      </c>
      <c r="M1639" t="s">
        <v>242</v>
      </c>
      <c r="N1639" t="s">
        <v>1435</v>
      </c>
    </row>
    <row r="1640" spans="1:17" hidden="1" x14ac:dyDescent="0.25">
      <c r="A1640" s="16">
        <v>45689</v>
      </c>
      <c r="B1640" t="s">
        <v>97</v>
      </c>
      <c r="C1640">
        <v>31</v>
      </c>
      <c r="D1640" t="s">
        <v>291</v>
      </c>
      <c r="E1640" t="s">
        <v>292</v>
      </c>
      <c r="F1640" t="s">
        <v>477</v>
      </c>
      <c r="G1640" t="s">
        <v>99</v>
      </c>
      <c r="H1640" t="s">
        <v>101</v>
      </c>
      <c r="J1640" t="s">
        <v>194</v>
      </c>
      <c r="K1640" t="s">
        <v>250</v>
      </c>
      <c r="L1640">
        <v>1160</v>
      </c>
      <c r="M1640" t="s">
        <v>242</v>
      </c>
      <c r="N1640" t="s">
        <v>1436</v>
      </c>
    </row>
    <row r="1641" spans="1:17" hidden="1" x14ac:dyDescent="0.25">
      <c r="A1641" s="16">
        <v>45689</v>
      </c>
      <c r="B1641" t="s">
        <v>97</v>
      </c>
      <c r="C1641">
        <v>31</v>
      </c>
      <c r="D1641" t="s">
        <v>291</v>
      </c>
      <c r="E1641" t="s">
        <v>292</v>
      </c>
      <c r="F1641" t="s">
        <v>477</v>
      </c>
      <c r="G1641" t="s">
        <v>99</v>
      </c>
      <c r="H1641" t="s">
        <v>102</v>
      </c>
      <c r="J1641" t="s">
        <v>194</v>
      </c>
      <c r="K1641" t="s">
        <v>250</v>
      </c>
      <c r="L1641">
        <v>6</v>
      </c>
      <c r="M1641" t="s">
        <v>242</v>
      </c>
      <c r="N1641" t="s">
        <v>1257</v>
      </c>
    </row>
    <row r="1642" spans="1:17" hidden="1" x14ac:dyDescent="0.25">
      <c r="A1642" s="16">
        <v>45689</v>
      </c>
      <c r="B1642" t="s">
        <v>97</v>
      </c>
      <c r="C1642">
        <v>31</v>
      </c>
      <c r="D1642" t="s">
        <v>291</v>
      </c>
      <c r="E1642" t="s">
        <v>292</v>
      </c>
      <c r="F1642" t="s">
        <v>477</v>
      </c>
      <c r="G1642" t="s">
        <v>99</v>
      </c>
      <c r="H1642" t="s">
        <v>103</v>
      </c>
      <c r="J1642" t="s">
        <v>194</v>
      </c>
      <c r="K1642" t="s">
        <v>250</v>
      </c>
      <c r="L1642">
        <v>2490000</v>
      </c>
      <c r="M1642" t="s">
        <v>242</v>
      </c>
      <c r="N1642" t="s">
        <v>1437</v>
      </c>
    </row>
    <row r="1643" spans="1:17" hidden="1" x14ac:dyDescent="0.25">
      <c r="A1643" s="16">
        <v>45689</v>
      </c>
      <c r="B1643" t="s">
        <v>97</v>
      </c>
      <c r="C1643">
        <v>31</v>
      </c>
      <c r="D1643" t="s">
        <v>291</v>
      </c>
      <c r="E1643" t="s">
        <v>292</v>
      </c>
      <c r="F1643" t="s">
        <v>477</v>
      </c>
      <c r="G1643" t="s">
        <v>99</v>
      </c>
      <c r="H1643" t="s">
        <v>104</v>
      </c>
      <c r="J1643" t="s">
        <v>194</v>
      </c>
      <c r="K1643" t="s">
        <v>250</v>
      </c>
      <c r="L1643">
        <v>3301</v>
      </c>
      <c r="M1643" t="s">
        <v>242</v>
      </c>
      <c r="N1643" t="s">
        <v>1438</v>
      </c>
    </row>
    <row r="1644" spans="1:17" hidden="1" x14ac:dyDescent="0.25">
      <c r="A1644" s="16">
        <v>45689</v>
      </c>
      <c r="B1644" t="s">
        <v>97</v>
      </c>
      <c r="C1644">
        <v>32</v>
      </c>
      <c r="D1644" t="s">
        <v>253</v>
      </c>
      <c r="E1644" t="s">
        <v>248</v>
      </c>
      <c r="F1644" t="s">
        <v>240</v>
      </c>
      <c r="G1644" t="s">
        <v>82</v>
      </c>
      <c r="J1644" t="s">
        <v>192</v>
      </c>
      <c r="K1644" t="s">
        <v>255</v>
      </c>
      <c r="L1644">
        <v>6250000</v>
      </c>
      <c r="M1644" t="s">
        <v>242</v>
      </c>
      <c r="N1644" t="s">
        <v>1067</v>
      </c>
      <c r="O1644">
        <v>1</v>
      </c>
      <c r="P1644" t="s">
        <v>257</v>
      </c>
    </row>
    <row r="1645" spans="1:17" hidden="1" x14ac:dyDescent="0.25">
      <c r="A1645" s="16">
        <v>45689</v>
      </c>
      <c r="B1645" t="s">
        <v>97</v>
      </c>
      <c r="C1645">
        <v>32</v>
      </c>
      <c r="D1645" t="s">
        <v>253</v>
      </c>
      <c r="E1645" t="s">
        <v>248</v>
      </c>
      <c r="F1645" t="s">
        <v>240</v>
      </c>
      <c r="G1645" t="s">
        <v>82</v>
      </c>
      <c r="J1645" t="s">
        <v>193</v>
      </c>
      <c r="K1645" t="s">
        <v>255</v>
      </c>
      <c r="L1645">
        <v>6410000</v>
      </c>
      <c r="M1645" t="s">
        <v>242</v>
      </c>
      <c r="N1645" t="s">
        <v>1260</v>
      </c>
      <c r="O1645">
        <v>1</v>
      </c>
      <c r="P1645" t="s">
        <v>257</v>
      </c>
      <c r="Q1645" t="s">
        <v>1439</v>
      </c>
    </row>
    <row r="1646" spans="1:17" hidden="1" x14ac:dyDescent="0.25">
      <c r="A1646" s="16">
        <v>45689</v>
      </c>
      <c r="B1646" t="s">
        <v>97</v>
      </c>
      <c r="C1646">
        <v>32</v>
      </c>
      <c r="D1646" t="s">
        <v>253</v>
      </c>
      <c r="E1646" t="s">
        <v>248</v>
      </c>
      <c r="F1646" t="s">
        <v>240</v>
      </c>
      <c r="G1646" t="s">
        <v>82</v>
      </c>
      <c r="J1646" t="s">
        <v>194</v>
      </c>
      <c r="K1646" t="s">
        <v>255</v>
      </c>
      <c r="L1646">
        <v>5890000</v>
      </c>
      <c r="M1646" t="s">
        <v>242</v>
      </c>
      <c r="N1646" t="s">
        <v>1171</v>
      </c>
      <c r="O1646">
        <v>1</v>
      </c>
      <c r="P1646" t="s">
        <v>261</v>
      </c>
    </row>
    <row r="1647" spans="1:17" hidden="1" x14ac:dyDescent="0.25">
      <c r="A1647" s="16">
        <v>45689</v>
      </c>
      <c r="B1647" t="s">
        <v>97</v>
      </c>
      <c r="C1647">
        <v>32</v>
      </c>
      <c r="D1647" t="s">
        <v>247</v>
      </c>
      <c r="E1647" t="s">
        <v>248</v>
      </c>
      <c r="F1647" t="s">
        <v>240</v>
      </c>
      <c r="G1647" t="s">
        <v>82</v>
      </c>
      <c r="H1647" t="s">
        <v>249</v>
      </c>
      <c r="J1647" t="s">
        <v>194</v>
      </c>
      <c r="K1647" t="s">
        <v>250</v>
      </c>
      <c r="L1647">
        <v>8.1999999999999993</v>
      </c>
      <c r="M1647" t="s">
        <v>251</v>
      </c>
      <c r="N1647" t="s">
        <v>649</v>
      </c>
    </row>
    <row r="1648" spans="1:17" hidden="1" x14ac:dyDescent="0.25">
      <c r="A1648" s="16">
        <v>45689</v>
      </c>
      <c r="B1648" t="s">
        <v>97</v>
      </c>
      <c r="C1648">
        <v>33</v>
      </c>
      <c r="D1648" t="s">
        <v>291</v>
      </c>
      <c r="E1648" t="s">
        <v>292</v>
      </c>
      <c r="F1648" t="s">
        <v>240</v>
      </c>
      <c r="G1648" t="s">
        <v>82</v>
      </c>
      <c r="H1648" t="s">
        <v>105</v>
      </c>
      <c r="J1648" t="s">
        <v>194</v>
      </c>
      <c r="K1648" t="s">
        <v>250</v>
      </c>
      <c r="L1648">
        <v>107400</v>
      </c>
      <c r="M1648" t="s">
        <v>242</v>
      </c>
      <c r="N1648" t="s">
        <v>1440</v>
      </c>
    </row>
    <row r="1649" spans="1:16" hidden="1" x14ac:dyDescent="0.25">
      <c r="A1649" s="16">
        <v>45689</v>
      </c>
      <c r="B1649" t="s">
        <v>97</v>
      </c>
      <c r="C1649">
        <v>33</v>
      </c>
      <c r="D1649" t="s">
        <v>291</v>
      </c>
      <c r="E1649" t="s">
        <v>292</v>
      </c>
      <c r="F1649" t="s">
        <v>240</v>
      </c>
      <c r="G1649" t="s">
        <v>82</v>
      </c>
      <c r="H1649" t="s">
        <v>106</v>
      </c>
      <c r="J1649" t="s">
        <v>194</v>
      </c>
      <c r="K1649" t="s">
        <v>250</v>
      </c>
      <c r="L1649">
        <v>147700</v>
      </c>
      <c r="M1649" t="s">
        <v>242</v>
      </c>
      <c r="N1649" t="s">
        <v>1441</v>
      </c>
    </row>
    <row r="1650" spans="1:16" hidden="1" x14ac:dyDescent="0.25">
      <c r="A1650" s="16">
        <v>45689</v>
      </c>
      <c r="B1650" t="s">
        <v>97</v>
      </c>
      <c r="C1650">
        <v>33</v>
      </c>
      <c r="D1650" t="s">
        <v>291</v>
      </c>
      <c r="E1650" t="s">
        <v>292</v>
      </c>
      <c r="F1650" t="s">
        <v>240</v>
      </c>
      <c r="G1650" t="s">
        <v>82</v>
      </c>
      <c r="H1650" t="s">
        <v>83</v>
      </c>
      <c r="J1650" t="s">
        <v>194</v>
      </c>
      <c r="K1650" t="s">
        <v>250</v>
      </c>
      <c r="L1650">
        <v>5500000</v>
      </c>
      <c r="M1650" t="s">
        <v>242</v>
      </c>
      <c r="N1650" t="s">
        <v>1442</v>
      </c>
    </row>
    <row r="1651" spans="1:16" hidden="1" x14ac:dyDescent="0.25">
      <c r="A1651" s="16">
        <v>45689</v>
      </c>
      <c r="B1651" t="s">
        <v>97</v>
      </c>
      <c r="C1651">
        <v>33</v>
      </c>
      <c r="D1651" t="s">
        <v>291</v>
      </c>
      <c r="E1651" t="s">
        <v>292</v>
      </c>
      <c r="F1651" t="s">
        <v>240</v>
      </c>
      <c r="G1651" t="s">
        <v>82</v>
      </c>
      <c r="H1651" t="s">
        <v>84</v>
      </c>
      <c r="J1651" t="s">
        <v>194</v>
      </c>
      <c r="K1651" t="s">
        <v>250</v>
      </c>
      <c r="L1651">
        <v>176900</v>
      </c>
      <c r="M1651" t="s">
        <v>242</v>
      </c>
      <c r="N1651" t="s">
        <v>1443</v>
      </c>
    </row>
    <row r="1652" spans="1:16" hidden="1" x14ac:dyDescent="0.25">
      <c r="A1652" s="16">
        <v>45689</v>
      </c>
      <c r="B1652" t="s">
        <v>97</v>
      </c>
      <c r="C1652">
        <v>34</v>
      </c>
      <c r="D1652" t="s">
        <v>291</v>
      </c>
      <c r="E1652" t="s">
        <v>292</v>
      </c>
      <c r="F1652" t="s">
        <v>240</v>
      </c>
      <c r="G1652" t="s">
        <v>82</v>
      </c>
      <c r="H1652" t="s">
        <v>105</v>
      </c>
      <c r="I1652" t="s">
        <v>491</v>
      </c>
      <c r="J1652" t="s">
        <v>194</v>
      </c>
      <c r="K1652" t="s">
        <v>250</v>
      </c>
      <c r="L1652">
        <v>1.25</v>
      </c>
      <c r="M1652" t="s">
        <v>251</v>
      </c>
      <c r="N1652" t="s">
        <v>1444</v>
      </c>
    </row>
    <row r="1653" spans="1:16" hidden="1" x14ac:dyDescent="0.25">
      <c r="A1653" s="16">
        <v>45689</v>
      </c>
      <c r="B1653" t="s">
        <v>97</v>
      </c>
      <c r="C1653">
        <v>34</v>
      </c>
      <c r="D1653" t="s">
        <v>291</v>
      </c>
      <c r="E1653" t="s">
        <v>292</v>
      </c>
      <c r="F1653" t="s">
        <v>240</v>
      </c>
      <c r="G1653" t="s">
        <v>82</v>
      </c>
      <c r="H1653" t="s">
        <v>105</v>
      </c>
      <c r="I1653" t="s">
        <v>493</v>
      </c>
      <c r="J1653" t="s">
        <v>194</v>
      </c>
      <c r="K1653" t="s">
        <v>250</v>
      </c>
      <c r="L1653">
        <v>98.75</v>
      </c>
      <c r="M1653" t="s">
        <v>251</v>
      </c>
      <c r="N1653" t="s">
        <v>1445</v>
      </c>
    </row>
    <row r="1654" spans="1:16" hidden="1" x14ac:dyDescent="0.25">
      <c r="A1654" s="16">
        <v>45689</v>
      </c>
      <c r="B1654" t="s">
        <v>97</v>
      </c>
      <c r="C1654">
        <v>34</v>
      </c>
      <c r="D1654" t="s">
        <v>291</v>
      </c>
      <c r="E1654" t="s">
        <v>292</v>
      </c>
      <c r="F1654" t="s">
        <v>240</v>
      </c>
      <c r="G1654" t="s">
        <v>82</v>
      </c>
      <c r="H1654" t="s">
        <v>106</v>
      </c>
      <c r="I1654" t="s">
        <v>491</v>
      </c>
      <c r="J1654" t="s">
        <v>194</v>
      </c>
      <c r="K1654" t="s">
        <v>250</v>
      </c>
      <c r="L1654">
        <v>6.92</v>
      </c>
      <c r="M1654" t="s">
        <v>251</v>
      </c>
      <c r="N1654" t="s">
        <v>1446</v>
      </c>
    </row>
    <row r="1655" spans="1:16" hidden="1" x14ac:dyDescent="0.25">
      <c r="A1655" s="16">
        <v>45689</v>
      </c>
      <c r="B1655" t="s">
        <v>97</v>
      </c>
      <c r="C1655">
        <v>34</v>
      </c>
      <c r="D1655" t="s">
        <v>291</v>
      </c>
      <c r="E1655" t="s">
        <v>292</v>
      </c>
      <c r="F1655" t="s">
        <v>240</v>
      </c>
      <c r="G1655" t="s">
        <v>82</v>
      </c>
      <c r="H1655" t="s">
        <v>106</v>
      </c>
      <c r="I1655" t="s">
        <v>493</v>
      </c>
      <c r="J1655" t="s">
        <v>194</v>
      </c>
      <c r="K1655" t="s">
        <v>250</v>
      </c>
      <c r="L1655">
        <v>93.08</v>
      </c>
      <c r="M1655" t="s">
        <v>251</v>
      </c>
      <c r="N1655" t="s">
        <v>1447</v>
      </c>
    </row>
    <row r="1656" spans="1:16" hidden="1" x14ac:dyDescent="0.25">
      <c r="A1656" s="16">
        <v>45689</v>
      </c>
      <c r="B1656" t="s">
        <v>97</v>
      </c>
      <c r="C1656">
        <v>34</v>
      </c>
      <c r="D1656" t="s">
        <v>291</v>
      </c>
      <c r="E1656" t="s">
        <v>292</v>
      </c>
      <c r="F1656" t="s">
        <v>240</v>
      </c>
      <c r="G1656" t="s">
        <v>82</v>
      </c>
      <c r="H1656" t="s">
        <v>83</v>
      </c>
      <c r="I1656" t="s">
        <v>497</v>
      </c>
      <c r="J1656" t="s">
        <v>194</v>
      </c>
      <c r="K1656" t="s">
        <v>250</v>
      </c>
      <c r="L1656">
        <v>1.76</v>
      </c>
      <c r="M1656" t="s">
        <v>251</v>
      </c>
      <c r="N1656" t="s">
        <v>1448</v>
      </c>
    </row>
    <row r="1657" spans="1:16" hidden="1" x14ac:dyDescent="0.25">
      <c r="A1657" s="16">
        <v>45689</v>
      </c>
      <c r="B1657" t="s">
        <v>97</v>
      </c>
      <c r="C1657">
        <v>34</v>
      </c>
      <c r="D1657" t="s">
        <v>291</v>
      </c>
      <c r="E1657" t="s">
        <v>292</v>
      </c>
      <c r="F1657" t="s">
        <v>240</v>
      </c>
      <c r="G1657" t="s">
        <v>82</v>
      </c>
      <c r="H1657" t="s">
        <v>83</v>
      </c>
      <c r="I1657" t="s">
        <v>499</v>
      </c>
      <c r="J1657" t="s">
        <v>194</v>
      </c>
      <c r="K1657" t="s">
        <v>250</v>
      </c>
      <c r="L1657">
        <v>0</v>
      </c>
      <c r="M1657" t="s">
        <v>251</v>
      </c>
      <c r="N1657" t="s">
        <v>1271</v>
      </c>
    </row>
    <row r="1658" spans="1:16" hidden="1" x14ac:dyDescent="0.25">
      <c r="A1658" s="16">
        <v>45689</v>
      </c>
      <c r="B1658" t="s">
        <v>97</v>
      </c>
      <c r="C1658">
        <v>34</v>
      </c>
      <c r="D1658" t="s">
        <v>291</v>
      </c>
      <c r="E1658" t="s">
        <v>292</v>
      </c>
      <c r="F1658" t="s">
        <v>240</v>
      </c>
      <c r="G1658" t="s">
        <v>82</v>
      </c>
      <c r="H1658" t="s">
        <v>83</v>
      </c>
      <c r="I1658" t="s">
        <v>501</v>
      </c>
      <c r="J1658" t="s">
        <v>194</v>
      </c>
      <c r="K1658" t="s">
        <v>250</v>
      </c>
      <c r="L1658">
        <v>0.5</v>
      </c>
      <c r="M1658" t="s">
        <v>251</v>
      </c>
      <c r="N1658" t="s">
        <v>1272</v>
      </c>
    </row>
    <row r="1659" spans="1:16" hidden="1" x14ac:dyDescent="0.25">
      <c r="A1659" s="16">
        <v>45689</v>
      </c>
      <c r="B1659" t="s">
        <v>97</v>
      </c>
      <c r="C1659">
        <v>34</v>
      </c>
      <c r="D1659" t="s">
        <v>291</v>
      </c>
      <c r="E1659" t="s">
        <v>292</v>
      </c>
      <c r="F1659" t="s">
        <v>240</v>
      </c>
      <c r="G1659" t="s">
        <v>82</v>
      </c>
      <c r="H1659" t="s">
        <v>83</v>
      </c>
      <c r="I1659" t="s">
        <v>503</v>
      </c>
      <c r="J1659" t="s">
        <v>194</v>
      </c>
      <c r="K1659" t="s">
        <v>250</v>
      </c>
      <c r="L1659">
        <v>2.48</v>
      </c>
      <c r="M1659" t="s">
        <v>251</v>
      </c>
      <c r="N1659" t="s">
        <v>1449</v>
      </c>
    </row>
    <row r="1660" spans="1:16" hidden="1" x14ac:dyDescent="0.25">
      <c r="A1660" s="16">
        <v>45689</v>
      </c>
      <c r="B1660" t="s">
        <v>97</v>
      </c>
      <c r="C1660">
        <v>34</v>
      </c>
      <c r="D1660" t="s">
        <v>291</v>
      </c>
      <c r="E1660" t="s">
        <v>292</v>
      </c>
      <c r="F1660" t="s">
        <v>240</v>
      </c>
      <c r="G1660" t="s">
        <v>82</v>
      </c>
      <c r="H1660" t="s">
        <v>83</v>
      </c>
      <c r="I1660" t="s">
        <v>315</v>
      </c>
      <c r="J1660" t="s">
        <v>194</v>
      </c>
      <c r="K1660" t="s">
        <v>250</v>
      </c>
      <c r="L1660">
        <v>89.21</v>
      </c>
      <c r="M1660" t="s">
        <v>251</v>
      </c>
      <c r="N1660" t="s">
        <v>1450</v>
      </c>
    </row>
    <row r="1661" spans="1:16" hidden="1" x14ac:dyDescent="0.25">
      <c r="A1661" s="16">
        <v>45689</v>
      </c>
      <c r="B1661" t="s">
        <v>97</v>
      </c>
      <c r="C1661">
        <v>34</v>
      </c>
      <c r="D1661" t="s">
        <v>291</v>
      </c>
      <c r="E1661" t="s">
        <v>292</v>
      </c>
      <c r="F1661" t="s">
        <v>240</v>
      </c>
      <c r="G1661" t="s">
        <v>82</v>
      </c>
      <c r="H1661" t="s">
        <v>83</v>
      </c>
      <c r="I1661" t="s">
        <v>317</v>
      </c>
      <c r="J1661" t="s">
        <v>194</v>
      </c>
      <c r="K1661" t="s">
        <v>250</v>
      </c>
      <c r="L1661">
        <v>6.05</v>
      </c>
      <c r="M1661" t="s">
        <v>251</v>
      </c>
      <c r="N1661" t="s">
        <v>1451</v>
      </c>
    </row>
    <row r="1662" spans="1:16" hidden="1" x14ac:dyDescent="0.25">
      <c r="A1662" s="16">
        <v>45689</v>
      </c>
      <c r="B1662" t="s">
        <v>97</v>
      </c>
      <c r="C1662">
        <v>34</v>
      </c>
      <c r="D1662" t="s">
        <v>291</v>
      </c>
      <c r="E1662" t="s">
        <v>292</v>
      </c>
      <c r="F1662" t="s">
        <v>240</v>
      </c>
      <c r="G1662" t="s">
        <v>82</v>
      </c>
      <c r="H1662" t="s">
        <v>84</v>
      </c>
      <c r="I1662" t="s">
        <v>84</v>
      </c>
      <c r="J1662" t="s">
        <v>194</v>
      </c>
      <c r="K1662" t="s">
        <v>250</v>
      </c>
      <c r="L1662">
        <v>66.239999999999995</v>
      </c>
      <c r="M1662" t="s">
        <v>251</v>
      </c>
      <c r="N1662" t="s">
        <v>1452</v>
      </c>
    </row>
    <row r="1663" spans="1:16" hidden="1" x14ac:dyDescent="0.25">
      <c r="A1663" s="16">
        <v>45689</v>
      </c>
      <c r="B1663" t="s">
        <v>97</v>
      </c>
      <c r="C1663">
        <v>34</v>
      </c>
      <c r="D1663" t="s">
        <v>291</v>
      </c>
      <c r="E1663" t="s">
        <v>292</v>
      </c>
      <c r="F1663" t="s">
        <v>240</v>
      </c>
      <c r="G1663" t="s">
        <v>82</v>
      </c>
      <c r="H1663" t="s">
        <v>84</v>
      </c>
      <c r="I1663" t="s">
        <v>321</v>
      </c>
      <c r="J1663" t="s">
        <v>194</v>
      </c>
      <c r="K1663" t="s">
        <v>250</v>
      </c>
      <c r="L1663">
        <v>33.76</v>
      </c>
      <c r="M1663" t="s">
        <v>251</v>
      </c>
      <c r="N1663" t="s">
        <v>1453</v>
      </c>
    </row>
    <row r="1664" spans="1:16" hidden="1" x14ac:dyDescent="0.25">
      <c r="A1664" s="16">
        <v>45689</v>
      </c>
      <c r="B1664" t="s">
        <v>97</v>
      </c>
      <c r="C1664">
        <v>35</v>
      </c>
      <c r="D1664" t="s">
        <v>253</v>
      </c>
      <c r="E1664" t="s">
        <v>248</v>
      </c>
      <c r="F1664" t="s">
        <v>244</v>
      </c>
      <c r="G1664" t="s">
        <v>82</v>
      </c>
      <c r="J1664" t="s">
        <v>192</v>
      </c>
      <c r="K1664" t="s">
        <v>255</v>
      </c>
      <c r="L1664">
        <v>493000000</v>
      </c>
      <c r="M1664" t="s">
        <v>245</v>
      </c>
      <c r="N1664" t="s">
        <v>1083</v>
      </c>
      <c r="O1664">
        <v>1</v>
      </c>
      <c r="P1664" t="s">
        <v>257</v>
      </c>
    </row>
    <row r="1665" spans="1:16" hidden="1" x14ac:dyDescent="0.25">
      <c r="A1665" s="16">
        <v>45689</v>
      </c>
      <c r="B1665" t="s">
        <v>97</v>
      </c>
      <c r="C1665">
        <v>35</v>
      </c>
      <c r="D1665" t="s">
        <v>253</v>
      </c>
      <c r="E1665" t="s">
        <v>248</v>
      </c>
      <c r="F1665" t="s">
        <v>244</v>
      </c>
      <c r="G1665" t="s">
        <v>82</v>
      </c>
      <c r="J1665" t="s">
        <v>193</v>
      </c>
      <c r="K1665" t="s">
        <v>255</v>
      </c>
      <c r="L1665">
        <v>469000000</v>
      </c>
      <c r="M1665" t="s">
        <v>245</v>
      </c>
      <c r="N1665" t="s">
        <v>1278</v>
      </c>
      <c r="O1665">
        <v>1</v>
      </c>
      <c r="P1665" t="s">
        <v>257</v>
      </c>
    </row>
    <row r="1666" spans="1:16" hidden="1" x14ac:dyDescent="0.25">
      <c r="A1666" s="16">
        <v>45689</v>
      </c>
      <c r="B1666" t="s">
        <v>97</v>
      </c>
      <c r="C1666">
        <v>35</v>
      </c>
      <c r="D1666" t="s">
        <v>253</v>
      </c>
      <c r="E1666" t="s">
        <v>248</v>
      </c>
      <c r="F1666" t="s">
        <v>244</v>
      </c>
      <c r="G1666" t="s">
        <v>82</v>
      </c>
      <c r="J1666" t="s">
        <v>194</v>
      </c>
      <c r="K1666" t="s">
        <v>255</v>
      </c>
      <c r="L1666">
        <v>431000000</v>
      </c>
      <c r="M1666" t="s">
        <v>245</v>
      </c>
      <c r="N1666" t="s">
        <v>1454</v>
      </c>
      <c r="O1666">
        <v>1</v>
      </c>
      <c r="P1666" t="s">
        <v>261</v>
      </c>
    </row>
    <row r="1667" spans="1:16" hidden="1" x14ac:dyDescent="0.25">
      <c r="A1667" s="16">
        <v>45689</v>
      </c>
      <c r="B1667" t="s">
        <v>97</v>
      </c>
      <c r="C1667">
        <v>35</v>
      </c>
      <c r="D1667" t="s">
        <v>247</v>
      </c>
      <c r="E1667" t="s">
        <v>248</v>
      </c>
      <c r="F1667" t="s">
        <v>244</v>
      </c>
      <c r="G1667" t="s">
        <v>82</v>
      </c>
      <c r="H1667" t="s">
        <v>249</v>
      </c>
      <c r="J1667" t="s">
        <v>194</v>
      </c>
      <c r="K1667" t="s">
        <v>250</v>
      </c>
      <c r="L1667">
        <v>8</v>
      </c>
      <c r="M1667" t="s">
        <v>251</v>
      </c>
      <c r="N1667" t="s">
        <v>1455</v>
      </c>
    </row>
    <row r="1668" spans="1:16" hidden="1" x14ac:dyDescent="0.25">
      <c r="A1668" s="16">
        <v>45689</v>
      </c>
      <c r="B1668" t="s">
        <v>97</v>
      </c>
      <c r="C1668">
        <v>36</v>
      </c>
      <c r="D1668" t="s">
        <v>291</v>
      </c>
      <c r="E1668" t="s">
        <v>292</v>
      </c>
      <c r="F1668" t="s">
        <v>244</v>
      </c>
      <c r="G1668" t="s">
        <v>82</v>
      </c>
      <c r="H1668" t="s">
        <v>105</v>
      </c>
      <c r="J1668" t="s">
        <v>194</v>
      </c>
      <c r="K1668" t="s">
        <v>250</v>
      </c>
      <c r="L1668">
        <v>17300000</v>
      </c>
      <c r="M1668" t="s">
        <v>245</v>
      </c>
      <c r="N1668" t="s">
        <v>1456</v>
      </c>
    </row>
    <row r="1669" spans="1:16" hidden="1" x14ac:dyDescent="0.25">
      <c r="A1669" s="16">
        <v>45689</v>
      </c>
      <c r="B1669" t="s">
        <v>97</v>
      </c>
      <c r="C1669">
        <v>36</v>
      </c>
      <c r="D1669" t="s">
        <v>291</v>
      </c>
      <c r="E1669" t="s">
        <v>292</v>
      </c>
      <c r="F1669" t="s">
        <v>244</v>
      </c>
      <c r="G1669" t="s">
        <v>82</v>
      </c>
      <c r="H1669" t="s">
        <v>106</v>
      </c>
      <c r="J1669" t="s">
        <v>194</v>
      </c>
      <c r="K1669" t="s">
        <v>250</v>
      </c>
      <c r="L1669">
        <v>23700000</v>
      </c>
      <c r="M1669" t="s">
        <v>245</v>
      </c>
      <c r="N1669" t="s">
        <v>1457</v>
      </c>
    </row>
    <row r="1670" spans="1:16" hidden="1" x14ac:dyDescent="0.25">
      <c r="A1670" s="16">
        <v>45689</v>
      </c>
      <c r="B1670" t="s">
        <v>97</v>
      </c>
      <c r="C1670">
        <v>36</v>
      </c>
      <c r="D1670" t="s">
        <v>291</v>
      </c>
      <c r="E1670" t="s">
        <v>292</v>
      </c>
      <c r="F1670" t="s">
        <v>244</v>
      </c>
      <c r="G1670" t="s">
        <v>82</v>
      </c>
      <c r="H1670" t="s">
        <v>83</v>
      </c>
      <c r="J1670" t="s">
        <v>194</v>
      </c>
      <c r="K1670" t="s">
        <v>250</v>
      </c>
      <c r="L1670">
        <v>385200000</v>
      </c>
      <c r="M1670" t="s">
        <v>245</v>
      </c>
      <c r="N1670" t="s">
        <v>900</v>
      </c>
    </row>
    <row r="1671" spans="1:16" hidden="1" x14ac:dyDescent="0.25">
      <c r="A1671" s="16">
        <v>45689</v>
      </c>
      <c r="B1671" t="s">
        <v>97</v>
      </c>
      <c r="C1671">
        <v>36</v>
      </c>
      <c r="D1671" t="s">
        <v>291</v>
      </c>
      <c r="E1671" t="s">
        <v>292</v>
      </c>
      <c r="F1671" t="s">
        <v>244</v>
      </c>
      <c r="G1671" t="s">
        <v>82</v>
      </c>
      <c r="H1671" t="s">
        <v>84</v>
      </c>
      <c r="J1671" t="s">
        <v>194</v>
      </c>
      <c r="K1671" t="s">
        <v>250</v>
      </c>
      <c r="L1671">
        <v>4760000</v>
      </c>
      <c r="M1671" t="s">
        <v>245</v>
      </c>
      <c r="N1671" t="s">
        <v>1458</v>
      </c>
    </row>
    <row r="1672" spans="1:16" hidden="1" x14ac:dyDescent="0.25">
      <c r="A1672" s="16">
        <v>45689</v>
      </c>
      <c r="B1672" t="s">
        <v>97</v>
      </c>
      <c r="C1672">
        <v>37</v>
      </c>
      <c r="D1672" t="s">
        <v>291</v>
      </c>
      <c r="E1672" t="s">
        <v>292</v>
      </c>
      <c r="F1672" t="s">
        <v>244</v>
      </c>
      <c r="G1672" t="s">
        <v>82</v>
      </c>
      <c r="H1672" t="s">
        <v>105</v>
      </c>
      <c r="I1672" t="s">
        <v>491</v>
      </c>
      <c r="J1672" t="s">
        <v>194</v>
      </c>
      <c r="K1672" t="s">
        <v>250</v>
      </c>
      <c r="L1672">
        <v>1.28</v>
      </c>
      <c r="M1672" t="s">
        <v>251</v>
      </c>
      <c r="N1672" t="s">
        <v>1459</v>
      </c>
    </row>
    <row r="1673" spans="1:16" hidden="1" x14ac:dyDescent="0.25">
      <c r="A1673" s="16">
        <v>45689</v>
      </c>
      <c r="B1673" t="s">
        <v>97</v>
      </c>
      <c r="C1673">
        <v>37</v>
      </c>
      <c r="D1673" t="s">
        <v>291</v>
      </c>
      <c r="E1673" t="s">
        <v>292</v>
      </c>
      <c r="F1673" t="s">
        <v>244</v>
      </c>
      <c r="G1673" t="s">
        <v>82</v>
      </c>
      <c r="H1673" t="s">
        <v>105</v>
      </c>
      <c r="I1673" t="s">
        <v>493</v>
      </c>
      <c r="J1673" t="s">
        <v>194</v>
      </c>
      <c r="K1673" t="s">
        <v>250</v>
      </c>
      <c r="L1673">
        <v>98.72</v>
      </c>
      <c r="M1673" t="s">
        <v>251</v>
      </c>
      <c r="N1673" t="s">
        <v>1460</v>
      </c>
    </row>
    <row r="1674" spans="1:16" hidden="1" x14ac:dyDescent="0.25">
      <c r="A1674" s="16">
        <v>45689</v>
      </c>
      <c r="B1674" t="s">
        <v>97</v>
      </c>
      <c r="C1674">
        <v>37</v>
      </c>
      <c r="D1674" t="s">
        <v>291</v>
      </c>
      <c r="E1674" t="s">
        <v>292</v>
      </c>
      <c r="F1674" t="s">
        <v>244</v>
      </c>
      <c r="G1674" t="s">
        <v>82</v>
      </c>
      <c r="H1674" t="s">
        <v>106</v>
      </c>
      <c r="I1674" t="s">
        <v>491</v>
      </c>
      <c r="J1674" t="s">
        <v>194</v>
      </c>
      <c r="K1674" t="s">
        <v>250</v>
      </c>
      <c r="L1674">
        <v>7.05</v>
      </c>
      <c r="M1674" t="s">
        <v>251</v>
      </c>
      <c r="N1674" t="s">
        <v>1461</v>
      </c>
    </row>
    <row r="1675" spans="1:16" hidden="1" x14ac:dyDescent="0.25">
      <c r="A1675" s="16">
        <v>45689</v>
      </c>
      <c r="B1675" t="s">
        <v>97</v>
      </c>
      <c r="C1675">
        <v>37</v>
      </c>
      <c r="D1675" t="s">
        <v>291</v>
      </c>
      <c r="E1675" t="s">
        <v>292</v>
      </c>
      <c r="F1675" t="s">
        <v>244</v>
      </c>
      <c r="G1675" t="s">
        <v>82</v>
      </c>
      <c r="H1675" t="s">
        <v>106</v>
      </c>
      <c r="I1675" t="s">
        <v>493</v>
      </c>
      <c r="J1675" t="s">
        <v>194</v>
      </c>
      <c r="K1675" t="s">
        <v>250</v>
      </c>
      <c r="L1675">
        <v>92.95</v>
      </c>
      <c r="M1675" t="s">
        <v>251</v>
      </c>
      <c r="N1675" t="s">
        <v>1462</v>
      </c>
    </row>
    <row r="1676" spans="1:16" hidden="1" x14ac:dyDescent="0.25">
      <c r="A1676" s="16">
        <v>45689</v>
      </c>
      <c r="B1676" t="s">
        <v>97</v>
      </c>
      <c r="C1676">
        <v>37</v>
      </c>
      <c r="D1676" t="s">
        <v>291</v>
      </c>
      <c r="E1676" t="s">
        <v>292</v>
      </c>
      <c r="F1676" t="s">
        <v>244</v>
      </c>
      <c r="G1676" t="s">
        <v>82</v>
      </c>
      <c r="H1676" t="s">
        <v>83</v>
      </c>
      <c r="I1676" t="s">
        <v>497</v>
      </c>
      <c r="J1676" t="s">
        <v>194</v>
      </c>
      <c r="K1676" t="s">
        <v>250</v>
      </c>
      <c r="L1676">
        <v>4.05</v>
      </c>
      <c r="M1676" t="s">
        <v>251</v>
      </c>
      <c r="N1676" t="s">
        <v>908</v>
      </c>
    </row>
    <row r="1677" spans="1:16" hidden="1" x14ac:dyDescent="0.25">
      <c r="A1677" s="16">
        <v>45689</v>
      </c>
      <c r="B1677" t="s">
        <v>97</v>
      </c>
      <c r="C1677">
        <v>37</v>
      </c>
      <c r="D1677" t="s">
        <v>291</v>
      </c>
      <c r="E1677" t="s">
        <v>292</v>
      </c>
      <c r="F1677" t="s">
        <v>244</v>
      </c>
      <c r="G1677" t="s">
        <v>82</v>
      </c>
      <c r="H1677" t="s">
        <v>83</v>
      </c>
      <c r="I1677" t="s">
        <v>499</v>
      </c>
      <c r="J1677" t="s">
        <v>194</v>
      </c>
      <c r="K1677" t="s">
        <v>250</v>
      </c>
      <c r="L1677">
        <v>0</v>
      </c>
      <c r="M1677" t="s">
        <v>251</v>
      </c>
      <c r="N1677" t="s">
        <v>1271</v>
      </c>
    </row>
    <row r="1678" spans="1:16" hidden="1" x14ac:dyDescent="0.25">
      <c r="A1678" s="16">
        <v>45689</v>
      </c>
      <c r="B1678" t="s">
        <v>97</v>
      </c>
      <c r="C1678">
        <v>37</v>
      </c>
      <c r="D1678" t="s">
        <v>291</v>
      </c>
      <c r="E1678" t="s">
        <v>292</v>
      </c>
      <c r="F1678" t="s">
        <v>244</v>
      </c>
      <c r="G1678" t="s">
        <v>82</v>
      </c>
      <c r="H1678" t="s">
        <v>83</v>
      </c>
      <c r="I1678" t="s">
        <v>501</v>
      </c>
      <c r="J1678" t="s">
        <v>194</v>
      </c>
      <c r="K1678" t="s">
        <v>250</v>
      </c>
      <c r="L1678">
        <v>2.56</v>
      </c>
      <c r="M1678" t="s">
        <v>251</v>
      </c>
      <c r="N1678" t="s">
        <v>1463</v>
      </c>
    </row>
    <row r="1679" spans="1:16" hidden="1" x14ac:dyDescent="0.25">
      <c r="A1679" s="16">
        <v>45689</v>
      </c>
      <c r="B1679" t="s">
        <v>97</v>
      </c>
      <c r="C1679">
        <v>37</v>
      </c>
      <c r="D1679" t="s">
        <v>291</v>
      </c>
      <c r="E1679" t="s">
        <v>292</v>
      </c>
      <c r="F1679" t="s">
        <v>244</v>
      </c>
      <c r="G1679" t="s">
        <v>82</v>
      </c>
      <c r="H1679" t="s">
        <v>83</v>
      </c>
      <c r="I1679" t="s">
        <v>503</v>
      </c>
      <c r="J1679" t="s">
        <v>194</v>
      </c>
      <c r="K1679" t="s">
        <v>250</v>
      </c>
      <c r="L1679">
        <v>3.51</v>
      </c>
      <c r="M1679" t="s">
        <v>251</v>
      </c>
      <c r="N1679" t="s">
        <v>1464</v>
      </c>
    </row>
    <row r="1680" spans="1:16" hidden="1" x14ac:dyDescent="0.25">
      <c r="A1680" s="16">
        <v>45689</v>
      </c>
      <c r="B1680" t="s">
        <v>97</v>
      </c>
      <c r="C1680">
        <v>37</v>
      </c>
      <c r="D1680" t="s">
        <v>291</v>
      </c>
      <c r="E1680" t="s">
        <v>292</v>
      </c>
      <c r="F1680" t="s">
        <v>244</v>
      </c>
      <c r="G1680" t="s">
        <v>82</v>
      </c>
      <c r="H1680" t="s">
        <v>83</v>
      </c>
      <c r="I1680" t="s">
        <v>315</v>
      </c>
      <c r="J1680" t="s">
        <v>194</v>
      </c>
      <c r="K1680" t="s">
        <v>250</v>
      </c>
      <c r="L1680">
        <v>74.17</v>
      </c>
      <c r="M1680" t="s">
        <v>251</v>
      </c>
      <c r="N1680" t="s">
        <v>1465</v>
      </c>
    </row>
    <row r="1681" spans="1:16" hidden="1" x14ac:dyDescent="0.25">
      <c r="A1681" s="16">
        <v>45689</v>
      </c>
      <c r="B1681" t="s">
        <v>97</v>
      </c>
      <c r="C1681">
        <v>37</v>
      </c>
      <c r="D1681" t="s">
        <v>291</v>
      </c>
      <c r="E1681" t="s">
        <v>292</v>
      </c>
      <c r="F1681" t="s">
        <v>244</v>
      </c>
      <c r="G1681" t="s">
        <v>82</v>
      </c>
      <c r="H1681" t="s">
        <v>83</v>
      </c>
      <c r="I1681" t="s">
        <v>317</v>
      </c>
      <c r="J1681" t="s">
        <v>194</v>
      </c>
      <c r="K1681" t="s">
        <v>250</v>
      </c>
      <c r="L1681">
        <v>15.71</v>
      </c>
      <c r="M1681" t="s">
        <v>251</v>
      </c>
      <c r="N1681" t="s">
        <v>1466</v>
      </c>
    </row>
    <row r="1682" spans="1:16" hidden="1" x14ac:dyDescent="0.25">
      <c r="A1682" s="16">
        <v>45689</v>
      </c>
      <c r="B1682" t="s">
        <v>97</v>
      </c>
      <c r="C1682">
        <v>37</v>
      </c>
      <c r="D1682" t="s">
        <v>291</v>
      </c>
      <c r="E1682" t="s">
        <v>292</v>
      </c>
      <c r="F1682" t="s">
        <v>244</v>
      </c>
      <c r="G1682" t="s">
        <v>82</v>
      </c>
      <c r="H1682" t="s">
        <v>84</v>
      </c>
      <c r="I1682" t="s">
        <v>84</v>
      </c>
      <c r="J1682" t="s">
        <v>194</v>
      </c>
      <c r="K1682" t="s">
        <v>250</v>
      </c>
      <c r="L1682">
        <v>82.88</v>
      </c>
      <c r="M1682" t="s">
        <v>251</v>
      </c>
      <c r="N1682" t="s">
        <v>1467</v>
      </c>
    </row>
    <row r="1683" spans="1:16" hidden="1" x14ac:dyDescent="0.25">
      <c r="A1683" s="16">
        <v>45689</v>
      </c>
      <c r="B1683" t="s">
        <v>97</v>
      </c>
      <c r="C1683">
        <v>37</v>
      </c>
      <c r="D1683" t="s">
        <v>291</v>
      </c>
      <c r="E1683" t="s">
        <v>292</v>
      </c>
      <c r="F1683" t="s">
        <v>244</v>
      </c>
      <c r="G1683" t="s">
        <v>82</v>
      </c>
      <c r="H1683" t="s">
        <v>84</v>
      </c>
      <c r="I1683" t="s">
        <v>321</v>
      </c>
      <c r="J1683" t="s">
        <v>194</v>
      </c>
      <c r="K1683" t="s">
        <v>250</v>
      </c>
      <c r="L1683">
        <v>17.12</v>
      </c>
      <c r="M1683" t="s">
        <v>251</v>
      </c>
      <c r="N1683" t="s">
        <v>1468</v>
      </c>
    </row>
    <row r="1684" spans="1:16" hidden="1" x14ac:dyDescent="0.25">
      <c r="A1684" s="16">
        <v>45689</v>
      </c>
      <c r="B1684" t="s">
        <v>97</v>
      </c>
      <c r="C1684">
        <v>38</v>
      </c>
      <c r="D1684" t="s">
        <v>253</v>
      </c>
      <c r="E1684" t="s">
        <v>248</v>
      </c>
      <c r="F1684" t="s">
        <v>334</v>
      </c>
      <c r="G1684" t="s">
        <v>82</v>
      </c>
      <c r="J1684" t="s">
        <v>192</v>
      </c>
      <c r="K1684" t="s">
        <v>255</v>
      </c>
      <c r="L1684">
        <v>79</v>
      </c>
      <c r="M1684" t="s">
        <v>245</v>
      </c>
      <c r="N1684" t="s">
        <v>1099</v>
      </c>
      <c r="O1684">
        <v>1</v>
      </c>
      <c r="P1684" t="s">
        <v>257</v>
      </c>
    </row>
    <row r="1685" spans="1:16" hidden="1" x14ac:dyDescent="0.25">
      <c r="A1685" s="16">
        <v>45689</v>
      </c>
      <c r="B1685" t="s">
        <v>97</v>
      </c>
      <c r="C1685">
        <v>38</v>
      </c>
      <c r="D1685" t="s">
        <v>253</v>
      </c>
      <c r="E1685" t="s">
        <v>248</v>
      </c>
      <c r="F1685" t="s">
        <v>334</v>
      </c>
      <c r="G1685" t="s">
        <v>82</v>
      </c>
      <c r="J1685" t="s">
        <v>193</v>
      </c>
      <c r="K1685" t="s">
        <v>255</v>
      </c>
      <c r="L1685">
        <v>73</v>
      </c>
      <c r="M1685" t="s">
        <v>245</v>
      </c>
      <c r="N1685" t="s">
        <v>1295</v>
      </c>
      <c r="O1685">
        <v>1</v>
      </c>
      <c r="P1685" t="s">
        <v>257</v>
      </c>
    </row>
    <row r="1686" spans="1:16" hidden="1" x14ac:dyDescent="0.25">
      <c r="A1686" s="16">
        <v>45689</v>
      </c>
      <c r="B1686" t="s">
        <v>97</v>
      </c>
      <c r="C1686">
        <v>38</v>
      </c>
      <c r="D1686" t="s">
        <v>253</v>
      </c>
      <c r="E1686" t="s">
        <v>248</v>
      </c>
      <c r="F1686" t="s">
        <v>334</v>
      </c>
      <c r="G1686" t="s">
        <v>82</v>
      </c>
      <c r="J1686" t="s">
        <v>194</v>
      </c>
      <c r="K1686" t="s">
        <v>255</v>
      </c>
      <c r="L1686">
        <v>73</v>
      </c>
      <c r="M1686" t="s">
        <v>245</v>
      </c>
      <c r="N1686" t="s">
        <v>1295</v>
      </c>
      <c r="O1686">
        <v>1</v>
      </c>
      <c r="P1686" t="s">
        <v>261</v>
      </c>
    </row>
    <row r="1687" spans="1:16" hidden="1" x14ac:dyDescent="0.25">
      <c r="A1687" s="16">
        <v>45689</v>
      </c>
      <c r="B1687" t="s">
        <v>97</v>
      </c>
      <c r="C1687">
        <v>39</v>
      </c>
      <c r="D1687" t="s">
        <v>291</v>
      </c>
      <c r="E1687" t="s">
        <v>292</v>
      </c>
      <c r="F1687" t="s">
        <v>240</v>
      </c>
      <c r="G1687" t="s">
        <v>82</v>
      </c>
      <c r="H1687" t="s">
        <v>94</v>
      </c>
      <c r="J1687" t="s">
        <v>194</v>
      </c>
      <c r="K1687" t="s">
        <v>250</v>
      </c>
      <c r="L1687">
        <v>1610000</v>
      </c>
      <c r="M1687" t="s">
        <v>242</v>
      </c>
      <c r="N1687" t="s">
        <v>949</v>
      </c>
    </row>
    <row r="1688" spans="1:16" hidden="1" x14ac:dyDescent="0.25">
      <c r="A1688" s="16">
        <v>45689</v>
      </c>
      <c r="B1688" t="s">
        <v>97</v>
      </c>
      <c r="C1688">
        <v>39</v>
      </c>
      <c r="D1688" t="s">
        <v>291</v>
      </c>
      <c r="E1688" t="s">
        <v>292</v>
      </c>
      <c r="F1688" t="s">
        <v>240</v>
      </c>
      <c r="G1688" t="s">
        <v>82</v>
      </c>
      <c r="H1688" t="s">
        <v>95</v>
      </c>
      <c r="J1688" t="s">
        <v>194</v>
      </c>
      <c r="K1688" t="s">
        <v>250</v>
      </c>
      <c r="L1688">
        <v>2000000</v>
      </c>
      <c r="M1688" t="s">
        <v>242</v>
      </c>
      <c r="N1688" t="s">
        <v>1469</v>
      </c>
    </row>
    <row r="1689" spans="1:16" hidden="1" x14ac:dyDescent="0.25">
      <c r="A1689" s="16">
        <v>45689</v>
      </c>
      <c r="B1689" t="s">
        <v>97</v>
      </c>
      <c r="C1689">
        <v>40</v>
      </c>
      <c r="D1689" t="s">
        <v>291</v>
      </c>
      <c r="E1689" t="s">
        <v>292</v>
      </c>
      <c r="F1689" t="s">
        <v>244</v>
      </c>
      <c r="G1689" t="s">
        <v>82</v>
      </c>
      <c r="H1689" t="s">
        <v>94</v>
      </c>
      <c r="J1689" t="s">
        <v>194</v>
      </c>
      <c r="K1689" t="s">
        <v>250</v>
      </c>
      <c r="L1689">
        <v>80050000</v>
      </c>
      <c r="M1689" t="s">
        <v>245</v>
      </c>
      <c r="N1689" t="s">
        <v>1470</v>
      </c>
    </row>
    <row r="1690" spans="1:16" hidden="1" x14ac:dyDescent="0.25">
      <c r="A1690" s="16">
        <v>45689</v>
      </c>
      <c r="B1690" t="s">
        <v>97</v>
      </c>
      <c r="C1690">
        <v>40</v>
      </c>
      <c r="D1690" t="s">
        <v>291</v>
      </c>
      <c r="E1690" t="s">
        <v>292</v>
      </c>
      <c r="F1690" t="s">
        <v>244</v>
      </c>
      <c r="G1690" t="s">
        <v>82</v>
      </c>
      <c r="H1690" t="s">
        <v>95</v>
      </c>
      <c r="J1690" t="s">
        <v>194</v>
      </c>
      <c r="K1690" t="s">
        <v>250</v>
      </c>
      <c r="L1690">
        <v>93430000</v>
      </c>
      <c r="M1690" t="s">
        <v>245</v>
      </c>
      <c r="N1690" t="s">
        <v>1471</v>
      </c>
    </row>
    <row r="1691" spans="1:16" hidden="1" x14ac:dyDescent="0.25">
      <c r="A1691" s="16">
        <v>45689</v>
      </c>
      <c r="B1691" t="s">
        <v>535</v>
      </c>
      <c r="C1691">
        <v>4</v>
      </c>
      <c r="D1691" t="s">
        <v>238</v>
      </c>
      <c r="E1691" t="s">
        <v>239</v>
      </c>
      <c r="F1691" t="s">
        <v>240</v>
      </c>
      <c r="G1691" t="s">
        <v>82</v>
      </c>
      <c r="J1691" t="s">
        <v>194</v>
      </c>
      <c r="K1691" t="s">
        <v>250</v>
      </c>
      <c r="L1691">
        <v>9900000</v>
      </c>
      <c r="M1691" t="s">
        <v>242</v>
      </c>
      <c r="N1691" t="s">
        <v>1472</v>
      </c>
    </row>
    <row r="1692" spans="1:16" hidden="1" x14ac:dyDescent="0.25">
      <c r="A1692" s="16">
        <v>45689</v>
      </c>
      <c r="B1692" t="s">
        <v>535</v>
      </c>
      <c r="C1692">
        <v>4</v>
      </c>
      <c r="D1692" t="s">
        <v>238</v>
      </c>
      <c r="E1692" t="s">
        <v>239</v>
      </c>
      <c r="F1692" t="s">
        <v>285</v>
      </c>
      <c r="G1692" t="s">
        <v>63</v>
      </c>
      <c r="J1692" t="s">
        <v>194</v>
      </c>
      <c r="K1692" t="s">
        <v>250</v>
      </c>
      <c r="L1692">
        <v>1740000</v>
      </c>
      <c r="M1692" t="s">
        <v>242</v>
      </c>
      <c r="N1692" t="s">
        <v>1473</v>
      </c>
    </row>
    <row r="1693" spans="1:16" hidden="1" x14ac:dyDescent="0.25">
      <c r="A1693" s="16">
        <v>45689</v>
      </c>
      <c r="B1693" t="s">
        <v>535</v>
      </c>
      <c r="C1693">
        <v>4</v>
      </c>
      <c r="D1693" t="s">
        <v>238</v>
      </c>
      <c r="E1693" t="s">
        <v>239</v>
      </c>
      <c r="F1693" t="s">
        <v>244</v>
      </c>
      <c r="G1693" t="s">
        <v>82</v>
      </c>
      <c r="J1693" t="s">
        <v>194</v>
      </c>
      <c r="K1693" t="s">
        <v>250</v>
      </c>
      <c r="L1693">
        <v>1280000000</v>
      </c>
      <c r="M1693" t="s">
        <v>245</v>
      </c>
      <c r="N1693" t="s">
        <v>1390</v>
      </c>
    </row>
    <row r="1694" spans="1:16" hidden="1" x14ac:dyDescent="0.25">
      <c r="A1694" s="16">
        <v>45689</v>
      </c>
      <c r="B1694" t="s">
        <v>535</v>
      </c>
      <c r="C1694">
        <v>5</v>
      </c>
      <c r="D1694" t="s">
        <v>238</v>
      </c>
      <c r="E1694" t="s">
        <v>239</v>
      </c>
      <c r="F1694" t="s">
        <v>240</v>
      </c>
      <c r="G1694" t="s">
        <v>82</v>
      </c>
      <c r="J1694" t="s">
        <v>194</v>
      </c>
      <c r="K1694" t="s">
        <v>250</v>
      </c>
      <c r="L1694">
        <v>5890000</v>
      </c>
      <c r="M1694" t="s">
        <v>242</v>
      </c>
      <c r="N1694" t="s">
        <v>1165</v>
      </c>
    </row>
    <row r="1695" spans="1:16" hidden="1" x14ac:dyDescent="0.25">
      <c r="A1695" s="16">
        <v>45689</v>
      </c>
      <c r="B1695" t="s">
        <v>535</v>
      </c>
      <c r="C1695">
        <v>5</v>
      </c>
      <c r="D1695" t="s">
        <v>238</v>
      </c>
      <c r="E1695" t="s">
        <v>239</v>
      </c>
      <c r="F1695" t="s">
        <v>285</v>
      </c>
      <c r="G1695" t="s">
        <v>63</v>
      </c>
      <c r="J1695" t="s">
        <v>194</v>
      </c>
      <c r="K1695" t="s">
        <v>250</v>
      </c>
      <c r="L1695">
        <v>2580000</v>
      </c>
      <c r="M1695" t="s">
        <v>242</v>
      </c>
      <c r="N1695" t="s">
        <v>1474</v>
      </c>
    </row>
    <row r="1696" spans="1:16" hidden="1" x14ac:dyDescent="0.25">
      <c r="A1696" s="16">
        <v>45689</v>
      </c>
      <c r="B1696" t="s">
        <v>535</v>
      </c>
      <c r="C1696">
        <v>5</v>
      </c>
      <c r="D1696" t="s">
        <v>238</v>
      </c>
      <c r="E1696" t="s">
        <v>239</v>
      </c>
      <c r="F1696" t="s">
        <v>244</v>
      </c>
      <c r="G1696" t="s">
        <v>82</v>
      </c>
      <c r="J1696" t="s">
        <v>194</v>
      </c>
      <c r="K1696" t="s">
        <v>250</v>
      </c>
      <c r="L1696">
        <v>431000000</v>
      </c>
      <c r="M1696" t="s">
        <v>245</v>
      </c>
      <c r="N1696" t="s">
        <v>1475</v>
      </c>
    </row>
    <row r="1697" spans="1:17" hidden="1" x14ac:dyDescent="0.25">
      <c r="A1697" s="16">
        <v>45689</v>
      </c>
      <c r="B1697" t="s">
        <v>535</v>
      </c>
      <c r="C1697">
        <v>6</v>
      </c>
      <c r="D1697" t="s">
        <v>238</v>
      </c>
      <c r="E1697" t="s">
        <v>239</v>
      </c>
      <c r="F1697" t="s">
        <v>378</v>
      </c>
      <c r="G1697" t="s">
        <v>379</v>
      </c>
      <c r="J1697" t="s">
        <v>194</v>
      </c>
      <c r="K1697" t="s">
        <v>250</v>
      </c>
      <c r="L1697">
        <v>599</v>
      </c>
      <c r="M1697" t="s">
        <v>242</v>
      </c>
      <c r="N1697" t="s">
        <v>1359</v>
      </c>
    </row>
    <row r="1698" spans="1:17" hidden="1" x14ac:dyDescent="0.25">
      <c r="A1698" s="16">
        <v>45689</v>
      </c>
      <c r="B1698" t="s">
        <v>535</v>
      </c>
      <c r="C1698">
        <v>6</v>
      </c>
      <c r="D1698" t="s">
        <v>238</v>
      </c>
      <c r="E1698" t="s">
        <v>239</v>
      </c>
      <c r="F1698" t="s">
        <v>381</v>
      </c>
      <c r="G1698" t="s">
        <v>382</v>
      </c>
      <c r="J1698" t="s">
        <v>194</v>
      </c>
      <c r="K1698" t="s">
        <v>250</v>
      </c>
      <c r="L1698">
        <v>2078</v>
      </c>
      <c r="M1698" t="s">
        <v>242</v>
      </c>
      <c r="N1698" t="s">
        <v>1360</v>
      </c>
    </row>
    <row r="1699" spans="1:17" hidden="1" x14ac:dyDescent="0.25">
      <c r="A1699" s="16">
        <v>45689</v>
      </c>
      <c r="B1699" t="s">
        <v>535</v>
      </c>
      <c r="C1699">
        <v>6</v>
      </c>
      <c r="D1699" t="s">
        <v>238</v>
      </c>
      <c r="E1699" t="s">
        <v>239</v>
      </c>
      <c r="F1699" t="s">
        <v>240</v>
      </c>
      <c r="G1699" t="s">
        <v>82</v>
      </c>
      <c r="J1699" t="s">
        <v>194</v>
      </c>
      <c r="K1699" t="s">
        <v>250</v>
      </c>
      <c r="L1699">
        <v>5700000</v>
      </c>
      <c r="M1699" t="s">
        <v>242</v>
      </c>
      <c r="N1699" t="s">
        <v>1476</v>
      </c>
    </row>
    <row r="1700" spans="1:17" hidden="1" x14ac:dyDescent="0.25">
      <c r="A1700" s="16">
        <v>45689</v>
      </c>
      <c r="B1700" t="s">
        <v>535</v>
      </c>
      <c r="C1700">
        <v>6</v>
      </c>
      <c r="D1700" t="s">
        <v>238</v>
      </c>
      <c r="E1700" t="s">
        <v>239</v>
      </c>
      <c r="F1700" t="s">
        <v>285</v>
      </c>
      <c r="G1700" t="s">
        <v>63</v>
      </c>
      <c r="J1700" t="s">
        <v>194</v>
      </c>
      <c r="K1700" t="s">
        <v>250</v>
      </c>
      <c r="L1700">
        <v>4620000</v>
      </c>
      <c r="M1700" t="s">
        <v>242</v>
      </c>
      <c r="N1700" t="s">
        <v>1358</v>
      </c>
    </row>
    <row r="1701" spans="1:17" hidden="1" x14ac:dyDescent="0.25">
      <c r="A1701" s="16">
        <v>45689</v>
      </c>
      <c r="B1701" t="s">
        <v>535</v>
      </c>
      <c r="C1701">
        <v>6</v>
      </c>
      <c r="D1701" t="s">
        <v>238</v>
      </c>
      <c r="E1701" t="s">
        <v>239</v>
      </c>
      <c r="F1701" t="s">
        <v>244</v>
      </c>
      <c r="G1701" t="s">
        <v>82</v>
      </c>
      <c r="J1701" t="s">
        <v>194</v>
      </c>
      <c r="K1701" t="s">
        <v>250</v>
      </c>
      <c r="L1701">
        <v>1190000000</v>
      </c>
      <c r="M1701" t="s">
        <v>245</v>
      </c>
      <c r="N1701" t="s">
        <v>1477</v>
      </c>
    </row>
    <row r="1702" spans="1:17" hidden="1" x14ac:dyDescent="0.25">
      <c r="A1702" s="16">
        <v>45689</v>
      </c>
      <c r="B1702" t="s">
        <v>535</v>
      </c>
      <c r="C1702">
        <v>7</v>
      </c>
      <c r="D1702" t="s">
        <v>238</v>
      </c>
      <c r="E1702" t="s">
        <v>239</v>
      </c>
      <c r="F1702" t="s">
        <v>544</v>
      </c>
      <c r="G1702" t="s">
        <v>82</v>
      </c>
      <c r="J1702" t="s">
        <v>194</v>
      </c>
      <c r="K1702" t="s">
        <v>250</v>
      </c>
      <c r="L1702">
        <v>982000</v>
      </c>
      <c r="M1702" t="s">
        <v>242</v>
      </c>
      <c r="N1702" t="s">
        <v>1478</v>
      </c>
    </row>
    <row r="1703" spans="1:17" hidden="1" x14ac:dyDescent="0.25">
      <c r="A1703" s="16">
        <v>45689</v>
      </c>
      <c r="B1703" t="s">
        <v>535</v>
      </c>
      <c r="C1703">
        <v>7</v>
      </c>
      <c r="D1703" t="s">
        <v>238</v>
      </c>
      <c r="E1703" t="s">
        <v>239</v>
      </c>
      <c r="F1703" t="s">
        <v>240</v>
      </c>
      <c r="G1703" t="s">
        <v>82</v>
      </c>
      <c r="J1703" t="s">
        <v>194</v>
      </c>
      <c r="K1703" t="s">
        <v>250</v>
      </c>
      <c r="L1703">
        <v>988000</v>
      </c>
      <c r="M1703" t="s">
        <v>242</v>
      </c>
      <c r="N1703" t="s">
        <v>1479</v>
      </c>
    </row>
    <row r="1704" spans="1:17" hidden="1" x14ac:dyDescent="0.25">
      <c r="A1704" s="16">
        <v>45689</v>
      </c>
      <c r="B1704" t="s">
        <v>535</v>
      </c>
      <c r="C1704">
        <v>7</v>
      </c>
      <c r="D1704" t="s">
        <v>238</v>
      </c>
      <c r="E1704" t="s">
        <v>239</v>
      </c>
      <c r="F1704" t="s">
        <v>929</v>
      </c>
      <c r="G1704" t="s">
        <v>82</v>
      </c>
      <c r="J1704" t="s">
        <v>194</v>
      </c>
      <c r="K1704" t="s">
        <v>250</v>
      </c>
      <c r="L1704">
        <v>783000000</v>
      </c>
      <c r="M1704" t="s">
        <v>245</v>
      </c>
      <c r="N1704" t="s">
        <v>1480</v>
      </c>
    </row>
    <row r="1705" spans="1:17" hidden="1" x14ac:dyDescent="0.25">
      <c r="A1705" s="16">
        <v>45689</v>
      </c>
      <c r="B1705" t="s">
        <v>535</v>
      </c>
      <c r="C1705">
        <v>8</v>
      </c>
      <c r="D1705" t="s">
        <v>238</v>
      </c>
      <c r="E1705" t="s">
        <v>239</v>
      </c>
      <c r="F1705" t="s">
        <v>548</v>
      </c>
      <c r="G1705" t="s">
        <v>158</v>
      </c>
      <c r="J1705" t="s">
        <v>194</v>
      </c>
      <c r="K1705" t="s">
        <v>250</v>
      </c>
      <c r="L1705">
        <v>464000</v>
      </c>
      <c r="M1705" t="s">
        <v>242</v>
      </c>
      <c r="N1705" t="s">
        <v>1481</v>
      </c>
    </row>
    <row r="1706" spans="1:17" hidden="1" x14ac:dyDescent="0.25">
      <c r="A1706" s="16">
        <v>45689</v>
      </c>
      <c r="B1706" t="s">
        <v>535</v>
      </c>
      <c r="C1706">
        <v>8</v>
      </c>
      <c r="D1706" t="s">
        <v>238</v>
      </c>
      <c r="E1706" t="s">
        <v>239</v>
      </c>
      <c r="F1706" t="s">
        <v>349</v>
      </c>
      <c r="G1706" t="s">
        <v>158</v>
      </c>
      <c r="J1706" t="s">
        <v>194</v>
      </c>
      <c r="K1706" t="s">
        <v>250</v>
      </c>
      <c r="L1706">
        <v>14400</v>
      </c>
      <c r="M1706" t="s">
        <v>242</v>
      </c>
      <c r="N1706" t="s">
        <v>1482</v>
      </c>
    </row>
    <row r="1707" spans="1:17" hidden="1" x14ac:dyDescent="0.25">
      <c r="A1707" s="16">
        <v>45689</v>
      </c>
      <c r="B1707" t="s">
        <v>535</v>
      </c>
      <c r="C1707">
        <v>8</v>
      </c>
      <c r="D1707" t="s">
        <v>238</v>
      </c>
      <c r="E1707" t="s">
        <v>239</v>
      </c>
      <c r="F1707" t="s">
        <v>551</v>
      </c>
      <c r="G1707" t="s">
        <v>158</v>
      </c>
      <c r="J1707" t="s">
        <v>194</v>
      </c>
      <c r="K1707" t="s">
        <v>250</v>
      </c>
      <c r="L1707">
        <v>3200000000</v>
      </c>
      <c r="M1707" t="s">
        <v>245</v>
      </c>
      <c r="N1707" t="s">
        <v>1483</v>
      </c>
    </row>
    <row r="1708" spans="1:17" hidden="1" x14ac:dyDescent="0.25">
      <c r="A1708" s="16">
        <v>45689</v>
      </c>
      <c r="B1708" t="s">
        <v>535</v>
      </c>
      <c r="C1708">
        <v>8</v>
      </c>
      <c r="D1708" t="s">
        <v>238</v>
      </c>
      <c r="E1708" t="s">
        <v>239</v>
      </c>
      <c r="F1708" t="s">
        <v>361</v>
      </c>
      <c r="G1708" t="s">
        <v>158</v>
      </c>
      <c r="J1708" t="s">
        <v>194</v>
      </c>
      <c r="K1708" t="s">
        <v>250</v>
      </c>
      <c r="L1708">
        <v>82000000</v>
      </c>
      <c r="M1708" t="s">
        <v>245</v>
      </c>
      <c r="N1708" t="s">
        <v>1484</v>
      </c>
    </row>
    <row r="1709" spans="1:17" hidden="1" x14ac:dyDescent="0.25">
      <c r="A1709" s="16">
        <v>45717</v>
      </c>
      <c r="B1709" t="s">
        <v>142</v>
      </c>
      <c r="C1709">
        <v>72</v>
      </c>
      <c r="D1709" t="s">
        <v>238</v>
      </c>
      <c r="E1709" t="s">
        <v>239</v>
      </c>
      <c r="F1709" t="s">
        <v>240</v>
      </c>
      <c r="G1709" t="s">
        <v>82</v>
      </c>
      <c r="J1709" t="s">
        <v>195</v>
      </c>
      <c r="K1709" t="s">
        <v>241</v>
      </c>
      <c r="L1709">
        <v>2980000</v>
      </c>
      <c r="M1709" t="s">
        <v>242</v>
      </c>
      <c r="N1709" t="s">
        <v>1485</v>
      </c>
    </row>
    <row r="1710" spans="1:17" hidden="1" x14ac:dyDescent="0.25">
      <c r="A1710" s="16">
        <v>45717</v>
      </c>
      <c r="B1710" t="s">
        <v>142</v>
      </c>
      <c r="C1710">
        <v>72</v>
      </c>
      <c r="D1710" t="s">
        <v>238</v>
      </c>
      <c r="E1710" t="s">
        <v>239</v>
      </c>
      <c r="F1710" t="s">
        <v>244</v>
      </c>
      <c r="G1710" t="s">
        <v>82</v>
      </c>
      <c r="J1710" t="s">
        <v>195</v>
      </c>
      <c r="K1710" t="s">
        <v>241</v>
      </c>
      <c r="L1710">
        <v>2410000000</v>
      </c>
      <c r="M1710" t="s">
        <v>245</v>
      </c>
      <c r="N1710" t="s">
        <v>1486</v>
      </c>
    </row>
    <row r="1711" spans="1:17" hidden="1" x14ac:dyDescent="0.25">
      <c r="A1711" s="16">
        <v>45717</v>
      </c>
      <c r="B1711" t="s">
        <v>142</v>
      </c>
      <c r="C1711">
        <v>74</v>
      </c>
      <c r="D1711" t="s">
        <v>253</v>
      </c>
      <c r="E1711" t="s">
        <v>248</v>
      </c>
      <c r="F1711" t="s">
        <v>240</v>
      </c>
      <c r="G1711" t="s">
        <v>82</v>
      </c>
      <c r="J1711" t="s">
        <v>193</v>
      </c>
      <c r="K1711" t="s">
        <v>255</v>
      </c>
      <c r="L1711">
        <v>1060000</v>
      </c>
      <c r="M1711" t="s">
        <v>242</v>
      </c>
      <c r="N1711" t="s">
        <v>560</v>
      </c>
      <c r="O1711">
        <v>1</v>
      </c>
      <c r="P1711" t="s">
        <v>257</v>
      </c>
      <c r="Q1711" t="s">
        <v>1487</v>
      </c>
    </row>
    <row r="1712" spans="1:17" hidden="1" x14ac:dyDescent="0.25">
      <c r="A1712" s="16">
        <v>45717</v>
      </c>
      <c r="B1712" t="s">
        <v>142</v>
      </c>
      <c r="C1712">
        <v>74</v>
      </c>
      <c r="D1712" t="s">
        <v>253</v>
      </c>
      <c r="E1712" t="s">
        <v>248</v>
      </c>
      <c r="F1712" t="s">
        <v>240</v>
      </c>
      <c r="G1712" t="s">
        <v>82</v>
      </c>
      <c r="J1712" t="s">
        <v>194</v>
      </c>
      <c r="K1712" t="s">
        <v>255</v>
      </c>
      <c r="L1712">
        <v>940000</v>
      </c>
      <c r="M1712" t="s">
        <v>242</v>
      </c>
      <c r="N1712" t="s">
        <v>1119</v>
      </c>
      <c r="O1712">
        <v>1</v>
      </c>
      <c r="P1712" t="s">
        <v>257</v>
      </c>
      <c r="Q1712" t="s">
        <v>1488</v>
      </c>
    </row>
    <row r="1713" spans="1:16" hidden="1" x14ac:dyDescent="0.25">
      <c r="A1713" s="16">
        <v>45717</v>
      </c>
      <c r="B1713" t="s">
        <v>142</v>
      </c>
      <c r="C1713">
        <v>74</v>
      </c>
      <c r="D1713" t="s">
        <v>253</v>
      </c>
      <c r="E1713" t="s">
        <v>248</v>
      </c>
      <c r="F1713" t="s">
        <v>240</v>
      </c>
      <c r="G1713" t="s">
        <v>82</v>
      </c>
      <c r="J1713" t="s">
        <v>195</v>
      </c>
      <c r="K1713" t="s">
        <v>255</v>
      </c>
      <c r="L1713">
        <v>980000</v>
      </c>
      <c r="M1713" t="s">
        <v>242</v>
      </c>
      <c r="N1713" t="s">
        <v>1309</v>
      </c>
      <c r="O1713">
        <v>1</v>
      </c>
      <c r="P1713" t="s">
        <v>261</v>
      </c>
    </row>
    <row r="1714" spans="1:16" hidden="1" x14ac:dyDescent="0.25">
      <c r="A1714" s="16">
        <v>45717</v>
      </c>
      <c r="B1714" t="s">
        <v>142</v>
      </c>
      <c r="C1714">
        <v>74</v>
      </c>
      <c r="D1714" t="s">
        <v>247</v>
      </c>
      <c r="E1714" t="s">
        <v>248</v>
      </c>
      <c r="F1714" t="s">
        <v>240</v>
      </c>
      <c r="G1714" t="s">
        <v>82</v>
      </c>
      <c r="H1714" t="s">
        <v>286</v>
      </c>
      <c r="J1714" t="s">
        <v>195</v>
      </c>
      <c r="K1714" t="s">
        <v>250</v>
      </c>
      <c r="L1714">
        <v>7.8</v>
      </c>
      <c r="M1714" t="s">
        <v>251</v>
      </c>
      <c r="N1714" t="s">
        <v>1489</v>
      </c>
    </row>
    <row r="1715" spans="1:16" hidden="1" x14ac:dyDescent="0.25">
      <c r="A1715" s="16">
        <v>45717</v>
      </c>
      <c r="B1715" t="s">
        <v>142</v>
      </c>
      <c r="C1715">
        <v>75</v>
      </c>
      <c r="D1715" t="s">
        <v>253</v>
      </c>
      <c r="E1715" t="s">
        <v>248</v>
      </c>
      <c r="F1715" t="s">
        <v>240</v>
      </c>
      <c r="G1715" t="s">
        <v>82</v>
      </c>
      <c r="H1715" t="s">
        <v>150</v>
      </c>
      <c r="J1715" t="s">
        <v>193</v>
      </c>
      <c r="K1715" t="s">
        <v>255</v>
      </c>
      <c r="L1715">
        <v>372</v>
      </c>
      <c r="M1715" t="s">
        <v>242</v>
      </c>
      <c r="N1715" t="s">
        <v>1121</v>
      </c>
      <c r="O1715">
        <v>1</v>
      </c>
      <c r="P1715" t="s">
        <v>257</v>
      </c>
    </row>
    <row r="1716" spans="1:16" hidden="1" x14ac:dyDescent="0.25">
      <c r="A1716" s="16">
        <v>45717</v>
      </c>
      <c r="B1716" t="s">
        <v>142</v>
      </c>
      <c r="C1716">
        <v>75</v>
      </c>
      <c r="D1716" t="s">
        <v>253</v>
      </c>
      <c r="E1716" t="s">
        <v>248</v>
      </c>
      <c r="F1716" t="s">
        <v>240</v>
      </c>
      <c r="G1716" t="s">
        <v>82</v>
      </c>
      <c r="H1716" t="s">
        <v>150</v>
      </c>
      <c r="J1716" t="s">
        <v>194</v>
      </c>
      <c r="K1716" t="s">
        <v>255</v>
      </c>
      <c r="L1716">
        <v>304</v>
      </c>
      <c r="M1716" t="s">
        <v>242</v>
      </c>
      <c r="N1716" t="s">
        <v>264</v>
      </c>
      <c r="O1716">
        <v>1</v>
      </c>
      <c r="P1716" t="s">
        <v>257</v>
      </c>
    </row>
    <row r="1717" spans="1:16" hidden="1" x14ac:dyDescent="0.25">
      <c r="A1717" s="16">
        <v>45717</v>
      </c>
      <c r="B1717" t="s">
        <v>142</v>
      </c>
      <c r="C1717">
        <v>75</v>
      </c>
      <c r="D1717" t="s">
        <v>253</v>
      </c>
      <c r="E1717" t="s">
        <v>248</v>
      </c>
      <c r="F1717" t="s">
        <v>240</v>
      </c>
      <c r="G1717" t="s">
        <v>82</v>
      </c>
      <c r="H1717" t="s">
        <v>150</v>
      </c>
      <c r="J1717" t="s">
        <v>195</v>
      </c>
      <c r="K1717" t="s">
        <v>255</v>
      </c>
      <c r="L1717">
        <v>327</v>
      </c>
      <c r="M1717" t="s">
        <v>242</v>
      </c>
      <c r="N1717" t="s">
        <v>1490</v>
      </c>
      <c r="O1717">
        <v>1</v>
      </c>
      <c r="P1717" t="s">
        <v>261</v>
      </c>
    </row>
    <row r="1718" spans="1:16" hidden="1" x14ac:dyDescent="0.25">
      <c r="A1718" s="16">
        <v>45717</v>
      </c>
      <c r="B1718" t="s">
        <v>142</v>
      </c>
      <c r="C1718">
        <v>75</v>
      </c>
      <c r="D1718" t="s">
        <v>253</v>
      </c>
      <c r="E1718" t="s">
        <v>248</v>
      </c>
      <c r="F1718" t="s">
        <v>240</v>
      </c>
      <c r="G1718" t="s">
        <v>82</v>
      </c>
      <c r="H1718" t="s">
        <v>151</v>
      </c>
      <c r="J1718" t="s">
        <v>193</v>
      </c>
      <c r="K1718" t="s">
        <v>255</v>
      </c>
      <c r="L1718">
        <v>35</v>
      </c>
      <c r="M1718" t="s">
        <v>242</v>
      </c>
      <c r="N1718" t="s">
        <v>1122</v>
      </c>
      <c r="O1718">
        <v>1</v>
      </c>
      <c r="P1718" t="s">
        <v>257</v>
      </c>
    </row>
    <row r="1719" spans="1:16" hidden="1" x14ac:dyDescent="0.25">
      <c r="A1719" s="16">
        <v>45717</v>
      </c>
      <c r="B1719" t="s">
        <v>142</v>
      </c>
      <c r="C1719">
        <v>75</v>
      </c>
      <c r="D1719" t="s">
        <v>253</v>
      </c>
      <c r="E1719" t="s">
        <v>248</v>
      </c>
      <c r="F1719" t="s">
        <v>240</v>
      </c>
      <c r="G1719" t="s">
        <v>82</v>
      </c>
      <c r="H1719" t="s">
        <v>151</v>
      </c>
      <c r="J1719" t="s">
        <v>194</v>
      </c>
      <c r="K1719" t="s">
        <v>255</v>
      </c>
      <c r="L1719">
        <v>37</v>
      </c>
      <c r="M1719" t="s">
        <v>242</v>
      </c>
      <c r="N1719" t="s">
        <v>1310</v>
      </c>
      <c r="O1719">
        <v>1</v>
      </c>
      <c r="P1719" t="s">
        <v>257</v>
      </c>
    </row>
    <row r="1720" spans="1:16" hidden="1" x14ac:dyDescent="0.25">
      <c r="A1720" s="16">
        <v>45717</v>
      </c>
      <c r="B1720" t="s">
        <v>142</v>
      </c>
      <c r="C1720">
        <v>75</v>
      </c>
      <c r="D1720" t="s">
        <v>253</v>
      </c>
      <c r="E1720" t="s">
        <v>248</v>
      </c>
      <c r="F1720" t="s">
        <v>240</v>
      </c>
      <c r="G1720" t="s">
        <v>82</v>
      </c>
      <c r="H1720" t="s">
        <v>151</v>
      </c>
      <c r="J1720" t="s">
        <v>195</v>
      </c>
      <c r="K1720" t="s">
        <v>255</v>
      </c>
      <c r="L1720">
        <v>35</v>
      </c>
      <c r="M1720" t="s">
        <v>242</v>
      </c>
      <c r="N1720" t="s">
        <v>1122</v>
      </c>
      <c r="O1720">
        <v>1</v>
      </c>
      <c r="P1720" t="s">
        <v>261</v>
      </c>
    </row>
    <row r="1721" spans="1:16" hidden="1" x14ac:dyDescent="0.25">
      <c r="A1721" s="16">
        <v>45717</v>
      </c>
      <c r="B1721" t="s">
        <v>142</v>
      </c>
      <c r="C1721">
        <v>75</v>
      </c>
      <c r="D1721" t="s">
        <v>253</v>
      </c>
      <c r="E1721" t="s">
        <v>248</v>
      </c>
      <c r="F1721" t="s">
        <v>240</v>
      </c>
      <c r="G1721" t="s">
        <v>82</v>
      </c>
      <c r="H1721" t="s">
        <v>149</v>
      </c>
      <c r="J1721" t="s">
        <v>193</v>
      </c>
      <c r="K1721" t="s">
        <v>255</v>
      </c>
      <c r="L1721">
        <v>5986</v>
      </c>
      <c r="M1721" t="s">
        <v>242</v>
      </c>
      <c r="N1721" t="s">
        <v>1123</v>
      </c>
      <c r="O1721">
        <v>1</v>
      </c>
      <c r="P1721" t="s">
        <v>257</v>
      </c>
    </row>
    <row r="1722" spans="1:16" hidden="1" x14ac:dyDescent="0.25">
      <c r="A1722" s="16">
        <v>45717</v>
      </c>
      <c r="B1722" t="s">
        <v>142</v>
      </c>
      <c r="C1722">
        <v>75</v>
      </c>
      <c r="D1722" t="s">
        <v>253</v>
      </c>
      <c r="E1722" t="s">
        <v>248</v>
      </c>
      <c r="F1722" t="s">
        <v>240</v>
      </c>
      <c r="G1722" t="s">
        <v>82</v>
      </c>
      <c r="H1722" t="s">
        <v>149</v>
      </c>
      <c r="J1722" t="s">
        <v>194</v>
      </c>
      <c r="K1722" t="s">
        <v>255</v>
      </c>
      <c r="L1722">
        <v>5710</v>
      </c>
      <c r="M1722" t="s">
        <v>242</v>
      </c>
      <c r="N1722" t="s">
        <v>1311</v>
      </c>
      <c r="O1722">
        <v>1</v>
      </c>
      <c r="P1722" t="s">
        <v>257</v>
      </c>
    </row>
    <row r="1723" spans="1:16" hidden="1" x14ac:dyDescent="0.25">
      <c r="A1723" s="16">
        <v>45717</v>
      </c>
      <c r="B1723" t="s">
        <v>142</v>
      </c>
      <c r="C1723">
        <v>75</v>
      </c>
      <c r="D1723" t="s">
        <v>253</v>
      </c>
      <c r="E1723" t="s">
        <v>248</v>
      </c>
      <c r="F1723" t="s">
        <v>240</v>
      </c>
      <c r="G1723" t="s">
        <v>82</v>
      </c>
      <c r="H1723" t="s">
        <v>149</v>
      </c>
      <c r="J1723" t="s">
        <v>195</v>
      </c>
      <c r="K1723" t="s">
        <v>255</v>
      </c>
      <c r="L1723">
        <v>5222</v>
      </c>
      <c r="M1723" t="s">
        <v>242</v>
      </c>
      <c r="N1723" t="s">
        <v>1491</v>
      </c>
      <c r="O1723">
        <v>1</v>
      </c>
      <c r="P1723" t="s">
        <v>261</v>
      </c>
    </row>
    <row r="1724" spans="1:16" hidden="1" x14ac:dyDescent="0.25">
      <c r="A1724" s="16">
        <v>45717</v>
      </c>
      <c r="B1724" t="s">
        <v>142</v>
      </c>
      <c r="C1724">
        <v>76</v>
      </c>
      <c r="D1724" t="s">
        <v>253</v>
      </c>
      <c r="E1724" t="s">
        <v>248</v>
      </c>
      <c r="F1724" t="s">
        <v>244</v>
      </c>
      <c r="G1724" t="s">
        <v>82</v>
      </c>
      <c r="J1724" t="s">
        <v>193</v>
      </c>
      <c r="K1724" t="s">
        <v>255</v>
      </c>
      <c r="L1724">
        <v>767000000</v>
      </c>
      <c r="M1724" t="s">
        <v>245</v>
      </c>
      <c r="N1724" t="s">
        <v>1124</v>
      </c>
      <c r="O1724">
        <v>1</v>
      </c>
      <c r="P1724" t="s">
        <v>257</v>
      </c>
    </row>
    <row r="1725" spans="1:16" hidden="1" x14ac:dyDescent="0.25">
      <c r="A1725" s="16">
        <v>45717</v>
      </c>
      <c r="B1725" t="s">
        <v>142</v>
      </c>
      <c r="C1725">
        <v>76</v>
      </c>
      <c r="D1725" t="s">
        <v>253</v>
      </c>
      <c r="E1725" t="s">
        <v>248</v>
      </c>
      <c r="F1725" t="s">
        <v>244</v>
      </c>
      <c r="G1725" t="s">
        <v>82</v>
      </c>
      <c r="J1725" t="s">
        <v>194</v>
      </c>
      <c r="K1725" t="s">
        <v>255</v>
      </c>
      <c r="L1725">
        <v>783000000</v>
      </c>
      <c r="M1725" t="s">
        <v>245</v>
      </c>
      <c r="N1725" t="s">
        <v>1312</v>
      </c>
      <c r="O1725">
        <v>1</v>
      </c>
      <c r="P1725" t="s">
        <v>257</v>
      </c>
    </row>
    <row r="1726" spans="1:16" hidden="1" x14ac:dyDescent="0.25">
      <c r="A1726" s="16">
        <v>45717</v>
      </c>
      <c r="B1726" t="s">
        <v>142</v>
      </c>
      <c r="C1726">
        <v>76</v>
      </c>
      <c r="D1726" t="s">
        <v>253</v>
      </c>
      <c r="E1726" t="s">
        <v>248</v>
      </c>
      <c r="F1726" t="s">
        <v>244</v>
      </c>
      <c r="G1726" t="s">
        <v>82</v>
      </c>
      <c r="J1726" t="s">
        <v>195</v>
      </c>
      <c r="K1726" t="s">
        <v>255</v>
      </c>
      <c r="L1726">
        <v>865000000</v>
      </c>
      <c r="M1726" t="s">
        <v>245</v>
      </c>
      <c r="N1726" t="s">
        <v>1492</v>
      </c>
      <c r="O1726">
        <v>1</v>
      </c>
      <c r="P1726" t="s">
        <v>261</v>
      </c>
    </row>
    <row r="1727" spans="1:16" hidden="1" x14ac:dyDescent="0.25">
      <c r="A1727" s="16">
        <v>45717</v>
      </c>
      <c r="B1727" t="s">
        <v>142</v>
      </c>
      <c r="C1727">
        <v>76</v>
      </c>
      <c r="D1727" t="s">
        <v>247</v>
      </c>
      <c r="E1727" t="s">
        <v>248</v>
      </c>
      <c r="F1727" t="s">
        <v>244</v>
      </c>
      <c r="G1727" t="s">
        <v>82</v>
      </c>
      <c r="H1727" t="s">
        <v>286</v>
      </c>
      <c r="J1727" t="s">
        <v>195</v>
      </c>
      <c r="K1727" t="s">
        <v>250</v>
      </c>
      <c r="L1727">
        <v>10.4</v>
      </c>
      <c r="M1727" t="s">
        <v>251</v>
      </c>
      <c r="N1727" t="s">
        <v>1493</v>
      </c>
    </row>
    <row r="1728" spans="1:16" hidden="1" x14ac:dyDescent="0.25">
      <c r="A1728" s="16">
        <v>45717</v>
      </c>
      <c r="B1728" t="s">
        <v>142</v>
      </c>
      <c r="C1728">
        <v>77</v>
      </c>
      <c r="D1728" t="s">
        <v>253</v>
      </c>
      <c r="E1728" t="s">
        <v>248</v>
      </c>
      <c r="F1728" t="s">
        <v>244</v>
      </c>
      <c r="G1728" t="s">
        <v>82</v>
      </c>
      <c r="H1728" t="s">
        <v>150</v>
      </c>
      <c r="J1728" t="s">
        <v>193</v>
      </c>
      <c r="K1728" t="s">
        <v>255</v>
      </c>
      <c r="L1728">
        <v>2960000</v>
      </c>
      <c r="M1728" t="s">
        <v>150</v>
      </c>
      <c r="N1728" t="s">
        <v>1125</v>
      </c>
      <c r="O1728">
        <v>1</v>
      </c>
      <c r="P1728" t="s">
        <v>257</v>
      </c>
    </row>
    <row r="1729" spans="1:16" hidden="1" x14ac:dyDescent="0.25">
      <c r="A1729" s="16">
        <v>45717</v>
      </c>
      <c r="B1729" t="s">
        <v>142</v>
      </c>
      <c r="C1729">
        <v>77</v>
      </c>
      <c r="D1729" t="s">
        <v>253</v>
      </c>
      <c r="E1729" t="s">
        <v>248</v>
      </c>
      <c r="F1729" t="s">
        <v>244</v>
      </c>
      <c r="G1729" t="s">
        <v>82</v>
      </c>
      <c r="H1729" t="s">
        <v>150</v>
      </c>
      <c r="J1729" t="s">
        <v>194</v>
      </c>
      <c r="K1729" t="s">
        <v>255</v>
      </c>
      <c r="L1729">
        <v>2660000</v>
      </c>
      <c r="M1729" t="s">
        <v>150</v>
      </c>
      <c r="N1729" t="s">
        <v>1314</v>
      </c>
      <c r="O1729">
        <v>1</v>
      </c>
      <c r="P1729" t="s">
        <v>257</v>
      </c>
    </row>
    <row r="1730" spans="1:16" hidden="1" x14ac:dyDescent="0.25">
      <c r="A1730" s="16">
        <v>45717</v>
      </c>
      <c r="B1730" t="s">
        <v>142</v>
      </c>
      <c r="C1730">
        <v>77</v>
      </c>
      <c r="D1730" t="s">
        <v>253</v>
      </c>
      <c r="E1730" t="s">
        <v>248</v>
      </c>
      <c r="F1730" t="s">
        <v>244</v>
      </c>
      <c r="G1730" t="s">
        <v>82</v>
      </c>
      <c r="H1730" t="s">
        <v>150</v>
      </c>
      <c r="J1730" t="s">
        <v>195</v>
      </c>
      <c r="K1730" t="s">
        <v>255</v>
      </c>
      <c r="L1730">
        <v>3270000</v>
      </c>
      <c r="M1730" t="s">
        <v>150</v>
      </c>
      <c r="N1730" t="s">
        <v>1494</v>
      </c>
      <c r="O1730">
        <v>1</v>
      </c>
      <c r="P1730" t="s">
        <v>261</v>
      </c>
    </row>
    <row r="1731" spans="1:16" hidden="1" x14ac:dyDescent="0.25">
      <c r="A1731" s="16">
        <v>45717</v>
      </c>
      <c r="B1731" t="s">
        <v>142</v>
      </c>
      <c r="C1731">
        <v>77</v>
      </c>
      <c r="D1731" t="s">
        <v>253</v>
      </c>
      <c r="E1731" t="s">
        <v>248</v>
      </c>
      <c r="F1731" t="s">
        <v>244</v>
      </c>
      <c r="G1731" t="s">
        <v>82</v>
      </c>
      <c r="H1731" t="s">
        <v>151</v>
      </c>
      <c r="J1731" t="s">
        <v>193</v>
      </c>
      <c r="K1731" t="s">
        <v>255</v>
      </c>
      <c r="L1731">
        <v>320000</v>
      </c>
      <c r="M1731" t="s">
        <v>151</v>
      </c>
      <c r="N1731" t="s">
        <v>1126</v>
      </c>
      <c r="O1731">
        <v>1</v>
      </c>
      <c r="P1731" t="s">
        <v>257</v>
      </c>
    </row>
    <row r="1732" spans="1:16" hidden="1" x14ac:dyDescent="0.25">
      <c r="A1732" s="16">
        <v>45717</v>
      </c>
      <c r="B1732" t="s">
        <v>142</v>
      </c>
      <c r="C1732">
        <v>77</v>
      </c>
      <c r="D1732" t="s">
        <v>253</v>
      </c>
      <c r="E1732" t="s">
        <v>248</v>
      </c>
      <c r="F1732" t="s">
        <v>244</v>
      </c>
      <c r="G1732" t="s">
        <v>82</v>
      </c>
      <c r="H1732" t="s">
        <v>151</v>
      </c>
      <c r="J1732" t="s">
        <v>194</v>
      </c>
      <c r="K1732" t="s">
        <v>255</v>
      </c>
      <c r="L1732">
        <v>410000</v>
      </c>
      <c r="M1732" t="s">
        <v>151</v>
      </c>
      <c r="N1732" t="s">
        <v>1315</v>
      </c>
      <c r="O1732">
        <v>1</v>
      </c>
      <c r="P1732" t="s">
        <v>257</v>
      </c>
    </row>
    <row r="1733" spans="1:16" hidden="1" x14ac:dyDescent="0.25">
      <c r="A1733" s="16">
        <v>45717</v>
      </c>
      <c r="B1733" t="s">
        <v>142</v>
      </c>
      <c r="C1733">
        <v>77</v>
      </c>
      <c r="D1733" t="s">
        <v>253</v>
      </c>
      <c r="E1733" t="s">
        <v>248</v>
      </c>
      <c r="F1733" t="s">
        <v>244</v>
      </c>
      <c r="G1733" t="s">
        <v>82</v>
      </c>
      <c r="H1733" t="s">
        <v>151</v>
      </c>
      <c r="J1733" t="s">
        <v>195</v>
      </c>
      <c r="K1733" t="s">
        <v>255</v>
      </c>
      <c r="L1733">
        <v>380000</v>
      </c>
      <c r="M1733" t="s">
        <v>151</v>
      </c>
      <c r="N1733" t="s">
        <v>570</v>
      </c>
      <c r="O1733">
        <v>1</v>
      </c>
      <c r="P1733" t="s">
        <v>261</v>
      </c>
    </row>
    <row r="1734" spans="1:16" hidden="1" x14ac:dyDescent="0.25">
      <c r="A1734" s="16">
        <v>45717</v>
      </c>
      <c r="B1734" t="s">
        <v>142</v>
      </c>
      <c r="C1734">
        <v>77</v>
      </c>
      <c r="D1734" t="s">
        <v>253</v>
      </c>
      <c r="E1734" t="s">
        <v>248</v>
      </c>
      <c r="F1734" t="s">
        <v>244</v>
      </c>
      <c r="G1734" t="s">
        <v>82</v>
      </c>
      <c r="H1734" t="s">
        <v>149</v>
      </c>
      <c r="J1734" t="s">
        <v>193</v>
      </c>
      <c r="K1734" t="s">
        <v>255</v>
      </c>
      <c r="L1734">
        <v>38300000</v>
      </c>
      <c r="M1734" t="s">
        <v>149</v>
      </c>
      <c r="N1734" t="s">
        <v>1127</v>
      </c>
      <c r="O1734">
        <v>1</v>
      </c>
      <c r="P1734" t="s">
        <v>257</v>
      </c>
    </row>
    <row r="1735" spans="1:16" hidden="1" x14ac:dyDescent="0.25">
      <c r="A1735" s="16">
        <v>45717</v>
      </c>
      <c r="B1735" t="s">
        <v>142</v>
      </c>
      <c r="C1735">
        <v>77</v>
      </c>
      <c r="D1735" t="s">
        <v>253</v>
      </c>
      <c r="E1735" t="s">
        <v>248</v>
      </c>
      <c r="F1735" t="s">
        <v>244</v>
      </c>
      <c r="G1735" t="s">
        <v>82</v>
      </c>
      <c r="H1735" t="s">
        <v>149</v>
      </c>
      <c r="J1735" t="s">
        <v>194</v>
      </c>
      <c r="K1735" t="s">
        <v>255</v>
      </c>
      <c r="L1735">
        <v>37700000</v>
      </c>
      <c r="M1735" t="s">
        <v>149</v>
      </c>
      <c r="N1735" t="s">
        <v>1316</v>
      </c>
      <c r="O1735">
        <v>1</v>
      </c>
      <c r="P1735" t="s">
        <v>257</v>
      </c>
    </row>
    <row r="1736" spans="1:16" hidden="1" x14ac:dyDescent="0.25">
      <c r="A1736" s="16">
        <v>45717</v>
      </c>
      <c r="B1736" t="s">
        <v>142</v>
      </c>
      <c r="C1736">
        <v>77</v>
      </c>
      <c r="D1736" t="s">
        <v>253</v>
      </c>
      <c r="E1736" t="s">
        <v>248</v>
      </c>
      <c r="F1736" t="s">
        <v>244</v>
      </c>
      <c r="G1736" t="s">
        <v>82</v>
      </c>
      <c r="H1736" t="s">
        <v>149</v>
      </c>
      <c r="J1736" t="s">
        <v>195</v>
      </c>
      <c r="K1736" t="s">
        <v>255</v>
      </c>
      <c r="L1736">
        <v>37000000</v>
      </c>
      <c r="M1736" t="s">
        <v>149</v>
      </c>
      <c r="N1736" t="s">
        <v>282</v>
      </c>
      <c r="O1736">
        <v>1</v>
      </c>
      <c r="P1736" t="s">
        <v>261</v>
      </c>
    </row>
    <row r="1737" spans="1:16" hidden="1" x14ac:dyDescent="0.25">
      <c r="A1737" s="16">
        <v>45717</v>
      </c>
      <c r="B1737" t="s">
        <v>35</v>
      </c>
      <c r="C1737">
        <v>10</v>
      </c>
      <c r="D1737" t="s">
        <v>238</v>
      </c>
      <c r="E1737" t="s">
        <v>239</v>
      </c>
      <c r="F1737" t="s">
        <v>240</v>
      </c>
      <c r="G1737" t="s">
        <v>82</v>
      </c>
      <c r="J1737" t="s">
        <v>195</v>
      </c>
      <c r="K1737" t="s">
        <v>241</v>
      </c>
      <c r="L1737">
        <v>32330000</v>
      </c>
      <c r="M1737" t="s">
        <v>242</v>
      </c>
      <c r="N1737" t="s">
        <v>1495</v>
      </c>
    </row>
    <row r="1738" spans="1:16" hidden="1" x14ac:dyDescent="0.25">
      <c r="A1738" s="16">
        <v>45717</v>
      </c>
      <c r="B1738" t="s">
        <v>35</v>
      </c>
      <c r="C1738">
        <v>10</v>
      </c>
      <c r="D1738" t="s">
        <v>238</v>
      </c>
      <c r="E1738" t="s">
        <v>239</v>
      </c>
      <c r="F1738" t="s">
        <v>244</v>
      </c>
      <c r="G1738" t="s">
        <v>82</v>
      </c>
      <c r="J1738" t="s">
        <v>195</v>
      </c>
      <c r="K1738" t="s">
        <v>241</v>
      </c>
      <c r="L1738">
        <v>4170000000</v>
      </c>
      <c r="M1738" t="s">
        <v>245</v>
      </c>
      <c r="N1738" t="s">
        <v>1496</v>
      </c>
    </row>
    <row r="1739" spans="1:16" hidden="1" x14ac:dyDescent="0.25">
      <c r="A1739" s="16">
        <v>45717</v>
      </c>
      <c r="B1739" t="s">
        <v>35</v>
      </c>
      <c r="C1739">
        <v>11</v>
      </c>
      <c r="D1739" t="s">
        <v>253</v>
      </c>
      <c r="E1739" t="s">
        <v>248</v>
      </c>
      <c r="F1739" t="s">
        <v>285</v>
      </c>
      <c r="G1739" t="s">
        <v>63</v>
      </c>
      <c r="J1739" t="s">
        <v>193</v>
      </c>
      <c r="K1739" t="s">
        <v>255</v>
      </c>
      <c r="L1739">
        <v>1710000</v>
      </c>
      <c r="M1739" t="s">
        <v>242</v>
      </c>
      <c r="N1739" t="s">
        <v>1129</v>
      </c>
      <c r="O1739">
        <v>1</v>
      </c>
      <c r="P1739" t="s">
        <v>257</v>
      </c>
    </row>
    <row r="1740" spans="1:16" hidden="1" x14ac:dyDescent="0.25">
      <c r="A1740" s="16">
        <v>45717</v>
      </c>
      <c r="B1740" t="s">
        <v>35</v>
      </c>
      <c r="C1740">
        <v>11</v>
      </c>
      <c r="D1740" t="s">
        <v>253</v>
      </c>
      <c r="E1740" t="s">
        <v>248</v>
      </c>
      <c r="F1740" t="s">
        <v>285</v>
      </c>
      <c r="G1740" t="s">
        <v>63</v>
      </c>
      <c r="J1740" t="s">
        <v>194</v>
      </c>
      <c r="K1740" t="s">
        <v>255</v>
      </c>
      <c r="L1740">
        <v>1740000</v>
      </c>
      <c r="M1740" t="s">
        <v>242</v>
      </c>
      <c r="N1740" t="s">
        <v>1319</v>
      </c>
      <c r="O1740">
        <v>1</v>
      </c>
      <c r="P1740" t="s">
        <v>257</v>
      </c>
    </row>
    <row r="1741" spans="1:16" hidden="1" x14ac:dyDescent="0.25">
      <c r="A1741" s="16">
        <v>45717</v>
      </c>
      <c r="B1741" t="s">
        <v>35</v>
      </c>
      <c r="C1741">
        <v>11</v>
      </c>
      <c r="D1741" t="s">
        <v>253</v>
      </c>
      <c r="E1741" t="s">
        <v>248</v>
      </c>
      <c r="F1741" t="s">
        <v>285</v>
      </c>
      <c r="G1741" t="s">
        <v>63</v>
      </c>
      <c r="J1741" t="s">
        <v>195</v>
      </c>
      <c r="K1741" t="s">
        <v>255</v>
      </c>
      <c r="L1741">
        <v>1780000</v>
      </c>
      <c r="M1741" t="s">
        <v>242</v>
      </c>
      <c r="N1741" t="s">
        <v>1497</v>
      </c>
      <c r="O1741">
        <v>1</v>
      </c>
      <c r="P1741" t="s">
        <v>261</v>
      </c>
    </row>
    <row r="1742" spans="1:16" hidden="1" x14ac:dyDescent="0.25">
      <c r="A1742" s="16">
        <v>45717</v>
      </c>
      <c r="B1742" t="s">
        <v>35</v>
      </c>
      <c r="C1742">
        <v>11</v>
      </c>
      <c r="D1742" t="s">
        <v>247</v>
      </c>
      <c r="E1742" t="s">
        <v>248</v>
      </c>
      <c r="F1742" t="s">
        <v>285</v>
      </c>
      <c r="G1742" t="s">
        <v>63</v>
      </c>
      <c r="H1742" t="s">
        <v>286</v>
      </c>
      <c r="J1742" t="s">
        <v>195</v>
      </c>
      <c r="K1742" t="s">
        <v>250</v>
      </c>
      <c r="L1742">
        <v>2.1</v>
      </c>
      <c r="M1742" t="s">
        <v>251</v>
      </c>
      <c r="N1742" t="s">
        <v>1498</v>
      </c>
    </row>
    <row r="1743" spans="1:16" hidden="1" x14ac:dyDescent="0.25">
      <c r="A1743" s="16">
        <v>45717</v>
      </c>
      <c r="B1743" t="s">
        <v>35</v>
      </c>
      <c r="C1743">
        <v>12</v>
      </c>
      <c r="D1743" t="s">
        <v>291</v>
      </c>
      <c r="E1743" t="s">
        <v>292</v>
      </c>
      <c r="F1743" t="s">
        <v>285</v>
      </c>
      <c r="G1743" t="s">
        <v>63</v>
      </c>
      <c r="H1743" t="s">
        <v>64</v>
      </c>
      <c r="J1743" t="s">
        <v>195</v>
      </c>
      <c r="K1743" t="s">
        <v>250</v>
      </c>
      <c r="L1743">
        <v>1710000</v>
      </c>
      <c r="M1743" t="s">
        <v>242</v>
      </c>
      <c r="N1743" t="s">
        <v>740</v>
      </c>
    </row>
    <row r="1744" spans="1:16" hidden="1" x14ac:dyDescent="0.25">
      <c r="A1744" s="16">
        <v>45717</v>
      </c>
      <c r="B1744" t="s">
        <v>35</v>
      </c>
      <c r="C1744">
        <v>12</v>
      </c>
      <c r="D1744" t="s">
        <v>291</v>
      </c>
      <c r="E1744" t="s">
        <v>292</v>
      </c>
      <c r="F1744" t="s">
        <v>285</v>
      </c>
      <c r="G1744" t="s">
        <v>63</v>
      </c>
      <c r="H1744" t="s">
        <v>65</v>
      </c>
      <c r="J1744" t="s">
        <v>195</v>
      </c>
      <c r="K1744" t="s">
        <v>250</v>
      </c>
      <c r="L1744">
        <v>67000</v>
      </c>
      <c r="M1744" t="s">
        <v>242</v>
      </c>
      <c r="N1744" t="s">
        <v>1499</v>
      </c>
    </row>
    <row r="1745" spans="1:16" hidden="1" x14ac:dyDescent="0.25">
      <c r="A1745" s="16">
        <v>45717</v>
      </c>
      <c r="B1745" t="s">
        <v>35</v>
      </c>
      <c r="C1745">
        <v>13</v>
      </c>
      <c r="D1745" t="s">
        <v>291</v>
      </c>
      <c r="E1745" t="s">
        <v>292</v>
      </c>
      <c r="F1745" t="s">
        <v>285</v>
      </c>
      <c r="G1745" t="s">
        <v>63</v>
      </c>
      <c r="H1745" t="s">
        <v>67</v>
      </c>
      <c r="J1745" t="s">
        <v>195</v>
      </c>
      <c r="K1745" t="s">
        <v>250</v>
      </c>
      <c r="L1745">
        <v>620000</v>
      </c>
      <c r="M1745" t="s">
        <v>242</v>
      </c>
      <c r="N1745" t="s">
        <v>1500</v>
      </c>
    </row>
    <row r="1746" spans="1:16" hidden="1" x14ac:dyDescent="0.25">
      <c r="A1746" s="16">
        <v>45717</v>
      </c>
      <c r="B1746" t="s">
        <v>35</v>
      </c>
      <c r="C1746">
        <v>13</v>
      </c>
      <c r="D1746" t="s">
        <v>291</v>
      </c>
      <c r="E1746" t="s">
        <v>292</v>
      </c>
      <c r="F1746" t="s">
        <v>285</v>
      </c>
      <c r="G1746" t="s">
        <v>63</v>
      </c>
      <c r="H1746" t="s">
        <v>68</v>
      </c>
      <c r="J1746" t="s">
        <v>195</v>
      </c>
      <c r="K1746" t="s">
        <v>250</v>
      </c>
      <c r="L1746">
        <v>1110000</v>
      </c>
      <c r="M1746" t="s">
        <v>242</v>
      </c>
      <c r="N1746" t="s">
        <v>1501</v>
      </c>
    </row>
    <row r="1747" spans="1:16" x14ac:dyDescent="0.25">
      <c r="A1747" s="16">
        <v>45717</v>
      </c>
      <c r="B1747" t="s">
        <v>35</v>
      </c>
      <c r="C1747">
        <v>14</v>
      </c>
      <c r="D1747" t="s">
        <v>291</v>
      </c>
      <c r="E1747" t="s">
        <v>292</v>
      </c>
      <c r="F1747" t="s">
        <v>285</v>
      </c>
      <c r="G1747" t="s">
        <v>63</v>
      </c>
      <c r="H1747" t="s">
        <v>77</v>
      </c>
      <c r="J1747" t="s">
        <v>195</v>
      </c>
      <c r="K1747" t="s">
        <v>250</v>
      </c>
      <c r="L1747">
        <v>7000</v>
      </c>
      <c r="M1747" t="s">
        <v>242</v>
      </c>
      <c r="N1747" t="s">
        <v>1328</v>
      </c>
    </row>
    <row r="1748" spans="1:16" x14ac:dyDescent="0.25">
      <c r="A1748" s="16">
        <v>45717</v>
      </c>
      <c r="B1748" t="s">
        <v>35</v>
      </c>
      <c r="C1748">
        <v>14</v>
      </c>
      <c r="D1748" t="s">
        <v>291</v>
      </c>
      <c r="E1748" t="s">
        <v>292</v>
      </c>
      <c r="F1748" t="s">
        <v>285</v>
      </c>
      <c r="G1748" t="s">
        <v>63</v>
      </c>
      <c r="H1748" t="s">
        <v>70</v>
      </c>
      <c r="J1748" t="s">
        <v>195</v>
      </c>
      <c r="K1748" t="s">
        <v>250</v>
      </c>
      <c r="L1748">
        <v>657000</v>
      </c>
      <c r="M1748" t="s">
        <v>242</v>
      </c>
      <c r="N1748" t="s">
        <v>1502</v>
      </c>
    </row>
    <row r="1749" spans="1:16" x14ac:dyDescent="0.25">
      <c r="A1749" s="16">
        <v>45717</v>
      </c>
      <c r="B1749" t="s">
        <v>35</v>
      </c>
      <c r="C1749">
        <v>14</v>
      </c>
      <c r="D1749" t="s">
        <v>291</v>
      </c>
      <c r="E1749" t="s">
        <v>292</v>
      </c>
      <c r="F1749" t="s">
        <v>285</v>
      </c>
      <c r="G1749" t="s">
        <v>63</v>
      </c>
      <c r="H1749" t="s">
        <v>71</v>
      </c>
      <c r="J1749" t="s">
        <v>195</v>
      </c>
      <c r="K1749" t="s">
        <v>250</v>
      </c>
      <c r="L1749">
        <v>466000</v>
      </c>
      <c r="M1749" t="s">
        <v>242</v>
      </c>
      <c r="N1749" t="s">
        <v>1503</v>
      </c>
    </row>
    <row r="1750" spans="1:16" x14ac:dyDescent="0.25">
      <c r="A1750" s="16">
        <v>45717</v>
      </c>
      <c r="B1750" t="s">
        <v>35</v>
      </c>
      <c r="C1750">
        <v>14</v>
      </c>
      <c r="D1750" t="s">
        <v>291</v>
      </c>
      <c r="E1750" t="s">
        <v>292</v>
      </c>
      <c r="F1750" t="s">
        <v>285</v>
      </c>
      <c r="G1750" t="s">
        <v>63</v>
      </c>
      <c r="H1750" t="s">
        <v>72</v>
      </c>
      <c r="J1750" t="s">
        <v>195</v>
      </c>
      <c r="K1750" t="s">
        <v>250</v>
      </c>
      <c r="L1750">
        <v>312000</v>
      </c>
      <c r="M1750" t="s">
        <v>242</v>
      </c>
      <c r="N1750" t="s">
        <v>1504</v>
      </c>
    </row>
    <row r="1751" spans="1:16" x14ac:dyDescent="0.25">
      <c r="A1751" s="63">
        <v>45717</v>
      </c>
      <c r="B1751" s="65" t="s">
        <v>35</v>
      </c>
      <c r="C1751" s="65">
        <v>14</v>
      </c>
      <c r="D1751" s="65" t="s">
        <v>291</v>
      </c>
      <c r="E1751" s="65" t="s">
        <v>292</v>
      </c>
      <c r="F1751" s="65" t="s">
        <v>285</v>
      </c>
      <c r="G1751" s="65" t="s">
        <v>63</v>
      </c>
      <c r="H1751" s="65" t="s">
        <v>73</v>
      </c>
      <c r="I1751" s="65"/>
      <c r="J1751" s="65" t="s">
        <v>195</v>
      </c>
      <c r="K1751" s="65" t="s">
        <v>250</v>
      </c>
      <c r="L1751" s="65">
        <v>191000</v>
      </c>
      <c r="M1751" s="65" t="s">
        <v>242</v>
      </c>
      <c r="N1751" s="65" t="s">
        <v>1505</v>
      </c>
    </row>
    <row r="1752" spans="1:16" x14ac:dyDescent="0.25">
      <c r="A1752" s="63">
        <v>45717</v>
      </c>
      <c r="B1752" s="65" t="s">
        <v>35</v>
      </c>
      <c r="C1752" s="65">
        <v>14</v>
      </c>
      <c r="D1752" s="65" t="s">
        <v>291</v>
      </c>
      <c r="E1752" s="65" t="s">
        <v>292</v>
      </c>
      <c r="F1752" s="65" t="s">
        <v>285</v>
      </c>
      <c r="G1752" s="65" t="s">
        <v>63</v>
      </c>
      <c r="H1752" s="65" t="s">
        <v>74</v>
      </c>
      <c r="I1752" s="65"/>
      <c r="J1752" s="65" t="s">
        <v>195</v>
      </c>
      <c r="K1752" s="65" t="s">
        <v>250</v>
      </c>
      <c r="L1752" s="65">
        <v>86000</v>
      </c>
      <c r="M1752" s="65" t="s">
        <v>242</v>
      </c>
      <c r="N1752" s="65" t="s">
        <v>1506</v>
      </c>
    </row>
    <row r="1753" spans="1:16" x14ac:dyDescent="0.25">
      <c r="A1753" s="63">
        <v>45717</v>
      </c>
      <c r="B1753" s="65" t="s">
        <v>35</v>
      </c>
      <c r="C1753" s="65">
        <v>14</v>
      </c>
      <c r="D1753" s="65" t="s">
        <v>291</v>
      </c>
      <c r="E1753" s="65" t="s">
        <v>292</v>
      </c>
      <c r="F1753" s="65" t="s">
        <v>285</v>
      </c>
      <c r="G1753" s="65" t="s">
        <v>63</v>
      </c>
      <c r="H1753" s="65" t="s">
        <v>75</v>
      </c>
      <c r="I1753" s="65"/>
      <c r="J1753" s="65" t="s">
        <v>195</v>
      </c>
      <c r="K1753" s="65" t="s">
        <v>250</v>
      </c>
      <c r="L1753" s="65">
        <v>22000</v>
      </c>
      <c r="M1753" s="65" t="s">
        <v>242</v>
      </c>
      <c r="N1753" s="65" t="s">
        <v>1507</v>
      </c>
    </row>
    <row r="1754" spans="1:16" x14ac:dyDescent="0.25">
      <c r="A1754" s="63">
        <v>45717</v>
      </c>
      <c r="B1754" s="65" t="s">
        <v>35</v>
      </c>
      <c r="C1754" s="65">
        <v>14</v>
      </c>
      <c r="D1754" s="65" t="s">
        <v>291</v>
      </c>
      <c r="E1754" s="65" t="s">
        <v>292</v>
      </c>
      <c r="F1754" s="65" t="s">
        <v>285</v>
      </c>
      <c r="G1754" s="65" t="s">
        <v>63</v>
      </c>
      <c r="H1754" s="65" t="s">
        <v>76</v>
      </c>
      <c r="I1754" s="65"/>
      <c r="J1754" s="65" t="s">
        <v>195</v>
      </c>
      <c r="K1754" s="65" t="s">
        <v>250</v>
      </c>
      <c r="L1754" s="65">
        <v>4000</v>
      </c>
      <c r="M1754" s="65" t="s">
        <v>242</v>
      </c>
      <c r="N1754" s="65" t="s">
        <v>303</v>
      </c>
    </row>
    <row r="1755" spans="1:16" hidden="1" x14ac:dyDescent="0.25">
      <c r="A1755" s="16">
        <v>45717</v>
      </c>
      <c r="B1755" t="s">
        <v>35</v>
      </c>
      <c r="C1755">
        <v>15</v>
      </c>
      <c r="D1755" t="s">
        <v>291</v>
      </c>
      <c r="E1755" t="s">
        <v>292</v>
      </c>
      <c r="F1755" t="s">
        <v>285</v>
      </c>
      <c r="G1755" t="s">
        <v>63</v>
      </c>
      <c r="H1755" t="s">
        <v>79</v>
      </c>
      <c r="J1755" t="s">
        <v>195</v>
      </c>
      <c r="K1755" t="s">
        <v>250</v>
      </c>
      <c r="L1755">
        <v>1740000</v>
      </c>
      <c r="M1755" t="s">
        <v>242</v>
      </c>
      <c r="N1755" t="s">
        <v>1473</v>
      </c>
    </row>
    <row r="1756" spans="1:16" hidden="1" x14ac:dyDescent="0.25">
      <c r="A1756" s="16">
        <v>45717</v>
      </c>
      <c r="B1756" t="s">
        <v>35</v>
      </c>
      <c r="C1756">
        <v>15</v>
      </c>
      <c r="D1756" t="s">
        <v>291</v>
      </c>
      <c r="E1756" t="s">
        <v>292</v>
      </c>
      <c r="F1756" t="s">
        <v>285</v>
      </c>
      <c r="G1756" t="s">
        <v>63</v>
      </c>
      <c r="H1756" t="s">
        <v>80</v>
      </c>
      <c r="J1756" t="s">
        <v>195</v>
      </c>
      <c r="K1756" t="s">
        <v>250</v>
      </c>
      <c r="L1756">
        <v>34000</v>
      </c>
      <c r="M1756" t="s">
        <v>242</v>
      </c>
      <c r="N1756" t="s">
        <v>1508</v>
      </c>
    </row>
    <row r="1757" spans="1:16" hidden="1" x14ac:dyDescent="0.25">
      <c r="A1757" s="16">
        <v>45717</v>
      </c>
      <c r="B1757" t="s">
        <v>35</v>
      </c>
      <c r="C1757">
        <v>16</v>
      </c>
      <c r="D1757" t="s">
        <v>253</v>
      </c>
      <c r="E1757" t="s">
        <v>248</v>
      </c>
      <c r="F1757" t="s">
        <v>240</v>
      </c>
      <c r="G1757" t="s">
        <v>82</v>
      </c>
      <c r="J1757" t="s">
        <v>193</v>
      </c>
      <c r="K1757" t="s">
        <v>255</v>
      </c>
      <c r="L1757">
        <v>10320000</v>
      </c>
      <c r="M1757" t="s">
        <v>242</v>
      </c>
      <c r="N1757" t="s">
        <v>1139</v>
      </c>
      <c r="O1757">
        <v>1</v>
      </c>
      <c r="P1757" t="s">
        <v>257</v>
      </c>
    </row>
    <row r="1758" spans="1:16" hidden="1" x14ac:dyDescent="0.25">
      <c r="A1758" s="16">
        <v>45717</v>
      </c>
      <c r="B1758" t="s">
        <v>35</v>
      </c>
      <c r="C1758">
        <v>16</v>
      </c>
      <c r="D1758" t="s">
        <v>253</v>
      </c>
      <c r="E1758" t="s">
        <v>248</v>
      </c>
      <c r="F1758" t="s">
        <v>240</v>
      </c>
      <c r="G1758" t="s">
        <v>82</v>
      </c>
      <c r="J1758" t="s">
        <v>194</v>
      </c>
      <c r="K1758" t="s">
        <v>255</v>
      </c>
      <c r="L1758">
        <v>9900000</v>
      </c>
      <c r="M1758" t="s">
        <v>242</v>
      </c>
      <c r="N1758" t="s">
        <v>1330</v>
      </c>
      <c r="O1758">
        <v>1</v>
      </c>
      <c r="P1758" t="s">
        <v>257</v>
      </c>
    </row>
    <row r="1759" spans="1:16" hidden="1" x14ac:dyDescent="0.25">
      <c r="A1759" s="16">
        <v>45717</v>
      </c>
      <c r="B1759" t="s">
        <v>35</v>
      </c>
      <c r="C1759">
        <v>16</v>
      </c>
      <c r="D1759" t="s">
        <v>253</v>
      </c>
      <c r="E1759" t="s">
        <v>248</v>
      </c>
      <c r="F1759" t="s">
        <v>240</v>
      </c>
      <c r="G1759" t="s">
        <v>82</v>
      </c>
      <c r="J1759" t="s">
        <v>195</v>
      </c>
      <c r="K1759" t="s">
        <v>255</v>
      </c>
      <c r="L1759">
        <v>12110000</v>
      </c>
      <c r="M1759" t="s">
        <v>242</v>
      </c>
      <c r="N1759" t="s">
        <v>1509</v>
      </c>
      <c r="O1759">
        <v>1</v>
      </c>
      <c r="P1759" t="s">
        <v>261</v>
      </c>
    </row>
    <row r="1760" spans="1:16" hidden="1" x14ac:dyDescent="0.25">
      <c r="A1760" s="16">
        <v>45717</v>
      </c>
      <c r="B1760" t="s">
        <v>35</v>
      </c>
      <c r="C1760">
        <v>16</v>
      </c>
      <c r="D1760" t="s">
        <v>247</v>
      </c>
      <c r="E1760" t="s">
        <v>248</v>
      </c>
      <c r="F1760" t="s">
        <v>240</v>
      </c>
      <c r="G1760" t="s">
        <v>82</v>
      </c>
      <c r="H1760" t="s">
        <v>286</v>
      </c>
      <c r="J1760" t="s">
        <v>195</v>
      </c>
      <c r="K1760" t="s">
        <v>250</v>
      </c>
      <c r="L1760">
        <v>22.3</v>
      </c>
      <c r="M1760" t="s">
        <v>251</v>
      </c>
      <c r="N1760" t="s">
        <v>1510</v>
      </c>
    </row>
    <row r="1761" spans="1:16" hidden="1" x14ac:dyDescent="0.25">
      <c r="A1761" s="16">
        <v>45717</v>
      </c>
      <c r="B1761" t="s">
        <v>35</v>
      </c>
      <c r="C1761">
        <v>17</v>
      </c>
      <c r="D1761" t="s">
        <v>291</v>
      </c>
      <c r="E1761" t="s">
        <v>292</v>
      </c>
      <c r="F1761" t="s">
        <v>240</v>
      </c>
      <c r="G1761" t="s">
        <v>82</v>
      </c>
      <c r="H1761" t="s">
        <v>83</v>
      </c>
      <c r="J1761" t="s">
        <v>195</v>
      </c>
      <c r="K1761" t="s">
        <v>250</v>
      </c>
      <c r="L1761">
        <v>10360000</v>
      </c>
      <c r="M1761" t="s">
        <v>242</v>
      </c>
      <c r="N1761" t="s">
        <v>1511</v>
      </c>
    </row>
    <row r="1762" spans="1:16" hidden="1" x14ac:dyDescent="0.25">
      <c r="A1762" s="16">
        <v>45717</v>
      </c>
      <c r="B1762" t="s">
        <v>35</v>
      </c>
      <c r="C1762">
        <v>17</v>
      </c>
      <c r="D1762" t="s">
        <v>291</v>
      </c>
      <c r="E1762" t="s">
        <v>292</v>
      </c>
      <c r="F1762" t="s">
        <v>240</v>
      </c>
      <c r="G1762" t="s">
        <v>82</v>
      </c>
      <c r="H1762" t="s">
        <v>84</v>
      </c>
      <c r="J1762" t="s">
        <v>195</v>
      </c>
      <c r="K1762" t="s">
        <v>250</v>
      </c>
      <c r="L1762">
        <v>1750000</v>
      </c>
      <c r="M1762" t="s">
        <v>242</v>
      </c>
      <c r="N1762" t="s">
        <v>1100</v>
      </c>
    </row>
    <row r="1763" spans="1:16" hidden="1" x14ac:dyDescent="0.25">
      <c r="A1763" s="16">
        <v>45717</v>
      </c>
      <c r="B1763" t="s">
        <v>35</v>
      </c>
      <c r="C1763">
        <v>18</v>
      </c>
      <c r="D1763" t="s">
        <v>291</v>
      </c>
      <c r="E1763" t="s">
        <v>292</v>
      </c>
      <c r="F1763" t="s">
        <v>240</v>
      </c>
      <c r="G1763" t="s">
        <v>82</v>
      </c>
      <c r="H1763" t="s">
        <v>83</v>
      </c>
      <c r="I1763" t="s">
        <v>313</v>
      </c>
      <c r="J1763" t="s">
        <v>195</v>
      </c>
      <c r="K1763" t="s">
        <v>250</v>
      </c>
      <c r="L1763">
        <v>4</v>
      </c>
      <c r="M1763" t="s">
        <v>251</v>
      </c>
      <c r="N1763" t="s">
        <v>850</v>
      </c>
    </row>
    <row r="1764" spans="1:16" hidden="1" x14ac:dyDescent="0.25">
      <c r="A1764" s="16">
        <v>45717</v>
      </c>
      <c r="B1764" t="s">
        <v>35</v>
      </c>
      <c r="C1764">
        <v>18</v>
      </c>
      <c r="D1764" t="s">
        <v>291</v>
      </c>
      <c r="E1764" t="s">
        <v>292</v>
      </c>
      <c r="F1764" t="s">
        <v>240</v>
      </c>
      <c r="G1764" t="s">
        <v>82</v>
      </c>
      <c r="H1764" t="s">
        <v>83</v>
      </c>
      <c r="I1764" t="s">
        <v>315</v>
      </c>
      <c r="J1764" t="s">
        <v>195</v>
      </c>
      <c r="K1764" t="s">
        <v>250</v>
      </c>
      <c r="L1764">
        <v>85</v>
      </c>
      <c r="M1764" t="s">
        <v>251</v>
      </c>
      <c r="N1764" t="s">
        <v>316</v>
      </c>
    </row>
    <row r="1765" spans="1:16" hidden="1" x14ac:dyDescent="0.25">
      <c r="A1765" s="16">
        <v>45717</v>
      </c>
      <c r="B1765" t="s">
        <v>35</v>
      </c>
      <c r="C1765">
        <v>18</v>
      </c>
      <c r="D1765" t="s">
        <v>291</v>
      </c>
      <c r="E1765" t="s">
        <v>292</v>
      </c>
      <c r="F1765" t="s">
        <v>240</v>
      </c>
      <c r="G1765" t="s">
        <v>82</v>
      </c>
      <c r="H1765" t="s">
        <v>83</v>
      </c>
      <c r="I1765" t="s">
        <v>317</v>
      </c>
      <c r="J1765" t="s">
        <v>195</v>
      </c>
      <c r="K1765" t="s">
        <v>250</v>
      </c>
      <c r="L1765">
        <v>11</v>
      </c>
      <c r="M1765" t="s">
        <v>251</v>
      </c>
      <c r="N1765" t="s">
        <v>1512</v>
      </c>
    </row>
    <row r="1766" spans="1:16" hidden="1" x14ac:dyDescent="0.25">
      <c r="A1766" s="16">
        <v>45717</v>
      </c>
      <c r="B1766" t="s">
        <v>35</v>
      </c>
      <c r="C1766">
        <v>18</v>
      </c>
      <c r="D1766" t="s">
        <v>291</v>
      </c>
      <c r="E1766" t="s">
        <v>292</v>
      </c>
      <c r="F1766" t="s">
        <v>240</v>
      </c>
      <c r="G1766" t="s">
        <v>82</v>
      </c>
      <c r="H1766" t="s">
        <v>84</v>
      </c>
      <c r="I1766" t="s">
        <v>319</v>
      </c>
      <c r="J1766" t="s">
        <v>195</v>
      </c>
      <c r="K1766" t="s">
        <v>250</v>
      </c>
      <c r="L1766">
        <v>99.4</v>
      </c>
      <c r="M1766" t="s">
        <v>251</v>
      </c>
      <c r="N1766" t="s">
        <v>1333</v>
      </c>
    </row>
    <row r="1767" spans="1:16" hidden="1" x14ac:dyDescent="0.25">
      <c r="A1767" s="16">
        <v>45717</v>
      </c>
      <c r="B1767" t="s">
        <v>35</v>
      </c>
      <c r="C1767">
        <v>18</v>
      </c>
      <c r="D1767" t="s">
        <v>291</v>
      </c>
      <c r="E1767" t="s">
        <v>292</v>
      </c>
      <c r="F1767" t="s">
        <v>240</v>
      </c>
      <c r="G1767" t="s">
        <v>82</v>
      </c>
      <c r="H1767" t="s">
        <v>84</v>
      </c>
      <c r="I1767" t="s">
        <v>321</v>
      </c>
      <c r="J1767" t="s">
        <v>195</v>
      </c>
      <c r="K1767" t="s">
        <v>250</v>
      </c>
      <c r="L1767">
        <v>0.6</v>
      </c>
      <c r="M1767" t="s">
        <v>251</v>
      </c>
      <c r="N1767" t="s">
        <v>483</v>
      </c>
    </row>
    <row r="1768" spans="1:16" hidden="1" x14ac:dyDescent="0.25">
      <c r="A1768" s="16">
        <v>45717</v>
      </c>
      <c r="B1768" t="s">
        <v>35</v>
      </c>
      <c r="C1768">
        <v>19</v>
      </c>
      <c r="D1768" t="s">
        <v>253</v>
      </c>
      <c r="E1768" t="s">
        <v>248</v>
      </c>
      <c r="F1768" t="s">
        <v>244</v>
      </c>
      <c r="G1768" t="s">
        <v>82</v>
      </c>
      <c r="J1768" t="s">
        <v>193</v>
      </c>
      <c r="K1768" t="s">
        <v>255</v>
      </c>
      <c r="L1768">
        <v>1330000000</v>
      </c>
      <c r="M1768" t="s">
        <v>245</v>
      </c>
      <c r="N1768" t="s">
        <v>967</v>
      </c>
      <c r="O1768">
        <v>1</v>
      </c>
      <c r="P1768" t="s">
        <v>257</v>
      </c>
    </row>
    <row r="1769" spans="1:16" hidden="1" x14ac:dyDescent="0.25">
      <c r="A1769" s="16">
        <v>45717</v>
      </c>
      <c r="B1769" t="s">
        <v>35</v>
      </c>
      <c r="C1769">
        <v>19</v>
      </c>
      <c r="D1769" t="s">
        <v>253</v>
      </c>
      <c r="E1769" t="s">
        <v>248</v>
      </c>
      <c r="F1769" t="s">
        <v>244</v>
      </c>
      <c r="G1769" t="s">
        <v>82</v>
      </c>
      <c r="J1769" t="s">
        <v>194</v>
      </c>
      <c r="K1769" t="s">
        <v>255</v>
      </c>
      <c r="L1769">
        <v>1280000000</v>
      </c>
      <c r="M1769" t="s">
        <v>245</v>
      </c>
      <c r="N1769" t="s">
        <v>1334</v>
      </c>
      <c r="O1769">
        <v>1</v>
      </c>
      <c r="P1769" t="s">
        <v>257</v>
      </c>
    </row>
    <row r="1770" spans="1:16" hidden="1" x14ac:dyDescent="0.25">
      <c r="A1770" s="16">
        <v>45717</v>
      </c>
      <c r="B1770" t="s">
        <v>35</v>
      </c>
      <c r="C1770">
        <v>19</v>
      </c>
      <c r="D1770" t="s">
        <v>253</v>
      </c>
      <c r="E1770" t="s">
        <v>248</v>
      </c>
      <c r="F1770" t="s">
        <v>244</v>
      </c>
      <c r="G1770" t="s">
        <v>82</v>
      </c>
      <c r="J1770" t="s">
        <v>195</v>
      </c>
      <c r="K1770" t="s">
        <v>255</v>
      </c>
      <c r="L1770">
        <v>1560000000</v>
      </c>
      <c r="M1770" t="s">
        <v>245</v>
      </c>
      <c r="N1770" t="s">
        <v>1513</v>
      </c>
      <c r="O1770">
        <v>1</v>
      </c>
      <c r="P1770" t="s">
        <v>261</v>
      </c>
    </row>
    <row r="1771" spans="1:16" hidden="1" x14ac:dyDescent="0.25">
      <c r="A1771" s="16">
        <v>45717</v>
      </c>
      <c r="B1771" t="s">
        <v>35</v>
      </c>
      <c r="C1771">
        <v>19</v>
      </c>
      <c r="D1771" t="s">
        <v>247</v>
      </c>
      <c r="E1771" t="s">
        <v>248</v>
      </c>
      <c r="F1771" t="s">
        <v>244</v>
      </c>
      <c r="G1771" t="s">
        <v>82</v>
      </c>
      <c r="H1771" t="s">
        <v>286</v>
      </c>
      <c r="J1771" t="s">
        <v>195</v>
      </c>
      <c r="K1771" t="s">
        <v>250</v>
      </c>
      <c r="L1771">
        <v>22.3</v>
      </c>
      <c r="M1771" t="s">
        <v>251</v>
      </c>
      <c r="N1771" t="s">
        <v>1510</v>
      </c>
    </row>
    <row r="1772" spans="1:16" hidden="1" x14ac:dyDescent="0.25">
      <c r="A1772" s="16">
        <v>45717</v>
      </c>
      <c r="B1772" t="s">
        <v>35</v>
      </c>
      <c r="C1772">
        <v>20</v>
      </c>
      <c r="D1772" t="s">
        <v>291</v>
      </c>
      <c r="E1772" t="s">
        <v>292</v>
      </c>
      <c r="F1772" t="s">
        <v>244</v>
      </c>
      <c r="G1772" t="s">
        <v>82</v>
      </c>
      <c r="H1772" t="s">
        <v>83</v>
      </c>
      <c r="J1772" t="s">
        <v>195</v>
      </c>
      <c r="K1772" t="s">
        <v>250</v>
      </c>
      <c r="L1772">
        <v>1260000000</v>
      </c>
      <c r="M1772" t="s">
        <v>245</v>
      </c>
      <c r="N1772" t="s">
        <v>1514</v>
      </c>
    </row>
    <row r="1773" spans="1:16" hidden="1" x14ac:dyDescent="0.25">
      <c r="A1773" s="16">
        <v>45717</v>
      </c>
      <c r="B1773" t="s">
        <v>35</v>
      </c>
      <c r="C1773">
        <v>20</v>
      </c>
      <c r="D1773" t="s">
        <v>291</v>
      </c>
      <c r="E1773" t="s">
        <v>292</v>
      </c>
      <c r="F1773" t="s">
        <v>244</v>
      </c>
      <c r="G1773" t="s">
        <v>82</v>
      </c>
      <c r="H1773" t="s">
        <v>84</v>
      </c>
      <c r="J1773" t="s">
        <v>195</v>
      </c>
      <c r="K1773" t="s">
        <v>250</v>
      </c>
      <c r="L1773">
        <v>300140000</v>
      </c>
      <c r="M1773" t="s">
        <v>245</v>
      </c>
      <c r="N1773" t="s">
        <v>1515</v>
      </c>
    </row>
    <row r="1774" spans="1:16" hidden="1" x14ac:dyDescent="0.25">
      <c r="A1774" s="16">
        <v>45717</v>
      </c>
      <c r="B1774" t="s">
        <v>35</v>
      </c>
      <c r="C1774">
        <v>21</v>
      </c>
      <c r="D1774" t="s">
        <v>291</v>
      </c>
      <c r="E1774" t="s">
        <v>292</v>
      </c>
      <c r="F1774" t="s">
        <v>244</v>
      </c>
      <c r="G1774" t="s">
        <v>82</v>
      </c>
      <c r="H1774" t="s">
        <v>83</v>
      </c>
      <c r="I1774" t="s">
        <v>313</v>
      </c>
      <c r="J1774" t="s">
        <v>195</v>
      </c>
      <c r="K1774" t="s">
        <v>250</v>
      </c>
      <c r="L1774">
        <v>6</v>
      </c>
      <c r="M1774" t="s">
        <v>251</v>
      </c>
      <c r="N1774" t="s">
        <v>672</v>
      </c>
    </row>
    <row r="1775" spans="1:16" hidden="1" x14ac:dyDescent="0.25">
      <c r="A1775" s="16">
        <v>45717</v>
      </c>
      <c r="B1775" t="s">
        <v>35</v>
      </c>
      <c r="C1775">
        <v>21</v>
      </c>
      <c r="D1775" t="s">
        <v>291</v>
      </c>
      <c r="E1775" t="s">
        <v>292</v>
      </c>
      <c r="F1775" t="s">
        <v>244</v>
      </c>
      <c r="G1775" t="s">
        <v>82</v>
      </c>
      <c r="H1775" t="s">
        <v>83</v>
      </c>
      <c r="I1775" t="s">
        <v>315</v>
      </c>
      <c r="J1775" t="s">
        <v>195</v>
      </c>
      <c r="K1775" t="s">
        <v>250</v>
      </c>
      <c r="L1775">
        <v>72.8</v>
      </c>
      <c r="M1775" t="s">
        <v>251</v>
      </c>
      <c r="N1775" t="s">
        <v>1516</v>
      </c>
    </row>
    <row r="1776" spans="1:16" hidden="1" x14ac:dyDescent="0.25">
      <c r="A1776" s="16">
        <v>45717</v>
      </c>
      <c r="B1776" t="s">
        <v>35</v>
      </c>
      <c r="C1776">
        <v>21</v>
      </c>
      <c r="D1776" t="s">
        <v>291</v>
      </c>
      <c r="E1776" t="s">
        <v>292</v>
      </c>
      <c r="F1776" t="s">
        <v>244</v>
      </c>
      <c r="G1776" t="s">
        <v>82</v>
      </c>
      <c r="H1776" t="s">
        <v>83</v>
      </c>
      <c r="I1776" t="s">
        <v>317</v>
      </c>
      <c r="J1776" t="s">
        <v>195</v>
      </c>
      <c r="K1776" t="s">
        <v>250</v>
      </c>
      <c r="L1776">
        <v>21.2</v>
      </c>
      <c r="M1776" t="s">
        <v>251</v>
      </c>
      <c r="N1776" t="s">
        <v>1517</v>
      </c>
    </row>
    <row r="1777" spans="1:16" hidden="1" x14ac:dyDescent="0.25">
      <c r="A1777" s="16">
        <v>45717</v>
      </c>
      <c r="B1777" t="s">
        <v>35</v>
      </c>
      <c r="C1777">
        <v>21</v>
      </c>
      <c r="D1777" t="s">
        <v>291</v>
      </c>
      <c r="E1777" t="s">
        <v>292</v>
      </c>
      <c r="F1777" t="s">
        <v>244</v>
      </c>
      <c r="G1777" t="s">
        <v>82</v>
      </c>
      <c r="H1777" t="s">
        <v>84</v>
      </c>
      <c r="I1777" t="s">
        <v>319</v>
      </c>
      <c r="J1777" t="s">
        <v>195</v>
      </c>
      <c r="K1777" t="s">
        <v>250</v>
      </c>
      <c r="L1777">
        <v>99.93</v>
      </c>
      <c r="M1777" t="s">
        <v>251</v>
      </c>
      <c r="N1777" t="s">
        <v>974</v>
      </c>
    </row>
    <row r="1778" spans="1:16" hidden="1" x14ac:dyDescent="0.25">
      <c r="A1778" s="16">
        <v>45717</v>
      </c>
      <c r="B1778" t="s">
        <v>35</v>
      </c>
      <c r="C1778">
        <v>21</v>
      </c>
      <c r="D1778" t="s">
        <v>291</v>
      </c>
      <c r="E1778" t="s">
        <v>292</v>
      </c>
      <c r="F1778" t="s">
        <v>244</v>
      </c>
      <c r="G1778" t="s">
        <v>82</v>
      </c>
      <c r="H1778" t="s">
        <v>84</v>
      </c>
      <c r="I1778" t="s">
        <v>321</v>
      </c>
      <c r="J1778" t="s">
        <v>195</v>
      </c>
      <c r="K1778" t="s">
        <v>250</v>
      </c>
      <c r="L1778">
        <v>7.0000000000000007E-2</v>
      </c>
      <c r="M1778" t="s">
        <v>251</v>
      </c>
      <c r="N1778" t="s">
        <v>975</v>
      </c>
    </row>
    <row r="1779" spans="1:16" hidden="1" x14ac:dyDescent="0.25">
      <c r="A1779" s="16">
        <v>45717</v>
      </c>
      <c r="B1779" t="s">
        <v>35</v>
      </c>
      <c r="C1779">
        <v>22</v>
      </c>
      <c r="D1779" t="s">
        <v>253</v>
      </c>
      <c r="E1779" t="s">
        <v>248</v>
      </c>
      <c r="F1779" t="s">
        <v>334</v>
      </c>
      <c r="G1779" t="s">
        <v>82</v>
      </c>
      <c r="J1779" t="s">
        <v>193</v>
      </c>
      <c r="K1779" t="s">
        <v>255</v>
      </c>
      <c r="L1779">
        <v>129</v>
      </c>
      <c r="M1779" t="s">
        <v>245</v>
      </c>
      <c r="N1779" t="s">
        <v>1148</v>
      </c>
      <c r="O1779">
        <v>1</v>
      </c>
      <c r="P1779" t="s">
        <v>257</v>
      </c>
    </row>
    <row r="1780" spans="1:16" hidden="1" x14ac:dyDescent="0.25">
      <c r="A1780" s="16">
        <v>45717</v>
      </c>
      <c r="B1780" t="s">
        <v>35</v>
      </c>
      <c r="C1780">
        <v>22</v>
      </c>
      <c r="D1780" t="s">
        <v>253</v>
      </c>
      <c r="E1780" t="s">
        <v>248</v>
      </c>
      <c r="F1780" t="s">
        <v>334</v>
      </c>
      <c r="G1780" t="s">
        <v>82</v>
      </c>
      <c r="J1780" t="s">
        <v>194</v>
      </c>
      <c r="K1780" t="s">
        <v>255</v>
      </c>
      <c r="L1780">
        <v>129</v>
      </c>
      <c r="M1780" t="s">
        <v>245</v>
      </c>
      <c r="N1780" t="s">
        <v>1148</v>
      </c>
      <c r="O1780">
        <v>1</v>
      </c>
      <c r="P1780" t="s">
        <v>257</v>
      </c>
    </row>
    <row r="1781" spans="1:16" hidden="1" x14ac:dyDescent="0.25">
      <c r="A1781" s="16">
        <v>45717</v>
      </c>
      <c r="B1781" t="s">
        <v>35</v>
      </c>
      <c r="C1781">
        <v>22</v>
      </c>
      <c r="D1781" t="s">
        <v>253</v>
      </c>
      <c r="E1781" t="s">
        <v>248</v>
      </c>
      <c r="F1781" t="s">
        <v>334</v>
      </c>
      <c r="G1781" t="s">
        <v>82</v>
      </c>
      <c r="J1781" t="s">
        <v>195</v>
      </c>
      <c r="K1781" t="s">
        <v>255</v>
      </c>
      <c r="L1781">
        <v>129</v>
      </c>
      <c r="M1781" t="s">
        <v>245</v>
      </c>
      <c r="N1781" t="s">
        <v>1148</v>
      </c>
      <c r="O1781">
        <v>1</v>
      </c>
      <c r="P1781" t="s">
        <v>261</v>
      </c>
    </row>
    <row r="1782" spans="1:16" hidden="1" x14ac:dyDescent="0.25">
      <c r="A1782" s="16">
        <v>45717</v>
      </c>
      <c r="B1782" t="s">
        <v>35</v>
      </c>
      <c r="C1782">
        <v>23</v>
      </c>
      <c r="D1782" t="s">
        <v>291</v>
      </c>
      <c r="E1782" t="s">
        <v>292</v>
      </c>
      <c r="F1782" t="s">
        <v>240</v>
      </c>
      <c r="G1782" t="s">
        <v>82</v>
      </c>
      <c r="H1782" t="s">
        <v>94</v>
      </c>
      <c r="J1782" t="s">
        <v>195</v>
      </c>
      <c r="K1782" t="s">
        <v>250</v>
      </c>
      <c r="L1782">
        <v>5510000</v>
      </c>
      <c r="M1782" t="s">
        <v>242</v>
      </c>
      <c r="N1782" t="s">
        <v>1518</v>
      </c>
    </row>
    <row r="1783" spans="1:16" hidden="1" x14ac:dyDescent="0.25">
      <c r="A1783" s="16">
        <v>45717</v>
      </c>
      <c r="B1783" t="s">
        <v>35</v>
      </c>
      <c r="C1783">
        <v>23</v>
      </c>
      <c r="D1783" t="s">
        <v>291</v>
      </c>
      <c r="E1783" t="s">
        <v>292</v>
      </c>
      <c r="F1783" t="s">
        <v>240</v>
      </c>
      <c r="G1783" t="s">
        <v>82</v>
      </c>
      <c r="H1783" t="s">
        <v>95</v>
      </c>
      <c r="J1783" t="s">
        <v>195</v>
      </c>
      <c r="K1783" t="s">
        <v>250</v>
      </c>
      <c r="L1783">
        <v>1930000</v>
      </c>
      <c r="M1783" t="s">
        <v>242</v>
      </c>
      <c r="N1783" t="s">
        <v>1221</v>
      </c>
    </row>
    <row r="1784" spans="1:16" hidden="1" x14ac:dyDescent="0.25">
      <c r="A1784" s="16">
        <v>45717</v>
      </c>
      <c r="B1784" t="s">
        <v>35</v>
      </c>
      <c r="C1784">
        <v>24</v>
      </c>
      <c r="D1784" t="s">
        <v>291</v>
      </c>
      <c r="E1784" t="s">
        <v>292</v>
      </c>
      <c r="F1784" t="s">
        <v>244</v>
      </c>
      <c r="G1784" t="s">
        <v>82</v>
      </c>
      <c r="H1784" t="s">
        <v>94</v>
      </c>
      <c r="J1784" t="s">
        <v>195</v>
      </c>
      <c r="K1784" t="s">
        <v>250</v>
      </c>
      <c r="L1784">
        <v>856400000</v>
      </c>
      <c r="M1784" t="s">
        <v>245</v>
      </c>
      <c r="N1784" t="s">
        <v>1519</v>
      </c>
    </row>
    <row r="1785" spans="1:16" hidden="1" x14ac:dyDescent="0.25">
      <c r="A1785" s="16">
        <v>45717</v>
      </c>
      <c r="B1785" t="s">
        <v>35</v>
      </c>
      <c r="C1785">
        <v>24</v>
      </c>
      <c r="D1785" t="s">
        <v>291</v>
      </c>
      <c r="E1785" t="s">
        <v>292</v>
      </c>
      <c r="F1785" t="s">
        <v>244</v>
      </c>
      <c r="G1785" t="s">
        <v>82</v>
      </c>
      <c r="H1785" t="s">
        <v>95</v>
      </c>
      <c r="J1785" t="s">
        <v>195</v>
      </c>
      <c r="K1785" t="s">
        <v>250</v>
      </c>
      <c r="L1785">
        <v>223900000</v>
      </c>
      <c r="M1785" t="s">
        <v>245</v>
      </c>
      <c r="N1785" t="s">
        <v>1520</v>
      </c>
    </row>
    <row r="1786" spans="1:16" hidden="1" x14ac:dyDescent="0.25">
      <c r="A1786" s="16">
        <v>45717</v>
      </c>
      <c r="B1786" t="s">
        <v>156</v>
      </c>
      <c r="C1786">
        <v>78</v>
      </c>
      <c r="D1786" t="s">
        <v>238</v>
      </c>
      <c r="E1786" t="s">
        <v>239</v>
      </c>
      <c r="F1786" t="s">
        <v>240</v>
      </c>
      <c r="G1786" t="s">
        <v>158</v>
      </c>
      <c r="J1786" t="s">
        <v>195</v>
      </c>
      <c r="K1786" t="s">
        <v>241</v>
      </c>
      <c r="L1786">
        <v>1430000</v>
      </c>
      <c r="M1786" t="s">
        <v>242</v>
      </c>
      <c r="N1786" t="s">
        <v>963</v>
      </c>
    </row>
    <row r="1787" spans="1:16" hidden="1" x14ac:dyDescent="0.25">
      <c r="A1787" s="16">
        <v>45717</v>
      </c>
      <c r="B1787" t="s">
        <v>156</v>
      </c>
      <c r="C1787">
        <v>78</v>
      </c>
      <c r="D1787" t="s">
        <v>238</v>
      </c>
      <c r="E1787" t="s">
        <v>239</v>
      </c>
      <c r="F1787" t="s">
        <v>244</v>
      </c>
      <c r="G1787" t="s">
        <v>158</v>
      </c>
      <c r="J1787" t="s">
        <v>195</v>
      </c>
      <c r="K1787" t="s">
        <v>241</v>
      </c>
      <c r="L1787">
        <v>9670000000</v>
      </c>
      <c r="M1787" t="s">
        <v>245</v>
      </c>
      <c r="N1787" t="s">
        <v>1521</v>
      </c>
    </row>
    <row r="1788" spans="1:16" hidden="1" x14ac:dyDescent="0.25">
      <c r="A1788" s="16">
        <v>45717</v>
      </c>
      <c r="B1788" t="s">
        <v>156</v>
      </c>
      <c r="C1788">
        <v>80</v>
      </c>
      <c r="D1788" t="s">
        <v>253</v>
      </c>
      <c r="E1788" t="s">
        <v>248</v>
      </c>
      <c r="F1788" t="s">
        <v>344</v>
      </c>
      <c r="G1788" t="s">
        <v>158</v>
      </c>
      <c r="J1788" t="s">
        <v>193</v>
      </c>
      <c r="K1788" t="s">
        <v>255</v>
      </c>
      <c r="L1788">
        <v>477000</v>
      </c>
      <c r="M1788" t="s">
        <v>242</v>
      </c>
      <c r="N1788" t="s">
        <v>1154</v>
      </c>
      <c r="O1788">
        <v>1</v>
      </c>
      <c r="P1788" t="s">
        <v>257</v>
      </c>
    </row>
    <row r="1789" spans="1:16" hidden="1" x14ac:dyDescent="0.25">
      <c r="A1789" s="16">
        <v>45717</v>
      </c>
      <c r="B1789" t="s">
        <v>156</v>
      </c>
      <c r="C1789">
        <v>80</v>
      </c>
      <c r="D1789" t="s">
        <v>253</v>
      </c>
      <c r="E1789" t="s">
        <v>248</v>
      </c>
      <c r="F1789" t="s">
        <v>344</v>
      </c>
      <c r="G1789" t="s">
        <v>158</v>
      </c>
      <c r="J1789" t="s">
        <v>194</v>
      </c>
      <c r="K1789" t="s">
        <v>255</v>
      </c>
      <c r="L1789">
        <v>464000</v>
      </c>
      <c r="M1789" t="s">
        <v>242</v>
      </c>
      <c r="N1789" t="s">
        <v>1345</v>
      </c>
      <c r="O1789">
        <v>1</v>
      </c>
      <c r="P1789" t="s">
        <v>257</v>
      </c>
    </row>
    <row r="1790" spans="1:16" hidden="1" x14ac:dyDescent="0.25">
      <c r="A1790" s="16">
        <v>45717</v>
      </c>
      <c r="B1790" t="s">
        <v>156</v>
      </c>
      <c r="C1790">
        <v>80</v>
      </c>
      <c r="D1790" t="s">
        <v>253</v>
      </c>
      <c r="E1790" t="s">
        <v>248</v>
      </c>
      <c r="F1790" t="s">
        <v>344</v>
      </c>
      <c r="G1790" t="s">
        <v>158</v>
      </c>
      <c r="J1790" t="s">
        <v>195</v>
      </c>
      <c r="K1790" t="s">
        <v>255</v>
      </c>
      <c r="L1790">
        <v>491000</v>
      </c>
      <c r="M1790" t="s">
        <v>242</v>
      </c>
      <c r="N1790" t="s">
        <v>1522</v>
      </c>
      <c r="O1790">
        <v>1</v>
      </c>
      <c r="P1790" t="s">
        <v>261</v>
      </c>
    </row>
    <row r="1791" spans="1:16" hidden="1" x14ac:dyDescent="0.25">
      <c r="A1791" s="16">
        <v>45717</v>
      </c>
      <c r="B1791" t="s">
        <v>156</v>
      </c>
      <c r="C1791">
        <v>80</v>
      </c>
      <c r="D1791" t="s">
        <v>247</v>
      </c>
      <c r="E1791" t="s">
        <v>248</v>
      </c>
      <c r="F1791" t="s">
        <v>344</v>
      </c>
      <c r="G1791" t="s">
        <v>158</v>
      </c>
      <c r="H1791" t="s">
        <v>286</v>
      </c>
      <c r="J1791" t="s">
        <v>195</v>
      </c>
      <c r="K1791" t="s">
        <v>250</v>
      </c>
      <c r="L1791">
        <v>5.9</v>
      </c>
      <c r="M1791" t="s">
        <v>251</v>
      </c>
      <c r="N1791" t="s">
        <v>1523</v>
      </c>
    </row>
    <row r="1792" spans="1:16" hidden="1" x14ac:dyDescent="0.25">
      <c r="A1792" s="16">
        <v>45717</v>
      </c>
      <c r="B1792" t="s">
        <v>156</v>
      </c>
      <c r="C1792">
        <v>81</v>
      </c>
      <c r="D1792" t="s">
        <v>253</v>
      </c>
      <c r="E1792" t="s">
        <v>248</v>
      </c>
      <c r="F1792" t="s">
        <v>349</v>
      </c>
      <c r="G1792" t="s">
        <v>158</v>
      </c>
      <c r="J1792" t="s">
        <v>193</v>
      </c>
      <c r="K1792" t="s">
        <v>255</v>
      </c>
      <c r="L1792">
        <v>15300</v>
      </c>
      <c r="M1792" t="s">
        <v>242</v>
      </c>
      <c r="N1792" t="s">
        <v>1156</v>
      </c>
      <c r="O1792">
        <v>1</v>
      </c>
      <c r="P1792" t="s">
        <v>257</v>
      </c>
    </row>
    <row r="1793" spans="1:17" hidden="1" x14ac:dyDescent="0.25">
      <c r="A1793" s="16">
        <v>45717</v>
      </c>
      <c r="B1793" t="s">
        <v>156</v>
      </c>
      <c r="C1793">
        <v>81</v>
      </c>
      <c r="D1793" t="s">
        <v>253</v>
      </c>
      <c r="E1793" t="s">
        <v>248</v>
      </c>
      <c r="F1793" t="s">
        <v>349</v>
      </c>
      <c r="G1793" t="s">
        <v>158</v>
      </c>
      <c r="J1793" t="s">
        <v>194</v>
      </c>
      <c r="K1793" t="s">
        <v>255</v>
      </c>
      <c r="L1793">
        <v>14400</v>
      </c>
      <c r="M1793" t="s">
        <v>242</v>
      </c>
      <c r="N1793" t="s">
        <v>1347</v>
      </c>
      <c r="O1793">
        <v>1</v>
      </c>
      <c r="P1793" t="s">
        <v>257</v>
      </c>
    </row>
    <row r="1794" spans="1:17" hidden="1" x14ac:dyDescent="0.25">
      <c r="A1794" s="16">
        <v>45717</v>
      </c>
      <c r="B1794" t="s">
        <v>156</v>
      </c>
      <c r="C1794">
        <v>81</v>
      </c>
      <c r="D1794" t="s">
        <v>253</v>
      </c>
      <c r="E1794" t="s">
        <v>248</v>
      </c>
      <c r="F1794" t="s">
        <v>349</v>
      </c>
      <c r="G1794" t="s">
        <v>158</v>
      </c>
      <c r="J1794" t="s">
        <v>195</v>
      </c>
      <c r="K1794" t="s">
        <v>255</v>
      </c>
      <c r="L1794">
        <v>16400</v>
      </c>
      <c r="M1794" t="s">
        <v>242</v>
      </c>
      <c r="N1794" t="s">
        <v>1524</v>
      </c>
      <c r="O1794">
        <v>1</v>
      </c>
      <c r="P1794" t="s">
        <v>261</v>
      </c>
    </row>
    <row r="1795" spans="1:17" hidden="1" x14ac:dyDescent="0.25">
      <c r="A1795" s="16">
        <v>45717</v>
      </c>
      <c r="B1795" t="s">
        <v>156</v>
      </c>
      <c r="C1795">
        <v>82</v>
      </c>
      <c r="D1795" t="s">
        <v>253</v>
      </c>
      <c r="E1795" t="s">
        <v>248</v>
      </c>
      <c r="F1795" t="s">
        <v>615</v>
      </c>
      <c r="G1795" t="s">
        <v>158</v>
      </c>
      <c r="J1795" t="s">
        <v>193</v>
      </c>
      <c r="K1795" t="s">
        <v>255</v>
      </c>
      <c r="L1795">
        <v>3.2</v>
      </c>
      <c r="M1795" t="s">
        <v>251</v>
      </c>
      <c r="N1795" t="s">
        <v>509</v>
      </c>
      <c r="O1795">
        <v>1</v>
      </c>
      <c r="P1795" t="s">
        <v>257</v>
      </c>
    </row>
    <row r="1796" spans="1:17" hidden="1" x14ac:dyDescent="0.25">
      <c r="A1796" s="16">
        <v>45717</v>
      </c>
      <c r="B1796" t="s">
        <v>156</v>
      </c>
      <c r="C1796">
        <v>82</v>
      </c>
      <c r="D1796" t="s">
        <v>253</v>
      </c>
      <c r="E1796" t="s">
        <v>248</v>
      </c>
      <c r="F1796" t="s">
        <v>615</v>
      </c>
      <c r="G1796" t="s">
        <v>158</v>
      </c>
      <c r="J1796" t="s">
        <v>194</v>
      </c>
      <c r="K1796" t="s">
        <v>255</v>
      </c>
      <c r="L1796">
        <v>3.1</v>
      </c>
      <c r="M1796" t="s">
        <v>251</v>
      </c>
      <c r="N1796" t="s">
        <v>1525</v>
      </c>
      <c r="O1796">
        <v>1</v>
      </c>
      <c r="P1796" t="s">
        <v>257</v>
      </c>
      <c r="Q1796" t="s">
        <v>1526</v>
      </c>
    </row>
    <row r="1797" spans="1:17" hidden="1" x14ac:dyDescent="0.25">
      <c r="A1797" s="16">
        <v>45717</v>
      </c>
      <c r="B1797" t="s">
        <v>156</v>
      </c>
      <c r="C1797">
        <v>82</v>
      </c>
      <c r="D1797" t="s">
        <v>253</v>
      </c>
      <c r="E1797" t="s">
        <v>248</v>
      </c>
      <c r="F1797" t="s">
        <v>615</v>
      </c>
      <c r="G1797" t="s">
        <v>158</v>
      </c>
      <c r="J1797" t="s">
        <v>195</v>
      </c>
      <c r="K1797" t="s">
        <v>255</v>
      </c>
      <c r="L1797">
        <v>3.3</v>
      </c>
      <c r="M1797" t="s">
        <v>251</v>
      </c>
      <c r="N1797" t="s">
        <v>1527</v>
      </c>
      <c r="O1797">
        <v>1</v>
      </c>
      <c r="P1797" t="s">
        <v>261</v>
      </c>
    </row>
    <row r="1798" spans="1:17" hidden="1" x14ac:dyDescent="0.25">
      <c r="A1798" s="16">
        <v>45717</v>
      </c>
      <c r="B1798" t="s">
        <v>156</v>
      </c>
      <c r="C1798">
        <v>83</v>
      </c>
      <c r="D1798" t="s">
        <v>291</v>
      </c>
      <c r="E1798" t="s">
        <v>292</v>
      </c>
      <c r="F1798" t="s">
        <v>349</v>
      </c>
      <c r="G1798" t="s">
        <v>158</v>
      </c>
      <c r="H1798" t="s">
        <v>159</v>
      </c>
      <c r="J1798" t="s">
        <v>195</v>
      </c>
      <c r="K1798" t="s">
        <v>250</v>
      </c>
      <c r="L1798">
        <v>11245</v>
      </c>
      <c r="M1798" t="s">
        <v>242</v>
      </c>
      <c r="N1798" t="s">
        <v>1528</v>
      </c>
    </row>
    <row r="1799" spans="1:17" hidden="1" x14ac:dyDescent="0.25">
      <c r="A1799" s="16">
        <v>45717</v>
      </c>
      <c r="B1799" t="s">
        <v>156</v>
      </c>
      <c r="C1799">
        <v>83</v>
      </c>
      <c r="D1799" t="s">
        <v>291</v>
      </c>
      <c r="E1799" t="s">
        <v>292</v>
      </c>
      <c r="F1799" t="s">
        <v>349</v>
      </c>
      <c r="G1799" t="s">
        <v>158</v>
      </c>
      <c r="H1799" t="s">
        <v>160</v>
      </c>
      <c r="J1799" t="s">
        <v>195</v>
      </c>
      <c r="K1799" t="s">
        <v>250</v>
      </c>
      <c r="L1799">
        <v>5116</v>
      </c>
      <c r="M1799" t="s">
        <v>242</v>
      </c>
      <c r="N1799" t="s">
        <v>1529</v>
      </c>
    </row>
    <row r="1800" spans="1:17" hidden="1" x14ac:dyDescent="0.25">
      <c r="A1800" s="16">
        <v>45717</v>
      </c>
      <c r="B1800" t="s">
        <v>156</v>
      </c>
      <c r="C1800">
        <v>84</v>
      </c>
      <c r="D1800" t="s">
        <v>253</v>
      </c>
      <c r="E1800" t="s">
        <v>248</v>
      </c>
      <c r="F1800" t="s">
        <v>356</v>
      </c>
      <c r="G1800" t="s">
        <v>158</v>
      </c>
      <c r="J1800" t="s">
        <v>193</v>
      </c>
      <c r="K1800" t="s">
        <v>255</v>
      </c>
      <c r="L1800">
        <v>3370000000</v>
      </c>
      <c r="M1800" t="s">
        <v>245</v>
      </c>
      <c r="N1800" t="s">
        <v>1159</v>
      </c>
      <c r="O1800">
        <v>1</v>
      </c>
      <c r="P1800" t="s">
        <v>257</v>
      </c>
    </row>
    <row r="1801" spans="1:17" hidden="1" x14ac:dyDescent="0.25">
      <c r="A1801" s="16">
        <v>45717</v>
      </c>
      <c r="B1801" t="s">
        <v>156</v>
      </c>
      <c r="C1801">
        <v>84</v>
      </c>
      <c r="D1801" t="s">
        <v>253</v>
      </c>
      <c r="E1801" t="s">
        <v>248</v>
      </c>
      <c r="F1801" t="s">
        <v>356</v>
      </c>
      <c r="G1801" t="s">
        <v>158</v>
      </c>
      <c r="J1801" t="s">
        <v>194</v>
      </c>
      <c r="K1801" t="s">
        <v>255</v>
      </c>
      <c r="L1801">
        <v>3200000000</v>
      </c>
      <c r="M1801" t="s">
        <v>245</v>
      </c>
      <c r="N1801" t="s">
        <v>1350</v>
      </c>
      <c r="O1801">
        <v>1</v>
      </c>
      <c r="P1801" t="s">
        <v>257</v>
      </c>
    </row>
    <row r="1802" spans="1:17" hidden="1" x14ac:dyDescent="0.25">
      <c r="A1802" s="16">
        <v>45717</v>
      </c>
      <c r="B1802" t="s">
        <v>156</v>
      </c>
      <c r="C1802">
        <v>84</v>
      </c>
      <c r="D1802" t="s">
        <v>253</v>
      </c>
      <c r="E1802" t="s">
        <v>248</v>
      </c>
      <c r="F1802" t="s">
        <v>356</v>
      </c>
      <c r="G1802" t="s">
        <v>158</v>
      </c>
      <c r="J1802" t="s">
        <v>195</v>
      </c>
      <c r="K1802" t="s">
        <v>255</v>
      </c>
      <c r="L1802">
        <v>3100000000</v>
      </c>
      <c r="M1802" t="s">
        <v>245</v>
      </c>
      <c r="N1802" t="s">
        <v>1530</v>
      </c>
      <c r="O1802">
        <v>1</v>
      </c>
      <c r="P1802" t="s">
        <v>261</v>
      </c>
    </row>
    <row r="1803" spans="1:17" hidden="1" x14ac:dyDescent="0.25">
      <c r="A1803" s="16">
        <v>45717</v>
      </c>
      <c r="B1803" t="s">
        <v>156</v>
      </c>
      <c r="C1803">
        <v>84</v>
      </c>
      <c r="D1803" t="s">
        <v>247</v>
      </c>
      <c r="E1803" t="s">
        <v>248</v>
      </c>
      <c r="F1803" t="s">
        <v>356</v>
      </c>
      <c r="G1803" t="s">
        <v>158</v>
      </c>
      <c r="H1803" t="s">
        <v>249</v>
      </c>
      <c r="J1803" t="s">
        <v>195</v>
      </c>
      <c r="K1803" t="s">
        <v>250</v>
      </c>
      <c r="L1803">
        <v>3</v>
      </c>
      <c r="M1803" t="s">
        <v>251</v>
      </c>
      <c r="N1803" t="s">
        <v>1531</v>
      </c>
    </row>
    <row r="1804" spans="1:17" hidden="1" x14ac:dyDescent="0.25">
      <c r="A1804" s="16">
        <v>45717</v>
      </c>
      <c r="B1804" t="s">
        <v>156</v>
      </c>
      <c r="C1804">
        <v>85</v>
      </c>
      <c r="D1804" t="s">
        <v>253</v>
      </c>
      <c r="E1804" t="s">
        <v>248</v>
      </c>
      <c r="F1804" t="s">
        <v>361</v>
      </c>
      <c r="G1804" t="s">
        <v>158</v>
      </c>
      <c r="J1804" t="s">
        <v>193</v>
      </c>
      <c r="K1804" t="s">
        <v>255</v>
      </c>
      <c r="L1804">
        <v>91000000</v>
      </c>
      <c r="M1804" t="s">
        <v>245</v>
      </c>
      <c r="N1804" t="s">
        <v>1161</v>
      </c>
      <c r="O1804">
        <v>1</v>
      </c>
      <c r="P1804" t="s">
        <v>257</v>
      </c>
    </row>
    <row r="1805" spans="1:17" hidden="1" x14ac:dyDescent="0.25">
      <c r="A1805" s="16">
        <v>45717</v>
      </c>
      <c r="B1805" t="s">
        <v>156</v>
      </c>
      <c r="C1805">
        <v>85</v>
      </c>
      <c r="D1805" t="s">
        <v>253</v>
      </c>
      <c r="E1805" t="s">
        <v>248</v>
      </c>
      <c r="F1805" t="s">
        <v>361</v>
      </c>
      <c r="G1805" t="s">
        <v>158</v>
      </c>
      <c r="J1805" t="s">
        <v>194</v>
      </c>
      <c r="K1805" t="s">
        <v>255</v>
      </c>
      <c r="L1805">
        <v>82000000</v>
      </c>
      <c r="M1805" t="s">
        <v>245</v>
      </c>
      <c r="N1805" t="s">
        <v>804</v>
      </c>
      <c r="O1805">
        <v>1</v>
      </c>
      <c r="P1805" t="s">
        <v>257</v>
      </c>
    </row>
    <row r="1806" spans="1:17" hidden="1" x14ac:dyDescent="0.25">
      <c r="A1806" s="16">
        <v>45717</v>
      </c>
      <c r="B1806" t="s">
        <v>156</v>
      </c>
      <c r="C1806">
        <v>85</v>
      </c>
      <c r="D1806" t="s">
        <v>253</v>
      </c>
      <c r="E1806" t="s">
        <v>248</v>
      </c>
      <c r="F1806" t="s">
        <v>361</v>
      </c>
      <c r="G1806" t="s">
        <v>158</v>
      </c>
      <c r="J1806" t="s">
        <v>195</v>
      </c>
      <c r="K1806" t="s">
        <v>255</v>
      </c>
      <c r="L1806">
        <v>84000000</v>
      </c>
      <c r="M1806" t="s">
        <v>245</v>
      </c>
      <c r="N1806" t="s">
        <v>1532</v>
      </c>
      <c r="O1806">
        <v>1</v>
      </c>
      <c r="P1806" t="s">
        <v>261</v>
      </c>
    </row>
    <row r="1807" spans="1:17" hidden="1" x14ac:dyDescent="0.25">
      <c r="A1807" s="16">
        <v>45717</v>
      </c>
      <c r="B1807" t="s">
        <v>156</v>
      </c>
      <c r="C1807">
        <v>86</v>
      </c>
      <c r="D1807" t="s">
        <v>253</v>
      </c>
      <c r="E1807" t="s">
        <v>248</v>
      </c>
      <c r="F1807" t="s">
        <v>622</v>
      </c>
      <c r="G1807" t="s">
        <v>158</v>
      </c>
      <c r="J1807" t="s">
        <v>193</v>
      </c>
      <c r="K1807" t="s">
        <v>255</v>
      </c>
      <c r="L1807">
        <v>2.69</v>
      </c>
      <c r="M1807" t="s">
        <v>251</v>
      </c>
      <c r="N1807" t="s">
        <v>1162</v>
      </c>
      <c r="O1807">
        <v>1</v>
      </c>
      <c r="P1807" t="s">
        <v>257</v>
      </c>
    </row>
    <row r="1808" spans="1:17" hidden="1" x14ac:dyDescent="0.25">
      <c r="A1808" s="16">
        <v>45717</v>
      </c>
      <c r="B1808" t="s">
        <v>156</v>
      </c>
      <c r="C1808">
        <v>86</v>
      </c>
      <c r="D1808" t="s">
        <v>253</v>
      </c>
      <c r="E1808" t="s">
        <v>248</v>
      </c>
      <c r="F1808" t="s">
        <v>622</v>
      </c>
      <c r="G1808" t="s">
        <v>158</v>
      </c>
      <c r="J1808" t="s">
        <v>194</v>
      </c>
      <c r="K1808" t="s">
        <v>255</v>
      </c>
      <c r="L1808">
        <v>2.57</v>
      </c>
      <c r="M1808" t="s">
        <v>251</v>
      </c>
      <c r="N1808" t="s">
        <v>1351</v>
      </c>
      <c r="O1808">
        <v>1</v>
      </c>
      <c r="P1808" t="s">
        <v>257</v>
      </c>
    </row>
    <row r="1809" spans="1:16" hidden="1" x14ac:dyDescent="0.25">
      <c r="A1809" s="16">
        <v>45717</v>
      </c>
      <c r="B1809" t="s">
        <v>156</v>
      </c>
      <c r="C1809">
        <v>86</v>
      </c>
      <c r="D1809" t="s">
        <v>253</v>
      </c>
      <c r="E1809" t="s">
        <v>248</v>
      </c>
      <c r="F1809" t="s">
        <v>622</v>
      </c>
      <c r="G1809" t="s">
        <v>158</v>
      </c>
      <c r="J1809" t="s">
        <v>195</v>
      </c>
      <c r="K1809" t="s">
        <v>255</v>
      </c>
      <c r="L1809">
        <v>2.7</v>
      </c>
      <c r="M1809" t="s">
        <v>251</v>
      </c>
      <c r="N1809" t="s">
        <v>805</v>
      </c>
      <c r="O1809">
        <v>1</v>
      </c>
      <c r="P1809" t="s">
        <v>261</v>
      </c>
    </row>
    <row r="1810" spans="1:16" hidden="1" x14ac:dyDescent="0.25">
      <c r="A1810" s="16">
        <v>45717</v>
      </c>
      <c r="B1810" t="s">
        <v>156</v>
      </c>
      <c r="C1810">
        <v>87</v>
      </c>
      <c r="D1810" t="s">
        <v>291</v>
      </c>
      <c r="E1810" t="s">
        <v>292</v>
      </c>
      <c r="F1810" t="s">
        <v>361</v>
      </c>
      <c r="G1810" t="s">
        <v>158</v>
      </c>
      <c r="H1810" t="s">
        <v>159</v>
      </c>
      <c r="J1810" t="s">
        <v>195</v>
      </c>
      <c r="K1810" t="s">
        <v>250</v>
      </c>
      <c r="L1810">
        <v>59100000</v>
      </c>
      <c r="M1810" t="s">
        <v>245</v>
      </c>
      <c r="N1810" t="s">
        <v>1533</v>
      </c>
    </row>
    <row r="1811" spans="1:16" hidden="1" x14ac:dyDescent="0.25">
      <c r="A1811" s="16">
        <v>45717</v>
      </c>
      <c r="B1811" t="s">
        <v>156</v>
      </c>
      <c r="C1811">
        <v>87</v>
      </c>
      <c r="D1811" t="s">
        <v>291</v>
      </c>
      <c r="E1811" t="s">
        <v>292</v>
      </c>
      <c r="F1811" t="s">
        <v>361</v>
      </c>
      <c r="G1811" t="s">
        <v>158</v>
      </c>
      <c r="H1811" t="s">
        <v>160</v>
      </c>
      <c r="J1811" t="s">
        <v>195</v>
      </c>
      <c r="K1811" t="s">
        <v>250</v>
      </c>
      <c r="L1811">
        <v>24800000</v>
      </c>
      <c r="M1811" t="s">
        <v>245</v>
      </c>
      <c r="N1811" t="s">
        <v>1534</v>
      </c>
    </row>
    <row r="1812" spans="1:16" hidden="1" x14ac:dyDescent="0.25">
      <c r="A1812" s="16">
        <v>45717</v>
      </c>
      <c r="B1812" t="s">
        <v>120</v>
      </c>
      <c r="C1812">
        <v>60</v>
      </c>
      <c r="D1812" t="s">
        <v>238</v>
      </c>
      <c r="E1812" t="s">
        <v>239</v>
      </c>
      <c r="F1812" t="s">
        <v>240</v>
      </c>
      <c r="G1812" t="s">
        <v>82</v>
      </c>
      <c r="J1812" t="s">
        <v>195</v>
      </c>
      <c r="K1812" t="s">
        <v>241</v>
      </c>
      <c r="L1812">
        <v>17090000</v>
      </c>
      <c r="M1812" t="s">
        <v>242</v>
      </c>
      <c r="N1812" t="s">
        <v>1535</v>
      </c>
    </row>
    <row r="1813" spans="1:16" hidden="1" x14ac:dyDescent="0.25">
      <c r="A1813" s="16">
        <v>45717</v>
      </c>
      <c r="B1813" t="s">
        <v>120</v>
      </c>
      <c r="C1813">
        <v>60</v>
      </c>
      <c r="D1813" t="s">
        <v>238</v>
      </c>
      <c r="E1813" t="s">
        <v>239</v>
      </c>
      <c r="F1813" t="s">
        <v>244</v>
      </c>
      <c r="G1813" t="s">
        <v>82</v>
      </c>
      <c r="J1813" t="s">
        <v>195</v>
      </c>
      <c r="K1813" t="s">
        <v>241</v>
      </c>
      <c r="L1813">
        <v>3670000000</v>
      </c>
      <c r="M1813" t="s">
        <v>245</v>
      </c>
      <c r="N1813" t="s">
        <v>1536</v>
      </c>
    </row>
    <row r="1814" spans="1:16" hidden="1" x14ac:dyDescent="0.25">
      <c r="A1814" s="16">
        <v>45717</v>
      </c>
      <c r="B1814" t="s">
        <v>120</v>
      </c>
      <c r="C1814">
        <v>62</v>
      </c>
      <c r="D1814" t="s">
        <v>253</v>
      </c>
      <c r="E1814" t="s">
        <v>248</v>
      </c>
      <c r="F1814" t="s">
        <v>285</v>
      </c>
      <c r="G1814" t="s">
        <v>63</v>
      </c>
      <c r="J1814" t="s">
        <v>193</v>
      </c>
      <c r="K1814" t="s">
        <v>255</v>
      </c>
      <c r="L1814">
        <v>4580000</v>
      </c>
      <c r="M1814" t="s">
        <v>242</v>
      </c>
      <c r="N1814" t="s">
        <v>1167</v>
      </c>
      <c r="O1814">
        <v>1</v>
      </c>
      <c r="P1814" t="s">
        <v>257</v>
      </c>
    </row>
    <row r="1815" spans="1:16" hidden="1" x14ac:dyDescent="0.25">
      <c r="A1815" s="16">
        <v>45717</v>
      </c>
      <c r="B1815" t="s">
        <v>120</v>
      </c>
      <c r="C1815">
        <v>62</v>
      </c>
      <c r="D1815" t="s">
        <v>253</v>
      </c>
      <c r="E1815" t="s">
        <v>248</v>
      </c>
      <c r="F1815" t="s">
        <v>285</v>
      </c>
      <c r="G1815" t="s">
        <v>63</v>
      </c>
      <c r="J1815" t="s">
        <v>194</v>
      </c>
      <c r="K1815" t="s">
        <v>255</v>
      </c>
      <c r="L1815">
        <v>4620000</v>
      </c>
      <c r="M1815" t="s">
        <v>242</v>
      </c>
      <c r="N1815" t="s">
        <v>1356</v>
      </c>
      <c r="O1815">
        <v>1</v>
      </c>
      <c r="P1815" t="s">
        <v>257</v>
      </c>
    </row>
    <row r="1816" spans="1:16" hidden="1" x14ac:dyDescent="0.25">
      <c r="A1816" s="16">
        <v>45717</v>
      </c>
      <c r="B1816" t="s">
        <v>120</v>
      </c>
      <c r="C1816">
        <v>62</v>
      </c>
      <c r="D1816" t="s">
        <v>253</v>
      </c>
      <c r="E1816" t="s">
        <v>248</v>
      </c>
      <c r="F1816" t="s">
        <v>285</v>
      </c>
      <c r="G1816" t="s">
        <v>63</v>
      </c>
      <c r="J1816" t="s">
        <v>195</v>
      </c>
      <c r="K1816" t="s">
        <v>255</v>
      </c>
      <c r="L1816">
        <v>4650000</v>
      </c>
      <c r="M1816" t="s">
        <v>242</v>
      </c>
      <c r="N1816" t="s">
        <v>1537</v>
      </c>
      <c r="O1816">
        <v>1</v>
      </c>
      <c r="P1816" t="s">
        <v>261</v>
      </c>
    </row>
    <row r="1817" spans="1:16" hidden="1" x14ac:dyDescent="0.25">
      <c r="A1817" s="16">
        <v>45717</v>
      </c>
      <c r="B1817" t="s">
        <v>120</v>
      </c>
      <c r="C1817">
        <v>62</v>
      </c>
      <c r="D1817" t="s">
        <v>247</v>
      </c>
      <c r="E1817" t="s">
        <v>248</v>
      </c>
      <c r="F1817" t="s">
        <v>285</v>
      </c>
      <c r="G1817" t="s">
        <v>63</v>
      </c>
      <c r="H1817" t="s">
        <v>286</v>
      </c>
      <c r="J1817" t="s">
        <v>195</v>
      </c>
      <c r="K1817" t="s">
        <v>250</v>
      </c>
      <c r="L1817">
        <v>0.8</v>
      </c>
      <c r="M1817" t="s">
        <v>251</v>
      </c>
      <c r="N1817" t="s">
        <v>370</v>
      </c>
    </row>
    <row r="1818" spans="1:16" hidden="1" x14ac:dyDescent="0.25">
      <c r="A1818" s="16">
        <v>45717</v>
      </c>
      <c r="B1818" t="s">
        <v>120</v>
      </c>
      <c r="C1818">
        <v>63</v>
      </c>
      <c r="D1818" t="s">
        <v>291</v>
      </c>
      <c r="E1818" t="s">
        <v>292</v>
      </c>
      <c r="F1818" t="s">
        <v>285</v>
      </c>
      <c r="G1818" t="s">
        <v>63</v>
      </c>
      <c r="H1818" t="s">
        <v>122</v>
      </c>
      <c r="J1818" t="s">
        <v>195</v>
      </c>
      <c r="K1818" t="s">
        <v>250</v>
      </c>
      <c r="L1818">
        <v>4620000</v>
      </c>
      <c r="M1818" t="s">
        <v>242</v>
      </c>
      <c r="N1818" t="s">
        <v>1358</v>
      </c>
    </row>
    <row r="1819" spans="1:16" hidden="1" x14ac:dyDescent="0.25">
      <c r="A1819" s="16">
        <v>45717</v>
      </c>
      <c r="B1819" t="s">
        <v>120</v>
      </c>
      <c r="C1819">
        <v>63</v>
      </c>
      <c r="D1819" t="s">
        <v>291</v>
      </c>
      <c r="E1819" t="s">
        <v>292</v>
      </c>
      <c r="F1819" t="s">
        <v>285</v>
      </c>
      <c r="G1819" t="s">
        <v>63</v>
      </c>
      <c r="H1819" t="s">
        <v>123</v>
      </c>
      <c r="J1819" t="s">
        <v>195</v>
      </c>
      <c r="K1819" t="s">
        <v>250</v>
      </c>
      <c r="L1819">
        <v>35500</v>
      </c>
      <c r="M1819" t="s">
        <v>242</v>
      </c>
      <c r="N1819" t="s">
        <v>1538</v>
      </c>
    </row>
    <row r="1820" spans="1:16" hidden="1" x14ac:dyDescent="0.25">
      <c r="A1820" s="16">
        <v>45717</v>
      </c>
      <c r="B1820" t="s">
        <v>120</v>
      </c>
      <c r="C1820">
        <v>63</v>
      </c>
      <c r="D1820" t="s">
        <v>238</v>
      </c>
      <c r="E1820" t="s">
        <v>239</v>
      </c>
      <c r="F1820" t="s">
        <v>285</v>
      </c>
      <c r="G1820" t="s">
        <v>63</v>
      </c>
      <c r="H1820" t="s">
        <v>376</v>
      </c>
      <c r="J1820" t="s">
        <v>195</v>
      </c>
      <c r="K1820" t="s">
        <v>250</v>
      </c>
      <c r="L1820">
        <v>4650000</v>
      </c>
      <c r="M1820" t="s">
        <v>242</v>
      </c>
      <c r="N1820" t="s">
        <v>977</v>
      </c>
    </row>
    <row r="1821" spans="1:16" hidden="1" x14ac:dyDescent="0.25">
      <c r="A1821" s="16">
        <v>45717</v>
      </c>
      <c r="B1821" t="s">
        <v>120</v>
      </c>
      <c r="C1821">
        <v>64</v>
      </c>
      <c r="D1821" t="s">
        <v>238</v>
      </c>
      <c r="E1821" t="s">
        <v>239</v>
      </c>
      <c r="F1821" t="s">
        <v>378</v>
      </c>
      <c r="G1821" t="s">
        <v>379</v>
      </c>
      <c r="J1821" t="s">
        <v>195</v>
      </c>
      <c r="K1821" t="s">
        <v>250</v>
      </c>
      <c r="L1821">
        <v>605</v>
      </c>
      <c r="M1821" t="s">
        <v>242</v>
      </c>
      <c r="N1821" t="s">
        <v>1539</v>
      </c>
    </row>
    <row r="1822" spans="1:16" hidden="1" x14ac:dyDescent="0.25">
      <c r="A1822" s="16">
        <v>45717</v>
      </c>
      <c r="B1822" t="s">
        <v>120</v>
      </c>
      <c r="C1822">
        <v>64</v>
      </c>
      <c r="D1822" t="s">
        <v>238</v>
      </c>
      <c r="E1822" t="s">
        <v>239</v>
      </c>
      <c r="F1822" t="s">
        <v>381</v>
      </c>
      <c r="G1822" t="s">
        <v>382</v>
      </c>
      <c r="J1822" t="s">
        <v>195</v>
      </c>
      <c r="K1822" t="s">
        <v>250</v>
      </c>
      <c r="L1822">
        <v>2090</v>
      </c>
      <c r="M1822" t="s">
        <v>242</v>
      </c>
      <c r="N1822" t="s">
        <v>1540</v>
      </c>
    </row>
    <row r="1823" spans="1:16" hidden="1" x14ac:dyDescent="0.25">
      <c r="A1823" s="16">
        <v>45717</v>
      </c>
      <c r="B1823" t="s">
        <v>120</v>
      </c>
      <c r="C1823">
        <v>65</v>
      </c>
      <c r="D1823" t="s">
        <v>253</v>
      </c>
      <c r="E1823" t="s">
        <v>248</v>
      </c>
      <c r="F1823" t="s">
        <v>240</v>
      </c>
      <c r="G1823" t="s">
        <v>82</v>
      </c>
      <c r="J1823" t="s">
        <v>193</v>
      </c>
      <c r="K1823" t="s">
        <v>255</v>
      </c>
      <c r="L1823">
        <v>5890000</v>
      </c>
      <c r="M1823" t="s">
        <v>242</v>
      </c>
      <c r="N1823" t="s">
        <v>1171</v>
      </c>
      <c r="O1823">
        <v>1</v>
      </c>
      <c r="P1823" t="s">
        <v>257</v>
      </c>
    </row>
    <row r="1824" spans="1:16" hidden="1" x14ac:dyDescent="0.25">
      <c r="A1824" s="16">
        <v>45717</v>
      </c>
      <c r="B1824" t="s">
        <v>120</v>
      </c>
      <c r="C1824">
        <v>65</v>
      </c>
      <c r="D1824" t="s">
        <v>253</v>
      </c>
      <c r="E1824" t="s">
        <v>248</v>
      </c>
      <c r="F1824" t="s">
        <v>240</v>
      </c>
      <c r="G1824" t="s">
        <v>82</v>
      </c>
      <c r="J1824" t="s">
        <v>194</v>
      </c>
      <c r="K1824" t="s">
        <v>255</v>
      </c>
      <c r="L1824">
        <v>5700000</v>
      </c>
      <c r="M1824" t="s">
        <v>242</v>
      </c>
      <c r="N1824" t="s">
        <v>1361</v>
      </c>
      <c r="O1824">
        <v>1</v>
      </c>
      <c r="P1824" t="s">
        <v>257</v>
      </c>
    </row>
    <row r="1825" spans="1:16" hidden="1" x14ac:dyDescent="0.25">
      <c r="A1825" s="16">
        <v>45717</v>
      </c>
      <c r="B1825" t="s">
        <v>120</v>
      </c>
      <c r="C1825">
        <v>65</v>
      </c>
      <c r="D1825" t="s">
        <v>253</v>
      </c>
      <c r="E1825" t="s">
        <v>248</v>
      </c>
      <c r="F1825" t="s">
        <v>240</v>
      </c>
      <c r="G1825" t="s">
        <v>82</v>
      </c>
      <c r="J1825" t="s">
        <v>195</v>
      </c>
      <c r="K1825" t="s">
        <v>255</v>
      </c>
      <c r="L1825">
        <v>5500000</v>
      </c>
      <c r="M1825" t="s">
        <v>242</v>
      </c>
      <c r="N1825" t="s">
        <v>1541</v>
      </c>
      <c r="O1825">
        <v>1</v>
      </c>
      <c r="P1825" t="s">
        <v>261</v>
      </c>
    </row>
    <row r="1826" spans="1:16" hidden="1" x14ac:dyDescent="0.25">
      <c r="A1826" s="16">
        <v>45717</v>
      </c>
      <c r="B1826" t="s">
        <v>120</v>
      </c>
      <c r="C1826">
        <v>65</v>
      </c>
      <c r="D1826" t="s">
        <v>247</v>
      </c>
      <c r="E1826" t="s">
        <v>248</v>
      </c>
      <c r="F1826" t="s">
        <v>240</v>
      </c>
      <c r="G1826" t="s">
        <v>82</v>
      </c>
      <c r="H1826" t="s">
        <v>249</v>
      </c>
      <c r="J1826" t="s">
        <v>195</v>
      </c>
      <c r="K1826" t="s">
        <v>250</v>
      </c>
      <c r="L1826">
        <v>3.6</v>
      </c>
      <c r="M1826" t="s">
        <v>251</v>
      </c>
      <c r="N1826" t="s">
        <v>783</v>
      </c>
    </row>
    <row r="1827" spans="1:16" hidden="1" x14ac:dyDescent="0.25">
      <c r="A1827" s="16">
        <v>45717</v>
      </c>
      <c r="B1827" t="s">
        <v>120</v>
      </c>
      <c r="C1827">
        <v>66</v>
      </c>
      <c r="D1827" t="s">
        <v>291</v>
      </c>
      <c r="E1827" t="s">
        <v>292</v>
      </c>
      <c r="F1827" t="s">
        <v>240</v>
      </c>
      <c r="G1827" t="s">
        <v>82</v>
      </c>
      <c r="H1827" t="s">
        <v>125</v>
      </c>
      <c r="J1827" t="s">
        <v>195</v>
      </c>
      <c r="K1827" t="s">
        <v>250</v>
      </c>
      <c r="L1827">
        <v>39000</v>
      </c>
      <c r="M1827" t="s">
        <v>242</v>
      </c>
      <c r="N1827" t="s">
        <v>1542</v>
      </c>
    </row>
    <row r="1828" spans="1:16" hidden="1" x14ac:dyDescent="0.25">
      <c r="A1828" s="16">
        <v>45717</v>
      </c>
      <c r="B1828" t="s">
        <v>120</v>
      </c>
      <c r="C1828">
        <v>66</v>
      </c>
      <c r="D1828" t="s">
        <v>291</v>
      </c>
      <c r="E1828" t="s">
        <v>292</v>
      </c>
      <c r="F1828" t="s">
        <v>240</v>
      </c>
      <c r="G1828" t="s">
        <v>82</v>
      </c>
      <c r="H1828" t="s">
        <v>135</v>
      </c>
      <c r="J1828" t="s">
        <v>195</v>
      </c>
      <c r="K1828" t="s">
        <v>250</v>
      </c>
      <c r="L1828">
        <v>35000</v>
      </c>
      <c r="M1828" t="s">
        <v>242</v>
      </c>
      <c r="N1828" t="s">
        <v>700</v>
      </c>
    </row>
    <row r="1829" spans="1:16" hidden="1" x14ac:dyDescent="0.25">
      <c r="A1829" s="16">
        <v>45717</v>
      </c>
      <c r="B1829" t="s">
        <v>120</v>
      </c>
      <c r="C1829">
        <v>66</v>
      </c>
      <c r="D1829" t="s">
        <v>291</v>
      </c>
      <c r="E1829" t="s">
        <v>292</v>
      </c>
      <c r="F1829" t="s">
        <v>240</v>
      </c>
      <c r="G1829" t="s">
        <v>82</v>
      </c>
      <c r="H1829" t="s">
        <v>126</v>
      </c>
      <c r="J1829" t="s">
        <v>195</v>
      </c>
      <c r="K1829" t="s">
        <v>250</v>
      </c>
      <c r="L1829">
        <v>51000</v>
      </c>
      <c r="M1829" t="s">
        <v>242</v>
      </c>
      <c r="N1829" t="s">
        <v>1543</v>
      </c>
    </row>
    <row r="1830" spans="1:16" hidden="1" x14ac:dyDescent="0.25">
      <c r="A1830" s="16">
        <v>45717</v>
      </c>
      <c r="B1830" t="s">
        <v>120</v>
      </c>
      <c r="C1830">
        <v>66</v>
      </c>
      <c r="D1830" t="s">
        <v>291</v>
      </c>
      <c r="E1830" t="s">
        <v>292</v>
      </c>
      <c r="F1830" t="s">
        <v>240</v>
      </c>
      <c r="G1830" t="s">
        <v>82</v>
      </c>
      <c r="H1830" t="s">
        <v>127</v>
      </c>
      <c r="J1830" t="s">
        <v>195</v>
      </c>
      <c r="K1830" t="s">
        <v>250</v>
      </c>
      <c r="L1830">
        <v>287000</v>
      </c>
      <c r="M1830" t="s">
        <v>242</v>
      </c>
      <c r="N1830" t="s">
        <v>1544</v>
      </c>
    </row>
    <row r="1831" spans="1:16" hidden="1" x14ac:dyDescent="0.25">
      <c r="A1831" s="16">
        <v>45717</v>
      </c>
      <c r="B1831" t="s">
        <v>120</v>
      </c>
      <c r="C1831">
        <v>66</v>
      </c>
      <c r="D1831" t="s">
        <v>291</v>
      </c>
      <c r="E1831" t="s">
        <v>292</v>
      </c>
      <c r="F1831" t="s">
        <v>240</v>
      </c>
      <c r="G1831" t="s">
        <v>82</v>
      </c>
      <c r="H1831" t="s">
        <v>129</v>
      </c>
      <c r="J1831" t="s">
        <v>195</v>
      </c>
      <c r="K1831" t="s">
        <v>250</v>
      </c>
      <c r="L1831">
        <v>974000</v>
      </c>
      <c r="M1831" t="s">
        <v>242</v>
      </c>
      <c r="N1831" t="s">
        <v>1545</v>
      </c>
    </row>
    <row r="1832" spans="1:16" hidden="1" x14ac:dyDescent="0.25">
      <c r="A1832" s="16">
        <v>45717</v>
      </c>
      <c r="B1832" t="s">
        <v>120</v>
      </c>
      <c r="C1832">
        <v>66</v>
      </c>
      <c r="D1832" t="s">
        <v>291</v>
      </c>
      <c r="E1832" t="s">
        <v>292</v>
      </c>
      <c r="F1832" t="s">
        <v>240</v>
      </c>
      <c r="G1832" t="s">
        <v>82</v>
      </c>
      <c r="H1832" t="s">
        <v>130</v>
      </c>
      <c r="J1832" t="s">
        <v>195</v>
      </c>
      <c r="K1832" t="s">
        <v>250</v>
      </c>
      <c r="L1832">
        <v>1847000</v>
      </c>
      <c r="M1832" t="s">
        <v>242</v>
      </c>
      <c r="N1832" t="s">
        <v>1546</v>
      </c>
    </row>
    <row r="1833" spans="1:16" hidden="1" x14ac:dyDescent="0.25">
      <c r="A1833" s="16">
        <v>45717</v>
      </c>
      <c r="B1833" t="s">
        <v>120</v>
      </c>
      <c r="C1833">
        <v>66</v>
      </c>
      <c r="D1833" t="s">
        <v>291</v>
      </c>
      <c r="E1833" t="s">
        <v>292</v>
      </c>
      <c r="F1833" t="s">
        <v>240</v>
      </c>
      <c r="G1833" t="s">
        <v>82</v>
      </c>
      <c r="H1833" t="s">
        <v>131</v>
      </c>
      <c r="J1833" t="s">
        <v>195</v>
      </c>
      <c r="K1833" t="s">
        <v>250</v>
      </c>
      <c r="L1833">
        <v>30000</v>
      </c>
      <c r="M1833" t="s">
        <v>242</v>
      </c>
      <c r="N1833" t="s">
        <v>387</v>
      </c>
    </row>
    <row r="1834" spans="1:16" hidden="1" x14ac:dyDescent="0.25">
      <c r="A1834" s="16">
        <v>45717</v>
      </c>
      <c r="B1834" t="s">
        <v>120</v>
      </c>
      <c r="C1834">
        <v>66</v>
      </c>
      <c r="D1834" t="s">
        <v>291</v>
      </c>
      <c r="E1834" t="s">
        <v>292</v>
      </c>
      <c r="F1834" t="s">
        <v>240</v>
      </c>
      <c r="G1834" t="s">
        <v>82</v>
      </c>
      <c r="H1834" t="s">
        <v>132</v>
      </c>
      <c r="J1834" t="s">
        <v>195</v>
      </c>
      <c r="K1834" t="s">
        <v>250</v>
      </c>
      <c r="L1834">
        <v>43000</v>
      </c>
      <c r="M1834" t="s">
        <v>242</v>
      </c>
      <c r="N1834" t="s">
        <v>644</v>
      </c>
    </row>
    <row r="1835" spans="1:16" hidden="1" x14ac:dyDescent="0.25">
      <c r="A1835" s="16">
        <v>45717</v>
      </c>
      <c r="B1835" t="s">
        <v>120</v>
      </c>
      <c r="C1835">
        <v>66</v>
      </c>
      <c r="D1835" t="s">
        <v>291</v>
      </c>
      <c r="E1835" t="s">
        <v>292</v>
      </c>
      <c r="F1835" t="s">
        <v>240</v>
      </c>
      <c r="G1835" t="s">
        <v>82</v>
      </c>
      <c r="H1835" t="s">
        <v>133</v>
      </c>
      <c r="J1835" t="s">
        <v>195</v>
      </c>
      <c r="K1835" t="s">
        <v>250</v>
      </c>
      <c r="L1835">
        <v>497000</v>
      </c>
      <c r="M1835" t="s">
        <v>242</v>
      </c>
      <c r="N1835" t="s">
        <v>1547</v>
      </c>
    </row>
    <row r="1836" spans="1:16" hidden="1" x14ac:dyDescent="0.25">
      <c r="A1836" s="16">
        <v>45717</v>
      </c>
      <c r="B1836" t="s">
        <v>120</v>
      </c>
      <c r="C1836">
        <v>66</v>
      </c>
      <c r="D1836" t="s">
        <v>291</v>
      </c>
      <c r="E1836" t="s">
        <v>292</v>
      </c>
      <c r="F1836" t="s">
        <v>240</v>
      </c>
      <c r="G1836" t="s">
        <v>82</v>
      </c>
      <c r="H1836" t="s">
        <v>134</v>
      </c>
      <c r="J1836" t="s">
        <v>195</v>
      </c>
      <c r="K1836" t="s">
        <v>250</v>
      </c>
      <c r="L1836">
        <v>1602000</v>
      </c>
      <c r="M1836" t="s">
        <v>242</v>
      </c>
      <c r="N1836" t="s">
        <v>1548</v>
      </c>
    </row>
    <row r="1837" spans="1:16" hidden="1" x14ac:dyDescent="0.25">
      <c r="A1837" s="16">
        <v>45717</v>
      </c>
      <c r="B1837" t="s">
        <v>120</v>
      </c>
      <c r="C1837">
        <v>67</v>
      </c>
      <c r="D1837" t="s">
        <v>291</v>
      </c>
      <c r="E1837" t="s">
        <v>292</v>
      </c>
      <c r="F1837" t="s">
        <v>240</v>
      </c>
      <c r="G1837" t="s">
        <v>82</v>
      </c>
      <c r="H1837" t="s">
        <v>137</v>
      </c>
      <c r="J1837" t="s">
        <v>195</v>
      </c>
      <c r="K1837" t="s">
        <v>250</v>
      </c>
      <c r="L1837">
        <v>969700</v>
      </c>
      <c r="M1837" t="s">
        <v>242</v>
      </c>
      <c r="N1837" t="s">
        <v>1549</v>
      </c>
    </row>
    <row r="1838" spans="1:16" hidden="1" x14ac:dyDescent="0.25">
      <c r="A1838" s="16">
        <v>45717</v>
      </c>
      <c r="B1838" t="s">
        <v>120</v>
      </c>
      <c r="C1838">
        <v>67</v>
      </c>
      <c r="D1838" t="s">
        <v>291</v>
      </c>
      <c r="E1838" t="s">
        <v>292</v>
      </c>
      <c r="F1838" t="s">
        <v>240</v>
      </c>
      <c r="G1838" t="s">
        <v>82</v>
      </c>
      <c r="H1838" t="s">
        <v>138</v>
      </c>
      <c r="J1838" t="s">
        <v>195</v>
      </c>
      <c r="K1838" t="s">
        <v>250</v>
      </c>
      <c r="L1838">
        <v>4530000</v>
      </c>
      <c r="M1838" t="s">
        <v>242</v>
      </c>
      <c r="N1838" t="s">
        <v>1550</v>
      </c>
    </row>
    <row r="1839" spans="1:16" hidden="1" x14ac:dyDescent="0.25">
      <c r="A1839" s="16">
        <v>45717</v>
      </c>
      <c r="B1839" t="s">
        <v>120</v>
      </c>
      <c r="C1839">
        <v>68</v>
      </c>
      <c r="D1839" t="s">
        <v>253</v>
      </c>
      <c r="E1839" t="s">
        <v>248</v>
      </c>
      <c r="F1839" t="s">
        <v>244</v>
      </c>
      <c r="G1839" t="s">
        <v>82</v>
      </c>
      <c r="J1839" t="s">
        <v>193</v>
      </c>
      <c r="K1839" t="s">
        <v>255</v>
      </c>
      <c r="L1839">
        <v>1350000000</v>
      </c>
      <c r="M1839" t="s">
        <v>245</v>
      </c>
      <c r="N1839" t="s">
        <v>1183</v>
      </c>
      <c r="O1839">
        <v>1</v>
      </c>
      <c r="P1839" t="s">
        <v>257</v>
      </c>
    </row>
    <row r="1840" spans="1:16" hidden="1" x14ac:dyDescent="0.25">
      <c r="A1840" s="16">
        <v>45717</v>
      </c>
      <c r="B1840" t="s">
        <v>120</v>
      </c>
      <c r="C1840">
        <v>68</v>
      </c>
      <c r="D1840" t="s">
        <v>253</v>
      </c>
      <c r="E1840" t="s">
        <v>248</v>
      </c>
      <c r="F1840" t="s">
        <v>244</v>
      </c>
      <c r="G1840" t="s">
        <v>82</v>
      </c>
      <c r="J1840" t="s">
        <v>194</v>
      </c>
      <c r="K1840" t="s">
        <v>255</v>
      </c>
      <c r="L1840">
        <v>1190000000</v>
      </c>
      <c r="M1840" t="s">
        <v>245</v>
      </c>
      <c r="N1840" t="s">
        <v>1371</v>
      </c>
      <c r="O1840">
        <v>1</v>
      </c>
      <c r="P1840" t="s">
        <v>257</v>
      </c>
    </row>
    <row r="1841" spans="1:16" hidden="1" x14ac:dyDescent="0.25">
      <c r="A1841" s="16">
        <v>45717</v>
      </c>
      <c r="B1841" t="s">
        <v>120</v>
      </c>
      <c r="C1841">
        <v>68</v>
      </c>
      <c r="D1841" t="s">
        <v>253</v>
      </c>
      <c r="E1841" t="s">
        <v>248</v>
      </c>
      <c r="F1841" t="s">
        <v>244</v>
      </c>
      <c r="G1841" t="s">
        <v>82</v>
      </c>
      <c r="J1841" t="s">
        <v>195</v>
      </c>
      <c r="K1841" t="s">
        <v>255</v>
      </c>
      <c r="L1841">
        <v>1130000000</v>
      </c>
      <c r="M1841" t="s">
        <v>245</v>
      </c>
      <c r="N1841" t="s">
        <v>1551</v>
      </c>
      <c r="O1841">
        <v>1</v>
      </c>
      <c r="P1841" t="s">
        <v>261</v>
      </c>
    </row>
    <row r="1842" spans="1:16" hidden="1" x14ac:dyDescent="0.25">
      <c r="A1842" s="16">
        <v>45717</v>
      </c>
      <c r="B1842" t="s">
        <v>120</v>
      </c>
      <c r="C1842">
        <v>68</v>
      </c>
      <c r="D1842" t="s">
        <v>247</v>
      </c>
      <c r="E1842" t="s">
        <v>248</v>
      </c>
      <c r="F1842" t="s">
        <v>244</v>
      </c>
      <c r="G1842" t="s">
        <v>82</v>
      </c>
      <c r="H1842" t="s">
        <v>249</v>
      </c>
      <c r="J1842" t="s">
        <v>195</v>
      </c>
      <c r="K1842" t="s">
        <v>250</v>
      </c>
      <c r="L1842">
        <v>4.7</v>
      </c>
      <c r="M1842" t="s">
        <v>251</v>
      </c>
      <c r="N1842" t="s">
        <v>720</v>
      </c>
    </row>
    <row r="1843" spans="1:16" hidden="1" x14ac:dyDescent="0.25">
      <c r="A1843" s="16">
        <v>45717</v>
      </c>
      <c r="B1843" t="s">
        <v>120</v>
      </c>
      <c r="C1843">
        <v>69</v>
      </c>
      <c r="D1843" t="s">
        <v>291</v>
      </c>
      <c r="E1843" t="s">
        <v>292</v>
      </c>
      <c r="F1843" t="s">
        <v>244</v>
      </c>
      <c r="G1843" t="s">
        <v>82</v>
      </c>
      <c r="H1843" t="s">
        <v>140</v>
      </c>
      <c r="J1843" t="s">
        <v>195</v>
      </c>
      <c r="K1843" t="s">
        <v>250</v>
      </c>
      <c r="L1843">
        <v>12000000</v>
      </c>
      <c r="M1843" t="s">
        <v>245</v>
      </c>
      <c r="N1843" t="s">
        <v>409</v>
      </c>
    </row>
    <row r="1844" spans="1:16" hidden="1" x14ac:dyDescent="0.25">
      <c r="A1844" s="16">
        <v>45717</v>
      </c>
      <c r="B1844" t="s">
        <v>120</v>
      </c>
      <c r="C1844">
        <v>69</v>
      </c>
      <c r="D1844" t="s">
        <v>291</v>
      </c>
      <c r="E1844" t="s">
        <v>292</v>
      </c>
      <c r="F1844" t="s">
        <v>244</v>
      </c>
      <c r="G1844" t="s">
        <v>82</v>
      </c>
      <c r="H1844" t="s">
        <v>126</v>
      </c>
      <c r="J1844" t="s">
        <v>195</v>
      </c>
      <c r="K1844" t="s">
        <v>250</v>
      </c>
      <c r="L1844">
        <v>10000000</v>
      </c>
      <c r="M1844" t="s">
        <v>245</v>
      </c>
      <c r="N1844" t="s">
        <v>1376</v>
      </c>
    </row>
    <row r="1845" spans="1:16" hidden="1" x14ac:dyDescent="0.25">
      <c r="A1845" s="16">
        <v>45717</v>
      </c>
      <c r="B1845" t="s">
        <v>120</v>
      </c>
      <c r="C1845">
        <v>69</v>
      </c>
      <c r="D1845" t="s">
        <v>291</v>
      </c>
      <c r="E1845" t="s">
        <v>292</v>
      </c>
      <c r="F1845" t="s">
        <v>244</v>
      </c>
      <c r="G1845" t="s">
        <v>82</v>
      </c>
      <c r="H1845" t="s">
        <v>127</v>
      </c>
      <c r="J1845" t="s">
        <v>195</v>
      </c>
      <c r="K1845" t="s">
        <v>250</v>
      </c>
      <c r="L1845">
        <v>44000000</v>
      </c>
      <c r="M1845" t="s">
        <v>245</v>
      </c>
      <c r="N1845" t="s">
        <v>832</v>
      </c>
    </row>
    <row r="1846" spans="1:16" hidden="1" x14ac:dyDescent="0.25">
      <c r="A1846" s="16">
        <v>45717</v>
      </c>
      <c r="B1846" t="s">
        <v>120</v>
      </c>
      <c r="C1846">
        <v>69</v>
      </c>
      <c r="D1846" t="s">
        <v>291</v>
      </c>
      <c r="E1846" t="s">
        <v>292</v>
      </c>
      <c r="F1846" t="s">
        <v>244</v>
      </c>
      <c r="G1846" t="s">
        <v>82</v>
      </c>
      <c r="H1846" t="s">
        <v>128</v>
      </c>
      <c r="J1846" t="s">
        <v>195</v>
      </c>
      <c r="K1846" t="s">
        <v>250</v>
      </c>
      <c r="L1846">
        <v>14000000</v>
      </c>
      <c r="M1846" t="s">
        <v>245</v>
      </c>
      <c r="N1846" t="s">
        <v>406</v>
      </c>
    </row>
    <row r="1847" spans="1:16" hidden="1" x14ac:dyDescent="0.25">
      <c r="A1847" s="16">
        <v>45717</v>
      </c>
      <c r="B1847" t="s">
        <v>120</v>
      </c>
      <c r="C1847">
        <v>69</v>
      </c>
      <c r="D1847" t="s">
        <v>291</v>
      </c>
      <c r="E1847" t="s">
        <v>292</v>
      </c>
      <c r="F1847" t="s">
        <v>244</v>
      </c>
      <c r="G1847" t="s">
        <v>82</v>
      </c>
      <c r="H1847" t="s">
        <v>129</v>
      </c>
      <c r="J1847" t="s">
        <v>195</v>
      </c>
      <c r="K1847" t="s">
        <v>250</v>
      </c>
      <c r="L1847">
        <v>689000000</v>
      </c>
      <c r="M1847" t="s">
        <v>245</v>
      </c>
      <c r="N1847" t="s">
        <v>1552</v>
      </c>
    </row>
    <row r="1848" spans="1:16" hidden="1" x14ac:dyDescent="0.25">
      <c r="A1848" s="16">
        <v>45717</v>
      </c>
      <c r="B1848" t="s">
        <v>120</v>
      </c>
      <c r="C1848">
        <v>69</v>
      </c>
      <c r="D1848" t="s">
        <v>291</v>
      </c>
      <c r="E1848" t="s">
        <v>292</v>
      </c>
      <c r="F1848" t="s">
        <v>244</v>
      </c>
      <c r="G1848" t="s">
        <v>82</v>
      </c>
      <c r="H1848" t="s">
        <v>130</v>
      </c>
      <c r="J1848" t="s">
        <v>195</v>
      </c>
      <c r="K1848" t="s">
        <v>250</v>
      </c>
      <c r="L1848">
        <v>31000000</v>
      </c>
      <c r="M1848" t="s">
        <v>245</v>
      </c>
      <c r="N1848" t="s">
        <v>408</v>
      </c>
    </row>
    <row r="1849" spans="1:16" hidden="1" x14ac:dyDescent="0.25">
      <c r="A1849" s="16">
        <v>45717</v>
      </c>
      <c r="B1849" t="s">
        <v>120</v>
      </c>
      <c r="C1849">
        <v>69</v>
      </c>
      <c r="D1849" t="s">
        <v>291</v>
      </c>
      <c r="E1849" t="s">
        <v>292</v>
      </c>
      <c r="F1849" t="s">
        <v>244</v>
      </c>
      <c r="G1849" t="s">
        <v>82</v>
      </c>
      <c r="H1849" t="s">
        <v>131</v>
      </c>
      <c r="J1849" t="s">
        <v>195</v>
      </c>
      <c r="K1849" t="s">
        <v>250</v>
      </c>
      <c r="L1849">
        <v>9000000</v>
      </c>
      <c r="M1849" t="s">
        <v>245</v>
      </c>
      <c r="N1849" t="s">
        <v>1553</v>
      </c>
    </row>
    <row r="1850" spans="1:16" hidden="1" x14ac:dyDescent="0.25">
      <c r="A1850" s="16">
        <v>45717</v>
      </c>
      <c r="B1850" t="s">
        <v>120</v>
      </c>
      <c r="C1850">
        <v>69</v>
      </c>
      <c r="D1850" t="s">
        <v>291</v>
      </c>
      <c r="E1850" t="s">
        <v>292</v>
      </c>
      <c r="F1850" t="s">
        <v>244</v>
      </c>
      <c r="G1850" t="s">
        <v>82</v>
      </c>
      <c r="H1850" t="s">
        <v>132</v>
      </c>
      <c r="J1850" t="s">
        <v>195</v>
      </c>
      <c r="K1850" t="s">
        <v>250</v>
      </c>
      <c r="L1850">
        <v>5000000</v>
      </c>
      <c r="M1850" t="s">
        <v>245</v>
      </c>
      <c r="N1850" t="s">
        <v>654</v>
      </c>
    </row>
    <row r="1851" spans="1:16" hidden="1" x14ac:dyDescent="0.25">
      <c r="A1851" s="16">
        <v>45717</v>
      </c>
      <c r="B1851" t="s">
        <v>120</v>
      </c>
      <c r="C1851">
        <v>69</v>
      </c>
      <c r="D1851" t="s">
        <v>291</v>
      </c>
      <c r="E1851" t="s">
        <v>292</v>
      </c>
      <c r="F1851" t="s">
        <v>244</v>
      </c>
      <c r="G1851" t="s">
        <v>82</v>
      </c>
      <c r="H1851" t="s">
        <v>133</v>
      </c>
      <c r="J1851" t="s">
        <v>195</v>
      </c>
      <c r="K1851" t="s">
        <v>250</v>
      </c>
      <c r="L1851">
        <v>239000000</v>
      </c>
      <c r="M1851" t="s">
        <v>245</v>
      </c>
      <c r="N1851" t="s">
        <v>1554</v>
      </c>
    </row>
    <row r="1852" spans="1:16" hidden="1" x14ac:dyDescent="0.25">
      <c r="A1852" s="16">
        <v>45717</v>
      </c>
      <c r="B1852" t="s">
        <v>120</v>
      </c>
      <c r="C1852">
        <v>69</v>
      </c>
      <c r="D1852" t="s">
        <v>291</v>
      </c>
      <c r="E1852" t="s">
        <v>292</v>
      </c>
      <c r="F1852" t="s">
        <v>244</v>
      </c>
      <c r="G1852" t="s">
        <v>82</v>
      </c>
      <c r="H1852" t="s">
        <v>134</v>
      </c>
      <c r="J1852" t="s">
        <v>195</v>
      </c>
      <c r="K1852" t="s">
        <v>250</v>
      </c>
      <c r="L1852">
        <v>70000000</v>
      </c>
      <c r="M1852" t="s">
        <v>245</v>
      </c>
      <c r="N1852" t="s">
        <v>1555</v>
      </c>
    </row>
    <row r="1853" spans="1:16" hidden="1" x14ac:dyDescent="0.25">
      <c r="A1853" s="16">
        <v>45717</v>
      </c>
      <c r="B1853" t="s">
        <v>120</v>
      </c>
      <c r="C1853">
        <v>70</v>
      </c>
      <c r="D1853" t="s">
        <v>291</v>
      </c>
      <c r="E1853" t="s">
        <v>292</v>
      </c>
      <c r="F1853" t="s">
        <v>244</v>
      </c>
      <c r="G1853" t="s">
        <v>82</v>
      </c>
      <c r="H1853" t="s">
        <v>137</v>
      </c>
      <c r="J1853" t="s">
        <v>195</v>
      </c>
      <c r="K1853" t="s">
        <v>250</v>
      </c>
      <c r="L1853">
        <v>236200000</v>
      </c>
      <c r="M1853" t="s">
        <v>245</v>
      </c>
      <c r="N1853" t="s">
        <v>1556</v>
      </c>
    </row>
    <row r="1854" spans="1:16" hidden="1" x14ac:dyDescent="0.25">
      <c r="A1854" s="16">
        <v>45717</v>
      </c>
      <c r="B1854" t="s">
        <v>120</v>
      </c>
      <c r="C1854">
        <v>70</v>
      </c>
      <c r="D1854" t="s">
        <v>291</v>
      </c>
      <c r="E1854" t="s">
        <v>292</v>
      </c>
      <c r="F1854" t="s">
        <v>244</v>
      </c>
      <c r="G1854" t="s">
        <v>82</v>
      </c>
      <c r="H1854" t="s">
        <v>138</v>
      </c>
      <c r="J1854" t="s">
        <v>195</v>
      </c>
      <c r="K1854" t="s">
        <v>250</v>
      </c>
      <c r="L1854">
        <v>898200000</v>
      </c>
      <c r="M1854" t="s">
        <v>245</v>
      </c>
      <c r="N1854" t="s">
        <v>1557</v>
      </c>
    </row>
    <row r="1855" spans="1:16" hidden="1" x14ac:dyDescent="0.25">
      <c r="A1855" s="16">
        <v>45717</v>
      </c>
      <c r="B1855" t="s">
        <v>120</v>
      </c>
      <c r="C1855">
        <v>71</v>
      </c>
      <c r="D1855" t="s">
        <v>253</v>
      </c>
      <c r="E1855" t="s">
        <v>248</v>
      </c>
      <c r="F1855" t="s">
        <v>334</v>
      </c>
      <c r="G1855" t="s">
        <v>82</v>
      </c>
      <c r="J1855" t="s">
        <v>193</v>
      </c>
      <c r="K1855" t="s">
        <v>255</v>
      </c>
      <c r="L1855">
        <v>229</v>
      </c>
      <c r="M1855" t="s">
        <v>245</v>
      </c>
      <c r="N1855" t="s">
        <v>1191</v>
      </c>
      <c r="O1855">
        <v>1</v>
      </c>
      <c r="P1855" t="s">
        <v>257</v>
      </c>
    </row>
    <row r="1856" spans="1:16" hidden="1" x14ac:dyDescent="0.25">
      <c r="A1856" s="16">
        <v>45717</v>
      </c>
      <c r="B1856" t="s">
        <v>120</v>
      </c>
      <c r="C1856">
        <v>71</v>
      </c>
      <c r="D1856" t="s">
        <v>253</v>
      </c>
      <c r="E1856" t="s">
        <v>248</v>
      </c>
      <c r="F1856" t="s">
        <v>334</v>
      </c>
      <c r="G1856" t="s">
        <v>82</v>
      </c>
      <c r="J1856" t="s">
        <v>194</v>
      </c>
      <c r="K1856" t="s">
        <v>255</v>
      </c>
      <c r="L1856">
        <v>209</v>
      </c>
      <c r="M1856" t="s">
        <v>245</v>
      </c>
      <c r="N1856" t="s">
        <v>1024</v>
      </c>
      <c r="O1856">
        <v>1</v>
      </c>
      <c r="P1856" t="s">
        <v>257</v>
      </c>
    </row>
    <row r="1857" spans="1:16" hidden="1" x14ac:dyDescent="0.25">
      <c r="A1857" s="16">
        <v>45717</v>
      </c>
      <c r="B1857" t="s">
        <v>120</v>
      </c>
      <c r="C1857">
        <v>71</v>
      </c>
      <c r="D1857" t="s">
        <v>253</v>
      </c>
      <c r="E1857" t="s">
        <v>248</v>
      </c>
      <c r="F1857" t="s">
        <v>334</v>
      </c>
      <c r="G1857" t="s">
        <v>82</v>
      </c>
      <c r="J1857" t="s">
        <v>195</v>
      </c>
      <c r="K1857" t="s">
        <v>255</v>
      </c>
      <c r="L1857">
        <v>206</v>
      </c>
      <c r="M1857" t="s">
        <v>245</v>
      </c>
      <c r="N1857" t="s">
        <v>1558</v>
      </c>
      <c r="O1857">
        <v>1</v>
      </c>
      <c r="P1857" t="s">
        <v>261</v>
      </c>
    </row>
    <row r="1858" spans="1:16" hidden="1" x14ac:dyDescent="0.25">
      <c r="A1858" s="16">
        <v>45717</v>
      </c>
      <c r="B1858" t="s">
        <v>1192</v>
      </c>
      <c r="C1858">
        <v>55</v>
      </c>
      <c r="D1858" t="s">
        <v>238</v>
      </c>
      <c r="E1858" t="s">
        <v>239</v>
      </c>
      <c r="F1858" t="s">
        <v>240</v>
      </c>
      <c r="G1858" t="s">
        <v>82</v>
      </c>
      <c r="H1858" t="s">
        <v>184</v>
      </c>
      <c r="J1858" t="s">
        <v>195</v>
      </c>
      <c r="K1858" t="s">
        <v>241</v>
      </c>
      <c r="L1858">
        <v>32330000</v>
      </c>
      <c r="M1858" t="s">
        <v>242</v>
      </c>
      <c r="N1858" t="s">
        <v>1495</v>
      </c>
    </row>
    <row r="1859" spans="1:16" hidden="1" x14ac:dyDescent="0.25">
      <c r="A1859" s="16">
        <v>45717</v>
      </c>
      <c r="B1859" t="s">
        <v>1192</v>
      </c>
      <c r="C1859">
        <v>55</v>
      </c>
      <c r="D1859" t="s">
        <v>238</v>
      </c>
      <c r="E1859" t="s">
        <v>239</v>
      </c>
      <c r="F1859" t="s">
        <v>240</v>
      </c>
      <c r="G1859" t="s">
        <v>82</v>
      </c>
      <c r="H1859" t="s">
        <v>185</v>
      </c>
      <c r="J1859" t="s">
        <v>195</v>
      </c>
      <c r="K1859" t="s">
        <v>241</v>
      </c>
      <c r="L1859">
        <v>19590000</v>
      </c>
      <c r="M1859" t="s">
        <v>242</v>
      </c>
      <c r="N1859" t="s">
        <v>1559</v>
      </c>
    </row>
    <row r="1860" spans="1:16" hidden="1" x14ac:dyDescent="0.25">
      <c r="A1860" s="16">
        <v>45717</v>
      </c>
      <c r="B1860" t="s">
        <v>1192</v>
      </c>
      <c r="C1860">
        <v>55</v>
      </c>
      <c r="D1860" t="s">
        <v>238</v>
      </c>
      <c r="E1860" t="s">
        <v>239</v>
      </c>
      <c r="F1860" t="s">
        <v>1194</v>
      </c>
      <c r="G1860" t="s">
        <v>82</v>
      </c>
      <c r="J1860" t="s">
        <v>195</v>
      </c>
      <c r="K1860" t="s">
        <v>241</v>
      </c>
      <c r="L1860">
        <v>51920000</v>
      </c>
      <c r="M1860" t="s">
        <v>242</v>
      </c>
      <c r="N1860" t="s">
        <v>1560</v>
      </c>
    </row>
    <row r="1861" spans="1:16" hidden="1" x14ac:dyDescent="0.25">
      <c r="A1861" s="16">
        <v>45717</v>
      </c>
      <c r="B1861" t="s">
        <v>1192</v>
      </c>
      <c r="C1861">
        <v>55</v>
      </c>
      <c r="D1861" t="s">
        <v>238</v>
      </c>
      <c r="E1861" t="s">
        <v>239</v>
      </c>
      <c r="F1861" t="s">
        <v>1196</v>
      </c>
      <c r="G1861" t="s">
        <v>82</v>
      </c>
      <c r="J1861" t="s">
        <v>195</v>
      </c>
      <c r="K1861" t="s">
        <v>241</v>
      </c>
      <c r="L1861">
        <v>5610000000</v>
      </c>
      <c r="M1861" t="s">
        <v>245</v>
      </c>
      <c r="N1861" t="s">
        <v>1561</v>
      </c>
    </row>
    <row r="1862" spans="1:16" hidden="1" x14ac:dyDescent="0.25">
      <c r="A1862" s="16">
        <v>45717</v>
      </c>
      <c r="B1862" t="s">
        <v>1192</v>
      </c>
      <c r="C1862">
        <v>55</v>
      </c>
      <c r="D1862" t="s">
        <v>238</v>
      </c>
      <c r="E1862" t="s">
        <v>239</v>
      </c>
      <c r="F1862" t="s">
        <v>244</v>
      </c>
      <c r="G1862" t="s">
        <v>82</v>
      </c>
      <c r="H1862" t="s">
        <v>184</v>
      </c>
      <c r="J1862" t="s">
        <v>195</v>
      </c>
      <c r="K1862" t="s">
        <v>241</v>
      </c>
      <c r="L1862">
        <v>4170000000</v>
      </c>
      <c r="M1862" t="s">
        <v>245</v>
      </c>
      <c r="N1862" t="s">
        <v>1496</v>
      </c>
    </row>
    <row r="1863" spans="1:16" hidden="1" x14ac:dyDescent="0.25">
      <c r="A1863" s="16">
        <v>45717</v>
      </c>
      <c r="B1863" t="s">
        <v>1192</v>
      </c>
      <c r="C1863">
        <v>55</v>
      </c>
      <c r="D1863" t="s">
        <v>238</v>
      </c>
      <c r="E1863" t="s">
        <v>239</v>
      </c>
      <c r="F1863" t="s">
        <v>244</v>
      </c>
      <c r="G1863" t="s">
        <v>82</v>
      </c>
      <c r="H1863" t="s">
        <v>185</v>
      </c>
      <c r="J1863" t="s">
        <v>195</v>
      </c>
      <c r="K1863" t="s">
        <v>241</v>
      </c>
      <c r="L1863">
        <v>1440000000</v>
      </c>
      <c r="M1863" t="s">
        <v>245</v>
      </c>
      <c r="N1863" t="s">
        <v>1562</v>
      </c>
    </row>
    <row r="1864" spans="1:16" hidden="1" x14ac:dyDescent="0.25">
      <c r="A1864" s="16">
        <v>45717</v>
      </c>
      <c r="B1864" t="s">
        <v>1192</v>
      </c>
      <c r="C1864">
        <v>56</v>
      </c>
      <c r="D1864" t="s">
        <v>291</v>
      </c>
      <c r="E1864" t="s">
        <v>292</v>
      </c>
      <c r="F1864" t="s">
        <v>1199</v>
      </c>
      <c r="G1864" t="s">
        <v>63</v>
      </c>
      <c r="H1864" t="s">
        <v>1200</v>
      </c>
      <c r="J1864" t="s">
        <v>195</v>
      </c>
      <c r="K1864" t="s">
        <v>241</v>
      </c>
      <c r="L1864">
        <v>879000</v>
      </c>
      <c r="M1864" t="s">
        <v>242</v>
      </c>
      <c r="N1864" t="s">
        <v>1563</v>
      </c>
    </row>
    <row r="1865" spans="1:16" hidden="1" x14ac:dyDescent="0.25">
      <c r="A1865" s="16">
        <v>45717</v>
      </c>
      <c r="B1865" t="s">
        <v>1192</v>
      </c>
      <c r="C1865">
        <v>56</v>
      </c>
      <c r="D1865" t="s">
        <v>291</v>
      </c>
      <c r="E1865" t="s">
        <v>292</v>
      </c>
      <c r="F1865" t="s">
        <v>1199</v>
      </c>
      <c r="G1865" t="s">
        <v>63</v>
      </c>
      <c r="H1865" t="s">
        <v>1202</v>
      </c>
      <c r="J1865" t="s">
        <v>195</v>
      </c>
      <c r="K1865" t="s">
        <v>241</v>
      </c>
      <c r="L1865">
        <v>900000</v>
      </c>
      <c r="M1865" t="s">
        <v>242</v>
      </c>
      <c r="N1865" t="s">
        <v>1564</v>
      </c>
    </row>
    <row r="1866" spans="1:16" hidden="1" x14ac:dyDescent="0.25">
      <c r="A1866" s="16">
        <v>45717</v>
      </c>
      <c r="B1866" t="s">
        <v>1192</v>
      </c>
      <c r="C1866">
        <v>56</v>
      </c>
      <c r="D1866" t="s">
        <v>291</v>
      </c>
      <c r="E1866" t="s">
        <v>292</v>
      </c>
      <c r="F1866" t="s">
        <v>1199</v>
      </c>
      <c r="G1866" t="s">
        <v>63</v>
      </c>
      <c r="H1866" t="s">
        <v>1204</v>
      </c>
      <c r="J1866" t="s">
        <v>195</v>
      </c>
      <c r="K1866" t="s">
        <v>241</v>
      </c>
      <c r="L1866">
        <v>1726000</v>
      </c>
      <c r="M1866" t="s">
        <v>242</v>
      </c>
      <c r="N1866" t="s">
        <v>1565</v>
      </c>
    </row>
    <row r="1867" spans="1:16" hidden="1" x14ac:dyDescent="0.25">
      <c r="A1867" s="16">
        <v>45717</v>
      </c>
      <c r="B1867" t="s">
        <v>1192</v>
      </c>
      <c r="C1867">
        <v>56</v>
      </c>
      <c r="D1867" t="s">
        <v>238</v>
      </c>
      <c r="E1867" t="s">
        <v>239</v>
      </c>
      <c r="F1867" t="s">
        <v>1206</v>
      </c>
      <c r="G1867" t="s">
        <v>63</v>
      </c>
      <c r="H1867" t="s">
        <v>1207</v>
      </c>
      <c r="J1867" t="s">
        <v>195</v>
      </c>
      <c r="K1867" t="s">
        <v>241</v>
      </c>
      <c r="L1867">
        <v>3557000</v>
      </c>
      <c r="M1867" t="s">
        <v>242</v>
      </c>
      <c r="N1867" t="s">
        <v>1566</v>
      </c>
    </row>
    <row r="1868" spans="1:16" hidden="1" x14ac:dyDescent="0.25">
      <c r="A1868" s="16">
        <v>45717</v>
      </c>
      <c r="B1868" t="s">
        <v>1192</v>
      </c>
      <c r="C1868">
        <v>57</v>
      </c>
      <c r="D1868" t="s">
        <v>291</v>
      </c>
      <c r="E1868" t="s">
        <v>292</v>
      </c>
      <c r="F1868" t="s">
        <v>240</v>
      </c>
      <c r="G1868" t="s">
        <v>82</v>
      </c>
      <c r="H1868" t="s">
        <v>184</v>
      </c>
      <c r="J1868" t="s">
        <v>195</v>
      </c>
      <c r="K1868" t="s">
        <v>250</v>
      </c>
      <c r="L1868">
        <v>12110000</v>
      </c>
      <c r="M1868" t="s">
        <v>242</v>
      </c>
      <c r="N1868" t="s">
        <v>1509</v>
      </c>
    </row>
    <row r="1869" spans="1:16" hidden="1" x14ac:dyDescent="0.25">
      <c r="A1869" s="16">
        <v>45717</v>
      </c>
      <c r="B1869" t="s">
        <v>1192</v>
      </c>
      <c r="C1869">
        <v>57</v>
      </c>
      <c r="D1869" t="s">
        <v>291</v>
      </c>
      <c r="E1869" t="s">
        <v>292</v>
      </c>
      <c r="F1869" t="s">
        <v>240</v>
      </c>
      <c r="G1869" t="s">
        <v>82</v>
      </c>
      <c r="H1869" t="s">
        <v>185</v>
      </c>
      <c r="J1869" t="s">
        <v>195</v>
      </c>
      <c r="K1869" t="s">
        <v>250</v>
      </c>
      <c r="L1869">
        <v>7290000</v>
      </c>
      <c r="M1869" t="s">
        <v>242</v>
      </c>
      <c r="N1869" t="s">
        <v>1567</v>
      </c>
    </row>
    <row r="1870" spans="1:16" hidden="1" x14ac:dyDescent="0.25">
      <c r="A1870" s="16">
        <v>45717</v>
      </c>
      <c r="B1870" t="s">
        <v>1192</v>
      </c>
      <c r="C1870">
        <v>57</v>
      </c>
      <c r="D1870" t="s">
        <v>238</v>
      </c>
      <c r="E1870" t="s">
        <v>239</v>
      </c>
      <c r="F1870" t="s">
        <v>1194</v>
      </c>
      <c r="G1870" t="s">
        <v>82</v>
      </c>
      <c r="J1870" t="s">
        <v>195</v>
      </c>
      <c r="K1870" t="s">
        <v>250</v>
      </c>
      <c r="L1870">
        <v>19400000</v>
      </c>
      <c r="M1870" t="s">
        <v>242</v>
      </c>
      <c r="N1870" t="s">
        <v>1568</v>
      </c>
    </row>
    <row r="1871" spans="1:16" hidden="1" x14ac:dyDescent="0.25">
      <c r="A1871" s="16">
        <v>45717</v>
      </c>
      <c r="B1871" t="s">
        <v>1192</v>
      </c>
      <c r="C1871">
        <v>58</v>
      </c>
      <c r="D1871" t="s">
        <v>238</v>
      </c>
      <c r="E1871" t="s">
        <v>239</v>
      </c>
      <c r="F1871" t="s">
        <v>1196</v>
      </c>
      <c r="G1871" t="s">
        <v>82</v>
      </c>
      <c r="J1871" t="s">
        <v>195</v>
      </c>
      <c r="K1871" t="s">
        <v>250</v>
      </c>
      <c r="L1871">
        <v>2100000000</v>
      </c>
      <c r="M1871" t="s">
        <v>245</v>
      </c>
      <c r="N1871" t="s">
        <v>1569</v>
      </c>
    </row>
    <row r="1872" spans="1:16" hidden="1" x14ac:dyDescent="0.25">
      <c r="A1872" s="16">
        <v>45717</v>
      </c>
      <c r="B1872" t="s">
        <v>1192</v>
      </c>
      <c r="C1872">
        <v>58</v>
      </c>
      <c r="D1872" t="s">
        <v>291</v>
      </c>
      <c r="E1872" t="s">
        <v>292</v>
      </c>
      <c r="F1872" t="s">
        <v>244</v>
      </c>
      <c r="G1872" t="s">
        <v>82</v>
      </c>
      <c r="H1872" t="s">
        <v>184</v>
      </c>
      <c r="J1872" t="s">
        <v>195</v>
      </c>
      <c r="K1872" t="s">
        <v>250</v>
      </c>
      <c r="L1872">
        <v>1560000000</v>
      </c>
      <c r="M1872" t="s">
        <v>245</v>
      </c>
      <c r="N1872" t="s">
        <v>1570</v>
      </c>
    </row>
    <row r="1873" spans="1:16" hidden="1" x14ac:dyDescent="0.25">
      <c r="A1873" s="16">
        <v>45717</v>
      </c>
      <c r="B1873" t="s">
        <v>1192</v>
      </c>
      <c r="C1873">
        <v>58</v>
      </c>
      <c r="D1873" t="s">
        <v>291</v>
      </c>
      <c r="E1873" t="s">
        <v>292</v>
      </c>
      <c r="F1873" t="s">
        <v>244</v>
      </c>
      <c r="G1873" t="s">
        <v>82</v>
      </c>
      <c r="H1873" t="s">
        <v>185</v>
      </c>
      <c r="J1873" t="s">
        <v>195</v>
      </c>
      <c r="K1873" t="s">
        <v>250</v>
      </c>
      <c r="L1873">
        <v>540000000</v>
      </c>
      <c r="M1873" t="s">
        <v>245</v>
      </c>
      <c r="N1873" t="s">
        <v>1571</v>
      </c>
    </row>
    <row r="1874" spans="1:16" hidden="1" x14ac:dyDescent="0.25">
      <c r="A1874" s="16">
        <v>45717</v>
      </c>
      <c r="B1874" t="s">
        <v>1192</v>
      </c>
      <c r="C1874">
        <v>59</v>
      </c>
      <c r="D1874" t="s">
        <v>291</v>
      </c>
      <c r="E1874" t="s">
        <v>292</v>
      </c>
      <c r="F1874" t="s">
        <v>1210</v>
      </c>
      <c r="G1874" t="s">
        <v>82</v>
      </c>
      <c r="H1874" t="s">
        <v>184</v>
      </c>
      <c r="J1874" t="s">
        <v>195</v>
      </c>
      <c r="K1874" t="s">
        <v>250</v>
      </c>
      <c r="L1874">
        <v>129</v>
      </c>
      <c r="M1874" t="s">
        <v>245</v>
      </c>
      <c r="N1874" t="s">
        <v>1392</v>
      </c>
    </row>
    <row r="1875" spans="1:16" hidden="1" x14ac:dyDescent="0.25">
      <c r="A1875" s="16">
        <v>45717</v>
      </c>
      <c r="B1875" t="s">
        <v>1192</v>
      </c>
      <c r="C1875">
        <v>59</v>
      </c>
      <c r="D1875" t="s">
        <v>291</v>
      </c>
      <c r="E1875" t="s">
        <v>292</v>
      </c>
      <c r="F1875" t="s">
        <v>1210</v>
      </c>
      <c r="G1875" t="s">
        <v>82</v>
      </c>
      <c r="H1875" t="s">
        <v>185</v>
      </c>
      <c r="J1875" t="s">
        <v>195</v>
      </c>
      <c r="K1875" t="s">
        <v>250</v>
      </c>
      <c r="L1875">
        <v>73.7</v>
      </c>
      <c r="M1875" t="s">
        <v>245</v>
      </c>
      <c r="N1875" t="s">
        <v>1572</v>
      </c>
    </row>
    <row r="1876" spans="1:16" hidden="1" x14ac:dyDescent="0.25">
      <c r="A1876" s="16">
        <v>45717</v>
      </c>
      <c r="B1876" t="s">
        <v>1192</v>
      </c>
      <c r="C1876">
        <v>59</v>
      </c>
      <c r="D1876" t="s">
        <v>238</v>
      </c>
      <c r="E1876" t="s">
        <v>239</v>
      </c>
      <c r="F1876" t="s">
        <v>1213</v>
      </c>
      <c r="G1876" t="s">
        <v>82</v>
      </c>
      <c r="H1876" t="s">
        <v>1214</v>
      </c>
      <c r="J1876" t="s">
        <v>195</v>
      </c>
      <c r="K1876" t="s">
        <v>250</v>
      </c>
      <c r="L1876">
        <v>108.2</v>
      </c>
      <c r="M1876" t="s">
        <v>245</v>
      </c>
      <c r="N1876" t="s">
        <v>1394</v>
      </c>
    </row>
    <row r="1877" spans="1:16" hidden="1" x14ac:dyDescent="0.25">
      <c r="A1877" s="16">
        <v>45717</v>
      </c>
      <c r="B1877" t="s">
        <v>162</v>
      </c>
      <c r="C1877">
        <v>42</v>
      </c>
      <c r="D1877" t="s">
        <v>238</v>
      </c>
      <c r="E1877" t="s">
        <v>239</v>
      </c>
      <c r="F1877" t="s">
        <v>240</v>
      </c>
      <c r="G1877" t="s">
        <v>82</v>
      </c>
      <c r="J1877" t="s">
        <v>195</v>
      </c>
      <c r="K1877" t="s">
        <v>241</v>
      </c>
      <c r="L1877">
        <v>51920000</v>
      </c>
      <c r="M1877" t="s">
        <v>242</v>
      </c>
      <c r="N1877" t="s">
        <v>1560</v>
      </c>
    </row>
    <row r="1878" spans="1:16" hidden="1" x14ac:dyDescent="0.25">
      <c r="A1878" s="16">
        <v>45717</v>
      </c>
      <c r="B1878" t="s">
        <v>162</v>
      </c>
      <c r="C1878">
        <v>42</v>
      </c>
      <c r="D1878" t="s">
        <v>238</v>
      </c>
      <c r="E1878" t="s">
        <v>239</v>
      </c>
      <c r="F1878" t="s">
        <v>244</v>
      </c>
      <c r="G1878" t="s">
        <v>82</v>
      </c>
      <c r="J1878" t="s">
        <v>195</v>
      </c>
      <c r="K1878" t="s">
        <v>241</v>
      </c>
      <c r="L1878">
        <v>5610000000</v>
      </c>
      <c r="M1878" t="s">
        <v>245</v>
      </c>
      <c r="N1878" t="s">
        <v>1561</v>
      </c>
    </row>
    <row r="1879" spans="1:16" hidden="1" x14ac:dyDescent="0.25">
      <c r="A1879" s="16">
        <v>45717</v>
      </c>
      <c r="B1879" t="s">
        <v>162</v>
      </c>
      <c r="C1879">
        <v>43</v>
      </c>
      <c r="D1879" t="s">
        <v>253</v>
      </c>
      <c r="E1879" t="s">
        <v>248</v>
      </c>
      <c r="F1879" t="s">
        <v>240</v>
      </c>
      <c r="G1879" t="s">
        <v>82</v>
      </c>
      <c r="J1879" t="s">
        <v>193</v>
      </c>
      <c r="K1879" t="s">
        <v>255</v>
      </c>
      <c r="L1879">
        <v>16730000</v>
      </c>
      <c r="M1879" t="s">
        <v>242</v>
      </c>
      <c r="N1879" t="s">
        <v>1218</v>
      </c>
      <c r="O1879">
        <v>1</v>
      </c>
      <c r="P1879" t="s">
        <v>257</v>
      </c>
    </row>
    <row r="1880" spans="1:16" hidden="1" x14ac:dyDescent="0.25">
      <c r="A1880" s="16">
        <v>45717</v>
      </c>
      <c r="B1880" t="s">
        <v>162</v>
      </c>
      <c r="C1880">
        <v>43</v>
      </c>
      <c r="D1880" t="s">
        <v>253</v>
      </c>
      <c r="E1880" t="s">
        <v>248</v>
      </c>
      <c r="F1880" t="s">
        <v>240</v>
      </c>
      <c r="G1880" t="s">
        <v>82</v>
      </c>
      <c r="J1880" t="s">
        <v>194</v>
      </c>
      <c r="K1880" t="s">
        <v>255</v>
      </c>
      <c r="L1880">
        <v>15790000</v>
      </c>
      <c r="M1880" t="s">
        <v>242</v>
      </c>
      <c r="N1880" t="s">
        <v>1395</v>
      </c>
      <c r="O1880">
        <v>1</v>
      </c>
      <c r="P1880" t="s">
        <v>257</v>
      </c>
    </row>
    <row r="1881" spans="1:16" hidden="1" x14ac:dyDescent="0.25">
      <c r="A1881" s="16">
        <v>45717</v>
      </c>
      <c r="B1881" t="s">
        <v>162</v>
      </c>
      <c r="C1881">
        <v>43</v>
      </c>
      <c r="D1881" t="s">
        <v>253</v>
      </c>
      <c r="E1881" t="s">
        <v>248</v>
      </c>
      <c r="F1881" t="s">
        <v>240</v>
      </c>
      <c r="G1881" t="s">
        <v>82</v>
      </c>
      <c r="J1881" t="s">
        <v>195</v>
      </c>
      <c r="K1881" t="s">
        <v>255</v>
      </c>
      <c r="L1881">
        <v>19410000</v>
      </c>
      <c r="M1881" t="s">
        <v>242</v>
      </c>
      <c r="N1881" t="s">
        <v>1573</v>
      </c>
      <c r="O1881">
        <v>1</v>
      </c>
      <c r="P1881" t="s">
        <v>261</v>
      </c>
    </row>
    <row r="1882" spans="1:16" hidden="1" x14ac:dyDescent="0.25">
      <c r="A1882" s="16">
        <v>45717</v>
      </c>
      <c r="B1882" t="s">
        <v>162</v>
      </c>
      <c r="C1882">
        <v>43</v>
      </c>
      <c r="D1882" t="s">
        <v>247</v>
      </c>
      <c r="E1882" t="s">
        <v>248</v>
      </c>
      <c r="F1882" t="s">
        <v>240</v>
      </c>
      <c r="G1882" t="s">
        <v>82</v>
      </c>
      <c r="H1882" t="s">
        <v>286</v>
      </c>
      <c r="J1882" t="s">
        <v>195</v>
      </c>
      <c r="K1882" t="s">
        <v>250</v>
      </c>
      <c r="L1882">
        <v>22.9</v>
      </c>
      <c r="M1882" t="s">
        <v>251</v>
      </c>
      <c r="N1882" t="s">
        <v>1574</v>
      </c>
    </row>
    <row r="1883" spans="1:16" hidden="1" x14ac:dyDescent="0.25">
      <c r="A1883" s="16">
        <v>45717</v>
      </c>
      <c r="B1883" t="s">
        <v>162</v>
      </c>
      <c r="C1883">
        <v>44</v>
      </c>
      <c r="D1883" t="s">
        <v>291</v>
      </c>
      <c r="E1883" t="s">
        <v>292</v>
      </c>
      <c r="F1883" t="s">
        <v>240</v>
      </c>
      <c r="G1883" t="s">
        <v>82</v>
      </c>
      <c r="H1883" t="s">
        <v>170</v>
      </c>
      <c r="J1883" t="s">
        <v>195</v>
      </c>
      <c r="K1883" t="s">
        <v>250</v>
      </c>
      <c r="L1883">
        <v>6860</v>
      </c>
      <c r="M1883" t="s">
        <v>242</v>
      </c>
      <c r="N1883" t="s">
        <v>1575</v>
      </c>
    </row>
    <row r="1884" spans="1:16" hidden="1" x14ac:dyDescent="0.25">
      <c r="A1884" s="16">
        <v>45717</v>
      </c>
      <c r="B1884" t="s">
        <v>162</v>
      </c>
      <c r="C1884">
        <v>44</v>
      </c>
      <c r="D1884" t="s">
        <v>291</v>
      </c>
      <c r="E1884" t="s">
        <v>292</v>
      </c>
      <c r="F1884" t="s">
        <v>240</v>
      </c>
      <c r="G1884" t="s">
        <v>82</v>
      </c>
      <c r="H1884" t="s">
        <v>164</v>
      </c>
      <c r="J1884" t="s">
        <v>195</v>
      </c>
      <c r="K1884" t="s">
        <v>250</v>
      </c>
      <c r="L1884">
        <v>8610000</v>
      </c>
      <c r="M1884" t="s">
        <v>242</v>
      </c>
      <c r="N1884" t="s">
        <v>1576</v>
      </c>
    </row>
    <row r="1885" spans="1:16" hidden="1" x14ac:dyDescent="0.25">
      <c r="A1885" s="16">
        <v>45717</v>
      </c>
      <c r="B1885" t="s">
        <v>162</v>
      </c>
      <c r="C1885">
        <v>44</v>
      </c>
      <c r="D1885" t="s">
        <v>291</v>
      </c>
      <c r="E1885" t="s">
        <v>292</v>
      </c>
      <c r="F1885" t="s">
        <v>240</v>
      </c>
      <c r="G1885" t="s">
        <v>82</v>
      </c>
      <c r="H1885" t="s">
        <v>165</v>
      </c>
      <c r="J1885" t="s">
        <v>195</v>
      </c>
      <c r="K1885" t="s">
        <v>250</v>
      </c>
      <c r="L1885">
        <v>3500000</v>
      </c>
      <c r="M1885" t="s">
        <v>242</v>
      </c>
      <c r="N1885" t="s">
        <v>1577</v>
      </c>
    </row>
    <row r="1886" spans="1:16" hidden="1" x14ac:dyDescent="0.25">
      <c r="A1886" s="16">
        <v>45717</v>
      </c>
      <c r="B1886" t="s">
        <v>162</v>
      </c>
      <c r="C1886">
        <v>44</v>
      </c>
      <c r="D1886" t="s">
        <v>291</v>
      </c>
      <c r="E1886" t="s">
        <v>292</v>
      </c>
      <c r="F1886" t="s">
        <v>240</v>
      </c>
      <c r="G1886" t="s">
        <v>82</v>
      </c>
      <c r="H1886" t="s">
        <v>171</v>
      </c>
      <c r="J1886" t="s">
        <v>195</v>
      </c>
      <c r="K1886" t="s">
        <v>250</v>
      </c>
      <c r="L1886">
        <v>56030</v>
      </c>
      <c r="M1886" t="s">
        <v>242</v>
      </c>
      <c r="N1886" t="s">
        <v>1578</v>
      </c>
    </row>
    <row r="1887" spans="1:16" hidden="1" x14ac:dyDescent="0.25">
      <c r="A1887" s="16">
        <v>45717</v>
      </c>
      <c r="B1887" t="s">
        <v>162</v>
      </c>
      <c r="C1887">
        <v>44</v>
      </c>
      <c r="D1887" t="s">
        <v>291</v>
      </c>
      <c r="E1887" t="s">
        <v>292</v>
      </c>
      <c r="F1887" t="s">
        <v>240</v>
      </c>
      <c r="G1887" t="s">
        <v>82</v>
      </c>
      <c r="H1887" t="s">
        <v>166</v>
      </c>
      <c r="J1887" t="s">
        <v>195</v>
      </c>
      <c r="K1887" t="s">
        <v>250</v>
      </c>
      <c r="L1887">
        <v>2260000</v>
      </c>
      <c r="M1887" t="s">
        <v>242</v>
      </c>
      <c r="N1887" t="s">
        <v>1579</v>
      </c>
    </row>
    <row r="1888" spans="1:16" hidden="1" x14ac:dyDescent="0.25">
      <c r="A1888" s="16">
        <v>45717</v>
      </c>
      <c r="B1888" t="s">
        <v>162</v>
      </c>
      <c r="C1888">
        <v>44</v>
      </c>
      <c r="D1888" t="s">
        <v>291</v>
      </c>
      <c r="E1888" t="s">
        <v>292</v>
      </c>
      <c r="F1888" t="s">
        <v>240</v>
      </c>
      <c r="G1888" t="s">
        <v>82</v>
      </c>
      <c r="H1888" t="s">
        <v>167</v>
      </c>
      <c r="J1888" t="s">
        <v>195</v>
      </c>
      <c r="K1888" t="s">
        <v>250</v>
      </c>
      <c r="L1888">
        <v>4970000</v>
      </c>
      <c r="M1888" t="s">
        <v>242</v>
      </c>
      <c r="N1888" t="s">
        <v>1580</v>
      </c>
    </row>
    <row r="1889" spans="1:17" hidden="1" x14ac:dyDescent="0.25">
      <c r="A1889" s="16">
        <v>45717</v>
      </c>
      <c r="B1889" t="s">
        <v>162</v>
      </c>
      <c r="C1889">
        <v>45</v>
      </c>
      <c r="D1889" t="s">
        <v>253</v>
      </c>
      <c r="E1889" t="s">
        <v>248</v>
      </c>
      <c r="F1889" t="s">
        <v>428</v>
      </c>
      <c r="G1889" t="s">
        <v>82</v>
      </c>
      <c r="J1889" t="s">
        <v>193</v>
      </c>
      <c r="K1889" t="s">
        <v>255</v>
      </c>
      <c r="L1889">
        <v>14750000</v>
      </c>
      <c r="M1889" t="s">
        <v>242</v>
      </c>
      <c r="N1889" t="s">
        <v>1223</v>
      </c>
      <c r="O1889">
        <v>1</v>
      </c>
      <c r="P1889" t="s">
        <v>257</v>
      </c>
      <c r="Q1889" t="s">
        <v>1404</v>
      </c>
    </row>
    <row r="1890" spans="1:17" hidden="1" x14ac:dyDescent="0.25">
      <c r="A1890" s="16">
        <v>45717</v>
      </c>
      <c r="B1890" t="s">
        <v>162</v>
      </c>
      <c r="C1890">
        <v>45</v>
      </c>
      <c r="D1890" t="s">
        <v>253</v>
      </c>
      <c r="E1890" t="s">
        <v>248</v>
      </c>
      <c r="F1890" t="s">
        <v>428</v>
      </c>
      <c r="G1890" t="s">
        <v>82</v>
      </c>
      <c r="J1890" t="s">
        <v>194</v>
      </c>
      <c r="K1890" t="s">
        <v>255</v>
      </c>
      <c r="L1890">
        <v>13900000</v>
      </c>
      <c r="M1890" t="s">
        <v>242</v>
      </c>
      <c r="N1890" t="s">
        <v>1405</v>
      </c>
      <c r="O1890">
        <v>1</v>
      </c>
      <c r="P1890" t="s">
        <v>257</v>
      </c>
    </row>
    <row r="1891" spans="1:17" hidden="1" x14ac:dyDescent="0.25">
      <c r="A1891" s="16">
        <v>45717</v>
      </c>
      <c r="B1891" t="s">
        <v>162</v>
      </c>
      <c r="C1891">
        <v>45</v>
      </c>
      <c r="D1891" t="s">
        <v>253</v>
      </c>
      <c r="E1891" t="s">
        <v>248</v>
      </c>
      <c r="F1891" t="s">
        <v>428</v>
      </c>
      <c r="G1891" t="s">
        <v>82</v>
      </c>
      <c r="J1891" t="s">
        <v>195</v>
      </c>
      <c r="K1891" t="s">
        <v>255</v>
      </c>
      <c r="L1891">
        <v>17120000</v>
      </c>
      <c r="M1891" t="s">
        <v>242</v>
      </c>
      <c r="N1891" t="s">
        <v>1581</v>
      </c>
      <c r="O1891">
        <v>1</v>
      </c>
      <c r="P1891" t="s">
        <v>261</v>
      </c>
    </row>
    <row r="1892" spans="1:17" hidden="1" x14ac:dyDescent="0.25">
      <c r="A1892" s="16">
        <v>45717</v>
      </c>
      <c r="B1892" t="s">
        <v>162</v>
      </c>
      <c r="C1892">
        <v>45</v>
      </c>
      <c r="D1892" t="s">
        <v>247</v>
      </c>
      <c r="E1892" t="s">
        <v>248</v>
      </c>
      <c r="F1892" t="s">
        <v>428</v>
      </c>
      <c r="G1892" t="s">
        <v>82</v>
      </c>
      <c r="H1892" t="s">
        <v>286</v>
      </c>
      <c r="J1892" t="s">
        <v>195</v>
      </c>
      <c r="K1892" t="s">
        <v>250</v>
      </c>
      <c r="L1892">
        <v>23.1</v>
      </c>
      <c r="M1892" t="s">
        <v>251</v>
      </c>
      <c r="N1892" t="s">
        <v>1582</v>
      </c>
    </row>
    <row r="1893" spans="1:17" hidden="1" x14ac:dyDescent="0.25">
      <c r="A1893" s="16">
        <v>45717</v>
      </c>
      <c r="B1893" t="s">
        <v>162</v>
      </c>
      <c r="C1893">
        <v>46</v>
      </c>
      <c r="D1893" t="s">
        <v>291</v>
      </c>
      <c r="E1893" t="s">
        <v>292</v>
      </c>
      <c r="F1893" t="s">
        <v>428</v>
      </c>
      <c r="G1893" t="s">
        <v>82</v>
      </c>
      <c r="H1893" t="s">
        <v>94</v>
      </c>
      <c r="J1893" t="s">
        <v>195</v>
      </c>
      <c r="K1893" t="s">
        <v>250</v>
      </c>
      <c r="L1893">
        <v>12690000</v>
      </c>
      <c r="M1893" t="s">
        <v>242</v>
      </c>
      <c r="N1893" t="s">
        <v>1583</v>
      </c>
    </row>
    <row r="1894" spans="1:17" hidden="1" x14ac:dyDescent="0.25">
      <c r="A1894" s="16">
        <v>45717</v>
      </c>
      <c r="B1894" t="s">
        <v>162</v>
      </c>
      <c r="C1894">
        <v>46</v>
      </c>
      <c r="D1894" t="s">
        <v>291</v>
      </c>
      <c r="E1894" t="s">
        <v>292</v>
      </c>
      <c r="F1894" t="s">
        <v>428</v>
      </c>
      <c r="G1894" t="s">
        <v>82</v>
      </c>
      <c r="H1894" t="s">
        <v>95</v>
      </c>
      <c r="J1894" t="s">
        <v>195</v>
      </c>
      <c r="K1894" t="s">
        <v>250</v>
      </c>
      <c r="L1894">
        <v>4430000</v>
      </c>
      <c r="M1894" t="s">
        <v>242</v>
      </c>
      <c r="N1894" t="s">
        <v>377</v>
      </c>
    </row>
    <row r="1895" spans="1:17" hidden="1" x14ac:dyDescent="0.25">
      <c r="A1895" s="16">
        <v>45717</v>
      </c>
      <c r="B1895" t="s">
        <v>162</v>
      </c>
      <c r="C1895">
        <v>47</v>
      </c>
      <c r="D1895" t="s">
        <v>291</v>
      </c>
      <c r="E1895" t="s">
        <v>292</v>
      </c>
      <c r="F1895" t="s">
        <v>428</v>
      </c>
      <c r="G1895" t="s">
        <v>82</v>
      </c>
      <c r="H1895" t="s">
        <v>173</v>
      </c>
      <c r="J1895" t="s">
        <v>195</v>
      </c>
      <c r="K1895" t="s">
        <v>250</v>
      </c>
      <c r="L1895">
        <v>2920000</v>
      </c>
      <c r="M1895" t="s">
        <v>242</v>
      </c>
      <c r="N1895" t="s">
        <v>1584</v>
      </c>
    </row>
    <row r="1896" spans="1:17" hidden="1" x14ac:dyDescent="0.25">
      <c r="A1896" s="16">
        <v>45717</v>
      </c>
      <c r="B1896" t="s">
        <v>162</v>
      </c>
      <c r="C1896">
        <v>47</v>
      </c>
      <c r="D1896" t="s">
        <v>291</v>
      </c>
      <c r="E1896" t="s">
        <v>292</v>
      </c>
      <c r="F1896" t="s">
        <v>428</v>
      </c>
      <c r="G1896" t="s">
        <v>82</v>
      </c>
      <c r="H1896" t="s">
        <v>174</v>
      </c>
      <c r="J1896" t="s">
        <v>195</v>
      </c>
      <c r="K1896" t="s">
        <v>250</v>
      </c>
      <c r="L1896">
        <v>2230000</v>
      </c>
      <c r="M1896" t="s">
        <v>242</v>
      </c>
      <c r="N1896" t="s">
        <v>1585</v>
      </c>
    </row>
    <row r="1897" spans="1:17" hidden="1" x14ac:dyDescent="0.25">
      <c r="A1897" s="16">
        <v>45717</v>
      </c>
      <c r="B1897" t="s">
        <v>162</v>
      </c>
      <c r="C1897">
        <v>48</v>
      </c>
      <c r="D1897" t="s">
        <v>253</v>
      </c>
      <c r="E1897" t="s">
        <v>248</v>
      </c>
      <c r="F1897" t="s">
        <v>244</v>
      </c>
      <c r="G1897" t="s">
        <v>82</v>
      </c>
      <c r="J1897" t="s">
        <v>193</v>
      </c>
      <c r="K1897" t="s">
        <v>255</v>
      </c>
      <c r="L1897">
        <v>1800000000</v>
      </c>
      <c r="M1897" t="s">
        <v>245</v>
      </c>
      <c r="N1897" t="s">
        <v>1229</v>
      </c>
      <c r="O1897">
        <v>1</v>
      </c>
      <c r="P1897" t="s">
        <v>257</v>
      </c>
    </row>
    <row r="1898" spans="1:17" hidden="1" x14ac:dyDescent="0.25">
      <c r="A1898" s="16">
        <v>45717</v>
      </c>
      <c r="B1898" t="s">
        <v>162</v>
      </c>
      <c r="C1898">
        <v>48</v>
      </c>
      <c r="D1898" t="s">
        <v>253</v>
      </c>
      <c r="E1898" t="s">
        <v>248</v>
      </c>
      <c r="F1898" t="s">
        <v>244</v>
      </c>
      <c r="G1898" t="s">
        <v>82</v>
      </c>
      <c r="J1898" t="s">
        <v>194</v>
      </c>
      <c r="K1898" t="s">
        <v>255</v>
      </c>
      <c r="L1898">
        <v>1710000000</v>
      </c>
      <c r="M1898" t="s">
        <v>245</v>
      </c>
      <c r="N1898" t="s">
        <v>1410</v>
      </c>
      <c r="O1898">
        <v>1</v>
      </c>
      <c r="P1898" t="s">
        <v>257</v>
      </c>
    </row>
    <row r="1899" spans="1:17" hidden="1" x14ac:dyDescent="0.25">
      <c r="A1899" s="16">
        <v>45717</v>
      </c>
      <c r="B1899" t="s">
        <v>162</v>
      </c>
      <c r="C1899">
        <v>48</v>
      </c>
      <c r="D1899" t="s">
        <v>253</v>
      </c>
      <c r="E1899" t="s">
        <v>248</v>
      </c>
      <c r="F1899" t="s">
        <v>244</v>
      </c>
      <c r="G1899" t="s">
        <v>82</v>
      </c>
      <c r="J1899" t="s">
        <v>195</v>
      </c>
      <c r="K1899" t="s">
        <v>255</v>
      </c>
      <c r="L1899">
        <v>2100000000</v>
      </c>
      <c r="M1899" t="s">
        <v>245</v>
      </c>
      <c r="N1899" t="s">
        <v>1586</v>
      </c>
      <c r="O1899">
        <v>1</v>
      </c>
      <c r="P1899" t="s">
        <v>261</v>
      </c>
    </row>
    <row r="1900" spans="1:17" hidden="1" x14ac:dyDescent="0.25">
      <c r="A1900" s="16">
        <v>45717</v>
      </c>
      <c r="B1900" t="s">
        <v>162</v>
      </c>
      <c r="C1900">
        <v>48</v>
      </c>
      <c r="D1900" t="s">
        <v>247</v>
      </c>
      <c r="E1900" t="s">
        <v>248</v>
      </c>
      <c r="F1900" t="s">
        <v>244</v>
      </c>
      <c r="G1900" t="s">
        <v>82</v>
      </c>
      <c r="H1900" t="s">
        <v>286</v>
      </c>
      <c r="J1900" t="s">
        <v>195</v>
      </c>
      <c r="K1900" t="s">
        <v>250</v>
      </c>
      <c r="L1900">
        <v>22.9</v>
      </c>
      <c r="M1900" t="s">
        <v>251</v>
      </c>
      <c r="N1900" t="s">
        <v>1574</v>
      </c>
    </row>
    <row r="1901" spans="1:17" hidden="1" x14ac:dyDescent="0.25">
      <c r="A1901" s="16">
        <v>45717</v>
      </c>
      <c r="B1901" t="s">
        <v>162</v>
      </c>
      <c r="C1901">
        <v>49</v>
      </c>
      <c r="D1901" t="s">
        <v>291</v>
      </c>
      <c r="E1901" t="s">
        <v>292</v>
      </c>
      <c r="F1901" t="s">
        <v>244</v>
      </c>
      <c r="G1901" t="s">
        <v>82</v>
      </c>
      <c r="H1901" t="s">
        <v>170</v>
      </c>
      <c r="J1901" t="s">
        <v>195</v>
      </c>
      <c r="K1901" t="s">
        <v>250</v>
      </c>
      <c r="L1901">
        <v>143700</v>
      </c>
      <c r="M1901" t="s">
        <v>245</v>
      </c>
      <c r="N1901" t="s">
        <v>1587</v>
      </c>
    </row>
    <row r="1902" spans="1:17" hidden="1" x14ac:dyDescent="0.25">
      <c r="A1902" s="16">
        <v>45717</v>
      </c>
      <c r="B1902" t="s">
        <v>162</v>
      </c>
      <c r="C1902">
        <v>49</v>
      </c>
      <c r="D1902" t="s">
        <v>291</v>
      </c>
      <c r="E1902" t="s">
        <v>292</v>
      </c>
      <c r="F1902" t="s">
        <v>244</v>
      </c>
      <c r="G1902" t="s">
        <v>82</v>
      </c>
      <c r="H1902" t="s">
        <v>164</v>
      </c>
      <c r="J1902" t="s">
        <v>195</v>
      </c>
      <c r="K1902" t="s">
        <v>250</v>
      </c>
      <c r="L1902">
        <v>1330000000</v>
      </c>
      <c r="M1902" t="s">
        <v>245</v>
      </c>
      <c r="N1902" t="s">
        <v>967</v>
      </c>
    </row>
    <row r="1903" spans="1:17" hidden="1" x14ac:dyDescent="0.25">
      <c r="A1903" s="16">
        <v>45717</v>
      </c>
      <c r="B1903" t="s">
        <v>162</v>
      </c>
      <c r="C1903">
        <v>49</v>
      </c>
      <c r="D1903" t="s">
        <v>291</v>
      </c>
      <c r="E1903" t="s">
        <v>292</v>
      </c>
      <c r="F1903" t="s">
        <v>244</v>
      </c>
      <c r="G1903" t="s">
        <v>82</v>
      </c>
      <c r="H1903" t="s">
        <v>165</v>
      </c>
      <c r="J1903" t="s">
        <v>195</v>
      </c>
      <c r="K1903" t="s">
        <v>250</v>
      </c>
      <c r="L1903">
        <v>265000000</v>
      </c>
      <c r="M1903" t="s">
        <v>245</v>
      </c>
      <c r="N1903" t="s">
        <v>1588</v>
      </c>
    </row>
    <row r="1904" spans="1:17" hidden="1" x14ac:dyDescent="0.25">
      <c r="A1904" s="16">
        <v>45717</v>
      </c>
      <c r="B1904" t="s">
        <v>162</v>
      </c>
      <c r="C1904">
        <v>49</v>
      </c>
      <c r="D1904" t="s">
        <v>291</v>
      </c>
      <c r="E1904" t="s">
        <v>292</v>
      </c>
      <c r="F1904" t="s">
        <v>244</v>
      </c>
      <c r="G1904" t="s">
        <v>82</v>
      </c>
      <c r="H1904" t="s">
        <v>171</v>
      </c>
      <c r="J1904" t="s">
        <v>195</v>
      </c>
      <c r="K1904" t="s">
        <v>250</v>
      </c>
      <c r="L1904">
        <v>751200</v>
      </c>
      <c r="M1904" t="s">
        <v>245</v>
      </c>
      <c r="N1904" t="s">
        <v>1589</v>
      </c>
    </row>
    <row r="1905" spans="1:16" hidden="1" x14ac:dyDescent="0.25">
      <c r="A1905" s="16">
        <v>45717</v>
      </c>
      <c r="B1905" t="s">
        <v>162</v>
      </c>
      <c r="C1905">
        <v>49</v>
      </c>
      <c r="D1905" t="s">
        <v>291</v>
      </c>
      <c r="E1905" t="s">
        <v>292</v>
      </c>
      <c r="F1905" t="s">
        <v>244</v>
      </c>
      <c r="G1905" t="s">
        <v>82</v>
      </c>
      <c r="H1905" t="s">
        <v>166</v>
      </c>
      <c r="J1905" t="s">
        <v>195</v>
      </c>
      <c r="K1905" t="s">
        <v>250</v>
      </c>
      <c r="L1905">
        <v>230700000</v>
      </c>
      <c r="M1905" t="s">
        <v>245</v>
      </c>
      <c r="N1905" t="s">
        <v>1590</v>
      </c>
    </row>
    <row r="1906" spans="1:16" hidden="1" x14ac:dyDescent="0.25">
      <c r="A1906" s="16">
        <v>45717</v>
      </c>
      <c r="B1906" t="s">
        <v>162</v>
      </c>
      <c r="C1906">
        <v>49</v>
      </c>
      <c r="D1906" t="s">
        <v>291</v>
      </c>
      <c r="E1906" t="s">
        <v>292</v>
      </c>
      <c r="F1906" t="s">
        <v>244</v>
      </c>
      <c r="G1906" t="s">
        <v>82</v>
      </c>
      <c r="H1906" t="s">
        <v>167</v>
      </c>
      <c r="J1906" t="s">
        <v>195</v>
      </c>
      <c r="K1906" t="s">
        <v>250</v>
      </c>
      <c r="L1906">
        <v>271500000</v>
      </c>
      <c r="M1906" t="s">
        <v>245</v>
      </c>
      <c r="N1906" t="s">
        <v>1591</v>
      </c>
    </row>
    <row r="1907" spans="1:16" hidden="1" x14ac:dyDescent="0.25">
      <c r="A1907" s="16">
        <v>45717</v>
      </c>
      <c r="B1907" t="s">
        <v>162</v>
      </c>
      <c r="C1907">
        <v>50</v>
      </c>
      <c r="D1907" t="s">
        <v>253</v>
      </c>
      <c r="E1907" t="s">
        <v>248</v>
      </c>
      <c r="F1907" t="s">
        <v>445</v>
      </c>
      <c r="G1907" t="s">
        <v>82</v>
      </c>
      <c r="J1907" t="s">
        <v>193</v>
      </c>
      <c r="K1907" t="s">
        <v>255</v>
      </c>
      <c r="L1907">
        <v>1490000000</v>
      </c>
      <c r="M1907" t="s">
        <v>245</v>
      </c>
      <c r="N1907" t="s">
        <v>1234</v>
      </c>
      <c r="O1907">
        <v>1</v>
      </c>
      <c r="P1907" t="s">
        <v>257</v>
      </c>
    </row>
    <row r="1908" spans="1:16" hidden="1" x14ac:dyDescent="0.25">
      <c r="A1908" s="16">
        <v>45717</v>
      </c>
      <c r="B1908" t="s">
        <v>162</v>
      </c>
      <c r="C1908">
        <v>50</v>
      </c>
      <c r="D1908" t="s">
        <v>253</v>
      </c>
      <c r="E1908" t="s">
        <v>248</v>
      </c>
      <c r="F1908" t="s">
        <v>445</v>
      </c>
      <c r="G1908" t="s">
        <v>82</v>
      </c>
      <c r="J1908" t="s">
        <v>194</v>
      </c>
      <c r="K1908" t="s">
        <v>255</v>
      </c>
      <c r="L1908">
        <v>1410000000</v>
      </c>
      <c r="M1908" t="s">
        <v>245</v>
      </c>
      <c r="N1908" t="s">
        <v>1417</v>
      </c>
      <c r="O1908">
        <v>1</v>
      </c>
      <c r="P1908" t="s">
        <v>257</v>
      </c>
    </row>
    <row r="1909" spans="1:16" hidden="1" x14ac:dyDescent="0.25">
      <c r="A1909" s="16">
        <v>45717</v>
      </c>
      <c r="B1909" t="s">
        <v>162</v>
      </c>
      <c r="C1909">
        <v>50</v>
      </c>
      <c r="D1909" t="s">
        <v>253</v>
      </c>
      <c r="E1909" t="s">
        <v>248</v>
      </c>
      <c r="F1909" t="s">
        <v>445</v>
      </c>
      <c r="G1909" t="s">
        <v>82</v>
      </c>
      <c r="J1909" t="s">
        <v>195</v>
      </c>
      <c r="K1909" t="s">
        <v>255</v>
      </c>
      <c r="L1909">
        <v>1750000000</v>
      </c>
      <c r="M1909" t="s">
        <v>245</v>
      </c>
      <c r="N1909" t="s">
        <v>1592</v>
      </c>
      <c r="O1909">
        <v>1</v>
      </c>
      <c r="P1909" t="s">
        <v>261</v>
      </c>
    </row>
    <row r="1910" spans="1:16" hidden="1" x14ac:dyDescent="0.25">
      <c r="A1910" s="16">
        <v>45717</v>
      </c>
      <c r="B1910" t="s">
        <v>162</v>
      </c>
      <c r="C1910">
        <v>50</v>
      </c>
      <c r="D1910" t="s">
        <v>247</v>
      </c>
      <c r="E1910" t="s">
        <v>248</v>
      </c>
      <c r="F1910" t="s">
        <v>445</v>
      </c>
      <c r="G1910" t="s">
        <v>82</v>
      </c>
      <c r="H1910" t="s">
        <v>286</v>
      </c>
      <c r="J1910" t="s">
        <v>195</v>
      </c>
      <c r="K1910" t="s">
        <v>250</v>
      </c>
      <c r="L1910">
        <v>23.5</v>
      </c>
      <c r="M1910" t="s">
        <v>251</v>
      </c>
      <c r="N1910" t="s">
        <v>1593</v>
      </c>
    </row>
    <row r="1911" spans="1:16" hidden="1" x14ac:dyDescent="0.25">
      <c r="A1911" s="16">
        <v>45717</v>
      </c>
      <c r="B1911" t="s">
        <v>162</v>
      </c>
      <c r="C1911">
        <v>51</v>
      </c>
      <c r="D1911" t="s">
        <v>291</v>
      </c>
      <c r="E1911" t="s">
        <v>292</v>
      </c>
      <c r="F1911" t="s">
        <v>445</v>
      </c>
      <c r="G1911" t="s">
        <v>82</v>
      </c>
      <c r="H1911" t="s">
        <v>94</v>
      </c>
      <c r="J1911" t="s">
        <v>195</v>
      </c>
      <c r="K1911" t="s">
        <v>250</v>
      </c>
      <c r="L1911">
        <v>1400000000</v>
      </c>
      <c r="M1911" t="s">
        <v>245</v>
      </c>
      <c r="N1911" t="s">
        <v>1594</v>
      </c>
    </row>
    <row r="1912" spans="1:16" hidden="1" x14ac:dyDescent="0.25">
      <c r="A1912" s="16">
        <v>45717</v>
      </c>
      <c r="B1912" t="s">
        <v>162</v>
      </c>
      <c r="C1912">
        <v>51</v>
      </c>
      <c r="D1912" t="s">
        <v>291</v>
      </c>
      <c r="E1912" t="s">
        <v>292</v>
      </c>
      <c r="F1912" t="s">
        <v>445</v>
      </c>
      <c r="G1912" t="s">
        <v>82</v>
      </c>
      <c r="H1912" t="s">
        <v>95</v>
      </c>
      <c r="J1912" t="s">
        <v>195</v>
      </c>
      <c r="K1912" t="s">
        <v>250</v>
      </c>
      <c r="L1912">
        <v>343400000</v>
      </c>
      <c r="M1912" t="s">
        <v>245</v>
      </c>
      <c r="N1912" t="s">
        <v>1595</v>
      </c>
    </row>
    <row r="1913" spans="1:16" hidden="1" x14ac:dyDescent="0.25">
      <c r="A1913" s="16">
        <v>45717</v>
      </c>
      <c r="B1913" t="s">
        <v>162</v>
      </c>
      <c r="C1913">
        <v>52</v>
      </c>
      <c r="D1913" t="s">
        <v>291</v>
      </c>
      <c r="E1913" t="s">
        <v>292</v>
      </c>
      <c r="F1913" t="s">
        <v>445</v>
      </c>
      <c r="G1913" t="s">
        <v>82</v>
      </c>
      <c r="H1913" t="s">
        <v>173</v>
      </c>
      <c r="J1913" t="s">
        <v>195</v>
      </c>
      <c r="K1913" t="s">
        <v>250</v>
      </c>
      <c r="L1913">
        <v>182200000</v>
      </c>
      <c r="M1913" t="s">
        <v>245</v>
      </c>
      <c r="N1913" t="s">
        <v>1596</v>
      </c>
    </row>
    <row r="1914" spans="1:16" hidden="1" x14ac:dyDescent="0.25">
      <c r="A1914" s="16">
        <v>45717</v>
      </c>
      <c r="B1914" t="s">
        <v>162</v>
      </c>
      <c r="C1914">
        <v>52</v>
      </c>
      <c r="D1914" t="s">
        <v>291</v>
      </c>
      <c r="E1914" t="s">
        <v>292</v>
      </c>
      <c r="F1914" t="s">
        <v>445</v>
      </c>
      <c r="G1914" t="s">
        <v>82</v>
      </c>
      <c r="H1914" t="s">
        <v>174</v>
      </c>
      <c r="J1914" t="s">
        <v>195</v>
      </c>
      <c r="K1914" t="s">
        <v>250</v>
      </c>
      <c r="L1914">
        <v>260600000</v>
      </c>
      <c r="M1914" t="s">
        <v>245</v>
      </c>
      <c r="N1914" t="s">
        <v>1597</v>
      </c>
    </row>
    <row r="1915" spans="1:16" hidden="1" x14ac:dyDescent="0.25">
      <c r="A1915" s="16">
        <v>45717</v>
      </c>
      <c r="B1915" t="s">
        <v>162</v>
      </c>
      <c r="C1915">
        <v>53</v>
      </c>
      <c r="D1915" t="s">
        <v>291</v>
      </c>
      <c r="E1915" t="s">
        <v>292</v>
      </c>
      <c r="F1915" t="s">
        <v>334</v>
      </c>
      <c r="G1915" t="s">
        <v>82</v>
      </c>
      <c r="H1915" t="s">
        <v>170</v>
      </c>
      <c r="J1915" t="s">
        <v>195</v>
      </c>
      <c r="K1915" t="s">
        <v>250</v>
      </c>
      <c r="L1915">
        <v>21</v>
      </c>
      <c r="M1915" t="s">
        <v>245</v>
      </c>
      <c r="N1915" t="s">
        <v>1598</v>
      </c>
    </row>
    <row r="1916" spans="1:16" hidden="1" x14ac:dyDescent="0.25">
      <c r="A1916" s="16">
        <v>45717</v>
      </c>
      <c r="B1916" t="s">
        <v>162</v>
      </c>
      <c r="C1916">
        <v>53</v>
      </c>
      <c r="D1916" t="s">
        <v>291</v>
      </c>
      <c r="E1916" t="s">
        <v>292</v>
      </c>
      <c r="F1916" t="s">
        <v>334</v>
      </c>
      <c r="G1916" t="s">
        <v>82</v>
      </c>
      <c r="H1916" t="s">
        <v>164</v>
      </c>
      <c r="J1916" t="s">
        <v>195</v>
      </c>
      <c r="K1916" t="s">
        <v>250</v>
      </c>
      <c r="L1916">
        <v>155</v>
      </c>
      <c r="M1916" t="s">
        <v>245</v>
      </c>
      <c r="N1916" t="s">
        <v>1240</v>
      </c>
    </row>
    <row r="1917" spans="1:16" hidden="1" x14ac:dyDescent="0.25">
      <c r="A1917" s="16">
        <v>45717</v>
      </c>
      <c r="B1917" t="s">
        <v>162</v>
      </c>
      <c r="C1917">
        <v>53</v>
      </c>
      <c r="D1917" t="s">
        <v>291</v>
      </c>
      <c r="E1917" t="s">
        <v>292</v>
      </c>
      <c r="F1917" t="s">
        <v>334</v>
      </c>
      <c r="G1917" t="s">
        <v>82</v>
      </c>
      <c r="H1917" t="s">
        <v>173</v>
      </c>
      <c r="J1917" t="s">
        <v>195</v>
      </c>
      <c r="K1917" t="s">
        <v>250</v>
      </c>
      <c r="L1917">
        <v>66</v>
      </c>
      <c r="M1917" t="s">
        <v>245</v>
      </c>
      <c r="N1917" t="s">
        <v>1241</v>
      </c>
    </row>
    <row r="1918" spans="1:16" hidden="1" x14ac:dyDescent="0.25">
      <c r="A1918" s="16">
        <v>45717</v>
      </c>
      <c r="B1918" t="s">
        <v>162</v>
      </c>
      <c r="C1918">
        <v>53</v>
      </c>
      <c r="D1918" t="s">
        <v>238</v>
      </c>
      <c r="E1918" t="s">
        <v>239</v>
      </c>
      <c r="F1918" t="s">
        <v>334</v>
      </c>
      <c r="G1918" t="s">
        <v>82</v>
      </c>
      <c r="H1918" t="s">
        <v>455</v>
      </c>
      <c r="J1918" t="s">
        <v>195</v>
      </c>
      <c r="K1918" t="s">
        <v>250</v>
      </c>
      <c r="L1918">
        <v>108</v>
      </c>
      <c r="M1918" t="s">
        <v>245</v>
      </c>
      <c r="N1918" t="s">
        <v>1423</v>
      </c>
    </row>
    <row r="1919" spans="1:16" hidden="1" x14ac:dyDescent="0.25">
      <c r="A1919" s="16">
        <v>45717</v>
      </c>
      <c r="B1919" t="s">
        <v>162</v>
      </c>
      <c r="C1919">
        <v>53</v>
      </c>
      <c r="D1919" t="s">
        <v>291</v>
      </c>
      <c r="E1919" t="s">
        <v>292</v>
      </c>
      <c r="F1919" t="s">
        <v>334</v>
      </c>
      <c r="G1919" t="s">
        <v>82</v>
      </c>
      <c r="H1919" t="s">
        <v>179</v>
      </c>
      <c r="J1919" t="s">
        <v>195</v>
      </c>
      <c r="K1919" t="s">
        <v>250</v>
      </c>
      <c r="L1919">
        <v>13</v>
      </c>
      <c r="M1919" t="s">
        <v>245</v>
      </c>
      <c r="N1919" t="s">
        <v>1424</v>
      </c>
    </row>
    <row r="1920" spans="1:16" hidden="1" x14ac:dyDescent="0.25">
      <c r="A1920" s="16">
        <v>45717</v>
      </c>
      <c r="B1920" t="s">
        <v>162</v>
      </c>
      <c r="C1920">
        <v>53</v>
      </c>
      <c r="D1920" t="s">
        <v>291</v>
      </c>
      <c r="E1920" t="s">
        <v>292</v>
      </c>
      <c r="F1920" t="s">
        <v>334</v>
      </c>
      <c r="G1920" t="s">
        <v>82</v>
      </c>
      <c r="H1920" t="s">
        <v>174</v>
      </c>
      <c r="J1920" t="s">
        <v>195</v>
      </c>
      <c r="K1920" t="s">
        <v>250</v>
      </c>
      <c r="L1920">
        <v>117</v>
      </c>
      <c r="M1920" t="s">
        <v>245</v>
      </c>
      <c r="N1920" t="s">
        <v>1599</v>
      </c>
    </row>
    <row r="1921" spans="1:16" hidden="1" x14ac:dyDescent="0.25">
      <c r="A1921" s="16">
        <v>45717</v>
      </c>
      <c r="B1921" t="s">
        <v>162</v>
      </c>
      <c r="C1921">
        <v>53</v>
      </c>
      <c r="D1921" t="s">
        <v>291</v>
      </c>
      <c r="E1921" t="s">
        <v>292</v>
      </c>
      <c r="F1921" t="s">
        <v>334</v>
      </c>
      <c r="G1921" t="s">
        <v>82</v>
      </c>
      <c r="H1921" t="s">
        <v>178</v>
      </c>
      <c r="J1921" t="s">
        <v>195</v>
      </c>
      <c r="K1921" t="s">
        <v>250</v>
      </c>
      <c r="L1921">
        <v>55</v>
      </c>
      <c r="M1921" t="s">
        <v>245</v>
      </c>
      <c r="N1921" t="s">
        <v>1600</v>
      </c>
    </row>
    <row r="1922" spans="1:16" hidden="1" x14ac:dyDescent="0.25">
      <c r="A1922" s="16">
        <v>45717</v>
      </c>
      <c r="B1922" t="s">
        <v>97</v>
      </c>
      <c r="C1922">
        <v>26</v>
      </c>
      <c r="D1922" t="s">
        <v>238</v>
      </c>
      <c r="E1922" t="s">
        <v>239</v>
      </c>
      <c r="F1922" t="s">
        <v>240</v>
      </c>
      <c r="G1922" t="s">
        <v>82</v>
      </c>
      <c r="J1922" t="s">
        <v>195</v>
      </c>
      <c r="K1922" t="s">
        <v>241</v>
      </c>
      <c r="L1922">
        <v>19590000</v>
      </c>
      <c r="M1922" t="s">
        <v>242</v>
      </c>
      <c r="N1922" t="s">
        <v>1559</v>
      </c>
    </row>
    <row r="1923" spans="1:16" hidden="1" x14ac:dyDescent="0.25">
      <c r="A1923" s="16">
        <v>45717</v>
      </c>
      <c r="B1923" t="s">
        <v>97</v>
      </c>
      <c r="C1923">
        <v>26</v>
      </c>
      <c r="D1923" t="s">
        <v>238</v>
      </c>
      <c r="E1923" t="s">
        <v>239</v>
      </c>
      <c r="F1923" t="s">
        <v>244</v>
      </c>
      <c r="G1923" t="s">
        <v>82</v>
      </c>
      <c r="J1923" t="s">
        <v>195</v>
      </c>
      <c r="K1923" t="s">
        <v>241</v>
      </c>
      <c r="L1923">
        <v>1440000000</v>
      </c>
      <c r="M1923" t="s">
        <v>245</v>
      </c>
      <c r="N1923" t="s">
        <v>1562</v>
      </c>
    </row>
    <row r="1924" spans="1:16" hidden="1" x14ac:dyDescent="0.25">
      <c r="A1924" s="16">
        <v>45717</v>
      </c>
      <c r="B1924" t="s">
        <v>97</v>
      </c>
      <c r="C1924">
        <v>27</v>
      </c>
      <c r="D1924" t="s">
        <v>253</v>
      </c>
      <c r="E1924" t="s">
        <v>248</v>
      </c>
      <c r="F1924" t="s">
        <v>285</v>
      </c>
      <c r="G1924" t="s">
        <v>63</v>
      </c>
      <c r="J1924" t="s">
        <v>193</v>
      </c>
      <c r="K1924" t="s">
        <v>255</v>
      </c>
      <c r="L1924">
        <v>2550000</v>
      </c>
      <c r="M1924" t="s">
        <v>242</v>
      </c>
      <c r="N1924" t="s">
        <v>1247</v>
      </c>
      <c r="O1924">
        <v>1</v>
      </c>
      <c r="P1924" t="s">
        <v>257</v>
      </c>
    </row>
    <row r="1925" spans="1:16" hidden="1" x14ac:dyDescent="0.25">
      <c r="A1925" s="16">
        <v>45717</v>
      </c>
      <c r="B1925" t="s">
        <v>97</v>
      </c>
      <c r="C1925">
        <v>27</v>
      </c>
      <c r="D1925" t="s">
        <v>253</v>
      </c>
      <c r="E1925" t="s">
        <v>248</v>
      </c>
      <c r="F1925" t="s">
        <v>285</v>
      </c>
      <c r="G1925" t="s">
        <v>63</v>
      </c>
      <c r="J1925" t="s">
        <v>194</v>
      </c>
      <c r="K1925" t="s">
        <v>255</v>
      </c>
      <c r="L1925">
        <v>2580000</v>
      </c>
      <c r="M1925" t="s">
        <v>242</v>
      </c>
      <c r="N1925" t="s">
        <v>1426</v>
      </c>
      <c r="O1925">
        <v>1</v>
      </c>
      <c r="P1925" t="s">
        <v>257</v>
      </c>
    </row>
    <row r="1926" spans="1:16" hidden="1" x14ac:dyDescent="0.25">
      <c r="A1926" s="16">
        <v>45717</v>
      </c>
      <c r="B1926" t="s">
        <v>97</v>
      </c>
      <c r="C1926">
        <v>27</v>
      </c>
      <c r="D1926" t="s">
        <v>253</v>
      </c>
      <c r="E1926" t="s">
        <v>248</v>
      </c>
      <c r="F1926" t="s">
        <v>285</v>
      </c>
      <c r="G1926" t="s">
        <v>63</v>
      </c>
      <c r="J1926" t="s">
        <v>195</v>
      </c>
      <c r="K1926" t="s">
        <v>255</v>
      </c>
      <c r="L1926">
        <v>2600000</v>
      </c>
      <c r="M1926" t="s">
        <v>242</v>
      </c>
      <c r="N1926" t="s">
        <v>1601</v>
      </c>
      <c r="O1926">
        <v>1</v>
      </c>
      <c r="P1926" t="s">
        <v>261</v>
      </c>
    </row>
    <row r="1927" spans="1:16" hidden="1" x14ac:dyDescent="0.25">
      <c r="A1927" s="16">
        <v>45717</v>
      </c>
      <c r="B1927" t="s">
        <v>97</v>
      </c>
      <c r="C1927">
        <v>27</v>
      </c>
      <c r="D1927" t="s">
        <v>247</v>
      </c>
      <c r="E1927" t="s">
        <v>248</v>
      </c>
      <c r="F1927" t="s">
        <v>285</v>
      </c>
      <c r="G1927" t="s">
        <v>63</v>
      </c>
      <c r="H1927" t="s">
        <v>286</v>
      </c>
      <c r="J1927" t="s">
        <v>195</v>
      </c>
      <c r="K1927" t="s">
        <v>250</v>
      </c>
      <c r="L1927">
        <v>1.1000000000000001</v>
      </c>
      <c r="M1927" t="s">
        <v>251</v>
      </c>
      <c r="N1927" t="s">
        <v>1235</v>
      </c>
    </row>
    <row r="1928" spans="1:16" hidden="1" x14ac:dyDescent="0.25">
      <c r="A1928" s="16">
        <v>45717</v>
      </c>
      <c r="B1928" t="s">
        <v>97</v>
      </c>
      <c r="C1928">
        <v>28</v>
      </c>
      <c r="D1928" t="s">
        <v>291</v>
      </c>
      <c r="E1928" t="s">
        <v>292</v>
      </c>
      <c r="F1928" t="s">
        <v>285</v>
      </c>
      <c r="G1928" t="s">
        <v>63</v>
      </c>
      <c r="H1928" t="s">
        <v>64</v>
      </c>
      <c r="J1928" t="s">
        <v>195</v>
      </c>
      <c r="K1928" t="s">
        <v>250</v>
      </c>
      <c r="L1928">
        <v>2290000</v>
      </c>
      <c r="M1928" t="s">
        <v>242</v>
      </c>
      <c r="N1928" t="s">
        <v>1035</v>
      </c>
    </row>
    <row r="1929" spans="1:16" hidden="1" x14ac:dyDescent="0.25">
      <c r="A1929" s="16">
        <v>45717</v>
      </c>
      <c r="B1929" t="s">
        <v>97</v>
      </c>
      <c r="C1929">
        <v>28</v>
      </c>
      <c r="D1929" t="s">
        <v>291</v>
      </c>
      <c r="E1929" t="s">
        <v>292</v>
      </c>
      <c r="F1929" t="s">
        <v>285</v>
      </c>
      <c r="G1929" t="s">
        <v>63</v>
      </c>
      <c r="H1929" t="s">
        <v>65</v>
      </c>
      <c r="J1929" t="s">
        <v>195</v>
      </c>
      <c r="K1929" t="s">
        <v>250</v>
      </c>
      <c r="L1929">
        <v>310100</v>
      </c>
      <c r="M1929" t="s">
        <v>242</v>
      </c>
      <c r="N1929" t="s">
        <v>1602</v>
      </c>
    </row>
    <row r="1930" spans="1:16" hidden="1" x14ac:dyDescent="0.25">
      <c r="A1930" s="16">
        <v>45717</v>
      </c>
      <c r="B1930" t="s">
        <v>97</v>
      </c>
      <c r="C1930">
        <v>29</v>
      </c>
      <c r="D1930" t="s">
        <v>291</v>
      </c>
      <c r="E1930" t="s">
        <v>292</v>
      </c>
      <c r="F1930" t="s">
        <v>285</v>
      </c>
      <c r="G1930" t="s">
        <v>63</v>
      </c>
      <c r="H1930" t="s">
        <v>67</v>
      </c>
      <c r="J1930" t="s">
        <v>195</v>
      </c>
      <c r="K1930" t="s">
        <v>250</v>
      </c>
      <c r="L1930">
        <v>1300000</v>
      </c>
      <c r="M1930" t="s">
        <v>242</v>
      </c>
      <c r="N1930" t="s">
        <v>1430</v>
      </c>
    </row>
    <row r="1931" spans="1:16" hidden="1" x14ac:dyDescent="0.25">
      <c r="A1931" s="16">
        <v>45717</v>
      </c>
      <c r="B1931" t="s">
        <v>97</v>
      </c>
      <c r="C1931">
        <v>29</v>
      </c>
      <c r="D1931" t="s">
        <v>291</v>
      </c>
      <c r="E1931" t="s">
        <v>292</v>
      </c>
      <c r="F1931" t="s">
        <v>285</v>
      </c>
      <c r="G1931" t="s">
        <v>63</v>
      </c>
      <c r="H1931" t="s">
        <v>68</v>
      </c>
      <c r="J1931" t="s">
        <v>195</v>
      </c>
      <c r="K1931" t="s">
        <v>250</v>
      </c>
      <c r="L1931">
        <v>1300000</v>
      </c>
      <c r="M1931" t="s">
        <v>242</v>
      </c>
      <c r="N1931" t="s">
        <v>1430</v>
      </c>
    </row>
    <row r="1932" spans="1:16" hidden="1" x14ac:dyDescent="0.25">
      <c r="A1932" s="16">
        <v>45717</v>
      </c>
      <c r="B1932" t="s">
        <v>97</v>
      </c>
      <c r="C1932">
        <v>30</v>
      </c>
      <c r="D1932" t="s">
        <v>291</v>
      </c>
      <c r="E1932" t="s">
        <v>292</v>
      </c>
      <c r="F1932" t="s">
        <v>285</v>
      </c>
      <c r="G1932" t="s">
        <v>63</v>
      </c>
      <c r="H1932" t="s">
        <v>70</v>
      </c>
      <c r="J1932" t="s">
        <v>195</v>
      </c>
      <c r="K1932" t="s">
        <v>250</v>
      </c>
      <c r="L1932">
        <v>938000</v>
      </c>
      <c r="M1932" t="s">
        <v>242</v>
      </c>
      <c r="N1932" t="s">
        <v>1603</v>
      </c>
    </row>
    <row r="1933" spans="1:16" hidden="1" x14ac:dyDescent="0.25">
      <c r="A1933" s="16">
        <v>45717</v>
      </c>
      <c r="B1933" t="s">
        <v>97</v>
      </c>
      <c r="C1933">
        <v>30</v>
      </c>
      <c r="D1933" t="s">
        <v>291</v>
      </c>
      <c r="E1933" t="s">
        <v>292</v>
      </c>
      <c r="F1933" t="s">
        <v>285</v>
      </c>
      <c r="G1933" t="s">
        <v>63</v>
      </c>
      <c r="H1933" t="s">
        <v>71</v>
      </c>
      <c r="J1933" t="s">
        <v>195</v>
      </c>
      <c r="K1933" t="s">
        <v>250</v>
      </c>
      <c r="L1933">
        <v>668000</v>
      </c>
      <c r="M1933" t="s">
        <v>242</v>
      </c>
      <c r="N1933" t="s">
        <v>1604</v>
      </c>
    </row>
    <row r="1934" spans="1:16" hidden="1" x14ac:dyDescent="0.25">
      <c r="A1934" s="16">
        <v>45717</v>
      </c>
      <c r="B1934" t="s">
        <v>97</v>
      </c>
      <c r="C1934">
        <v>30</v>
      </c>
      <c r="D1934" t="s">
        <v>291</v>
      </c>
      <c r="E1934" t="s">
        <v>292</v>
      </c>
      <c r="F1934" t="s">
        <v>285</v>
      </c>
      <c r="G1934" t="s">
        <v>63</v>
      </c>
      <c r="H1934" t="s">
        <v>72</v>
      </c>
      <c r="J1934" t="s">
        <v>195</v>
      </c>
      <c r="K1934" t="s">
        <v>250</v>
      </c>
      <c r="L1934">
        <v>504000</v>
      </c>
      <c r="M1934" t="s">
        <v>242</v>
      </c>
      <c r="N1934" t="s">
        <v>1605</v>
      </c>
    </row>
    <row r="1935" spans="1:16" hidden="1" x14ac:dyDescent="0.25">
      <c r="A1935" s="16">
        <v>45717</v>
      </c>
      <c r="B1935" t="s">
        <v>97</v>
      </c>
      <c r="C1935">
        <v>30</v>
      </c>
      <c r="D1935" t="s">
        <v>291</v>
      </c>
      <c r="E1935" t="s">
        <v>292</v>
      </c>
      <c r="F1935" t="s">
        <v>285</v>
      </c>
      <c r="G1935" t="s">
        <v>63</v>
      </c>
      <c r="H1935" t="s">
        <v>73</v>
      </c>
      <c r="J1935" t="s">
        <v>195</v>
      </c>
      <c r="K1935" t="s">
        <v>250</v>
      </c>
      <c r="L1935">
        <v>317000</v>
      </c>
      <c r="M1935" t="s">
        <v>242</v>
      </c>
      <c r="N1935" t="s">
        <v>1606</v>
      </c>
    </row>
    <row r="1936" spans="1:16" hidden="1" x14ac:dyDescent="0.25">
      <c r="A1936" s="16">
        <v>45717</v>
      </c>
      <c r="B1936" t="s">
        <v>97</v>
      </c>
      <c r="C1936">
        <v>30</v>
      </c>
      <c r="D1936" t="s">
        <v>291</v>
      </c>
      <c r="E1936" t="s">
        <v>292</v>
      </c>
      <c r="F1936" t="s">
        <v>285</v>
      </c>
      <c r="G1936" t="s">
        <v>63</v>
      </c>
      <c r="H1936" t="s">
        <v>74</v>
      </c>
      <c r="J1936" t="s">
        <v>195</v>
      </c>
      <c r="K1936" t="s">
        <v>250</v>
      </c>
      <c r="L1936">
        <v>118000</v>
      </c>
      <c r="M1936" t="s">
        <v>242</v>
      </c>
      <c r="N1936" t="s">
        <v>1607</v>
      </c>
    </row>
    <row r="1937" spans="1:17" hidden="1" x14ac:dyDescent="0.25">
      <c r="A1937" s="16">
        <v>45717</v>
      </c>
      <c r="B1937" t="s">
        <v>97</v>
      </c>
      <c r="C1937">
        <v>30</v>
      </c>
      <c r="D1937" t="s">
        <v>291</v>
      </c>
      <c r="E1937" t="s">
        <v>292</v>
      </c>
      <c r="F1937" t="s">
        <v>285</v>
      </c>
      <c r="G1937" t="s">
        <v>63</v>
      </c>
      <c r="H1937" t="s">
        <v>75</v>
      </c>
      <c r="J1937" t="s">
        <v>195</v>
      </c>
      <c r="K1937" t="s">
        <v>250</v>
      </c>
      <c r="L1937">
        <v>37000</v>
      </c>
      <c r="M1937" t="s">
        <v>242</v>
      </c>
      <c r="N1937" t="s">
        <v>1608</v>
      </c>
    </row>
    <row r="1938" spans="1:17" hidden="1" x14ac:dyDescent="0.25">
      <c r="A1938" s="16">
        <v>45717</v>
      </c>
      <c r="B1938" t="s">
        <v>97</v>
      </c>
      <c r="C1938">
        <v>30</v>
      </c>
      <c r="D1938" t="s">
        <v>291</v>
      </c>
      <c r="E1938" t="s">
        <v>292</v>
      </c>
      <c r="F1938" t="s">
        <v>285</v>
      </c>
      <c r="G1938" t="s">
        <v>63</v>
      </c>
      <c r="H1938" t="s">
        <v>76</v>
      </c>
      <c r="J1938" t="s">
        <v>195</v>
      </c>
      <c r="K1938" t="s">
        <v>250</v>
      </c>
      <c r="L1938">
        <v>13000</v>
      </c>
      <c r="M1938" t="s">
        <v>242</v>
      </c>
      <c r="N1938" t="s">
        <v>475</v>
      </c>
    </row>
    <row r="1939" spans="1:17" hidden="1" x14ac:dyDescent="0.25">
      <c r="A1939" s="16">
        <v>45717</v>
      </c>
      <c r="B1939" t="s">
        <v>97</v>
      </c>
      <c r="C1939">
        <v>30</v>
      </c>
      <c r="D1939" t="s">
        <v>291</v>
      </c>
      <c r="E1939" t="s">
        <v>292</v>
      </c>
      <c r="F1939" t="s">
        <v>285</v>
      </c>
      <c r="G1939" t="s">
        <v>63</v>
      </c>
      <c r="H1939" t="s">
        <v>77</v>
      </c>
      <c r="J1939" t="s">
        <v>195</v>
      </c>
      <c r="K1939" t="s">
        <v>250</v>
      </c>
      <c r="L1939">
        <v>1000</v>
      </c>
      <c r="M1939" t="s">
        <v>242</v>
      </c>
      <c r="N1939" t="s">
        <v>476</v>
      </c>
    </row>
    <row r="1940" spans="1:17" hidden="1" x14ac:dyDescent="0.25">
      <c r="A1940" s="16">
        <v>45717</v>
      </c>
      <c r="B1940" t="s">
        <v>97</v>
      </c>
      <c r="C1940">
        <v>31</v>
      </c>
      <c r="D1940" t="s">
        <v>291</v>
      </c>
      <c r="E1940" t="s">
        <v>292</v>
      </c>
      <c r="F1940" t="s">
        <v>477</v>
      </c>
      <c r="G1940" t="s">
        <v>99</v>
      </c>
      <c r="H1940" t="s">
        <v>100</v>
      </c>
      <c r="J1940" t="s">
        <v>195</v>
      </c>
      <c r="K1940" t="s">
        <v>250</v>
      </c>
      <c r="L1940">
        <v>918</v>
      </c>
      <c r="M1940" t="s">
        <v>242</v>
      </c>
      <c r="N1940" t="s">
        <v>1609</v>
      </c>
    </row>
    <row r="1941" spans="1:17" hidden="1" x14ac:dyDescent="0.25">
      <c r="A1941" s="16">
        <v>45717</v>
      </c>
      <c r="B1941" t="s">
        <v>97</v>
      </c>
      <c r="C1941">
        <v>31</v>
      </c>
      <c r="D1941" t="s">
        <v>291</v>
      </c>
      <c r="E1941" t="s">
        <v>292</v>
      </c>
      <c r="F1941" t="s">
        <v>477</v>
      </c>
      <c r="G1941" t="s">
        <v>99</v>
      </c>
      <c r="H1941" t="s">
        <v>101</v>
      </c>
      <c r="J1941" t="s">
        <v>195</v>
      </c>
      <c r="K1941" t="s">
        <v>250</v>
      </c>
      <c r="L1941">
        <v>1176</v>
      </c>
      <c r="M1941" t="s">
        <v>242</v>
      </c>
      <c r="N1941" t="s">
        <v>1610</v>
      </c>
    </row>
    <row r="1942" spans="1:17" hidden="1" x14ac:dyDescent="0.25">
      <c r="A1942" s="16">
        <v>45717</v>
      </c>
      <c r="B1942" t="s">
        <v>97</v>
      </c>
      <c r="C1942">
        <v>31</v>
      </c>
      <c r="D1942" t="s">
        <v>291</v>
      </c>
      <c r="E1942" t="s">
        <v>292</v>
      </c>
      <c r="F1942" t="s">
        <v>477</v>
      </c>
      <c r="G1942" t="s">
        <v>99</v>
      </c>
      <c r="H1942" t="s">
        <v>102</v>
      </c>
      <c r="J1942" t="s">
        <v>195</v>
      </c>
      <c r="K1942" t="s">
        <v>250</v>
      </c>
      <c r="L1942">
        <v>6</v>
      </c>
      <c r="M1942" t="s">
        <v>242</v>
      </c>
      <c r="N1942" t="s">
        <v>1257</v>
      </c>
    </row>
    <row r="1943" spans="1:17" hidden="1" x14ac:dyDescent="0.25">
      <c r="A1943" s="16">
        <v>45717</v>
      </c>
      <c r="B1943" t="s">
        <v>97</v>
      </c>
      <c r="C1943">
        <v>31</v>
      </c>
      <c r="D1943" t="s">
        <v>291</v>
      </c>
      <c r="E1943" t="s">
        <v>292</v>
      </c>
      <c r="F1943" t="s">
        <v>477</v>
      </c>
      <c r="G1943" t="s">
        <v>99</v>
      </c>
      <c r="H1943" t="s">
        <v>103</v>
      </c>
      <c r="J1943" t="s">
        <v>195</v>
      </c>
      <c r="K1943" t="s">
        <v>250</v>
      </c>
      <c r="L1943">
        <v>2520000</v>
      </c>
      <c r="M1943" t="s">
        <v>242</v>
      </c>
      <c r="N1943" t="s">
        <v>1611</v>
      </c>
    </row>
    <row r="1944" spans="1:17" hidden="1" x14ac:dyDescent="0.25">
      <c r="A1944" s="16">
        <v>45717</v>
      </c>
      <c r="B1944" t="s">
        <v>97</v>
      </c>
      <c r="C1944">
        <v>31</v>
      </c>
      <c r="D1944" t="s">
        <v>291</v>
      </c>
      <c r="E1944" t="s">
        <v>292</v>
      </c>
      <c r="F1944" t="s">
        <v>477</v>
      </c>
      <c r="G1944" t="s">
        <v>99</v>
      </c>
      <c r="H1944" t="s">
        <v>104</v>
      </c>
      <c r="J1944" t="s">
        <v>195</v>
      </c>
      <c r="K1944" t="s">
        <v>250</v>
      </c>
      <c r="L1944">
        <v>3329</v>
      </c>
      <c r="M1944" t="s">
        <v>242</v>
      </c>
      <c r="N1944" t="s">
        <v>1612</v>
      </c>
    </row>
    <row r="1945" spans="1:17" hidden="1" x14ac:dyDescent="0.25">
      <c r="A1945" s="16">
        <v>45717</v>
      </c>
      <c r="B1945" t="s">
        <v>97</v>
      </c>
      <c r="C1945">
        <v>32</v>
      </c>
      <c r="D1945" t="s">
        <v>253</v>
      </c>
      <c r="E1945" t="s">
        <v>248</v>
      </c>
      <c r="F1945" t="s">
        <v>240</v>
      </c>
      <c r="G1945" t="s">
        <v>82</v>
      </c>
      <c r="J1945" t="s">
        <v>193</v>
      </c>
      <c r="K1945" t="s">
        <v>255</v>
      </c>
      <c r="L1945">
        <v>6410000</v>
      </c>
      <c r="M1945" t="s">
        <v>242</v>
      </c>
      <c r="N1945" t="s">
        <v>1260</v>
      </c>
      <c r="O1945">
        <v>1</v>
      </c>
      <c r="P1945" t="s">
        <v>257</v>
      </c>
      <c r="Q1945" t="s">
        <v>1439</v>
      </c>
    </row>
    <row r="1946" spans="1:17" hidden="1" x14ac:dyDescent="0.25">
      <c r="A1946" s="16">
        <v>45717</v>
      </c>
      <c r="B1946" t="s">
        <v>97</v>
      </c>
      <c r="C1946">
        <v>32</v>
      </c>
      <c r="D1946" t="s">
        <v>253</v>
      </c>
      <c r="E1946" t="s">
        <v>248</v>
      </c>
      <c r="F1946" t="s">
        <v>240</v>
      </c>
      <c r="G1946" t="s">
        <v>82</v>
      </c>
      <c r="J1946" t="s">
        <v>194</v>
      </c>
      <c r="K1946" t="s">
        <v>255</v>
      </c>
      <c r="L1946">
        <v>5890000</v>
      </c>
      <c r="M1946" t="s">
        <v>242</v>
      </c>
      <c r="N1946" t="s">
        <v>1171</v>
      </c>
      <c r="O1946">
        <v>1</v>
      </c>
      <c r="P1946" t="s">
        <v>257</v>
      </c>
    </row>
    <row r="1947" spans="1:17" hidden="1" x14ac:dyDescent="0.25">
      <c r="A1947" s="16">
        <v>45717</v>
      </c>
      <c r="B1947" t="s">
        <v>97</v>
      </c>
      <c r="C1947">
        <v>32</v>
      </c>
      <c r="D1947" t="s">
        <v>253</v>
      </c>
      <c r="E1947" t="s">
        <v>248</v>
      </c>
      <c r="F1947" t="s">
        <v>240</v>
      </c>
      <c r="G1947" t="s">
        <v>82</v>
      </c>
      <c r="J1947" t="s">
        <v>195</v>
      </c>
      <c r="K1947" t="s">
        <v>255</v>
      </c>
      <c r="L1947">
        <v>7290000</v>
      </c>
      <c r="M1947" t="s">
        <v>242</v>
      </c>
      <c r="N1947" t="s">
        <v>1567</v>
      </c>
      <c r="O1947">
        <v>1</v>
      </c>
      <c r="P1947" t="s">
        <v>261</v>
      </c>
    </row>
    <row r="1948" spans="1:17" hidden="1" x14ac:dyDescent="0.25">
      <c r="A1948" s="16">
        <v>45717</v>
      </c>
      <c r="B1948" t="s">
        <v>97</v>
      </c>
      <c r="C1948">
        <v>32</v>
      </c>
      <c r="D1948" t="s">
        <v>247</v>
      </c>
      <c r="E1948" t="s">
        <v>248</v>
      </c>
      <c r="F1948" t="s">
        <v>240</v>
      </c>
      <c r="G1948" t="s">
        <v>82</v>
      </c>
      <c r="H1948" t="s">
        <v>286</v>
      </c>
      <c r="J1948" t="s">
        <v>195</v>
      </c>
      <c r="K1948" t="s">
        <v>250</v>
      </c>
      <c r="L1948">
        <v>23.9</v>
      </c>
      <c r="M1948" t="s">
        <v>251</v>
      </c>
      <c r="N1948" t="s">
        <v>1613</v>
      </c>
    </row>
    <row r="1949" spans="1:17" hidden="1" x14ac:dyDescent="0.25">
      <c r="A1949" s="16">
        <v>45717</v>
      </c>
      <c r="B1949" t="s">
        <v>97</v>
      </c>
      <c r="C1949">
        <v>33</v>
      </c>
      <c r="D1949" t="s">
        <v>291</v>
      </c>
      <c r="E1949" t="s">
        <v>292</v>
      </c>
      <c r="F1949" t="s">
        <v>240</v>
      </c>
      <c r="G1949" t="s">
        <v>82</v>
      </c>
      <c r="H1949" t="s">
        <v>105</v>
      </c>
      <c r="J1949" t="s">
        <v>195</v>
      </c>
      <c r="K1949" t="s">
        <v>250</v>
      </c>
      <c r="L1949">
        <v>115100</v>
      </c>
      <c r="M1949" t="s">
        <v>242</v>
      </c>
      <c r="N1949" t="s">
        <v>1614</v>
      </c>
    </row>
    <row r="1950" spans="1:17" hidden="1" x14ac:dyDescent="0.25">
      <c r="A1950" s="16">
        <v>45717</v>
      </c>
      <c r="B1950" t="s">
        <v>97</v>
      </c>
      <c r="C1950">
        <v>33</v>
      </c>
      <c r="D1950" t="s">
        <v>291</v>
      </c>
      <c r="E1950" t="s">
        <v>292</v>
      </c>
      <c r="F1950" t="s">
        <v>240</v>
      </c>
      <c r="G1950" t="s">
        <v>82</v>
      </c>
      <c r="H1950" t="s">
        <v>106</v>
      </c>
      <c r="J1950" t="s">
        <v>195</v>
      </c>
      <c r="K1950" t="s">
        <v>250</v>
      </c>
      <c r="L1950">
        <v>186400</v>
      </c>
      <c r="M1950" t="s">
        <v>242</v>
      </c>
      <c r="N1950" t="s">
        <v>1615</v>
      </c>
    </row>
    <row r="1951" spans="1:17" hidden="1" x14ac:dyDescent="0.25">
      <c r="A1951" s="16">
        <v>45717</v>
      </c>
      <c r="B1951" t="s">
        <v>97</v>
      </c>
      <c r="C1951">
        <v>33</v>
      </c>
      <c r="D1951" t="s">
        <v>291</v>
      </c>
      <c r="E1951" t="s">
        <v>292</v>
      </c>
      <c r="F1951" t="s">
        <v>240</v>
      </c>
      <c r="G1951" t="s">
        <v>82</v>
      </c>
      <c r="H1951" t="s">
        <v>83</v>
      </c>
      <c r="J1951" t="s">
        <v>195</v>
      </c>
      <c r="K1951" t="s">
        <v>250</v>
      </c>
      <c r="L1951">
        <v>6760000</v>
      </c>
      <c r="M1951" t="s">
        <v>242</v>
      </c>
      <c r="N1951" t="s">
        <v>1616</v>
      </c>
    </row>
    <row r="1952" spans="1:17" hidden="1" x14ac:dyDescent="0.25">
      <c r="A1952" s="16">
        <v>45717</v>
      </c>
      <c r="B1952" t="s">
        <v>97</v>
      </c>
      <c r="C1952">
        <v>33</v>
      </c>
      <c r="D1952" t="s">
        <v>291</v>
      </c>
      <c r="E1952" t="s">
        <v>292</v>
      </c>
      <c r="F1952" t="s">
        <v>240</v>
      </c>
      <c r="G1952" t="s">
        <v>82</v>
      </c>
      <c r="H1952" t="s">
        <v>84</v>
      </c>
      <c r="J1952" t="s">
        <v>195</v>
      </c>
      <c r="K1952" t="s">
        <v>250</v>
      </c>
      <c r="L1952">
        <v>230800</v>
      </c>
      <c r="M1952" t="s">
        <v>242</v>
      </c>
      <c r="N1952" t="s">
        <v>1617</v>
      </c>
    </row>
    <row r="1953" spans="1:16" hidden="1" x14ac:dyDescent="0.25">
      <c r="A1953" s="16">
        <v>45717</v>
      </c>
      <c r="B1953" t="s">
        <v>97</v>
      </c>
      <c r="C1953">
        <v>34</v>
      </c>
      <c r="D1953" t="s">
        <v>291</v>
      </c>
      <c r="E1953" t="s">
        <v>292</v>
      </c>
      <c r="F1953" t="s">
        <v>240</v>
      </c>
      <c r="G1953" t="s">
        <v>82</v>
      </c>
      <c r="H1953" t="s">
        <v>105</v>
      </c>
      <c r="I1953" t="s">
        <v>491</v>
      </c>
      <c r="J1953" t="s">
        <v>195</v>
      </c>
      <c r="K1953" t="s">
        <v>250</v>
      </c>
      <c r="L1953">
        <v>1.67</v>
      </c>
      <c r="M1953" t="s">
        <v>251</v>
      </c>
      <c r="N1953" t="s">
        <v>1618</v>
      </c>
    </row>
    <row r="1954" spans="1:16" hidden="1" x14ac:dyDescent="0.25">
      <c r="A1954" s="16">
        <v>45717</v>
      </c>
      <c r="B1954" t="s">
        <v>97</v>
      </c>
      <c r="C1954">
        <v>34</v>
      </c>
      <c r="D1954" t="s">
        <v>291</v>
      </c>
      <c r="E1954" t="s">
        <v>292</v>
      </c>
      <c r="F1954" t="s">
        <v>240</v>
      </c>
      <c r="G1954" t="s">
        <v>82</v>
      </c>
      <c r="H1954" t="s">
        <v>105</v>
      </c>
      <c r="I1954" t="s">
        <v>493</v>
      </c>
      <c r="J1954" t="s">
        <v>195</v>
      </c>
      <c r="K1954" t="s">
        <v>250</v>
      </c>
      <c r="L1954">
        <v>98.33</v>
      </c>
      <c r="M1954" t="s">
        <v>251</v>
      </c>
      <c r="N1954" t="s">
        <v>1619</v>
      </c>
    </row>
    <row r="1955" spans="1:16" hidden="1" x14ac:dyDescent="0.25">
      <c r="A1955" s="16">
        <v>45717</v>
      </c>
      <c r="B1955" t="s">
        <v>97</v>
      </c>
      <c r="C1955">
        <v>34</v>
      </c>
      <c r="D1955" t="s">
        <v>291</v>
      </c>
      <c r="E1955" t="s">
        <v>292</v>
      </c>
      <c r="F1955" t="s">
        <v>240</v>
      </c>
      <c r="G1955" t="s">
        <v>82</v>
      </c>
      <c r="H1955" t="s">
        <v>106</v>
      </c>
      <c r="I1955" t="s">
        <v>491</v>
      </c>
      <c r="J1955" t="s">
        <v>195</v>
      </c>
      <c r="K1955" t="s">
        <v>250</v>
      </c>
      <c r="L1955">
        <v>6.96</v>
      </c>
      <c r="M1955" t="s">
        <v>251</v>
      </c>
      <c r="N1955" t="s">
        <v>1620</v>
      </c>
    </row>
    <row r="1956" spans="1:16" hidden="1" x14ac:dyDescent="0.25">
      <c r="A1956" s="16">
        <v>45717</v>
      </c>
      <c r="B1956" t="s">
        <v>97</v>
      </c>
      <c r="C1956">
        <v>34</v>
      </c>
      <c r="D1956" t="s">
        <v>291</v>
      </c>
      <c r="E1956" t="s">
        <v>292</v>
      </c>
      <c r="F1956" t="s">
        <v>240</v>
      </c>
      <c r="G1956" t="s">
        <v>82</v>
      </c>
      <c r="H1956" t="s">
        <v>106</v>
      </c>
      <c r="I1956" t="s">
        <v>493</v>
      </c>
      <c r="J1956" t="s">
        <v>195</v>
      </c>
      <c r="K1956" t="s">
        <v>250</v>
      </c>
      <c r="L1956">
        <v>93.04</v>
      </c>
      <c r="M1956" t="s">
        <v>251</v>
      </c>
      <c r="N1956" t="s">
        <v>1621</v>
      </c>
    </row>
    <row r="1957" spans="1:16" hidden="1" x14ac:dyDescent="0.25">
      <c r="A1957" s="16">
        <v>45717</v>
      </c>
      <c r="B1957" t="s">
        <v>97</v>
      </c>
      <c r="C1957">
        <v>34</v>
      </c>
      <c r="D1957" t="s">
        <v>291</v>
      </c>
      <c r="E1957" t="s">
        <v>292</v>
      </c>
      <c r="F1957" t="s">
        <v>240</v>
      </c>
      <c r="G1957" t="s">
        <v>82</v>
      </c>
      <c r="H1957" t="s">
        <v>83</v>
      </c>
      <c r="I1957" t="s">
        <v>497</v>
      </c>
      <c r="J1957" t="s">
        <v>195</v>
      </c>
      <c r="K1957" t="s">
        <v>250</v>
      </c>
      <c r="L1957">
        <v>2.2200000000000002</v>
      </c>
      <c r="M1957" t="s">
        <v>251</v>
      </c>
      <c r="N1957" t="s">
        <v>1622</v>
      </c>
    </row>
    <row r="1958" spans="1:16" hidden="1" x14ac:dyDescent="0.25">
      <c r="A1958" s="16">
        <v>45717</v>
      </c>
      <c r="B1958" t="s">
        <v>97</v>
      </c>
      <c r="C1958">
        <v>34</v>
      </c>
      <c r="D1958" t="s">
        <v>291</v>
      </c>
      <c r="E1958" t="s">
        <v>292</v>
      </c>
      <c r="F1958" t="s">
        <v>240</v>
      </c>
      <c r="G1958" t="s">
        <v>82</v>
      </c>
      <c r="H1958" t="s">
        <v>83</v>
      </c>
      <c r="I1958" t="s">
        <v>499</v>
      </c>
      <c r="J1958" t="s">
        <v>195</v>
      </c>
      <c r="K1958" t="s">
        <v>250</v>
      </c>
      <c r="L1958">
        <v>0</v>
      </c>
      <c r="M1958" t="s">
        <v>251</v>
      </c>
      <c r="N1958" t="s">
        <v>1271</v>
      </c>
    </row>
    <row r="1959" spans="1:16" hidden="1" x14ac:dyDescent="0.25">
      <c r="A1959" s="16">
        <v>45717</v>
      </c>
      <c r="B1959" t="s">
        <v>97</v>
      </c>
      <c r="C1959">
        <v>34</v>
      </c>
      <c r="D1959" t="s">
        <v>291</v>
      </c>
      <c r="E1959" t="s">
        <v>292</v>
      </c>
      <c r="F1959" t="s">
        <v>240</v>
      </c>
      <c r="G1959" t="s">
        <v>82</v>
      </c>
      <c r="H1959" t="s">
        <v>83</v>
      </c>
      <c r="I1959" t="s">
        <v>501</v>
      </c>
      <c r="J1959" t="s">
        <v>195</v>
      </c>
      <c r="K1959" t="s">
        <v>250</v>
      </c>
      <c r="L1959">
        <v>0.33</v>
      </c>
      <c r="M1959" t="s">
        <v>251</v>
      </c>
      <c r="N1959" t="s">
        <v>1623</v>
      </c>
    </row>
    <row r="1960" spans="1:16" hidden="1" x14ac:dyDescent="0.25">
      <c r="A1960" s="16">
        <v>45717</v>
      </c>
      <c r="B1960" t="s">
        <v>97</v>
      </c>
      <c r="C1960">
        <v>34</v>
      </c>
      <c r="D1960" t="s">
        <v>291</v>
      </c>
      <c r="E1960" t="s">
        <v>292</v>
      </c>
      <c r="F1960" t="s">
        <v>240</v>
      </c>
      <c r="G1960" t="s">
        <v>82</v>
      </c>
      <c r="H1960" t="s">
        <v>83</v>
      </c>
      <c r="I1960" t="s">
        <v>503</v>
      </c>
      <c r="J1960" t="s">
        <v>195</v>
      </c>
      <c r="K1960" t="s">
        <v>250</v>
      </c>
      <c r="L1960">
        <v>3.33</v>
      </c>
      <c r="M1960" t="s">
        <v>251</v>
      </c>
      <c r="N1960" t="s">
        <v>1624</v>
      </c>
    </row>
    <row r="1961" spans="1:16" hidden="1" x14ac:dyDescent="0.25">
      <c r="A1961" s="16">
        <v>45717</v>
      </c>
      <c r="B1961" t="s">
        <v>97</v>
      </c>
      <c r="C1961">
        <v>34</v>
      </c>
      <c r="D1961" t="s">
        <v>291</v>
      </c>
      <c r="E1961" t="s">
        <v>292</v>
      </c>
      <c r="F1961" t="s">
        <v>240</v>
      </c>
      <c r="G1961" t="s">
        <v>82</v>
      </c>
      <c r="H1961" t="s">
        <v>83</v>
      </c>
      <c r="I1961" t="s">
        <v>315</v>
      </c>
      <c r="J1961" t="s">
        <v>195</v>
      </c>
      <c r="K1961" t="s">
        <v>250</v>
      </c>
      <c r="L1961">
        <v>89.13</v>
      </c>
      <c r="M1961" t="s">
        <v>251</v>
      </c>
      <c r="N1961" t="s">
        <v>1625</v>
      </c>
    </row>
    <row r="1962" spans="1:16" hidden="1" x14ac:dyDescent="0.25">
      <c r="A1962" s="16">
        <v>45717</v>
      </c>
      <c r="B1962" t="s">
        <v>97</v>
      </c>
      <c r="C1962">
        <v>34</v>
      </c>
      <c r="D1962" t="s">
        <v>291</v>
      </c>
      <c r="E1962" t="s">
        <v>292</v>
      </c>
      <c r="F1962" t="s">
        <v>240</v>
      </c>
      <c r="G1962" t="s">
        <v>82</v>
      </c>
      <c r="H1962" t="s">
        <v>83</v>
      </c>
      <c r="I1962" t="s">
        <v>317</v>
      </c>
      <c r="J1962" t="s">
        <v>195</v>
      </c>
      <c r="K1962" t="s">
        <v>250</v>
      </c>
      <c r="L1962">
        <v>5</v>
      </c>
      <c r="M1962" t="s">
        <v>251</v>
      </c>
      <c r="N1962" t="s">
        <v>1626</v>
      </c>
    </row>
    <row r="1963" spans="1:16" hidden="1" x14ac:dyDescent="0.25">
      <c r="A1963" s="16">
        <v>45717</v>
      </c>
      <c r="B1963" t="s">
        <v>97</v>
      </c>
      <c r="C1963">
        <v>34</v>
      </c>
      <c r="D1963" t="s">
        <v>291</v>
      </c>
      <c r="E1963" t="s">
        <v>292</v>
      </c>
      <c r="F1963" t="s">
        <v>240</v>
      </c>
      <c r="G1963" t="s">
        <v>82</v>
      </c>
      <c r="H1963" t="s">
        <v>84</v>
      </c>
      <c r="I1963" t="s">
        <v>84</v>
      </c>
      <c r="J1963" t="s">
        <v>195</v>
      </c>
      <c r="K1963" t="s">
        <v>250</v>
      </c>
      <c r="L1963">
        <v>67.459999999999994</v>
      </c>
      <c r="M1963" t="s">
        <v>251</v>
      </c>
      <c r="N1963" t="s">
        <v>1627</v>
      </c>
    </row>
    <row r="1964" spans="1:16" hidden="1" x14ac:dyDescent="0.25">
      <c r="A1964" s="16">
        <v>45717</v>
      </c>
      <c r="B1964" t="s">
        <v>97</v>
      </c>
      <c r="C1964">
        <v>34</v>
      </c>
      <c r="D1964" t="s">
        <v>291</v>
      </c>
      <c r="E1964" t="s">
        <v>292</v>
      </c>
      <c r="F1964" t="s">
        <v>240</v>
      </c>
      <c r="G1964" t="s">
        <v>82</v>
      </c>
      <c r="H1964" t="s">
        <v>84</v>
      </c>
      <c r="I1964" t="s">
        <v>321</v>
      </c>
      <c r="J1964" t="s">
        <v>195</v>
      </c>
      <c r="K1964" t="s">
        <v>250</v>
      </c>
      <c r="L1964">
        <v>32.54</v>
      </c>
      <c r="M1964" t="s">
        <v>251</v>
      </c>
      <c r="N1964" t="s">
        <v>1628</v>
      </c>
    </row>
    <row r="1965" spans="1:16" hidden="1" x14ac:dyDescent="0.25">
      <c r="A1965" s="16">
        <v>45717</v>
      </c>
      <c r="B1965" t="s">
        <v>97</v>
      </c>
      <c r="C1965">
        <v>35</v>
      </c>
      <c r="D1965" t="s">
        <v>253</v>
      </c>
      <c r="E1965" t="s">
        <v>248</v>
      </c>
      <c r="F1965" t="s">
        <v>244</v>
      </c>
      <c r="G1965" t="s">
        <v>82</v>
      </c>
      <c r="J1965" t="s">
        <v>193</v>
      </c>
      <c r="K1965" t="s">
        <v>255</v>
      </c>
      <c r="L1965">
        <v>469000000</v>
      </c>
      <c r="M1965" t="s">
        <v>245</v>
      </c>
      <c r="N1965" t="s">
        <v>1278</v>
      </c>
      <c r="O1965">
        <v>1</v>
      </c>
      <c r="P1965" t="s">
        <v>257</v>
      </c>
    </row>
    <row r="1966" spans="1:16" hidden="1" x14ac:dyDescent="0.25">
      <c r="A1966" s="16">
        <v>45717</v>
      </c>
      <c r="B1966" t="s">
        <v>97</v>
      </c>
      <c r="C1966">
        <v>35</v>
      </c>
      <c r="D1966" t="s">
        <v>253</v>
      </c>
      <c r="E1966" t="s">
        <v>248</v>
      </c>
      <c r="F1966" t="s">
        <v>244</v>
      </c>
      <c r="G1966" t="s">
        <v>82</v>
      </c>
      <c r="J1966" t="s">
        <v>194</v>
      </c>
      <c r="K1966" t="s">
        <v>255</v>
      </c>
      <c r="L1966">
        <v>431000000</v>
      </c>
      <c r="M1966" t="s">
        <v>245</v>
      </c>
      <c r="N1966" t="s">
        <v>1454</v>
      </c>
      <c r="O1966">
        <v>1</v>
      </c>
      <c r="P1966" t="s">
        <v>257</v>
      </c>
    </row>
    <row r="1967" spans="1:16" hidden="1" x14ac:dyDescent="0.25">
      <c r="A1967" s="16">
        <v>45717</v>
      </c>
      <c r="B1967" t="s">
        <v>97</v>
      </c>
      <c r="C1967">
        <v>35</v>
      </c>
      <c r="D1967" t="s">
        <v>253</v>
      </c>
      <c r="E1967" t="s">
        <v>248</v>
      </c>
      <c r="F1967" t="s">
        <v>244</v>
      </c>
      <c r="G1967" t="s">
        <v>82</v>
      </c>
      <c r="J1967" t="s">
        <v>195</v>
      </c>
      <c r="K1967" t="s">
        <v>255</v>
      </c>
      <c r="L1967">
        <v>538000000</v>
      </c>
      <c r="M1967" t="s">
        <v>245</v>
      </c>
      <c r="N1967" t="s">
        <v>1629</v>
      </c>
      <c r="O1967">
        <v>1</v>
      </c>
      <c r="P1967" t="s">
        <v>261</v>
      </c>
    </row>
    <row r="1968" spans="1:16" hidden="1" x14ac:dyDescent="0.25">
      <c r="A1968" s="16">
        <v>45717</v>
      </c>
      <c r="B1968" t="s">
        <v>97</v>
      </c>
      <c r="C1968">
        <v>35</v>
      </c>
      <c r="D1968" t="s">
        <v>247</v>
      </c>
      <c r="E1968" t="s">
        <v>248</v>
      </c>
      <c r="F1968" t="s">
        <v>244</v>
      </c>
      <c r="G1968" t="s">
        <v>82</v>
      </c>
      <c r="H1968" t="s">
        <v>286</v>
      </c>
      <c r="J1968" t="s">
        <v>195</v>
      </c>
      <c r="K1968" t="s">
        <v>250</v>
      </c>
      <c r="L1968">
        <v>24.7</v>
      </c>
      <c r="M1968" t="s">
        <v>251</v>
      </c>
      <c r="N1968" t="s">
        <v>1630</v>
      </c>
    </row>
    <row r="1969" spans="1:14" hidden="1" x14ac:dyDescent="0.25">
      <c r="A1969" s="16">
        <v>45717</v>
      </c>
      <c r="B1969" t="s">
        <v>97</v>
      </c>
      <c r="C1969">
        <v>36</v>
      </c>
      <c r="D1969" t="s">
        <v>291</v>
      </c>
      <c r="E1969" t="s">
        <v>292</v>
      </c>
      <c r="F1969" t="s">
        <v>244</v>
      </c>
      <c r="G1969" t="s">
        <v>82</v>
      </c>
      <c r="H1969" t="s">
        <v>105</v>
      </c>
      <c r="J1969" t="s">
        <v>195</v>
      </c>
      <c r="K1969" t="s">
        <v>250</v>
      </c>
      <c r="L1969">
        <v>19000000</v>
      </c>
      <c r="M1969" t="s">
        <v>245</v>
      </c>
      <c r="N1969" t="s">
        <v>1631</v>
      </c>
    </row>
    <row r="1970" spans="1:14" hidden="1" x14ac:dyDescent="0.25">
      <c r="A1970" s="16">
        <v>45717</v>
      </c>
      <c r="B1970" t="s">
        <v>97</v>
      </c>
      <c r="C1970">
        <v>36</v>
      </c>
      <c r="D1970" t="s">
        <v>291</v>
      </c>
      <c r="E1970" t="s">
        <v>292</v>
      </c>
      <c r="F1970" t="s">
        <v>244</v>
      </c>
      <c r="G1970" t="s">
        <v>82</v>
      </c>
      <c r="H1970" t="s">
        <v>106</v>
      </c>
      <c r="J1970" t="s">
        <v>195</v>
      </c>
      <c r="K1970" t="s">
        <v>250</v>
      </c>
      <c r="L1970">
        <v>28600000</v>
      </c>
      <c r="M1970" t="s">
        <v>245</v>
      </c>
      <c r="N1970" t="s">
        <v>1632</v>
      </c>
    </row>
    <row r="1971" spans="1:14" hidden="1" x14ac:dyDescent="0.25">
      <c r="A1971" s="16">
        <v>45717</v>
      </c>
      <c r="B1971" t="s">
        <v>97</v>
      </c>
      <c r="C1971">
        <v>36</v>
      </c>
      <c r="D1971" t="s">
        <v>291</v>
      </c>
      <c r="E1971" t="s">
        <v>292</v>
      </c>
      <c r="F1971" t="s">
        <v>244</v>
      </c>
      <c r="G1971" t="s">
        <v>82</v>
      </c>
      <c r="H1971" t="s">
        <v>83</v>
      </c>
      <c r="J1971" t="s">
        <v>195</v>
      </c>
      <c r="K1971" t="s">
        <v>250</v>
      </c>
      <c r="L1971">
        <v>483500000</v>
      </c>
      <c r="M1971" t="s">
        <v>245</v>
      </c>
      <c r="N1971" t="s">
        <v>1633</v>
      </c>
    </row>
    <row r="1972" spans="1:14" hidden="1" x14ac:dyDescent="0.25">
      <c r="A1972" s="16">
        <v>45717</v>
      </c>
      <c r="B1972" t="s">
        <v>97</v>
      </c>
      <c r="C1972">
        <v>36</v>
      </c>
      <c r="D1972" t="s">
        <v>291</v>
      </c>
      <c r="E1972" t="s">
        <v>292</v>
      </c>
      <c r="F1972" t="s">
        <v>244</v>
      </c>
      <c r="G1972" t="s">
        <v>82</v>
      </c>
      <c r="H1972" t="s">
        <v>84</v>
      </c>
      <c r="J1972" t="s">
        <v>195</v>
      </c>
      <c r="K1972" t="s">
        <v>250</v>
      </c>
      <c r="L1972">
        <v>6400000</v>
      </c>
      <c r="M1972" t="s">
        <v>245</v>
      </c>
      <c r="N1972" t="s">
        <v>1634</v>
      </c>
    </row>
    <row r="1973" spans="1:14" hidden="1" x14ac:dyDescent="0.25">
      <c r="A1973" s="16">
        <v>45717</v>
      </c>
      <c r="B1973" t="s">
        <v>97</v>
      </c>
      <c r="C1973">
        <v>37</v>
      </c>
      <c r="D1973" t="s">
        <v>291</v>
      </c>
      <c r="E1973" t="s">
        <v>292</v>
      </c>
      <c r="F1973" t="s">
        <v>244</v>
      </c>
      <c r="G1973" t="s">
        <v>82</v>
      </c>
      <c r="H1973" t="s">
        <v>105</v>
      </c>
      <c r="I1973" t="s">
        <v>491</v>
      </c>
      <c r="J1973" t="s">
        <v>195</v>
      </c>
      <c r="K1973" t="s">
        <v>250</v>
      </c>
      <c r="L1973">
        <v>1.71</v>
      </c>
      <c r="M1973" t="s">
        <v>251</v>
      </c>
      <c r="N1973" t="s">
        <v>726</v>
      </c>
    </row>
    <row r="1974" spans="1:14" hidden="1" x14ac:dyDescent="0.25">
      <c r="A1974" s="16">
        <v>45717</v>
      </c>
      <c r="B1974" t="s">
        <v>97</v>
      </c>
      <c r="C1974">
        <v>37</v>
      </c>
      <c r="D1974" t="s">
        <v>291</v>
      </c>
      <c r="E1974" t="s">
        <v>292</v>
      </c>
      <c r="F1974" t="s">
        <v>244</v>
      </c>
      <c r="G1974" t="s">
        <v>82</v>
      </c>
      <c r="H1974" t="s">
        <v>105</v>
      </c>
      <c r="I1974" t="s">
        <v>493</v>
      </c>
      <c r="J1974" t="s">
        <v>195</v>
      </c>
      <c r="K1974" t="s">
        <v>250</v>
      </c>
      <c r="L1974">
        <v>98.29</v>
      </c>
      <c r="M1974" t="s">
        <v>251</v>
      </c>
      <c r="N1974" t="s">
        <v>727</v>
      </c>
    </row>
    <row r="1975" spans="1:14" hidden="1" x14ac:dyDescent="0.25">
      <c r="A1975" s="16">
        <v>45717</v>
      </c>
      <c r="B1975" t="s">
        <v>97</v>
      </c>
      <c r="C1975">
        <v>37</v>
      </c>
      <c r="D1975" t="s">
        <v>291</v>
      </c>
      <c r="E1975" t="s">
        <v>292</v>
      </c>
      <c r="F1975" t="s">
        <v>244</v>
      </c>
      <c r="G1975" t="s">
        <v>82</v>
      </c>
      <c r="H1975" t="s">
        <v>106</v>
      </c>
      <c r="I1975" t="s">
        <v>491</v>
      </c>
      <c r="J1975" t="s">
        <v>195</v>
      </c>
      <c r="K1975" t="s">
        <v>250</v>
      </c>
      <c r="L1975">
        <v>7.52</v>
      </c>
      <c r="M1975" t="s">
        <v>251</v>
      </c>
      <c r="N1975" t="s">
        <v>1635</v>
      </c>
    </row>
    <row r="1976" spans="1:14" hidden="1" x14ac:dyDescent="0.25">
      <c r="A1976" s="16">
        <v>45717</v>
      </c>
      <c r="B1976" t="s">
        <v>97</v>
      </c>
      <c r="C1976">
        <v>37</v>
      </c>
      <c r="D1976" t="s">
        <v>291</v>
      </c>
      <c r="E1976" t="s">
        <v>292</v>
      </c>
      <c r="F1976" t="s">
        <v>244</v>
      </c>
      <c r="G1976" t="s">
        <v>82</v>
      </c>
      <c r="H1976" t="s">
        <v>106</v>
      </c>
      <c r="I1976" t="s">
        <v>493</v>
      </c>
      <c r="J1976" t="s">
        <v>195</v>
      </c>
      <c r="K1976" t="s">
        <v>250</v>
      </c>
      <c r="L1976">
        <v>92.48</v>
      </c>
      <c r="M1976" t="s">
        <v>251</v>
      </c>
      <c r="N1976" t="s">
        <v>1636</v>
      </c>
    </row>
    <row r="1977" spans="1:14" hidden="1" x14ac:dyDescent="0.25">
      <c r="A1977" s="16">
        <v>45717</v>
      </c>
      <c r="B1977" t="s">
        <v>97</v>
      </c>
      <c r="C1977">
        <v>37</v>
      </c>
      <c r="D1977" t="s">
        <v>291</v>
      </c>
      <c r="E1977" t="s">
        <v>292</v>
      </c>
      <c r="F1977" t="s">
        <v>244</v>
      </c>
      <c r="G1977" t="s">
        <v>82</v>
      </c>
      <c r="H1977" t="s">
        <v>83</v>
      </c>
      <c r="I1977" t="s">
        <v>497</v>
      </c>
      <c r="J1977" t="s">
        <v>195</v>
      </c>
      <c r="K1977" t="s">
        <v>250</v>
      </c>
      <c r="L1977">
        <v>5.21</v>
      </c>
      <c r="M1977" t="s">
        <v>251</v>
      </c>
      <c r="N1977" t="s">
        <v>1637</v>
      </c>
    </row>
    <row r="1978" spans="1:14" hidden="1" x14ac:dyDescent="0.25">
      <c r="A1978" s="16">
        <v>45717</v>
      </c>
      <c r="B1978" t="s">
        <v>97</v>
      </c>
      <c r="C1978">
        <v>37</v>
      </c>
      <c r="D1978" t="s">
        <v>291</v>
      </c>
      <c r="E1978" t="s">
        <v>292</v>
      </c>
      <c r="F1978" t="s">
        <v>244</v>
      </c>
      <c r="G1978" t="s">
        <v>82</v>
      </c>
      <c r="H1978" t="s">
        <v>83</v>
      </c>
      <c r="I1978" t="s">
        <v>499</v>
      </c>
      <c r="J1978" t="s">
        <v>195</v>
      </c>
      <c r="K1978" t="s">
        <v>250</v>
      </c>
      <c r="L1978">
        <v>0</v>
      </c>
      <c r="M1978" t="s">
        <v>251</v>
      </c>
      <c r="N1978" t="s">
        <v>1271</v>
      </c>
    </row>
    <row r="1979" spans="1:14" hidden="1" x14ac:dyDescent="0.25">
      <c r="A1979" s="16">
        <v>45717</v>
      </c>
      <c r="B1979" t="s">
        <v>97</v>
      </c>
      <c r="C1979">
        <v>37</v>
      </c>
      <c r="D1979" t="s">
        <v>291</v>
      </c>
      <c r="E1979" t="s">
        <v>292</v>
      </c>
      <c r="F1979" t="s">
        <v>244</v>
      </c>
      <c r="G1979" t="s">
        <v>82</v>
      </c>
      <c r="H1979" t="s">
        <v>83</v>
      </c>
      <c r="I1979" t="s">
        <v>501</v>
      </c>
      <c r="J1979" t="s">
        <v>195</v>
      </c>
      <c r="K1979" t="s">
        <v>250</v>
      </c>
      <c r="L1979">
        <v>1.8</v>
      </c>
      <c r="M1979" t="s">
        <v>251</v>
      </c>
      <c r="N1979" t="s">
        <v>1638</v>
      </c>
    </row>
    <row r="1980" spans="1:14" hidden="1" x14ac:dyDescent="0.25">
      <c r="A1980" s="16">
        <v>45717</v>
      </c>
      <c r="B1980" t="s">
        <v>97</v>
      </c>
      <c r="C1980">
        <v>37</v>
      </c>
      <c r="D1980" t="s">
        <v>291</v>
      </c>
      <c r="E1980" t="s">
        <v>292</v>
      </c>
      <c r="F1980" t="s">
        <v>244</v>
      </c>
      <c r="G1980" t="s">
        <v>82</v>
      </c>
      <c r="H1980" t="s">
        <v>83</v>
      </c>
      <c r="I1980" t="s">
        <v>503</v>
      </c>
      <c r="J1980" t="s">
        <v>195</v>
      </c>
      <c r="K1980" t="s">
        <v>250</v>
      </c>
      <c r="L1980">
        <v>4.26</v>
      </c>
      <c r="M1980" t="s">
        <v>251</v>
      </c>
      <c r="N1980" t="s">
        <v>1639</v>
      </c>
    </row>
    <row r="1981" spans="1:14" hidden="1" x14ac:dyDescent="0.25">
      <c r="A1981" s="16">
        <v>45717</v>
      </c>
      <c r="B1981" t="s">
        <v>97</v>
      </c>
      <c r="C1981">
        <v>37</v>
      </c>
      <c r="D1981" t="s">
        <v>291</v>
      </c>
      <c r="E1981" t="s">
        <v>292</v>
      </c>
      <c r="F1981" t="s">
        <v>244</v>
      </c>
      <c r="G1981" t="s">
        <v>82</v>
      </c>
      <c r="H1981" t="s">
        <v>83</v>
      </c>
      <c r="I1981" t="s">
        <v>315</v>
      </c>
      <c r="J1981" t="s">
        <v>195</v>
      </c>
      <c r="K1981" t="s">
        <v>250</v>
      </c>
      <c r="L1981">
        <v>73.930000000000007</v>
      </c>
      <c r="M1981" t="s">
        <v>251</v>
      </c>
      <c r="N1981" t="s">
        <v>1640</v>
      </c>
    </row>
    <row r="1982" spans="1:14" hidden="1" x14ac:dyDescent="0.25">
      <c r="A1982" s="16">
        <v>45717</v>
      </c>
      <c r="B1982" t="s">
        <v>97</v>
      </c>
      <c r="C1982">
        <v>37</v>
      </c>
      <c r="D1982" t="s">
        <v>291</v>
      </c>
      <c r="E1982" t="s">
        <v>292</v>
      </c>
      <c r="F1982" t="s">
        <v>244</v>
      </c>
      <c r="G1982" t="s">
        <v>82</v>
      </c>
      <c r="H1982" t="s">
        <v>83</v>
      </c>
      <c r="I1982" t="s">
        <v>317</v>
      </c>
      <c r="J1982" t="s">
        <v>195</v>
      </c>
      <c r="K1982" t="s">
        <v>250</v>
      </c>
      <c r="L1982">
        <v>14.8</v>
      </c>
      <c r="M1982" t="s">
        <v>251</v>
      </c>
      <c r="N1982" t="s">
        <v>1641</v>
      </c>
    </row>
    <row r="1983" spans="1:14" hidden="1" x14ac:dyDescent="0.25">
      <c r="A1983" s="16">
        <v>45717</v>
      </c>
      <c r="B1983" t="s">
        <v>97</v>
      </c>
      <c r="C1983">
        <v>37</v>
      </c>
      <c r="D1983" t="s">
        <v>291</v>
      </c>
      <c r="E1983" t="s">
        <v>292</v>
      </c>
      <c r="F1983" t="s">
        <v>244</v>
      </c>
      <c r="G1983" t="s">
        <v>82</v>
      </c>
      <c r="H1983" t="s">
        <v>84</v>
      </c>
      <c r="I1983" t="s">
        <v>84</v>
      </c>
      <c r="J1983" t="s">
        <v>195</v>
      </c>
      <c r="K1983" t="s">
        <v>250</v>
      </c>
      <c r="L1983">
        <v>83.98</v>
      </c>
      <c r="M1983" t="s">
        <v>251</v>
      </c>
      <c r="N1983" t="s">
        <v>1642</v>
      </c>
    </row>
    <row r="1984" spans="1:14" hidden="1" x14ac:dyDescent="0.25">
      <c r="A1984" s="16">
        <v>45717</v>
      </c>
      <c r="B1984" t="s">
        <v>97</v>
      </c>
      <c r="C1984">
        <v>37</v>
      </c>
      <c r="D1984" t="s">
        <v>291</v>
      </c>
      <c r="E1984" t="s">
        <v>292</v>
      </c>
      <c r="F1984" t="s">
        <v>244</v>
      </c>
      <c r="G1984" t="s">
        <v>82</v>
      </c>
      <c r="H1984" t="s">
        <v>84</v>
      </c>
      <c r="I1984" t="s">
        <v>321</v>
      </c>
      <c r="J1984" t="s">
        <v>195</v>
      </c>
      <c r="K1984" t="s">
        <v>250</v>
      </c>
      <c r="L1984">
        <v>16.02</v>
      </c>
      <c r="M1984" t="s">
        <v>251</v>
      </c>
      <c r="N1984" t="s">
        <v>1643</v>
      </c>
    </row>
    <row r="1985" spans="1:16" hidden="1" x14ac:dyDescent="0.25">
      <c r="A1985" s="16">
        <v>45717</v>
      </c>
      <c r="B1985" t="s">
        <v>97</v>
      </c>
      <c r="C1985">
        <v>38</v>
      </c>
      <c r="D1985" t="s">
        <v>253</v>
      </c>
      <c r="E1985" t="s">
        <v>248</v>
      </c>
      <c r="F1985" t="s">
        <v>334</v>
      </c>
      <c r="G1985" t="s">
        <v>82</v>
      </c>
      <c r="J1985" t="s">
        <v>193</v>
      </c>
      <c r="K1985" t="s">
        <v>255</v>
      </c>
      <c r="L1985">
        <v>73</v>
      </c>
      <c r="M1985" t="s">
        <v>245</v>
      </c>
      <c r="N1985" t="s">
        <v>1295</v>
      </c>
      <c r="O1985">
        <v>1</v>
      </c>
      <c r="P1985" t="s">
        <v>257</v>
      </c>
    </row>
    <row r="1986" spans="1:16" hidden="1" x14ac:dyDescent="0.25">
      <c r="A1986" s="16">
        <v>45717</v>
      </c>
      <c r="B1986" t="s">
        <v>97</v>
      </c>
      <c r="C1986">
        <v>38</v>
      </c>
      <c r="D1986" t="s">
        <v>253</v>
      </c>
      <c r="E1986" t="s">
        <v>248</v>
      </c>
      <c r="F1986" t="s">
        <v>334</v>
      </c>
      <c r="G1986" t="s">
        <v>82</v>
      </c>
      <c r="J1986" t="s">
        <v>194</v>
      </c>
      <c r="K1986" t="s">
        <v>255</v>
      </c>
      <c r="L1986">
        <v>73</v>
      </c>
      <c r="M1986" t="s">
        <v>245</v>
      </c>
      <c r="N1986" t="s">
        <v>1295</v>
      </c>
      <c r="O1986">
        <v>1</v>
      </c>
      <c r="P1986" t="s">
        <v>257</v>
      </c>
    </row>
    <row r="1987" spans="1:16" hidden="1" x14ac:dyDescent="0.25">
      <c r="A1987" s="16">
        <v>45717</v>
      </c>
      <c r="B1987" t="s">
        <v>97</v>
      </c>
      <c r="C1987">
        <v>38</v>
      </c>
      <c r="D1987" t="s">
        <v>253</v>
      </c>
      <c r="E1987" t="s">
        <v>248</v>
      </c>
      <c r="F1987" t="s">
        <v>334</v>
      </c>
      <c r="G1987" t="s">
        <v>82</v>
      </c>
      <c r="J1987" t="s">
        <v>195</v>
      </c>
      <c r="K1987" t="s">
        <v>255</v>
      </c>
      <c r="L1987">
        <v>74</v>
      </c>
      <c r="M1987" t="s">
        <v>245</v>
      </c>
      <c r="N1987" t="s">
        <v>1644</v>
      </c>
      <c r="O1987">
        <v>1</v>
      </c>
      <c r="P1987" t="s">
        <v>261</v>
      </c>
    </row>
    <row r="1988" spans="1:16" hidden="1" x14ac:dyDescent="0.25">
      <c r="A1988" s="16">
        <v>45717</v>
      </c>
      <c r="B1988" t="s">
        <v>97</v>
      </c>
      <c r="C1988">
        <v>39</v>
      </c>
      <c r="D1988" t="s">
        <v>291</v>
      </c>
      <c r="E1988" t="s">
        <v>292</v>
      </c>
      <c r="F1988" t="s">
        <v>240</v>
      </c>
      <c r="G1988" t="s">
        <v>82</v>
      </c>
      <c r="H1988" t="s">
        <v>94</v>
      </c>
      <c r="J1988" t="s">
        <v>195</v>
      </c>
      <c r="K1988" t="s">
        <v>250</v>
      </c>
      <c r="L1988">
        <v>2040000</v>
      </c>
      <c r="M1988" t="s">
        <v>242</v>
      </c>
      <c r="N1988" t="s">
        <v>1645</v>
      </c>
    </row>
    <row r="1989" spans="1:16" hidden="1" x14ac:dyDescent="0.25">
      <c r="A1989" s="16">
        <v>45717</v>
      </c>
      <c r="B1989" t="s">
        <v>97</v>
      </c>
      <c r="C1989">
        <v>39</v>
      </c>
      <c r="D1989" t="s">
        <v>291</v>
      </c>
      <c r="E1989" t="s">
        <v>292</v>
      </c>
      <c r="F1989" t="s">
        <v>240</v>
      </c>
      <c r="G1989" t="s">
        <v>82</v>
      </c>
      <c r="H1989" t="s">
        <v>95</v>
      </c>
      <c r="J1989" t="s">
        <v>195</v>
      </c>
      <c r="K1989" t="s">
        <v>250</v>
      </c>
      <c r="L1989">
        <v>2500000</v>
      </c>
      <c r="M1989" t="s">
        <v>242</v>
      </c>
      <c r="N1989" t="s">
        <v>1646</v>
      </c>
    </row>
    <row r="1990" spans="1:16" hidden="1" x14ac:dyDescent="0.25">
      <c r="A1990" s="16">
        <v>45717</v>
      </c>
      <c r="B1990" t="s">
        <v>97</v>
      </c>
      <c r="C1990">
        <v>40</v>
      </c>
      <c r="D1990" t="s">
        <v>291</v>
      </c>
      <c r="E1990" t="s">
        <v>292</v>
      </c>
      <c r="F1990" t="s">
        <v>244</v>
      </c>
      <c r="G1990" t="s">
        <v>82</v>
      </c>
      <c r="H1990" t="s">
        <v>94</v>
      </c>
      <c r="J1990" t="s">
        <v>195</v>
      </c>
      <c r="K1990" t="s">
        <v>250</v>
      </c>
      <c r="L1990">
        <v>103400000</v>
      </c>
      <c r="M1990" t="s">
        <v>245</v>
      </c>
      <c r="N1990" t="s">
        <v>1647</v>
      </c>
    </row>
    <row r="1991" spans="1:16" hidden="1" x14ac:dyDescent="0.25">
      <c r="A1991" s="16">
        <v>45717</v>
      </c>
      <c r="B1991" t="s">
        <v>97</v>
      </c>
      <c r="C1991">
        <v>40</v>
      </c>
      <c r="D1991" t="s">
        <v>291</v>
      </c>
      <c r="E1991" t="s">
        <v>292</v>
      </c>
      <c r="F1991" t="s">
        <v>244</v>
      </c>
      <c r="G1991" t="s">
        <v>82</v>
      </c>
      <c r="H1991" t="s">
        <v>95</v>
      </c>
      <c r="J1991" t="s">
        <v>195</v>
      </c>
      <c r="K1991" t="s">
        <v>250</v>
      </c>
      <c r="L1991">
        <v>119600000</v>
      </c>
      <c r="M1991" t="s">
        <v>245</v>
      </c>
      <c r="N1991" t="s">
        <v>1648</v>
      </c>
    </row>
    <row r="1992" spans="1:16" hidden="1" x14ac:dyDescent="0.25">
      <c r="A1992" s="16">
        <v>45717</v>
      </c>
      <c r="B1992" t="s">
        <v>535</v>
      </c>
      <c r="C1992">
        <v>4</v>
      </c>
      <c r="D1992" t="s">
        <v>238</v>
      </c>
      <c r="E1992" t="s">
        <v>239</v>
      </c>
      <c r="F1992" t="s">
        <v>240</v>
      </c>
      <c r="G1992" t="s">
        <v>82</v>
      </c>
      <c r="J1992" t="s">
        <v>195</v>
      </c>
      <c r="K1992" t="s">
        <v>250</v>
      </c>
      <c r="L1992">
        <v>12110000</v>
      </c>
      <c r="M1992" t="s">
        <v>242</v>
      </c>
      <c r="N1992" t="s">
        <v>1649</v>
      </c>
    </row>
    <row r="1993" spans="1:16" hidden="1" x14ac:dyDescent="0.25">
      <c r="A1993" s="16">
        <v>45717</v>
      </c>
      <c r="B1993" t="s">
        <v>535</v>
      </c>
      <c r="C1993">
        <v>4</v>
      </c>
      <c r="D1993" t="s">
        <v>238</v>
      </c>
      <c r="E1993" t="s">
        <v>239</v>
      </c>
      <c r="F1993" t="s">
        <v>285</v>
      </c>
      <c r="G1993" t="s">
        <v>63</v>
      </c>
      <c r="J1993" t="s">
        <v>195</v>
      </c>
      <c r="K1993" t="s">
        <v>250</v>
      </c>
      <c r="L1993">
        <v>1780000</v>
      </c>
      <c r="M1993" t="s">
        <v>242</v>
      </c>
      <c r="N1993" t="s">
        <v>1650</v>
      </c>
    </row>
    <row r="1994" spans="1:16" hidden="1" x14ac:dyDescent="0.25">
      <c r="A1994" s="16">
        <v>45717</v>
      </c>
      <c r="B1994" t="s">
        <v>535</v>
      </c>
      <c r="C1994">
        <v>4</v>
      </c>
      <c r="D1994" t="s">
        <v>238</v>
      </c>
      <c r="E1994" t="s">
        <v>239</v>
      </c>
      <c r="F1994" t="s">
        <v>244</v>
      </c>
      <c r="G1994" t="s">
        <v>82</v>
      </c>
      <c r="J1994" t="s">
        <v>195</v>
      </c>
      <c r="K1994" t="s">
        <v>250</v>
      </c>
      <c r="L1994">
        <v>1560000000</v>
      </c>
      <c r="M1994" t="s">
        <v>245</v>
      </c>
      <c r="N1994" t="s">
        <v>1570</v>
      </c>
    </row>
    <row r="1995" spans="1:16" hidden="1" x14ac:dyDescent="0.25">
      <c r="A1995" s="16">
        <v>45717</v>
      </c>
      <c r="B1995" t="s">
        <v>535</v>
      </c>
      <c r="C1995">
        <v>5</v>
      </c>
      <c r="D1995" t="s">
        <v>238</v>
      </c>
      <c r="E1995" t="s">
        <v>239</v>
      </c>
      <c r="F1995" t="s">
        <v>240</v>
      </c>
      <c r="G1995" t="s">
        <v>82</v>
      </c>
      <c r="J1995" t="s">
        <v>195</v>
      </c>
      <c r="K1995" t="s">
        <v>250</v>
      </c>
      <c r="L1995">
        <v>7290000</v>
      </c>
      <c r="M1995" t="s">
        <v>242</v>
      </c>
      <c r="N1995" t="s">
        <v>1651</v>
      </c>
    </row>
    <row r="1996" spans="1:16" hidden="1" x14ac:dyDescent="0.25">
      <c r="A1996" s="16">
        <v>45717</v>
      </c>
      <c r="B1996" t="s">
        <v>535</v>
      </c>
      <c r="C1996">
        <v>5</v>
      </c>
      <c r="D1996" t="s">
        <v>238</v>
      </c>
      <c r="E1996" t="s">
        <v>239</v>
      </c>
      <c r="F1996" t="s">
        <v>285</v>
      </c>
      <c r="G1996" t="s">
        <v>63</v>
      </c>
      <c r="J1996" t="s">
        <v>195</v>
      </c>
      <c r="K1996" t="s">
        <v>250</v>
      </c>
      <c r="L1996">
        <v>2600000</v>
      </c>
      <c r="M1996" t="s">
        <v>242</v>
      </c>
      <c r="N1996" t="s">
        <v>1652</v>
      </c>
    </row>
    <row r="1997" spans="1:16" hidden="1" x14ac:dyDescent="0.25">
      <c r="A1997" s="16">
        <v>45717</v>
      </c>
      <c r="B1997" t="s">
        <v>535</v>
      </c>
      <c r="C1997">
        <v>5</v>
      </c>
      <c r="D1997" t="s">
        <v>238</v>
      </c>
      <c r="E1997" t="s">
        <v>239</v>
      </c>
      <c r="F1997" t="s">
        <v>244</v>
      </c>
      <c r="G1997" t="s">
        <v>82</v>
      </c>
      <c r="J1997" t="s">
        <v>195</v>
      </c>
      <c r="K1997" t="s">
        <v>250</v>
      </c>
      <c r="L1997">
        <v>538000000</v>
      </c>
      <c r="M1997" t="s">
        <v>245</v>
      </c>
      <c r="N1997" t="s">
        <v>1653</v>
      </c>
    </row>
    <row r="1998" spans="1:16" hidden="1" x14ac:dyDescent="0.25">
      <c r="A1998" s="16">
        <v>45717</v>
      </c>
      <c r="B1998" t="s">
        <v>535</v>
      </c>
      <c r="C1998">
        <v>6</v>
      </c>
      <c r="D1998" t="s">
        <v>238</v>
      </c>
      <c r="E1998" t="s">
        <v>239</v>
      </c>
      <c r="F1998" t="s">
        <v>378</v>
      </c>
      <c r="G1998" t="s">
        <v>379</v>
      </c>
      <c r="J1998" t="s">
        <v>195</v>
      </c>
      <c r="K1998" t="s">
        <v>250</v>
      </c>
      <c r="L1998">
        <v>605</v>
      </c>
      <c r="M1998" t="s">
        <v>242</v>
      </c>
      <c r="N1998" t="s">
        <v>1539</v>
      </c>
    </row>
    <row r="1999" spans="1:16" hidden="1" x14ac:dyDescent="0.25">
      <c r="A1999" s="16">
        <v>45717</v>
      </c>
      <c r="B1999" t="s">
        <v>535</v>
      </c>
      <c r="C1999">
        <v>6</v>
      </c>
      <c r="D1999" t="s">
        <v>238</v>
      </c>
      <c r="E1999" t="s">
        <v>239</v>
      </c>
      <c r="F1999" t="s">
        <v>381</v>
      </c>
      <c r="G1999" t="s">
        <v>382</v>
      </c>
      <c r="J1999" t="s">
        <v>195</v>
      </c>
      <c r="K1999" t="s">
        <v>250</v>
      </c>
      <c r="L1999">
        <v>2090</v>
      </c>
      <c r="M1999" t="s">
        <v>242</v>
      </c>
      <c r="N1999" t="s">
        <v>1540</v>
      </c>
    </row>
    <row r="2000" spans="1:16" hidden="1" x14ac:dyDescent="0.25">
      <c r="A2000" s="16">
        <v>45717</v>
      </c>
      <c r="B2000" t="s">
        <v>535</v>
      </c>
      <c r="C2000">
        <v>6</v>
      </c>
      <c r="D2000" t="s">
        <v>238</v>
      </c>
      <c r="E2000" t="s">
        <v>239</v>
      </c>
      <c r="F2000" t="s">
        <v>240</v>
      </c>
      <c r="G2000" t="s">
        <v>82</v>
      </c>
      <c r="J2000" t="s">
        <v>195</v>
      </c>
      <c r="K2000" t="s">
        <v>250</v>
      </c>
      <c r="L2000">
        <v>5500000</v>
      </c>
      <c r="M2000" t="s">
        <v>242</v>
      </c>
      <c r="N2000" t="s">
        <v>1442</v>
      </c>
    </row>
    <row r="2001" spans="1:17" hidden="1" x14ac:dyDescent="0.25">
      <c r="A2001" s="16">
        <v>45717</v>
      </c>
      <c r="B2001" t="s">
        <v>535</v>
      </c>
      <c r="C2001">
        <v>6</v>
      </c>
      <c r="D2001" t="s">
        <v>238</v>
      </c>
      <c r="E2001" t="s">
        <v>239</v>
      </c>
      <c r="F2001" t="s">
        <v>285</v>
      </c>
      <c r="G2001" t="s">
        <v>63</v>
      </c>
      <c r="J2001" t="s">
        <v>195</v>
      </c>
      <c r="K2001" t="s">
        <v>250</v>
      </c>
      <c r="L2001">
        <v>4650000</v>
      </c>
      <c r="M2001" t="s">
        <v>242</v>
      </c>
      <c r="N2001" t="s">
        <v>977</v>
      </c>
    </row>
    <row r="2002" spans="1:17" hidden="1" x14ac:dyDescent="0.25">
      <c r="A2002" s="16">
        <v>45717</v>
      </c>
      <c r="B2002" t="s">
        <v>535</v>
      </c>
      <c r="C2002">
        <v>6</v>
      </c>
      <c r="D2002" t="s">
        <v>238</v>
      </c>
      <c r="E2002" t="s">
        <v>239</v>
      </c>
      <c r="F2002" t="s">
        <v>244</v>
      </c>
      <c r="G2002" t="s">
        <v>82</v>
      </c>
      <c r="J2002" t="s">
        <v>195</v>
      </c>
      <c r="K2002" t="s">
        <v>250</v>
      </c>
      <c r="L2002">
        <v>1130000000</v>
      </c>
      <c r="M2002" t="s">
        <v>245</v>
      </c>
      <c r="N2002" t="s">
        <v>679</v>
      </c>
    </row>
    <row r="2003" spans="1:17" hidden="1" x14ac:dyDescent="0.25">
      <c r="A2003" s="16">
        <v>45717</v>
      </c>
      <c r="B2003" t="s">
        <v>535</v>
      </c>
      <c r="C2003">
        <v>7</v>
      </c>
      <c r="D2003" t="s">
        <v>238</v>
      </c>
      <c r="E2003" t="s">
        <v>239</v>
      </c>
      <c r="F2003" t="s">
        <v>544</v>
      </c>
      <c r="G2003" t="s">
        <v>82</v>
      </c>
      <c r="J2003" t="s">
        <v>195</v>
      </c>
      <c r="K2003" t="s">
        <v>250</v>
      </c>
      <c r="L2003">
        <v>1060000</v>
      </c>
      <c r="M2003" t="s">
        <v>242</v>
      </c>
      <c r="N2003" t="s">
        <v>750</v>
      </c>
    </row>
    <row r="2004" spans="1:17" hidden="1" x14ac:dyDescent="0.25">
      <c r="A2004" s="16">
        <v>45717</v>
      </c>
      <c r="B2004" t="s">
        <v>535</v>
      </c>
      <c r="C2004">
        <v>7</v>
      </c>
      <c r="D2004" t="s">
        <v>238</v>
      </c>
      <c r="E2004" t="s">
        <v>239</v>
      </c>
      <c r="F2004" t="s">
        <v>240</v>
      </c>
      <c r="G2004" t="s">
        <v>82</v>
      </c>
      <c r="J2004" t="s">
        <v>195</v>
      </c>
      <c r="K2004" t="s">
        <v>250</v>
      </c>
      <c r="L2004">
        <v>1060000</v>
      </c>
      <c r="M2004" t="s">
        <v>242</v>
      </c>
      <c r="N2004" t="s">
        <v>750</v>
      </c>
    </row>
    <row r="2005" spans="1:17" hidden="1" x14ac:dyDescent="0.25">
      <c r="A2005" s="16">
        <v>45717</v>
      </c>
      <c r="B2005" t="s">
        <v>535</v>
      </c>
      <c r="C2005">
        <v>7</v>
      </c>
      <c r="D2005" t="s">
        <v>238</v>
      </c>
      <c r="E2005" t="s">
        <v>239</v>
      </c>
      <c r="F2005" t="s">
        <v>929</v>
      </c>
      <c r="G2005" t="s">
        <v>82</v>
      </c>
      <c r="J2005" t="s">
        <v>195</v>
      </c>
      <c r="K2005" t="s">
        <v>250</v>
      </c>
      <c r="L2005">
        <v>865000000</v>
      </c>
      <c r="M2005" t="s">
        <v>245</v>
      </c>
      <c r="N2005" t="s">
        <v>1654</v>
      </c>
    </row>
    <row r="2006" spans="1:17" hidden="1" x14ac:dyDescent="0.25">
      <c r="A2006" s="16">
        <v>45717</v>
      </c>
      <c r="B2006" t="s">
        <v>535</v>
      </c>
      <c r="C2006">
        <v>8</v>
      </c>
      <c r="D2006" t="s">
        <v>238</v>
      </c>
      <c r="E2006" t="s">
        <v>239</v>
      </c>
      <c r="F2006" t="s">
        <v>548</v>
      </c>
      <c r="G2006" t="s">
        <v>158</v>
      </c>
      <c r="J2006" t="s">
        <v>195</v>
      </c>
      <c r="K2006" t="s">
        <v>250</v>
      </c>
      <c r="L2006">
        <v>491000</v>
      </c>
      <c r="M2006" t="s">
        <v>242</v>
      </c>
      <c r="N2006" t="s">
        <v>1655</v>
      </c>
    </row>
    <row r="2007" spans="1:17" hidden="1" x14ac:dyDescent="0.25">
      <c r="A2007" s="16">
        <v>45717</v>
      </c>
      <c r="B2007" t="s">
        <v>535</v>
      </c>
      <c r="C2007">
        <v>8</v>
      </c>
      <c r="D2007" t="s">
        <v>238</v>
      </c>
      <c r="E2007" t="s">
        <v>239</v>
      </c>
      <c r="F2007" t="s">
        <v>349</v>
      </c>
      <c r="G2007" t="s">
        <v>158</v>
      </c>
      <c r="J2007" t="s">
        <v>195</v>
      </c>
      <c r="K2007" t="s">
        <v>250</v>
      </c>
      <c r="L2007">
        <v>16400</v>
      </c>
      <c r="M2007" t="s">
        <v>242</v>
      </c>
      <c r="N2007" t="s">
        <v>1656</v>
      </c>
    </row>
    <row r="2008" spans="1:17" hidden="1" x14ac:dyDescent="0.25">
      <c r="A2008" s="16">
        <v>45717</v>
      </c>
      <c r="B2008" t="s">
        <v>535</v>
      </c>
      <c r="C2008">
        <v>8</v>
      </c>
      <c r="D2008" t="s">
        <v>238</v>
      </c>
      <c r="E2008" t="s">
        <v>239</v>
      </c>
      <c r="F2008" t="s">
        <v>551</v>
      </c>
      <c r="G2008" t="s">
        <v>158</v>
      </c>
      <c r="J2008" t="s">
        <v>195</v>
      </c>
      <c r="K2008" t="s">
        <v>250</v>
      </c>
      <c r="L2008">
        <v>3100000000</v>
      </c>
      <c r="M2008" t="s">
        <v>245</v>
      </c>
      <c r="N2008" t="s">
        <v>1657</v>
      </c>
    </row>
    <row r="2009" spans="1:17" hidden="1" x14ac:dyDescent="0.25">
      <c r="A2009" s="16">
        <v>45717</v>
      </c>
      <c r="B2009" t="s">
        <v>535</v>
      </c>
      <c r="C2009">
        <v>8</v>
      </c>
      <c r="D2009" t="s">
        <v>238</v>
      </c>
      <c r="E2009" t="s">
        <v>239</v>
      </c>
      <c r="F2009" t="s">
        <v>361</v>
      </c>
      <c r="G2009" t="s">
        <v>158</v>
      </c>
      <c r="J2009" t="s">
        <v>195</v>
      </c>
      <c r="K2009" t="s">
        <v>250</v>
      </c>
      <c r="L2009">
        <v>83900000</v>
      </c>
      <c r="M2009" t="s">
        <v>245</v>
      </c>
      <c r="N2009" t="s">
        <v>1658</v>
      </c>
    </row>
    <row r="2010" spans="1:17" hidden="1" x14ac:dyDescent="0.25">
      <c r="A2010" s="16">
        <v>45748</v>
      </c>
      <c r="B2010" t="s">
        <v>142</v>
      </c>
      <c r="C2010">
        <v>72</v>
      </c>
      <c r="D2010" t="s">
        <v>238</v>
      </c>
      <c r="E2010" t="s">
        <v>239</v>
      </c>
      <c r="F2010" t="s">
        <v>240</v>
      </c>
      <c r="G2010" t="s">
        <v>82</v>
      </c>
      <c r="J2010" t="s">
        <v>196</v>
      </c>
      <c r="K2010" t="s">
        <v>241</v>
      </c>
      <c r="L2010">
        <v>3900000</v>
      </c>
      <c r="M2010" t="s">
        <v>242</v>
      </c>
      <c r="N2010" t="s">
        <v>1659</v>
      </c>
    </row>
    <row r="2011" spans="1:17" hidden="1" x14ac:dyDescent="0.25">
      <c r="A2011" s="16">
        <v>45748</v>
      </c>
      <c r="B2011" t="s">
        <v>142</v>
      </c>
      <c r="C2011">
        <v>72</v>
      </c>
      <c r="D2011" t="s">
        <v>238</v>
      </c>
      <c r="E2011" t="s">
        <v>239</v>
      </c>
      <c r="F2011" t="s">
        <v>244</v>
      </c>
      <c r="G2011" t="s">
        <v>82</v>
      </c>
      <c r="J2011" t="s">
        <v>196</v>
      </c>
      <c r="K2011" t="s">
        <v>241</v>
      </c>
      <c r="L2011">
        <v>3200000000</v>
      </c>
      <c r="M2011" t="s">
        <v>245</v>
      </c>
      <c r="N2011" t="s">
        <v>1483</v>
      </c>
    </row>
    <row r="2012" spans="1:17" hidden="1" x14ac:dyDescent="0.25">
      <c r="A2012" s="16">
        <v>45748</v>
      </c>
      <c r="B2012" t="s">
        <v>142</v>
      </c>
      <c r="C2012">
        <v>74</v>
      </c>
      <c r="D2012" t="s">
        <v>253</v>
      </c>
      <c r="E2012" t="s">
        <v>248</v>
      </c>
      <c r="F2012" t="s">
        <v>240</v>
      </c>
      <c r="G2012" t="s">
        <v>82</v>
      </c>
      <c r="J2012" t="s">
        <v>194</v>
      </c>
      <c r="K2012" t="s">
        <v>255</v>
      </c>
      <c r="L2012">
        <v>980000</v>
      </c>
      <c r="M2012" t="s">
        <v>242</v>
      </c>
      <c r="N2012" t="s">
        <v>1309</v>
      </c>
      <c r="O2012">
        <v>1</v>
      </c>
      <c r="P2012" t="s">
        <v>257</v>
      </c>
    </row>
    <row r="2013" spans="1:17" hidden="1" x14ac:dyDescent="0.25">
      <c r="A2013" s="16">
        <v>45748</v>
      </c>
      <c r="B2013" t="s">
        <v>142</v>
      </c>
      <c r="C2013">
        <v>74</v>
      </c>
      <c r="D2013" t="s">
        <v>253</v>
      </c>
      <c r="E2013" t="s">
        <v>248</v>
      </c>
      <c r="F2013" t="s">
        <v>240</v>
      </c>
      <c r="G2013" t="s">
        <v>82</v>
      </c>
      <c r="J2013" t="s">
        <v>195</v>
      </c>
      <c r="K2013" t="s">
        <v>255</v>
      </c>
      <c r="L2013">
        <v>1060000</v>
      </c>
      <c r="M2013" t="s">
        <v>242</v>
      </c>
      <c r="N2013" t="s">
        <v>560</v>
      </c>
      <c r="O2013">
        <v>1</v>
      </c>
      <c r="P2013" t="s">
        <v>257</v>
      </c>
      <c r="Q2013" t="s">
        <v>1660</v>
      </c>
    </row>
    <row r="2014" spans="1:17" hidden="1" x14ac:dyDescent="0.25">
      <c r="A2014" s="16">
        <v>45748</v>
      </c>
      <c r="B2014" t="s">
        <v>142</v>
      </c>
      <c r="C2014">
        <v>74</v>
      </c>
      <c r="D2014" t="s">
        <v>253</v>
      </c>
      <c r="E2014" t="s">
        <v>248</v>
      </c>
      <c r="F2014" t="s">
        <v>240</v>
      </c>
      <c r="G2014" t="s">
        <v>82</v>
      </c>
      <c r="J2014" t="s">
        <v>196</v>
      </c>
      <c r="K2014" t="s">
        <v>255</v>
      </c>
      <c r="L2014">
        <v>930000</v>
      </c>
      <c r="M2014" t="s">
        <v>242</v>
      </c>
      <c r="N2014" t="s">
        <v>1661</v>
      </c>
      <c r="O2014">
        <v>1</v>
      </c>
      <c r="P2014" t="s">
        <v>261</v>
      </c>
    </row>
    <row r="2015" spans="1:17" hidden="1" x14ac:dyDescent="0.25">
      <c r="A2015" s="16">
        <v>45748</v>
      </c>
      <c r="B2015" t="s">
        <v>142</v>
      </c>
      <c r="C2015">
        <v>74</v>
      </c>
      <c r="D2015" t="s">
        <v>247</v>
      </c>
      <c r="E2015" t="s">
        <v>248</v>
      </c>
      <c r="F2015" t="s">
        <v>240</v>
      </c>
      <c r="G2015" t="s">
        <v>82</v>
      </c>
      <c r="H2015" t="s">
        <v>249</v>
      </c>
      <c r="J2015" t="s">
        <v>196</v>
      </c>
      <c r="K2015" t="s">
        <v>250</v>
      </c>
      <c r="L2015">
        <v>12.3</v>
      </c>
      <c r="M2015" t="s">
        <v>251</v>
      </c>
      <c r="N2015" t="s">
        <v>828</v>
      </c>
    </row>
    <row r="2016" spans="1:17" hidden="1" x14ac:dyDescent="0.25">
      <c r="A2016" s="16">
        <v>45748</v>
      </c>
      <c r="B2016" t="s">
        <v>142</v>
      </c>
      <c r="C2016">
        <v>75</v>
      </c>
      <c r="D2016" t="s">
        <v>253</v>
      </c>
      <c r="E2016" t="s">
        <v>248</v>
      </c>
      <c r="F2016" t="s">
        <v>240</v>
      </c>
      <c r="G2016" t="s">
        <v>82</v>
      </c>
      <c r="H2016" t="s">
        <v>150</v>
      </c>
      <c r="J2016" t="s">
        <v>194</v>
      </c>
      <c r="K2016" t="s">
        <v>255</v>
      </c>
      <c r="L2016">
        <v>304</v>
      </c>
      <c r="M2016" t="s">
        <v>242</v>
      </c>
      <c r="N2016" t="s">
        <v>264</v>
      </c>
      <c r="O2016">
        <v>1</v>
      </c>
      <c r="P2016" t="s">
        <v>257</v>
      </c>
    </row>
    <row r="2017" spans="1:16" hidden="1" x14ac:dyDescent="0.25">
      <c r="A2017" s="16">
        <v>45748</v>
      </c>
      <c r="B2017" t="s">
        <v>142</v>
      </c>
      <c r="C2017">
        <v>75</v>
      </c>
      <c r="D2017" t="s">
        <v>253</v>
      </c>
      <c r="E2017" t="s">
        <v>248</v>
      </c>
      <c r="F2017" t="s">
        <v>240</v>
      </c>
      <c r="G2017" t="s">
        <v>82</v>
      </c>
      <c r="H2017" t="s">
        <v>150</v>
      </c>
      <c r="J2017" t="s">
        <v>195</v>
      </c>
      <c r="K2017" t="s">
        <v>255</v>
      </c>
      <c r="L2017">
        <v>327</v>
      </c>
      <c r="M2017" t="s">
        <v>242</v>
      </c>
      <c r="N2017" t="s">
        <v>1490</v>
      </c>
      <c r="O2017">
        <v>1</v>
      </c>
      <c r="P2017" t="s">
        <v>257</v>
      </c>
    </row>
    <row r="2018" spans="1:16" hidden="1" x14ac:dyDescent="0.25">
      <c r="A2018" s="16">
        <v>45748</v>
      </c>
      <c r="B2018" t="s">
        <v>142</v>
      </c>
      <c r="C2018">
        <v>75</v>
      </c>
      <c r="D2018" t="s">
        <v>253</v>
      </c>
      <c r="E2018" t="s">
        <v>248</v>
      </c>
      <c r="F2018" t="s">
        <v>240</v>
      </c>
      <c r="G2018" t="s">
        <v>82</v>
      </c>
      <c r="H2018" t="s">
        <v>150</v>
      </c>
      <c r="J2018" t="s">
        <v>196</v>
      </c>
      <c r="K2018" t="s">
        <v>255</v>
      </c>
      <c r="L2018">
        <v>292</v>
      </c>
      <c r="M2018" t="s">
        <v>242</v>
      </c>
      <c r="N2018" t="s">
        <v>1662</v>
      </c>
      <c r="O2018">
        <v>1</v>
      </c>
      <c r="P2018" t="s">
        <v>261</v>
      </c>
    </row>
    <row r="2019" spans="1:16" hidden="1" x14ac:dyDescent="0.25">
      <c r="A2019" s="16">
        <v>45748</v>
      </c>
      <c r="B2019" t="s">
        <v>142</v>
      </c>
      <c r="C2019">
        <v>75</v>
      </c>
      <c r="D2019" t="s">
        <v>253</v>
      </c>
      <c r="E2019" t="s">
        <v>248</v>
      </c>
      <c r="F2019" t="s">
        <v>240</v>
      </c>
      <c r="G2019" t="s">
        <v>82</v>
      </c>
      <c r="H2019" t="s">
        <v>151</v>
      </c>
      <c r="J2019" t="s">
        <v>194</v>
      </c>
      <c r="K2019" t="s">
        <v>255</v>
      </c>
      <c r="L2019">
        <v>37</v>
      </c>
      <c r="M2019" t="s">
        <v>242</v>
      </c>
      <c r="N2019" t="s">
        <v>1310</v>
      </c>
      <c r="O2019">
        <v>1</v>
      </c>
      <c r="P2019" t="s">
        <v>257</v>
      </c>
    </row>
    <row r="2020" spans="1:16" hidden="1" x14ac:dyDescent="0.25">
      <c r="A2020" s="16">
        <v>45748</v>
      </c>
      <c r="B2020" t="s">
        <v>142</v>
      </c>
      <c r="C2020">
        <v>75</v>
      </c>
      <c r="D2020" t="s">
        <v>253</v>
      </c>
      <c r="E2020" t="s">
        <v>248</v>
      </c>
      <c r="F2020" t="s">
        <v>240</v>
      </c>
      <c r="G2020" t="s">
        <v>82</v>
      </c>
      <c r="H2020" t="s">
        <v>151</v>
      </c>
      <c r="J2020" t="s">
        <v>195</v>
      </c>
      <c r="K2020" t="s">
        <v>255</v>
      </c>
      <c r="L2020">
        <v>35</v>
      </c>
      <c r="M2020" t="s">
        <v>242</v>
      </c>
      <c r="N2020" t="s">
        <v>1122</v>
      </c>
      <c r="O2020">
        <v>1</v>
      </c>
      <c r="P2020" t="s">
        <v>257</v>
      </c>
    </row>
    <row r="2021" spans="1:16" hidden="1" x14ac:dyDescent="0.25">
      <c r="A2021" s="16">
        <v>45748</v>
      </c>
      <c r="B2021" t="s">
        <v>142</v>
      </c>
      <c r="C2021">
        <v>75</v>
      </c>
      <c r="D2021" t="s">
        <v>253</v>
      </c>
      <c r="E2021" t="s">
        <v>248</v>
      </c>
      <c r="F2021" t="s">
        <v>240</v>
      </c>
      <c r="G2021" t="s">
        <v>82</v>
      </c>
      <c r="H2021" t="s">
        <v>151</v>
      </c>
      <c r="J2021" t="s">
        <v>196</v>
      </c>
      <c r="K2021" t="s">
        <v>255</v>
      </c>
      <c r="L2021">
        <v>24</v>
      </c>
      <c r="M2021" t="s">
        <v>242</v>
      </c>
      <c r="N2021" t="s">
        <v>1663</v>
      </c>
      <c r="O2021">
        <v>1</v>
      </c>
      <c r="P2021" t="s">
        <v>261</v>
      </c>
    </row>
    <row r="2022" spans="1:16" hidden="1" x14ac:dyDescent="0.25">
      <c r="A2022" s="16">
        <v>45748</v>
      </c>
      <c r="B2022" t="s">
        <v>142</v>
      </c>
      <c r="C2022">
        <v>75</v>
      </c>
      <c r="D2022" t="s">
        <v>253</v>
      </c>
      <c r="E2022" t="s">
        <v>248</v>
      </c>
      <c r="F2022" t="s">
        <v>240</v>
      </c>
      <c r="G2022" t="s">
        <v>82</v>
      </c>
      <c r="H2022" t="s">
        <v>149</v>
      </c>
      <c r="J2022" t="s">
        <v>194</v>
      </c>
      <c r="K2022" t="s">
        <v>255</v>
      </c>
      <c r="L2022">
        <v>5710</v>
      </c>
      <c r="M2022" t="s">
        <v>242</v>
      </c>
      <c r="N2022" t="s">
        <v>1311</v>
      </c>
      <c r="O2022">
        <v>1</v>
      </c>
      <c r="P2022" t="s">
        <v>257</v>
      </c>
    </row>
    <row r="2023" spans="1:16" hidden="1" x14ac:dyDescent="0.25">
      <c r="A2023" s="16">
        <v>45748</v>
      </c>
      <c r="B2023" t="s">
        <v>142</v>
      </c>
      <c r="C2023">
        <v>75</v>
      </c>
      <c r="D2023" t="s">
        <v>253</v>
      </c>
      <c r="E2023" t="s">
        <v>248</v>
      </c>
      <c r="F2023" t="s">
        <v>240</v>
      </c>
      <c r="G2023" t="s">
        <v>82</v>
      </c>
      <c r="H2023" t="s">
        <v>149</v>
      </c>
      <c r="J2023" t="s">
        <v>195</v>
      </c>
      <c r="K2023" t="s">
        <v>255</v>
      </c>
      <c r="L2023">
        <v>5222</v>
      </c>
      <c r="M2023" t="s">
        <v>242</v>
      </c>
      <c r="N2023" t="s">
        <v>1491</v>
      </c>
      <c r="O2023">
        <v>1</v>
      </c>
      <c r="P2023" t="s">
        <v>257</v>
      </c>
    </row>
    <row r="2024" spans="1:16" hidden="1" x14ac:dyDescent="0.25">
      <c r="A2024" s="16">
        <v>45748</v>
      </c>
      <c r="B2024" t="s">
        <v>142</v>
      </c>
      <c r="C2024">
        <v>75</v>
      </c>
      <c r="D2024" t="s">
        <v>253</v>
      </c>
      <c r="E2024" t="s">
        <v>248</v>
      </c>
      <c r="F2024" t="s">
        <v>240</v>
      </c>
      <c r="G2024" t="s">
        <v>82</v>
      </c>
      <c r="H2024" t="s">
        <v>149</v>
      </c>
      <c r="J2024" t="s">
        <v>196</v>
      </c>
      <c r="K2024" t="s">
        <v>255</v>
      </c>
      <c r="L2024">
        <v>6156</v>
      </c>
      <c r="M2024" t="s">
        <v>242</v>
      </c>
      <c r="N2024" t="s">
        <v>1664</v>
      </c>
      <c r="O2024">
        <v>1</v>
      </c>
      <c r="P2024" t="s">
        <v>261</v>
      </c>
    </row>
    <row r="2025" spans="1:16" hidden="1" x14ac:dyDescent="0.25">
      <c r="A2025" s="16">
        <v>45748</v>
      </c>
      <c r="B2025" t="s">
        <v>142</v>
      </c>
      <c r="C2025">
        <v>76</v>
      </c>
      <c r="D2025" t="s">
        <v>253</v>
      </c>
      <c r="E2025" t="s">
        <v>248</v>
      </c>
      <c r="F2025" t="s">
        <v>244</v>
      </c>
      <c r="G2025" t="s">
        <v>82</v>
      </c>
      <c r="J2025" t="s">
        <v>194</v>
      </c>
      <c r="K2025" t="s">
        <v>255</v>
      </c>
      <c r="L2025">
        <v>783000000</v>
      </c>
      <c r="M2025" t="s">
        <v>245</v>
      </c>
      <c r="N2025" t="s">
        <v>1312</v>
      </c>
      <c r="O2025">
        <v>1</v>
      </c>
      <c r="P2025" t="s">
        <v>257</v>
      </c>
    </row>
    <row r="2026" spans="1:16" hidden="1" x14ac:dyDescent="0.25">
      <c r="A2026" s="16">
        <v>45748</v>
      </c>
      <c r="B2026" t="s">
        <v>142</v>
      </c>
      <c r="C2026">
        <v>76</v>
      </c>
      <c r="D2026" t="s">
        <v>253</v>
      </c>
      <c r="E2026" t="s">
        <v>248</v>
      </c>
      <c r="F2026" t="s">
        <v>244</v>
      </c>
      <c r="G2026" t="s">
        <v>82</v>
      </c>
      <c r="J2026" t="s">
        <v>195</v>
      </c>
      <c r="K2026" t="s">
        <v>255</v>
      </c>
      <c r="L2026">
        <v>865000000</v>
      </c>
      <c r="M2026" t="s">
        <v>245</v>
      </c>
      <c r="N2026" t="s">
        <v>1492</v>
      </c>
      <c r="O2026">
        <v>1</v>
      </c>
      <c r="P2026" t="s">
        <v>257</v>
      </c>
    </row>
    <row r="2027" spans="1:16" hidden="1" x14ac:dyDescent="0.25">
      <c r="A2027" s="16">
        <v>45748</v>
      </c>
      <c r="B2027" t="s">
        <v>142</v>
      </c>
      <c r="C2027">
        <v>76</v>
      </c>
      <c r="D2027" t="s">
        <v>253</v>
      </c>
      <c r="E2027" t="s">
        <v>248</v>
      </c>
      <c r="F2027" t="s">
        <v>244</v>
      </c>
      <c r="G2027" t="s">
        <v>82</v>
      </c>
      <c r="J2027" t="s">
        <v>196</v>
      </c>
      <c r="K2027" t="s">
        <v>255</v>
      </c>
      <c r="L2027">
        <v>782000000</v>
      </c>
      <c r="M2027" t="s">
        <v>245</v>
      </c>
      <c r="N2027" t="s">
        <v>1665</v>
      </c>
      <c r="O2027">
        <v>1</v>
      </c>
      <c r="P2027" t="s">
        <v>261</v>
      </c>
    </row>
    <row r="2028" spans="1:16" hidden="1" x14ac:dyDescent="0.25">
      <c r="A2028" s="16">
        <v>45748</v>
      </c>
      <c r="B2028" t="s">
        <v>142</v>
      </c>
      <c r="C2028">
        <v>76</v>
      </c>
      <c r="D2028" t="s">
        <v>247</v>
      </c>
      <c r="E2028" t="s">
        <v>248</v>
      </c>
      <c r="F2028" t="s">
        <v>244</v>
      </c>
      <c r="G2028" t="s">
        <v>82</v>
      </c>
      <c r="H2028" t="s">
        <v>249</v>
      </c>
      <c r="J2028" t="s">
        <v>196</v>
      </c>
      <c r="K2028" t="s">
        <v>250</v>
      </c>
      <c r="L2028">
        <v>9.6</v>
      </c>
      <c r="M2028" t="s">
        <v>251</v>
      </c>
      <c r="N2028" t="s">
        <v>1666</v>
      </c>
    </row>
    <row r="2029" spans="1:16" hidden="1" x14ac:dyDescent="0.25">
      <c r="A2029" s="16">
        <v>45748</v>
      </c>
      <c r="B2029" t="s">
        <v>142</v>
      </c>
      <c r="C2029">
        <v>77</v>
      </c>
      <c r="D2029" t="s">
        <v>253</v>
      </c>
      <c r="E2029" t="s">
        <v>248</v>
      </c>
      <c r="F2029" t="s">
        <v>244</v>
      </c>
      <c r="G2029" t="s">
        <v>82</v>
      </c>
      <c r="H2029" t="s">
        <v>150</v>
      </c>
      <c r="J2029" t="s">
        <v>194</v>
      </c>
      <c r="K2029" t="s">
        <v>255</v>
      </c>
      <c r="L2029">
        <v>2660000</v>
      </c>
      <c r="M2029" t="s">
        <v>150</v>
      </c>
      <c r="N2029" t="s">
        <v>1314</v>
      </c>
      <c r="O2029">
        <v>1</v>
      </c>
      <c r="P2029" t="s">
        <v>257</v>
      </c>
    </row>
    <row r="2030" spans="1:16" hidden="1" x14ac:dyDescent="0.25">
      <c r="A2030" s="16">
        <v>45748</v>
      </c>
      <c r="B2030" t="s">
        <v>142</v>
      </c>
      <c r="C2030">
        <v>77</v>
      </c>
      <c r="D2030" t="s">
        <v>253</v>
      </c>
      <c r="E2030" t="s">
        <v>248</v>
      </c>
      <c r="F2030" t="s">
        <v>244</v>
      </c>
      <c r="G2030" t="s">
        <v>82</v>
      </c>
      <c r="H2030" t="s">
        <v>150</v>
      </c>
      <c r="J2030" t="s">
        <v>195</v>
      </c>
      <c r="K2030" t="s">
        <v>255</v>
      </c>
      <c r="L2030">
        <v>3270000</v>
      </c>
      <c r="M2030" t="s">
        <v>150</v>
      </c>
      <c r="N2030" t="s">
        <v>1494</v>
      </c>
      <c r="O2030">
        <v>1</v>
      </c>
      <c r="P2030" t="s">
        <v>257</v>
      </c>
    </row>
    <row r="2031" spans="1:16" hidden="1" x14ac:dyDescent="0.25">
      <c r="A2031" s="16">
        <v>45748</v>
      </c>
      <c r="B2031" t="s">
        <v>142</v>
      </c>
      <c r="C2031">
        <v>77</v>
      </c>
      <c r="D2031" t="s">
        <v>253</v>
      </c>
      <c r="E2031" t="s">
        <v>248</v>
      </c>
      <c r="F2031" t="s">
        <v>244</v>
      </c>
      <c r="G2031" t="s">
        <v>82</v>
      </c>
      <c r="H2031" t="s">
        <v>150</v>
      </c>
      <c r="J2031" t="s">
        <v>196</v>
      </c>
      <c r="K2031" t="s">
        <v>255</v>
      </c>
      <c r="L2031">
        <v>2620000</v>
      </c>
      <c r="M2031" t="s">
        <v>150</v>
      </c>
      <c r="N2031" t="s">
        <v>1667</v>
      </c>
      <c r="O2031">
        <v>1</v>
      </c>
      <c r="P2031" t="s">
        <v>261</v>
      </c>
    </row>
    <row r="2032" spans="1:16" hidden="1" x14ac:dyDescent="0.25">
      <c r="A2032" s="16">
        <v>45748</v>
      </c>
      <c r="B2032" t="s">
        <v>142</v>
      </c>
      <c r="C2032">
        <v>77</v>
      </c>
      <c r="D2032" t="s">
        <v>253</v>
      </c>
      <c r="E2032" t="s">
        <v>248</v>
      </c>
      <c r="F2032" t="s">
        <v>244</v>
      </c>
      <c r="G2032" t="s">
        <v>82</v>
      </c>
      <c r="H2032" t="s">
        <v>151</v>
      </c>
      <c r="J2032" t="s">
        <v>194</v>
      </c>
      <c r="K2032" t="s">
        <v>255</v>
      </c>
      <c r="L2032">
        <v>410000</v>
      </c>
      <c r="M2032" t="s">
        <v>151</v>
      </c>
      <c r="N2032" t="s">
        <v>1315</v>
      </c>
      <c r="O2032">
        <v>1</v>
      </c>
      <c r="P2032" t="s">
        <v>257</v>
      </c>
    </row>
    <row r="2033" spans="1:16" hidden="1" x14ac:dyDescent="0.25">
      <c r="A2033" s="16">
        <v>45748</v>
      </c>
      <c r="B2033" t="s">
        <v>142</v>
      </c>
      <c r="C2033">
        <v>77</v>
      </c>
      <c r="D2033" t="s">
        <v>253</v>
      </c>
      <c r="E2033" t="s">
        <v>248</v>
      </c>
      <c r="F2033" t="s">
        <v>244</v>
      </c>
      <c r="G2033" t="s">
        <v>82</v>
      </c>
      <c r="H2033" t="s">
        <v>151</v>
      </c>
      <c r="J2033" t="s">
        <v>195</v>
      </c>
      <c r="K2033" t="s">
        <v>255</v>
      </c>
      <c r="L2033">
        <v>380000</v>
      </c>
      <c r="M2033" t="s">
        <v>151</v>
      </c>
      <c r="N2033" t="s">
        <v>570</v>
      </c>
      <c r="O2033">
        <v>1</v>
      </c>
      <c r="P2033" t="s">
        <v>257</v>
      </c>
    </row>
    <row r="2034" spans="1:16" hidden="1" x14ac:dyDescent="0.25">
      <c r="A2034" s="16">
        <v>45748</v>
      </c>
      <c r="B2034" t="s">
        <v>142</v>
      </c>
      <c r="C2034">
        <v>77</v>
      </c>
      <c r="D2034" t="s">
        <v>253</v>
      </c>
      <c r="E2034" t="s">
        <v>248</v>
      </c>
      <c r="F2034" t="s">
        <v>244</v>
      </c>
      <c r="G2034" t="s">
        <v>82</v>
      </c>
      <c r="H2034" t="s">
        <v>151</v>
      </c>
      <c r="J2034" t="s">
        <v>196</v>
      </c>
      <c r="K2034" t="s">
        <v>255</v>
      </c>
      <c r="L2034">
        <v>160000</v>
      </c>
      <c r="M2034" t="s">
        <v>151</v>
      </c>
      <c r="N2034" t="s">
        <v>1668</v>
      </c>
      <c r="O2034">
        <v>1</v>
      </c>
      <c r="P2034" t="s">
        <v>261</v>
      </c>
    </row>
    <row r="2035" spans="1:16" hidden="1" x14ac:dyDescent="0.25">
      <c r="A2035" s="16">
        <v>45748</v>
      </c>
      <c r="B2035" t="s">
        <v>142</v>
      </c>
      <c r="C2035">
        <v>77</v>
      </c>
      <c r="D2035" t="s">
        <v>253</v>
      </c>
      <c r="E2035" t="s">
        <v>248</v>
      </c>
      <c r="F2035" t="s">
        <v>244</v>
      </c>
      <c r="G2035" t="s">
        <v>82</v>
      </c>
      <c r="H2035" t="s">
        <v>149</v>
      </c>
      <c r="J2035" t="s">
        <v>194</v>
      </c>
      <c r="K2035" t="s">
        <v>255</v>
      </c>
      <c r="L2035">
        <v>37700000</v>
      </c>
      <c r="M2035" t="s">
        <v>149</v>
      </c>
      <c r="N2035" t="s">
        <v>1316</v>
      </c>
      <c r="O2035">
        <v>1</v>
      </c>
      <c r="P2035" t="s">
        <v>257</v>
      </c>
    </row>
    <row r="2036" spans="1:16" hidden="1" x14ac:dyDescent="0.25">
      <c r="A2036" s="16">
        <v>45748</v>
      </c>
      <c r="B2036" t="s">
        <v>142</v>
      </c>
      <c r="C2036">
        <v>77</v>
      </c>
      <c r="D2036" t="s">
        <v>253</v>
      </c>
      <c r="E2036" t="s">
        <v>248</v>
      </c>
      <c r="F2036" t="s">
        <v>244</v>
      </c>
      <c r="G2036" t="s">
        <v>82</v>
      </c>
      <c r="H2036" t="s">
        <v>149</v>
      </c>
      <c r="J2036" t="s">
        <v>195</v>
      </c>
      <c r="K2036" t="s">
        <v>255</v>
      </c>
      <c r="L2036">
        <v>37000000</v>
      </c>
      <c r="M2036" t="s">
        <v>149</v>
      </c>
      <c r="N2036" t="s">
        <v>282</v>
      </c>
      <c r="O2036">
        <v>1</v>
      </c>
      <c r="P2036" t="s">
        <v>257</v>
      </c>
    </row>
    <row r="2037" spans="1:16" hidden="1" x14ac:dyDescent="0.25">
      <c r="A2037" s="16">
        <v>45748</v>
      </c>
      <c r="B2037" t="s">
        <v>142</v>
      </c>
      <c r="C2037">
        <v>77</v>
      </c>
      <c r="D2037" t="s">
        <v>253</v>
      </c>
      <c r="E2037" t="s">
        <v>248</v>
      </c>
      <c r="F2037" t="s">
        <v>244</v>
      </c>
      <c r="G2037" t="s">
        <v>82</v>
      </c>
      <c r="H2037" t="s">
        <v>149</v>
      </c>
      <c r="J2037" t="s">
        <v>196</v>
      </c>
      <c r="K2037" t="s">
        <v>255</v>
      </c>
      <c r="L2037">
        <v>38900000</v>
      </c>
      <c r="M2037" t="s">
        <v>149</v>
      </c>
      <c r="N2037" t="s">
        <v>1669</v>
      </c>
      <c r="O2037">
        <v>1</v>
      </c>
      <c r="P2037" t="s">
        <v>261</v>
      </c>
    </row>
    <row r="2038" spans="1:16" hidden="1" x14ac:dyDescent="0.25">
      <c r="A2038" s="16">
        <v>45748</v>
      </c>
      <c r="B2038" t="s">
        <v>35</v>
      </c>
      <c r="C2038">
        <v>10</v>
      </c>
      <c r="D2038" t="s">
        <v>238</v>
      </c>
      <c r="E2038" t="s">
        <v>239</v>
      </c>
      <c r="F2038" t="s">
        <v>240</v>
      </c>
      <c r="G2038" t="s">
        <v>82</v>
      </c>
      <c r="J2038" t="s">
        <v>196</v>
      </c>
      <c r="K2038" t="s">
        <v>241</v>
      </c>
      <c r="L2038">
        <v>43850000</v>
      </c>
      <c r="M2038" t="s">
        <v>242</v>
      </c>
      <c r="N2038" t="s">
        <v>1670</v>
      </c>
    </row>
    <row r="2039" spans="1:16" hidden="1" x14ac:dyDescent="0.25">
      <c r="A2039" s="16">
        <v>45748</v>
      </c>
      <c r="B2039" t="s">
        <v>35</v>
      </c>
      <c r="C2039">
        <v>10</v>
      </c>
      <c r="D2039" t="s">
        <v>238</v>
      </c>
      <c r="E2039" t="s">
        <v>239</v>
      </c>
      <c r="F2039" t="s">
        <v>244</v>
      </c>
      <c r="G2039" t="s">
        <v>82</v>
      </c>
      <c r="J2039" t="s">
        <v>196</v>
      </c>
      <c r="K2039" t="s">
        <v>241</v>
      </c>
      <c r="L2039">
        <v>5660000000</v>
      </c>
      <c r="M2039" t="s">
        <v>245</v>
      </c>
      <c r="N2039" t="s">
        <v>1671</v>
      </c>
    </row>
    <row r="2040" spans="1:16" hidden="1" x14ac:dyDescent="0.25">
      <c r="A2040" s="16">
        <v>45748</v>
      </c>
      <c r="B2040" t="s">
        <v>35</v>
      </c>
      <c r="C2040">
        <v>11</v>
      </c>
      <c r="D2040" t="s">
        <v>253</v>
      </c>
      <c r="E2040" t="s">
        <v>248</v>
      </c>
      <c r="F2040" t="s">
        <v>285</v>
      </c>
      <c r="G2040" t="s">
        <v>63</v>
      </c>
      <c r="J2040" t="s">
        <v>194</v>
      </c>
      <c r="K2040" t="s">
        <v>255</v>
      </c>
      <c r="L2040">
        <v>1740000</v>
      </c>
      <c r="M2040" t="s">
        <v>242</v>
      </c>
      <c r="N2040" t="s">
        <v>1319</v>
      </c>
      <c r="O2040">
        <v>1</v>
      </c>
      <c r="P2040" t="s">
        <v>257</v>
      </c>
    </row>
    <row r="2041" spans="1:16" hidden="1" x14ac:dyDescent="0.25">
      <c r="A2041" s="16">
        <v>45748</v>
      </c>
      <c r="B2041" t="s">
        <v>35</v>
      </c>
      <c r="C2041">
        <v>11</v>
      </c>
      <c r="D2041" t="s">
        <v>253</v>
      </c>
      <c r="E2041" t="s">
        <v>248</v>
      </c>
      <c r="F2041" t="s">
        <v>285</v>
      </c>
      <c r="G2041" t="s">
        <v>63</v>
      </c>
      <c r="J2041" t="s">
        <v>195</v>
      </c>
      <c r="K2041" t="s">
        <v>255</v>
      </c>
      <c r="L2041">
        <v>1780000</v>
      </c>
      <c r="M2041" t="s">
        <v>242</v>
      </c>
      <c r="N2041" t="s">
        <v>1497</v>
      </c>
      <c r="O2041">
        <v>1</v>
      </c>
      <c r="P2041" t="s">
        <v>257</v>
      </c>
    </row>
    <row r="2042" spans="1:16" hidden="1" x14ac:dyDescent="0.25">
      <c r="A2042" s="16">
        <v>45748</v>
      </c>
      <c r="B2042" t="s">
        <v>35</v>
      </c>
      <c r="C2042">
        <v>11</v>
      </c>
      <c r="D2042" t="s">
        <v>253</v>
      </c>
      <c r="E2042" t="s">
        <v>248</v>
      </c>
      <c r="F2042" t="s">
        <v>285</v>
      </c>
      <c r="G2042" t="s">
        <v>63</v>
      </c>
      <c r="J2042" t="s">
        <v>196</v>
      </c>
      <c r="K2042" t="s">
        <v>255</v>
      </c>
      <c r="L2042">
        <v>1810000</v>
      </c>
      <c r="M2042" t="s">
        <v>242</v>
      </c>
      <c r="N2042" t="s">
        <v>1672</v>
      </c>
      <c r="O2042">
        <v>1</v>
      </c>
      <c r="P2042" t="s">
        <v>261</v>
      </c>
    </row>
    <row r="2043" spans="1:16" hidden="1" x14ac:dyDescent="0.25">
      <c r="A2043" s="16">
        <v>45748</v>
      </c>
      <c r="B2043" t="s">
        <v>35</v>
      </c>
      <c r="C2043">
        <v>11</v>
      </c>
      <c r="D2043" t="s">
        <v>247</v>
      </c>
      <c r="E2043" t="s">
        <v>248</v>
      </c>
      <c r="F2043" t="s">
        <v>285</v>
      </c>
      <c r="G2043" t="s">
        <v>63</v>
      </c>
      <c r="H2043" t="s">
        <v>286</v>
      </c>
      <c r="J2043" t="s">
        <v>196</v>
      </c>
      <c r="K2043" t="s">
        <v>250</v>
      </c>
      <c r="L2043">
        <v>2</v>
      </c>
      <c r="M2043" t="s">
        <v>251</v>
      </c>
      <c r="N2043" t="s">
        <v>1313</v>
      </c>
    </row>
    <row r="2044" spans="1:16" hidden="1" x14ac:dyDescent="0.25">
      <c r="A2044" s="16">
        <v>45748</v>
      </c>
      <c r="B2044" t="s">
        <v>35</v>
      </c>
      <c r="C2044">
        <v>12</v>
      </c>
      <c r="D2044" t="s">
        <v>291</v>
      </c>
      <c r="E2044" t="s">
        <v>292</v>
      </c>
      <c r="F2044" t="s">
        <v>285</v>
      </c>
      <c r="G2044" t="s">
        <v>63</v>
      </c>
      <c r="H2044" t="s">
        <v>64</v>
      </c>
      <c r="J2044" t="s">
        <v>196</v>
      </c>
      <c r="K2044" t="s">
        <v>250</v>
      </c>
      <c r="L2044">
        <v>1750000</v>
      </c>
      <c r="M2044" t="s">
        <v>242</v>
      </c>
      <c r="N2044" t="s">
        <v>1100</v>
      </c>
    </row>
    <row r="2045" spans="1:16" hidden="1" x14ac:dyDescent="0.25">
      <c r="A2045" s="16">
        <v>45748</v>
      </c>
      <c r="B2045" t="s">
        <v>35</v>
      </c>
      <c r="C2045">
        <v>12</v>
      </c>
      <c r="D2045" t="s">
        <v>291</v>
      </c>
      <c r="E2045" t="s">
        <v>292</v>
      </c>
      <c r="F2045" t="s">
        <v>285</v>
      </c>
      <c r="G2045" t="s">
        <v>63</v>
      </c>
      <c r="H2045" t="s">
        <v>65</v>
      </c>
      <c r="J2045" t="s">
        <v>196</v>
      </c>
      <c r="K2045" t="s">
        <v>250</v>
      </c>
      <c r="L2045">
        <v>68300</v>
      </c>
      <c r="M2045" t="s">
        <v>242</v>
      </c>
      <c r="N2045" t="s">
        <v>1673</v>
      </c>
    </row>
    <row r="2046" spans="1:16" hidden="1" x14ac:dyDescent="0.25">
      <c r="A2046" s="16">
        <v>45748</v>
      </c>
      <c r="B2046" t="s">
        <v>35</v>
      </c>
      <c r="C2046">
        <v>13</v>
      </c>
      <c r="D2046" t="s">
        <v>291</v>
      </c>
      <c r="E2046" t="s">
        <v>292</v>
      </c>
      <c r="F2046" t="s">
        <v>285</v>
      </c>
      <c r="G2046" t="s">
        <v>63</v>
      </c>
      <c r="H2046" t="s">
        <v>67</v>
      </c>
      <c r="J2046" t="s">
        <v>196</v>
      </c>
      <c r="K2046" t="s">
        <v>250</v>
      </c>
      <c r="L2046">
        <v>640000</v>
      </c>
      <c r="M2046" t="s">
        <v>242</v>
      </c>
      <c r="N2046" t="s">
        <v>1674</v>
      </c>
    </row>
    <row r="2047" spans="1:16" hidden="1" x14ac:dyDescent="0.25">
      <c r="A2047" s="16">
        <v>45748</v>
      </c>
      <c r="B2047" t="s">
        <v>35</v>
      </c>
      <c r="C2047">
        <v>13</v>
      </c>
      <c r="D2047" t="s">
        <v>291</v>
      </c>
      <c r="E2047" t="s">
        <v>292</v>
      </c>
      <c r="F2047" t="s">
        <v>285</v>
      </c>
      <c r="G2047" t="s">
        <v>63</v>
      </c>
      <c r="H2047" t="s">
        <v>68</v>
      </c>
      <c r="J2047" t="s">
        <v>196</v>
      </c>
      <c r="K2047" t="s">
        <v>250</v>
      </c>
      <c r="L2047">
        <v>1130000</v>
      </c>
      <c r="M2047" t="s">
        <v>242</v>
      </c>
      <c r="N2047" t="s">
        <v>1675</v>
      </c>
    </row>
    <row r="2048" spans="1:16" x14ac:dyDescent="0.25">
      <c r="A2048" s="16">
        <v>45748</v>
      </c>
      <c r="B2048" t="s">
        <v>35</v>
      </c>
      <c r="C2048">
        <v>14</v>
      </c>
      <c r="D2048" t="s">
        <v>291</v>
      </c>
      <c r="E2048" t="s">
        <v>292</v>
      </c>
      <c r="F2048" t="s">
        <v>285</v>
      </c>
      <c r="G2048" t="s">
        <v>63</v>
      </c>
      <c r="H2048" t="s">
        <v>77</v>
      </c>
      <c r="J2048" t="s">
        <v>196</v>
      </c>
      <c r="K2048" t="s">
        <v>250</v>
      </c>
      <c r="L2048">
        <v>8000</v>
      </c>
      <c r="M2048" t="s">
        <v>242</v>
      </c>
      <c r="N2048" t="s">
        <v>1680</v>
      </c>
    </row>
    <row r="2049" spans="1:16" x14ac:dyDescent="0.25">
      <c r="A2049" s="16">
        <v>45748</v>
      </c>
      <c r="B2049" t="s">
        <v>35</v>
      </c>
      <c r="C2049">
        <v>14</v>
      </c>
      <c r="D2049" t="s">
        <v>291</v>
      </c>
      <c r="E2049" t="s">
        <v>292</v>
      </c>
      <c r="F2049" t="s">
        <v>285</v>
      </c>
      <c r="G2049" t="s">
        <v>63</v>
      </c>
      <c r="H2049" t="s">
        <v>70</v>
      </c>
      <c r="J2049" t="s">
        <v>196</v>
      </c>
      <c r="K2049" t="s">
        <v>250</v>
      </c>
      <c r="L2049">
        <v>667000</v>
      </c>
      <c r="M2049" t="s">
        <v>242</v>
      </c>
      <c r="N2049" t="s">
        <v>1057</v>
      </c>
    </row>
    <row r="2050" spans="1:16" x14ac:dyDescent="0.25">
      <c r="A2050" s="16">
        <v>45748</v>
      </c>
      <c r="B2050" t="s">
        <v>35</v>
      </c>
      <c r="C2050">
        <v>14</v>
      </c>
      <c r="D2050" t="s">
        <v>291</v>
      </c>
      <c r="E2050" t="s">
        <v>292</v>
      </c>
      <c r="F2050" t="s">
        <v>285</v>
      </c>
      <c r="G2050" t="s">
        <v>63</v>
      </c>
      <c r="H2050" t="s">
        <v>71</v>
      </c>
      <c r="J2050" t="s">
        <v>196</v>
      </c>
      <c r="K2050" t="s">
        <v>250</v>
      </c>
      <c r="L2050">
        <v>474000</v>
      </c>
      <c r="M2050" t="s">
        <v>242</v>
      </c>
      <c r="N2050" t="s">
        <v>347</v>
      </c>
    </row>
    <row r="2051" spans="1:16" x14ac:dyDescent="0.25">
      <c r="A2051" s="16">
        <v>45748</v>
      </c>
      <c r="B2051" t="s">
        <v>35</v>
      </c>
      <c r="C2051">
        <v>14</v>
      </c>
      <c r="D2051" t="s">
        <v>291</v>
      </c>
      <c r="E2051" t="s">
        <v>292</v>
      </c>
      <c r="F2051" t="s">
        <v>285</v>
      </c>
      <c r="G2051" t="s">
        <v>63</v>
      </c>
      <c r="H2051" t="s">
        <v>72</v>
      </c>
      <c r="J2051" t="s">
        <v>196</v>
      </c>
      <c r="K2051" t="s">
        <v>250</v>
      </c>
      <c r="L2051">
        <v>318000</v>
      </c>
      <c r="M2051" t="s">
        <v>242</v>
      </c>
      <c r="N2051" t="s">
        <v>1059</v>
      </c>
    </row>
    <row r="2052" spans="1:16" x14ac:dyDescent="0.25">
      <c r="A2052" s="63">
        <v>45748</v>
      </c>
      <c r="B2052" s="65" t="s">
        <v>35</v>
      </c>
      <c r="C2052" s="65">
        <v>14</v>
      </c>
      <c r="D2052" s="65" t="s">
        <v>291</v>
      </c>
      <c r="E2052" s="65" t="s">
        <v>292</v>
      </c>
      <c r="F2052" s="65" t="s">
        <v>285</v>
      </c>
      <c r="G2052" s="65" t="s">
        <v>63</v>
      </c>
      <c r="H2052" s="65" t="s">
        <v>73</v>
      </c>
      <c r="I2052" s="65"/>
      <c r="J2052" s="65" t="s">
        <v>196</v>
      </c>
      <c r="K2052" s="65" t="s">
        <v>250</v>
      </c>
      <c r="L2052" s="65">
        <v>195000</v>
      </c>
      <c r="M2052" s="65" t="s">
        <v>242</v>
      </c>
      <c r="N2052" s="65" t="s">
        <v>1676</v>
      </c>
    </row>
    <row r="2053" spans="1:16" x14ac:dyDescent="0.25">
      <c r="A2053" s="63">
        <v>45748</v>
      </c>
      <c r="B2053" s="65" t="s">
        <v>35</v>
      </c>
      <c r="C2053" s="65">
        <v>14</v>
      </c>
      <c r="D2053" s="65" t="s">
        <v>291</v>
      </c>
      <c r="E2053" s="65" t="s">
        <v>292</v>
      </c>
      <c r="F2053" s="65" t="s">
        <v>285</v>
      </c>
      <c r="G2053" s="65" t="s">
        <v>63</v>
      </c>
      <c r="H2053" s="65" t="s">
        <v>74</v>
      </c>
      <c r="I2053" s="65"/>
      <c r="J2053" s="65" t="s">
        <v>196</v>
      </c>
      <c r="K2053" s="65" t="s">
        <v>250</v>
      </c>
      <c r="L2053" s="65">
        <v>88000</v>
      </c>
      <c r="M2053" s="65" t="s">
        <v>242</v>
      </c>
      <c r="N2053" s="65" t="s">
        <v>1677</v>
      </c>
    </row>
    <row r="2054" spans="1:16" x14ac:dyDescent="0.25">
      <c r="A2054" s="63">
        <v>45748</v>
      </c>
      <c r="B2054" s="65" t="s">
        <v>35</v>
      </c>
      <c r="C2054" s="65">
        <v>14</v>
      </c>
      <c r="D2054" s="65" t="s">
        <v>291</v>
      </c>
      <c r="E2054" s="65" t="s">
        <v>292</v>
      </c>
      <c r="F2054" s="65" t="s">
        <v>285</v>
      </c>
      <c r="G2054" s="65" t="s">
        <v>63</v>
      </c>
      <c r="H2054" s="65" t="s">
        <v>75</v>
      </c>
      <c r="I2054" s="65"/>
      <c r="J2054" s="65" t="s">
        <v>196</v>
      </c>
      <c r="K2054" s="65" t="s">
        <v>250</v>
      </c>
      <c r="L2054" s="65">
        <v>23000</v>
      </c>
      <c r="M2054" s="65" t="s">
        <v>242</v>
      </c>
      <c r="N2054" s="65" t="s">
        <v>1678</v>
      </c>
    </row>
    <row r="2055" spans="1:16" x14ac:dyDescent="0.25">
      <c r="A2055" s="63">
        <v>45748</v>
      </c>
      <c r="B2055" s="65" t="s">
        <v>35</v>
      </c>
      <c r="C2055" s="65">
        <v>14</v>
      </c>
      <c r="D2055" s="65" t="s">
        <v>291</v>
      </c>
      <c r="E2055" s="65" t="s">
        <v>292</v>
      </c>
      <c r="F2055" s="65" t="s">
        <v>285</v>
      </c>
      <c r="G2055" s="65" t="s">
        <v>63</v>
      </c>
      <c r="H2055" s="65" t="s">
        <v>76</v>
      </c>
      <c r="I2055" s="65"/>
      <c r="J2055" s="65" t="s">
        <v>196</v>
      </c>
      <c r="K2055" s="65" t="s">
        <v>250</v>
      </c>
      <c r="L2055" s="65">
        <v>5000</v>
      </c>
      <c r="M2055" s="65" t="s">
        <v>242</v>
      </c>
      <c r="N2055" s="65" t="s">
        <v>1679</v>
      </c>
    </row>
    <row r="2056" spans="1:16" hidden="1" x14ac:dyDescent="0.25">
      <c r="A2056" s="16">
        <v>45748</v>
      </c>
      <c r="B2056" t="s">
        <v>35</v>
      </c>
      <c r="C2056">
        <v>15</v>
      </c>
      <c r="D2056" t="s">
        <v>291</v>
      </c>
      <c r="E2056" t="s">
        <v>292</v>
      </c>
      <c r="F2056" t="s">
        <v>285</v>
      </c>
      <c r="G2056" t="s">
        <v>63</v>
      </c>
      <c r="H2056" t="s">
        <v>79</v>
      </c>
      <c r="J2056" t="s">
        <v>196</v>
      </c>
      <c r="K2056" t="s">
        <v>250</v>
      </c>
      <c r="L2056">
        <v>1780000</v>
      </c>
      <c r="M2056" t="s">
        <v>242</v>
      </c>
      <c r="N2056" t="s">
        <v>1650</v>
      </c>
    </row>
    <row r="2057" spans="1:16" hidden="1" x14ac:dyDescent="0.25">
      <c r="A2057" s="16">
        <v>45748</v>
      </c>
      <c r="B2057" t="s">
        <v>35</v>
      </c>
      <c r="C2057">
        <v>15</v>
      </c>
      <c r="D2057" t="s">
        <v>291</v>
      </c>
      <c r="E2057" t="s">
        <v>292</v>
      </c>
      <c r="F2057" t="s">
        <v>285</v>
      </c>
      <c r="G2057" t="s">
        <v>63</v>
      </c>
      <c r="H2057" t="s">
        <v>80</v>
      </c>
      <c r="J2057" t="s">
        <v>196</v>
      </c>
      <c r="K2057" t="s">
        <v>250</v>
      </c>
      <c r="L2057">
        <v>35000</v>
      </c>
      <c r="M2057" t="s">
        <v>242</v>
      </c>
      <c r="N2057" t="s">
        <v>1681</v>
      </c>
    </row>
    <row r="2058" spans="1:16" hidden="1" x14ac:dyDescent="0.25">
      <c r="A2058" s="16">
        <v>45748</v>
      </c>
      <c r="B2058" t="s">
        <v>35</v>
      </c>
      <c r="C2058">
        <v>16</v>
      </c>
      <c r="D2058" t="s">
        <v>253</v>
      </c>
      <c r="E2058" t="s">
        <v>248</v>
      </c>
      <c r="F2058" t="s">
        <v>240</v>
      </c>
      <c r="G2058" t="s">
        <v>82</v>
      </c>
      <c r="J2058" t="s">
        <v>194</v>
      </c>
      <c r="K2058" t="s">
        <v>255</v>
      </c>
      <c r="L2058">
        <v>9900000</v>
      </c>
      <c r="M2058" t="s">
        <v>242</v>
      </c>
      <c r="N2058" t="s">
        <v>1330</v>
      </c>
      <c r="O2058">
        <v>1</v>
      </c>
      <c r="P2058" t="s">
        <v>257</v>
      </c>
    </row>
    <row r="2059" spans="1:16" hidden="1" x14ac:dyDescent="0.25">
      <c r="A2059" s="16">
        <v>45748</v>
      </c>
      <c r="B2059" t="s">
        <v>35</v>
      </c>
      <c r="C2059">
        <v>16</v>
      </c>
      <c r="D2059" t="s">
        <v>253</v>
      </c>
      <c r="E2059" t="s">
        <v>248</v>
      </c>
      <c r="F2059" t="s">
        <v>240</v>
      </c>
      <c r="G2059" t="s">
        <v>82</v>
      </c>
      <c r="J2059" t="s">
        <v>195</v>
      </c>
      <c r="K2059" t="s">
        <v>255</v>
      </c>
      <c r="L2059">
        <v>12110000</v>
      </c>
      <c r="M2059" t="s">
        <v>242</v>
      </c>
      <c r="N2059" t="s">
        <v>1509</v>
      </c>
      <c r="O2059">
        <v>1</v>
      </c>
      <c r="P2059" t="s">
        <v>257</v>
      </c>
    </row>
    <row r="2060" spans="1:16" hidden="1" x14ac:dyDescent="0.25">
      <c r="A2060" s="16">
        <v>45748</v>
      </c>
      <c r="B2060" t="s">
        <v>35</v>
      </c>
      <c r="C2060">
        <v>16</v>
      </c>
      <c r="D2060" t="s">
        <v>253</v>
      </c>
      <c r="E2060" t="s">
        <v>248</v>
      </c>
      <c r="F2060" t="s">
        <v>240</v>
      </c>
      <c r="G2060" t="s">
        <v>82</v>
      </c>
      <c r="J2060" t="s">
        <v>196</v>
      </c>
      <c r="K2060" t="s">
        <v>255</v>
      </c>
      <c r="L2060">
        <v>11520000</v>
      </c>
      <c r="M2060" t="s">
        <v>242</v>
      </c>
      <c r="N2060" t="s">
        <v>1682</v>
      </c>
      <c r="O2060">
        <v>1</v>
      </c>
      <c r="P2060" t="s">
        <v>261</v>
      </c>
    </row>
    <row r="2061" spans="1:16" hidden="1" x14ac:dyDescent="0.25">
      <c r="A2061" s="16">
        <v>45748</v>
      </c>
      <c r="B2061" t="s">
        <v>35</v>
      </c>
      <c r="C2061">
        <v>16</v>
      </c>
      <c r="D2061" t="s">
        <v>247</v>
      </c>
      <c r="E2061" t="s">
        <v>248</v>
      </c>
      <c r="F2061" t="s">
        <v>240</v>
      </c>
      <c r="G2061" t="s">
        <v>82</v>
      </c>
      <c r="H2061" t="s">
        <v>249</v>
      </c>
      <c r="J2061" t="s">
        <v>196</v>
      </c>
      <c r="K2061" t="s">
        <v>250</v>
      </c>
      <c r="L2061">
        <v>4.9000000000000004</v>
      </c>
      <c r="M2061" t="s">
        <v>251</v>
      </c>
      <c r="N2061" t="s">
        <v>896</v>
      </c>
    </row>
    <row r="2062" spans="1:16" hidden="1" x14ac:dyDescent="0.25">
      <c r="A2062" s="16">
        <v>45748</v>
      </c>
      <c r="B2062" t="s">
        <v>35</v>
      </c>
      <c r="C2062">
        <v>17</v>
      </c>
      <c r="D2062" t="s">
        <v>291</v>
      </c>
      <c r="E2062" t="s">
        <v>292</v>
      </c>
      <c r="F2062" t="s">
        <v>240</v>
      </c>
      <c r="G2062" t="s">
        <v>82</v>
      </c>
      <c r="H2062" t="s">
        <v>83</v>
      </c>
      <c r="J2062" t="s">
        <v>196</v>
      </c>
      <c r="K2062" t="s">
        <v>250</v>
      </c>
      <c r="L2062">
        <v>9780000</v>
      </c>
      <c r="M2062" t="s">
        <v>242</v>
      </c>
      <c r="N2062" t="s">
        <v>1683</v>
      </c>
    </row>
    <row r="2063" spans="1:16" hidden="1" x14ac:dyDescent="0.25">
      <c r="A2063" s="16">
        <v>45748</v>
      </c>
      <c r="B2063" t="s">
        <v>35</v>
      </c>
      <c r="C2063">
        <v>17</v>
      </c>
      <c r="D2063" t="s">
        <v>291</v>
      </c>
      <c r="E2063" t="s">
        <v>292</v>
      </c>
      <c r="F2063" t="s">
        <v>240</v>
      </c>
      <c r="G2063" t="s">
        <v>82</v>
      </c>
      <c r="H2063" t="s">
        <v>84</v>
      </c>
      <c r="J2063" t="s">
        <v>196</v>
      </c>
      <c r="K2063" t="s">
        <v>250</v>
      </c>
      <c r="L2063">
        <v>1740000</v>
      </c>
      <c r="M2063" t="s">
        <v>242</v>
      </c>
      <c r="N2063" t="s">
        <v>1473</v>
      </c>
    </row>
    <row r="2064" spans="1:16" hidden="1" x14ac:dyDescent="0.25">
      <c r="A2064" s="16">
        <v>45748</v>
      </c>
      <c r="B2064" t="s">
        <v>35</v>
      </c>
      <c r="C2064">
        <v>18</v>
      </c>
      <c r="D2064" t="s">
        <v>291</v>
      </c>
      <c r="E2064" t="s">
        <v>292</v>
      </c>
      <c r="F2064" t="s">
        <v>240</v>
      </c>
      <c r="G2064" t="s">
        <v>82</v>
      </c>
      <c r="H2064" t="s">
        <v>83</v>
      </c>
      <c r="I2064" t="s">
        <v>313</v>
      </c>
      <c r="J2064" t="s">
        <v>196</v>
      </c>
      <c r="K2064" t="s">
        <v>250</v>
      </c>
      <c r="L2064">
        <v>3.4</v>
      </c>
      <c r="M2064" t="s">
        <v>251</v>
      </c>
      <c r="N2064" t="s">
        <v>314</v>
      </c>
    </row>
    <row r="2065" spans="1:16" hidden="1" x14ac:dyDescent="0.25">
      <c r="A2065" s="16">
        <v>45748</v>
      </c>
      <c r="B2065" t="s">
        <v>35</v>
      </c>
      <c r="C2065">
        <v>18</v>
      </c>
      <c r="D2065" t="s">
        <v>291</v>
      </c>
      <c r="E2065" t="s">
        <v>292</v>
      </c>
      <c r="F2065" t="s">
        <v>240</v>
      </c>
      <c r="G2065" t="s">
        <v>82</v>
      </c>
      <c r="H2065" t="s">
        <v>83</v>
      </c>
      <c r="I2065" t="s">
        <v>315</v>
      </c>
      <c r="J2065" t="s">
        <v>196</v>
      </c>
      <c r="K2065" t="s">
        <v>250</v>
      </c>
      <c r="L2065">
        <v>85.3</v>
      </c>
      <c r="M2065" t="s">
        <v>251</v>
      </c>
      <c r="N2065" t="s">
        <v>1684</v>
      </c>
    </row>
    <row r="2066" spans="1:16" hidden="1" x14ac:dyDescent="0.25">
      <c r="A2066" s="16">
        <v>45748</v>
      </c>
      <c r="B2066" t="s">
        <v>35</v>
      </c>
      <c r="C2066">
        <v>18</v>
      </c>
      <c r="D2066" t="s">
        <v>291</v>
      </c>
      <c r="E2066" t="s">
        <v>292</v>
      </c>
      <c r="F2066" t="s">
        <v>240</v>
      </c>
      <c r="G2066" t="s">
        <v>82</v>
      </c>
      <c r="H2066" t="s">
        <v>83</v>
      </c>
      <c r="I2066" t="s">
        <v>317</v>
      </c>
      <c r="J2066" t="s">
        <v>196</v>
      </c>
      <c r="K2066" t="s">
        <v>250</v>
      </c>
      <c r="L2066">
        <v>11.2</v>
      </c>
      <c r="M2066" t="s">
        <v>251</v>
      </c>
      <c r="N2066" t="s">
        <v>961</v>
      </c>
    </row>
    <row r="2067" spans="1:16" hidden="1" x14ac:dyDescent="0.25">
      <c r="A2067" s="16">
        <v>45748</v>
      </c>
      <c r="B2067" t="s">
        <v>35</v>
      </c>
      <c r="C2067">
        <v>18</v>
      </c>
      <c r="D2067" t="s">
        <v>291</v>
      </c>
      <c r="E2067" t="s">
        <v>292</v>
      </c>
      <c r="F2067" t="s">
        <v>240</v>
      </c>
      <c r="G2067" t="s">
        <v>82</v>
      </c>
      <c r="H2067" t="s">
        <v>84</v>
      </c>
      <c r="I2067" t="s">
        <v>319</v>
      </c>
      <c r="J2067" t="s">
        <v>196</v>
      </c>
      <c r="K2067" t="s">
        <v>250</v>
      </c>
      <c r="L2067">
        <v>99.3</v>
      </c>
      <c r="M2067" t="s">
        <v>251</v>
      </c>
      <c r="N2067" t="s">
        <v>1685</v>
      </c>
    </row>
    <row r="2068" spans="1:16" hidden="1" x14ac:dyDescent="0.25">
      <c r="A2068" s="16">
        <v>45748</v>
      </c>
      <c r="B2068" t="s">
        <v>35</v>
      </c>
      <c r="C2068">
        <v>18</v>
      </c>
      <c r="D2068" t="s">
        <v>291</v>
      </c>
      <c r="E2068" t="s">
        <v>292</v>
      </c>
      <c r="F2068" t="s">
        <v>240</v>
      </c>
      <c r="G2068" t="s">
        <v>82</v>
      </c>
      <c r="H2068" t="s">
        <v>84</v>
      </c>
      <c r="I2068" t="s">
        <v>321</v>
      </c>
      <c r="J2068" t="s">
        <v>196</v>
      </c>
      <c r="K2068" t="s">
        <v>250</v>
      </c>
      <c r="L2068">
        <v>0.7</v>
      </c>
      <c r="M2068" t="s">
        <v>251</v>
      </c>
      <c r="N2068" t="s">
        <v>810</v>
      </c>
    </row>
    <row r="2069" spans="1:16" hidden="1" x14ac:dyDescent="0.25">
      <c r="A2069" s="16">
        <v>45748</v>
      </c>
      <c r="B2069" t="s">
        <v>35</v>
      </c>
      <c r="C2069">
        <v>19</v>
      </c>
      <c r="D2069" t="s">
        <v>253</v>
      </c>
      <c r="E2069" t="s">
        <v>248</v>
      </c>
      <c r="F2069" t="s">
        <v>244</v>
      </c>
      <c r="G2069" t="s">
        <v>82</v>
      </c>
      <c r="J2069" t="s">
        <v>194</v>
      </c>
      <c r="K2069" t="s">
        <v>255</v>
      </c>
      <c r="L2069">
        <v>1280000000</v>
      </c>
      <c r="M2069" t="s">
        <v>245</v>
      </c>
      <c r="N2069" t="s">
        <v>1334</v>
      </c>
      <c r="O2069">
        <v>1</v>
      </c>
      <c r="P2069" t="s">
        <v>257</v>
      </c>
    </row>
    <row r="2070" spans="1:16" hidden="1" x14ac:dyDescent="0.25">
      <c r="A2070" s="16">
        <v>45748</v>
      </c>
      <c r="B2070" t="s">
        <v>35</v>
      </c>
      <c r="C2070">
        <v>19</v>
      </c>
      <c r="D2070" t="s">
        <v>253</v>
      </c>
      <c r="E2070" t="s">
        <v>248</v>
      </c>
      <c r="F2070" t="s">
        <v>244</v>
      </c>
      <c r="G2070" t="s">
        <v>82</v>
      </c>
      <c r="J2070" t="s">
        <v>195</v>
      </c>
      <c r="K2070" t="s">
        <v>255</v>
      </c>
      <c r="L2070">
        <v>1560000000</v>
      </c>
      <c r="M2070" t="s">
        <v>245</v>
      </c>
      <c r="N2070" t="s">
        <v>1513</v>
      </c>
      <c r="O2070">
        <v>1</v>
      </c>
      <c r="P2070" t="s">
        <v>257</v>
      </c>
    </row>
    <row r="2071" spans="1:16" hidden="1" x14ac:dyDescent="0.25">
      <c r="A2071" s="16">
        <v>45748</v>
      </c>
      <c r="B2071" t="s">
        <v>35</v>
      </c>
      <c r="C2071">
        <v>19</v>
      </c>
      <c r="D2071" t="s">
        <v>253</v>
      </c>
      <c r="E2071" t="s">
        <v>248</v>
      </c>
      <c r="F2071" t="s">
        <v>244</v>
      </c>
      <c r="G2071" t="s">
        <v>82</v>
      </c>
      <c r="J2071" t="s">
        <v>196</v>
      </c>
      <c r="K2071" t="s">
        <v>255</v>
      </c>
      <c r="L2071">
        <v>1480000000</v>
      </c>
      <c r="M2071" t="s">
        <v>245</v>
      </c>
      <c r="N2071" t="s">
        <v>1686</v>
      </c>
      <c r="O2071">
        <v>1</v>
      </c>
      <c r="P2071" t="s">
        <v>261</v>
      </c>
    </row>
    <row r="2072" spans="1:16" hidden="1" x14ac:dyDescent="0.25">
      <c r="A2072" s="16">
        <v>45748</v>
      </c>
      <c r="B2072" t="s">
        <v>35</v>
      </c>
      <c r="C2072">
        <v>19</v>
      </c>
      <c r="D2072" t="s">
        <v>247</v>
      </c>
      <c r="E2072" t="s">
        <v>248</v>
      </c>
      <c r="F2072" t="s">
        <v>244</v>
      </c>
      <c r="G2072" t="s">
        <v>82</v>
      </c>
      <c r="H2072" t="s">
        <v>249</v>
      </c>
      <c r="J2072" t="s">
        <v>196</v>
      </c>
      <c r="K2072" t="s">
        <v>250</v>
      </c>
      <c r="L2072">
        <v>5.0999999999999996</v>
      </c>
      <c r="M2072" t="s">
        <v>251</v>
      </c>
      <c r="N2072" t="s">
        <v>1687</v>
      </c>
    </row>
    <row r="2073" spans="1:16" hidden="1" x14ac:dyDescent="0.25">
      <c r="A2073" s="16">
        <v>45748</v>
      </c>
      <c r="B2073" t="s">
        <v>35</v>
      </c>
      <c r="C2073">
        <v>20</v>
      </c>
      <c r="D2073" t="s">
        <v>291</v>
      </c>
      <c r="E2073" t="s">
        <v>292</v>
      </c>
      <c r="F2073" t="s">
        <v>244</v>
      </c>
      <c r="G2073" t="s">
        <v>82</v>
      </c>
      <c r="H2073" t="s">
        <v>83</v>
      </c>
      <c r="J2073" t="s">
        <v>196</v>
      </c>
      <c r="K2073" t="s">
        <v>250</v>
      </c>
      <c r="L2073">
        <v>1170000000</v>
      </c>
      <c r="M2073" t="s">
        <v>245</v>
      </c>
      <c r="N2073" t="s">
        <v>1688</v>
      </c>
    </row>
    <row r="2074" spans="1:16" hidden="1" x14ac:dyDescent="0.25">
      <c r="A2074" s="16">
        <v>45748</v>
      </c>
      <c r="B2074" t="s">
        <v>35</v>
      </c>
      <c r="C2074">
        <v>20</v>
      </c>
      <c r="D2074" t="s">
        <v>291</v>
      </c>
      <c r="E2074" t="s">
        <v>292</v>
      </c>
      <c r="F2074" t="s">
        <v>244</v>
      </c>
      <c r="G2074" t="s">
        <v>82</v>
      </c>
      <c r="H2074" t="s">
        <v>84</v>
      </c>
      <c r="J2074" t="s">
        <v>196</v>
      </c>
      <c r="K2074" t="s">
        <v>250</v>
      </c>
      <c r="L2074">
        <v>312800000</v>
      </c>
      <c r="M2074" t="s">
        <v>245</v>
      </c>
      <c r="N2074" t="s">
        <v>1689</v>
      </c>
    </row>
    <row r="2075" spans="1:16" hidden="1" x14ac:dyDescent="0.25">
      <c r="A2075" s="16">
        <v>45748</v>
      </c>
      <c r="B2075" t="s">
        <v>35</v>
      </c>
      <c r="C2075">
        <v>21</v>
      </c>
      <c r="D2075" t="s">
        <v>291</v>
      </c>
      <c r="E2075" t="s">
        <v>292</v>
      </c>
      <c r="F2075" t="s">
        <v>244</v>
      </c>
      <c r="G2075" t="s">
        <v>82</v>
      </c>
      <c r="H2075" t="s">
        <v>83</v>
      </c>
      <c r="I2075" t="s">
        <v>313</v>
      </c>
      <c r="J2075" t="s">
        <v>196</v>
      </c>
      <c r="K2075" t="s">
        <v>250</v>
      </c>
      <c r="L2075">
        <v>5.5</v>
      </c>
      <c r="M2075" t="s">
        <v>251</v>
      </c>
      <c r="N2075" t="s">
        <v>1690</v>
      </c>
    </row>
    <row r="2076" spans="1:16" hidden="1" x14ac:dyDescent="0.25">
      <c r="A2076" s="16">
        <v>45748</v>
      </c>
      <c r="B2076" t="s">
        <v>35</v>
      </c>
      <c r="C2076">
        <v>21</v>
      </c>
      <c r="D2076" t="s">
        <v>291</v>
      </c>
      <c r="E2076" t="s">
        <v>292</v>
      </c>
      <c r="F2076" t="s">
        <v>244</v>
      </c>
      <c r="G2076" t="s">
        <v>82</v>
      </c>
      <c r="H2076" t="s">
        <v>83</v>
      </c>
      <c r="I2076" t="s">
        <v>315</v>
      </c>
      <c r="J2076" t="s">
        <v>196</v>
      </c>
      <c r="K2076" t="s">
        <v>250</v>
      </c>
      <c r="L2076">
        <v>71.599999999999994</v>
      </c>
      <c r="M2076" t="s">
        <v>251</v>
      </c>
      <c r="N2076" t="s">
        <v>1691</v>
      </c>
    </row>
    <row r="2077" spans="1:16" hidden="1" x14ac:dyDescent="0.25">
      <c r="A2077" s="16">
        <v>45748</v>
      </c>
      <c r="B2077" t="s">
        <v>35</v>
      </c>
      <c r="C2077">
        <v>21</v>
      </c>
      <c r="D2077" t="s">
        <v>291</v>
      </c>
      <c r="E2077" t="s">
        <v>292</v>
      </c>
      <c r="F2077" t="s">
        <v>244</v>
      </c>
      <c r="G2077" t="s">
        <v>82</v>
      </c>
      <c r="H2077" t="s">
        <v>83</v>
      </c>
      <c r="I2077" t="s">
        <v>317</v>
      </c>
      <c r="J2077" t="s">
        <v>196</v>
      </c>
      <c r="K2077" t="s">
        <v>250</v>
      </c>
      <c r="L2077">
        <v>22.9</v>
      </c>
      <c r="M2077" t="s">
        <v>251</v>
      </c>
      <c r="N2077" t="s">
        <v>1574</v>
      </c>
    </row>
    <row r="2078" spans="1:16" hidden="1" x14ac:dyDescent="0.25">
      <c r="A2078" s="16">
        <v>45748</v>
      </c>
      <c r="B2078" t="s">
        <v>35</v>
      </c>
      <c r="C2078">
        <v>21</v>
      </c>
      <c r="D2078" t="s">
        <v>291</v>
      </c>
      <c r="E2078" t="s">
        <v>292</v>
      </c>
      <c r="F2078" t="s">
        <v>244</v>
      </c>
      <c r="G2078" t="s">
        <v>82</v>
      </c>
      <c r="H2078" t="s">
        <v>84</v>
      </c>
      <c r="I2078" t="s">
        <v>319</v>
      </c>
      <c r="J2078" t="s">
        <v>196</v>
      </c>
      <c r="K2078" t="s">
        <v>250</v>
      </c>
      <c r="L2078">
        <v>99.92</v>
      </c>
      <c r="M2078" t="s">
        <v>251</v>
      </c>
      <c r="N2078" t="s">
        <v>332</v>
      </c>
    </row>
    <row r="2079" spans="1:16" hidden="1" x14ac:dyDescent="0.25">
      <c r="A2079" s="16">
        <v>45748</v>
      </c>
      <c r="B2079" t="s">
        <v>35</v>
      </c>
      <c r="C2079">
        <v>21</v>
      </c>
      <c r="D2079" t="s">
        <v>291</v>
      </c>
      <c r="E2079" t="s">
        <v>292</v>
      </c>
      <c r="F2079" t="s">
        <v>244</v>
      </c>
      <c r="G2079" t="s">
        <v>82</v>
      </c>
      <c r="H2079" t="s">
        <v>84</v>
      </c>
      <c r="I2079" t="s">
        <v>321</v>
      </c>
      <c r="J2079" t="s">
        <v>196</v>
      </c>
      <c r="K2079" t="s">
        <v>250</v>
      </c>
      <c r="L2079">
        <v>0.08</v>
      </c>
      <c r="M2079" t="s">
        <v>251</v>
      </c>
      <c r="N2079" t="s">
        <v>333</v>
      </c>
    </row>
    <row r="2080" spans="1:16" hidden="1" x14ac:dyDescent="0.25">
      <c r="A2080" s="16">
        <v>45748</v>
      </c>
      <c r="B2080" t="s">
        <v>35</v>
      </c>
      <c r="C2080">
        <v>22</v>
      </c>
      <c r="D2080" t="s">
        <v>253</v>
      </c>
      <c r="E2080" t="s">
        <v>248</v>
      </c>
      <c r="F2080" t="s">
        <v>334</v>
      </c>
      <c r="G2080" t="s">
        <v>82</v>
      </c>
      <c r="J2080" t="s">
        <v>194</v>
      </c>
      <c r="K2080" t="s">
        <v>255</v>
      </c>
      <c r="L2080">
        <v>129</v>
      </c>
      <c r="M2080" t="s">
        <v>245</v>
      </c>
      <c r="N2080" t="s">
        <v>1148</v>
      </c>
      <c r="O2080">
        <v>1</v>
      </c>
      <c r="P2080" t="s">
        <v>257</v>
      </c>
    </row>
    <row r="2081" spans="1:17" hidden="1" x14ac:dyDescent="0.25">
      <c r="A2081" s="16">
        <v>45748</v>
      </c>
      <c r="B2081" t="s">
        <v>35</v>
      </c>
      <c r="C2081">
        <v>22</v>
      </c>
      <c r="D2081" t="s">
        <v>253</v>
      </c>
      <c r="E2081" t="s">
        <v>248</v>
      </c>
      <c r="F2081" t="s">
        <v>334</v>
      </c>
      <c r="G2081" t="s">
        <v>82</v>
      </c>
      <c r="J2081" t="s">
        <v>195</v>
      </c>
      <c r="K2081" t="s">
        <v>255</v>
      </c>
      <c r="L2081">
        <v>129</v>
      </c>
      <c r="M2081" t="s">
        <v>245</v>
      </c>
      <c r="N2081" t="s">
        <v>1148</v>
      </c>
      <c r="O2081">
        <v>1</v>
      </c>
      <c r="P2081" t="s">
        <v>257</v>
      </c>
    </row>
    <row r="2082" spans="1:17" hidden="1" x14ac:dyDescent="0.25">
      <c r="A2082" s="16">
        <v>45748</v>
      </c>
      <c r="B2082" t="s">
        <v>35</v>
      </c>
      <c r="C2082">
        <v>22</v>
      </c>
      <c r="D2082" t="s">
        <v>253</v>
      </c>
      <c r="E2082" t="s">
        <v>248</v>
      </c>
      <c r="F2082" t="s">
        <v>334</v>
      </c>
      <c r="G2082" t="s">
        <v>82</v>
      </c>
      <c r="J2082" t="s">
        <v>196</v>
      </c>
      <c r="K2082" t="s">
        <v>255</v>
      </c>
      <c r="L2082">
        <v>129</v>
      </c>
      <c r="M2082" t="s">
        <v>245</v>
      </c>
      <c r="N2082" t="s">
        <v>1148</v>
      </c>
      <c r="O2082">
        <v>1</v>
      </c>
      <c r="P2082" t="s">
        <v>261</v>
      </c>
    </row>
    <row r="2083" spans="1:17" hidden="1" x14ac:dyDescent="0.25">
      <c r="A2083" s="16">
        <v>45748</v>
      </c>
      <c r="B2083" t="s">
        <v>35</v>
      </c>
      <c r="C2083">
        <v>23</v>
      </c>
      <c r="D2083" t="s">
        <v>291</v>
      </c>
      <c r="E2083" t="s">
        <v>292</v>
      </c>
      <c r="F2083" t="s">
        <v>240</v>
      </c>
      <c r="G2083" t="s">
        <v>82</v>
      </c>
      <c r="H2083" t="s">
        <v>94</v>
      </c>
      <c r="J2083" t="s">
        <v>196</v>
      </c>
      <c r="K2083" t="s">
        <v>250</v>
      </c>
      <c r="L2083">
        <v>5160000</v>
      </c>
      <c r="M2083" t="s">
        <v>242</v>
      </c>
      <c r="N2083" t="s">
        <v>924</v>
      </c>
    </row>
    <row r="2084" spans="1:17" hidden="1" x14ac:dyDescent="0.25">
      <c r="A2084" s="16">
        <v>45748</v>
      </c>
      <c r="B2084" t="s">
        <v>35</v>
      </c>
      <c r="C2084">
        <v>23</v>
      </c>
      <c r="D2084" t="s">
        <v>291</v>
      </c>
      <c r="E2084" t="s">
        <v>292</v>
      </c>
      <c r="F2084" t="s">
        <v>240</v>
      </c>
      <c r="G2084" t="s">
        <v>82</v>
      </c>
      <c r="H2084" t="s">
        <v>95</v>
      </c>
      <c r="J2084" t="s">
        <v>196</v>
      </c>
      <c r="K2084" t="s">
        <v>250</v>
      </c>
      <c r="L2084">
        <v>1840000</v>
      </c>
      <c r="M2084" t="s">
        <v>242</v>
      </c>
      <c r="N2084" t="s">
        <v>1036</v>
      </c>
    </row>
    <row r="2085" spans="1:17" hidden="1" x14ac:dyDescent="0.25">
      <c r="A2085" s="16">
        <v>45748</v>
      </c>
      <c r="B2085" t="s">
        <v>35</v>
      </c>
      <c r="C2085">
        <v>24</v>
      </c>
      <c r="D2085" t="s">
        <v>291</v>
      </c>
      <c r="E2085" t="s">
        <v>292</v>
      </c>
      <c r="F2085" t="s">
        <v>244</v>
      </c>
      <c r="G2085" t="s">
        <v>82</v>
      </c>
      <c r="H2085" t="s">
        <v>94</v>
      </c>
      <c r="J2085" t="s">
        <v>196</v>
      </c>
      <c r="K2085" t="s">
        <v>250</v>
      </c>
      <c r="L2085">
        <v>802800000</v>
      </c>
      <c r="M2085" t="s">
        <v>245</v>
      </c>
      <c r="N2085" t="s">
        <v>1692</v>
      </c>
    </row>
    <row r="2086" spans="1:17" hidden="1" x14ac:dyDescent="0.25">
      <c r="A2086" s="16">
        <v>45748</v>
      </c>
      <c r="B2086" t="s">
        <v>35</v>
      </c>
      <c r="C2086">
        <v>24</v>
      </c>
      <c r="D2086" t="s">
        <v>291</v>
      </c>
      <c r="E2086" t="s">
        <v>292</v>
      </c>
      <c r="F2086" t="s">
        <v>244</v>
      </c>
      <c r="G2086" t="s">
        <v>82</v>
      </c>
      <c r="H2086" t="s">
        <v>95</v>
      </c>
      <c r="J2086" t="s">
        <v>196</v>
      </c>
      <c r="K2086" t="s">
        <v>250</v>
      </c>
      <c r="L2086">
        <v>207800000</v>
      </c>
      <c r="M2086" t="s">
        <v>245</v>
      </c>
      <c r="N2086" t="s">
        <v>1693</v>
      </c>
    </row>
    <row r="2087" spans="1:17" hidden="1" x14ac:dyDescent="0.25">
      <c r="A2087" s="16">
        <v>45748</v>
      </c>
      <c r="B2087" t="s">
        <v>156</v>
      </c>
      <c r="C2087">
        <v>78</v>
      </c>
      <c r="D2087" t="s">
        <v>238</v>
      </c>
      <c r="E2087" t="s">
        <v>239</v>
      </c>
      <c r="F2087" t="s">
        <v>240</v>
      </c>
      <c r="G2087" t="s">
        <v>158</v>
      </c>
      <c r="J2087" t="s">
        <v>196</v>
      </c>
      <c r="K2087" t="s">
        <v>241</v>
      </c>
      <c r="L2087">
        <v>2020000</v>
      </c>
      <c r="M2087" t="s">
        <v>242</v>
      </c>
      <c r="N2087" t="s">
        <v>1694</v>
      </c>
    </row>
    <row r="2088" spans="1:17" hidden="1" x14ac:dyDescent="0.25">
      <c r="A2088" s="16">
        <v>45748</v>
      </c>
      <c r="B2088" t="s">
        <v>156</v>
      </c>
      <c r="C2088">
        <v>78</v>
      </c>
      <c r="D2088" t="s">
        <v>238</v>
      </c>
      <c r="E2088" t="s">
        <v>239</v>
      </c>
      <c r="F2088" t="s">
        <v>244</v>
      </c>
      <c r="G2088" t="s">
        <v>158</v>
      </c>
      <c r="J2088" t="s">
        <v>196</v>
      </c>
      <c r="K2088" t="s">
        <v>241</v>
      </c>
      <c r="L2088">
        <v>13140000000</v>
      </c>
      <c r="M2088" t="s">
        <v>245</v>
      </c>
      <c r="N2088" t="s">
        <v>1695</v>
      </c>
    </row>
    <row r="2089" spans="1:17" hidden="1" x14ac:dyDescent="0.25">
      <c r="A2089" s="16">
        <v>45748</v>
      </c>
      <c r="B2089" t="s">
        <v>156</v>
      </c>
      <c r="C2089">
        <v>80</v>
      </c>
      <c r="D2089" t="s">
        <v>253</v>
      </c>
      <c r="E2089" t="s">
        <v>248</v>
      </c>
      <c r="F2089" t="s">
        <v>344</v>
      </c>
      <c r="G2089" t="s">
        <v>158</v>
      </c>
      <c r="J2089" t="s">
        <v>194</v>
      </c>
      <c r="K2089" t="s">
        <v>255</v>
      </c>
      <c r="L2089">
        <v>464000</v>
      </c>
      <c r="M2089" t="s">
        <v>242</v>
      </c>
      <c r="N2089" t="s">
        <v>1345</v>
      </c>
      <c r="O2089">
        <v>1</v>
      </c>
      <c r="P2089" t="s">
        <v>257</v>
      </c>
    </row>
    <row r="2090" spans="1:17" hidden="1" x14ac:dyDescent="0.25">
      <c r="A2090" s="16">
        <v>45748</v>
      </c>
      <c r="B2090" t="s">
        <v>156</v>
      </c>
      <c r="C2090">
        <v>80</v>
      </c>
      <c r="D2090" t="s">
        <v>253</v>
      </c>
      <c r="E2090" t="s">
        <v>248</v>
      </c>
      <c r="F2090" t="s">
        <v>344</v>
      </c>
      <c r="G2090" t="s">
        <v>158</v>
      </c>
      <c r="J2090" t="s">
        <v>195</v>
      </c>
      <c r="K2090" t="s">
        <v>255</v>
      </c>
      <c r="L2090">
        <v>491000</v>
      </c>
      <c r="M2090" t="s">
        <v>242</v>
      </c>
      <c r="N2090" t="s">
        <v>1522</v>
      </c>
      <c r="O2090">
        <v>1</v>
      </c>
      <c r="P2090" t="s">
        <v>257</v>
      </c>
    </row>
    <row r="2091" spans="1:17" hidden="1" x14ac:dyDescent="0.25">
      <c r="A2091" s="16">
        <v>45748</v>
      </c>
      <c r="B2091" t="s">
        <v>156</v>
      </c>
      <c r="C2091">
        <v>80</v>
      </c>
      <c r="D2091" t="s">
        <v>253</v>
      </c>
      <c r="E2091" t="s">
        <v>248</v>
      </c>
      <c r="F2091" t="s">
        <v>344</v>
      </c>
      <c r="G2091" t="s">
        <v>158</v>
      </c>
      <c r="J2091" t="s">
        <v>196</v>
      </c>
      <c r="K2091" t="s">
        <v>255</v>
      </c>
      <c r="L2091">
        <v>588000</v>
      </c>
      <c r="M2091" t="s">
        <v>242</v>
      </c>
      <c r="N2091" t="s">
        <v>1696</v>
      </c>
      <c r="O2091">
        <v>1</v>
      </c>
      <c r="P2091" t="s">
        <v>261</v>
      </c>
    </row>
    <row r="2092" spans="1:17" hidden="1" x14ac:dyDescent="0.25">
      <c r="A2092" s="16">
        <v>45748</v>
      </c>
      <c r="B2092" t="s">
        <v>156</v>
      </c>
      <c r="C2092">
        <v>80</v>
      </c>
      <c r="D2092" t="s">
        <v>247</v>
      </c>
      <c r="E2092" t="s">
        <v>248</v>
      </c>
      <c r="F2092" t="s">
        <v>344</v>
      </c>
      <c r="G2092" t="s">
        <v>158</v>
      </c>
      <c r="H2092" t="s">
        <v>286</v>
      </c>
      <c r="J2092" t="s">
        <v>196</v>
      </c>
      <c r="K2092" t="s">
        <v>250</v>
      </c>
      <c r="L2092">
        <v>19.600000000000001</v>
      </c>
      <c r="M2092" t="s">
        <v>251</v>
      </c>
      <c r="N2092" t="s">
        <v>1697</v>
      </c>
    </row>
    <row r="2093" spans="1:17" hidden="1" x14ac:dyDescent="0.25">
      <c r="A2093" s="16">
        <v>45748</v>
      </c>
      <c r="B2093" t="s">
        <v>156</v>
      </c>
      <c r="C2093">
        <v>81</v>
      </c>
      <c r="D2093" t="s">
        <v>253</v>
      </c>
      <c r="E2093" t="s">
        <v>248</v>
      </c>
      <c r="F2093" t="s">
        <v>349</v>
      </c>
      <c r="G2093" t="s">
        <v>158</v>
      </c>
      <c r="J2093" t="s">
        <v>194</v>
      </c>
      <c r="K2093" t="s">
        <v>255</v>
      </c>
      <c r="L2093">
        <v>14400</v>
      </c>
      <c r="M2093" t="s">
        <v>242</v>
      </c>
      <c r="N2093" t="s">
        <v>1347</v>
      </c>
      <c r="O2093">
        <v>1</v>
      </c>
      <c r="P2093" t="s">
        <v>257</v>
      </c>
    </row>
    <row r="2094" spans="1:17" hidden="1" x14ac:dyDescent="0.25">
      <c r="A2094" s="16">
        <v>45748</v>
      </c>
      <c r="B2094" t="s">
        <v>156</v>
      </c>
      <c r="C2094">
        <v>81</v>
      </c>
      <c r="D2094" t="s">
        <v>253</v>
      </c>
      <c r="E2094" t="s">
        <v>248</v>
      </c>
      <c r="F2094" t="s">
        <v>349</v>
      </c>
      <c r="G2094" t="s">
        <v>158</v>
      </c>
      <c r="J2094" t="s">
        <v>195</v>
      </c>
      <c r="K2094" t="s">
        <v>255</v>
      </c>
      <c r="L2094">
        <v>16400</v>
      </c>
      <c r="M2094" t="s">
        <v>242</v>
      </c>
      <c r="N2094" t="s">
        <v>1524</v>
      </c>
      <c r="O2094">
        <v>1</v>
      </c>
      <c r="P2094" t="s">
        <v>257</v>
      </c>
    </row>
    <row r="2095" spans="1:17" hidden="1" x14ac:dyDescent="0.25">
      <c r="A2095" s="16">
        <v>45748</v>
      </c>
      <c r="B2095" t="s">
        <v>156</v>
      </c>
      <c r="C2095">
        <v>81</v>
      </c>
      <c r="D2095" t="s">
        <v>253</v>
      </c>
      <c r="E2095" t="s">
        <v>248</v>
      </c>
      <c r="F2095" t="s">
        <v>349</v>
      </c>
      <c r="G2095" t="s">
        <v>158</v>
      </c>
      <c r="J2095" t="s">
        <v>196</v>
      </c>
      <c r="K2095" t="s">
        <v>255</v>
      </c>
      <c r="L2095">
        <v>21700</v>
      </c>
      <c r="M2095" t="s">
        <v>242</v>
      </c>
      <c r="N2095" t="s">
        <v>1698</v>
      </c>
      <c r="O2095">
        <v>1</v>
      </c>
      <c r="P2095" t="s">
        <v>261</v>
      </c>
    </row>
    <row r="2096" spans="1:17" hidden="1" x14ac:dyDescent="0.25">
      <c r="A2096" s="16">
        <v>45748</v>
      </c>
      <c r="B2096" t="s">
        <v>156</v>
      </c>
      <c r="C2096">
        <v>82</v>
      </c>
      <c r="D2096" t="s">
        <v>253</v>
      </c>
      <c r="E2096" t="s">
        <v>248</v>
      </c>
      <c r="F2096" t="s">
        <v>615</v>
      </c>
      <c r="G2096" t="s">
        <v>158</v>
      </c>
      <c r="J2096" t="s">
        <v>194</v>
      </c>
      <c r="K2096" t="s">
        <v>255</v>
      </c>
      <c r="L2096">
        <v>3.1</v>
      </c>
      <c r="M2096" t="s">
        <v>251</v>
      </c>
      <c r="N2096" t="s">
        <v>1525</v>
      </c>
      <c r="O2096">
        <v>1</v>
      </c>
      <c r="P2096" t="s">
        <v>257</v>
      </c>
      <c r="Q2096" t="s">
        <v>1526</v>
      </c>
    </row>
    <row r="2097" spans="1:16" hidden="1" x14ac:dyDescent="0.25">
      <c r="A2097" s="16">
        <v>45748</v>
      </c>
      <c r="B2097" t="s">
        <v>156</v>
      </c>
      <c r="C2097">
        <v>82</v>
      </c>
      <c r="D2097" t="s">
        <v>253</v>
      </c>
      <c r="E2097" t="s">
        <v>248</v>
      </c>
      <c r="F2097" t="s">
        <v>615</v>
      </c>
      <c r="G2097" t="s">
        <v>158</v>
      </c>
      <c r="J2097" t="s">
        <v>195</v>
      </c>
      <c r="K2097" t="s">
        <v>255</v>
      </c>
      <c r="L2097">
        <v>3.3</v>
      </c>
      <c r="M2097" t="s">
        <v>251</v>
      </c>
      <c r="N2097" t="s">
        <v>1527</v>
      </c>
      <c r="O2097">
        <v>1</v>
      </c>
      <c r="P2097" t="s">
        <v>257</v>
      </c>
    </row>
    <row r="2098" spans="1:16" hidden="1" x14ac:dyDescent="0.25">
      <c r="A2098" s="16">
        <v>45748</v>
      </c>
      <c r="B2098" t="s">
        <v>156</v>
      </c>
      <c r="C2098">
        <v>82</v>
      </c>
      <c r="D2098" t="s">
        <v>253</v>
      </c>
      <c r="E2098" t="s">
        <v>248</v>
      </c>
      <c r="F2098" t="s">
        <v>615</v>
      </c>
      <c r="G2098" t="s">
        <v>158</v>
      </c>
      <c r="J2098" t="s">
        <v>196</v>
      </c>
      <c r="K2098" t="s">
        <v>255</v>
      </c>
      <c r="L2098">
        <v>3.7</v>
      </c>
      <c r="M2098" t="s">
        <v>251</v>
      </c>
      <c r="N2098" t="s">
        <v>592</v>
      </c>
      <c r="O2098">
        <v>1</v>
      </c>
      <c r="P2098" t="s">
        <v>261</v>
      </c>
    </row>
    <row r="2099" spans="1:16" hidden="1" x14ac:dyDescent="0.25">
      <c r="A2099" s="16">
        <v>45748</v>
      </c>
      <c r="B2099" t="s">
        <v>156</v>
      </c>
      <c r="C2099">
        <v>83</v>
      </c>
      <c r="D2099" t="s">
        <v>291</v>
      </c>
      <c r="E2099" t="s">
        <v>292</v>
      </c>
      <c r="F2099" t="s">
        <v>349</v>
      </c>
      <c r="G2099" t="s">
        <v>158</v>
      </c>
      <c r="H2099" t="s">
        <v>159</v>
      </c>
      <c r="J2099" t="s">
        <v>196</v>
      </c>
      <c r="K2099" t="s">
        <v>250</v>
      </c>
      <c r="L2099">
        <v>15286</v>
      </c>
      <c r="M2099" t="s">
        <v>242</v>
      </c>
      <c r="N2099" t="s">
        <v>1699</v>
      </c>
    </row>
    <row r="2100" spans="1:16" hidden="1" x14ac:dyDescent="0.25">
      <c r="A2100" s="16">
        <v>45748</v>
      </c>
      <c r="B2100" t="s">
        <v>156</v>
      </c>
      <c r="C2100">
        <v>83</v>
      </c>
      <c r="D2100" t="s">
        <v>291</v>
      </c>
      <c r="E2100" t="s">
        <v>292</v>
      </c>
      <c r="F2100" t="s">
        <v>349</v>
      </c>
      <c r="G2100" t="s">
        <v>158</v>
      </c>
      <c r="H2100" t="s">
        <v>160</v>
      </c>
      <c r="J2100" t="s">
        <v>196</v>
      </c>
      <c r="K2100" t="s">
        <v>250</v>
      </c>
      <c r="L2100">
        <v>6424</v>
      </c>
      <c r="M2100" t="s">
        <v>242</v>
      </c>
      <c r="N2100" t="s">
        <v>1700</v>
      </c>
    </row>
    <row r="2101" spans="1:16" hidden="1" x14ac:dyDescent="0.25">
      <c r="A2101" s="16">
        <v>45748</v>
      </c>
      <c r="B2101" t="s">
        <v>156</v>
      </c>
      <c r="C2101">
        <v>84</v>
      </c>
      <c r="D2101" t="s">
        <v>253</v>
      </c>
      <c r="E2101" t="s">
        <v>248</v>
      </c>
      <c r="F2101" t="s">
        <v>356</v>
      </c>
      <c r="G2101" t="s">
        <v>158</v>
      </c>
      <c r="J2101" t="s">
        <v>194</v>
      </c>
      <c r="K2101" t="s">
        <v>255</v>
      </c>
      <c r="L2101">
        <v>3200000000</v>
      </c>
      <c r="M2101" t="s">
        <v>245</v>
      </c>
      <c r="N2101" t="s">
        <v>1350</v>
      </c>
      <c r="O2101">
        <v>1</v>
      </c>
      <c r="P2101" t="s">
        <v>257</v>
      </c>
    </row>
    <row r="2102" spans="1:16" hidden="1" x14ac:dyDescent="0.25">
      <c r="A2102" s="16">
        <v>45748</v>
      </c>
      <c r="B2102" t="s">
        <v>156</v>
      </c>
      <c r="C2102">
        <v>84</v>
      </c>
      <c r="D2102" t="s">
        <v>253</v>
      </c>
      <c r="E2102" t="s">
        <v>248</v>
      </c>
      <c r="F2102" t="s">
        <v>356</v>
      </c>
      <c r="G2102" t="s">
        <v>158</v>
      </c>
      <c r="J2102" t="s">
        <v>195</v>
      </c>
      <c r="K2102" t="s">
        <v>255</v>
      </c>
      <c r="L2102">
        <v>3100000000</v>
      </c>
      <c r="M2102" t="s">
        <v>245</v>
      </c>
      <c r="N2102" t="s">
        <v>1530</v>
      </c>
      <c r="O2102">
        <v>1</v>
      </c>
      <c r="P2102" t="s">
        <v>257</v>
      </c>
    </row>
    <row r="2103" spans="1:16" hidden="1" x14ac:dyDescent="0.25">
      <c r="A2103" s="16">
        <v>45748</v>
      </c>
      <c r="B2103" t="s">
        <v>156</v>
      </c>
      <c r="C2103">
        <v>84</v>
      </c>
      <c r="D2103" t="s">
        <v>253</v>
      </c>
      <c r="E2103" t="s">
        <v>248</v>
      </c>
      <c r="F2103" t="s">
        <v>356</v>
      </c>
      <c r="G2103" t="s">
        <v>158</v>
      </c>
      <c r="J2103" t="s">
        <v>196</v>
      </c>
      <c r="K2103" t="s">
        <v>255</v>
      </c>
      <c r="L2103">
        <v>3480000000</v>
      </c>
      <c r="M2103" t="s">
        <v>245</v>
      </c>
      <c r="N2103" t="s">
        <v>1701</v>
      </c>
      <c r="O2103">
        <v>1</v>
      </c>
      <c r="P2103" t="s">
        <v>261</v>
      </c>
    </row>
    <row r="2104" spans="1:16" hidden="1" x14ac:dyDescent="0.25">
      <c r="A2104" s="16">
        <v>45748</v>
      </c>
      <c r="B2104" t="s">
        <v>156</v>
      </c>
      <c r="C2104">
        <v>84</v>
      </c>
      <c r="D2104" t="s">
        <v>247</v>
      </c>
      <c r="E2104" t="s">
        <v>248</v>
      </c>
      <c r="F2104" t="s">
        <v>356</v>
      </c>
      <c r="G2104" t="s">
        <v>158</v>
      </c>
      <c r="H2104" t="s">
        <v>286</v>
      </c>
      <c r="J2104" t="s">
        <v>196</v>
      </c>
      <c r="K2104" t="s">
        <v>250</v>
      </c>
      <c r="L2104">
        <v>12</v>
      </c>
      <c r="M2104" t="s">
        <v>251</v>
      </c>
      <c r="N2104" t="s">
        <v>1702</v>
      </c>
    </row>
    <row r="2105" spans="1:16" hidden="1" x14ac:dyDescent="0.25">
      <c r="A2105" s="16">
        <v>45748</v>
      </c>
      <c r="B2105" t="s">
        <v>156</v>
      </c>
      <c r="C2105">
        <v>85</v>
      </c>
      <c r="D2105" t="s">
        <v>253</v>
      </c>
      <c r="E2105" t="s">
        <v>248</v>
      </c>
      <c r="F2105" t="s">
        <v>361</v>
      </c>
      <c r="G2105" t="s">
        <v>158</v>
      </c>
      <c r="J2105" t="s">
        <v>194</v>
      </c>
      <c r="K2105" t="s">
        <v>255</v>
      </c>
      <c r="L2105">
        <v>82000000</v>
      </c>
      <c r="M2105" t="s">
        <v>245</v>
      </c>
      <c r="N2105" t="s">
        <v>804</v>
      </c>
      <c r="O2105">
        <v>1</v>
      </c>
      <c r="P2105" t="s">
        <v>257</v>
      </c>
    </row>
    <row r="2106" spans="1:16" hidden="1" x14ac:dyDescent="0.25">
      <c r="A2106" s="16">
        <v>45748</v>
      </c>
      <c r="B2106" t="s">
        <v>156</v>
      </c>
      <c r="C2106">
        <v>85</v>
      </c>
      <c r="D2106" t="s">
        <v>253</v>
      </c>
      <c r="E2106" t="s">
        <v>248</v>
      </c>
      <c r="F2106" t="s">
        <v>361</v>
      </c>
      <c r="G2106" t="s">
        <v>158</v>
      </c>
      <c r="J2106" t="s">
        <v>195</v>
      </c>
      <c r="K2106" t="s">
        <v>255</v>
      </c>
      <c r="L2106">
        <v>84000000</v>
      </c>
      <c r="M2106" t="s">
        <v>245</v>
      </c>
      <c r="N2106" t="s">
        <v>1532</v>
      </c>
      <c r="O2106">
        <v>1</v>
      </c>
      <c r="P2106" t="s">
        <v>257</v>
      </c>
    </row>
    <row r="2107" spans="1:16" hidden="1" x14ac:dyDescent="0.25">
      <c r="A2107" s="16">
        <v>45748</v>
      </c>
      <c r="B2107" t="s">
        <v>156</v>
      </c>
      <c r="C2107">
        <v>85</v>
      </c>
      <c r="D2107" t="s">
        <v>253</v>
      </c>
      <c r="E2107" t="s">
        <v>248</v>
      </c>
      <c r="F2107" t="s">
        <v>361</v>
      </c>
      <c r="G2107" t="s">
        <v>158</v>
      </c>
      <c r="J2107" t="s">
        <v>196</v>
      </c>
      <c r="K2107" t="s">
        <v>255</v>
      </c>
      <c r="L2107">
        <v>119000000</v>
      </c>
      <c r="M2107" t="s">
        <v>245</v>
      </c>
      <c r="N2107" t="s">
        <v>1703</v>
      </c>
      <c r="O2107">
        <v>1</v>
      </c>
      <c r="P2107" t="s">
        <v>261</v>
      </c>
    </row>
    <row r="2108" spans="1:16" hidden="1" x14ac:dyDescent="0.25">
      <c r="A2108" s="16">
        <v>45748</v>
      </c>
      <c r="B2108" t="s">
        <v>156</v>
      </c>
      <c r="C2108">
        <v>86</v>
      </c>
      <c r="D2108" t="s">
        <v>253</v>
      </c>
      <c r="E2108" t="s">
        <v>248</v>
      </c>
      <c r="F2108" t="s">
        <v>622</v>
      </c>
      <c r="G2108" t="s">
        <v>158</v>
      </c>
      <c r="J2108" t="s">
        <v>194</v>
      </c>
      <c r="K2108" t="s">
        <v>255</v>
      </c>
      <c r="L2108">
        <v>2.57</v>
      </c>
      <c r="M2108" t="s">
        <v>251</v>
      </c>
      <c r="N2108" t="s">
        <v>1351</v>
      </c>
      <c r="O2108">
        <v>1</v>
      </c>
      <c r="P2108" t="s">
        <v>257</v>
      </c>
    </row>
    <row r="2109" spans="1:16" hidden="1" x14ac:dyDescent="0.25">
      <c r="A2109" s="16">
        <v>45748</v>
      </c>
      <c r="B2109" t="s">
        <v>156</v>
      </c>
      <c r="C2109">
        <v>86</v>
      </c>
      <c r="D2109" t="s">
        <v>253</v>
      </c>
      <c r="E2109" t="s">
        <v>248</v>
      </c>
      <c r="F2109" t="s">
        <v>622</v>
      </c>
      <c r="G2109" t="s">
        <v>158</v>
      </c>
      <c r="J2109" t="s">
        <v>195</v>
      </c>
      <c r="K2109" t="s">
        <v>255</v>
      </c>
      <c r="L2109">
        <v>2.7</v>
      </c>
      <c r="M2109" t="s">
        <v>251</v>
      </c>
      <c r="N2109" t="s">
        <v>805</v>
      </c>
      <c r="O2109">
        <v>1</v>
      </c>
      <c r="P2109" t="s">
        <v>257</v>
      </c>
    </row>
    <row r="2110" spans="1:16" hidden="1" x14ac:dyDescent="0.25">
      <c r="A2110" s="16">
        <v>45748</v>
      </c>
      <c r="B2110" t="s">
        <v>156</v>
      </c>
      <c r="C2110">
        <v>86</v>
      </c>
      <c r="D2110" t="s">
        <v>253</v>
      </c>
      <c r="E2110" t="s">
        <v>248</v>
      </c>
      <c r="F2110" t="s">
        <v>622</v>
      </c>
      <c r="G2110" t="s">
        <v>158</v>
      </c>
      <c r="J2110" t="s">
        <v>196</v>
      </c>
      <c r="K2110" t="s">
        <v>255</v>
      </c>
      <c r="L2110">
        <v>3.42</v>
      </c>
      <c r="M2110" t="s">
        <v>251</v>
      </c>
      <c r="N2110" t="s">
        <v>625</v>
      </c>
      <c r="O2110">
        <v>1</v>
      </c>
      <c r="P2110" t="s">
        <v>261</v>
      </c>
    </row>
    <row r="2111" spans="1:16" hidden="1" x14ac:dyDescent="0.25">
      <c r="A2111" s="16">
        <v>45748</v>
      </c>
      <c r="B2111" t="s">
        <v>156</v>
      </c>
      <c r="C2111">
        <v>87</v>
      </c>
      <c r="D2111" t="s">
        <v>291</v>
      </c>
      <c r="E2111" t="s">
        <v>292</v>
      </c>
      <c r="F2111" t="s">
        <v>361</v>
      </c>
      <c r="G2111" t="s">
        <v>158</v>
      </c>
      <c r="H2111" t="s">
        <v>159</v>
      </c>
      <c r="J2111" t="s">
        <v>196</v>
      </c>
      <c r="K2111" t="s">
        <v>250</v>
      </c>
      <c r="L2111">
        <v>80500000</v>
      </c>
      <c r="M2111" t="s">
        <v>245</v>
      </c>
      <c r="N2111" t="s">
        <v>1704</v>
      </c>
    </row>
    <row r="2112" spans="1:16" hidden="1" x14ac:dyDescent="0.25">
      <c r="A2112" s="16">
        <v>45748</v>
      </c>
      <c r="B2112" t="s">
        <v>156</v>
      </c>
      <c r="C2112">
        <v>87</v>
      </c>
      <c r="D2112" t="s">
        <v>291</v>
      </c>
      <c r="E2112" t="s">
        <v>292</v>
      </c>
      <c r="F2112" t="s">
        <v>361</v>
      </c>
      <c r="G2112" t="s">
        <v>158</v>
      </c>
      <c r="H2112" t="s">
        <v>160</v>
      </c>
      <c r="J2112" t="s">
        <v>196</v>
      </c>
      <c r="K2112" t="s">
        <v>250</v>
      </c>
      <c r="L2112">
        <v>38300000</v>
      </c>
      <c r="M2112" t="s">
        <v>245</v>
      </c>
      <c r="N2112" t="s">
        <v>1705</v>
      </c>
    </row>
    <row r="2113" spans="1:16" hidden="1" x14ac:dyDescent="0.25">
      <c r="A2113" s="16">
        <v>45748</v>
      </c>
      <c r="B2113" t="s">
        <v>120</v>
      </c>
      <c r="C2113">
        <v>60</v>
      </c>
      <c r="D2113" t="s">
        <v>238</v>
      </c>
      <c r="E2113" t="s">
        <v>239</v>
      </c>
      <c r="F2113" t="s">
        <v>240</v>
      </c>
      <c r="G2113" t="s">
        <v>82</v>
      </c>
      <c r="J2113" t="s">
        <v>196</v>
      </c>
      <c r="K2113" t="s">
        <v>241</v>
      </c>
      <c r="L2113">
        <v>23620000</v>
      </c>
      <c r="M2113" t="s">
        <v>242</v>
      </c>
      <c r="N2113" t="s">
        <v>1706</v>
      </c>
    </row>
    <row r="2114" spans="1:16" hidden="1" x14ac:dyDescent="0.25">
      <c r="A2114" s="16">
        <v>45748</v>
      </c>
      <c r="B2114" t="s">
        <v>120</v>
      </c>
      <c r="C2114">
        <v>60</v>
      </c>
      <c r="D2114" t="s">
        <v>238</v>
      </c>
      <c r="E2114" t="s">
        <v>239</v>
      </c>
      <c r="F2114" t="s">
        <v>244</v>
      </c>
      <c r="G2114" t="s">
        <v>82</v>
      </c>
      <c r="J2114" t="s">
        <v>196</v>
      </c>
      <c r="K2114" t="s">
        <v>241</v>
      </c>
      <c r="L2114">
        <v>5240000000</v>
      </c>
      <c r="M2114" t="s">
        <v>245</v>
      </c>
      <c r="N2114" t="s">
        <v>1707</v>
      </c>
    </row>
    <row r="2115" spans="1:16" hidden="1" x14ac:dyDescent="0.25">
      <c r="A2115" s="16">
        <v>45748</v>
      </c>
      <c r="B2115" t="s">
        <v>120</v>
      </c>
      <c r="C2115">
        <v>62</v>
      </c>
      <c r="D2115" t="s">
        <v>253</v>
      </c>
      <c r="E2115" t="s">
        <v>248</v>
      </c>
      <c r="F2115" t="s">
        <v>285</v>
      </c>
      <c r="G2115" t="s">
        <v>63</v>
      </c>
      <c r="J2115" t="s">
        <v>194</v>
      </c>
      <c r="K2115" t="s">
        <v>255</v>
      </c>
      <c r="L2115">
        <v>4620000</v>
      </c>
      <c r="M2115" t="s">
        <v>242</v>
      </c>
      <c r="N2115" t="s">
        <v>1356</v>
      </c>
      <c r="O2115">
        <v>1</v>
      </c>
      <c r="P2115" t="s">
        <v>257</v>
      </c>
    </row>
    <row r="2116" spans="1:16" hidden="1" x14ac:dyDescent="0.25">
      <c r="A2116" s="16">
        <v>45748</v>
      </c>
      <c r="B2116" t="s">
        <v>120</v>
      </c>
      <c r="C2116">
        <v>62</v>
      </c>
      <c r="D2116" t="s">
        <v>253</v>
      </c>
      <c r="E2116" t="s">
        <v>248</v>
      </c>
      <c r="F2116" t="s">
        <v>285</v>
      </c>
      <c r="G2116" t="s">
        <v>63</v>
      </c>
      <c r="J2116" t="s">
        <v>195</v>
      </c>
      <c r="K2116" t="s">
        <v>255</v>
      </c>
      <c r="L2116">
        <v>4650000</v>
      </c>
      <c r="M2116" t="s">
        <v>242</v>
      </c>
      <c r="N2116" t="s">
        <v>1537</v>
      </c>
      <c r="O2116">
        <v>1</v>
      </c>
      <c r="P2116" t="s">
        <v>257</v>
      </c>
    </row>
    <row r="2117" spans="1:16" hidden="1" x14ac:dyDescent="0.25">
      <c r="A2117" s="16">
        <v>45748</v>
      </c>
      <c r="B2117" t="s">
        <v>120</v>
      </c>
      <c r="C2117">
        <v>62</v>
      </c>
      <c r="D2117" t="s">
        <v>253</v>
      </c>
      <c r="E2117" t="s">
        <v>248</v>
      </c>
      <c r="F2117" t="s">
        <v>285</v>
      </c>
      <c r="G2117" t="s">
        <v>63</v>
      </c>
      <c r="J2117" t="s">
        <v>196</v>
      </c>
      <c r="K2117" t="s">
        <v>255</v>
      </c>
      <c r="L2117">
        <v>4680000</v>
      </c>
      <c r="M2117" t="s">
        <v>242</v>
      </c>
      <c r="N2117" t="s">
        <v>1708</v>
      </c>
      <c r="O2117">
        <v>1</v>
      </c>
      <c r="P2117" t="s">
        <v>261</v>
      </c>
    </row>
    <row r="2118" spans="1:16" hidden="1" x14ac:dyDescent="0.25">
      <c r="A2118" s="16">
        <v>45748</v>
      </c>
      <c r="B2118" t="s">
        <v>120</v>
      </c>
      <c r="C2118">
        <v>62</v>
      </c>
      <c r="D2118" t="s">
        <v>247</v>
      </c>
      <c r="E2118" t="s">
        <v>248</v>
      </c>
      <c r="F2118" t="s">
        <v>285</v>
      </c>
      <c r="G2118" t="s">
        <v>63</v>
      </c>
      <c r="H2118" t="s">
        <v>286</v>
      </c>
      <c r="J2118" t="s">
        <v>196</v>
      </c>
      <c r="K2118" t="s">
        <v>250</v>
      </c>
      <c r="L2118">
        <v>0.7</v>
      </c>
      <c r="M2118" t="s">
        <v>251</v>
      </c>
      <c r="N2118" t="s">
        <v>810</v>
      </c>
    </row>
    <row r="2119" spans="1:16" hidden="1" x14ac:dyDescent="0.25">
      <c r="A2119" s="16">
        <v>45748</v>
      </c>
      <c r="B2119" t="s">
        <v>120</v>
      </c>
      <c r="C2119">
        <v>63</v>
      </c>
      <c r="D2119" t="s">
        <v>291</v>
      </c>
      <c r="E2119" t="s">
        <v>292</v>
      </c>
      <c r="F2119" t="s">
        <v>285</v>
      </c>
      <c r="G2119" t="s">
        <v>63</v>
      </c>
      <c r="H2119" t="s">
        <v>122</v>
      </c>
      <c r="J2119" t="s">
        <v>196</v>
      </c>
      <c r="K2119" t="s">
        <v>250</v>
      </c>
      <c r="L2119">
        <v>4650000</v>
      </c>
      <c r="M2119" t="s">
        <v>242</v>
      </c>
      <c r="N2119" t="s">
        <v>977</v>
      </c>
    </row>
    <row r="2120" spans="1:16" hidden="1" x14ac:dyDescent="0.25">
      <c r="A2120" s="16">
        <v>45748</v>
      </c>
      <c r="B2120" t="s">
        <v>120</v>
      </c>
      <c r="C2120">
        <v>63</v>
      </c>
      <c r="D2120" t="s">
        <v>291</v>
      </c>
      <c r="E2120" t="s">
        <v>292</v>
      </c>
      <c r="F2120" t="s">
        <v>285</v>
      </c>
      <c r="G2120" t="s">
        <v>63</v>
      </c>
      <c r="H2120" t="s">
        <v>123</v>
      </c>
      <c r="J2120" t="s">
        <v>196</v>
      </c>
      <c r="K2120" t="s">
        <v>250</v>
      </c>
      <c r="L2120">
        <v>34200</v>
      </c>
      <c r="M2120" t="s">
        <v>242</v>
      </c>
      <c r="N2120" t="s">
        <v>1709</v>
      </c>
    </row>
    <row r="2121" spans="1:16" hidden="1" x14ac:dyDescent="0.25">
      <c r="A2121" s="16">
        <v>45748</v>
      </c>
      <c r="B2121" t="s">
        <v>120</v>
      </c>
      <c r="C2121">
        <v>63</v>
      </c>
      <c r="D2121" t="s">
        <v>238</v>
      </c>
      <c r="E2121" t="s">
        <v>239</v>
      </c>
      <c r="F2121" t="s">
        <v>285</v>
      </c>
      <c r="G2121" t="s">
        <v>63</v>
      </c>
      <c r="H2121" t="s">
        <v>376</v>
      </c>
      <c r="J2121" t="s">
        <v>196</v>
      </c>
      <c r="K2121" t="s">
        <v>250</v>
      </c>
      <c r="L2121">
        <v>4680000</v>
      </c>
      <c r="M2121" t="s">
        <v>242</v>
      </c>
      <c r="N2121" t="s">
        <v>398</v>
      </c>
    </row>
    <row r="2122" spans="1:16" hidden="1" x14ac:dyDescent="0.25">
      <c r="A2122" s="16">
        <v>45748</v>
      </c>
      <c r="B2122" t="s">
        <v>120</v>
      </c>
      <c r="C2122">
        <v>64</v>
      </c>
      <c r="D2122" t="s">
        <v>238</v>
      </c>
      <c r="E2122" t="s">
        <v>239</v>
      </c>
      <c r="F2122" t="s">
        <v>378</v>
      </c>
      <c r="G2122" t="s">
        <v>379</v>
      </c>
      <c r="J2122" t="s">
        <v>196</v>
      </c>
      <c r="K2122" t="s">
        <v>250</v>
      </c>
      <c r="L2122">
        <v>611</v>
      </c>
      <c r="M2122" t="s">
        <v>242</v>
      </c>
      <c r="N2122" t="s">
        <v>1710</v>
      </c>
    </row>
    <row r="2123" spans="1:16" hidden="1" x14ac:dyDescent="0.25">
      <c r="A2123" s="16">
        <v>45748</v>
      </c>
      <c r="B2123" t="s">
        <v>120</v>
      </c>
      <c r="C2123">
        <v>64</v>
      </c>
      <c r="D2123" t="s">
        <v>238</v>
      </c>
      <c r="E2123" t="s">
        <v>239</v>
      </c>
      <c r="F2123" t="s">
        <v>381</v>
      </c>
      <c r="G2123" t="s">
        <v>382</v>
      </c>
      <c r="J2123" t="s">
        <v>196</v>
      </c>
      <c r="K2123" t="s">
        <v>250</v>
      </c>
      <c r="L2123">
        <v>2104</v>
      </c>
      <c r="M2123" t="s">
        <v>242</v>
      </c>
      <c r="N2123" t="s">
        <v>1711</v>
      </c>
    </row>
    <row r="2124" spans="1:16" hidden="1" x14ac:dyDescent="0.25">
      <c r="A2124" s="16">
        <v>45748</v>
      </c>
      <c r="B2124" t="s">
        <v>120</v>
      </c>
      <c r="C2124">
        <v>65</v>
      </c>
      <c r="D2124" t="s">
        <v>253</v>
      </c>
      <c r="E2124" t="s">
        <v>248</v>
      </c>
      <c r="F2124" t="s">
        <v>240</v>
      </c>
      <c r="G2124" t="s">
        <v>82</v>
      </c>
      <c r="J2124" t="s">
        <v>194</v>
      </c>
      <c r="K2124" t="s">
        <v>255</v>
      </c>
      <c r="L2124">
        <v>5700000</v>
      </c>
      <c r="M2124" t="s">
        <v>242</v>
      </c>
      <c r="N2124" t="s">
        <v>1361</v>
      </c>
      <c r="O2124">
        <v>1</v>
      </c>
      <c r="P2124" t="s">
        <v>257</v>
      </c>
    </row>
    <row r="2125" spans="1:16" hidden="1" x14ac:dyDescent="0.25">
      <c r="A2125" s="16">
        <v>45748</v>
      </c>
      <c r="B2125" t="s">
        <v>120</v>
      </c>
      <c r="C2125">
        <v>65</v>
      </c>
      <c r="D2125" t="s">
        <v>253</v>
      </c>
      <c r="E2125" t="s">
        <v>248</v>
      </c>
      <c r="F2125" t="s">
        <v>240</v>
      </c>
      <c r="G2125" t="s">
        <v>82</v>
      </c>
      <c r="J2125" t="s">
        <v>195</v>
      </c>
      <c r="K2125" t="s">
        <v>255</v>
      </c>
      <c r="L2125">
        <v>5500000</v>
      </c>
      <c r="M2125" t="s">
        <v>242</v>
      </c>
      <c r="N2125" t="s">
        <v>1541</v>
      </c>
      <c r="O2125">
        <v>1</v>
      </c>
      <c r="P2125" t="s">
        <v>257</v>
      </c>
    </row>
    <row r="2126" spans="1:16" hidden="1" x14ac:dyDescent="0.25">
      <c r="A2126" s="16">
        <v>45748</v>
      </c>
      <c r="B2126" t="s">
        <v>120</v>
      </c>
      <c r="C2126">
        <v>65</v>
      </c>
      <c r="D2126" t="s">
        <v>253</v>
      </c>
      <c r="E2126" t="s">
        <v>248</v>
      </c>
      <c r="F2126" t="s">
        <v>240</v>
      </c>
      <c r="G2126" t="s">
        <v>82</v>
      </c>
      <c r="J2126" t="s">
        <v>196</v>
      </c>
      <c r="K2126" t="s">
        <v>255</v>
      </c>
      <c r="L2126">
        <v>6540000</v>
      </c>
      <c r="M2126" t="s">
        <v>242</v>
      </c>
      <c r="N2126" t="s">
        <v>1712</v>
      </c>
      <c r="O2126">
        <v>1</v>
      </c>
      <c r="P2126" t="s">
        <v>261</v>
      </c>
    </row>
    <row r="2127" spans="1:16" hidden="1" x14ac:dyDescent="0.25">
      <c r="A2127" s="16">
        <v>45748</v>
      </c>
      <c r="B2127" t="s">
        <v>120</v>
      </c>
      <c r="C2127">
        <v>65</v>
      </c>
      <c r="D2127" t="s">
        <v>247</v>
      </c>
      <c r="E2127" t="s">
        <v>248</v>
      </c>
      <c r="F2127" t="s">
        <v>240</v>
      </c>
      <c r="G2127" t="s">
        <v>82</v>
      </c>
      <c r="H2127" t="s">
        <v>286</v>
      </c>
      <c r="J2127" t="s">
        <v>196</v>
      </c>
      <c r="K2127" t="s">
        <v>250</v>
      </c>
      <c r="L2127">
        <v>18.899999999999999</v>
      </c>
      <c r="M2127" t="s">
        <v>251</v>
      </c>
      <c r="N2127" t="s">
        <v>1713</v>
      </c>
    </row>
    <row r="2128" spans="1:16" hidden="1" x14ac:dyDescent="0.25">
      <c r="A2128" s="16">
        <v>45748</v>
      </c>
      <c r="B2128" t="s">
        <v>120</v>
      </c>
      <c r="C2128">
        <v>66</v>
      </c>
      <c r="D2128" t="s">
        <v>291</v>
      </c>
      <c r="E2128" t="s">
        <v>292</v>
      </c>
      <c r="F2128" t="s">
        <v>240</v>
      </c>
      <c r="G2128" t="s">
        <v>82</v>
      </c>
      <c r="H2128" t="s">
        <v>125</v>
      </c>
      <c r="J2128" t="s">
        <v>196</v>
      </c>
      <c r="K2128" t="s">
        <v>250</v>
      </c>
      <c r="L2128">
        <v>39000</v>
      </c>
      <c r="M2128" t="s">
        <v>242</v>
      </c>
      <c r="N2128" t="s">
        <v>1542</v>
      </c>
    </row>
    <row r="2129" spans="1:16" hidden="1" x14ac:dyDescent="0.25">
      <c r="A2129" s="16">
        <v>45748</v>
      </c>
      <c r="B2129" t="s">
        <v>120</v>
      </c>
      <c r="C2129">
        <v>66</v>
      </c>
      <c r="D2129" t="s">
        <v>291</v>
      </c>
      <c r="E2129" t="s">
        <v>292</v>
      </c>
      <c r="F2129" t="s">
        <v>240</v>
      </c>
      <c r="G2129" t="s">
        <v>82</v>
      </c>
      <c r="H2129" t="s">
        <v>126</v>
      </c>
      <c r="J2129" t="s">
        <v>196</v>
      </c>
      <c r="K2129" t="s">
        <v>250</v>
      </c>
      <c r="L2129">
        <v>79000</v>
      </c>
      <c r="M2129" t="s">
        <v>242</v>
      </c>
      <c r="N2129" t="s">
        <v>1714</v>
      </c>
    </row>
    <row r="2130" spans="1:16" hidden="1" x14ac:dyDescent="0.25">
      <c r="A2130" s="16">
        <v>45748</v>
      </c>
      <c r="B2130" t="s">
        <v>120</v>
      </c>
      <c r="C2130">
        <v>66</v>
      </c>
      <c r="D2130" t="s">
        <v>291</v>
      </c>
      <c r="E2130" t="s">
        <v>292</v>
      </c>
      <c r="F2130" t="s">
        <v>240</v>
      </c>
      <c r="G2130" t="s">
        <v>82</v>
      </c>
      <c r="H2130" t="s">
        <v>127</v>
      </c>
      <c r="J2130" t="s">
        <v>196</v>
      </c>
      <c r="K2130" t="s">
        <v>250</v>
      </c>
      <c r="L2130">
        <v>383000</v>
      </c>
      <c r="M2130" t="s">
        <v>242</v>
      </c>
      <c r="N2130" t="s">
        <v>1715</v>
      </c>
    </row>
    <row r="2131" spans="1:16" hidden="1" x14ac:dyDescent="0.25">
      <c r="A2131" s="16">
        <v>45748</v>
      </c>
      <c r="B2131" t="s">
        <v>120</v>
      </c>
      <c r="C2131">
        <v>66</v>
      </c>
      <c r="D2131" t="s">
        <v>291</v>
      </c>
      <c r="E2131" t="s">
        <v>292</v>
      </c>
      <c r="F2131" t="s">
        <v>240</v>
      </c>
      <c r="G2131" t="s">
        <v>82</v>
      </c>
      <c r="H2131" t="s">
        <v>128</v>
      </c>
      <c r="J2131" t="s">
        <v>196</v>
      </c>
      <c r="K2131" t="s">
        <v>250</v>
      </c>
      <c r="L2131">
        <v>31000</v>
      </c>
      <c r="M2131" t="s">
        <v>242</v>
      </c>
      <c r="N2131" t="s">
        <v>822</v>
      </c>
    </row>
    <row r="2132" spans="1:16" hidden="1" x14ac:dyDescent="0.25">
      <c r="A2132" s="16">
        <v>45748</v>
      </c>
      <c r="B2132" t="s">
        <v>120</v>
      </c>
      <c r="C2132">
        <v>66</v>
      </c>
      <c r="D2132" t="s">
        <v>291</v>
      </c>
      <c r="E2132" t="s">
        <v>292</v>
      </c>
      <c r="F2132" t="s">
        <v>240</v>
      </c>
      <c r="G2132" t="s">
        <v>82</v>
      </c>
      <c r="H2132" t="s">
        <v>129</v>
      </c>
      <c r="J2132" t="s">
        <v>196</v>
      </c>
      <c r="K2132" t="s">
        <v>250</v>
      </c>
      <c r="L2132">
        <v>1165000</v>
      </c>
      <c r="M2132" t="s">
        <v>242</v>
      </c>
      <c r="N2132" t="s">
        <v>1716</v>
      </c>
    </row>
    <row r="2133" spans="1:16" hidden="1" x14ac:dyDescent="0.25">
      <c r="A2133" s="16">
        <v>45748</v>
      </c>
      <c r="B2133" t="s">
        <v>120</v>
      </c>
      <c r="C2133">
        <v>66</v>
      </c>
      <c r="D2133" t="s">
        <v>291</v>
      </c>
      <c r="E2133" t="s">
        <v>292</v>
      </c>
      <c r="F2133" t="s">
        <v>240</v>
      </c>
      <c r="G2133" t="s">
        <v>82</v>
      </c>
      <c r="H2133" t="s">
        <v>130</v>
      </c>
      <c r="J2133" t="s">
        <v>196</v>
      </c>
      <c r="K2133" t="s">
        <v>250</v>
      </c>
      <c r="L2133">
        <v>2215000</v>
      </c>
      <c r="M2133" t="s">
        <v>242</v>
      </c>
      <c r="N2133" t="s">
        <v>1717</v>
      </c>
    </row>
    <row r="2134" spans="1:16" hidden="1" x14ac:dyDescent="0.25">
      <c r="A2134" s="16">
        <v>45748</v>
      </c>
      <c r="B2134" t="s">
        <v>120</v>
      </c>
      <c r="C2134">
        <v>66</v>
      </c>
      <c r="D2134" t="s">
        <v>291</v>
      </c>
      <c r="E2134" t="s">
        <v>292</v>
      </c>
      <c r="F2134" t="s">
        <v>240</v>
      </c>
      <c r="G2134" t="s">
        <v>82</v>
      </c>
      <c r="H2134" t="s">
        <v>131</v>
      </c>
      <c r="J2134" t="s">
        <v>196</v>
      </c>
      <c r="K2134" t="s">
        <v>250</v>
      </c>
      <c r="L2134">
        <v>35000</v>
      </c>
      <c r="M2134" t="s">
        <v>242</v>
      </c>
      <c r="N2134" t="s">
        <v>700</v>
      </c>
    </row>
    <row r="2135" spans="1:16" hidden="1" x14ac:dyDescent="0.25">
      <c r="A2135" s="16">
        <v>45748</v>
      </c>
      <c r="B2135" t="s">
        <v>120</v>
      </c>
      <c r="C2135">
        <v>66</v>
      </c>
      <c r="D2135" t="s">
        <v>291</v>
      </c>
      <c r="E2135" t="s">
        <v>292</v>
      </c>
      <c r="F2135" t="s">
        <v>240</v>
      </c>
      <c r="G2135" t="s">
        <v>82</v>
      </c>
      <c r="H2135" t="s">
        <v>132</v>
      </c>
      <c r="J2135" t="s">
        <v>196</v>
      </c>
      <c r="K2135" t="s">
        <v>250</v>
      </c>
      <c r="L2135">
        <v>54000</v>
      </c>
      <c r="M2135" t="s">
        <v>242</v>
      </c>
      <c r="N2135" t="s">
        <v>1718</v>
      </c>
    </row>
    <row r="2136" spans="1:16" hidden="1" x14ac:dyDescent="0.25">
      <c r="A2136" s="16">
        <v>45748</v>
      </c>
      <c r="B2136" t="s">
        <v>120</v>
      </c>
      <c r="C2136">
        <v>66</v>
      </c>
      <c r="D2136" t="s">
        <v>291</v>
      </c>
      <c r="E2136" t="s">
        <v>292</v>
      </c>
      <c r="F2136" t="s">
        <v>240</v>
      </c>
      <c r="G2136" t="s">
        <v>82</v>
      </c>
      <c r="H2136" t="s">
        <v>133</v>
      </c>
      <c r="J2136" t="s">
        <v>196</v>
      </c>
      <c r="K2136" t="s">
        <v>250</v>
      </c>
      <c r="L2136">
        <v>585000</v>
      </c>
      <c r="M2136" t="s">
        <v>242</v>
      </c>
      <c r="N2136" t="s">
        <v>1719</v>
      </c>
    </row>
    <row r="2137" spans="1:16" hidden="1" x14ac:dyDescent="0.25">
      <c r="A2137" s="16">
        <v>45748</v>
      </c>
      <c r="B2137" t="s">
        <v>120</v>
      </c>
      <c r="C2137">
        <v>66</v>
      </c>
      <c r="D2137" t="s">
        <v>291</v>
      </c>
      <c r="E2137" t="s">
        <v>292</v>
      </c>
      <c r="F2137" t="s">
        <v>240</v>
      </c>
      <c r="G2137" t="s">
        <v>82</v>
      </c>
      <c r="H2137" t="s">
        <v>134</v>
      </c>
      <c r="J2137" t="s">
        <v>196</v>
      </c>
      <c r="K2137" t="s">
        <v>250</v>
      </c>
      <c r="L2137">
        <v>1845000</v>
      </c>
      <c r="M2137" t="s">
        <v>242</v>
      </c>
      <c r="N2137" t="s">
        <v>1720</v>
      </c>
    </row>
    <row r="2138" spans="1:16" hidden="1" x14ac:dyDescent="0.25">
      <c r="A2138" s="16">
        <v>45748</v>
      </c>
      <c r="B2138" t="s">
        <v>120</v>
      </c>
      <c r="C2138">
        <v>67</v>
      </c>
      <c r="D2138" t="s">
        <v>291</v>
      </c>
      <c r="E2138" t="s">
        <v>292</v>
      </c>
      <c r="F2138" t="s">
        <v>240</v>
      </c>
      <c r="G2138" t="s">
        <v>82</v>
      </c>
      <c r="H2138" t="s">
        <v>137</v>
      </c>
      <c r="J2138" t="s">
        <v>196</v>
      </c>
      <c r="K2138" t="s">
        <v>250</v>
      </c>
      <c r="L2138">
        <v>1160000</v>
      </c>
      <c r="M2138" t="s">
        <v>242</v>
      </c>
      <c r="N2138" t="s">
        <v>1370</v>
      </c>
    </row>
    <row r="2139" spans="1:16" hidden="1" x14ac:dyDescent="0.25">
      <c r="A2139" s="16">
        <v>45748</v>
      </c>
      <c r="B2139" t="s">
        <v>120</v>
      </c>
      <c r="C2139">
        <v>67</v>
      </c>
      <c r="D2139" t="s">
        <v>291</v>
      </c>
      <c r="E2139" t="s">
        <v>292</v>
      </c>
      <c r="F2139" t="s">
        <v>240</v>
      </c>
      <c r="G2139" t="s">
        <v>82</v>
      </c>
      <c r="H2139" t="s">
        <v>138</v>
      </c>
      <c r="J2139" t="s">
        <v>196</v>
      </c>
      <c r="K2139" t="s">
        <v>250</v>
      </c>
      <c r="L2139">
        <v>5380000</v>
      </c>
      <c r="M2139" t="s">
        <v>242</v>
      </c>
      <c r="N2139" t="s">
        <v>1721</v>
      </c>
    </row>
    <row r="2140" spans="1:16" hidden="1" x14ac:dyDescent="0.25">
      <c r="A2140" s="16">
        <v>45748</v>
      </c>
      <c r="B2140" t="s">
        <v>120</v>
      </c>
      <c r="C2140">
        <v>68</v>
      </c>
      <c r="D2140" t="s">
        <v>253</v>
      </c>
      <c r="E2140" t="s">
        <v>248</v>
      </c>
      <c r="F2140" t="s">
        <v>244</v>
      </c>
      <c r="G2140" t="s">
        <v>82</v>
      </c>
      <c r="J2140" t="s">
        <v>194</v>
      </c>
      <c r="K2140" t="s">
        <v>255</v>
      </c>
      <c r="L2140">
        <v>1190000000</v>
      </c>
      <c r="M2140" t="s">
        <v>245</v>
      </c>
      <c r="N2140" t="s">
        <v>1371</v>
      </c>
      <c r="O2140">
        <v>1</v>
      </c>
      <c r="P2140" t="s">
        <v>257</v>
      </c>
    </row>
    <row r="2141" spans="1:16" hidden="1" x14ac:dyDescent="0.25">
      <c r="A2141" s="16">
        <v>45748</v>
      </c>
      <c r="B2141" t="s">
        <v>120</v>
      </c>
      <c r="C2141">
        <v>68</v>
      </c>
      <c r="D2141" t="s">
        <v>253</v>
      </c>
      <c r="E2141" t="s">
        <v>248</v>
      </c>
      <c r="F2141" t="s">
        <v>244</v>
      </c>
      <c r="G2141" t="s">
        <v>82</v>
      </c>
      <c r="J2141" t="s">
        <v>195</v>
      </c>
      <c r="K2141" t="s">
        <v>255</v>
      </c>
      <c r="L2141">
        <v>1130000000</v>
      </c>
      <c r="M2141" t="s">
        <v>245</v>
      </c>
      <c r="N2141" t="s">
        <v>1551</v>
      </c>
      <c r="O2141">
        <v>1</v>
      </c>
      <c r="P2141" t="s">
        <v>257</v>
      </c>
    </row>
    <row r="2142" spans="1:16" hidden="1" x14ac:dyDescent="0.25">
      <c r="A2142" s="16">
        <v>45748</v>
      </c>
      <c r="B2142" t="s">
        <v>120</v>
      </c>
      <c r="C2142">
        <v>68</v>
      </c>
      <c r="D2142" t="s">
        <v>253</v>
      </c>
      <c r="E2142" t="s">
        <v>248</v>
      </c>
      <c r="F2142" t="s">
        <v>244</v>
      </c>
      <c r="G2142" t="s">
        <v>82</v>
      </c>
      <c r="J2142" t="s">
        <v>196</v>
      </c>
      <c r="K2142" t="s">
        <v>255</v>
      </c>
      <c r="L2142">
        <v>1570000000</v>
      </c>
      <c r="M2142" t="s">
        <v>245</v>
      </c>
      <c r="N2142" t="s">
        <v>1722</v>
      </c>
      <c r="O2142">
        <v>1</v>
      </c>
      <c r="P2142" t="s">
        <v>261</v>
      </c>
    </row>
    <row r="2143" spans="1:16" hidden="1" x14ac:dyDescent="0.25">
      <c r="A2143" s="16">
        <v>45748</v>
      </c>
      <c r="B2143" t="s">
        <v>120</v>
      </c>
      <c r="C2143">
        <v>68</v>
      </c>
      <c r="D2143" t="s">
        <v>247</v>
      </c>
      <c r="E2143" t="s">
        <v>248</v>
      </c>
      <c r="F2143" t="s">
        <v>244</v>
      </c>
      <c r="G2143" t="s">
        <v>82</v>
      </c>
      <c r="H2143" t="s">
        <v>286</v>
      </c>
      <c r="J2143" t="s">
        <v>196</v>
      </c>
      <c r="K2143" t="s">
        <v>250</v>
      </c>
      <c r="L2143">
        <v>38.200000000000003</v>
      </c>
      <c r="M2143" t="s">
        <v>251</v>
      </c>
      <c r="N2143" t="s">
        <v>1723</v>
      </c>
    </row>
    <row r="2144" spans="1:16" hidden="1" x14ac:dyDescent="0.25">
      <c r="A2144" s="16">
        <v>45748</v>
      </c>
      <c r="B2144" t="s">
        <v>120</v>
      </c>
      <c r="C2144">
        <v>69</v>
      </c>
      <c r="D2144" t="s">
        <v>291</v>
      </c>
      <c r="E2144" t="s">
        <v>292</v>
      </c>
      <c r="F2144" t="s">
        <v>244</v>
      </c>
      <c r="G2144" t="s">
        <v>82</v>
      </c>
      <c r="H2144" t="s">
        <v>140</v>
      </c>
      <c r="J2144" t="s">
        <v>196</v>
      </c>
      <c r="K2144" t="s">
        <v>250</v>
      </c>
      <c r="L2144">
        <v>15000000</v>
      </c>
      <c r="M2144" t="s">
        <v>245</v>
      </c>
      <c r="N2144" t="s">
        <v>1018</v>
      </c>
    </row>
    <row r="2145" spans="1:16" hidden="1" x14ac:dyDescent="0.25">
      <c r="A2145" s="16">
        <v>45748</v>
      </c>
      <c r="B2145" t="s">
        <v>120</v>
      </c>
      <c r="C2145">
        <v>69</v>
      </c>
      <c r="D2145" t="s">
        <v>291</v>
      </c>
      <c r="E2145" t="s">
        <v>292</v>
      </c>
      <c r="F2145" t="s">
        <v>244</v>
      </c>
      <c r="G2145" t="s">
        <v>82</v>
      </c>
      <c r="H2145" t="s">
        <v>126</v>
      </c>
      <c r="J2145" t="s">
        <v>196</v>
      </c>
      <c r="K2145" t="s">
        <v>250</v>
      </c>
      <c r="L2145">
        <v>11000000</v>
      </c>
      <c r="M2145" t="s">
        <v>245</v>
      </c>
      <c r="N2145" t="s">
        <v>830</v>
      </c>
    </row>
    <row r="2146" spans="1:16" hidden="1" x14ac:dyDescent="0.25">
      <c r="A2146" s="16">
        <v>45748</v>
      </c>
      <c r="B2146" t="s">
        <v>120</v>
      </c>
      <c r="C2146">
        <v>69</v>
      </c>
      <c r="D2146" t="s">
        <v>291</v>
      </c>
      <c r="E2146" t="s">
        <v>292</v>
      </c>
      <c r="F2146" t="s">
        <v>244</v>
      </c>
      <c r="G2146" t="s">
        <v>82</v>
      </c>
      <c r="H2146" t="s">
        <v>127</v>
      </c>
      <c r="J2146" t="s">
        <v>196</v>
      </c>
      <c r="K2146" t="s">
        <v>250</v>
      </c>
      <c r="L2146">
        <v>56000000</v>
      </c>
      <c r="M2146" t="s">
        <v>245</v>
      </c>
      <c r="N2146" t="s">
        <v>1724</v>
      </c>
    </row>
    <row r="2147" spans="1:16" hidden="1" x14ac:dyDescent="0.25">
      <c r="A2147" s="16">
        <v>45748</v>
      </c>
      <c r="B2147" t="s">
        <v>120</v>
      </c>
      <c r="C2147">
        <v>69</v>
      </c>
      <c r="D2147" t="s">
        <v>291</v>
      </c>
      <c r="E2147" t="s">
        <v>292</v>
      </c>
      <c r="F2147" t="s">
        <v>244</v>
      </c>
      <c r="G2147" t="s">
        <v>82</v>
      </c>
      <c r="H2147" t="s">
        <v>128</v>
      </c>
      <c r="J2147" t="s">
        <v>196</v>
      </c>
      <c r="K2147" t="s">
        <v>250</v>
      </c>
      <c r="L2147">
        <v>16000000</v>
      </c>
      <c r="M2147" t="s">
        <v>245</v>
      </c>
      <c r="N2147" t="s">
        <v>1185</v>
      </c>
    </row>
    <row r="2148" spans="1:16" hidden="1" x14ac:dyDescent="0.25">
      <c r="A2148" s="16">
        <v>45748</v>
      </c>
      <c r="B2148" t="s">
        <v>120</v>
      </c>
      <c r="C2148">
        <v>69</v>
      </c>
      <c r="D2148" t="s">
        <v>291</v>
      </c>
      <c r="E2148" t="s">
        <v>292</v>
      </c>
      <c r="F2148" t="s">
        <v>244</v>
      </c>
      <c r="G2148" t="s">
        <v>82</v>
      </c>
      <c r="H2148" t="s">
        <v>129</v>
      </c>
      <c r="J2148" t="s">
        <v>196</v>
      </c>
      <c r="K2148" t="s">
        <v>250</v>
      </c>
      <c r="L2148">
        <v>1077000000</v>
      </c>
      <c r="M2148" t="s">
        <v>245</v>
      </c>
      <c r="N2148" t="s">
        <v>1725</v>
      </c>
    </row>
    <row r="2149" spans="1:16" hidden="1" x14ac:dyDescent="0.25">
      <c r="A2149" s="16">
        <v>45748</v>
      </c>
      <c r="B2149" t="s">
        <v>120</v>
      </c>
      <c r="C2149">
        <v>69</v>
      </c>
      <c r="D2149" t="s">
        <v>291</v>
      </c>
      <c r="E2149" t="s">
        <v>292</v>
      </c>
      <c r="F2149" t="s">
        <v>244</v>
      </c>
      <c r="G2149" t="s">
        <v>82</v>
      </c>
      <c r="H2149" t="s">
        <v>130</v>
      </c>
      <c r="J2149" t="s">
        <v>196</v>
      </c>
      <c r="K2149" t="s">
        <v>250</v>
      </c>
      <c r="L2149">
        <v>35000000</v>
      </c>
      <c r="M2149" t="s">
        <v>245</v>
      </c>
      <c r="N2149" t="s">
        <v>1726</v>
      </c>
    </row>
    <row r="2150" spans="1:16" hidden="1" x14ac:dyDescent="0.25">
      <c r="A2150" s="16">
        <v>45748</v>
      </c>
      <c r="B2150" t="s">
        <v>120</v>
      </c>
      <c r="C2150">
        <v>69</v>
      </c>
      <c r="D2150" t="s">
        <v>291</v>
      </c>
      <c r="E2150" t="s">
        <v>292</v>
      </c>
      <c r="F2150" t="s">
        <v>244</v>
      </c>
      <c r="G2150" t="s">
        <v>82</v>
      </c>
      <c r="H2150" t="s">
        <v>131</v>
      </c>
      <c r="J2150" t="s">
        <v>196</v>
      </c>
      <c r="K2150" t="s">
        <v>250</v>
      </c>
      <c r="L2150">
        <v>12000000</v>
      </c>
      <c r="M2150" t="s">
        <v>245</v>
      </c>
      <c r="N2150" t="s">
        <v>409</v>
      </c>
    </row>
    <row r="2151" spans="1:16" hidden="1" x14ac:dyDescent="0.25">
      <c r="A2151" s="16">
        <v>45748</v>
      </c>
      <c r="B2151" t="s">
        <v>120</v>
      </c>
      <c r="C2151">
        <v>69</v>
      </c>
      <c r="D2151" t="s">
        <v>291</v>
      </c>
      <c r="E2151" t="s">
        <v>292</v>
      </c>
      <c r="F2151" t="s">
        <v>244</v>
      </c>
      <c r="G2151" t="s">
        <v>82</v>
      </c>
      <c r="H2151" t="s">
        <v>132</v>
      </c>
      <c r="J2151" t="s">
        <v>196</v>
      </c>
      <c r="K2151" t="s">
        <v>250</v>
      </c>
      <c r="L2151">
        <v>5000000</v>
      </c>
      <c r="M2151" t="s">
        <v>245</v>
      </c>
      <c r="N2151" t="s">
        <v>654</v>
      </c>
    </row>
    <row r="2152" spans="1:16" hidden="1" x14ac:dyDescent="0.25">
      <c r="A2152" s="16">
        <v>45748</v>
      </c>
      <c r="B2152" t="s">
        <v>120</v>
      </c>
      <c r="C2152">
        <v>69</v>
      </c>
      <c r="D2152" t="s">
        <v>291</v>
      </c>
      <c r="E2152" t="s">
        <v>292</v>
      </c>
      <c r="F2152" t="s">
        <v>244</v>
      </c>
      <c r="G2152" t="s">
        <v>82</v>
      </c>
      <c r="H2152" t="s">
        <v>133</v>
      </c>
      <c r="J2152" t="s">
        <v>196</v>
      </c>
      <c r="K2152" t="s">
        <v>250</v>
      </c>
      <c r="L2152">
        <v>259000000</v>
      </c>
      <c r="M2152" t="s">
        <v>245</v>
      </c>
      <c r="N2152" t="s">
        <v>1727</v>
      </c>
    </row>
    <row r="2153" spans="1:16" hidden="1" x14ac:dyDescent="0.25">
      <c r="A2153" s="16">
        <v>45748</v>
      </c>
      <c r="B2153" t="s">
        <v>120</v>
      </c>
      <c r="C2153">
        <v>69</v>
      </c>
      <c r="D2153" t="s">
        <v>291</v>
      </c>
      <c r="E2153" t="s">
        <v>292</v>
      </c>
      <c r="F2153" t="s">
        <v>244</v>
      </c>
      <c r="G2153" t="s">
        <v>82</v>
      </c>
      <c r="H2153" t="s">
        <v>134</v>
      </c>
      <c r="J2153" t="s">
        <v>196</v>
      </c>
      <c r="K2153" t="s">
        <v>250</v>
      </c>
      <c r="L2153">
        <v>74000000</v>
      </c>
      <c r="M2153" t="s">
        <v>245</v>
      </c>
      <c r="N2153" t="s">
        <v>1728</v>
      </c>
    </row>
    <row r="2154" spans="1:16" hidden="1" x14ac:dyDescent="0.25">
      <c r="A2154" s="16">
        <v>45748</v>
      </c>
      <c r="B2154" t="s">
        <v>120</v>
      </c>
      <c r="C2154">
        <v>70</v>
      </c>
      <c r="D2154" t="s">
        <v>291</v>
      </c>
      <c r="E2154" t="s">
        <v>292</v>
      </c>
      <c r="F2154" t="s">
        <v>244</v>
      </c>
      <c r="G2154" t="s">
        <v>82</v>
      </c>
      <c r="H2154" t="s">
        <v>137</v>
      </c>
      <c r="J2154" t="s">
        <v>196</v>
      </c>
      <c r="K2154" t="s">
        <v>250</v>
      </c>
      <c r="L2154">
        <v>282800000</v>
      </c>
      <c r="M2154" t="s">
        <v>245</v>
      </c>
      <c r="N2154" t="s">
        <v>1729</v>
      </c>
    </row>
    <row r="2155" spans="1:16" hidden="1" x14ac:dyDescent="0.25">
      <c r="A2155" s="16">
        <v>45748</v>
      </c>
      <c r="B2155" t="s">
        <v>120</v>
      </c>
      <c r="C2155">
        <v>70</v>
      </c>
      <c r="D2155" t="s">
        <v>291</v>
      </c>
      <c r="E2155" t="s">
        <v>292</v>
      </c>
      <c r="F2155" t="s">
        <v>244</v>
      </c>
      <c r="G2155" t="s">
        <v>82</v>
      </c>
      <c r="H2155" t="s">
        <v>138</v>
      </c>
      <c r="J2155" t="s">
        <v>196</v>
      </c>
      <c r="K2155" t="s">
        <v>250</v>
      </c>
      <c r="L2155">
        <v>1280000000</v>
      </c>
      <c r="M2155" t="s">
        <v>245</v>
      </c>
      <c r="N2155" t="s">
        <v>1390</v>
      </c>
    </row>
    <row r="2156" spans="1:16" hidden="1" x14ac:dyDescent="0.25">
      <c r="A2156" s="16">
        <v>45748</v>
      </c>
      <c r="B2156" t="s">
        <v>120</v>
      </c>
      <c r="C2156">
        <v>71</v>
      </c>
      <c r="D2156" t="s">
        <v>253</v>
      </c>
      <c r="E2156" t="s">
        <v>248</v>
      </c>
      <c r="F2156" t="s">
        <v>334</v>
      </c>
      <c r="G2156" t="s">
        <v>82</v>
      </c>
      <c r="J2156" t="s">
        <v>194</v>
      </c>
      <c r="K2156" t="s">
        <v>255</v>
      </c>
      <c r="L2156">
        <v>209</v>
      </c>
      <c r="M2156" t="s">
        <v>245</v>
      </c>
      <c r="N2156" t="s">
        <v>1024</v>
      </c>
      <c r="O2156">
        <v>1</v>
      </c>
      <c r="P2156" t="s">
        <v>257</v>
      </c>
    </row>
    <row r="2157" spans="1:16" hidden="1" x14ac:dyDescent="0.25">
      <c r="A2157" s="16">
        <v>45748</v>
      </c>
      <c r="B2157" t="s">
        <v>120</v>
      </c>
      <c r="C2157">
        <v>71</v>
      </c>
      <c r="D2157" t="s">
        <v>253</v>
      </c>
      <c r="E2157" t="s">
        <v>248</v>
      </c>
      <c r="F2157" t="s">
        <v>334</v>
      </c>
      <c r="G2157" t="s">
        <v>82</v>
      </c>
      <c r="J2157" t="s">
        <v>195</v>
      </c>
      <c r="K2157" t="s">
        <v>255</v>
      </c>
      <c r="L2157">
        <v>206</v>
      </c>
      <c r="M2157" t="s">
        <v>245</v>
      </c>
      <c r="N2157" t="s">
        <v>1558</v>
      </c>
      <c r="O2157">
        <v>1</v>
      </c>
      <c r="P2157" t="s">
        <v>257</v>
      </c>
    </row>
    <row r="2158" spans="1:16" hidden="1" x14ac:dyDescent="0.25">
      <c r="A2158" s="16">
        <v>45748</v>
      </c>
      <c r="B2158" t="s">
        <v>120</v>
      </c>
      <c r="C2158">
        <v>71</v>
      </c>
      <c r="D2158" t="s">
        <v>253</v>
      </c>
      <c r="E2158" t="s">
        <v>248</v>
      </c>
      <c r="F2158" t="s">
        <v>334</v>
      </c>
      <c r="G2158" t="s">
        <v>82</v>
      </c>
      <c r="J2158" t="s">
        <v>196</v>
      </c>
      <c r="K2158" t="s">
        <v>255</v>
      </c>
      <c r="L2158">
        <v>240</v>
      </c>
      <c r="M2158" t="s">
        <v>245</v>
      </c>
      <c r="N2158" t="s">
        <v>1730</v>
      </c>
      <c r="O2158">
        <v>1</v>
      </c>
      <c r="P2158" t="s">
        <v>261</v>
      </c>
    </row>
    <row r="2159" spans="1:16" hidden="1" x14ac:dyDescent="0.25">
      <c r="A2159" s="16">
        <v>45748</v>
      </c>
      <c r="B2159" t="s">
        <v>1192</v>
      </c>
      <c r="C2159">
        <v>55</v>
      </c>
      <c r="D2159" t="s">
        <v>238</v>
      </c>
      <c r="E2159" t="s">
        <v>239</v>
      </c>
      <c r="F2159" t="s">
        <v>240</v>
      </c>
      <c r="G2159" t="s">
        <v>82</v>
      </c>
      <c r="H2159" t="s">
        <v>184</v>
      </c>
      <c r="J2159" t="s">
        <v>196</v>
      </c>
      <c r="K2159" t="s">
        <v>241</v>
      </c>
      <c r="L2159">
        <v>43850000</v>
      </c>
      <c r="M2159" t="s">
        <v>242</v>
      </c>
      <c r="N2159" t="s">
        <v>1670</v>
      </c>
    </row>
    <row r="2160" spans="1:16" hidden="1" x14ac:dyDescent="0.25">
      <c r="A2160" s="16">
        <v>45748</v>
      </c>
      <c r="B2160" t="s">
        <v>1192</v>
      </c>
      <c r="C2160">
        <v>55</v>
      </c>
      <c r="D2160" t="s">
        <v>238</v>
      </c>
      <c r="E2160" t="s">
        <v>239</v>
      </c>
      <c r="F2160" t="s">
        <v>240</v>
      </c>
      <c r="G2160" t="s">
        <v>82</v>
      </c>
      <c r="H2160" t="s">
        <v>185</v>
      </c>
      <c r="J2160" t="s">
        <v>196</v>
      </c>
      <c r="K2160" t="s">
        <v>241</v>
      </c>
      <c r="L2160">
        <v>26580000</v>
      </c>
      <c r="M2160" t="s">
        <v>242</v>
      </c>
      <c r="N2160" t="s">
        <v>1731</v>
      </c>
    </row>
    <row r="2161" spans="1:14" hidden="1" x14ac:dyDescent="0.25">
      <c r="A2161" s="16">
        <v>45748</v>
      </c>
      <c r="B2161" t="s">
        <v>1192</v>
      </c>
      <c r="C2161">
        <v>55</v>
      </c>
      <c r="D2161" t="s">
        <v>238</v>
      </c>
      <c r="E2161" t="s">
        <v>239</v>
      </c>
      <c r="F2161" t="s">
        <v>1194</v>
      </c>
      <c r="G2161" t="s">
        <v>82</v>
      </c>
      <c r="J2161" t="s">
        <v>196</v>
      </c>
      <c r="K2161" t="s">
        <v>241</v>
      </c>
      <c r="L2161">
        <v>70430000</v>
      </c>
      <c r="M2161" t="s">
        <v>242</v>
      </c>
      <c r="N2161" t="s">
        <v>1732</v>
      </c>
    </row>
    <row r="2162" spans="1:14" hidden="1" x14ac:dyDescent="0.25">
      <c r="A2162" s="16">
        <v>45748</v>
      </c>
      <c r="B2162" t="s">
        <v>1192</v>
      </c>
      <c r="C2162">
        <v>55</v>
      </c>
      <c r="D2162" t="s">
        <v>238</v>
      </c>
      <c r="E2162" t="s">
        <v>239</v>
      </c>
      <c r="F2162" t="s">
        <v>1196</v>
      </c>
      <c r="G2162" t="s">
        <v>82</v>
      </c>
      <c r="J2162" t="s">
        <v>196</v>
      </c>
      <c r="K2162" t="s">
        <v>241</v>
      </c>
      <c r="L2162">
        <v>7560000000</v>
      </c>
      <c r="M2162" t="s">
        <v>245</v>
      </c>
      <c r="N2162" t="s">
        <v>1733</v>
      </c>
    </row>
    <row r="2163" spans="1:14" hidden="1" x14ac:dyDescent="0.25">
      <c r="A2163" s="16">
        <v>45748</v>
      </c>
      <c r="B2163" t="s">
        <v>1192</v>
      </c>
      <c r="C2163">
        <v>55</v>
      </c>
      <c r="D2163" t="s">
        <v>238</v>
      </c>
      <c r="E2163" t="s">
        <v>239</v>
      </c>
      <c r="F2163" t="s">
        <v>244</v>
      </c>
      <c r="G2163" t="s">
        <v>82</v>
      </c>
      <c r="H2163" t="s">
        <v>184</v>
      </c>
      <c r="J2163" t="s">
        <v>196</v>
      </c>
      <c r="K2163" t="s">
        <v>241</v>
      </c>
      <c r="L2163">
        <v>5660000000</v>
      </c>
      <c r="M2163" t="s">
        <v>245</v>
      </c>
      <c r="N2163" t="s">
        <v>1671</v>
      </c>
    </row>
    <row r="2164" spans="1:14" hidden="1" x14ac:dyDescent="0.25">
      <c r="A2164" s="16">
        <v>45748</v>
      </c>
      <c r="B2164" t="s">
        <v>1192</v>
      </c>
      <c r="C2164">
        <v>55</v>
      </c>
      <c r="D2164" t="s">
        <v>238</v>
      </c>
      <c r="E2164" t="s">
        <v>239</v>
      </c>
      <c r="F2164" t="s">
        <v>244</v>
      </c>
      <c r="G2164" t="s">
        <v>82</v>
      </c>
      <c r="H2164" t="s">
        <v>185</v>
      </c>
      <c r="J2164" t="s">
        <v>196</v>
      </c>
      <c r="K2164" t="s">
        <v>241</v>
      </c>
      <c r="L2164">
        <v>1910000000</v>
      </c>
      <c r="M2164" t="s">
        <v>245</v>
      </c>
      <c r="N2164" t="s">
        <v>1734</v>
      </c>
    </row>
    <row r="2165" spans="1:14" hidden="1" x14ac:dyDescent="0.25">
      <c r="A2165" s="16">
        <v>45748</v>
      </c>
      <c r="B2165" t="s">
        <v>1192</v>
      </c>
      <c r="C2165">
        <v>56</v>
      </c>
      <c r="D2165" t="s">
        <v>291</v>
      </c>
      <c r="E2165" t="s">
        <v>292</v>
      </c>
      <c r="F2165" t="s">
        <v>1199</v>
      </c>
      <c r="G2165" t="s">
        <v>63</v>
      </c>
      <c r="H2165" t="s">
        <v>1200</v>
      </c>
      <c r="J2165" t="s">
        <v>196</v>
      </c>
      <c r="K2165" t="s">
        <v>241</v>
      </c>
      <c r="L2165">
        <v>899000</v>
      </c>
      <c r="M2165" t="s">
        <v>242</v>
      </c>
      <c r="N2165" t="s">
        <v>1735</v>
      </c>
    </row>
    <row r="2166" spans="1:14" hidden="1" x14ac:dyDescent="0.25">
      <c r="A2166" s="16">
        <v>45748</v>
      </c>
      <c r="B2166" t="s">
        <v>1192</v>
      </c>
      <c r="C2166">
        <v>56</v>
      </c>
      <c r="D2166" t="s">
        <v>291</v>
      </c>
      <c r="E2166" t="s">
        <v>292</v>
      </c>
      <c r="F2166" t="s">
        <v>1199</v>
      </c>
      <c r="G2166" t="s">
        <v>63</v>
      </c>
      <c r="H2166" t="s">
        <v>1202</v>
      </c>
      <c r="J2166" t="s">
        <v>196</v>
      </c>
      <c r="K2166" t="s">
        <v>241</v>
      </c>
      <c r="L2166">
        <v>915000</v>
      </c>
      <c r="M2166" t="s">
        <v>242</v>
      </c>
      <c r="N2166" t="s">
        <v>1736</v>
      </c>
    </row>
    <row r="2167" spans="1:14" hidden="1" x14ac:dyDescent="0.25">
      <c r="A2167" s="16">
        <v>45748</v>
      </c>
      <c r="B2167" t="s">
        <v>1192</v>
      </c>
      <c r="C2167">
        <v>56</v>
      </c>
      <c r="D2167" t="s">
        <v>291</v>
      </c>
      <c r="E2167" t="s">
        <v>292</v>
      </c>
      <c r="F2167" t="s">
        <v>1199</v>
      </c>
      <c r="G2167" t="s">
        <v>63</v>
      </c>
      <c r="H2167" t="s">
        <v>1204</v>
      </c>
      <c r="J2167" t="s">
        <v>196</v>
      </c>
      <c r="K2167" t="s">
        <v>241</v>
      </c>
      <c r="L2167">
        <v>1735000</v>
      </c>
      <c r="M2167" t="s">
        <v>242</v>
      </c>
      <c r="N2167" t="s">
        <v>1737</v>
      </c>
    </row>
    <row r="2168" spans="1:14" hidden="1" x14ac:dyDescent="0.25">
      <c r="A2168" s="16">
        <v>45748</v>
      </c>
      <c r="B2168" t="s">
        <v>1192</v>
      </c>
      <c r="C2168">
        <v>56</v>
      </c>
      <c r="D2168" t="s">
        <v>238</v>
      </c>
      <c r="E2168" t="s">
        <v>239</v>
      </c>
      <c r="F2168" t="s">
        <v>1206</v>
      </c>
      <c r="G2168" t="s">
        <v>63</v>
      </c>
      <c r="H2168" t="s">
        <v>1207</v>
      </c>
      <c r="J2168" t="s">
        <v>196</v>
      </c>
      <c r="K2168" t="s">
        <v>241</v>
      </c>
      <c r="L2168">
        <v>3600000</v>
      </c>
      <c r="M2168" t="s">
        <v>242</v>
      </c>
      <c r="N2168" t="s">
        <v>1738</v>
      </c>
    </row>
    <row r="2169" spans="1:14" hidden="1" x14ac:dyDescent="0.25">
      <c r="A2169" s="16">
        <v>45748</v>
      </c>
      <c r="B2169" t="s">
        <v>1192</v>
      </c>
      <c r="C2169">
        <v>57</v>
      </c>
      <c r="D2169" t="s">
        <v>291</v>
      </c>
      <c r="E2169" t="s">
        <v>292</v>
      </c>
      <c r="F2169" t="s">
        <v>240</v>
      </c>
      <c r="G2169" t="s">
        <v>82</v>
      </c>
      <c r="H2169" t="s">
        <v>184</v>
      </c>
      <c r="J2169" t="s">
        <v>196</v>
      </c>
      <c r="K2169" t="s">
        <v>250</v>
      </c>
      <c r="L2169">
        <v>11520000</v>
      </c>
      <c r="M2169" t="s">
        <v>242</v>
      </c>
      <c r="N2169" t="s">
        <v>1682</v>
      </c>
    </row>
    <row r="2170" spans="1:14" hidden="1" x14ac:dyDescent="0.25">
      <c r="A2170" s="16">
        <v>45748</v>
      </c>
      <c r="B2170" t="s">
        <v>1192</v>
      </c>
      <c r="C2170">
        <v>57</v>
      </c>
      <c r="D2170" t="s">
        <v>291</v>
      </c>
      <c r="E2170" t="s">
        <v>292</v>
      </c>
      <c r="F2170" t="s">
        <v>240</v>
      </c>
      <c r="G2170" t="s">
        <v>82</v>
      </c>
      <c r="H2170" t="s">
        <v>185</v>
      </c>
      <c r="J2170" t="s">
        <v>196</v>
      </c>
      <c r="K2170" t="s">
        <v>250</v>
      </c>
      <c r="L2170">
        <v>6990000</v>
      </c>
      <c r="M2170" t="s">
        <v>242</v>
      </c>
      <c r="N2170" t="s">
        <v>1739</v>
      </c>
    </row>
    <row r="2171" spans="1:14" hidden="1" x14ac:dyDescent="0.25">
      <c r="A2171" s="16">
        <v>45748</v>
      </c>
      <c r="B2171" t="s">
        <v>1192</v>
      </c>
      <c r="C2171">
        <v>57</v>
      </c>
      <c r="D2171" t="s">
        <v>238</v>
      </c>
      <c r="E2171" t="s">
        <v>239</v>
      </c>
      <c r="F2171" t="s">
        <v>1194</v>
      </c>
      <c r="G2171" t="s">
        <v>82</v>
      </c>
      <c r="J2171" t="s">
        <v>196</v>
      </c>
      <c r="K2171" t="s">
        <v>250</v>
      </c>
      <c r="L2171">
        <v>18510000</v>
      </c>
      <c r="M2171" t="s">
        <v>242</v>
      </c>
      <c r="N2171" t="s">
        <v>1740</v>
      </c>
    </row>
    <row r="2172" spans="1:14" hidden="1" x14ac:dyDescent="0.25">
      <c r="A2172" s="16">
        <v>45748</v>
      </c>
      <c r="B2172" t="s">
        <v>1192</v>
      </c>
      <c r="C2172">
        <v>58</v>
      </c>
      <c r="D2172" t="s">
        <v>238</v>
      </c>
      <c r="E2172" t="s">
        <v>239</v>
      </c>
      <c r="F2172" t="s">
        <v>1196</v>
      </c>
      <c r="G2172" t="s">
        <v>82</v>
      </c>
      <c r="J2172" t="s">
        <v>196</v>
      </c>
      <c r="K2172" t="s">
        <v>250</v>
      </c>
      <c r="L2172">
        <v>1950000000</v>
      </c>
      <c r="M2172" t="s">
        <v>245</v>
      </c>
      <c r="N2172" t="s">
        <v>1741</v>
      </c>
    </row>
    <row r="2173" spans="1:14" hidden="1" x14ac:dyDescent="0.25">
      <c r="A2173" s="16">
        <v>45748</v>
      </c>
      <c r="B2173" t="s">
        <v>1192</v>
      </c>
      <c r="C2173">
        <v>58</v>
      </c>
      <c r="D2173" t="s">
        <v>291</v>
      </c>
      <c r="E2173" t="s">
        <v>292</v>
      </c>
      <c r="F2173" t="s">
        <v>244</v>
      </c>
      <c r="G2173" t="s">
        <v>82</v>
      </c>
      <c r="H2173" t="s">
        <v>184</v>
      </c>
      <c r="J2173" t="s">
        <v>196</v>
      </c>
      <c r="K2173" t="s">
        <v>250</v>
      </c>
      <c r="L2173">
        <v>1480000000</v>
      </c>
      <c r="M2173" t="s">
        <v>245</v>
      </c>
      <c r="N2173" t="s">
        <v>1742</v>
      </c>
    </row>
    <row r="2174" spans="1:14" hidden="1" x14ac:dyDescent="0.25">
      <c r="A2174" s="16">
        <v>45748</v>
      </c>
      <c r="B2174" t="s">
        <v>1192</v>
      </c>
      <c r="C2174">
        <v>58</v>
      </c>
      <c r="D2174" t="s">
        <v>291</v>
      </c>
      <c r="E2174" t="s">
        <v>292</v>
      </c>
      <c r="F2174" t="s">
        <v>244</v>
      </c>
      <c r="G2174" t="s">
        <v>82</v>
      </c>
      <c r="H2174" t="s">
        <v>185</v>
      </c>
      <c r="J2174" t="s">
        <v>196</v>
      </c>
      <c r="K2174" t="s">
        <v>250</v>
      </c>
      <c r="L2174">
        <v>470000000</v>
      </c>
      <c r="M2174" t="s">
        <v>245</v>
      </c>
      <c r="N2174" t="s">
        <v>1209</v>
      </c>
    </row>
    <row r="2175" spans="1:14" hidden="1" x14ac:dyDescent="0.25">
      <c r="A2175" s="16">
        <v>45748</v>
      </c>
      <c r="B2175" t="s">
        <v>1192</v>
      </c>
      <c r="C2175">
        <v>59</v>
      </c>
      <c r="D2175" t="s">
        <v>291</v>
      </c>
      <c r="E2175" t="s">
        <v>292</v>
      </c>
      <c r="F2175" t="s">
        <v>1210</v>
      </c>
      <c r="G2175" t="s">
        <v>82</v>
      </c>
      <c r="H2175" t="s">
        <v>184</v>
      </c>
      <c r="J2175" t="s">
        <v>196</v>
      </c>
      <c r="K2175" t="s">
        <v>250</v>
      </c>
      <c r="L2175">
        <v>128.80000000000001</v>
      </c>
      <c r="M2175" t="s">
        <v>245</v>
      </c>
      <c r="N2175" t="s">
        <v>1743</v>
      </c>
    </row>
    <row r="2176" spans="1:14" hidden="1" x14ac:dyDescent="0.25">
      <c r="A2176" s="16">
        <v>45748</v>
      </c>
      <c r="B2176" t="s">
        <v>1192</v>
      </c>
      <c r="C2176">
        <v>59</v>
      </c>
      <c r="D2176" t="s">
        <v>291</v>
      </c>
      <c r="E2176" t="s">
        <v>292</v>
      </c>
      <c r="F2176" t="s">
        <v>1210</v>
      </c>
      <c r="G2176" t="s">
        <v>82</v>
      </c>
      <c r="H2176" t="s">
        <v>185</v>
      </c>
      <c r="J2176" t="s">
        <v>196</v>
      </c>
      <c r="K2176" t="s">
        <v>250</v>
      </c>
      <c r="L2176">
        <v>67.099999999999994</v>
      </c>
      <c r="M2176" t="s">
        <v>245</v>
      </c>
      <c r="N2176" t="s">
        <v>1744</v>
      </c>
    </row>
    <row r="2177" spans="1:16" hidden="1" x14ac:dyDescent="0.25">
      <c r="A2177" s="16">
        <v>45748</v>
      </c>
      <c r="B2177" t="s">
        <v>1192</v>
      </c>
      <c r="C2177">
        <v>59</v>
      </c>
      <c r="D2177" t="s">
        <v>238</v>
      </c>
      <c r="E2177" t="s">
        <v>239</v>
      </c>
      <c r="F2177" t="s">
        <v>1213</v>
      </c>
      <c r="G2177" t="s">
        <v>82</v>
      </c>
      <c r="H2177" t="s">
        <v>1214</v>
      </c>
      <c r="J2177" t="s">
        <v>196</v>
      </c>
      <c r="K2177" t="s">
        <v>250</v>
      </c>
      <c r="L2177">
        <v>105.5</v>
      </c>
      <c r="M2177" t="s">
        <v>245</v>
      </c>
      <c r="N2177" t="s">
        <v>1745</v>
      </c>
    </row>
    <row r="2178" spans="1:16" hidden="1" x14ac:dyDescent="0.25">
      <c r="A2178" s="16">
        <v>45748</v>
      </c>
      <c r="B2178" t="s">
        <v>162</v>
      </c>
      <c r="C2178">
        <v>42</v>
      </c>
      <c r="D2178" t="s">
        <v>238</v>
      </c>
      <c r="E2178" t="s">
        <v>239</v>
      </c>
      <c r="F2178" t="s">
        <v>240</v>
      </c>
      <c r="G2178" t="s">
        <v>82</v>
      </c>
      <c r="J2178" t="s">
        <v>196</v>
      </c>
      <c r="K2178" t="s">
        <v>241</v>
      </c>
      <c r="L2178">
        <v>70430000</v>
      </c>
      <c r="M2178" t="s">
        <v>242</v>
      </c>
      <c r="N2178" t="s">
        <v>1732</v>
      </c>
    </row>
    <row r="2179" spans="1:16" hidden="1" x14ac:dyDescent="0.25">
      <c r="A2179" s="16">
        <v>45748</v>
      </c>
      <c r="B2179" t="s">
        <v>162</v>
      </c>
      <c r="C2179">
        <v>42</v>
      </c>
      <c r="D2179" t="s">
        <v>238</v>
      </c>
      <c r="E2179" t="s">
        <v>239</v>
      </c>
      <c r="F2179" t="s">
        <v>244</v>
      </c>
      <c r="G2179" t="s">
        <v>82</v>
      </c>
      <c r="J2179" t="s">
        <v>196</v>
      </c>
      <c r="K2179" t="s">
        <v>241</v>
      </c>
      <c r="L2179">
        <v>7560000000</v>
      </c>
      <c r="M2179" t="s">
        <v>245</v>
      </c>
      <c r="N2179" t="s">
        <v>1733</v>
      </c>
    </row>
    <row r="2180" spans="1:16" hidden="1" x14ac:dyDescent="0.25">
      <c r="A2180" s="16">
        <v>45748</v>
      </c>
      <c r="B2180" t="s">
        <v>162</v>
      </c>
      <c r="C2180">
        <v>43</v>
      </c>
      <c r="D2180" t="s">
        <v>253</v>
      </c>
      <c r="E2180" t="s">
        <v>248</v>
      </c>
      <c r="F2180" t="s">
        <v>240</v>
      </c>
      <c r="G2180" t="s">
        <v>82</v>
      </c>
      <c r="J2180" t="s">
        <v>194</v>
      </c>
      <c r="K2180" t="s">
        <v>255</v>
      </c>
      <c r="L2180">
        <v>15790000</v>
      </c>
      <c r="M2180" t="s">
        <v>242</v>
      </c>
      <c r="N2180" t="s">
        <v>1395</v>
      </c>
      <c r="O2180">
        <v>1</v>
      </c>
      <c r="P2180" t="s">
        <v>257</v>
      </c>
    </row>
    <row r="2181" spans="1:16" hidden="1" x14ac:dyDescent="0.25">
      <c r="A2181" s="16">
        <v>45748</v>
      </c>
      <c r="B2181" t="s">
        <v>162</v>
      </c>
      <c r="C2181">
        <v>43</v>
      </c>
      <c r="D2181" t="s">
        <v>253</v>
      </c>
      <c r="E2181" t="s">
        <v>248</v>
      </c>
      <c r="F2181" t="s">
        <v>240</v>
      </c>
      <c r="G2181" t="s">
        <v>82</v>
      </c>
      <c r="J2181" t="s">
        <v>195</v>
      </c>
      <c r="K2181" t="s">
        <v>255</v>
      </c>
      <c r="L2181">
        <v>19410000</v>
      </c>
      <c r="M2181" t="s">
        <v>242</v>
      </c>
      <c r="N2181" t="s">
        <v>1573</v>
      </c>
      <c r="O2181">
        <v>1</v>
      </c>
      <c r="P2181" t="s">
        <v>257</v>
      </c>
    </row>
    <row r="2182" spans="1:16" hidden="1" x14ac:dyDescent="0.25">
      <c r="A2182" s="16">
        <v>45748</v>
      </c>
      <c r="B2182" t="s">
        <v>162</v>
      </c>
      <c r="C2182">
        <v>43</v>
      </c>
      <c r="D2182" t="s">
        <v>253</v>
      </c>
      <c r="E2182" t="s">
        <v>248</v>
      </c>
      <c r="F2182" t="s">
        <v>240</v>
      </c>
      <c r="G2182" t="s">
        <v>82</v>
      </c>
      <c r="J2182" t="s">
        <v>196</v>
      </c>
      <c r="K2182" t="s">
        <v>255</v>
      </c>
      <c r="L2182">
        <v>18510000</v>
      </c>
      <c r="M2182" t="s">
        <v>242</v>
      </c>
      <c r="N2182" t="s">
        <v>1746</v>
      </c>
      <c r="O2182">
        <v>1</v>
      </c>
      <c r="P2182" t="s">
        <v>261</v>
      </c>
    </row>
    <row r="2183" spans="1:16" hidden="1" x14ac:dyDescent="0.25">
      <c r="A2183" s="16">
        <v>45748</v>
      </c>
      <c r="B2183" t="s">
        <v>162</v>
      </c>
      <c r="C2183">
        <v>43</v>
      </c>
      <c r="D2183" t="s">
        <v>247</v>
      </c>
      <c r="E2183" t="s">
        <v>248</v>
      </c>
      <c r="F2183" t="s">
        <v>240</v>
      </c>
      <c r="G2183" t="s">
        <v>82</v>
      </c>
      <c r="H2183" t="s">
        <v>249</v>
      </c>
      <c r="J2183" t="s">
        <v>196</v>
      </c>
      <c r="K2183" t="s">
        <v>250</v>
      </c>
      <c r="L2183">
        <v>4.5999999999999996</v>
      </c>
      <c r="M2183" t="s">
        <v>251</v>
      </c>
      <c r="N2183" t="s">
        <v>1747</v>
      </c>
    </row>
    <row r="2184" spans="1:16" hidden="1" x14ac:dyDescent="0.25">
      <c r="A2184" s="16">
        <v>45748</v>
      </c>
      <c r="B2184" t="s">
        <v>162</v>
      </c>
      <c r="C2184">
        <v>44</v>
      </c>
      <c r="D2184" t="s">
        <v>291</v>
      </c>
      <c r="E2184" t="s">
        <v>292</v>
      </c>
      <c r="F2184" t="s">
        <v>240</v>
      </c>
      <c r="G2184" t="s">
        <v>82</v>
      </c>
      <c r="H2184" t="s">
        <v>170</v>
      </c>
      <c r="J2184" t="s">
        <v>196</v>
      </c>
      <c r="K2184" t="s">
        <v>250</v>
      </c>
      <c r="L2184">
        <v>8440</v>
      </c>
      <c r="M2184" t="s">
        <v>242</v>
      </c>
      <c r="N2184" t="s">
        <v>1748</v>
      </c>
    </row>
    <row r="2185" spans="1:16" hidden="1" x14ac:dyDescent="0.25">
      <c r="A2185" s="16">
        <v>45748</v>
      </c>
      <c r="B2185" t="s">
        <v>162</v>
      </c>
      <c r="C2185">
        <v>44</v>
      </c>
      <c r="D2185" t="s">
        <v>291</v>
      </c>
      <c r="E2185" t="s">
        <v>292</v>
      </c>
      <c r="F2185" t="s">
        <v>240</v>
      </c>
      <c r="G2185" t="s">
        <v>82</v>
      </c>
      <c r="H2185" t="s">
        <v>164</v>
      </c>
      <c r="J2185" t="s">
        <v>196</v>
      </c>
      <c r="K2185" t="s">
        <v>250</v>
      </c>
      <c r="L2185">
        <v>8150000</v>
      </c>
      <c r="M2185" t="s">
        <v>242</v>
      </c>
      <c r="N2185" t="s">
        <v>1749</v>
      </c>
    </row>
    <row r="2186" spans="1:16" hidden="1" x14ac:dyDescent="0.25">
      <c r="A2186" s="16">
        <v>45748</v>
      </c>
      <c r="B2186" t="s">
        <v>162</v>
      </c>
      <c r="C2186">
        <v>44</v>
      </c>
      <c r="D2186" t="s">
        <v>291</v>
      </c>
      <c r="E2186" t="s">
        <v>292</v>
      </c>
      <c r="F2186" t="s">
        <v>240</v>
      </c>
      <c r="G2186" t="s">
        <v>82</v>
      </c>
      <c r="H2186" t="s">
        <v>165</v>
      </c>
      <c r="J2186" t="s">
        <v>196</v>
      </c>
      <c r="K2186" t="s">
        <v>250</v>
      </c>
      <c r="L2186">
        <v>3370000</v>
      </c>
      <c r="M2186" t="s">
        <v>242</v>
      </c>
      <c r="N2186" t="s">
        <v>1750</v>
      </c>
    </row>
    <row r="2187" spans="1:16" hidden="1" x14ac:dyDescent="0.25">
      <c r="A2187" s="16">
        <v>45748</v>
      </c>
      <c r="B2187" t="s">
        <v>162</v>
      </c>
      <c r="C2187">
        <v>44</v>
      </c>
      <c r="D2187" t="s">
        <v>291</v>
      </c>
      <c r="E2187" t="s">
        <v>292</v>
      </c>
      <c r="F2187" t="s">
        <v>240</v>
      </c>
      <c r="G2187" t="s">
        <v>82</v>
      </c>
      <c r="H2187" t="s">
        <v>171</v>
      </c>
      <c r="J2187" t="s">
        <v>196</v>
      </c>
      <c r="K2187" t="s">
        <v>250</v>
      </c>
      <c r="L2187">
        <v>68430</v>
      </c>
      <c r="M2187" t="s">
        <v>242</v>
      </c>
      <c r="N2187" t="s">
        <v>1751</v>
      </c>
    </row>
    <row r="2188" spans="1:16" hidden="1" x14ac:dyDescent="0.25">
      <c r="A2188" s="16">
        <v>45748</v>
      </c>
      <c r="B2188" t="s">
        <v>162</v>
      </c>
      <c r="C2188">
        <v>44</v>
      </c>
      <c r="D2188" t="s">
        <v>291</v>
      </c>
      <c r="E2188" t="s">
        <v>292</v>
      </c>
      <c r="F2188" t="s">
        <v>240</v>
      </c>
      <c r="G2188" t="s">
        <v>82</v>
      </c>
      <c r="H2188" t="s">
        <v>166</v>
      </c>
      <c r="J2188" t="s">
        <v>196</v>
      </c>
      <c r="K2188" t="s">
        <v>250</v>
      </c>
      <c r="L2188">
        <v>2180000</v>
      </c>
      <c r="M2188" t="s">
        <v>242</v>
      </c>
      <c r="N2188" t="s">
        <v>1752</v>
      </c>
    </row>
    <row r="2189" spans="1:16" hidden="1" x14ac:dyDescent="0.25">
      <c r="A2189" s="16">
        <v>45748</v>
      </c>
      <c r="B2189" t="s">
        <v>162</v>
      </c>
      <c r="C2189">
        <v>44</v>
      </c>
      <c r="D2189" t="s">
        <v>291</v>
      </c>
      <c r="E2189" t="s">
        <v>292</v>
      </c>
      <c r="F2189" t="s">
        <v>240</v>
      </c>
      <c r="G2189" t="s">
        <v>82</v>
      </c>
      <c r="H2189" t="s">
        <v>167</v>
      </c>
      <c r="J2189" t="s">
        <v>196</v>
      </c>
      <c r="K2189" t="s">
        <v>250</v>
      </c>
      <c r="L2189">
        <v>4750000</v>
      </c>
      <c r="M2189" t="s">
        <v>242</v>
      </c>
      <c r="N2189" t="s">
        <v>1753</v>
      </c>
    </row>
    <row r="2190" spans="1:16" hidden="1" x14ac:dyDescent="0.25">
      <c r="A2190" s="16">
        <v>45748</v>
      </c>
      <c r="B2190" t="s">
        <v>162</v>
      </c>
      <c r="C2190">
        <v>45</v>
      </c>
      <c r="D2190" t="s">
        <v>253</v>
      </c>
      <c r="E2190" t="s">
        <v>248</v>
      </c>
      <c r="F2190" t="s">
        <v>428</v>
      </c>
      <c r="G2190" t="s">
        <v>82</v>
      </c>
      <c r="J2190" t="s">
        <v>194</v>
      </c>
      <c r="K2190" t="s">
        <v>255</v>
      </c>
      <c r="L2190">
        <v>13900000</v>
      </c>
      <c r="M2190" t="s">
        <v>242</v>
      </c>
      <c r="N2190" t="s">
        <v>1405</v>
      </c>
      <c r="O2190">
        <v>1</v>
      </c>
      <c r="P2190" t="s">
        <v>257</v>
      </c>
    </row>
    <row r="2191" spans="1:16" hidden="1" x14ac:dyDescent="0.25">
      <c r="A2191" s="16">
        <v>45748</v>
      </c>
      <c r="B2191" t="s">
        <v>162</v>
      </c>
      <c r="C2191">
        <v>45</v>
      </c>
      <c r="D2191" t="s">
        <v>253</v>
      </c>
      <c r="E2191" t="s">
        <v>248</v>
      </c>
      <c r="F2191" t="s">
        <v>428</v>
      </c>
      <c r="G2191" t="s">
        <v>82</v>
      </c>
      <c r="J2191" t="s">
        <v>195</v>
      </c>
      <c r="K2191" t="s">
        <v>255</v>
      </c>
      <c r="L2191">
        <v>17120000</v>
      </c>
      <c r="M2191" t="s">
        <v>242</v>
      </c>
      <c r="N2191" t="s">
        <v>1581</v>
      </c>
      <c r="O2191">
        <v>1</v>
      </c>
      <c r="P2191" t="s">
        <v>257</v>
      </c>
    </row>
    <row r="2192" spans="1:16" hidden="1" x14ac:dyDescent="0.25">
      <c r="A2192" s="16">
        <v>45748</v>
      </c>
      <c r="B2192" t="s">
        <v>162</v>
      </c>
      <c r="C2192">
        <v>45</v>
      </c>
      <c r="D2192" t="s">
        <v>253</v>
      </c>
      <c r="E2192" t="s">
        <v>248</v>
      </c>
      <c r="F2192" t="s">
        <v>428</v>
      </c>
      <c r="G2192" t="s">
        <v>82</v>
      </c>
      <c r="J2192" t="s">
        <v>196</v>
      </c>
      <c r="K2192" t="s">
        <v>255</v>
      </c>
      <c r="L2192">
        <v>16260000</v>
      </c>
      <c r="M2192" t="s">
        <v>242</v>
      </c>
      <c r="N2192" t="s">
        <v>1754</v>
      </c>
      <c r="O2192">
        <v>1</v>
      </c>
      <c r="P2192" t="s">
        <v>261</v>
      </c>
    </row>
    <row r="2193" spans="1:16" hidden="1" x14ac:dyDescent="0.25">
      <c r="A2193" s="16">
        <v>45748</v>
      </c>
      <c r="B2193" t="s">
        <v>162</v>
      </c>
      <c r="C2193">
        <v>45</v>
      </c>
      <c r="D2193" t="s">
        <v>247</v>
      </c>
      <c r="E2193" t="s">
        <v>248</v>
      </c>
      <c r="F2193" t="s">
        <v>428</v>
      </c>
      <c r="G2193" t="s">
        <v>82</v>
      </c>
      <c r="H2193" t="s">
        <v>249</v>
      </c>
      <c r="J2193" t="s">
        <v>196</v>
      </c>
      <c r="K2193" t="s">
        <v>250</v>
      </c>
      <c r="L2193">
        <v>5</v>
      </c>
      <c r="M2193" t="s">
        <v>251</v>
      </c>
      <c r="N2193" t="s">
        <v>1279</v>
      </c>
    </row>
    <row r="2194" spans="1:16" hidden="1" x14ac:dyDescent="0.25">
      <c r="A2194" s="16">
        <v>45748</v>
      </c>
      <c r="B2194" t="s">
        <v>162</v>
      </c>
      <c r="C2194">
        <v>46</v>
      </c>
      <c r="D2194" t="s">
        <v>291</v>
      </c>
      <c r="E2194" t="s">
        <v>292</v>
      </c>
      <c r="F2194" t="s">
        <v>428</v>
      </c>
      <c r="G2194" t="s">
        <v>82</v>
      </c>
      <c r="H2194" t="s">
        <v>94</v>
      </c>
      <c r="J2194" t="s">
        <v>196</v>
      </c>
      <c r="K2194" t="s">
        <v>250</v>
      </c>
      <c r="L2194">
        <v>12000000</v>
      </c>
      <c r="M2194" t="s">
        <v>242</v>
      </c>
      <c r="N2194" t="s">
        <v>1755</v>
      </c>
    </row>
    <row r="2195" spans="1:16" hidden="1" x14ac:dyDescent="0.25">
      <c r="A2195" s="16">
        <v>45748</v>
      </c>
      <c r="B2195" t="s">
        <v>162</v>
      </c>
      <c r="C2195">
        <v>46</v>
      </c>
      <c r="D2195" t="s">
        <v>291</v>
      </c>
      <c r="E2195" t="s">
        <v>292</v>
      </c>
      <c r="F2195" t="s">
        <v>428</v>
      </c>
      <c r="G2195" t="s">
        <v>82</v>
      </c>
      <c r="H2195" t="s">
        <v>95</v>
      </c>
      <c r="J2195" t="s">
        <v>196</v>
      </c>
      <c r="K2195" t="s">
        <v>250</v>
      </c>
      <c r="L2195">
        <v>4300000</v>
      </c>
      <c r="M2195" t="s">
        <v>242</v>
      </c>
      <c r="N2195" t="s">
        <v>1756</v>
      </c>
    </row>
    <row r="2196" spans="1:16" hidden="1" x14ac:dyDescent="0.25">
      <c r="A2196" s="16">
        <v>45748</v>
      </c>
      <c r="B2196" t="s">
        <v>162</v>
      </c>
      <c r="C2196">
        <v>47</v>
      </c>
      <c r="D2196" t="s">
        <v>291</v>
      </c>
      <c r="E2196" t="s">
        <v>292</v>
      </c>
      <c r="F2196" t="s">
        <v>428</v>
      </c>
      <c r="G2196" t="s">
        <v>82</v>
      </c>
      <c r="H2196" t="s">
        <v>173</v>
      </c>
      <c r="J2196" t="s">
        <v>196</v>
      </c>
      <c r="K2196" t="s">
        <v>250</v>
      </c>
      <c r="L2196">
        <v>2790000</v>
      </c>
      <c r="M2196" t="s">
        <v>242</v>
      </c>
      <c r="N2196" t="s">
        <v>1757</v>
      </c>
    </row>
    <row r="2197" spans="1:16" hidden="1" x14ac:dyDescent="0.25">
      <c r="A2197" s="16">
        <v>45748</v>
      </c>
      <c r="B2197" t="s">
        <v>162</v>
      </c>
      <c r="C2197">
        <v>47</v>
      </c>
      <c r="D2197" t="s">
        <v>291</v>
      </c>
      <c r="E2197" t="s">
        <v>292</v>
      </c>
      <c r="F2197" t="s">
        <v>428</v>
      </c>
      <c r="G2197" t="s">
        <v>82</v>
      </c>
      <c r="H2197" t="s">
        <v>174</v>
      </c>
      <c r="J2197" t="s">
        <v>196</v>
      </c>
      <c r="K2197" t="s">
        <v>250</v>
      </c>
      <c r="L2197">
        <v>2140000</v>
      </c>
      <c r="M2197" t="s">
        <v>242</v>
      </c>
      <c r="N2197" t="s">
        <v>1758</v>
      </c>
    </row>
    <row r="2198" spans="1:16" hidden="1" x14ac:dyDescent="0.25">
      <c r="A2198" s="16">
        <v>45748</v>
      </c>
      <c r="B2198" t="s">
        <v>162</v>
      </c>
      <c r="C2198">
        <v>48</v>
      </c>
      <c r="D2198" t="s">
        <v>253</v>
      </c>
      <c r="E2198" t="s">
        <v>248</v>
      </c>
      <c r="F2198" t="s">
        <v>244</v>
      </c>
      <c r="G2198" t="s">
        <v>82</v>
      </c>
      <c r="J2198" t="s">
        <v>194</v>
      </c>
      <c r="K2198" t="s">
        <v>255</v>
      </c>
      <c r="L2198">
        <v>1710000000</v>
      </c>
      <c r="M2198" t="s">
        <v>245</v>
      </c>
      <c r="N2198" t="s">
        <v>1410</v>
      </c>
      <c r="O2198">
        <v>1</v>
      </c>
      <c r="P2198" t="s">
        <v>257</v>
      </c>
    </row>
    <row r="2199" spans="1:16" hidden="1" x14ac:dyDescent="0.25">
      <c r="A2199" s="16">
        <v>45748</v>
      </c>
      <c r="B2199" t="s">
        <v>162</v>
      </c>
      <c r="C2199">
        <v>48</v>
      </c>
      <c r="D2199" t="s">
        <v>253</v>
      </c>
      <c r="E2199" t="s">
        <v>248</v>
      </c>
      <c r="F2199" t="s">
        <v>244</v>
      </c>
      <c r="G2199" t="s">
        <v>82</v>
      </c>
      <c r="J2199" t="s">
        <v>195</v>
      </c>
      <c r="K2199" t="s">
        <v>255</v>
      </c>
      <c r="L2199">
        <v>2100000000</v>
      </c>
      <c r="M2199" t="s">
        <v>245</v>
      </c>
      <c r="N2199" t="s">
        <v>1586</v>
      </c>
      <c r="O2199">
        <v>1</v>
      </c>
      <c r="P2199" t="s">
        <v>257</v>
      </c>
    </row>
    <row r="2200" spans="1:16" hidden="1" x14ac:dyDescent="0.25">
      <c r="A2200" s="16">
        <v>45748</v>
      </c>
      <c r="B2200" t="s">
        <v>162</v>
      </c>
      <c r="C2200">
        <v>48</v>
      </c>
      <c r="D2200" t="s">
        <v>253</v>
      </c>
      <c r="E2200" t="s">
        <v>248</v>
      </c>
      <c r="F2200" t="s">
        <v>244</v>
      </c>
      <c r="G2200" t="s">
        <v>82</v>
      </c>
      <c r="J2200" t="s">
        <v>196</v>
      </c>
      <c r="K2200" t="s">
        <v>255</v>
      </c>
      <c r="L2200">
        <v>1950000000</v>
      </c>
      <c r="M2200" t="s">
        <v>245</v>
      </c>
      <c r="N2200" t="s">
        <v>1759</v>
      </c>
      <c r="O2200">
        <v>1</v>
      </c>
      <c r="P2200" t="s">
        <v>261</v>
      </c>
    </row>
    <row r="2201" spans="1:16" hidden="1" x14ac:dyDescent="0.25">
      <c r="A2201" s="16">
        <v>45748</v>
      </c>
      <c r="B2201" t="s">
        <v>162</v>
      </c>
      <c r="C2201">
        <v>48</v>
      </c>
      <c r="D2201" t="s">
        <v>247</v>
      </c>
      <c r="E2201" t="s">
        <v>248</v>
      </c>
      <c r="F2201" t="s">
        <v>244</v>
      </c>
      <c r="G2201" t="s">
        <v>82</v>
      </c>
      <c r="H2201" t="s">
        <v>249</v>
      </c>
      <c r="J2201" t="s">
        <v>196</v>
      </c>
      <c r="K2201" t="s">
        <v>250</v>
      </c>
      <c r="L2201">
        <v>7</v>
      </c>
      <c r="M2201" t="s">
        <v>251</v>
      </c>
      <c r="N2201" t="s">
        <v>1760</v>
      </c>
    </row>
    <row r="2202" spans="1:16" hidden="1" x14ac:dyDescent="0.25">
      <c r="A2202" s="16">
        <v>45748</v>
      </c>
      <c r="B2202" t="s">
        <v>162</v>
      </c>
      <c r="C2202">
        <v>49</v>
      </c>
      <c r="D2202" t="s">
        <v>291</v>
      </c>
      <c r="E2202" t="s">
        <v>292</v>
      </c>
      <c r="F2202" t="s">
        <v>244</v>
      </c>
      <c r="G2202" t="s">
        <v>82</v>
      </c>
      <c r="H2202" t="s">
        <v>170</v>
      </c>
      <c r="J2202" t="s">
        <v>196</v>
      </c>
      <c r="K2202" t="s">
        <v>250</v>
      </c>
      <c r="L2202">
        <v>156600</v>
      </c>
      <c r="M2202" t="s">
        <v>245</v>
      </c>
      <c r="N2202" t="s">
        <v>1761</v>
      </c>
    </row>
    <row r="2203" spans="1:16" hidden="1" x14ac:dyDescent="0.25">
      <c r="A2203" s="16">
        <v>45748</v>
      </c>
      <c r="B2203" t="s">
        <v>162</v>
      </c>
      <c r="C2203">
        <v>49</v>
      </c>
      <c r="D2203" t="s">
        <v>291</v>
      </c>
      <c r="E2203" t="s">
        <v>292</v>
      </c>
      <c r="F2203" t="s">
        <v>244</v>
      </c>
      <c r="G2203" t="s">
        <v>82</v>
      </c>
      <c r="H2203" t="s">
        <v>164</v>
      </c>
      <c r="J2203" t="s">
        <v>196</v>
      </c>
      <c r="K2203" t="s">
        <v>250</v>
      </c>
      <c r="L2203">
        <v>1280000000</v>
      </c>
      <c r="M2203" t="s">
        <v>245</v>
      </c>
      <c r="N2203" t="s">
        <v>1334</v>
      </c>
    </row>
    <row r="2204" spans="1:16" hidden="1" x14ac:dyDescent="0.25">
      <c r="A2204" s="16">
        <v>45748</v>
      </c>
      <c r="B2204" t="s">
        <v>162</v>
      </c>
      <c r="C2204">
        <v>49</v>
      </c>
      <c r="D2204" t="s">
        <v>291</v>
      </c>
      <c r="E2204" t="s">
        <v>292</v>
      </c>
      <c r="F2204" t="s">
        <v>244</v>
      </c>
      <c r="G2204" t="s">
        <v>82</v>
      </c>
      <c r="H2204" t="s">
        <v>165</v>
      </c>
      <c r="J2204" t="s">
        <v>196</v>
      </c>
      <c r="K2204" t="s">
        <v>250</v>
      </c>
      <c r="L2204">
        <v>206300000</v>
      </c>
      <c r="M2204" t="s">
        <v>245</v>
      </c>
      <c r="N2204" t="s">
        <v>1762</v>
      </c>
    </row>
    <row r="2205" spans="1:16" hidden="1" x14ac:dyDescent="0.25">
      <c r="A2205" s="16">
        <v>45748</v>
      </c>
      <c r="B2205" t="s">
        <v>162</v>
      </c>
      <c r="C2205">
        <v>49</v>
      </c>
      <c r="D2205" t="s">
        <v>291</v>
      </c>
      <c r="E2205" t="s">
        <v>292</v>
      </c>
      <c r="F2205" t="s">
        <v>244</v>
      </c>
      <c r="G2205" t="s">
        <v>82</v>
      </c>
      <c r="H2205" t="s">
        <v>171</v>
      </c>
      <c r="J2205" t="s">
        <v>196</v>
      </c>
      <c r="K2205" t="s">
        <v>250</v>
      </c>
      <c r="L2205">
        <v>800200</v>
      </c>
      <c r="M2205" t="s">
        <v>245</v>
      </c>
      <c r="N2205" t="s">
        <v>1763</v>
      </c>
    </row>
    <row r="2206" spans="1:16" hidden="1" x14ac:dyDescent="0.25">
      <c r="A2206" s="16">
        <v>45748</v>
      </c>
      <c r="B2206" t="s">
        <v>162</v>
      </c>
      <c r="C2206">
        <v>49</v>
      </c>
      <c r="D2206" t="s">
        <v>291</v>
      </c>
      <c r="E2206" t="s">
        <v>292</v>
      </c>
      <c r="F2206" t="s">
        <v>244</v>
      </c>
      <c r="G2206" t="s">
        <v>82</v>
      </c>
      <c r="H2206" t="s">
        <v>166</v>
      </c>
      <c r="J2206" t="s">
        <v>196</v>
      </c>
      <c r="K2206" t="s">
        <v>250</v>
      </c>
      <c r="L2206">
        <v>238900000</v>
      </c>
      <c r="M2206" t="s">
        <v>245</v>
      </c>
      <c r="N2206" t="s">
        <v>1764</v>
      </c>
    </row>
    <row r="2207" spans="1:16" hidden="1" x14ac:dyDescent="0.25">
      <c r="A2207" s="16">
        <v>45748</v>
      </c>
      <c r="B2207" t="s">
        <v>162</v>
      </c>
      <c r="C2207">
        <v>49</v>
      </c>
      <c r="D2207" t="s">
        <v>291</v>
      </c>
      <c r="E2207" t="s">
        <v>292</v>
      </c>
      <c r="F2207" t="s">
        <v>244</v>
      </c>
      <c r="G2207" t="s">
        <v>82</v>
      </c>
      <c r="H2207" t="s">
        <v>167</v>
      </c>
      <c r="J2207" t="s">
        <v>196</v>
      </c>
      <c r="K2207" t="s">
        <v>250</v>
      </c>
      <c r="L2207">
        <v>229000000</v>
      </c>
      <c r="M2207" t="s">
        <v>245</v>
      </c>
      <c r="N2207" t="s">
        <v>1765</v>
      </c>
    </row>
    <row r="2208" spans="1:16" hidden="1" x14ac:dyDescent="0.25">
      <c r="A2208" s="16">
        <v>45748</v>
      </c>
      <c r="B2208" t="s">
        <v>162</v>
      </c>
      <c r="C2208">
        <v>50</v>
      </c>
      <c r="D2208" t="s">
        <v>253</v>
      </c>
      <c r="E2208" t="s">
        <v>248</v>
      </c>
      <c r="F2208" t="s">
        <v>445</v>
      </c>
      <c r="G2208" t="s">
        <v>82</v>
      </c>
      <c r="J2208" t="s">
        <v>194</v>
      </c>
      <c r="K2208" t="s">
        <v>255</v>
      </c>
      <c r="L2208">
        <v>1410000000</v>
      </c>
      <c r="M2208" t="s">
        <v>245</v>
      </c>
      <c r="N2208" t="s">
        <v>1417</v>
      </c>
      <c r="O2208">
        <v>1</v>
      </c>
      <c r="P2208" t="s">
        <v>257</v>
      </c>
    </row>
    <row r="2209" spans="1:16" hidden="1" x14ac:dyDescent="0.25">
      <c r="A2209" s="16">
        <v>45748</v>
      </c>
      <c r="B2209" t="s">
        <v>162</v>
      </c>
      <c r="C2209">
        <v>50</v>
      </c>
      <c r="D2209" t="s">
        <v>253</v>
      </c>
      <c r="E2209" t="s">
        <v>248</v>
      </c>
      <c r="F2209" t="s">
        <v>445</v>
      </c>
      <c r="G2209" t="s">
        <v>82</v>
      </c>
      <c r="J2209" t="s">
        <v>195</v>
      </c>
      <c r="K2209" t="s">
        <v>255</v>
      </c>
      <c r="L2209">
        <v>1750000000</v>
      </c>
      <c r="M2209" t="s">
        <v>245</v>
      </c>
      <c r="N2209" t="s">
        <v>1592</v>
      </c>
      <c r="O2209">
        <v>1</v>
      </c>
      <c r="P2209" t="s">
        <v>257</v>
      </c>
    </row>
    <row r="2210" spans="1:16" hidden="1" x14ac:dyDescent="0.25">
      <c r="A2210" s="16">
        <v>45748</v>
      </c>
      <c r="B2210" t="s">
        <v>162</v>
      </c>
      <c r="C2210">
        <v>50</v>
      </c>
      <c r="D2210" t="s">
        <v>253</v>
      </c>
      <c r="E2210" t="s">
        <v>248</v>
      </c>
      <c r="F2210" t="s">
        <v>445</v>
      </c>
      <c r="G2210" t="s">
        <v>82</v>
      </c>
      <c r="J2210" t="s">
        <v>196</v>
      </c>
      <c r="K2210" t="s">
        <v>255</v>
      </c>
      <c r="L2210">
        <v>1590000000</v>
      </c>
      <c r="M2210" t="s">
        <v>245</v>
      </c>
      <c r="N2210" t="s">
        <v>440</v>
      </c>
      <c r="O2210">
        <v>1</v>
      </c>
      <c r="P2210" t="s">
        <v>261</v>
      </c>
    </row>
    <row r="2211" spans="1:16" hidden="1" x14ac:dyDescent="0.25">
      <c r="A2211" s="16">
        <v>45748</v>
      </c>
      <c r="B2211" t="s">
        <v>162</v>
      </c>
      <c r="C2211">
        <v>50</v>
      </c>
      <c r="D2211" t="s">
        <v>247</v>
      </c>
      <c r="E2211" t="s">
        <v>248</v>
      </c>
      <c r="F2211" t="s">
        <v>445</v>
      </c>
      <c r="G2211" t="s">
        <v>82</v>
      </c>
      <c r="H2211" t="s">
        <v>249</v>
      </c>
      <c r="J2211" t="s">
        <v>196</v>
      </c>
      <c r="K2211" t="s">
        <v>250</v>
      </c>
      <c r="L2211">
        <v>8.8000000000000007</v>
      </c>
      <c r="M2211" t="s">
        <v>251</v>
      </c>
      <c r="N2211" t="s">
        <v>1766</v>
      </c>
    </row>
    <row r="2212" spans="1:16" hidden="1" x14ac:dyDescent="0.25">
      <c r="A2212" s="16">
        <v>45748</v>
      </c>
      <c r="B2212" t="s">
        <v>162</v>
      </c>
      <c r="C2212">
        <v>51</v>
      </c>
      <c r="D2212" t="s">
        <v>291</v>
      </c>
      <c r="E2212" t="s">
        <v>292</v>
      </c>
      <c r="F2212" t="s">
        <v>445</v>
      </c>
      <c r="G2212" t="s">
        <v>82</v>
      </c>
      <c r="H2212" t="s">
        <v>94</v>
      </c>
      <c r="J2212" t="s">
        <v>196</v>
      </c>
      <c r="K2212" t="s">
        <v>250</v>
      </c>
      <c r="L2212">
        <v>1280000000</v>
      </c>
      <c r="M2212" t="s">
        <v>245</v>
      </c>
      <c r="N2212" t="s">
        <v>1390</v>
      </c>
    </row>
    <row r="2213" spans="1:16" hidden="1" x14ac:dyDescent="0.25">
      <c r="A2213" s="16">
        <v>45748</v>
      </c>
      <c r="B2213" t="s">
        <v>162</v>
      </c>
      <c r="C2213">
        <v>51</v>
      </c>
      <c r="D2213" t="s">
        <v>291</v>
      </c>
      <c r="E2213" t="s">
        <v>292</v>
      </c>
      <c r="F2213" t="s">
        <v>445</v>
      </c>
      <c r="G2213" t="s">
        <v>82</v>
      </c>
      <c r="H2213" t="s">
        <v>95</v>
      </c>
      <c r="J2213" t="s">
        <v>196</v>
      </c>
      <c r="K2213" t="s">
        <v>250</v>
      </c>
      <c r="L2213">
        <v>309800000</v>
      </c>
      <c r="M2213" t="s">
        <v>245</v>
      </c>
      <c r="N2213" t="s">
        <v>1767</v>
      </c>
    </row>
    <row r="2214" spans="1:16" hidden="1" x14ac:dyDescent="0.25">
      <c r="A2214" s="16">
        <v>45748</v>
      </c>
      <c r="B2214" t="s">
        <v>162</v>
      </c>
      <c r="C2214">
        <v>52</v>
      </c>
      <c r="D2214" t="s">
        <v>291</v>
      </c>
      <c r="E2214" t="s">
        <v>292</v>
      </c>
      <c r="F2214" t="s">
        <v>445</v>
      </c>
      <c r="G2214" t="s">
        <v>82</v>
      </c>
      <c r="H2214" t="s">
        <v>173</v>
      </c>
      <c r="J2214" t="s">
        <v>196</v>
      </c>
      <c r="K2214" t="s">
        <v>250</v>
      </c>
      <c r="L2214">
        <v>160200000</v>
      </c>
      <c r="M2214" t="s">
        <v>245</v>
      </c>
      <c r="N2214" t="s">
        <v>1768</v>
      </c>
    </row>
    <row r="2215" spans="1:16" hidden="1" x14ac:dyDescent="0.25">
      <c r="A2215" s="16">
        <v>45748</v>
      </c>
      <c r="B2215" t="s">
        <v>162</v>
      </c>
      <c r="C2215">
        <v>52</v>
      </c>
      <c r="D2215" t="s">
        <v>291</v>
      </c>
      <c r="E2215" t="s">
        <v>292</v>
      </c>
      <c r="F2215" t="s">
        <v>445</v>
      </c>
      <c r="G2215" t="s">
        <v>82</v>
      </c>
      <c r="H2215" t="s">
        <v>174</v>
      </c>
      <c r="J2215" t="s">
        <v>196</v>
      </c>
      <c r="K2215" t="s">
        <v>250</v>
      </c>
      <c r="L2215">
        <v>235300000</v>
      </c>
      <c r="M2215" t="s">
        <v>245</v>
      </c>
      <c r="N2215" t="s">
        <v>1769</v>
      </c>
    </row>
    <row r="2216" spans="1:16" hidden="1" x14ac:dyDescent="0.25">
      <c r="A2216" s="16">
        <v>45748</v>
      </c>
      <c r="B2216" t="s">
        <v>162</v>
      </c>
      <c r="C2216">
        <v>53</v>
      </c>
      <c r="D2216" t="s">
        <v>291</v>
      </c>
      <c r="E2216" t="s">
        <v>292</v>
      </c>
      <c r="F2216" t="s">
        <v>334</v>
      </c>
      <c r="G2216" t="s">
        <v>82</v>
      </c>
      <c r="H2216" t="s">
        <v>170</v>
      </c>
      <c r="J2216" t="s">
        <v>196</v>
      </c>
      <c r="K2216" t="s">
        <v>250</v>
      </c>
      <c r="L2216">
        <v>19</v>
      </c>
      <c r="M2216" t="s">
        <v>245</v>
      </c>
      <c r="N2216" t="s">
        <v>1422</v>
      </c>
    </row>
    <row r="2217" spans="1:16" hidden="1" x14ac:dyDescent="0.25">
      <c r="A2217" s="16">
        <v>45748</v>
      </c>
      <c r="B2217" t="s">
        <v>162</v>
      </c>
      <c r="C2217">
        <v>53</v>
      </c>
      <c r="D2217" t="s">
        <v>291</v>
      </c>
      <c r="E2217" t="s">
        <v>292</v>
      </c>
      <c r="F2217" t="s">
        <v>334</v>
      </c>
      <c r="G2217" t="s">
        <v>82</v>
      </c>
      <c r="H2217" t="s">
        <v>164</v>
      </c>
      <c r="J2217" t="s">
        <v>196</v>
      </c>
      <c r="K2217" t="s">
        <v>250</v>
      </c>
      <c r="L2217">
        <v>157</v>
      </c>
      <c r="M2217" t="s">
        <v>245</v>
      </c>
      <c r="N2217" t="s">
        <v>1770</v>
      </c>
    </row>
    <row r="2218" spans="1:16" hidden="1" x14ac:dyDescent="0.25">
      <c r="A2218" s="16">
        <v>45748</v>
      </c>
      <c r="B2218" t="s">
        <v>162</v>
      </c>
      <c r="C2218">
        <v>53</v>
      </c>
      <c r="D2218" t="s">
        <v>291</v>
      </c>
      <c r="E2218" t="s">
        <v>292</v>
      </c>
      <c r="F2218" t="s">
        <v>334</v>
      </c>
      <c r="G2218" t="s">
        <v>82</v>
      </c>
      <c r="H2218" t="s">
        <v>173</v>
      </c>
      <c r="J2218" t="s">
        <v>196</v>
      </c>
      <c r="K2218" t="s">
        <v>250</v>
      </c>
      <c r="L2218">
        <v>61</v>
      </c>
      <c r="M2218" t="s">
        <v>245</v>
      </c>
      <c r="N2218" t="s">
        <v>1771</v>
      </c>
    </row>
    <row r="2219" spans="1:16" hidden="1" x14ac:dyDescent="0.25">
      <c r="A2219" s="16">
        <v>45748</v>
      </c>
      <c r="B2219" t="s">
        <v>162</v>
      </c>
      <c r="C2219">
        <v>53</v>
      </c>
      <c r="D2219" t="s">
        <v>238</v>
      </c>
      <c r="E2219" t="s">
        <v>239</v>
      </c>
      <c r="F2219" t="s">
        <v>334</v>
      </c>
      <c r="G2219" t="s">
        <v>82</v>
      </c>
      <c r="H2219" t="s">
        <v>455</v>
      </c>
      <c r="J2219" t="s">
        <v>196</v>
      </c>
      <c r="K2219" t="s">
        <v>250</v>
      </c>
      <c r="L2219">
        <v>105</v>
      </c>
      <c r="M2219" t="s">
        <v>245</v>
      </c>
      <c r="N2219" t="s">
        <v>1772</v>
      </c>
    </row>
    <row r="2220" spans="1:16" hidden="1" x14ac:dyDescent="0.25">
      <c r="A2220" s="16">
        <v>45748</v>
      </c>
      <c r="B2220" t="s">
        <v>162</v>
      </c>
      <c r="C2220">
        <v>53</v>
      </c>
      <c r="D2220" t="s">
        <v>291</v>
      </c>
      <c r="E2220" t="s">
        <v>292</v>
      </c>
      <c r="F2220" t="s">
        <v>334</v>
      </c>
      <c r="G2220" t="s">
        <v>82</v>
      </c>
      <c r="H2220" t="s">
        <v>179</v>
      </c>
      <c r="J2220" t="s">
        <v>196</v>
      </c>
      <c r="K2220" t="s">
        <v>250</v>
      </c>
      <c r="L2220">
        <v>12</v>
      </c>
      <c r="M2220" t="s">
        <v>245</v>
      </c>
      <c r="N2220" t="s">
        <v>1773</v>
      </c>
    </row>
    <row r="2221" spans="1:16" hidden="1" x14ac:dyDescent="0.25">
      <c r="A2221" s="16">
        <v>45748</v>
      </c>
      <c r="B2221" t="s">
        <v>162</v>
      </c>
      <c r="C2221">
        <v>53</v>
      </c>
      <c r="D2221" t="s">
        <v>291</v>
      </c>
      <c r="E2221" t="s">
        <v>292</v>
      </c>
      <c r="F2221" t="s">
        <v>334</v>
      </c>
      <c r="G2221" t="s">
        <v>82</v>
      </c>
      <c r="H2221" t="s">
        <v>174</v>
      </c>
      <c r="J2221" t="s">
        <v>196</v>
      </c>
      <c r="K2221" t="s">
        <v>250</v>
      </c>
      <c r="L2221">
        <v>110</v>
      </c>
      <c r="M2221" t="s">
        <v>245</v>
      </c>
      <c r="N2221" t="s">
        <v>1774</v>
      </c>
    </row>
    <row r="2222" spans="1:16" hidden="1" x14ac:dyDescent="0.25">
      <c r="A2222" s="16">
        <v>45748</v>
      </c>
      <c r="B2222" t="s">
        <v>162</v>
      </c>
      <c r="C2222">
        <v>53</v>
      </c>
      <c r="D2222" t="s">
        <v>291</v>
      </c>
      <c r="E2222" t="s">
        <v>292</v>
      </c>
      <c r="F2222" t="s">
        <v>334</v>
      </c>
      <c r="G2222" t="s">
        <v>82</v>
      </c>
      <c r="H2222" t="s">
        <v>178</v>
      </c>
      <c r="J2222" t="s">
        <v>196</v>
      </c>
      <c r="K2222" t="s">
        <v>250</v>
      </c>
      <c r="L2222">
        <v>48</v>
      </c>
      <c r="M2222" t="s">
        <v>245</v>
      </c>
      <c r="N2222" t="s">
        <v>1775</v>
      </c>
    </row>
    <row r="2223" spans="1:16" hidden="1" x14ac:dyDescent="0.25">
      <c r="A2223" s="16">
        <v>45748</v>
      </c>
      <c r="B2223" t="s">
        <v>97</v>
      </c>
      <c r="C2223">
        <v>26</v>
      </c>
      <c r="D2223" t="s">
        <v>238</v>
      </c>
      <c r="E2223" t="s">
        <v>239</v>
      </c>
      <c r="F2223" t="s">
        <v>240</v>
      </c>
      <c r="G2223" t="s">
        <v>82</v>
      </c>
      <c r="J2223" t="s">
        <v>196</v>
      </c>
      <c r="K2223" t="s">
        <v>241</v>
      </c>
      <c r="L2223">
        <v>26580000</v>
      </c>
      <c r="M2223" t="s">
        <v>242</v>
      </c>
      <c r="N2223" t="s">
        <v>1731</v>
      </c>
    </row>
    <row r="2224" spans="1:16" hidden="1" x14ac:dyDescent="0.25">
      <c r="A2224" s="16">
        <v>45748</v>
      </c>
      <c r="B2224" t="s">
        <v>97</v>
      </c>
      <c r="C2224">
        <v>26</v>
      </c>
      <c r="D2224" t="s">
        <v>238</v>
      </c>
      <c r="E2224" t="s">
        <v>239</v>
      </c>
      <c r="F2224" t="s">
        <v>244</v>
      </c>
      <c r="G2224" t="s">
        <v>82</v>
      </c>
      <c r="J2224" t="s">
        <v>196</v>
      </c>
      <c r="K2224" t="s">
        <v>241</v>
      </c>
      <c r="L2224">
        <v>1910000000</v>
      </c>
      <c r="M2224" t="s">
        <v>245</v>
      </c>
      <c r="N2224" t="s">
        <v>1734</v>
      </c>
    </row>
    <row r="2225" spans="1:16" hidden="1" x14ac:dyDescent="0.25">
      <c r="A2225" s="16">
        <v>45748</v>
      </c>
      <c r="B2225" t="s">
        <v>97</v>
      </c>
      <c r="C2225">
        <v>27</v>
      </c>
      <c r="D2225" t="s">
        <v>253</v>
      </c>
      <c r="E2225" t="s">
        <v>248</v>
      </c>
      <c r="F2225" t="s">
        <v>285</v>
      </c>
      <c r="G2225" t="s">
        <v>63</v>
      </c>
      <c r="J2225" t="s">
        <v>194</v>
      </c>
      <c r="K2225" t="s">
        <v>255</v>
      </c>
      <c r="L2225">
        <v>2580000</v>
      </c>
      <c r="M2225" t="s">
        <v>242</v>
      </c>
      <c r="N2225" t="s">
        <v>1426</v>
      </c>
      <c r="O2225">
        <v>1</v>
      </c>
      <c r="P2225" t="s">
        <v>257</v>
      </c>
    </row>
    <row r="2226" spans="1:16" hidden="1" x14ac:dyDescent="0.25">
      <c r="A2226" s="16">
        <v>45748</v>
      </c>
      <c r="B2226" t="s">
        <v>97</v>
      </c>
      <c r="C2226">
        <v>27</v>
      </c>
      <c r="D2226" t="s">
        <v>253</v>
      </c>
      <c r="E2226" t="s">
        <v>248</v>
      </c>
      <c r="F2226" t="s">
        <v>285</v>
      </c>
      <c r="G2226" t="s">
        <v>63</v>
      </c>
      <c r="J2226" t="s">
        <v>195</v>
      </c>
      <c r="K2226" t="s">
        <v>255</v>
      </c>
      <c r="L2226">
        <v>2600000</v>
      </c>
      <c r="M2226" t="s">
        <v>242</v>
      </c>
      <c r="N2226" t="s">
        <v>1601</v>
      </c>
      <c r="O2226">
        <v>1</v>
      </c>
      <c r="P2226" t="s">
        <v>257</v>
      </c>
    </row>
    <row r="2227" spans="1:16" hidden="1" x14ac:dyDescent="0.25">
      <c r="A2227" s="16">
        <v>45748</v>
      </c>
      <c r="B2227" t="s">
        <v>97</v>
      </c>
      <c r="C2227">
        <v>27</v>
      </c>
      <c r="D2227" t="s">
        <v>253</v>
      </c>
      <c r="E2227" t="s">
        <v>248</v>
      </c>
      <c r="F2227" t="s">
        <v>285</v>
      </c>
      <c r="G2227" t="s">
        <v>63</v>
      </c>
      <c r="J2227" t="s">
        <v>196</v>
      </c>
      <c r="K2227" t="s">
        <v>255</v>
      </c>
      <c r="L2227">
        <v>2630000</v>
      </c>
      <c r="M2227" t="s">
        <v>242</v>
      </c>
      <c r="N2227" t="s">
        <v>1776</v>
      </c>
      <c r="O2227">
        <v>1</v>
      </c>
      <c r="P2227" t="s">
        <v>261</v>
      </c>
    </row>
    <row r="2228" spans="1:16" hidden="1" x14ac:dyDescent="0.25">
      <c r="A2228" s="16">
        <v>45748</v>
      </c>
      <c r="B2228" t="s">
        <v>97</v>
      </c>
      <c r="C2228">
        <v>27</v>
      </c>
      <c r="D2228" t="s">
        <v>247</v>
      </c>
      <c r="E2228" t="s">
        <v>248</v>
      </c>
      <c r="F2228" t="s">
        <v>285</v>
      </c>
      <c r="G2228" t="s">
        <v>63</v>
      </c>
      <c r="H2228" t="s">
        <v>286</v>
      </c>
      <c r="J2228" t="s">
        <v>196</v>
      </c>
      <c r="K2228" t="s">
        <v>250</v>
      </c>
      <c r="L2228">
        <v>1.1000000000000001</v>
      </c>
      <c r="M2228" t="s">
        <v>251</v>
      </c>
      <c r="N2228" t="s">
        <v>1235</v>
      </c>
    </row>
    <row r="2229" spans="1:16" hidden="1" x14ac:dyDescent="0.25">
      <c r="A2229" s="16">
        <v>45748</v>
      </c>
      <c r="B2229" t="s">
        <v>97</v>
      </c>
      <c r="C2229">
        <v>28</v>
      </c>
      <c r="D2229" t="s">
        <v>291</v>
      </c>
      <c r="E2229" t="s">
        <v>292</v>
      </c>
      <c r="F2229" t="s">
        <v>285</v>
      </c>
      <c r="G2229" t="s">
        <v>63</v>
      </c>
      <c r="H2229" t="s">
        <v>64</v>
      </c>
      <c r="J2229" t="s">
        <v>196</v>
      </c>
      <c r="K2229" t="s">
        <v>250</v>
      </c>
      <c r="L2229">
        <v>2320000</v>
      </c>
      <c r="M2229" t="s">
        <v>242</v>
      </c>
      <c r="N2229" t="s">
        <v>1777</v>
      </c>
    </row>
    <row r="2230" spans="1:16" hidden="1" x14ac:dyDescent="0.25">
      <c r="A2230" s="16">
        <v>45748</v>
      </c>
      <c r="B2230" t="s">
        <v>97</v>
      </c>
      <c r="C2230">
        <v>28</v>
      </c>
      <c r="D2230" t="s">
        <v>291</v>
      </c>
      <c r="E2230" t="s">
        <v>292</v>
      </c>
      <c r="F2230" t="s">
        <v>285</v>
      </c>
      <c r="G2230" t="s">
        <v>63</v>
      </c>
      <c r="H2230" t="s">
        <v>65</v>
      </c>
      <c r="J2230" t="s">
        <v>196</v>
      </c>
      <c r="K2230" t="s">
        <v>250</v>
      </c>
      <c r="L2230">
        <v>313300</v>
      </c>
      <c r="M2230" t="s">
        <v>242</v>
      </c>
      <c r="N2230" t="s">
        <v>1778</v>
      </c>
    </row>
    <row r="2231" spans="1:16" hidden="1" x14ac:dyDescent="0.25">
      <c r="A2231" s="16">
        <v>45748</v>
      </c>
      <c r="B2231" t="s">
        <v>97</v>
      </c>
      <c r="C2231">
        <v>29</v>
      </c>
      <c r="D2231" t="s">
        <v>291</v>
      </c>
      <c r="E2231" t="s">
        <v>292</v>
      </c>
      <c r="F2231" t="s">
        <v>285</v>
      </c>
      <c r="G2231" t="s">
        <v>63</v>
      </c>
      <c r="H2231" t="s">
        <v>67</v>
      </c>
      <c r="J2231" t="s">
        <v>196</v>
      </c>
      <c r="K2231" t="s">
        <v>250</v>
      </c>
      <c r="L2231">
        <v>1300000</v>
      </c>
      <c r="M2231" t="s">
        <v>242</v>
      </c>
      <c r="N2231" t="s">
        <v>1430</v>
      </c>
    </row>
    <row r="2232" spans="1:16" hidden="1" x14ac:dyDescent="0.25">
      <c r="A2232" s="16">
        <v>45748</v>
      </c>
      <c r="B2232" t="s">
        <v>97</v>
      </c>
      <c r="C2232">
        <v>29</v>
      </c>
      <c r="D2232" t="s">
        <v>291</v>
      </c>
      <c r="E2232" t="s">
        <v>292</v>
      </c>
      <c r="F2232" t="s">
        <v>285</v>
      </c>
      <c r="G2232" t="s">
        <v>63</v>
      </c>
      <c r="H2232" t="s">
        <v>68</v>
      </c>
      <c r="J2232" t="s">
        <v>196</v>
      </c>
      <c r="K2232" t="s">
        <v>250</v>
      </c>
      <c r="L2232">
        <v>1320000</v>
      </c>
      <c r="M2232" t="s">
        <v>242</v>
      </c>
      <c r="N2232" t="s">
        <v>1779</v>
      </c>
    </row>
    <row r="2233" spans="1:16" hidden="1" x14ac:dyDescent="0.25">
      <c r="A2233" s="16">
        <v>45748</v>
      </c>
      <c r="B2233" t="s">
        <v>97</v>
      </c>
      <c r="C2233">
        <v>30</v>
      </c>
      <c r="D2233" t="s">
        <v>291</v>
      </c>
      <c r="E2233" t="s">
        <v>292</v>
      </c>
      <c r="F2233" t="s">
        <v>285</v>
      </c>
      <c r="G2233" t="s">
        <v>63</v>
      </c>
      <c r="H2233" t="s">
        <v>70</v>
      </c>
      <c r="J2233" t="s">
        <v>196</v>
      </c>
      <c r="K2233" t="s">
        <v>250</v>
      </c>
      <c r="L2233">
        <v>946000</v>
      </c>
      <c r="M2233" t="s">
        <v>242</v>
      </c>
      <c r="N2233" t="s">
        <v>1780</v>
      </c>
    </row>
    <row r="2234" spans="1:16" hidden="1" x14ac:dyDescent="0.25">
      <c r="A2234" s="16">
        <v>45748</v>
      </c>
      <c r="B2234" t="s">
        <v>97</v>
      </c>
      <c r="C2234">
        <v>30</v>
      </c>
      <c r="D2234" t="s">
        <v>291</v>
      </c>
      <c r="E2234" t="s">
        <v>292</v>
      </c>
      <c r="F2234" t="s">
        <v>285</v>
      </c>
      <c r="G2234" t="s">
        <v>63</v>
      </c>
      <c r="H2234" t="s">
        <v>71</v>
      </c>
      <c r="J2234" t="s">
        <v>196</v>
      </c>
      <c r="K2234" t="s">
        <v>250</v>
      </c>
      <c r="L2234">
        <v>676000</v>
      </c>
      <c r="M2234" t="s">
        <v>242</v>
      </c>
      <c r="N2234" t="s">
        <v>1781</v>
      </c>
    </row>
    <row r="2235" spans="1:16" hidden="1" x14ac:dyDescent="0.25">
      <c r="A2235" s="16">
        <v>45748</v>
      </c>
      <c r="B2235" t="s">
        <v>97</v>
      </c>
      <c r="C2235">
        <v>30</v>
      </c>
      <c r="D2235" t="s">
        <v>291</v>
      </c>
      <c r="E2235" t="s">
        <v>292</v>
      </c>
      <c r="F2235" t="s">
        <v>285</v>
      </c>
      <c r="G2235" t="s">
        <v>63</v>
      </c>
      <c r="H2235" t="s">
        <v>72</v>
      </c>
      <c r="J2235" t="s">
        <v>196</v>
      </c>
      <c r="K2235" t="s">
        <v>250</v>
      </c>
      <c r="L2235">
        <v>510000</v>
      </c>
      <c r="M2235" t="s">
        <v>242</v>
      </c>
      <c r="N2235" t="s">
        <v>1782</v>
      </c>
    </row>
    <row r="2236" spans="1:16" hidden="1" x14ac:dyDescent="0.25">
      <c r="A2236" s="16">
        <v>45748</v>
      </c>
      <c r="B2236" t="s">
        <v>97</v>
      </c>
      <c r="C2236">
        <v>30</v>
      </c>
      <c r="D2236" t="s">
        <v>291</v>
      </c>
      <c r="E2236" t="s">
        <v>292</v>
      </c>
      <c r="F2236" t="s">
        <v>285</v>
      </c>
      <c r="G2236" t="s">
        <v>63</v>
      </c>
      <c r="H2236" t="s">
        <v>73</v>
      </c>
      <c r="J2236" t="s">
        <v>196</v>
      </c>
      <c r="K2236" t="s">
        <v>250</v>
      </c>
      <c r="L2236">
        <v>322000</v>
      </c>
      <c r="M2236" t="s">
        <v>242</v>
      </c>
      <c r="N2236" t="s">
        <v>1783</v>
      </c>
    </row>
    <row r="2237" spans="1:16" hidden="1" x14ac:dyDescent="0.25">
      <c r="A2237" s="16">
        <v>45748</v>
      </c>
      <c r="B2237" t="s">
        <v>97</v>
      </c>
      <c r="C2237">
        <v>30</v>
      </c>
      <c r="D2237" t="s">
        <v>291</v>
      </c>
      <c r="E2237" t="s">
        <v>292</v>
      </c>
      <c r="F2237" t="s">
        <v>285</v>
      </c>
      <c r="G2237" t="s">
        <v>63</v>
      </c>
      <c r="H2237" t="s">
        <v>74</v>
      </c>
      <c r="J2237" t="s">
        <v>196</v>
      </c>
      <c r="K2237" t="s">
        <v>250</v>
      </c>
      <c r="L2237">
        <v>121000</v>
      </c>
      <c r="M2237" t="s">
        <v>242</v>
      </c>
      <c r="N2237" t="s">
        <v>1784</v>
      </c>
    </row>
    <row r="2238" spans="1:16" hidden="1" x14ac:dyDescent="0.25">
      <c r="A2238" s="16">
        <v>45748</v>
      </c>
      <c r="B2238" t="s">
        <v>97</v>
      </c>
      <c r="C2238">
        <v>30</v>
      </c>
      <c r="D2238" t="s">
        <v>291</v>
      </c>
      <c r="E2238" t="s">
        <v>292</v>
      </c>
      <c r="F2238" t="s">
        <v>285</v>
      </c>
      <c r="G2238" t="s">
        <v>63</v>
      </c>
      <c r="H2238" t="s">
        <v>75</v>
      </c>
      <c r="J2238" t="s">
        <v>196</v>
      </c>
      <c r="K2238" t="s">
        <v>250</v>
      </c>
      <c r="L2238">
        <v>38000</v>
      </c>
      <c r="M2238" t="s">
        <v>242</v>
      </c>
      <c r="N2238" t="s">
        <v>1367</v>
      </c>
    </row>
    <row r="2239" spans="1:16" hidden="1" x14ac:dyDescent="0.25">
      <c r="A2239" s="16">
        <v>45748</v>
      </c>
      <c r="B2239" t="s">
        <v>97</v>
      </c>
      <c r="C2239">
        <v>30</v>
      </c>
      <c r="D2239" t="s">
        <v>291</v>
      </c>
      <c r="E2239" t="s">
        <v>292</v>
      </c>
      <c r="F2239" t="s">
        <v>285</v>
      </c>
      <c r="G2239" t="s">
        <v>63</v>
      </c>
      <c r="H2239" t="s">
        <v>76</v>
      </c>
      <c r="J2239" t="s">
        <v>196</v>
      </c>
      <c r="K2239" t="s">
        <v>250</v>
      </c>
      <c r="L2239">
        <v>13000</v>
      </c>
      <c r="M2239" t="s">
        <v>242</v>
      </c>
      <c r="N2239" t="s">
        <v>475</v>
      </c>
    </row>
    <row r="2240" spans="1:16" hidden="1" x14ac:dyDescent="0.25">
      <c r="A2240" s="16">
        <v>45748</v>
      </c>
      <c r="B2240" t="s">
        <v>97</v>
      </c>
      <c r="C2240">
        <v>30</v>
      </c>
      <c r="D2240" t="s">
        <v>291</v>
      </c>
      <c r="E2240" t="s">
        <v>292</v>
      </c>
      <c r="F2240" t="s">
        <v>285</v>
      </c>
      <c r="G2240" t="s">
        <v>63</v>
      </c>
      <c r="H2240" t="s">
        <v>77</v>
      </c>
      <c r="J2240" t="s">
        <v>196</v>
      </c>
      <c r="K2240" t="s">
        <v>250</v>
      </c>
      <c r="L2240">
        <v>1000</v>
      </c>
      <c r="M2240" t="s">
        <v>242</v>
      </c>
      <c r="N2240" t="s">
        <v>476</v>
      </c>
    </row>
    <row r="2241" spans="1:16" hidden="1" x14ac:dyDescent="0.25">
      <c r="A2241" s="16">
        <v>45748</v>
      </c>
      <c r="B2241" t="s">
        <v>97</v>
      </c>
      <c r="C2241">
        <v>31</v>
      </c>
      <c r="D2241" t="s">
        <v>291</v>
      </c>
      <c r="E2241" t="s">
        <v>292</v>
      </c>
      <c r="F2241" t="s">
        <v>477</v>
      </c>
      <c r="G2241" t="s">
        <v>99</v>
      </c>
      <c r="H2241" t="s">
        <v>100</v>
      </c>
      <c r="J2241" t="s">
        <v>196</v>
      </c>
      <c r="K2241" t="s">
        <v>250</v>
      </c>
      <c r="L2241">
        <v>939</v>
      </c>
      <c r="M2241" t="s">
        <v>242</v>
      </c>
      <c r="N2241" t="s">
        <v>1785</v>
      </c>
    </row>
    <row r="2242" spans="1:16" hidden="1" x14ac:dyDescent="0.25">
      <c r="A2242" s="16">
        <v>45748</v>
      </c>
      <c r="B2242" t="s">
        <v>97</v>
      </c>
      <c r="C2242">
        <v>31</v>
      </c>
      <c r="D2242" t="s">
        <v>291</v>
      </c>
      <c r="E2242" t="s">
        <v>292</v>
      </c>
      <c r="F2242" t="s">
        <v>477</v>
      </c>
      <c r="G2242" t="s">
        <v>99</v>
      </c>
      <c r="H2242" t="s">
        <v>101</v>
      </c>
      <c r="J2242" t="s">
        <v>196</v>
      </c>
      <c r="K2242" t="s">
        <v>250</v>
      </c>
      <c r="L2242">
        <v>1201</v>
      </c>
      <c r="M2242" t="s">
        <v>242</v>
      </c>
      <c r="N2242" t="s">
        <v>1786</v>
      </c>
    </row>
    <row r="2243" spans="1:16" hidden="1" x14ac:dyDescent="0.25">
      <c r="A2243" s="16">
        <v>45748</v>
      </c>
      <c r="B2243" t="s">
        <v>97</v>
      </c>
      <c r="C2243">
        <v>31</v>
      </c>
      <c r="D2243" t="s">
        <v>291</v>
      </c>
      <c r="E2243" t="s">
        <v>292</v>
      </c>
      <c r="F2243" t="s">
        <v>477</v>
      </c>
      <c r="G2243" t="s">
        <v>99</v>
      </c>
      <c r="H2243" t="s">
        <v>102</v>
      </c>
      <c r="J2243" t="s">
        <v>196</v>
      </c>
      <c r="K2243" t="s">
        <v>250</v>
      </c>
      <c r="L2243">
        <v>7</v>
      </c>
      <c r="M2243" t="s">
        <v>242</v>
      </c>
      <c r="N2243" t="s">
        <v>1064</v>
      </c>
    </row>
    <row r="2244" spans="1:16" hidden="1" x14ac:dyDescent="0.25">
      <c r="A2244" s="16">
        <v>45748</v>
      </c>
      <c r="B2244" t="s">
        <v>97</v>
      </c>
      <c r="C2244">
        <v>31</v>
      </c>
      <c r="D2244" t="s">
        <v>291</v>
      </c>
      <c r="E2244" t="s">
        <v>292</v>
      </c>
      <c r="F2244" t="s">
        <v>477</v>
      </c>
      <c r="G2244" t="s">
        <v>99</v>
      </c>
      <c r="H2244" t="s">
        <v>103</v>
      </c>
      <c r="J2244" t="s">
        <v>196</v>
      </c>
      <c r="K2244" t="s">
        <v>250</v>
      </c>
      <c r="L2244">
        <v>2560000</v>
      </c>
      <c r="M2244" t="s">
        <v>242</v>
      </c>
      <c r="N2244" t="s">
        <v>1787</v>
      </c>
    </row>
    <row r="2245" spans="1:16" hidden="1" x14ac:dyDescent="0.25">
      <c r="A2245" s="16">
        <v>45748</v>
      </c>
      <c r="B2245" t="s">
        <v>97</v>
      </c>
      <c r="C2245">
        <v>31</v>
      </c>
      <c r="D2245" t="s">
        <v>291</v>
      </c>
      <c r="E2245" t="s">
        <v>292</v>
      </c>
      <c r="F2245" t="s">
        <v>477</v>
      </c>
      <c r="G2245" t="s">
        <v>99</v>
      </c>
      <c r="H2245" t="s">
        <v>104</v>
      </c>
      <c r="J2245" t="s">
        <v>196</v>
      </c>
      <c r="K2245" t="s">
        <v>250</v>
      </c>
      <c r="L2245">
        <v>3358</v>
      </c>
      <c r="M2245" t="s">
        <v>242</v>
      </c>
      <c r="N2245" t="s">
        <v>1788</v>
      </c>
    </row>
    <row r="2246" spans="1:16" hidden="1" x14ac:dyDescent="0.25">
      <c r="A2246" s="16">
        <v>45748</v>
      </c>
      <c r="B2246" t="s">
        <v>97</v>
      </c>
      <c r="C2246">
        <v>32</v>
      </c>
      <c r="D2246" t="s">
        <v>253</v>
      </c>
      <c r="E2246" t="s">
        <v>248</v>
      </c>
      <c r="F2246" t="s">
        <v>240</v>
      </c>
      <c r="G2246" t="s">
        <v>82</v>
      </c>
      <c r="J2246" t="s">
        <v>194</v>
      </c>
      <c r="K2246" t="s">
        <v>255</v>
      </c>
      <c r="L2246">
        <v>5890000</v>
      </c>
      <c r="M2246" t="s">
        <v>242</v>
      </c>
      <c r="N2246" t="s">
        <v>1171</v>
      </c>
      <c r="O2246">
        <v>1</v>
      </c>
      <c r="P2246" t="s">
        <v>257</v>
      </c>
    </row>
    <row r="2247" spans="1:16" hidden="1" x14ac:dyDescent="0.25">
      <c r="A2247" s="16">
        <v>45748</v>
      </c>
      <c r="B2247" t="s">
        <v>97</v>
      </c>
      <c r="C2247">
        <v>32</v>
      </c>
      <c r="D2247" t="s">
        <v>253</v>
      </c>
      <c r="E2247" t="s">
        <v>248</v>
      </c>
      <c r="F2247" t="s">
        <v>240</v>
      </c>
      <c r="G2247" t="s">
        <v>82</v>
      </c>
      <c r="J2247" t="s">
        <v>195</v>
      </c>
      <c r="K2247" t="s">
        <v>255</v>
      </c>
      <c r="L2247">
        <v>7290000</v>
      </c>
      <c r="M2247" t="s">
        <v>242</v>
      </c>
      <c r="N2247" t="s">
        <v>1567</v>
      </c>
      <c r="O2247">
        <v>1</v>
      </c>
      <c r="P2247" t="s">
        <v>257</v>
      </c>
    </row>
    <row r="2248" spans="1:16" hidden="1" x14ac:dyDescent="0.25">
      <c r="A2248" s="16">
        <v>45748</v>
      </c>
      <c r="B2248" t="s">
        <v>97</v>
      </c>
      <c r="C2248">
        <v>32</v>
      </c>
      <c r="D2248" t="s">
        <v>253</v>
      </c>
      <c r="E2248" t="s">
        <v>248</v>
      </c>
      <c r="F2248" t="s">
        <v>240</v>
      </c>
      <c r="G2248" t="s">
        <v>82</v>
      </c>
      <c r="J2248" t="s">
        <v>196</v>
      </c>
      <c r="K2248" t="s">
        <v>255</v>
      </c>
      <c r="L2248">
        <v>6990000</v>
      </c>
      <c r="M2248" t="s">
        <v>242</v>
      </c>
      <c r="N2248" t="s">
        <v>1739</v>
      </c>
      <c r="O2248">
        <v>1</v>
      </c>
      <c r="P2248" t="s">
        <v>261</v>
      </c>
    </row>
    <row r="2249" spans="1:16" hidden="1" x14ac:dyDescent="0.25">
      <c r="A2249" s="16">
        <v>45748</v>
      </c>
      <c r="B2249" t="s">
        <v>97</v>
      </c>
      <c r="C2249">
        <v>32</v>
      </c>
      <c r="D2249" t="s">
        <v>247</v>
      </c>
      <c r="E2249" t="s">
        <v>248</v>
      </c>
      <c r="F2249" t="s">
        <v>240</v>
      </c>
      <c r="G2249" t="s">
        <v>82</v>
      </c>
      <c r="H2249" t="s">
        <v>249</v>
      </c>
      <c r="J2249" t="s">
        <v>196</v>
      </c>
      <c r="K2249" t="s">
        <v>250</v>
      </c>
      <c r="L2249">
        <v>4.0999999999999996</v>
      </c>
      <c r="M2249" t="s">
        <v>251</v>
      </c>
      <c r="N2249" t="s">
        <v>1789</v>
      </c>
    </row>
    <row r="2250" spans="1:16" hidden="1" x14ac:dyDescent="0.25">
      <c r="A2250" s="16">
        <v>45748</v>
      </c>
      <c r="B2250" t="s">
        <v>97</v>
      </c>
      <c r="C2250">
        <v>33</v>
      </c>
      <c r="D2250" t="s">
        <v>291</v>
      </c>
      <c r="E2250" t="s">
        <v>292</v>
      </c>
      <c r="F2250" t="s">
        <v>240</v>
      </c>
      <c r="G2250" t="s">
        <v>82</v>
      </c>
      <c r="H2250" t="s">
        <v>105</v>
      </c>
      <c r="J2250" t="s">
        <v>196</v>
      </c>
      <c r="K2250" t="s">
        <v>250</v>
      </c>
      <c r="L2250">
        <v>116000</v>
      </c>
      <c r="M2250" t="s">
        <v>242</v>
      </c>
      <c r="N2250" t="s">
        <v>1790</v>
      </c>
    </row>
    <row r="2251" spans="1:16" hidden="1" x14ac:dyDescent="0.25">
      <c r="A2251" s="16">
        <v>45748</v>
      </c>
      <c r="B2251" t="s">
        <v>97</v>
      </c>
      <c r="C2251">
        <v>33</v>
      </c>
      <c r="D2251" t="s">
        <v>291</v>
      </c>
      <c r="E2251" t="s">
        <v>292</v>
      </c>
      <c r="F2251" t="s">
        <v>240</v>
      </c>
      <c r="G2251" t="s">
        <v>82</v>
      </c>
      <c r="H2251" t="s">
        <v>106</v>
      </c>
      <c r="J2251" t="s">
        <v>196</v>
      </c>
      <c r="K2251" t="s">
        <v>250</v>
      </c>
      <c r="L2251">
        <v>152400</v>
      </c>
      <c r="M2251" t="s">
        <v>242</v>
      </c>
      <c r="N2251" t="s">
        <v>1791</v>
      </c>
    </row>
    <row r="2252" spans="1:16" hidden="1" x14ac:dyDescent="0.25">
      <c r="A2252" s="16">
        <v>45748</v>
      </c>
      <c r="B2252" t="s">
        <v>97</v>
      </c>
      <c r="C2252">
        <v>33</v>
      </c>
      <c r="D2252" t="s">
        <v>291</v>
      </c>
      <c r="E2252" t="s">
        <v>292</v>
      </c>
      <c r="F2252" t="s">
        <v>240</v>
      </c>
      <c r="G2252" t="s">
        <v>82</v>
      </c>
      <c r="H2252" t="s">
        <v>83</v>
      </c>
      <c r="J2252" t="s">
        <v>196</v>
      </c>
      <c r="K2252" t="s">
        <v>250</v>
      </c>
      <c r="L2252">
        <v>6480000</v>
      </c>
      <c r="M2252" t="s">
        <v>242</v>
      </c>
      <c r="N2252" t="s">
        <v>843</v>
      </c>
    </row>
    <row r="2253" spans="1:16" hidden="1" x14ac:dyDescent="0.25">
      <c r="A2253" s="16">
        <v>45748</v>
      </c>
      <c r="B2253" t="s">
        <v>97</v>
      </c>
      <c r="C2253">
        <v>33</v>
      </c>
      <c r="D2253" t="s">
        <v>291</v>
      </c>
      <c r="E2253" t="s">
        <v>292</v>
      </c>
      <c r="F2253" t="s">
        <v>240</v>
      </c>
      <c r="G2253" t="s">
        <v>82</v>
      </c>
      <c r="H2253" t="s">
        <v>84</v>
      </c>
      <c r="J2253" t="s">
        <v>196</v>
      </c>
      <c r="K2253" t="s">
        <v>250</v>
      </c>
      <c r="L2253">
        <v>243100</v>
      </c>
      <c r="M2253" t="s">
        <v>242</v>
      </c>
      <c r="N2253" t="s">
        <v>1792</v>
      </c>
    </row>
    <row r="2254" spans="1:16" hidden="1" x14ac:dyDescent="0.25">
      <c r="A2254" s="16">
        <v>45748</v>
      </c>
      <c r="B2254" t="s">
        <v>97</v>
      </c>
      <c r="C2254">
        <v>34</v>
      </c>
      <c r="D2254" t="s">
        <v>291</v>
      </c>
      <c r="E2254" t="s">
        <v>292</v>
      </c>
      <c r="F2254" t="s">
        <v>240</v>
      </c>
      <c r="G2254" t="s">
        <v>82</v>
      </c>
      <c r="H2254" t="s">
        <v>105</v>
      </c>
      <c r="I2254" t="s">
        <v>491</v>
      </c>
      <c r="J2254" t="s">
        <v>196</v>
      </c>
      <c r="K2254" t="s">
        <v>250</v>
      </c>
      <c r="L2254">
        <v>1.74</v>
      </c>
      <c r="M2254" t="s">
        <v>251</v>
      </c>
      <c r="N2254" t="s">
        <v>1793</v>
      </c>
    </row>
    <row r="2255" spans="1:16" hidden="1" x14ac:dyDescent="0.25">
      <c r="A2255" s="16">
        <v>45748</v>
      </c>
      <c r="B2255" t="s">
        <v>97</v>
      </c>
      <c r="C2255">
        <v>34</v>
      </c>
      <c r="D2255" t="s">
        <v>291</v>
      </c>
      <c r="E2255" t="s">
        <v>292</v>
      </c>
      <c r="F2255" t="s">
        <v>240</v>
      </c>
      <c r="G2255" t="s">
        <v>82</v>
      </c>
      <c r="H2255" t="s">
        <v>105</v>
      </c>
      <c r="I2255" t="s">
        <v>493</v>
      </c>
      <c r="J2255" t="s">
        <v>196</v>
      </c>
      <c r="K2255" t="s">
        <v>250</v>
      </c>
      <c r="L2255">
        <v>98.26</v>
      </c>
      <c r="M2255" t="s">
        <v>251</v>
      </c>
      <c r="N2255" t="s">
        <v>1794</v>
      </c>
    </row>
    <row r="2256" spans="1:16" hidden="1" x14ac:dyDescent="0.25">
      <c r="A2256" s="16">
        <v>45748</v>
      </c>
      <c r="B2256" t="s">
        <v>97</v>
      </c>
      <c r="C2256">
        <v>34</v>
      </c>
      <c r="D2256" t="s">
        <v>291</v>
      </c>
      <c r="E2256" t="s">
        <v>292</v>
      </c>
      <c r="F2256" t="s">
        <v>240</v>
      </c>
      <c r="G2256" t="s">
        <v>82</v>
      </c>
      <c r="H2256" t="s">
        <v>106</v>
      </c>
      <c r="I2256" t="s">
        <v>491</v>
      </c>
      <c r="J2256" t="s">
        <v>196</v>
      </c>
      <c r="K2256" t="s">
        <v>250</v>
      </c>
      <c r="L2256">
        <v>7.25</v>
      </c>
      <c r="M2256" t="s">
        <v>251</v>
      </c>
      <c r="N2256" t="s">
        <v>1795</v>
      </c>
    </row>
    <row r="2257" spans="1:16" hidden="1" x14ac:dyDescent="0.25">
      <c r="A2257" s="16">
        <v>45748</v>
      </c>
      <c r="B2257" t="s">
        <v>97</v>
      </c>
      <c r="C2257">
        <v>34</v>
      </c>
      <c r="D2257" t="s">
        <v>291</v>
      </c>
      <c r="E2257" t="s">
        <v>292</v>
      </c>
      <c r="F2257" t="s">
        <v>240</v>
      </c>
      <c r="G2257" t="s">
        <v>82</v>
      </c>
      <c r="H2257" t="s">
        <v>106</v>
      </c>
      <c r="I2257" t="s">
        <v>493</v>
      </c>
      <c r="J2257" t="s">
        <v>196</v>
      </c>
      <c r="K2257" t="s">
        <v>250</v>
      </c>
      <c r="L2257">
        <v>92.75</v>
      </c>
      <c r="M2257" t="s">
        <v>251</v>
      </c>
      <c r="N2257" t="s">
        <v>1796</v>
      </c>
    </row>
    <row r="2258" spans="1:16" hidden="1" x14ac:dyDescent="0.25">
      <c r="A2258" s="16">
        <v>45748</v>
      </c>
      <c r="B2258" t="s">
        <v>97</v>
      </c>
      <c r="C2258">
        <v>34</v>
      </c>
      <c r="D2258" t="s">
        <v>291</v>
      </c>
      <c r="E2258" t="s">
        <v>292</v>
      </c>
      <c r="F2258" t="s">
        <v>240</v>
      </c>
      <c r="G2258" t="s">
        <v>82</v>
      </c>
      <c r="H2258" t="s">
        <v>83</v>
      </c>
      <c r="I2258" t="s">
        <v>497</v>
      </c>
      <c r="J2258" t="s">
        <v>196</v>
      </c>
      <c r="K2258" t="s">
        <v>250</v>
      </c>
      <c r="L2258">
        <v>1.43</v>
      </c>
      <c r="M2258" t="s">
        <v>251</v>
      </c>
      <c r="N2258" t="s">
        <v>710</v>
      </c>
    </row>
    <row r="2259" spans="1:16" hidden="1" x14ac:dyDescent="0.25">
      <c r="A2259" s="16">
        <v>45748</v>
      </c>
      <c r="B2259" t="s">
        <v>97</v>
      </c>
      <c r="C2259">
        <v>34</v>
      </c>
      <c r="D2259" t="s">
        <v>291</v>
      </c>
      <c r="E2259" t="s">
        <v>292</v>
      </c>
      <c r="F2259" t="s">
        <v>240</v>
      </c>
      <c r="G2259" t="s">
        <v>82</v>
      </c>
      <c r="H2259" t="s">
        <v>83</v>
      </c>
      <c r="I2259" t="s">
        <v>499</v>
      </c>
      <c r="J2259" t="s">
        <v>196</v>
      </c>
      <c r="K2259" t="s">
        <v>250</v>
      </c>
      <c r="L2259">
        <v>0</v>
      </c>
      <c r="M2259" t="s">
        <v>251</v>
      </c>
      <c r="N2259" t="s">
        <v>1271</v>
      </c>
    </row>
    <row r="2260" spans="1:16" hidden="1" x14ac:dyDescent="0.25">
      <c r="A2260" s="16">
        <v>45748</v>
      </c>
      <c r="B2260" t="s">
        <v>97</v>
      </c>
      <c r="C2260">
        <v>34</v>
      </c>
      <c r="D2260" t="s">
        <v>291</v>
      </c>
      <c r="E2260" t="s">
        <v>292</v>
      </c>
      <c r="F2260" t="s">
        <v>240</v>
      </c>
      <c r="G2260" t="s">
        <v>82</v>
      </c>
      <c r="H2260" t="s">
        <v>83</v>
      </c>
      <c r="I2260" t="s">
        <v>501</v>
      </c>
      <c r="J2260" t="s">
        <v>196</v>
      </c>
      <c r="K2260" t="s">
        <v>250</v>
      </c>
      <c r="L2260">
        <v>0.37</v>
      </c>
      <c r="M2260" t="s">
        <v>251</v>
      </c>
      <c r="N2260" t="s">
        <v>1797</v>
      </c>
    </row>
    <row r="2261" spans="1:16" hidden="1" x14ac:dyDescent="0.25">
      <c r="A2261" s="16">
        <v>45748</v>
      </c>
      <c r="B2261" t="s">
        <v>97</v>
      </c>
      <c r="C2261">
        <v>34</v>
      </c>
      <c r="D2261" t="s">
        <v>291</v>
      </c>
      <c r="E2261" t="s">
        <v>292</v>
      </c>
      <c r="F2261" t="s">
        <v>240</v>
      </c>
      <c r="G2261" t="s">
        <v>82</v>
      </c>
      <c r="H2261" t="s">
        <v>83</v>
      </c>
      <c r="I2261" t="s">
        <v>503</v>
      </c>
      <c r="J2261" t="s">
        <v>196</v>
      </c>
      <c r="K2261" t="s">
        <v>250</v>
      </c>
      <c r="L2261">
        <v>2.63</v>
      </c>
      <c r="M2261" t="s">
        <v>251</v>
      </c>
      <c r="N2261" t="s">
        <v>1798</v>
      </c>
    </row>
    <row r="2262" spans="1:16" hidden="1" x14ac:dyDescent="0.25">
      <c r="A2262" s="16">
        <v>45748</v>
      </c>
      <c r="B2262" t="s">
        <v>97</v>
      </c>
      <c r="C2262">
        <v>34</v>
      </c>
      <c r="D2262" t="s">
        <v>291</v>
      </c>
      <c r="E2262" t="s">
        <v>292</v>
      </c>
      <c r="F2262" t="s">
        <v>240</v>
      </c>
      <c r="G2262" t="s">
        <v>82</v>
      </c>
      <c r="H2262" t="s">
        <v>83</v>
      </c>
      <c r="I2262" t="s">
        <v>315</v>
      </c>
      <c r="J2262" t="s">
        <v>196</v>
      </c>
      <c r="K2262" t="s">
        <v>250</v>
      </c>
      <c r="L2262">
        <v>90.66</v>
      </c>
      <c r="M2262" t="s">
        <v>251</v>
      </c>
      <c r="N2262" t="s">
        <v>1799</v>
      </c>
    </row>
    <row r="2263" spans="1:16" hidden="1" x14ac:dyDescent="0.25">
      <c r="A2263" s="16">
        <v>45748</v>
      </c>
      <c r="B2263" t="s">
        <v>97</v>
      </c>
      <c r="C2263">
        <v>34</v>
      </c>
      <c r="D2263" t="s">
        <v>291</v>
      </c>
      <c r="E2263" t="s">
        <v>292</v>
      </c>
      <c r="F2263" t="s">
        <v>240</v>
      </c>
      <c r="G2263" t="s">
        <v>82</v>
      </c>
      <c r="H2263" t="s">
        <v>83</v>
      </c>
      <c r="I2263" t="s">
        <v>317</v>
      </c>
      <c r="J2263" t="s">
        <v>196</v>
      </c>
      <c r="K2263" t="s">
        <v>250</v>
      </c>
      <c r="L2263">
        <v>4.91</v>
      </c>
      <c r="M2263" t="s">
        <v>251</v>
      </c>
      <c r="N2263" t="s">
        <v>1800</v>
      </c>
    </row>
    <row r="2264" spans="1:16" hidden="1" x14ac:dyDescent="0.25">
      <c r="A2264" s="16">
        <v>45748</v>
      </c>
      <c r="B2264" t="s">
        <v>97</v>
      </c>
      <c r="C2264">
        <v>34</v>
      </c>
      <c r="D2264" t="s">
        <v>291</v>
      </c>
      <c r="E2264" t="s">
        <v>292</v>
      </c>
      <c r="F2264" t="s">
        <v>240</v>
      </c>
      <c r="G2264" t="s">
        <v>82</v>
      </c>
      <c r="H2264" t="s">
        <v>84</v>
      </c>
      <c r="I2264" t="s">
        <v>84</v>
      </c>
      <c r="J2264" t="s">
        <v>196</v>
      </c>
      <c r="K2264" t="s">
        <v>250</v>
      </c>
      <c r="L2264">
        <v>62.1</v>
      </c>
      <c r="M2264" t="s">
        <v>251</v>
      </c>
      <c r="N2264" t="s">
        <v>1801</v>
      </c>
    </row>
    <row r="2265" spans="1:16" hidden="1" x14ac:dyDescent="0.25">
      <c r="A2265" s="16">
        <v>45748</v>
      </c>
      <c r="B2265" t="s">
        <v>97</v>
      </c>
      <c r="C2265">
        <v>34</v>
      </c>
      <c r="D2265" t="s">
        <v>291</v>
      </c>
      <c r="E2265" t="s">
        <v>292</v>
      </c>
      <c r="F2265" t="s">
        <v>240</v>
      </c>
      <c r="G2265" t="s">
        <v>82</v>
      </c>
      <c r="H2265" t="s">
        <v>84</v>
      </c>
      <c r="I2265" t="s">
        <v>321</v>
      </c>
      <c r="J2265" t="s">
        <v>196</v>
      </c>
      <c r="K2265" t="s">
        <v>250</v>
      </c>
      <c r="L2265">
        <v>37.9</v>
      </c>
      <c r="M2265" t="s">
        <v>251</v>
      </c>
      <c r="N2265" t="s">
        <v>1802</v>
      </c>
    </row>
    <row r="2266" spans="1:16" hidden="1" x14ac:dyDescent="0.25">
      <c r="A2266" s="16">
        <v>45748</v>
      </c>
      <c r="B2266" t="s">
        <v>97</v>
      </c>
      <c r="C2266">
        <v>35</v>
      </c>
      <c r="D2266" t="s">
        <v>253</v>
      </c>
      <c r="E2266" t="s">
        <v>248</v>
      </c>
      <c r="F2266" t="s">
        <v>244</v>
      </c>
      <c r="G2266" t="s">
        <v>82</v>
      </c>
      <c r="J2266" t="s">
        <v>194</v>
      </c>
      <c r="K2266" t="s">
        <v>255</v>
      </c>
      <c r="L2266">
        <v>431000000</v>
      </c>
      <c r="M2266" t="s">
        <v>245</v>
      </c>
      <c r="N2266" t="s">
        <v>1454</v>
      </c>
      <c r="O2266">
        <v>1</v>
      </c>
      <c r="P2266" t="s">
        <v>257</v>
      </c>
    </row>
    <row r="2267" spans="1:16" hidden="1" x14ac:dyDescent="0.25">
      <c r="A2267" s="16">
        <v>45748</v>
      </c>
      <c r="B2267" t="s">
        <v>97</v>
      </c>
      <c r="C2267">
        <v>35</v>
      </c>
      <c r="D2267" t="s">
        <v>253</v>
      </c>
      <c r="E2267" t="s">
        <v>248</v>
      </c>
      <c r="F2267" t="s">
        <v>244</v>
      </c>
      <c r="G2267" t="s">
        <v>82</v>
      </c>
      <c r="J2267" t="s">
        <v>195</v>
      </c>
      <c r="K2267" t="s">
        <v>255</v>
      </c>
      <c r="L2267">
        <v>538000000</v>
      </c>
      <c r="M2267" t="s">
        <v>245</v>
      </c>
      <c r="N2267" t="s">
        <v>1629</v>
      </c>
      <c r="O2267">
        <v>1</v>
      </c>
      <c r="P2267" t="s">
        <v>257</v>
      </c>
    </row>
    <row r="2268" spans="1:16" hidden="1" x14ac:dyDescent="0.25">
      <c r="A2268" s="16">
        <v>45748</v>
      </c>
      <c r="B2268" t="s">
        <v>97</v>
      </c>
      <c r="C2268">
        <v>35</v>
      </c>
      <c r="D2268" t="s">
        <v>253</v>
      </c>
      <c r="E2268" t="s">
        <v>248</v>
      </c>
      <c r="F2268" t="s">
        <v>244</v>
      </c>
      <c r="G2268" t="s">
        <v>82</v>
      </c>
      <c r="J2268" t="s">
        <v>196</v>
      </c>
      <c r="K2268" t="s">
        <v>255</v>
      </c>
      <c r="L2268">
        <v>469000000</v>
      </c>
      <c r="M2268" t="s">
        <v>245</v>
      </c>
      <c r="N2268" t="s">
        <v>1278</v>
      </c>
      <c r="O2268">
        <v>1</v>
      </c>
      <c r="P2268" t="s">
        <v>261</v>
      </c>
    </row>
    <row r="2269" spans="1:16" hidden="1" x14ac:dyDescent="0.25">
      <c r="A2269" s="16">
        <v>45748</v>
      </c>
      <c r="B2269" t="s">
        <v>97</v>
      </c>
      <c r="C2269">
        <v>35</v>
      </c>
      <c r="D2269" t="s">
        <v>247</v>
      </c>
      <c r="E2269" t="s">
        <v>248</v>
      </c>
      <c r="F2269" t="s">
        <v>244</v>
      </c>
      <c r="G2269" t="s">
        <v>82</v>
      </c>
      <c r="H2269" t="s">
        <v>249</v>
      </c>
      <c r="J2269" t="s">
        <v>196</v>
      </c>
      <c r="K2269" t="s">
        <v>250</v>
      </c>
      <c r="L2269">
        <v>12.8</v>
      </c>
      <c r="M2269" t="s">
        <v>251</v>
      </c>
      <c r="N2269" t="s">
        <v>1044</v>
      </c>
    </row>
    <row r="2270" spans="1:16" hidden="1" x14ac:dyDescent="0.25">
      <c r="A2270" s="16">
        <v>45748</v>
      </c>
      <c r="B2270" t="s">
        <v>97</v>
      </c>
      <c r="C2270">
        <v>36</v>
      </c>
      <c r="D2270" t="s">
        <v>291</v>
      </c>
      <c r="E2270" t="s">
        <v>292</v>
      </c>
      <c r="F2270" t="s">
        <v>244</v>
      </c>
      <c r="G2270" t="s">
        <v>82</v>
      </c>
      <c r="H2270" t="s">
        <v>105</v>
      </c>
      <c r="J2270" t="s">
        <v>196</v>
      </c>
      <c r="K2270" t="s">
        <v>250</v>
      </c>
      <c r="L2270">
        <v>17800000</v>
      </c>
      <c r="M2270" t="s">
        <v>245</v>
      </c>
      <c r="N2270" t="s">
        <v>1803</v>
      </c>
    </row>
    <row r="2271" spans="1:16" hidden="1" x14ac:dyDescent="0.25">
      <c r="A2271" s="16">
        <v>45748</v>
      </c>
      <c r="B2271" t="s">
        <v>97</v>
      </c>
      <c r="C2271">
        <v>36</v>
      </c>
      <c r="D2271" t="s">
        <v>291</v>
      </c>
      <c r="E2271" t="s">
        <v>292</v>
      </c>
      <c r="F2271" t="s">
        <v>244</v>
      </c>
      <c r="G2271" t="s">
        <v>82</v>
      </c>
      <c r="H2271" t="s">
        <v>106</v>
      </c>
      <c r="J2271" t="s">
        <v>196</v>
      </c>
      <c r="K2271" t="s">
        <v>250</v>
      </c>
      <c r="L2271">
        <v>23000000</v>
      </c>
      <c r="M2271" t="s">
        <v>245</v>
      </c>
      <c r="N2271" t="s">
        <v>1804</v>
      </c>
    </row>
    <row r="2272" spans="1:16" hidden="1" x14ac:dyDescent="0.25">
      <c r="A2272" s="16">
        <v>45748</v>
      </c>
      <c r="B2272" t="s">
        <v>97</v>
      </c>
      <c r="C2272">
        <v>36</v>
      </c>
      <c r="D2272" t="s">
        <v>291</v>
      </c>
      <c r="E2272" t="s">
        <v>292</v>
      </c>
      <c r="F2272" t="s">
        <v>244</v>
      </c>
      <c r="G2272" t="s">
        <v>82</v>
      </c>
      <c r="H2272" t="s">
        <v>83</v>
      </c>
      <c r="J2272" t="s">
        <v>196</v>
      </c>
      <c r="K2272" t="s">
        <v>250</v>
      </c>
      <c r="L2272">
        <v>422000000</v>
      </c>
      <c r="M2272" t="s">
        <v>245</v>
      </c>
      <c r="N2272" t="s">
        <v>1805</v>
      </c>
    </row>
    <row r="2273" spans="1:16" hidden="1" x14ac:dyDescent="0.25">
      <c r="A2273" s="16">
        <v>45748</v>
      </c>
      <c r="B2273" t="s">
        <v>97</v>
      </c>
      <c r="C2273">
        <v>36</v>
      </c>
      <c r="D2273" t="s">
        <v>291</v>
      </c>
      <c r="E2273" t="s">
        <v>292</v>
      </c>
      <c r="F2273" t="s">
        <v>244</v>
      </c>
      <c r="G2273" t="s">
        <v>82</v>
      </c>
      <c r="H2273" t="s">
        <v>84</v>
      </c>
      <c r="J2273" t="s">
        <v>196</v>
      </c>
      <c r="K2273" t="s">
        <v>250</v>
      </c>
      <c r="L2273">
        <v>6200000</v>
      </c>
      <c r="M2273" t="s">
        <v>245</v>
      </c>
      <c r="N2273" t="s">
        <v>1806</v>
      </c>
    </row>
    <row r="2274" spans="1:16" hidden="1" x14ac:dyDescent="0.25">
      <c r="A2274" s="16">
        <v>45748</v>
      </c>
      <c r="B2274" t="s">
        <v>97</v>
      </c>
      <c r="C2274">
        <v>37</v>
      </c>
      <c r="D2274" t="s">
        <v>291</v>
      </c>
      <c r="E2274" t="s">
        <v>292</v>
      </c>
      <c r="F2274" t="s">
        <v>244</v>
      </c>
      <c r="G2274" t="s">
        <v>82</v>
      </c>
      <c r="H2274" t="s">
        <v>105</v>
      </c>
      <c r="I2274" t="s">
        <v>491</v>
      </c>
      <c r="J2274" t="s">
        <v>196</v>
      </c>
      <c r="K2274" t="s">
        <v>250</v>
      </c>
      <c r="L2274">
        <v>1.56</v>
      </c>
      <c r="M2274" t="s">
        <v>251</v>
      </c>
      <c r="N2274" t="s">
        <v>1807</v>
      </c>
    </row>
    <row r="2275" spans="1:16" hidden="1" x14ac:dyDescent="0.25">
      <c r="A2275" s="16">
        <v>45748</v>
      </c>
      <c r="B2275" t="s">
        <v>97</v>
      </c>
      <c r="C2275">
        <v>37</v>
      </c>
      <c r="D2275" t="s">
        <v>291</v>
      </c>
      <c r="E2275" t="s">
        <v>292</v>
      </c>
      <c r="F2275" t="s">
        <v>244</v>
      </c>
      <c r="G2275" t="s">
        <v>82</v>
      </c>
      <c r="H2275" t="s">
        <v>105</v>
      </c>
      <c r="I2275" t="s">
        <v>493</v>
      </c>
      <c r="J2275" t="s">
        <v>196</v>
      </c>
      <c r="K2275" t="s">
        <v>250</v>
      </c>
      <c r="L2275">
        <v>98.44</v>
      </c>
      <c r="M2275" t="s">
        <v>251</v>
      </c>
      <c r="N2275" t="s">
        <v>1808</v>
      </c>
    </row>
    <row r="2276" spans="1:16" hidden="1" x14ac:dyDescent="0.25">
      <c r="A2276" s="16">
        <v>45748</v>
      </c>
      <c r="B2276" t="s">
        <v>97</v>
      </c>
      <c r="C2276">
        <v>37</v>
      </c>
      <c r="D2276" t="s">
        <v>291</v>
      </c>
      <c r="E2276" t="s">
        <v>292</v>
      </c>
      <c r="F2276" t="s">
        <v>244</v>
      </c>
      <c r="G2276" t="s">
        <v>82</v>
      </c>
      <c r="H2276" t="s">
        <v>106</v>
      </c>
      <c r="I2276" t="s">
        <v>491</v>
      </c>
      <c r="J2276" t="s">
        <v>196</v>
      </c>
      <c r="K2276" t="s">
        <v>250</v>
      </c>
      <c r="L2276">
        <v>6.85</v>
      </c>
      <c r="M2276" t="s">
        <v>251</v>
      </c>
      <c r="N2276" t="s">
        <v>1809</v>
      </c>
    </row>
    <row r="2277" spans="1:16" hidden="1" x14ac:dyDescent="0.25">
      <c r="A2277" s="16">
        <v>45748</v>
      </c>
      <c r="B2277" t="s">
        <v>97</v>
      </c>
      <c r="C2277">
        <v>37</v>
      </c>
      <c r="D2277" t="s">
        <v>291</v>
      </c>
      <c r="E2277" t="s">
        <v>292</v>
      </c>
      <c r="F2277" t="s">
        <v>244</v>
      </c>
      <c r="G2277" t="s">
        <v>82</v>
      </c>
      <c r="H2277" t="s">
        <v>106</v>
      </c>
      <c r="I2277" t="s">
        <v>493</v>
      </c>
      <c r="J2277" t="s">
        <v>196</v>
      </c>
      <c r="K2277" t="s">
        <v>250</v>
      </c>
      <c r="L2277">
        <v>93.15</v>
      </c>
      <c r="M2277" t="s">
        <v>251</v>
      </c>
      <c r="N2277" t="s">
        <v>1810</v>
      </c>
    </row>
    <row r="2278" spans="1:16" hidden="1" x14ac:dyDescent="0.25">
      <c r="A2278" s="16">
        <v>45748</v>
      </c>
      <c r="B2278" t="s">
        <v>97</v>
      </c>
      <c r="C2278">
        <v>37</v>
      </c>
      <c r="D2278" t="s">
        <v>291</v>
      </c>
      <c r="E2278" t="s">
        <v>292</v>
      </c>
      <c r="F2278" t="s">
        <v>244</v>
      </c>
      <c r="G2278" t="s">
        <v>82</v>
      </c>
      <c r="H2278" t="s">
        <v>83</v>
      </c>
      <c r="I2278" t="s">
        <v>497</v>
      </c>
      <c r="J2278" t="s">
        <v>196</v>
      </c>
      <c r="K2278" t="s">
        <v>250</v>
      </c>
      <c r="L2278">
        <v>3.21</v>
      </c>
      <c r="M2278" t="s">
        <v>251</v>
      </c>
      <c r="N2278" t="s">
        <v>1811</v>
      </c>
    </row>
    <row r="2279" spans="1:16" hidden="1" x14ac:dyDescent="0.25">
      <c r="A2279" s="16">
        <v>45748</v>
      </c>
      <c r="B2279" t="s">
        <v>97</v>
      </c>
      <c r="C2279">
        <v>37</v>
      </c>
      <c r="D2279" t="s">
        <v>291</v>
      </c>
      <c r="E2279" t="s">
        <v>292</v>
      </c>
      <c r="F2279" t="s">
        <v>244</v>
      </c>
      <c r="G2279" t="s">
        <v>82</v>
      </c>
      <c r="H2279" t="s">
        <v>83</v>
      </c>
      <c r="I2279" t="s">
        <v>499</v>
      </c>
      <c r="J2279" t="s">
        <v>196</v>
      </c>
      <c r="K2279" t="s">
        <v>250</v>
      </c>
      <c r="L2279">
        <v>0</v>
      </c>
      <c r="M2279" t="s">
        <v>251</v>
      </c>
      <c r="N2279" t="s">
        <v>1271</v>
      </c>
    </row>
    <row r="2280" spans="1:16" hidden="1" x14ac:dyDescent="0.25">
      <c r="A2280" s="16">
        <v>45748</v>
      </c>
      <c r="B2280" t="s">
        <v>97</v>
      </c>
      <c r="C2280">
        <v>37</v>
      </c>
      <c r="D2280" t="s">
        <v>291</v>
      </c>
      <c r="E2280" t="s">
        <v>292</v>
      </c>
      <c r="F2280" t="s">
        <v>244</v>
      </c>
      <c r="G2280" t="s">
        <v>82</v>
      </c>
      <c r="H2280" t="s">
        <v>83</v>
      </c>
      <c r="I2280" t="s">
        <v>501</v>
      </c>
      <c r="J2280" t="s">
        <v>196</v>
      </c>
      <c r="K2280" t="s">
        <v>250</v>
      </c>
      <c r="L2280">
        <v>2.15</v>
      </c>
      <c r="M2280" t="s">
        <v>251</v>
      </c>
      <c r="N2280" t="s">
        <v>1812</v>
      </c>
    </row>
    <row r="2281" spans="1:16" hidden="1" x14ac:dyDescent="0.25">
      <c r="A2281" s="16">
        <v>45748</v>
      </c>
      <c r="B2281" t="s">
        <v>97</v>
      </c>
      <c r="C2281">
        <v>37</v>
      </c>
      <c r="D2281" t="s">
        <v>291</v>
      </c>
      <c r="E2281" t="s">
        <v>292</v>
      </c>
      <c r="F2281" t="s">
        <v>244</v>
      </c>
      <c r="G2281" t="s">
        <v>82</v>
      </c>
      <c r="H2281" t="s">
        <v>83</v>
      </c>
      <c r="I2281" t="s">
        <v>503</v>
      </c>
      <c r="J2281" t="s">
        <v>196</v>
      </c>
      <c r="K2281" t="s">
        <v>250</v>
      </c>
      <c r="L2281">
        <v>3.86</v>
      </c>
      <c r="M2281" t="s">
        <v>251</v>
      </c>
      <c r="N2281" t="s">
        <v>1813</v>
      </c>
    </row>
    <row r="2282" spans="1:16" hidden="1" x14ac:dyDescent="0.25">
      <c r="A2282" s="16">
        <v>45748</v>
      </c>
      <c r="B2282" t="s">
        <v>97</v>
      </c>
      <c r="C2282">
        <v>37</v>
      </c>
      <c r="D2282" t="s">
        <v>291</v>
      </c>
      <c r="E2282" t="s">
        <v>292</v>
      </c>
      <c r="F2282" t="s">
        <v>244</v>
      </c>
      <c r="G2282" t="s">
        <v>82</v>
      </c>
      <c r="H2282" t="s">
        <v>83</v>
      </c>
      <c r="I2282" t="s">
        <v>315</v>
      </c>
      <c r="J2282" t="s">
        <v>196</v>
      </c>
      <c r="K2282" t="s">
        <v>250</v>
      </c>
      <c r="L2282">
        <v>75.13</v>
      </c>
      <c r="M2282" t="s">
        <v>251</v>
      </c>
      <c r="N2282" t="s">
        <v>1814</v>
      </c>
    </row>
    <row r="2283" spans="1:16" hidden="1" x14ac:dyDescent="0.25">
      <c r="A2283" s="16">
        <v>45748</v>
      </c>
      <c r="B2283" t="s">
        <v>97</v>
      </c>
      <c r="C2283">
        <v>37</v>
      </c>
      <c r="D2283" t="s">
        <v>291</v>
      </c>
      <c r="E2283" t="s">
        <v>292</v>
      </c>
      <c r="F2283" t="s">
        <v>244</v>
      </c>
      <c r="G2283" t="s">
        <v>82</v>
      </c>
      <c r="H2283" t="s">
        <v>83</v>
      </c>
      <c r="I2283" t="s">
        <v>317</v>
      </c>
      <c r="J2283" t="s">
        <v>196</v>
      </c>
      <c r="K2283" t="s">
        <v>250</v>
      </c>
      <c r="L2283">
        <v>15.65</v>
      </c>
      <c r="M2283" t="s">
        <v>251</v>
      </c>
      <c r="N2283" t="s">
        <v>1815</v>
      </c>
    </row>
    <row r="2284" spans="1:16" hidden="1" x14ac:dyDescent="0.25">
      <c r="A2284" s="16">
        <v>45748</v>
      </c>
      <c r="B2284" t="s">
        <v>97</v>
      </c>
      <c r="C2284">
        <v>37</v>
      </c>
      <c r="D2284" t="s">
        <v>291</v>
      </c>
      <c r="E2284" t="s">
        <v>292</v>
      </c>
      <c r="F2284" t="s">
        <v>244</v>
      </c>
      <c r="G2284" t="s">
        <v>82</v>
      </c>
      <c r="H2284" t="s">
        <v>84</v>
      </c>
      <c r="I2284" t="s">
        <v>84</v>
      </c>
      <c r="J2284" t="s">
        <v>196</v>
      </c>
      <c r="K2284" t="s">
        <v>250</v>
      </c>
      <c r="L2284">
        <v>81.87</v>
      </c>
      <c r="M2284" t="s">
        <v>251</v>
      </c>
      <c r="N2284" t="s">
        <v>1816</v>
      </c>
    </row>
    <row r="2285" spans="1:16" hidden="1" x14ac:dyDescent="0.25">
      <c r="A2285" s="16">
        <v>45748</v>
      </c>
      <c r="B2285" t="s">
        <v>97</v>
      </c>
      <c r="C2285">
        <v>37</v>
      </c>
      <c r="D2285" t="s">
        <v>291</v>
      </c>
      <c r="E2285" t="s">
        <v>292</v>
      </c>
      <c r="F2285" t="s">
        <v>244</v>
      </c>
      <c r="G2285" t="s">
        <v>82</v>
      </c>
      <c r="H2285" t="s">
        <v>84</v>
      </c>
      <c r="I2285" t="s">
        <v>321</v>
      </c>
      <c r="J2285" t="s">
        <v>196</v>
      </c>
      <c r="K2285" t="s">
        <v>250</v>
      </c>
      <c r="L2285">
        <v>18.13</v>
      </c>
      <c r="M2285" t="s">
        <v>251</v>
      </c>
      <c r="N2285" t="s">
        <v>1817</v>
      </c>
    </row>
    <row r="2286" spans="1:16" hidden="1" x14ac:dyDescent="0.25">
      <c r="A2286" s="16">
        <v>45748</v>
      </c>
      <c r="B2286" t="s">
        <v>97</v>
      </c>
      <c r="C2286">
        <v>38</v>
      </c>
      <c r="D2286" t="s">
        <v>253</v>
      </c>
      <c r="E2286" t="s">
        <v>248</v>
      </c>
      <c r="F2286" t="s">
        <v>334</v>
      </c>
      <c r="G2286" t="s">
        <v>82</v>
      </c>
      <c r="J2286" t="s">
        <v>194</v>
      </c>
      <c r="K2286" t="s">
        <v>255</v>
      </c>
      <c r="L2286">
        <v>73</v>
      </c>
      <c r="M2286" t="s">
        <v>245</v>
      </c>
      <c r="N2286" t="s">
        <v>1295</v>
      </c>
      <c r="O2286">
        <v>1</v>
      </c>
      <c r="P2286" t="s">
        <v>257</v>
      </c>
    </row>
    <row r="2287" spans="1:16" hidden="1" x14ac:dyDescent="0.25">
      <c r="A2287" s="16">
        <v>45748</v>
      </c>
      <c r="B2287" t="s">
        <v>97</v>
      </c>
      <c r="C2287">
        <v>38</v>
      </c>
      <c r="D2287" t="s">
        <v>253</v>
      </c>
      <c r="E2287" t="s">
        <v>248</v>
      </c>
      <c r="F2287" t="s">
        <v>334</v>
      </c>
      <c r="G2287" t="s">
        <v>82</v>
      </c>
      <c r="J2287" t="s">
        <v>195</v>
      </c>
      <c r="K2287" t="s">
        <v>255</v>
      </c>
      <c r="L2287">
        <v>74</v>
      </c>
      <c r="M2287" t="s">
        <v>245</v>
      </c>
      <c r="N2287" t="s">
        <v>1644</v>
      </c>
      <c r="O2287">
        <v>1</v>
      </c>
      <c r="P2287" t="s">
        <v>257</v>
      </c>
    </row>
    <row r="2288" spans="1:16" hidden="1" x14ac:dyDescent="0.25">
      <c r="A2288" s="16">
        <v>45748</v>
      </c>
      <c r="B2288" t="s">
        <v>97</v>
      </c>
      <c r="C2288">
        <v>38</v>
      </c>
      <c r="D2288" t="s">
        <v>253</v>
      </c>
      <c r="E2288" t="s">
        <v>248</v>
      </c>
      <c r="F2288" t="s">
        <v>334</v>
      </c>
      <c r="G2288" t="s">
        <v>82</v>
      </c>
      <c r="J2288" t="s">
        <v>196</v>
      </c>
      <c r="K2288" t="s">
        <v>255</v>
      </c>
      <c r="L2288">
        <v>67</v>
      </c>
      <c r="M2288" t="s">
        <v>245</v>
      </c>
      <c r="N2288" t="s">
        <v>1818</v>
      </c>
      <c r="O2288">
        <v>1</v>
      </c>
      <c r="P2288" t="s">
        <v>261</v>
      </c>
    </row>
    <row r="2289" spans="1:14" hidden="1" x14ac:dyDescent="0.25">
      <c r="A2289" s="16">
        <v>45748</v>
      </c>
      <c r="B2289" t="s">
        <v>97</v>
      </c>
      <c r="C2289">
        <v>39</v>
      </c>
      <c r="D2289" t="s">
        <v>291</v>
      </c>
      <c r="E2289" t="s">
        <v>292</v>
      </c>
      <c r="F2289" t="s">
        <v>240</v>
      </c>
      <c r="G2289" t="s">
        <v>82</v>
      </c>
      <c r="H2289" t="s">
        <v>94</v>
      </c>
      <c r="J2289" t="s">
        <v>196</v>
      </c>
      <c r="K2289" t="s">
        <v>250</v>
      </c>
      <c r="L2289">
        <v>1870000</v>
      </c>
      <c r="M2289" t="s">
        <v>242</v>
      </c>
      <c r="N2289" t="s">
        <v>1819</v>
      </c>
    </row>
    <row r="2290" spans="1:14" hidden="1" x14ac:dyDescent="0.25">
      <c r="A2290" s="16">
        <v>45748</v>
      </c>
      <c r="B2290" t="s">
        <v>97</v>
      </c>
      <c r="C2290">
        <v>39</v>
      </c>
      <c r="D2290" t="s">
        <v>291</v>
      </c>
      <c r="E2290" t="s">
        <v>292</v>
      </c>
      <c r="F2290" t="s">
        <v>240</v>
      </c>
      <c r="G2290" t="s">
        <v>82</v>
      </c>
      <c r="H2290" t="s">
        <v>95</v>
      </c>
      <c r="J2290" t="s">
        <v>196</v>
      </c>
      <c r="K2290" t="s">
        <v>250</v>
      </c>
      <c r="L2290">
        <v>2460000</v>
      </c>
      <c r="M2290" t="s">
        <v>242</v>
      </c>
      <c r="N2290" t="s">
        <v>1820</v>
      </c>
    </row>
    <row r="2291" spans="1:14" hidden="1" x14ac:dyDescent="0.25">
      <c r="A2291" s="16">
        <v>45748</v>
      </c>
      <c r="B2291" t="s">
        <v>97</v>
      </c>
      <c r="C2291">
        <v>40</v>
      </c>
      <c r="D2291" t="s">
        <v>291</v>
      </c>
      <c r="E2291" t="s">
        <v>292</v>
      </c>
      <c r="F2291" t="s">
        <v>244</v>
      </c>
      <c r="G2291" t="s">
        <v>82</v>
      </c>
      <c r="H2291" t="s">
        <v>94</v>
      </c>
      <c r="J2291" t="s">
        <v>196</v>
      </c>
      <c r="K2291" t="s">
        <v>250</v>
      </c>
      <c r="L2291">
        <v>84700000</v>
      </c>
      <c r="M2291" t="s">
        <v>245</v>
      </c>
      <c r="N2291" t="s">
        <v>1821</v>
      </c>
    </row>
    <row r="2292" spans="1:14" hidden="1" x14ac:dyDescent="0.25">
      <c r="A2292" s="16">
        <v>45748</v>
      </c>
      <c r="B2292" t="s">
        <v>97</v>
      </c>
      <c r="C2292">
        <v>40</v>
      </c>
      <c r="D2292" t="s">
        <v>291</v>
      </c>
      <c r="E2292" t="s">
        <v>292</v>
      </c>
      <c r="F2292" t="s">
        <v>244</v>
      </c>
      <c r="G2292" t="s">
        <v>82</v>
      </c>
      <c r="H2292" t="s">
        <v>95</v>
      </c>
      <c r="J2292" t="s">
        <v>196</v>
      </c>
      <c r="K2292" t="s">
        <v>250</v>
      </c>
      <c r="L2292">
        <v>102000000</v>
      </c>
      <c r="M2292" t="s">
        <v>245</v>
      </c>
      <c r="N2292" t="s">
        <v>1822</v>
      </c>
    </row>
    <row r="2293" spans="1:14" hidden="1" x14ac:dyDescent="0.25">
      <c r="A2293" s="16">
        <v>45748</v>
      </c>
      <c r="B2293" t="s">
        <v>535</v>
      </c>
      <c r="C2293">
        <v>4</v>
      </c>
      <c r="D2293" t="s">
        <v>238</v>
      </c>
      <c r="E2293" t="s">
        <v>239</v>
      </c>
      <c r="F2293" t="s">
        <v>240</v>
      </c>
      <c r="G2293" t="s">
        <v>82</v>
      </c>
      <c r="J2293" t="s">
        <v>196</v>
      </c>
      <c r="K2293" t="s">
        <v>250</v>
      </c>
      <c r="L2293">
        <v>11520000</v>
      </c>
      <c r="M2293" t="s">
        <v>242</v>
      </c>
      <c r="N2293" t="s">
        <v>1823</v>
      </c>
    </row>
    <row r="2294" spans="1:14" hidden="1" x14ac:dyDescent="0.25">
      <c r="A2294" s="16">
        <v>45748</v>
      </c>
      <c r="B2294" t="s">
        <v>535</v>
      </c>
      <c r="C2294">
        <v>4</v>
      </c>
      <c r="D2294" t="s">
        <v>238</v>
      </c>
      <c r="E2294" t="s">
        <v>239</v>
      </c>
      <c r="F2294" t="s">
        <v>285</v>
      </c>
      <c r="G2294" t="s">
        <v>63</v>
      </c>
      <c r="J2294" t="s">
        <v>196</v>
      </c>
      <c r="K2294" t="s">
        <v>250</v>
      </c>
      <c r="L2294">
        <v>1810000</v>
      </c>
      <c r="M2294" t="s">
        <v>242</v>
      </c>
      <c r="N2294" t="s">
        <v>915</v>
      </c>
    </row>
    <row r="2295" spans="1:14" hidden="1" x14ac:dyDescent="0.25">
      <c r="A2295" s="16">
        <v>45748</v>
      </c>
      <c r="B2295" t="s">
        <v>535</v>
      </c>
      <c r="C2295">
        <v>4</v>
      </c>
      <c r="D2295" t="s">
        <v>238</v>
      </c>
      <c r="E2295" t="s">
        <v>239</v>
      </c>
      <c r="F2295" t="s">
        <v>244</v>
      </c>
      <c r="G2295" t="s">
        <v>82</v>
      </c>
      <c r="J2295" t="s">
        <v>196</v>
      </c>
      <c r="K2295" t="s">
        <v>250</v>
      </c>
      <c r="L2295">
        <v>1480000000</v>
      </c>
      <c r="M2295" t="s">
        <v>245</v>
      </c>
      <c r="N2295" t="s">
        <v>1742</v>
      </c>
    </row>
    <row r="2296" spans="1:14" hidden="1" x14ac:dyDescent="0.25">
      <c r="A2296" s="16">
        <v>45748</v>
      </c>
      <c r="B2296" t="s">
        <v>535</v>
      </c>
      <c r="C2296">
        <v>5</v>
      </c>
      <c r="D2296" t="s">
        <v>238</v>
      </c>
      <c r="E2296" t="s">
        <v>239</v>
      </c>
      <c r="F2296" t="s">
        <v>240</v>
      </c>
      <c r="G2296" t="s">
        <v>82</v>
      </c>
      <c r="J2296" t="s">
        <v>196</v>
      </c>
      <c r="K2296" t="s">
        <v>250</v>
      </c>
      <c r="L2296">
        <v>6990000</v>
      </c>
      <c r="M2296" t="s">
        <v>242</v>
      </c>
      <c r="N2296" t="s">
        <v>1824</v>
      </c>
    </row>
    <row r="2297" spans="1:14" hidden="1" x14ac:dyDescent="0.25">
      <c r="A2297" s="16">
        <v>45748</v>
      </c>
      <c r="B2297" t="s">
        <v>535</v>
      </c>
      <c r="C2297">
        <v>5</v>
      </c>
      <c r="D2297" t="s">
        <v>238</v>
      </c>
      <c r="E2297" t="s">
        <v>239</v>
      </c>
      <c r="F2297" t="s">
        <v>285</v>
      </c>
      <c r="G2297" t="s">
        <v>63</v>
      </c>
      <c r="J2297" t="s">
        <v>196</v>
      </c>
      <c r="K2297" t="s">
        <v>250</v>
      </c>
      <c r="L2297">
        <v>2630000</v>
      </c>
      <c r="M2297" t="s">
        <v>242</v>
      </c>
      <c r="N2297" t="s">
        <v>1825</v>
      </c>
    </row>
    <row r="2298" spans="1:14" hidden="1" x14ac:dyDescent="0.25">
      <c r="A2298" s="16">
        <v>45748</v>
      </c>
      <c r="B2298" t="s">
        <v>535</v>
      </c>
      <c r="C2298">
        <v>5</v>
      </c>
      <c r="D2298" t="s">
        <v>238</v>
      </c>
      <c r="E2298" t="s">
        <v>239</v>
      </c>
      <c r="F2298" t="s">
        <v>244</v>
      </c>
      <c r="G2298" t="s">
        <v>82</v>
      </c>
      <c r="J2298" t="s">
        <v>196</v>
      </c>
      <c r="K2298" t="s">
        <v>250</v>
      </c>
      <c r="L2298">
        <v>469000000</v>
      </c>
      <c r="M2298" t="s">
        <v>245</v>
      </c>
      <c r="N2298" t="s">
        <v>1300</v>
      </c>
    </row>
    <row r="2299" spans="1:14" hidden="1" x14ac:dyDescent="0.25">
      <c r="A2299" s="16">
        <v>45748</v>
      </c>
      <c r="B2299" t="s">
        <v>535</v>
      </c>
      <c r="C2299">
        <v>6</v>
      </c>
      <c r="D2299" t="s">
        <v>238</v>
      </c>
      <c r="E2299" t="s">
        <v>239</v>
      </c>
      <c r="F2299" t="s">
        <v>378</v>
      </c>
      <c r="G2299" t="s">
        <v>379</v>
      </c>
      <c r="J2299" t="s">
        <v>196</v>
      </c>
      <c r="K2299" t="s">
        <v>250</v>
      </c>
      <c r="L2299">
        <v>611</v>
      </c>
      <c r="M2299" t="s">
        <v>242</v>
      </c>
      <c r="N2299" t="s">
        <v>1710</v>
      </c>
    </row>
    <row r="2300" spans="1:14" hidden="1" x14ac:dyDescent="0.25">
      <c r="A2300" s="16">
        <v>45748</v>
      </c>
      <c r="B2300" t="s">
        <v>535</v>
      </c>
      <c r="C2300">
        <v>6</v>
      </c>
      <c r="D2300" t="s">
        <v>238</v>
      </c>
      <c r="E2300" t="s">
        <v>239</v>
      </c>
      <c r="F2300" t="s">
        <v>381</v>
      </c>
      <c r="G2300" t="s">
        <v>382</v>
      </c>
      <c r="J2300" t="s">
        <v>196</v>
      </c>
      <c r="K2300" t="s">
        <v>250</v>
      </c>
      <c r="L2300">
        <v>2104</v>
      </c>
      <c r="M2300" t="s">
        <v>242</v>
      </c>
      <c r="N2300" t="s">
        <v>1711</v>
      </c>
    </row>
    <row r="2301" spans="1:14" hidden="1" x14ac:dyDescent="0.25">
      <c r="A2301" s="16">
        <v>45748</v>
      </c>
      <c r="B2301" t="s">
        <v>535</v>
      </c>
      <c r="C2301">
        <v>6</v>
      </c>
      <c r="D2301" t="s">
        <v>238</v>
      </c>
      <c r="E2301" t="s">
        <v>239</v>
      </c>
      <c r="F2301" t="s">
        <v>240</v>
      </c>
      <c r="G2301" t="s">
        <v>82</v>
      </c>
      <c r="J2301" t="s">
        <v>196</v>
      </c>
      <c r="K2301" t="s">
        <v>250</v>
      </c>
      <c r="L2301">
        <v>6540000</v>
      </c>
      <c r="M2301" t="s">
        <v>242</v>
      </c>
      <c r="N2301" t="s">
        <v>1826</v>
      </c>
    </row>
    <row r="2302" spans="1:14" hidden="1" x14ac:dyDescent="0.25">
      <c r="A2302" s="16">
        <v>45748</v>
      </c>
      <c r="B2302" t="s">
        <v>535</v>
      </c>
      <c r="C2302">
        <v>6</v>
      </c>
      <c r="D2302" t="s">
        <v>238</v>
      </c>
      <c r="E2302" t="s">
        <v>239</v>
      </c>
      <c r="F2302" t="s">
        <v>285</v>
      </c>
      <c r="G2302" t="s">
        <v>63</v>
      </c>
      <c r="J2302" t="s">
        <v>196</v>
      </c>
      <c r="K2302" t="s">
        <v>250</v>
      </c>
      <c r="L2302">
        <v>4680000</v>
      </c>
      <c r="M2302" t="s">
        <v>242</v>
      </c>
      <c r="N2302" t="s">
        <v>398</v>
      </c>
    </row>
    <row r="2303" spans="1:14" hidden="1" x14ac:dyDescent="0.25">
      <c r="A2303" s="16">
        <v>45748</v>
      </c>
      <c r="B2303" t="s">
        <v>535</v>
      </c>
      <c r="C2303">
        <v>6</v>
      </c>
      <c r="D2303" t="s">
        <v>238</v>
      </c>
      <c r="E2303" t="s">
        <v>239</v>
      </c>
      <c r="F2303" t="s">
        <v>244</v>
      </c>
      <c r="G2303" t="s">
        <v>82</v>
      </c>
      <c r="J2303" t="s">
        <v>196</v>
      </c>
      <c r="K2303" t="s">
        <v>250</v>
      </c>
      <c r="L2303">
        <v>1570000000</v>
      </c>
      <c r="M2303" t="s">
        <v>245</v>
      </c>
      <c r="N2303" t="s">
        <v>1827</v>
      </c>
    </row>
    <row r="2304" spans="1:14" hidden="1" x14ac:dyDescent="0.25">
      <c r="A2304" s="16">
        <v>45748</v>
      </c>
      <c r="B2304" t="s">
        <v>535</v>
      </c>
      <c r="C2304">
        <v>7</v>
      </c>
      <c r="D2304" t="s">
        <v>238</v>
      </c>
      <c r="E2304" t="s">
        <v>239</v>
      </c>
      <c r="F2304" t="s">
        <v>544</v>
      </c>
      <c r="G2304" t="s">
        <v>82</v>
      </c>
      <c r="J2304" t="s">
        <v>196</v>
      </c>
      <c r="K2304" t="s">
        <v>250</v>
      </c>
      <c r="L2304">
        <v>930000</v>
      </c>
      <c r="M2304" t="s">
        <v>242</v>
      </c>
      <c r="N2304" t="s">
        <v>1828</v>
      </c>
    </row>
    <row r="2305" spans="1:17" hidden="1" x14ac:dyDescent="0.25">
      <c r="A2305" s="16">
        <v>45748</v>
      </c>
      <c r="B2305" t="s">
        <v>535</v>
      </c>
      <c r="C2305">
        <v>7</v>
      </c>
      <c r="D2305" t="s">
        <v>238</v>
      </c>
      <c r="E2305" t="s">
        <v>239</v>
      </c>
      <c r="F2305" t="s">
        <v>240</v>
      </c>
      <c r="G2305" t="s">
        <v>82</v>
      </c>
      <c r="J2305" t="s">
        <v>196</v>
      </c>
      <c r="K2305" t="s">
        <v>250</v>
      </c>
      <c r="L2305">
        <v>940000</v>
      </c>
      <c r="M2305" t="s">
        <v>242</v>
      </c>
      <c r="N2305" t="s">
        <v>1829</v>
      </c>
    </row>
    <row r="2306" spans="1:17" hidden="1" x14ac:dyDescent="0.25">
      <c r="A2306" s="16">
        <v>45748</v>
      </c>
      <c r="B2306" t="s">
        <v>535</v>
      </c>
      <c r="C2306">
        <v>7</v>
      </c>
      <c r="D2306" t="s">
        <v>238</v>
      </c>
      <c r="E2306" t="s">
        <v>239</v>
      </c>
      <c r="F2306" t="s">
        <v>929</v>
      </c>
      <c r="G2306" t="s">
        <v>82</v>
      </c>
      <c r="J2306" t="s">
        <v>196</v>
      </c>
      <c r="K2306" t="s">
        <v>250</v>
      </c>
      <c r="L2306">
        <v>782000000</v>
      </c>
      <c r="M2306" t="s">
        <v>245</v>
      </c>
      <c r="N2306" t="s">
        <v>1830</v>
      </c>
    </row>
    <row r="2307" spans="1:17" hidden="1" x14ac:dyDescent="0.25">
      <c r="A2307" s="16">
        <v>45748</v>
      </c>
      <c r="B2307" t="s">
        <v>535</v>
      </c>
      <c r="C2307">
        <v>8</v>
      </c>
      <c r="D2307" t="s">
        <v>238</v>
      </c>
      <c r="E2307" t="s">
        <v>239</v>
      </c>
      <c r="F2307" t="s">
        <v>548</v>
      </c>
      <c r="G2307" t="s">
        <v>158</v>
      </c>
      <c r="J2307" t="s">
        <v>196</v>
      </c>
      <c r="K2307" t="s">
        <v>250</v>
      </c>
      <c r="L2307">
        <v>588000</v>
      </c>
      <c r="M2307" t="s">
        <v>242</v>
      </c>
      <c r="N2307" t="s">
        <v>1831</v>
      </c>
    </row>
    <row r="2308" spans="1:17" hidden="1" x14ac:dyDescent="0.25">
      <c r="A2308" s="16">
        <v>45748</v>
      </c>
      <c r="B2308" t="s">
        <v>535</v>
      </c>
      <c r="C2308">
        <v>8</v>
      </c>
      <c r="D2308" t="s">
        <v>238</v>
      </c>
      <c r="E2308" t="s">
        <v>239</v>
      </c>
      <c r="F2308" t="s">
        <v>349</v>
      </c>
      <c r="G2308" t="s">
        <v>158</v>
      </c>
      <c r="J2308" t="s">
        <v>196</v>
      </c>
      <c r="K2308" t="s">
        <v>250</v>
      </c>
      <c r="L2308">
        <v>21700</v>
      </c>
      <c r="M2308" t="s">
        <v>242</v>
      </c>
      <c r="N2308" t="s">
        <v>1832</v>
      </c>
    </row>
    <row r="2309" spans="1:17" hidden="1" x14ac:dyDescent="0.25">
      <c r="A2309" s="16">
        <v>45748</v>
      </c>
      <c r="B2309" t="s">
        <v>535</v>
      </c>
      <c r="C2309">
        <v>8</v>
      </c>
      <c r="D2309" t="s">
        <v>238</v>
      </c>
      <c r="E2309" t="s">
        <v>239</v>
      </c>
      <c r="F2309" t="s">
        <v>551</v>
      </c>
      <c r="G2309" t="s">
        <v>158</v>
      </c>
      <c r="J2309" t="s">
        <v>196</v>
      </c>
      <c r="K2309" t="s">
        <v>250</v>
      </c>
      <c r="L2309">
        <v>3480000000</v>
      </c>
      <c r="M2309" t="s">
        <v>245</v>
      </c>
      <c r="N2309" t="s">
        <v>1833</v>
      </c>
    </row>
    <row r="2310" spans="1:17" hidden="1" x14ac:dyDescent="0.25">
      <c r="A2310" s="16">
        <v>45748</v>
      </c>
      <c r="B2310" t="s">
        <v>535</v>
      </c>
      <c r="C2310">
        <v>8</v>
      </c>
      <c r="D2310" t="s">
        <v>238</v>
      </c>
      <c r="E2310" t="s">
        <v>239</v>
      </c>
      <c r="F2310" t="s">
        <v>361</v>
      </c>
      <c r="G2310" t="s">
        <v>158</v>
      </c>
      <c r="J2310" t="s">
        <v>196</v>
      </c>
      <c r="K2310" t="s">
        <v>250</v>
      </c>
      <c r="L2310">
        <v>119000000</v>
      </c>
      <c r="M2310" t="s">
        <v>245</v>
      </c>
      <c r="N2310" t="s">
        <v>1834</v>
      </c>
    </row>
    <row r="2311" spans="1:17" hidden="1" x14ac:dyDescent="0.25">
      <c r="A2311" s="16">
        <v>45778</v>
      </c>
      <c r="B2311" t="s">
        <v>142</v>
      </c>
      <c r="C2311">
        <v>72</v>
      </c>
      <c r="D2311" t="s">
        <v>238</v>
      </c>
      <c r="E2311" t="s">
        <v>239</v>
      </c>
      <c r="F2311" t="s">
        <v>240</v>
      </c>
      <c r="G2311" t="s">
        <v>82</v>
      </c>
      <c r="J2311" t="s">
        <v>197</v>
      </c>
      <c r="K2311" t="s">
        <v>241</v>
      </c>
      <c r="L2311">
        <v>4880000</v>
      </c>
      <c r="M2311" t="s">
        <v>242</v>
      </c>
      <c r="N2311" t="s">
        <v>1835</v>
      </c>
    </row>
    <row r="2312" spans="1:17" hidden="1" x14ac:dyDescent="0.25">
      <c r="A2312" s="16">
        <v>45778</v>
      </c>
      <c r="B2312" t="s">
        <v>142</v>
      </c>
      <c r="C2312">
        <v>72</v>
      </c>
      <c r="D2312" t="s">
        <v>238</v>
      </c>
      <c r="E2312" t="s">
        <v>239</v>
      </c>
      <c r="F2312" t="s">
        <v>244</v>
      </c>
      <c r="G2312" t="s">
        <v>82</v>
      </c>
      <c r="J2312" t="s">
        <v>197</v>
      </c>
      <c r="K2312" t="s">
        <v>241</v>
      </c>
      <c r="L2312">
        <v>3990000000</v>
      </c>
      <c r="M2312" t="s">
        <v>245</v>
      </c>
      <c r="N2312" t="s">
        <v>1836</v>
      </c>
    </row>
    <row r="2313" spans="1:17" hidden="1" x14ac:dyDescent="0.25">
      <c r="A2313" s="16">
        <v>45778</v>
      </c>
      <c r="B2313" t="s">
        <v>142</v>
      </c>
      <c r="C2313">
        <v>74</v>
      </c>
      <c r="D2313" t="s">
        <v>253</v>
      </c>
      <c r="E2313" t="s">
        <v>248</v>
      </c>
      <c r="F2313" t="s">
        <v>240</v>
      </c>
      <c r="G2313" t="s">
        <v>82</v>
      </c>
      <c r="J2313" t="s">
        <v>195</v>
      </c>
      <c r="K2313" t="s">
        <v>255</v>
      </c>
      <c r="L2313">
        <v>1060000</v>
      </c>
      <c r="M2313" t="s">
        <v>242</v>
      </c>
      <c r="N2313" t="s">
        <v>560</v>
      </c>
      <c r="O2313">
        <v>1</v>
      </c>
      <c r="P2313" t="s">
        <v>257</v>
      </c>
      <c r="Q2313" t="s">
        <v>1660</v>
      </c>
    </row>
    <row r="2314" spans="1:17" hidden="1" x14ac:dyDescent="0.25">
      <c r="A2314" s="16">
        <v>45778</v>
      </c>
      <c r="B2314" t="s">
        <v>142</v>
      </c>
      <c r="C2314">
        <v>74</v>
      </c>
      <c r="D2314" t="s">
        <v>253</v>
      </c>
      <c r="E2314" t="s">
        <v>248</v>
      </c>
      <c r="F2314" t="s">
        <v>240</v>
      </c>
      <c r="G2314" t="s">
        <v>82</v>
      </c>
      <c r="J2314" t="s">
        <v>196</v>
      </c>
      <c r="K2314" t="s">
        <v>255</v>
      </c>
      <c r="L2314">
        <v>930000</v>
      </c>
      <c r="M2314" t="s">
        <v>242</v>
      </c>
      <c r="N2314" t="s">
        <v>1661</v>
      </c>
      <c r="O2314">
        <v>1</v>
      </c>
      <c r="P2314" t="s">
        <v>257</v>
      </c>
    </row>
    <row r="2315" spans="1:17" hidden="1" x14ac:dyDescent="0.25">
      <c r="A2315" s="16">
        <v>45778</v>
      </c>
      <c r="B2315" t="s">
        <v>142</v>
      </c>
      <c r="C2315">
        <v>74</v>
      </c>
      <c r="D2315" t="s">
        <v>253</v>
      </c>
      <c r="E2315" t="s">
        <v>248</v>
      </c>
      <c r="F2315" t="s">
        <v>240</v>
      </c>
      <c r="G2315" t="s">
        <v>82</v>
      </c>
      <c r="J2315" t="s">
        <v>197</v>
      </c>
      <c r="K2315" t="s">
        <v>255</v>
      </c>
      <c r="L2315">
        <v>970000</v>
      </c>
      <c r="M2315" t="s">
        <v>242</v>
      </c>
      <c r="N2315" t="s">
        <v>1837</v>
      </c>
      <c r="O2315">
        <v>1</v>
      </c>
      <c r="P2315" t="s">
        <v>261</v>
      </c>
    </row>
    <row r="2316" spans="1:17" hidden="1" x14ac:dyDescent="0.25">
      <c r="A2316" s="16">
        <v>45778</v>
      </c>
      <c r="B2316" t="s">
        <v>142</v>
      </c>
      <c r="C2316">
        <v>74</v>
      </c>
      <c r="D2316" t="s">
        <v>247</v>
      </c>
      <c r="E2316" t="s">
        <v>248</v>
      </c>
      <c r="F2316" t="s">
        <v>240</v>
      </c>
      <c r="G2316" t="s">
        <v>82</v>
      </c>
      <c r="H2316" t="s">
        <v>286</v>
      </c>
      <c r="J2316" t="s">
        <v>197</v>
      </c>
      <c r="K2316" t="s">
        <v>250</v>
      </c>
      <c r="L2316">
        <v>4.7</v>
      </c>
      <c r="M2316" t="s">
        <v>251</v>
      </c>
      <c r="N2316" t="s">
        <v>720</v>
      </c>
    </row>
    <row r="2317" spans="1:17" hidden="1" x14ac:dyDescent="0.25">
      <c r="A2317" s="16">
        <v>45778</v>
      </c>
      <c r="B2317" t="s">
        <v>142</v>
      </c>
      <c r="C2317">
        <v>75</v>
      </c>
      <c r="D2317" t="s">
        <v>253</v>
      </c>
      <c r="E2317" t="s">
        <v>248</v>
      </c>
      <c r="F2317" t="s">
        <v>240</v>
      </c>
      <c r="G2317" t="s">
        <v>82</v>
      </c>
      <c r="H2317" t="s">
        <v>150</v>
      </c>
      <c r="J2317" t="s">
        <v>195</v>
      </c>
      <c r="K2317" t="s">
        <v>255</v>
      </c>
      <c r="L2317">
        <v>327</v>
      </c>
      <c r="M2317" t="s">
        <v>242</v>
      </c>
      <c r="N2317" t="s">
        <v>1490</v>
      </c>
      <c r="O2317">
        <v>1</v>
      </c>
      <c r="P2317" t="s">
        <v>257</v>
      </c>
    </row>
    <row r="2318" spans="1:17" hidden="1" x14ac:dyDescent="0.25">
      <c r="A2318" s="16">
        <v>45778</v>
      </c>
      <c r="B2318" t="s">
        <v>142</v>
      </c>
      <c r="C2318">
        <v>75</v>
      </c>
      <c r="D2318" t="s">
        <v>253</v>
      </c>
      <c r="E2318" t="s">
        <v>248</v>
      </c>
      <c r="F2318" t="s">
        <v>240</v>
      </c>
      <c r="G2318" t="s">
        <v>82</v>
      </c>
      <c r="H2318" t="s">
        <v>150</v>
      </c>
      <c r="J2318" t="s">
        <v>196</v>
      </c>
      <c r="K2318" t="s">
        <v>255</v>
      </c>
      <c r="L2318">
        <v>292</v>
      </c>
      <c r="M2318" t="s">
        <v>242</v>
      </c>
      <c r="N2318" t="s">
        <v>1662</v>
      </c>
      <c r="O2318">
        <v>1</v>
      </c>
      <c r="P2318" t="s">
        <v>257</v>
      </c>
    </row>
    <row r="2319" spans="1:17" hidden="1" x14ac:dyDescent="0.25">
      <c r="A2319" s="16">
        <v>45778</v>
      </c>
      <c r="B2319" t="s">
        <v>142</v>
      </c>
      <c r="C2319">
        <v>75</v>
      </c>
      <c r="D2319" t="s">
        <v>253</v>
      </c>
      <c r="E2319" t="s">
        <v>248</v>
      </c>
      <c r="F2319" t="s">
        <v>240</v>
      </c>
      <c r="G2319" t="s">
        <v>82</v>
      </c>
      <c r="H2319" t="s">
        <v>150</v>
      </c>
      <c r="J2319" t="s">
        <v>197</v>
      </c>
      <c r="K2319" t="s">
        <v>255</v>
      </c>
      <c r="L2319">
        <v>305</v>
      </c>
      <c r="M2319" t="s">
        <v>242</v>
      </c>
      <c r="N2319" t="s">
        <v>1838</v>
      </c>
      <c r="O2319">
        <v>1</v>
      </c>
      <c r="P2319" t="s">
        <v>261</v>
      </c>
    </row>
    <row r="2320" spans="1:17" hidden="1" x14ac:dyDescent="0.25">
      <c r="A2320" s="16">
        <v>45778</v>
      </c>
      <c r="B2320" t="s">
        <v>142</v>
      </c>
      <c r="C2320">
        <v>75</v>
      </c>
      <c r="D2320" t="s">
        <v>253</v>
      </c>
      <c r="E2320" t="s">
        <v>248</v>
      </c>
      <c r="F2320" t="s">
        <v>240</v>
      </c>
      <c r="G2320" t="s">
        <v>82</v>
      </c>
      <c r="H2320" t="s">
        <v>151</v>
      </c>
      <c r="J2320" t="s">
        <v>195</v>
      </c>
      <c r="K2320" t="s">
        <v>255</v>
      </c>
      <c r="L2320">
        <v>35</v>
      </c>
      <c r="M2320" t="s">
        <v>242</v>
      </c>
      <c r="N2320" t="s">
        <v>1122</v>
      </c>
      <c r="O2320">
        <v>1</v>
      </c>
      <c r="P2320" t="s">
        <v>257</v>
      </c>
    </row>
    <row r="2321" spans="1:16" hidden="1" x14ac:dyDescent="0.25">
      <c r="A2321" s="16">
        <v>45778</v>
      </c>
      <c r="B2321" t="s">
        <v>142</v>
      </c>
      <c r="C2321">
        <v>75</v>
      </c>
      <c r="D2321" t="s">
        <v>253</v>
      </c>
      <c r="E2321" t="s">
        <v>248</v>
      </c>
      <c r="F2321" t="s">
        <v>240</v>
      </c>
      <c r="G2321" t="s">
        <v>82</v>
      </c>
      <c r="H2321" t="s">
        <v>151</v>
      </c>
      <c r="J2321" t="s">
        <v>196</v>
      </c>
      <c r="K2321" t="s">
        <v>255</v>
      </c>
      <c r="L2321">
        <v>24</v>
      </c>
      <c r="M2321" t="s">
        <v>242</v>
      </c>
      <c r="N2321" t="s">
        <v>1663</v>
      </c>
      <c r="O2321">
        <v>1</v>
      </c>
      <c r="P2321" t="s">
        <v>257</v>
      </c>
    </row>
    <row r="2322" spans="1:16" hidden="1" x14ac:dyDescent="0.25">
      <c r="A2322" s="16">
        <v>45778</v>
      </c>
      <c r="B2322" t="s">
        <v>142</v>
      </c>
      <c r="C2322">
        <v>75</v>
      </c>
      <c r="D2322" t="s">
        <v>253</v>
      </c>
      <c r="E2322" t="s">
        <v>248</v>
      </c>
      <c r="F2322" t="s">
        <v>240</v>
      </c>
      <c r="G2322" t="s">
        <v>82</v>
      </c>
      <c r="H2322" t="s">
        <v>151</v>
      </c>
      <c r="J2322" t="s">
        <v>197</v>
      </c>
      <c r="K2322" t="s">
        <v>255</v>
      </c>
      <c r="L2322">
        <v>33</v>
      </c>
      <c r="M2322" t="s">
        <v>242</v>
      </c>
      <c r="N2322" t="s">
        <v>940</v>
      </c>
      <c r="O2322">
        <v>1</v>
      </c>
      <c r="P2322" t="s">
        <v>261</v>
      </c>
    </row>
    <row r="2323" spans="1:16" hidden="1" x14ac:dyDescent="0.25">
      <c r="A2323" s="16">
        <v>45778</v>
      </c>
      <c r="B2323" t="s">
        <v>142</v>
      </c>
      <c r="C2323">
        <v>75</v>
      </c>
      <c r="D2323" t="s">
        <v>253</v>
      </c>
      <c r="E2323" t="s">
        <v>248</v>
      </c>
      <c r="F2323" t="s">
        <v>240</v>
      </c>
      <c r="G2323" t="s">
        <v>82</v>
      </c>
      <c r="H2323" t="s">
        <v>149</v>
      </c>
      <c r="J2323" t="s">
        <v>195</v>
      </c>
      <c r="K2323" t="s">
        <v>255</v>
      </c>
      <c r="L2323">
        <v>5222</v>
      </c>
      <c r="M2323" t="s">
        <v>242</v>
      </c>
      <c r="N2323" t="s">
        <v>1491</v>
      </c>
      <c r="O2323">
        <v>1</v>
      </c>
      <c r="P2323" t="s">
        <v>257</v>
      </c>
    </row>
    <row r="2324" spans="1:16" hidden="1" x14ac:dyDescent="0.25">
      <c r="A2324" s="16">
        <v>45778</v>
      </c>
      <c r="B2324" t="s">
        <v>142</v>
      </c>
      <c r="C2324">
        <v>75</v>
      </c>
      <c r="D2324" t="s">
        <v>253</v>
      </c>
      <c r="E2324" t="s">
        <v>248</v>
      </c>
      <c r="F2324" t="s">
        <v>240</v>
      </c>
      <c r="G2324" t="s">
        <v>82</v>
      </c>
      <c r="H2324" t="s">
        <v>149</v>
      </c>
      <c r="J2324" t="s">
        <v>196</v>
      </c>
      <c r="K2324" t="s">
        <v>255</v>
      </c>
      <c r="L2324">
        <v>6156</v>
      </c>
      <c r="M2324" t="s">
        <v>242</v>
      </c>
      <c r="N2324" t="s">
        <v>1664</v>
      </c>
      <c r="O2324">
        <v>1</v>
      </c>
      <c r="P2324" t="s">
        <v>257</v>
      </c>
    </row>
    <row r="2325" spans="1:16" hidden="1" x14ac:dyDescent="0.25">
      <c r="A2325" s="16">
        <v>45778</v>
      </c>
      <c r="B2325" t="s">
        <v>142</v>
      </c>
      <c r="C2325">
        <v>75</v>
      </c>
      <c r="D2325" t="s">
        <v>253</v>
      </c>
      <c r="E2325" t="s">
        <v>248</v>
      </c>
      <c r="F2325" t="s">
        <v>240</v>
      </c>
      <c r="G2325" t="s">
        <v>82</v>
      </c>
      <c r="H2325" t="s">
        <v>149</v>
      </c>
      <c r="J2325" t="s">
        <v>197</v>
      </c>
      <c r="K2325" t="s">
        <v>255</v>
      </c>
      <c r="L2325">
        <v>6153</v>
      </c>
      <c r="M2325" t="s">
        <v>242</v>
      </c>
      <c r="N2325" t="s">
        <v>1839</v>
      </c>
      <c r="O2325">
        <v>1</v>
      </c>
      <c r="P2325" t="s">
        <v>261</v>
      </c>
    </row>
    <row r="2326" spans="1:16" hidden="1" x14ac:dyDescent="0.25">
      <c r="A2326" s="16">
        <v>45778</v>
      </c>
      <c r="B2326" t="s">
        <v>142</v>
      </c>
      <c r="C2326">
        <v>76</v>
      </c>
      <c r="D2326" t="s">
        <v>253</v>
      </c>
      <c r="E2326" t="s">
        <v>248</v>
      </c>
      <c r="F2326" t="s">
        <v>244</v>
      </c>
      <c r="G2326" t="s">
        <v>82</v>
      </c>
      <c r="J2326" t="s">
        <v>195</v>
      </c>
      <c r="K2326" t="s">
        <v>255</v>
      </c>
      <c r="L2326">
        <v>865000000</v>
      </c>
      <c r="M2326" t="s">
        <v>245</v>
      </c>
      <c r="N2326" t="s">
        <v>1492</v>
      </c>
      <c r="O2326">
        <v>1</v>
      </c>
      <c r="P2326" t="s">
        <v>257</v>
      </c>
    </row>
    <row r="2327" spans="1:16" hidden="1" x14ac:dyDescent="0.25">
      <c r="A2327" s="16">
        <v>45778</v>
      </c>
      <c r="B2327" t="s">
        <v>142</v>
      </c>
      <c r="C2327">
        <v>76</v>
      </c>
      <c r="D2327" t="s">
        <v>253</v>
      </c>
      <c r="E2327" t="s">
        <v>248</v>
      </c>
      <c r="F2327" t="s">
        <v>244</v>
      </c>
      <c r="G2327" t="s">
        <v>82</v>
      </c>
      <c r="J2327" t="s">
        <v>196</v>
      </c>
      <c r="K2327" t="s">
        <v>255</v>
      </c>
      <c r="L2327">
        <v>782000000</v>
      </c>
      <c r="M2327" t="s">
        <v>245</v>
      </c>
      <c r="N2327" t="s">
        <v>1665</v>
      </c>
      <c r="O2327">
        <v>1</v>
      </c>
      <c r="P2327" t="s">
        <v>257</v>
      </c>
    </row>
    <row r="2328" spans="1:16" hidden="1" x14ac:dyDescent="0.25">
      <c r="A2328" s="16">
        <v>45778</v>
      </c>
      <c r="B2328" t="s">
        <v>142</v>
      </c>
      <c r="C2328">
        <v>76</v>
      </c>
      <c r="D2328" t="s">
        <v>253</v>
      </c>
      <c r="E2328" t="s">
        <v>248</v>
      </c>
      <c r="F2328" t="s">
        <v>244</v>
      </c>
      <c r="G2328" t="s">
        <v>82</v>
      </c>
      <c r="J2328" t="s">
        <v>197</v>
      </c>
      <c r="K2328" t="s">
        <v>255</v>
      </c>
      <c r="L2328">
        <v>792000000</v>
      </c>
      <c r="M2328" t="s">
        <v>245</v>
      </c>
      <c r="N2328" t="s">
        <v>1840</v>
      </c>
      <c r="O2328">
        <v>1</v>
      </c>
      <c r="P2328" t="s">
        <v>261</v>
      </c>
    </row>
    <row r="2329" spans="1:16" hidden="1" x14ac:dyDescent="0.25">
      <c r="A2329" s="16">
        <v>45778</v>
      </c>
      <c r="B2329" t="s">
        <v>142</v>
      </c>
      <c r="C2329">
        <v>76</v>
      </c>
      <c r="D2329" t="s">
        <v>247</v>
      </c>
      <c r="E2329" t="s">
        <v>248</v>
      </c>
      <c r="F2329" t="s">
        <v>244</v>
      </c>
      <c r="G2329" t="s">
        <v>82</v>
      </c>
      <c r="H2329" t="s">
        <v>286</v>
      </c>
      <c r="J2329" t="s">
        <v>197</v>
      </c>
      <c r="K2329" t="s">
        <v>250</v>
      </c>
      <c r="L2329">
        <v>1.3</v>
      </c>
      <c r="M2329" t="s">
        <v>251</v>
      </c>
      <c r="N2329" t="s">
        <v>1230</v>
      </c>
    </row>
    <row r="2330" spans="1:16" hidden="1" x14ac:dyDescent="0.25">
      <c r="A2330" s="16">
        <v>45778</v>
      </c>
      <c r="B2330" t="s">
        <v>142</v>
      </c>
      <c r="C2330">
        <v>77</v>
      </c>
      <c r="D2330" t="s">
        <v>253</v>
      </c>
      <c r="E2330" t="s">
        <v>248</v>
      </c>
      <c r="F2330" t="s">
        <v>244</v>
      </c>
      <c r="G2330" t="s">
        <v>82</v>
      </c>
      <c r="H2330" t="s">
        <v>150</v>
      </c>
      <c r="J2330" t="s">
        <v>195</v>
      </c>
      <c r="K2330" t="s">
        <v>255</v>
      </c>
      <c r="L2330">
        <v>3270000</v>
      </c>
      <c r="M2330" t="s">
        <v>150</v>
      </c>
      <c r="N2330" t="s">
        <v>1494</v>
      </c>
      <c r="O2330">
        <v>1</v>
      </c>
      <c r="P2330" t="s">
        <v>257</v>
      </c>
    </row>
    <row r="2331" spans="1:16" hidden="1" x14ac:dyDescent="0.25">
      <c r="A2331" s="16">
        <v>45778</v>
      </c>
      <c r="B2331" t="s">
        <v>142</v>
      </c>
      <c r="C2331">
        <v>77</v>
      </c>
      <c r="D2331" t="s">
        <v>253</v>
      </c>
      <c r="E2331" t="s">
        <v>248</v>
      </c>
      <c r="F2331" t="s">
        <v>244</v>
      </c>
      <c r="G2331" t="s">
        <v>82</v>
      </c>
      <c r="H2331" t="s">
        <v>150</v>
      </c>
      <c r="J2331" t="s">
        <v>196</v>
      </c>
      <c r="K2331" t="s">
        <v>255</v>
      </c>
      <c r="L2331">
        <v>2620000</v>
      </c>
      <c r="M2331" t="s">
        <v>150</v>
      </c>
      <c r="N2331" t="s">
        <v>1667</v>
      </c>
      <c r="O2331">
        <v>1</v>
      </c>
      <c r="P2331" t="s">
        <v>257</v>
      </c>
    </row>
    <row r="2332" spans="1:16" hidden="1" x14ac:dyDescent="0.25">
      <c r="A2332" s="16">
        <v>45778</v>
      </c>
      <c r="B2332" t="s">
        <v>142</v>
      </c>
      <c r="C2332">
        <v>77</v>
      </c>
      <c r="D2332" t="s">
        <v>253</v>
      </c>
      <c r="E2332" t="s">
        <v>248</v>
      </c>
      <c r="F2332" t="s">
        <v>244</v>
      </c>
      <c r="G2332" t="s">
        <v>82</v>
      </c>
      <c r="H2332" t="s">
        <v>150</v>
      </c>
      <c r="J2332" t="s">
        <v>197</v>
      </c>
      <c r="K2332" t="s">
        <v>255</v>
      </c>
      <c r="L2332">
        <v>2840000</v>
      </c>
      <c r="M2332" t="s">
        <v>150</v>
      </c>
      <c r="N2332" t="s">
        <v>1841</v>
      </c>
      <c r="O2332">
        <v>1</v>
      </c>
      <c r="P2332" t="s">
        <v>261</v>
      </c>
    </row>
    <row r="2333" spans="1:16" hidden="1" x14ac:dyDescent="0.25">
      <c r="A2333" s="16">
        <v>45778</v>
      </c>
      <c r="B2333" t="s">
        <v>142</v>
      </c>
      <c r="C2333">
        <v>77</v>
      </c>
      <c r="D2333" t="s">
        <v>253</v>
      </c>
      <c r="E2333" t="s">
        <v>248</v>
      </c>
      <c r="F2333" t="s">
        <v>244</v>
      </c>
      <c r="G2333" t="s">
        <v>82</v>
      </c>
      <c r="H2333" t="s">
        <v>151</v>
      </c>
      <c r="J2333" t="s">
        <v>195</v>
      </c>
      <c r="K2333" t="s">
        <v>255</v>
      </c>
      <c r="L2333">
        <v>380000</v>
      </c>
      <c r="M2333" t="s">
        <v>151</v>
      </c>
      <c r="N2333" t="s">
        <v>570</v>
      </c>
      <c r="O2333">
        <v>1</v>
      </c>
      <c r="P2333" t="s">
        <v>257</v>
      </c>
    </row>
    <row r="2334" spans="1:16" hidden="1" x14ac:dyDescent="0.25">
      <c r="A2334" s="16">
        <v>45778</v>
      </c>
      <c r="B2334" t="s">
        <v>142</v>
      </c>
      <c r="C2334">
        <v>77</v>
      </c>
      <c r="D2334" t="s">
        <v>253</v>
      </c>
      <c r="E2334" t="s">
        <v>248</v>
      </c>
      <c r="F2334" t="s">
        <v>244</v>
      </c>
      <c r="G2334" t="s">
        <v>82</v>
      </c>
      <c r="H2334" t="s">
        <v>151</v>
      </c>
      <c r="J2334" t="s">
        <v>196</v>
      </c>
      <c r="K2334" t="s">
        <v>255</v>
      </c>
      <c r="L2334">
        <v>160000</v>
      </c>
      <c r="M2334" t="s">
        <v>151</v>
      </c>
      <c r="N2334" t="s">
        <v>1668</v>
      </c>
      <c r="O2334">
        <v>1</v>
      </c>
      <c r="P2334" t="s">
        <v>257</v>
      </c>
    </row>
    <row r="2335" spans="1:16" hidden="1" x14ac:dyDescent="0.25">
      <c r="A2335" s="16">
        <v>45778</v>
      </c>
      <c r="B2335" t="s">
        <v>142</v>
      </c>
      <c r="C2335">
        <v>77</v>
      </c>
      <c r="D2335" t="s">
        <v>253</v>
      </c>
      <c r="E2335" t="s">
        <v>248</v>
      </c>
      <c r="F2335" t="s">
        <v>244</v>
      </c>
      <c r="G2335" t="s">
        <v>82</v>
      </c>
      <c r="H2335" t="s">
        <v>151</v>
      </c>
      <c r="J2335" t="s">
        <v>197</v>
      </c>
      <c r="K2335" t="s">
        <v>255</v>
      </c>
      <c r="L2335">
        <v>410000</v>
      </c>
      <c r="M2335" t="s">
        <v>151</v>
      </c>
      <c r="N2335" t="s">
        <v>1315</v>
      </c>
      <c r="O2335">
        <v>1</v>
      </c>
      <c r="P2335" t="s">
        <v>261</v>
      </c>
    </row>
    <row r="2336" spans="1:16" hidden="1" x14ac:dyDescent="0.25">
      <c r="A2336" s="16">
        <v>45778</v>
      </c>
      <c r="B2336" t="s">
        <v>142</v>
      </c>
      <c r="C2336">
        <v>77</v>
      </c>
      <c r="D2336" t="s">
        <v>253</v>
      </c>
      <c r="E2336" t="s">
        <v>248</v>
      </c>
      <c r="F2336" t="s">
        <v>244</v>
      </c>
      <c r="G2336" t="s">
        <v>82</v>
      </c>
      <c r="H2336" t="s">
        <v>149</v>
      </c>
      <c r="J2336" t="s">
        <v>195</v>
      </c>
      <c r="K2336" t="s">
        <v>255</v>
      </c>
      <c r="L2336">
        <v>37000000</v>
      </c>
      <c r="M2336" t="s">
        <v>149</v>
      </c>
      <c r="N2336" t="s">
        <v>282</v>
      </c>
      <c r="O2336">
        <v>1</v>
      </c>
      <c r="P2336" t="s">
        <v>257</v>
      </c>
    </row>
    <row r="2337" spans="1:16" hidden="1" x14ac:dyDescent="0.25">
      <c r="A2337" s="16">
        <v>45778</v>
      </c>
      <c r="B2337" t="s">
        <v>142</v>
      </c>
      <c r="C2337">
        <v>77</v>
      </c>
      <c r="D2337" t="s">
        <v>253</v>
      </c>
      <c r="E2337" t="s">
        <v>248</v>
      </c>
      <c r="F2337" t="s">
        <v>244</v>
      </c>
      <c r="G2337" t="s">
        <v>82</v>
      </c>
      <c r="H2337" t="s">
        <v>149</v>
      </c>
      <c r="J2337" t="s">
        <v>196</v>
      </c>
      <c r="K2337" t="s">
        <v>255</v>
      </c>
      <c r="L2337">
        <v>38900000</v>
      </c>
      <c r="M2337" t="s">
        <v>149</v>
      </c>
      <c r="N2337" t="s">
        <v>1669</v>
      </c>
      <c r="O2337">
        <v>1</v>
      </c>
      <c r="P2337" t="s">
        <v>257</v>
      </c>
    </row>
    <row r="2338" spans="1:16" hidden="1" x14ac:dyDescent="0.25">
      <c r="A2338" s="16">
        <v>45778</v>
      </c>
      <c r="B2338" t="s">
        <v>142</v>
      </c>
      <c r="C2338">
        <v>77</v>
      </c>
      <c r="D2338" t="s">
        <v>253</v>
      </c>
      <c r="E2338" t="s">
        <v>248</v>
      </c>
      <c r="F2338" t="s">
        <v>244</v>
      </c>
      <c r="G2338" t="s">
        <v>82</v>
      </c>
      <c r="H2338" t="s">
        <v>149</v>
      </c>
      <c r="J2338" t="s">
        <v>197</v>
      </c>
      <c r="K2338" t="s">
        <v>255</v>
      </c>
      <c r="L2338">
        <v>39000000</v>
      </c>
      <c r="M2338" t="s">
        <v>149</v>
      </c>
      <c r="N2338" t="s">
        <v>1842</v>
      </c>
      <c r="O2338">
        <v>1</v>
      </c>
      <c r="P2338" t="s">
        <v>261</v>
      </c>
    </row>
    <row r="2339" spans="1:16" hidden="1" x14ac:dyDescent="0.25">
      <c r="A2339" s="16">
        <v>45778</v>
      </c>
      <c r="B2339" t="s">
        <v>35</v>
      </c>
      <c r="C2339">
        <v>10</v>
      </c>
      <c r="D2339" t="s">
        <v>238</v>
      </c>
      <c r="E2339" t="s">
        <v>239</v>
      </c>
      <c r="F2339" t="s">
        <v>240</v>
      </c>
      <c r="G2339" t="s">
        <v>82</v>
      </c>
      <c r="J2339" t="s">
        <v>197</v>
      </c>
      <c r="K2339" t="s">
        <v>241</v>
      </c>
      <c r="L2339">
        <v>57580000</v>
      </c>
      <c r="M2339" t="s">
        <v>242</v>
      </c>
      <c r="N2339" t="s">
        <v>1843</v>
      </c>
    </row>
    <row r="2340" spans="1:16" hidden="1" x14ac:dyDescent="0.25">
      <c r="A2340" s="16">
        <v>45778</v>
      </c>
      <c r="B2340" t="s">
        <v>35</v>
      </c>
      <c r="C2340">
        <v>10</v>
      </c>
      <c r="D2340" t="s">
        <v>238</v>
      </c>
      <c r="E2340" t="s">
        <v>239</v>
      </c>
      <c r="F2340" t="s">
        <v>244</v>
      </c>
      <c r="G2340" t="s">
        <v>82</v>
      </c>
      <c r="J2340" t="s">
        <v>197</v>
      </c>
      <c r="K2340" t="s">
        <v>241</v>
      </c>
      <c r="L2340">
        <v>7290000000</v>
      </c>
      <c r="M2340" t="s">
        <v>245</v>
      </c>
      <c r="N2340" t="s">
        <v>1844</v>
      </c>
    </row>
    <row r="2341" spans="1:16" hidden="1" x14ac:dyDescent="0.25">
      <c r="A2341" s="16">
        <v>45778</v>
      </c>
      <c r="B2341" t="s">
        <v>35</v>
      </c>
      <c r="C2341">
        <v>11</v>
      </c>
      <c r="D2341" t="s">
        <v>253</v>
      </c>
      <c r="E2341" t="s">
        <v>248</v>
      </c>
      <c r="F2341" t="s">
        <v>285</v>
      </c>
      <c r="G2341" t="s">
        <v>63</v>
      </c>
      <c r="J2341" t="s">
        <v>195</v>
      </c>
      <c r="K2341" t="s">
        <v>255</v>
      </c>
      <c r="L2341">
        <v>1780000</v>
      </c>
      <c r="M2341" t="s">
        <v>242</v>
      </c>
      <c r="N2341" t="s">
        <v>1497</v>
      </c>
      <c r="O2341">
        <v>1</v>
      </c>
      <c r="P2341" t="s">
        <v>257</v>
      </c>
    </row>
    <row r="2342" spans="1:16" hidden="1" x14ac:dyDescent="0.25">
      <c r="A2342" s="16">
        <v>45778</v>
      </c>
      <c r="B2342" t="s">
        <v>35</v>
      </c>
      <c r="C2342">
        <v>11</v>
      </c>
      <c r="D2342" t="s">
        <v>253</v>
      </c>
      <c r="E2342" t="s">
        <v>248</v>
      </c>
      <c r="F2342" t="s">
        <v>285</v>
      </c>
      <c r="G2342" t="s">
        <v>63</v>
      </c>
      <c r="J2342" t="s">
        <v>196</v>
      </c>
      <c r="K2342" t="s">
        <v>255</v>
      </c>
      <c r="L2342">
        <v>1810000</v>
      </c>
      <c r="M2342" t="s">
        <v>242</v>
      </c>
      <c r="N2342" t="s">
        <v>1672</v>
      </c>
      <c r="O2342">
        <v>1</v>
      </c>
      <c r="P2342" t="s">
        <v>257</v>
      </c>
    </row>
    <row r="2343" spans="1:16" hidden="1" x14ac:dyDescent="0.25">
      <c r="A2343" s="16">
        <v>45778</v>
      </c>
      <c r="B2343" t="s">
        <v>35</v>
      </c>
      <c r="C2343">
        <v>11</v>
      </c>
      <c r="D2343" t="s">
        <v>253</v>
      </c>
      <c r="E2343" t="s">
        <v>248</v>
      </c>
      <c r="F2343" t="s">
        <v>285</v>
      </c>
      <c r="G2343" t="s">
        <v>63</v>
      </c>
      <c r="J2343" t="s">
        <v>197</v>
      </c>
      <c r="K2343" t="s">
        <v>255</v>
      </c>
      <c r="L2343">
        <v>1850000</v>
      </c>
      <c r="M2343" t="s">
        <v>242</v>
      </c>
      <c r="N2343" t="s">
        <v>1845</v>
      </c>
      <c r="O2343">
        <v>1</v>
      </c>
      <c r="P2343" t="s">
        <v>261</v>
      </c>
    </row>
    <row r="2344" spans="1:16" hidden="1" x14ac:dyDescent="0.25">
      <c r="A2344" s="16">
        <v>45778</v>
      </c>
      <c r="B2344" t="s">
        <v>35</v>
      </c>
      <c r="C2344">
        <v>11</v>
      </c>
      <c r="D2344" t="s">
        <v>247</v>
      </c>
      <c r="E2344" t="s">
        <v>248</v>
      </c>
      <c r="F2344" t="s">
        <v>285</v>
      </c>
      <c r="G2344" t="s">
        <v>63</v>
      </c>
      <c r="H2344" t="s">
        <v>286</v>
      </c>
      <c r="J2344" t="s">
        <v>197</v>
      </c>
      <c r="K2344" t="s">
        <v>250</v>
      </c>
      <c r="L2344">
        <v>1.9</v>
      </c>
      <c r="M2344" t="s">
        <v>251</v>
      </c>
      <c r="N2344" t="s">
        <v>1846</v>
      </c>
    </row>
    <row r="2345" spans="1:16" hidden="1" x14ac:dyDescent="0.25">
      <c r="A2345" s="16">
        <v>45778</v>
      </c>
      <c r="B2345" t="s">
        <v>35</v>
      </c>
      <c r="C2345">
        <v>12</v>
      </c>
      <c r="D2345" t="s">
        <v>291</v>
      </c>
      <c r="E2345" t="s">
        <v>292</v>
      </c>
      <c r="F2345" t="s">
        <v>285</v>
      </c>
      <c r="G2345" t="s">
        <v>63</v>
      </c>
      <c r="H2345" t="s">
        <v>64</v>
      </c>
      <c r="J2345" t="s">
        <v>197</v>
      </c>
      <c r="K2345" t="s">
        <v>250</v>
      </c>
      <c r="L2345">
        <v>1780000</v>
      </c>
      <c r="M2345" t="s">
        <v>242</v>
      </c>
      <c r="N2345" t="s">
        <v>1650</v>
      </c>
    </row>
    <row r="2346" spans="1:16" hidden="1" x14ac:dyDescent="0.25">
      <c r="A2346" s="16">
        <v>45778</v>
      </c>
      <c r="B2346" t="s">
        <v>35</v>
      </c>
      <c r="C2346">
        <v>12</v>
      </c>
      <c r="D2346" t="s">
        <v>291</v>
      </c>
      <c r="E2346" t="s">
        <v>292</v>
      </c>
      <c r="F2346" t="s">
        <v>285</v>
      </c>
      <c r="G2346" t="s">
        <v>63</v>
      </c>
      <c r="H2346" t="s">
        <v>65</v>
      </c>
      <c r="J2346" t="s">
        <v>197</v>
      </c>
      <c r="K2346" t="s">
        <v>250</v>
      </c>
      <c r="L2346">
        <v>70100</v>
      </c>
      <c r="M2346" t="s">
        <v>242</v>
      </c>
      <c r="N2346" t="s">
        <v>1847</v>
      </c>
    </row>
    <row r="2347" spans="1:16" hidden="1" x14ac:dyDescent="0.25">
      <c r="A2347" s="16">
        <v>45778</v>
      </c>
      <c r="B2347" t="s">
        <v>35</v>
      </c>
      <c r="C2347">
        <v>13</v>
      </c>
      <c r="D2347" t="s">
        <v>291</v>
      </c>
      <c r="E2347" t="s">
        <v>292</v>
      </c>
      <c r="F2347" t="s">
        <v>285</v>
      </c>
      <c r="G2347" t="s">
        <v>63</v>
      </c>
      <c r="H2347" t="s">
        <v>67</v>
      </c>
      <c r="J2347" t="s">
        <v>197</v>
      </c>
      <c r="K2347" t="s">
        <v>250</v>
      </c>
      <c r="L2347">
        <v>650000</v>
      </c>
      <c r="M2347" t="s">
        <v>242</v>
      </c>
      <c r="N2347" t="s">
        <v>1848</v>
      </c>
    </row>
    <row r="2348" spans="1:16" hidden="1" x14ac:dyDescent="0.25">
      <c r="A2348" s="16">
        <v>45778</v>
      </c>
      <c r="B2348" t="s">
        <v>35</v>
      </c>
      <c r="C2348">
        <v>13</v>
      </c>
      <c r="D2348" t="s">
        <v>291</v>
      </c>
      <c r="E2348" t="s">
        <v>292</v>
      </c>
      <c r="F2348" t="s">
        <v>285</v>
      </c>
      <c r="G2348" t="s">
        <v>63</v>
      </c>
      <c r="H2348" t="s">
        <v>68</v>
      </c>
      <c r="J2348" t="s">
        <v>197</v>
      </c>
      <c r="K2348" t="s">
        <v>250</v>
      </c>
      <c r="L2348">
        <v>1150000</v>
      </c>
      <c r="M2348" t="s">
        <v>242</v>
      </c>
      <c r="N2348" t="s">
        <v>1849</v>
      </c>
    </row>
    <row r="2349" spans="1:16" x14ac:dyDescent="0.25">
      <c r="A2349" s="16">
        <v>45778</v>
      </c>
      <c r="B2349" t="s">
        <v>35</v>
      </c>
      <c r="C2349">
        <v>14</v>
      </c>
      <c r="D2349" t="s">
        <v>291</v>
      </c>
      <c r="E2349" t="s">
        <v>292</v>
      </c>
      <c r="F2349" t="s">
        <v>285</v>
      </c>
      <c r="G2349" t="s">
        <v>63</v>
      </c>
      <c r="H2349" t="s">
        <v>77</v>
      </c>
      <c r="J2349" t="s">
        <v>197</v>
      </c>
      <c r="K2349" t="s">
        <v>250</v>
      </c>
      <c r="L2349">
        <v>8000</v>
      </c>
      <c r="M2349" t="s">
        <v>242</v>
      </c>
      <c r="N2349" t="s">
        <v>1680</v>
      </c>
    </row>
    <row r="2350" spans="1:16" x14ac:dyDescent="0.25">
      <c r="A2350" s="16">
        <v>45778</v>
      </c>
      <c r="B2350" t="s">
        <v>35</v>
      </c>
      <c r="C2350">
        <v>14</v>
      </c>
      <c r="D2350" t="s">
        <v>291</v>
      </c>
      <c r="E2350" t="s">
        <v>292</v>
      </c>
      <c r="F2350" t="s">
        <v>285</v>
      </c>
      <c r="G2350" t="s">
        <v>63</v>
      </c>
      <c r="H2350" t="s">
        <v>70</v>
      </c>
      <c r="J2350" t="s">
        <v>197</v>
      </c>
      <c r="K2350" t="s">
        <v>250</v>
      </c>
      <c r="L2350">
        <v>676000</v>
      </c>
      <c r="M2350" t="s">
        <v>242</v>
      </c>
      <c r="N2350" t="s">
        <v>1781</v>
      </c>
    </row>
    <row r="2351" spans="1:16" x14ac:dyDescent="0.25">
      <c r="A2351" s="16">
        <v>45778</v>
      </c>
      <c r="B2351" t="s">
        <v>35</v>
      </c>
      <c r="C2351">
        <v>14</v>
      </c>
      <c r="D2351" t="s">
        <v>291</v>
      </c>
      <c r="E2351" t="s">
        <v>292</v>
      </c>
      <c r="F2351" t="s">
        <v>285</v>
      </c>
      <c r="G2351" t="s">
        <v>63</v>
      </c>
      <c r="H2351" t="s">
        <v>71</v>
      </c>
      <c r="J2351" t="s">
        <v>197</v>
      </c>
      <c r="K2351" t="s">
        <v>250</v>
      </c>
      <c r="L2351">
        <v>483000</v>
      </c>
      <c r="M2351" t="s">
        <v>242</v>
      </c>
      <c r="N2351" t="s">
        <v>1850</v>
      </c>
    </row>
    <row r="2352" spans="1:16" x14ac:dyDescent="0.25">
      <c r="A2352" s="16">
        <v>45778</v>
      </c>
      <c r="B2352" t="s">
        <v>35</v>
      </c>
      <c r="C2352">
        <v>14</v>
      </c>
      <c r="D2352" t="s">
        <v>291</v>
      </c>
      <c r="E2352" t="s">
        <v>292</v>
      </c>
      <c r="F2352" t="s">
        <v>285</v>
      </c>
      <c r="G2352" t="s">
        <v>63</v>
      </c>
      <c r="H2352" t="s">
        <v>72</v>
      </c>
      <c r="J2352" t="s">
        <v>197</v>
      </c>
      <c r="K2352" t="s">
        <v>250</v>
      </c>
      <c r="L2352">
        <v>326000</v>
      </c>
      <c r="M2352" t="s">
        <v>242</v>
      </c>
      <c r="N2352" t="s">
        <v>1851</v>
      </c>
    </row>
    <row r="2353" spans="1:16" x14ac:dyDescent="0.25">
      <c r="A2353" s="63">
        <v>45778</v>
      </c>
      <c r="B2353" s="65" t="s">
        <v>35</v>
      </c>
      <c r="C2353" s="65">
        <v>14</v>
      </c>
      <c r="D2353" s="65" t="s">
        <v>291</v>
      </c>
      <c r="E2353" s="65" t="s">
        <v>292</v>
      </c>
      <c r="F2353" s="65" t="s">
        <v>285</v>
      </c>
      <c r="G2353" s="65" t="s">
        <v>63</v>
      </c>
      <c r="H2353" s="65" t="s">
        <v>73</v>
      </c>
      <c r="I2353" s="65"/>
      <c r="J2353" s="65" t="s">
        <v>197</v>
      </c>
      <c r="K2353" s="65" t="s">
        <v>250</v>
      </c>
      <c r="L2353" s="65">
        <v>199000</v>
      </c>
      <c r="M2353" s="65" t="s">
        <v>242</v>
      </c>
      <c r="N2353" s="65" t="s">
        <v>1852</v>
      </c>
    </row>
    <row r="2354" spans="1:16" x14ac:dyDescent="0.25">
      <c r="A2354" s="63">
        <v>45778</v>
      </c>
      <c r="B2354" s="65" t="s">
        <v>35</v>
      </c>
      <c r="C2354" s="65">
        <v>14</v>
      </c>
      <c r="D2354" s="65" t="s">
        <v>291</v>
      </c>
      <c r="E2354" s="65" t="s">
        <v>292</v>
      </c>
      <c r="F2354" s="65" t="s">
        <v>285</v>
      </c>
      <c r="G2354" s="65" t="s">
        <v>63</v>
      </c>
      <c r="H2354" s="65" t="s">
        <v>74</v>
      </c>
      <c r="I2354" s="65"/>
      <c r="J2354" s="65" t="s">
        <v>197</v>
      </c>
      <c r="K2354" s="65" t="s">
        <v>250</v>
      </c>
      <c r="L2354" s="65">
        <v>90000</v>
      </c>
      <c r="M2354" s="65" t="s">
        <v>242</v>
      </c>
      <c r="N2354" s="65" t="s">
        <v>1853</v>
      </c>
    </row>
    <row r="2355" spans="1:16" x14ac:dyDescent="0.25">
      <c r="A2355" s="63">
        <v>45778</v>
      </c>
      <c r="B2355" s="65" t="s">
        <v>35</v>
      </c>
      <c r="C2355" s="65">
        <v>14</v>
      </c>
      <c r="D2355" s="65" t="s">
        <v>291</v>
      </c>
      <c r="E2355" s="65" t="s">
        <v>292</v>
      </c>
      <c r="F2355" s="65" t="s">
        <v>285</v>
      </c>
      <c r="G2355" s="65" t="s">
        <v>63</v>
      </c>
      <c r="H2355" s="65" t="s">
        <v>75</v>
      </c>
      <c r="I2355" s="65"/>
      <c r="J2355" s="65" t="s">
        <v>197</v>
      </c>
      <c r="K2355" s="65" t="s">
        <v>250</v>
      </c>
      <c r="L2355" s="65">
        <v>23000</v>
      </c>
      <c r="M2355" s="65" t="s">
        <v>242</v>
      </c>
      <c r="N2355" s="65" t="s">
        <v>1678</v>
      </c>
    </row>
    <row r="2356" spans="1:16" x14ac:dyDescent="0.25">
      <c r="A2356" s="63">
        <v>45778</v>
      </c>
      <c r="B2356" s="65" t="s">
        <v>35</v>
      </c>
      <c r="C2356" s="65">
        <v>14</v>
      </c>
      <c r="D2356" s="65" t="s">
        <v>291</v>
      </c>
      <c r="E2356" s="65" t="s">
        <v>292</v>
      </c>
      <c r="F2356" s="65" t="s">
        <v>285</v>
      </c>
      <c r="G2356" s="65" t="s">
        <v>63</v>
      </c>
      <c r="H2356" s="65" t="s">
        <v>76</v>
      </c>
      <c r="I2356" s="65"/>
      <c r="J2356" s="65" t="s">
        <v>197</v>
      </c>
      <c r="K2356" s="65" t="s">
        <v>250</v>
      </c>
      <c r="L2356" s="65">
        <v>5000</v>
      </c>
      <c r="M2356" s="65" t="s">
        <v>242</v>
      </c>
      <c r="N2356" s="65" t="s">
        <v>1679</v>
      </c>
    </row>
    <row r="2357" spans="1:16" hidden="1" x14ac:dyDescent="0.25">
      <c r="A2357" s="16">
        <v>45778</v>
      </c>
      <c r="B2357" t="s">
        <v>35</v>
      </c>
      <c r="C2357">
        <v>15</v>
      </c>
      <c r="D2357" t="s">
        <v>291</v>
      </c>
      <c r="E2357" t="s">
        <v>292</v>
      </c>
      <c r="F2357" t="s">
        <v>285</v>
      </c>
      <c r="G2357" t="s">
        <v>63</v>
      </c>
      <c r="H2357" t="s">
        <v>79</v>
      </c>
      <c r="J2357" t="s">
        <v>197</v>
      </c>
      <c r="K2357" t="s">
        <v>250</v>
      </c>
      <c r="L2357">
        <v>1810000</v>
      </c>
      <c r="M2357" t="s">
        <v>242</v>
      </c>
      <c r="N2357" t="s">
        <v>915</v>
      </c>
    </row>
    <row r="2358" spans="1:16" hidden="1" x14ac:dyDescent="0.25">
      <c r="A2358" s="16">
        <v>45778</v>
      </c>
      <c r="B2358" t="s">
        <v>35</v>
      </c>
      <c r="C2358">
        <v>15</v>
      </c>
      <c r="D2358" t="s">
        <v>291</v>
      </c>
      <c r="E2358" t="s">
        <v>292</v>
      </c>
      <c r="F2358" t="s">
        <v>285</v>
      </c>
      <c r="G2358" t="s">
        <v>63</v>
      </c>
      <c r="H2358" t="s">
        <v>80</v>
      </c>
      <c r="J2358" t="s">
        <v>197</v>
      </c>
      <c r="K2358" t="s">
        <v>250</v>
      </c>
      <c r="L2358">
        <v>36000</v>
      </c>
      <c r="M2358" t="s">
        <v>242</v>
      </c>
      <c r="N2358" t="s">
        <v>1854</v>
      </c>
    </row>
    <row r="2359" spans="1:16" hidden="1" x14ac:dyDescent="0.25">
      <c r="A2359" s="16">
        <v>45778</v>
      </c>
      <c r="B2359" t="s">
        <v>35</v>
      </c>
      <c r="C2359">
        <v>16</v>
      </c>
      <c r="D2359" t="s">
        <v>253</v>
      </c>
      <c r="E2359" t="s">
        <v>248</v>
      </c>
      <c r="F2359" t="s">
        <v>240</v>
      </c>
      <c r="G2359" t="s">
        <v>82</v>
      </c>
      <c r="J2359" t="s">
        <v>195</v>
      </c>
      <c r="K2359" t="s">
        <v>255</v>
      </c>
      <c r="L2359">
        <v>12110000</v>
      </c>
      <c r="M2359" t="s">
        <v>242</v>
      </c>
      <c r="N2359" t="s">
        <v>1509</v>
      </c>
      <c r="O2359">
        <v>1</v>
      </c>
      <c r="P2359" t="s">
        <v>257</v>
      </c>
    </row>
    <row r="2360" spans="1:16" hidden="1" x14ac:dyDescent="0.25">
      <c r="A2360" s="16">
        <v>45778</v>
      </c>
      <c r="B2360" t="s">
        <v>35</v>
      </c>
      <c r="C2360">
        <v>16</v>
      </c>
      <c r="D2360" t="s">
        <v>253</v>
      </c>
      <c r="E2360" t="s">
        <v>248</v>
      </c>
      <c r="F2360" t="s">
        <v>240</v>
      </c>
      <c r="G2360" t="s">
        <v>82</v>
      </c>
      <c r="J2360" t="s">
        <v>196</v>
      </c>
      <c r="K2360" t="s">
        <v>255</v>
      </c>
      <c r="L2360">
        <v>11520000</v>
      </c>
      <c r="M2360" t="s">
        <v>242</v>
      </c>
      <c r="N2360" t="s">
        <v>1682</v>
      </c>
      <c r="O2360">
        <v>1</v>
      </c>
      <c r="P2360" t="s">
        <v>257</v>
      </c>
    </row>
    <row r="2361" spans="1:16" hidden="1" x14ac:dyDescent="0.25">
      <c r="A2361" s="16">
        <v>45778</v>
      </c>
      <c r="B2361" t="s">
        <v>35</v>
      </c>
      <c r="C2361">
        <v>16</v>
      </c>
      <c r="D2361" t="s">
        <v>253</v>
      </c>
      <c r="E2361" t="s">
        <v>248</v>
      </c>
      <c r="F2361" t="s">
        <v>240</v>
      </c>
      <c r="G2361" t="s">
        <v>82</v>
      </c>
      <c r="J2361" t="s">
        <v>197</v>
      </c>
      <c r="K2361" t="s">
        <v>255</v>
      </c>
      <c r="L2361">
        <v>13730000</v>
      </c>
      <c r="M2361" t="s">
        <v>242</v>
      </c>
      <c r="N2361" t="s">
        <v>1855</v>
      </c>
      <c r="O2361">
        <v>1</v>
      </c>
      <c r="P2361" t="s">
        <v>261</v>
      </c>
    </row>
    <row r="2362" spans="1:16" hidden="1" x14ac:dyDescent="0.25">
      <c r="A2362" s="16">
        <v>45778</v>
      </c>
      <c r="B2362" t="s">
        <v>35</v>
      </c>
      <c r="C2362">
        <v>16</v>
      </c>
      <c r="D2362" t="s">
        <v>247</v>
      </c>
      <c r="E2362" t="s">
        <v>248</v>
      </c>
      <c r="F2362" t="s">
        <v>240</v>
      </c>
      <c r="G2362" t="s">
        <v>82</v>
      </c>
      <c r="H2362" t="s">
        <v>286</v>
      </c>
      <c r="J2362" t="s">
        <v>197</v>
      </c>
      <c r="K2362" t="s">
        <v>250</v>
      </c>
      <c r="L2362">
        <v>19.2</v>
      </c>
      <c r="M2362" t="s">
        <v>251</v>
      </c>
      <c r="N2362" t="s">
        <v>1856</v>
      </c>
    </row>
    <row r="2363" spans="1:16" hidden="1" x14ac:dyDescent="0.25">
      <c r="A2363" s="16">
        <v>45778</v>
      </c>
      <c r="B2363" t="s">
        <v>35</v>
      </c>
      <c r="C2363">
        <v>17</v>
      </c>
      <c r="D2363" t="s">
        <v>291</v>
      </c>
      <c r="E2363" t="s">
        <v>292</v>
      </c>
      <c r="F2363" t="s">
        <v>240</v>
      </c>
      <c r="G2363" t="s">
        <v>82</v>
      </c>
      <c r="H2363" t="s">
        <v>83</v>
      </c>
      <c r="J2363" t="s">
        <v>197</v>
      </c>
      <c r="K2363" t="s">
        <v>250</v>
      </c>
      <c r="L2363">
        <v>11650000</v>
      </c>
      <c r="M2363" t="s">
        <v>242</v>
      </c>
      <c r="N2363" t="s">
        <v>1857</v>
      </c>
    </row>
    <row r="2364" spans="1:16" hidden="1" x14ac:dyDescent="0.25">
      <c r="A2364" s="16">
        <v>45778</v>
      </c>
      <c r="B2364" t="s">
        <v>35</v>
      </c>
      <c r="C2364">
        <v>17</v>
      </c>
      <c r="D2364" t="s">
        <v>291</v>
      </c>
      <c r="E2364" t="s">
        <v>292</v>
      </c>
      <c r="F2364" t="s">
        <v>240</v>
      </c>
      <c r="G2364" t="s">
        <v>82</v>
      </c>
      <c r="H2364" t="s">
        <v>84</v>
      </c>
      <c r="J2364" t="s">
        <v>197</v>
      </c>
      <c r="K2364" t="s">
        <v>250</v>
      </c>
      <c r="L2364">
        <v>2080000</v>
      </c>
      <c r="M2364" t="s">
        <v>242</v>
      </c>
      <c r="N2364" t="s">
        <v>848</v>
      </c>
    </row>
    <row r="2365" spans="1:16" hidden="1" x14ac:dyDescent="0.25">
      <c r="A2365" s="16">
        <v>45778</v>
      </c>
      <c r="B2365" t="s">
        <v>35</v>
      </c>
      <c r="C2365">
        <v>18</v>
      </c>
      <c r="D2365" t="s">
        <v>291</v>
      </c>
      <c r="E2365" t="s">
        <v>292</v>
      </c>
      <c r="F2365" t="s">
        <v>240</v>
      </c>
      <c r="G2365" t="s">
        <v>82</v>
      </c>
      <c r="H2365" t="s">
        <v>83</v>
      </c>
      <c r="I2365" t="s">
        <v>313</v>
      </c>
      <c r="J2365" t="s">
        <v>197</v>
      </c>
      <c r="K2365" t="s">
        <v>250</v>
      </c>
      <c r="L2365">
        <v>3.2</v>
      </c>
      <c r="M2365" t="s">
        <v>251</v>
      </c>
      <c r="N2365" t="s">
        <v>509</v>
      </c>
    </row>
    <row r="2366" spans="1:16" hidden="1" x14ac:dyDescent="0.25">
      <c r="A2366" s="16">
        <v>45778</v>
      </c>
      <c r="B2366" t="s">
        <v>35</v>
      </c>
      <c r="C2366">
        <v>18</v>
      </c>
      <c r="D2366" t="s">
        <v>291</v>
      </c>
      <c r="E2366" t="s">
        <v>292</v>
      </c>
      <c r="F2366" t="s">
        <v>240</v>
      </c>
      <c r="G2366" t="s">
        <v>82</v>
      </c>
      <c r="H2366" t="s">
        <v>83</v>
      </c>
      <c r="I2366" t="s">
        <v>315</v>
      </c>
      <c r="J2366" t="s">
        <v>197</v>
      </c>
      <c r="K2366" t="s">
        <v>250</v>
      </c>
      <c r="L2366">
        <v>86.1</v>
      </c>
      <c r="M2366" t="s">
        <v>251</v>
      </c>
      <c r="N2366" t="s">
        <v>1858</v>
      </c>
    </row>
    <row r="2367" spans="1:16" hidden="1" x14ac:dyDescent="0.25">
      <c r="A2367" s="16">
        <v>45778</v>
      </c>
      <c r="B2367" t="s">
        <v>35</v>
      </c>
      <c r="C2367">
        <v>18</v>
      </c>
      <c r="D2367" t="s">
        <v>291</v>
      </c>
      <c r="E2367" t="s">
        <v>292</v>
      </c>
      <c r="F2367" t="s">
        <v>240</v>
      </c>
      <c r="G2367" t="s">
        <v>82</v>
      </c>
      <c r="H2367" t="s">
        <v>83</v>
      </c>
      <c r="I2367" t="s">
        <v>317</v>
      </c>
      <c r="J2367" t="s">
        <v>197</v>
      </c>
      <c r="K2367" t="s">
        <v>250</v>
      </c>
      <c r="L2367">
        <v>10.7</v>
      </c>
      <c r="M2367" t="s">
        <v>251</v>
      </c>
      <c r="N2367" t="s">
        <v>1859</v>
      </c>
    </row>
    <row r="2368" spans="1:16" hidden="1" x14ac:dyDescent="0.25">
      <c r="A2368" s="16">
        <v>45778</v>
      </c>
      <c r="B2368" t="s">
        <v>35</v>
      </c>
      <c r="C2368">
        <v>18</v>
      </c>
      <c r="D2368" t="s">
        <v>291</v>
      </c>
      <c r="E2368" t="s">
        <v>292</v>
      </c>
      <c r="F2368" t="s">
        <v>240</v>
      </c>
      <c r="G2368" t="s">
        <v>82</v>
      </c>
      <c r="H2368" t="s">
        <v>84</v>
      </c>
      <c r="I2368" t="s">
        <v>319</v>
      </c>
      <c r="J2368" t="s">
        <v>197</v>
      </c>
      <c r="K2368" t="s">
        <v>250</v>
      </c>
      <c r="L2368">
        <v>99.3</v>
      </c>
      <c r="M2368" t="s">
        <v>251</v>
      </c>
      <c r="N2368" t="s">
        <v>1685</v>
      </c>
    </row>
    <row r="2369" spans="1:16" hidden="1" x14ac:dyDescent="0.25">
      <c r="A2369" s="16">
        <v>45778</v>
      </c>
      <c r="B2369" t="s">
        <v>35</v>
      </c>
      <c r="C2369">
        <v>18</v>
      </c>
      <c r="D2369" t="s">
        <v>291</v>
      </c>
      <c r="E2369" t="s">
        <v>292</v>
      </c>
      <c r="F2369" t="s">
        <v>240</v>
      </c>
      <c r="G2369" t="s">
        <v>82</v>
      </c>
      <c r="H2369" t="s">
        <v>84</v>
      </c>
      <c r="I2369" t="s">
        <v>321</v>
      </c>
      <c r="J2369" t="s">
        <v>197</v>
      </c>
      <c r="K2369" t="s">
        <v>250</v>
      </c>
      <c r="L2369">
        <v>0.7</v>
      </c>
      <c r="M2369" t="s">
        <v>251</v>
      </c>
      <c r="N2369" t="s">
        <v>810</v>
      </c>
    </row>
    <row r="2370" spans="1:16" hidden="1" x14ac:dyDescent="0.25">
      <c r="A2370" s="16">
        <v>45778</v>
      </c>
      <c r="B2370" t="s">
        <v>35</v>
      </c>
      <c r="C2370">
        <v>19</v>
      </c>
      <c r="D2370" t="s">
        <v>253</v>
      </c>
      <c r="E2370" t="s">
        <v>248</v>
      </c>
      <c r="F2370" t="s">
        <v>244</v>
      </c>
      <c r="G2370" t="s">
        <v>82</v>
      </c>
      <c r="J2370" t="s">
        <v>195</v>
      </c>
      <c r="K2370" t="s">
        <v>255</v>
      </c>
      <c r="L2370">
        <v>1560000000</v>
      </c>
      <c r="M2370" t="s">
        <v>245</v>
      </c>
      <c r="N2370" t="s">
        <v>1513</v>
      </c>
      <c r="O2370">
        <v>1</v>
      </c>
      <c r="P2370" t="s">
        <v>257</v>
      </c>
    </row>
    <row r="2371" spans="1:16" hidden="1" x14ac:dyDescent="0.25">
      <c r="A2371" s="16">
        <v>45778</v>
      </c>
      <c r="B2371" t="s">
        <v>35</v>
      </c>
      <c r="C2371">
        <v>19</v>
      </c>
      <c r="D2371" t="s">
        <v>253</v>
      </c>
      <c r="E2371" t="s">
        <v>248</v>
      </c>
      <c r="F2371" t="s">
        <v>244</v>
      </c>
      <c r="G2371" t="s">
        <v>82</v>
      </c>
      <c r="J2371" t="s">
        <v>196</v>
      </c>
      <c r="K2371" t="s">
        <v>255</v>
      </c>
      <c r="L2371">
        <v>1480000000</v>
      </c>
      <c r="M2371" t="s">
        <v>245</v>
      </c>
      <c r="N2371" t="s">
        <v>1686</v>
      </c>
      <c r="O2371">
        <v>1</v>
      </c>
      <c r="P2371" t="s">
        <v>257</v>
      </c>
    </row>
    <row r="2372" spans="1:16" hidden="1" x14ac:dyDescent="0.25">
      <c r="A2372" s="16">
        <v>45778</v>
      </c>
      <c r="B2372" t="s">
        <v>35</v>
      </c>
      <c r="C2372">
        <v>19</v>
      </c>
      <c r="D2372" t="s">
        <v>253</v>
      </c>
      <c r="E2372" t="s">
        <v>248</v>
      </c>
      <c r="F2372" t="s">
        <v>244</v>
      </c>
      <c r="G2372" t="s">
        <v>82</v>
      </c>
      <c r="J2372" t="s">
        <v>197</v>
      </c>
      <c r="K2372" t="s">
        <v>255</v>
      </c>
      <c r="L2372">
        <v>1640000000</v>
      </c>
      <c r="M2372" t="s">
        <v>245</v>
      </c>
      <c r="N2372" t="s">
        <v>1860</v>
      </c>
      <c r="O2372">
        <v>1</v>
      </c>
      <c r="P2372" t="s">
        <v>261</v>
      </c>
    </row>
    <row r="2373" spans="1:16" hidden="1" x14ac:dyDescent="0.25">
      <c r="A2373" s="16">
        <v>45778</v>
      </c>
      <c r="B2373" t="s">
        <v>35</v>
      </c>
      <c r="C2373">
        <v>19</v>
      </c>
      <c r="D2373" t="s">
        <v>247</v>
      </c>
      <c r="E2373" t="s">
        <v>248</v>
      </c>
      <c r="F2373" t="s">
        <v>244</v>
      </c>
      <c r="G2373" t="s">
        <v>82</v>
      </c>
      <c r="H2373" t="s">
        <v>286</v>
      </c>
      <c r="J2373" t="s">
        <v>197</v>
      </c>
      <c r="K2373" t="s">
        <v>250</v>
      </c>
      <c r="L2373">
        <v>10.3</v>
      </c>
      <c r="M2373" t="s">
        <v>251</v>
      </c>
      <c r="N2373" t="s">
        <v>564</v>
      </c>
    </row>
    <row r="2374" spans="1:16" hidden="1" x14ac:dyDescent="0.25">
      <c r="A2374" s="16">
        <v>45778</v>
      </c>
      <c r="B2374" t="s">
        <v>35</v>
      </c>
      <c r="C2374">
        <v>20</v>
      </c>
      <c r="D2374" t="s">
        <v>291</v>
      </c>
      <c r="E2374" t="s">
        <v>292</v>
      </c>
      <c r="F2374" t="s">
        <v>244</v>
      </c>
      <c r="G2374" t="s">
        <v>82</v>
      </c>
      <c r="H2374" t="s">
        <v>83</v>
      </c>
      <c r="J2374" t="s">
        <v>197</v>
      </c>
      <c r="K2374" t="s">
        <v>250</v>
      </c>
      <c r="L2374">
        <v>1290000000</v>
      </c>
      <c r="M2374" t="s">
        <v>245</v>
      </c>
      <c r="N2374" t="s">
        <v>1861</v>
      </c>
    </row>
    <row r="2375" spans="1:16" hidden="1" x14ac:dyDescent="0.25">
      <c r="A2375" s="16">
        <v>45778</v>
      </c>
      <c r="B2375" t="s">
        <v>35</v>
      </c>
      <c r="C2375">
        <v>20</v>
      </c>
      <c r="D2375" t="s">
        <v>291</v>
      </c>
      <c r="E2375" t="s">
        <v>292</v>
      </c>
      <c r="F2375" t="s">
        <v>244</v>
      </c>
      <c r="G2375" t="s">
        <v>82</v>
      </c>
      <c r="H2375" t="s">
        <v>84</v>
      </c>
      <c r="J2375" t="s">
        <v>197</v>
      </c>
      <c r="K2375" t="s">
        <v>250</v>
      </c>
      <c r="L2375">
        <v>341600000</v>
      </c>
      <c r="M2375" t="s">
        <v>245</v>
      </c>
      <c r="N2375" t="s">
        <v>1862</v>
      </c>
    </row>
    <row r="2376" spans="1:16" hidden="1" x14ac:dyDescent="0.25">
      <c r="A2376" s="16">
        <v>45778</v>
      </c>
      <c r="B2376" t="s">
        <v>35</v>
      </c>
      <c r="C2376">
        <v>21</v>
      </c>
      <c r="D2376" t="s">
        <v>291</v>
      </c>
      <c r="E2376" t="s">
        <v>292</v>
      </c>
      <c r="F2376" t="s">
        <v>244</v>
      </c>
      <c r="G2376" t="s">
        <v>82</v>
      </c>
      <c r="H2376" t="s">
        <v>83</v>
      </c>
      <c r="I2376" t="s">
        <v>313</v>
      </c>
      <c r="J2376" t="s">
        <v>197</v>
      </c>
      <c r="K2376" t="s">
        <v>250</v>
      </c>
      <c r="L2376">
        <v>5.2</v>
      </c>
      <c r="M2376" t="s">
        <v>251</v>
      </c>
      <c r="N2376" t="s">
        <v>1863</v>
      </c>
    </row>
    <row r="2377" spans="1:16" hidden="1" x14ac:dyDescent="0.25">
      <c r="A2377" s="16">
        <v>45778</v>
      </c>
      <c r="B2377" t="s">
        <v>35</v>
      </c>
      <c r="C2377">
        <v>21</v>
      </c>
      <c r="D2377" t="s">
        <v>291</v>
      </c>
      <c r="E2377" t="s">
        <v>292</v>
      </c>
      <c r="F2377" t="s">
        <v>244</v>
      </c>
      <c r="G2377" t="s">
        <v>82</v>
      </c>
      <c r="H2377" t="s">
        <v>83</v>
      </c>
      <c r="I2377" t="s">
        <v>315</v>
      </c>
      <c r="J2377" t="s">
        <v>197</v>
      </c>
      <c r="K2377" t="s">
        <v>250</v>
      </c>
      <c r="L2377">
        <v>73.400000000000006</v>
      </c>
      <c r="M2377" t="s">
        <v>251</v>
      </c>
      <c r="N2377" t="s">
        <v>1864</v>
      </c>
    </row>
    <row r="2378" spans="1:16" hidden="1" x14ac:dyDescent="0.25">
      <c r="A2378" s="16">
        <v>45778</v>
      </c>
      <c r="B2378" t="s">
        <v>35</v>
      </c>
      <c r="C2378">
        <v>21</v>
      </c>
      <c r="D2378" t="s">
        <v>291</v>
      </c>
      <c r="E2378" t="s">
        <v>292</v>
      </c>
      <c r="F2378" t="s">
        <v>244</v>
      </c>
      <c r="G2378" t="s">
        <v>82</v>
      </c>
      <c r="H2378" t="s">
        <v>83</v>
      </c>
      <c r="I2378" t="s">
        <v>317</v>
      </c>
      <c r="J2378" t="s">
        <v>197</v>
      </c>
      <c r="K2378" t="s">
        <v>250</v>
      </c>
      <c r="L2378">
        <v>21.4</v>
      </c>
      <c r="M2378" t="s">
        <v>251</v>
      </c>
      <c r="N2378" t="s">
        <v>1865</v>
      </c>
    </row>
    <row r="2379" spans="1:16" hidden="1" x14ac:dyDescent="0.25">
      <c r="A2379" s="16">
        <v>45778</v>
      </c>
      <c r="B2379" t="s">
        <v>35</v>
      </c>
      <c r="C2379">
        <v>21</v>
      </c>
      <c r="D2379" t="s">
        <v>291</v>
      </c>
      <c r="E2379" t="s">
        <v>292</v>
      </c>
      <c r="F2379" t="s">
        <v>244</v>
      </c>
      <c r="G2379" t="s">
        <v>82</v>
      </c>
      <c r="H2379" t="s">
        <v>84</v>
      </c>
      <c r="I2379" t="s">
        <v>319</v>
      </c>
      <c r="J2379" t="s">
        <v>197</v>
      </c>
      <c r="K2379" t="s">
        <v>250</v>
      </c>
      <c r="L2379">
        <v>99.92</v>
      </c>
      <c r="M2379" t="s">
        <v>251</v>
      </c>
      <c r="N2379" t="s">
        <v>332</v>
      </c>
    </row>
    <row r="2380" spans="1:16" hidden="1" x14ac:dyDescent="0.25">
      <c r="A2380" s="16">
        <v>45778</v>
      </c>
      <c r="B2380" t="s">
        <v>35</v>
      </c>
      <c r="C2380">
        <v>21</v>
      </c>
      <c r="D2380" t="s">
        <v>291</v>
      </c>
      <c r="E2380" t="s">
        <v>292</v>
      </c>
      <c r="F2380" t="s">
        <v>244</v>
      </c>
      <c r="G2380" t="s">
        <v>82</v>
      </c>
      <c r="H2380" t="s">
        <v>84</v>
      </c>
      <c r="I2380" t="s">
        <v>321</v>
      </c>
      <c r="J2380" t="s">
        <v>197</v>
      </c>
      <c r="K2380" t="s">
        <v>250</v>
      </c>
      <c r="L2380">
        <v>0.08</v>
      </c>
      <c r="M2380" t="s">
        <v>251</v>
      </c>
      <c r="N2380" t="s">
        <v>333</v>
      </c>
    </row>
    <row r="2381" spans="1:16" hidden="1" x14ac:dyDescent="0.25">
      <c r="A2381" s="16">
        <v>45778</v>
      </c>
      <c r="B2381" t="s">
        <v>35</v>
      </c>
      <c r="C2381">
        <v>22</v>
      </c>
      <c r="D2381" t="s">
        <v>253</v>
      </c>
      <c r="E2381" t="s">
        <v>248</v>
      </c>
      <c r="F2381" t="s">
        <v>334</v>
      </c>
      <c r="G2381" t="s">
        <v>82</v>
      </c>
      <c r="J2381" t="s">
        <v>195</v>
      </c>
      <c r="K2381" t="s">
        <v>255</v>
      </c>
      <c r="L2381">
        <v>129</v>
      </c>
      <c r="M2381" t="s">
        <v>245</v>
      </c>
      <c r="N2381" t="s">
        <v>1148</v>
      </c>
      <c r="O2381">
        <v>1</v>
      </c>
      <c r="P2381" t="s">
        <v>257</v>
      </c>
    </row>
    <row r="2382" spans="1:16" hidden="1" x14ac:dyDescent="0.25">
      <c r="A2382" s="16">
        <v>45778</v>
      </c>
      <c r="B2382" t="s">
        <v>35</v>
      </c>
      <c r="C2382">
        <v>22</v>
      </c>
      <c r="D2382" t="s">
        <v>253</v>
      </c>
      <c r="E2382" t="s">
        <v>248</v>
      </c>
      <c r="F2382" t="s">
        <v>334</v>
      </c>
      <c r="G2382" t="s">
        <v>82</v>
      </c>
      <c r="J2382" t="s">
        <v>196</v>
      </c>
      <c r="K2382" t="s">
        <v>255</v>
      </c>
      <c r="L2382">
        <v>129</v>
      </c>
      <c r="M2382" t="s">
        <v>245</v>
      </c>
      <c r="N2382" t="s">
        <v>1148</v>
      </c>
      <c r="O2382">
        <v>1</v>
      </c>
      <c r="P2382" t="s">
        <v>257</v>
      </c>
    </row>
    <row r="2383" spans="1:16" hidden="1" x14ac:dyDescent="0.25">
      <c r="A2383" s="16">
        <v>45778</v>
      </c>
      <c r="B2383" t="s">
        <v>35</v>
      </c>
      <c r="C2383">
        <v>22</v>
      </c>
      <c r="D2383" t="s">
        <v>253</v>
      </c>
      <c r="E2383" t="s">
        <v>248</v>
      </c>
      <c r="F2383" t="s">
        <v>334</v>
      </c>
      <c r="G2383" t="s">
        <v>82</v>
      </c>
      <c r="J2383" t="s">
        <v>197</v>
      </c>
      <c r="K2383" t="s">
        <v>255</v>
      </c>
      <c r="L2383">
        <v>119</v>
      </c>
      <c r="M2383" t="s">
        <v>245</v>
      </c>
      <c r="N2383" t="s">
        <v>1866</v>
      </c>
      <c r="O2383">
        <v>1</v>
      </c>
      <c r="P2383" t="s">
        <v>261</v>
      </c>
    </row>
    <row r="2384" spans="1:16" hidden="1" x14ac:dyDescent="0.25">
      <c r="A2384" s="16">
        <v>45778</v>
      </c>
      <c r="B2384" t="s">
        <v>35</v>
      </c>
      <c r="C2384">
        <v>23</v>
      </c>
      <c r="D2384" t="s">
        <v>291</v>
      </c>
      <c r="E2384" t="s">
        <v>292</v>
      </c>
      <c r="F2384" t="s">
        <v>240</v>
      </c>
      <c r="G2384" t="s">
        <v>82</v>
      </c>
      <c r="H2384" t="s">
        <v>94</v>
      </c>
      <c r="J2384" t="s">
        <v>197</v>
      </c>
      <c r="K2384" t="s">
        <v>250</v>
      </c>
      <c r="L2384">
        <v>6110000</v>
      </c>
      <c r="M2384" t="s">
        <v>242</v>
      </c>
      <c r="N2384" t="s">
        <v>1867</v>
      </c>
    </row>
    <row r="2385" spans="1:16" hidden="1" x14ac:dyDescent="0.25">
      <c r="A2385" s="16">
        <v>45778</v>
      </c>
      <c r="B2385" t="s">
        <v>35</v>
      </c>
      <c r="C2385">
        <v>23</v>
      </c>
      <c r="D2385" t="s">
        <v>291</v>
      </c>
      <c r="E2385" t="s">
        <v>292</v>
      </c>
      <c r="F2385" t="s">
        <v>240</v>
      </c>
      <c r="G2385" t="s">
        <v>82</v>
      </c>
      <c r="H2385" t="s">
        <v>95</v>
      </c>
      <c r="J2385" t="s">
        <v>197</v>
      </c>
      <c r="K2385" t="s">
        <v>250</v>
      </c>
      <c r="L2385">
        <v>2180000</v>
      </c>
      <c r="M2385" t="s">
        <v>242</v>
      </c>
      <c r="N2385" t="s">
        <v>1752</v>
      </c>
    </row>
    <row r="2386" spans="1:16" hidden="1" x14ac:dyDescent="0.25">
      <c r="A2386" s="16">
        <v>45778</v>
      </c>
      <c r="B2386" t="s">
        <v>35</v>
      </c>
      <c r="C2386">
        <v>24</v>
      </c>
      <c r="D2386" t="s">
        <v>291</v>
      </c>
      <c r="E2386" t="s">
        <v>292</v>
      </c>
      <c r="F2386" t="s">
        <v>244</v>
      </c>
      <c r="G2386" t="s">
        <v>82</v>
      </c>
      <c r="H2386" t="s">
        <v>94</v>
      </c>
      <c r="J2386" t="s">
        <v>197</v>
      </c>
      <c r="K2386" t="s">
        <v>250</v>
      </c>
      <c r="L2386">
        <v>870600000</v>
      </c>
      <c r="M2386" t="s">
        <v>245</v>
      </c>
      <c r="N2386" t="s">
        <v>1868</v>
      </c>
    </row>
    <row r="2387" spans="1:16" hidden="1" x14ac:dyDescent="0.25">
      <c r="A2387" s="16">
        <v>45778</v>
      </c>
      <c r="B2387" t="s">
        <v>35</v>
      </c>
      <c r="C2387">
        <v>24</v>
      </c>
      <c r="D2387" t="s">
        <v>291</v>
      </c>
      <c r="E2387" t="s">
        <v>292</v>
      </c>
      <c r="F2387" t="s">
        <v>244</v>
      </c>
      <c r="G2387" t="s">
        <v>82</v>
      </c>
      <c r="H2387" t="s">
        <v>95</v>
      </c>
      <c r="J2387" t="s">
        <v>197</v>
      </c>
      <c r="K2387" t="s">
        <v>250</v>
      </c>
      <c r="L2387">
        <v>232800000</v>
      </c>
      <c r="M2387" t="s">
        <v>245</v>
      </c>
      <c r="N2387" t="s">
        <v>1869</v>
      </c>
    </row>
    <row r="2388" spans="1:16" hidden="1" x14ac:dyDescent="0.25">
      <c r="A2388" s="16">
        <v>45778</v>
      </c>
      <c r="B2388" t="s">
        <v>156</v>
      </c>
      <c r="C2388">
        <v>78</v>
      </c>
      <c r="D2388" t="s">
        <v>238</v>
      </c>
      <c r="E2388" t="s">
        <v>239</v>
      </c>
      <c r="F2388" t="s">
        <v>240</v>
      </c>
      <c r="G2388" t="s">
        <v>158</v>
      </c>
      <c r="J2388" t="s">
        <v>197</v>
      </c>
      <c r="K2388" t="s">
        <v>241</v>
      </c>
      <c r="L2388">
        <v>2460000</v>
      </c>
      <c r="M2388" t="s">
        <v>242</v>
      </c>
      <c r="N2388" t="s">
        <v>1820</v>
      </c>
    </row>
    <row r="2389" spans="1:16" hidden="1" x14ac:dyDescent="0.25">
      <c r="A2389" s="16">
        <v>45778</v>
      </c>
      <c r="B2389" t="s">
        <v>156</v>
      </c>
      <c r="C2389">
        <v>78</v>
      </c>
      <c r="D2389" t="s">
        <v>238</v>
      </c>
      <c r="E2389" t="s">
        <v>239</v>
      </c>
      <c r="F2389" t="s">
        <v>244</v>
      </c>
      <c r="G2389" t="s">
        <v>158</v>
      </c>
      <c r="J2389" t="s">
        <v>197</v>
      </c>
      <c r="K2389" t="s">
        <v>241</v>
      </c>
      <c r="L2389">
        <v>16240000000</v>
      </c>
      <c r="M2389" t="s">
        <v>245</v>
      </c>
      <c r="N2389" t="s">
        <v>1870</v>
      </c>
    </row>
    <row r="2390" spans="1:16" hidden="1" x14ac:dyDescent="0.25">
      <c r="A2390" s="16">
        <v>45778</v>
      </c>
      <c r="B2390" t="s">
        <v>156</v>
      </c>
      <c r="C2390">
        <v>80</v>
      </c>
      <c r="D2390" t="s">
        <v>253</v>
      </c>
      <c r="E2390" t="s">
        <v>248</v>
      </c>
      <c r="F2390" t="s">
        <v>344</v>
      </c>
      <c r="G2390" t="s">
        <v>158</v>
      </c>
      <c r="J2390" t="s">
        <v>195</v>
      </c>
      <c r="K2390" t="s">
        <v>255</v>
      </c>
      <c r="L2390">
        <v>491000</v>
      </c>
      <c r="M2390" t="s">
        <v>242</v>
      </c>
      <c r="N2390" t="s">
        <v>1522</v>
      </c>
      <c r="O2390">
        <v>1</v>
      </c>
      <c r="P2390" t="s">
        <v>257</v>
      </c>
    </row>
    <row r="2391" spans="1:16" hidden="1" x14ac:dyDescent="0.25">
      <c r="A2391" s="16">
        <v>45778</v>
      </c>
      <c r="B2391" t="s">
        <v>156</v>
      </c>
      <c r="C2391">
        <v>80</v>
      </c>
      <c r="D2391" t="s">
        <v>253</v>
      </c>
      <c r="E2391" t="s">
        <v>248</v>
      </c>
      <c r="F2391" t="s">
        <v>344</v>
      </c>
      <c r="G2391" t="s">
        <v>158</v>
      </c>
      <c r="J2391" t="s">
        <v>196</v>
      </c>
      <c r="K2391" t="s">
        <v>255</v>
      </c>
      <c r="L2391">
        <v>588000</v>
      </c>
      <c r="M2391" t="s">
        <v>242</v>
      </c>
      <c r="N2391" t="s">
        <v>1696</v>
      </c>
      <c r="O2391">
        <v>1</v>
      </c>
      <c r="P2391" t="s">
        <v>257</v>
      </c>
    </row>
    <row r="2392" spans="1:16" hidden="1" x14ac:dyDescent="0.25">
      <c r="A2392" s="16">
        <v>45778</v>
      </c>
      <c r="B2392" t="s">
        <v>156</v>
      </c>
      <c r="C2392">
        <v>80</v>
      </c>
      <c r="D2392" t="s">
        <v>253</v>
      </c>
      <c r="E2392" t="s">
        <v>248</v>
      </c>
      <c r="F2392" t="s">
        <v>344</v>
      </c>
      <c r="G2392" t="s">
        <v>158</v>
      </c>
      <c r="J2392" t="s">
        <v>197</v>
      </c>
      <c r="K2392" t="s">
        <v>255</v>
      </c>
      <c r="L2392">
        <v>443000</v>
      </c>
      <c r="M2392" t="s">
        <v>242</v>
      </c>
      <c r="N2392" t="s">
        <v>1871</v>
      </c>
      <c r="O2392">
        <v>1</v>
      </c>
      <c r="P2392" t="s">
        <v>261</v>
      </c>
    </row>
    <row r="2393" spans="1:16" hidden="1" x14ac:dyDescent="0.25">
      <c r="A2393" s="16">
        <v>45778</v>
      </c>
      <c r="B2393" t="s">
        <v>156</v>
      </c>
      <c r="C2393">
        <v>80</v>
      </c>
      <c r="D2393" t="s">
        <v>247</v>
      </c>
      <c r="E2393" t="s">
        <v>248</v>
      </c>
      <c r="F2393" t="s">
        <v>344</v>
      </c>
      <c r="G2393" t="s">
        <v>158</v>
      </c>
      <c r="H2393" t="s">
        <v>249</v>
      </c>
      <c r="J2393" t="s">
        <v>197</v>
      </c>
      <c r="K2393" t="s">
        <v>250</v>
      </c>
      <c r="L2393">
        <v>24.6</v>
      </c>
      <c r="M2393" t="s">
        <v>251</v>
      </c>
      <c r="N2393" t="s">
        <v>1002</v>
      </c>
    </row>
    <row r="2394" spans="1:16" hidden="1" x14ac:dyDescent="0.25">
      <c r="A2394" s="16">
        <v>45778</v>
      </c>
      <c r="B2394" t="s">
        <v>156</v>
      </c>
      <c r="C2394">
        <v>81</v>
      </c>
      <c r="D2394" t="s">
        <v>253</v>
      </c>
      <c r="E2394" t="s">
        <v>248</v>
      </c>
      <c r="F2394" t="s">
        <v>349</v>
      </c>
      <c r="G2394" t="s">
        <v>158</v>
      </c>
      <c r="J2394" t="s">
        <v>195</v>
      </c>
      <c r="K2394" t="s">
        <v>255</v>
      </c>
      <c r="L2394">
        <v>16400</v>
      </c>
      <c r="M2394" t="s">
        <v>242</v>
      </c>
      <c r="N2394" t="s">
        <v>1524</v>
      </c>
      <c r="O2394">
        <v>1</v>
      </c>
      <c r="P2394" t="s">
        <v>257</v>
      </c>
    </row>
    <row r="2395" spans="1:16" hidden="1" x14ac:dyDescent="0.25">
      <c r="A2395" s="16">
        <v>45778</v>
      </c>
      <c r="B2395" t="s">
        <v>156</v>
      </c>
      <c r="C2395">
        <v>81</v>
      </c>
      <c r="D2395" t="s">
        <v>253</v>
      </c>
      <c r="E2395" t="s">
        <v>248</v>
      </c>
      <c r="F2395" t="s">
        <v>349</v>
      </c>
      <c r="G2395" t="s">
        <v>158</v>
      </c>
      <c r="J2395" t="s">
        <v>196</v>
      </c>
      <c r="K2395" t="s">
        <v>255</v>
      </c>
      <c r="L2395">
        <v>21700</v>
      </c>
      <c r="M2395" t="s">
        <v>242</v>
      </c>
      <c r="N2395" t="s">
        <v>1698</v>
      </c>
      <c r="O2395">
        <v>1</v>
      </c>
      <c r="P2395" t="s">
        <v>257</v>
      </c>
    </row>
    <row r="2396" spans="1:16" hidden="1" x14ac:dyDescent="0.25">
      <c r="A2396" s="16">
        <v>45778</v>
      </c>
      <c r="B2396" t="s">
        <v>156</v>
      </c>
      <c r="C2396">
        <v>81</v>
      </c>
      <c r="D2396" t="s">
        <v>253</v>
      </c>
      <c r="E2396" t="s">
        <v>248</v>
      </c>
      <c r="F2396" t="s">
        <v>349</v>
      </c>
      <c r="G2396" t="s">
        <v>158</v>
      </c>
      <c r="J2396" t="s">
        <v>197</v>
      </c>
      <c r="K2396" t="s">
        <v>255</v>
      </c>
      <c r="L2396">
        <v>13900</v>
      </c>
      <c r="M2396" t="s">
        <v>242</v>
      </c>
      <c r="N2396" t="s">
        <v>1872</v>
      </c>
      <c r="O2396">
        <v>1</v>
      </c>
      <c r="P2396" t="s">
        <v>261</v>
      </c>
    </row>
    <row r="2397" spans="1:16" hidden="1" x14ac:dyDescent="0.25">
      <c r="A2397" s="16">
        <v>45778</v>
      </c>
      <c r="B2397" t="s">
        <v>156</v>
      </c>
      <c r="C2397">
        <v>82</v>
      </c>
      <c r="D2397" t="s">
        <v>253</v>
      </c>
      <c r="E2397" t="s">
        <v>248</v>
      </c>
      <c r="F2397" t="s">
        <v>615</v>
      </c>
      <c r="G2397" t="s">
        <v>158</v>
      </c>
      <c r="J2397" t="s">
        <v>195</v>
      </c>
      <c r="K2397" t="s">
        <v>255</v>
      </c>
      <c r="L2397">
        <v>3.3</v>
      </c>
      <c r="M2397" t="s">
        <v>251</v>
      </c>
      <c r="N2397" t="s">
        <v>1527</v>
      </c>
      <c r="O2397">
        <v>1</v>
      </c>
      <c r="P2397" t="s">
        <v>257</v>
      </c>
    </row>
    <row r="2398" spans="1:16" hidden="1" x14ac:dyDescent="0.25">
      <c r="A2398" s="16">
        <v>45778</v>
      </c>
      <c r="B2398" t="s">
        <v>156</v>
      </c>
      <c r="C2398">
        <v>82</v>
      </c>
      <c r="D2398" t="s">
        <v>253</v>
      </c>
      <c r="E2398" t="s">
        <v>248</v>
      </c>
      <c r="F2398" t="s">
        <v>615</v>
      </c>
      <c r="G2398" t="s">
        <v>158</v>
      </c>
      <c r="J2398" t="s">
        <v>196</v>
      </c>
      <c r="K2398" t="s">
        <v>255</v>
      </c>
      <c r="L2398">
        <v>3.7</v>
      </c>
      <c r="M2398" t="s">
        <v>251</v>
      </c>
      <c r="N2398" t="s">
        <v>592</v>
      </c>
      <c r="O2398">
        <v>1</v>
      </c>
      <c r="P2398" t="s">
        <v>257</v>
      </c>
    </row>
    <row r="2399" spans="1:16" hidden="1" x14ac:dyDescent="0.25">
      <c r="A2399" s="16">
        <v>45778</v>
      </c>
      <c r="B2399" t="s">
        <v>156</v>
      </c>
      <c r="C2399">
        <v>82</v>
      </c>
      <c r="D2399" t="s">
        <v>253</v>
      </c>
      <c r="E2399" t="s">
        <v>248</v>
      </c>
      <c r="F2399" t="s">
        <v>615</v>
      </c>
      <c r="G2399" t="s">
        <v>158</v>
      </c>
      <c r="J2399" t="s">
        <v>197</v>
      </c>
      <c r="K2399" t="s">
        <v>255</v>
      </c>
      <c r="L2399">
        <v>3.1</v>
      </c>
      <c r="M2399" t="s">
        <v>251</v>
      </c>
      <c r="N2399" t="s">
        <v>1525</v>
      </c>
      <c r="O2399">
        <v>1</v>
      </c>
      <c r="P2399" t="s">
        <v>261</v>
      </c>
    </row>
    <row r="2400" spans="1:16" hidden="1" x14ac:dyDescent="0.25">
      <c r="A2400" s="16">
        <v>45778</v>
      </c>
      <c r="B2400" t="s">
        <v>156</v>
      </c>
      <c r="C2400">
        <v>83</v>
      </c>
      <c r="D2400" t="s">
        <v>291</v>
      </c>
      <c r="E2400" t="s">
        <v>292</v>
      </c>
      <c r="F2400" t="s">
        <v>349</v>
      </c>
      <c r="G2400" t="s">
        <v>158</v>
      </c>
      <c r="H2400" t="s">
        <v>159</v>
      </c>
      <c r="J2400" t="s">
        <v>197</v>
      </c>
      <c r="K2400" t="s">
        <v>250</v>
      </c>
      <c r="L2400">
        <v>9271</v>
      </c>
      <c r="M2400" t="s">
        <v>242</v>
      </c>
      <c r="N2400" t="s">
        <v>1873</v>
      </c>
    </row>
    <row r="2401" spans="1:16" hidden="1" x14ac:dyDescent="0.25">
      <c r="A2401" s="16">
        <v>45778</v>
      </c>
      <c r="B2401" t="s">
        <v>156</v>
      </c>
      <c r="C2401">
        <v>83</v>
      </c>
      <c r="D2401" t="s">
        <v>291</v>
      </c>
      <c r="E2401" t="s">
        <v>292</v>
      </c>
      <c r="F2401" t="s">
        <v>349</v>
      </c>
      <c r="G2401" t="s">
        <v>158</v>
      </c>
      <c r="H2401" t="s">
        <v>160</v>
      </c>
      <c r="J2401" t="s">
        <v>197</v>
      </c>
      <c r="K2401" t="s">
        <v>250</v>
      </c>
      <c r="L2401">
        <v>4635</v>
      </c>
      <c r="M2401" t="s">
        <v>242</v>
      </c>
      <c r="N2401" t="s">
        <v>1874</v>
      </c>
    </row>
    <row r="2402" spans="1:16" hidden="1" x14ac:dyDescent="0.25">
      <c r="A2402" s="16">
        <v>45778</v>
      </c>
      <c r="B2402" t="s">
        <v>156</v>
      </c>
      <c r="C2402">
        <v>84</v>
      </c>
      <c r="D2402" t="s">
        <v>253</v>
      </c>
      <c r="E2402" t="s">
        <v>248</v>
      </c>
      <c r="F2402" t="s">
        <v>356</v>
      </c>
      <c r="G2402" t="s">
        <v>158</v>
      </c>
      <c r="J2402" t="s">
        <v>195</v>
      </c>
      <c r="K2402" t="s">
        <v>255</v>
      </c>
      <c r="L2402">
        <v>3100000000</v>
      </c>
      <c r="M2402" t="s">
        <v>245</v>
      </c>
      <c r="N2402" t="s">
        <v>1530</v>
      </c>
      <c r="O2402">
        <v>1</v>
      </c>
      <c r="P2402" t="s">
        <v>257</v>
      </c>
    </row>
    <row r="2403" spans="1:16" hidden="1" x14ac:dyDescent="0.25">
      <c r="A2403" s="16">
        <v>45778</v>
      </c>
      <c r="B2403" t="s">
        <v>156</v>
      </c>
      <c r="C2403">
        <v>84</v>
      </c>
      <c r="D2403" t="s">
        <v>253</v>
      </c>
      <c r="E2403" t="s">
        <v>248</v>
      </c>
      <c r="F2403" t="s">
        <v>356</v>
      </c>
      <c r="G2403" t="s">
        <v>158</v>
      </c>
      <c r="J2403" t="s">
        <v>196</v>
      </c>
      <c r="K2403" t="s">
        <v>255</v>
      </c>
      <c r="L2403">
        <v>3480000000</v>
      </c>
      <c r="M2403" t="s">
        <v>245</v>
      </c>
      <c r="N2403" t="s">
        <v>1701</v>
      </c>
      <c r="O2403">
        <v>1</v>
      </c>
      <c r="P2403" t="s">
        <v>257</v>
      </c>
    </row>
    <row r="2404" spans="1:16" hidden="1" x14ac:dyDescent="0.25">
      <c r="A2404" s="16">
        <v>45778</v>
      </c>
      <c r="B2404" t="s">
        <v>156</v>
      </c>
      <c r="C2404">
        <v>84</v>
      </c>
      <c r="D2404" t="s">
        <v>253</v>
      </c>
      <c r="E2404" t="s">
        <v>248</v>
      </c>
      <c r="F2404" t="s">
        <v>356</v>
      </c>
      <c r="G2404" t="s">
        <v>158</v>
      </c>
      <c r="J2404" t="s">
        <v>197</v>
      </c>
      <c r="K2404" t="s">
        <v>255</v>
      </c>
      <c r="L2404">
        <v>3090000000</v>
      </c>
      <c r="M2404" t="s">
        <v>245</v>
      </c>
      <c r="N2404" t="s">
        <v>1875</v>
      </c>
      <c r="O2404">
        <v>1</v>
      </c>
      <c r="P2404" t="s">
        <v>261</v>
      </c>
    </row>
    <row r="2405" spans="1:16" hidden="1" x14ac:dyDescent="0.25">
      <c r="A2405" s="16">
        <v>45778</v>
      </c>
      <c r="B2405" t="s">
        <v>156</v>
      </c>
      <c r="C2405">
        <v>84</v>
      </c>
      <c r="D2405" t="s">
        <v>247</v>
      </c>
      <c r="E2405" t="s">
        <v>248</v>
      </c>
      <c r="F2405" t="s">
        <v>356</v>
      </c>
      <c r="G2405" t="s">
        <v>158</v>
      </c>
      <c r="H2405" t="s">
        <v>249</v>
      </c>
      <c r="J2405" t="s">
        <v>197</v>
      </c>
      <c r="K2405" t="s">
        <v>250</v>
      </c>
      <c r="L2405">
        <v>10.9</v>
      </c>
      <c r="M2405" t="s">
        <v>251</v>
      </c>
      <c r="N2405" t="s">
        <v>1876</v>
      </c>
    </row>
    <row r="2406" spans="1:16" hidden="1" x14ac:dyDescent="0.25">
      <c r="A2406" s="16">
        <v>45778</v>
      </c>
      <c r="B2406" t="s">
        <v>156</v>
      </c>
      <c r="C2406">
        <v>85</v>
      </c>
      <c r="D2406" t="s">
        <v>253</v>
      </c>
      <c r="E2406" t="s">
        <v>248</v>
      </c>
      <c r="F2406" t="s">
        <v>361</v>
      </c>
      <c r="G2406" t="s">
        <v>158</v>
      </c>
      <c r="J2406" t="s">
        <v>195</v>
      </c>
      <c r="K2406" t="s">
        <v>255</v>
      </c>
      <c r="L2406">
        <v>84000000</v>
      </c>
      <c r="M2406" t="s">
        <v>245</v>
      </c>
      <c r="N2406" t="s">
        <v>1532</v>
      </c>
      <c r="O2406">
        <v>1</v>
      </c>
      <c r="P2406" t="s">
        <v>257</v>
      </c>
    </row>
    <row r="2407" spans="1:16" hidden="1" x14ac:dyDescent="0.25">
      <c r="A2407" s="16">
        <v>45778</v>
      </c>
      <c r="B2407" t="s">
        <v>156</v>
      </c>
      <c r="C2407">
        <v>85</v>
      </c>
      <c r="D2407" t="s">
        <v>253</v>
      </c>
      <c r="E2407" t="s">
        <v>248</v>
      </c>
      <c r="F2407" t="s">
        <v>361</v>
      </c>
      <c r="G2407" t="s">
        <v>158</v>
      </c>
      <c r="J2407" t="s">
        <v>196</v>
      </c>
      <c r="K2407" t="s">
        <v>255</v>
      </c>
      <c r="L2407">
        <v>119000000</v>
      </c>
      <c r="M2407" t="s">
        <v>245</v>
      </c>
      <c r="N2407" t="s">
        <v>1703</v>
      </c>
      <c r="O2407">
        <v>1</v>
      </c>
      <c r="P2407" t="s">
        <v>257</v>
      </c>
    </row>
    <row r="2408" spans="1:16" hidden="1" x14ac:dyDescent="0.25">
      <c r="A2408" s="16">
        <v>45778</v>
      </c>
      <c r="B2408" t="s">
        <v>156</v>
      </c>
      <c r="C2408">
        <v>85</v>
      </c>
      <c r="D2408" t="s">
        <v>253</v>
      </c>
      <c r="E2408" t="s">
        <v>248</v>
      </c>
      <c r="F2408" t="s">
        <v>361</v>
      </c>
      <c r="G2408" t="s">
        <v>158</v>
      </c>
      <c r="J2408" t="s">
        <v>197</v>
      </c>
      <c r="K2408" t="s">
        <v>255</v>
      </c>
      <c r="L2408">
        <v>93000000</v>
      </c>
      <c r="M2408" t="s">
        <v>245</v>
      </c>
      <c r="N2408" t="s">
        <v>1877</v>
      </c>
      <c r="O2408">
        <v>1</v>
      </c>
      <c r="P2408" t="s">
        <v>261</v>
      </c>
    </row>
    <row r="2409" spans="1:16" hidden="1" x14ac:dyDescent="0.25">
      <c r="A2409" s="16">
        <v>45778</v>
      </c>
      <c r="B2409" t="s">
        <v>156</v>
      </c>
      <c r="C2409">
        <v>86</v>
      </c>
      <c r="D2409" t="s">
        <v>253</v>
      </c>
      <c r="E2409" t="s">
        <v>248</v>
      </c>
      <c r="F2409" t="s">
        <v>622</v>
      </c>
      <c r="G2409" t="s">
        <v>158</v>
      </c>
      <c r="J2409" t="s">
        <v>195</v>
      </c>
      <c r="K2409" t="s">
        <v>255</v>
      </c>
      <c r="L2409">
        <v>2.7</v>
      </c>
      <c r="M2409" t="s">
        <v>251</v>
      </c>
      <c r="N2409" t="s">
        <v>805</v>
      </c>
      <c r="O2409">
        <v>1</v>
      </c>
      <c r="P2409" t="s">
        <v>257</v>
      </c>
    </row>
    <row r="2410" spans="1:16" hidden="1" x14ac:dyDescent="0.25">
      <c r="A2410" s="16">
        <v>45778</v>
      </c>
      <c r="B2410" t="s">
        <v>156</v>
      </c>
      <c r="C2410">
        <v>86</v>
      </c>
      <c r="D2410" t="s">
        <v>253</v>
      </c>
      <c r="E2410" t="s">
        <v>248</v>
      </c>
      <c r="F2410" t="s">
        <v>622</v>
      </c>
      <c r="G2410" t="s">
        <v>158</v>
      </c>
      <c r="J2410" t="s">
        <v>196</v>
      </c>
      <c r="K2410" t="s">
        <v>255</v>
      </c>
      <c r="L2410">
        <v>3.42</v>
      </c>
      <c r="M2410" t="s">
        <v>251</v>
      </c>
      <c r="N2410" t="s">
        <v>625</v>
      </c>
      <c r="O2410">
        <v>1</v>
      </c>
      <c r="P2410" t="s">
        <v>257</v>
      </c>
    </row>
    <row r="2411" spans="1:16" hidden="1" x14ac:dyDescent="0.25">
      <c r="A2411" s="16">
        <v>45778</v>
      </c>
      <c r="B2411" t="s">
        <v>156</v>
      </c>
      <c r="C2411">
        <v>86</v>
      </c>
      <c r="D2411" t="s">
        <v>253</v>
      </c>
      <c r="E2411" t="s">
        <v>248</v>
      </c>
      <c r="F2411" t="s">
        <v>622</v>
      </c>
      <c r="G2411" t="s">
        <v>158</v>
      </c>
      <c r="J2411" t="s">
        <v>197</v>
      </c>
      <c r="K2411" t="s">
        <v>255</v>
      </c>
      <c r="L2411">
        <v>3</v>
      </c>
      <c r="M2411" t="s">
        <v>251</v>
      </c>
      <c r="N2411" t="s">
        <v>1878</v>
      </c>
      <c r="O2411">
        <v>1</v>
      </c>
      <c r="P2411" t="s">
        <v>261</v>
      </c>
    </row>
    <row r="2412" spans="1:16" hidden="1" x14ac:dyDescent="0.25">
      <c r="A2412" s="16">
        <v>45778</v>
      </c>
      <c r="B2412" t="s">
        <v>156</v>
      </c>
      <c r="C2412">
        <v>87</v>
      </c>
      <c r="D2412" t="s">
        <v>291</v>
      </c>
      <c r="E2412" t="s">
        <v>292</v>
      </c>
      <c r="F2412" t="s">
        <v>361</v>
      </c>
      <c r="G2412" t="s">
        <v>158</v>
      </c>
      <c r="H2412" t="s">
        <v>159</v>
      </c>
      <c r="J2412" t="s">
        <v>197</v>
      </c>
      <c r="K2412" t="s">
        <v>250</v>
      </c>
      <c r="L2412">
        <v>61800000</v>
      </c>
      <c r="M2412" t="s">
        <v>245</v>
      </c>
      <c r="N2412" t="s">
        <v>1879</v>
      </c>
    </row>
    <row r="2413" spans="1:16" hidden="1" x14ac:dyDescent="0.25">
      <c r="A2413" s="16">
        <v>45778</v>
      </c>
      <c r="B2413" t="s">
        <v>156</v>
      </c>
      <c r="C2413">
        <v>87</v>
      </c>
      <c r="D2413" t="s">
        <v>291</v>
      </c>
      <c r="E2413" t="s">
        <v>292</v>
      </c>
      <c r="F2413" t="s">
        <v>361</v>
      </c>
      <c r="G2413" t="s">
        <v>158</v>
      </c>
      <c r="H2413" t="s">
        <v>160</v>
      </c>
      <c r="J2413" t="s">
        <v>197</v>
      </c>
      <c r="K2413" t="s">
        <v>250</v>
      </c>
      <c r="L2413">
        <v>31100000</v>
      </c>
      <c r="M2413" t="s">
        <v>245</v>
      </c>
      <c r="N2413" t="s">
        <v>1880</v>
      </c>
    </row>
    <row r="2414" spans="1:16" hidden="1" x14ac:dyDescent="0.25">
      <c r="A2414" s="16">
        <v>45778</v>
      </c>
      <c r="B2414" t="s">
        <v>120</v>
      </c>
      <c r="C2414">
        <v>60</v>
      </c>
      <c r="D2414" t="s">
        <v>238</v>
      </c>
      <c r="E2414" t="s">
        <v>239</v>
      </c>
      <c r="F2414" t="s">
        <v>240</v>
      </c>
      <c r="G2414" t="s">
        <v>82</v>
      </c>
      <c r="J2414" t="s">
        <v>197</v>
      </c>
      <c r="K2414" t="s">
        <v>241</v>
      </c>
      <c r="L2414">
        <v>29380000</v>
      </c>
      <c r="M2414" t="s">
        <v>242</v>
      </c>
      <c r="N2414" t="s">
        <v>1881</v>
      </c>
    </row>
    <row r="2415" spans="1:16" hidden="1" x14ac:dyDescent="0.25">
      <c r="A2415" s="16">
        <v>45778</v>
      </c>
      <c r="B2415" t="s">
        <v>120</v>
      </c>
      <c r="C2415">
        <v>60</v>
      </c>
      <c r="D2415" t="s">
        <v>238</v>
      </c>
      <c r="E2415" t="s">
        <v>239</v>
      </c>
      <c r="F2415" t="s">
        <v>244</v>
      </c>
      <c r="G2415" t="s">
        <v>82</v>
      </c>
      <c r="J2415" t="s">
        <v>197</v>
      </c>
      <c r="K2415" t="s">
        <v>241</v>
      </c>
      <c r="L2415">
        <v>6370000000</v>
      </c>
      <c r="M2415" t="s">
        <v>245</v>
      </c>
      <c r="N2415" t="s">
        <v>1882</v>
      </c>
    </row>
    <row r="2416" spans="1:16" hidden="1" x14ac:dyDescent="0.25">
      <c r="A2416" s="16">
        <v>45778</v>
      </c>
      <c r="B2416" t="s">
        <v>120</v>
      </c>
      <c r="C2416">
        <v>62</v>
      </c>
      <c r="D2416" t="s">
        <v>253</v>
      </c>
      <c r="E2416" t="s">
        <v>248</v>
      </c>
      <c r="F2416" t="s">
        <v>285</v>
      </c>
      <c r="G2416" t="s">
        <v>63</v>
      </c>
      <c r="J2416" t="s">
        <v>195</v>
      </c>
      <c r="K2416" t="s">
        <v>255</v>
      </c>
      <c r="L2416">
        <v>4650000</v>
      </c>
      <c r="M2416" t="s">
        <v>242</v>
      </c>
      <c r="N2416" t="s">
        <v>1537</v>
      </c>
      <c r="O2416">
        <v>1</v>
      </c>
      <c r="P2416" t="s">
        <v>257</v>
      </c>
    </row>
    <row r="2417" spans="1:16" hidden="1" x14ac:dyDescent="0.25">
      <c r="A2417" s="16">
        <v>45778</v>
      </c>
      <c r="B2417" t="s">
        <v>120</v>
      </c>
      <c r="C2417">
        <v>62</v>
      </c>
      <c r="D2417" t="s">
        <v>253</v>
      </c>
      <c r="E2417" t="s">
        <v>248</v>
      </c>
      <c r="F2417" t="s">
        <v>285</v>
      </c>
      <c r="G2417" t="s">
        <v>63</v>
      </c>
      <c r="J2417" t="s">
        <v>196</v>
      </c>
      <c r="K2417" t="s">
        <v>255</v>
      </c>
      <c r="L2417">
        <v>4680000</v>
      </c>
      <c r="M2417" t="s">
        <v>242</v>
      </c>
      <c r="N2417" t="s">
        <v>1708</v>
      </c>
      <c r="O2417">
        <v>1</v>
      </c>
      <c r="P2417" t="s">
        <v>257</v>
      </c>
    </row>
    <row r="2418" spans="1:16" hidden="1" x14ac:dyDescent="0.25">
      <c r="A2418" s="16">
        <v>45778</v>
      </c>
      <c r="B2418" t="s">
        <v>120</v>
      </c>
      <c r="C2418">
        <v>62</v>
      </c>
      <c r="D2418" t="s">
        <v>253</v>
      </c>
      <c r="E2418" t="s">
        <v>248</v>
      </c>
      <c r="F2418" t="s">
        <v>285</v>
      </c>
      <c r="G2418" t="s">
        <v>63</v>
      </c>
      <c r="J2418" t="s">
        <v>197</v>
      </c>
      <c r="K2418" t="s">
        <v>255</v>
      </c>
      <c r="L2418">
        <v>4730000</v>
      </c>
      <c r="M2418" t="s">
        <v>242</v>
      </c>
      <c r="N2418" t="s">
        <v>1883</v>
      </c>
      <c r="O2418">
        <v>1</v>
      </c>
      <c r="P2418" t="s">
        <v>261</v>
      </c>
    </row>
    <row r="2419" spans="1:16" hidden="1" x14ac:dyDescent="0.25">
      <c r="A2419" s="16">
        <v>45778</v>
      </c>
      <c r="B2419" t="s">
        <v>120</v>
      </c>
      <c r="C2419">
        <v>62</v>
      </c>
      <c r="D2419" t="s">
        <v>247</v>
      </c>
      <c r="E2419" t="s">
        <v>248</v>
      </c>
      <c r="F2419" t="s">
        <v>285</v>
      </c>
      <c r="G2419" t="s">
        <v>63</v>
      </c>
      <c r="H2419" t="s">
        <v>286</v>
      </c>
      <c r="J2419" t="s">
        <v>197</v>
      </c>
      <c r="K2419" t="s">
        <v>250</v>
      </c>
      <c r="L2419">
        <v>0.9</v>
      </c>
      <c r="M2419" t="s">
        <v>251</v>
      </c>
      <c r="N2419" t="s">
        <v>845</v>
      </c>
    </row>
    <row r="2420" spans="1:16" hidden="1" x14ac:dyDescent="0.25">
      <c r="A2420" s="16">
        <v>45778</v>
      </c>
      <c r="B2420" t="s">
        <v>120</v>
      </c>
      <c r="C2420">
        <v>63</v>
      </c>
      <c r="D2420" t="s">
        <v>291</v>
      </c>
      <c r="E2420" t="s">
        <v>292</v>
      </c>
      <c r="F2420" t="s">
        <v>285</v>
      </c>
      <c r="G2420" t="s">
        <v>63</v>
      </c>
      <c r="H2420" t="s">
        <v>122</v>
      </c>
      <c r="J2420" t="s">
        <v>197</v>
      </c>
      <c r="K2420" t="s">
        <v>250</v>
      </c>
      <c r="L2420">
        <v>4680000</v>
      </c>
      <c r="M2420" t="s">
        <v>242</v>
      </c>
      <c r="N2420" t="s">
        <v>398</v>
      </c>
    </row>
    <row r="2421" spans="1:16" hidden="1" x14ac:dyDescent="0.25">
      <c r="A2421" s="16">
        <v>45778</v>
      </c>
      <c r="B2421" t="s">
        <v>120</v>
      </c>
      <c r="C2421">
        <v>63</v>
      </c>
      <c r="D2421" t="s">
        <v>291</v>
      </c>
      <c r="E2421" t="s">
        <v>292</v>
      </c>
      <c r="F2421" t="s">
        <v>285</v>
      </c>
      <c r="G2421" t="s">
        <v>63</v>
      </c>
      <c r="H2421" t="s">
        <v>123</v>
      </c>
      <c r="J2421" t="s">
        <v>197</v>
      </c>
      <c r="K2421" t="s">
        <v>250</v>
      </c>
      <c r="L2421">
        <v>40200</v>
      </c>
      <c r="M2421" t="s">
        <v>242</v>
      </c>
      <c r="N2421" t="s">
        <v>1884</v>
      </c>
    </row>
    <row r="2422" spans="1:16" hidden="1" x14ac:dyDescent="0.25">
      <c r="A2422" s="16">
        <v>45778</v>
      </c>
      <c r="B2422" t="s">
        <v>120</v>
      </c>
      <c r="C2422">
        <v>63</v>
      </c>
      <c r="D2422" t="s">
        <v>238</v>
      </c>
      <c r="E2422" t="s">
        <v>239</v>
      </c>
      <c r="F2422" t="s">
        <v>285</v>
      </c>
      <c r="G2422" t="s">
        <v>63</v>
      </c>
      <c r="H2422" t="s">
        <v>376</v>
      </c>
      <c r="J2422" t="s">
        <v>197</v>
      </c>
      <c r="K2422" t="s">
        <v>250</v>
      </c>
      <c r="L2422">
        <v>4730000</v>
      </c>
      <c r="M2422" t="s">
        <v>242</v>
      </c>
      <c r="N2422" t="s">
        <v>1885</v>
      </c>
    </row>
    <row r="2423" spans="1:16" hidden="1" x14ac:dyDescent="0.25">
      <c r="A2423" s="16">
        <v>45778</v>
      </c>
      <c r="B2423" t="s">
        <v>120</v>
      </c>
      <c r="C2423">
        <v>64</v>
      </c>
      <c r="D2423" t="s">
        <v>238</v>
      </c>
      <c r="E2423" t="s">
        <v>239</v>
      </c>
      <c r="F2423" t="s">
        <v>378</v>
      </c>
      <c r="G2423" t="s">
        <v>379</v>
      </c>
      <c r="J2423" t="s">
        <v>197</v>
      </c>
      <c r="K2423" t="s">
        <v>250</v>
      </c>
      <c r="L2423">
        <v>620</v>
      </c>
      <c r="M2423" t="s">
        <v>242</v>
      </c>
      <c r="N2423" t="s">
        <v>1886</v>
      </c>
    </row>
    <row r="2424" spans="1:16" hidden="1" x14ac:dyDescent="0.25">
      <c r="A2424" s="16">
        <v>45778</v>
      </c>
      <c r="B2424" t="s">
        <v>120</v>
      </c>
      <c r="C2424">
        <v>64</v>
      </c>
      <c r="D2424" t="s">
        <v>238</v>
      </c>
      <c r="E2424" t="s">
        <v>239</v>
      </c>
      <c r="F2424" t="s">
        <v>381</v>
      </c>
      <c r="G2424" t="s">
        <v>382</v>
      </c>
      <c r="J2424" t="s">
        <v>197</v>
      </c>
      <c r="K2424" t="s">
        <v>250</v>
      </c>
      <c r="L2424">
        <v>2138</v>
      </c>
      <c r="M2424" t="s">
        <v>242</v>
      </c>
      <c r="N2424" t="s">
        <v>1887</v>
      </c>
    </row>
    <row r="2425" spans="1:16" hidden="1" x14ac:dyDescent="0.25">
      <c r="A2425" s="16">
        <v>45778</v>
      </c>
      <c r="B2425" t="s">
        <v>120</v>
      </c>
      <c r="C2425">
        <v>65</v>
      </c>
      <c r="D2425" t="s">
        <v>253</v>
      </c>
      <c r="E2425" t="s">
        <v>248</v>
      </c>
      <c r="F2425" t="s">
        <v>240</v>
      </c>
      <c r="G2425" t="s">
        <v>82</v>
      </c>
      <c r="J2425" t="s">
        <v>195</v>
      </c>
      <c r="K2425" t="s">
        <v>255</v>
      </c>
      <c r="L2425">
        <v>5500000</v>
      </c>
      <c r="M2425" t="s">
        <v>242</v>
      </c>
      <c r="N2425" t="s">
        <v>1541</v>
      </c>
      <c r="O2425">
        <v>1</v>
      </c>
      <c r="P2425" t="s">
        <v>257</v>
      </c>
    </row>
    <row r="2426" spans="1:16" hidden="1" x14ac:dyDescent="0.25">
      <c r="A2426" s="16">
        <v>45778</v>
      </c>
      <c r="B2426" t="s">
        <v>120</v>
      </c>
      <c r="C2426">
        <v>65</v>
      </c>
      <c r="D2426" t="s">
        <v>253</v>
      </c>
      <c r="E2426" t="s">
        <v>248</v>
      </c>
      <c r="F2426" t="s">
        <v>240</v>
      </c>
      <c r="G2426" t="s">
        <v>82</v>
      </c>
      <c r="J2426" t="s">
        <v>196</v>
      </c>
      <c r="K2426" t="s">
        <v>255</v>
      </c>
      <c r="L2426">
        <v>6540000</v>
      </c>
      <c r="M2426" t="s">
        <v>242</v>
      </c>
      <c r="N2426" t="s">
        <v>1712</v>
      </c>
      <c r="O2426">
        <v>1</v>
      </c>
      <c r="P2426" t="s">
        <v>257</v>
      </c>
    </row>
    <row r="2427" spans="1:16" hidden="1" x14ac:dyDescent="0.25">
      <c r="A2427" s="16">
        <v>45778</v>
      </c>
      <c r="B2427" t="s">
        <v>120</v>
      </c>
      <c r="C2427">
        <v>65</v>
      </c>
      <c r="D2427" t="s">
        <v>253</v>
      </c>
      <c r="E2427" t="s">
        <v>248</v>
      </c>
      <c r="F2427" t="s">
        <v>240</v>
      </c>
      <c r="G2427" t="s">
        <v>82</v>
      </c>
      <c r="J2427" t="s">
        <v>197</v>
      </c>
      <c r="K2427" t="s">
        <v>255</v>
      </c>
      <c r="L2427">
        <v>5760000</v>
      </c>
      <c r="M2427" t="s">
        <v>242</v>
      </c>
      <c r="N2427" t="s">
        <v>1888</v>
      </c>
      <c r="O2427">
        <v>1</v>
      </c>
      <c r="P2427" t="s">
        <v>261</v>
      </c>
    </row>
    <row r="2428" spans="1:16" hidden="1" x14ac:dyDescent="0.25">
      <c r="A2428" s="16">
        <v>45778</v>
      </c>
      <c r="B2428" t="s">
        <v>120</v>
      </c>
      <c r="C2428">
        <v>65</v>
      </c>
      <c r="D2428" t="s">
        <v>247</v>
      </c>
      <c r="E2428" t="s">
        <v>248</v>
      </c>
      <c r="F2428" t="s">
        <v>240</v>
      </c>
      <c r="G2428" t="s">
        <v>82</v>
      </c>
      <c r="H2428" t="s">
        <v>249</v>
      </c>
      <c r="J2428" t="s">
        <v>197</v>
      </c>
      <c r="K2428" t="s">
        <v>250</v>
      </c>
      <c r="L2428">
        <v>11.8</v>
      </c>
      <c r="M2428" t="s">
        <v>251</v>
      </c>
      <c r="N2428" t="s">
        <v>362</v>
      </c>
    </row>
    <row r="2429" spans="1:16" hidden="1" x14ac:dyDescent="0.25">
      <c r="A2429" s="16">
        <v>45778</v>
      </c>
      <c r="B2429" t="s">
        <v>120</v>
      </c>
      <c r="C2429">
        <v>66</v>
      </c>
      <c r="D2429" t="s">
        <v>291</v>
      </c>
      <c r="E2429" t="s">
        <v>292</v>
      </c>
      <c r="F2429" t="s">
        <v>240</v>
      </c>
      <c r="G2429" t="s">
        <v>82</v>
      </c>
      <c r="H2429" t="s">
        <v>125</v>
      </c>
      <c r="J2429" t="s">
        <v>197</v>
      </c>
      <c r="K2429" t="s">
        <v>250</v>
      </c>
      <c r="L2429">
        <v>33000</v>
      </c>
      <c r="M2429" t="s">
        <v>242</v>
      </c>
      <c r="N2429" t="s">
        <v>643</v>
      </c>
    </row>
    <row r="2430" spans="1:16" hidden="1" x14ac:dyDescent="0.25">
      <c r="A2430" s="16">
        <v>45778</v>
      </c>
      <c r="B2430" t="s">
        <v>120</v>
      </c>
      <c r="C2430">
        <v>66</v>
      </c>
      <c r="D2430" t="s">
        <v>291</v>
      </c>
      <c r="E2430" t="s">
        <v>292</v>
      </c>
      <c r="F2430" t="s">
        <v>240</v>
      </c>
      <c r="G2430" t="s">
        <v>82</v>
      </c>
      <c r="H2430" t="s">
        <v>126</v>
      </c>
      <c r="J2430" t="s">
        <v>197</v>
      </c>
      <c r="K2430" t="s">
        <v>250</v>
      </c>
      <c r="L2430">
        <v>98000</v>
      </c>
      <c r="M2430" t="s">
        <v>242</v>
      </c>
      <c r="N2430" t="s">
        <v>1889</v>
      </c>
    </row>
    <row r="2431" spans="1:16" hidden="1" x14ac:dyDescent="0.25">
      <c r="A2431" s="16">
        <v>45778</v>
      </c>
      <c r="B2431" t="s">
        <v>120</v>
      </c>
      <c r="C2431">
        <v>66</v>
      </c>
      <c r="D2431" t="s">
        <v>291</v>
      </c>
      <c r="E2431" t="s">
        <v>292</v>
      </c>
      <c r="F2431" t="s">
        <v>240</v>
      </c>
      <c r="G2431" t="s">
        <v>82</v>
      </c>
      <c r="H2431" t="s">
        <v>127</v>
      </c>
      <c r="J2431" t="s">
        <v>197</v>
      </c>
      <c r="K2431" t="s">
        <v>250</v>
      </c>
      <c r="L2431">
        <v>302000</v>
      </c>
      <c r="M2431" t="s">
        <v>242</v>
      </c>
      <c r="N2431" t="s">
        <v>389</v>
      </c>
    </row>
    <row r="2432" spans="1:16" hidden="1" x14ac:dyDescent="0.25">
      <c r="A2432" s="16">
        <v>45778</v>
      </c>
      <c r="B2432" t="s">
        <v>120</v>
      </c>
      <c r="C2432">
        <v>66</v>
      </c>
      <c r="D2432" t="s">
        <v>291</v>
      </c>
      <c r="E2432" t="s">
        <v>292</v>
      </c>
      <c r="F2432" t="s">
        <v>240</v>
      </c>
      <c r="G2432" t="s">
        <v>82</v>
      </c>
      <c r="H2432" t="s">
        <v>128</v>
      </c>
      <c r="J2432" t="s">
        <v>197</v>
      </c>
      <c r="K2432" t="s">
        <v>250</v>
      </c>
      <c r="L2432">
        <v>26000</v>
      </c>
      <c r="M2432" t="s">
        <v>242</v>
      </c>
      <c r="N2432" t="s">
        <v>390</v>
      </c>
    </row>
    <row r="2433" spans="1:16" hidden="1" x14ac:dyDescent="0.25">
      <c r="A2433" s="16">
        <v>45778</v>
      </c>
      <c r="B2433" t="s">
        <v>120</v>
      </c>
      <c r="C2433">
        <v>66</v>
      </c>
      <c r="D2433" t="s">
        <v>291</v>
      </c>
      <c r="E2433" t="s">
        <v>292</v>
      </c>
      <c r="F2433" t="s">
        <v>240</v>
      </c>
      <c r="G2433" t="s">
        <v>82</v>
      </c>
      <c r="H2433" t="s">
        <v>129</v>
      </c>
      <c r="J2433" t="s">
        <v>197</v>
      </c>
      <c r="K2433" t="s">
        <v>250</v>
      </c>
      <c r="L2433">
        <v>1043000</v>
      </c>
      <c r="M2433" t="s">
        <v>242</v>
      </c>
      <c r="N2433" t="s">
        <v>1890</v>
      </c>
    </row>
    <row r="2434" spans="1:16" hidden="1" x14ac:dyDescent="0.25">
      <c r="A2434" s="16">
        <v>45778</v>
      </c>
      <c r="B2434" t="s">
        <v>120</v>
      </c>
      <c r="C2434">
        <v>66</v>
      </c>
      <c r="D2434" t="s">
        <v>291</v>
      </c>
      <c r="E2434" t="s">
        <v>292</v>
      </c>
      <c r="F2434" t="s">
        <v>240</v>
      </c>
      <c r="G2434" t="s">
        <v>82</v>
      </c>
      <c r="H2434" t="s">
        <v>130</v>
      </c>
      <c r="J2434" t="s">
        <v>197</v>
      </c>
      <c r="K2434" t="s">
        <v>250</v>
      </c>
      <c r="L2434">
        <v>1924000</v>
      </c>
      <c r="M2434" t="s">
        <v>242</v>
      </c>
      <c r="N2434" t="s">
        <v>1891</v>
      </c>
    </row>
    <row r="2435" spans="1:16" hidden="1" x14ac:dyDescent="0.25">
      <c r="A2435" s="16">
        <v>45778</v>
      </c>
      <c r="B2435" t="s">
        <v>120</v>
      </c>
      <c r="C2435">
        <v>66</v>
      </c>
      <c r="D2435" t="s">
        <v>291</v>
      </c>
      <c r="E2435" t="s">
        <v>292</v>
      </c>
      <c r="F2435" t="s">
        <v>240</v>
      </c>
      <c r="G2435" t="s">
        <v>82</v>
      </c>
      <c r="H2435" t="s">
        <v>131</v>
      </c>
      <c r="J2435" t="s">
        <v>197</v>
      </c>
      <c r="K2435" t="s">
        <v>250</v>
      </c>
      <c r="L2435">
        <v>37000</v>
      </c>
      <c r="M2435" t="s">
        <v>242</v>
      </c>
      <c r="N2435" t="s">
        <v>1608</v>
      </c>
    </row>
    <row r="2436" spans="1:16" hidden="1" x14ac:dyDescent="0.25">
      <c r="A2436" s="16">
        <v>45778</v>
      </c>
      <c r="B2436" t="s">
        <v>120</v>
      </c>
      <c r="C2436">
        <v>66</v>
      </c>
      <c r="D2436" t="s">
        <v>291</v>
      </c>
      <c r="E2436" t="s">
        <v>292</v>
      </c>
      <c r="F2436" t="s">
        <v>240</v>
      </c>
      <c r="G2436" t="s">
        <v>82</v>
      </c>
      <c r="H2436" t="s">
        <v>132</v>
      </c>
      <c r="J2436" t="s">
        <v>197</v>
      </c>
      <c r="K2436" t="s">
        <v>250</v>
      </c>
      <c r="L2436">
        <v>49000</v>
      </c>
      <c r="M2436" t="s">
        <v>242</v>
      </c>
      <c r="N2436" t="s">
        <v>1892</v>
      </c>
    </row>
    <row r="2437" spans="1:16" hidden="1" x14ac:dyDescent="0.25">
      <c r="A2437" s="16">
        <v>45778</v>
      </c>
      <c r="B2437" t="s">
        <v>120</v>
      </c>
      <c r="C2437">
        <v>66</v>
      </c>
      <c r="D2437" t="s">
        <v>291</v>
      </c>
      <c r="E2437" t="s">
        <v>292</v>
      </c>
      <c r="F2437" t="s">
        <v>240</v>
      </c>
      <c r="G2437" t="s">
        <v>82</v>
      </c>
      <c r="H2437" t="s">
        <v>133</v>
      </c>
      <c r="J2437" t="s">
        <v>197</v>
      </c>
      <c r="K2437" t="s">
        <v>250</v>
      </c>
      <c r="L2437">
        <v>527000</v>
      </c>
      <c r="M2437" t="s">
        <v>242</v>
      </c>
      <c r="N2437" t="s">
        <v>1893</v>
      </c>
    </row>
    <row r="2438" spans="1:16" hidden="1" x14ac:dyDescent="0.25">
      <c r="A2438" s="16">
        <v>45778</v>
      </c>
      <c r="B2438" t="s">
        <v>120</v>
      </c>
      <c r="C2438">
        <v>66</v>
      </c>
      <c r="D2438" t="s">
        <v>291</v>
      </c>
      <c r="E2438" t="s">
        <v>292</v>
      </c>
      <c r="F2438" t="s">
        <v>240</v>
      </c>
      <c r="G2438" t="s">
        <v>82</v>
      </c>
      <c r="H2438" t="s">
        <v>134</v>
      </c>
      <c r="J2438" t="s">
        <v>197</v>
      </c>
      <c r="K2438" t="s">
        <v>250</v>
      </c>
      <c r="L2438">
        <v>1636000</v>
      </c>
      <c r="M2438" t="s">
        <v>242</v>
      </c>
      <c r="N2438" t="s">
        <v>1894</v>
      </c>
    </row>
    <row r="2439" spans="1:16" hidden="1" x14ac:dyDescent="0.25">
      <c r="A2439" s="16">
        <v>45778</v>
      </c>
      <c r="B2439" t="s">
        <v>120</v>
      </c>
      <c r="C2439">
        <v>67</v>
      </c>
      <c r="D2439" t="s">
        <v>291</v>
      </c>
      <c r="E2439" t="s">
        <v>292</v>
      </c>
      <c r="F2439" t="s">
        <v>240</v>
      </c>
      <c r="G2439" t="s">
        <v>82</v>
      </c>
      <c r="H2439" t="s">
        <v>137</v>
      </c>
      <c r="J2439" t="s">
        <v>197</v>
      </c>
      <c r="K2439" t="s">
        <v>250</v>
      </c>
      <c r="L2439">
        <v>1030000</v>
      </c>
      <c r="M2439" t="s">
        <v>242</v>
      </c>
      <c r="N2439" t="s">
        <v>826</v>
      </c>
    </row>
    <row r="2440" spans="1:16" hidden="1" x14ac:dyDescent="0.25">
      <c r="A2440" s="16">
        <v>45778</v>
      </c>
      <c r="B2440" t="s">
        <v>120</v>
      </c>
      <c r="C2440">
        <v>67</v>
      </c>
      <c r="D2440" t="s">
        <v>291</v>
      </c>
      <c r="E2440" t="s">
        <v>292</v>
      </c>
      <c r="F2440" t="s">
        <v>240</v>
      </c>
      <c r="G2440" t="s">
        <v>82</v>
      </c>
      <c r="H2440" t="s">
        <v>138</v>
      </c>
      <c r="J2440" t="s">
        <v>197</v>
      </c>
      <c r="K2440" t="s">
        <v>250</v>
      </c>
      <c r="L2440">
        <v>4730000</v>
      </c>
      <c r="M2440" t="s">
        <v>242</v>
      </c>
      <c r="N2440" t="s">
        <v>1885</v>
      </c>
    </row>
    <row r="2441" spans="1:16" hidden="1" x14ac:dyDescent="0.25">
      <c r="A2441" s="16">
        <v>45778</v>
      </c>
      <c r="B2441" t="s">
        <v>120</v>
      </c>
      <c r="C2441">
        <v>68</v>
      </c>
      <c r="D2441" t="s">
        <v>253</v>
      </c>
      <c r="E2441" t="s">
        <v>248</v>
      </c>
      <c r="F2441" t="s">
        <v>244</v>
      </c>
      <c r="G2441" t="s">
        <v>82</v>
      </c>
      <c r="J2441" t="s">
        <v>195</v>
      </c>
      <c r="K2441" t="s">
        <v>255</v>
      </c>
      <c r="L2441">
        <v>1130000000</v>
      </c>
      <c r="M2441" t="s">
        <v>245</v>
      </c>
      <c r="N2441" t="s">
        <v>1551</v>
      </c>
      <c r="O2441">
        <v>1</v>
      </c>
      <c r="P2441" t="s">
        <v>257</v>
      </c>
    </row>
    <row r="2442" spans="1:16" hidden="1" x14ac:dyDescent="0.25">
      <c r="A2442" s="16">
        <v>45778</v>
      </c>
      <c r="B2442" t="s">
        <v>120</v>
      </c>
      <c r="C2442">
        <v>68</v>
      </c>
      <c r="D2442" t="s">
        <v>253</v>
      </c>
      <c r="E2442" t="s">
        <v>248</v>
      </c>
      <c r="F2442" t="s">
        <v>244</v>
      </c>
      <c r="G2442" t="s">
        <v>82</v>
      </c>
      <c r="J2442" t="s">
        <v>196</v>
      </c>
      <c r="K2442" t="s">
        <v>255</v>
      </c>
      <c r="L2442">
        <v>1570000000</v>
      </c>
      <c r="M2442" t="s">
        <v>245</v>
      </c>
      <c r="N2442" t="s">
        <v>1722</v>
      </c>
      <c r="O2442">
        <v>1</v>
      </c>
      <c r="P2442" t="s">
        <v>257</v>
      </c>
    </row>
    <row r="2443" spans="1:16" hidden="1" x14ac:dyDescent="0.25">
      <c r="A2443" s="16">
        <v>45778</v>
      </c>
      <c r="B2443" t="s">
        <v>120</v>
      </c>
      <c r="C2443">
        <v>68</v>
      </c>
      <c r="D2443" t="s">
        <v>253</v>
      </c>
      <c r="E2443" t="s">
        <v>248</v>
      </c>
      <c r="F2443" t="s">
        <v>244</v>
      </c>
      <c r="G2443" t="s">
        <v>82</v>
      </c>
      <c r="J2443" t="s">
        <v>197</v>
      </c>
      <c r="K2443" t="s">
        <v>255</v>
      </c>
      <c r="L2443">
        <v>1130000000</v>
      </c>
      <c r="M2443" t="s">
        <v>245</v>
      </c>
      <c r="N2443" t="s">
        <v>1551</v>
      </c>
      <c r="O2443">
        <v>1</v>
      </c>
      <c r="P2443" t="s">
        <v>261</v>
      </c>
    </row>
    <row r="2444" spans="1:16" hidden="1" x14ac:dyDescent="0.25">
      <c r="A2444" s="16">
        <v>45778</v>
      </c>
      <c r="B2444" t="s">
        <v>120</v>
      </c>
      <c r="C2444">
        <v>68</v>
      </c>
      <c r="D2444" t="s">
        <v>247</v>
      </c>
      <c r="E2444" t="s">
        <v>248</v>
      </c>
      <c r="F2444" t="s">
        <v>244</v>
      </c>
      <c r="G2444" t="s">
        <v>82</v>
      </c>
      <c r="H2444" t="s">
        <v>249</v>
      </c>
      <c r="J2444" t="s">
        <v>197</v>
      </c>
      <c r="K2444" t="s">
        <v>250</v>
      </c>
      <c r="L2444">
        <v>27.8</v>
      </c>
      <c r="M2444" t="s">
        <v>251</v>
      </c>
      <c r="N2444" t="s">
        <v>1895</v>
      </c>
    </row>
    <row r="2445" spans="1:16" hidden="1" x14ac:dyDescent="0.25">
      <c r="A2445" s="16">
        <v>45778</v>
      </c>
      <c r="B2445" t="s">
        <v>120</v>
      </c>
      <c r="C2445">
        <v>69</v>
      </c>
      <c r="D2445" t="s">
        <v>291</v>
      </c>
      <c r="E2445" t="s">
        <v>292</v>
      </c>
      <c r="F2445" t="s">
        <v>244</v>
      </c>
      <c r="G2445" t="s">
        <v>82</v>
      </c>
      <c r="H2445" t="s">
        <v>140</v>
      </c>
      <c r="J2445" t="s">
        <v>197</v>
      </c>
      <c r="K2445" t="s">
        <v>250</v>
      </c>
      <c r="L2445">
        <v>13000000</v>
      </c>
      <c r="M2445" t="s">
        <v>245</v>
      </c>
      <c r="N2445" t="s">
        <v>403</v>
      </c>
    </row>
    <row r="2446" spans="1:16" hidden="1" x14ac:dyDescent="0.25">
      <c r="A2446" s="16">
        <v>45778</v>
      </c>
      <c r="B2446" t="s">
        <v>120</v>
      </c>
      <c r="C2446">
        <v>69</v>
      </c>
      <c r="D2446" t="s">
        <v>291</v>
      </c>
      <c r="E2446" t="s">
        <v>292</v>
      </c>
      <c r="F2446" t="s">
        <v>244</v>
      </c>
      <c r="G2446" t="s">
        <v>82</v>
      </c>
      <c r="H2446" t="s">
        <v>126</v>
      </c>
      <c r="J2446" t="s">
        <v>197</v>
      </c>
      <c r="K2446" t="s">
        <v>250</v>
      </c>
      <c r="L2446">
        <v>19000000</v>
      </c>
      <c r="M2446" t="s">
        <v>245</v>
      </c>
      <c r="N2446" t="s">
        <v>1015</v>
      </c>
    </row>
    <row r="2447" spans="1:16" hidden="1" x14ac:dyDescent="0.25">
      <c r="A2447" s="16">
        <v>45778</v>
      </c>
      <c r="B2447" t="s">
        <v>120</v>
      </c>
      <c r="C2447">
        <v>69</v>
      </c>
      <c r="D2447" t="s">
        <v>291</v>
      </c>
      <c r="E2447" t="s">
        <v>292</v>
      </c>
      <c r="F2447" t="s">
        <v>244</v>
      </c>
      <c r="G2447" t="s">
        <v>82</v>
      </c>
      <c r="H2447" t="s">
        <v>127</v>
      </c>
      <c r="J2447" t="s">
        <v>197</v>
      </c>
      <c r="K2447" t="s">
        <v>250</v>
      </c>
      <c r="L2447">
        <v>45000000</v>
      </c>
      <c r="M2447" t="s">
        <v>245</v>
      </c>
      <c r="N2447" t="s">
        <v>652</v>
      </c>
    </row>
    <row r="2448" spans="1:16" hidden="1" x14ac:dyDescent="0.25">
      <c r="A2448" s="16">
        <v>45778</v>
      </c>
      <c r="B2448" t="s">
        <v>120</v>
      </c>
      <c r="C2448">
        <v>69</v>
      </c>
      <c r="D2448" t="s">
        <v>291</v>
      </c>
      <c r="E2448" t="s">
        <v>292</v>
      </c>
      <c r="F2448" t="s">
        <v>244</v>
      </c>
      <c r="G2448" t="s">
        <v>82</v>
      </c>
      <c r="H2448" t="s">
        <v>128</v>
      </c>
      <c r="J2448" t="s">
        <v>197</v>
      </c>
      <c r="K2448" t="s">
        <v>250</v>
      </c>
      <c r="L2448">
        <v>13000000</v>
      </c>
      <c r="M2448" t="s">
        <v>245</v>
      </c>
      <c r="N2448" t="s">
        <v>403</v>
      </c>
    </row>
    <row r="2449" spans="1:16" hidden="1" x14ac:dyDescent="0.25">
      <c r="A2449" s="16">
        <v>45778</v>
      </c>
      <c r="B2449" t="s">
        <v>120</v>
      </c>
      <c r="C2449">
        <v>69</v>
      </c>
      <c r="D2449" t="s">
        <v>291</v>
      </c>
      <c r="E2449" t="s">
        <v>292</v>
      </c>
      <c r="F2449" t="s">
        <v>244</v>
      </c>
      <c r="G2449" t="s">
        <v>82</v>
      </c>
      <c r="H2449" t="s">
        <v>129</v>
      </c>
      <c r="J2449" t="s">
        <v>197</v>
      </c>
      <c r="K2449" t="s">
        <v>250</v>
      </c>
      <c r="L2449">
        <v>676000000</v>
      </c>
      <c r="M2449" t="s">
        <v>245</v>
      </c>
      <c r="N2449" t="s">
        <v>1896</v>
      </c>
    </row>
    <row r="2450" spans="1:16" hidden="1" x14ac:dyDescent="0.25">
      <c r="A2450" s="16">
        <v>45778</v>
      </c>
      <c r="B2450" t="s">
        <v>120</v>
      </c>
      <c r="C2450">
        <v>69</v>
      </c>
      <c r="D2450" t="s">
        <v>291</v>
      </c>
      <c r="E2450" t="s">
        <v>292</v>
      </c>
      <c r="F2450" t="s">
        <v>244</v>
      </c>
      <c r="G2450" t="s">
        <v>82</v>
      </c>
      <c r="H2450" t="s">
        <v>130</v>
      </c>
      <c r="J2450" t="s">
        <v>197</v>
      </c>
      <c r="K2450" t="s">
        <v>250</v>
      </c>
      <c r="L2450">
        <v>31000000</v>
      </c>
      <c r="M2450" t="s">
        <v>245</v>
      </c>
      <c r="N2450" t="s">
        <v>408</v>
      </c>
    </row>
    <row r="2451" spans="1:16" hidden="1" x14ac:dyDescent="0.25">
      <c r="A2451" s="16">
        <v>45778</v>
      </c>
      <c r="B2451" t="s">
        <v>120</v>
      </c>
      <c r="C2451">
        <v>69</v>
      </c>
      <c r="D2451" t="s">
        <v>291</v>
      </c>
      <c r="E2451" t="s">
        <v>292</v>
      </c>
      <c r="F2451" t="s">
        <v>244</v>
      </c>
      <c r="G2451" t="s">
        <v>82</v>
      </c>
      <c r="H2451" t="s">
        <v>131</v>
      </c>
      <c r="J2451" t="s">
        <v>197</v>
      </c>
      <c r="K2451" t="s">
        <v>250</v>
      </c>
      <c r="L2451">
        <v>13000000</v>
      </c>
      <c r="M2451" t="s">
        <v>245</v>
      </c>
      <c r="N2451" t="s">
        <v>403</v>
      </c>
    </row>
    <row r="2452" spans="1:16" hidden="1" x14ac:dyDescent="0.25">
      <c r="A2452" s="16">
        <v>45778</v>
      </c>
      <c r="B2452" t="s">
        <v>120</v>
      </c>
      <c r="C2452">
        <v>69</v>
      </c>
      <c r="D2452" t="s">
        <v>291</v>
      </c>
      <c r="E2452" t="s">
        <v>292</v>
      </c>
      <c r="F2452" t="s">
        <v>244</v>
      </c>
      <c r="G2452" t="s">
        <v>82</v>
      </c>
      <c r="H2452" t="s">
        <v>132</v>
      </c>
      <c r="J2452" t="s">
        <v>197</v>
      </c>
      <c r="K2452" t="s">
        <v>250</v>
      </c>
      <c r="L2452">
        <v>5000000</v>
      </c>
      <c r="M2452" t="s">
        <v>245</v>
      </c>
      <c r="N2452" t="s">
        <v>654</v>
      </c>
    </row>
    <row r="2453" spans="1:16" hidden="1" x14ac:dyDescent="0.25">
      <c r="A2453" s="16">
        <v>45778</v>
      </c>
      <c r="B2453" t="s">
        <v>120</v>
      </c>
      <c r="C2453">
        <v>69</v>
      </c>
      <c r="D2453" t="s">
        <v>291</v>
      </c>
      <c r="E2453" t="s">
        <v>292</v>
      </c>
      <c r="F2453" t="s">
        <v>244</v>
      </c>
      <c r="G2453" t="s">
        <v>82</v>
      </c>
      <c r="H2453" t="s">
        <v>133</v>
      </c>
      <c r="J2453" t="s">
        <v>197</v>
      </c>
      <c r="K2453" t="s">
        <v>250</v>
      </c>
      <c r="L2453">
        <v>245000000</v>
      </c>
      <c r="M2453" t="s">
        <v>245</v>
      </c>
      <c r="N2453" t="s">
        <v>1897</v>
      </c>
    </row>
    <row r="2454" spans="1:16" hidden="1" x14ac:dyDescent="0.25">
      <c r="A2454" s="16">
        <v>45778</v>
      </c>
      <c r="B2454" t="s">
        <v>120</v>
      </c>
      <c r="C2454">
        <v>69</v>
      </c>
      <c r="D2454" t="s">
        <v>291</v>
      </c>
      <c r="E2454" t="s">
        <v>292</v>
      </c>
      <c r="F2454" t="s">
        <v>244</v>
      </c>
      <c r="G2454" t="s">
        <v>82</v>
      </c>
      <c r="H2454" t="s">
        <v>134</v>
      </c>
      <c r="J2454" t="s">
        <v>197</v>
      </c>
      <c r="K2454" t="s">
        <v>250</v>
      </c>
      <c r="L2454">
        <v>63000000</v>
      </c>
      <c r="M2454" t="s">
        <v>245</v>
      </c>
      <c r="N2454" t="s">
        <v>1898</v>
      </c>
    </row>
    <row r="2455" spans="1:16" hidden="1" x14ac:dyDescent="0.25">
      <c r="A2455" s="16">
        <v>45778</v>
      </c>
      <c r="B2455" t="s">
        <v>120</v>
      </c>
      <c r="C2455">
        <v>70</v>
      </c>
      <c r="D2455" t="s">
        <v>291</v>
      </c>
      <c r="E2455" t="s">
        <v>292</v>
      </c>
      <c r="F2455" t="s">
        <v>244</v>
      </c>
      <c r="G2455" t="s">
        <v>82</v>
      </c>
      <c r="H2455" t="s">
        <v>137</v>
      </c>
      <c r="J2455" t="s">
        <v>197</v>
      </c>
      <c r="K2455" t="s">
        <v>250</v>
      </c>
      <c r="L2455">
        <v>240100000</v>
      </c>
      <c r="M2455" t="s">
        <v>245</v>
      </c>
      <c r="N2455" t="s">
        <v>1899</v>
      </c>
    </row>
    <row r="2456" spans="1:16" hidden="1" x14ac:dyDescent="0.25">
      <c r="A2456" s="16">
        <v>45778</v>
      </c>
      <c r="B2456" t="s">
        <v>120</v>
      </c>
      <c r="C2456">
        <v>70</v>
      </c>
      <c r="D2456" t="s">
        <v>291</v>
      </c>
      <c r="E2456" t="s">
        <v>292</v>
      </c>
      <c r="F2456" t="s">
        <v>244</v>
      </c>
      <c r="G2456" t="s">
        <v>82</v>
      </c>
      <c r="H2456" t="s">
        <v>138</v>
      </c>
      <c r="J2456" t="s">
        <v>197</v>
      </c>
      <c r="K2456" t="s">
        <v>250</v>
      </c>
      <c r="L2456">
        <v>891200000</v>
      </c>
      <c r="M2456" t="s">
        <v>245</v>
      </c>
      <c r="N2456" t="s">
        <v>1900</v>
      </c>
    </row>
    <row r="2457" spans="1:16" hidden="1" x14ac:dyDescent="0.25">
      <c r="A2457" s="16">
        <v>45778</v>
      </c>
      <c r="B2457" t="s">
        <v>120</v>
      </c>
      <c r="C2457">
        <v>71</v>
      </c>
      <c r="D2457" t="s">
        <v>253</v>
      </c>
      <c r="E2457" t="s">
        <v>248</v>
      </c>
      <c r="F2457" t="s">
        <v>334</v>
      </c>
      <c r="G2457" t="s">
        <v>82</v>
      </c>
      <c r="J2457" t="s">
        <v>195</v>
      </c>
      <c r="K2457" t="s">
        <v>255</v>
      </c>
      <c r="L2457">
        <v>206</v>
      </c>
      <c r="M2457" t="s">
        <v>245</v>
      </c>
      <c r="N2457" t="s">
        <v>1558</v>
      </c>
      <c r="O2457">
        <v>1</v>
      </c>
      <c r="P2457" t="s">
        <v>257</v>
      </c>
    </row>
    <row r="2458" spans="1:16" hidden="1" x14ac:dyDescent="0.25">
      <c r="A2458" s="16">
        <v>45778</v>
      </c>
      <c r="B2458" t="s">
        <v>120</v>
      </c>
      <c r="C2458">
        <v>71</v>
      </c>
      <c r="D2458" t="s">
        <v>253</v>
      </c>
      <c r="E2458" t="s">
        <v>248</v>
      </c>
      <c r="F2458" t="s">
        <v>334</v>
      </c>
      <c r="G2458" t="s">
        <v>82</v>
      </c>
      <c r="J2458" t="s">
        <v>196</v>
      </c>
      <c r="K2458" t="s">
        <v>255</v>
      </c>
      <c r="L2458">
        <v>240</v>
      </c>
      <c r="M2458" t="s">
        <v>245</v>
      </c>
      <c r="N2458" t="s">
        <v>1730</v>
      </c>
      <c r="O2458">
        <v>1</v>
      </c>
      <c r="P2458" t="s">
        <v>257</v>
      </c>
    </row>
    <row r="2459" spans="1:16" hidden="1" x14ac:dyDescent="0.25">
      <c r="A2459" s="16">
        <v>45778</v>
      </c>
      <c r="B2459" t="s">
        <v>120</v>
      </c>
      <c r="C2459">
        <v>71</v>
      </c>
      <c r="D2459" t="s">
        <v>253</v>
      </c>
      <c r="E2459" t="s">
        <v>248</v>
      </c>
      <c r="F2459" t="s">
        <v>334</v>
      </c>
      <c r="G2459" t="s">
        <v>82</v>
      </c>
      <c r="J2459" t="s">
        <v>197</v>
      </c>
      <c r="K2459" t="s">
        <v>255</v>
      </c>
      <c r="L2459">
        <v>196</v>
      </c>
      <c r="M2459" t="s">
        <v>245</v>
      </c>
      <c r="N2459" t="s">
        <v>1901</v>
      </c>
      <c r="O2459">
        <v>1</v>
      </c>
      <c r="P2459" t="s">
        <v>261</v>
      </c>
    </row>
    <row r="2460" spans="1:16" hidden="1" x14ac:dyDescent="0.25">
      <c r="A2460" s="16">
        <v>45778</v>
      </c>
      <c r="B2460" t="s">
        <v>1192</v>
      </c>
      <c r="C2460">
        <v>55</v>
      </c>
      <c r="D2460" t="s">
        <v>238</v>
      </c>
      <c r="E2460" t="s">
        <v>239</v>
      </c>
      <c r="F2460" t="s">
        <v>240</v>
      </c>
      <c r="G2460" t="s">
        <v>82</v>
      </c>
      <c r="H2460" t="s">
        <v>184</v>
      </c>
      <c r="J2460" t="s">
        <v>197</v>
      </c>
      <c r="K2460" t="s">
        <v>241</v>
      </c>
      <c r="L2460">
        <v>57580000</v>
      </c>
      <c r="M2460" t="s">
        <v>242</v>
      </c>
      <c r="N2460" t="s">
        <v>1843</v>
      </c>
    </row>
    <row r="2461" spans="1:16" hidden="1" x14ac:dyDescent="0.25">
      <c r="A2461" s="16">
        <v>45778</v>
      </c>
      <c r="B2461" t="s">
        <v>1192</v>
      </c>
      <c r="C2461">
        <v>55</v>
      </c>
      <c r="D2461" t="s">
        <v>238</v>
      </c>
      <c r="E2461" t="s">
        <v>239</v>
      </c>
      <c r="F2461" t="s">
        <v>240</v>
      </c>
      <c r="G2461" t="s">
        <v>82</v>
      </c>
      <c r="H2461" t="s">
        <v>185</v>
      </c>
      <c r="J2461" t="s">
        <v>197</v>
      </c>
      <c r="K2461" t="s">
        <v>241</v>
      </c>
      <c r="L2461">
        <v>34790000</v>
      </c>
      <c r="M2461" t="s">
        <v>242</v>
      </c>
      <c r="N2461" t="s">
        <v>1902</v>
      </c>
    </row>
    <row r="2462" spans="1:16" hidden="1" x14ac:dyDescent="0.25">
      <c r="A2462" s="16">
        <v>45778</v>
      </c>
      <c r="B2462" t="s">
        <v>1192</v>
      </c>
      <c r="C2462">
        <v>55</v>
      </c>
      <c r="D2462" t="s">
        <v>238</v>
      </c>
      <c r="E2462" t="s">
        <v>239</v>
      </c>
      <c r="F2462" t="s">
        <v>1194</v>
      </c>
      <c r="G2462" t="s">
        <v>82</v>
      </c>
      <c r="J2462" t="s">
        <v>197</v>
      </c>
      <c r="K2462" t="s">
        <v>241</v>
      </c>
      <c r="L2462">
        <v>92370000</v>
      </c>
      <c r="M2462" t="s">
        <v>242</v>
      </c>
      <c r="N2462" t="s">
        <v>1903</v>
      </c>
    </row>
    <row r="2463" spans="1:16" hidden="1" x14ac:dyDescent="0.25">
      <c r="A2463" s="16">
        <v>45778</v>
      </c>
      <c r="B2463" t="s">
        <v>1192</v>
      </c>
      <c r="C2463">
        <v>55</v>
      </c>
      <c r="D2463" t="s">
        <v>238</v>
      </c>
      <c r="E2463" t="s">
        <v>239</v>
      </c>
      <c r="F2463" t="s">
        <v>1196</v>
      </c>
      <c r="G2463" t="s">
        <v>82</v>
      </c>
      <c r="J2463" t="s">
        <v>197</v>
      </c>
      <c r="K2463" t="s">
        <v>241</v>
      </c>
      <c r="L2463">
        <v>9740000000</v>
      </c>
      <c r="M2463" t="s">
        <v>245</v>
      </c>
      <c r="N2463" t="s">
        <v>1904</v>
      </c>
    </row>
    <row r="2464" spans="1:16" hidden="1" x14ac:dyDescent="0.25">
      <c r="A2464" s="16">
        <v>45778</v>
      </c>
      <c r="B2464" t="s">
        <v>1192</v>
      </c>
      <c r="C2464">
        <v>55</v>
      </c>
      <c r="D2464" t="s">
        <v>238</v>
      </c>
      <c r="E2464" t="s">
        <v>239</v>
      </c>
      <c r="F2464" t="s">
        <v>244</v>
      </c>
      <c r="G2464" t="s">
        <v>82</v>
      </c>
      <c r="H2464" t="s">
        <v>184</v>
      </c>
      <c r="J2464" t="s">
        <v>197</v>
      </c>
      <c r="K2464" t="s">
        <v>241</v>
      </c>
      <c r="L2464">
        <v>7290000000</v>
      </c>
      <c r="M2464" t="s">
        <v>245</v>
      </c>
      <c r="N2464" t="s">
        <v>1844</v>
      </c>
    </row>
    <row r="2465" spans="1:14" hidden="1" x14ac:dyDescent="0.25">
      <c r="A2465" s="16">
        <v>45778</v>
      </c>
      <c r="B2465" t="s">
        <v>1192</v>
      </c>
      <c r="C2465">
        <v>55</v>
      </c>
      <c r="D2465" t="s">
        <v>238</v>
      </c>
      <c r="E2465" t="s">
        <v>239</v>
      </c>
      <c r="F2465" t="s">
        <v>244</v>
      </c>
      <c r="G2465" t="s">
        <v>82</v>
      </c>
      <c r="H2465" t="s">
        <v>185</v>
      </c>
      <c r="J2465" t="s">
        <v>197</v>
      </c>
      <c r="K2465" t="s">
        <v>241</v>
      </c>
      <c r="L2465">
        <v>2450000000</v>
      </c>
      <c r="M2465" t="s">
        <v>245</v>
      </c>
      <c r="N2465" t="s">
        <v>1905</v>
      </c>
    </row>
    <row r="2466" spans="1:14" hidden="1" x14ac:dyDescent="0.25">
      <c r="A2466" s="16">
        <v>45778</v>
      </c>
      <c r="B2466" t="s">
        <v>1192</v>
      </c>
      <c r="C2466">
        <v>56</v>
      </c>
      <c r="D2466" t="s">
        <v>291</v>
      </c>
      <c r="E2466" t="s">
        <v>292</v>
      </c>
      <c r="F2466" t="s">
        <v>1199</v>
      </c>
      <c r="G2466" t="s">
        <v>63</v>
      </c>
      <c r="H2466" t="s">
        <v>1200</v>
      </c>
      <c r="J2466" t="s">
        <v>197</v>
      </c>
      <c r="K2466" t="s">
        <v>241</v>
      </c>
      <c r="L2466">
        <v>919000</v>
      </c>
      <c r="M2466" t="s">
        <v>242</v>
      </c>
      <c r="N2466" t="s">
        <v>1906</v>
      </c>
    </row>
    <row r="2467" spans="1:14" hidden="1" x14ac:dyDescent="0.25">
      <c r="A2467" s="16">
        <v>45778</v>
      </c>
      <c r="B2467" t="s">
        <v>1192</v>
      </c>
      <c r="C2467">
        <v>56</v>
      </c>
      <c r="D2467" t="s">
        <v>291</v>
      </c>
      <c r="E2467" t="s">
        <v>292</v>
      </c>
      <c r="F2467" t="s">
        <v>1199</v>
      </c>
      <c r="G2467" t="s">
        <v>63</v>
      </c>
      <c r="H2467" t="s">
        <v>1202</v>
      </c>
      <c r="J2467" t="s">
        <v>197</v>
      </c>
      <c r="K2467" t="s">
        <v>241</v>
      </c>
      <c r="L2467">
        <v>929000</v>
      </c>
      <c r="M2467" t="s">
        <v>242</v>
      </c>
      <c r="N2467" t="s">
        <v>1907</v>
      </c>
    </row>
    <row r="2468" spans="1:14" hidden="1" x14ac:dyDescent="0.25">
      <c r="A2468" s="16">
        <v>45778</v>
      </c>
      <c r="B2468" t="s">
        <v>1192</v>
      </c>
      <c r="C2468">
        <v>56</v>
      </c>
      <c r="D2468" t="s">
        <v>291</v>
      </c>
      <c r="E2468" t="s">
        <v>292</v>
      </c>
      <c r="F2468" t="s">
        <v>1199</v>
      </c>
      <c r="G2468" t="s">
        <v>63</v>
      </c>
      <c r="H2468" t="s">
        <v>1204</v>
      </c>
      <c r="J2468" t="s">
        <v>197</v>
      </c>
      <c r="K2468" t="s">
        <v>241</v>
      </c>
      <c r="L2468">
        <v>1745000</v>
      </c>
      <c r="M2468" t="s">
        <v>242</v>
      </c>
      <c r="N2468" t="s">
        <v>1908</v>
      </c>
    </row>
    <row r="2469" spans="1:14" hidden="1" x14ac:dyDescent="0.25">
      <c r="A2469" s="16">
        <v>45778</v>
      </c>
      <c r="B2469" t="s">
        <v>1192</v>
      </c>
      <c r="C2469">
        <v>56</v>
      </c>
      <c r="D2469" t="s">
        <v>238</v>
      </c>
      <c r="E2469" t="s">
        <v>239</v>
      </c>
      <c r="F2469" t="s">
        <v>1206</v>
      </c>
      <c r="G2469" t="s">
        <v>63</v>
      </c>
      <c r="H2469" t="s">
        <v>1207</v>
      </c>
      <c r="J2469" t="s">
        <v>197</v>
      </c>
      <c r="K2469" t="s">
        <v>241</v>
      </c>
      <c r="L2469">
        <v>3650000</v>
      </c>
      <c r="M2469" t="s">
        <v>242</v>
      </c>
      <c r="N2469" t="s">
        <v>1909</v>
      </c>
    </row>
    <row r="2470" spans="1:14" hidden="1" x14ac:dyDescent="0.25">
      <c r="A2470" s="16">
        <v>45778</v>
      </c>
      <c r="B2470" t="s">
        <v>1192</v>
      </c>
      <c r="C2470">
        <v>57</v>
      </c>
      <c r="D2470" t="s">
        <v>291</v>
      </c>
      <c r="E2470" t="s">
        <v>292</v>
      </c>
      <c r="F2470" t="s">
        <v>240</v>
      </c>
      <c r="G2470" t="s">
        <v>82</v>
      </c>
      <c r="H2470" t="s">
        <v>184</v>
      </c>
      <c r="J2470" t="s">
        <v>197</v>
      </c>
      <c r="K2470" t="s">
        <v>250</v>
      </c>
      <c r="L2470">
        <v>13730000</v>
      </c>
      <c r="M2470" t="s">
        <v>242</v>
      </c>
      <c r="N2470" t="s">
        <v>1855</v>
      </c>
    </row>
    <row r="2471" spans="1:14" hidden="1" x14ac:dyDescent="0.25">
      <c r="A2471" s="16">
        <v>45778</v>
      </c>
      <c r="B2471" t="s">
        <v>1192</v>
      </c>
      <c r="C2471">
        <v>57</v>
      </c>
      <c r="D2471" t="s">
        <v>291</v>
      </c>
      <c r="E2471" t="s">
        <v>292</v>
      </c>
      <c r="F2471" t="s">
        <v>240</v>
      </c>
      <c r="G2471" t="s">
        <v>82</v>
      </c>
      <c r="H2471" t="s">
        <v>185</v>
      </c>
      <c r="J2471" t="s">
        <v>197</v>
      </c>
      <c r="K2471" t="s">
        <v>250</v>
      </c>
      <c r="L2471">
        <v>8210000</v>
      </c>
      <c r="M2471" t="s">
        <v>242</v>
      </c>
      <c r="N2471" t="s">
        <v>1910</v>
      </c>
    </row>
    <row r="2472" spans="1:14" hidden="1" x14ac:dyDescent="0.25">
      <c r="A2472" s="16">
        <v>45778</v>
      </c>
      <c r="B2472" t="s">
        <v>1192</v>
      </c>
      <c r="C2472">
        <v>57</v>
      </c>
      <c r="D2472" t="s">
        <v>238</v>
      </c>
      <c r="E2472" t="s">
        <v>239</v>
      </c>
      <c r="F2472" t="s">
        <v>1194</v>
      </c>
      <c r="G2472" t="s">
        <v>82</v>
      </c>
      <c r="J2472" t="s">
        <v>197</v>
      </c>
      <c r="K2472" t="s">
        <v>250</v>
      </c>
      <c r="L2472">
        <v>21940000</v>
      </c>
      <c r="M2472" t="s">
        <v>242</v>
      </c>
      <c r="N2472" t="s">
        <v>1911</v>
      </c>
    </row>
    <row r="2473" spans="1:14" hidden="1" x14ac:dyDescent="0.25">
      <c r="A2473" s="16">
        <v>45778</v>
      </c>
      <c r="B2473" t="s">
        <v>1192</v>
      </c>
      <c r="C2473">
        <v>58</v>
      </c>
      <c r="D2473" t="s">
        <v>238</v>
      </c>
      <c r="E2473" t="s">
        <v>239</v>
      </c>
      <c r="F2473" t="s">
        <v>1196</v>
      </c>
      <c r="G2473" t="s">
        <v>82</v>
      </c>
      <c r="J2473" t="s">
        <v>197</v>
      </c>
      <c r="K2473" t="s">
        <v>250</v>
      </c>
      <c r="L2473">
        <v>2180000000</v>
      </c>
      <c r="M2473" t="s">
        <v>245</v>
      </c>
      <c r="N2473" t="s">
        <v>1912</v>
      </c>
    </row>
    <row r="2474" spans="1:14" hidden="1" x14ac:dyDescent="0.25">
      <c r="A2474" s="16">
        <v>45778</v>
      </c>
      <c r="B2474" t="s">
        <v>1192</v>
      </c>
      <c r="C2474">
        <v>58</v>
      </c>
      <c r="D2474" t="s">
        <v>291</v>
      </c>
      <c r="E2474" t="s">
        <v>292</v>
      </c>
      <c r="F2474" t="s">
        <v>244</v>
      </c>
      <c r="G2474" t="s">
        <v>82</v>
      </c>
      <c r="H2474" t="s">
        <v>184</v>
      </c>
      <c r="J2474" t="s">
        <v>197</v>
      </c>
      <c r="K2474" t="s">
        <v>250</v>
      </c>
      <c r="L2474">
        <v>1640000000</v>
      </c>
      <c r="M2474" t="s">
        <v>245</v>
      </c>
      <c r="N2474" t="s">
        <v>1913</v>
      </c>
    </row>
    <row r="2475" spans="1:14" hidden="1" x14ac:dyDescent="0.25">
      <c r="A2475" s="16">
        <v>45778</v>
      </c>
      <c r="B2475" t="s">
        <v>1192</v>
      </c>
      <c r="C2475">
        <v>58</v>
      </c>
      <c r="D2475" t="s">
        <v>291</v>
      </c>
      <c r="E2475" t="s">
        <v>292</v>
      </c>
      <c r="F2475" t="s">
        <v>244</v>
      </c>
      <c r="G2475" t="s">
        <v>82</v>
      </c>
      <c r="H2475" t="s">
        <v>185</v>
      </c>
      <c r="J2475" t="s">
        <v>197</v>
      </c>
      <c r="K2475" t="s">
        <v>250</v>
      </c>
      <c r="L2475">
        <v>540000000</v>
      </c>
      <c r="M2475" t="s">
        <v>245</v>
      </c>
      <c r="N2475" t="s">
        <v>1571</v>
      </c>
    </row>
    <row r="2476" spans="1:14" hidden="1" x14ac:dyDescent="0.25">
      <c r="A2476" s="16">
        <v>45778</v>
      </c>
      <c r="B2476" t="s">
        <v>1192</v>
      </c>
      <c r="C2476">
        <v>59</v>
      </c>
      <c r="D2476" t="s">
        <v>291</v>
      </c>
      <c r="E2476" t="s">
        <v>292</v>
      </c>
      <c r="F2476" t="s">
        <v>1210</v>
      </c>
      <c r="G2476" t="s">
        <v>82</v>
      </c>
      <c r="H2476" t="s">
        <v>184</v>
      </c>
      <c r="J2476" t="s">
        <v>197</v>
      </c>
      <c r="K2476" t="s">
        <v>250</v>
      </c>
      <c r="L2476">
        <v>119.16</v>
      </c>
      <c r="M2476" t="s">
        <v>245</v>
      </c>
      <c r="N2476" t="s">
        <v>1914</v>
      </c>
    </row>
    <row r="2477" spans="1:14" hidden="1" x14ac:dyDescent="0.25">
      <c r="A2477" s="16">
        <v>45778</v>
      </c>
      <c r="B2477" t="s">
        <v>1192</v>
      </c>
      <c r="C2477">
        <v>59</v>
      </c>
      <c r="D2477" t="s">
        <v>291</v>
      </c>
      <c r="E2477" t="s">
        <v>292</v>
      </c>
      <c r="F2477" t="s">
        <v>1210</v>
      </c>
      <c r="G2477" t="s">
        <v>82</v>
      </c>
      <c r="H2477" t="s">
        <v>185</v>
      </c>
      <c r="J2477" t="s">
        <v>197</v>
      </c>
      <c r="K2477" t="s">
        <v>250</v>
      </c>
      <c r="L2477">
        <v>66.150000000000006</v>
      </c>
      <c r="M2477" t="s">
        <v>245</v>
      </c>
      <c r="N2477" t="s">
        <v>1915</v>
      </c>
    </row>
    <row r="2478" spans="1:14" hidden="1" x14ac:dyDescent="0.25">
      <c r="A2478" s="16">
        <v>45778</v>
      </c>
      <c r="B2478" t="s">
        <v>1192</v>
      </c>
      <c r="C2478">
        <v>59</v>
      </c>
      <c r="D2478" t="s">
        <v>238</v>
      </c>
      <c r="E2478" t="s">
        <v>239</v>
      </c>
      <c r="F2478" t="s">
        <v>1213</v>
      </c>
      <c r="G2478" t="s">
        <v>82</v>
      </c>
      <c r="H2478" t="s">
        <v>1214</v>
      </c>
      <c r="J2478" t="s">
        <v>197</v>
      </c>
      <c r="K2478" t="s">
        <v>250</v>
      </c>
      <c r="L2478">
        <v>99.32</v>
      </c>
      <c r="M2478" t="s">
        <v>245</v>
      </c>
      <c r="N2478" t="s">
        <v>1916</v>
      </c>
    </row>
    <row r="2479" spans="1:14" hidden="1" x14ac:dyDescent="0.25">
      <c r="A2479" s="16">
        <v>45778</v>
      </c>
      <c r="B2479" t="s">
        <v>162</v>
      </c>
      <c r="C2479">
        <v>42</v>
      </c>
      <c r="D2479" t="s">
        <v>238</v>
      </c>
      <c r="E2479" t="s">
        <v>239</v>
      </c>
      <c r="F2479" t="s">
        <v>240</v>
      </c>
      <c r="G2479" t="s">
        <v>82</v>
      </c>
      <c r="J2479" t="s">
        <v>197</v>
      </c>
      <c r="K2479" t="s">
        <v>241</v>
      </c>
      <c r="L2479">
        <v>92370000</v>
      </c>
      <c r="M2479" t="s">
        <v>242</v>
      </c>
      <c r="N2479" t="s">
        <v>1903</v>
      </c>
    </row>
    <row r="2480" spans="1:14" hidden="1" x14ac:dyDescent="0.25">
      <c r="A2480" s="16">
        <v>45778</v>
      </c>
      <c r="B2480" t="s">
        <v>162</v>
      </c>
      <c r="C2480">
        <v>42</v>
      </c>
      <c r="D2480" t="s">
        <v>238</v>
      </c>
      <c r="E2480" t="s">
        <v>239</v>
      </c>
      <c r="F2480" t="s">
        <v>244</v>
      </c>
      <c r="G2480" t="s">
        <v>82</v>
      </c>
      <c r="J2480" t="s">
        <v>197</v>
      </c>
      <c r="K2480" t="s">
        <v>241</v>
      </c>
      <c r="L2480">
        <v>9740000000</v>
      </c>
      <c r="M2480" t="s">
        <v>245</v>
      </c>
      <c r="N2480" t="s">
        <v>1904</v>
      </c>
    </row>
    <row r="2481" spans="1:16" hidden="1" x14ac:dyDescent="0.25">
      <c r="A2481" s="16">
        <v>45778</v>
      </c>
      <c r="B2481" t="s">
        <v>162</v>
      </c>
      <c r="C2481">
        <v>43</v>
      </c>
      <c r="D2481" t="s">
        <v>253</v>
      </c>
      <c r="E2481" t="s">
        <v>248</v>
      </c>
      <c r="F2481" t="s">
        <v>240</v>
      </c>
      <c r="G2481" t="s">
        <v>82</v>
      </c>
      <c r="J2481" t="s">
        <v>195</v>
      </c>
      <c r="K2481" t="s">
        <v>255</v>
      </c>
      <c r="L2481">
        <v>19410000</v>
      </c>
      <c r="M2481" t="s">
        <v>242</v>
      </c>
      <c r="N2481" t="s">
        <v>1573</v>
      </c>
      <c r="O2481">
        <v>1</v>
      </c>
      <c r="P2481" t="s">
        <v>257</v>
      </c>
    </row>
    <row r="2482" spans="1:16" hidden="1" x14ac:dyDescent="0.25">
      <c r="A2482" s="16">
        <v>45778</v>
      </c>
      <c r="B2482" t="s">
        <v>162</v>
      </c>
      <c r="C2482">
        <v>43</v>
      </c>
      <c r="D2482" t="s">
        <v>253</v>
      </c>
      <c r="E2482" t="s">
        <v>248</v>
      </c>
      <c r="F2482" t="s">
        <v>240</v>
      </c>
      <c r="G2482" t="s">
        <v>82</v>
      </c>
      <c r="J2482" t="s">
        <v>196</v>
      </c>
      <c r="K2482" t="s">
        <v>255</v>
      </c>
      <c r="L2482">
        <v>18510000</v>
      </c>
      <c r="M2482" t="s">
        <v>242</v>
      </c>
      <c r="N2482" t="s">
        <v>1746</v>
      </c>
      <c r="O2482">
        <v>1</v>
      </c>
      <c r="P2482" t="s">
        <v>257</v>
      </c>
    </row>
    <row r="2483" spans="1:16" hidden="1" x14ac:dyDescent="0.25">
      <c r="A2483" s="16">
        <v>45778</v>
      </c>
      <c r="B2483" t="s">
        <v>162</v>
      </c>
      <c r="C2483">
        <v>43</v>
      </c>
      <c r="D2483" t="s">
        <v>253</v>
      </c>
      <c r="E2483" t="s">
        <v>248</v>
      </c>
      <c r="F2483" t="s">
        <v>240</v>
      </c>
      <c r="G2483" t="s">
        <v>82</v>
      </c>
      <c r="J2483" t="s">
        <v>197</v>
      </c>
      <c r="K2483" t="s">
        <v>255</v>
      </c>
      <c r="L2483">
        <v>21940000</v>
      </c>
      <c r="M2483" t="s">
        <v>242</v>
      </c>
      <c r="N2483" t="s">
        <v>1917</v>
      </c>
      <c r="O2483">
        <v>1</v>
      </c>
      <c r="P2483" t="s">
        <v>261</v>
      </c>
    </row>
    <row r="2484" spans="1:16" hidden="1" x14ac:dyDescent="0.25">
      <c r="A2484" s="16">
        <v>45778</v>
      </c>
      <c r="B2484" t="s">
        <v>162</v>
      </c>
      <c r="C2484">
        <v>43</v>
      </c>
      <c r="D2484" t="s">
        <v>247</v>
      </c>
      <c r="E2484" t="s">
        <v>248</v>
      </c>
      <c r="F2484" t="s">
        <v>240</v>
      </c>
      <c r="G2484" t="s">
        <v>82</v>
      </c>
      <c r="H2484" t="s">
        <v>286</v>
      </c>
      <c r="J2484" t="s">
        <v>197</v>
      </c>
      <c r="K2484" t="s">
        <v>250</v>
      </c>
      <c r="L2484">
        <v>18.5</v>
      </c>
      <c r="M2484" t="s">
        <v>251</v>
      </c>
      <c r="N2484" t="s">
        <v>1918</v>
      </c>
    </row>
    <row r="2485" spans="1:16" hidden="1" x14ac:dyDescent="0.25">
      <c r="A2485" s="16">
        <v>45778</v>
      </c>
      <c r="B2485" t="s">
        <v>162</v>
      </c>
      <c r="C2485">
        <v>44</v>
      </c>
      <c r="D2485" t="s">
        <v>291</v>
      </c>
      <c r="E2485" t="s">
        <v>292</v>
      </c>
      <c r="F2485" t="s">
        <v>240</v>
      </c>
      <c r="G2485" t="s">
        <v>82</v>
      </c>
      <c r="H2485" t="s">
        <v>170</v>
      </c>
      <c r="J2485" t="s">
        <v>197</v>
      </c>
      <c r="K2485" t="s">
        <v>250</v>
      </c>
      <c r="L2485">
        <v>10610</v>
      </c>
      <c r="M2485" t="s">
        <v>242</v>
      </c>
      <c r="N2485" t="s">
        <v>1919</v>
      </c>
    </row>
    <row r="2486" spans="1:16" hidden="1" x14ac:dyDescent="0.25">
      <c r="A2486" s="16">
        <v>45778</v>
      </c>
      <c r="B2486" t="s">
        <v>162</v>
      </c>
      <c r="C2486">
        <v>44</v>
      </c>
      <c r="D2486" t="s">
        <v>291</v>
      </c>
      <c r="E2486" t="s">
        <v>292</v>
      </c>
      <c r="F2486" t="s">
        <v>240</v>
      </c>
      <c r="G2486" t="s">
        <v>82</v>
      </c>
      <c r="H2486" t="s">
        <v>164</v>
      </c>
      <c r="J2486" t="s">
        <v>197</v>
      </c>
      <c r="K2486" t="s">
        <v>250</v>
      </c>
      <c r="L2486">
        <v>9660000</v>
      </c>
      <c r="M2486" t="s">
        <v>242</v>
      </c>
      <c r="N2486" t="s">
        <v>1920</v>
      </c>
    </row>
    <row r="2487" spans="1:16" hidden="1" x14ac:dyDescent="0.25">
      <c r="A2487" s="16">
        <v>45778</v>
      </c>
      <c r="B2487" t="s">
        <v>162</v>
      </c>
      <c r="C2487">
        <v>44</v>
      </c>
      <c r="D2487" t="s">
        <v>291</v>
      </c>
      <c r="E2487" t="s">
        <v>292</v>
      </c>
      <c r="F2487" t="s">
        <v>240</v>
      </c>
      <c r="G2487" t="s">
        <v>82</v>
      </c>
      <c r="H2487" t="s">
        <v>165</v>
      </c>
      <c r="J2487" t="s">
        <v>197</v>
      </c>
      <c r="K2487" t="s">
        <v>250</v>
      </c>
      <c r="L2487">
        <v>4060000</v>
      </c>
      <c r="M2487" t="s">
        <v>242</v>
      </c>
      <c r="N2487" t="s">
        <v>1921</v>
      </c>
    </row>
    <row r="2488" spans="1:16" hidden="1" x14ac:dyDescent="0.25">
      <c r="A2488" s="16">
        <v>45778</v>
      </c>
      <c r="B2488" t="s">
        <v>162</v>
      </c>
      <c r="C2488">
        <v>44</v>
      </c>
      <c r="D2488" t="s">
        <v>291</v>
      </c>
      <c r="E2488" t="s">
        <v>292</v>
      </c>
      <c r="F2488" t="s">
        <v>240</v>
      </c>
      <c r="G2488" t="s">
        <v>82</v>
      </c>
      <c r="H2488" t="s">
        <v>171</v>
      </c>
      <c r="J2488" t="s">
        <v>197</v>
      </c>
      <c r="K2488" t="s">
        <v>250</v>
      </c>
      <c r="L2488">
        <v>88620</v>
      </c>
      <c r="M2488" t="s">
        <v>242</v>
      </c>
      <c r="N2488" t="s">
        <v>1922</v>
      </c>
    </row>
    <row r="2489" spans="1:16" hidden="1" x14ac:dyDescent="0.25">
      <c r="A2489" s="16">
        <v>45778</v>
      </c>
      <c r="B2489" t="s">
        <v>162</v>
      </c>
      <c r="C2489">
        <v>44</v>
      </c>
      <c r="D2489" t="s">
        <v>291</v>
      </c>
      <c r="E2489" t="s">
        <v>292</v>
      </c>
      <c r="F2489" t="s">
        <v>240</v>
      </c>
      <c r="G2489" t="s">
        <v>82</v>
      </c>
      <c r="H2489" t="s">
        <v>166</v>
      </c>
      <c r="J2489" t="s">
        <v>197</v>
      </c>
      <c r="K2489" t="s">
        <v>250</v>
      </c>
      <c r="L2489">
        <v>2620000</v>
      </c>
      <c r="M2489" t="s">
        <v>242</v>
      </c>
      <c r="N2489" t="s">
        <v>1923</v>
      </c>
    </row>
    <row r="2490" spans="1:16" hidden="1" x14ac:dyDescent="0.25">
      <c r="A2490" s="16">
        <v>45778</v>
      </c>
      <c r="B2490" t="s">
        <v>162</v>
      </c>
      <c r="C2490">
        <v>44</v>
      </c>
      <c r="D2490" t="s">
        <v>291</v>
      </c>
      <c r="E2490" t="s">
        <v>292</v>
      </c>
      <c r="F2490" t="s">
        <v>240</v>
      </c>
      <c r="G2490" t="s">
        <v>82</v>
      </c>
      <c r="H2490" t="s">
        <v>167</v>
      </c>
      <c r="J2490" t="s">
        <v>197</v>
      </c>
      <c r="K2490" t="s">
        <v>250</v>
      </c>
      <c r="L2490">
        <v>5500000</v>
      </c>
      <c r="M2490" t="s">
        <v>242</v>
      </c>
      <c r="N2490" t="s">
        <v>1442</v>
      </c>
    </row>
    <row r="2491" spans="1:16" hidden="1" x14ac:dyDescent="0.25">
      <c r="A2491" s="16">
        <v>45778</v>
      </c>
      <c r="B2491" t="s">
        <v>162</v>
      </c>
      <c r="C2491">
        <v>45</v>
      </c>
      <c r="D2491" t="s">
        <v>253</v>
      </c>
      <c r="E2491" t="s">
        <v>248</v>
      </c>
      <c r="F2491" t="s">
        <v>428</v>
      </c>
      <c r="G2491" t="s">
        <v>82</v>
      </c>
      <c r="J2491" t="s">
        <v>195</v>
      </c>
      <c r="K2491" t="s">
        <v>255</v>
      </c>
      <c r="L2491">
        <v>17120000</v>
      </c>
      <c r="M2491" t="s">
        <v>242</v>
      </c>
      <c r="N2491" t="s">
        <v>1581</v>
      </c>
      <c r="O2491">
        <v>1</v>
      </c>
      <c r="P2491" t="s">
        <v>257</v>
      </c>
    </row>
    <row r="2492" spans="1:16" hidden="1" x14ac:dyDescent="0.25">
      <c r="A2492" s="16">
        <v>45778</v>
      </c>
      <c r="B2492" t="s">
        <v>162</v>
      </c>
      <c r="C2492">
        <v>45</v>
      </c>
      <c r="D2492" t="s">
        <v>253</v>
      </c>
      <c r="E2492" t="s">
        <v>248</v>
      </c>
      <c r="F2492" t="s">
        <v>428</v>
      </c>
      <c r="G2492" t="s">
        <v>82</v>
      </c>
      <c r="J2492" t="s">
        <v>196</v>
      </c>
      <c r="K2492" t="s">
        <v>255</v>
      </c>
      <c r="L2492">
        <v>16260000</v>
      </c>
      <c r="M2492" t="s">
        <v>242</v>
      </c>
      <c r="N2492" t="s">
        <v>1754</v>
      </c>
      <c r="O2492">
        <v>1</v>
      </c>
      <c r="P2492" t="s">
        <v>257</v>
      </c>
    </row>
    <row r="2493" spans="1:16" hidden="1" x14ac:dyDescent="0.25">
      <c r="A2493" s="16">
        <v>45778</v>
      </c>
      <c r="B2493" t="s">
        <v>162</v>
      </c>
      <c r="C2493">
        <v>45</v>
      </c>
      <c r="D2493" t="s">
        <v>253</v>
      </c>
      <c r="E2493" t="s">
        <v>248</v>
      </c>
      <c r="F2493" t="s">
        <v>428</v>
      </c>
      <c r="G2493" t="s">
        <v>82</v>
      </c>
      <c r="J2493" t="s">
        <v>197</v>
      </c>
      <c r="K2493" t="s">
        <v>255</v>
      </c>
      <c r="L2493">
        <v>19260000</v>
      </c>
      <c r="M2493" t="s">
        <v>242</v>
      </c>
      <c r="N2493" t="s">
        <v>1924</v>
      </c>
      <c r="O2493">
        <v>1</v>
      </c>
      <c r="P2493" t="s">
        <v>261</v>
      </c>
    </row>
    <row r="2494" spans="1:16" hidden="1" x14ac:dyDescent="0.25">
      <c r="A2494" s="16">
        <v>45778</v>
      </c>
      <c r="B2494" t="s">
        <v>162</v>
      </c>
      <c r="C2494">
        <v>45</v>
      </c>
      <c r="D2494" t="s">
        <v>247</v>
      </c>
      <c r="E2494" t="s">
        <v>248</v>
      </c>
      <c r="F2494" t="s">
        <v>428</v>
      </c>
      <c r="G2494" t="s">
        <v>82</v>
      </c>
      <c r="H2494" t="s">
        <v>286</v>
      </c>
      <c r="J2494" t="s">
        <v>197</v>
      </c>
      <c r="K2494" t="s">
        <v>250</v>
      </c>
      <c r="L2494">
        <v>18.399999999999999</v>
      </c>
      <c r="M2494" t="s">
        <v>251</v>
      </c>
      <c r="N2494" t="s">
        <v>1925</v>
      </c>
    </row>
    <row r="2495" spans="1:16" hidden="1" x14ac:dyDescent="0.25">
      <c r="A2495" s="16">
        <v>45778</v>
      </c>
      <c r="B2495" t="s">
        <v>162</v>
      </c>
      <c r="C2495">
        <v>46</v>
      </c>
      <c r="D2495" t="s">
        <v>291</v>
      </c>
      <c r="E2495" t="s">
        <v>292</v>
      </c>
      <c r="F2495" t="s">
        <v>428</v>
      </c>
      <c r="G2495" t="s">
        <v>82</v>
      </c>
      <c r="H2495" t="s">
        <v>94</v>
      </c>
      <c r="J2495" t="s">
        <v>197</v>
      </c>
      <c r="K2495" t="s">
        <v>250</v>
      </c>
      <c r="L2495">
        <v>14250000</v>
      </c>
      <c r="M2495" t="s">
        <v>242</v>
      </c>
      <c r="N2495" t="s">
        <v>1926</v>
      </c>
    </row>
    <row r="2496" spans="1:16" hidden="1" x14ac:dyDescent="0.25">
      <c r="A2496" s="16">
        <v>45778</v>
      </c>
      <c r="B2496" t="s">
        <v>162</v>
      </c>
      <c r="C2496">
        <v>46</v>
      </c>
      <c r="D2496" t="s">
        <v>291</v>
      </c>
      <c r="E2496" t="s">
        <v>292</v>
      </c>
      <c r="F2496" t="s">
        <v>428</v>
      </c>
      <c r="G2496" t="s">
        <v>82</v>
      </c>
      <c r="H2496" t="s">
        <v>95</v>
      </c>
      <c r="J2496" t="s">
        <v>197</v>
      </c>
      <c r="K2496" t="s">
        <v>250</v>
      </c>
      <c r="L2496">
        <v>5010000</v>
      </c>
      <c r="M2496" t="s">
        <v>242</v>
      </c>
      <c r="N2496" t="s">
        <v>1927</v>
      </c>
    </row>
    <row r="2497" spans="1:16" hidden="1" x14ac:dyDescent="0.25">
      <c r="A2497" s="16">
        <v>45778</v>
      </c>
      <c r="B2497" t="s">
        <v>162</v>
      </c>
      <c r="C2497">
        <v>47</v>
      </c>
      <c r="D2497" t="s">
        <v>291</v>
      </c>
      <c r="E2497" t="s">
        <v>292</v>
      </c>
      <c r="F2497" t="s">
        <v>428</v>
      </c>
      <c r="G2497" t="s">
        <v>82</v>
      </c>
      <c r="H2497" t="s">
        <v>173</v>
      </c>
      <c r="J2497" t="s">
        <v>197</v>
      </c>
      <c r="K2497" t="s">
        <v>250</v>
      </c>
      <c r="L2497">
        <v>3360000</v>
      </c>
      <c r="M2497" t="s">
        <v>242</v>
      </c>
      <c r="N2497" t="s">
        <v>1928</v>
      </c>
    </row>
    <row r="2498" spans="1:16" hidden="1" x14ac:dyDescent="0.25">
      <c r="A2498" s="16">
        <v>45778</v>
      </c>
      <c r="B2498" t="s">
        <v>162</v>
      </c>
      <c r="C2498">
        <v>47</v>
      </c>
      <c r="D2498" t="s">
        <v>291</v>
      </c>
      <c r="E2498" t="s">
        <v>292</v>
      </c>
      <c r="F2498" t="s">
        <v>428</v>
      </c>
      <c r="G2498" t="s">
        <v>82</v>
      </c>
      <c r="H2498" t="s">
        <v>174</v>
      </c>
      <c r="J2498" t="s">
        <v>197</v>
      </c>
      <c r="K2498" t="s">
        <v>250</v>
      </c>
      <c r="L2498">
        <v>2560000</v>
      </c>
      <c r="M2498" t="s">
        <v>242</v>
      </c>
      <c r="N2498" t="s">
        <v>1929</v>
      </c>
    </row>
    <row r="2499" spans="1:16" hidden="1" x14ac:dyDescent="0.25">
      <c r="A2499" s="16">
        <v>45778</v>
      </c>
      <c r="B2499" t="s">
        <v>162</v>
      </c>
      <c r="C2499">
        <v>48</v>
      </c>
      <c r="D2499" t="s">
        <v>253</v>
      </c>
      <c r="E2499" t="s">
        <v>248</v>
      </c>
      <c r="F2499" t="s">
        <v>244</v>
      </c>
      <c r="G2499" t="s">
        <v>82</v>
      </c>
      <c r="J2499" t="s">
        <v>195</v>
      </c>
      <c r="K2499" t="s">
        <v>255</v>
      </c>
      <c r="L2499">
        <v>2100000000</v>
      </c>
      <c r="M2499" t="s">
        <v>245</v>
      </c>
      <c r="N2499" t="s">
        <v>1586</v>
      </c>
      <c r="O2499">
        <v>1</v>
      </c>
      <c r="P2499" t="s">
        <v>257</v>
      </c>
    </row>
    <row r="2500" spans="1:16" hidden="1" x14ac:dyDescent="0.25">
      <c r="A2500" s="16">
        <v>45778</v>
      </c>
      <c r="B2500" t="s">
        <v>162</v>
      </c>
      <c r="C2500">
        <v>48</v>
      </c>
      <c r="D2500" t="s">
        <v>253</v>
      </c>
      <c r="E2500" t="s">
        <v>248</v>
      </c>
      <c r="F2500" t="s">
        <v>244</v>
      </c>
      <c r="G2500" t="s">
        <v>82</v>
      </c>
      <c r="J2500" t="s">
        <v>196</v>
      </c>
      <c r="K2500" t="s">
        <v>255</v>
      </c>
      <c r="L2500">
        <v>1950000000</v>
      </c>
      <c r="M2500" t="s">
        <v>245</v>
      </c>
      <c r="N2500" t="s">
        <v>1759</v>
      </c>
      <c r="O2500">
        <v>1</v>
      </c>
      <c r="P2500" t="s">
        <v>257</v>
      </c>
    </row>
    <row r="2501" spans="1:16" hidden="1" x14ac:dyDescent="0.25">
      <c r="A2501" s="16">
        <v>45778</v>
      </c>
      <c r="B2501" t="s">
        <v>162</v>
      </c>
      <c r="C2501">
        <v>48</v>
      </c>
      <c r="D2501" t="s">
        <v>253</v>
      </c>
      <c r="E2501" t="s">
        <v>248</v>
      </c>
      <c r="F2501" t="s">
        <v>244</v>
      </c>
      <c r="G2501" t="s">
        <v>82</v>
      </c>
      <c r="J2501" t="s">
        <v>197</v>
      </c>
      <c r="K2501" t="s">
        <v>255</v>
      </c>
      <c r="L2501">
        <v>2180000000</v>
      </c>
      <c r="M2501" t="s">
        <v>245</v>
      </c>
      <c r="N2501" t="s">
        <v>1930</v>
      </c>
      <c r="O2501">
        <v>1</v>
      </c>
      <c r="P2501" t="s">
        <v>261</v>
      </c>
    </row>
    <row r="2502" spans="1:16" hidden="1" x14ac:dyDescent="0.25">
      <c r="A2502" s="16">
        <v>45778</v>
      </c>
      <c r="B2502" t="s">
        <v>162</v>
      </c>
      <c r="C2502">
        <v>48</v>
      </c>
      <c r="D2502" t="s">
        <v>247</v>
      </c>
      <c r="E2502" t="s">
        <v>248</v>
      </c>
      <c r="F2502" t="s">
        <v>244</v>
      </c>
      <c r="G2502" t="s">
        <v>82</v>
      </c>
      <c r="H2502" t="s">
        <v>286</v>
      </c>
      <c r="J2502" t="s">
        <v>197</v>
      </c>
      <c r="K2502" t="s">
        <v>250</v>
      </c>
      <c r="L2502">
        <v>11.6</v>
      </c>
      <c r="M2502" t="s">
        <v>251</v>
      </c>
      <c r="N2502" t="s">
        <v>318</v>
      </c>
    </row>
    <row r="2503" spans="1:16" hidden="1" x14ac:dyDescent="0.25">
      <c r="A2503" s="16">
        <v>45778</v>
      </c>
      <c r="B2503" t="s">
        <v>162</v>
      </c>
      <c r="C2503">
        <v>49</v>
      </c>
      <c r="D2503" t="s">
        <v>291</v>
      </c>
      <c r="E2503" t="s">
        <v>292</v>
      </c>
      <c r="F2503" t="s">
        <v>244</v>
      </c>
      <c r="G2503" t="s">
        <v>82</v>
      </c>
      <c r="H2503" t="s">
        <v>170</v>
      </c>
      <c r="J2503" t="s">
        <v>197</v>
      </c>
      <c r="K2503" t="s">
        <v>250</v>
      </c>
      <c r="L2503">
        <v>182200</v>
      </c>
      <c r="M2503" t="s">
        <v>245</v>
      </c>
      <c r="N2503" t="s">
        <v>1931</v>
      </c>
    </row>
    <row r="2504" spans="1:16" hidden="1" x14ac:dyDescent="0.25">
      <c r="A2504" s="16">
        <v>45778</v>
      </c>
      <c r="B2504" t="s">
        <v>162</v>
      </c>
      <c r="C2504">
        <v>49</v>
      </c>
      <c r="D2504" t="s">
        <v>291</v>
      </c>
      <c r="E2504" t="s">
        <v>292</v>
      </c>
      <c r="F2504" t="s">
        <v>244</v>
      </c>
      <c r="G2504" t="s">
        <v>82</v>
      </c>
      <c r="H2504" t="s">
        <v>164</v>
      </c>
      <c r="J2504" t="s">
        <v>197</v>
      </c>
      <c r="K2504" t="s">
        <v>250</v>
      </c>
      <c r="L2504">
        <v>1390000000</v>
      </c>
      <c r="M2504" t="s">
        <v>245</v>
      </c>
      <c r="N2504" t="s">
        <v>1932</v>
      </c>
    </row>
    <row r="2505" spans="1:16" hidden="1" x14ac:dyDescent="0.25">
      <c r="A2505" s="16">
        <v>45778</v>
      </c>
      <c r="B2505" t="s">
        <v>162</v>
      </c>
      <c r="C2505">
        <v>49</v>
      </c>
      <c r="D2505" t="s">
        <v>291</v>
      </c>
      <c r="E2505" t="s">
        <v>292</v>
      </c>
      <c r="F2505" t="s">
        <v>244</v>
      </c>
      <c r="G2505" t="s">
        <v>82</v>
      </c>
      <c r="H2505" t="s">
        <v>165</v>
      </c>
      <c r="J2505" t="s">
        <v>197</v>
      </c>
      <c r="K2505" t="s">
        <v>250</v>
      </c>
      <c r="L2505">
        <v>245300000</v>
      </c>
      <c r="M2505" t="s">
        <v>245</v>
      </c>
      <c r="N2505" t="s">
        <v>1933</v>
      </c>
    </row>
    <row r="2506" spans="1:16" hidden="1" x14ac:dyDescent="0.25">
      <c r="A2506" s="16">
        <v>45778</v>
      </c>
      <c r="B2506" t="s">
        <v>162</v>
      </c>
      <c r="C2506">
        <v>49</v>
      </c>
      <c r="D2506" t="s">
        <v>291</v>
      </c>
      <c r="E2506" t="s">
        <v>292</v>
      </c>
      <c r="F2506" t="s">
        <v>244</v>
      </c>
      <c r="G2506" t="s">
        <v>82</v>
      </c>
      <c r="H2506" t="s">
        <v>171</v>
      </c>
      <c r="J2506" t="s">
        <v>197</v>
      </c>
      <c r="K2506" t="s">
        <v>250</v>
      </c>
      <c r="L2506">
        <v>993000</v>
      </c>
      <c r="M2506" t="s">
        <v>245</v>
      </c>
      <c r="N2506" t="s">
        <v>1934</v>
      </c>
    </row>
    <row r="2507" spans="1:16" hidden="1" x14ac:dyDescent="0.25">
      <c r="A2507" s="16">
        <v>45778</v>
      </c>
      <c r="B2507" t="s">
        <v>162</v>
      </c>
      <c r="C2507">
        <v>49</v>
      </c>
      <c r="D2507" t="s">
        <v>291</v>
      </c>
      <c r="E2507" t="s">
        <v>292</v>
      </c>
      <c r="F2507" t="s">
        <v>244</v>
      </c>
      <c r="G2507" t="s">
        <v>82</v>
      </c>
      <c r="H2507" t="s">
        <v>166</v>
      </c>
      <c r="J2507" t="s">
        <v>197</v>
      </c>
      <c r="K2507" t="s">
        <v>250</v>
      </c>
      <c r="L2507">
        <v>276400000</v>
      </c>
      <c r="M2507" t="s">
        <v>245</v>
      </c>
      <c r="N2507" t="s">
        <v>1935</v>
      </c>
    </row>
    <row r="2508" spans="1:16" hidden="1" x14ac:dyDescent="0.25">
      <c r="A2508" s="16">
        <v>45778</v>
      </c>
      <c r="B2508" t="s">
        <v>162</v>
      </c>
      <c r="C2508">
        <v>49</v>
      </c>
      <c r="D2508" t="s">
        <v>291</v>
      </c>
      <c r="E2508" t="s">
        <v>292</v>
      </c>
      <c r="F2508" t="s">
        <v>244</v>
      </c>
      <c r="G2508" t="s">
        <v>82</v>
      </c>
      <c r="H2508" t="s">
        <v>167</v>
      </c>
      <c r="J2508" t="s">
        <v>197</v>
      </c>
      <c r="K2508" t="s">
        <v>250</v>
      </c>
      <c r="L2508">
        <v>265000000</v>
      </c>
      <c r="M2508" t="s">
        <v>245</v>
      </c>
      <c r="N2508" t="s">
        <v>1588</v>
      </c>
    </row>
    <row r="2509" spans="1:16" hidden="1" x14ac:dyDescent="0.25">
      <c r="A2509" s="16">
        <v>45778</v>
      </c>
      <c r="B2509" t="s">
        <v>162</v>
      </c>
      <c r="C2509">
        <v>50</v>
      </c>
      <c r="D2509" t="s">
        <v>253</v>
      </c>
      <c r="E2509" t="s">
        <v>248</v>
      </c>
      <c r="F2509" t="s">
        <v>445</v>
      </c>
      <c r="G2509" t="s">
        <v>82</v>
      </c>
      <c r="J2509" t="s">
        <v>195</v>
      </c>
      <c r="K2509" t="s">
        <v>255</v>
      </c>
      <c r="L2509">
        <v>1750000000</v>
      </c>
      <c r="M2509" t="s">
        <v>245</v>
      </c>
      <c r="N2509" t="s">
        <v>1592</v>
      </c>
      <c r="O2509">
        <v>1</v>
      </c>
      <c r="P2509" t="s">
        <v>257</v>
      </c>
    </row>
    <row r="2510" spans="1:16" hidden="1" x14ac:dyDescent="0.25">
      <c r="A2510" s="16">
        <v>45778</v>
      </c>
      <c r="B2510" t="s">
        <v>162</v>
      </c>
      <c r="C2510">
        <v>50</v>
      </c>
      <c r="D2510" t="s">
        <v>253</v>
      </c>
      <c r="E2510" t="s">
        <v>248</v>
      </c>
      <c r="F2510" t="s">
        <v>445</v>
      </c>
      <c r="G2510" t="s">
        <v>82</v>
      </c>
      <c r="J2510" t="s">
        <v>196</v>
      </c>
      <c r="K2510" t="s">
        <v>255</v>
      </c>
      <c r="L2510">
        <v>1590000000</v>
      </c>
      <c r="M2510" t="s">
        <v>245</v>
      </c>
      <c r="N2510" t="s">
        <v>440</v>
      </c>
      <c r="O2510">
        <v>1</v>
      </c>
      <c r="P2510" t="s">
        <v>257</v>
      </c>
    </row>
    <row r="2511" spans="1:16" hidden="1" x14ac:dyDescent="0.25">
      <c r="A2511" s="16">
        <v>45778</v>
      </c>
      <c r="B2511" t="s">
        <v>162</v>
      </c>
      <c r="C2511">
        <v>50</v>
      </c>
      <c r="D2511" t="s">
        <v>253</v>
      </c>
      <c r="E2511" t="s">
        <v>248</v>
      </c>
      <c r="F2511" t="s">
        <v>445</v>
      </c>
      <c r="G2511" t="s">
        <v>82</v>
      </c>
      <c r="J2511" t="s">
        <v>197</v>
      </c>
      <c r="K2511" t="s">
        <v>255</v>
      </c>
      <c r="L2511">
        <v>1780000000</v>
      </c>
      <c r="M2511" t="s">
        <v>245</v>
      </c>
      <c r="N2511" t="s">
        <v>1936</v>
      </c>
      <c r="O2511">
        <v>1</v>
      </c>
      <c r="P2511" t="s">
        <v>261</v>
      </c>
    </row>
    <row r="2512" spans="1:16" hidden="1" x14ac:dyDescent="0.25">
      <c r="A2512" s="16">
        <v>45778</v>
      </c>
      <c r="B2512" t="s">
        <v>162</v>
      </c>
      <c r="C2512">
        <v>50</v>
      </c>
      <c r="D2512" t="s">
        <v>247</v>
      </c>
      <c r="E2512" t="s">
        <v>248</v>
      </c>
      <c r="F2512" t="s">
        <v>445</v>
      </c>
      <c r="G2512" t="s">
        <v>82</v>
      </c>
      <c r="H2512" t="s">
        <v>286</v>
      </c>
      <c r="J2512" t="s">
        <v>197</v>
      </c>
      <c r="K2512" t="s">
        <v>250</v>
      </c>
      <c r="L2512">
        <v>11.9</v>
      </c>
      <c r="M2512" t="s">
        <v>251</v>
      </c>
      <c r="N2512" t="s">
        <v>1937</v>
      </c>
    </row>
    <row r="2513" spans="1:16" hidden="1" x14ac:dyDescent="0.25">
      <c r="A2513" s="16">
        <v>45778</v>
      </c>
      <c r="B2513" t="s">
        <v>162</v>
      </c>
      <c r="C2513">
        <v>51</v>
      </c>
      <c r="D2513" t="s">
        <v>291</v>
      </c>
      <c r="E2513" t="s">
        <v>292</v>
      </c>
      <c r="F2513" t="s">
        <v>445</v>
      </c>
      <c r="G2513" t="s">
        <v>82</v>
      </c>
      <c r="H2513" t="s">
        <v>94</v>
      </c>
      <c r="J2513" t="s">
        <v>197</v>
      </c>
      <c r="K2513" t="s">
        <v>250</v>
      </c>
      <c r="L2513">
        <v>1430000000</v>
      </c>
      <c r="M2513" t="s">
        <v>245</v>
      </c>
      <c r="N2513" t="s">
        <v>1938</v>
      </c>
    </row>
    <row r="2514" spans="1:16" hidden="1" x14ac:dyDescent="0.25">
      <c r="A2514" s="16">
        <v>45778</v>
      </c>
      <c r="B2514" t="s">
        <v>162</v>
      </c>
      <c r="C2514">
        <v>51</v>
      </c>
      <c r="D2514" t="s">
        <v>291</v>
      </c>
      <c r="E2514" t="s">
        <v>292</v>
      </c>
      <c r="F2514" t="s">
        <v>445</v>
      </c>
      <c r="G2514" t="s">
        <v>82</v>
      </c>
      <c r="H2514" t="s">
        <v>95</v>
      </c>
      <c r="J2514" t="s">
        <v>197</v>
      </c>
      <c r="K2514" t="s">
        <v>250</v>
      </c>
      <c r="L2514">
        <v>349400000</v>
      </c>
      <c r="M2514" t="s">
        <v>245</v>
      </c>
      <c r="N2514" t="s">
        <v>1939</v>
      </c>
    </row>
    <row r="2515" spans="1:16" hidden="1" x14ac:dyDescent="0.25">
      <c r="A2515" s="16">
        <v>45778</v>
      </c>
      <c r="B2515" t="s">
        <v>162</v>
      </c>
      <c r="C2515">
        <v>52</v>
      </c>
      <c r="D2515" t="s">
        <v>291</v>
      </c>
      <c r="E2515" t="s">
        <v>292</v>
      </c>
      <c r="F2515" t="s">
        <v>445</v>
      </c>
      <c r="G2515" t="s">
        <v>82</v>
      </c>
      <c r="H2515" t="s">
        <v>173</v>
      </c>
      <c r="J2515" t="s">
        <v>197</v>
      </c>
      <c r="K2515" t="s">
        <v>250</v>
      </c>
      <c r="L2515">
        <v>190900000</v>
      </c>
      <c r="M2515" t="s">
        <v>245</v>
      </c>
      <c r="N2515" t="s">
        <v>1940</v>
      </c>
    </row>
    <row r="2516" spans="1:16" hidden="1" x14ac:dyDescent="0.25">
      <c r="A2516" s="16">
        <v>45778</v>
      </c>
      <c r="B2516" t="s">
        <v>162</v>
      </c>
      <c r="C2516">
        <v>52</v>
      </c>
      <c r="D2516" t="s">
        <v>291</v>
      </c>
      <c r="E2516" t="s">
        <v>292</v>
      </c>
      <c r="F2516" t="s">
        <v>445</v>
      </c>
      <c r="G2516" t="s">
        <v>82</v>
      </c>
      <c r="H2516" t="s">
        <v>174</v>
      </c>
      <c r="J2516" t="s">
        <v>197</v>
      </c>
      <c r="K2516" t="s">
        <v>250</v>
      </c>
      <c r="L2516">
        <v>269400000</v>
      </c>
      <c r="M2516" t="s">
        <v>245</v>
      </c>
      <c r="N2516" t="s">
        <v>1941</v>
      </c>
    </row>
    <row r="2517" spans="1:16" hidden="1" x14ac:dyDescent="0.25">
      <c r="A2517" s="16">
        <v>45778</v>
      </c>
      <c r="B2517" t="s">
        <v>162</v>
      </c>
      <c r="C2517">
        <v>53</v>
      </c>
      <c r="D2517" t="s">
        <v>291</v>
      </c>
      <c r="E2517" t="s">
        <v>292</v>
      </c>
      <c r="F2517" t="s">
        <v>334</v>
      </c>
      <c r="G2517" t="s">
        <v>82</v>
      </c>
      <c r="H2517" t="s">
        <v>170</v>
      </c>
      <c r="J2517" t="s">
        <v>197</v>
      </c>
      <c r="K2517" t="s">
        <v>250</v>
      </c>
      <c r="L2517">
        <v>17</v>
      </c>
      <c r="M2517" t="s">
        <v>245</v>
      </c>
      <c r="N2517" t="s">
        <v>1942</v>
      </c>
    </row>
    <row r="2518" spans="1:16" hidden="1" x14ac:dyDescent="0.25">
      <c r="A2518" s="16">
        <v>45778</v>
      </c>
      <c r="B2518" t="s">
        <v>162</v>
      </c>
      <c r="C2518">
        <v>53</v>
      </c>
      <c r="D2518" t="s">
        <v>291</v>
      </c>
      <c r="E2518" t="s">
        <v>292</v>
      </c>
      <c r="F2518" t="s">
        <v>334</v>
      </c>
      <c r="G2518" t="s">
        <v>82</v>
      </c>
      <c r="H2518" t="s">
        <v>164</v>
      </c>
      <c r="J2518" t="s">
        <v>197</v>
      </c>
      <c r="K2518" t="s">
        <v>250</v>
      </c>
      <c r="L2518">
        <v>144</v>
      </c>
      <c r="M2518" t="s">
        <v>245</v>
      </c>
      <c r="N2518" t="s">
        <v>1943</v>
      </c>
    </row>
    <row r="2519" spans="1:16" hidden="1" x14ac:dyDescent="0.25">
      <c r="A2519" s="16">
        <v>45778</v>
      </c>
      <c r="B2519" t="s">
        <v>162</v>
      </c>
      <c r="C2519">
        <v>53</v>
      </c>
      <c r="D2519" t="s">
        <v>291</v>
      </c>
      <c r="E2519" t="s">
        <v>292</v>
      </c>
      <c r="F2519" t="s">
        <v>334</v>
      </c>
      <c r="G2519" t="s">
        <v>82</v>
      </c>
      <c r="H2519" t="s">
        <v>173</v>
      </c>
      <c r="J2519" t="s">
        <v>197</v>
      </c>
      <c r="K2519" t="s">
        <v>250</v>
      </c>
      <c r="L2519">
        <v>60</v>
      </c>
      <c r="M2519" t="s">
        <v>245</v>
      </c>
      <c r="N2519" t="s">
        <v>1944</v>
      </c>
    </row>
    <row r="2520" spans="1:16" hidden="1" x14ac:dyDescent="0.25">
      <c r="A2520" s="16">
        <v>45778</v>
      </c>
      <c r="B2520" t="s">
        <v>162</v>
      </c>
      <c r="C2520">
        <v>53</v>
      </c>
      <c r="D2520" t="s">
        <v>238</v>
      </c>
      <c r="E2520" t="s">
        <v>239</v>
      </c>
      <c r="F2520" t="s">
        <v>334</v>
      </c>
      <c r="G2520" t="s">
        <v>82</v>
      </c>
      <c r="H2520" t="s">
        <v>455</v>
      </c>
      <c r="J2520" t="s">
        <v>197</v>
      </c>
      <c r="K2520" t="s">
        <v>250</v>
      </c>
      <c r="L2520">
        <v>99</v>
      </c>
      <c r="M2520" t="s">
        <v>245</v>
      </c>
      <c r="N2520" t="s">
        <v>1242</v>
      </c>
    </row>
    <row r="2521" spans="1:16" hidden="1" x14ac:dyDescent="0.25">
      <c r="A2521" s="16">
        <v>45778</v>
      </c>
      <c r="B2521" t="s">
        <v>162</v>
      </c>
      <c r="C2521">
        <v>53</v>
      </c>
      <c r="D2521" t="s">
        <v>291</v>
      </c>
      <c r="E2521" t="s">
        <v>292</v>
      </c>
      <c r="F2521" t="s">
        <v>334</v>
      </c>
      <c r="G2521" t="s">
        <v>82</v>
      </c>
      <c r="H2521" t="s">
        <v>179</v>
      </c>
      <c r="J2521" t="s">
        <v>197</v>
      </c>
      <c r="K2521" t="s">
        <v>250</v>
      </c>
      <c r="L2521">
        <v>11</v>
      </c>
      <c r="M2521" t="s">
        <v>245</v>
      </c>
      <c r="N2521" t="s">
        <v>1945</v>
      </c>
    </row>
    <row r="2522" spans="1:16" hidden="1" x14ac:dyDescent="0.25">
      <c r="A2522" s="16">
        <v>45778</v>
      </c>
      <c r="B2522" t="s">
        <v>162</v>
      </c>
      <c r="C2522">
        <v>53</v>
      </c>
      <c r="D2522" t="s">
        <v>291</v>
      </c>
      <c r="E2522" t="s">
        <v>292</v>
      </c>
      <c r="F2522" t="s">
        <v>334</v>
      </c>
      <c r="G2522" t="s">
        <v>82</v>
      </c>
      <c r="H2522" t="s">
        <v>174</v>
      </c>
      <c r="J2522" t="s">
        <v>197</v>
      </c>
      <c r="K2522" t="s">
        <v>250</v>
      </c>
      <c r="L2522">
        <v>106</v>
      </c>
      <c r="M2522" t="s">
        <v>245</v>
      </c>
      <c r="N2522" t="s">
        <v>1946</v>
      </c>
    </row>
    <row r="2523" spans="1:16" hidden="1" x14ac:dyDescent="0.25">
      <c r="A2523" s="16">
        <v>45778</v>
      </c>
      <c r="B2523" t="s">
        <v>162</v>
      </c>
      <c r="C2523">
        <v>53</v>
      </c>
      <c r="D2523" t="s">
        <v>291</v>
      </c>
      <c r="E2523" t="s">
        <v>292</v>
      </c>
      <c r="F2523" t="s">
        <v>334</v>
      </c>
      <c r="G2523" t="s">
        <v>82</v>
      </c>
      <c r="H2523" t="s">
        <v>178</v>
      </c>
      <c r="J2523" t="s">
        <v>197</v>
      </c>
      <c r="K2523" t="s">
        <v>250</v>
      </c>
      <c r="L2523">
        <v>48</v>
      </c>
      <c r="M2523" t="s">
        <v>245</v>
      </c>
      <c r="N2523" t="s">
        <v>1775</v>
      </c>
    </row>
    <row r="2524" spans="1:16" hidden="1" x14ac:dyDescent="0.25">
      <c r="A2524" s="16">
        <v>45778</v>
      </c>
      <c r="B2524" t="s">
        <v>97</v>
      </c>
      <c r="C2524">
        <v>26</v>
      </c>
      <c r="D2524" t="s">
        <v>238</v>
      </c>
      <c r="E2524" t="s">
        <v>239</v>
      </c>
      <c r="F2524" t="s">
        <v>240</v>
      </c>
      <c r="G2524" t="s">
        <v>82</v>
      </c>
      <c r="J2524" t="s">
        <v>197</v>
      </c>
      <c r="K2524" t="s">
        <v>241</v>
      </c>
      <c r="L2524">
        <v>34790000</v>
      </c>
      <c r="M2524" t="s">
        <v>242</v>
      </c>
      <c r="N2524" t="s">
        <v>1902</v>
      </c>
    </row>
    <row r="2525" spans="1:16" hidden="1" x14ac:dyDescent="0.25">
      <c r="A2525" s="16">
        <v>45778</v>
      </c>
      <c r="B2525" t="s">
        <v>97</v>
      </c>
      <c r="C2525">
        <v>26</v>
      </c>
      <c r="D2525" t="s">
        <v>238</v>
      </c>
      <c r="E2525" t="s">
        <v>239</v>
      </c>
      <c r="F2525" t="s">
        <v>244</v>
      </c>
      <c r="G2525" t="s">
        <v>82</v>
      </c>
      <c r="J2525" t="s">
        <v>197</v>
      </c>
      <c r="K2525" t="s">
        <v>241</v>
      </c>
      <c r="L2525">
        <v>2450000000</v>
      </c>
      <c r="M2525" t="s">
        <v>245</v>
      </c>
      <c r="N2525" t="s">
        <v>1905</v>
      </c>
    </row>
    <row r="2526" spans="1:16" hidden="1" x14ac:dyDescent="0.25">
      <c r="A2526" s="16">
        <v>45778</v>
      </c>
      <c r="B2526" t="s">
        <v>97</v>
      </c>
      <c r="C2526">
        <v>27</v>
      </c>
      <c r="D2526" t="s">
        <v>253</v>
      </c>
      <c r="E2526" t="s">
        <v>248</v>
      </c>
      <c r="F2526" t="s">
        <v>285</v>
      </c>
      <c r="G2526" t="s">
        <v>63</v>
      </c>
      <c r="J2526" t="s">
        <v>195</v>
      </c>
      <c r="K2526" t="s">
        <v>255</v>
      </c>
      <c r="L2526">
        <v>2600000</v>
      </c>
      <c r="M2526" t="s">
        <v>242</v>
      </c>
      <c r="N2526" t="s">
        <v>1601</v>
      </c>
      <c r="O2526">
        <v>1</v>
      </c>
      <c r="P2526" t="s">
        <v>257</v>
      </c>
    </row>
    <row r="2527" spans="1:16" hidden="1" x14ac:dyDescent="0.25">
      <c r="A2527" s="16">
        <v>45778</v>
      </c>
      <c r="B2527" t="s">
        <v>97</v>
      </c>
      <c r="C2527">
        <v>27</v>
      </c>
      <c r="D2527" t="s">
        <v>253</v>
      </c>
      <c r="E2527" t="s">
        <v>248</v>
      </c>
      <c r="F2527" t="s">
        <v>285</v>
      </c>
      <c r="G2527" t="s">
        <v>63</v>
      </c>
      <c r="J2527" t="s">
        <v>196</v>
      </c>
      <c r="K2527" t="s">
        <v>255</v>
      </c>
      <c r="L2527">
        <v>2630000</v>
      </c>
      <c r="M2527" t="s">
        <v>242</v>
      </c>
      <c r="N2527" t="s">
        <v>1776</v>
      </c>
      <c r="O2527">
        <v>1</v>
      </c>
      <c r="P2527" t="s">
        <v>257</v>
      </c>
    </row>
    <row r="2528" spans="1:16" hidden="1" x14ac:dyDescent="0.25">
      <c r="A2528" s="16">
        <v>45778</v>
      </c>
      <c r="B2528" t="s">
        <v>97</v>
      </c>
      <c r="C2528">
        <v>27</v>
      </c>
      <c r="D2528" t="s">
        <v>253</v>
      </c>
      <c r="E2528" t="s">
        <v>248</v>
      </c>
      <c r="F2528" t="s">
        <v>285</v>
      </c>
      <c r="G2528" t="s">
        <v>63</v>
      </c>
      <c r="J2528" t="s">
        <v>197</v>
      </c>
      <c r="K2528" t="s">
        <v>255</v>
      </c>
      <c r="L2528">
        <v>2660000</v>
      </c>
      <c r="M2528" t="s">
        <v>242</v>
      </c>
      <c r="N2528" t="s">
        <v>1947</v>
      </c>
      <c r="O2528">
        <v>1</v>
      </c>
      <c r="P2528" t="s">
        <v>261</v>
      </c>
    </row>
    <row r="2529" spans="1:14" hidden="1" x14ac:dyDescent="0.25">
      <c r="A2529" s="16">
        <v>45778</v>
      </c>
      <c r="B2529" t="s">
        <v>97</v>
      </c>
      <c r="C2529">
        <v>27</v>
      </c>
      <c r="D2529" t="s">
        <v>247</v>
      </c>
      <c r="E2529" t="s">
        <v>248</v>
      </c>
      <c r="F2529" t="s">
        <v>285</v>
      </c>
      <c r="G2529" t="s">
        <v>63</v>
      </c>
      <c r="H2529" t="s">
        <v>286</v>
      </c>
      <c r="J2529" t="s">
        <v>197</v>
      </c>
      <c r="K2529" t="s">
        <v>250</v>
      </c>
      <c r="L2529">
        <v>1.1000000000000001</v>
      </c>
      <c r="M2529" t="s">
        <v>251</v>
      </c>
      <c r="N2529" t="s">
        <v>1235</v>
      </c>
    </row>
    <row r="2530" spans="1:14" hidden="1" x14ac:dyDescent="0.25">
      <c r="A2530" s="16">
        <v>45778</v>
      </c>
      <c r="B2530" t="s">
        <v>97</v>
      </c>
      <c r="C2530">
        <v>28</v>
      </c>
      <c r="D2530" t="s">
        <v>291</v>
      </c>
      <c r="E2530" t="s">
        <v>292</v>
      </c>
      <c r="F2530" t="s">
        <v>285</v>
      </c>
      <c r="G2530" t="s">
        <v>63</v>
      </c>
      <c r="H2530" t="s">
        <v>64</v>
      </c>
      <c r="J2530" t="s">
        <v>197</v>
      </c>
      <c r="K2530" t="s">
        <v>250</v>
      </c>
      <c r="L2530">
        <v>2350000</v>
      </c>
      <c r="M2530" t="s">
        <v>242</v>
      </c>
      <c r="N2530" t="s">
        <v>1948</v>
      </c>
    </row>
    <row r="2531" spans="1:14" hidden="1" x14ac:dyDescent="0.25">
      <c r="A2531" s="16">
        <v>45778</v>
      </c>
      <c r="B2531" t="s">
        <v>97</v>
      </c>
      <c r="C2531">
        <v>28</v>
      </c>
      <c r="D2531" t="s">
        <v>291</v>
      </c>
      <c r="E2531" t="s">
        <v>292</v>
      </c>
      <c r="F2531" t="s">
        <v>285</v>
      </c>
      <c r="G2531" t="s">
        <v>63</v>
      </c>
      <c r="H2531" t="s">
        <v>65</v>
      </c>
      <c r="J2531" t="s">
        <v>197</v>
      </c>
      <c r="K2531" t="s">
        <v>250</v>
      </c>
      <c r="L2531">
        <v>317000</v>
      </c>
      <c r="M2531" t="s">
        <v>242</v>
      </c>
      <c r="N2531" t="s">
        <v>1949</v>
      </c>
    </row>
    <row r="2532" spans="1:14" hidden="1" x14ac:dyDescent="0.25">
      <c r="A2532" s="16">
        <v>45778</v>
      </c>
      <c r="B2532" t="s">
        <v>97</v>
      </c>
      <c r="C2532">
        <v>29</v>
      </c>
      <c r="D2532" t="s">
        <v>291</v>
      </c>
      <c r="E2532" t="s">
        <v>292</v>
      </c>
      <c r="F2532" t="s">
        <v>285</v>
      </c>
      <c r="G2532" t="s">
        <v>63</v>
      </c>
      <c r="H2532" t="s">
        <v>67</v>
      </c>
      <c r="J2532" t="s">
        <v>197</v>
      </c>
      <c r="K2532" t="s">
        <v>250</v>
      </c>
      <c r="L2532">
        <v>1300000</v>
      </c>
      <c r="M2532" t="s">
        <v>242</v>
      </c>
      <c r="N2532" t="s">
        <v>1430</v>
      </c>
    </row>
    <row r="2533" spans="1:14" hidden="1" x14ac:dyDescent="0.25">
      <c r="A2533" s="16">
        <v>45778</v>
      </c>
      <c r="B2533" t="s">
        <v>97</v>
      </c>
      <c r="C2533">
        <v>29</v>
      </c>
      <c r="D2533" t="s">
        <v>291</v>
      </c>
      <c r="E2533" t="s">
        <v>292</v>
      </c>
      <c r="F2533" t="s">
        <v>285</v>
      </c>
      <c r="G2533" t="s">
        <v>63</v>
      </c>
      <c r="H2533" t="s">
        <v>68</v>
      </c>
      <c r="J2533" t="s">
        <v>197</v>
      </c>
      <c r="K2533" t="s">
        <v>250</v>
      </c>
      <c r="L2533">
        <v>1350000</v>
      </c>
      <c r="M2533" t="s">
        <v>242</v>
      </c>
      <c r="N2533" t="s">
        <v>1950</v>
      </c>
    </row>
    <row r="2534" spans="1:14" hidden="1" x14ac:dyDescent="0.25">
      <c r="A2534" s="16">
        <v>45778</v>
      </c>
      <c r="B2534" t="s">
        <v>97</v>
      </c>
      <c r="C2534">
        <v>30</v>
      </c>
      <c r="D2534" t="s">
        <v>291</v>
      </c>
      <c r="E2534" t="s">
        <v>292</v>
      </c>
      <c r="F2534" t="s">
        <v>285</v>
      </c>
      <c r="G2534" t="s">
        <v>63</v>
      </c>
      <c r="H2534" t="s">
        <v>70</v>
      </c>
      <c r="J2534" t="s">
        <v>197</v>
      </c>
      <c r="K2534" t="s">
        <v>250</v>
      </c>
      <c r="L2534">
        <v>953000</v>
      </c>
      <c r="M2534" t="s">
        <v>242</v>
      </c>
      <c r="N2534" t="s">
        <v>1951</v>
      </c>
    </row>
    <row r="2535" spans="1:14" hidden="1" x14ac:dyDescent="0.25">
      <c r="A2535" s="16">
        <v>45778</v>
      </c>
      <c r="B2535" t="s">
        <v>97</v>
      </c>
      <c r="C2535">
        <v>30</v>
      </c>
      <c r="D2535" t="s">
        <v>291</v>
      </c>
      <c r="E2535" t="s">
        <v>292</v>
      </c>
      <c r="F2535" t="s">
        <v>285</v>
      </c>
      <c r="G2535" t="s">
        <v>63</v>
      </c>
      <c r="H2535" t="s">
        <v>71</v>
      </c>
      <c r="J2535" t="s">
        <v>197</v>
      </c>
      <c r="K2535" t="s">
        <v>250</v>
      </c>
      <c r="L2535">
        <v>685000</v>
      </c>
      <c r="M2535" t="s">
        <v>242</v>
      </c>
      <c r="N2535" t="s">
        <v>1952</v>
      </c>
    </row>
    <row r="2536" spans="1:14" hidden="1" x14ac:dyDescent="0.25">
      <c r="A2536" s="16">
        <v>45778</v>
      </c>
      <c r="B2536" t="s">
        <v>97</v>
      </c>
      <c r="C2536">
        <v>30</v>
      </c>
      <c r="D2536" t="s">
        <v>291</v>
      </c>
      <c r="E2536" t="s">
        <v>292</v>
      </c>
      <c r="F2536" t="s">
        <v>285</v>
      </c>
      <c r="G2536" t="s">
        <v>63</v>
      </c>
      <c r="H2536" t="s">
        <v>72</v>
      </c>
      <c r="J2536" t="s">
        <v>197</v>
      </c>
      <c r="K2536" t="s">
        <v>250</v>
      </c>
      <c r="L2536">
        <v>517000</v>
      </c>
      <c r="M2536" t="s">
        <v>242</v>
      </c>
      <c r="N2536" t="s">
        <v>1953</v>
      </c>
    </row>
    <row r="2537" spans="1:14" hidden="1" x14ac:dyDescent="0.25">
      <c r="A2537" s="16">
        <v>45778</v>
      </c>
      <c r="B2537" t="s">
        <v>97</v>
      </c>
      <c r="C2537">
        <v>30</v>
      </c>
      <c r="D2537" t="s">
        <v>291</v>
      </c>
      <c r="E2537" t="s">
        <v>292</v>
      </c>
      <c r="F2537" t="s">
        <v>285</v>
      </c>
      <c r="G2537" t="s">
        <v>63</v>
      </c>
      <c r="H2537" t="s">
        <v>73</v>
      </c>
      <c r="J2537" t="s">
        <v>197</v>
      </c>
      <c r="K2537" t="s">
        <v>250</v>
      </c>
      <c r="L2537">
        <v>326000</v>
      </c>
      <c r="M2537" t="s">
        <v>242</v>
      </c>
      <c r="N2537" t="s">
        <v>1851</v>
      </c>
    </row>
    <row r="2538" spans="1:14" hidden="1" x14ac:dyDescent="0.25">
      <c r="A2538" s="16">
        <v>45778</v>
      </c>
      <c r="B2538" t="s">
        <v>97</v>
      </c>
      <c r="C2538">
        <v>30</v>
      </c>
      <c r="D2538" t="s">
        <v>291</v>
      </c>
      <c r="E2538" t="s">
        <v>292</v>
      </c>
      <c r="F2538" t="s">
        <v>285</v>
      </c>
      <c r="G2538" t="s">
        <v>63</v>
      </c>
      <c r="H2538" t="s">
        <v>74</v>
      </c>
      <c r="J2538" t="s">
        <v>197</v>
      </c>
      <c r="K2538" t="s">
        <v>250</v>
      </c>
      <c r="L2538">
        <v>123000</v>
      </c>
      <c r="M2538" t="s">
        <v>242</v>
      </c>
      <c r="N2538" t="s">
        <v>1954</v>
      </c>
    </row>
    <row r="2539" spans="1:14" hidden="1" x14ac:dyDescent="0.25">
      <c r="A2539" s="16">
        <v>45778</v>
      </c>
      <c r="B2539" t="s">
        <v>97</v>
      </c>
      <c r="C2539">
        <v>30</v>
      </c>
      <c r="D2539" t="s">
        <v>291</v>
      </c>
      <c r="E2539" t="s">
        <v>292</v>
      </c>
      <c r="F2539" t="s">
        <v>285</v>
      </c>
      <c r="G2539" t="s">
        <v>63</v>
      </c>
      <c r="H2539" t="s">
        <v>75</v>
      </c>
      <c r="J2539" t="s">
        <v>197</v>
      </c>
      <c r="K2539" t="s">
        <v>250</v>
      </c>
      <c r="L2539">
        <v>38000</v>
      </c>
      <c r="M2539" t="s">
        <v>242</v>
      </c>
      <c r="N2539" t="s">
        <v>1367</v>
      </c>
    </row>
    <row r="2540" spans="1:14" hidden="1" x14ac:dyDescent="0.25">
      <c r="A2540" s="16">
        <v>45778</v>
      </c>
      <c r="B2540" t="s">
        <v>97</v>
      </c>
      <c r="C2540">
        <v>30</v>
      </c>
      <c r="D2540" t="s">
        <v>291</v>
      </c>
      <c r="E2540" t="s">
        <v>292</v>
      </c>
      <c r="F2540" t="s">
        <v>285</v>
      </c>
      <c r="G2540" t="s">
        <v>63</v>
      </c>
      <c r="H2540" t="s">
        <v>76</v>
      </c>
      <c r="J2540" t="s">
        <v>197</v>
      </c>
      <c r="K2540" t="s">
        <v>250</v>
      </c>
      <c r="L2540">
        <v>13000</v>
      </c>
      <c r="M2540" t="s">
        <v>242</v>
      </c>
      <c r="N2540" t="s">
        <v>475</v>
      </c>
    </row>
    <row r="2541" spans="1:14" hidden="1" x14ac:dyDescent="0.25">
      <c r="A2541" s="16">
        <v>45778</v>
      </c>
      <c r="B2541" t="s">
        <v>97</v>
      </c>
      <c r="C2541">
        <v>30</v>
      </c>
      <c r="D2541" t="s">
        <v>291</v>
      </c>
      <c r="E2541" t="s">
        <v>292</v>
      </c>
      <c r="F2541" t="s">
        <v>285</v>
      </c>
      <c r="G2541" t="s">
        <v>63</v>
      </c>
      <c r="H2541" t="s">
        <v>77</v>
      </c>
      <c r="J2541" t="s">
        <v>197</v>
      </c>
      <c r="K2541" t="s">
        <v>250</v>
      </c>
      <c r="L2541">
        <v>1000</v>
      </c>
      <c r="M2541" t="s">
        <v>242</v>
      </c>
      <c r="N2541" t="s">
        <v>476</v>
      </c>
    </row>
    <row r="2542" spans="1:14" hidden="1" x14ac:dyDescent="0.25">
      <c r="A2542" s="16">
        <v>45778</v>
      </c>
      <c r="B2542" t="s">
        <v>97</v>
      </c>
      <c r="C2542">
        <v>31</v>
      </c>
      <c r="D2542" t="s">
        <v>291</v>
      </c>
      <c r="E2542" t="s">
        <v>292</v>
      </c>
      <c r="F2542" t="s">
        <v>477</v>
      </c>
      <c r="G2542" t="s">
        <v>99</v>
      </c>
      <c r="H2542" t="s">
        <v>100</v>
      </c>
      <c r="J2542" t="s">
        <v>197</v>
      </c>
      <c r="K2542" t="s">
        <v>250</v>
      </c>
      <c r="L2542">
        <v>954</v>
      </c>
      <c r="M2542" t="s">
        <v>242</v>
      </c>
      <c r="N2542" t="s">
        <v>1955</v>
      </c>
    </row>
    <row r="2543" spans="1:14" hidden="1" x14ac:dyDescent="0.25">
      <c r="A2543" s="16">
        <v>45778</v>
      </c>
      <c r="B2543" t="s">
        <v>97</v>
      </c>
      <c r="C2543">
        <v>31</v>
      </c>
      <c r="D2543" t="s">
        <v>291</v>
      </c>
      <c r="E2543" t="s">
        <v>292</v>
      </c>
      <c r="F2543" t="s">
        <v>477</v>
      </c>
      <c r="G2543" t="s">
        <v>99</v>
      </c>
      <c r="H2543" t="s">
        <v>101</v>
      </c>
      <c r="J2543" t="s">
        <v>197</v>
      </c>
      <c r="K2543" t="s">
        <v>250</v>
      </c>
      <c r="L2543">
        <v>1224</v>
      </c>
      <c r="M2543" t="s">
        <v>242</v>
      </c>
      <c r="N2543" t="s">
        <v>1956</v>
      </c>
    </row>
    <row r="2544" spans="1:14" hidden="1" x14ac:dyDescent="0.25">
      <c r="A2544" s="16">
        <v>45778</v>
      </c>
      <c r="B2544" t="s">
        <v>97</v>
      </c>
      <c r="C2544">
        <v>31</v>
      </c>
      <c r="D2544" t="s">
        <v>291</v>
      </c>
      <c r="E2544" t="s">
        <v>292</v>
      </c>
      <c r="F2544" t="s">
        <v>477</v>
      </c>
      <c r="G2544" t="s">
        <v>99</v>
      </c>
      <c r="H2544" t="s">
        <v>102</v>
      </c>
      <c r="J2544" t="s">
        <v>197</v>
      </c>
      <c r="K2544" t="s">
        <v>250</v>
      </c>
      <c r="L2544">
        <v>7</v>
      </c>
      <c r="M2544" t="s">
        <v>242</v>
      </c>
      <c r="N2544" t="s">
        <v>1064</v>
      </c>
    </row>
    <row r="2545" spans="1:16" hidden="1" x14ac:dyDescent="0.25">
      <c r="A2545" s="16">
        <v>45778</v>
      </c>
      <c r="B2545" t="s">
        <v>97</v>
      </c>
      <c r="C2545">
        <v>31</v>
      </c>
      <c r="D2545" t="s">
        <v>291</v>
      </c>
      <c r="E2545" t="s">
        <v>292</v>
      </c>
      <c r="F2545" t="s">
        <v>477</v>
      </c>
      <c r="G2545" t="s">
        <v>99</v>
      </c>
      <c r="H2545" t="s">
        <v>103</v>
      </c>
      <c r="J2545" t="s">
        <v>197</v>
      </c>
      <c r="K2545" t="s">
        <v>250</v>
      </c>
      <c r="L2545">
        <v>2580000</v>
      </c>
      <c r="M2545" t="s">
        <v>242</v>
      </c>
      <c r="N2545" t="s">
        <v>1426</v>
      </c>
    </row>
    <row r="2546" spans="1:16" hidden="1" x14ac:dyDescent="0.25">
      <c r="A2546" s="16">
        <v>45778</v>
      </c>
      <c r="B2546" t="s">
        <v>97</v>
      </c>
      <c r="C2546">
        <v>31</v>
      </c>
      <c r="D2546" t="s">
        <v>291</v>
      </c>
      <c r="E2546" t="s">
        <v>292</v>
      </c>
      <c r="F2546" t="s">
        <v>477</v>
      </c>
      <c r="G2546" t="s">
        <v>99</v>
      </c>
      <c r="H2546" t="s">
        <v>104</v>
      </c>
      <c r="J2546" t="s">
        <v>197</v>
      </c>
      <c r="K2546" t="s">
        <v>250</v>
      </c>
      <c r="L2546">
        <v>3410</v>
      </c>
      <c r="M2546" t="s">
        <v>242</v>
      </c>
      <c r="N2546" t="s">
        <v>1957</v>
      </c>
    </row>
    <row r="2547" spans="1:16" hidden="1" x14ac:dyDescent="0.25">
      <c r="A2547" s="16">
        <v>45778</v>
      </c>
      <c r="B2547" t="s">
        <v>97</v>
      </c>
      <c r="C2547">
        <v>32</v>
      </c>
      <c r="D2547" t="s">
        <v>253</v>
      </c>
      <c r="E2547" t="s">
        <v>248</v>
      </c>
      <c r="F2547" t="s">
        <v>240</v>
      </c>
      <c r="G2547" t="s">
        <v>82</v>
      </c>
      <c r="J2547" t="s">
        <v>195</v>
      </c>
      <c r="K2547" t="s">
        <v>255</v>
      </c>
      <c r="L2547">
        <v>7290000</v>
      </c>
      <c r="M2547" t="s">
        <v>242</v>
      </c>
      <c r="N2547" t="s">
        <v>1567</v>
      </c>
      <c r="O2547">
        <v>1</v>
      </c>
      <c r="P2547" t="s">
        <v>257</v>
      </c>
    </row>
    <row r="2548" spans="1:16" hidden="1" x14ac:dyDescent="0.25">
      <c r="A2548" s="16">
        <v>45778</v>
      </c>
      <c r="B2548" t="s">
        <v>97</v>
      </c>
      <c r="C2548">
        <v>32</v>
      </c>
      <c r="D2548" t="s">
        <v>253</v>
      </c>
      <c r="E2548" t="s">
        <v>248</v>
      </c>
      <c r="F2548" t="s">
        <v>240</v>
      </c>
      <c r="G2548" t="s">
        <v>82</v>
      </c>
      <c r="J2548" t="s">
        <v>196</v>
      </c>
      <c r="K2548" t="s">
        <v>255</v>
      </c>
      <c r="L2548">
        <v>6990000</v>
      </c>
      <c r="M2548" t="s">
        <v>242</v>
      </c>
      <c r="N2548" t="s">
        <v>1739</v>
      </c>
      <c r="O2548">
        <v>1</v>
      </c>
      <c r="P2548" t="s">
        <v>257</v>
      </c>
    </row>
    <row r="2549" spans="1:16" hidden="1" x14ac:dyDescent="0.25">
      <c r="A2549" s="16">
        <v>45778</v>
      </c>
      <c r="B2549" t="s">
        <v>97</v>
      </c>
      <c r="C2549">
        <v>32</v>
      </c>
      <c r="D2549" t="s">
        <v>253</v>
      </c>
      <c r="E2549" t="s">
        <v>248</v>
      </c>
      <c r="F2549" t="s">
        <v>240</v>
      </c>
      <c r="G2549" t="s">
        <v>82</v>
      </c>
      <c r="J2549" t="s">
        <v>197</v>
      </c>
      <c r="K2549" t="s">
        <v>255</v>
      </c>
      <c r="L2549">
        <v>8210000</v>
      </c>
      <c r="M2549" t="s">
        <v>242</v>
      </c>
      <c r="N2549" t="s">
        <v>1910</v>
      </c>
      <c r="O2549">
        <v>1</v>
      </c>
      <c r="P2549" t="s">
        <v>261</v>
      </c>
    </row>
    <row r="2550" spans="1:16" hidden="1" x14ac:dyDescent="0.25">
      <c r="A2550" s="16">
        <v>45778</v>
      </c>
      <c r="B2550" t="s">
        <v>97</v>
      </c>
      <c r="C2550">
        <v>32</v>
      </c>
      <c r="D2550" t="s">
        <v>247</v>
      </c>
      <c r="E2550" t="s">
        <v>248</v>
      </c>
      <c r="F2550" t="s">
        <v>240</v>
      </c>
      <c r="G2550" t="s">
        <v>82</v>
      </c>
      <c r="H2550" t="s">
        <v>286</v>
      </c>
      <c r="J2550" t="s">
        <v>197</v>
      </c>
      <c r="K2550" t="s">
        <v>250</v>
      </c>
      <c r="L2550">
        <v>17.399999999999999</v>
      </c>
      <c r="M2550" t="s">
        <v>251</v>
      </c>
      <c r="N2550" t="s">
        <v>1958</v>
      </c>
    </row>
    <row r="2551" spans="1:16" hidden="1" x14ac:dyDescent="0.25">
      <c r="A2551" s="16">
        <v>45778</v>
      </c>
      <c r="B2551" t="s">
        <v>97</v>
      </c>
      <c r="C2551">
        <v>33</v>
      </c>
      <c r="D2551" t="s">
        <v>291</v>
      </c>
      <c r="E2551" t="s">
        <v>292</v>
      </c>
      <c r="F2551" t="s">
        <v>240</v>
      </c>
      <c r="G2551" t="s">
        <v>82</v>
      </c>
      <c r="H2551" t="s">
        <v>105</v>
      </c>
      <c r="J2551" t="s">
        <v>197</v>
      </c>
      <c r="K2551" t="s">
        <v>250</v>
      </c>
      <c r="L2551">
        <v>124100</v>
      </c>
      <c r="M2551" t="s">
        <v>242</v>
      </c>
      <c r="N2551" t="s">
        <v>1959</v>
      </c>
    </row>
    <row r="2552" spans="1:16" hidden="1" x14ac:dyDescent="0.25">
      <c r="A2552" s="16">
        <v>45778</v>
      </c>
      <c r="B2552" t="s">
        <v>97</v>
      </c>
      <c r="C2552">
        <v>33</v>
      </c>
      <c r="D2552" t="s">
        <v>291</v>
      </c>
      <c r="E2552" t="s">
        <v>292</v>
      </c>
      <c r="F2552" t="s">
        <v>240</v>
      </c>
      <c r="G2552" t="s">
        <v>82</v>
      </c>
      <c r="H2552" t="s">
        <v>106</v>
      </c>
      <c r="J2552" t="s">
        <v>197</v>
      </c>
      <c r="K2552" t="s">
        <v>250</v>
      </c>
      <c r="L2552">
        <v>180600</v>
      </c>
      <c r="M2552" t="s">
        <v>242</v>
      </c>
      <c r="N2552" t="s">
        <v>1960</v>
      </c>
    </row>
    <row r="2553" spans="1:16" hidden="1" x14ac:dyDescent="0.25">
      <c r="A2553" s="16">
        <v>45778</v>
      </c>
      <c r="B2553" t="s">
        <v>97</v>
      </c>
      <c r="C2553">
        <v>33</v>
      </c>
      <c r="D2553" t="s">
        <v>291</v>
      </c>
      <c r="E2553" t="s">
        <v>292</v>
      </c>
      <c r="F2553" t="s">
        <v>240</v>
      </c>
      <c r="G2553" t="s">
        <v>82</v>
      </c>
      <c r="H2553" t="s">
        <v>83</v>
      </c>
      <c r="J2553" t="s">
        <v>197</v>
      </c>
      <c r="K2553" t="s">
        <v>250</v>
      </c>
      <c r="L2553">
        <v>7610000</v>
      </c>
      <c r="M2553" t="s">
        <v>242</v>
      </c>
      <c r="N2553" t="s">
        <v>1961</v>
      </c>
    </row>
    <row r="2554" spans="1:16" hidden="1" x14ac:dyDescent="0.25">
      <c r="A2554" s="16">
        <v>45778</v>
      </c>
      <c r="B2554" t="s">
        <v>97</v>
      </c>
      <c r="C2554">
        <v>33</v>
      </c>
      <c r="D2554" t="s">
        <v>291</v>
      </c>
      <c r="E2554" t="s">
        <v>292</v>
      </c>
      <c r="F2554" t="s">
        <v>240</v>
      </c>
      <c r="G2554" t="s">
        <v>82</v>
      </c>
      <c r="H2554" t="s">
        <v>84</v>
      </c>
      <c r="J2554" t="s">
        <v>197</v>
      </c>
      <c r="K2554" t="s">
        <v>250</v>
      </c>
      <c r="L2554">
        <v>300900</v>
      </c>
      <c r="M2554" t="s">
        <v>242</v>
      </c>
      <c r="N2554" t="s">
        <v>1962</v>
      </c>
    </row>
    <row r="2555" spans="1:16" hidden="1" x14ac:dyDescent="0.25">
      <c r="A2555" s="16">
        <v>45778</v>
      </c>
      <c r="B2555" t="s">
        <v>97</v>
      </c>
      <c r="C2555">
        <v>34</v>
      </c>
      <c r="D2555" t="s">
        <v>291</v>
      </c>
      <c r="E2555" t="s">
        <v>292</v>
      </c>
      <c r="F2555" t="s">
        <v>240</v>
      </c>
      <c r="G2555" t="s">
        <v>82</v>
      </c>
      <c r="H2555" t="s">
        <v>105</v>
      </c>
      <c r="I2555" t="s">
        <v>491</v>
      </c>
      <c r="J2555" t="s">
        <v>197</v>
      </c>
      <c r="K2555" t="s">
        <v>250</v>
      </c>
      <c r="L2555">
        <v>1.54</v>
      </c>
      <c r="M2555" t="s">
        <v>251</v>
      </c>
      <c r="N2555" t="s">
        <v>1963</v>
      </c>
    </row>
    <row r="2556" spans="1:16" hidden="1" x14ac:dyDescent="0.25">
      <c r="A2556" s="16">
        <v>45778</v>
      </c>
      <c r="B2556" t="s">
        <v>97</v>
      </c>
      <c r="C2556">
        <v>34</v>
      </c>
      <c r="D2556" t="s">
        <v>291</v>
      </c>
      <c r="E2556" t="s">
        <v>292</v>
      </c>
      <c r="F2556" t="s">
        <v>240</v>
      </c>
      <c r="G2556" t="s">
        <v>82</v>
      </c>
      <c r="H2556" t="s">
        <v>105</v>
      </c>
      <c r="I2556" t="s">
        <v>493</v>
      </c>
      <c r="J2556" t="s">
        <v>197</v>
      </c>
      <c r="K2556" t="s">
        <v>250</v>
      </c>
      <c r="L2556">
        <v>98.46</v>
      </c>
      <c r="M2556" t="s">
        <v>251</v>
      </c>
      <c r="N2556" t="s">
        <v>1964</v>
      </c>
    </row>
    <row r="2557" spans="1:16" hidden="1" x14ac:dyDescent="0.25">
      <c r="A2557" s="16">
        <v>45778</v>
      </c>
      <c r="B2557" t="s">
        <v>97</v>
      </c>
      <c r="C2557">
        <v>34</v>
      </c>
      <c r="D2557" t="s">
        <v>291</v>
      </c>
      <c r="E2557" t="s">
        <v>292</v>
      </c>
      <c r="F2557" t="s">
        <v>240</v>
      </c>
      <c r="G2557" t="s">
        <v>82</v>
      </c>
      <c r="H2557" t="s">
        <v>106</v>
      </c>
      <c r="I2557" t="s">
        <v>491</v>
      </c>
      <c r="J2557" t="s">
        <v>197</v>
      </c>
      <c r="K2557" t="s">
        <v>250</v>
      </c>
      <c r="L2557">
        <v>6.24</v>
      </c>
      <c r="M2557" t="s">
        <v>251</v>
      </c>
      <c r="N2557" t="s">
        <v>1965</v>
      </c>
    </row>
    <row r="2558" spans="1:16" hidden="1" x14ac:dyDescent="0.25">
      <c r="A2558" s="16">
        <v>45778</v>
      </c>
      <c r="B2558" t="s">
        <v>97</v>
      </c>
      <c r="C2558">
        <v>34</v>
      </c>
      <c r="D2558" t="s">
        <v>291</v>
      </c>
      <c r="E2558" t="s">
        <v>292</v>
      </c>
      <c r="F2558" t="s">
        <v>240</v>
      </c>
      <c r="G2558" t="s">
        <v>82</v>
      </c>
      <c r="H2558" t="s">
        <v>106</v>
      </c>
      <c r="I2558" t="s">
        <v>493</v>
      </c>
      <c r="J2558" t="s">
        <v>197</v>
      </c>
      <c r="K2558" t="s">
        <v>250</v>
      </c>
      <c r="L2558">
        <v>93.76</v>
      </c>
      <c r="M2558" t="s">
        <v>251</v>
      </c>
      <c r="N2558" t="s">
        <v>1966</v>
      </c>
    </row>
    <row r="2559" spans="1:16" hidden="1" x14ac:dyDescent="0.25">
      <c r="A2559" s="16">
        <v>45778</v>
      </c>
      <c r="B2559" t="s">
        <v>97</v>
      </c>
      <c r="C2559">
        <v>34</v>
      </c>
      <c r="D2559" t="s">
        <v>291</v>
      </c>
      <c r="E2559" t="s">
        <v>292</v>
      </c>
      <c r="F2559" t="s">
        <v>240</v>
      </c>
      <c r="G2559" t="s">
        <v>82</v>
      </c>
      <c r="H2559" t="s">
        <v>83</v>
      </c>
      <c r="I2559" t="s">
        <v>497</v>
      </c>
      <c r="J2559" t="s">
        <v>197</v>
      </c>
      <c r="K2559" t="s">
        <v>250</v>
      </c>
      <c r="L2559">
        <v>1.78</v>
      </c>
      <c r="M2559" t="s">
        <v>251</v>
      </c>
      <c r="N2559" t="s">
        <v>1967</v>
      </c>
    </row>
    <row r="2560" spans="1:16" hidden="1" x14ac:dyDescent="0.25">
      <c r="A2560" s="16">
        <v>45778</v>
      </c>
      <c r="B2560" t="s">
        <v>97</v>
      </c>
      <c r="C2560">
        <v>34</v>
      </c>
      <c r="D2560" t="s">
        <v>291</v>
      </c>
      <c r="E2560" t="s">
        <v>292</v>
      </c>
      <c r="F2560" t="s">
        <v>240</v>
      </c>
      <c r="G2560" t="s">
        <v>82</v>
      </c>
      <c r="H2560" t="s">
        <v>83</v>
      </c>
      <c r="I2560" t="s">
        <v>499</v>
      </c>
      <c r="J2560" t="s">
        <v>197</v>
      </c>
      <c r="K2560" t="s">
        <v>250</v>
      </c>
      <c r="L2560">
        <v>0</v>
      </c>
      <c r="M2560" t="s">
        <v>251</v>
      </c>
      <c r="N2560" t="s">
        <v>1271</v>
      </c>
    </row>
    <row r="2561" spans="1:16" hidden="1" x14ac:dyDescent="0.25">
      <c r="A2561" s="16">
        <v>45778</v>
      </c>
      <c r="B2561" t="s">
        <v>97</v>
      </c>
      <c r="C2561">
        <v>34</v>
      </c>
      <c r="D2561" t="s">
        <v>291</v>
      </c>
      <c r="E2561" t="s">
        <v>292</v>
      </c>
      <c r="F2561" t="s">
        <v>240</v>
      </c>
      <c r="G2561" t="s">
        <v>82</v>
      </c>
      <c r="H2561" t="s">
        <v>83</v>
      </c>
      <c r="I2561" t="s">
        <v>501</v>
      </c>
      <c r="J2561" t="s">
        <v>197</v>
      </c>
      <c r="K2561" t="s">
        <v>250</v>
      </c>
      <c r="L2561">
        <v>0.38</v>
      </c>
      <c r="M2561" t="s">
        <v>251</v>
      </c>
      <c r="N2561" t="s">
        <v>1968</v>
      </c>
    </row>
    <row r="2562" spans="1:16" hidden="1" x14ac:dyDescent="0.25">
      <c r="A2562" s="16">
        <v>45778</v>
      </c>
      <c r="B2562" t="s">
        <v>97</v>
      </c>
      <c r="C2562">
        <v>34</v>
      </c>
      <c r="D2562" t="s">
        <v>291</v>
      </c>
      <c r="E2562" t="s">
        <v>292</v>
      </c>
      <c r="F2562" t="s">
        <v>240</v>
      </c>
      <c r="G2562" t="s">
        <v>82</v>
      </c>
      <c r="H2562" t="s">
        <v>83</v>
      </c>
      <c r="I2562" t="s">
        <v>503</v>
      </c>
      <c r="J2562" t="s">
        <v>197</v>
      </c>
      <c r="K2562" t="s">
        <v>250</v>
      </c>
      <c r="L2562">
        <v>2.76</v>
      </c>
      <c r="M2562" t="s">
        <v>251</v>
      </c>
      <c r="N2562" t="s">
        <v>1969</v>
      </c>
    </row>
    <row r="2563" spans="1:16" hidden="1" x14ac:dyDescent="0.25">
      <c r="A2563" s="16">
        <v>45778</v>
      </c>
      <c r="B2563" t="s">
        <v>97</v>
      </c>
      <c r="C2563">
        <v>34</v>
      </c>
      <c r="D2563" t="s">
        <v>291</v>
      </c>
      <c r="E2563" t="s">
        <v>292</v>
      </c>
      <c r="F2563" t="s">
        <v>240</v>
      </c>
      <c r="G2563" t="s">
        <v>82</v>
      </c>
      <c r="H2563" t="s">
        <v>83</v>
      </c>
      <c r="I2563" t="s">
        <v>315</v>
      </c>
      <c r="J2563" t="s">
        <v>197</v>
      </c>
      <c r="K2563" t="s">
        <v>250</v>
      </c>
      <c r="L2563">
        <v>90.3</v>
      </c>
      <c r="M2563" t="s">
        <v>251</v>
      </c>
      <c r="N2563" t="s">
        <v>1970</v>
      </c>
    </row>
    <row r="2564" spans="1:16" hidden="1" x14ac:dyDescent="0.25">
      <c r="A2564" s="16">
        <v>45778</v>
      </c>
      <c r="B2564" t="s">
        <v>97</v>
      </c>
      <c r="C2564">
        <v>34</v>
      </c>
      <c r="D2564" t="s">
        <v>291</v>
      </c>
      <c r="E2564" t="s">
        <v>292</v>
      </c>
      <c r="F2564" t="s">
        <v>240</v>
      </c>
      <c r="G2564" t="s">
        <v>82</v>
      </c>
      <c r="H2564" t="s">
        <v>83</v>
      </c>
      <c r="I2564" t="s">
        <v>317</v>
      </c>
      <c r="J2564" t="s">
        <v>197</v>
      </c>
      <c r="K2564" t="s">
        <v>250</v>
      </c>
      <c r="L2564">
        <v>4.7699999999999996</v>
      </c>
      <c r="M2564" t="s">
        <v>251</v>
      </c>
      <c r="N2564" t="s">
        <v>1971</v>
      </c>
    </row>
    <row r="2565" spans="1:16" hidden="1" x14ac:dyDescent="0.25">
      <c r="A2565" s="16">
        <v>45778</v>
      </c>
      <c r="B2565" t="s">
        <v>97</v>
      </c>
      <c r="C2565">
        <v>34</v>
      </c>
      <c r="D2565" t="s">
        <v>291</v>
      </c>
      <c r="E2565" t="s">
        <v>292</v>
      </c>
      <c r="F2565" t="s">
        <v>240</v>
      </c>
      <c r="G2565" t="s">
        <v>82</v>
      </c>
      <c r="H2565" t="s">
        <v>84</v>
      </c>
      <c r="I2565" t="s">
        <v>84</v>
      </c>
      <c r="J2565" t="s">
        <v>197</v>
      </c>
      <c r="K2565" t="s">
        <v>250</v>
      </c>
      <c r="L2565">
        <v>60.15</v>
      </c>
      <c r="M2565" t="s">
        <v>251</v>
      </c>
      <c r="N2565" t="s">
        <v>1972</v>
      </c>
    </row>
    <row r="2566" spans="1:16" hidden="1" x14ac:dyDescent="0.25">
      <c r="A2566" s="16">
        <v>45778</v>
      </c>
      <c r="B2566" t="s">
        <v>97</v>
      </c>
      <c r="C2566">
        <v>34</v>
      </c>
      <c r="D2566" t="s">
        <v>291</v>
      </c>
      <c r="E2566" t="s">
        <v>292</v>
      </c>
      <c r="F2566" t="s">
        <v>240</v>
      </c>
      <c r="G2566" t="s">
        <v>82</v>
      </c>
      <c r="H2566" t="s">
        <v>84</v>
      </c>
      <c r="I2566" t="s">
        <v>321</v>
      </c>
      <c r="J2566" t="s">
        <v>197</v>
      </c>
      <c r="K2566" t="s">
        <v>250</v>
      </c>
      <c r="L2566">
        <v>39.85</v>
      </c>
      <c r="M2566" t="s">
        <v>251</v>
      </c>
      <c r="N2566" t="s">
        <v>1973</v>
      </c>
    </row>
    <row r="2567" spans="1:16" hidden="1" x14ac:dyDescent="0.25">
      <c r="A2567" s="16">
        <v>45778</v>
      </c>
      <c r="B2567" t="s">
        <v>97</v>
      </c>
      <c r="C2567">
        <v>35</v>
      </c>
      <c r="D2567" t="s">
        <v>253</v>
      </c>
      <c r="E2567" t="s">
        <v>248</v>
      </c>
      <c r="F2567" t="s">
        <v>244</v>
      </c>
      <c r="G2567" t="s">
        <v>82</v>
      </c>
      <c r="J2567" t="s">
        <v>195</v>
      </c>
      <c r="K2567" t="s">
        <v>255</v>
      </c>
      <c r="L2567">
        <v>538000000</v>
      </c>
      <c r="M2567" t="s">
        <v>245</v>
      </c>
      <c r="N2567" t="s">
        <v>1629</v>
      </c>
      <c r="O2567">
        <v>1</v>
      </c>
      <c r="P2567" t="s">
        <v>257</v>
      </c>
    </row>
    <row r="2568" spans="1:16" hidden="1" x14ac:dyDescent="0.25">
      <c r="A2568" s="16">
        <v>45778</v>
      </c>
      <c r="B2568" t="s">
        <v>97</v>
      </c>
      <c r="C2568">
        <v>35</v>
      </c>
      <c r="D2568" t="s">
        <v>253</v>
      </c>
      <c r="E2568" t="s">
        <v>248</v>
      </c>
      <c r="F2568" t="s">
        <v>244</v>
      </c>
      <c r="G2568" t="s">
        <v>82</v>
      </c>
      <c r="J2568" t="s">
        <v>196</v>
      </c>
      <c r="K2568" t="s">
        <v>255</v>
      </c>
      <c r="L2568">
        <v>469000000</v>
      </c>
      <c r="M2568" t="s">
        <v>245</v>
      </c>
      <c r="N2568" t="s">
        <v>1278</v>
      </c>
      <c r="O2568">
        <v>1</v>
      </c>
      <c r="P2568" t="s">
        <v>257</v>
      </c>
    </row>
    <row r="2569" spans="1:16" hidden="1" x14ac:dyDescent="0.25">
      <c r="A2569" s="16">
        <v>45778</v>
      </c>
      <c r="B2569" t="s">
        <v>97</v>
      </c>
      <c r="C2569">
        <v>35</v>
      </c>
      <c r="D2569" t="s">
        <v>253</v>
      </c>
      <c r="E2569" t="s">
        <v>248</v>
      </c>
      <c r="F2569" t="s">
        <v>244</v>
      </c>
      <c r="G2569" t="s">
        <v>82</v>
      </c>
      <c r="J2569" t="s">
        <v>197</v>
      </c>
      <c r="K2569" t="s">
        <v>255</v>
      </c>
      <c r="L2569">
        <v>543000000</v>
      </c>
      <c r="M2569" t="s">
        <v>245</v>
      </c>
      <c r="N2569" t="s">
        <v>1974</v>
      </c>
      <c r="O2569">
        <v>1</v>
      </c>
      <c r="P2569" t="s">
        <v>261</v>
      </c>
    </row>
    <row r="2570" spans="1:16" hidden="1" x14ac:dyDescent="0.25">
      <c r="A2570" s="16">
        <v>45778</v>
      </c>
      <c r="B2570" t="s">
        <v>97</v>
      </c>
      <c r="C2570">
        <v>35</v>
      </c>
      <c r="D2570" t="s">
        <v>247</v>
      </c>
      <c r="E2570" t="s">
        <v>248</v>
      </c>
      <c r="F2570" t="s">
        <v>244</v>
      </c>
      <c r="G2570" t="s">
        <v>82</v>
      </c>
      <c r="H2570" t="s">
        <v>286</v>
      </c>
      <c r="J2570" t="s">
        <v>197</v>
      </c>
      <c r="K2570" t="s">
        <v>250</v>
      </c>
      <c r="L2570">
        <v>15.8</v>
      </c>
      <c r="M2570" t="s">
        <v>251</v>
      </c>
      <c r="N2570" t="s">
        <v>1975</v>
      </c>
    </row>
    <row r="2571" spans="1:16" hidden="1" x14ac:dyDescent="0.25">
      <c r="A2571" s="16">
        <v>45778</v>
      </c>
      <c r="B2571" t="s">
        <v>97</v>
      </c>
      <c r="C2571">
        <v>36</v>
      </c>
      <c r="D2571" t="s">
        <v>291</v>
      </c>
      <c r="E2571" t="s">
        <v>292</v>
      </c>
      <c r="F2571" t="s">
        <v>244</v>
      </c>
      <c r="G2571" t="s">
        <v>82</v>
      </c>
      <c r="H2571" t="s">
        <v>105</v>
      </c>
      <c r="J2571" t="s">
        <v>197</v>
      </c>
      <c r="K2571" t="s">
        <v>250</v>
      </c>
      <c r="L2571">
        <v>19400000</v>
      </c>
      <c r="M2571" t="s">
        <v>245</v>
      </c>
      <c r="N2571" t="s">
        <v>1976</v>
      </c>
    </row>
    <row r="2572" spans="1:16" hidden="1" x14ac:dyDescent="0.25">
      <c r="A2572" s="16">
        <v>45778</v>
      </c>
      <c r="B2572" t="s">
        <v>97</v>
      </c>
      <c r="C2572">
        <v>36</v>
      </c>
      <c r="D2572" t="s">
        <v>291</v>
      </c>
      <c r="E2572" t="s">
        <v>292</v>
      </c>
      <c r="F2572" t="s">
        <v>244</v>
      </c>
      <c r="G2572" t="s">
        <v>82</v>
      </c>
      <c r="H2572" t="s">
        <v>106</v>
      </c>
      <c r="J2572" t="s">
        <v>197</v>
      </c>
      <c r="K2572" t="s">
        <v>250</v>
      </c>
      <c r="L2572">
        <v>26300000</v>
      </c>
      <c r="M2572" t="s">
        <v>245</v>
      </c>
      <c r="N2572" t="s">
        <v>1977</v>
      </c>
    </row>
    <row r="2573" spans="1:16" hidden="1" x14ac:dyDescent="0.25">
      <c r="A2573" s="16">
        <v>45778</v>
      </c>
      <c r="B2573" t="s">
        <v>97</v>
      </c>
      <c r="C2573">
        <v>36</v>
      </c>
      <c r="D2573" t="s">
        <v>291</v>
      </c>
      <c r="E2573" t="s">
        <v>292</v>
      </c>
      <c r="F2573" t="s">
        <v>244</v>
      </c>
      <c r="G2573" t="s">
        <v>82</v>
      </c>
      <c r="H2573" t="s">
        <v>83</v>
      </c>
      <c r="J2573" t="s">
        <v>197</v>
      </c>
      <c r="K2573" t="s">
        <v>250</v>
      </c>
      <c r="L2573">
        <v>487400000</v>
      </c>
      <c r="M2573" t="s">
        <v>245</v>
      </c>
      <c r="N2573" t="s">
        <v>1978</v>
      </c>
    </row>
    <row r="2574" spans="1:16" hidden="1" x14ac:dyDescent="0.25">
      <c r="A2574" s="16">
        <v>45778</v>
      </c>
      <c r="B2574" t="s">
        <v>97</v>
      </c>
      <c r="C2574">
        <v>36</v>
      </c>
      <c r="D2574" t="s">
        <v>291</v>
      </c>
      <c r="E2574" t="s">
        <v>292</v>
      </c>
      <c r="F2574" t="s">
        <v>244</v>
      </c>
      <c r="G2574" t="s">
        <v>82</v>
      </c>
      <c r="H2574" t="s">
        <v>84</v>
      </c>
      <c r="J2574" t="s">
        <v>197</v>
      </c>
      <c r="K2574" t="s">
        <v>250</v>
      </c>
      <c r="L2574">
        <v>10000000</v>
      </c>
      <c r="M2574" t="s">
        <v>245</v>
      </c>
      <c r="N2574" t="s">
        <v>1979</v>
      </c>
    </row>
    <row r="2575" spans="1:16" hidden="1" x14ac:dyDescent="0.25">
      <c r="A2575" s="16">
        <v>45778</v>
      </c>
      <c r="B2575" t="s">
        <v>97</v>
      </c>
      <c r="C2575">
        <v>37</v>
      </c>
      <c r="D2575" t="s">
        <v>291</v>
      </c>
      <c r="E2575" t="s">
        <v>292</v>
      </c>
      <c r="F2575" t="s">
        <v>244</v>
      </c>
      <c r="G2575" t="s">
        <v>82</v>
      </c>
      <c r="H2575" t="s">
        <v>105</v>
      </c>
      <c r="I2575" t="s">
        <v>491</v>
      </c>
      <c r="J2575" t="s">
        <v>197</v>
      </c>
      <c r="K2575" t="s">
        <v>250</v>
      </c>
      <c r="L2575">
        <v>1.47</v>
      </c>
      <c r="M2575" t="s">
        <v>251</v>
      </c>
      <c r="N2575" t="s">
        <v>1980</v>
      </c>
    </row>
    <row r="2576" spans="1:16" hidden="1" x14ac:dyDescent="0.25">
      <c r="A2576" s="16">
        <v>45778</v>
      </c>
      <c r="B2576" t="s">
        <v>97</v>
      </c>
      <c r="C2576">
        <v>37</v>
      </c>
      <c r="D2576" t="s">
        <v>291</v>
      </c>
      <c r="E2576" t="s">
        <v>292</v>
      </c>
      <c r="F2576" t="s">
        <v>244</v>
      </c>
      <c r="G2576" t="s">
        <v>82</v>
      </c>
      <c r="H2576" t="s">
        <v>105</v>
      </c>
      <c r="I2576" t="s">
        <v>493</v>
      </c>
      <c r="J2576" t="s">
        <v>197</v>
      </c>
      <c r="K2576" t="s">
        <v>250</v>
      </c>
      <c r="L2576">
        <v>98.53</v>
      </c>
      <c r="M2576" t="s">
        <v>251</v>
      </c>
      <c r="N2576" t="s">
        <v>1981</v>
      </c>
    </row>
    <row r="2577" spans="1:16" hidden="1" x14ac:dyDescent="0.25">
      <c r="A2577" s="16">
        <v>45778</v>
      </c>
      <c r="B2577" t="s">
        <v>97</v>
      </c>
      <c r="C2577">
        <v>37</v>
      </c>
      <c r="D2577" t="s">
        <v>291</v>
      </c>
      <c r="E2577" t="s">
        <v>292</v>
      </c>
      <c r="F2577" t="s">
        <v>244</v>
      </c>
      <c r="G2577" t="s">
        <v>82</v>
      </c>
      <c r="H2577" t="s">
        <v>106</v>
      </c>
      <c r="I2577" t="s">
        <v>491</v>
      </c>
      <c r="J2577" t="s">
        <v>197</v>
      </c>
      <c r="K2577" t="s">
        <v>250</v>
      </c>
      <c r="L2577">
        <v>6.8</v>
      </c>
      <c r="M2577" t="s">
        <v>251</v>
      </c>
      <c r="N2577" t="s">
        <v>1982</v>
      </c>
    </row>
    <row r="2578" spans="1:16" hidden="1" x14ac:dyDescent="0.25">
      <c r="A2578" s="16">
        <v>45778</v>
      </c>
      <c r="B2578" t="s">
        <v>97</v>
      </c>
      <c r="C2578">
        <v>37</v>
      </c>
      <c r="D2578" t="s">
        <v>291</v>
      </c>
      <c r="E2578" t="s">
        <v>292</v>
      </c>
      <c r="F2578" t="s">
        <v>244</v>
      </c>
      <c r="G2578" t="s">
        <v>82</v>
      </c>
      <c r="H2578" t="s">
        <v>106</v>
      </c>
      <c r="I2578" t="s">
        <v>493</v>
      </c>
      <c r="J2578" t="s">
        <v>197</v>
      </c>
      <c r="K2578" t="s">
        <v>250</v>
      </c>
      <c r="L2578">
        <v>93.2</v>
      </c>
      <c r="M2578" t="s">
        <v>251</v>
      </c>
      <c r="N2578" t="s">
        <v>1983</v>
      </c>
    </row>
    <row r="2579" spans="1:16" hidden="1" x14ac:dyDescent="0.25">
      <c r="A2579" s="16">
        <v>45778</v>
      </c>
      <c r="B2579" t="s">
        <v>97</v>
      </c>
      <c r="C2579">
        <v>37</v>
      </c>
      <c r="D2579" t="s">
        <v>291</v>
      </c>
      <c r="E2579" t="s">
        <v>292</v>
      </c>
      <c r="F2579" t="s">
        <v>244</v>
      </c>
      <c r="G2579" t="s">
        <v>82</v>
      </c>
      <c r="H2579" t="s">
        <v>83</v>
      </c>
      <c r="I2579" t="s">
        <v>497</v>
      </c>
      <c r="J2579" t="s">
        <v>197</v>
      </c>
      <c r="K2579" t="s">
        <v>250</v>
      </c>
      <c r="L2579">
        <v>3.51</v>
      </c>
      <c r="M2579" t="s">
        <v>251</v>
      </c>
      <c r="N2579" t="s">
        <v>1464</v>
      </c>
    </row>
    <row r="2580" spans="1:16" hidden="1" x14ac:dyDescent="0.25">
      <c r="A2580" s="16">
        <v>45778</v>
      </c>
      <c r="B2580" t="s">
        <v>97</v>
      </c>
      <c r="C2580">
        <v>37</v>
      </c>
      <c r="D2580" t="s">
        <v>291</v>
      </c>
      <c r="E2580" t="s">
        <v>292</v>
      </c>
      <c r="F2580" t="s">
        <v>244</v>
      </c>
      <c r="G2580" t="s">
        <v>82</v>
      </c>
      <c r="H2580" t="s">
        <v>83</v>
      </c>
      <c r="I2580" t="s">
        <v>499</v>
      </c>
      <c r="J2580" t="s">
        <v>197</v>
      </c>
      <c r="K2580" t="s">
        <v>250</v>
      </c>
      <c r="L2580">
        <v>0</v>
      </c>
      <c r="M2580" t="s">
        <v>251</v>
      </c>
      <c r="N2580" t="s">
        <v>1271</v>
      </c>
    </row>
    <row r="2581" spans="1:16" hidden="1" x14ac:dyDescent="0.25">
      <c r="A2581" s="16">
        <v>45778</v>
      </c>
      <c r="B2581" t="s">
        <v>97</v>
      </c>
      <c r="C2581">
        <v>37</v>
      </c>
      <c r="D2581" t="s">
        <v>291</v>
      </c>
      <c r="E2581" t="s">
        <v>292</v>
      </c>
      <c r="F2581" t="s">
        <v>244</v>
      </c>
      <c r="G2581" t="s">
        <v>82</v>
      </c>
      <c r="H2581" t="s">
        <v>83</v>
      </c>
      <c r="I2581" t="s">
        <v>501</v>
      </c>
      <c r="J2581" t="s">
        <v>197</v>
      </c>
      <c r="K2581" t="s">
        <v>250</v>
      </c>
      <c r="L2581">
        <v>2.15</v>
      </c>
      <c r="M2581" t="s">
        <v>251</v>
      </c>
      <c r="N2581" t="s">
        <v>1812</v>
      </c>
    </row>
    <row r="2582" spans="1:16" hidden="1" x14ac:dyDescent="0.25">
      <c r="A2582" s="16">
        <v>45778</v>
      </c>
      <c r="B2582" t="s">
        <v>97</v>
      </c>
      <c r="C2582">
        <v>37</v>
      </c>
      <c r="D2582" t="s">
        <v>291</v>
      </c>
      <c r="E2582" t="s">
        <v>292</v>
      </c>
      <c r="F2582" t="s">
        <v>244</v>
      </c>
      <c r="G2582" t="s">
        <v>82</v>
      </c>
      <c r="H2582" t="s">
        <v>83</v>
      </c>
      <c r="I2582" t="s">
        <v>503</v>
      </c>
      <c r="J2582" t="s">
        <v>197</v>
      </c>
      <c r="K2582" t="s">
        <v>250</v>
      </c>
      <c r="L2582">
        <v>4.16</v>
      </c>
      <c r="M2582" t="s">
        <v>251</v>
      </c>
      <c r="N2582" t="s">
        <v>1984</v>
      </c>
    </row>
    <row r="2583" spans="1:16" hidden="1" x14ac:dyDescent="0.25">
      <c r="A2583" s="16">
        <v>45778</v>
      </c>
      <c r="B2583" t="s">
        <v>97</v>
      </c>
      <c r="C2583">
        <v>37</v>
      </c>
      <c r="D2583" t="s">
        <v>291</v>
      </c>
      <c r="E2583" t="s">
        <v>292</v>
      </c>
      <c r="F2583" t="s">
        <v>244</v>
      </c>
      <c r="G2583" t="s">
        <v>82</v>
      </c>
      <c r="H2583" t="s">
        <v>83</v>
      </c>
      <c r="I2583" t="s">
        <v>315</v>
      </c>
      <c r="J2583" t="s">
        <v>197</v>
      </c>
      <c r="K2583" t="s">
        <v>250</v>
      </c>
      <c r="L2583">
        <v>75.11</v>
      </c>
      <c r="M2583" t="s">
        <v>251</v>
      </c>
      <c r="N2583" t="s">
        <v>1985</v>
      </c>
    </row>
    <row r="2584" spans="1:16" hidden="1" x14ac:dyDescent="0.25">
      <c r="A2584" s="16">
        <v>45778</v>
      </c>
      <c r="B2584" t="s">
        <v>97</v>
      </c>
      <c r="C2584">
        <v>37</v>
      </c>
      <c r="D2584" t="s">
        <v>291</v>
      </c>
      <c r="E2584" t="s">
        <v>292</v>
      </c>
      <c r="F2584" t="s">
        <v>244</v>
      </c>
      <c r="G2584" t="s">
        <v>82</v>
      </c>
      <c r="H2584" t="s">
        <v>83</v>
      </c>
      <c r="I2584" t="s">
        <v>317</v>
      </c>
      <c r="J2584" t="s">
        <v>197</v>
      </c>
      <c r="K2584" t="s">
        <v>250</v>
      </c>
      <c r="L2584">
        <v>15.07</v>
      </c>
      <c r="M2584" t="s">
        <v>251</v>
      </c>
      <c r="N2584" t="s">
        <v>1986</v>
      </c>
    </row>
    <row r="2585" spans="1:16" hidden="1" x14ac:dyDescent="0.25">
      <c r="A2585" s="16">
        <v>45778</v>
      </c>
      <c r="B2585" t="s">
        <v>97</v>
      </c>
      <c r="C2585">
        <v>37</v>
      </c>
      <c r="D2585" t="s">
        <v>291</v>
      </c>
      <c r="E2585" t="s">
        <v>292</v>
      </c>
      <c r="F2585" t="s">
        <v>244</v>
      </c>
      <c r="G2585" t="s">
        <v>82</v>
      </c>
      <c r="H2585" t="s">
        <v>84</v>
      </c>
      <c r="I2585" t="s">
        <v>84</v>
      </c>
      <c r="J2585" t="s">
        <v>197</v>
      </c>
      <c r="K2585" t="s">
        <v>250</v>
      </c>
      <c r="L2585">
        <v>85.87</v>
      </c>
      <c r="M2585" t="s">
        <v>251</v>
      </c>
      <c r="N2585" t="s">
        <v>1987</v>
      </c>
    </row>
    <row r="2586" spans="1:16" hidden="1" x14ac:dyDescent="0.25">
      <c r="A2586" s="16">
        <v>45778</v>
      </c>
      <c r="B2586" t="s">
        <v>97</v>
      </c>
      <c r="C2586">
        <v>37</v>
      </c>
      <c r="D2586" t="s">
        <v>291</v>
      </c>
      <c r="E2586" t="s">
        <v>292</v>
      </c>
      <c r="F2586" t="s">
        <v>244</v>
      </c>
      <c r="G2586" t="s">
        <v>82</v>
      </c>
      <c r="H2586" t="s">
        <v>84</v>
      </c>
      <c r="I2586" t="s">
        <v>321</v>
      </c>
      <c r="J2586" t="s">
        <v>197</v>
      </c>
      <c r="K2586" t="s">
        <v>250</v>
      </c>
      <c r="L2586">
        <v>14.13</v>
      </c>
      <c r="M2586" t="s">
        <v>251</v>
      </c>
      <c r="N2586" t="s">
        <v>1988</v>
      </c>
    </row>
    <row r="2587" spans="1:16" hidden="1" x14ac:dyDescent="0.25">
      <c r="A2587" s="16">
        <v>45778</v>
      </c>
      <c r="B2587" t="s">
        <v>97</v>
      </c>
      <c r="C2587">
        <v>38</v>
      </c>
      <c r="D2587" t="s">
        <v>253</v>
      </c>
      <c r="E2587" t="s">
        <v>248</v>
      </c>
      <c r="F2587" t="s">
        <v>334</v>
      </c>
      <c r="G2587" t="s">
        <v>82</v>
      </c>
      <c r="J2587" t="s">
        <v>195</v>
      </c>
      <c r="K2587" t="s">
        <v>255</v>
      </c>
      <c r="L2587">
        <v>74</v>
      </c>
      <c r="M2587" t="s">
        <v>245</v>
      </c>
      <c r="N2587" t="s">
        <v>1644</v>
      </c>
      <c r="O2587">
        <v>1</v>
      </c>
      <c r="P2587" t="s">
        <v>257</v>
      </c>
    </row>
    <row r="2588" spans="1:16" hidden="1" x14ac:dyDescent="0.25">
      <c r="A2588" s="16">
        <v>45778</v>
      </c>
      <c r="B2588" t="s">
        <v>97</v>
      </c>
      <c r="C2588">
        <v>38</v>
      </c>
      <c r="D2588" t="s">
        <v>253</v>
      </c>
      <c r="E2588" t="s">
        <v>248</v>
      </c>
      <c r="F2588" t="s">
        <v>334</v>
      </c>
      <c r="G2588" t="s">
        <v>82</v>
      </c>
      <c r="J2588" t="s">
        <v>196</v>
      </c>
      <c r="K2588" t="s">
        <v>255</v>
      </c>
      <c r="L2588">
        <v>67</v>
      </c>
      <c r="M2588" t="s">
        <v>245</v>
      </c>
      <c r="N2588" t="s">
        <v>1818</v>
      </c>
      <c r="O2588">
        <v>1</v>
      </c>
      <c r="P2588" t="s">
        <v>257</v>
      </c>
    </row>
    <row r="2589" spans="1:16" hidden="1" x14ac:dyDescent="0.25">
      <c r="A2589" s="16">
        <v>45778</v>
      </c>
      <c r="B2589" t="s">
        <v>97</v>
      </c>
      <c r="C2589">
        <v>38</v>
      </c>
      <c r="D2589" t="s">
        <v>253</v>
      </c>
      <c r="E2589" t="s">
        <v>248</v>
      </c>
      <c r="F2589" t="s">
        <v>334</v>
      </c>
      <c r="G2589" t="s">
        <v>82</v>
      </c>
      <c r="J2589" t="s">
        <v>197</v>
      </c>
      <c r="K2589" t="s">
        <v>255</v>
      </c>
      <c r="L2589">
        <v>66</v>
      </c>
      <c r="M2589" t="s">
        <v>245</v>
      </c>
      <c r="N2589" t="s">
        <v>1989</v>
      </c>
      <c r="O2589">
        <v>1</v>
      </c>
      <c r="P2589" t="s">
        <v>261</v>
      </c>
    </row>
    <row r="2590" spans="1:16" hidden="1" x14ac:dyDescent="0.25">
      <c r="A2590" s="16">
        <v>45778</v>
      </c>
      <c r="B2590" t="s">
        <v>97</v>
      </c>
      <c r="C2590">
        <v>39</v>
      </c>
      <c r="D2590" t="s">
        <v>291</v>
      </c>
      <c r="E2590" t="s">
        <v>292</v>
      </c>
      <c r="F2590" t="s">
        <v>240</v>
      </c>
      <c r="G2590" t="s">
        <v>82</v>
      </c>
      <c r="H2590" t="s">
        <v>94</v>
      </c>
      <c r="J2590" t="s">
        <v>197</v>
      </c>
      <c r="K2590" t="s">
        <v>250</v>
      </c>
      <c r="L2590">
        <v>2220000</v>
      </c>
      <c r="M2590" t="s">
        <v>242</v>
      </c>
      <c r="N2590" t="s">
        <v>1990</v>
      </c>
    </row>
    <row r="2591" spans="1:16" hidden="1" x14ac:dyDescent="0.25">
      <c r="A2591" s="16">
        <v>45778</v>
      </c>
      <c r="B2591" t="s">
        <v>97</v>
      </c>
      <c r="C2591">
        <v>39</v>
      </c>
      <c r="D2591" t="s">
        <v>291</v>
      </c>
      <c r="E2591" t="s">
        <v>292</v>
      </c>
      <c r="F2591" t="s">
        <v>240</v>
      </c>
      <c r="G2591" t="s">
        <v>82</v>
      </c>
      <c r="H2591" t="s">
        <v>95</v>
      </c>
      <c r="J2591" t="s">
        <v>197</v>
      </c>
      <c r="K2591" t="s">
        <v>250</v>
      </c>
      <c r="L2591">
        <v>2830000</v>
      </c>
      <c r="M2591" t="s">
        <v>242</v>
      </c>
      <c r="N2591" t="s">
        <v>1991</v>
      </c>
    </row>
    <row r="2592" spans="1:16" hidden="1" x14ac:dyDescent="0.25">
      <c r="A2592" s="16">
        <v>45778</v>
      </c>
      <c r="B2592" t="s">
        <v>97</v>
      </c>
      <c r="C2592">
        <v>40</v>
      </c>
      <c r="D2592" t="s">
        <v>291</v>
      </c>
      <c r="E2592" t="s">
        <v>292</v>
      </c>
      <c r="F2592" t="s">
        <v>244</v>
      </c>
      <c r="G2592" t="s">
        <v>82</v>
      </c>
      <c r="H2592" t="s">
        <v>94</v>
      </c>
      <c r="J2592" t="s">
        <v>197</v>
      </c>
      <c r="K2592" t="s">
        <v>250</v>
      </c>
      <c r="L2592">
        <v>101300000</v>
      </c>
      <c r="M2592" t="s">
        <v>245</v>
      </c>
      <c r="N2592" t="s">
        <v>1298</v>
      </c>
    </row>
    <row r="2593" spans="1:14" hidden="1" x14ac:dyDescent="0.25">
      <c r="A2593" s="16">
        <v>45778</v>
      </c>
      <c r="B2593" t="s">
        <v>97</v>
      </c>
      <c r="C2593">
        <v>40</v>
      </c>
      <c r="D2593" t="s">
        <v>291</v>
      </c>
      <c r="E2593" t="s">
        <v>292</v>
      </c>
      <c r="F2593" t="s">
        <v>244</v>
      </c>
      <c r="G2593" t="s">
        <v>82</v>
      </c>
      <c r="H2593" t="s">
        <v>95</v>
      </c>
      <c r="J2593" t="s">
        <v>197</v>
      </c>
      <c r="K2593" t="s">
        <v>250</v>
      </c>
      <c r="L2593">
        <v>116600000</v>
      </c>
      <c r="M2593" t="s">
        <v>245</v>
      </c>
      <c r="N2593" t="s">
        <v>1992</v>
      </c>
    </row>
    <row r="2594" spans="1:14" hidden="1" x14ac:dyDescent="0.25">
      <c r="A2594" s="16">
        <v>45778</v>
      </c>
      <c r="B2594" t="s">
        <v>535</v>
      </c>
      <c r="C2594">
        <v>4</v>
      </c>
      <c r="D2594" t="s">
        <v>238</v>
      </c>
      <c r="E2594" t="s">
        <v>239</v>
      </c>
      <c r="F2594" t="s">
        <v>240</v>
      </c>
      <c r="G2594" t="s">
        <v>82</v>
      </c>
      <c r="J2594" t="s">
        <v>197</v>
      </c>
      <c r="K2594" t="s">
        <v>250</v>
      </c>
      <c r="L2594">
        <v>13730000</v>
      </c>
      <c r="M2594" t="s">
        <v>242</v>
      </c>
      <c r="N2594" t="s">
        <v>1993</v>
      </c>
    </row>
    <row r="2595" spans="1:14" hidden="1" x14ac:dyDescent="0.25">
      <c r="A2595" s="16">
        <v>45778</v>
      </c>
      <c r="B2595" t="s">
        <v>535</v>
      </c>
      <c r="C2595">
        <v>4</v>
      </c>
      <c r="D2595" t="s">
        <v>238</v>
      </c>
      <c r="E2595" t="s">
        <v>239</v>
      </c>
      <c r="F2595" t="s">
        <v>285</v>
      </c>
      <c r="G2595" t="s">
        <v>63</v>
      </c>
      <c r="J2595" t="s">
        <v>197</v>
      </c>
      <c r="K2595" t="s">
        <v>250</v>
      </c>
      <c r="L2595">
        <v>1850000</v>
      </c>
      <c r="M2595" t="s">
        <v>242</v>
      </c>
      <c r="N2595" t="s">
        <v>1994</v>
      </c>
    </row>
    <row r="2596" spans="1:14" hidden="1" x14ac:dyDescent="0.25">
      <c r="A2596" s="16">
        <v>45778</v>
      </c>
      <c r="B2596" t="s">
        <v>535</v>
      </c>
      <c r="C2596">
        <v>4</v>
      </c>
      <c r="D2596" t="s">
        <v>238</v>
      </c>
      <c r="E2596" t="s">
        <v>239</v>
      </c>
      <c r="F2596" t="s">
        <v>244</v>
      </c>
      <c r="G2596" t="s">
        <v>82</v>
      </c>
      <c r="J2596" t="s">
        <v>197</v>
      </c>
      <c r="K2596" t="s">
        <v>250</v>
      </c>
      <c r="L2596">
        <v>1640000000</v>
      </c>
      <c r="M2596" t="s">
        <v>245</v>
      </c>
      <c r="N2596" t="s">
        <v>1913</v>
      </c>
    </row>
    <row r="2597" spans="1:14" hidden="1" x14ac:dyDescent="0.25">
      <c r="A2597" s="16">
        <v>45778</v>
      </c>
      <c r="B2597" t="s">
        <v>535</v>
      </c>
      <c r="C2597">
        <v>5</v>
      </c>
      <c r="D2597" t="s">
        <v>238</v>
      </c>
      <c r="E2597" t="s">
        <v>239</v>
      </c>
      <c r="F2597" t="s">
        <v>240</v>
      </c>
      <c r="G2597" t="s">
        <v>82</v>
      </c>
      <c r="J2597" t="s">
        <v>197</v>
      </c>
      <c r="K2597" t="s">
        <v>250</v>
      </c>
      <c r="L2597">
        <v>8210000</v>
      </c>
      <c r="M2597" t="s">
        <v>242</v>
      </c>
      <c r="N2597" t="s">
        <v>1995</v>
      </c>
    </row>
    <row r="2598" spans="1:14" hidden="1" x14ac:dyDescent="0.25">
      <c r="A2598" s="16">
        <v>45778</v>
      </c>
      <c r="B2598" t="s">
        <v>535</v>
      </c>
      <c r="C2598">
        <v>5</v>
      </c>
      <c r="D2598" t="s">
        <v>238</v>
      </c>
      <c r="E2598" t="s">
        <v>239</v>
      </c>
      <c r="F2598" t="s">
        <v>285</v>
      </c>
      <c r="G2598" t="s">
        <v>63</v>
      </c>
      <c r="J2598" t="s">
        <v>197</v>
      </c>
      <c r="K2598" t="s">
        <v>250</v>
      </c>
      <c r="L2598">
        <v>2660000</v>
      </c>
      <c r="M2598" t="s">
        <v>242</v>
      </c>
      <c r="N2598" t="s">
        <v>1996</v>
      </c>
    </row>
    <row r="2599" spans="1:14" hidden="1" x14ac:dyDescent="0.25">
      <c r="A2599" s="16">
        <v>45778</v>
      </c>
      <c r="B2599" t="s">
        <v>535</v>
      </c>
      <c r="C2599">
        <v>5</v>
      </c>
      <c r="D2599" t="s">
        <v>238</v>
      </c>
      <c r="E2599" t="s">
        <v>239</v>
      </c>
      <c r="F2599" t="s">
        <v>244</v>
      </c>
      <c r="G2599" t="s">
        <v>82</v>
      </c>
      <c r="J2599" t="s">
        <v>197</v>
      </c>
      <c r="K2599" t="s">
        <v>250</v>
      </c>
      <c r="L2599">
        <v>543000000</v>
      </c>
      <c r="M2599" t="s">
        <v>245</v>
      </c>
      <c r="N2599" t="s">
        <v>1997</v>
      </c>
    </row>
    <row r="2600" spans="1:14" hidden="1" x14ac:dyDescent="0.25">
      <c r="A2600" s="16">
        <v>45778</v>
      </c>
      <c r="B2600" t="s">
        <v>535</v>
      </c>
      <c r="C2600">
        <v>6</v>
      </c>
      <c r="D2600" t="s">
        <v>238</v>
      </c>
      <c r="E2600" t="s">
        <v>239</v>
      </c>
      <c r="F2600" t="s">
        <v>378</v>
      </c>
      <c r="G2600" t="s">
        <v>379</v>
      </c>
      <c r="J2600" t="s">
        <v>197</v>
      </c>
      <c r="K2600" t="s">
        <v>250</v>
      </c>
      <c r="L2600">
        <v>620</v>
      </c>
      <c r="M2600" t="s">
        <v>242</v>
      </c>
      <c r="N2600" t="s">
        <v>1886</v>
      </c>
    </row>
    <row r="2601" spans="1:14" hidden="1" x14ac:dyDescent="0.25">
      <c r="A2601" s="16">
        <v>45778</v>
      </c>
      <c r="B2601" t="s">
        <v>535</v>
      </c>
      <c r="C2601">
        <v>6</v>
      </c>
      <c r="D2601" t="s">
        <v>238</v>
      </c>
      <c r="E2601" t="s">
        <v>239</v>
      </c>
      <c r="F2601" t="s">
        <v>381</v>
      </c>
      <c r="G2601" t="s">
        <v>382</v>
      </c>
      <c r="J2601" t="s">
        <v>197</v>
      </c>
      <c r="K2601" t="s">
        <v>250</v>
      </c>
      <c r="L2601">
        <v>2138</v>
      </c>
      <c r="M2601" t="s">
        <v>242</v>
      </c>
      <c r="N2601" t="s">
        <v>1887</v>
      </c>
    </row>
    <row r="2602" spans="1:14" hidden="1" x14ac:dyDescent="0.25">
      <c r="A2602" s="16">
        <v>45778</v>
      </c>
      <c r="B2602" t="s">
        <v>535</v>
      </c>
      <c r="C2602">
        <v>6</v>
      </c>
      <c r="D2602" t="s">
        <v>238</v>
      </c>
      <c r="E2602" t="s">
        <v>239</v>
      </c>
      <c r="F2602" t="s">
        <v>240</v>
      </c>
      <c r="G2602" t="s">
        <v>82</v>
      </c>
      <c r="J2602" t="s">
        <v>197</v>
      </c>
      <c r="K2602" t="s">
        <v>250</v>
      </c>
      <c r="L2602">
        <v>5760000</v>
      </c>
      <c r="M2602" t="s">
        <v>242</v>
      </c>
      <c r="N2602" t="s">
        <v>1998</v>
      </c>
    </row>
    <row r="2603" spans="1:14" hidden="1" x14ac:dyDescent="0.25">
      <c r="A2603" s="16">
        <v>45778</v>
      </c>
      <c r="B2603" t="s">
        <v>535</v>
      </c>
      <c r="C2603">
        <v>6</v>
      </c>
      <c r="D2603" t="s">
        <v>238</v>
      </c>
      <c r="E2603" t="s">
        <v>239</v>
      </c>
      <c r="F2603" t="s">
        <v>285</v>
      </c>
      <c r="G2603" t="s">
        <v>63</v>
      </c>
      <c r="J2603" t="s">
        <v>197</v>
      </c>
      <c r="K2603" t="s">
        <v>250</v>
      </c>
      <c r="L2603">
        <v>4730000</v>
      </c>
      <c r="M2603" t="s">
        <v>242</v>
      </c>
      <c r="N2603" t="s">
        <v>1885</v>
      </c>
    </row>
    <row r="2604" spans="1:14" hidden="1" x14ac:dyDescent="0.25">
      <c r="A2604" s="16">
        <v>45778</v>
      </c>
      <c r="B2604" t="s">
        <v>535</v>
      </c>
      <c r="C2604">
        <v>6</v>
      </c>
      <c r="D2604" t="s">
        <v>238</v>
      </c>
      <c r="E2604" t="s">
        <v>239</v>
      </c>
      <c r="F2604" t="s">
        <v>244</v>
      </c>
      <c r="G2604" t="s">
        <v>82</v>
      </c>
      <c r="J2604" t="s">
        <v>197</v>
      </c>
      <c r="K2604" t="s">
        <v>250</v>
      </c>
      <c r="L2604">
        <v>1130000000</v>
      </c>
      <c r="M2604" t="s">
        <v>245</v>
      </c>
      <c r="N2604" t="s">
        <v>679</v>
      </c>
    </row>
    <row r="2605" spans="1:14" hidden="1" x14ac:dyDescent="0.25">
      <c r="A2605" s="16">
        <v>45778</v>
      </c>
      <c r="B2605" t="s">
        <v>535</v>
      </c>
      <c r="C2605">
        <v>7</v>
      </c>
      <c r="D2605" t="s">
        <v>238</v>
      </c>
      <c r="E2605" t="s">
        <v>239</v>
      </c>
      <c r="F2605" t="s">
        <v>544</v>
      </c>
      <c r="G2605" t="s">
        <v>82</v>
      </c>
      <c r="J2605" t="s">
        <v>197</v>
      </c>
      <c r="K2605" t="s">
        <v>250</v>
      </c>
      <c r="L2605">
        <v>970000</v>
      </c>
      <c r="M2605" t="s">
        <v>242</v>
      </c>
      <c r="N2605" t="s">
        <v>1999</v>
      </c>
    </row>
    <row r="2606" spans="1:14" hidden="1" x14ac:dyDescent="0.25">
      <c r="A2606" s="16">
        <v>45778</v>
      </c>
      <c r="B2606" t="s">
        <v>535</v>
      </c>
      <c r="C2606">
        <v>7</v>
      </c>
      <c r="D2606" t="s">
        <v>238</v>
      </c>
      <c r="E2606" t="s">
        <v>239</v>
      </c>
      <c r="F2606" t="s">
        <v>240</v>
      </c>
      <c r="G2606" t="s">
        <v>82</v>
      </c>
      <c r="J2606" t="s">
        <v>197</v>
      </c>
      <c r="K2606" t="s">
        <v>250</v>
      </c>
      <c r="L2606">
        <v>980000</v>
      </c>
      <c r="M2606" t="s">
        <v>242</v>
      </c>
      <c r="N2606" t="s">
        <v>2000</v>
      </c>
    </row>
    <row r="2607" spans="1:14" hidden="1" x14ac:dyDescent="0.25">
      <c r="A2607" s="16">
        <v>45778</v>
      </c>
      <c r="B2607" t="s">
        <v>535</v>
      </c>
      <c r="C2607">
        <v>7</v>
      </c>
      <c r="D2607" t="s">
        <v>238</v>
      </c>
      <c r="E2607" t="s">
        <v>239</v>
      </c>
      <c r="F2607" t="s">
        <v>929</v>
      </c>
      <c r="G2607" t="s">
        <v>82</v>
      </c>
      <c r="J2607" t="s">
        <v>197</v>
      </c>
      <c r="K2607" t="s">
        <v>250</v>
      </c>
      <c r="L2607">
        <v>792000000</v>
      </c>
      <c r="M2607" t="s">
        <v>245</v>
      </c>
      <c r="N2607" t="s">
        <v>2001</v>
      </c>
    </row>
    <row r="2608" spans="1:14" hidden="1" x14ac:dyDescent="0.25">
      <c r="A2608" s="16">
        <v>45778</v>
      </c>
      <c r="B2608" t="s">
        <v>535</v>
      </c>
      <c r="C2608">
        <v>8</v>
      </c>
      <c r="D2608" t="s">
        <v>238</v>
      </c>
      <c r="E2608" t="s">
        <v>239</v>
      </c>
      <c r="F2608" t="s">
        <v>548</v>
      </c>
      <c r="G2608" t="s">
        <v>158</v>
      </c>
      <c r="J2608" t="s">
        <v>197</v>
      </c>
      <c r="K2608" t="s">
        <v>250</v>
      </c>
      <c r="L2608">
        <v>443000</v>
      </c>
      <c r="M2608" t="s">
        <v>242</v>
      </c>
      <c r="N2608" t="s">
        <v>2002</v>
      </c>
    </row>
    <row r="2609" spans="1:17" hidden="1" x14ac:dyDescent="0.25">
      <c r="A2609" s="16">
        <v>45778</v>
      </c>
      <c r="B2609" t="s">
        <v>535</v>
      </c>
      <c r="C2609">
        <v>8</v>
      </c>
      <c r="D2609" t="s">
        <v>238</v>
      </c>
      <c r="E2609" t="s">
        <v>239</v>
      </c>
      <c r="F2609" t="s">
        <v>349</v>
      </c>
      <c r="G2609" t="s">
        <v>158</v>
      </c>
      <c r="J2609" t="s">
        <v>197</v>
      </c>
      <c r="K2609" t="s">
        <v>250</v>
      </c>
      <c r="L2609">
        <v>13900</v>
      </c>
      <c r="M2609" t="s">
        <v>242</v>
      </c>
      <c r="N2609" t="s">
        <v>2003</v>
      </c>
    </row>
    <row r="2610" spans="1:17" hidden="1" x14ac:dyDescent="0.25">
      <c r="A2610" s="16">
        <v>45778</v>
      </c>
      <c r="B2610" t="s">
        <v>535</v>
      </c>
      <c r="C2610">
        <v>8</v>
      </c>
      <c r="D2610" t="s">
        <v>238</v>
      </c>
      <c r="E2610" t="s">
        <v>239</v>
      </c>
      <c r="F2610" t="s">
        <v>551</v>
      </c>
      <c r="G2610" t="s">
        <v>158</v>
      </c>
      <c r="J2610" t="s">
        <v>197</v>
      </c>
      <c r="K2610" t="s">
        <v>250</v>
      </c>
      <c r="L2610">
        <v>3090000000</v>
      </c>
      <c r="M2610" t="s">
        <v>245</v>
      </c>
      <c r="N2610" t="s">
        <v>2004</v>
      </c>
    </row>
    <row r="2611" spans="1:17" hidden="1" x14ac:dyDescent="0.25">
      <c r="A2611" s="16">
        <v>45778</v>
      </c>
      <c r="B2611" t="s">
        <v>535</v>
      </c>
      <c r="C2611">
        <v>8</v>
      </c>
      <c r="D2611" t="s">
        <v>238</v>
      </c>
      <c r="E2611" t="s">
        <v>239</v>
      </c>
      <c r="F2611" t="s">
        <v>361</v>
      </c>
      <c r="G2611" t="s">
        <v>158</v>
      </c>
      <c r="J2611" t="s">
        <v>197</v>
      </c>
      <c r="K2611" t="s">
        <v>250</v>
      </c>
      <c r="L2611">
        <v>93000000</v>
      </c>
      <c r="M2611" t="s">
        <v>245</v>
      </c>
      <c r="N2611" t="s">
        <v>2005</v>
      </c>
    </row>
    <row r="2612" spans="1:17" hidden="1" x14ac:dyDescent="0.25">
      <c r="A2612" s="16">
        <v>45809</v>
      </c>
      <c r="B2612" t="s">
        <v>142</v>
      </c>
      <c r="C2612">
        <v>72</v>
      </c>
      <c r="D2612" t="s">
        <v>238</v>
      </c>
      <c r="E2612" t="s">
        <v>239</v>
      </c>
      <c r="F2612" t="s">
        <v>240</v>
      </c>
      <c r="G2612" t="s">
        <v>82</v>
      </c>
      <c r="J2612" t="s">
        <v>198</v>
      </c>
      <c r="K2612" t="s">
        <v>241</v>
      </c>
      <c r="L2612">
        <v>5840000</v>
      </c>
      <c r="M2612" t="s">
        <v>242</v>
      </c>
      <c r="N2612" t="s">
        <v>796</v>
      </c>
    </row>
    <row r="2613" spans="1:17" hidden="1" x14ac:dyDescent="0.25">
      <c r="A2613" s="16">
        <v>45809</v>
      </c>
      <c r="B2613" t="s">
        <v>142</v>
      </c>
      <c r="C2613">
        <v>72</v>
      </c>
      <c r="D2613" t="s">
        <v>238</v>
      </c>
      <c r="E2613" t="s">
        <v>239</v>
      </c>
      <c r="F2613" t="s">
        <v>244</v>
      </c>
      <c r="G2613" t="s">
        <v>82</v>
      </c>
      <c r="J2613" t="s">
        <v>198</v>
      </c>
      <c r="K2613" t="s">
        <v>241</v>
      </c>
      <c r="L2613">
        <v>4770000000</v>
      </c>
      <c r="M2613" t="s">
        <v>245</v>
      </c>
      <c r="N2613" t="s">
        <v>2006</v>
      </c>
    </row>
    <row r="2614" spans="1:17" hidden="1" x14ac:dyDescent="0.25">
      <c r="A2614" s="16">
        <v>45809</v>
      </c>
      <c r="B2614" t="s">
        <v>142</v>
      </c>
      <c r="C2614">
        <v>74</v>
      </c>
      <c r="D2614" t="s">
        <v>253</v>
      </c>
      <c r="E2614" t="s">
        <v>248</v>
      </c>
      <c r="F2614" t="s">
        <v>240</v>
      </c>
      <c r="G2614" t="s">
        <v>82</v>
      </c>
      <c r="J2614" t="s">
        <v>196</v>
      </c>
      <c r="K2614" t="s">
        <v>255</v>
      </c>
      <c r="L2614">
        <v>929000</v>
      </c>
      <c r="M2614" t="s">
        <v>242</v>
      </c>
      <c r="N2614" t="s">
        <v>1431</v>
      </c>
      <c r="O2614">
        <v>1</v>
      </c>
      <c r="P2614" t="s">
        <v>257</v>
      </c>
      <c r="Q2614" t="s">
        <v>2007</v>
      </c>
    </row>
    <row r="2615" spans="1:17" hidden="1" x14ac:dyDescent="0.25">
      <c r="A2615" s="16">
        <v>45809</v>
      </c>
      <c r="B2615" t="s">
        <v>142</v>
      </c>
      <c r="C2615">
        <v>74</v>
      </c>
      <c r="D2615" t="s">
        <v>253</v>
      </c>
      <c r="E2615" t="s">
        <v>248</v>
      </c>
      <c r="F2615" t="s">
        <v>240</v>
      </c>
      <c r="G2615" t="s">
        <v>82</v>
      </c>
      <c r="J2615" t="s">
        <v>197</v>
      </c>
      <c r="K2615" t="s">
        <v>255</v>
      </c>
      <c r="L2615">
        <v>972000</v>
      </c>
      <c r="M2615" t="s">
        <v>242</v>
      </c>
      <c r="N2615" t="s">
        <v>2008</v>
      </c>
      <c r="O2615">
        <v>1</v>
      </c>
      <c r="P2615" t="s">
        <v>257</v>
      </c>
      <c r="Q2615" t="s">
        <v>2009</v>
      </c>
    </row>
    <row r="2616" spans="1:17" hidden="1" x14ac:dyDescent="0.25">
      <c r="A2616" s="16">
        <v>45809</v>
      </c>
      <c r="B2616" t="s">
        <v>142</v>
      </c>
      <c r="C2616">
        <v>74</v>
      </c>
      <c r="D2616" t="s">
        <v>253</v>
      </c>
      <c r="E2616" t="s">
        <v>248</v>
      </c>
      <c r="F2616" t="s">
        <v>240</v>
      </c>
      <c r="G2616" t="s">
        <v>82</v>
      </c>
      <c r="J2616" t="s">
        <v>198</v>
      </c>
      <c r="K2616" t="s">
        <v>255</v>
      </c>
      <c r="L2616">
        <v>966000</v>
      </c>
      <c r="M2616" t="s">
        <v>242</v>
      </c>
      <c r="N2616" t="s">
        <v>2010</v>
      </c>
      <c r="O2616">
        <v>1</v>
      </c>
      <c r="P2616" t="s">
        <v>261</v>
      </c>
    </row>
    <row r="2617" spans="1:17" hidden="1" x14ac:dyDescent="0.25">
      <c r="A2617" s="16">
        <v>45809</v>
      </c>
      <c r="B2617" t="s">
        <v>142</v>
      </c>
      <c r="C2617">
        <v>74</v>
      </c>
      <c r="D2617" t="s">
        <v>247</v>
      </c>
      <c r="E2617" t="s">
        <v>248</v>
      </c>
      <c r="F2617" t="s">
        <v>240</v>
      </c>
      <c r="G2617" t="s">
        <v>82</v>
      </c>
      <c r="H2617" t="s">
        <v>249</v>
      </c>
      <c r="J2617" t="s">
        <v>198</v>
      </c>
      <c r="K2617" t="s">
        <v>250</v>
      </c>
      <c r="L2617">
        <v>0.6</v>
      </c>
      <c r="M2617" t="s">
        <v>251</v>
      </c>
      <c r="N2617" t="s">
        <v>483</v>
      </c>
    </row>
    <row r="2618" spans="1:17" hidden="1" x14ac:dyDescent="0.25">
      <c r="A2618" s="16">
        <v>45809</v>
      </c>
      <c r="B2618" t="s">
        <v>142</v>
      </c>
      <c r="C2618">
        <v>75</v>
      </c>
      <c r="D2618" t="s">
        <v>253</v>
      </c>
      <c r="E2618" t="s">
        <v>248</v>
      </c>
      <c r="F2618" t="s">
        <v>240</v>
      </c>
      <c r="G2618" t="s">
        <v>82</v>
      </c>
      <c r="H2618" t="s">
        <v>150</v>
      </c>
      <c r="J2618" t="s">
        <v>196</v>
      </c>
      <c r="K2618" t="s">
        <v>255</v>
      </c>
      <c r="L2618">
        <v>292</v>
      </c>
      <c r="M2618" t="s">
        <v>242</v>
      </c>
      <c r="N2618" t="s">
        <v>1662</v>
      </c>
      <c r="O2618">
        <v>1</v>
      </c>
      <c r="P2618" t="s">
        <v>257</v>
      </c>
    </row>
    <row r="2619" spans="1:17" hidden="1" x14ac:dyDescent="0.25">
      <c r="A2619" s="16">
        <v>45809</v>
      </c>
      <c r="B2619" t="s">
        <v>142</v>
      </c>
      <c r="C2619">
        <v>75</v>
      </c>
      <c r="D2619" t="s">
        <v>253</v>
      </c>
      <c r="E2619" t="s">
        <v>248</v>
      </c>
      <c r="F2619" t="s">
        <v>240</v>
      </c>
      <c r="G2619" t="s">
        <v>82</v>
      </c>
      <c r="H2619" t="s">
        <v>150</v>
      </c>
      <c r="J2619" t="s">
        <v>197</v>
      </c>
      <c r="K2619" t="s">
        <v>255</v>
      </c>
      <c r="L2619">
        <v>305</v>
      </c>
      <c r="M2619" t="s">
        <v>242</v>
      </c>
      <c r="N2619" t="s">
        <v>1838</v>
      </c>
      <c r="O2619">
        <v>1</v>
      </c>
      <c r="P2619" t="s">
        <v>257</v>
      </c>
    </row>
    <row r="2620" spans="1:17" hidden="1" x14ac:dyDescent="0.25">
      <c r="A2620" s="16">
        <v>45809</v>
      </c>
      <c r="B2620" t="s">
        <v>142</v>
      </c>
      <c r="C2620">
        <v>75</v>
      </c>
      <c r="D2620" t="s">
        <v>253</v>
      </c>
      <c r="E2620" t="s">
        <v>248</v>
      </c>
      <c r="F2620" t="s">
        <v>240</v>
      </c>
      <c r="G2620" t="s">
        <v>82</v>
      </c>
      <c r="H2620" t="s">
        <v>150</v>
      </c>
      <c r="J2620" t="s">
        <v>198</v>
      </c>
      <c r="K2620" t="s">
        <v>255</v>
      </c>
      <c r="L2620">
        <v>247</v>
      </c>
      <c r="M2620" t="s">
        <v>242</v>
      </c>
      <c r="N2620" t="s">
        <v>2011</v>
      </c>
      <c r="O2620">
        <v>1</v>
      </c>
      <c r="P2620" t="s">
        <v>261</v>
      </c>
    </row>
    <row r="2621" spans="1:17" hidden="1" x14ac:dyDescent="0.25">
      <c r="A2621" s="16">
        <v>45809</v>
      </c>
      <c r="B2621" t="s">
        <v>142</v>
      </c>
      <c r="C2621">
        <v>75</v>
      </c>
      <c r="D2621" t="s">
        <v>253</v>
      </c>
      <c r="E2621" t="s">
        <v>248</v>
      </c>
      <c r="F2621" t="s">
        <v>240</v>
      </c>
      <c r="G2621" t="s">
        <v>82</v>
      </c>
      <c r="H2621" t="s">
        <v>151</v>
      </c>
      <c r="J2621" t="s">
        <v>196</v>
      </c>
      <c r="K2621" t="s">
        <v>255</v>
      </c>
      <c r="L2621">
        <v>24</v>
      </c>
      <c r="M2621" t="s">
        <v>242</v>
      </c>
      <c r="N2621" t="s">
        <v>1663</v>
      </c>
      <c r="O2621">
        <v>1</v>
      </c>
      <c r="P2621" t="s">
        <v>257</v>
      </c>
    </row>
    <row r="2622" spans="1:17" hidden="1" x14ac:dyDescent="0.25">
      <c r="A2622" s="16">
        <v>45809</v>
      </c>
      <c r="B2622" t="s">
        <v>142</v>
      </c>
      <c r="C2622">
        <v>75</v>
      </c>
      <c r="D2622" t="s">
        <v>253</v>
      </c>
      <c r="E2622" t="s">
        <v>248</v>
      </c>
      <c r="F2622" t="s">
        <v>240</v>
      </c>
      <c r="G2622" t="s">
        <v>82</v>
      </c>
      <c r="H2622" t="s">
        <v>151</v>
      </c>
      <c r="J2622" t="s">
        <v>197</v>
      </c>
      <c r="K2622" t="s">
        <v>255</v>
      </c>
      <c r="L2622">
        <v>33</v>
      </c>
      <c r="M2622" t="s">
        <v>242</v>
      </c>
      <c r="N2622" t="s">
        <v>940</v>
      </c>
      <c r="O2622">
        <v>1</v>
      </c>
      <c r="P2622" t="s">
        <v>257</v>
      </c>
    </row>
    <row r="2623" spans="1:17" hidden="1" x14ac:dyDescent="0.25">
      <c r="A2623" s="16">
        <v>45809</v>
      </c>
      <c r="B2623" t="s">
        <v>142</v>
      </c>
      <c r="C2623">
        <v>75</v>
      </c>
      <c r="D2623" t="s">
        <v>253</v>
      </c>
      <c r="E2623" t="s">
        <v>248</v>
      </c>
      <c r="F2623" t="s">
        <v>240</v>
      </c>
      <c r="G2623" t="s">
        <v>82</v>
      </c>
      <c r="H2623" t="s">
        <v>151</v>
      </c>
      <c r="J2623" t="s">
        <v>198</v>
      </c>
      <c r="K2623" t="s">
        <v>255</v>
      </c>
      <c r="L2623">
        <v>29</v>
      </c>
      <c r="M2623" t="s">
        <v>242</v>
      </c>
      <c r="N2623" t="s">
        <v>2012</v>
      </c>
      <c r="O2623">
        <v>1</v>
      </c>
      <c r="P2623" t="s">
        <v>261</v>
      </c>
    </row>
    <row r="2624" spans="1:17" hidden="1" x14ac:dyDescent="0.25">
      <c r="A2624" s="16">
        <v>45809</v>
      </c>
      <c r="B2624" t="s">
        <v>142</v>
      </c>
      <c r="C2624">
        <v>75</v>
      </c>
      <c r="D2624" t="s">
        <v>253</v>
      </c>
      <c r="E2624" t="s">
        <v>248</v>
      </c>
      <c r="F2624" t="s">
        <v>240</v>
      </c>
      <c r="G2624" t="s">
        <v>82</v>
      </c>
      <c r="H2624" t="s">
        <v>149</v>
      </c>
      <c r="J2624" t="s">
        <v>196</v>
      </c>
      <c r="K2624" t="s">
        <v>255</v>
      </c>
      <c r="L2624">
        <v>6156</v>
      </c>
      <c r="M2624" t="s">
        <v>242</v>
      </c>
      <c r="N2624" t="s">
        <v>1664</v>
      </c>
      <c r="O2624">
        <v>1</v>
      </c>
      <c r="P2624" t="s">
        <v>257</v>
      </c>
    </row>
    <row r="2625" spans="1:16" hidden="1" x14ac:dyDescent="0.25">
      <c r="A2625" s="16">
        <v>45809</v>
      </c>
      <c r="B2625" t="s">
        <v>142</v>
      </c>
      <c r="C2625">
        <v>75</v>
      </c>
      <c r="D2625" t="s">
        <v>253</v>
      </c>
      <c r="E2625" t="s">
        <v>248</v>
      </c>
      <c r="F2625" t="s">
        <v>240</v>
      </c>
      <c r="G2625" t="s">
        <v>82</v>
      </c>
      <c r="H2625" t="s">
        <v>149</v>
      </c>
      <c r="J2625" t="s">
        <v>197</v>
      </c>
      <c r="K2625" t="s">
        <v>255</v>
      </c>
      <c r="L2625">
        <v>6153</v>
      </c>
      <c r="M2625" t="s">
        <v>242</v>
      </c>
      <c r="N2625" t="s">
        <v>1839</v>
      </c>
      <c r="O2625">
        <v>1</v>
      </c>
      <c r="P2625" t="s">
        <v>257</v>
      </c>
    </row>
    <row r="2626" spans="1:16" hidden="1" x14ac:dyDescent="0.25">
      <c r="A2626" s="16">
        <v>45809</v>
      </c>
      <c r="B2626" t="s">
        <v>142</v>
      </c>
      <c r="C2626">
        <v>75</v>
      </c>
      <c r="D2626" t="s">
        <v>253</v>
      </c>
      <c r="E2626" t="s">
        <v>248</v>
      </c>
      <c r="F2626" t="s">
        <v>240</v>
      </c>
      <c r="G2626" t="s">
        <v>82</v>
      </c>
      <c r="H2626" t="s">
        <v>149</v>
      </c>
      <c r="J2626" t="s">
        <v>198</v>
      </c>
      <c r="K2626" t="s">
        <v>255</v>
      </c>
      <c r="L2626">
        <v>4927</v>
      </c>
      <c r="M2626" t="s">
        <v>242</v>
      </c>
      <c r="N2626" t="s">
        <v>2013</v>
      </c>
      <c r="O2626">
        <v>1</v>
      </c>
      <c r="P2626" t="s">
        <v>261</v>
      </c>
    </row>
    <row r="2627" spans="1:16" hidden="1" x14ac:dyDescent="0.25">
      <c r="A2627" s="16">
        <v>45809</v>
      </c>
      <c r="B2627" t="s">
        <v>142</v>
      </c>
      <c r="C2627">
        <v>76</v>
      </c>
      <c r="D2627" t="s">
        <v>253</v>
      </c>
      <c r="E2627" t="s">
        <v>248</v>
      </c>
      <c r="F2627" t="s">
        <v>244</v>
      </c>
      <c r="G2627" t="s">
        <v>82</v>
      </c>
      <c r="J2627" t="s">
        <v>196</v>
      </c>
      <c r="K2627" t="s">
        <v>255</v>
      </c>
      <c r="L2627">
        <v>782000000</v>
      </c>
      <c r="M2627" t="s">
        <v>245</v>
      </c>
      <c r="N2627" t="s">
        <v>1665</v>
      </c>
      <c r="O2627">
        <v>1</v>
      </c>
      <c r="P2627" t="s">
        <v>257</v>
      </c>
    </row>
    <row r="2628" spans="1:16" hidden="1" x14ac:dyDescent="0.25">
      <c r="A2628" s="16">
        <v>45809</v>
      </c>
      <c r="B2628" t="s">
        <v>142</v>
      </c>
      <c r="C2628">
        <v>76</v>
      </c>
      <c r="D2628" t="s">
        <v>253</v>
      </c>
      <c r="E2628" t="s">
        <v>248</v>
      </c>
      <c r="F2628" t="s">
        <v>244</v>
      </c>
      <c r="G2628" t="s">
        <v>82</v>
      </c>
      <c r="J2628" t="s">
        <v>197</v>
      </c>
      <c r="K2628" t="s">
        <v>255</v>
      </c>
      <c r="L2628">
        <v>792000000</v>
      </c>
      <c r="M2628" t="s">
        <v>245</v>
      </c>
      <c r="N2628" t="s">
        <v>1840</v>
      </c>
      <c r="O2628">
        <v>1</v>
      </c>
      <c r="P2628" t="s">
        <v>257</v>
      </c>
    </row>
    <row r="2629" spans="1:16" hidden="1" x14ac:dyDescent="0.25">
      <c r="A2629" s="16">
        <v>45809</v>
      </c>
      <c r="B2629" t="s">
        <v>142</v>
      </c>
      <c r="C2629">
        <v>76</v>
      </c>
      <c r="D2629" t="s">
        <v>253</v>
      </c>
      <c r="E2629" t="s">
        <v>248</v>
      </c>
      <c r="F2629" t="s">
        <v>244</v>
      </c>
      <c r="G2629" t="s">
        <v>82</v>
      </c>
      <c r="J2629" t="s">
        <v>198</v>
      </c>
      <c r="K2629" t="s">
        <v>255</v>
      </c>
      <c r="L2629">
        <v>780000000</v>
      </c>
      <c r="M2629" t="s">
        <v>245</v>
      </c>
      <c r="N2629" t="s">
        <v>2014</v>
      </c>
      <c r="O2629">
        <v>1</v>
      </c>
      <c r="P2629" t="s">
        <v>261</v>
      </c>
    </row>
    <row r="2630" spans="1:16" hidden="1" x14ac:dyDescent="0.25">
      <c r="A2630" s="16">
        <v>45809</v>
      </c>
      <c r="B2630" t="s">
        <v>142</v>
      </c>
      <c r="C2630">
        <v>76</v>
      </c>
      <c r="D2630" t="s">
        <v>247</v>
      </c>
      <c r="E2630" t="s">
        <v>248</v>
      </c>
      <c r="F2630" t="s">
        <v>244</v>
      </c>
      <c r="G2630" t="s">
        <v>82</v>
      </c>
      <c r="H2630" t="s">
        <v>249</v>
      </c>
      <c r="J2630" t="s">
        <v>198</v>
      </c>
      <c r="K2630" t="s">
        <v>250</v>
      </c>
      <c r="L2630">
        <v>1.4</v>
      </c>
      <c r="M2630" t="s">
        <v>251</v>
      </c>
      <c r="N2630" t="s">
        <v>271</v>
      </c>
    </row>
    <row r="2631" spans="1:16" hidden="1" x14ac:dyDescent="0.25">
      <c r="A2631" s="16">
        <v>45809</v>
      </c>
      <c r="B2631" t="s">
        <v>142</v>
      </c>
      <c r="C2631">
        <v>77</v>
      </c>
      <c r="D2631" t="s">
        <v>253</v>
      </c>
      <c r="E2631" t="s">
        <v>248</v>
      </c>
      <c r="F2631" t="s">
        <v>244</v>
      </c>
      <c r="G2631" t="s">
        <v>82</v>
      </c>
      <c r="H2631" t="s">
        <v>150</v>
      </c>
      <c r="J2631" t="s">
        <v>196</v>
      </c>
      <c r="K2631" t="s">
        <v>255</v>
      </c>
      <c r="L2631">
        <v>2620000</v>
      </c>
      <c r="M2631" t="s">
        <v>150</v>
      </c>
      <c r="N2631" t="s">
        <v>1667</v>
      </c>
      <c r="O2631">
        <v>1</v>
      </c>
      <c r="P2631" t="s">
        <v>257</v>
      </c>
    </row>
    <row r="2632" spans="1:16" hidden="1" x14ac:dyDescent="0.25">
      <c r="A2632" s="16">
        <v>45809</v>
      </c>
      <c r="B2632" t="s">
        <v>142</v>
      </c>
      <c r="C2632">
        <v>77</v>
      </c>
      <c r="D2632" t="s">
        <v>253</v>
      </c>
      <c r="E2632" t="s">
        <v>248</v>
      </c>
      <c r="F2632" t="s">
        <v>244</v>
      </c>
      <c r="G2632" t="s">
        <v>82</v>
      </c>
      <c r="H2632" t="s">
        <v>150</v>
      </c>
      <c r="J2632" t="s">
        <v>197</v>
      </c>
      <c r="K2632" t="s">
        <v>255</v>
      </c>
      <c r="L2632">
        <v>2840000</v>
      </c>
      <c r="M2632" t="s">
        <v>150</v>
      </c>
      <c r="N2632" t="s">
        <v>1841</v>
      </c>
      <c r="O2632">
        <v>1</v>
      </c>
      <c r="P2632" t="s">
        <v>257</v>
      </c>
    </row>
    <row r="2633" spans="1:16" hidden="1" x14ac:dyDescent="0.25">
      <c r="A2633" s="16">
        <v>45809</v>
      </c>
      <c r="B2633" t="s">
        <v>142</v>
      </c>
      <c r="C2633">
        <v>77</v>
      </c>
      <c r="D2633" t="s">
        <v>253</v>
      </c>
      <c r="E2633" t="s">
        <v>248</v>
      </c>
      <c r="F2633" t="s">
        <v>244</v>
      </c>
      <c r="G2633" t="s">
        <v>82</v>
      </c>
      <c r="H2633" t="s">
        <v>150</v>
      </c>
      <c r="J2633" t="s">
        <v>198</v>
      </c>
      <c r="K2633" t="s">
        <v>255</v>
      </c>
      <c r="L2633">
        <v>2460000</v>
      </c>
      <c r="M2633" t="s">
        <v>150</v>
      </c>
      <c r="N2633" t="s">
        <v>2015</v>
      </c>
      <c r="O2633">
        <v>1</v>
      </c>
      <c r="P2633" t="s">
        <v>261</v>
      </c>
    </row>
    <row r="2634" spans="1:16" hidden="1" x14ac:dyDescent="0.25">
      <c r="A2634" s="16">
        <v>45809</v>
      </c>
      <c r="B2634" t="s">
        <v>142</v>
      </c>
      <c r="C2634">
        <v>77</v>
      </c>
      <c r="D2634" t="s">
        <v>253</v>
      </c>
      <c r="E2634" t="s">
        <v>248</v>
      </c>
      <c r="F2634" t="s">
        <v>244</v>
      </c>
      <c r="G2634" t="s">
        <v>82</v>
      </c>
      <c r="H2634" t="s">
        <v>151</v>
      </c>
      <c r="J2634" t="s">
        <v>196</v>
      </c>
      <c r="K2634" t="s">
        <v>255</v>
      </c>
      <c r="L2634">
        <v>160000</v>
      </c>
      <c r="M2634" t="s">
        <v>151</v>
      </c>
      <c r="N2634" t="s">
        <v>1668</v>
      </c>
      <c r="O2634">
        <v>1</v>
      </c>
      <c r="P2634" t="s">
        <v>257</v>
      </c>
    </row>
    <row r="2635" spans="1:16" hidden="1" x14ac:dyDescent="0.25">
      <c r="A2635" s="16">
        <v>45809</v>
      </c>
      <c r="B2635" t="s">
        <v>142</v>
      </c>
      <c r="C2635">
        <v>77</v>
      </c>
      <c r="D2635" t="s">
        <v>253</v>
      </c>
      <c r="E2635" t="s">
        <v>248</v>
      </c>
      <c r="F2635" t="s">
        <v>244</v>
      </c>
      <c r="G2635" t="s">
        <v>82</v>
      </c>
      <c r="H2635" t="s">
        <v>151</v>
      </c>
      <c r="J2635" t="s">
        <v>197</v>
      </c>
      <c r="K2635" t="s">
        <v>255</v>
      </c>
      <c r="L2635">
        <v>410000</v>
      </c>
      <c r="M2635" t="s">
        <v>151</v>
      </c>
      <c r="N2635" t="s">
        <v>1315</v>
      </c>
      <c r="O2635">
        <v>1</v>
      </c>
      <c r="P2635" t="s">
        <v>257</v>
      </c>
    </row>
    <row r="2636" spans="1:16" hidden="1" x14ac:dyDescent="0.25">
      <c r="A2636" s="16">
        <v>45809</v>
      </c>
      <c r="B2636" t="s">
        <v>142</v>
      </c>
      <c r="C2636">
        <v>77</v>
      </c>
      <c r="D2636" t="s">
        <v>253</v>
      </c>
      <c r="E2636" t="s">
        <v>248</v>
      </c>
      <c r="F2636" t="s">
        <v>244</v>
      </c>
      <c r="G2636" t="s">
        <v>82</v>
      </c>
      <c r="H2636" t="s">
        <v>151</v>
      </c>
      <c r="J2636" t="s">
        <v>198</v>
      </c>
      <c r="K2636" t="s">
        <v>255</v>
      </c>
      <c r="L2636">
        <v>360000</v>
      </c>
      <c r="M2636" t="s">
        <v>151</v>
      </c>
      <c r="N2636" t="s">
        <v>2016</v>
      </c>
      <c r="O2636">
        <v>1</v>
      </c>
      <c r="P2636" t="s">
        <v>261</v>
      </c>
    </row>
    <row r="2637" spans="1:16" hidden="1" x14ac:dyDescent="0.25">
      <c r="A2637" s="16">
        <v>45809</v>
      </c>
      <c r="B2637" t="s">
        <v>142</v>
      </c>
      <c r="C2637">
        <v>77</v>
      </c>
      <c r="D2637" t="s">
        <v>253</v>
      </c>
      <c r="E2637" t="s">
        <v>248</v>
      </c>
      <c r="F2637" t="s">
        <v>244</v>
      </c>
      <c r="G2637" t="s">
        <v>82</v>
      </c>
      <c r="H2637" t="s">
        <v>149</v>
      </c>
      <c r="J2637" t="s">
        <v>196</v>
      </c>
      <c r="K2637" t="s">
        <v>255</v>
      </c>
      <c r="L2637">
        <v>38900000</v>
      </c>
      <c r="M2637" t="s">
        <v>149</v>
      </c>
      <c r="N2637" t="s">
        <v>1669</v>
      </c>
      <c r="O2637">
        <v>1</v>
      </c>
      <c r="P2637" t="s">
        <v>257</v>
      </c>
    </row>
    <row r="2638" spans="1:16" hidden="1" x14ac:dyDescent="0.25">
      <c r="A2638" s="16">
        <v>45809</v>
      </c>
      <c r="B2638" t="s">
        <v>142</v>
      </c>
      <c r="C2638">
        <v>77</v>
      </c>
      <c r="D2638" t="s">
        <v>253</v>
      </c>
      <c r="E2638" t="s">
        <v>248</v>
      </c>
      <c r="F2638" t="s">
        <v>244</v>
      </c>
      <c r="G2638" t="s">
        <v>82</v>
      </c>
      <c r="H2638" t="s">
        <v>149</v>
      </c>
      <c r="J2638" t="s">
        <v>197</v>
      </c>
      <c r="K2638" t="s">
        <v>255</v>
      </c>
      <c r="L2638">
        <v>39000000</v>
      </c>
      <c r="M2638" t="s">
        <v>149</v>
      </c>
      <c r="N2638" t="s">
        <v>1842</v>
      </c>
      <c r="O2638">
        <v>1</v>
      </c>
      <c r="P2638" t="s">
        <v>257</v>
      </c>
    </row>
    <row r="2639" spans="1:16" hidden="1" x14ac:dyDescent="0.25">
      <c r="A2639" s="16">
        <v>45809</v>
      </c>
      <c r="B2639" t="s">
        <v>142</v>
      </c>
      <c r="C2639">
        <v>77</v>
      </c>
      <c r="D2639" t="s">
        <v>253</v>
      </c>
      <c r="E2639" t="s">
        <v>248</v>
      </c>
      <c r="F2639" t="s">
        <v>244</v>
      </c>
      <c r="G2639" t="s">
        <v>82</v>
      </c>
      <c r="H2639" t="s">
        <v>149</v>
      </c>
      <c r="J2639" t="s">
        <v>198</v>
      </c>
      <c r="K2639" t="s">
        <v>255</v>
      </c>
      <c r="L2639">
        <v>32600000</v>
      </c>
      <c r="M2639" t="s">
        <v>149</v>
      </c>
      <c r="N2639" t="s">
        <v>2017</v>
      </c>
      <c r="O2639">
        <v>1</v>
      </c>
      <c r="P2639" t="s">
        <v>261</v>
      </c>
    </row>
    <row r="2640" spans="1:16" hidden="1" x14ac:dyDescent="0.25">
      <c r="A2640" s="16">
        <v>45809</v>
      </c>
      <c r="B2640" t="s">
        <v>35</v>
      </c>
      <c r="C2640">
        <v>10</v>
      </c>
      <c r="D2640" t="s">
        <v>238</v>
      </c>
      <c r="E2640" t="s">
        <v>239</v>
      </c>
      <c r="F2640" t="s">
        <v>240</v>
      </c>
      <c r="G2640" t="s">
        <v>82</v>
      </c>
      <c r="J2640" t="s">
        <v>198</v>
      </c>
      <c r="K2640" t="s">
        <v>241</v>
      </c>
      <c r="L2640">
        <v>70660000</v>
      </c>
      <c r="M2640" t="s">
        <v>242</v>
      </c>
      <c r="N2640" t="s">
        <v>2018</v>
      </c>
    </row>
    <row r="2641" spans="1:16" hidden="1" x14ac:dyDescent="0.25">
      <c r="A2641" s="16">
        <v>45809</v>
      </c>
      <c r="B2641" t="s">
        <v>35</v>
      </c>
      <c r="C2641">
        <v>10</v>
      </c>
      <c r="D2641" t="s">
        <v>238</v>
      </c>
      <c r="E2641" t="s">
        <v>239</v>
      </c>
      <c r="F2641" t="s">
        <v>244</v>
      </c>
      <c r="G2641" t="s">
        <v>82</v>
      </c>
      <c r="J2641" t="s">
        <v>198</v>
      </c>
      <c r="K2641" t="s">
        <v>241</v>
      </c>
      <c r="L2641">
        <v>8890000000</v>
      </c>
      <c r="M2641" t="s">
        <v>245</v>
      </c>
      <c r="N2641" t="s">
        <v>2019</v>
      </c>
    </row>
    <row r="2642" spans="1:16" hidden="1" x14ac:dyDescent="0.25">
      <c r="A2642" s="16">
        <v>45809</v>
      </c>
      <c r="B2642" t="s">
        <v>35</v>
      </c>
      <c r="C2642">
        <v>11</v>
      </c>
      <c r="D2642" t="s">
        <v>253</v>
      </c>
      <c r="E2642" t="s">
        <v>248</v>
      </c>
      <c r="F2642" t="s">
        <v>285</v>
      </c>
      <c r="G2642" t="s">
        <v>63</v>
      </c>
      <c r="J2642" t="s">
        <v>196</v>
      </c>
      <c r="K2642" t="s">
        <v>255</v>
      </c>
      <c r="L2642">
        <v>1810000</v>
      </c>
      <c r="M2642" t="s">
        <v>242</v>
      </c>
      <c r="N2642" t="s">
        <v>1672</v>
      </c>
      <c r="O2642">
        <v>1</v>
      </c>
      <c r="P2642" t="s">
        <v>257</v>
      </c>
    </row>
    <row r="2643" spans="1:16" hidden="1" x14ac:dyDescent="0.25">
      <c r="A2643" s="16">
        <v>45809</v>
      </c>
      <c r="B2643" t="s">
        <v>35</v>
      </c>
      <c r="C2643">
        <v>11</v>
      </c>
      <c r="D2643" t="s">
        <v>253</v>
      </c>
      <c r="E2643" t="s">
        <v>248</v>
      </c>
      <c r="F2643" t="s">
        <v>285</v>
      </c>
      <c r="G2643" t="s">
        <v>63</v>
      </c>
      <c r="J2643" t="s">
        <v>197</v>
      </c>
      <c r="K2643" t="s">
        <v>255</v>
      </c>
      <c r="L2643">
        <v>1850000</v>
      </c>
      <c r="M2643" t="s">
        <v>242</v>
      </c>
      <c r="N2643" t="s">
        <v>1845</v>
      </c>
      <c r="O2643">
        <v>1</v>
      </c>
      <c r="P2643" t="s">
        <v>257</v>
      </c>
    </row>
    <row r="2644" spans="1:16" hidden="1" x14ac:dyDescent="0.25">
      <c r="A2644" s="16">
        <v>45809</v>
      </c>
      <c r="B2644" t="s">
        <v>35</v>
      </c>
      <c r="C2644">
        <v>11</v>
      </c>
      <c r="D2644" t="s">
        <v>253</v>
      </c>
      <c r="E2644" t="s">
        <v>248</v>
      </c>
      <c r="F2644" t="s">
        <v>285</v>
      </c>
      <c r="G2644" t="s">
        <v>63</v>
      </c>
      <c r="J2644" t="s">
        <v>198</v>
      </c>
      <c r="K2644" t="s">
        <v>255</v>
      </c>
      <c r="L2644">
        <v>1880000</v>
      </c>
      <c r="M2644" t="s">
        <v>242</v>
      </c>
      <c r="N2644" t="s">
        <v>2020</v>
      </c>
      <c r="O2644">
        <v>1</v>
      </c>
      <c r="P2644" t="s">
        <v>261</v>
      </c>
    </row>
    <row r="2645" spans="1:16" hidden="1" x14ac:dyDescent="0.25">
      <c r="A2645" s="16">
        <v>45809</v>
      </c>
      <c r="B2645" t="s">
        <v>35</v>
      </c>
      <c r="C2645">
        <v>11</v>
      </c>
      <c r="D2645" t="s">
        <v>247</v>
      </c>
      <c r="E2645" t="s">
        <v>248</v>
      </c>
      <c r="F2645" t="s">
        <v>285</v>
      </c>
      <c r="G2645" t="s">
        <v>63</v>
      </c>
      <c r="H2645" t="s">
        <v>286</v>
      </c>
      <c r="J2645" t="s">
        <v>198</v>
      </c>
      <c r="K2645" t="s">
        <v>250</v>
      </c>
      <c r="L2645">
        <v>1.7</v>
      </c>
      <c r="M2645" t="s">
        <v>251</v>
      </c>
      <c r="N2645" t="s">
        <v>635</v>
      </c>
    </row>
    <row r="2646" spans="1:16" hidden="1" x14ac:dyDescent="0.25">
      <c r="A2646" s="16">
        <v>45809</v>
      </c>
      <c r="B2646" t="s">
        <v>35</v>
      </c>
      <c r="C2646">
        <v>12</v>
      </c>
      <c r="D2646" t="s">
        <v>291</v>
      </c>
      <c r="E2646" t="s">
        <v>292</v>
      </c>
      <c r="F2646" t="s">
        <v>285</v>
      </c>
      <c r="G2646" t="s">
        <v>63</v>
      </c>
      <c r="H2646" t="s">
        <v>64</v>
      </c>
      <c r="J2646" t="s">
        <v>198</v>
      </c>
      <c r="K2646" t="s">
        <v>250</v>
      </c>
      <c r="L2646">
        <v>1810000</v>
      </c>
      <c r="M2646" t="s">
        <v>242</v>
      </c>
      <c r="N2646" t="s">
        <v>915</v>
      </c>
    </row>
    <row r="2647" spans="1:16" hidden="1" x14ac:dyDescent="0.25">
      <c r="A2647" s="16">
        <v>45809</v>
      </c>
      <c r="B2647" t="s">
        <v>35</v>
      </c>
      <c r="C2647">
        <v>12</v>
      </c>
      <c r="D2647" t="s">
        <v>291</v>
      </c>
      <c r="E2647" t="s">
        <v>292</v>
      </c>
      <c r="F2647" t="s">
        <v>285</v>
      </c>
      <c r="G2647" t="s">
        <v>63</v>
      </c>
      <c r="H2647" t="s">
        <v>65</v>
      </c>
      <c r="J2647" t="s">
        <v>198</v>
      </c>
      <c r="K2647" t="s">
        <v>250</v>
      </c>
      <c r="L2647">
        <v>71800</v>
      </c>
      <c r="M2647" t="s">
        <v>242</v>
      </c>
      <c r="N2647" t="s">
        <v>2021</v>
      </c>
    </row>
    <row r="2648" spans="1:16" hidden="1" x14ac:dyDescent="0.25">
      <c r="A2648" s="16">
        <v>45809</v>
      </c>
      <c r="B2648" t="s">
        <v>35</v>
      </c>
      <c r="C2648">
        <v>13</v>
      </c>
      <c r="D2648" t="s">
        <v>291</v>
      </c>
      <c r="E2648" t="s">
        <v>292</v>
      </c>
      <c r="F2648" t="s">
        <v>285</v>
      </c>
      <c r="G2648" t="s">
        <v>63</v>
      </c>
      <c r="H2648" t="s">
        <v>67</v>
      </c>
      <c r="J2648" t="s">
        <v>198</v>
      </c>
      <c r="K2648" t="s">
        <v>250</v>
      </c>
      <c r="L2648">
        <v>660000</v>
      </c>
      <c r="M2648" t="s">
        <v>242</v>
      </c>
      <c r="N2648" t="s">
        <v>2022</v>
      </c>
    </row>
    <row r="2649" spans="1:16" hidden="1" x14ac:dyDescent="0.25">
      <c r="A2649" s="16">
        <v>45809</v>
      </c>
      <c r="B2649" t="s">
        <v>35</v>
      </c>
      <c r="C2649">
        <v>13</v>
      </c>
      <c r="D2649" t="s">
        <v>291</v>
      </c>
      <c r="E2649" t="s">
        <v>292</v>
      </c>
      <c r="F2649" t="s">
        <v>285</v>
      </c>
      <c r="G2649" t="s">
        <v>63</v>
      </c>
      <c r="H2649" t="s">
        <v>68</v>
      </c>
      <c r="J2649" t="s">
        <v>198</v>
      </c>
      <c r="K2649" t="s">
        <v>250</v>
      </c>
      <c r="L2649">
        <v>1160000</v>
      </c>
      <c r="M2649" t="s">
        <v>242</v>
      </c>
      <c r="N2649" t="s">
        <v>1370</v>
      </c>
    </row>
    <row r="2650" spans="1:16" x14ac:dyDescent="0.25">
      <c r="A2650" s="16">
        <v>45809</v>
      </c>
      <c r="B2650" t="s">
        <v>35</v>
      </c>
      <c r="C2650">
        <v>14</v>
      </c>
      <c r="D2650" t="s">
        <v>291</v>
      </c>
      <c r="E2650" t="s">
        <v>292</v>
      </c>
      <c r="F2650" t="s">
        <v>285</v>
      </c>
      <c r="G2650" t="s">
        <v>63</v>
      </c>
      <c r="H2650" t="s">
        <v>77</v>
      </c>
      <c r="J2650" t="s">
        <v>198</v>
      </c>
      <c r="K2650" t="s">
        <v>250</v>
      </c>
      <c r="L2650">
        <v>9000</v>
      </c>
      <c r="M2650" t="s">
        <v>242</v>
      </c>
      <c r="N2650" t="s">
        <v>2027</v>
      </c>
    </row>
    <row r="2651" spans="1:16" x14ac:dyDescent="0.25">
      <c r="A2651" s="16">
        <v>45809</v>
      </c>
      <c r="B2651" t="s">
        <v>35</v>
      </c>
      <c r="C2651">
        <v>14</v>
      </c>
      <c r="D2651" t="s">
        <v>291</v>
      </c>
      <c r="E2651" t="s">
        <v>292</v>
      </c>
      <c r="F2651" t="s">
        <v>285</v>
      </c>
      <c r="G2651" t="s">
        <v>63</v>
      </c>
      <c r="H2651" t="s">
        <v>70</v>
      </c>
      <c r="J2651" t="s">
        <v>198</v>
      </c>
      <c r="K2651" t="s">
        <v>250</v>
      </c>
      <c r="L2651">
        <v>685000</v>
      </c>
      <c r="M2651" t="s">
        <v>242</v>
      </c>
      <c r="N2651" t="s">
        <v>1952</v>
      </c>
    </row>
    <row r="2652" spans="1:16" x14ac:dyDescent="0.25">
      <c r="A2652" s="16">
        <v>45809</v>
      </c>
      <c r="B2652" t="s">
        <v>35</v>
      </c>
      <c r="C2652">
        <v>14</v>
      </c>
      <c r="D2652" t="s">
        <v>291</v>
      </c>
      <c r="E2652" t="s">
        <v>292</v>
      </c>
      <c r="F2652" t="s">
        <v>285</v>
      </c>
      <c r="G2652" t="s">
        <v>63</v>
      </c>
      <c r="H2652" t="s">
        <v>71</v>
      </c>
      <c r="J2652" t="s">
        <v>198</v>
      </c>
      <c r="K2652" t="s">
        <v>250</v>
      </c>
      <c r="L2652">
        <v>490000</v>
      </c>
      <c r="M2652" t="s">
        <v>242</v>
      </c>
      <c r="N2652" t="s">
        <v>2023</v>
      </c>
    </row>
    <row r="2653" spans="1:16" x14ac:dyDescent="0.25">
      <c r="A2653" s="16">
        <v>45809</v>
      </c>
      <c r="B2653" t="s">
        <v>35</v>
      </c>
      <c r="C2653">
        <v>14</v>
      </c>
      <c r="D2653" t="s">
        <v>291</v>
      </c>
      <c r="E2653" t="s">
        <v>292</v>
      </c>
      <c r="F2653" t="s">
        <v>285</v>
      </c>
      <c r="G2653" t="s">
        <v>63</v>
      </c>
      <c r="H2653" t="s">
        <v>72</v>
      </c>
      <c r="J2653" t="s">
        <v>198</v>
      </c>
      <c r="K2653" t="s">
        <v>250</v>
      </c>
      <c r="L2653">
        <v>332000</v>
      </c>
      <c r="M2653" t="s">
        <v>242</v>
      </c>
      <c r="N2653" t="s">
        <v>2024</v>
      </c>
    </row>
    <row r="2654" spans="1:16" x14ac:dyDescent="0.25">
      <c r="A2654" s="63">
        <v>45809</v>
      </c>
      <c r="B2654" s="65" t="s">
        <v>35</v>
      </c>
      <c r="C2654" s="65">
        <v>14</v>
      </c>
      <c r="D2654" s="65" t="s">
        <v>291</v>
      </c>
      <c r="E2654" s="65" t="s">
        <v>292</v>
      </c>
      <c r="F2654" s="65" t="s">
        <v>285</v>
      </c>
      <c r="G2654" s="65" t="s">
        <v>63</v>
      </c>
      <c r="H2654" s="65" t="s">
        <v>73</v>
      </c>
      <c r="I2654" s="65"/>
      <c r="J2654" s="65" t="s">
        <v>198</v>
      </c>
      <c r="K2654" s="65" t="s">
        <v>250</v>
      </c>
      <c r="L2654" s="65">
        <v>204000</v>
      </c>
      <c r="M2654" s="65" t="s">
        <v>242</v>
      </c>
      <c r="N2654" s="65" t="s">
        <v>2025</v>
      </c>
    </row>
    <row r="2655" spans="1:16" x14ac:dyDescent="0.25">
      <c r="A2655" s="63">
        <v>45809</v>
      </c>
      <c r="B2655" s="65" t="s">
        <v>35</v>
      </c>
      <c r="C2655" s="65">
        <v>14</v>
      </c>
      <c r="D2655" s="65" t="s">
        <v>291</v>
      </c>
      <c r="E2655" s="65" t="s">
        <v>292</v>
      </c>
      <c r="F2655" s="65" t="s">
        <v>285</v>
      </c>
      <c r="G2655" s="65" t="s">
        <v>63</v>
      </c>
      <c r="H2655" s="65" t="s">
        <v>74</v>
      </c>
      <c r="I2655" s="65"/>
      <c r="J2655" s="65" t="s">
        <v>198</v>
      </c>
      <c r="K2655" s="65" t="s">
        <v>250</v>
      </c>
      <c r="L2655" s="65">
        <v>93000</v>
      </c>
      <c r="M2655" s="65" t="s">
        <v>242</v>
      </c>
      <c r="N2655" s="65" t="s">
        <v>2026</v>
      </c>
    </row>
    <row r="2656" spans="1:16" x14ac:dyDescent="0.25">
      <c r="A2656" s="63">
        <v>45809</v>
      </c>
      <c r="B2656" s="65" t="s">
        <v>35</v>
      </c>
      <c r="C2656" s="65">
        <v>14</v>
      </c>
      <c r="D2656" s="65" t="s">
        <v>291</v>
      </c>
      <c r="E2656" s="65" t="s">
        <v>292</v>
      </c>
      <c r="F2656" s="65" t="s">
        <v>285</v>
      </c>
      <c r="G2656" s="65" t="s">
        <v>63</v>
      </c>
      <c r="H2656" s="65" t="s">
        <v>75</v>
      </c>
      <c r="I2656" s="65"/>
      <c r="J2656" s="65" t="s">
        <v>198</v>
      </c>
      <c r="K2656" s="65" t="s">
        <v>250</v>
      </c>
      <c r="L2656" s="65">
        <v>24000</v>
      </c>
      <c r="M2656" s="65" t="s">
        <v>242</v>
      </c>
      <c r="N2656" s="65" t="s">
        <v>819</v>
      </c>
    </row>
    <row r="2657" spans="1:16" x14ac:dyDescent="0.25">
      <c r="A2657" s="63">
        <v>45809</v>
      </c>
      <c r="B2657" s="65" t="s">
        <v>35</v>
      </c>
      <c r="C2657" s="65">
        <v>14</v>
      </c>
      <c r="D2657" s="65" t="s">
        <v>291</v>
      </c>
      <c r="E2657" s="65" t="s">
        <v>292</v>
      </c>
      <c r="F2657" s="65" t="s">
        <v>285</v>
      </c>
      <c r="G2657" s="65" t="s">
        <v>63</v>
      </c>
      <c r="H2657" s="65" t="s">
        <v>76</v>
      </c>
      <c r="I2657" s="65"/>
      <c r="J2657" s="65" t="s">
        <v>198</v>
      </c>
      <c r="K2657" s="65" t="s">
        <v>250</v>
      </c>
      <c r="L2657" s="65">
        <v>6000</v>
      </c>
      <c r="M2657" s="65" t="s">
        <v>242</v>
      </c>
      <c r="N2657" s="65" t="s">
        <v>304</v>
      </c>
    </row>
    <row r="2658" spans="1:16" hidden="1" x14ac:dyDescent="0.25">
      <c r="A2658" s="16">
        <v>45809</v>
      </c>
      <c r="B2658" t="s">
        <v>35</v>
      </c>
      <c r="C2658">
        <v>15</v>
      </c>
      <c r="D2658" t="s">
        <v>291</v>
      </c>
      <c r="E2658" t="s">
        <v>292</v>
      </c>
      <c r="F2658" t="s">
        <v>285</v>
      </c>
      <c r="G2658" t="s">
        <v>63</v>
      </c>
      <c r="H2658" t="s">
        <v>79</v>
      </c>
      <c r="J2658" t="s">
        <v>198</v>
      </c>
      <c r="K2658" t="s">
        <v>250</v>
      </c>
      <c r="L2658">
        <v>1840000</v>
      </c>
      <c r="M2658" t="s">
        <v>242</v>
      </c>
      <c r="N2658" t="s">
        <v>1036</v>
      </c>
    </row>
    <row r="2659" spans="1:16" hidden="1" x14ac:dyDescent="0.25">
      <c r="A2659" s="16">
        <v>45809</v>
      </c>
      <c r="B2659" t="s">
        <v>35</v>
      </c>
      <c r="C2659">
        <v>15</v>
      </c>
      <c r="D2659" t="s">
        <v>291</v>
      </c>
      <c r="E2659" t="s">
        <v>292</v>
      </c>
      <c r="F2659" t="s">
        <v>285</v>
      </c>
      <c r="G2659" t="s">
        <v>63</v>
      </c>
      <c r="H2659" t="s">
        <v>80</v>
      </c>
      <c r="J2659" t="s">
        <v>198</v>
      </c>
      <c r="K2659" t="s">
        <v>250</v>
      </c>
      <c r="L2659">
        <v>37600</v>
      </c>
      <c r="M2659" t="s">
        <v>242</v>
      </c>
      <c r="N2659" t="s">
        <v>2028</v>
      </c>
    </row>
    <row r="2660" spans="1:16" hidden="1" x14ac:dyDescent="0.25">
      <c r="A2660" s="16">
        <v>45809</v>
      </c>
      <c r="B2660" t="s">
        <v>35</v>
      </c>
      <c r="C2660">
        <v>16</v>
      </c>
      <c r="D2660" t="s">
        <v>253</v>
      </c>
      <c r="E2660" t="s">
        <v>248</v>
      </c>
      <c r="F2660" t="s">
        <v>240</v>
      </c>
      <c r="G2660" t="s">
        <v>82</v>
      </c>
      <c r="J2660" t="s">
        <v>196</v>
      </c>
      <c r="K2660" t="s">
        <v>255</v>
      </c>
      <c r="L2660">
        <v>11520000</v>
      </c>
      <c r="M2660" t="s">
        <v>242</v>
      </c>
      <c r="N2660" t="s">
        <v>1682</v>
      </c>
      <c r="O2660">
        <v>1</v>
      </c>
      <c r="P2660" t="s">
        <v>257</v>
      </c>
    </row>
    <row r="2661" spans="1:16" hidden="1" x14ac:dyDescent="0.25">
      <c r="A2661" s="16">
        <v>45809</v>
      </c>
      <c r="B2661" t="s">
        <v>35</v>
      </c>
      <c r="C2661">
        <v>16</v>
      </c>
      <c r="D2661" t="s">
        <v>253</v>
      </c>
      <c r="E2661" t="s">
        <v>248</v>
      </c>
      <c r="F2661" t="s">
        <v>240</v>
      </c>
      <c r="G2661" t="s">
        <v>82</v>
      </c>
      <c r="J2661" t="s">
        <v>197</v>
      </c>
      <c r="K2661" t="s">
        <v>255</v>
      </c>
      <c r="L2661">
        <v>13730000</v>
      </c>
      <c r="M2661" t="s">
        <v>242</v>
      </c>
      <c r="N2661" t="s">
        <v>1855</v>
      </c>
      <c r="O2661">
        <v>1</v>
      </c>
      <c r="P2661" t="s">
        <v>257</v>
      </c>
    </row>
    <row r="2662" spans="1:16" hidden="1" x14ac:dyDescent="0.25">
      <c r="A2662" s="16">
        <v>45809</v>
      </c>
      <c r="B2662" t="s">
        <v>35</v>
      </c>
      <c r="C2662">
        <v>16</v>
      </c>
      <c r="D2662" t="s">
        <v>253</v>
      </c>
      <c r="E2662" t="s">
        <v>248</v>
      </c>
      <c r="F2662" t="s">
        <v>240</v>
      </c>
      <c r="G2662" t="s">
        <v>82</v>
      </c>
      <c r="J2662" t="s">
        <v>198</v>
      </c>
      <c r="K2662" t="s">
        <v>255</v>
      </c>
      <c r="L2662">
        <v>13090000</v>
      </c>
      <c r="M2662" t="s">
        <v>242</v>
      </c>
      <c r="N2662" t="s">
        <v>2029</v>
      </c>
      <c r="O2662">
        <v>1</v>
      </c>
      <c r="P2662" t="s">
        <v>261</v>
      </c>
    </row>
    <row r="2663" spans="1:16" hidden="1" x14ac:dyDescent="0.25">
      <c r="A2663" s="16">
        <v>45809</v>
      </c>
      <c r="B2663" t="s">
        <v>35</v>
      </c>
      <c r="C2663">
        <v>16</v>
      </c>
      <c r="D2663" t="s">
        <v>247</v>
      </c>
      <c r="E2663" t="s">
        <v>248</v>
      </c>
      <c r="F2663" t="s">
        <v>240</v>
      </c>
      <c r="G2663" t="s">
        <v>82</v>
      </c>
      <c r="H2663" t="s">
        <v>249</v>
      </c>
      <c r="J2663" t="s">
        <v>198</v>
      </c>
      <c r="K2663" t="s">
        <v>250</v>
      </c>
      <c r="L2663">
        <v>4.7</v>
      </c>
      <c r="M2663" t="s">
        <v>251</v>
      </c>
      <c r="N2663" t="s">
        <v>720</v>
      </c>
    </row>
    <row r="2664" spans="1:16" hidden="1" x14ac:dyDescent="0.25">
      <c r="A2664" s="16">
        <v>45809</v>
      </c>
      <c r="B2664" t="s">
        <v>35</v>
      </c>
      <c r="C2664">
        <v>17</v>
      </c>
      <c r="D2664" t="s">
        <v>291</v>
      </c>
      <c r="E2664" t="s">
        <v>292</v>
      </c>
      <c r="F2664" t="s">
        <v>240</v>
      </c>
      <c r="G2664" t="s">
        <v>82</v>
      </c>
      <c r="H2664" t="s">
        <v>83</v>
      </c>
      <c r="J2664" t="s">
        <v>198</v>
      </c>
      <c r="K2664" t="s">
        <v>250</v>
      </c>
      <c r="L2664">
        <v>11110000</v>
      </c>
      <c r="M2664" t="s">
        <v>242</v>
      </c>
      <c r="N2664" t="s">
        <v>2030</v>
      </c>
    </row>
    <row r="2665" spans="1:16" hidden="1" x14ac:dyDescent="0.25">
      <c r="A2665" s="16">
        <v>45809</v>
      </c>
      <c r="B2665" t="s">
        <v>35</v>
      </c>
      <c r="C2665">
        <v>17</v>
      </c>
      <c r="D2665" t="s">
        <v>291</v>
      </c>
      <c r="E2665" t="s">
        <v>292</v>
      </c>
      <c r="F2665" t="s">
        <v>240</v>
      </c>
      <c r="G2665" t="s">
        <v>82</v>
      </c>
      <c r="H2665" t="s">
        <v>84</v>
      </c>
      <c r="J2665" t="s">
        <v>198</v>
      </c>
      <c r="K2665" t="s">
        <v>250</v>
      </c>
      <c r="L2665">
        <v>1970000</v>
      </c>
      <c r="M2665" t="s">
        <v>242</v>
      </c>
      <c r="N2665" t="s">
        <v>2031</v>
      </c>
    </row>
    <row r="2666" spans="1:16" hidden="1" x14ac:dyDescent="0.25">
      <c r="A2666" s="16">
        <v>45809</v>
      </c>
      <c r="B2666" t="s">
        <v>35</v>
      </c>
      <c r="C2666">
        <v>18</v>
      </c>
      <c r="D2666" t="s">
        <v>291</v>
      </c>
      <c r="E2666" t="s">
        <v>292</v>
      </c>
      <c r="F2666" t="s">
        <v>240</v>
      </c>
      <c r="G2666" t="s">
        <v>82</v>
      </c>
      <c r="H2666" t="s">
        <v>83</v>
      </c>
      <c r="I2666" t="s">
        <v>313</v>
      </c>
      <c r="J2666" t="s">
        <v>198</v>
      </c>
      <c r="K2666" t="s">
        <v>250</v>
      </c>
      <c r="L2666">
        <v>2.2000000000000002</v>
      </c>
      <c r="M2666" t="s">
        <v>251</v>
      </c>
      <c r="N2666" t="s">
        <v>769</v>
      </c>
    </row>
    <row r="2667" spans="1:16" hidden="1" x14ac:dyDescent="0.25">
      <c r="A2667" s="16">
        <v>45809</v>
      </c>
      <c r="B2667" t="s">
        <v>35</v>
      </c>
      <c r="C2667">
        <v>18</v>
      </c>
      <c r="D2667" t="s">
        <v>291</v>
      </c>
      <c r="E2667" t="s">
        <v>292</v>
      </c>
      <c r="F2667" t="s">
        <v>240</v>
      </c>
      <c r="G2667" t="s">
        <v>82</v>
      </c>
      <c r="H2667" t="s">
        <v>83</v>
      </c>
      <c r="I2667" t="s">
        <v>315</v>
      </c>
      <c r="J2667" t="s">
        <v>198</v>
      </c>
      <c r="K2667" t="s">
        <v>250</v>
      </c>
      <c r="L2667">
        <v>87.4</v>
      </c>
      <c r="M2667" t="s">
        <v>251</v>
      </c>
      <c r="N2667" t="s">
        <v>2032</v>
      </c>
    </row>
    <row r="2668" spans="1:16" hidden="1" x14ac:dyDescent="0.25">
      <c r="A2668" s="16">
        <v>45809</v>
      </c>
      <c r="B2668" t="s">
        <v>35</v>
      </c>
      <c r="C2668">
        <v>18</v>
      </c>
      <c r="D2668" t="s">
        <v>291</v>
      </c>
      <c r="E2668" t="s">
        <v>292</v>
      </c>
      <c r="F2668" t="s">
        <v>240</v>
      </c>
      <c r="G2668" t="s">
        <v>82</v>
      </c>
      <c r="H2668" t="s">
        <v>83</v>
      </c>
      <c r="I2668" t="s">
        <v>317</v>
      </c>
      <c r="J2668" t="s">
        <v>198</v>
      </c>
      <c r="K2668" t="s">
        <v>250</v>
      </c>
      <c r="L2668">
        <v>10.4</v>
      </c>
      <c r="M2668" t="s">
        <v>251</v>
      </c>
      <c r="N2668" t="s">
        <v>1493</v>
      </c>
    </row>
    <row r="2669" spans="1:16" hidden="1" x14ac:dyDescent="0.25">
      <c r="A2669" s="16">
        <v>45809</v>
      </c>
      <c r="B2669" t="s">
        <v>35</v>
      </c>
      <c r="C2669">
        <v>18</v>
      </c>
      <c r="D2669" t="s">
        <v>291</v>
      </c>
      <c r="E2669" t="s">
        <v>292</v>
      </c>
      <c r="F2669" t="s">
        <v>240</v>
      </c>
      <c r="G2669" t="s">
        <v>82</v>
      </c>
      <c r="H2669" t="s">
        <v>84</v>
      </c>
      <c r="I2669" t="s">
        <v>319</v>
      </c>
      <c r="J2669" t="s">
        <v>198</v>
      </c>
      <c r="K2669" t="s">
        <v>250</v>
      </c>
      <c r="L2669">
        <v>99.2</v>
      </c>
      <c r="M2669" t="s">
        <v>251</v>
      </c>
      <c r="N2669" t="s">
        <v>2033</v>
      </c>
    </row>
    <row r="2670" spans="1:16" hidden="1" x14ac:dyDescent="0.25">
      <c r="A2670" s="16">
        <v>45809</v>
      </c>
      <c r="B2670" t="s">
        <v>35</v>
      </c>
      <c r="C2670">
        <v>18</v>
      </c>
      <c r="D2670" t="s">
        <v>291</v>
      </c>
      <c r="E2670" t="s">
        <v>292</v>
      </c>
      <c r="F2670" t="s">
        <v>240</v>
      </c>
      <c r="G2670" t="s">
        <v>82</v>
      </c>
      <c r="H2670" t="s">
        <v>84</v>
      </c>
      <c r="I2670" t="s">
        <v>321</v>
      </c>
      <c r="J2670" t="s">
        <v>198</v>
      </c>
      <c r="K2670" t="s">
        <v>250</v>
      </c>
      <c r="L2670">
        <v>0.8</v>
      </c>
      <c r="M2670" t="s">
        <v>251</v>
      </c>
      <c r="N2670" t="s">
        <v>370</v>
      </c>
    </row>
    <row r="2671" spans="1:16" hidden="1" x14ac:dyDescent="0.25">
      <c r="A2671" s="16">
        <v>45809</v>
      </c>
      <c r="B2671" t="s">
        <v>35</v>
      </c>
      <c r="C2671">
        <v>19</v>
      </c>
      <c r="D2671" t="s">
        <v>253</v>
      </c>
      <c r="E2671" t="s">
        <v>248</v>
      </c>
      <c r="F2671" t="s">
        <v>244</v>
      </c>
      <c r="G2671" t="s">
        <v>82</v>
      </c>
      <c r="J2671" t="s">
        <v>196</v>
      </c>
      <c r="K2671" t="s">
        <v>255</v>
      </c>
      <c r="L2671">
        <v>1480000000</v>
      </c>
      <c r="M2671" t="s">
        <v>245</v>
      </c>
      <c r="N2671" t="s">
        <v>1686</v>
      </c>
      <c r="O2671">
        <v>1</v>
      </c>
      <c r="P2671" t="s">
        <v>257</v>
      </c>
    </row>
    <row r="2672" spans="1:16" hidden="1" x14ac:dyDescent="0.25">
      <c r="A2672" s="16">
        <v>45809</v>
      </c>
      <c r="B2672" t="s">
        <v>35</v>
      </c>
      <c r="C2672">
        <v>19</v>
      </c>
      <c r="D2672" t="s">
        <v>253</v>
      </c>
      <c r="E2672" t="s">
        <v>248</v>
      </c>
      <c r="F2672" t="s">
        <v>244</v>
      </c>
      <c r="G2672" t="s">
        <v>82</v>
      </c>
      <c r="J2672" t="s">
        <v>197</v>
      </c>
      <c r="K2672" t="s">
        <v>255</v>
      </c>
      <c r="L2672">
        <v>1640000000</v>
      </c>
      <c r="M2672" t="s">
        <v>245</v>
      </c>
      <c r="N2672" t="s">
        <v>1860</v>
      </c>
      <c r="O2672">
        <v>1</v>
      </c>
      <c r="P2672" t="s">
        <v>257</v>
      </c>
    </row>
    <row r="2673" spans="1:16" hidden="1" x14ac:dyDescent="0.25">
      <c r="A2673" s="16">
        <v>45809</v>
      </c>
      <c r="B2673" t="s">
        <v>35</v>
      </c>
      <c r="C2673">
        <v>19</v>
      </c>
      <c r="D2673" t="s">
        <v>253</v>
      </c>
      <c r="E2673" t="s">
        <v>248</v>
      </c>
      <c r="F2673" t="s">
        <v>244</v>
      </c>
      <c r="G2673" t="s">
        <v>82</v>
      </c>
      <c r="J2673" t="s">
        <v>198</v>
      </c>
      <c r="K2673" t="s">
        <v>255</v>
      </c>
      <c r="L2673">
        <v>1600000000</v>
      </c>
      <c r="M2673" t="s">
        <v>245</v>
      </c>
      <c r="N2673" t="s">
        <v>2034</v>
      </c>
      <c r="O2673">
        <v>1</v>
      </c>
      <c r="P2673" t="s">
        <v>261</v>
      </c>
    </row>
    <row r="2674" spans="1:16" hidden="1" x14ac:dyDescent="0.25">
      <c r="A2674" s="16">
        <v>45809</v>
      </c>
      <c r="B2674" t="s">
        <v>35</v>
      </c>
      <c r="C2674">
        <v>19</v>
      </c>
      <c r="D2674" t="s">
        <v>247</v>
      </c>
      <c r="E2674" t="s">
        <v>248</v>
      </c>
      <c r="F2674" t="s">
        <v>244</v>
      </c>
      <c r="G2674" t="s">
        <v>82</v>
      </c>
      <c r="H2674" t="s">
        <v>249</v>
      </c>
      <c r="J2674" t="s">
        <v>198</v>
      </c>
      <c r="K2674" t="s">
        <v>250</v>
      </c>
      <c r="L2674">
        <v>2.2000000000000002</v>
      </c>
      <c r="M2674" t="s">
        <v>251</v>
      </c>
      <c r="N2674" t="s">
        <v>769</v>
      </c>
    </row>
    <row r="2675" spans="1:16" hidden="1" x14ac:dyDescent="0.25">
      <c r="A2675" s="16">
        <v>45809</v>
      </c>
      <c r="B2675" t="s">
        <v>35</v>
      </c>
      <c r="C2675">
        <v>20</v>
      </c>
      <c r="D2675" t="s">
        <v>291</v>
      </c>
      <c r="E2675" t="s">
        <v>292</v>
      </c>
      <c r="F2675" t="s">
        <v>244</v>
      </c>
      <c r="G2675" t="s">
        <v>82</v>
      </c>
      <c r="H2675" t="s">
        <v>83</v>
      </c>
      <c r="J2675" t="s">
        <v>198</v>
      </c>
      <c r="K2675" t="s">
        <v>250</v>
      </c>
      <c r="L2675">
        <v>1260000000</v>
      </c>
      <c r="M2675" t="s">
        <v>245</v>
      </c>
      <c r="N2675" t="s">
        <v>1514</v>
      </c>
    </row>
    <row r="2676" spans="1:16" hidden="1" x14ac:dyDescent="0.25">
      <c r="A2676" s="16">
        <v>45809</v>
      </c>
      <c r="B2676" t="s">
        <v>35</v>
      </c>
      <c r="C2676">
        <v>20</v>
      </c>
      <c r="D2676" t="s">
        <v>291</v>
      </c>
      <c r="E2676" t="s">
        <v>292</v>
      </c>
      <c r="F2676" t="s">
        <v>244</v>
      </c>
      <c r="G2676" t="s">
        <v>82</v>
      </c>
      <c r="H2676" t="s">
        <v>84</v>
      </c>
      <c r="J2676" t="s">
        <v>198</v>
      </c>
      <c r="K2676" t="s">
        <v>250</v>
      </c>
      <c r="L2676">
        <v>339200000</v>
      </c>
      <c r="M2676" t="s">
        <v>245</v>
      </c>
      <c r="N2676" t="s">
        <v>2035</v>
      </c>
    </row>
    <row r="2677" spans="1:16" hidden="1" x14ac:dyDescent="0.25">
      <c r="A2677" s="16">
        <v>45809</v>
      </c>
      <c r="B2677" t="s">
        <v>35</v>
      </c>
      <c r="C2677">
        <v>21</v>
      </c>
      <c r="D2677" t="s">
        <v>291</v>
      </c>
      <c r="E2677" t="s">
        <v>292</v>
      </c>
      <c r="F2677" t="s">
        <v>244</v>
      </c>
      <c r="G2677" t="s">
        <v>82</v>
      </c>
      <c r="H2677" t="s">
        <v>83</v>
      </c>
      <c r="I2677" t="s">
        <v>313</v>
      </c>
      <c r="J2677" t="s">
        <v>198</v>
      </c>
      <c r="K2677" t="s">
        <v>250</v>
      </c>
      <c r="L2677">
        <v>4.0999999999999996</v>
      </c>
      <c r="M2677" t="s">
        <v>251</v>
      </c>
      <c r="N2677" t="s">
        <v>1789</v>
      </c>
    </row>
    <row r="2678" spans="1:16" hidden="1" x14ac:dyDescent="0.25">
      <c r="A2678" s="16">
        <v>45809</v>
      </c>
      <c r="B2678" t="s">
        <v>35</v>
      </c>
      <c r="C2678">
        <v>21</v>
      </c>
      <c r="D2678" t="s">
        <v>291</v>
      </c>
      <c r="E2678" t="s">
        <v>292</v>
      </c>
      <c r="F2678" t="s">
        <v>244</v>
      </c>
      <c r="G2678" t="s">
        <v>82</v>
      </c>
      <c r="H2678" t="s">
        <v>83</v>
      </c>
      <c r="I2678" t="s">
        <v>315</v>
      </c>
      <c r="J2678" t="s">
        <v>198</v>
      </c>
      <c r="K2678" t="s">
        <v>250</v>
      </c>
      <c r="L2678">
        <v>74.7</v>
      </c>
      <c r="M2678" t="s">
        <v>251</v>
      </c>
      <c r="N2678" t="s">
        <v>2036</v>
      </c>
    </row>
    <row r="2679" spans="1:16" hidden="1" x14ac:dyDescent="0.25">
      <c r="A2679" s="16">
        <v>45809</v>
      </c>
      <c r="B2679" t="s">
        <v>35</v>
      </c>
      <c r="C2679">
        <v>21</v>
      </c>
      <c r="D2679" t="s">
        <v>291</v>
      </c>
      <c r="E2679" t="s">
        <v>292</v>
      </c>
      <c r="F2679" t="s">
        <v>244</v>
      </c>
      <c r="G2679" t="s">
        <v>82</v>
      </c>
      <c r="H2679" t="s">
        <v>83</v>
      </c>
      <c r="I2679" t="s">
        <v>317</v>
      </c>
      <c r="J2679" t="s">
        <v>198</v>
      </c>
      <c r="K2679" t="s">
        <v>250</v>
      </c>
      <c r="L2679">
        <v>21.3</v>
      </c>
      <c r="M2679" t="s">
        <v>251</v>
      </c>
      <c r="N2679" t="s">
        <v>601</v>
      </c>
    </row>
    <row r="2680" spans="1:16" hidden="1" x14ac:dyDescent="0.25">
      <c r="A2680" s="16">
        <v>45809</v>
      </c>
      <c r="B2680" t="s">
        <v>35</v>
      </c>
      <c r="C2680">
        <v>21</v>
      </c>
      <c r="D2680" t="s">
        <v>291</v>
      </c>
      <c r="E2680" t="s">
        <v>292</v>
      </c>
      <c r="F2680" t="s">
        <v>244</v>
      </c>
      <c r="G2680" t="s">
        <v>82</v>
      </c>
      <c r="H2680" t="s">
        <v>84</v>
      </c>
      <c r="I2680" t="s">
        <v>319</v>
      </c>
      <c r="J2680" t="s">
        <v>198</v>
      </c>
      <c r="K2680" t="s">
        <v>250</v>
      </c>
      <c r="L2680">
        <v>99.91</v>
      </c>
      <c r="M2680" t="s">
        <v>251</v>
      </c>
      <c r="N2680" t="s">
        <v>2037</v>
      </c>
    </row>
    <row r="2681" spans="1:16" hidden="1" x14ac:dyDescent="0.25">
      <c r="A2681" s="16">
        <v>45809</v>
      </c>
      <c r="B2681" t="s">
        <v>35</v>
      </c>
      <c r="C2681">
        <v>21</v>
      </c>
      <c r="D2681" t="s">
        <v>291</v>
      </c>
      <c r="E2681" t="s">
        <v>292</v>
      </c>
      <c r="F2681" t="s">
        <v>244</v>
      </c>
      <c r="G2681" t="s">
        <v>82</v>
      </c>
      <c r="H2681" t="s">
        <v>84</v>
      </c>
      <c r="I2681" t="s">
        <v>321</v>
      </c>
      <c r="J2681" t="s">
        <v>198</v>
      </c>
      <c r="K2681" t="s">
        <v>250</v>
      </c>
      <c r="L2681">
        <v>0.09</v>
      </c>
      <c r="M2681" t="s">
        <v>251</v>
      </c>
      <c r="N2681" t="s">
        <v>2038</v>
      </c>
    </row>
    <row r="2682" spans="1:16" hidden="1" x14ac:dyDescent="0.25">
      <c r="A2682" s="16">
        <v>45809</v>
      </c>
      <c r="B2682" t="s">
        <v>35</v>
      </c>
      <c r="C2682">
        <v>22</v>
      </c>
      <c r="D2682" t="s">
        <v>253</v>
      </c>
      <c r="E2682" t="s">
        <v>248</v>
      </c>
      <c r="F2682" t="s">
        <v>334</v>
      </c>
      <c r="G2682" t="s">
        <v>82</v>
      </c>
      <c r="J2682" t="s">
        <v>196</v>
      </c>
      <c r="K2682" t="s">
        <v>255</v>
      </c>
      <c r="L2682">
        <v>129</v>
      </c>
      <c r="M2682" t="s">
        <v>245</v>
      </c>
      <c r="N2682" t="s">
        <v>1148</v>
      </c>
      <c r="O2682">
        <v>1</v>
      </c>
      <c r="P2682" t="s">
        <v>257</v>
      </c>
    </row>
    <row r="2683" spans="1:16" hidden="1" x14ac:dyDescent="0.25">
      <c r="A2683" s="16">
        <v>45809</v>
      </c>
      <c r="B2683" t="s">
        <v>35</v>
      </c>
      <c r="C2683">
        <v>22</v>
      </c>
      <c r="D2683" t="s">
        <v>253</v>
      </c>
      <c r="E2683" t="s">
        <v>248</v>
      </c>
      <c r="F2683" t="s">
        <v>334</v>
      </c>
      <c r="G2683" t="s">
        <v>82</v>
      </c>
      <c r="J2683" t="s">
        <v>197</v>
      </c>
      <c r="K2683" t="s">
        <v>255</v>
      </c>
      <c r="L2683">
        <v>119</v>
      </c>
      <c r="M2683" t="s">
        <v>245</v>
      </c>
      <c r="N2683" t="s">
        <v>1866</v>
      </c>
      <c r="O2683">
        <v>1</v>
      </c>
      <c r="P2683" t="s">
        <v>257</v>
      </c>
    </row>
    <row r="2684" spans="1:16" hidden="1" x14ac:dyDescent="0.25">
      <c r="A2684" s="16">
        <v>45809</v>
      </c>
      <c r="B2684" t="s">
        <v>35</v>
      </c>
      <c r="C2684">
        <v>22</v>
      </c>
      <c r="D2684" t="s">
        <v>253</v>
      </c>
      <c r="E2684" t="s">
        <v>248</v>
      </c>
      <c r="F2684" t="s">
        <v>334</v>
      </c>
      <c r="G2684" t="s">
        <v>82</v>
      </c>
      <c r="J2684" t="s">
        <v>198</v>
      </c>
      <c r="K2684" t="s">
        <v>255</v>
      </c>
      <c r="L2684">
        <v>122</v>
      </c>
      <c r="M2684" t="s">
        <v>245</v>
      </c>
      <c r="N2684" t="s">
        <v>2039</v>
      </c>
      <c r="O2684">
        <v>1</v>
      </c>
      <c r="P2684" t="s">
        <v>261</v>
      </c>
    </row>
    <row r="2685" spans="1:16" hidden="1" x14ac:dyDescent="0.25">
      <c r="A2685" s="16">
        <v>45809</v>
      </c>
      <c r="B2685" t="s">
        <v>35</v>
      </c>
      <c r="C2685">
        <v>23</v>
      </c>
      <c r="D2685" t="s">
        <v>291</v>
      </c>
      <c r="E2685" t="s">
        <v>292</v>
      </c>
      <c r="F2685" t="s">
        <v>240</v>
      </c>
      <c r="G2685" t="s">
        <v>82</v>
      </c>
      <c r="H2685" t="s">
        <v>94</v>
      </c>
      <c r="J2685" t="s">
        <v>198</v>
      </c>
      <c r="K2685" t="s">
        <v>250</v>
      </c>
      <c r="L2685">
        <v>5790000</v>
      </c>
      <c r="M2685" t="s">
        <v>242</v>
      </c>
      <c r="N2685" t="s">
        <v>2040</v>
      </c>
    </row>
    <row r="2686" spans="1:16" hidden="1" x14ac:dyDescent="0.25">
      <c r="A2686" s="16">
        <v>45809</v>
      </c>
      <c r="B2686" t="s">
        <v>35</v>
      </c>
      <c r="C2686">
        <v>23</v>
      </c>
      <c r="D2686" t="s">
        <v>291</v>
      </c>
      <c r="E2686" t="s">
        <v>292</v>
      </c>
      <c r="F2686" t="s">
        <v>240</v>
      </c>
      <c r="G2686" t="s">
        <v>82</v>
      </c>
      <c r="H2686" t="s">
        <v>95</v>
      </c>
      <c r="J2686" t="s">
        <v>198</v>
      </c>
      <c r="K2686" t="s">
        <v>250</v>
      </c>
      <c r="L2686">
        <v>2070000</v>
      </c>
      <c r="M2686" t="s">
        <v>242</v>
      </c>
      <c r="N2686" t="s">
        <v>2041</v>
      </c>
    </row>
    <row r="2687" spans="1:16" hidden="1" x14ac:dyDescent="0.25">
      <c r="A2687" s="16">
        <v>45809</v>
      </c>
      <c r="B2687" t="s">
        <v>35</v>
      </c>
      <c r="C2687">
        <v>24</v>
      </c>
      <c r="D2687" t="s">
        <v>291</v>
      </c>
      <c r="E2687" t="s">
        <v>292</v>
      </c>
      <c r="F2687" t="s">
        <v>244</v>
      </c>
      <c r="G2687" t="s">
        <v>82</v>
      </c>
      <c r="H2687" t="s">
        <v>94</v>
      </c>
      <c r="J2687" t="s">
        <v>198</v>
      </c>
      <c r="K2687" t="s">
        <v>250</v>
      </c>
      <c r="L2687">
        <v>849100000</v>
      </c>
      <c r="M2687" t="s">
        <v>245</v>
      </c>
      <c r="N2687" t="s">
        <v>2042</v>
      </c>
    </row>
    <row r="2688" spans="1:16" hidden="1" x14ac:dyDescent="0.25">
      <c r="A2688" s="16">
        <v>45809</v>
      </c>
      <c r="B2688" t="s">
        <v>35</v>
      </c>
      <c r="C2688">
        <v>24</v>
      </c>
      <c r="D2688" t="s">
        <v>291</v>
      </c>
      <c r="E2688" t="s">
        <v>292</v>
      </c>
      <c r="F2688" t="s">
        <v>244</v>
      </c>
      <c r="G2688" t="s">
        <v>82</v>
      </c>
      <c r="H2688" t="s">
        <v>95</v>
      </c>
      <c r="J2688" t="s">
        <v>198</v>
      </c>
      <c r="K2688" t="s">
        <v>250</v>
      </c>
      <c r="L2688">
        <v>227200000</v>
      </c>
      <c r="M2688" t="s">
        <v>245</v>
      </c>
      <c r="N2688" t="s">
        <v>598</v>
      </c>
    </row>
    <row r="2689" spans="1:16" hidden="1" x14ac:dyDescent="0.25">
      <c r="A2689" s="16">
        <v>45809</v>
      </c>
      <c r="B2689" t="s">
        <v>156</v>
      </c>
      <c r="C2689">
        <v>78</v>
      </c>
      <c r="D2689" t="s">
        <v>238</v>
      </c>
      <c r="E2689" t="s">
        <v>239</v>
      </c>
      <c r="F2689" t="s">
        <v>240</v>
      </c>
      <c r="G2689" t="s">
        <v>158</v>
      </c>
      <c r="J2689" t="s">
        <v>198</v>
      </c>
      <c r="K2689" t="s">
        <v>241</v>
      </c>
      <c r="L2689">
        <v>3030000</v>
      </c>
      <c r="M2689" t="s">
        <v>242</v>
      </c>
      <c r="N2689" t="s">
        <v>2043</v>
      </c>
    </row>
    <row r="2690" spans="1:16" hidden="1" x14ac:dyDescent="0.25">
      <c r="A2690" s="16">
        <v>45809</v>
      </c>
      <c r="B2690" t="s">
        <v>156</v>
      </c>
      <c r="C2690">
        <v>78</v>
      </c>
      <c r="D2690" t="s">
        <v>238</v>
      </c>
      <c r="E2690" t="s">
        <v>239</v>
      </c>
      <c r="F2690" t="s">
        <v>244</v>
      </c>
      <c r="G2690" t="s">
        <v>158</v>
      </c>
      <c r="J2690" t="s">
        <v>198</v>
      </c>
      <c r="K2690" t="s">
        <v>241</v>
      </c>
      <c r="L2690">
        <v>19590000000</v>
      </c>
      <c r="M2690" t="s">
        <v>245</v>
      </c>
      <c r="N2690" t="s">
        <v>2044</v>
      </c>
    </row>
    <row r="2691" spans="1:16" hidden="1" x14ac:dyDescent="0.25">
      <c r="A2691" s="16">
        <v>45809</v>
      </c>
      <c r="B2691" t="s">
        <v>156</v>
      </c>
      <c r="C2691">
        <v>80</v>
      </c>
      <c r="D2691" t="s">
        <v>253</v>
      </c>
      <c r="E2691" t="s">
        <v>248</v>
      </c>
      <c r="F2691" t="s">
        <v>344</v>
      </c>
      <c r="G2691" t="s">
        <v>158</v>
      </c>
      <c r="J2691" t="s">
        <v>196</v>
      </c>
      <c r="K2691" t="s">
        <v>255</v>
      </c>
      <c r="L2691">
        <v>588000</v>
      </c>
      <c r="M2691" t="s">
        <v>242</v>
      </c>
      <c r="N2691" t="s">
        <v>1696</v>
      </c>
      <c r="O2691">
        <v>1</v>
      </c>
      <c r="P2691" t="s">
        <v>257</v>
      </c>
    </row>
    <row r="2692" spans="1:16" hidden="1" x14ac:dyDescent="0.25">
      <c r="A2692" s="16">
        <v>45809</v>
      </c>
      <c r="B2692" t="s">
        <v>156</v>
      </c>
      <c r="C2692">
        <v>80</v>
      </c>
      <c r="D2692" t="s">
        <v>253</v>
      </c>
      <c r="E2692" t="s">
        <v>248</v>
      </c>
      <c r="F2692" t="s">
        <v>344</v>
      </c>
      <c r="G2692" t="s">
        <v>158</v>
      </c>
      <c r="J2692" t="s">
        <v>197</v>
      </c>
      <c r="K2692" t="s">
        <v>255</v>
      </c>
      <c r="L2692">
        <v>443000</v>
      </c>
      <c r="M2692" t="s">
        <v>242</v>
      </c>
      <c r="N2692" t="s">
        <v>1871</v>
      </c>
      <c r="O2692">
        <v>1</v>
      </c>
      <c r="P2692" t="s">
        <v>257</v>
      </c>
    </row>
    <row r="2693" spans="1:16" hidden="1" x14ac:dyDescent="0.25">
      <c r="A2693" s="16">
        <v>45809</v>
      </c>
      <c r="B2693" t="s">
        <v>156</v>
      </c>
      <c r="C2693">
        <v>80</v>
      </c>
      <c r="D2693" t="s">
        <v>253</v>
      </c>
      <c r="E2693" t="s">
        <v>248</v>
      </c>
      <c r="F2693" t="s">
        <v>344</v>
      </c>
      <c r="G2693" t="s">
        <v>158</v>
      </c>
      <c r="J2693" t="s">
        <v>198</v>
      </c>
      <c r="K2693" t="s">
        <v>255</v>
      </c>
      <c r="L2693">
        <v>562000</v>
      </c>
      <c r="M2693" t="s">
        <v>242</v>
      </c>
      <c r="N2693" t="s">
        <v>2045</v>
      </c>
      <c r="O2693">
        <v>1</v>
      </c>
      <c r="P2693" t="s">
        <v>261</v>
      </c>
    </row>
    <row r="2694" spans="1:16" hidden="1" x14ac:dyDescent="0.25">
      <c r="A2694" s="16">
        <v>45809</v>
      </c>
      <c r="B2694" t="s">
        <v>156</v>
      </c>
      <c r="C2694">
        <v>80</v>
      </c>
      <c r="D2694" t="s">
        <v>247</v>
      </c>
      <c r="E2694" t="s">
        <v>248</v>
      </c>
      <c r="F2694" t="s">
        <v>344</v>
      </c>
      <c r="G2694" t="s">
        <v>158</v>
      </c>
      <c r="H2694" t="s">
        <v>286</v>
      </c>
      <c r="J2694" t="s">
        <v>198</v>
      </c>
      <c r="K2694" t="s">
        <v>250</v>
      </c>
      <c r="L2694">
        <v>26.9</v>
      </c>
      <c r="M2694" t="s">
        <v>251</v>
      </c>
      <c r="N2694" t="s">
        <v>2046</v>
      </c>
    </row>
    <row r="2695" spans="1:16" hidden="1" x14ac:dyDescent="0.25">
      <c r="A2695" s="16">
        <v>45809</v>
      </c>
      <c r="B2695" t="s">
        <v>156</v>
      </c>
      <c r="C2695">
        <v>81</v>
      </c>
      <c r="D2695" t="s">
        <v>253</v>
      </c>
      <c r="E2695" t="s">
        <v>248</v>
      </c>
      <c r="F2695" t="s">
        <v>349</v>
      </c>
      <c r="G2695" t="s">
        <v>158</v>
      </c>
      <c r="J2695" t="s">
        <v>196</v>
      </c>
      <c r="K2695" t="s">
        <v>255</v>
      </c>
      <c r="L2695">
        <v>21700</v>
      </c>
      <c r="M2695" t="s">
        <v>242</v>
      </c>
      <c r="N2695" t="s">
        <v>1698</v>
      </c>
      <c r="O2695">
        <v>1</v>
      </c>
      <c r="P2695" t="s">
        <v>257</v>
      </c>
    </row>
    <row r="2696" spans="1:16" hidden="1" x14ac:dyDescent="0.25">
      <c r="A2696" s="16">
        <v>45809</v>
      </c>
      <c r="B2696" t="s">
        <v>156</v>
      </c>
      <c r="C2696">
        <v>81</v>
      </c>
      <c r="D2696" t="s">
        <v>253</v>
      </c>
      <c r="E2696" t="s">
        <v>248</v>
      </c>
      <c r="F2696" t="s">
        <v>349</v>
      </c>
      <c r="G2696" t="s">
        <v>158</v>
      </c>
      <c r="J2696" t="s">
        <v>197</v>
      </c>
      <c r="K2696" t="s">
        <v>255</v>
      </c>
      <c r="L2696">
        <v>13900</v>
      </c>
      <c r="M2696" t="s">
        <v>242</v>
      </c>
      <c r="N2696" t="s">
        <v>1872</v>
      </c>
      <c r="O2696">
        <v>1</v>
      </c>
      <c r="P2696" t="s">
        <v>257</v>
      </c>
    </row>
    <row r="2697" spans="1:16" hidden="1" x14ac:dyDescent="0.25">
      <c r="A2697" s="16">
        <v>45809</v>
      </c>
      <c r="B2697" t="s">
        <v>156</v>
      </c>
      <c r="C2697">
        <v>81</v>
      </c>
      <c r="D2697" t="s">
        <v>253</v>
      </c>
      <c r="E2697" t="s">
        <v>248</v>
      </c>
      <c r="F2697" t="s">
        <v>349</v>
      </c>
      <c r="G2697" t="s">
        <v>158</v>
      </c>
      <c r="J2697" t="s">
        <v>198</v>
      </c>
      <c r="K2697" t="s">
        <v>255</v>
      </c>
      <c r="L2697">
        <v>21300</v>
      </c>
      <c r="M2697" t="s">
        <v>242</v>
      </c>
      <c r="N2697" t="s">
        <v>2047</v>
      </c>
      <c r="O2697">
        <v>1</v>
      </c>
      <c r="P2697" t="s">
        <v>261</v>
      </c>
    </row>
    <row r="2698" spans="1:16" hidden="1" x14ac:dyDescent="0.25">
      <c r="A2698" s="16">
        <v>45809</v>
      </c>
      <c r="B2698" t="s">
        <v>156</v>
      </c>
      <c r="C2698">
        <v>82</v>
      </c>
      <c r="D2698" t="s">
        <v>253</v>
      </c>
      <c r="E2698" t="s">
        <v>248</v>
      </c>
      <c r="F2698" t="s">
        <v>615</v>
      </c>
      <c r="G2698" t="s">
        <v>158</v>
      </c>
      <c r="J2698" t="s">
        <v>196</v>
      </c>
      <c r="K2698" t="s">
        <v>255</v>
      </c>
      <c r="L2698">
        <v>3.7</v>
      </c>
      <c r="M2698" t="s">
        <v>251</v>
      </c>
      <c r="N2698" t="s">
        <v>592</v>
      </c>
      <c r="O2698">
        <v>1</v>
      </c>
      <c r="P2698" t="s">
        <v>257</v>
      </c>
    </row>
    <row r="2699" spans="1:16" hidden="1" x14ac:dyDescent="0.25">
      <c r="A2699" s="16">
        <v>45809</v>
      </c>
      <c r="B2699" t="s">
        <v>156</v>
      </c>
      <c r="C2699">
        <v>82</v>
      </c>
      <c r="D2699" t="s">
        <v>253</v>
      </c>
      <c r="E2699" t="s">
        <v>248</v>
      </c>
      <c r="F2699" t="s">
        <v>615</v>
      </c>
      <c r="G2699" t="s">
        <v>158</v>
      </c>
      <c r="J2699" t="s">
        <v>197</v>
      </c>
      <c r="K2699" t="s">
        <v>255</v>
      </c>
      <c r="L2699">
        <v>3.1</v>
      </c>
      <c r="M2699" t="s">
        <v>251</v>
      </c>
      <c r="N2699" t="s">
        <v>1525</v>
      </c>
      <c r="O2699">
        <v>1</v>
      </c>
      <c r="P2699" t="s">
        <v>257</v>
      </c>
    </row>
    <row r="2700" spans="1:16" hidden="1" x14ac:dyDescent="0.25">
      <c r="A2700" s="16">
        <v>45809</v>
      </c>
      <c r="B2700" t="s">
        <v>156</v>
      </c>
      <c r="C2700">
        <v>82</v>
      </c>
      <c r="D2700" t="s">
        <v>253</v>
      </c>
      <c r="E2700" t="s">
        <v>248</v>
      </c>
      <c r="F2700" t="s">
        <v>615</v>
      </c>
      <c r="G2700" t="s">
        <v>158</v>
      </c>
      <c r="J2700" t="s">
        <v>198</v>
      </c>
      <c r="K2700" t="s">
        <v>255</v>
      </c>
      <c r="L2700">
        <v>3.8</v>
      </c>
      <c r="M2700" t="s">
        <v>251</v>
      </c>
      <c r="N2700" t="s">
        <v>855</v>
      </c>
      <c r="O2700">
        <v>1</v>
      </c>
      <c r="P2700" t="s">
        <v>261</v>
      </c>
    </row>
    <row r="2701" spans="1:16" hidden="1" x14ac:dyDescent="0.25">
      <c r="A2701" s="16">
        <v>45809</v>
      </c>
      <c r="B2701" t="s">
        <v>156</v>
      </c>
      <c r="C2701">
        <v>83</v>
      </c>
      <c r="D2701" t="s">
        <v>291</v>
      </c>
      <c r="E2701" t="s">
        <v>292</v>
      </c>
      <c r="F2701" t="s">
        <v>349</v>
      </c>
      <c r="G2701" t="s">
        <v>158</v>
      </c>
      <c r="H2701" t="s">
        <v>159</v>
      </c>
      <c r="J2701" t="s">
        <v>198</v>
      </c>
      <c r="K2701" t="s">
        <v>250</v>
      </c>
      <c r="L2701">
        <v>14882</v>
      </c>
      <c r="M2701" t="s">
        <v>242</v>
      </c>
      <c r="N2701" t="s">
        <v>2048</v>
      </c>
    </row>
    <row r="2702" spans="1:16" hidden="1" x14ac:dyDescent="0.25">
      <c r="A2702" s="16">
        <v>45809</v>
      </c>
      <c r="B2702" t="s">
        <v>156</v>
      </c>
      <c r="C2702">
        <v>83</v>
      </c>
      <c r="D2702" t="s">
        <v>291</v>
      </c>
      <c r="E2702" t="s">
        <v>292</v>
      </c>
      <c r="F2702" t="s">
        <v>349</v>
      </c>
      <c r="G2702" t="s">
        <v>158</v>
      </c>
      <c r="H2702" t="s">
        <v>160</v>
      </c>
      <c r="J2702" t="s">
        <v>198</v>
      </c>
      <c r="K2702" t="s">
        <v>250</v>
      </c>
      <c r="L2702">
        <v>6449</v>
      </c>
      <c r="M2702" t="s">
        <v>242</v>
      </c>
      <c r="N2702" t="s">
        <v>2049</v>
      </c>
    </row>
    <row r="2703" spans="1:16" hidden="1" x14ac:dyDescent="0.25">
      <c r="A2703" s="16">
        <v>45809</v>
      </c>
      <c r="B2703" t="s">
        <v>156</v>
      </c>
      <c r="C2703">
        <v>84</v>
      </c>
      <c r="D2703" t="s">
        <v>253</v>
      </c>
      <c r="E2703" t="s">
        <v>248</v>
      </c>
      <c r="F2703" t="s">
        <v>356</v>
      </c>
      <c r="G2703" t="s">
        <v>158</v>
      </c>
      <c r="J2703" t="s">
        <v>196</v>
      </c>
      <c r="K2703" t="s">
        <v>255</v>
      </c>
      <c r="L2703">
        <v>3480000000</v>
      </c>
      <c r="M2703" t="s">
        <v>245</v>
      </c>
      <c r="N2703" t="s">
        <v>1701</v>
      </c>
      <c r="O2703">
        <v>1</v>
      </c>
      <c r="P2703" t="s">
        <v>257</v>
      </c>
    </row>
    <row r="2704" spans="1:16" hidden="1" x14ac:dyDescent="0.25">
      <c r="A2704" s="16">
        <v>45809</v>
      </c>
      <c r="B2704" t="s">
        <v>156</v>
      </c>
      <c r="C2704">
        <v>84</v>
      </c>
      <c r="D2704" t="s">
        <v>253</v>
      </c>
      <c r="E2704" t="s">
        <v>248</v>
      </c>
      <c r="F2704" t="s">
        <v>356</v>
      </c>
      <c r="G2704" t="s">
        <v>158</v>
      </c>
      <c r="J2704" t="s">
        <v>197</v>
      </c>
      <c r="K2704" t="s">
        <v>255</v>
      </c>
      <c r="L2704">
        <v>3090000000</v>
      </c>
      <c r="M2704" t="s">
        <v>245</v>
      </c>
      <c r="N2704" t="s">
        <v>1875</v>
      </c>
      <c r="O2704">
        <v>1</v>
      </c>
      <c r="P2704" t="s">
        <v>257</v>
      </c>
    </row>
    <row r="2705" spans="1:16" hidden="1" x14ac:dyDescent="0.25">
      <c r="A2705" s="16">
        <v>45809</v>
      </c>
      <c r="B2705" t="s">
        <v>156</v>
      </c>
      <c r="C2705">
        <v>84</v>
      </c>
      <c r="D2705" t="s">
        <v>253</v>
      </c>
      <c r="E2705" t="s">
        <v>248</v>
      </c>
      <c r="F2705" t="s">
        <v>356</v>
      </c>
      <c r="G2705" t="s">
        <v>158</v>
      </c>
      <c r="J2705" t="s">
        <v>198</v>
      </c>
      <c r="K2705" t="s">
        <v>255</v>
      </c>
      <c r="L2705">
        <v>3350000000</v>
      </c>
      <c r="M2705" t="s">
        <v>245</v>
      </c>
      <c r="N2705" t="s">
        <v>2050</v>
      </c>
      <c r="O2705">
        <v>1</v>
      </c>
      <c r="P2705" t="s">
        <v>261</v>
      </c>
    </row>
    <row r="2706" spans="1:16" hidden="1" x14ac:dyDescent="0.25">
      <c r="A2706" s="16">
        <v>45809</v>
      </c>
      <c r="B2706" t="s">
        <v>156</v>
      </c>
      <c r="C2706">
        <v>84</v>
      </c>
      <c r="D2706" t="s">
        <v>247</v>
      </c>
      <c r="E2706" t="s">
        <v>248</v>
      </c>
      <c r="F2706" t="s">
        <v>356</v>
      </c>
      <c r="G2706" t="s">
        <v>158</v>
      </c>
      <c r="H2706" t="s">
        <v>286</v>
      </c>
      <c r="J2706" t="s">
        <v>198</v>
      </c>
      <c r="K2706" t="s">
        <v>250</v>
      </c>
      <c r="L2706">
        <v>8.1999999999999993</v>
      </c>
      <c r="M2706" t="s">
        <v>251</v>
      </c>
      <c r="N2706" t="s">
        <v>649</v>
      </c>
    </row>
    <row r="2707" spans="1:16" hidden="1" x14ac:dyDescent="0.25">
      <c r="A2707" s="16">
        <v>45809</v>
      </c>
      <c r="B2707" t="s">
        <v>156</v>
      </c>
      <c r="C2707">
        <v>85</v>
      </c>
      <c r="D2707" t="s">
        <v>253</v>
      </c>
      <c r="E2707" t="s">
        <v>248</v>
      </c>
      <c r="F2707" t="s">
        <v>361</v>
      </c>
      <c r="G2707" t="s">
        <v>158</v>
      </c>
      <c r="J2707" t="s">
        <v>196</v>
      </c>
      <c r="K2707" t="s">
        <v>255</v>
      </c>
      <c r="L2707">
        <v>119000000</v>
      </c>
      <c r="M2707" t="s">
        <v>245</v>
      </c>
      <c r="N2707" t="s">
        <v>1703</v>
      </c>
      <c r="O2707">
        <v>1</v>
      </c>
      <c r="P2707" t="s">
        <v>257</v>
      </c>
    </row>
    <row r="2708" spans="1:16" hidden="1" x14ac:dyDescent="0.25">
      <c r="A2708" s="16">
        <v>45809</v>
      </c>
      <c r="B2708" t="s">
        <v>156</v>
      </c>
      <c r="C2708">
        <v>85</v>
      </c>
      <c r="D2708" t="s">
        <v>253</v>
      </c>
      <c r="E2708" t="s">
        <v>248</v>
      </c>
      <c r="F2708" t="s">
        <v>361</v>
      </c>
      <c r="G2708" t="s">
        <v>158</v>
      </c>
      <c r="J2708" t="s">
        <v>197</v>
      </c>
      <c r="K2708" t="s">
        <v>255</v>
      </c>
      <c r="L2708">
        <v>93000000</v>
      </c>
      <c r="M2708" t="s">
        <v>245</v>
      </c>
      <c r="N2708" t="s">
        <v>1877</v>
      </c>
      <c r="O2708">
        <v>1</v>
      </c>
      <c r="P2708" t="s">
        <v>257</v>
      </c>
    </row>
    <row r="2709" spans="1:16" hidden="1" x14ac:dyDescent="0.25">
      <c r="A2709" s="16">
        <v>45809</v>
      </c>
      <c r="B2709" t="s">
        <v>156</v>
      </c>
      <c r="C2709">
        <v>85</v>
      </c>
      <c r="D2709" t="s">
        <v>253</v>
      </c>
      <c r="E2709" t="s">
        <v>248</v>
      </c>
      <c r="F2709" t="s">
        <v>361</v>
      </c>
      <c r="G2709" t="s">
        <v>158</v>
      </c>
      <c r="J2709" t="s">
        <v>198</v>
      </c>
      <c r="K2709" t="s">
        <v>255</v>
      </c>
      <c r="L2709">
        <v>113000000</v>
      </c>
      <c r="M2709" t="s">
        <v>245</v>
      </c>
      <c r="N2709" t="s">
        <v>2051</v>
      </c>
      <c r="O2709">
        <v>1</v>
      </c>
      <c r="P2709" t="s">
        <v>261</v>
      </c>
    </row>
    <row r="2710" spans="1:16" hidden="1" x14ac:dyDescent="0.25">
      <c r="A2710" s="16">
        <v>45809</v>
      </c>
      <c r="B2710" t="s">
        <v>156</v>
      </c>
      <c r="C2710">
        <v>86</v>
      </c>
      <c r="D2710" t="s">
        <v>253</v>
      </c>
      <c r="E2710" t="s">
        <v>248</v>
      </c>
      <c r="F2710" t="s">
        <v>622</v>
      </c>
      <c r="G2710" t="s">
        <v>158</v>
      </c>
      <c r="J2710" t="s">
        <v>196</v>
      </c>
      <c r="K2710" t="s">
        <v>255</v>
      </c>
      <c r="L2710">
        <v>3.42</v>
      </c>
      <c r="M2710" t="s">
        <v>251</v>
      </c>
      <c r="N2710" t="s">
        <v>625</v>
      </c>
      <c r="O2710">
        <v>1</v>
      </c>
      <c r="P2710" t="s">
        <v>257</v>
      </c>
    </row>
    <row r="2711" spans="1:16" hidden="1" x14ac:dyDescent="0.25">
      <c r="A2711" s="16">
        <v>45809</v>
      </c>
      <c r="B2711" t="s">
        <v>156</v>
      </c>
      <c r="C2711">
        <v>86</v>
      </c>
      <c r="D2711" t="s">
        <v>253</v>
      </c>
      <c r="E2711" t="s">
        <v>248</v>
      </c>
      <c r="F2711" t="s">
        <v>622</v>
      </c>
      <c r="G2711" t="s">
        <v>158</v>
      </c>
      <c r="J2711" t="s">
        <v>197</v>
      </c>
      <c r="K2711" t="s">
        <v>255</v>
      </c>
      <c r="L2711">
        <v>3</v>
      </c>
      <c r="M2711" t="s">
        <v>251</v>
      </c>
      <c r="N2711" t="s">
        <v>1878</v>
      </c>
      <c r="O2711">
        <v>1</v>
      </c>
      <c r="P2711" t="s">
        <v>257</v>
      </c>
    </row>
    <row r="2712" spans="1:16" hidden="1" x14ac:dyDescent="0.25">
      <c r="A2712" s="16">
        <v>45809</v>
      </c>
      <c r="B2712" t="s">
        <v>156</v>
      </c>
      <c r="C2712">
        <v>86</v>
      </c>
      <c r="D2712" t="s">
        <v>253</v>
      </c>
      <c r="E2712" t="s">
        <v>248</v>
      </c>
      <c r="F2712" t="s">
        <v>622</v>
      </c>
      <c r="G2712" t="s">
        <v>158</v>
      </c>
      <c r="J2712" t="s">
        <v>198</v>
      </c>
      <c r="K2712" t="s">
        <v>255</v>
      </c>
      <c r="L2712">
        <v>3.38</v>
      </c>
      <c r="M2712" t="s">
        <v>251</v>
      </c>
      <c r="N2712" t="s">
        <v>2052</v>
      </c>
      <c r="O2712">
        <v>1</v>
      </c>
      <c r="P2712" t="s">
        <v>261</v>
      </c>
    </row>
    <row r="2713" spans="1:16" hidden="1" x14ac:dyDescent="0.25">
      <c r="A2713" s="16">
        <v>45809</v>
      </c>
      <c r="B2713" t="s">
        <v>156</v>
      </c>
      <c r="C2713">
        <v>87</v>
      </c>
      <c r="D2713" t="s">
        <v>291</v>
      </c>
      <c r="E2713" t="s">
        <v>292</v>
      </c>
      <c r="F2713" t="s">
        <v>361</v>
      </c>
      <c r="G2713" t="s">
        <v>158</v>
      </c>
      <c r="H2713" t="s">
        <v>159</v>
      </c>
      <c r="J2713" t="s">
        <v>198</v>
      </c>
      <c r="K2713" t="s">
        <v>250</v>
      </c>
      <c r="L2713">
        <v>76500000</v>
      </c>
      <c r="M2713" t="s">
        <v>245</v>
      </c>
      <c r="N2713" t="s">
        <v>2053</v>
      </c>
    </row>
    <row r="2714" spans="1:16" hidden="1" x14ac:dyDescent="0.25">
      <c r="A2714" s="16">
        <v>45809</v>
      </c>
      <c r="B2714" t="s">
        <v>156</v>
      </c>
      <c r="C2714">
        <v>87</v>
      </c>
      <c r="D2714" t="s">
        <v>291</v>
      </c>
      <c r="E2714" t="s">
        <v>292</v>
      </c>
      <c r="F2714" t="s">
        <v>361</v>
      </c>
      <c r="G2714" t="s">
        <v>158</v>
      </c>
      <c r="H2714" t="s">
        <v>160</v>
      </c>
      <c r="J2714" t="s">
        <v>198</v>
      </c>
      <c r="K2714" t="s">
        <v>250</v>
      </c>
      <c r="L2714">
        <v>36700000</v>
      </c>
      <c r="M2714" t="s">
        <v>245</v>
      </c>
      <c r="N2714" t="s">
        <v>2054</v>
      </c>
    </row>
    <row r="2715" spans="1:16" hidden="1" x14ac:dyDescent="0.25">
      <c r="A2715" s="16">
        <v>45809</v>
      </c>
      <c r="B2715" t="s">
        <v>120</v>
      </c>
      <c r="C2715">
        <v>60</v>
      </c>
      <c r="D2715" t="s">
        <v>238</v>
      </c>
      <c r="E2715" t="s">
        <v>239</v>
      </c>
      <c r="F2715" t="s">
        <v>240</v>
      </c>
      <c r="G2715" t="s">
        <v>82</v>
      </c>
      <c r="J2715" t="s">
        <v>198</v>
      </c>
      <c r="K2715" t="s">
        <v>241</v>
      </c>
      <c r="L2715">
        <v>35510000</v>
      </c>
      <c r="M2715" t="s">
        <v>242</v>
      </c>
      <c r="N2715" t="s">
        <v>2055</v>
      </c>
    </row>
    <row r="2716" spans="1:16" hidden="1" x14ac:dyDescent="0.25">
      <c r="A2716" s="16">
        <v>45809</v>
      </c>
      <c r="B2716" t="s">
        <v>120</v>
      </c>
      <c r="C2716">
        <v>60</v>
      </c>
      <c r="D2716" t="s">
        <v>238</v>
      </c>
      <c r="E2716" t="s">
        <v>239</v>
      </c>
      <c r="F2716" t="s">
        <v>244</v>
      </c>
      <c r="G2716" t="s">
        <v>82</v>
      </c>
      <c r="J2716" t="s">
        <v>198</v>
      </c>
      <c r="K2716" t="s">
        <v>241</v>
      </c>
      <c r="L2716">
        <v>7500000000</v>
      </c>
      <c r="M2716" t="s">
        <v>245</v>
      </c>
      <c r="N2716" t="s">
        <v>2056</v>
      </c>
    </row>
    <row r="2717" spans="1:16" hidden="1" x14ac:dyDescent="0.25">
      <c r="A2717" s="16">
        <v>45809</v>
      </c>
      <c r="B2717" t="s">
        <v>120</v>
      </c>
      <c r="C2717">
        <v>62</v>
      </c>
      <c r="D2717" t="s">
        <v>253</v>
      </c>
      <c r="E2717" t="s">
        <v>248</v>
      </c>
      <c r="F2717" t="s">
        <v>285</v>
      </c>
      <c r="G2717" t="s">
        <v>63</v>
      </c>
      <c r="J2717" t="s">
        <v>196</v>
      </c>
      <c r="K2717" t="s">
        <v>255</v>
      </c>
      <c r="L2717">
        <v>4680000</v>
      </c>
      <c r="M2717" t="s">
        <v>242</v>
      </c>
      <c r="N2717" t="s">
        <v>1708</v>
      </c>
      <c r="O2717">
        <v>1</v>
      </c>
      <c r="P2717" t="s">
        <v>257</v>
      </c>
    </row>
    <row r="2718" spans="1:16" hidden="1" x14ac:dyDescent="0.25">
      <c r="A2718" s="16">
        <v>45809</v>
      </c>
      <c r="B2718" t="s">
        <v>120</v>
      </c>
      <c r="C2718">
        <v>62</v>
      </c>
      <c r="D2718" t="s">
        <v>253</v>
      </c>
      <c r="E2718" t="s">
        <v>248</v>
      </c>
      <c r="F2718" t="s">
        <v>285</v>
      </c>
      <c r="G2718" t="s">
        <v>63</v>
      </c>
      <c r="J2718" t="s">
        <v>197</v>
      </c>
      <c r="K2718" t="s">
        <v>255</v>
      </c>
      <c r="L2718">
        <v>4730000</v>
      </c>
      <c r="M2718" t="s">
        <v>242</v>
      </c>
      <c r="N2718" t="s">
        <v>1883</v>
      </c>
      <c r="O2718">
        <v>1</v>
      </c>
      <c r="P2718" t="s">
        <v>257</v>
      </c>
    </row>
    <row r="2719" spans="1:16" hidden="1" x14ac:dyDescent="0.25">
      <c r="A2719" s="16">
        <v>45809</v>
      </c>
      <c r="B2719" t="s">
        <v>120</v>
      </c>
      <c r="C2719">
        <v>62</v>
      </c>
      <c r="D2719" t="s">
        <v>253</v>
      </c>
      <c r="E2719" t="s">
        <v>248</v>
      </c>
      <c r="F2719" t="s">
        <v>285</v>
      </c>
      <c r="G2719" t="s">
        <v>63</v>
      </c>
      <c r="J2719" t="s">
        <v>198</v>
      </c>
      <c r="K2719" t="s">
        <v>255</v>
      </c>
      <c r="L2719">
        <v>4760000</v>
      </c>
      <c r="M2719" t="s">
        <v>242</v>
      </c>
      <c r="N2719" t="s">
        <v>2057</v>
      </c>
      <c r="O2719">
        <v>1</v>
      </c>
      <c r="P2719" t="s">
        <v>261</v>
      </c>
    </row>
    <row r="2720" spans="1:16" hidden="1" x14ac:dyDescent="0.25">
      <c r="A2720" s="16">
        <v>45809</v>
      </c>
      <c r="B2720" t="s">
        <v>120</v>
      </c>
      <c r="C2720">
        <v>62</v>
      </c>
      <c r="D2720" t="s">
        <v>247</v>
      </c>
      <c r="E2720" t="s">
        <v>248</v>
      </c>
      <c r="F2720" t="s">
        <v>285</v>
      </c>
      <c r="G2720" t="s">
        <v>63</v>
      </c>
      <c r="H2720" t="s">
        <v>286</v>
      </c>
      <c r="J2720" t="s">
        <v>198</v>
      </c>
      <c r="K2720" t="s">
        <v>250</v>
      </c>
      <c r="L2720">
        <v>0.8</v>
      </c>
      <c r="M2720" t="s">
        <v>251</v>
      </c>
      <c r="N2720" t="s">
        <v>370</v>
      </c>
    </row>
    <row r="2721" spans="1:16" hidden="1" x14ac:dyDescent="0.25">
      <c r="A2721" s="16">
        <v>45809</v>
      </c>
      <c r="B2721" t="s">
        <v>120</v>
      </c>
      <c r="C2721">
        <v>63</v>
      </c>
      <c r="D2721" t="s">
        <v>291</v>
      </c>
      <c r="E2721" t="s">
        <v>292</v>
      </c>
      <c r="F2721" t="s">
        <v>285</v>
      </c>
      <c r="G2721" t="s">
        <v>63</v>
      </c>
      <c r="H2721" t="s">
        <v>122</v>
      </c>
      <c r="J2721" t="s">
        <v>198</v>
      </c>
      <c r="K2721" t="s">
        <v>250</v>
      </c>
      <c r="L2721">
        <v>4730000</v>
      </c>
      <c r="M2721" t="s">
        <v>242</v>
      </c>
      <c r="N2721" t="s">
        <v>1885</v>
      </c>
    </row>
    <row r="2722" spans="1:16" hidden="1" x14ac:dyDescent="0.25">
      <c r="A2722" s="16">
        <v>45809</v>
      </c>
      <c r="B2722" t="s">
        <v>120</v>
      </c>
      <c r="C2722">
        <v>63</v>
      </c>
      <c r="D2722" t="s">
        <v>291</v>
      </c>
      <c r="E2722" t="s">
        <v>292</v>
      </c>
      <c r="F2722" t="s">
        <v>285</v>
      </c>
      <c r="G2722" t="s">
        <v>63</v>
      </c>
      <c r="H2722" t="s">
        <v>123</v>
      </c>
      <c r="J2722" t="s">
        <v>198</v>
      </c>
      <c r="K2722" t="s">
        <v>250</v>
      </c>
      <c r="L2722">
        <v>38700</v>
      </c>
      <c r="M2722" t="s">
        <v>242</v>
      </c>
      <c r="N2722" t="s">
        <v>2058</v>
      </c>
    </row>
    <row r="2723" spans="1:16" hidden="1" x14ac:dyDescent="0.25">
      <c r="A2723" s="16">
        <v>45809</v>
      </c>
      <c r="B2723" t="s">
        <v>120</v>
      </c>
      <c r="C2723">
        <v>63</v>
      </c>
      <c r="D2723" t="s">
        <v>238</v>
      </c>
      <c r="E2723" t="s">
        <v>239</v>
      </c>
      <c r="F2723" t="s">
        <v>285</v>
      </c>
      <c r="G2723" t="s">
        <v>63</v>
      </c>
      <c r="H2723" t="s">
        <v>376</v>
      </c>
      <c r="J2723" t="s">
        <v>198</v>
      </c>
      <c r="K2723" t="s">
        <v>250</v>
      </c>
      <c r="L2723">
        <v>4760000</v>
      </c>
      <c r="M2723" t="s">
        <v>242</v>
      </c>
      <c r="N2723" t="s">
        <v>2059</v>
      </c>
    </row>
    <row r="2724" spans="1:16" hidden="1" x14ac:dyDescent="0.25">
      <c r="A2724" s="16">
        <v>45809</v>
      </c>
      <c r="B2724" t="s">
        <v>120</v>
      </c>
      <c r="C2724">
        <v>64</v>
      </c>
      <c r="D2724" t="s">
        <v>238</v>
      </c>
      <c r="E2724" t="s">
        <v>239</v>
      </c>
      <c r="F2724" t="s">
        <v>378</v>
      </c>
      <c r="G2724" t="s">
        <v>379</v>
      </c>
      <c r="J2724" t="s">
        <v>198</v>
      </c>
      <c r="K2724" t="s">
        <v>250</v>
      </c>
      <c r="L2724">
        <v>630</v>
      </c>
      <c r="M2724" t="s">
        <v>242</v>
      </c>
      <c r="N2724" t="s">
        <v>2060</v>
      </c>
    </row>
    <row r="2725" spans="1:16" hidden="1" x14ac:dyDescent="0.25">
      <c r="A2725" s="16">
        <v>45809</v>
      </c>
      <c r="B2725" t="s">
        <v>120</v>
      </c>
      <c r="C2725">
        <v>64</v>
      </c>
      <c r="D2725" t="s">
        <v>238</v>
      </c>
      <c r="E2725" t="s">
        <v>239</v>
      </c>
      <c r="F2725" t="s">
        <v>381</v>
      </c>
      <c r="G2725" t="s">
        <v>382</v>
      </c>
      <c r="J2725" t="s">
        <v>198</v>
      </c>
      <c r="K2725" t="s">
        <v>250</v>
      </c>
      <c r="L2725">
        <v>2156</v>
      </c>
      <c r="M2725" t="s">
        <v>242</v>
      </c>
      <c r="N2725" t="s">
        <v>2061</v>
      </c>
    </row>
    <row r="2726" spans="1:16" hidden="1" x14ac:dyDescent="0.25">
      <c r="A2726" s="16">
        <v>45809</v>
      </c>
      <c r="B2726" t="s">
        <v>120</v>
      </c>
      <c r="C2726">
        <v>65</v>
      </c>
      <c r="D2726" t="s">
        <v>253</v>
      </c>
      <c r="E2726" t="s">
        <v>248</v>
      </c>
      <c r="F2726" t="s">
        <v>240</v>
      </c>
      <c r="G2726" t="s">
        <v>82</v>
      </c>
      <c r="J2726" t="s">
        <v>196</v>
      </c>
      <c r="K2726" t="s">
        <v>255</v>
      </c>
      <c r="L2726">
        <v>6540000</v>
      </c>
      <c r="M2726" t="s">
        <v>242</v>
      </c>
      <c r="N2726" t="s">
        <v>1712</v>
      </c>
      <c r="O2726">
        <v>1</v>
      </c>
      <c r="P2726" t="s">
        <v>257</v>
      </c>
    </row>
    <row r="2727" spans="1:16" hidden="1" x14ac:dyDescent="0.25">
      <c r="A2727" s="16">
        <v>45809</v>
      </c>
      <c r="B2727" t="s">
        <v>120</v>
      </c>
      <c r="C2727">
        <v>65</v>
      </c>
      <c r="D2727" t="s">
        <v>253</v>
      </c>
      <c r="E2727" t="s">
        <v>248</v>
      </c>
      <c r="F2727" t="s">
        <v>240</v>
      </c>
      <c r="G2727" t="s">
        <v>82</v>
      </c>
      <c r="J2727" t="s">
        <v>197</v>
      </c>
      <c r="K2727" t="s">
        <v>255</v>
      </c>
      <c r="L2727">
        <v>5760000</v>
      </c>
      <c r="M2727" t="s">
        <v>242</v>
      </c>
      <c r="N2727" t="s">
        <v>1888</v>
      </c>
      <c r="O2727">
        <v>1</v>
      </c>
      <c r="P2727" t="s">
        <v>257</v>
      </c>
    </row>
    <row r="2728" spans="1:16" hidden="1" x14ac:dyDescent="0.25">
      <c r="A2728" s="16">
        <v>45809</v>
      </c>
      <c r="B2728" t="s">
        <v>120</v>
      </c>
      <c r="C2728">
        <v>65</v>
      </c>
      <c r="D2728" t="s">
        <v>253</v>
      </c>
      <c r="E2728" t="s">
        <v>248</v>
      </c>
      <c r="F2728" t="s">
        <v>240</v>
      </c>
      <c r="G2728" t="s">
        <v>82</v>
      </c>
      <c r="J2728" t="s">
        <v>198</v>
      </c>
      <c r="K2728" t="s">
        <v>255</v>
      </c>
      <c r="L2728">
        <v>6130000</v>
      </c>
      <c r="M2728" t="s">
        <v>242</v>
      </c>
      <c r="N2728" t="s">
        <v>2062</v>
      </c>
      <c r="O2728">
        <v>1</v>
      </c>
      <c r="P2728" t="s">
        <v>261</v>
      </c>
    </row>
    <row r="2729" spans="1:16" hidden="1" x14ac:dyDescent="0.25">
      <c r="A2729" s="16">
        <v>45809</v>
      </c>
      <c r="B2729" t="s">
        <v>120</v>
      </c>
      <c r="C2729">
        <v>65</v>
      </c>
      <c r="D2729" t="s">
        <v>247</v>
      </c>
      <c r="E2729" t="s">
        <v>248</v>
      </c>
      <c r="F2729" t="s">
        <v>240</v>
      </c>
      <c r="G2729" t="s">
        <v>82</v>
      </c>
      <c r="H2729" t="s">
        <v>286</v>
      </c>
      <c r="J2729" t="s">
        <v>198</v>
      </c>
      <c r="K2729" t="s">
        <v>250</v>
      </c>
      <c r="L2729">
        <v>6.3</v>
      </c>
      <c r="M2729" t="s">
        <v>251</v>
      </c>
      <c r="N2729" t="s">
        <v>2063</v>
      </c>
    </row>
    <row r="2730" spans="1:16" hidden="1" x14ac:dyDescent="0.25">
      <c r="A2730" s="16">
        <v>45809</v>
      </c>
      <c r="B2730" t="s">
        <v>120</v>
      </c>
      <c r="C2730">
        <v>66</v>
      </c>
      <c r="D2730" t="s">
        <v>291</v>
      </c>
      <c r="E2730" t="s">
        <v>292</v>
      </c>
      <c r="F2730" t="s">
        <v>240</v>
      </c>
      <c r="G2730" t="s">
        <v>82</v>
      </c>
      <c r="H2730" t="s">
        <v>125</v>
      </c>
      <c r="J2730" t="s">
        <v>198</v>
      </c>
      <c r="K2730" t="s">
        <v>250</v>
      </c>
      <c r="L2730">
        <v>33000</v>
      </c>
      <c r="M2730" t="s">
        <v>242</v>
      </c>
      <c r="N2730" t="s">
        <v>643</v>
      </c>
    </row>
    <row r="2731" spans="1:16" hidden="1" x14ac:dyDescent="0.25">
      <c r="A2731" s="16">
        <v>45809</v>
      </c>
      <c r="B2731" t="s">
        <v>120</v>
      </c>
      <c r="C2731">
        <v>66</v>
      </c>
      <c r="D2731" t="s">
        <v>291</v>
      </c>
      <c r="E2731" t="s">
        <v>292</v>
      </c>
      <c r="F2731" t="s">
        <v>240</v>
      </c>
      <c r="G2731" t="s">
        <v>82</v>
      </c>
      <c r="H2731" t="s">
        <v>126</v>
      </c>
      <c r="J2731" t="s">
        <v>198</v>
      </c>
      <c r="K2731" t="s">
        <v>250</v>
      </c>
      <c r="L2731">
        <v>94000</v>
      </c>
      <c r="M2731" t="s">
        <v>242</v>
      </c>
      <c r="N2731" t="s">
        <v>2064</v>
      </c>
    </row>
    <row r="2732" spans="1:16" hidden="1" x14ac:dyDescent="0.25">
      <c r="A2732" s="16">
        <v>45809</v>
      </c>
      <c r="B2732" t="s">
        <v>120</v>
      </c>
      <c r="C2732">
        <v>66</v>
      </c>
      <c r="D2732" t="s">
        <v>291</v>
      </c>
      <c r="E2732" t="s">
        <v>292</v>
      </c>
      <c r="F2732" t="s">
        <v>240</v>
      </c>
      <c r="G2732" t="s">
        <v>82</v>
      </c>
      <c r="H2732" t="s">
        <v>127</v>
      </c>
      <c r="J2732" t="s">
        <v>198</v>
      </c>
      <c r="K2732" t="s">
        <v>250</v>
      </c>
      <c r="L2732">
        <v>307000</v>
      </c>
      <c r="M2732" t="s">
        <v>242</v>
      </c>
      <c r="N2732" t="s">
        <v>2065</v>
      </c>
    </row>
    <row r="2733" spans="1:16" hidden="1" x14ac:dyDescent="0.25">
      <c r="A2733" s="16">
        <v>45809</v>
      </c>
      <c r="B2733" t="s">
        <v>120</v>
      </c>
      <c r="C2733">
        <v>66</v>
      </c>
      <c r="D2733" t="s">
        <v>291</v>
      </c>
      <c r="E2733" t="s">
        <v>292</v>
      </c>
      <c r="F2733" t="s">
        <v>240</v>
      </c>
      <c r="G2733" t="s">
        <v>82</v>
      </c>
      <c r="H2733" t="s">
        <v>128</v>
      </c>
      <c r="J2733" t="s">
        <v>198</v>
      </c>
      <c r="K2733" t="s">
        <v>250</v>
      </c>
      <c r="L2733">
        <v>29000</v>
      </c>
      <c r="M2733" t="s">
        <v>242</v>
      </c>
      <c r="N2733" t="s">
        <v>1176</v>
      </c>
    </row>
    <row r="2734" spans="1:16" hidden="1" x14ac:dyDescent="0.25">
      <c r="A2734" s="16">
        <v>45809</v>
      </c>
      <c r="B2734" t="s">
        <v>120</v>
      </c>
      <c r="C2734">
        <v>66</v>
      </c>
      <c r="D2734" t="s">
        <v>291</v>
      </c>
      <c r="E2734" t="s">
        <v>292</v>
      </c>
      <c r="F2734" t="s">
        <v>240</v>
      </c>
      <c r="G2734" t="s">
        <v>82</v>
      </c>
      <c r="H2734" t="s">
        <v>129</v>
      </c>
      <c r="J2734" t="s">
        <v>198</v>
      </c>
      <c r="K2734" t="s">
        <v>250</v>
      </c>
      <c r="L2734">
        <v>1010000</v>
      </c>
      <c r="M2734" t="s">
        <v>242</v>
      </c>
      <c r="N2734" t="s">
        <v>2066</v>
      </c>
    </row>
    <row r="2735" spans="1:16" hidden="1" x14ac:dyDescent="0.25">
      <c r="A2735" s="16">
        <v>45809</v>
      </c>
      <c r="B2735" t="s">
        <v>120</v>
      </c>
      <c r="C2735">
        <v>66</v>
      </c>
      <c r="D2735" t="s">
        <v>291</v>
      </c>
      <c r="E2735" t="s">
        <v>292</v>
      </c>
      <c r="F2735" t="s">
        <v>240</v>
      </c>
      <c r="G2735" t="s">
        <v>82</v>
      </c>
      <c r="H2735" t="s">
        <v>130</v>
      </c>
      <c r="J2735" t="s">
        <v>198</v>
      </c>
      <c r="K2735" t="s">
        <v>250</v>
      </c>
      <c r="L2735">
        <v>2140000</v>
      </c>
      <c r="M2735" t="s">
        <v>242</v>
      </c>
      <c r="N2735" t="s">
        <v>2067</v>
      </c>
    </row>
    <row r="2736" spans="1:16" hidden="1" x14ac:dyDescent="0.25">
      <c r="A2736" s="16">
        <v>45809</v>
      </c>
      <c r="B2736" t="s">
        <v>120</v>
      </c>
      <c r="C2736">
        <v>66</v>
      </c>
      <c r="D2736" t="s">
        <v>291</v>
      </c>
      <c r="E2736" t="s">
        <v>292</v>
      </c>
      <c r="F2736" t="s">
        <v>240</v>
      </c>
      <c r="G2736" t="s">
        <v>82</v>
      </c>
      <c r="H2736" t="s">
        <v>131</v>
      </c>
      <c r="J2736" t="s">
        <v>198</v>
      </c>
      <c r="K2736" t="s">
        <v>250</v>
      </c>
      <c r="L2736">
        <v>34000</v>
      </c>
      <c r="M2736" t="s">
        <v>242</v>
      </c>
      <c r="N2736" t="s">
        <v>474</v>
      </c>
    </row>
    <row r="2737" spans="1:16" hidden="1" x14ac:dyDescent="0.25">
      <c r="A2737" s="16">
        <v>45809</v>
      </c>
      <c r="B2737" t="s">
        <v>120</v>
      </c>
      <c r="C2737">
        <v>66</v>
      </c>
      <c r="D2737" t="s">
        <v>291</v>
      </c>
      <c r="E2737" t="s">
        <v>292</v>
      </c>
      <c r="F2737" t="s">
        <v>240</v>
      </c>
      <c r="G2737" t="s">
        <v>82</v>
      </c>
      <c r="H2737" t="s">
        <v>132</v>
      </c>
      <c r="J2737" t="s">
        <v>198</v>
      </c>
      <c r="K2737" t="s">
        <v>250</v>
      </c>
      <c r="L2737">
        <v>54000</v>
      </c>
      <c r="M2737" t="s">
        <v>242</v>
      </c>
      <c r="N2737" t="s">
        <v>1718</v>
      </c>
    </row>
    <row r="2738" spans="1:16" hidden="1" x14ac:dyDescent="0.25">
      <c r="A2738" s="16">
        <v>45809</v>
      </c>
      <c r="B2738" t="s">
        <v>120</v>
      </c>
      <c r="C2738">
        <v>66</v>
      </c>
      <c r="D2738" t="s">
        <v>291</v>
      </c>
      <c r="E2738" t="s">
        <v>292</v>
      </c>
      <c r="F2738" t="s">
        <v>240</v>
      </c>
      <c r="G2738" t="s">
        <v>82</v>
      </c>
      <c r="H2738" t="s">
        <v>133</v>
      </c>
      <c r="J2738" t="s">
        <v>198</v>
      </c>
      <c r="K2738" t="s">
        <v>250</v>
      </c>
      <c r="L2738">
        <v>544000</v>
      </c>
      <c r="M2738" t="s">
        <v>242</v>
      </c>
      <c r="N2738" t="s">
        <v>2068</v>
      </c>
    </row>
    <row r="2739" spans="1:16" hidden="1" x14ac:dyDescent="0.25">
      <c r="A2739" s="16">
        <v>45809</v>
      </c>
      <c r="B2739" t="s">
        <v>120</v>
      </c>
      <c r="C2739">
        <v>66</v>
      </c>
      <c r="D2739" t="s">
        <v>291</v>
      </c>
      <c r="E2739" t="s">
        <v>292</v>
      </c>
      <c r="F2739" t="s">
        <v>240</v>
      </c>
      <c r="G2739" t="s">
        <v>82</v>
      </c>
      <c r="H2739" t="s">
        <v>134</v>
      </c>
      <c r="J2739" t="s">
        <v>198</v>
      </c>
      <c r="K2739" t="s">
        <v>250</v>
      </c>
      <c r="L2739">
        <v>1800000</v>
      </c>
      <c r="M2739" t="s">
        <v>242</v>
      </c>
      <c r="N2739" t="s">
        <v>2069</v>
      </c>
    </row>
    <row r="2740" spans="1:16" hidden="1" x14ac:dyDescent="0.25">
      <c r="A2740" s="16">
        <v>45809</v>
      </c>
      <c r="B2740" t="s">
        <v>120</v>
      </c>
      <c r="C2740">
        <v>67</v>
      </c>
      <c r="D2740" t="s">
        <v>291</v>
      </c>
      <c r="E2740" t="s">
        <v>292</v>
      </c>
      <c r="F2740" t="s">
        <v>240</v>
      </c>
      <c r="G2740" t="s">
        <v>82</v>
      </c>
      <c r="H2740" t="s">
        <v>137</v>
      </c>
      <c r="J2740" t="s">
        <v>198</v>
      </c>
      <c r="K2740" t="s">
        <v>250</v>
      </c>
      <c r="L2740">
        <v>1020000</v>
      </c>
      <c r="M2740" t="s">
        <v>242</v>
      </c>
      <c r="N2740" t="s">
        <v>773</v>
      </c>
    </row>
    <row r="2741" spans="1:16" hidden="1" x14ac:dyDescent="0.25">
      <c r="A2741" s="16">
        <v>45809</v>
      </c>
      <c r="B2741" t="s">
        <v>120</v>
      </c>
      <c r="C2741">
        <v>67</v>
      </c>
      <c r="D2741" t="s">
        <v>291</v>
      </c>
      <c r="E2741" t="s">
        <v>292</v>
      </c>
      <c r="F2741" t="s">
        <v>240</v>
      </c>
      <c r="G2741" t="s">
        <v>82</v>
      </c>
      <c r="H2741" t="s">
        <v>138</v>
      </c>
      <c r="J2741" t="s">
        <v>198</v>
      </c>
      <c r="K2741" t="s">
        <v>250</v>
      </c>
      <c r="L2741">
        <v>5110000</v>
      </c>
      <c r="M2741" t="s">
        <v>242</v>
      </c>
      <c r="N2741" t="s">
        <v>2070</v>
      </c>
    </row>
    <row r="2742" spans="1:16" hidden="1" x14ac:dyDescent="0.25">
      <c r="A2742" s="16">
        <v>45809</v>
      </c>
      <c r="B2742" t="s">
        <v>120</v>
      </c>
      <c r="C2742">
        <v>68</v>
      </c>
      <c r="D2742" t="s">
        <v>253</v>
      </c>
      <c r="E2742" t="s">
        <v>248</v>
      </c>
      <c r="F2742" t="s">
        <v>244</v>
      </c>
      <c r="G2742" t="s">
        <v>82</v>
      </c>
      <c r="J2742" t="s">
        <v>196</v>
      </c>
      <c r="K2742" t="s">
        <v>255</v>
      </c>
      <c r="L2742">
        <v>1570000000</v>
      </c>
      <c r="M2742" t="s">
        <v>245</v>
      </c>
      <c r="N2742" t="s">
        <v>1722</v>
      </c>
      <c r="O2742">
        <v>1</v>
      </c>
      <c r="P2742" t="s">
        <v>257</v>
      </c>
    </row>
    <row r="2743" spans="1:16" hidden="1" x14ac:dyDescent="0.25">
      <c r="A2743" s="16">
        <v>45809</v>
      </c>
      <c r="B2743" t="s">
        <v>120</v>
      </c>
      <c r="C2743">
        <v>68</v>
      </c>
      <c r="D2743" t="s">
        <v>253</v>
      </c>
      <c r="E2743" t="s">
        <v>248</v>
      </c>
      <c r="F2743" t="s">
        <v>244</v>
      </c>
      <c r="G2743" t="s">
        <v>82</v>
      </c>
      <c r="J2743" t="s">
        <v>197</v>
      </c>
      <c r="K2743" t="s">
        <v>255</v>
      </c>
      <c r="L2743">
        <v>1130000000</v>
      </c>
      <c r="M2743" t="s">
        <v>245</v>
      </c>
      <c r="N2743" t="s">
        <v>1551</v>
      </c>
      <c r="O2743">
        <v>1</v>
      </c>
      <c r="P2743" t="s">
        <v>257</v>
      </c>
    </row>
    <row r="2744" spans="1:16" hidden="1" x14ac:dyDescent="0.25">
      <c r="A2744" s="16">
        <v>45809</v>
      </c>
      <c r="B2744" t="s">
        <v>120</v>
      </c>
      <c r="C2744">
        <v>68</v>
      </c>
      <c r="D2744" t="s">
        <v>253</v>
      </c>
      <c r="E2744" t="s">
        <v>248</v>
      </c>
      <c r="F2744" t="s">
        <v>244</v>
      </c>
      <c r="G2744" t="s">
        <v>82</v>
      </c>
      <c r="J2744" t="s">
        <v>198</v>
      </c>
      <c r="K2744" t="s">
        <v>255</v>
      </c>
      <c r="L2744">
        <v>1130000000</v>
      </c>
      <c r="M2744" t="s">
        <v>245</v>
      </c>
      <c r="N2744" t="s">
        <v>1551</v>
      </c>
      <c r="O2744">
        <v>1</v>
      </c>
      <c r="P2744" t="s">
        <v>261</v>
      </c>
    </row>
    <row r="2745" spans="1:16" hidden="1" x14ac:dyDescent="0.25">
      <c r="A2745" s="16">
        <v>45809</v>
      </c>
      <c r="B2745" t="s">
        <v>120</v>
      </c>
      <c r="C2745">
        <v>68</v>
      </c>
      <c r="D2745" t="s">
        <v>247</v>
      </c>
      <c r="E2745" t="s">
        <v>248</v>
      </c>
      <c r="F2745" t="s">
        <v>244</v>
      </c>
      <c r="G2745" t="s">
        <v>82</v>
      </c>
      <c r="H2745" t="s">
        <v>249</v>
      </c>
      <c r="J2745" t="s">
        <v>198</v>
      </c>
      <c r="K2745" t="s">
        <v>250</v>
      </c>
      <c r="L2745">
        <v>0.2</v>
      </c>
      <c r="M2745" t="s">
        <v>251</v>
      </c>
      <c r="N2745" t="s">
        <v>307</v>
      </c>
    </row>
    <row r="2746" spans="1:16" hidden="1" x14ac:dyDescent="0.25">
      <c r="A2746" s="16">
        <v>45809</v>
      </c>
      <c r="B2746" t="s">
        <v>120</v>
      </c>
      <c r="C2746">
        <v>69</v>
      </c>
      <c r="D2746" t="s">
        <v>291</v>
      </c>
      <c r="E2746" t="s">
        <v>292</v>
      </c>
      <c r="F2746" t="s">
        <v>244</v>
      </c>
      <c r="G2746" t="s">
        <v>82</v>
      </c>
      <c r="H2746" t="s">
        <v>140</v>
      </c>
      <c r="J2746" t="s">
        <v>198</v>
      </c>
      <c r="K2746" t="s">
        <v>250</v>
      </c>
      <c r="L2746">
        <v>16000000</v>
      </c>
      <c r="M2746" t="s">
        <v>245</v>
      </c>
      <c r="N2746" t="s">
        <v>1185</v>
      </c>
    </row>
    <row r="2747" spans="1:16" hidden="1" x14ac:dyDescent="0.25">
      <c r="A2747" s="16">
        <v>45809</v>
      </c>
      <c r="B2747" t="s">
        <v>120</v>
      </c>
      <c r="C2747">
        <v>69</v>
      </c>
      <c r="D2747" t="s">
        <v>291</v>
      </c>
      <c r="E2747" t="s">
        <v>292</v>
      </c>
      <c r="F2747" t="s">
        <v>244</v>
      </c>
      <c r="G2747" t="s">
        <v>82</v>
      </c>
      <c r="H2747" t="s">
        <v>126</v>
      </c>
      <c r="J2747" t="s">
        <v>198</v>
      </c>
      <c r="K2747" t="s">
        <v>250</v>
      </c>
      <c r="L2747">
        <v>24000000</v>
      </c>
      <c r="M2747" t="s">
        <v>245</v>
      </c>
      <c r="N2747" t="s">
        <v>2071</v>
      </c>
    </row>
    <row r="2748" spans="1:16" hidden="1" x14ac:dyDescent="0.25">
      <c r="A2748" s="16">
        <v>45809</v>
      </c>
      <c r="B2748" t="s">
        <v>120</v>
      </c>
      <c r="C2748">
        <v>69</v>
      </c>
      <c r="D2748" t="s">
        <v>291</v>
      </c>
      <c r="E2748" t="s">
        <v>292</v>
      </c>
      <c r="F2748" t="s">
        <v>244</v>
      </c>
      <c r="G2748" t="s">
        <v>82</v>
      </c>
      <c r="H2748" t="s">
        <v>127</v>
      </c>
      <c r="J2748" t="s">
        <v>198</v>
      </c>
      <c r="K2748" t="s">
        <v>250</v>
      </c>
      <c r="L2748">
        <v>43000000</v>
      </c>
      <c r="M2748" t="s">
        <v>245</v>
      </c>
      <c r="N2748" t="s">
        <v>1184</v>
      </c>
    </row>
    <row r="2749" spans="1:16" hidden="1" x14ac:dyDescent="0.25">
      <c r="A2749" s="16">
        <v>45809</v>
      </c>
      <c r="B2749" t="s">
        <v>120</v>
      </c>
      <c r="C2749">
        <v>69</v>
      </c>
      <c r="D2749" t="s">
        <v>291</v>
      </c>
      <c r="E2749" t="s">
        <v>292</v>
      </c>
      <c r="F2749" t="s">
        <v>244</v>
      </c>
      <c r="G2749" t="s">
        <v>82</v>
      </c>
      <c r="H2749" t="s">
        <v>128</v>
      </c>
      <c r="J2749" t="s">
        <v>198</v>
      </c>
      <c r="K2749" t="s">
        <v>250</v>
      </c>
      <c r="L2749">
        <v>13000000</v>
      </c>
      <c r="M2749" t="s">
        <v>245</v>
      </c>
      <c r="N2749" t="s">
        <v>403</v>
      </c>
    </row>
    <row r="2750" spans="1:16" hidden="1" x14ac:dyDescent="0.25">
      <c r="A2750" s="16">
        <v>45809</v>
      </c>
      <c r="B2750" t="s">
        <v>120</v>
      </c>
      <c r="C2750">
        <v>69</v>
      </c>
      <c r="D2750" t="s">
        <v>291</v>
      </c>
      <c r="E2750" t="s">
        <v>292</v>
      </c>
      <c r="F2750" t="s">
        <v>244</v>
      </c>
      <c r="G2750" t="s">
        <v>82</v>
      </c>
      <c r="H2750" t="s">
        <v>129</v>
      </c>
      <c r="J2750" t="s">
        <v>198</v>
      </c>
      <c r="K2750" t="s">
        <v>250</v>
      </c>
      <c r="L2750">
        <v>668000000</v>
      </c>
      <c r="M2750" t="s">
        <v>245</v>
      </c>
      <c r="N2750" t="s">
        <v>2072</v>
      </c>
    </row>
    <row r="2751" spans="1:16" hidden="1" x14ac:dyDescent="0.25">
      <c r="A2751" s="16">
        <v>45809</v>
      </c>
      <c r="B2751" t="s">
        <v>120</v>
      </c>
      <c r="C2751">
        <v>69</v>
      </c>
      <c r="D2751" t="s">
        <v>291</v>
      </c>
      <c r="E2751" t="s">
        <v>292</v>
      </c>
      <c r="F2751" t="s">
        <v>244</v>
      </c>
      <c r="G2751" t="s">
        <v>82</v>
      </c>
      <c r="H2751" t="s">
        <v>130</v>
      </c>
      <c r="J2751" t="s">
        <v>198</v>
      </c>
      <c r="K2751" t="s">
        <v>250</v>
      </c>
      <c r="L2751">
        <v>34000000</v>
      </c>
      <c r="M2751" t="s">
        <v>245</v>
      </c>
      <c r="N2751" t="s">
        <v>2073</v>
      </c>
    </row>
    <row r="2752" spans="1:16" hidden="1" x14ac:dyDescent="0.25">
      <c r="A2752" s="16">
        <v>45809</v>
      </c>
      <c r="B2752" t="s">
        <v>120</v>
      </c>
      <c r="C2752">
        <v>69</v>
      </c>
      <c r="D2752" t="s">
        <v>291</v>
      </c>
      <c r="E2752" t="s">
        <v>292</v>
      </c>
      <c r="F2752" t="s">
        <v>244</v>
      </c>
      <c r="G2752" t="s">
        <v>82</v>
      </c>
      <c r="H2752" t="s">
        <v>131</v>
      </c>
      <c r="J2752" t="s">
        <v>198</v>
      </c>
      <c r="K2752" t="s">
        <v>250</v>
      </c>
      <c r="L2752">
        <v>13000000</v>
      </c>
      <c r="M2752" t="s">
        <v>245</v>
      </c>
      <c r="N2752" t="s">
        <v>403</v>
      </c>
    </row>
    <row r="2753" spans="1:16" hidden="1" x14ac:dyDescent="0.25">
      <c r="A2753" s="16">
        <v>45809</v>
      </c>
      <c r="B2753" t="s">
        <v>120</v>
      </c>
      <c r="C2753">
        <v>69</v>
      </c>
      <c r="D2753" t="s">
        <v>291</v>
      </c>
      <c r="E2753" t="s">
        <v>292</v>
      </c>
      <c r="F2753" t="s">
        <v>244</v>
      </c>
      <c r="G2753" t="s">
        <v>82</v>
      </c>
      <c r="H2753" t="s">
        <v>132</v>
      </c>
      <c r="J2753" t="s">
        <v>198</v>
      </c>
      <c r="K2753" t="s">
        <v>250</v>
      </c>
      <c r="L2753">
        <v>5000000</v>
      </c>
      <c r="M2753" t="s">
        <v>245</v>
      </c>
      <c r="N2753" t="s">
        <v>654</v>
      </c>
    </row>
    <row r="2754" spans="1:16" hidden="1" x14ac:dyDescent="0.25">
      <c r="A2754" s="16">
        <v>45809</v>
      </c>
      <c r="B2754" t="s">
        <v>120</v>
      </c>
      <c r="C2754">
        <v>69</v>
      </c>
      <c r="D2754" t="s">
        <v>291</v>
      </c>
      <c r="E2754" t="s">
        <v>292</v>
      </c>
      <c r="F2754" t="s">
        <v>244</v>
      </c>
      <c r="G2754" t="s">
        <v>82</v>
      </c>
      <c r="H2754" t="s">
        <v>133</v>
      </c>
      <c r="J2754" t="s">
        <v>198</v>
      </c>
      <c r="K2754" t="s">
        <v>250</v>
      </c>
      <c r="L2754">
        <v>235000000</v>
      </c>
      <c r="M2754" t="s">
        <v>245</v>
      </c>
      <c r="N2754" t="s">
        <v>2074</v>
      </c>
    </row>
    <row r="2755" spans="1:16" hidden="1" x14ac:dyDescent="0.25">
      <c r="A2755" s="16">
        <v>45809</v>
      </c>
      <c r="B2755" t="s">
        <v>120</v>
      </c>
      <c r="C2755">
        <v>69</v>
      </c>
      <c r="D2755" t="s">
        <v>291</v>
      </c>
      <c r="E2755" t="s">
        <v>292</v>
      </c>
      <c r="F2755" t="s">
        <v>244</v>
      </c>
      <c r="G2755" t="s">
        <v>82</v>
      </c>
      <c r="H2755" t="s">
        <v>134</v>
      </c>
      <c r="J2755" t="s">
        <v>198</v>
      </c>
      <c r="K2755" t="s">
        <v>250</v>
      </c>
      <c r="L2755">
        <v>70000000</v>
      </c>
      <c r="M2755" t="s">
        <v>245</v>
      </c>
      <c r="N2755" t="s">
        <v>1555</v>
      </c>
    </row>
    <row r="2756" spans="1:16" hidden="1" x14ac:dyDescent="0.25">
      <c r="A2756" s="16">
        <v>45809</v>
      </c>
      <c r="B2756" t="s">
        <v>120</v>
      </c>
      <c r="C2756">
        <v>70</v>
      </c>
      <c r="D2756" t="s">
        <v>291</v>
      </c>
      <c r="E2756" t="s">
        <v>292</v>
      </c>
      <c r="F2756" t="s">
        <v>244</v>
      </c>
      <c r="G2756" t="s">
        <v>82</v>
      </c>
      <c r="H2756" t="s">
        <v>137</v>
      </c>
      <c r="J2756" t="s">
        <v>198</v>
      </c>
      <c r="K2756" t="s">
        <v>250</v>
      </c>
      <c r="L2756">
        <v>224100000</v>
      </c>
      <c r="M2756" t="s">
        <v>245</v>
      </c>
      <c r="N2756" t="s">
        <v>2075</v>
      </c>
    </row>
    <row r="2757" spans="1:16" hidden="1" x14ac:dyDescent="0.25">
      <c r="A2757" s="16">
        <v>45809</v>
      </c>
      <c r="B2757" t="s">
        <v>120</v>
      </c>
      <c r="C2757">
        <v>70</v>
      </c>
      <c r="D2757" t="s">
        <v>291</v>
      </c>
      <c r="E2757" t="s">
        <v>292</v>
      </c>
      <c r="F2757" t="s">
        <v>244</v>
      </c>
      <c r="G2757" t="s">
        <v>82</v>
      </c>
      <c r="H2757" t="s">
        <v>138</v>
      </c>
      <c r="J2757" t="s">
        <v>198</v>
      </c>
      <c r="K2757" t="s">
        <v>250</v>
      </c>
      <c r="L2757">
        <v>905500000</v>
      </c>
      <c r="M2757" t="s">
        <v>245</v>
      </c>
      <c r="N2757" t="s">
        <v>2076</v>
      </c>
    </row>
    <row r="2758" spans="1:16" hidden="1" x14ac:dyDescent="0.25">
      <c r="A2758" s="16">
        <v>45809</v>
      </c>
      <c r="B2758" t="s">
        <v>120</v>
      </c>
      <c r="C2758">
        <v>71</v>
      </c>
      <c r="D2758" t="s">
        <v>253</v>
      </c>
      <c r="E2758" t="s">
        <v>248</v>
      </c>
      <c r="F2758" t="s">
        <v>334</v>
      </c>
      <c r="G2758" t="s">
        <v>82</v>
      </c>
      <c r="J2758" t="s">
        <v>196</v>
      </c>
      <c r="K2758" t="s">
        <v>255</v>
      </c>
      <c r="L2758">
        <v>240</v>
      </c>
      <c r="M2758" t="s">
        <v>245</v>
      </c>
      <c r="N2758" t="s">
        <v>1730</v>
      </c>
      <c r="O2758">
        <v>1</v>
      </c>
      <c r="P2758" t="s">
        <v>257</v>
      </c>
    </row>
    <row r="2759" spans="1:16" hidden="1" x14ac:dyDescent="0.25">
      <c r="A2759" s="16">
        <v>45809</v>
      </c>
      <c r="B2759" t="s">
        <v>120</v>
      </c>
      <c r="C2759">
        <v>71</v>
      </c>
      <c r="D2759" t="s">
        <v>253</v>
      </c>
      <c r="E2759" t="s">
        <v>248</v>
      </c>
      <c r="F2759" t="s">
        <v>334</v>
      </c>
      <c r="G2759" t="s">
        <v>82</v>
      </c>
      <c r="J2759" t="s">
        <v>197</v>
      </c>
      <c r="K2759" t="s">
        <v>255</v>
      </c>
      <c r="L2759">
        <v>196</v>
      </c>
      <c r="M2759" t="s">
        <v>245</v>
      </c>
      <c r="N2759" t="s">
        <v>1901</v>
      </c>
      <c r="O2759">
        <v>1</v>
      </c>
      <c r="P2759" t="s">
        <v>257</v>
      </c>
    </row>
    <row r="2760" spans="1:16" hidden="1" x14ac:dyDescent="0.25">
      <c r="A2760" s="16">
        <v>45809</v>
      </c>
      <c r="B2760" t="s">
        <v>120</v>
      </c>
      <c r="C2760">
        <v>71</v>
      </c>
      <c r="D2760" t="s">
        <v>253</v>
      </c>
      <c r="E2760" t="s">
        <v>248</v>
      </c>
      <c r="F2760" t="s">
        <v>334</v>
      </c>
      <c r="G2760" t="s">
        <v>82</v>
      </c>
      <c r="J2760" t="s">
        <v>198</v>
      </c>
      <c r="K2760" t="s">
        <v>255</v>
      </c>
      <c r="L2760">
        <v>184</v>
      </c>
      <c r="M2760" t="s">
        <v>245</v>
      </c>
      <c r="N2760" t="s">
        <v>2077</v>
      </c>
      <c r="O2760">
        <v>1</v>
      </c>
      <c r="P2760" t="s">
        <v>261</v>
      </c>
    </row>
    <row r="2761" spans="1:16" hidden="1" x14ac:dyDescent="0.25">
      <c r="A2761" s="16">
        <v>45809</v>
      </c>
      <c r="B2761" t="s">
        <v>1192</v>
      </c>
      <c r="C2761">
        <v>55</v>
      </c>
      <c r="D2761" t="s">
        <v>238</v>
      </c>
      <c r="E2761" t="s">
        <v>239</v>
      </c>
      <c r="F2761" t="s">
        <v>240</v>
      </c>
      <c r="G2761" t="s">
        <v>82</v>
      </c>
      <c r="H2761" t="s">
        <v>184</v>
      </c>
      <c r="J2761" t="s">
        <v>198</v>
      </c>
      <c r="K2761" t="s">
        <v>241</v>
      </c>
      <c r="L2761">
        <v>70660000</v>
      </c>
      <c r="M2761" t="s">
        <v>242</v>
      </c>
      <c r="N2761" t="s">
        <v>2018</v>
      </c>
    </row>
    <row r="2762" spans="1:16" hidden="1" x14ac:dyDescent="0.25">
      <c r="A2762" s="16">
        <v>45809</v>
      </c>
      <c r="B2762" t="s">
        <v>1192</v>
      </c>
      <c r="C2762">
        <v>55</v>
      </c>
      <c r="D2762" t="s">
        <v>238</v>
      </c>
      <c r="E2762" t="s">
        <v>239</v>
      </c>
      <c r="F2762" t="s">
        <v>240</v>
      </c>
      <c r="G2762" t="s">
        <v>82</v>
      </c>
      <c r="H2762" t="s">
        <v>185</v>
      </c>
      <c r="J2762" t="s">
        <v>198</v>
      </c>
      <c r="K2762" t="s">
        <v>241</v>
      </c>
      <c r="L2762">
        <v>42780000</v>
      </c>
      <c r="M2762" t="s">
        <v>242</v>
      </c>
      <c r="N2762" t="s">
        <v>2078</v>
      </c>
    </row>
    <row r="2763" spans="1:16" hidden="1" x14ac:dyDescent="0.25">
      <c r="A2763" s="16">
        <v>45809</v>
      </c>
      <c r="B2763" t="s">
        <v>1192</v>
      </c>
      <c r="C2763">
        <v>55</v>
      </c>
      <c r="D2763" t="s">
        <v>238</v>
      </c>
      <c r="E2763" t="s">
        <v>239</v>
      </c>
      <c r="F2763" t="s">
        <v>1194</v>
      </c>
      <c r="G2763" t="s">
        <v>82</v>
      </c>
      <c r="J2763" t="s">
        <v>198</v>
      </c>
      <c r="K2763" t="s">
        <v>241</v>
      </c>
      <c r="L2763">
        <v>113400000</v>
      </c>
      <c r="M2763" t="s">
        <v>242</v>
      </c>
      <c r="N2763" t="s">
        <v>2079</v>
      </c>
    </row>
    <row r="2764" spans="1:16" hidden="1" x14ac:dyDescent="0.25">
      <c r="A2764" s="16">
        <v>45809</v>
      </c>
      <c r="B2764" t="s">
        <v>1192</v>
      </c>
      <c r="C2764">
        <v>55</v>
      </c>
      <c r="D2764" t="s">
        <v>238</v>
      </c>
      <c r="E2764" t="s">
        <v>239</v>
      </c>
      <c r="F2764" t="s">
        <v>1196</v>
      </c>
      <c r="G2764" t="s">
        <v>82</v>
      </c>
      <c r="J2764" t="s">
        <v>198</v>
      </c>
      <c r="K2764" t="s">
        <v>241</v>
      </c>
      <c r="L2764">
        <v>11900000000</v>
      </c>
      <c r="M2764" t="s">
        <v>245</v>
      </c>
      <c r="N2764" t="s">
        <v>2080</v>
      </c>
    </row>
    <row r="2765" spans="1:16" hidden="1" x14ac:dyDescent="0.25">
      <c r="A2765" s="16">
        <v>45809</v>
      </c>
      <c r="B2765" t="s">
        <v>1192</v>
      </c>
      <c r="C2765">
        <v>55</v>
      </c>
      <c r="D2765" t="s">
        <v>238</v>
      </c>
      <c r="E2765" t="s">
        <v>239</v>
      </c>
      <c r="F2765" t="s">
        <v>244</v>
      </c>
      <c r="G2765" t="s">
        <v>82</v>
      </c>
      <c r="H2765" t="s">
        <v>184</v>
      </c>
      <c r="J2765" t="s">
        <v>198</v>
      </c>
      <c r="K2765" t="s">
        <v>241</v>
      </c>
      <c r="L2765">
        <v>8890000000</v>
      </c>
      <c r="M2765" t="s">
        <v>245</v>
      </c>
      <c r="N2765" t="s">
        <v>2019</v>
      </c>
    </row>
    <row r="2766" spans="1:16" hidden="1" x14ac:dyDescent="0.25">
      <c r="A2766" s="16">
        <v>45809</v>
      </c>
      <c r="B2766" t="s">
        <v>1192</v>
      </c>
      <c r="C2766">
        <v>55</v>
      </c>
      <c r="D2766" t="s">
        <v>238</v>
      </c>
      <c r="E2766" t="s">
        <v>239</v>
      </c>
      <c r="F2766" t="s">
        <v>244</v>
      </c>
      <c r="G2766" t="s">
        <v>82</v>
      </c>
      <c r="H2766" t="s">
        <v>185</v>
      </c>
      <c r="J2766" t="s">
        <v>198</v>
      </c>
      <c r="K2766" t="s">
        <v>241</v>
      </c>
      <c r="L2766">
        <v>2970000000</v>
      </c>
      <c r="M2766" t="s">
        <v>245</v>
      </c>
      <c r="N2766" t="s">
        <v>2081</v>
      </c>
    </row>
    <row r="2767" spans="1:16" hidden="1" x14ac:dyDescent="0.25">
      <c r="A2767" s="16">
        <v>45809</v>
      </c>
      <c r="B2767" t="s">
        <v>1192</v>
      </c>
      <c r="C2767">
        <v>56</v>
      </c>
      <c r="D2767" t="s">
        <v>291</v>
      </c>
      <c r="E2767" t="s">
        <v>292</v>
      </c>
      <c r="F2767" t="s">
        <v>1199</v>
      </c>
      <c r="G2767" t="s">
        <v>63</v>
      </c>
      <c r="H2767" t="s">
        <v>1200</v>
      </c>
      <c r="J2767" t="s">
        <v>198</v>
      </c>
      <c r="K2767" t="s">
        <v>241</v>
      </c>
      <c r="L2767">
        <v>937000</v>
      </c>
      <c r="M2767" t="s">
        <v>242</v>
      </c>
      <c r="N2767" t="s">
        <v>2082</v>
      </c>
    </row>
    <row r="2768" spans="1:16" hidden="1" x14ac:dyDescent="0.25">
      <c r="A2768" s="16">
        <v>45809</v>
      </c>
      <c r="B2768" t="s">
        <v>1192</v>
      </c>
      <c r="C2768">
        <v>56</v>
      </c>
      <c r="D2768" t="s">
        <v>291</v>
      </c>
      <c r="E2768" t="s">
        <v>292</v>
      </c>
      <c r="F2768" t="s">
        <v>1199</v>
      </c>
      <c r="G2768" t="s">
        <v>63</v>
      </c>
      <c r="H2768" t="s">
        <v>1202</v>
      </c>
      <c r="J2768" t="s">
        <v>198</v>
      </c>
      <c r="K2768" t="s">
        <v>241</v>
      </c>
      <c r="L2768">
        <v>942000</v>
      </c>
      <c r="M2768" t="s">
        <v>242</v>
      </c>
      <c r="N2768" t="s">
        <v>2083</v>
      </c>
    </row>
    <row r="2769" spans="1:16" hidden="1" x14ac:dyDescent="0.25">
      <c r="A2769" s="16">
        <v>45809</v>
      </c>
      <c r="B2769" t="s">
        <v>1192</v>
      </c>
      <c r="C2769">
        <v>56</v>
      </c>
      <c r="D2769" t="s">
        <v>291</v>
      </c>
      <c r="E2769" t="s">
        <v>292</v>
      </c>
      <c r="F2769" t="s">
        <v>1199</v>
      </c>
      <c r="G2769" t="s">
        <v>63</v>
      </c>
      <c r="H2769" t="s">
        <v>1204</v>
      </c>
      <c r="J2769" t="s">
        <v>198</v>
      </c>
      <c r="K2769" t="s">
        <v>241</v>
      </c>
      <c r="L2769">
        <v>1729000</v>
      </c>
      <c r="M2769" t="s">
        <v>242</v>
      </c>
      <c r="N2769" t="s">
        <v>2084</v>
      </c>
    </row>
    <row r="2770" spans="1:16" hidden="1" x14ac:dyDescent="0.25">
      <c r="A2770" s="16">
        <v>45809</v>
      </c>
      <c r="B2770" t="s">
        <v>1192</v>
      </c>
      <c r="C2770">
        <v>56</v>
      </c>
      <c r="D2770" t="s">
        <v>238</v>
      </c>
      <c r="E2770" t="s">
        <v>239</v>
      </c>
      <c r="F2770" t="s">
        <v>1206</v>
      </c>
      <c r="G2770" t="s">
        <v>63</v>
      </c>
      <c r="H2770" t="s">
        <v>1207</v>
      </c>
      <c r="J2770" t="s">
        <v>198</v>
      </c>
      <c r="K2770" t="s">
        <v>241</v>
      </c>
      <c r="L2770">
        <v>3670000</v>
      </c>
      <c r="M2770" t="s">
        <v>242</v>
      </c>
      <c r="N2770" t="s">
        <v>2085</v>
      </c>
    </row>
    <row r="2771" spans="1:16" hidden="1" x14ac:dyDescent="0.25">
      <c r="A2771" s="16">
        <v>45809</v>
      </c>
      <c r="B2771" t="s">
        <v>1192</v>
      </c>
      <c r="C2771">
        <v>57</v>
      </c>
      <c r="D2771" t="s">
        <v>291</v>
      </c>
      <c r="E2771" t="s">
        <v>292</v>
      </c>
      <c r="F2771" t="s">
        <v>240</v>
      </c>
      <c r="G2771" t="s">
        <v>82</v>
      </c>
      <c r="H2771" t="s">
        <v>184</v>
      </c>
      <c r="J2771" t="s">
        <v>198</v>
      </c>
      <c r="K2771" t="s">
        <v>250</v>
      </c>
      <c r="L2771">
        <v>13090000</v>
      </c>
      <c r="M2771" t="s">
        <v>242</v>
      </c>
      <c r="N2771" t="s">
        <v>2029</v>
      </c>
    </row>
    <row r="2772" spans="1:16" hidden="1" x14ac:dyDescent="0.25">
      <c r="A2772" s="16">
        <v>45809</v>
      </c>
      <c r="B2772" t="s">
        <v>1192</v>
      </c>
      <c r="C2772">
        <v>57</v>
      </c>
      <c r="D2772" t="s">
        <v>291</v>
      </c>
      <c r="E2772" t="s">
        <v>292</v>
      </c>
      <c r="F2772" t="s">
        <v>240</v>
      </c>
      <c r="G2772" t="s">
        <v>82</v>
      </c>
      <c r="H2772" t="s">
        <v>185</v>
      </c>
      <c r="J2772" t="s">
        <v>198</v>
      </c>
      <c r="K2772" t="s">
        <v>250</v>
      </c>
      <c r="L2772">
        <v>7990000</v>
      </c>
      <c r="M2772" t="s">
        <v>242</v>
      </c>
      <c r="N2772" t="s">
        <v>2086</v>
      </c>
    </row>
    <row r="2773" spans="1:16" hidden="1" x14ac:dyDescent="0.25">
      <c r="A2773" s="16">
        <v>45809</v>
      </c>
      <c r="B2773" t="s">
        <v>1192</v>
      </c>
      <c r="C2773">
        <v>57</v>
      </c>
      <c r="D2773" t="s">
        <v>238</v>
      </c>
      <c r="E2773" t="s">
        <v>239</v>
      </c>
      <c r="F2773" t="s">
        <v>1194</v>
      </c>
      <c r="G2773" t="s">
        <v>82</v>
      </c>
      <c r="J2773" t="s">
        <v>198</v>
      </c>
      <c r="K2773" t="s">
        <v>250</v>
      </c>
      <c r="L2773">
        <v>21070000</v>
      </c>
      <c r="M2773" t="s">
        <v>242</v>
      </c>
      <c r="N2773" t="s">
        <v>2087</v>
      </c>
    </row>
    <row r="2774" spans="1:16" hidden="1" x14ac:dyDescent="0.25">
      <c r="A2774" s="16">
        <v>45809</v>
      </c>
      <c r="B2774" t="s">
        <v>1192</v>
      </c>
      <c r="C2774">
        <v>58</v>
      </c>
      <c r="D2774" t="s">
        <v>238</v>
      </c>
      <c r="E2774" t="s">
        <v>239</v>
      </c>
      <c r="F2774" t="s">
        <v>1196</v>
      </c>
      <c r="G2774" t="s">
        <v>82</v>
      </c>
      <c r="J2774" t="s">
        <v>198</v>
      </c>
      <c r="K2774" t="s">
        <v>250</v>
      </c>
      <c r="L2774">
        <v>2120000000</v>
      </c>
      <c r="M2774" t="s">
        <v>245</v>
      </c>
      <c r="N2774" t="s">
        <v>2088</v>
      </c>
    </row>
    <row r="2775" spans="1:16" hidden="1" x14ac:dyDescent="0.25">
      <c r="A2775" s="16">
        <v>45809</v>
      </c>
      <c r="B2775" t="s">
        <v>1192</v>
      </c>
      <c r="C2775">
        <v>58</v>
      </c>
      <c r="D2775" t="s">
        <v>291</v>
      </c>
      <c r="E2775" t="s">
        <v>292</v>
      </c>
      <c r="F2775" t="s">
        <v>244</v>
      </c>
      <c r="G2775" t="s">
        <v>82</v>
      </c>
      <c r="H2775" t="s">
        <v>184</v>
      </c>
      <c r="J2775" t="s">
        <v>198</v>
      </c>
      <c r="K2775" t="s">
        <v>250</v>
      </c>
      <c r="L2775">
        <v>1600000000</v>
      </c>
      <c r="M2775" t="s">
        <v>245</v>
      </c>
      <c r="N2775" t="s">
        <v>2089</v>
      </c>
    </row>
    <row r="2776" spans="1:16" hidden="1" x14ac:dyDescent="0.25">
      <c r="A2776" s="16">
        <v>45809</v>
      </c>
      <c r="B2776" t="s">
        <v>1192</v>
      </c>
      <c r="C2776">
        <v>58</v>
      </c>
      <c r="D2776" t="s">
        <v>291</v>
      </c>
      <c r="E2776" t="s">
        <v>292</v>
      </c>
      <c r="F2776" t="s">
        <v>244</v>
      </c>
      <c r="G2776" t="s">
        <v>82</v>
      </c>
      <c r="H2776" t="s">
        <v>185</v>
      </c>
      <c r="J2776" t="s">
        <v>198</v>
      </c>
      <c r="K2776" t="s">
        <v>250</v>
      </c>
      <c r="L2776">
        <v>520000000</v>
      </c>
      <c r="M2776" t="s">
        <v>245</v>
      </c>
      <c r="N2776" t="s">
        <v>2090</v>
      </c>
    </row>
    <row r="2777" spans="1:16" hidden="1" x14ac:dyDescent="0.25">
      <c r="A2777" s="16">
        <v>45809</v>
      </c>
      <c r="B2777" t="s">
        <v>1192</v>
      </c>
      <c r="C2777">
        <v>59</v>
      </c>
      <c r="D2777" t="s">
        <v>291</v>
      </c>
      <c r="E2777" t="s">
        <v>292</v>
      </c>
      <c r="F2777" t="s">
        <v>1210</v>
      </c>
      <c r="G2777" t="s">
        <v>82</v>
      </c>
      <c r="H2777" t="s">
        <v>184</v>
      </c>
      <c r="J2777" t="s">
        <v>198</v>
      </c>
      <c r="K2777" t="s">
        <v>250</v>
      </c>
      <c r="L2777">
        <v>122.3</v>
      </c>
      <c r="M2777" t="s">
        <v>245</v>
      </c>
      <c r="N2777" t="s">
        <v>2091</v>
      </c>
    </row>
    <row r="2778" spans="1:16" hidden="1" x14ac:dyDescent="0.25">
      <c r="A2778" s="16">
        <v>45809</v>
      </c>
      <c r="B2778" t="s">
        <v>1192</v>
      </c>
      <c r="C2778">
        <v>59</v>
      </c>
      <c r="D2778" t="s">
        <v>291</v>
      </c>
      <c r="E2778" t="s">
        <v>292</v>
      </c>
      <c r="F2778" t="s">
        <v>1210</v>
      </c>
      <c r="G2778" t="s">
        <v>82</v>
      </c>
      <c r="H2778" t="s">
        <v>185</v>
      </c>
      <c r="J2778" t="s">
        <v>198</v>
      </c>
      <c r="K2778" t="s">
        <v>250</v>
      </c>
      <c r="L2778">
        <v>65.7</v>
      </c>
      <c r="M2778" t="s">
        <v>245</v>
      </c>
      <c r="N2778" t="s">
        <v>2092</v>
      </c>
    </row>
    <row r="2779" spans="1:16" hidden="1" x14ac:dyDescent="0.25">
      <c r="A2779" s="16">
        <v>45809</v>
      </c>
      <c r="B2779" t="s">
        <v>1192</v>
      </c>
      <c r="C2779">
        <v>59</v>
      </c>
      <c r="D2779" t="s">
        <v>238</v>
      </c>
      <c r="E2779" t="s">
        <v>239</v>
      </c>
      <c r="F2779" t="s">
        <v>1213</v>
      </c>
      <c r="G2779" t="s">
        <v>82</v>
      </c>
      <c r="H2779" t="s">
        <v>1214</v>
      </c>
      <c r="J2779" t="s">
        <v>198</v>
      </c>
      <c r="K2779" t="s">
        <v>250</v>
      </c>
      <c r="L2779">
        <v>100.8</v>
      </c>
      <c r="M2779" t="s">
        <v>245</v>
      </c>
      <c r="N2779" t="s">
        <v>2093</v>
      </c>
    </row>
    <row r="2780" spans="1:16" hidden="1" x14ac:dyDescent="0.25">
      <c r="A2780" s="16">
        <v>45809</v>
      </c>
      <c r="B2780" t="s">
        <v>162</v>
      </c>
      <c r="C2780">
        <v>42</v>
      </c>
      <c r="D2780" t="s">
        <v>238</v>
      </c>
      <c r="E2780" t="s">
        <v>239</v>
      </c>
      <c r="F2780" t="s">
        <v>240</v>
      </c>
      <c r="G2780" t="s">
        <v>82</v>
      </c>
      <c r="J2780" t="s">
        <v>198</v>
      </c>
      <c r="K2780" t="s">
        <v>241</v>
      </c>
      <c r="L2780">
        <v>113440000</v>
      </c>
      <c r="M2780" t="s">
        <v>242</v>
      </c>
      <c r="N2780" t="s">
        <v>2094</v>
      </c>
    </row>
    <row r="2781" spans="1:16" hidden="1" x14ac:dyDescent="0.25">
      <c r="A2781" s="16">
        <v>45809</v>
      </c>
      <c r="B2781" t="s">
        <v>162</v>
      </c>
      <c r="C2781">
        <v>42</v>
      </c>
      <c r="D2781" t="s">
        <v>238</v>
      </c>
      <c r="E2781" t="s">
        <v>239</v>
      </c>
      <c r="F2781" t="s">
        <v>244</v>
      </c>
      <c r="G2781" t="s">
        <v>82</v>
      </c>
      <c r="J2781" t="s">
        <v>198</v>
      </c>
      <c r="K2781" t="s">
        <v>241</v>
      </c>
      <c r="L2781">
        <v>11870000000</v>
      </c>
      <c r="M2781" t="s">
        <v>245</v>
      </c>
      <c r="N2781" t="s">
        <v>2095</v>
      </c>
    </row>
    <row r="2782" spans="1:16" hidden="1" x14ac:dyDescent="0.25">
      <c r="A2782" s="16">
        <v>45809</v>
      </c>
      <c r="B2782" t="s">
        <v>162</v>
      </c>
      <c r="C2782">
        <v>43</v>
      </c>
      <c r="D2782" t="s">
        <v>253</v>
      </c>
      <c r="E2782" t="s">
        <v>248</v>
      </c>
      <c r="F2782" t="s">
        <v>240</v>
      </c>
      <c r="G2782" t="s">
        <v>82</v>
      </c>
      <c r="J2782" t="s">
        <v>196</v>
      </c>
      <c r="K2782" t="s">
        <v>255</v>
      </c>
      <c r="L2782">
        <v>18510000</v>
      </c>
      <c r="M2782" t="s">
        <v>242</v>
      </c>
      <c r="N2782" t="s">
        <v>1746</v>
      </c>
      <c r="O2782">
        <v>1</v>
      </c>
      <c r="P2782" t="s">
        <v>257</v>
      </c>
    </row>
    <row r="2783" spans="1:16" hidden="1" x14ac:dyDescent="0.25">
      <c r="A2783" s="16">
        <v>45809</v>
      </c>
      <c r="B2783" t="s">
        <v>162</v>
      </c>
      <c r="C2783">
        <v>43</v>
      </c>
      <c r="D2783" t="s">
        <v>253</v>
      </c>
      <c r="E2783" t="s">
        <v>248</v>
      </c>
      <c r="F2783" t="s">
        <v>240</v>
      </c>
      <c r="G2783" t="s">
        <v>82</v>
      </c>
      <c r="J2783" t="s">
        <v>197</v>
      </c>
      <c r="K2783" t="s">
        <v>255</v>
      </c>
      <c r="L2783">
        <v>21940000</v>
      </c>
      <c r="M2783" t="s">
        <v>242</v>
      </c>
      <c r="N2783" t="s">
        <v>1917</v>
      </c>
      <c r="O2783">
        <v>1</v>
      </c>
      <c r="P2783" t="s">
        <v>257</v>
      </c>
    </row>
    <row r="2784" spans="1:16" hidden="1" x14ac:dyDescent="0.25">
      <c r="A2784" s="16">
        <v>45809</v>
      </c>
      <c r="B2784" t="s">
        <v>162</v>
      </c>
      <c r="C2784">
        <v>43</v>
      </c>
      <c r="D2784" t="s">
        <v>253</v>
      </c>
      <c r="E2784" t="s">
        <v>248</v>
      </c>
      <c r="F2784" t="s">
        <v>240</v>
      </c>
      <c r="G2784" t="s">
        <v>82</v>
      </c>
      <c r="J2784" t="s">
        <v>198</v>
      </c>
      <c r="K2784" t="s">
        <v>255</v>
      </c>
      <c r="L2784">
        <v>21070000</v>
      </c>
      <c r="M2784" t="s">
        <v>242</v>
      </c>
      <c r="N2784" t="s">
        <v>2096</v>
      </c>
      <c r="O2784">
        <v>1</v>
      </c>
      <c r="P2784" t="s">
        <v>261</v>
      </c>
    </row>
    <row r="2785" spans="1:16" hidden="1" x14ac:dyDescent="0.25">
      <c r="A2785" s="16">
        <v>45809</v>
      </c>
      <c r="B2785" t="s">
        <v>162</v>
      </c>
      <c r="C2785">
        <v>43</v>
      </c>
      <c r="D2785" t="s">
        <v>247</v>
      </c>
      <c r="E2785" t="s">
        <v>248</v>
      </c>
      <c r="F2785" t="s">
        <v>240</v>
      </c>
      <c r="G2785" t="s">
        <v>82</v>
      </c>
      <c r="H2785" t="s">
        <v>249</v>
      </c>
      <c r="J2785" t="s">
        <v>198</v>
      </c>
      <c r="K2785" t="s">
        <v>250</v>
      </c>
      <c r="L2785">
        <v>3.9</v>
      </c>
      <c r="M2785" t="s">
        <v>251</v>
      </c>
      <c r="N2785" t="s">
        <v>2097</v>
      </c>
    </row>
    <row r="2786" spans="1:16" hidden="1" x14ac:dyDescent="0.25">
      <c r="A2786" s="16">
        <v>45809</v>
      </c>
      <c r="B2786" t="s">
        <v>162</v>
      </c>
      <c r="C2786">
        <v>44</v>
      </c>
      <c r="D2786" t="s">
        <v>291</v>
      </c>
      <c r="E2786" t="s">
        <v>292</v>
      </c>
      <c r="F2786" t="s">
        <v>240</v>
      </c>
      <c r="G2786" t="s">
        <v>82</v>
      </c>
      <c r="H2786" t="s">
        <v>170</v>
      </c>
      <c r="J2786" t="s">
        <v>198</v>
      </c>
      <c r="K2786" t="s">
        <v>250</v>
      </c>
      <c r="L2786">
        <v>10380</v>
      </c>
      <c r="M2786" t="s">
        <v>242</v>
      </c>
      <c r="N2786" t="s">
        <v>2098</v>
      </c>
    </row>
    <row r="2787" spans="1:16" hidden="1" x14ac:dyDescent="0.25">
      <c r="A2787" s="16">
        <v>45809</v>
      </c>
      <c r="B2787" t="s">
        <v>162</v>
      </c>
      <c r="C2787">
        <v>44</v>
      </c>
      <c r="D2787" t="s">
        <v>291</v>
      </c>
      <c r="E2787" t="s">
        <v>292</v>
      </c>
      <c r="F2787" t="s">
        <v>240</v>
      </c>
      <c r="G2787" t="s">
        <v>82</v>
      </c>
      <c r="H2787" t="s">
        <v>164</v>
      </c>
      <c r="J2787" t="s">
        <v>198</v>
      </c>
      <c r="K2787" t="s">
        <v>250</v>
      </c>
      <c r="L2787">
        <v>9160000</v>
      </c>
      <c r="M2787" t="s">
        <v>242</v>
      </c>
      <c r="N2787" t="s">
        <v>2099</v>
      </c>
    </row>
    <row r="2788" spans="1:16" hidden="1" x14ac:dyDescent="0.25">
      <c r="A2788" s="16">
        <v>45809</v>
      </c>
      <c r="B2788" t="s">
        <v>162</v>
      </c>
      <c r="C2788">
        <v>44</v>
      </c>
      <c r="D2788" t="s">
        <v>291</v>
      </c>
      <c r="E2788" t="s">
        <v>292</v>
      </c>
      <c r="F2788" t="s">
        <v>240</v>
      </c>
      <c r="G2788" t="s">
        <v>82</v>
      </c>
      <c r="H2788" t="s">
        <v>165</v>
      </c>
      <c r="J2788" t="s">
        <v>198</v>
      </c>
      <c r="K2788" t="s">
        <v>250</v>
      </c>
      <c r="L2788">
        <v>3920000</v>
      </c>
      <c r="M2788" t="s">
        <v>242</v>
      </c>
      <c r="N2788" t="s">
        <v>2100</v>
      </c>
    </row>
    <row r="2789" spans="1:16" hidden="1" x14ac:dyDescent="0.25">
      <c r="A2789" s="16">
        <v>45809</v>
      </c>
      <c r="B2789" t="s">
        <v>162</v>
      </c>
      <c r="C2789">
        <v>44</v>
      </c>
      <c r="D2789" t="s">
        <v>291</v>
      </c>
      <c r="E2789" t="s">
        <v>292</v>
      </c>
      <c r="F2789" t="s">
        <v>240</v>
      </c>
      <c r="G2789" t="s">
        <v>82</v>
      </c>
      <c r="H2789" t="s">
        <v>171</v>
      </c>
      <c r="J2789" t="s">
        <v>198</v>
      </c>
      <c r="K2789" t="s">
        <v>250</v>
      </c>
      <c r="L2789">
        <v>94400</v>
      </c>
      <c r="M2789" t="s">
        <v>242</v>
      </c>
      <c r="N2789" t="s">
        <v>2101</v>
      </c>
    </row>
    <row r="2790" spans="1:16" hidden="1" x14ac:dyDescent="0.25">
      <c r="A2790" s="16">
        <v>45809</v>
      </c>
      <c r="B2790" t="s">
        <v>162</v>
      </c>
      <c r="C2790">
        <v>44</v>
      </c>
      <c r="D2790" t="s">
        <v>291</v>
      </c>
      <c r="E2790" t="s">
        <v>292</v>
      </c>
      <c r="F2790" t="s">
        <v>240</v>
      </c>
      <c r="G2790" t="s">
        <v>82</v>
      </c>
      <c r="H2790" t="s">
        <v>166</v>
      </c>
      <c r="J2790" t="s">
        <v>198</v>
      </c>
      <c r="K2790" t="s">
        <v>250</v>
      </c>
      <c r="L2790">
        <v>2510000</v>
      </c>
      <c r="M2790" t="s">
        <v>242</v>
      </c>
      <c r="N2790" t="s">
        <v>2102</v>
      </c>
    </row>
    <row r="2791" spans="1:16" hidden="1" x14ac:dyDescent="0.25">
      <c r="A2791" s="16">
        <v>45809</v>
      </c>
      <c r="B2791" t="s">
        <v>162</v>
      </c>
      <c r="C2791">
        <v>44</v>
      </c>
      <c r="D2791" t="s">
        <v>291</v>
      </c>
      <c r="E2791" t="s">
        <v>292</v>
      </c>
      <c r="F2791" t="s">
        <v>240</v>
      </c>
      <c r="G2791" t="s">
        <v>82</v>
      </c>
      <c r="H2791" t="s">
        <v>167</v>
      </c>
      <c r="J2791" t="s">
        <v>198</v>
      </c>
      <c r="K2791" t="s">
        <v>250</v>
      </c>
      <c r="L2791">
        <v>5380000</v>
      </c>
      <c r="M2791" t="s">
        <v>242</v>
      </c>
      <c r="N2791" t="s">
        <v>1721</v>
      </c>
    </row>
    <row r="2792" spans="1:16" hidden="1" x14ac:dyDescent="0.25">
      <c r="A2792" s="16">
        <v>45809</v>
      </c>
      <c r="B2792" t="s">
        <v>162</v>
      </c>
      <c r="C2792">
        <v>45</v>
      </c>
      <c r="D2792" t="s">
        <v>253</v>
      </c>
      <c r="E2792" t="s">
        <v>248</v>
      </c>
      <c r="F2792" t="s">
        <v>428</v>
      </c>
      <c r="G2792" t="s">
        <v>82</v>
      </c>
      <c r="J2792" t="s">
        <v>196</v>
      </c>
      <c r="K2792" t="s">
        <v>255</v>
      </c>
      <c r="L2792">
        <v>16260000</v>
      </c>
      <c r="M2792" t="s">
        <v>242</v>
      </c>
      <c r="N2792" t="s">
        <v>1754</v>
      </c>
      <c r="O2792">
        <v>1</v>
      </c>
      <c r="P2792" t="s">
        <v>257</v>
      </c>
    </row>
    <row r="2793" spans="1:16" hidden="1" x14ac:dyDescent="0.25">
      <c r="A2793" s="16">
        <v>45809</v>
      </c>
      <c r="B2793" t="s">
        <v>162</v>
      </c>
      <c r="C2793">
        <v>45</v>
      </c>
      <c r="D2793" t="s">
        <v>253</v>
      </c>
      <c r="E2793" t="s">
        <v>248</v>
      </c>
      <c r="F2793" t="s">
        <v>428</v>
      </c>
      <c r="G2793" t="s">
        <v>82</v>
      </c>
      <c r="J2793" t="s">
        <v>197</v>
      </c>
      <c r="K2793" t="s">
        <v>255</v>
      </c>
      <c r="L2793">
        <v>19260000</v>
      </c>
      <c r="M2793" t="s">
        <v>242</v>
      </c>
      <c r="N2793" t="s">
        <v>1924</v>
      </c>
      <c r="O2793">
        <v>1</v>
      </c>
      <c r="P2793" t="s">
        <v>257</v>
      </c>
    </row>
    <row r="2794" spans="1:16" hidden="1" x14ac:dyDescent="0.25">
      <c r="A2794" s="16">
        <v>45809</v>
      </c>
      <c r="B2794" t="s">
        <v>162</v>
      </c>
      <c r="C2794">
        <v>45</v>
      </c>
      <c r="D2794" t="s">
        <v>253</v>
      </c>
      <c r="E2794" t="s">
        <v>248</v>
      </c>
      <c r="F2794" t="s">
        <v>428</v>
      </c>
      <c r="G2794" t="s">
        <v>82</v>
      </c>
      <c r="J2794" t="s">
        <v>198</v>
      </c>
      <c r="K2794" t="s">
        <v>255</v>
      </c>
      <c r="L2794">
        <v>18360000</v>
      </c>
      <c r="M2794" t="s">
        <v>242</v>
      </c>
      <c r="N2794" t="s">
        <v>2103</v>
      </c>
      <c r="O2794">
        <v>1</v>
      </c>
      <c r="P2794" t="s">
        <v>261</v>
      </c>
    </row>
    <row r="2795" spans="1:16" hidden="1" x14ac:dyDescent="0.25">
      <c r="A2795" s="16">
        <v>45809</v>
      </c>
      <c r="B2795" t="s">
        <v>162</v>
      </c>
      <c r="C2795">
        <v>45</v>
      </c>
      <c r="D2795" t="s">
        <v>247</v>
      </c>
      <c r="E2795" t="s">
        <v>248</v>
      </c>
      <c r="F2795" t="s">
        <v>428</v>
      </c>
      <c r="G2795" t="s">
        <v>82</v>
      </c>
      <c r="H2795" t="s">
        <v>249</v>
      </c>
      <c r="J2795" t="s">
        <v>198</v>
      </c>
      <c r="K2795" t="s">
        <v>250</v>
      </c>
      <c r="L2795">
        <v>4.7</v>
      </c>
      <c r="M2795" t="s">
        <v>251</v>
      </c>
      <c r="N2795" t="s">
        <v>720</v>
      </c>
    </row>
    <row r="2796" spans="1:16" hidden="1" x14ac:dyDescent="0.25">
      <c r="A2796" s="16">
        <v>45809</v>
      </c>
      <c r="B2796" t="s">
        <v>162</v>
      </c>
      <c r="C2796">
        <v>46</v>
      </c>
      <c r="D2796" t="s">
        <v>291</v>
      </c>
      <c r="E2796" t="s">
        <v>292</v>
      </c>
      <c r="F2796" t="s">
        <v>428</v>
      </c>
      <c r="G2796" t="s">
        <v>82</v>
      </c>
      <c r="H2796" t="s">
        <v>94</v>
      </c>
      <c r="J2796" t="s">
        <v>198</v>
      </c>
      <c r="K2796" t="s">
        <v>250</v>
      </c>
      <c r="L2796">
        <v>13490000</v>
      </c>
      <c r="M2796" t="s">
        <v>242</v>
      </c>
      <c r="N2796" t="s">
        <v>2104</v>
      </c>
    </row>
    <row r="2797" spans="1:16" hidden="1" x14ac:dyDescent="0.25">
      <c r="A2797" s="16">
        <v>45809</v>
      </c>
      <c r="B2797" t="s">
        <v>162</v>
      </c>
      <c r="C2797">
        <v>46</v>
      </c>
      <c r="D2797" t="s">
        <v>291</v>
      </c>
      <c r="E2797" t="s">
        <v>292</v>
      </c>
      <c r="F2797" t="s">
        <v>428</v>
      </c>
      <c r="G2797" t="s">
        <v>82</v>
      </c>
      <c r="H2797" t="s">
        <v>95</v>
      </c>
      <c r="J2797" t="s">
        <v>198</v>
      </c>
      <c r="K2797" t="s">
        <v>250</v>
      </c>
      <c r="L2797">
        <v>4870000</v>
      </c>
      <c r="M2797" t="s">
        <v>242</v>
      </c>
      <c r="N2797" t="s">
        <v>2105</v>
      </c>
    </row>
    <row r="2798" spans="1:16" hidden="1" x14ac:dyDescent="0.25">
      <c r="A2798" s="16">
        <v>45809</v>
      </c>
      <c r="B2798" t="s">
        <v>162</v>
      </c>
      <c r="C2798">
        <v>47</v>
      </c>
      <c r="D2798" t="s">
        <v>291</v>
      </c>
      <c r="E2798" t="s">
        <v>292</v>
      </c>
      <c r="F2798" t="s">
        <v>428</v>
      </c>
      <c r="G2798" t="s">
        <v>82</v>
      </c>
      <c r="H2798" t="s">
        <v>173</v>
      </c>
      <c r="J2798" t="s">
        <v>198</v>
      </c>
      <c r="K2798" t="s">
        <v>250</v>
      </c>
      <c r="L2798">
        <v>3250000</v>
      </c>
      <c r="M2798" t="s">
        <v>242</v>
      </c>
      <c r="N2798" t="s">
        <v>2106</v>
      </c>
    </row>
    <row r="2799" spans="1:16" hidden="1" x14ac:dyDescent="0.25">
      <c r="A2799" s="16">
        <v>45809</v>
      </c>
      <c r="B2799" t="s">
        <v>162</v>
      </c>
      <c r="C2799">
        <v>47</v>
      </c>
      <c r="D2799" t="s">
        <v>291</v>
      </c>
      <c r="E2799" t="s">
        <v>292</v>
      </c>
      <c r="F2799" t="s">
        <v>428</v>
      </c>
      <c r="G2799" t="s">
        <v>82</v>
      </c>
      <c r="H2799" t="s">
        <v>174</v>
      </c>
      <c r="J2799" t="s">
        <v>198</v>
      </c>
      <c r="K2799" t="s">
        <v>250</v>
      </c>
      <c r="L2799">
        <v>2370000</v>
      </c>
      <c r="M2799" t="s">
        <v>242</v>
      </c>
      <c r="N2799" t="s">
        <v>746</v>
      </c>
    </row>
    <row r="2800" spans="1:16" hidden="1" x14ac:dyDescent="0.25">
      <c r="A2800" s="16">
        <v>45809</v>
      </c>
      <c r="B2800" t="s">
        <v>162</v>
      </c>
      <c r="C2800">
        <v>48</v>
      </c>
      <c r="D2800" t="s">
        <v>253</v>
      </c>
      <c r="E2800" t="s">
        <v>248</v>
      </c>
      <c r="F2800" t="s">
        <v>244</v>
      </c>
      <c r="G2800" t="s">
        <v>82</v>
      </c>
      <c r="J2800" t="s">
        <v>196</v>
      </c>
      <c r="K2800" t="s">
        <v>255</v>
      </c>
      <c r="L2800">
        <v>1950000000</v>
      </c>
      <c r="M2800" t="s">
        <v>245</v>
      </c>
      <c r="N2800" t="s">
        <v>1759</v>
      </c>
      <c r="O2800">
        <v>1</v>
      </c>
      <c r="P2800" t="s">
        <v>257</v>
      </c>
    </row>
    <row r="2801" spans="1:16" hidden="1" x14ac:dyDescent="0.25">
      <c r="A2801" s="16">
        <v>45809</v>
      </c>
      <c r="B2801" t="s">
        <v>162</v>
      </c>
      <c r="C2801">
        <v>48</v>
      </c>
      <c r="D2801" t="s">
        <v>253</v>
      </c>
      <c r="E2801" t="s">
        <v>248</v>
      </c>
      <c r="F2801" t="s">
        <v>244</v>
      </c>
      <c r="G2801" t="s">
        <v>82</v>
      </c>
      <c r="J2801" t="s">
        <v>197</v>
      </c>
      <c r="K2801" t="s">
        <v>255</v>
      </c>
      <c r="L2801">
        <v>2180000000</v>
      </c>
      <c r="M2801" t="s">
        <v>245</v>
      </c>
      <c r="N2801" t="s">
        <v>1930</v>
      </c>
      <c r="O2801">
        <v>1</v>
      </c>
      <c r="P2801" t="s">
        <v>257</v>
      </c>
    </row>
    <row r="2802" spans="1:16" hidden="1" x14ac:dyDescent="0.25">
      <c r="A2802" s="16">
        <v>45809</v>
      </c>
      <c r="B2802" t="s">
        <v>162</v>
      </c>
      <c r="C2802">
        <v>48</v>
      </c>
      <c r="D2802" t="s">
        <v>253</v>
      </c>
      <c r="E2802" t="s">
        <v>248</v>
      </c>
      <c r="F2802" t="s">
        <v>244</v>
      </c>
      <c r="G2802" t="s">
        <v>82</v>
      </c>
      <c r="J2802" t="s">
        <v>198</v>
      </c>
      <c r="K2802" t="s">
        <v>255</v>
      </c>
      <c r="L2802">
        <v>2120000000</v>
      </c>
      <c r="M2802" t="s">
        <v>245</v>
      </c>
      <c r="N2802" t="s">
        <v>2107</v>
      </c>
      <c r="O2802">
        <v>1</v>
      </c>
      <c r="P2802" t="s">
        <v>261</v>
      </c>
    </row>
    <row r="2803" spans="1:16" hidden="1" x14ac:dyDescent="0.25">
      <c r="A2803" s="16">
        <v>45809</v>
      </c>
      <c r="B2803" t="s">
        <v>162</v>
      </c>
      <c r="C2803">
        <v>48</v>
      </c>
      <c r="D2803" t="s">
        <v>247</v>
      </c>
      <c r="E2803" t="s">
        <v>248</v>
      </c>
      <c r="F2803" t="s">
        <v>244</v>
      </c>
      <c r="G2803" t="s">
        <v>82</v>
      </c>
      <c r="H2803" t="s">
        <v>249</v>
      </c>
      <c r="J2803" t="s">
        <v>198</v>
      </c>
      <c r="K2803" t="s">
        <v>250</v>
      </c>
      <c r="L2803">
        <v>2.5</v>
      </c>
      <c r="M2803" t="s">
        <v>251</v>
      </c>
      <c r="N2803" t="s">
        <v>287</v>
      </c>
    </row>
    <row r="2804" spans="1:16" hidden="1" x14ac:dyDescent="0.25">
      <c r="A2804" s="16">
        <v>45809</v>
      </c>
      <c r="B2804" t="s">
        <v>162</v>
      </c>
      <c r="C2804">
        <v>49</v>
      </c>
      <c r="D2804" t="s">
        <v>291</v>
      </c>
      <c r="E2804" t="s">
        <v>292</v>
      </c>
      <c r="F2804" t="s">
        <v>244</v>
      </c>
      <c r="G2804" t="s">
        <v>82</v>
      </c>
      <c r="H2804" t="s">
        <v>170</v>
      </c>
      <c r="J2804" t="s">
        <v>198</v>
      </c>
      <c r="K2804" t="s">
        <v>250</v>
      </c>
      <c r="L2804">
        <v>184900</v>
      </c>
      <c r="M2804" t="s">
        <v>245</v>
      </c>
      <c r="N2804" t="s">
        <v>2108</v>
      </c>
    </row>
    <row r="2805" spans="1:16" hidden="1" x14ac:dyDescent="0.25">
      <c r="A2805" s="16">
        <v>45809</v>
      </c>
      <c r="B2805" t="s">
        <v>162</v>
      </c>
      <c r="C2805">
        <v>49</v>
      </c>
      <c r="D2805" t="s">
        <v>291</v>
      </c>
      <c r="E2805" t="s">
        <v>292</v>
      </c>
      <c r="F2805" t="s">
        <v>244</v>
      </c>
      <c r="G2805" t="s">
        <v>82</v>
      </c>
      <c r="H2805" t="s">
        <v>164</v>
      </c>
      <c r="J2805" t="s">
        <v>198</v>
      </c>
      <c r="K2805" t="s">
        <v>250</v>
      </c>
      <c r="L2805">
        <v>1360000000</v>
      </c>
      <c r="M2805" t="s">
        <v>245</v>
      </c>
      <c r="N2805" t="s">
        <v>2109</v>
      </c>
    </row>
    <row r="2806" spans="1:16" hidden="1" x14ac:dyDescent="0.25">
      <c r="A2806" s="16">
        <v>45809</v>
      </c>
      <c r="B2806" t="s">
        <v>162</v>
      </c>
      <c r="C2806">
        <v>49</v>
      </c>
      <c r="D2806" t="s">
        <v>291</v>
      </c>
      <c r="E2806" t="s">
        <v>292</v>
      </c>
      <c r="F2806" t="s">
        <v>244</v>
      </c>
      <c r="G2806" t="s">
        <v>82</v>
      </c>
      <c r="H2806" t="s">
        <v>165</v>
      </c>
      <c r="J2806" t="s">
        <v>198</v>
      </c>
      <c r="K2806" t="s">
        <v>250</v>
      </c>
      <c r="L2806">
        <v>269300000</v>
      </c>
      <c r="M2806" t="s">
        <v>245</v>
      </c>
      <c r="N2806" t="s">
        <v>2110</v>
      </c>
    </row>
    <row r="2807" spans="1:16" hidden="1" x14ac:dyDescent="0.25">
      <c r="A2807" s="16">
        <v>45809</v>
      </c>
      <c r="B2807" t="s">
        <v>162</v>
      </c>
      <c r="C2807">
        <v>49</v>
      </c>
      <c r="D2807" t="s">
        <v>291</v>
      </c>
      <c r="E2807" t="s">
        <v>292</v>
      </c>
      <c r="F2807" t="s">
        <v>244</v>
      </c>
      <c r="G2807" t="s">
        <v>82</v>
      </c>
      <c r="H2807" t="s">
        <v>171</v>
      </c>
      <c r="J2807" t="s">
        <v>198</v>
      </c>
      <c r="K2807" t="s">
        <v>250</v>
      </c>
      <c r="L2807">
        <v>1100000</v>
      </c>
      <c r="M2807" t="s">
        <v>245</v>
      </c>
      <c r="N2807" t="s">
        <v>2111</v>
      </c>
    </row>
    <row r="2808" spans="1:16" hidden="1" x14ac:dyDescent="0.25">
      <c r="A2808" s="16">
        <v>45809</v>
      </c>
      <c r="B2808" t="s">
        <v>162</v>
      </c>
      <c r="C2808">
        <v>49</v>
      </c>
      <c r="D2808" t="s">
        <v>291</v>
      </c>
      <c r="E2808" t="s">
        <v>292</v>
      </c>
      <c r="F2808" t="s">
        <v>244</v>
      </c>
      <c r="G2808" t="s">
        <v>82</v>
      </c>
      <c r="H2808" t="s">
        <v>166</v>
      </c>
      <c r="J2808" t="s">
        <v>198</v>
      </c>
      <c r="K2808" t="s">
        <v>250</v>
      </c>
      <c r="L2808">
        <v>236500000</v>
      </c>
      <c r="M2808" t="s">
        <v>245</v>
      </c>
      <c r="N2808" t="s">
        <v>2112</v>
      </c>
    </row>
    <row r="2809" spans="1:16" hidden="1" x14ac:dyDescent="0.25">
      <c r="A2809" s="16">
        <v>45809</v>
      </c>
      <c r="B2809" t="s">
        <v>162</v>
      </c>
      <c r="C2809">
        <v>49</v>
      </c>
      <c r="D2809" t="s">
        <v>291</v>
      </c>
      <c r="E2809" t="s">
        <v>292</v>
      </c>
      <c r="F2809" t="s">
        <v>244</v>
      </c>
      <c r="G2809" t="s">
        <v>82</v>
      </c>
      <c r="H2809" t="s">
        <v>167</v>
      </c>
      <c r="J2809" t="s">
        <v>198</v>
      </c>
      <c r="K2809" t="s">
        <v>250</v>
      </c>
      <c r="L2809">
        <v>254000000</v>
      </c>
      <c r="M2809" t="s">
        <v>245</v>
      </c>
      <c r="N2809" t="s">
        <v>2113</v>
      </c>
    </row>
    <row r="2810" spans="1:16" hidden="1" x14ac:dyDescent="0.25">
      <c r="A2810" s="16">
        <v>45809</v>
      </c>
      <c r="B2810" t="s">
        <v>162</v>
      </c>
      <c r="C2810">
        <v>50</v>
      </c>
      <c r="D2810" t="s">
        <v>253</v>
      </c>
      <c r="E2810" t="s">
        <v>248</v>
      </c>
      <c r="F2810" t="s">
        <v>445</v>
      </c>
      <c r="G2810" t="s">
        <v>82</v>
      </c>
      <c r="J2810" t="s">
        <v>196</v>
      </c>
      <c r="K2810" t="s">
        <v>255</v>
      </c>
      <c r="L2810">
        <v>1590000000</v>
      </c>
      <c r="M2810" t="s">
        <v>245</v>
      </c>
      <c r="N2810" t="s">
        <v>440</v>
      </c>
      <c r="O2810">
        <v>1</v>
      </c>
      <c r="P2810" t="s">
        <v>257</v>
      </c>
    </row>
    <row r="2811" spans="1:16" hidden="1" x14ac:dyDescent="0.25">
      <c r="A2811" s="16">
        <v>45809</v>
      </c>
      <c r="B2811" t="s">
        <v>162</v>
      </c>
      <c r="C2811">
        <v>50</v>
      </c>
      <c r="D2811" t="s">
        <v>253</v>
      </c>
      <c r="E2811" t="s">
        <v>248</v>
      </c>
      <c r="F2811" t="s">
        <v>445</v>
      </c>
      <c r="G2811" t="s">
        <v>82</v>
      </c>
      <c r="J2811" t="s">
        <v>197</v>
      </c>
      <c r="K2811" t="s">
        <v>255</v>
      </c>
      <c r="L2811">
        <v>1780000000</v>
      </c>
      <c r="M2811" t="s">
        <v>245</v>
      </c>
      <c r="N2811" t="s">
        <v>1936</v>
      </c>
      <c r="O2811">
        <v>1</v>
      </c>
      <c r="P2811" t="s">
        <v>257</v>
      </c>
    </row>
    <row r="2812" spans="1:16" hidden="1" x14ac:dyDescent="0.25">
      <c r="A2812" s="16">
        <v>45809</v>
      </c>
      <c r="B2812" t="s">
        <v>162</v>
      </c>
      <c r="C2812">
        <v>50</v>
      </c>
      <c r="D2812" t="s">
        <v>253</v>
      </c>
      <c r="E2812" t="s">
        <v>248</v>
      </c>
      <c r="F2812" t="s">
        <v>445</v>
      </c>
      <c r="G2812" t="s">
        <v>82</v>
      </c>
      <c r="J2812" t="s">
        <v>198</v>
      </c>
      <c r="K2812" t="s">
        <v>255</v>
      </c>
      <c r="L2812">
        <v>1720000000</v>
      </c>
      <c r="M2812" t="s">
        <v>245</v>
      </c>
      <c r="N2812" t="s">
        <v>2114</v>
      </c>
      <c r="O2812">
        <v>1</v>
      </c>
      <c r="P2812" t="s">
        <v>261</v>
      </c>
    </row>
    <row r="2813" spans="1:16" hidden="1" x14ac:dyDescent="0.25">
      <c r="A2813" s="16">
        <v>45809</v>
      </c>
      <c r="B2813" t="s">
        <v>162</v>
      </c>
      <c r="C2813">
        <v>50</v>
      </c>
      <c r="D2813" t="s">
        <v>247</v>
      </c>
      <c r="E2813" t="s">
        <v>248</v>
      </c>
      <c r="F2813" t="s">
        <v>445</v>
      </c>
      <c r="G2813" t="s">
        <v>82</v>
      </c>
      <c r="H2813" t="s">
        <v>249</v>
      </c>
      <c r="J2813" t="s">
        <v>198</v>
      </c>
      <c r="K2813" t="s">
        <v>250</v>
      </c>
      <c r="L2813">
        <v>3.5</v>
      </c>
      <c r="M2813" t="s">
        <v>251</v>
      </c>
      <c r="N2813" t="s">
        <v>1141</v>
      </c>
    </row>
    <row r="2814" spans="1:16" hidden="1" x14ac:dyDescent="0.25">
      <c r="A2814" s="16">
        <v>45809</v>
      </c>
      <c r="B2814" t="s">
        <v>162</v>
      </c>
      <c r="C2814">
        <v>51</v>
      </c>
      <c r="D2814" t="s">
        <v>291</v>
      </c>
      <c r="E2814" t="s">
        <v>292</v>
      </c>
      <c r="F2814" t="s">
        <v>445</v>
      </c>
      <c r="G2814" t="s">
        <v>82</v>
      </c>
      <c r="H2814" t="s">
        <v>94</v>
      </c>
      <c r="J2814" t="s">
        <v>198</v>
      </c>
      <c r="K2814" t="s">
        <v>250</v>
      </c>
      <c r="L2814">
        <v>1380000000</v>
      </c>
      <c r="M2814" t="s">
        <v>245</v>
      </c>
      <c r="N2814" t="s">
        <v>2115</v>
      </c>
    </row>
    <row r="2815" spans="1:16" hidden="1" x14ac:dyDescent="0.25">
      <c r="A2815" s="16">
        <v>45809</v>
      </c>
      <c r="B2815" t="s">
        <v>162</v>
      </c>
      <c r="C2815">
        <v>51</v>
      </c>
      <c r="D2815" t="s">
        <v>291</v>
      </c>
      <c r="E2815" t="s">
        <v>292</v>
      </c>
      <c r="F2815" t="s">
        <v>445</v>
      </c>
      <c r="G2815" t="s">
        <v>82</v>
      </c>
      <c r="H2815" t="s">
        <v>95</v>
      </c>
      <c r="J2815" t="s">
        <v>198</v>
      </c>
      <c r="K2815" t="s">
        <v>250</v>
      </c>
      <c r="L2815">
        <v>339200000</v>
      </c>
      <c r="M2815" t="s">
        <v>245</v>
      </c>
      <c r="N2815" t="s">
        <v>2035</v>
      </c>
    </row>
    <row r="2816" spans="1:16" hidden="1" x14ac:dyDescent="0.25">
      <c r="A2816" s="16">
        <v>45809</v>
      </c>
      <c r="B2816" t="s">
        <v>162</v>
      </c>
      <c r="C2816">
        <v>52</v>
      </c>
      <c r="D2816" t="s">
        <v>291</v>
      </c>
      <c r="E2816" t="s">
        <v>292</v>
      </c>
      <c r="F2816" t="s">
        <v>445</v>
      </c>
      <c r="G2816" t="s">
        <v>82</v>
      </c>
      <c r="H2816" t="s">
        <v>173</v>
      </c>
      <c r="J2816" t="s">
        <v>198</v>
      </c>
      <c r="K2816" t="s">
        <v>250</v>
      </c>
      <c r="L2816">
        <v>184500000</v>
      </c>
      <c r="M2816" t="s">
        <v>245</v>
      </c>
      <c r="N2816" t="s">
        <v>2116</v>
      </c>
    </row>
    <row r="2817" spans="1:16" hidden="1" x14ac:dyDescent="0.25">
      <c r="A2817" s="16">
        <v>45809</v>
      </c>
      <c r="B2817" t="s">
        <v>162</v>
      </c>
      <c r="C2817">
        <v>52</v>
      </c>
      <c r="D2817" t="s">
        <v>291</v>
      </c>
      <c r="E2817" t="s">
        <v>292</v>
      </c>
      <c r="F2817" t="s">
        <v>445</v>
      </c>
      <c r="G2817" t="s">
        <v>82</v>
      </c>
      <c r="H2817" t="s">
        <v>174</v>
      </c>
      <c r="J2817" t="s">
        <v>198</v>
      </c>
      <c r="K2817" t="s">
        <v>250</v>
      </c>
      <c r="L2817">
        <v>253200000</v>
      </c>
      <c r="M2817" t="s">
        <v>245</v>
      </c>
      <c r="N2817" t="s">
        <v>2117</v>
      </c>
    </row>
    <row r="2818" spans="1:16" hidden="1" x14ac:dyDescent="0.25">
      <c r="A2818" s="16">
        <v>45809</v>
      </c>
      <c r="B2818" t="s">
        <v>162</v>
      </c>
      <c r="C2818">
        <v>53</v>
      </c>
      <c r="D2818" t="s">
        <v>291</v>
      </c>
      <c r="E2818" t="s">
        <v>292</v>
      </c>
      <c r="F2818" t="s">
        <v>334</v>
      </c>
      <c r="G2818" t="s">
        <v>82</v>
      </c>
      <c r="H2818" t="s">
        <v>170</v>
      </c>
      <c r="J2818" t="s">
        <v>198</v>
      </c>
      <c r="K2818" t="s">
        <v>250</v>
      </c>
      <c r="L2818">
        <v>18</v>
      </c>
      <c r="M2818" t="s">
        <v>245</v>
      </c>
      <c r="N2818" t="s">
        <v>2118</v>
      </c>
    </row>
    <row r="2819" spans="1:16" hidden="1" x14ac:dyDescent="0.25">
      <c r="A2819" s="16">
        <v>45809</v>
      </c>
      <c r="B2819" t="s">
        <v>162</v>
      </c>
      <c r="C2819">
        <v>53</v>
      </c>
      <c r="D2819" t="s">
        <v>291</v>
      </c>
      <c r="E2819" t="s">
        <v>292</v>
      </c>
      <c r="F2819" t="s">
        <v>334</v>
      </c>
      <c r="G2819" t="s">
        <v>82</v>
      </c>
      <c r="H2819" t="s">
        <v>164</v>
      </c>
      <c r="J2819" t="s">
        <v>198</v>
      </c>
      <c r="K2819" t="s">
        <v>250</v>
      </c>
      <c r="L2819">
        <v>149</v>
      </c>
      <c r="M2819" t="s">
        <v>245</v>
      </c>
      <c r="N2819" t="s">
        <v>2119</v>
      </c>
    </row>
    <row r="2820" spans="1:16" hidden="1" x14ac:dyDescent="0.25">
      <c r="A2820" s="16">
        <v>45809</v>
      </c>
      <c r="B2820" t="s">
        <v>162</v>
      </c>
      <c r="C2820">
        <v>53</v>
      </c>
      <c r="D2820" t="s">
        <v>291</v>
      </c>
      <c r="E2820" t="s">
        <v>292</v>
      </c>
      <c r="F2820" t="s">
        <v>334</v>
      </c>
      <c r="G2820" t="s">
        <v>82</v>
      </c>
      <c r="H2820" t="s">
        <v>173</v>
      </c>
      <c r="J2820" t="s">
        <v>198</v>
      </c>
      <c r="K2820" t="s">
        <v>250</v>
      </c>
      <c r="L2820">
        <v>60</v>
      </c>
      <c r="M2820" t="s">
        <v>245</v>
      </c>
      <c r="N2820" t="s">
        <v>1944</v>
      </c>
    </row>
    <row r="2821" spans="1:16" hidden="1" x14ac:dyDescent="0.25">
      <c r="A2821" s="16">
        <v>45809</v>
      </c>
      <c r="B2821" t="s">
        <v>162</v>
      </c>
      <c r="C2821">
        <v>53</v>
      </c>
      <c r="D2821" t="s">
        <v>238</v>
      </c>
      <c r="E2821" t="s">
        <v>239</v>
      </c>
      <c r="F2821" t="s">
        <v>334</v>
      </c>
      <c r="G2821" t="s">
        <v>82</v>
      </c>
      <c r="H2821" t="s">
        <v>455</v>
      </c>
      <c r="J2821" t="s">
        <v>198</v>
      </c>
      <c r="K2821" t="s">
        <v>250</v>
      </c>
      <c r="L2821">
        <v>101</v>
      </c>
      <c r="M2821" t="s">
        <v>245</v>
      </c>
      <c r="N2821" t="s">
        <v>2120</v>
      </c>
    </row>
    <row r="2822" spans="1:16" hidden="1" x14ac:dyDescent="0.25">
      <c r="A2822" s="16">
        <v>45809</v>
      </c>
      <c r="B2822" t="s">
        <v>162</v>
      </c>
      <c r="C2822">
        <v>53</v>
      </c>
      <c r="D2822" t="s">
        <v>291</v>
      </c>
      <c r="E2822" t="s">
        <v>292</v>
      </c>
      <c r="F2822" t="s">
        <v>334</v>
      </c>
      <c r="G2822" t="s">
        <v>82</v>
      </c>
      <c r="H2822" t="s">
        <v>179</v>
      </c>
      <c r="J2822" t="s">
        <v>198</v>
      </c>
      <c r="K2822" t="s">
        <v>250</v>
      </c>
      <c r="L2822">
        <v>12</v>
      </c>
      <c r="M2822" t="s">
        <v>245</v>
      </c>
      <c r="N2822" t="s">
        <v>1773</v>
      </c>
    </row>
    <row r="2823" spans="1:16" hidden="1" x14ac:dyDescent="0.25">
      <c r="A2823" s="16">
        <v>45809</v>
      </c>
      <c r="B2823" t="s">
        <v>162</v>
      </c>
      <c r="C2823">
        <v>53</v>
      </c>
      <c r="D2823" t="s">
        <v>291</v>
      </c>
      <c r="E2823" t="s">
        <v>292</v>
      </c>
      <c r="F2823" t="s">
        <v>334</v>
      </c>
      <c r="G2823" t="s">
        <v>82</v>
      </c>
      <c r="H2823" t="s">
        <v>174</v>
      </c>
      <c r="J2823" t="s">
        <v>198</v>
      </c>
      <c r="K2823" t="s">
        <v>250</v>
      </c>
      <c r="L2823">
        <v>107</v>
      </c>
      <c r="M2823" t="s">
        <v>245</v>
      </c>
      <c r="N2823" t="s">
        <v>685</v>
      </c>
    </row>
    <row r="2824" spans="1:16" hidden="1" x14ac:dyDescent="0.25">
      <c r="A2824" s="16">
        <v>45809</v>
      </c>
      <c r="B2824" t="s">
        <v>162</v>
      </c>
      <c r="C2824">
        <v>53</v>
      </c>
      <c r="D2824" t="s">
        <v>291</v>
      </c>
      <c r="E2824" t="s">
        <v>292</v>
      </c>
      <c r="F2824" t="s">
        <v>334</v>
      </c>
      <c r="G2824" t="s">
        <v>82</v>
      </c>
      <c r="H2824" t="s">
        <v>178</v>
      </c>
      <c r="J2824" t="s">
        <v>198</v>
      </c>
      <c r="K2824" t="s">
        <v>250</v>
      </c>
      <c r="L2824">
        <v>47</v>
      </c>
      <c r="M2824" t="s">
        <v>245</v>
      </c>
      <c r="N2824" t="s">
        <v>2121</v>
      </c>
    </row>
    <row r="2825" spans="1:16" hidden="1" x14ac:dyDescent="0.25">
      <c r="A2825" s="16">
        <v>45809</v>
      </c>
      <c r="B2825" t="s">
        <v>97</v>
      </c>
      <c r="C2825">
        <v>26</v>
      </c>
      <c r="D2825" t="s">
        <v>238</v>
      </c>
      <c r="E2825" t="s">
        <v>239</v>
      </c>
      <c r="F2825" t="s">
        <v>240</v>
      </c>
      <c r="G2825" t="s">
        <v>82</v>
      </c>
      <c r="J2825" t="s">
        <v>198</v>
      </c>
      <c r="K2825" t="s">
        <v>241</v>
      </c>
      <c r="L2825">
        <v>42780000</v>
      </c>
      <c r="M2825" t="s">
        <v>242</v>
      </c>
      <c r="N2825" t="s">
        <v>2078</v>
      </c>
    </row>
    <row r="2826" spans="1:16" hidden="1" x14ac:dyDescent="0.25">
      <c r="A2826" s="16">
        <v>45809</v>
      </c>
      <c r="B2826" t="s">
        <v>97</v>
      </c>
      <c r="C2826">
        <v>26</v>
      </c>
      <c r="D2826" t="s">
        <v>238</v>
      </c>
      <c r="E2826" t="s">
        <v>239</v>
      </c>
      <c r="F2826" t="s">
        <v>244</v>
      </c>
      <c r="G2826" t="s">
        <v>82</v>
      </c>
      <c r="J2826" t="s">
        <v>198</v>
      </c>
      <c r="K2826" t="s">
        <v>241</v>
      </c>
      <c r="L2826">
        <v>2970000000</v>
      </c>
      <c r="M2826" t="s">
        <v>245</v>
      </c>
      <c r="N2826" t="s">
        <v>2081</v>
      </c>
    </row>
    <row r="2827" spans="1:16" hidden="1" x14ac:dyDescent="0.25">
      <c r="A2827" s="16">
        <v>45809</v>
      </c>
      <c r="B2827" t="s">
        <v>97</v>
      </c>
      <c r="C2827">
        <v>27</v>
      </c>
      <c r="D2827" t="s">
        <v>253</v>
      </c>
      <c r="E2827" t="s">
        <v>248</v>
      </c>
      <c r="F2827" t="s">
        <v>285</v>
      </c>
      <c r="G2827" t="s">
        <v>63</v>
      </c>
      <c r="J2827" t="s">
        <v>196</v>
      </c>
      <c r="K2827" t="s">
        <v>255</v>
      </c>
      <c r="L2827">
        <v>2630000</v>
      </c>
      <c r="M2827" t="s">
        <v>242</v>
      </c>
      <c r="N2827" t="s">
        <v>1776</v>
      </c>
      <c r="O2827">
        <v>1</v>
      </c>
      <c r="P2827" t="s">
        <v>257</v>
      </c>
    </row>
    <row r="2828" spans="1:16" hidden="1" x14ac:dyDescent="0.25">
      <c r="A2828" s="16">
        <v>45809</v>
      </c>
      <c r="B2828" t="s">
        <v>97</v>
      </c>
      <c r="C2828">
        <v>27</v>
      </c>
      <c r="D2828" t="s">
        <v>253</v>
      </c>
      <c r="E2828" t="s">
        <v>248</v>
      </c>
      <c r="F2828" t="s">
        <v>285</v>
      </c>
      <c r="G2828" t="s">
        <v>63</v>
      </c>
      <c r="J2828" t="s">
        <v>197</v>
      </c>
      <c r="K2828" t="s">
        <v>255</v>
      </c>
      <c r="L2828">
        <v>2660000</v>
      </c>
      <c r="M2828" t="s">
        <v>242</v>
      </c>
      <c r="N2828" t="s">
        <v>1947</v>
      </c>
      <c r="O2828">
        <v>1</v>
      </c>
      <c r="P2828" t="s">
        <v>257</v>
      </c>
    </row>
    <row r="2829" spans="1:16" hidden="1" x14ac:dyDescent="0.25">
      <c r="A2829" s="16">
        <v>45809</v>
      </c>
      <c r="B2829" t="s">
        <v>97</v>
      </c>
      <c r="C2829">
        <v>27</v>
      </c>
      <c r="D2829" t="s">
        <v>253</v>
      </c>
      <c r="E2829" t="s">
        <v>248</v>
      </c>
      <c r="F2829" t="s">
        <v>285</v>
      </c>
      <c r="G2829" t="s">
        <v>63</v>
      </c>
      <c r="J2829" t="s">
        <v>198</v>
      </c>
      <c r="K2829" t="s">
        <v>255</v>
      </c>
      <c r="L2829">
        <v>2670000</v>
      </c>
      <c r="M2829" t="s">
        <v>242</v>
      </c>
      <c r="N2829" t="s">
        <v>2122</v>
      </c>
      <c r="O2829">
        <v>1</v>
      </c>
      <c r="P2829" t="s">
        <v>261</v>
      </c>
    </row>
    <row r="2830" spans="1:16" hidden="1" x14ac:dyDescent="0.25">
      <c r="A2830" s="16">
        <v>45809</v>
      </c>
      <c r="B2830" t="s">
        <v>97</v>
      </c>
      <c r="C2830">
        <v>27</v>
      </c>
      <c r="D2830" t="s">
        <v>247</v>
      </c>
      <c r="E2830" t="s">
        <v>248</v>
      </c>
      <c r="F2830" t="s">
        <v>285</v>
      </c>
      <c r="G2830" t="s">
        <v>63</v>
      </c>
      <c r="H2830" t="s">
        <v>286</v>
      </c>
      <c r="J2830" t="s">
        <v>198</v>
      </c>
      <c r="K2830" t="s">
        <v>250</v>
      </c>
      <c r="L2830">
        <v>0.1</v>
      </c>
      <c r="M2830" t="s">
        <v>251</v>
      </c>
      <c r="N2830" t="s">
        <v>420</v>
      </c>
    </row>
    <row r="2831" spans="1:16" hidden="1" x14ac:dyDescent="0.25">
      <c r="A2831" s="16">
        <v>45809</v>
      </c>
      <c r="B2831" t="s">
        <v>97</v>
      </c>
      <c r="C2831">
        <v>28</v>
      </c>
      <c r="D2831" t="s">
        <v>291</v>
      </c>
      <c r="E2831" t="s">
        <v>292</v>
      </c>
      <c r="F2831" t="s">
        <v>285</v>
      </c>
      <c r="G2831" t="s">
        <v>63</v>
      </c>
      <c r="H2831" t="s">
        <v>64</v>
      </c>
      <c r="J2831" t="s">
        <v>198</v>
      </c>
      <c r="K2831" t="s">
        <v>250</v>
      </c>
      <c r="L2831">
        <v>2350000</v>
      </c>
      <c r="M2831" t="s">
        <v>242</v>
      </c>
      <c r="N2831" t="s">
        <v>1948</v>
      </c>
    </row>
    <row r="2832" spans="1:16" hidden="1" x14ac:dyDescent="0.25">
      <c r="A2832" s="16">
        <v>45809</v>
      </c>
      <c r="B2832" t="s">
        <v>97</v>
      </c>
      <c r="C2832">
        <v>28</v>
      </c>
      <c r="D2832" t="s">
        <v>291</v>
      </c>
      <c r="E2832" t="s">
        <v>292</v>
      </c>
      <c r="F2832" t="s">
        <v>285</v>
      </c>
      <c r="G2832" t="s">
        <v>63</v>
      </c>
      <c r="H2832" t="s">
        <v>65</v>
      </c>
      <c r="J2832" t="s">
        <v>198</v>
      </c>
      <c r="K2832" t="s">
        <v>250</v>
      </c>
      <c r="L2832">
        <v>319600</v>
      </c>
      <c r="M2832" t="s">
        <v>242</v>
      </c>
      <c r="N2832" t="s">
        <v>2123</v>
      </c>
    </row>
    <row r="2833" spans="1:16" hidden="1" x14ac:dyDescent="0.25">
      <c r="A2833" s="16">
        <v>45809</v>
      </c>
      <c r="B2833" t="s">
        <v>97</v>
      </c>
      <c r="C2833">
        <v>29</v>
      </c>
      <c r="D2833" t="s">
        <v>291</v>
      </c>
      <c r="E2833" t="s">
        <v>292</v>
      </c>
      <c r="F2833" t="s">
        <v>285</v>
      </c>
      <c r="G2833" t="s">
        <v>63</v>
      </c>
      <c r="H2833" t="s">
        <v>67</v>
      </c>
      <c r="J2833" t="s">
        <v>198</v>
      </c>
      <c r="K2833" t="s">
        <v>250</v>
      </c>
      <c r="L2833">
        <v>1290000</v>
      </c>
      <c r="M2833" t="s">
        <v>242</v>
      </c>
      <c r="N2833" t="s">
        <v>2124</v>
      </c>
    </row>
    <row r="2834" spans="1:16" hidden="1" x14ac:dyDescent="0.25">
      <c r="A2834" s="16">
        <v>45809</v>
      </c>
      <c r="B2834" t="s">
        <v>97</v>
      </c>
      <c r="C2834">
        <v>29</v>
      </c>
      <c r="D2834" t="s">
        <v>291</v>
      </c>
      <c r="E2834" t="s">
        <v>292</v>
      </c>
      <c r="F2834" t="s">
        <v>285</v>
      </c>
      <c r="G2834" t="s">
        <v>63</v>
      </c>
      <c r="H2834" t="s">
        <v>68</v>
      </c>
      <c r="J2834" t="s">
        <v>198</v>
      </c>
      <c r="K2834" t="s">
        <v>250</v>
      </c>
      <c r="L2834">
        <v>1360000</v>
      </c>
      <c r="M2834" t="s">
        <v>242</v>
      </c>
      <c r="N2834" t="s">
        <v>2125</v>
      </c>
    </row>
    <row r="2835" spans="1:16" hidden="1" x14ac:dyDescent="0.25">
      <c r="A2835" s="16">
        <v>45809</v>
      </c>
      <c r="B2835" t="s">
        <v>97</v>
      </c>
      <c r="C2835">
        <v>30</v>
      </c>
      <c r="D2835" t="s">
        <v>291</v>
      </c>
      <c r="E2835" t="s">
        <v>292</v>
      </c>
      <c r="F2835" t="s">
        <v>285</v>
      </c>
      <c r="G2835" t="s">
        <v>63</v>
      </c>
      <c r="H2835" t="s">
        <v>70</v>
      </c>
      <c r="J2835" t="s">
        <v>198</v>
      </c>
      <c r="K2835" t="s">
        <v>250</v>
      </c>
      <c r="L2835">
        <v>952000</v>
      </c>
      <c r="M2835" t="s">
        <v>242</v>
      </c>
      <c r="N2835" t="s">
        <v>2126</v>
      </c>
    </row>
    <row r="2836" spans="1:16" hidden="1" x14ac:dyDescent="0.25">
      <c r="A2836" s="16">
        <v>45809</v>
      </c>
      <c r="B2836" t="s">
        <v>97</v>
      </c>
      <c r="C2836">
        <v>30</v>
      </c>
      <c r="D2836" t="s">
        <v>291</v>
      </c>
      <c r="E2836" t="s">
        <v>292</v>
      </c>
      <c r="F2836" t="s">
        <v>285</v>
      </c>
      <c r="G2836" t="s">
        <v>63</v>
      </c>
      <c r="H2836" t="s">
        <v>71</v>
      </c>
      <c r="J2836" t="s">
        <v>198</v>
      </c>
      <c r="K2836" t="s">
        <v>250</v>
      </c>
      <c r="L2836">
        <v>686000</v>
      </c>
      <c r="M2836" t="s">
        <v>242</v>
      </c>
      <c r="N2836" t="s">
        <v>2127</v>
      </c>
    </row>
    <row r="2837" spans="1:16" hidden="1" x14ac:dyDescent="0.25">
      <c r="A2837" s="16">
        <v>45809</v>
      </c>
      <c r="B2837" t="s">
        <v>97</v>
      </c>
      <c r="C2837">
        <v>30</v>
      </c>
      <c r="D2837" t="s">
        <v>291</v>
      </c>
      <c r="E2837" t="s">
        <v>292</v>
      </c>
      <c r="F2837" t="s">
        <v>285</v>
      </c>
      <c r="G2837" t="s">
        <v>63</v>
      </c>
      <c r="H2837" t="s">
        <v>72</v>
      </c>
      <c r="J2837" t="s">
        <v>198</v>
      </c>
      <c r="K2837" t="s">
        <v>250</v>
      </c>
      <c r="L2837">
        <v>519000</v>
      </c>
      <c r="M2837" t="s">
        <v>242</v>
      </c>
      <c r="N2837" t="s">
        <v>2128</v>
      </c>
    </row>
    <row r="2838" spans="1:16" hidden="1" x14ac:dyDescent="0.25">
      <c r="A2838" s="16">
        <v>45809</v>
      </c>
      <c r="B2838" t="s">
        <v>97</v>
      </c>
      <c r="C2838">
        <v>30</v>
      </c>
      <c r="D2838" t="s">
        <v>291</v>
      </c>
      <c r="E2838" t="s">
        <v>292</v>
      </c>
      <c r="F2838" t="s">
        <v>285</v>
      </c>
      <c r="G2838" t="s">
        <v>63</v>
      </c>
      <c r="H2838" t="s">
        <v>73</v>
      </c>
      <c r="J2838" t="s">
        <v>198</v>
      </c>
      <c r="K2838" t="s">
        <v>250</v>
      </c>
      <c r="L2838">
        <v>327000</v>
      </c>
      <c r="M2838" t="s">
        <v>242</v>
      </c>
      <c r="N2838" t="s">
        <v>2129</v>
      </c>
    </row>
    <row r="2839" spans="1:16" hidden="1" x14ac:dyDescent="0.25">
      <c r="A2839" s="16">
        <v>45809</v>
      </c>
      <c r="B2839" t="s">
        <v>97</v>
      </c>
      <c r="C2839">
        <v>30</v>
      </c>
      <c r="D2839" t="s">
        <v>291</v>
      </c>
      <c r="E2839" t="s">
        <v>292</v>
      </c>
      <c r="F2839" t="s">
        <v>285</v>
      </c>
      <c r="G2839" t="s">
        <v>63</v>
      </c>
      <c r="H2839" t="s">
        <v>74</v>
      </c>
      <c r="J2839" t="s">
        <v>198</v>
      </c>
      <c r="K2839" t="s">
        <v>250</v>
      </c>
      <c r="L2839">
        <v>123000</v>
      </c>
      <c r="M2839" t="s">
        <v>242</v>
      </c>
      <c r="N2839" t="s">
        <v>1954</v>
      </c>
    </row>
    <row r="2840" spans="1:16" hidden="1" x14ac:dyDescent="0.25">
      <c r="A2840" s="16">
        <v>45809</v>
      </c>
      <c r="B2840" t="s">
        <v>97</v>
      </c>
      <c r="C2840">
        <v>30</v>
      </c>
      <c r="D2840" t="s">
        <v>291</v>
      </c>
      <c r="E2840" t="s">
        <v>292</v>
      </c>
      <c r="F2840" t="s">
        <v>285</v>
      </c>
      <c r="G2840" t="s">
        <v>63</v>
      </c>
      <c r="H2840" t="s">
        <v>75</v>
      </c>
      <c r="J2840" t="s">
        <v>198</v>
      </c>
      <c r="K2840" t="s">
        <v>250</v>
      </c>
      <c r="L2840">
        <v>37000</v>
      </c>
      <c r="M2840" t="s">
        <v>242</v>
      </c>
      <c r="N2840" t="s">
        <v>1608</v>
      </c>
    </row>
    <row r="2841" spans="1:16" hidden="1" x14ac:dyDescent="0.25">
      <c r="A2841" s="16">
        <v>45809</v>
      </c>
      <c r="B2841" t="s">
        <v>97</v>
      </c>
      <c r="C2841">
        <v>30</v>
      </c>
      <c r="D2841" t="s">
        <v>291</v>
      </c>
      <c r="E2841" t="s">
        <v>292</v>
      </c>
      <c r="F2841" t="s">
        <v>285</v>
      </c>
      <c r="G2841" t="s">
        <v>63</v>
      </c>
      <c r="H2841" t="s">
        <v>76</v>
      </c>
      <c r="J2841" t="s">
        <v>198</v>
      </c>
      <c r="K2841" t="s">
        <v>250</v>
      </c>
      <c r="L2841">
        <v>14000</v>
      </c>
      <c r="M2841" t="s">
        <v>242</v>
      </c>
      <c r="N2841" t="s">
        <v>1061</v>
      </c>
    </row>
    <row r="2842" spans="1:16" hidden="1" x14ac:dyDescent="0.25">
      <c r="A2842" s="16">
        <v>45809</v>
      </c>
      <c r="B2842" t="s">
        <v>97</v>
      </c>
      <c r="C2842">
        <v>30</v>
      </c>
      <c r="D2842" t="s">
        <v>291</v>
      </c>
      <c r="E2842" t="s">
        <v>292</v>
      </c>
      <c r="F2842" t="s">
        <v>285</v>
      </c>
      <c r="G2842" t="s">
        <v>63</v>
      </c>
      <c r="H2842" t="s">
        <v>77</v>
      </c>
      <c r="J2842" t="s">
        <v>198</v>
      </c>
      <c r="K2842" t="s">
        <v>250</v>
      </c>
      <c r="L2842">
        <v>1000</v>
      </c>
      <c r="M2842" t="s">
        <v>242</v>
      </c>
      <c r="N2842" t="s">
        <v>476</v>
      </c>
    </row>
    <row r="2843" spans="1:16" hidden="1" x14ac:dyDescent="0.25">
      <c r="A2843" s="16">
        <v>45809</v>
      </c>
      <c r="B2843" t="s">
        <v>97</v>
      </c>
      <c r="C2843">
        <v>31</v>
      </c>
      <c r="D2843" t="s">
        <v>291</v>
      </c>
      <c r="E2843" t="s">
        <v>292</v>
      </c>
      <c r="F2843" t="s">
        <v>477</v>
      </c>
      <c r="G2843" t="s">
        <v>99</v>
      </c>
      <c r="H2843" t="s">
        <v>100</v>
      </c>
      <c r="J2843" t="s">
        <v>198</v>
      </c>
      <c r="K2843" t="s">
        <v>250</v>
      </c>
      <c r="L2843">
        <v>962</v>
      </c>
      <c r="M2843" t="s">
        <v>242</v>
      </c>
      <c r="N2843" t="s">
        <v>2130</v>
      </c>
    </row>
    <row r="2844" spans="1:16" hidden="1" x14ac:dyDescent="0.25">
      <c r="A2844" s="16">
        <v>45809</v>
      </c>
      <c r="B2844" t="s">
        <v>97</v>
      </c>
      <c r="C2844">
        <v>31</v>
      </c>
      <c r="D2844" t="s">
        <v>291</v>
      </c>
      <c r="E2844" t="s">
        <v>292</v>
      </c>
      <c r="F2844" t="s">
        <v>477</v>
      </c>
      <c r="G2844" t="s">
        <v>99</v>
      </c>
      <c r="H2844" t="s">
        <v>101</v>
      </c>
      <c r="J2844" t="s">
        <v>198</v>
      </c>
      <c r="K2844" t="s">
        <v>250</v>
      </c>
      <c r="L2844">
        <v>1262</v>
      </c>
      <c r="M2844" t="s">
        <v>242</v>
      </c>
      <c r="N2844" t="s">
        <v>2131</v>
      </c>
    </row>
    <row r="2845" spans="1:16" hidden="1" x14ac:dyDescent="0.25">
      <c r="A2845" s="16">
        <v>45809</v>
      </c>
      <c r="B2845" t="s">
        <v>97</v>
      </c>
      <c r="C2845">
        <v>31</v>
      </c>
      <c r="D2845" t="s">
        <v>291</v>
      </c>
      <c r="E2845" t="s">
        <v>292</v>
      </c>
      <c r="F2845" t="s">
        <v>477</v>
      </c>
      <c r="G2845" t="s">
        <v>99</v>
      </c>
      <c r="H2845" t="s">
        <v>102</v>
      </c>
      <c r="J2845" t="s">
        <v>198</v>
      </c>
      <c r="K2845" t="s">
        <v>250</v>
      </c>
      <c r="L2845">
        <v>7</v>
      </c>
      <c r="M2845" t="s">
        <v>242</v>
      </c>
      <c r="N2845" t="s">
        <v>1064</v>
      </c>
    </row>
    <row r="2846" spans="1:16" hidden="1" x14ac:dyDescent="0.25">
      <c r="A2846" s="16">
        <v>45809</v>
      </c>
      <c r="B2846" t="s">
        <v>97</v>
      </c>
      <c r="C2846">
        <v>31</v>
      </c>
      <c r="D2846" t="s">
        <v>291</v>
      </c>
      <c r="E2846" t="s">
        <v>292</v>
      </c>
      <c r="F2846" t="s">
        <v>477</v>
      </c>
      <c r="G2846" t="s">
        <v>99</v>
      </c>
      <c r="H2846" t="s">
        <v>103</v>
      </c>
      <c r="J2846" t="s">
        <v>198</v>
      </c>
      <c r="K2846" t="s">
        <v>250</v>
      </c>
      <c r="L2846">
        <v>2610000</v>
      </c>
      <c r="M2846" t="s">
        <v>242</v>
      </c>
      <c r="N2846" t="s">
        <v>2132</v>
      </c>
    </row>
    <row r="2847" spans="1:16" hidden="1" x14ac:dyDescent="0.25">
      <c r="A2847" s="16">
        <v>45809</v>
      </c>
      <c r="B2847" t="s">
        <v>97</v>
      </c>
      <c r="C2847">
        <v>31</v>
      </c>
      <c r="D2847" t="s">
        <v>291</v>
      </c>
      <c r="E2847" t="s">
        <v>292</v>
      </c>
      <c r="F2847" t="s">
        <v>477</v>
      </c>
      <c r="G2847" t="s">
        <v>99</v>
      </c>
      <c r="H2847" t="s">
        <v>104</v>
      </c>
      <c r="J2847" t="s">
        <v>198</v>
      </c>
      <c r="K2847" t="s">
        <v>250</v>
      </c>
      <c r="L2847">
        <v>3465</v>
      </c>
      <c r="M2847" t="s">
        <v>242</v>
      </c>
      <c r="N2847" t="s">
        <v>2133</v>
      </c>
    </row>
    <row r="2848" spans="1:16" hidden="1" x14ac:dyDescent="0.25">
      <c r="A2848" s="16">
        <v>45809</v>
      </c>
      <c r="B2848" t="s">
        <v>97</v>
      </c>
      <c r="C2848">
        <v>32</v>
      </c>
      <c r="D2848" t="s">
        <v>253</v>
      </c>
      <c r="E2848" t="s">
        <v>248</v>
      </c>
      <c r="F2848" t="s">
        <v>240</v>
      </c>
      <c r="G2848" t="s">
        <v>82</v>
      </c>
      <c r="J2848" t="s">
        <v>196</v>
      </c>
      <c r="K2848" t="s">
        <v>255</v>
      </c>
      <c r="L2848">
        <v>6990000</v>
      </c>
      <c r="M2848" t="s">
        <v>242</v>
      </c>
      <c r="N2848" t="s">
        <v>1739</v>
      </c>
      <c r="O2848">
        <v>1</v>
      </c>
      <c r="P2848" t="s">
        <v>257</v>
      </c>
    </row>
    <row r="2849" spans="1:16" hidden="1" x14ac:dyDescent="0.25">
      <c r="A2849" s="16">
        <v>45809</v>
      </c>
      <c r="B2849" t="s">
        <v>97</v>
      </c>
      <c r="C2849">
        <v>32</v>
      </c>
      <c r="D2849" t="s">
        <v>253</v>
      </c>
      <c r="E2849" t="s">
        <v>248</v>
      </c>
      <c r="F2849" t="s">
        <v>240</v>
      </c>
      <c r="G2849" t="s">
        <v>82</v>
      </c>
      <c r="J2849" t="s">
        <v>197</v>
      </c>
      <c r="K2849" t="s">
        <v>255</v>
      </c>
      <c r="L2849">
        <v>8210000</v>
      </c>
      <c r="M2849" t="s">
        <v>242</v>
      </c>
      <c r="N2849" t="s">
        <v>1910</v>
      </c>
      <c r="O2849">
        <v>1</v>
      </c>
      <c r="P2849" t="s">
        <v>257</v>
      </c>
    </row>
    <row r="2850" spans="1:16" hidden="1" x14ac:dyDescent="0.25">
      <c r="A2850" s="16">
        <v>45809</v>
      </c>
      <c r="B2850" t="s">
        <v>97</v>
      </c>
      <c r="C2850">
        <v>32</v>
      </c>
      <c r="D2850" t="s">
        <v>253</v>
      </c>
      <c r="E2850" t="s">
        <v>248</v>
      </c>
      <c r="F2850" t="s">
        <v>240</v>
      </c>
      <c r="G2850" t="s">
        <v>82</v>
      </c>
      <c r="J2850" t="s">
        <v>198</v>
      </c>
      <c r="K2850" t="s">
        <v>255</v>
      </c>
      <c r="L2850">
        <v>7990000</v>
      </c>
      <c r="M2850" t="s">
        <v>242</v>
      </c>
      <c r="N2850" t="s">
        <v>2086</v>
      </c>
      <c r="O2850">
        <v>1</v>
      </c>
      <c r="P2850" t="s">
        <v>261</v>
      </c>
    </row>
    <row r="2851" spans="1:16" hidden="1" x14ac:dyDescent="0.25">
      <c r="A2851" s="16">
        <v>45809</v>
      </c>
      <c r="B2851" t="s">
        <v>97</v>
      </c>
      <c r="C2851">
        <v>32</v>
      </c>
      <c r="D2851" t="s">
        <v>247</v>
      </c>
      <c r="E2851" t="s">
        <v>248</v>
      </c>
      <c r="F2851" t="s">
        <v>240</v>
      </c>
      <c r="G2851" t="s">
        <v>82</v>
      </c>
      <c r="H2851" t="s">
        <v>249</v>
      </c>
      <c r="J2851" t="s">
        <v>198</v>
      </c>
      <c r="K2851" t="s">
        <v>250</v>
      </c>
      <c r="L2851">
        <v>2.7</v>
      </c>
      <c r="M2851" t="s">
        <v>251</v>
      </c>
      <c r="N2851" t="s">
        <v>574</v>
      </c>
    </row>
    <row r="2852" spans="1:16" hidden="1" x14ac:dyDescent="0.25">
      <c r="A2852" s="16">
        <v>45809</v>
      </c>
      <c r="B2852" t="s">
        <v>97</v>
      </c>
      <c r="C2852">
        <v>33</v>
      </c>
      <c r="D2852" t="s">
        <v>291</v>
      </c>
      <c r="E2852" t="s">
        <v>292</v>
      </c>
      <c r="F2852" t="s">
        <v>240</v>
      </c>
      <c r="G2852" t="s">
        <v>82</v>
      </c>
      <c r="H2852" t="s">
        <v>105</v>
      </c>
      <c r="J2852" t="s">
        <v>198</v>
      </c>
      <c r="K2852" t="s">
        <v>250</v>
      </c>
      <c r="L2852">
        <v>116600</v>
      </c>
      <c r="M2852" t="s">
        <v>242</v>
      </c>
      <c r="N2852" t="s">
        <v>2134</v>
      </c>
    </row>
    <row r="2853" spans="1:16" hidden="1" x14ac:dyDescent="0.25">
      <c r="A2853" s="16">
        <v>45809</v>
      </c>
      <c r="B2853" t="s">
        <v>97</v>
      </c>
      <c r="C2853">
        <v>33</v>
      </c>
      <c r="D2853" t="s">
        <v>291</v>
      </c>
      <c r="E2853" t="s">
        <v>292</v>
      </c>
      <c r="F2853" t="s">
        <v>240</v>
      </c>
      <c r="G2853" t="s">
        <v>82</v>
      </c>
      <c r="H2853" t="s">
        <v>106</v>
      </c>
      <c r="J2853" t="s">
        <v>198</v>
      </c>
      <c r="K2853" t="s">
        <v>250</v>
      </c>
      <c r="L2853">
        <v>165000</v>
      </c>
      <c r="M2853" t="s">
        <v>242</v>
      </c>
      <c r="N2853" t="s">
        <v>2135</v>
      </c>
    </row>
    <row r="2854" spans="1:16" hidden="1" x14ac:dyDescent="0.25">
      <c r="A2854" s="16">
        <v>45809</v>
      </c>
      <c r="B2854" t="s">
        <v>97</v>
      </c>
      <c r="C2854">
        <v>33</v>
      </c>
      <c r="D2854" t="s">
        <v>291</v>
      </c>
      <c r="E2854" t="s">
        <v>292</v>
      </c>
      <c r="F2854" t="s">
        <v>240</v>
      </c>
      <c r="G2854" t="s">
        <v>82</v>
      </c>
      <c r="H2854" t="s">
        <v>83</v>
      </c>
      <c r="J2854" t="s">
        <v>198</v>
      </c>
      <c r="K2854" t="s">
        <v>250</v>
      </c>
      <c r="L2854">
        <v>7200000</v>
      </c>
      <c r="M2854" t="s">
        <v>242</v>
      </c>
      <c r="N2854" t="s">
        <v>2136</v>
      </c>
    </row>
    <row r="2855" spans="1:16" hidden="1" x14ac:dyDescent="0.25">
      <c r="A2855" s="16">
        <v>45809</v>
      </c>
      <c r="B2855" t="s">
        <v>97</v>
      </c>
      <c r="C2855">
        <v>33</v>
      </c>
      <c r="D2855" t="s">
        <v>291</v>
      </c>
      <c r="E2855" t="s">
        <v>292</v>
      </c>
      <c r="F2855" t="s">
        <v>240</v>
      </c>
      <c r="G2855" t="s">
        <v>82</v>
      </c>
      <c r="H2855" t="s">
        <v>84</v>
      </c>
      <c r="J2855" t="s">
        <v>198</v>
      </c>
      <c r="K2855" t="s">
        <v>250</v>
      </c>
      <c r="L2855">
        <v>461100</v>
      </c>
      <c r="M2855" t="s">
        <v>242</v>
      </c>
      <c r="N2855" t="s">
        <v>2137</v>
      </c>
    </row>
    <row r="2856" spans="1:16" hidden="1" x14ac:dyDescent="0.25">
      <c r="A2856" s="16">
        <v>45809</v>
      </c>
      <c r="B2856" t="s">
        <v>97</v>
      </c>
      <c r="C2856">
        <v>34</v>
      </c>
      <c r="D2856" t="s">
        <v>291</v>
      </c>
      <c r="E2856" t="s">
        <v>292</v>
      </c>
      <c r="F2856" t="s">
        <v>240</v>
      </c>
      <c r="G2856" t="s">
        <v>82</v>
      </c>
      <c r="H2856" t="s">
        <v>105</v>
      </c>
      <c r="I2856" t="s">
        <v>491</v>
      </c>
      <c r="J2856" t="s">
        <v>198</v>
      </c>
      <c r="K2856" t="s">
        <v>250</v>
      </c>
      <c r="L2856">
        <v>1.66</v>
      </c>
      <c r="M2856" t="s">
        <v>251</v>
      </c>
      <c r="N2856" t="s">
        <v>2138</v>
      </c>
    </row>
    <row r="2857" spans="1:16" hidden="1" x14ac:dyDescent="0.25">
      <c r="A2857" s="16">
        <v>45809</v>
      </c>
      <c r="B2857" t="s">
        <v>97</v>
      </c>
      <c r="C2857">
        <v>34</v>
      </c>
      <c r="D2857" t="s">
        <v>291</v>
      </c>
      <c r="E2857" t="s">
        <v>292</v>
      </c>
      <c r="F2857" t="s">
        <v>240</v>
      </c>
      <c r="G2857" t="s">
        <v>82</v>
      </c>
      <c r="H2857" t="s">
        <v>105</v>
      </c>
      <c r="I2857" t="s">
        <v>493</v>
      </c>
      <c r="J2857" t="s">
        <v>198</v>
      </c>
      <c r="K2857" t="s">
        <v>250</v>
      </c>
      <c r="L2857">
        <v>98.34</v>
      </c>
      <c r="M2857" t="s">
        <v>251</v>
      </c>
      <c r="N2857" t="s">
        <v>2139</v>
      </c>
    </row>
    <row r="2858" spans="1:16" hidden="1" x14ac:dyDescent="0.25">
      <c r="A2858" s="16">
        <v>45809</v>
      </c>
      <c r="B2858" t="s">
        <v>97</v>
      </c>
      <c r="C2858">
        <v>34</v>
      </c>
      <c r="D2858" t="s">
        <v>291</v>
      </c>
      <c r="E2858" t="s">
        <v>292</v>
      </c>
      <c r="F2858" t="s">
        <v>240</v>
      </c>
      <c r="G2858" t="s">
        <v>82</v>
      </c>
      <c r="H2858" t="s">
        <v>106</v>
      </c>
      <c r="I2858" t="s">
        <v>491</v>
      </c>
      <c r="J2858" t="s">
        <v>198</v>
      </c>
      <c r="K2858" t="s">
        <v>250</v>
      </c>
      <c r="L2858">
        <v>6.47</v>
      </c>
      <c r="M2858" t="s">
        <v>251</v>
      </c>
      <c r="N2858" t="s">
        <v>2140</v>
      </c>
    </row>
    <row r="2859" spans="1:16" hidden="1" x14ac:dyDescent="0.25">
      <c r="A2859" s="16">
        <v>45809</v>
      </c>
      <c r="B2859" t="s">
        <v>97</v>
      </c>
      <c r="C2859">
        <v>34</v>
      </c>
      <c r="D2859" t="s">
        <v>291</v>
      </c>
      <c r="E2859" t="s">
        <v>292</v>
      </c>
      <c r="F2859" t="s">
        <v>240</v>
      </c>
      <c r="G2859" t="s">
        <v>82</v>
      </c>
      <c r="H2859" t="s">
        <v>106</v>
      </c>
      <c r="I2859" t="s">
        <v>493</v>
      </c>
      <c r="J2859" t="s">
        <v>198</v>
      </c>
      <c r="K2859" t="s">
        <v>250</v>
      </c>
      <c r="L2859">
        <v>93.53</v>
      </c>
      <c r="M2859" t="s">
        <v>251</v>
      </c>
      <c r="N2859" t="s">
        <v>2141</v>
      </c>
    </row>
    <row r="2860" spans="1:16" hidden="1" x14ac:dyDescent="0.25">
      <c r="A2860" s="16">
        <v>45809</v>
      </c>
      <c r="B2860" t="s">
        <v>97</v>
      </c>
      <c r="C2860">
        <v>34</v>
      </c>
      <c r="D2860" t="s">
        <v>291</v>
      </c>
      <c r="E2860" t="s">
        <v>292</v>
      </c>
      <c r="F2860" t="s">
        <v>240</v>
      </c>
      <c r="G2860" t="s">
        <v>82</v>
      </c>
      <c r="H2860" t="s">
        <v>83</v>
      </c>
      <c r="I2860" t="s">
        <v>497</v>
      </c>
      <c r="J2860" t="s">
        <v>198</v>
      </c>
      <c r="K2860" t="s">
        <v>250</v>
      </c>
      <c r="L2860">
        <v>1.39</v>
      </c>
      <c r="M2860" t="s">
        <v>251</v>
      </c>
      <c r="N2860" t="s">
        <v>1284</v>
      </c>
    </row>
    <row r="2861" spans="1:16" hidden="1" x14ac:dyDescent="0.25">
      <c r="A2861" s="16">
        <v>45809</v>
      </c>
      <c r="B2861" t="s">
        <v>97</v>
      </c>
      <c r="C2861">
        <v>34</v>
      </c>
      <c r="D2861" t="s">
        <v>291</v>
      </c>
      <c r="E2861" t="s">
        <v>292</v>
      </c>
      <c r="F2861" t="s">
        <v>240</v>
      </c>
      <c r="G2861" t="s">
        <v>82</v>
      </c>
      <c r="H2861" t="s">
        <v>83</v>
      </c>
      <c r="I2861" t="s">
        <v>499</v>
      </c>
      <c r="J2861" t="s">
        <v>198</v>
      </c>
      <c r="K2861" t="s">
        <v>250</v>
      </c>
      <c r="L2861">
        <v>0</v>
      </c>
      <c r="M2861" t="s">
        <v>251</v>
      </c>
      <c r="N2861" t="s">
        <v>1271</v>
      </c>
    </row>
    <row r="2862" spans="1:16" hidden="1" x14ac:dyDescent="0.25">
      <c r="A2862" s="16">
        <v>45809</v>
      </c>
      <c r="B2862" t="s">
        <v>97</v>
      </c>
      <c r="C2862">
        <v>34</v>
      </c>
      <c r="D2862" t="s">
        <v>291</v>
      </c>
      <c r="E2862" t="s">
        <v>292</v>
      </c>
      <c r="F2862" t="s">
        <v>240</v>
      </c>
      <c r="G2862" t="s">
        <v>82</v>
      </c>
      <c r="H2862" t="s">
        <v>83</v>
      </c>
      <c r="I2862" t="s">
        <v>501</v>
      </c>
      <c r="J2862" t="s">
        <v>198</v>
      </c>
      <c r="K2862" t="s">
        <v>250</v>
      </c>
      <c r="L2862">
        <v>0.19</v>
      </c>
      <c r="M2862" t="s">
        <v>251</v>
      </c>
      <c r="N2862" t="s">
        <v>2142</v>
      </c>
    </row>
    <row r="2863" spans="1:16" hidden="1" x14ac:dyDescent="0.25">
      <c r="A2863" s="16">
        <v>45809</v>
      </c>
      <c r="B2863" t="s">
        <v>97</v>
      </c>
      <c r="C2863">
        <v>34</v>
      </c>
      <c r="D2863" t="s">
        <v>291</v>
      </c>
      <c r="E2863" t="s">
        <v>292</v>
      </c>
      <c r="F2863" t="s">
        <v>240</v>
      </c>
      <c r="G2863" t="s">
        <v>82</v>
      </c>
      <c r="H2863" t="s">
        <v>83</v>
      </c>
      <c r="I2863" t="s">
        <v>503</v>
      </c>
      <c r="J2863" t="s">
        <v>198</v>
      </c>
      <c r="K2863" t="s">
        <v>250</v>
      </c>
      <c r="L2863">
        <v>2.27</v>
      </c>
      <c r="M2863" t="s">
        <v>251</v>
      </c>
      <c r="N2863" t="s">
        <v>2143</v>
      </c>
    </row>
    <row r="2864" spans="1:16" hidden="1" x14ac:dyDescent="0.25">
      <c r="A2864" s="16">
        <v>45809</v>
      </c>
      <c r="B2864" t="s">
        <v>97</v>
      </c>
      <c r="C2864">
        <v>34</v>
      </c>
      <c r="D2864" t="s">
        <v>291</v>
      </c>
      <c r="E2864" t="s">
        <v>292</v>
      </c>
      <c r="F2864" t="s">
        <v>240</v>
      </c>
      <c r="G2864" t="s">
        <v>82</v>
      </c>
      <c r="H2864" t="s">
        <v>83</v>
      </c>
      <c r="I2864" t="s">
        <v>315</v>
      </c>
      <c r="J2864" t="s">
        <v>198</v>
      </c>
      <c r="K2864" t="s">
        <v>250</v>
      </c>
      <c r="L2864">
        <v>90.53</v>
      </c>
      <c r="M2864" t="s">
        <v>251</v>
      </c>
      <c r="N2864" t="s">
        <v>2144</v>
      </c>
    </row>
    <row r="2865" spans="1:16" hidden="1" x14ac:dyDescent="0.25">
      <c r="A2865" s="16">
        <v>45809</v>
      </c>
      <c r="B2865" t="s">
        <v>97</v>
      </c>
      <c r="C2865">
        <v>34</v>
      </c>
      <c r="D2865" t="s">
        <v>291</v>
      </c>
      <c r="E2865" t="s">
        <v>292</v>
      </c>
      <c r="F2865" t="s">
        <v>240</v>
      </c>
      <c r="G2865" t="s">
        <v>82</v>
      </c>
      <c r="H2865" t="s">
        <v>83</v>
      </c>
      <c r="I2865" t="s">
        <v>317</v>
      </c>
      <c r="J2865" t="s">
        <v>198</v>
      </c>
      <c r="K2865" t="s">
        <v>250</v>
      </c>
      <c r="L2865">
        <v>5.49</v>
      </c>
      <c r="M2865" t="s">
        <v>251</v>
      </c>
      <c r="N2865" t="s">
        <v>2145</v>
      </c>
    </row>
    <row r="2866" spans="1:16" hidden="1" x14ac:dyDescent="0.25">
      <c r="A2866" s="16">
        <v>45809</v>
      </c>
      <c r="B2866" t="s">
        <v>97</v>
      </c>
      <c r="C2866">
        <v>34</v>
      </c>
      <c r="D2866" t="s">
        <v>291</v>
      </c>
      <c r="E2866" t="s">
        <v>292</v>
      </c>
      <c r="F2866" t="s">
        <v>240</v>
      </c>
      <c r="G2866" t="s">
        <v>82</v>
      </c>
      <c r="H2866" t="s">
        <v>84</v>
      </c>
      <c r="I2866" t="s">
        <v>84</v>
      </c>
      <c r="J2866" t="s">
        <v>198</v>
      </c>
      <c r="K2866" t="s">
        <v>250</v>
      </c>
      <c r="L2866">
        <v>72.400000000000006</v>
      </c>
      <c r="M2866" t="s">
        <v>251</v>
      </c>
      <c r="N2866" t="s">
        <v>2146</v>
      </c>
    </row>
    <row r="2867" spans="1:16" hidden="1" x14ac:dyDescent="0.25">
      <c r="A2867" s="16">
        <v>45809</v>
      </c>
      <c r="B2867" t="s">
        <v>97</v>
      </c>
      <c r="C2867">
        <v>34</v>
      </c>
      <c r="D2867" t="s">
        <v>291</v>
      </c>
      <c r="E2867" t="s">
        <v>292</v>
      </c>
      <c r="F2867" t="s">
        <v>240</v>
      </c>
      <c r="G2867" t="s">
        <v>82</v>
      </c>
      <c r="H2867" t="s">
        <v>84</v>
      </c>
      <c r="I2867" t="s">
        <v>321</v>
      </c>
      <c r="J2867" t="s">
        <v>198</v>
      </c>
      <c r="K2867" t="s">
        <v>250</v>
      </c>
      <c r="L2867">
        <v>27.6</v>
      </c>
      <c r="M2867" t="s">
        <v>251</v>
      </c>
      <c r="N2867" t="s">
        <v>2147</v>
      </c>
    </row>
    <row r="2868" spans="1:16" hidden="1" x14ac:dyDescent="0.25">
      <c r="A2868" s="16">
        <v>45809</v>
      </c>
      <c r="B2868" t="s">
        <v>97</v>
      </c>
      <c r="C2868">
        <v>35</v>
      </c>
      <c r="D2868" t="s">
        <v>253</v>
      </c>
      <c r="E2868" t="s">
        <v>248</v>
      </c>
      <c r="F2868" t="s">
        <v>244</v>
      </c>
      <c r="G2868" t="s">
        <v>82</v>
      </c>
      <c r="J2868" t="s">
        <v>196</v>
      </c>
      <c r="K2868" t="s">
        <v>255</v>
      </c>
      <c r="L2868">
        <v>469000000</v>
      </c>
      <c r="M2868" t="s">
        <v>245</v>
      </c>
      <c r="N2868" t="s">
        <v>1278</v>
      </c>
      <c r="O2868">
        <v>1</v>
      </c>
      <c r="P2868" t="s">
        <v>257</v>
      </c>
    </row>
    <row r="2869" spans="1:16" hidden="1" x14ac:dyDescent="0.25">
      <c r="A2869" s="16">
        <v>45809</v>
      </c>
      <c r="B2869" t="s">
        <v>97</v>
      </c>
      <c r="C2869">
        <v>35</v>
      </c>
      <c r="D2869" t="s">
        <v>253</v>
      </c>
      <c r="E2869" t="s">
        <v>248</v>
      </c>
      <c r="F2869" t="s">
        <v>244</v>
      </c>
      <c r="G2869" t="s">
        <v>82</v>
      </c>
      <c r="J2869" t="s">
        <v>197</v>
      </c>
      <c r="K2869" t="s">
        <v>255</v>
      </c>
      <c r="L2869">
        <v>543000000</v>
      </c>
      <c r="M2869" t="s">
        <v>245</v>
      </c>
      <c r="N2869" t="s">
        <v>1974</v>
      </c>
      <c r="O2869">
        <v>1</v>
      </c>
      <c r="P2869" t="s">
        <v>257</v>
      </c>
    </row>
    <row r="2870" spans="1:16" hidden="1" x14ac:dyDescent="0.25">
      <c r="A2870" s="16">
        <v>45809</v>
      </c>
      <c r="B2870" t="s">
        <v>97</v>
      </c>
      <c r="C2870">
        <v>35</v>
      </c>
      <c r="D2870" t="s">
        <v>253</v>
      </c>
      <c r="E2870" t="s">
        <v>248</v>
      </c>
      <c r="F2870" t="s">
        <v>244</v>
      </c>
      <c r="G2870" t="s">
        <v>82</v>
      </c>
      <c r="J2870" t="s">
        <v>198</v>
      </c>
      <c r="K2870" t="s">
        <v>255</v>
      </c>
      <c r="L2870">
        <v>525000000</v>
      </c>
      <c r="M2870" t="s">
        <v>245</v>
      </c>
      <c r="N2870" t="s">
        <v>2148</v>
      </c>
      <c r="O2870">
        <v>1</v>
      </c>
      <c r="P2870" t="s">
        <v>261</v>
      </c>
    </row>
    <row r="2871" spans="1:16" hidden="1" x14ac:dyDescent="0.25">
      <c r="A2871" s="16">
        <v>45809</v>
      </c>
      <c r="B2871" t="s">
        <v>97</v>
      </c>
      <c r="C2871">
        <v>35</v>
      </c>
      <c r="D2871" t="s">
        <v>247</v>
      </c>
      <c r="E2871" t="s">
        <v>248</v>
      </c>
      <c r="F2871" t="s">
        <v>244</v>
      </c>
      <c r="G2871" t="s">
        <v>82</v>
      </c>
      <c r="H2871" t="s">
        <v>249</v>
      </c>
      <c r="J2871" t="s">
        <v>198</v>
      </c>
      <c r="K2871" t="s">
        <v>250</v>
      </c>
      <c r="L2871">
        <v>3.4</v>
      </c>
      <c r="M2871" t="s">
        <v>251</v>
      </c>
      <c r="N2871" t="s">
        <v>314</v>
      </c>
    </row>
    <row r="2872" spans="1:16" hidden="1" x14ac:dyDescent="0.25">
      <c r="A2872" s="16">
        <v>45809</v>
      </c>
      <c r="B2872" t="s">
        <v>97</v>
      </c>
      <c r="C2872">
        <v>36</v>
      </c>
      <c r="D2872" t="s">
        <v>291</v>
      </c>
      <c r="E2872" t="s">
        <v>292</v>
      </c>
      <c r="F2872" t="s">
        <v>244</v>
      </c>
      <c r="G2872" t="s">
        <v>82</v>
      </c>
      <c r="H2872" t="s">
        <v>105</v>
      </c>
      <c r="J2872" t="s">
        <v>198</v>
      </c>
      <c r="K2872" t="s">
        <v>250</v>
      </c>
      <c r="L2872">
        <v>18500000</v>
      </c>
      <c r="M2872" t="s">
        <v>245</v>
      </c>
      <c r="N2872" t="s">
        <v>2149</v>
      </c>
    </row>
    <row r="2873" spans="1:16" hidden="1" x14ac:dyDescent="0.25">
      <c r="A2873" s="16">
        <v>45809</v>
      </c>
      <c r="B2873" t="s">
        <v>97</v>
      </c>
      <c r="C2873">
        <v>36</v>
      </c>
      <c r="D2873" t="s">
        <v>291</v>
      </c>
      <c r="E2873" t="s">
        <v>292</v>
      </c>
      <c r="F2873" t="s">
        <v>244</v>
      </c>
      <c r="G2873" t="s">
        <v>82</v>
      </c>
      <c r="H2873" t="s">
        <v>106</v>
      </c>
      <c r="J2873" t="s">
        <v>198</v>
      </c>
      <c r="K2873" t="s">
        <v>250</v>
      </c>
      <c r="L2873">
        <v>25100000</v>
      </c>
      <c r="M2873" t="s">
        <v>245</v>
      </c>
      <c r="N2873" t="s">
        <v>2150</v>
      </c>
    </row>
    <row r="2874" spans="1:16" hidden="1" x14ac:dyDescent="0.25">
      <c r="A2874" s="16">
        <v>45809</v>
      </c>
      <c r="B2874" t="s">
        <v>97</v>
      </c>
      <c r="C2874">
        <v>36</v>
      </c>
      <c r="D2874" t="s">
        <v>291</v>
      </c>
      <c r="E2874" t="s">
        <v>292</v>
      </c>
      <c r="F2874" t="s">
        <v>244</v>
      </c>
      <c r="G2874" t="s">
        <v>82</v>
      </c>
      <c r="H2874" t="s">
        <v>83</v>
      </c>
      <c r="J2874" t="s">
        <v>198</v>
      </c>
      <c r="K2874" t="s">
        <v>250</v>
      </c>
      <c r="L2874">
        <v>459100000</v>
      </c>
      <c r="M2874" t="s">
        <v>245</v>
      </c>
      <c r="N2874" t="s">
        <v>2151</v>
      </c>
    </row>
    <row r="2875" spans="1:16" hidden="1" x14ac:dyDescent="0.25">
      <c r="A2875" s="16">
        <v>45809</v>
      </c>
      <c r="B2875" t="s">
        <v>97</v>
      </c>
      <c r="C2875">
        <v>36</v>
      </c>
      <c r="D2875" t="s">
        <v>291</v>
      </c>
      <c r="E2875" t="s">
        <v>292</v>
      </c>
      <c r="F2875" t="s">
        <v>244</v>
      </c>
      <c r="G2875" t="s">
        <v>82</v>
      </c>
      <c r="H2875" t="s">
        <v>84</v>
      </c>
      <c r="J2875" t="s">
        <v>198</v>
      </c>
      <c r="K2875" t="s">
        <v>250</v>
      </c>
      <c r="L2875">
        <v>22100000</v>
      </c>
      <c r="M2875" t="s">
        <v>245</v>
      </c>
      <c r="N2875" t="s">
        <v>2152</v>
      </c>
    </row>
    <row r="2876" spans="1:16" hidden="1" x14ac:dyDescent="0.25">
      <c r="A2876" s="16">
        <v>45809</v>
      </c>
      <c r="B2876" t="s">
        <v>97</v>
      </c>
      <c r="C2876">
        <v>37</v>
      </c>
      <c r="D2876" t="s">
        <v>291</v>
      </c>
      <c r="E2876" t="s">
        <v>292</v>
      </c>
      <c r="F2876" t="s">
        <v>244</v>
      </c>
      <c r="G2876" t="s">
        <v>82</v>
      </c>
      <c r="H2876" t="s">
        <v>105</v>
      </c>
      <c r="I2876" t="s">
        <v>491</v>
      </c>
      <c r="J2876" t="s">
        <v>198</v>
      </c>
      <c r="K2876" t="s">
        <v>250</v>
      </c>
      <c r="L2876">
        <v>1.52</v>
      </c>
      <c r="M2876" t="s">
        <v>251</v>
      </c>
      <c r="N2876" t="s">
        <v>2153</v>
      </c>
    </row>
    <row r="2877" spans="1:16" hidden="1" x14ac:dyDescent="0.25">
      <c r="A2877" s="16">
        <v>45809</v>
      </c>
      <c r="B2877" t="s">
        <v>97</v>
      </c>
      <c r="C2877">
        <v>37</v>
      </c>
      <c r="D2877" t="s">
        <v>291</v>
      </c>
      <c r="E2877" t="s">
        <v>292</v>
      </c>
      <c r="F2877" t="s">
        <v>244</v>
      </c>
      <c r="G2877" t="s">
        <v>82</v>
      </c>
      <c r="H2877" t="s">
        <v>105</v>
      </c>
      <c r="I2877" t="s">
        <v>493</v>
      </c>
      <c r="J2877" t="s">
        <v>198</v>
      </c>
      <c r="K2877" t="s">
        <v>250</v>
      </c>
      <c r="L2877">
        <v>98.48</v>
      </c>
      <c r="M2877" t="s">
        <v>251</v>
      </c>
      <c r="N2877" t="s">
        <v>2154</v>
      </c>
    </row>
    <row r="2878" spans="1:16" hidden="1" x14ac:dyDescent="0.25">
      <c r="A2878" s="16">
        <v>45809</v>
      </c>
      <c r="B2878" t="s">
        <v>97</v>
      </c>
      <c r="C2878">
        <v>37</v>
      </c>
      <c r="D2878" t="s">
        <v>291</v>
      </c>
      <c r="E2878" t="s">
        <v>292</v>
      </c>
      <c r="F2878" t="s">
        <v>244</v>
      </c>
      <c r="G2878" t="s">
        <v>82</v>
      </c>
      <c r="H2878" t="s">
        <v>106</v>
      </c>
      <c r="I2878" t="s">
        <v>491</v>
      </c>
      <c r="J2878" t="s">
        <v>198</v>
      </c>
      <c r="K2878" t="s">
        <v>250</v>
      </c>
      <c r="L2878">
        <v>7.26</v>
      </c>
      <c r="M2878" t="s">
        <v>251</v>
      </c>
      <c r="N2878" t="s">
        <v>2155</v>
      </c>
    </row>
    <row r="2879" spans="1:16" hidden="1" x14ac:dyDescent="0.25">
      <c r="A2879" s="16">
        <v>45809</v>
      </c>
      <c r="B2879" t="s">
        <v>97</v>
      </c>
      <c r="C2879">
        <v>37</v>
      </c>
      <c r="D2879" t="s">
        <v>291</v>
      </c>
      <c r="E2879" t="s">
        <v>292</v>
      </c>
      <c r="F2879" t="s">
        <v>244</v>
      </c>
      <c r="G2879" t="s">
        <v>82</v>
      </c>
      <c r="H2879" t="s">
        <v>106</v>
      </c>
      <c r="I2879" t="s">
        <v>493</v>
      </c>
      <c r="J2879" t="s">
        <v>198</v>
      </c>
      <c r="K2879" t="s">
        <v>250</v>
      </c>
      <c r="L2879">
        <v>92.74</v>
      </c>
      <c r="M2879" t="s">
        <v>251</v>
      </c>
      <c r="N2879" t="s">
        <v>2156</v>
      </c>
    </row>
    <row r="2880" spans="1:16" hidden="1" x14ac:dyDescent="0.25">
      <c r="A2880" s="16">
        <v>45809</v>
      </c>
      <c r="B2880" t="s">
        <v>97</v>
      </c>
      <c r="C2880">
        <v>37</v>
      </c>
      <c r="D2880" t="s">
        <v>291</v>
      </c>
      <c r="E2880" t="s">
        <v>292</v>
      </c>
      <c r="F2880" t="s">
        <v>244</v>
      </c>
      <c r="G2880" t="s">
        <v>82</v>
      </c>
      <c r="H2880" t="s">
        <v>83</v>
      </c>
      <c r="I2880" t="s">
        <v>497</v>
      </c>
      <c r="J2880" t="s">
        <v>198</v>
      </c>
      <c r="K2880" t="s">
        <v>250</v>
      </c>
      <c r="L2880">
        <v>3.7</v>
      </c>
      <c r="M2880" t="s">
        <v>251</v>
      </c>
      <c r="N2880" t="s">
        <v>624</v>
      </c>
    </row>
    <row r="2881" spans="1:16" hidden="1" x14ac:dyDescent="0.25">
      <c r="A2881" s="16">
        <v>45809</v>
      </c>
      <c r="B2881" t="s">
        <v>97</v>
      </c>
      <c r="C2881">
        <v>37</v>
      </c>
      <c r="D2881" t="s">
        <v>291</v>
      </c>
      <c r="E2881" t="s">
        <v>292</v>
      </c>
      <c r="F2881" t="s">
        <v>244</v>
      </c>
      <c r="G2881" t="s">
        <v>82</v>
      </c>
      <c r="H2881" t="s">
        <v>83</v>
      </c>
      <c r="I2881" t="s">
        <v>499</v>
      </c>
      <c r="J2881" t="s">
        <v>198</v>
      </c>
      <c r="K2881" t="s">
        <v>250</v>
      </c>
      <c r="L2881">
        <v>0</v>
      </c>
      <c r="M2881" t="s">
        <v>251</v>
      </c>
      <c r="N2881" t="s">
        <v>1271</v>
      </c>
    </row>
    <row r="2882" spans="1:16" hidden="1" x14ac:dyDescent="0.25">
      <c r="A2882" s="16">
        <v>45809</v>
      </c>
      <c r="B2882" t="s">
        <v>97</v>
      </c>
      <c r="C2882">
        <v>37</v>
      </c>
      <c r="D2882" t="s">
        <v>291</v>
      </c>
      <c r="E2882" t="s">
        <v>292</v>
      </c>
      <c r="F2882" t="s">
        <v>244</v>
      </c>
      <c r="G2882" t="s">
        <v>82</v>
      </c>
      <c r="H2882" t="s">
        <v>83</v>
      </c>
      <c r="I2882" t="s">
        <v>501</v>
      </c>
      <c r="J2882" t="s">
        <v>198</v>
      </c>
      <c r="K2882" t="s">
        <v>250</v>
      </c>
      <c r="L2882">
        <v>0.88</v>
      </c>
      <c r="M2882" t="s">
        <v>251</v>
      </c>
      <c r="N2882" t="s">
        <v>2157</v>
      </c>
    </row>
    <row r="2883" spans="1:16" hidden="1" x14ac:dyDescent="0.25">
      <c r="A2883" s="16">
        <v>45809</v>
      </c>
      <c r="B2883" t="s">
        <v>97</v>
      </c>
      <c r="C2883">
        <v>37</v>
      </c>
      <c r="D2883" t="s">
        <v>291</v>
      </c>
      <c r="E2883" t="s">
        <v>292</v>
      </c>
      <c r="F2883" t="s">
        <v>244</v>
      </c>
      <c r="G2883" t="s">
        <v>82</v>
      </c>
      <c r="H2883" t="s">
        <v>83</v>
      </c>
      <c r="I2883" t="s">
        <v>503</v>
      </c>
      <c r="J2883" t="s">
        <v>198</v>
      </c>
      <c r="K2883" t="s">
        <v>250</v>
      </c>
      <c r="L2883">
        <v>3.72</v>
      </c>
      <c r="M2883" t="s">
        <v>251</v>
      </c>
      <c r="N2883" t="s">
        <v>2158</v>
      </c>
    </row>
    <row r="2884" spans="1:16" hidden="1" x14ac:dyDescent="0.25">
      <c r="A2884" s="16">
        <v>45809</v>
      </c>
      <c r="B2884" t="s">
        <v>97</v>
      </c>
      <c r="C2884">
        <v>37</v>
      </c>
      <c r="D2884" t="s">
        <v>291</v>
      </c>
      <c r="E2884" t="s">
        <v>292</v>
      </c>
      <c r="F2884" t="s">
        <v>244</v>
      </c>
      <c r="G2884" t="s">
        <v>82</v>
      </c>
      <c r="H2884" t="s">
        <v>83</v>
      </c>
      <c r="I2884" t="s">
        <v>315</v>
      </c>
      <c r="J2884" t="s">
        <v>198</v>
      </c>
      <c r="K2884" t="s">
        <v>250</v>
      </c>
      <c r="L2884">
        <v>74.53</v>
      </c>
      <c r="M2884" t="s">
        <v>251</v>
      </c>
      <c r="N2884" t="s">
        <v>2159</v>
      </c>
    </row>
    <row r="2885" spans="1:16" hidden="1" x14ac:dyDescent="0.25">
      <c r="A2885" s="16">
        <v>45809</v>
      </c>
      <c r="B2885" t="s">
        <v>97</v>
      </c>
      <c r="C2885">
        <v>37</v>
      </c>
      <c r="D2885" t="s">
        <v>291</v>
      </c>
      <c r="E2885" t="s">
        <v>292</v>
      </c>
      <c r="F2885" t="s">
        <v>244</v>
      </c>
      <c r="G2885" t="s">
        <v>82</v>
      </c>
      <c r="H2885" t="s">
        <v>83</v>
      </c>
      <c r="I2885" t="s">
        <v>317</v>
      </c>
      <c r="J2885" t="s">
        <v>198</v>
      </c>
      <c r="K2885" t="s">
        <v>250</v>
      </c>
      <c r="L2885">
        <v>16.37</v>
      </c>
      <c r="M2885" t="s">
        <v>251</v>
      </c>
      <c r="N2885" t="s">
        <v>2160</v>
      </c>
    </row>
    <row r="2886" spans="1:16" hidden="1" x14ac:dyDescent="0.25">
      <c r="A2886" s="16">
        <v>45809</v>
      </c>
      <c r="B2886" t="s">
        <v>97</v>
      </c>
      <c r="C2886">
        <v>37</v>
      </c>
      <c r="D2886" t="s">
        <v>291</v>
      </c>
      <c r="E2886" t="s">
        <v>292</v>
      </c>
      <c r="F2886" t="s">
        <v>244</v>
      </c>
      <c r="G2886" t="s">
        <v>82</v>
      </c>
      <c r="H2886" t="s">
        <v>84</v>
      </c>
      <c r="I2886" t="s">
        <v>84</v>
      </c>
      <c r="J2886" t="s">
        <v>198</v>
      </c>
      <c r="K2886" t="s">
        <v>250</v>
      </c>
      <c r="L2886">
        <v>92.96</v>
      </c>
      <c r="M2886" t="s">
        <v>251</v>
      </c>
      <c r="N2886" t="s">
        <v>2161</v>
      </c>
    </row>
    <row r="2887" spans="1:16" hidden="1" x14ac:dyDescent="0.25">
      <c r="A2887" s="16">
        <v>45809</v>
      </c>
      <c r="B2887" t="s">
        <v>97</v>
      </c>
      <c r="C2887">
        <v>37</v>
      </c>
      <c r="D2887" t="s">
        <v>291</v>
      </c>
      <c r="E2887" t="s">
        <v>292</v>
      </c>
      <c r="F2887" t="s">
        <v>244</v>
      </c>
      <c r="G2887" t="s">
        <v>82</v>
      </c>
      <c r="H2887" t="s">
        <v>84</v>
      </c>
      <c r="I2887" t="s">
        <v>321</v>
      </c>
      <c r="J2887" t="s">
        <v>198</v>
      </c>
      <c r="K2887" t="s">
        <v>250</v>
      </c>
      <c r="L2887">
        <v>7.04</v>
      </c>
      <c r="M2887" t="s">
        <v>251</v>
      </c>
      <c r="N2887" t="s">
        <v>2162</v>
      </c>
    </row>
    <row r="2888" spans="1:16" hidden="1" x14ac:dyDescent="0.25">
      <c r="A2888" s="16">
        <v>45809</v>
      </c>
      <c r="B2888" t="s">
        <v>97</v>
      </c>
      <c r="C2888">
        <v>38</v>
      </c>
      <c r="D2888" t="s">
        <v>253</v>
      </c>
      <c r="E2888" t="s">
        <v>248</v>
      </c>
      <c r="F2888" t="s">
        <v>334</v>
      </c>
      <c r="G2888" t="s">
        <v>82</v>
      </c>
      <c r="J2888" t="s">
        <v>196</v>
      </c>
      <c r="K2888" t="s">
        <v>255</v>
      </c>
      <c r="L2888">
        <v>67</v>
      </c>
      <c r="M2888" t="s">
        <v>245</v>
      </c>
      <c r="N2888" t="s">
        <v>1818</v>
      </c>
      <c r="O2888">
        <v>1</v>
      </c>
      <c r="P2888" t="s">
        <v>257</v>
      </c>
    </row>
    <row r="2889" spans="1:16" hidden="1" x14ac:dyDescent="0.25">
      <c r="A2889" s="16">
        <v>45809</v>
      </c>
      <c r="B2889" t="s">
        <v>97</v>
      </c>
      <c r="C2889">
        <v>38</v>
      </c>
      <c r="D2889" t="s">
        <v>253</v>
      </c>
      <c r="E2889" t="s">
        <v>248</v>
      </c>
      <c r="F2889" t="s">
        <v>334</v>
      </c>
      <c r="G2889" t="s">
        <v>82</v>
      </c>
      <c r="J2889" t="s">
        <v>197</v>
      </c>
      <c r="K2889" t="s">
        <v>255</v>
      </c>
      <c r="L2889">
        <v>66</v>
      </c>
      <c r="M2889" t="s">
        <v>245</v>
      </c>
      <c r="N2889" t="s">
        <v>1989</v>
      </c>
      <c r="O2889">
        <v>1</v>
      </c>
      <c r="P2889" t="s">
        <v>257</v>
      </c>
    </row>
    <row r="2890" spans="1:16" hidden="1" x14ac:dyDescent="0.25">
      <c r="A2890" s="16">
        <v>45809</v>
      </c>
      <c r="B2890" t="s">
        <v>97</v>
      </c>
      <c r="C2890">
        <v>38</v>
      </c>
      <c r="D2890" t="s">
        <v>253</v>
      </c>
      <c r="E2890" t="s">
        <v>248</v>
      </c>
      <c r="F2890" t="s">
        <v>334</v>
      </c>
      <c r="G2890" t="s">
        <v>82</v>
      </c>
      <c r="J2890" t="s">
        <v>198</v>
      </c>
      <c r="K2890" t="s">
        <v>255</v>
      </c>
      <c r="L2890">
        <v>66</v>
      </c>
      <c r="M2890" t="s">
        <v>245</v>
      </c>
      <c r="N2890" t="s">
        <v>1989</v>
      </c>
      <c r="O2890">
        <v>1</v>
      </c>
      <c r="P2890" t="s">
        <v>261</v>
      </c>
    </row>
    <row r="2891" spans="1:16" hidden="1" x14ac:dyDescent="0.25">
      <c r="A2891" s="16">
        <v>45809</v>
      </c>
      <c r="B2891" t="s">
        <v>97</v>
      </c>
      <c r="C2891">
        <v>39</v>
      </c>
      <c r="D2891" t="s">
        <v>291</v>
      </c>
      <c r="E2891" t="s">
        <v>292</v>
      </c>
      <c r="F2891" t="s">
        <v>240</v>
      </c>
      <c r="G2891" t="s">
        <v>82</v>
      </c>
      <c r="H2891" t="s">
        <v>94</v>
      </c>
      <c r="J2891" t="s">
        <v>198</v>
      </c>
      <c r="K2891" t="s">
        <v>250</v>
      </c>
      <c r="L2891">
        <v>2070000</v>
      </c>
      <c r="M2891" t="s">
        <v>242</v>
      </c>
      <c r="N2891" t="s">
        <v>2041</v>
      </c>
    </row>
    <row r="2892" spans="1:16" hidden="1" x14ac:dyDescent="0.25">
      <c r="A2892" s="16">
        <v>45809</v>
      </c>
      <c r="B2892" t="s">
        <v>97</v>
      </c>
      <c r="C2892">
        <v>39</v>
      </c>
      <c r="D2892" t="s">
        <v>291</v>
      </c>
      <c r="E2892" t="s">
        <v>292</v>
      </c>
      <c r="F2892" t="s">
        <v>240</v>
      </c>
      <c r="G2892" t="s">
        <v>82</v>
      </c>
      <c r="H2892" t="s">
        <v>95</v>
      </c>
      <c r="J2892" t="s">
        <v>198</v>
      </c>
      <c r="K2892" t="s">
        <v>250</v>
      </c>
      <c r="L2892">
        <v>2800000</v>
      </c>
      <c r="M2892" t="s">
        <v>242</v>
      </c>
      <c r="N2892" t="s">
        <v>2163</v>
      </c>
    </row>
    <row r="2893" spans="1:16" hidden="1" x14ac:dyDescent="0.25">
      <c r="A2893" s="16">
        <v>45809</v>
      </c>
      <c r="B2893" t="s">
        <v>97</v>
      </c>
      <c r="C2893">
        <v>40</v>
      </c>
      <c r="D2893" t="s">
        <v>291</v>
      </c>
      <c r="E2893" t="s">
        <v>292</v>
      </c>
      <c r="F2893" t="s">
        <v>244</v>
      </c>
      <c r="G2893" t="s">
        <v>82</v>
      </c>
      <c r="H2893" t="s">
        <v>94</v>
      </c>
      <c r="J2893" t="s">
        <v>198</v>
      </c>
      <c r="K2893" t="s">
        <v>250</v>
      </c>
      <c r="L2893">
        <v>93940000</v>
      </c>
      <c r="M2893" t="s">
        <v>245</v>
      </c>
      <c r="N2893" t="s">
        <v>2164</v>
      </c>
    </row>
    <row r="2894" spans="1:16" hidden="1" x14ac:dyDescent="0.25">
      <c r="A2894" s="16">
        <v>45809</v>
      </c>
      <c r="B2894" t="s">
        <v>97</v>
      </c>
      <c r="C2894">
        <v>40</v>
      </c>
      <c r="D2894" t="s">
        <v>291</v>
      </c>
      <c r="E2894" t="s">
        <v>292</v>
      </c>
      <c r="F2894" t="s">
        <v>244</v>
      </c>
      <c r="G2894" t="s">
        <v>82</v>
      </c>
      <c r="H2894" t="s">
        <v>95</v>
      </c>
      <c r="J2894" t="s">
        <v>198</v>
      </c>
      <c r="K2894" t="s">
        <v>250</v>
      </c>
      <c r="L2894">
        <v>112030000</v>
      </c>
      <c r="M2894" t="s">
        <v>245</v>
      </c>
      <c r="N2894" t="s">
        <v>2165</v>
      </c>
    </row>
    <row r="2895" spans="1:16" hidden="1" x14ac:dyDescent="0.25">
      <c r="A2895" s="16">
        <v>45809</v>
      </c>
      <c r="B2895" t="s">
        <v>535</v>
      </c>
      <c r="C2895">
        <v>4</v>
      </c>
      <c r="D2895" t="s">
        <v>238</v>
      </c>
      <c r="E2895" t="s">
        <v>239</v>
      </c>
      <c r="F2895" t="s">
        <v>240</v>
      </c>
      <c r="G2895" t="s">
        <v>82</v>
      </c>
      <c r="J2895" t="s">
        <v>198</v>
      </c>
      <c r="K2895" t="s">
        <v>250</v>
      </c>
      <c r="L2895">
        <v>13090000</v>
      </c>
      <c r="M2895" t="s">
        <v>242</v>
      </c>
      <c r="N2895" t="s">
        <v>2166</v>
      </c>
    </row>
    <row r="2896" spans="1:16" hidden="1" x14ac:dyDescent="0.25">
      <c r="A2896" s="16">
        <v>45809</v>
      </c>
      <c r="B2896" t="s">
        <v>535</v>
      </c>
      <c r="C2896">
        <v>4</v>
      </c>
      <c r="D2896" t="s">
        <v>238</v>
      </c>
      <c r="E2896" t="s">
        <v>239</v>
      </c>
      <c r="F2896" t="s">
        <v>285</v>
      </c>
      <c r="G2896" t="s">
        <v>63</v>
      </c>
      <c r="J2896" t="s">
        <v>198</v>
      </c>
      <c r="K2896" t="s">
        <v>250</v>
      </c>
      <c r="L2896">
        <v>1880000</v>
      </c>
      <c r="M2896" t="s">
        <v>242</v>
      </c>
      <c r="N2896" t="s">
        <v>2167</v>
      </c>
    </row>
    <row r="2897" spans="1:14" hidden="1" x14ac:dyDescent="0.25">
      <c r="A2897" s="16">
        <v>45809</v>
      </c>
      <c r="B2897" t="s">
        <v>535</v>
      </c>
      <c r="C2897">
        <v>4</v>
      </c>
      <c r="D2897" t="s">
        <v>238</v>
      </c>
      <c r="E2897" t="s">
        <v>239</v>
      </c>
      <c r="F2897" t="s">
        <v>244</v>
      </c>
      <c r="G2897" t="s">
        <v>82</v>
      </c>
      <c r="J2897" t="s">
        <v>198</v>
      </c>
      <c r="K2897" t="s">
        <v>250</v>
      </c>
      <c r="L2897">
        <v>1600000000</v>
      </c>
      <c r="M2897" t="s">
        <v>245</v>
      </c>
      <c r="N2897" t="s">
        <v>2089</v>
      </c>
    </row>
    <row r="2898" spans="1:14" hidden="1" x14ac:dyDescent="0.25">
      <c r="A2898" s="16">
        <v>45809</v>
      </c>
      <c r="B2898" t="s">
        <v>535</v>
      </c>
      <c r="C2898">
        <v>5</v>
      </c>
      <c r="D2898" t="s">
        <v>238</v>
      </c>
      <c r="E2898" t="s">
        <v>239</v>
      </c>
      <c r="F2898" t="s">
        <v>240</v>
      </c>
      <c r="G2898" t="s">
        <v>82</v>
      </c>
      <c r="J2898" t="s">
        <v>198</v>
      </c>
      <c r="K2898" t="s">
        <v>250</v>
      </c>
      <c r="L2898">
        <v>7990000</v>
      </c>
      <c r="M2898" t="s">
        <v>242</v>
      </c>
      <c r="N2898" t="s">
        <v>2168</v>
      </c>
    </row>
    <row r="2899" spans="1:14" hidden="1" x14ac:dyDescent="0.25">
      <c r="A2899" s="16">
        <v>45809</v>
      </c>
      <c r="B2899" t="s">
        <v>535</v>
      </c>
      <c r="C2899">
        <v>5</v>
      </c>
      <c r="D2899" t="s">
        <v>238</v>
      </c>
      <c r="E2899" t="s">
        <v>239</v>
      </c>
      <c r="F2899" t="s">
        <v>285</v>
      </c>
      <c r="G2899" t="s">
        <v>63</v>
      </c>
      <c r="J2899" t="s">
        <v>198</v>
      </c>
      <c r="K2899" t="s">
        <v>250</v>
      </c>
      <c r="L2899">
        <v>2670000</v>
      </c>
      <c r="M2899" t="s">
        <v>242</v>
      </c>
      <c r="N2899" t="s">
        <v>2169</v>
      </c>
    </row>
    <row r="2900" spans="1:14" hidden="1" x14ac:dyDescent="0.25">
      <c r="A2900" s="16">
        <v>45809</v>
      </c>
      <c r="B2900" t="s">
        <v>535</v>
      </c>
      <c r="C2900">
        <v>5</v>
      </c>
      <c r="D2900" t="s">
        <v>238</v>
      </c>
      <c r="E2900" t="s">
        <v>239</v>
      </c>
      <c r="F2900" t="s">
        <v>244</v>
      </c>
      <c r="G2900" t="s">
        <v>82</v>
      </c>
      <c r="J2900" t="s">
        <v>198</v>
      </c>
      <c r="K2900" t="s">
        <v>250</v>
      </c>
      <c r="L2900">
        <v>525000000</v>
      </c>
      <c r="M2900" t="s">
        <v>245</v>
      </c>
      <c r="N2900" t="s">
        <v>2170</v>
      </c>
    </row>
    <row r="2901" spans="1:14" hidden="1" x14ac:dyDescent="0.25">
      <c r="A2901" s="16">
        <v>45809</v>
      </c>
      <c r="B2901" t="s">
        <v>535</v>
      </c>
      <c r="C2901">
        <v>6</v>
      </c>
      <c r="D2901" t="s">
        <v>238</v>
      </c>
      <c r="E2901" t="s">
        <v>239</v>
      </c>
      <c r="F2901" t="s">
        <v>378</v>
      </c>
      <c r="G2901" t="s">
        <v>379</v>
      </c>
      <c r="J2901" t="s">
        <v>198</v>
      </c>
      <c r="K2901" t="s">
        <v>250</v>
      </c>
      <c r="L2901">
        <v>630</v>
      </c>
      <c r="M2901" t="s">
        <v>242</v>
      </c>
      <c r="N2901" t="s">
        <v>2060</v>
      </c>
    </row>
    <row r="2902" spans="1:14" hidden="1" x14ac:dyDescent="0.25">
      <c r="A2902" s="16">
        <v>45809</v>
      </c>
      <c r="B2902" t="s">
        <v>535</v>
      </c>
      <c r="C2902">
        <v>6</v>
      </c>
      <c r="D2902" t="s">
        <v>238</v>
      </c>
      <c r="E2902" t="s">
        <v>239</v>
      </c>
      <c r="F2902" t="s">
        <v>381</v>
      </c>
      <c r="G2902" t="s">
        <v>382</v>
      </c>
      <c r="J2902" t="s">
        <v>198</v>
      </c>
      <c r="K2902" t="s">
        <v>250</v>
      </c>
      <c r="L2902">
        <v>2156</v>
      </c>
      <c r="M2902" t="s">
        <v>242</v>
      </c>
      <c r="N2902" t="s">
        <v>2061</v>
      </c>
    </row>
    <row r="2903" spans="1:14" hidden="1" x14ac:dyDescent="0.25">
      <c r="A2903" s="16">
        <v>45809</v>
      </c>
      <c r="B2903" t="s">
        <v>535</v>
      </c>
      <c r="C2903">
        <v>6</v>
      </c>
      <c r="D2903" t="s">
        <v>238</v>
      </c>
      <c r="E2903" t="s">
        <v>239</v>
      </c>
      <c r="F2903" t="s">
        <v>240</v>
      </c>
      <c r="G2903" t="s">
        <v>82</v>
      </c>
      <c r="J2903" t="s">
        <v>198</v>
      </c>
      <c r="K2903" t="s">
        <v>250</v>
      </c>
      <c r="L2903">
        <v>6130000</v>
      </c>
      <c r="M2903" t="s">
        <v>242</v>
      </c>
      <c r="N2903" t="s">
        <v>2171</v>
      </c>
    </row>
    <row r="2904" spans="1:14" hidden="1" x14ac:dyDescent="0.25">
      <c r="A2904" s="16">
        <v>45809</v>
      </c>
      <c r="B2904" t="s">
        <v>535</v>
      </c>
      <c r="C2904">
        <v>6</v>
      </c>
      <c r="D2904" t="s">
        <v>238</v>
      </c>
      <c r="E2904" t="s">
        <v>239</v>
      </c>
      <c r="F2904" t="s">
        <v>285</v>
      </c>
      <c r="G2904" t="s">
        <v>63</v>
      </c>
      <c r="J2904" t="s">
        <v>198</v>
      </c>
      <c r="K2904" t="s">
        <v>250</v>
      </c>
      <c r="L2904">
        <v>4760000</v>
      </c>
      <c r="M2904" t="s">
        <v>242</v>
      </c>
      <c r="N2904" t="s">
        <v>2059</v>
      </c>
    </row>
    <row r="2905" spans="1:14" hidden="1" x14ac:dyDescent="0.25">
      <c r="A2905" s="16">
        <v>45809</v>
      </c>
      <c r="B2905" t="s">
        <v>535</v>
      </c>
      <c r="C2905">
        <v>6</v>
      </c>
      <c r="D2905" t="s">
        <v>238</v>
      </c>
      <c r="E2905" t="s">
        <v>239</v>
      </c>
      <c r="F2905" t="s">
        <v>244</v>
      </c>
      <c r="G2905" t="s">
        <v>82</v>
      </c>
      <c r="J2905" t="s">
        <v>198</v>
      </c>
      <c r="K2905" t="s">
        <v>250</v>
      </c>
      <c r="L2905">
        <v>1130000000</v>
      </c>
      <c r="M2905" t="s">
        <v>245</v>
      </c>
      <c r="N2905" t="s">
        <v>679</v>
      </c>
    </row>
    <row r="2906" spans="1:14" hidden="1" x14ac:dyDescent="0.25">
      <c r="A2906" s="16">
        <v>45809</v>
      </c>
      <c r="B2906" t="s">
        <v>535</v>
      </c>
      <c r="C2906">
        <v>7</v>
      </c>
      <c r="D2906" t="s">
        <v>238</v>
      </c>
      <c r="E2906" t="s">
        <v>239</v>
      </c>
      <c r="F2906" t="s">
        <v>544</v>
      </c>
      <c r="G2906" t="s">
        <v>82</v>
      </c>
      <c r="J2906" t="s">
        <v>198</v>
      </c>
      <c r="K2906" t="s">
        <v>250</v>
      </c>
      <c r="L2906">
        <v>966000</v>
      </c>
      <c r="M2906" t="s">
        <v>242</v>
      </c>
      <c r="N2906" t="s">
        <v>2172</v>
      </c>
    </row>
    <row r="2907" spans="1:14" hidden="1" x14ac:dyDescent="0.25">
      <c r="A2907" s="16">
        <v>45809</v>
      </c>
      <c r="B2907" t="s">
        <v>535</v>
      </c>
      <c r="C2907">
        <v>7</v>
      </c>
      <c r="D2907" t="s">
        <v>238</v>
      </c>
      <c r="E2907" t="s">
        <v>239</v>
      </c>
      <c r="F2907" t="s">
        <v>240</v>
      </c>
      <c r="G2907" t="s">
        <v>82</v>
      </c>
      <c r="J2907" t="s">
        <v>198</v>
      </c>
      <c r="K2907" t="s">
        <v>250</v>
      </c>
      <c r="L2907">
        <v>971000</v>
      </c>
      <c r="M2907" t="s">
        <v>242</v>
      </c>
      <c r="N2907" t="s">
        <v>2173</v>
      </c>
    </row>
    <row r="2908" spans="1:14" hidden="1" x14ac:dyDescent="0.25">
      <c r="A2908" s="16">
        <v>45809</v>
      </c>
      <c r="B2908" t="s">
        <v>535</v>
      </c>
      <c r="C2908">
        <v>7</v>
      </c>
      <c r="D2908" t="s">
        <v>238</v>
      </c>
      <c r="E2908" t="s">
        <v>239</v>
      </c>
      <c r="F2908" t="s">
        <v>929</v>
      </c>
      <c r="G2908" t="s">
        <v>82</v>
      </c>
      <c r="J2908" t="s">
        <v>198</v>
      </c>
      <c r="K2908" t="s">
        <v>250</v>
      </c>
      <c r="L2908">
        <v>780000000</v>
      </c>
      <c r="M2908" t="s">
        <v>245</v>
      </c>
      <c r="N2908" t="s">
        <v>2174</v>
      </c>
    </row>
    <row r="2909" spans="1:14" hidden="1" x14ac:dyDescent="0.25">
      <c r="A2909" s="16">
        <v>45809</v>
      </c>
      <c r="B2909" t="s">
        <v>535</v>
      </c>
      <c r="C2909">
        <v>8</v>
      </c>
      <c r="D2909" t="s">
        <v>238</v>
      </c>
      <c r="E2909" t="s">
        <v>239</v>
      </c>
      <c r="F2909" t="s">
        <v>548</v>
      </c>
      <c r="G2909" t="s">
        <v>158</v>
      </c>
      <c r="J2909" t="s">
        <v>198</v>
      </c>
      <c r="K2909" t="s">
        <v>250</v>
      </c>
      <c r="L2909">
        <v>562000</v>
      </c>
      <c r="M2909" t="s">
        <v>242</v>
      </c>
      <c r="N2909" t="s">
        <v>2175</v>
      </c>
    </row>
    <row r="2910" spans="1:14" hidden="1" x14ac:dyDescent="0.25">
      <c r="A2910" s="16">
        <v>45809</v>
      </c>
      <c r="B2910" t="s">
        <v>535</v>
      </c>
      <c r="C2910">
        <v>8</v>
      </c>
      <c r="D2910" t="s">
        <v>238</v>
      </c>
      <c r="E2910" t="s">
        <v>239</v>
      </c>
      <c r="F2910" t="s">
        <v>349</v>
      </c>
      <c r="G2910" t="s">
        <v>158</v>
      </c>
      <c r="J2910" t="s">
        <v>198</v>
      </c>
      <c r="K2910" t="s">
        <v>250</v>
      </c>
      <c r="L2910">
        <v>21300</v>
      </c>
      <c r="M2910" t="s">
        <v>242</v>
      </c>
      <c r="N2910" t="s">
        <v>2176</v>
      </c>
    </row>
    <row r="2911" spans="1:14" hidden="1" x14ac:dyDescent="0.25">
      <c r="A2911" s="16">
        <v>45809</v>
      </c>
      <c r="B2911" t="s">
        <v>535</v>
      </c>
      <c r="C2911">
        <v>8</v>
      </c>
      <c r="D2911" t="s">
        <v>238</v>
      </c>
      <c r="E2911" t="s">
        <v>239</v>
      </c>
      <c r="F2911" t="s">
        <v>551</v>
      </c>
      <c r="G2911" t="s">
        <v>158</v>
      </c>
      <c r="J2911" t="s">
        <v>198</v>
      </c>
      <c r="K2911" t="s">
        <v>250</v>
      </c>
      <c r="L2911">
        <v>3350000000</v>
      </c>
      <c r="M2911" t="s">
        <v>245</v>
      </c>
      <c r="N2911" t="s">
        <v>2177</v>
      </c>
    </row>
    <row r="2912" spans="1:14" hidden="1" x14ac:dyDescent="0.25">
      <c r="A2912" s="16">
        <v>45809</v>
      </c>
      <c r="B2912" t="s">
        <v>535</v>
      </c>
      <c r="C2912">
        <v>8</v>
      </c>
      <c r="D2912" t="s">
        <v>238</v>
      </c>
      <c r="E2912" t="s">
        <v>239</v>
      </c>
      <c r="F2912" t="s">
        <v>361</v>
      </c>
      <c r="G2912" t="s">
        <v>158</v>
      </c>
      <c r="J2912" t="s">
        <v>198</v>
      </c>
      <c r="K2912" t="s">
        <v>250</v>
      </c>
      <c r="L2912">
        <v>113000000</v>
      </c>
      <c r="M2912" t="s">
        <v>245</v>
      </c>
      <c r="N2912" t="s">
        <v>2178</v>
      </c>
    </row>
    <row r="2913" spans="1:17" hidden="1" x14ac:dyDescent="0.25">
      <c r="A2913" s="16">
        <v>45839</v>
      </c>
      <c r="B2913" t="s">
        <v>142</v>
      </c>
      <c r="C2913">
        <v>72</v>
      </c>
      <c r="D2913" t="s">
        <v>238</v>
      </c>
      <c r="E2913" t="s">
        <v>239</v>
      </c>
      <c r="F2913" t="s">
        <v>240</v>
      </c>
      <c r="G2913" t="s">
        <v>82</v>
      </c>
      <c r="J2913" t="s">
        <v>199</v>
      </c>
      <c r="K2913" t="s">
        <v>241</v>
      </c>
      <c r="L2913">
        <v>6890000</v>
      </c>
      <c r="M2913" t="s">
        <v>242</v>
      </c>
      <c r="N2913" t="s">
        <v>2179</v>
      </c>
    </row>
    <row r="2914" spans="1:17" hidden="1" x14ac:dyDescent="0.25">
      <c r="A2914" s="16">
        <v>45839</v>
      </c>
      <c r="B2914" t="s">
        <v>142</v>
      </c>
      <c r="C2914">
        <v>72</v>
      </c>
      <c r="D2914" t="s">
        <v>238</v>
      </c>
      <c r="E2914" t="s">
        <v>239</v>
      </c>
      <c r="F2914" t="s">
        <v>244</v>
      </c>
      <c r="G2914" t="s">
        <v>82</v>
      </c>
      <c r="J2914" t="s">
        <v>199</v>
      </c>
      <c r="K2914" t="s">
        <v>241</v>
      </c>
      <c r="L2914">
        <v>5670000000</v>
      </c>
      <c r="M2914" t="s">
        <v>245</v>
      </c>
      <c r="N2914" t="s">
        <v>2180</v>
      </c>
    </row>
    <row r="2915" spans="1:17" hidden="1" x14ac:dyDescent="0.25">
      <c r="A2915" s="16">
        <v>45839</v>
      </c>
      <c r="B2915" t="s">
        <v>142</v>
      </c>
      <c r="C2915">
        <v>74</v>
      </c>
      <c r="D2915" t="s">
        <v>253</v>
      </c>
      <c r="E2915" t="s">
        <v>248</v>
      </c>
      <c r="F2915" t="s">
        <v>240</v>
      </c>
      <c r="G2915" t="s">
        <v>82</v>
      </c>
      <c r="J2915" t="s">
        <v>197</v>
      </c>
      <c r="K2915" t="s">
        <v>255</v>
      </c>
      <c r="L2915">
        <v>972000</v>
      </c>
      <c r="M2915" t="s">
        <v>242</v>
      </c>
      <c r="N2915" t="s">
        <v>2008</v>
      </c>
      <c r="O2915">
        <v>1</v>
      </c>
      <c r="P2915" t="s">
        <v>257</v>
      </c>
      <c r="Q2915" t="s">
        <v>2009</v>
      </c>
    </row>
    <row r="2916" spans="1:17" hidden="1" x14ac:dyDescent="0.25">
      <c r="A2916" s="16">
        <v>45839</v>
      </c>
      <c r="B2916" t="s">
        <v>142</v>
      </c>
      <c r="C2916">
        <v>74</v>
      </c>
      <c r="D2916" t="s">
        <v>253</v>
      </c>
      <c r="E2916" t="s">
        <v>248</v>
      </c>
      <c r="F2916" t="s">
        <v>240</v>
      </c>
      <c r="G2916" t="s">
        <v>82</v>
      </c>
      <c r="J2916" t="s">
        <v>198</v>
      </c>
      <c r="K2916" t="s">
        <v>255</v>
      </c>
      <c r="L2916">
        <v>966000</v>
      </c>
      <c r="M2916" t="s">
        <v>242</v>
      </c>
      <c r="N2916" t="s">
        <v>2010</v>
      </c>
      <c r="O2916">
        <v>1</v>
      </c>
      <c r="P2916" t="s">
        <v>257</v>
      </c>
    </row>
    <row r="2917" spans="1:17" hidden="1" x14ac:dyDescent="0.25">
      <c r="A2917" s="16">
        <v>45839</v>
      </c>
      <c r="B2917" t="s">
        <v>142</v>
      </c>
      <c r="C2917">
        <v>74</v>
      </c>
      <c r="D2917" t="s">
        <v>253</v>
      </c>
      <c r="E2917" t="s">
        <v>248</v>
      </c>
      <c r="F2917" t="s">
        <v>240</v>
      </c>
      <c r="G2917" t="s">
        <v>82</v>
      </c>
      <c r="J2917" t="s">
        <v>199</v>
      </c>
      <c r="K2917" t="s">
        <v>255</v>
      </c>
      <c r="L2917">
        <v>1048000</v>
      </c>
      <c r="M2917" t="s">
        <v>242</v>
      </c>
      <c r="N2917" t="s">
        <v>2181</v>
      </c>
      <c r="O2917">
        <v>1</v>
      </c>
      <c r="P2917" t="s">
        <v>261</v>
      </c>
    </row>
    <row r="2918" spans="1:17" hidden="1" x14ac:dyDescent="0.25">
      <c r="A2918" s="16">
        <v>45839</v>
      </c>
      <c r="B2918" t="s">
        <v>142</v>
      </c>
      <c r="C2918">
        <v>74</v>
      </c>
      <c r="D2918" t="s">
        <v>247</v>
      </c>
      <c r="E2918" t="s">
        <v>248</v>
      </c>
      <c r="F2918" t="s">
        <v>240</v>
      </c>
      <c r="G2918" t="s">
        <v>82</v>
      </c>
      <c r="H2918" t="s">
        <v>286</v>
      </c>
      <c r="J2918" t="s">
        <v>199</v>
      </c>
      <c r="K2918" t="s">
        <v>250</v>
      </c>
      <c r="L2918">
        <v>8.5</v>
      </c>
      <c r="M2918" t="s">
        <v>251</v>
      </c>
      <c r="N2918" t="s">
        <v>1172</v>
      </c>
    </row>
    <row r="2919" spans="1:17" hidden="1" x14ac:dyDescent="0.25">
      <c r="A2919" s="16">
        <v>45839</v>
      </c>
      <c r="B2919" t="s">
        <v>142</v>
      </c>
      <c r="C2919">
        <v>75</v>
      </c>
      <c r="D2919" t="s">
        <v>253</v>
      </c>
      <c r="E2919" t="s">
        <v>248</v>
      </c>
      <c r="F2919" t="s">
        <v>240</v>
      </c>
      <c r="G2919" t="s">
        <v>82</v>
      </c>
      <c r="H2919" t="s">
        <v>150</v>
      </c>
      <c r="J2919" t="s">
        <v>197</v>
      </c>
      <c r="K2919" t="s">
        <v>255</v>
      </c>
      <c r="L2919">
        <v>305</v>
      </c>
      <c r="M2919" t="s">
        <v>242</v>
      </c>
      <c r="N2919" t="s">
        <v>1838</v>
      </c>
      <c r="O2919">
        <v>1</v>
      </c>
      <c r="P2919" t="s">
        <v>257</v>
      </c>
    </row>
    <row r="2920" spans="1:17" hidden="1" x14ac:dyDescent="0.25">
      <c r="A2920" s="16">
        <v>45839</v>
      </c>
      <c r="B2920" t="s">
        <v>142</v>
      </c>
      <c r="C2920">
        <v>75</v>
      </c>
      <c r="D2920" t="s">
        <v>253</v>
      </c>
      <c r="E2920" t="s">
        <v>248</v>
      </c>
      <c r="F2920" t="s">
        <v>240</v>
      </c>
      <c r="G2920" t="s">
        <v>82</v>
      </c>
      <c r="H2920" t="s">
        <v>150</v>
      </c>
      <c r="J2920" t="s">
        <v>198</v>
      </c>
      <c r="K2920" t="s">
        <v>255</v>
      </c>
      <c r="L2920">
        <v>247</v>
      </c>
      <c r="M2920" t="s">
        <v>242</v>
      </c>
      <c r="N2920" t="s">
        <v>2011</v>
      </c>
      <c r="O2920">
        <v>1</v>
      </c>
      <c r="P2920" t="s">
        <v>257</v>
      </c>
    </row>
    <row r="2921" spans="1:17" hidden="1" x14ac:dyDescent="0.25">
      <c r="A2921" s="16">
        <v>45839</v>
      </c>
      <c r="B2921" t="s">
        <v>142</v>
      </c>
      <c r="C2921">
        <v>75</v>
      </c>
      <c r="D2921" t="s">
        <v>253</v>
      </c>
      <c r="E2921" t="s">
        <v>248</v>
      </c>
      <c r="F2921" t="s">
        <v>240</v>
      </c>
      <c r="G2921" t="s">
        <v>82</v>
      </c>
      <c r="H2921" t="s">
        <v>150</v>
      </c>
      <c r="J2921" t="s">
        <v>199</v>
      </c>
      <c r="K2921" t="s">
        <v>255</v>
      </c>
      <c r="L2921">
        <v>356</v>
      </c>
      <c r="M2921" t="s">
        <v>242</v>
      </c>
      <c r="N2921" t="s">
        <v>2182</v>
      </c>
      <c r="O2921">
        <v>1</v>
      </c>
      <c r="P2921" t="s">
        <v>261</v>
      </c>
    </row>
    <row r="2922" spans="1:17" hidden="1" x14ac:dyDescent="0.25">
      <c r="A2922" s="16">
        <v>45839</v>
      </c>
      <c r="B2922" t="s">
        <v>142</v>
      </c>
      <c r="C2922">
        <v>75</v>
      </c>
      <c r="D2922" t="s">
        <v>253</v>
      </c>
      <c r="E2922" t="s">
        <v>248</v>
      </c>
      <c r="F2922" t="s">
        <v>240</v>
      </c>
      <c r="G2922" t="s">
        <v>82</v>
      </c>
      <c r="H2922" t="s">
        <v>151</v>
      </c>
      <c r="J2922" t="s">
        <v>197</v>
      </c>
      <c r="K2922" t="s">
        <v>255</v>
      </c>
      <c r="L2922">
        <v>33</v>
      </c>
      <c r="M2922" t="s">
        <v>242</v>
      </c>
      <c r="N2922" t="s">
        <v>940</v>
      </c>
      <c r="O2922">
        <v>1</v>
      </c>
      <c r="P2922" t="s">
        <v>257</v>
      </c>
    </row>
    <row r="2923" spans="1:17" hidden="1" x14ac:dyDescent="0.25">
      <c r="A2923" s="16">
        <v>45839</v>
      </c>
      <c r="B2923" t="s">
        <v>142</v>
      </c>
      <c r="C2923">
        <v>75</v>
      </c>
      <c r="D2923" t="s">
        <v>253</v>
      </c>
      <c r="E2923" t="s">
        <v>248</v>
      </c>
      <c r="F2923" t="s">
        <v>240</v>
      </c>
      <c r="G2923" t="s">
        <v>82</v>
      </c>
      <c r="H2923" t="s">
        <v>151</v>
      </c>
      <c r="J2923" t="s">
        <v>198</v>
      </c>
      <c r="K2923" t="s">
        <v>255</v>
      </c>
      <c r="L2923">
        <v>29</v>
      </c>
      <c r="M2923" t="s">
        <v>242</v>
      </c>
      <c r="N2923" t="s">
        <v>2012</v>
      </c>
      <c r="O2923">
        <v>1</v>
      </c>
      <c r="P2923" t="s">
        <v>257</v>
      </c>
    </row>
    <row r="2924" spans="1:17" hidden="1" x14ac:dyDescent="0.25">
      <c r="A2924" s="16">
        <v>45839</v>
      </c>
      <c r="B2924" t="s">
        <v>142</v>
      </c>
      <c r="C2924">
        <v>75</v>
      </c>
      <c r="D2924" t="s">
        <v>253</v>
      </c>
      <c r="E2924" t="s">
        <v>248</v>
      </c>
      <c r="F2924" t="s">
        <v>240</v>
      </c>
      <c r="G2924" t="s">
        <v>82</v>
      </c>
      <c r="H2924" t="s">
        <v>151</v>
      </c>
      <c r="J2924" t="s">
        <v>199</v>
      </c>
      <c r="K2924" t="s">
        <v>255</v>
      </c>
      <c r="L2924">
        <v>45</v>
      </c>
      <c r="M2924" t="s">
        <v>242</v>
      </c>
      <c r="N2924" t="s">
        <v>2183</v>
      </c>
      <c r="O2924">
        <v>1</v>
      </c>
      <c r="P2924" t="s">
        <v>261</v>
      </c>
    </row>
    <row r="2925" spans="1:17" hidden="1" x14ac:dyDescent="0.25">
      <c r="A2925" s="16">
        <v>45839</v>
      </c>
      <c r="B2925" t="s">
        <v>142</v>
      </c>
      <c r="C2925">
        <v>75</v>
      </c>
      <c r="D2925" t="s">
        <v>253</v>
      </c>
      <c r="E2925" t="s">
        <v>248</v>
      </c>
      <c r="F2925" t="s">
        <v>240</v>
      </c>
      <c r="G2925" t="s">
        <v>82</v>
      </c>
      <c r="H2925" t="s">
        <v>149</v>
      </c>
      <c r="J2925" t="s">
        <v>197</v>
      </c>
      <c r="K2925" t="s">
        <v>255</v>
      </c>
      <c r="L2925">
        <v>6153</v>
      </c>
      <c r="M2925" t="s">
        <v>242</v>
      </c>
      <c r="N2925" t="s">
        <v>1839</v>
      </c>
      <c r="O2925">
        <v>1</v>
      </c>
      <c r="P2925" t="s">
        <v>257</v>
      </c>
    </row>
    <row r="2926" spans="1:17" hidden="1" x14ac:dyDescent="0.25">
      <c r="A2926" s="16">
        <v>45839</v>
      </c>
      <c r="B2926" t="s">
        <v>142</v>
      </c>
      <c r="C2926">
        <v>75</v>
      </c>
      <c r="D2926" t="s">
        <v>253</v>
      </c>
      <c r="E2926" t="s">
        <v>248</v>
      </c>
      <c r="F2926" t="s">
        <v>240</v>
      </c>
      <c r="G2926" t="s">
        <v>82</v>
      </c>
      <c r="H2926" t="s">
        <v>149</v>
      </c>
      <c r="J2926" t="s">
        <v>198</v>
      </c>
      <c r="K2926" t="s">
        <v>255</v>
      </c>
      <c r="L2926">
        <v>4927</v>
      </c>
      <c r="M2926" t="s">
        <v>242</v>
      </c>
      <c r="N2926" t="s">
        <v>2013</v>
      </c>
      <c r="O2926">
        <v>1</v>
      </c>
      <c r="P2926" t="s">
        <v>257</v>
      </c>
    </row>
    <row r="2927" spans="1:17" hidden="1" x14ac:dyDescent="0.25">
      <c r="A2927" s="16">
        <v>45839</v>
      </c>
      <c r="B2927" t="s">
        <v>142</v>
      </c>
      <c r="C2927">
        <v>75</v>
      </c>
      <c r="D2927" t="s">
        <v>253</v>
      </c>
      <c r="E2927" t="s">
        <v>248</v>
      </c>
      <c r="F2927" t="s">
        <v>240</v>
      </c>
      <c r="G2927" t="s">
        <v>82</v>
      </c>
      <c r="H2927" t="s">
        <v>149</v>
      </c>
      <c r="J2927" t="s">
        <v>199</v>
      </c>
      <c r="K2927" t="s">
        <v>255</v>
      </c>
      <c r="L2927">
        <v>6215</v>
      </c>
      <c r="M2927" t="s">
        <v>242</v>
      </c>
      <c r="N2927" t="s">
        <v>2184</v>
      </c>
      <c r="O2927">
        <v>1</v>
      </c>
      <c r="P2927" t="s">
        <v>261</v>
      </c>
    </row>
    <row r="2928" spans="1:17" hidden="1" x14ac:dyDescent="0.25">
      <c r="A2928" s="16">
        <v>45839</v>
      </c>
      <c r="B2928" t="s">
        <v>142</v>
      </c>
      <c r="C2928">
        <v>76</v>
      </c>
      <c r="D2928" t="s">
        <v>253</v>
      </c>
      <c r="E2928" t="s">
        <v>248</v>
      </c>
      <c r="F2928" t="s">
        <v>244</v>
      </c>
      <c r="G2928" t="s">
        <v>82</v>
      </c>
      <c r="J2928" t="s">
        <v>197</v>
      </c>
      <c r="K2928" t="s">
        <v>255</v>
      </c>
      <c r="L2928">
        <v>792000000</v>
      </c>
      <c r="M2928" t="s">
        <v>245</v>
      </c>
      <c r="N2928" t="s">
        <v>1840</v>
      </c>
      <c r="O2928">
        <v>1</v>
      </c>
      <c r="P2928" t="s">
        <v>257</v>
      </c>
    </row>
    <row r="2929" spans="1:16" hidden="1" x14ac:dyDescent="0.25">
      <c r="A2929" s="16">
        <v>45839</v>
      </c>
      <c r="B2929" t="s">
        <v>142</v>
      </c>
      <c r="C2929">
        <v>76</v>
      </c>
      <c r="D2929" t="s">
        <v>253</v>
      </c>
      <c r="E2929" t="s">
        <v>248</v>
      </c>
      <c r="F2929" t="s">
        <v>244</v>
      </c>
      <c r="G2929" t="s">
        <v>82</v>
      </c>
      <c r="J2929" t="s">
        <v>198</v>
      </c>
      <c r="K2929" t="s">
        <v>255</v>
      </c>
      <c r="L2929">
        <v>780000000</v>
      </c>
      <c r="M2929" t="s">
        <v>245</v>
      </c>
      <c r="N2929" t="s">
        <v>2014</v>
      </c>
      <c r="O2929">
        <v>1</v>
      </c>
      <c r="P2929" t="s">
        <v>257</v>
      </c>
    </row>
    <row r="2930" spans="1:16" hidden="1" x14ac:dyDescent="0.25">
      <c r="A2930" s="16">
        <v>45839</v>
      </c>
      <c r="B2930" t="s">
        <v>142</v>
      </c>
      <c r="C2930">
        <v>76</v>
      </c>
      <c r="D2930" t="s">
        <v>253</v>
      </c>
      <c r="E2930" t="s">
        <v>248</v>
      </c>
      <c r="F2930" t="s">
        <v>244</v>
      </c>
      <c r="G2930" t="s">
        <v>82</v>
      </c>
      <c r="J2930" t="s">
        <v>199</v>
      </c>
      <c r="K2930" t="s">
        <v>255</v>
      </c>
      <c r="L2930">
        <v>903000000</v>
      </c>
      <c r="M2930" t="s">
        <v>245</v>
      </c>
      <c r="N2930" t="s">
        <v>2185</v>
      </c>
      <c r="O2930">
        <v>1</v>
      </c>
      <c r="P2930" t="s">
        <v>261</v>
      </c>
    </row>
    <row r="2931" spans="1:16" hidden="1" x14ac:dyDescent="0.25">
      <c r="A2931" s="16">
        <v>45839</v>
      </c>
      <c r="B2931" t="s">
        <v>142</v>
      </c>
      <c r="C2931">
        <v>76</v>
      </c>
      <c r="D2931" t="s">
        <v>247</v>
      </c>
      <c r="E2931" t="s">
        <v>248</v>
      </c>
      <c r="F2931" t="s">
        <v>244</v>
      </c>
      <c r="G2931" t="s">
        <v>82</v>
      </c>
      <c r="H2931" t="s">
        <v>286</v>
      </c>
      <c r="J2931" t="s">
        <v>199</v>
      </c>
      <c r="K2931" t="s">
        <v>250</v>
      </c>
      <c r="L2931">
        <v>15.8</v>
      </c>
      <c r="M2931" t="s">
        <v>251</v>
      </c>
      <c r="N2931" t="s">
        <v>1975</v>
      </c>
    </row>
    <row r="2932" spans="1:16" hidden="1" x14ac:dyDescent="0.25">
      <c r="A2932" s="16">
        <v>45839</v>
      </c>
      <c r="B2932" t="s">
        <v>142</v>
      </c>
      <c r="C2932">
        <v>77</v>
      </c>
      <c r="D2932" t="s">
        <v>253</v>
      </c>
      <c r="E2932" t="s">
        <v>248</v>
      </c>
      <c r="F2932" t="s">
        <v>244</v>
      </c>
      <c r="G2932" t="s">
        <v>82</v>
      </c>
      <c r="H2932" t="s">
        <v>150</v>
      </c>
      <c r="J2932" t="s">
        <v>197</v>
      </c>
      <c r="K2932" t="s">
        <v>255</v>
      </c>
      <c r="L2932">
        <v>2840000</v>
      </c>
      <c r="M2932" t="s">
        <v>150</v>
      </c>
      <c r="N2932" t="s">
        <v>1841</v>
      </c>
      <c r="O2932">
        <v>1</v>
      </c>
      <c r="P2932" t="s">
        <v>257</v>
      </c>
    </row>
    <row r="2933" spans="1:16" hidden="1" x14ac:dyDescent="0.25">
      <c r="A2933" s="16">
        <v>45839</v>
      </c>
      <c r="B2933" t="s">
        <v>142</v>
      </c>
      <c r="C2933">
        <v>77</v>
      </c>
      <c r="D2933" t="s">
        <v>253</v>
      </c>
      <c r="E2933" t="s">
        <v>248</v>
      </c>
      <c r="F2933" t="s">
        <v>244</v>
      </c>
      <c r="G2933" t="s">
        <v>82</v>
      </c>
      <c r="H2933" t="s">
        <v>150</v>
      </c>
      <c r="J2933" t="s">
        <v>198</v>
      </c>
      <c r="K2933" t="s">
        <v>255</v>
      </c>
      <c r="L2933">
        <v>2460000</v>
      </c>
      <c r="M2933" t="s">
        <v>150</v>
      </c>
      <c r="N2933" t="s">
        <v>2015</v>
      </c>
      <c r="O2933">
        <v>1</v>
      </c>
      <c r="P2933" t="s">
        <v>257</v>
      </c>
    </row>
    <row r="2934" spans="1:16" hidden="1" x14ac:dyDescent="0.25">
      <c r="A2934" s="16">
        <v>45839</v>
      </c>
      <c r="B2934" t="s">
        <v>142</v>
      </c>
      <c r="C2934">
        <v>77</v>
      </c>
      <c r="D2934" t="s">
        <v>253</v>
      </c>
      <c r="E2934" t="s">
        <v>248</v>
      </c>
      <c r="F2934" t="s">
        <v>244</v>
      </c>
      <c r="G2934" t="s">
        <v>82</v>
      </c>
      <c r="H2934" t="s">
        <v>150</v>
      </c>
      <c r="J2934" t="s">
        <v>199</v>
      </c>
      <c r="K2934" t="s">
        <v>255</v>
      </c>
      <c r="L2934">
        <v>3350000</v>
      </c>
      <c r="M2934" t="s">
        <v>150</v>
      </c>
      <c r="N2934" t="s">
        <v>2186</v>
      </c>
      <c r="O2934">
        <v>1</v>
      </c>
      <c r="P2934" t="s">
        <v>261</v>
      </c>
    </row>
    <row r="2935" spans="1:16" hidden="1" x14ac:dyDescent="0.25">
      <c r="A2935" s="16">
        <v>45839</v>
      </c>
      <c r="B2935" t="s">
        <v>142</v>
      </c>
      <c r="C2935">
        <v>77</v>
      </c>
      <c r="D2935" t="s">
        <v>253</v>
      </c>
      <c r="E2935" t="s">
        <v>248</v>
      </c>
      <c r="F2935" t="s">
        <v>244</v>
      </c>
      <c r="G2935" t="s">
        <v>82</v>
      </c>
      <c r="H2935" t="s">
        <v>151</v>
      </c>
      <c r="J2935" t="s">
        <v>197</v>
      </c>
      <c r="K2935" t="s">
        <v>255</v>
      </c>
      <c r="L2935">
        <v>410000</v>
      </c>
      <c r="M2935" t="s">
        <v>151</v>
      </c>
      <c r="N2935" t="s">
        <v>1315</v>
      </c>
      <c r="O2935">
        <v>1</v>
      </c>
      <c r="P2935" t="s">
        <v>257</v>
      </c>
    </row>
    <row r="2936" spans="1:16" hidden="1" x14ac:dyDescent="0.25">
      <c r="A2936" s="16">
        <v>45839</v>
      </c>
      <c r="B2936" t="s">
        <v>142</v>
      </c>
      <c r="C2936">
        <v>77</v>
      </c>
      <c r="D2936" t="s">
        <v>253</v>
      </c>
      <c r="E2936" t="s">
        <v>248</v>
      </c>
      <c r="F2936" t="s">
        <v>244</v>
      </c>
      <c r="G2936" t="s">
        <v>82</v>
      </c>
      <c r="H2936" t="s">
        <v>151</v>
      </c>
      <c r="J2936" t="s">
        <v>198</v>
      </c>
      <c r="K2936" t="s">
        <v>255</v>
      </c>
      <c r="L2936">
        <v>360000</v>
      </c>
      <c r="M2936" t="s">
        <v>151</v>
      </c>
      <c r="N2936" t="s">
        <v>2016</v>
      </c>
      <c r="O2936">
        <v>1</v>
      </c>
      <c r="P2936" t="s">
        <v>257</v>
      </c>
    </row>
    <row r="2937" spans="1:16" hidden="1" x14ac:dyDescent="0.25">
      <c r="A2937" s="16">
        <v>45839</v>
      </c>
      <c r="B2937" t="s">
        <v>142</v>
      </c>
      <c r="C2937">
        <v>77</v>
      </c>
      <c r="D2937" t="s">
        <v>253</v>
      </c>
      <c r="E2937" t="s">
        <v>248</v>
      </c>
      <c r="F2937" t="s">
        <v>244</v>
      </c>
      <c r="G2937" t="s">
        <v>82</v>
      </c>
      <c r="H2937" t="s">
        <v>151</v>
      </c>
      <c r="J2937" t="s">
        <v>199</v>
      </c>
      <c r="K2937" t="s">
        <v>255</v>
      </c>
      <c r="L2937">
        <v>430000</v>
      </c>
      <c r="M2937" t="s">
        <v>151</v>
      </c>
      <c r="N2937" t="s">
        <v>2187</v>
      </c>
      <c r="O2937">
        <v>1</v>
      </c>
      <c r="P2937" t="s">
        <v>261</v>
      </c>
    </row>
    <row r="2938" spans="1:16" hidden="1" x14ac:dyDescent="0.25">
      <c r="A2938" s="16">
        <v>45839</v>
      </c>
      <c r="B2938" t="s">
        <v>142</v>
      </c>
      <c r="C2938">
        <v>77</v>
      </c>
      <c r="D2938" t="s">
        <v>253</v>
      </c>
      <c r="E2938" t="s">
        <v>248</v>
      </c>
      <c r="F2938" t="s">
        <v>244</v>
      </c>
      <c r="G2938" t="s">
        <v>82</v>
      </c>
      <c r="H2938" t="s">
        <v>149</v>
      </c>
      <c r="J2938" t="s">
        <v>197</v>
      </c>
      <c r="K2938" t="s">
        <v>255</v>
      </c>
      <c r="L2938">
        <v>39000000</v>
      </c>
      <c r="M2938" t="s">
        <v>149</v>
      </c>
      <c r="N2938" t="s">
        <v>1842</v>
      </c>
      <c r="O2938">
        <v>1</v>
      </c>
      <c r="P2938" t="s">
        <v>257</v>
      </c>
    </row>
    <row r="2939" spans="1:16" hidden="1" x14ac:dyDescent="0.25">
      <c r="A2939" s="16">
        <v>45839</v>
      </c>
      <c r="B2939" t="s">
        <v>142</v>
      </c>
      <c r="C2939">
        <v>77</v>
      </c>
      <c r="D2939" t="s">
        <v>253</v>
      </c>
      <c r="E2939" t="s">
        <v>248</v>
      </c>
      <c r="F2939" t="s">
        <v>244</v>
      </c>
      <c r="G2939" t="s">
        <v>82</v>
      </c>
      <c r="H2939" t="s">
        <v>149</v>
      </c>
      <c r="J2939" t="s">
        <v>198</v>
      </c>
      <c r="K2939" t="s">
        <v>255</v>
      </c>
      <c r="L2939">
        <v>32600000</v>
      </c>
      <c r="M2939" t="s">
        <v>149</v>
      </c>
      <c r="N2939" t="s">
        <v>2017</v>
      </c>
      <c r="O2939">
        <v>1</v>
      </c>
      <c r="P2939" t="s">
        <v>257</v>
      </c>
    </row>
    <row r="2940" spans="1:16" hidden="1" x14ac:dyDescent="0.25">
      <c r="A2940" s="16">
        <v>45839</v>
      </c>
      <c r="B2940" t="s">
        <v>142</v>
      </c>
      <c r="C2940">
        <v>77</v>
      </c>
      <c r="D2940" t="s">
        <v>253</v>
      </c>
      <c r="E2940" t="s">
        <v>248</v>
      </c>
      <c r="F2940" t="s">
        <v>244</v>
      </c>
      <c r="G2940" t="s">
        <v>82</v>
      </c>
      <c r="H2940" t="s">
        <v>149</v>
      </c>
      <c r="J2940" t="s">
        <v>199</v>
      </c>
      <c r="K2940" t="s">
        <v>255</v>
      </c>
      <c r="L2940">
        <v>40300000</v>
      </c>
      <c r="M2940" t="s">
        <v>149</v>
      </c>
      <c r="N2940" t="s">
        <v>2188</v>
      </c>
      <c r="O2940">
        <v>1</v>
      </c>
      <c r="P2940" t="s">
        <v>261</v>
      </c>
    </row>
    <row r="2941" spans="1:16" hidden="1" x14ac:dyDescent="0.25">
      <c r="A2941" s="16">
        <v>45839</v>
      </c>
      <c r="B2941" t="s">
        <v>35</v>
      </c>
      <c r="C2941">
        <v>10</v>
      </c>
      <c r="D2941" t="s">
        <v>238</v>
      </c>
      <c r="E2941" t="s">
        <v>239</v>
      </c>
      <c r="F2941" t="s">
        <v>240</v>
      </c>
      <c r="G2941" t="s">
        <v>82</v>
      </c>
      <c r="J2941" t="s">
        <v>199</v>
      </c>
      <c r="K2941" t="s">
        <v>241</v>
      </c>
      <c r="L2941">
        <v>85970000</v>
      </c>
      <c r="M2941" t="s">
        <v>242</v>
      </c>
      <c r="N2941" t="s">
        <v>2189</v>
      </c>
    </row>
    <row r="2942" spans="1:16" hidden="1" x14ac:dyDescent="0.25">
      <c r="A2942" s="16">
        <v>45839</v>
      </c>
      <c r="B2942" t="s">
        <v>35</v>
      </c>
      <c r="C2942">
        <v>10</v>
      </c>
      <c r="D2942" t="s">
        <v>238</v>
      </c>
      <c r="E2942" t="s">
        <v>239</v>
      </c>
      <c r="F2942" t="s">
        <v>244</v>
      </c>
      <c r="G2942" t="s">
        <v>82</v>
      </c>
      <c r="J2942" t="s">
        <v>199</v>
      </c>
      <c r="K2942" t="s">
        <v>241</v>
      </c>
      <c r="L2942">
        <v>10750000000</v>
      </c>
      <c r="M2942" t="s">
        <v>245</v>
      </c>
      <c r="N2942" t="s">
        <v>2190</v>
      </c>
    </row>
    <row r="2943" spans="1:16" hidden="1" x14ac:dyDescent="0.25">
      <c r="A2943" s="16">
        <v>45839</v>
      </c>
      <c r="B2943" t="s">
        <v>35</v>
      </c>
      <c r="C2943">
        <v>11</v>
      </c>
      <c r="D2943" t="s">
        <v>253</v>
      </c>
      <c r="E2943" t="s">
        <v>248</v>
      </c>
      <c r="F2943" t="s">
        <v>285</v>
      </c>
      <c r="G2943" t="s">
        <v>63</v>
      </c>
      <c r="J2943" t="s">
        <v>197</v>
      </c>
      <c r="K2943" t="s">
        <v>255</v>
      </c>
      <c r="L2943">
        <v>1850000</v>
      </c>
      <c r="M2943" t="s">
        <v>242</v>
      </c>
      <c r="N2943" t="s">
        <v>1845</v>
      </c>
      <c r="O2943">
        <v>1</v>
      </c>
      <c r="P2943" t="s">
        <v>257</v>
      </c>
    </row>
    <row r="2944" spans="1:16" hidden="1" x14ac:dyDescent="0.25">
      <c r="A2944" s="16">
        <v>45839</v>
      </c>
      <c r="B2944" t="s">
        <v>35</v>
      </c>
      <c r="C2944">
        <v>11</v>
      </c>
      <c r="D2944" t="s">
        <v>253</v>
      </c>
      <c r="E2944" t="s">
        <v>248</v>
      </c>
      <c r="F2944" t="s">
        <v>285</v>
      </c>
      <c r="G2944" t="s">
        <v>63</v>
      </c>
      <c r="J2944" t="s">
        <v>198</v>
      </c>
      <c r="K2944" t="s">
        <v>255</v>
      </c>
      <c r="L2944">
        <v>1880000</v>
      </c>
      <c r="M2944" t="s">
        <v>242</v>
      </c>
      <c r="N2944" t="s">
        <v>2020</v>
      </c>
      <c r="O2944">
        <v>1</v>
      </c>
      <c r="P2944" t="s">
        <v>257</v>
      </c>
    </row>
    <row r="2945" spans="1:16" hidden="1" x14ac:dyDescent="0.25">
      <c r="A2945" s="16">
        <v>45839</v>
      </c>
      <c r="B2945" t="s">
        <v>35</v>
      </c>
      <c r="C2945">
        <v>11</v>
      </c>
      <c r="D2945" t="s">
        <v>253</v>
      </c>
      <c r="E2945" t="s">
        <v>248</v>
      </c>
      <c r="F2945" t="s">
        <v>285</v>
      </c>
      <c r="G2945" t="s">
        <v>63</v>
      </c>
      <c r="J2945" t="s">
        <v>199</v>
      </c>
      <c r="K2945" t="s">
        <v>255</v>
      </c>
      <c r="L2945">
        <v>1920000</v>
      </c>
      <c r="M2945" t="s">
        <v>242</v>
      </c>
      <c r="N2945" t="s">
        <v>2191</v>
      </c>
      <c r="O2945">
        <v>1</v>
      </c>
      <c r="P2945" t="s">
        <v>261</v>
      </c>
    </row>
    <row r="2946" spans="1:16" hidden="1" x14ac:dyDescent="0.25">
      <c r="A2946" s="16">
        <v>45839</v>
      </c>
      <c r="B2946" t="s">
        <v>35</v>
      </c>
      <c r="C2946">
        <v>11</v>
      </c>
      <c r="D2946" t="s">
        <v>247</v>
      </c>
      <c r="E2946" t="s">
        <v>248</v>
      </c>
      <c r="F2946" t="s">
        <v>285</v>
      </c>
      <c r="G2946" t="s">
        <v>63</v>
      </c>
      <c r="H2946" t="s">
        <v>286</v>
      </c>
      <c r="J2946" t="s">
        <v>199</v>
      </c>
      <c r="K2946" t="s">
        <v>250</v>
      </c>
      <c r="L2946">
        <v>2.2000000000000002</v>
      </c>
      <c r="M2946" t="s">
        <v>251</v>
      </c>
      <c r="N2946" t="s">
        <v>769</v>
      </c>
    </row>
    <row r="2947" spans="1:16" hidden="1" x14ac:dyDescent="0.25">
      <c r="A2947" s="16">
        <v>45839</v>
      </c>
      <c r="B2947" t="s">
        <v>35</v>
      </c>
      <c r="C2947">
        <v>12</v>
      </c>
      <c r="D2947" t="s">
        <v>291</v>
      </c>
      <c r="E2947" t="s">
        <v>292</v>
      </c>
      <c r="F2947" t="s">
        <v>285</v>
      </c>
      <c r="G2947" t="s">
        <v>63</v>
      </c>
      <c r="H2947" t="s">
        <v>64</v>
      </c>
      <c r="J2947" t="s">
        <v>199</v>
      </c>
      <c r="K2947" t="s">
        <v>250</v>
      </c>
      <c r="L2947">
        <v>1850000</v>
      </c>
      <c r="M2947" t="s">
        <v>242</v>
      </c>
      <c r="N2947" t="s">
        <v>1994</v>
      </c>
    </row>
    <row r="2948" spans="1:16" hidden="1" x14ac:dyDescent="0.25">
      <c r="A2948" s="16">
        <v>45839</v>
      </c>
      <c r="B2948" t="s">
        <v>35</v>
      </c>
      <c r="C2948">
        <v>12</v>
      </c>
      <c r="D2948" t="s">
        <v>291</v>
      </c>
      <c r="E2948" t="s">
        <v>292</v>
      </c>
      <c r="F2948" t="s">
        <v>285</v>
      </c>
      <c r="G2948" t="s">
        <v>63</v>
      </c>
      <c r="H2948" t="s">
        <v>65</v>
      </c>
      <c r="J2948" t="s">
        <v>199</v>
      </c>
      <c r="K2948" t="s">
        <v>250</v>
      </c>
      <c r="L2948">
        <v>73900</v>
      </c>
      <c r="M2948" t="s">
        <v>242</v>
      </c>
      <c r="N2948" t="s">
        <v>2192</v>
      </c>
    </row>
    <row r="2949" spans="1:16" hidden="1" x14ac:dyDescent="0.25">
      <c r="A2949" s="16">
        <v>45839</v>
      </c>
      <c r="B2949" t="s">
        <v>35</v>
      </c>
      <c r="C2949">
        <v>13</v>
      </c>
      <c r="D2949" t="s">
        <v>291</v>
      </c>
      <c r="E2949" t="s">
        <v>292</v>
      </c>
      <c r="F2949" t="s">
        <v>285</v>
      </c>
      <c r="G2949" t="s">
        <v>63</v>
      </c>
      <c r="H2949" t="s">
        <v>67</v>
      </c>
      <c r="J2949" t="s">
        <v>199</v>
      </c>
      <c r="K2949" t="s">
        <v>250</v>
      </c>
      <c r="L2949">
        <v>680000</v>
      </c>
      <c r="M2949" t="s">
        <v>242</v>
      </c>
      <c r="N2949" t="s">
        <v>2193</v>
      </c>
    </row>
    <row r="2950" spans="1:16" hidden="1" x14ac:dyDescent="0.25">
      <c r="A2950" s="16">
        <v>45839</v>
      </c>
      <c r="B2950" t="s">
        <v>35</v>
      </c>
      <c r="C2950">
        <v>13</v>
      </c>
      <c r="D2950" t="s">
        <v>291</v>
      </c>
      <c r="E2950" t="s">
        <v>292</v>
      </c>
      <c r="F2950" t="s">
        <v>285</v>
      </c>
      <c r="G2950" t="s">
        <v>63</v>
      </c>
      <c r="H2950" t="s">
        <v>68</v>
      </c>
      <c r="J2950" t="s">
        <v>199</v>
      </c>
      <c r="K2950" t="s">
        <v>250</v>
      </c>
      <c r="L2950">
        <v>1190000</v>
      </c>
      <c r="M2950" t="s">
        <v>242</v>
      </c>
      <c r="N2950" t="s">
        <v>694</v>
      </c>
    </row>
    <row r="2951" spans="1:16" x14ac:dyDescent="0.25">
      <c r="A2951" s="16">
        <v>45839</v>
      </c>
      <c r="B2951" t="s">
        <v>35</v>
      </c>
      <c r="C2951">
        <v>14</v>
      </c>
      <c r="D2951" t="s">
        <v>291</v>
      </c>
      <c r="E2951" t="s">
        <v>292</v>
      </c>
      <c r="F2951" t="s">
        <v>285</v>
      </c>
      <c r="G2951" t="s">
        <v>63</v>
      </c>
      <c r="H2951" t="s">
        <v>77</v>
      </c>
      <c r="J2951" t="s">
        <v>199</v>
      </c>
      <c r="K2951" t="s">
        <v>250</v>
      </c>
      <c r="L2951">
        <v>9000</v>
      </c>
      <c r="M2951" t="s">
        <v>242</v>
      </c>
      <c r="N2951" t="s">
        <v>2027</v>
      </c>
    </row>
    <row r="2952" spans="1:16" x14ac:dyDescent="0.25">
      <c r="A2952" s="16">
        <v>45839</v>
      </c>
      <c r="B2952" t="s">
        <v>35</v>
      </c>
      <c r="C2952">
        <v>14</v>
      </c>
      <c r="D2952" t="s">
        <v>291</v>
      </c>
      <c r="E2952" t="s">
        <v>292</v>
      </c>
      <c r="F2952" t="s">
        <v>285</v>
      </c>
      <c r="G2952" t="s">
        <v>63</v>
      </c>
      <c r="H2952" t="s">
        <v>70</v>
      </c>
      <c r="J2952" t="s">
        <v>199</v>
      </c>
      <c r="K2952" t="s">
        <v>250</v>
      </c>
      <c r="L2952">
        <v>701000</v>
      </c>
      <c r="M2952" t="s">
        <v>242</v>
      </c>
      <c r="N2952" t="s">
        <v>2194</v>
      </c>
    </row>
    <row r="2953" spans="1:16" x14ac:dyDescent="0.25">
      <c r="A2953" s="16">
        <v>45839</v>
      </c>
      <c r="B2953" t="s">
        <v>35</v>
      </c>
      <c r="C2953">
        <v>14</v>
      </c>
      <c r="D2953" t="s">
        <v>291</v>
      </c>
      <c r="E2953" t="s">
        <v>292</v>
      </c>
      <c r="F2953" t="s">
        <v>285</v>
      </c>
      <c r="G2953" t="s">
        <v>63</v>
      </c>
      <c r="H2953" t="s">
        <v>71</v>
      </c>
      <c r="J2953" t="s">
        <v>199</v>
      </c>
      <c r="K2953" t="s">
        <v>250</v>
      </c>
      <c r="L2953">
        <v>499000</v>
      </c>
      <c r="M2953" t="s">
        <v>242</v>
      </c>
      <c r="N2953" t="s">
        <v>1433</v>
      </c>
    </row>
    <row r="2954" spans="1:16" x14ac:dyDescent="0.25">
      <c r="A2954" s="16">
        <v>45839</v>
      </c>
      <c r="B2954" t="s">
        <v>35</v>
      </c>
      <c r="C2954">
        <v>14</v>
      </c>
      <c r="D2954" t="s">
        <v>291</v>
      </c>
      <c r="E2954" t="s">
        <v>292</v>
      </c>
      <c r="F2954" t="s">
        <v>285</v>
      </c>
      <c r="G2954" t="s">
        <v>63</v>
      </c>
      <c r="H2954" t="s">
        <v>72</v>
      </c>
      <c r="J2954" t="s">
        <v>199</v>
      </c>
      <c r="K2954" t="s">
        <v>250</v>
      </c>
      <c r="L2954">
        <v>339000</v>
      </c>
      <c r="M2954" t="s">
        <v>242</v>
      </c>
      <c r="N2954" t="s">
        <v>2195</v>
      </c>
    </row>
    <row r="2955" spans="1:16" x14ac:dyDescent="0.25">
      <c r="A2955" s="63">
        <v>45839</v>
      </c>
      <c r="B2955" s="65" t="s">
        <v>35</v>
      </c>
      <c r="C2955" s="65">
        <v>14</v>
      </c>
      <c r="D2955" s="65" t="s">
        <v>291</v>
      </c>
      <c r="E2955" s="65" t="s">
        <v>292</v>
      </c>
      <c r="F2955" s="65" t="s">
        <v>285</v>
      </c>
      <c r="G2955" s="65" t="s">
        <v>63</v>
      </c>
      <c r="H2955" s="65" t="s">
        <v>73</v>
      </c>
      <c r="I2955" s="65"/>
      <c r="J2955" s="65" t="s">
        <v>199</v>
      </c>
      <c r="K2955" s="65" t="s">
        <v>250</v>
      </c>
      <c r="L2955" s="65">
        <v>208000</v>
      </c>
      <c r="M2955" s="65" t="s">
        <v>242</v>
      </c>
      <c r="N2955" s="65" t="s">
        <v>2196</v>
      </c>
    </row>
    <row r="2956" spans="1:16" x14ac:dyDescent="0.25">
      <c r="A2956" s="63">
        <v>45839</v>
      </c>
      <c r="B2956" s="65" t="s">
        <v>35</v>
      </c>
      <c r="C2956" s="65">
        <v>14</v>
      </c>
      <c r="D2956" s="65" t="s">
        <v>291</v>
      </c>
      <c r="E2956" s="65" t="s">
        <v>292</v>
      </c>
      <c r="F2956" s="65" t="s">
        <v>285</v>
      </c>
      <c r="G2956" s="65" t="s">
        <v>63</v>
      </c>
      <c r="H2956" s="65" t="s">
        <v>74</v>
      </c>
      <c r="I2956" s="65"/>
      <c r="J2956" s="65" t="s">
        <v>199</v>
      </c>
      <c r="K2956" s="65" t="s">
        <v>250</v>
      </c>
      <c r="L2956" s="65">
        <v>94000</v>
      </c>
      <c r="M2956" s="65" t="s">
        <v>242</v>
      </c>
      <c r="N2956" s="65" t="s">
        <v>2064</v>
      </c>
    </row>
    <row r="2957" spans="1:16" x14ac:dyDescent="0.25">
      <c r="A2957" s="63">
        <v>45839</v>
      </c>
      <c r="B2957" s="65" t="s">
        <v>35</v>
      </c>
      <c r="C2957" s="65">
        <v>14</v>
      </c>
      <c r="D2957" s="65" t="s">
        <v>291</v>
      </c>
      <c r="E2957" s="65" t="s">
        <v>292</v>
      </c>
      <c r="F2957" s="65" t="s">
        <v>285</v>
      </c>
      <c r="G2957" s="65" t="s">
        <v>63</v>
      </c>
      <c r="H2957" s="65" t="s">
        <v>75</v>
      </c>
      <c r="I2957" s="65"/>
      <c r="J2957" s="65" t="s">
        <v>199</v>
      </c>
      <c r="K2957" s="65" t="s">
        <v>250</v>
      </c>
      <c r="L2957" s="65">
        <v>25000</v>
      </c>
      <c r="M2957" s="65" t="s">
        <v>242</v>
      </c>
      <c r="N2957" s="65" t="s">
        <v>2197</v>
      </c>
    </row>
    <row r="2958" spans="1:16" x14ac:dyDescent="0.25">
      <c r="A2958" s="63">
        <v>45839</v>
      </c>
      <c r="B2958" s="65" t="s">
        <v>35</v>
      </c>
      <c r="C2958" s="65">
        <v>14</v>
      </c>
      <c r="D2958" s="65" t="s">
        <v>291</v>
      </c>
      <c r="E2958" s="65" t="s">
        <v>292</v>
      </c>
      <c r="F2958" s="65" t="s">
        <v>285</v>
      </c>
      <c r="G2958" s="65" t="s">
        <v>63</v>
      </c>
      <c r="H2958" s="65" t="s">
        <v>76</v>
      </c>
      <c r="I2958" s="65"/>
      <c r="J2958" s="65" t="s">
        <v>199</v>
      </c>
      <c r="K2958" s="65" t="s">
        <v>250</v>
      </c>
      <c r="L2958" s="65">
        <v>6000</v>
      </c>
      <c r="M2958" s="65" t="s">
        <v>242</v>
      </c>
      <c r="N2958" s="65" t="s">
        <v>304</v>
      </c>
    </row>
    <row r="2959" spans="1:16" hidden="1" x14ac:dyDescent="0.25">
      <c r="A2959" s="16">
        <v>45839</v>
      </c>
      <c r="B2959" t="s">
        <v>35</v>
      </c>
      <c r="C2959">
        <v>15</v>
      </c>
      <c r="D2959" t="s">
        <v>291</v>
      </c>
      <c r="E2959" t="s">
        <v>292</v>
      </c>
      <c r="F2959" t="s">
        <v>285</v>
      </c>
      <c r="G2959" t="s">
        <v>63</v>
      </c>
      <c r="H2959" t="s">
        <v>79</v>
      </c>
      <c r="J2959" t="s">
        <v>199</v>
      </c>
      <c r="K2959" t="s">
        <v>250</v>
      </c>
      <c r="L2959">
        <v>1880000</v>
      </c>
      <c r="M2959" t="s">
        <v>242</v>
      </c>
      <c r="N2959" t="s">
        <v>2167</v>
      </c>
    </row>
    <row r="2960" spans="1:16" hidden="1" x14ac:dyDescent="0.25">
      <c r="A2960" s="16">
        <v>45839</v>
      </c>
      <c r="B2960" t="s">
        <v>35</v>
      </c>
      <c r="C2960">
        <v>15</v>
      </c>
      <c r="D2960" t="s">
        <v>291</v>
      </c>
      <c r="E2960" t="s">
        <v>292</v>
      </c>
      <c r="F2960" t="s">
        <v>285</v>
      </c>
      <c r="G2960" t="s">
        <v>63</v>
      </c>
      <c r="H2960" t="s">
        <v>80</v>
      </c>
      <c r="J2960" t="s">
        <v>199</v>
      </c>
      <c r="K2960" t="s">
        <v>250</v>
      </c>
      <c r="L2960">
        <v>39000</v>
      </c>
      <c r="M2960" t="s">
        <v>242</v>
      </c>
      <c r="N2960" t="s">
        <v>2198</v>
      </c>
    </row>
    <row r="2961" spans="1:16" hidden="1" x14ac:dyDescent="0.25">
      <c r="A2961" s="16">
        <v>45839</v>
      </c>
      <c r="B2961" t="s">
        <v>35</v>
      </c>
      <c r="C2961">
        <v>16</v>
      </c>
      <c r="D2961" t="s">
        <v>253</v>
      </c>
      <c r="E2961" t="s">
        <v>248</v>
      </c>
      <c r="F2961" t="s">
        <v>240</v>
      </c>
      <c r="G2961" t="s">
        <v>82</v>
      </c>
      <c r="J2961" t="s">
        <v>197</v>
      </c>
      <c r="K2961" t="s">
        <v>255</v>
      </c>
      <c r="L2961">
        <v>13730000</v>
      </c>
      <c r="M2961" t="s">
        <v>242</v>
      </c>
      <c r="N2961" t="s">
        <v>1855</v>
      </c>
      <c r="O2961">
        <v>1</v>
      </c>
      <c r="P2961" t="s">
        <v>257</v>
      </c>
    </row>
    <row r="2962" spans="1:16" hidden="1" x14ac:dyDescent="0.25">
      <c r="A2962" s="16">
        <v>45839</v>
      </c>
      <c r="B2962" t="s">
        <v>35</v>
      </c>
      <c r="C2962">
        <v>16</v>
      </c>
      <c r="D2962" t="s">
        <v>253</v>
      </c>
      <c r="E2962" t="s">
        <v>248</v>
      </c>
      <c r="F2962" t="s">
        <v>240</v>
      </c>
      <c r="G2962" t="s">
        <v>82</v>
      </c>
      <c r="J2962" t="s">
        <v>198</v>
      </c>
      <c r="K2962" t="s">
        <v>255</v>
      </c>
      <c r="L2962">
        <v>13090000</v>
      </c>
      <c r="M2962" t="s">
        <v>242</v>
      </c>
      <c r="N2962" t="s">
        <v>2029</v>
      </c>
      <c r="O2962">
        <v>1</v>
      </c>
      <c r="P2962" t="s">
        <v>257</v>
      </c>
    </row>
    <row r="2963" spans="1:16" hidden="1" x14ac:dyDescent="0.25">
      <c r="A2963" s="16">
        <v>45839</v>
      </c>
      <c r="B2963" t="s">
        <v>35</v>
      </c>
      <c r="C2963">
        <v>16</v>
      </c>
      <c r="D2963" t="s">
        <v>253</v>
      </c>
      <c r="E2963" t="s">
        <v>248</v>
      </c>
      <c r="F2963" t="s">
        <v>240</v>
      </c>
      <c r="G2963" t="s">
        <v>82</v>
      </c>
      <c r="J2963" t="s">
        <v>199</v>
      </c>
      <c r="K2963" t="s">
        <v>255</v>
      </c>
      <c r="L2963">
        <v>15300000</v>
      </c>
      <c r="M2963" t="s">
        <v>242</v>
      </c>
      <c r="N2963" t="s">
        <v>2199</v>
      </c>
      <c r="O2963">
        <v>1</v>
      </c>
      <c r="P2963" t="s">
        <v>261</v>
      </c>
    </row>
    <row r="2964" spans="1:16" hidden="1" x14ac:dyDescent="0.25">
      <c r="A2964" s="16">
        <v>45839</v>
      </c>
      <c r="B2964" t="s">
        <v>35</v>
      </c>
      <c r="C2964">
        <v>16</v>
      </c>
      <c r="D2964" t="s">
        <v>247</v>
      </c>
      <c r="E2964" t="s">
        <v>248</v>
      </c>
      <c r="F2964" t="s">
        <v>240</v>
      </c>
      <c r="G2964" t="s">
        <v>82</v>
      </c>
      <c r="H2964" t="s">
        <v>286</v>
      </c>
      <c r="J2964" t="s">
        <v>199</v>
      </c>
      <c r="K2964" t="s">
        <v>250</v>
      </c>
      <c r="L2964">
        <v>16.899999999999999</v>
      </c>
      <c r="M2964" t="s">
        <v>251</v>
      </c>
      <c r="N2964" t="s">
        <v>2200</v>
      </c>
    </row>
    <row r="2965" spans="1:16" hidden="1" x14ac:dyDescent="0.25">
      <c r="A2965" s="16">
        <v>45839</v>
      </c>
      <c r="B2965" t="s">
        <v>35</v>
      </c>
      <c r="C2965">
        <v>17</v>
      </c>
      <c r="D2965" t="s">
        <v>291</v>
      </c>
      <c r="E2965" t="s">
        <v>292</v>
      </c>
      <c r="F2965" t="s">
        <v>240</v>
      </c>
      <c r="G2965" t="s">
        <v>82</v>
      </c>
      <c r="H2965" t="s">
        <v>83</v>
      </c>
      <c r="J2965" t="s">
        <v>199</v>
      </c>
      <c r="K2965" t="s">
        <v>250</v>
      </c>
      <c r="L2965">
        <v>12600000</v>
      </c>
      <c r="M2965" t="s">
        <v>242</v>
      </c>
      <c r="N2965" t="s">
        <v>2201</v>
      </c>
    </row>
    <row r="2966" spans="1:16" hidden="1" x14ac:dyDescent="0.25">
      <c r="A2966" s="16">
        <v>45839</v>
      </c>
      <c r="B2966" t="s">
        <v>35</v>
      </c>
      <c r="C2966">
        <v>17</v>
      </c>
      <c r="D2966" t="s">
        <v>291</v>
      </c>
      <c r="E2966" t="s">
        <v>292</v>
      </c>
      <c r="F2966" t="s">
        <v>240</v>
      </c>
      <c r="G2966" t="s">
        <v>82</v>
      </c>
      <c r="H2966" t="s">
        <v>84</v>
      </c>
      <c r="J2966" t="s">
        <v>199</v>
      </c>
      <c r="K2966" t="s">
        <v>250</v>
      </c>
      <c r="L2966">
        <v>2700000</v>
      </c>
      <c r="M2966" t="s">
        <v>242</v>
      </c>
      <c r="N2966" t="s">
        <v>2202</v>
      </c>
    </row>
    <row r="2967" spans="1:16" hidden="1" x14ac:dyDescent="0.25">
      <c r="A2967" s="16">
        <v>45839</v>
      </c>
      <c r="B2967" t="s">
        <v>35</v>
      </c>
      <c r="C2967">
        <v>18</v>
      </c>
      <c r="D2967" t="s">
        <v>291</v>
      </c>
      <c r="E2967" t="s">
        <v>292</v>
      </c>
      <c r="F2967" t="s">
        <v>240</v>
      </c>
      <c r="G2967" t="s">
        <v>82</v>
      </c>
      <c r="H2967" t="s">
        <v>83</v>
      </c>
      <c r="I2967" t="s">
        <v>313</v>
      </c>
      <c r="J2967" t="s">
        <v>199</v>
      </c>
      <c r="K2967" t="s">
        <v>250</v>
      </c>
      <c r="L2967">
        <v>1.2</v>
      </c>
      <c r="M2967" t="s">
        <v>251</v>
      </c>
      <c r="N2967" t="s">
        <v>1427</v>
      </c>
    </row>
    <row r="2968" spans="1:16" hidden="1" x14ac:dyDescent="0.25">
      <c r="A2968" s="16">
        <v>45839</v>
      </c>
      <c r="B2968" t="s">
        <v>35</v>
      </c>
      <c r="C2968">
        <v>18</v>
      </c>
      <c r="D2968" t="s">
        <v>291</v>
      </c>
      <c r="E2968" t="s">
        <v>292</v>
      </c>
      <c r="F2968" t="s">
        <v>240</v>
      </c>
      <c r="G2968" t="s">
        <v>82</v>
      </c>
      <c r="H2968" t="s">
        <v>83</v>
      </c>
      <c r="I2968" t="s">
        <v>315</v>
      </c>
      <c r="J2968" t="s">
        <v>199</v>
      </c>
      <c r="K2968" t="s">
        <v>250</v>
      </c>
      <c r="L2968">
        <v>88.4</v>
      </c>
      <c r="M2968" t="s">
        <v>251</v>
      </c>
      <c r="N2968" t="s">
        <v>2203</v>
      </c>
    </row>
    <row r="2969" spans="1:16" hidden="1" x14ac:dyDescent="0.25">
      <c r="A2969" s="16">
        <v>45839</v>
      </c>
      <c r="B2969" t="s">
        <v>35</v>
      </c>
      <c r="C2969">
        <v>18</v>
      </c>
      <c r="D2969" t="s">
        <v>291</v>
      </c>
      <c r="E2969" t="s">
        <v>292</v>
      </c>
      <c r="F2969" t="s">
        <v>240</v>
      </c>
      <c r="G2969" t="s">
        <v>82</v>
      </c>
      <c r="H2969" t="s">
        <v>83</v>
      </c>
      <c r="I2969" t="s">
        <v>317</v>
      </c>
      <c r="J2969" t="s">
        <v>199</v>
      </c>
      <c r="K2969" t="s">
        <v>250</v>
      </c>
      <c r="L2969">
        <v>10.4</v>
      </c>
      <c r="M2969" t="s">
        <v>251</v>
      </c>
      <c r="N2969" t="s">
        <v>1493</v>
      </c>
    </row>
    <row r="2970" spans="1:16" hidden="1" x14ac:dyDescent="0.25">
      <c r="A2970" s="16">
        <v>45839</v>
      </c>
      <c r="B2970" t="s">
        <v>35</v>
      </c>
      <c r="C2970">
        <v>18</v>
      </c>
      <c r="D2970" t="s">
        <v>291</v>
      </c>
      <c r="E2970" t="s">
        <v>292</v>
      </c>
      <c r="F2970" t="s">
        <v>240</v>
      </c>
      <c r="G2970" t="s">
        <v>82</v>
      </c>
      <c r="H2970" t="s">
        <v>84</v>
      </c>
      <c r="I2970" t="s">
        <v>319</v>
      </c>
      <c r="J2970" t="s">
        <v>199</v>
      </c>
      <c r="K2970" t="s">
        <v>250</v>
      </c>
      <c r="L2970">
        <v>99.3</v>
      </c>
      <c r="M2970" t="s">
        <v>251</v>
      </c>
      <c r="N2970" t="s">
        <v>1685</v>
      </c>
    </row>
    <row r="2971" spans="1:16" hidden="1" x14ac:dyDescent="0.25">
      <c r="A2971" s="16">
        <v>45839</v>
      </c>
      <c r="B2971" t="s">
        <v>35</v>
      </c>
      <c r="C2971">
        <v>18</v>
      </c>
      <c r="D2971" t="s">
        <v>291</v>
      </c>
      <c r="E2971" t="s">
        <v>292</v>
      </c>
      <c r="F2971" t="s">
        <v>240</v>
      </c>
      <c r="G2971" t="s">
        <v>82</v>
      </c>
      <c r="H2971" t="s">
        <v>84</v>
      </c>
      <c r="I2971" t="s">
        <v>321</v>
      </c>
      <c r="J2971" t="s">
        <v>199</v>
      </c>
      <c r="K2971" t="s">
        <v>250</v>
      </c>
      <c r="L2971">
        <v>0.7</v>
      </c>
      <c r="M2971" t="s">
        <v>251</v>
      </c>
      <c r="N2971" t="s">
        <v>810</v>
      </c>
    </row>
    <row r="2972" spans="1:16" hidden="1" x14ac:dyDescent="0.25">
      <c r="A2972" s="16">
        <v>45839</v>
      </c>
      <c r="B2972" t="s">
        <v>35</v>
      </c>
      <c r="C2972">
        <v>19</v>
      </c>
      <c r="D2972" t="s">
        <v>253</v>
      </c>
      <c r="E2972" t="s">
        <v>248</v>
      </c>
      <c r="F2972" t="s">
        <v>244</v>
      </c>
      <c r="G2972" t="s">
        <v>82</v>
      </c>
      <c r="J2972" t="s">
        <v>197</v>
      </c>
      <c r="K2972" t="s">
        <v>255</v>
      </c>
      <c r="L2972">
        <v>1640000000</v>
      </c>
      <c r="M2972" t="s">
        <v>245</v>
      </c>
      <c r="N2972" t="s">
        <v>1860</v>
      </c>
      <c r="O2972">
        <v>1</v>
      </c>
      <c r="P2972" t="s">
        <v>257</v>
      </c>
    </row>
    <row r="2973" spans="1:16" hidden="1" x14ac:dyDescent="0.25">
      <c r="A2973" s="16">
        <v>45839</v>
      </c>
      <c r="B2973" t="s">
        <v>35</v>
      </c>
      <c r="C2973">
        <v>19</v>
      </c>
      <c r="D2973" t="s">
        <v>253</v>
      </c>
      <c r="E2973" t="s">
        <v>248</v>
      </c>
      <c r="F2973" t="s">
        <v>244</v>
      </c>
      <c r="G2973" t="s">
        <v>82</v>
      </c>
      <c r="J2973" t="s">
        <v>198</v>
      </c>
      <c r="K2973" t="s">
        <v>255</v>
      </c>
      <c r="L2973">
        <v>1600000000</v>
      </c>
      <c r="M2973" t="s">
        <v>245</v>
      </c>
      <c r="N2973" t="s">
        <v>2034</v>
      </c>
      <c r="O2973">
        <v>1</v>
      </c>
      <c r="P2973" t="s">
        <v>257</v>
      </c>
    </row>
    <row r="2974" spans="1:16" hidden="1" x14ac:dyDescent="0.25">
      <c r="A2974" s="16">
        <v>45839</v>
      </c>
      <c r="B2974" t="s">
        <v>35</v>
      </c>
      <c r="C2974">
        <v>19</v>
      </c>
      <c r="D2974" t="s">
        <v>253</v>
      </c>
      <c r="E2974" t="s">
        <v>248</v>
      </c>
      <c r="F2974" t="s">
        <v>244</v>
      </c>
      <c r="G2974" t="s">
        <v>82</v>
      </c>
      <c r="J2974" t="s">
        <v>199</v>
      </c>
      <c r="K2974" t="s">
        <v>255</v>
      </c>
      <c r="L2974">
        <v>1860000000</v>
      </c>
      <c r="M2974" t="s">
        <v>245</v>
      </c>
      <c r="N2974" t="s">
        <v>2204</v>
      </c>
      <c r="O2974">
        <v>1</v>
      </c>
      <c r="P2974" t="s">
        <v>261</v>
      </c>
    </row>
    <row r="2975" spans="1:16" hidden="1" x14ac:dyDescent="0.25">
      <c r="A2975" s="16">
        <v>45839</v>
      </c>
      <c r="B2975" t="s">
        <v>35</v>
      </c>
      <c r="C2975">
        <v>19</v>
      </c>
      <c r="D2975" t="s">
        <v>247</v>
      </c>
      <c r="E2975" t="s">
        <v>248</v>
      </c>
      <c r="F2975" t="s">
        <v>244</v>
      </c>
      <c r="G2975" t="s">
        <v>82</v>
      </c>
      <c r="H2975" t="s">
        <v>286</v>
      </c>
      <c r="J2975" t="s">
        <v>199</v>
      </c>
      <c r="K2975" t="s">
        <v>250</v>
      </c>
      <c r="L2975">
        <v>16.3</v>
      </c>
      <c r="M2975" t="s">
        <v>251</v>
      </c>
      <c r="N2975" t="s">
        <v>2205</v>
      </c>
    </row>
    <row r="2976" spans="1:16" hidden="1" x14ac:dyDescent="0.25">
      <c r="A2976" s="16">
        <v>45839</v>
      </c>
      <c r="B2976" t="s">
        <v>35</v>
      </c>
      <c r="C2976">
        <v>20</v>
      </c>
      <c r="D2976" t="s">
        <v>291</v>
      </c>
      <c r="E2976" t="s">
        <v>292</v>
      </c>
      <c r="F2976" t="s">
        <v>244</v>
      </c>
      <c r="G2976" t="s">
        <v>82</v>
      </c>
      <c r="H2976" t="s">
        <v>83</v>
      </c>
      <c r="J2976" t="s">
        <v>199</v>
      </c>
      <c r="K2976" t="s">
        <v>250</v>
      </c>
      <c r="L2976">
        <v>1400000000</v>
      </c>
      <c r="M2976" t="s">
        <v>245</v>
      </c>
      <c r="N2976" t="s">
        <v>2206</v>
      </c>
    </row>
    <row r="2977" spans="1:17" hidden="1" x14ac:dyDescent="0.25">
      <c r="A2977" s="16">
        <v>45839</v>
      </c>
      <c r="B2977" t="s">
        <v>35</v>
      </c>
      <c r="C2977">
        <v>20</v>
      </c>
      <c r="D2977" t="s">
        <v>291</v>
      </c>
      <c r="E2977" t="s">
        <v>292</v>
      </c>
      <c r="F2977" t="s">
        <v>244</v>
      </c>
      <c r="G2977" t="s">
        <v>82</v>
      </c>
      <c r="H2977" t="s">
        <v>84</v>
      </c>
      <c r="J2977" t="s">
        <v>199</v>
      </c>
      <c r="K2977" t="s">
        <v>250</v>
      </c>
      <c r="L2977">
        <v>458400000</v>
      </c>
      <c r="M2977" t="s">
        <v>245</v>
      </c>
      <c r="N2977" t="s">
        <v>2207</v>
      </c>
    </row>
    <row r="2978" spans="1:17" hidden="1" x14ac:dyDescent="0.25">
      <c r="A2978" s="16">
        <v>45839</v>
      </c>
      <c r="B2978" t="s">
        <v>35</v>
      </c>
      <c r="C2978">
        <v>21</v>
      </c>
      <c r="D2978" t="s">
        <v>291</v>
      </c>
      <c r="E2978" t="s">
        <v>292</v>
      </c>
      <c r="F2978" t="s">
        <v>244</v>
      </c>
      <c r="G2978" t="s">
        <v>82</v>
      </c>
      <c r="H2978" t="s">
        <v>83</v>
      </c>
      <c r="I2978" t="s">
        <v>313</v>
      </c>
      <c r="J2978" t="s">
        <v>199</v>
      </c>
      <c r="K2978" t="s">
        <v>250</v>
      </c>
      <c r="L2978">
        <v>3</v>
      </c>
      <c r="M2978" t="s">
        <v>251</v>
      </c>
      <c r="N2978" t="s">
        <v>1531</v>
      </c>
    </row>
    <row r="2979" spans="1:17" hidden="1" x14ac:dyDescent="0.25">
      <c r="A2979" s="16">
        <v>45839</v>
      </c>
      <c r="B2979" t="s">
        <v>35</v>
      </c>
      <c r="C2979">
        <v>21</v>
      </c>
      <c r="D2979" t="s">
        <v>291</v>
      </c>
      <c r="E2979" t="s">
        <v>292</v>
      </c>
      <c r="F2979" t="s">
        <v>244</v>
      </c>
      <c r="G2979" t="s">
        <v>82</v>
      </c>
      <c r="H2979" t="s">
        <v>83</v>
      </c>
      <c r="I2979" t="s">
        <v>315</v>
      </c>
      <c r="J2979" t="s">
        <v>199</v>
      </c>
      <c r="K2979" t="s">
        <v>250</v>
      </c>
      <c r="L2979">
        <v>75.3</v>
      </c>
      <c r="M2979" t="s">
        <v>251</v>
      </c>
      <c r="N2979" t="s">
        <v>2208</v>
      </c>
    </row>
    <row r="2980" spans="1:17" hidden="1" x14ac:dyDescent="0.25">
      <c r="A2980" s="16">
        <v>45839</v>
      </c>
      <c r="B2980" t="s">
        <v>35</v>
      </c>
      <c r="C2980">
        <v>21</v>
      </c>
      <c r="D2980" t="s">
        <v>291</v>
      </c>
      <c r="E2980" t="s">
        <v>292</v>
      </c>
      <c r="F2980" t="s">
        <v>244</v>
      </c>
      <c r="G2980" t="s">
        <v>82</v>
      </c>
      <c r="H2980" t="s">
        <v>83</v>
      </c>
      <c r="I2980" t="s">
        <v>317</v>
      </c>
      <c r="J2980" t="s">
        <v>199</v>
      </c>
      <c r="K2980" t="s">
        <v>250</v>
      </c>
      <c r="L2980">
        <v>21.7</v>
      </c>
      <c r="M2980" t="s">
        <v>251</v>
      </c>
      <c r="N2980" t="s">
        <v>2209</v>
      </c>
    </row>
    <row r="2981" spans="1:17" hidden="1" x14ac:dyDescent="0.25">
      <c r="A2981" s="16">
        <v>45839</v>
      </c>
      <c r="B2981" t="s">
        <v>35</v>
      </c>
      <c r="C2981">
        <v>21</v>
      </c>
      <c r="D2981" t="s">
        <v>291</v>
      </c>
      <c r="E2981" t="s">
        <v>292</v>
      </c>
      <c r="F2981" t="s">
        <v>244</v>
      </c>
      <c r="G2981" t="s">
        <v>82</v>
      </c>
      <c r="H2981" t="s">
        <v>84</v>
      </c>
      <c r="I2981" t="s">
        <v>319</v>
      </c>
      <c r="J2981" t="s">
        <v>199</v>
      </c>
      <c r="K2981" t="s">
        <v>250</v>
      </c>
      <c r="L2981">
        <v>99.92</v>
      </c>
      <c r="M2981" t="s">
        <v>251</v>
      </c>
      <c r="N2981" t="s">
        <v>332</v>
      </c>
    </row>
    <row r="2982" spans="1:17" hidden="1" x14ac:dyDescent="0.25">
      <c r="A2982" s="16">
        <v>45839</v>
      </c>
      <c r="B2982" t="s">
        <v>35</v>
      </c>
      <c r="C2982">
        <v>21</v>
      </c>
      <c r="D2982" t="s">
        <v>291</v>
      </c>
      <c r="E2982" t="s">
        <v>292</v>
      </c>
      <c r="F2982" t="s">
        <v>244</v>
      </c>
      <c r="G2982" t="s">
        <v>82</v>
      </c>
      <c r="H2982" t="s">
        <v>84</v>
      </c>
      <c r="I2982" t="s">
        <v>321</v>
      </c>
      <c r="J2982" t="s">
        <v>199</v>
      </c>
      <c r="K2982" t="s">
        <v>250</v>
      </c>
      <c r="L2982">
        <v>0.08</v>
      </c>
      <c r="M2982" t="s">
        <v>251</v>
      </c>
      <c r="N2982" t="s">
        <v>333</v>
      </c>
    </row>
    <row r="2983" spans="1:17" hidden="1" x14ac:dyDescent="0.25">
      <c r="A2983" s="16">
        <v>45839</v>
      </c>
      <c r="B2983" t="s">
        <v>35</v>
      </c>
      <c r="C2983">
        <v>22</v>
      </c>
      <c r="D2983" t="s">
        <v>253</v>
      </c>
      <c r="E2983" t="s">
        <v>248</v>
      </c>
      <c r="F2983" t="s">
        <v>334</v>
      </c>
      <c r="G2983" t="s">
        <v>82</v>
      </c>
      <c r="J2983" t="s">
        <v>197</v>
      </c>
      <c r="K2983" t="s">
        <v>255</v>
      </c>
      <c r="L2983">
        <v>119</v>
      </c>
      <c r="M2983" t="s">
        <v>245</v>
      </c>
      <c r="N2983" t="s">
        <v>1866</v>
      </c>
      <c r="O2983">
        <v>1</v>
      </c>
      <c r="P2983" t="s">
        <v>257</v>
      </c>
    </row>
    <row r="2984" spans="1:17" hidden="1" x14ac:dyDescent="0.25">
      <c r="A2984" s="16">
        <v>45839</v>
      </c>
      <c r="B2984" t="s">
        <v>35</v>
      </c>
      <c r="C2984">
        <v>22</v>
      </c>
      <c r="D2984" t="s">
        <v>253</v>
      </c>
      <c r="E2984" t="s">
        <v>248</v>
      </c>
      <c r="F2984" t="s">
        <v>334</v>
      </c>
      <c r="G2984" t="s">
        <v>82</v>
      </c>
      <c r="J2984" t="s">
        <v>198</v>
      </c>
      <c r="K2984" t="s">
        <v>255</v>
      </c>
      <c r="L2984">
        <v>122</v>
      </c>
      <c r="M2984" t="s">
        <v>245</v>
      </c>
      <c r="N2984" t="s">
        <v>2039</v>
      </c>
      <c r="O2984">
        <v>1</v>
      </c>
      <c r="P2984" t="s">
        <v>257</v>
      </c>
    </row>
    <row r="2985" spans="1:17" hidden="1" x14ac:dyDescent="0.25">
      <c r="A2985" s="16">
        <v>45839</v>
      </c>
      <c r="B2985" t="s">
        <v>35</v>
      </c>
      <c r="C2985">
        <v>22</v>
      </c>
      <c r="D2985" t="s">
        <v>253</v>
      </c>
      <c r="E2985" t="s">
        <v>248</v>
      </c>
      <c r="F2985" t="s">
        <v>334</v>
      </c>
      <c r="G2985" t="s">
        <v>82</v>
      </c>
      <c r="J2985" t="s">
        <v>199</v>
      </c>
      <c r="K2985" t="s">
        <v>255</v>
      </c>
      <c r="L2985">
        <v>122</v>
      </c>
      <c r="M2985" t="s">
        <v>245</v>
      </c>
      <c r="N2985" t="s">
        <v>2039</v>
      </c>
      <c r="O2985">
        <v>1</v>
      </c>
      <c r="P2985" t="s">
        <v>261</v>
      </c>
    </row>
    <row r="2986" spans="1:17" hidden="1" x14ac:dyDescent="0.25">
      <c r="A2986" s="16">
        <v>45839</v>
      </c>
      <c r="B2986" t="s">
        <v>35</v>
      </c>
      <c r="C2986">
        <v>23</v>
      </c>
      <c r="D2986" t="s">
        <v>291</v>
      </c>
      <c r="E2986" t="s">
        <v>292</v>
      </c>
      <c r="F2986" t="s">
        <v>240</v>
      </c>
      <c r="G2986" t="s">
        <v>82</v>
      </c>
      <c r="H2986" t="s">
        <v>94</v>
      </c>
      <c r="J2986" t="s">
        <v>199</v>
      </c>
      <c r="K2986" t="s">
        <v>250</v>
      </c>
      <c r="L2986">
        <v>6530000</v>
      </c>
      <c r="M2986" t="s">
        <v>242</v>
      </c>
      <c r="N2986" t="s">
        <v>2210</v>
      </c>
    </row>
    <row r="2987" spans="1:17" hidden="1" x14ac:dyDescent="0.25">
      <c r="A2987" s="16">
        <v>45839</v>
      </c>
      <c r="B2987" t="s">
        <v>35</v>
      </c>
      <c r="C2987">
        <v>23</v>
      </c>
      <c r="D2987" t="s">
        <v>291</v>
      </c>
      <c r="E2987" t="s">
        <v>292</v>
      </c>
      <c r="F2987" t="s">
        <v>240</v>
      </c>
      <c r="G2987" t="s">
        <v>82</v>
      </c>
      <c r="H2987" t="s">
        <v>95</v>
      </c>
      <c r="J2987" t="s">
        <v>199</v>
      </c>
      <c r="K2987" t="s">
        <v>250</v>
      </c>
      <c r="L2987">
        <v>2360000</v>
      </c>
      <c r="M2987" t="s">
        <v>242</v>
      </c>
      <c r="N2987" t="s">
        <v>2211</v>
      </c>
    </row>
    <row r="2988" spans="1:17" hidden="1" x14ac:dyDescent="0.25">
      <c r="A2988" s="16">
        <v>45839</v>
      </c>
      <c r="B2988" t="s">
        <v>35</v>
      </c>
      <c r="C2988">
        <v>24</v>
      </c>
      <c r="D2988" t="s">
        <v>291</v>
      </c>
      <c r="E2988" t="s">
        <v>292</v>
      </c>
      <c r="F2988" t="s">
        <v>244</v>
      </c>
      <c r="G2988" t="s">
        <v>82</v>
      </c>
      <c r="H2988" t="s">
        <v>94</v>
      </c>
      <c r="J2988" t="s">
        <v>199</v>
      </c>
      <c r="K2988" t="s">
        <v>250</v>
      </c>
      <c r="L2988">
        <v>939200000</v>
      </c>
      <c r="M2988" t="s">
        <v>245</v>
      </c>
      <c r="N2988" t="s">
        <v>2212</v>
      </c>
    </row>
    <row r="2989" spans="1:17" hidden="1" x14ac:dyDescent="0.25">
      <c r="A2989" s="16">
        <v>45839</v>
      </c>
      <c r="B2989" t="s">
        <v>35</v>
      </c>
      <c r="C2989">
        <v>24</v>
      </c>
      <c r="D2989" t="s">
        <v>291</v>
      </c>
      <c r="E2989" t="s">
        <v>292</v>
      </c>
      <c r="F2989" t="s">
        <v>244</v>
      </c>
      <c r="G2989" t="s">
        <v>82</v>
      </c>
      <c r="H2989" t="s">
        <v>95</v>
      </c>
      <c r="J2989" t="s">
        <v>199</v>
      </c>
      <c r="K2989" t="s">
        <v>250</v>
      </c>
      <c r="L2989">
        <v>257800000</v>
      </c>
      <c r="M2989" t="s">
        <v>245</v>
      </c>
      <c r="N2989" t="s">
        <v>2213</v>
      </c>
    </row>
    <row r="2990" spans="1:17" hidden="1" x14ac:dyDescent="0.25">
      <c r="A2990" s="16">
        <v>45839</v>
      </c>
      <c r="B2990" t="s">
        <v>156</v>
      </c>
      <c r="C2990">
        <v>78</v>
      </c>
      <c r="D2990" t="s">
        <v>238</v>
      </c>
      <c r="E2990" t="s">
        <v>239</v>
      </c>
      <c r="F2990" t="s">
        <v>240</v>
      </c>
      <c r="G2990" t="s">
        <v>158</v>
      </c>
      <c r="J2990" t="s">
        <v>199</v>
      </c>
      <c r="K2990" t="s">
        <v>241</v>
      </c>
      <c r="L2990">
        <v>3580000</v>
      </c>
      <c r="M2990" t="s">
        <v>242</v>
      </c>
      <c r="N2990" t="s">
        <v>2214</v>
      </c>
    </row>
    <row r="2991" spans="1:17" hidden="1" x14ac:dyDescent="0.25">
      <c r="A2991" s="16">
        <v>45839</v>
      </c>
      <c r="B2991" t="s">
        <v>156</v>
      </c>
      <c r="C2991">
        <v>78</v>
      </c>
      <c r="D2991" t="s">
        <v>238</v>
      </c>
      <c r="E2991" t="s">
        <v>239</v>
      </c>
      <c r="F2991" t="s">
        <v>244</v>
      </c>
      <c r="G2991" t="s">
        <v>158</v>
      </c>
      <c r="J2991" t="s">
        <v>199</v>
      </c>
      <c r="K2991" t="s">
        <v>241</v>
      </c>
      <c r="L2991">
        <v>23260000000</v>
      </c>
      <c r="M2991" t="s">
        <v>245</v>
      </c>
      <c r="N2991" t="s">
        <v>2215</v>
      </c>
    </row>
    <row r="2992" spans="1:17" hidden="1" x14ac:dyDescent="0.25">
      <c r="A2992" s="16">
        <v>45839</v>
      </c>
      <c r="B2992" t="s">
        <v>156</v>
      </c>
      <c r="C2992">
        <v>80</v>
      </c>
      <c r="D2992" t="s">
        <v>253</v>
      </c>
      <c r="E2992" t="s">
        <v>248</v>
      </c>
      <c r="F2992" t="s">
        <v>344</v>
      </c>
      <c r="G2992" t="s">
        <v>158</v>
      </c>
      <c r="J2992" t="s">
        <v>197</v>
      </c>
      <c r="K2992" t="s">
        <v>255</v>
      </c>
      <c r="L2992">
        <v>562000</v>
      </c>
      <c r="M2992" t="s">
        <v>242</v>
      </c>
      <c r="N2992" t="s">
        <v>2045</v>
      </c>
      <c r="O2992">
        <v>1</v>
      </c>
      <c r="P2992" t="s">
        <v>257</v>
      </c>
      <c r="Q2992" t="s">
        <v>2216</v>
      </c>
    </row>
    <row r="2993" spans="1:17" hidden="1" x14ac:dyDescent="0.25">
      <c r="A2993" s="16">
        <v>45839</v>
      </c>
      <c r="B2993" t="s">
        <v>156</v>
      </c>
      <c r="C2993">
        <v>80</v>
      </c>
      <c r="D2993" t="s">
        <v>253</v>
      </c>
      <c r="E2993" t="s">
        <v>248</v>
      </c>
      <c r="F2993" t="s">
        <v>344</v>
      </c>
      <c r="G2993" t="s">
        <v>158</v>
      </c>
      <c r="J2993" t="s">
        <v>198</v>
      </c>
      <c r="K2993" t="s">
        <v>255</v>
      </c>
      <c r="L2993">
        <v>551000</v>
      </c>
      <c r="M2993" t="s">
        <v>242</v>
      </c>
      <c r="N2993" t="s">
        <v>2217</v>
      </c>
      <c r="O2993">
        <v>1</v>
      </c>
      <c r="P2993" t="s">
        <v>257</v>
      </c>
      <c r="Q2993" t="s">
        <v>2218</v>
      </c>
    </row>
    <row r="2994" spans="1:17" hidden="1" x14ac:dyDescent="0.25">
      <c r="A2994" s="16">
        <v>45839</v>
      </c>
      <c r="B2994" t="s">
        <v>156</v>
      </c>
      <c r="C2994">
        <v>80</v>
      </c>
      <c r="D2994" t="s">
        <v>253</v>
      </c>
      <c r="E2994" t="s">
        <v>248</v>
      </c>
      <c r="F2994" t="s">
        <v>344</v>
      </c>
      <c r="G2994" t="s">
        <v>158</v>
      </c>
      <c r="J2994" t="s">
        <v>199</v>
      </c>
      <c r="K2994" t="s">
        <v>255</v>
      </c>
      <c r="L2994">
        <v>443000</v>
      </c>
      <c r="M2994" t="s">
        <v>242</v>
      </c>
      <c r="N2994" t="s">
        <v>1871</v>
      </c>
      <c r="O2994">
        <v>1</v>
      </c>
      <c r="P2994" t="s">
        <v>261</v>
      </c>
    </row>
    <row r="2995" spans="1:17" hidden="1" x14ac:dyDescent="0.25">
      <c r="A2995" s="16">
        <v>45839</v>
      </c>
      <c r="B2995" t="s">
        <v>156</v>
      </c>
      <c r="C2995">
        <v>80</v>
      </c>
      <c r="D2995" t="s">
        <v>253</v>
      </c>
      <c r="E2995" t="s">
        <v>248</v>
      </c>
      <c r="F2995" t="s">
        <v>344</v>
      </c>
      <c r="G2995" t="s">
        <v>158</v>
      </c>
      <c r="J2995" t="s">
        <v>197</v>
      </c>
      <c r="K2995" t="s">
        <v>255</v>
      </c>
      <c r="L2995">
        <v>443000</v>
      </c>
      <c r="M2995" t="s">
        <v>242</v>
      </c>
      <c r="N2995" t="s">
        <v>1871</v>
      </c>
      <c r="O2995">
        <v>1</v>
      </c>
      <c r="P2995" t="s">
        <v>257</v>
      </c>
    </row>
    <row r="2996" spans="1:17" hidden="1" x14ac:dyDescent="0.25">
      <c r="A2996" s="16">
        <v>45839</v>
      </c>
      <c r="B2996" t="s">
        <v>156</v>
      </c>
      <c r="C2996">
        <v>80</v>
      </c>
      <c r="D2996" t="s">
        <v>253</v>
      </c>
      <c r="E2996" t="s">
        <v>248</v>
      </c>
      <c r="F2996" t="s">
        <v>344</v>
      </c>
      <c r="G2996" t="s">
        <v>158</v>
      </c>
      <c r="J2996" t="s">
        <v>198</v>
      </c>
      <c r="K2996" t="s">
        <v>255</v>
      </c>
      <c r="L2996">
        <v>562000</v>
      </c>
      <c r="M2996" t="s">
        <v>242</v>
      </c>
      <c r="N2996" t="s">
        <v>2045</v>
      </c>
      <c r="O2996">
        <v>1</v>
      </c>
      <c r="P2996" t="s">
        <v>257</v>
      </c>
    </row>
    <row r="2997" spans="1:17" hidden="1" x14ac:dyDescent="0.25">
      <c r="A2997" s="16">
        <v>45839</v>
      </c>
      <c r="B2997" t="s">
        <v>156</v>
      </c>
      <c r="C2997">
        <v>80</v>
      </c>
      <c r="D2997" t="s">
        <v>253</v>
      </c>
      <c r="E2997" t="s">
        <v>248</v>
      </c>
      <c r="F2997" t="s">
        <v>344</v>
      </c>
      <c r="G2997" t="s">
        <v>158</v>
      </c>
      <c r="J2997" t="s">
        <v>199</v>
      </c>
      <c r="K2997" t="s">
        <v>255</v>
      </c>
      <c r="L2997">
        <v>551000</v>
      </c>
      <c r="M2997" t="s">
        <v>242</v>
      </c>
      <c r="N2997" t="s">
        <v>2217</v>
      </c>
      <c r="O2997">
        <v>1</v>
      </c>
      <c r="P2997" t="s">
        <v>261</v>
      </c>
    </row>
    <row r="2998" spans="1:17" hidden="1" x14ac:dyDescent="0.25">
      <c r="A2998" s="16">
        <v>45839</v>
      </c>
      <c r="B2998" t="s">
        <v>156</v>
      </c>
      <c r="C2998">
        <v>80</v>
      </c>
      <c r="D2998" t="s">
        <v>247</v>
      </c>
      <c r="E2998" t="s">
        <v>248</v>
      </c>
      <c r="F2998" t="s">
        <v>344</v>
      </c>
      <c r="G2998" t="s">
        <v>158</v>
      </c>
      <c r="H2998" t="s">
        <v>249</v>
      </c>
      <c r="J2998" t="s">
        <v>199</v>
      </c>
      <c r="K2998" t="s">
        <v>250</v>
      </c>
      <c r="L2998">
        <v>2.1</v>
      </c>
      <c r="M2998" t="s">
        <v>251</v>
      </c>
      <c r="N2998" t="s">
        <v>1498</v>
      </c>
    </row>
    <row r="2999" spans="1:17" hidden="1" x14ac:dyDescent="0.25">
      <c r="A2999" s="16">
        <v>45839</v>
      </c>
      <c r="B2999" t="s">
        <v>156</v>
      </c>
      <c r="C2999">
        <v>80</v>
      </c>
      <c r="D2999" t="s">
        <v>247</v>
      </c>
      <c r="E2999" t="s">
        <v>248</v>
      </c>
      <c r="F2999" t="s">
        <v>344</v>
      </c>
      <c r="G2999" t="s">
        <v>158</v>
      </c>
      <c r="H2999" t="s">
        <v>249</v>
      </c>
      <c r="J2999" t="s">
        <v>199</v>
      </c>
      <c r="K2999" t="s">
        <v>250</v>
      </c>
      <c r="L2999">
        <v>2.1</v>
      </c>
      <c r="M2999" t="s">
        <v>251</v>
      </c>
      <c r="N2999" t="s">
        <v>1498</v>
      </c>
    </row>
    <row r="3000" spans="1:17" hidden="1" x14ac:dyDescent="0.25">
      <c r="A3000" s="16">
        <v>45839</v>
      </c>
      <c r="B3000" t="s">
        <v>156</v>
      </c>
      <c r="C3000">
        <v>81</v>
      </c>
      <c r="D3000" t="s">
        <v>253</v>
      </c>
      <c r="E3000" t="s">
        <v>248</v>
      </c>
      <c r="F3000" t="s">
        <v>349</v>
      </c>
      <c r="G3000" t="s">
        <v>158</v>
      </c>
      <c r="J3000" t="s">
        <v>197</v>
      </c>
      <c r="K3000" t="s">
        <v>255</v>
      </c>
      <c r="L3000">
        <v>13900</v>
      </c>
      <c r="M3000" t="s">
        <v>242</v>
      </c>
      <c r="N3000" t="s">
        <v>1872</v>
      </c>
      <c r="O3000">
        <v>1</v>
      </c>
      <c r="P3000" t="s">
        <v>257</v>
      </c>
    </row>
    <row r="3001" spans="1:17" hidden="1" x14ac:dyDescent="0.25">
      <c r="A3001" s="16">
        <v>45839</v>
      </c>
      <c r="B3001" t="s">
        <v>156</v>
      </c>
      <c r="C3001">
        <v>81</v>
      </c>
      <c r="D3001" t="s">
        <v>253</v>
      </c>
      <c r="E3001" t="s">
        <v>248</v>
      </c>
      <c r="F3001" t="s">
        <v>349</v>
      </c>
      <c r="G3001" t="s">
        <v>158</v>
      </c>
      <c r="J3001" t="s">
        <v>198</v>
      </c>
      <c r="K3001" t="s">
        <v>255</v>
      </c>
      <c r="L3001">
        <v>21300</v>
      </c>
      <c r="M3001" t="s">
        <v>242</v>
      </c>
      <c r="N3001" t="s">
        <v>2047</v>
      </c>
      <c r="O3001">
        <v>1</v>
      </c>
      <c r="P3001" t="s">
        <v>257</v>
      </c>
    </row>
    <row r="3002" spans="1:17" hidden="1" x14ac:dyDescent="0.25">
      <c r="A3002" s="16">
        <v>45839</v>
      </c>
      <c r="B3002" t="s">
        <v>156</v>
      </c>
      <c r="C3002">
        <v>81</v>
      </c>
      <c r="D3002" t="s">
        <v>253</v>
      </c>
      <c r="E3002" t="s">
        <v>248</v>
      </c>
      <c r="F3002" t="s">
        <v>349</v>
      </c>
      <c r="G3002" t="s">
        <v>158</v>
      </c>
      <c r="J3002" t="s">
        <v>199</v>
      </c>
      <c r="K3002" t="s">
        <v>255</v>
      </c>
      <c r="L3002">
        <v>17300</v>
      </c>
      <c r="M3002" t="s">
        <v>242</v>
      </c>
      <c r="N3002" t="s">
        <v>2219</v>
      </c>
      <c r="O3002">
        <v>1</v>
      </c>
      <c r="P3002" t="s">
        <v>261</v>
      </c>
    </row>
    <row r="3003" spans="1:17" hidden="1" x14ac:dyDescent="0.25">
      <c r="A3003" s="16">
        <v>45839</v>
      </c>
      <c r="B3003" t="s">
        <v>156</v>
      </c>
      <c r="C3003">
        <v>82</v>
      </c>
      <c r="D3003" t="s">
        <v>253</v>
      </c>
      <c r="E3003" t="s">
        <v>248</v>
      </c>
      <c r="F3003" t="s">
        <v>615</v>
      </c>
      <c r="G3003" t="s">
        <v>158</v>
      </c>
      <c r="J3003" t="s">
        <v>197</v>
      </c>
      <c r="K3003" t="s">
        <v>255</v>
      </c>
      <c r="L3003">
        <v>3.1</v>
      </c>
      <c r="M3003" t="s">
        <v>251</v>
      </c>
      <c r="N3003" t="s">
        <v>1525</v>
      </c>
      <c r="O3003">
        <v>1</v>
      </c>
      <c r="P3003" t="s">
        <v>257</v>
      </c>
    </row>
    <row r="3004" spans="1:17" hidden="1" x14ac:dyDescent="0.25">
      <c r="A3004" s="16">
        <v>45839</v>
      </c>
      <c r="B3004" t="s">
        <v>156</v>
      </c>
      <c r="C3004">
        <v>82</v>
      </c>
      <c r="D3004" t="s">
        <v>253</v>
      </c>
      <c r="E3004" t="s">
        <v>248</v>
      </c>
      <c r="F3004" t="s">
        <v>615</v>
      </c>
      <c r="G3004" t="s">
        <v>158</v>
      </c>
      <c r="J3004" t="s">
        <v>198</v>
      </c>
      <c r="K3004" t="s">
        <v>255</v>
      </c>
      <c r="L3004">
        <v>3.8</v>
      </c>
      <c r="M3004" t="s">
        <v>251</v>
      </c>
      <c r="N3004" t="s">
        <v>855</v>
      </c>
      <c r="O3004">
        <v>1</v>
      </c>
      <c r="P3004" t="s">
        <v>257</v>
      </c>
    </row>
    <row r="3005" spans="1:17" hidden="1" x14ac:dyDescent="0.25">
      <c r="A3005" s="16">
        <v>45839</v>
      </c>
      <c r="B3005" t="s">
        <v>156</v>
      </c>
      <c r="C3005">
        <v>82</v>
      </c>
      <c r="D3005" t="s">
        <v>253</v>
      </c>
      <c r="E3005" t="s">
        <v>248</v>
      </c>
      <c r="F3005" t="s">
        <v>615</v>
      </c>
      <c r="G3005" t="s">
        <v>158</v>
      </c>
      <c r="J3005" t="s">
        <v>199</v>
      </c>
      <c r="K3005" t="s">
        <v>255</v>
      </c>
      <c r="L3005">
        <v>3.2</v>
      </c>
      <c r="M3005" t="s">
        <v>251</v>
      </c>
      <c r="N3005" t="s">
        <v>509</v>
      </c>
      <c r="O3005">
        <v>1</v>
      </c>
      <c r="P3005" t="s">
        <v>261</v>
      </c>
    </row>
    <row r="3006" spans="1:17" hidden="1" x14ac:dyDescent="0.25">
      <c r="A3006" s="16">
        <v>45839</v>
      </c>
      <c r="B3006" t="s">
        <v>156</v>
      </c>
      <c r="C3006">
        <v>83</v>
      </c>
      <c r="D3006" t="s">
        <v>291</v>
      </c>
      <c r="E3006" t="s">
        <v>292</v>
      </c>
      <c r="F3006" t="s">
        <v>349</v>
      </c>
      <c r="G3006" t="s">
        <v>158</v>
      </c>
      <c r="H3006" t="s">
        <v>159</v>
      </c>
      <c r="J3006" t="s">
        <v>199</v>
      </c>
      <c r="K3006" t="s">
        <v>250</v>
      </c>
      <c r="L3006">
        <v>11297</v>
      </c>
      <c r="M3006" t="s">
        <v>242</v>
      </c>
      <c r="N3006" t="s">
        <v>2220</v>
      </c>
    </row>
    <row r="3007" spans="1:17" hidden="1" x14ac:dyDescent="0.25">
      <c r="A3007" s="16">
        <v>45839</v>
      </c>
      <c r="B3007" t="s">
        <v>156</v>
      </c>
      <c r="C3007">
        <v>83</v>
      </c>
      <c r="D3007" t="s">
        <v>291</v>
      </c>
      <c r="E3007" t="s">
        <v>292</v>
      </c>
      <c r="F3007" t="s">
        <v>349</v>
      </c>
      <c r="G3007" t="s">
        <v>158</v>
      </c>
      <c r="H3007" t="s">
        <v>160</v>
      </c>
      <c r="J3007" t="s">
        <v>199</v>
      </c>
      <c r="K3007" t="s">
        <v>250</v>
      </c>
      <c r="L3007">
        <v>6023</v>
      </c>
      <c r="M3007" t="s">
        <v>242</v>
      </c>
      <c r="N3007" t="s">
        <v>2221</v>
      </c>
    </row>
    <row r="3008" spans="1:17" hidden="1" x14ac:dyDescent="0.25">
      <c r="A3008" s="16">
        <v>45839</v>
      </c>
      <c r="B3008" t="s">
        <v>156</v>
      </c>
      <c r="C3008">
        <v>84</v>
      </c>
      <c r="D3008" t="s">
        <v>253</v>
      </c>
      <c r="E3008" t="s">
        <v>248</v>
      </c>
      <c r="F3008" t="s">
        <v>356</v>
      </c>
      <c r="G3008" t="s">
        <v>158</v>
      </c>
      <c r="J3008" t="s">
        <v>197</v>
      </c>
      <c r="K3008" t="s">
        <v>255</v>
      </c>
      <c r="L3008">
        <v>3090000000</v>
      </c>
      <c r="M3008" t="s">
        <v>245</v>
      </c>
      <c r="N3008" t="s">
        <v>1875</v>
      </c>
      <c r="O3008">
        <v>1</v>
      </c>
      <c r="P3008" t="s">
        <v>257</v>
      </c>
    </row>
    <row r="3009" spans="1:16" hidden="1" x14ac:dyDescent="0.25">
      <c r="A3009" s="16">
        <v>45839</v>
      </c>
      <c r="B3009" t="s">
        <v>156</v>
      </c>
      <c r="C3009">
        <v>84</v>
      </c>
      <c r="D3009" t="s">
        <v>253</v>
      </c>
      <c r="E3009" t="s">
        <v>248</v>
      </c>
      <c r="F3009" t="s">
        <v>356</v>
      </c>
      <c r="G3009" t="s">
        <v>158</v>
      </c>
      <c r="J3009" t="s">
        <v>198</v>
      </c>
      <c r="K3009" t="s">
        <v>255</v>
      </c>
      <c r="L3009">
        <v>3350000000</v>
      </c>
      <c r="M3009" t="s">
        <v>245</v>
      </c>
      <c r="N3009" t="s">
        <v>2050</v>
      </c>
      <c r="O3009">
        <v>1</v>
      </c>
      <c r="P3009" t="s">
        <v>257</v>
      </c>
    </row>
    <row r="3010" spans="1:16" hidden="1" x14ac:dyDescent="0.25">
      <c r="A3010" s="16">
        <v>45839</v>
      </c>
      <c r="B3010" t="s">
        <v>156</v>
      </c>
      <c r="C3010">
        <v>84</v>
      </c>
      <c r="D3010" t="s">
        <v>253</v>
      </c>
      <c r="E3010" t="s">
        <v>248</v>
      </c>
      <c r="F3010" t="s">
        <v>356</v>
      </c>
      <c r="G3010" t="s">
        <v>158</v>
      </c>
      <c r="J3010" t="s">
        <v>199</v>
      </c>
      <c r="K3010" t="s">
        <v>255</v>
      </c>
      <c r="L3010">
        <v>3680000000</v>
      </c>
      <c r="M3010" t="s">
        <v>245</v>
      </c>
      <c r="N3010" t="s">
        <v>2222</v>
      </c>
      <c r="O3010">
        <v>1</v>
      </c>
      <c r="P3010" t="s">
        <v>261</v>
      </c>
    </row>
    <row r="3011" spans="1:16" hidden="1" x14ac:dyDescent="0.25">
      <c r="A3011" s="16">
        <v>45839</v>
      </c>
      <c r="B3011" t="s">
        <v>156</v>
      </c>
      <c r="C3011">
        <v>84</v>
      </c>
      <c r="D3011" t="s">
        <v>247</v>
      </c>
      <c r="E3011" t="s">
        <v>248</v>
      </c>
      <c r="F3011" t="s">
        <v>356</v>
      </c>
      <c r="G3011" t="s">
        <v>158</v>
      </c>
      <c r="H3011" t="s">
        <v>286</v>
      </c>
      <c r="J3011" t="s">
        <v>199</v>
      </c>
      <c r="K3011" t="s">
        <v>250</v>
      </c>
      <c r="L3011">
        <v>9.8000000000000007</v>
      </c>
      <c r="M3011" t="s">
        <v>251</v>
      </c>
      <c r="N3011" t="s">
        <v>2223</v>
      </c>
    </row>
    <row r="3012" spans="1:16" hidden="1" x14ac:dyDescent="0.25">
      <c r="A3012" s="16">
        <v>45839</v>
      </c>
      <c r="B3012" t="s">
        <v>156</v>
      </c>
      <c r="C3012">
        <v>85</v>
      </c>
      <c r="D3012" t="s">
        <v>253</v>
      </c>
      <c r="E3012" t="s">
        <v>248</v>
      </c>
      <c r="F3012" t="s">
        <v>361</v>
      </c>
      <c r="G3012" t="s">
        <v>158</v>
      </c>
      <c r="J3012" t="s">
        <v>197</v>
      </c>
      <c r="K3012" t="s">
        <v>255</v>
      </c>
      <c r="L3012">
        <v>93000000</v>
      </c>
      <c r="M3012" t="s">
        <v>245</v>
      </c>
      <c r="N3012" t="s">
        <v>1877</v>
      </c>
      <c r="O3012">
        <v>1</v>
      </c>
      <c r="P3012" t="s">
        <v>257</v>
      </c>
    </row>
    <row r="3013" spans="1:16" hidden="1" x14ac:dyDescent="0.25">
      <c r="A3013" s="16">
        <v>45839</v>
      </c>
      <c r="B3013" t="s">
        <v>156</v>
      </c>
      <c r="C3013">
        <v>85</v>
      </c>
      <c r="D3013" t="s">
        <v>253</v>
      </c>
      <c r="E3013" t="s">
        <v>248</v>
      </c>
      <c r="F3013" t="s">
        <v>361</v>
      </c>
      <c r="G3013" t="s">
        <v>158</v>
      </c>
      <c r="J3013" t="s">
        <v>198</v>
      </c>
      <c r="K3013" t="s">
        <v>255</v>
      </c>
      <c r="L3013">
        <v>113000000</v>
      </c>
      <c r="M3013" t="s">
        <v>245</v>
      </c>
      <c r="N3013" t="s">
        <v>2051</v>
      </c>
      <c r="O3013">
        <v>1</v>
      </c>
      <c r="P3013" t="s">
        <v>257</v>
      </c>
    </row>
    <row r="3014" spans="1:16" hidden="1" x14ac:dyDescent="0.25">
      <c r="A3014" s="16">
        <v>45839</v>
      </c>
      <c r="B3014" t="s">
        <v>156</v>
      </c>
      <c r="C3014">
        <v>85</v>
      </c>
      <c r="D3014" t="s">
        <v>253</v>
      </c>
      <c r="E3014" t="s">
        <v>248</v>
      </c>
      <c r="F3014" t="s">
        <v>361</v>
      </c>
      <c r="G3014" t="s">
        <v>158</v>
      </c>
      <c r="J3014" t="s">
        <v>199</v>
      </c>
      <c r="K3014" t="s">
        <v>255</v>
      </c>
      <c r="L3014">
        <v>109000000</v>
      </c>
      <c r="M3014" t="s">
        <v>245</v>
      </c>
      <c r="N3014" t="s">
        <v>2224</v>
      </c>
      <c r="O3014">
        <v>1</v>
      </c>
      <c r="P3014" t="s">
        <v>261</v>
      </c>
    </row>
    <row r="3015" spans="1:16" hidden="1" x14ac:dyDescent="0.25">
      <c r="A3015" s="16">
        <v>45839</v>
      </c>
      <c r="B3015" t="s">
        <v>156</v>
      </c>
      <c r="C3015">
        <v>86</v>
      </c>
      <c r="D3015" t="s">
        <v>253</v>
      </c>
      <c r="E3015" t="s">
        <v>248</v>
      </c>
      <c r="F3015" t="s">
        <v>622</v>
      </c>
      <c r="G3015" t="s">
        <v>158</v>
      </c>
      <c r="J3015" t="s">
        <v>197</v>
      </c>
      <c r="K3015" t="s">
        <v>255</v>
      </c>
      <c r="L3015">
        <v>3</v>
      </c>
      <c r="M3015" t="s">
        <v>251</v>
      </c>
      <c r="N3015" t="s">
        <v>1878</v>
      </c>
      <c r="O3015">
        <v>1</v>
      </c>
      <c r="P3015" t="s">
        <v>257</v>
      </c>
    </row>
    <row r="3016" spans="1:16" hidden="1" x14ac:dyDescent="0.25">
      <c r="A3016" s="16">
        <v>45839</v>
      </c>
      <c r="B3016" t="s">
        <v>156</v>
      </c>
      <c r="C3016">
        <v>86</v>
      </c>
      <c r="D3016" t="s">
        <v>253</v>
      </c>
      <c r="E3016" t="s">
        <v>248</v>
      </c>
      <c r="F3016" t="s">
        <v>622</v>
      </c>
      <c r="G3016" t="s">
        <v>158</v>
      </c>
      <c r="J3016" t="s">
        <v>198</v>
      </c>
      <c r="K3016" t="s">
        <v>255</v>
      </c>
      <c r="L3016">
        <v>3.38</v>
      </c>
      <c r="M3016" t="s">
        <v>251</v>
      </c>
      <c r="N3016" t="s">
        <v>2052</v>
      </c>
      <c r="O3016">
        <v>1</v>
      </c>
      <c r="P3016" t="s">
        <v>257</v>
      </c>
    </row>
    <row r="3017" spans="1:16" hidden="1" x14ac:dyDescent="0.25">
      <c r="A3017" s="16">
        <v>45839</v>
      </c>
      <c r="B3017" t="s">
        <v>156</v>
      </c>
      <c r="C3017">
        <v>86</v>
      </c>
      <c r="D3017" t="s">
        <v>253</v>
      </c>
      <c r="E3017" t="s">
        <v>248</v>
      </c>
      <c r="F3017" t="s">
        <v>622</v>
      </c>
      <c r="G3017" t="s">
        <v>158</v>
      </c>
      <c r="J3017" t="s">
        <v>199</v>
      </c>
      <c r="K3017" t="s">
        <v>255</v>
      </c>
      <c r="L3017">
        <v>2.97</v>
      </c>
      <c r="M3017" t="s">
        <v>251</v>
      </c>
      <c r="N3017" t="s">
        <v>2225</v>
      </c>
      <c r="O3017">
        <v>1</v>
      </c>
      <c r="P3017" t="s">
        <v>261</v>
      </c>
    </row>
    <row r="3018" spans="1:16" hidden="1" x14ac:dyDescent="0.25">
      <c r="A3018" s="16">
        <v>45839</v>
      </c>
      <c r="B3018" t="s">
        <v>156</v>
      </c>
      <c r="C3018">
        <v>87</v>
      </c>
      <c r="D3018" t="s">
        <v>291</v>
      </c>
      <c r="E3018" t="s">
        <v>292</v>
      </c>
      <c r="F3018" t="s">
        <v>361</v>
      </c>
      <c r="G3018" t="s">
        <v>158</v>
      </c>
      <c r="H3018" t="s">
        <v>159</v>
      </c>
      <c r="J3018" t="s">
        <v>199</v>
      </c>
      <c r="K3018" t="s">
        <v>250</v>
      </c>
      <c r="L3018">
        <v>74400000</v>
      </c>
      <c r="M3018" t="s">
        <v>245</v>
      </c>
      <c r="N3018" t="s">
        <v>2226</v>
      </c>
    </row>
    <row r="3019" spans="1:16" hidden="1" x14ac:dyDescent="0.25">
      <c r="A3019" s="16">
        <v>45839</v>
      </c>
      <c r="B3019" t="s">
        <v>156</v>
      </c>
      <c r="C3019">
        <v>87</v>
      </c>
      <c r="D3019" t="s">
        <v>291</v>
      </c>
      <c r="E3019" t="s">
        <v>292</v>
      </c>
      <c r="F3019" t="s">
        <v>361</v>
      </c>
      <c r="G3019" t="s">
        <v>158</v>
      </c>
      <c r="H3019" t="s">
        <v>160</v>
      </c>
      <c r="J3019" t="s">
        <v>199</v>
      </c>
      <c r="K3019" t="s">
        <v>250</v>
      </c>
      <c r="L3019">
        <v>34900000</v>
      </c>
      <c r="M3019" t="s">
        <v>245</v>
      </c>
      <c r="N3019" t="s">
        <v>367</v>
      </c>
    </row>
    <row r="3020" spans="1:16" hidden="1" x14ac:dyDescent="0.25">
      <c r="A3020" s="16">
        <v>45839</v>
      </c>
      <c r="B3020" t="s">
        <v>120</v>
      </c>
      <c r="C3020">
        <v>60</v>
      </c>
      <c r="D3020" t="s">
        <v>238</v>
      </c>
      <c r="E3020" t="s">
        <v>239</v>
      </c>
      <c r="F3020" t="s">
        <v>240</v>
      </c>
      <c r="G3020" t="s">
        <v>82</v>
      </c>
      <c r="J3020" t="s">
        <v>199</v>
      </c>
      <c r="K3020" t="s">
        <v>241</v>
      </c>
      <c r="L3020">
        <v>42090000</v>
      </c>
      <c r="M3020" t="s">
        <v>242</v>
      </c>
      <c r="N3020" t="s">
        <v>2227</v>
      </c>
    </row>
    <row r="3021" spans="1:16" hidden="1" x14ac:dyDescent="0.25">
      <c r="A3021" s="16">
        <v>45839</v>
      </c>
      <c r="B3021" t="s">
        <v>120</v>
      </c>
      <c r="C3021">
        <v>60</v>
      </c>
      <c r="D3021" t="s">
        <v>238</v>
      </c>
      <c r="E3021" t="s">
        <v>239</v>
      </c>
      <c r="F3021" t="s">
        <v>244</v>
      </c>
      <c r="G3021" t="s">
        <v>82</v>
      </c>
      <c r="J3021" t="s">
        <v>199</v>
      </c>
      <c r="K3021" t="s">
        <v>241</v>
      </c>
      <c r="L3021">
        <v>8890000000</v>
      </c>
      <c r="M3021" t="s">
        <v>245</v>
      </c>
      <c r="N3021" t="s">
        <v>2019</v>
      </c>
    </row>
    <row r="3022" spans="1:16" hidden="1" x14ac:dyDescent="0.25">
      <c r="A3022" s="16">
        <v>45839</v>
      </c>
      <c r="B3022" t="s">
        <v>120</v>
      </c>
      <c r="C3022">
        <v>62</v>
      </c>
      <c r="D3022" t="s">
        <v>253</v>
      </c>
      <c r="E3022" t="s">
        <v>248</v>
      </c>
      <c r="F3022" t="s">
        <v>285</v>
      </c>
      <c r="G3022" t="s">
        <v>63</v>
      </c>
      <c r="J3022" t="s">
        <v>197</v>
      </c>
      <c r="K3022" t="s">
        <v>255</v>
      </c>
      <c r="L3022">
        <v>4730000</v>
      </c>
      <c r="M3022" t="s">
        <v>242</v>
      </c>
      <c r="N3022" t="s">
        <v>1883</v>
      </c>
      <c r="O3022">
        <v>1</v>
      </c>
      <c r="P3022" t="s">
        <v>257</v>
      </c>
    </row>
    <row r="3023" spans="1:16" hidden="1" x14ac:dyDescent="0.25">
      <c r="A3023" s="16">
        <v>45839</v>
      </c>
      <c r="B3023" t="s">
        <v>120</v>
      </c>
      <c r="C3023">
        <v>62</v>
      </c>
      <c r="D3023" t="s">
        <v>253</v>
      </c>
      <c r="E3023" t="s">
        <v>248</v>
      </c>
      <c r="F3023" t="s">
        <v>285</v>
      </c>
      <c r="G3023" t="s">
        <v>63</v>
      </c>
      <c r="J3023" t="s">
        <v>198</v>
      </c>
      <c r="K3023" t="s">
        <v>255</v>
      </c>
      <c r="L3023">
        <v>4760000</v>
      </c>
      <c r="M3023" t="s">
        <v>242</v>
      </c>
      <c r="N3023" t="s">
        <v>2057</v>
      </c>
      <c r="O3023">
        <v>1</v>
      </c>
      <c r="P3023" t="s">
        <v>257</v>
      </c>
    </row>
    <row r="3024" spans="1:16" hidden="1" x14ac:dyDescent="0.25">
      <c r="A3024" s="16">
        <v>45839</v>
      </c>
      <c r="B3024" t="s">
        <v>120</v>
      </c>
      <c r="C3024">
        <v>62</v>
      </c>
      <c r="D3024" t="s">
        <v>253</v>
      </c>
      <c r="E3024" t="s">
        <v>248</v>
      </c>
      <c r="F3024" t="s">
        <v>285</v>
      </c>
      <c r="G3024" t="s">
        <v>63</v>
      </c>
      <c r="J3024" t="s">
        <v>199</v>
      </c>
      <c r="K3024" t="s">
        <v>255</v>
      </c>
      <c r="L3024">
        <v>4810000</v>
      </c>
      <c r="M3024" t="s">
        <v>242</v>
      </c>
      <c r="N3024" t="s">
        <v>2228</v>
      </c>
      <c r="O3024">
        <v>1</v>
      </c>
      <c r="P3024" t="s">
        <v>261</v>
      </c>
    </row>
    <row r="3025" spans="1:16" hidden="1" x14ac:dyDescent="0.25">
      <c r="A3025" s="16">
        <v>45839</v>
      </c>
      <c r="B3025" t="s">
        <v>120</v>
      </c>
      <c r="C3025">
        <v>62</v>
      </c>
      <c r="D3025" t="s">
        <v>247</v>
      </c>
      <c r="E3025" t="s">
        <v>248</v>
      </c>
      <c r="F3025" t="s">
        <v>285</v>
      </c>
      <c r="G3025" t="s">
        <v>63</v>
      </c>
      <c r="H3025" t="s">
        <v>286</v>
      </c>
      <c r="J3025" t="s">
        <v>199</v>
      </c>
      <c r="K3025" t="s">
        <v>250</v>
      </c>
      <c r="L3025">
        <v>0.9</v>
      </c>
      <c r="M3025" t="s">
        <v>251</v>
      </c>
      <c r="N3025" t="s">
        <v>845</v>
      </c>
    </row>
    <row r="3026" spans="1:16" hidden="1" x14ac:dyDescent="0.25">
      <c r="A3026" s="16">
        <v>45839</v>
      </c>
      <c r="B3026" t="s">
        <v>120</v>
      </c>
      <c r="C3026">
        <v>63</v>
      </c>
      <c r="D3026" t="s">
        <v>291</v>
      </c>
      <c r="E3026" t="s">
        <v>292</v>
      </c>
      <c r="F3026" t="s">
        <v>285</v>
      </c>
      <c r="G3026" t="s">
        <v>63</v>
      </c>
      <c r="H3026" t="s">
        <v>122</v>
      </c>
      <c r="J3026" t="s">
        <v>199</v>
      </c>
      <c r="K3026" t="s">
        <v>250</v>
      </c>
      <c r="L3026">
        <v>4760000</v>
      </c>
      <c r="M3026" t="s">
        <v>242</v>
      </c>
      <c r="N3026" t="s">
        <v>2059</v>
      </c>
    </row>
    <row r="3027" spans="1:16" hidden="1" x14ac:dyDescent="0.25">
      <c r="A3027" s="16">
        <v>45839</v>
      </c>
      <c r="B3027" t="s">
        <v>120</v>
      </c>
      <c r="C3027">
        <v>63</v>
      </c>
      <c r="D3027" t="s">
        <v>291</v>
      </c>
      <c r="E3027" t="s">
        <v>292</v>
      </c>
      <c r="F3027" t="s">
        <v>285</v>
      </c>
      <c r="G3027" t="s">
        <v>63</v>
      </c>
      <c r="H3027" t="s">
        <v>123</v>
      </c>
      <c r="J3027" t="s">
        <v>199</v>
      </c>
      <c r="K3027" t="s">
        <v>250</v>
      </c>
      <c r="L3027">
        <v>43400</v>
      </c>
      <c r="M3027" t="s">
        <v>242</v>
      </c>
      <c r="N3027" t="s">
        <v>2229</v>
      </c>
    </row>
    <row r="3028" spans="1:16" hidden="1" x14ac:dyDescent="0.25">
      <c r="A3028" s="16">
        <v>45839</v>
      </c>
      <c r="B3028" t="s">
        <v>120</v>
      </c>
      <c r="C3028">
        <v>63</v>
      </c>
      <c r="D3028" t="s">
        <v>238</v>
      </c>
      <c r="E3028" t="s">
        <v>239</v>
      </c>
      <c r="F3028" t="s">
        <v>285</v>
      </c>
      <c r="G3028" t="s">
        <v>63</v>
      </c>
      <c r="H3028" t="s">
        <v>376</v>
      </c>
      <c r="J3028" t="s">
        <v>199</v>
      </c>
      <c r="K3028" t="s">
        <v>250</v>
      </c>
      <c r="L3028">
        <v>4810000</v>
      </c>
      <c r="M3028" t="s">
        <v>242</v>
      </c>
      <c r="N3028" t="s">
        <v>342</v>
      </c>
    </row>
    <row r="3029" spans="1:16" hidden="1" x14ac:dyDescent="0.25">
      <c r="A3029" s="16">
        <v>45839</v>
      </c>
      <c r="B3029" t="s">
        <v>120</v>
      </c>
      <c r="C3029">
        <v>64</v>
      </c>
      <c r="D3029" t="s">
        <v>238</v>
      </c>
      <c r="E3029" t="s">
        <v>239</v>
      </c>
      <c r="F3029" t="s">
        <v>378</v>
      </c>
      <c r="G3029" t="s">
        <v>379</v>
      </c>
      <c r="J3029" t="s">
        <v>199</v>
      </c>
      <c r="K3029" t="s">
        <v>250</v>
      </c>
      <c r="L3029">
        <v>636</v>
      </c>
      <c r="M3029" t="s">
        <v>242</v>
      </c>
      <c r="N3029" t="s">
        <v>2230</v>
      </c>
    </row>
    <row r="3030" spans="1:16" hidden="1" x14ac:dyDescent="0.25">
      <c r="A3030" s="16">
        <v>45839</v>
      </c>
      <c r="B3030" t="s">
        <v>120</v>
      </c>
      <c r="C3030">
        <v>64</v>
      </c>
      <c r="D3030" t="s">
        <v>238</v>
      </c>
      <c r="E3030" t="s">
        <v>239</v>
      </c>
      <c r="F3030" t="s">
        <v>381</v>
      </c>
      <c r="G3030" t="s">
        <v>382</v>
      </c>
      <c r="J3030" t="s">
        <v>199</v>
      </c>
      <c r="K3030" t="s">
        <v>250</v>
      </c>
      <c r="L3030">
        <v>2193</v>
      </c>
      <c r="M3030" t="s">
        <v>242</v>
      </c>
      <c r="N3030" t="s">
        <v>2231</v>
      </c>
    </row>
    <row r="3031" spans="1:16" hidden="1" x14ac:dyDescent="0.25">
      <c r="A3031" s="16">
        <v>45839</v>
      </c>
      <c r="B3031" t="s">
        <v>120</v>
      </c>
      <c r="C3031">
        <v>65</v>
      </c>
      <c r="D3031" t="s">
        <v>253</v>
      </c>
      <c r="E3031" t="s">
        <v>248</v>
      </c>
      <c r="F3031" t="s">
        <v>240</v>
      </c>
      <c r="G3031" t="s">
        <v>82</v>
      </c>
      <c r="J3031" t="s">
        <v>197</v>
      </c>
      <c r="K3031" t="s">
        <v>255</v>
      </c>
      <c r="L3031">
        <v>5760000</v>
      </c>
      <c r="M3031" t="s">
        <v>242</v>
      </c>
      <c r="N3031" t="s">
        <v>1888</v>
      </c>
      <c r="O3031">
        <v>1</v>
      </c>
      <c r="P3031" t="s">
        <v>257</v>
      </c>
    </row>
    <row r="3032" spans="1:16" hidden="1" x14ac:dyDescent="0.25">
      <c r="A3032" s="16">
        <v>45839</v>
      </c>
      <c r="B3032" t="s">
        <v>120</v>
      </c>
      <c r="C3032">
        <v>65</v>
      </c>
      <c r="D3032" t="s">
        <v>253</v>
      </c>
      <c r="E3032" t="s">
        <v>248</v>
      </c>
      <c r="F3032" t="s">
        <v>240</v>
      </c>
      <c r="G3032" t="s">
        <v>82</v>
      </c>
      <c r="J3032" t="s">
        <v>198</v>
      </c>
      <c r="K3032" t="s">
        <v>255</v>
      </c>
      <c r="L3032">
        <v>6130000</v>
      </c>
      <c r="M3032" t="s">
        <v>242</v>
      </c>
      <c r="N3032" t="s">
        <v>2062</v>
      </c>
      <c r="O3032">
        <v>1</v>
      </c>
      <c r="P3032" t="s">
        <v>257</v>
      </c>
    </row>
    <row r="3033" spans="1:16" hidden="1" x14ac:dyDescent="0.25">
      <c r="A3033" s="16">
        <v>45839</v>
      </c>
      <c r="B3033" t="s">
        <v>120</v>
      </c>
      <c r="C3033">
        <v>65</v>
      </c>
      <c r="D3033" t="s">
        <v>253</v>
      </c>
      <c r="E3033" t="s">
        <v>248</v>
      </c>
      <c r="F3033" t="s">
        <v>240</v>
      </c>
      <c r="G3033" t="s">
        <v>82</v>
      </c>
      <c r="J3033" t="s">
        <v>199</v>
      </c>
      <c r="K3033" t="s">
        <v>255</v>
      </c>
      <c r="L3033">
        <v>6580000</v>
      </c>
      <c r="M3033" t="s">
        <v>242</v>
      </c>
      <c r="N3033" t="s">
        <v>2232</v>
      </c>
      <c r="O3033">
        <v>1</v>
      </c>
      <c r="P3033" t="s">
        <v>261</v>
      </c>
    </row>
    <row r="3034" spans="1:16" hidden="1" x14ac:dyDescent="0.25">
      <c r="A3034" s="16">
        <v>45839</v>
      </c>
      <c r="B3034" t="s">
        <v>120</v>
      </c>
      <c r="C3034">
        <v>65</v>
      </c>
      <c r="D3034" t="s">
        <v>247</v>
      </c>
      <c r="E3034" t="s">
        <v>248</v>
      </c>
      <c r="F3034" t="s">
        <v>240</v>
      </c>
      <c r="G3034" t="s">
        <v>82</v>
      </c>
      <c r="H3034" t="s">
        <v>286</v>
      </c>
      <c r="J3034" t="s">
        <v>199</v>
      </c>
      <c r="K3034" t="s">
        <v>250</v>
      </c>
      <c r="L3034">
        <v>7.4</v>
      </c>
      <c r="M3034" t="s">
        <v>251</v>
      </c>
      <c r="N3034" t="s">
        <v>2233</v>
      </c>
    </row>
    <row r="3035" spans="1:16" hidden="1" x14ac:dyDescent="0.25">
      <c r="A3035" s="16">
        <v>45839</v>
      </c>
      <c r="B3035" t="s">
        <v>120</v>
      </c>
      <c r="C3035">
        <v>66</v>
      </c>
      <c r="D3035" t="s">
        <v>291</v>
      </c>
      <c r="E3035" t="s">
        <v>292</v>
      </c>
      <c r="F3035" t="s">
        <v>240</v>
      </c>
      <c r="G3035" t="s">
        <v>82</v>
      </c>
      <c r="H3035" t="s">
        <v>125</v>
      </c>
      <c r="J3035" t="s">
        <v>199</v>
      </c>
      <c r="K3035" t="s">
        <v>250</v>
      </c>
      <c r="L3035">
        <v>36000</v>
      </c>
      <c r="M3035" t="s">
        <v>242</v>
      </c>
      <c r="N3035" t="s">
        <v>393</v>
      </c>
    </row>
    <row r="3036" spans="1:16" hidden="1" x14ac:dyDescent="0.25">
      <c r="A3036" s="16">
        <v>45839</v>
      </c>
      <c r="B3036" t="s">
        <v>120</v>
      </c>
      <c r="C3036">
        <v>66</v>
      </c>
      <c r="D3036" t="s">
        <v>291</v>
      </c>
      <c r="E3036" t="s">
        <v>292</v>
      </c>
      <c r="F3036" t="s">
        <v>240</v>
      </c>
      <c r="G3036" t="s">
        <v>82</v>
      </c>
      <c r="H3036" t="s">
        <v>126</v>
      </c>
      <c r="J3036" t="s">
        <v>199</v>
      </c>
      <c r="K3036" t="s">
        <v>250</v>
      </c>
      <c r="L3036">
        <v>130000</v>
      </c>
      <c r="M3036" t="s">
        <v>242</v>
      </c>
      <c r="N3036" t="s">
        <v>2234</v>
      </c>
    </row>
    <row r="3037" spans="1:16" hidden="1" x14ac:dyDescent="0.25">
      <c r="A3037" s="16">
        <v>45839</v>
      </c>
      <c r="B3037" t="s">
        <v>120</v>
      </c>
      <c r="C3037">
        <v>66</v>
      </c>
      <c r="D3037" t="s">
        <v>291</v>
      </c>
      <c r="E3037" t="s">
        <v>292</v>
      </c>
      <c r="F3037" t="s">
        <v>240</v>
      </c>
      <c r="G3037" t="s">
        <v>82</v>
      </c>
      <c r="H3037" t="s">
        <v>127</v>
      </c>
      <c r="J3037" t="s">
        <v>199</v>
      </c>
      <c r="K3037" t="s">
        <v>250</v>
      </c>
      <c r="L3037">
        <v>311000</v>
      </c>
      <c r="M3037" t="s">
        <v>242</v>
      </c>
      <c r="N3037" t="s">
        <v>2235</v>
      </c>
    </row>
    <row r="3038" spans="1:16" hidden="1" x14ac:dyDescent="0.25">
      <c r="A3038" s="16">
        <v>45839</v>
      </c>
      <c r="B3038" t="s">
        <v>120</v>
      </c>
      <c r="C3038">
        <v>66</v>
      </c>
      <c r="D3038" t="s">
        <v>291</v>
      </c>
      <c r="E3038" t="s">
        <v>292</v>
      </c>
      <c r="F3038" t="s">
        <v>240</v>
      </c>
      <c r="G3038" t="s">
        <v>82</v>
      </c>
      <c r="H3038" t="s">
        <v>128</v>
      </c>
      <c r="J3038" t="s">
        <v>199</v>
      </c>
      <c r="K3038" t="s">
        <v>250</v>
      </c>
      <c r="L3038">
        <v>33000</v>
      </c>
      <c r="M3038" t="s">
        <v>242</v>
      </c>
      <c r="N3038" t="s">
        <v>643</v>
      </c>
    </row>
    <row r="3039" spans="1:16" hidden="1" x14ac:dyDescent="0.25">
      <c r="A3039" s="16">
        <v>45839</v>
      </c>
      <c r="B3039" t="s">
        <v>120</v>
      </c>
      <c r="C3039">
        <v>66</v>
      </c>
      <c r="D3039" t="s">
        <v>291</v>
      </c>
      <c r="E3039" t="s">
        <v>292</v>
      </c>
      <c r="F3039" t="s">
        <v>240</v>
      </c>
      <c r="G3039" t="s">
        <v>82</v>
      </c>
      <c r="H3039" t="s">
        <v>129</v>
      </c>
      <c r="J3039" t="s">
        <v>199</v>
      </c>
      <c r="K3039" t="s">
        <v>250</v>
      </c>
      <c r="L3039">
        <v>1280000</v>
      </c>
      <c r="M3039" t="s">
        <v>242</v>
      </c>
      <c r="N3039" t="s">
        <v>2236</v>
      </c>
    </row>
    <row r="3040" spans="1:16" hidden="1" x14ac:dyDescent="0.25">
      <c r="A3040" s="16">
        <v>45839</v>
      </c>
      <c r="B3040" t="s">
        <v>120</v>
      </c>
      <c r="C3040">
        <v>66</v>
      </c>
      <c r="D3040" t="s">
        <v>291</v>
      </c>
      <c r="E3040" t="s">
        <v>292</v>
      </c>
      <c r="F3040" t="s">
        <v>240</v>
      </c>
      <c r="G3040" t="s">
        <v>82</v>
      </c>
      <c r="H3040" t="s">
        <v>130</v>
      </c>
      <c r="J3040" t="s">
        <v>199</v>
      </c>
      <c r="K3040" t="s">
        <v>250</v>
      </c>
      <c r="L3040">
        <v>2130000</v>
      </c>
      <c r="M3040" t="s">
        <v>242</v>
      </c>
      <c r="N3040" t="s">
        <v>2237</v>
      </c>
    </row>
    <row r="3041" spans="1:16" hidden="1" x14ac:dyDescent="0.25">
      <c r="A3041" s="16">
        <v>45839</v>
      </c>
      <c r="B3041" t="s">
        <v>120</v>
      </c>
      <c r="C3041">
        <v>66</v>
      </c>
      <c r="D3041" t="s">
        <v>291</v>
      </c>
      <c r="E3041" t="s">
        <v>292</v>
      </c>
      <c r="F3041" t="s">
        <v>240</v>
      </c>
      <c r="G3041" t="s">
        <v>82</v>
      </c>
      <c r="H3041" t="s">
        <v>131</v>
      </c>
      <c r="J3041" t="s">
        <v>199</v>
      </c>
      <c r="K3041" t="s">
        <v>250</v>
      </c>
      <c r="L3041">
        <v>46000</v>
      </c>
      <c r="M3041" t="s">
        <v>242</v>
      </c>
      <c r="N3041" t="s">
        <v>1008</v>
      </c>
    </row>
    <row r="3042" spans="1:16" hidden="1" x14ac:dyDescent="0.25">
      <c r="A3042" s="16">
        <v>45839</v>
      </c>
      <c r="B3042" t="s">
        <v>120</v>
      </c>
      <c r="C3042">
        <v>66</v>
      </c>
      <c r="D3042" t="s">
        <v>291</v>
      </c>
      <c r="E3042" t="s">
        <v>292</v>
      </c>
      <c r="F3042" t="s">
        <v>240</v>
      </c>
      <c r="G3042" t="s">
        <v>82</v>
      </c>
      <c r="H3042" t="s">
        <v>132</v>
      </c>
      <c r="J3042" t="s">
        <v>199</v>
      </c>
      <c r="K3042" t="s">
        <v>250</v>
      </c>
      <c r="L3042">
        <v>68000</v>
      </c>
      <c r="M3042" t="s">
        <v>242</v>
      </c>
      <c r="N3042" t="s">
        <v>2238</v>
      </c>
    </row>
    <row r="3043" spans="1:16" hidden="1" x14ac:dyDescent="0.25">
      <c r="A3043" s="16">
        <v>45839</v>
      </c>
      <c r="B3043" t="s">
        <v>120</v>
      </c>
      <c r="C3043">
        <v>66</v>
      </c>
      <c r="D3043" t="s">
        <v>291</v>
      </c>
      <c r="E3043" t="s">
        <v>292</v>
      </c>
      <c r="F3043" t="s">
        <v>240</v>
      </c>
      <c r="G3043" t="s">
        <v>82</v>
      </c>
      <c r="H3043" t="s">
        <v>133</v>
      </c>
      <c r="J3043" t="s">
        <v>199</v>
      </c>
      <c r="K3043" t="s">
        <v>250</v>
      </c>
      <c r="L3043">
        <v>566000</v>
      </c>
      <c r="M3043" t="s">
        <v>242</v>
      </c>
      <c r="N3043" t="s">
        <v>1009</v>
      </c>
    </row>
    <row r="3044" spans="1:16" hidden="1" x14ac:dyDescent="0.25">
      <c r="A3044" s="16">
        <v>45839</v>
      </c>
      <c r="B3044" t="s">
        <v>120</v>
      </c>
      <c r="C3044">
        <v>66</v>
      </c>
      <c r="D3044" t="s">
        <v>291</v>
      </c>
      <c r="E3044" t="s">
        <v>292</v>
      </c>
      <c r="F3044" t="s">
        <v>240</v>
      </c>
      <c r="G3044" t="s">
        <v>82</v>
      </c>
      <c r="H3044" t="s">
        <v>134</v>
      </c>
      <c r="J3044" t="s">
        <v>199</v>
      </c>
      <c r="K3044" t="s">
        <v>250</v>
      </c>
      <c r="L3044">
        <v>1880000</v>
      </c>
      <c r="M3044" t="s">
        <v>242</v>
      </c>
      <c r="N3044" t="s">
        <v>1010</v>
      </c>
    </row>
    <row r="3045" spans="1:16" hidden="1" x14ac:dyDescent="0.25">
      <c r="A3045" s="16">
        <v>45839</v>
      </c>
      <c r="B3045" t="s">
        <v>120</v>
      </c>
      <c r="C3045">
        <v>67</v>
      </c>
      <c r="D3045" t="s">
        <v>291</v>
      </c>
      <c r="E3045" t="s">
        <v>292</v>
      </c>
      <c r="F3045" t="s">
        <v>240</v>
      </c>
      <c r="G3045" t="s">
        <v>82</v>
      </c>
      <c r="H3045" t="s">
        <v>137</v>
      </c>
      <c r="J3045" t="s">
        <v>199</v>
      </c>
      <c r="K3045" t="s">
        <v>250</v>
      </c>
      <c r="L3045">
        <v>1200000</v>
      </c>
      <c r="M3045" t="s">
        <v>242</v>
      </c>
      <c r="N3045" t="s">
        <v>2239</v>
      </c>
    </row>
    <row r="3046" spans="1:16" hidden="1" x14ac:dyDescent="0.25">
      <c r="A3046" s="16">
        <v>45839</v>
      </c>
      <c r="B3046" t="s">
        <v>120</v>
      </c>
      <c r="C3046">
        <v>67</v>
      </c>
      <c r="D3046" t="s">
        <v>291</v>
      </c>
      <c r="E3046" t="s">
        <v>292</v>
      </c>
      <c r="F3046" t="s">
        <v>240</v>
      </c>
      <c r="G3046" t="s">
        <v>82</v>
      </c>
      <c r="H3046" t="s">
        <v>138</v>
      </c>
      <c r="J3046" t="s">
        <v>199</v>
      </c>
      <c r="K3046" t="s">
        <v>250</v>
      </c>
      <c r="L3046">
        <v>5380000</v>
      </c>
      <c r="M3046" t="s">
        <v>242</v>
      </c>
      <c r="N3046" t="s">
        <v>1721</v>
      </c>
    </row>
    <row r="3047" spans="1:16" hidden="1" x14ac:dyDescent="0.25">
      <c r="A3047" s="16">
        <v>45839</v>
      </c>
      <c r="B3047" t="s">
        <v>120</v>
      </c>
      <c r="C3047">
        <v>68</v>
      </c>
      <c r="D3047" t="s">
        <v>253</v>
      </c>
      <c r="E3047" t="s">
        <v>248</v>
      </c>
      <c r="F3047" t="s">
        <v>244</v>
      </c>
      <c r="G3047" t="s">
        <v>82</v>
      </c>
      <c r="J3047" t="s">
        <v>197</v>
      </c>
      <c r="K3047" t="s">
        <v>255</v>
      </c>
      <c r="L3047">
        <v>1130000000</v>
      </c>
      <c r="M3047" t="s">
        <v>245</v>
      </c>
      <c r="N3047" t="s">
        <v>1551</v>
      </c>
      <c r="O3047">
        <v>1</v>
      </c>
      <c r="P3047" t="s">
        <v>257</v>
      </c>
    </row>
    <row r="3048" spans="1:16" hidden="1" x14ac:dyDescent="0.25">
      <c r="A3048" s="16">
        <v>45839</v>
      </c>
      <c r="B3048" t="s">
        <v>120</v>
      </c>
      <c r="C3048">
        <v>68</v>
      </c>
      <c r="D3048" t="s">
        <v>253</v>
      </c>
      <c r="E3048" t="s">
        <v>248</v>
      </c>
      <c r="F3048" t="s">
        <v>244</v>
      </c>
      <c r="G3048" t="s">
        <v>82</v>
      </c>
      <c r="J3048" t="s">
        <v>198</v>
      </c>
      <c r="K3048" t="s">
        <v>255</v>
      </c>
      <c r="L3048">
        <v>1130000000</v>
      </c>
      <c r="M3048" t="s">
        <v>245</v>
      </c>
      <c r="N3048" t="s">
        <v>1551</v>
      </c>
      <c r="O3048">
        <v>1</v>
      </c>
      <c r="P3048" t="s">
        <v>257</v>
      </c>
    </row>
    <row r="3049" spans="1:16" hidden="1" x14ac:dyDescent="0.25">
      <c r="A3049" s="16">
        <v>45839</v>
      </c>
      <c r="B3049" t="s">
        <v>120</v>
      </c>
      <c r="C3049">
        <v>68</v>
      </c>
      <c r="D3049" t="s">
        <v>253</v>
      </c>
      <c r="E3049" t="s">
        <v>248</v>
      </c>
      <c r="F3049" t="s">
        <v>244</v>
      </c>
      <c r="G3049" t="s">
        <v>82</v>
      </c>
      <c r="J3049" t="s">
        <v>199</v>
      </c>
      <c r="K3049" t="s">
        <v>255</v>
      </c>
      <c r="L3049">
        <v>1400000000</v>
      </c>
      <c r="M3049" t="s">
        <v>245</v>
      </c>
      <c r="N3049" t="s">
        <v>2240</v>
      </c>
      <c r="O3049">
        <v>1</v>
      </c>
      <c r="P3049" t="s">
        <v>261</v>
      </c>
    </row>
    <row r="3050" spans="1:16" hidden="1" x14ac:dyDescent="0.25">
      <c r="A3050" s="16">
        <v>45839</v>
      </c>
      <c r="B3050" t="s">
        <v>120</v>
      </c>
      <c r="C3050">
        <v>68</v>
      </c>
      <c r="D3050" t="s">
        <v>247</v>
      </c>
      <c r="E3050" t="s">
        <v>248</v>
      </c>
      <c r="F3050" t="s">
        <v>244</v>
      </c>
      <c r="G3050" t="s">
        <v>82</v>
      </c>
      <c r="H3050" t="s">
        <v>286</v>
      </c>
      <c r="J3050" t="s">
        <v>199</v>
      </c>
      <c r="K3050" t="s">
        <v>250</v>
      </c>
      <c r="L3050">
        <v>23.5</v>
      </c>
      <c r="M3050" t="s">
        <v>251</v>
      </c>
      <c r="N3050" t="s">
        <v>1593</v>
      </c>
    </row>
    <row r="3051" spans="1:16" hidden="1" x14ac:dyDescent="0.25">
      <c r="A3051" s="16">
        <v>45839</v>
      </c>
      <c r="B3051" t="s">
        <v>120</v>
      </c>
      <c r="C3051">
        <v>69</v>
      </c>
      <c r="D3051" t="s">
        <v>291</v>
      </c>
      <c r="E3051" t="s">
        <v>292</v>
      </c>
      <c r="F3051" t="s">
        <v>244</v>
      </c>
      <c r="G3051" t="s">
        <v>82</v>
      </c>
      <c r="H3051" t="s">
        <v>140</v>
      </c>
      <c r="J3051" t="s">
        <v>199</v>
      </c>
      <c r="K3051" t="s">
        <v>250</v>
      </c>
      <c r="L3051">
        <v>15000000</v>
      </c>
      <c r="M3051" t="s">
        <v>245</v>
      </c>
      <c r="N3051" t="s">
        <v>1018</v>
      </c>
    </row>
    <row r="3052" spans="1:16" hidden="1" x14ac:dyDescent="0.25">
      <c r="A3052" s="16">
        <v>45839</v>
      </c>
      <c r="B3052" t="s">
        <v>120</v>
      </c>
      <c r="C3052">
        <v>69</v>
      </c>
      <c r="D3052" t="s">
        <v>291</v>
      </c>
      <c r="E3052" t="s">
        <v>292</v>
      </c>
      <c r="F3052" t="s">
        <v>244</v>
      </c>
      <c r="G3052" t="s">
        <v>82</v>
      </c>
      <c r="H3052" t="s">
        <v>126</v>
      </c>
      <c r="J3052" t="s">
        <v>199</v>
      </c>
      <c r="K3052" t="s">
        <v>250</v>
      </c>
      <c r="L3052">
        <v>28000000</v>
      </c>
      <c r="M3052" t="s">
        <v>245</v>
      </c>
      <c r="N3052" t="s">
        <v>834</v>
      </c>
    </row>
    <row r="3053" spans="1:16" hidden="1" x14ac:dyDescent="0.25">
      <c r="A3053" s="16">
        <v>45839</v>
      </c>
      <c r="B3053" t="s">
        <v>120</v>
      </c>
      <c r="C3053">
        <v>69</v>
      </c>
      <c r="D3053" t="s">
        <v>291</v>
      </c>
      <c r="E3053" t="s">
        <v>292</v>
      </c>
      <c r="F3053" t="s">
        <v>244</v>
      </c>
      <c r="G3053" t="s">
        <v>82</v>
      </c>
      <c r="H3053" t="s">
        <v>127</v>
      </c>
      <c r="J3053" t="s">
        <v>199</v>
      </c>
      <c r="K3053" t="s">
        <v>250</v>
      </c>
      <c r="L3053">
        <v>47000000</v>
      </c>
      <c r="M3053" t="s">
        <v>245</v>
      </c>
      <c r="N3053" t="s">
        <v>2241</v>
      </c>
    </row>
    <row r="3054" spans="1:16" hidden="1" x14ac:dyDescent="0.25">
      <c r="A3054" s="16">
        <v>45839</v>
      </c>
      <c r="B3054" t="s">
        <v>120</v>
      </c>
      <c r="C3054">
        <v>69</v>
      </c>
      <c r="D3054" t="s">
        <v>291</v>
      </c>
      <c r="E3054" t="s">
        <v>292</v>
      </c>
      <c r="F3054" t="s">
        <v>244</v>
      </c>
      <c r="G3054" t="s">
        <v>82</v>
      </c>
      <c r="H3054" t="s">
        <v>128</v>
      </c>
      <c r="J3054" t="s">
        <v>199</v>
      </c>
      <c r="K3054" t="s">
        <v>250</v>
      </c>
      <c r="L3054">
        <v>13000000</v>
      </c>
      <c r="M3054" t="s">
        <v>245</v>
      </c>
      <c r="N3054" t="s">
        <v>403</v>
      </c>
    </row>
    <row r="3055" spans="1:16" hidden="1" x14ac:dyDescent="0.25">
      <c r="A3055" s="16">
        <v>45839</v>
      </c>
      <c r="B3055" t="s">
        <v>120</v>
      </c>
      <c r="C3055">
        <v>69</v>
      </c>
      <c r="D3055" t="s">
        <v>291</v>
      </c>
      <c r="E3055" t="s">
        <v>292</v>
      </c>
      <c r="F3055" t="s">
        <v>244</v>
      </c>
      <c r="G3055" t="s">
        <v>82</v>
      </c>
      <c r="H3055" t="s">
        <v>129</v>
      </c>
      <c r="J3055" t="s">
        <v>199</v>
      </c>
      <c r="K3055" t="s">
        <v>250</v>
      </c>
      <c r="L3055">
        <v>858000000</v>
      </c>
      <c r="M3055" t="s">
        <v>245</v>
      </c>
      <c r="N3055" t="s">
        <v>2242</v>
      </c>
    </row>
    <row r="3056" spans="1:16" hidden="1" x14ac:dyDescent="0.25">
      <c r="A3056" s="16">
        <v>45839</v>
      </c>
      <c r="B3056" t="s">
        <v>120</v>
      </c>
      <c r="C3056">
        <v>69</v>
      </c>
      <c r="D3056" t="s">
        <v>291</v>
      </c>
      <c r="E3056" t="s">
        <v>292</v>
      </c>
      <c r="F3056" t="s">
        <v>244</v>
      </c>
      <c r="G3056" t="s">
        <v>82</v>
      </c>
      <c r="H3056" t="s">
        <v>130</v>
      </c>
      <c r="J3056" t="s">
        <v>199</v>
      </c>
      <c r="K3056" t="s">
        <v>250</v>
      </c>
      <c r="L3056">
        <v>34000000</v>
      </c>
      <c r="M3056" t="s">
        <v>245</v>
      </c>
      <c r="N3056" t="s">
        <v>2073</v>
      </c>
    </row>
    <row r="3057" spans="1:16" hidden="1" x14ac:dyDescent="0.25">
      <c r="A3057" s="16">
        <v>45839</v>
      </c>
      <c r="B3057" t="s">
        <v>120</v>
      </c>
      <c r="C3057">
        <v>69</v>
      </c>
      <c r="D3057" t="s">
        <v>291</v>
      </c>
      <c r="E3057" t="s">
        <v>292</v>
      </c>
      <c r="F3057" t="s">
        <v>244</v>
      </c>
      <c r="G3057" t="s">
        <v>82</v>
      </c>
      <c r="H3057" t="s">
        <v>131</v>
      </c>
      <c r="J3057" t="s">
        <v>199</v>
      </c>
      <c r="K3057" t="s">
        <v>250</v>
      </c>
      <c r="L3057">
        <v>17000000</v>
      </c>
      <c r="M3057" t="s">
        <v>245</v>
      </c>
      <c r="N3057" t="s">
        <v>1373</v>
      </c>
    </row>
    <row r="3058" spans="1:16" hidden="1" x14ac:dyDescent="0.25">
      <c r="A3058" s="16">
        <v>45839</v>
      </c>
      <c r="B3058" t="s">
        <v>120</v>
      </c>
      <c r="C3058">
        <v>69</v>
      </c>
      <c r="D3058" t="s">
        <v>291</v>
      </c>
      <c r="E3058" t="s">
        <v>292</v>
      </c>
      <c r="F3058" t="s">
        <v>244</v>
      </c>
      <c r="G3058" t="s">
        <v>82</v>
      </c>
      <c r="H3058" t="s">
        <v>132</v>
      </c>
      <c r="J3058" t="s">
        <v>199</v>
      </c>
      <c r="K3058" t="s">
        <v>250</v>
      </c>
      <c r="L3058">
        <v>8000000</v>
      </c>
      <c r="M3058" t="s">
        <v>245</v>
      </c>
      <c r="N3058" t="s">
        <v>831</v>
      </c>
    </row>
    <row r="3059" spans="1:16" hidden="1" x14ac:dyDescent="0.25">
      <c r="A3059" s="16">
        <v>45839</v>
      </c>
      <c r="B3059" t="s">
        <v>120</v>
      </c>
      <c r="C3059">
        <v>69</v>
      </c>
      <c r="D3059" t="s">
        <v>291</v>
      </c>
      <c r="E3059" t="s">
        <v>292</v>
      </c>
      <c r="F3059" t="s">
        <v>244</v>
      </c>
      <c r="G3059" t="s">
        <v>82</v>
      </c>
      <c r="H3059" t="s">
        <v>133</v>
      </c>
      <c r="J3059" t="s">
        <v>199</v>
      </c>
      <c r="K3059" t="s">
        <v>250</v>
      </c>
      <c r="L3059">
        <v>286000000</v>
      </c>
      <c r="M3059" t="s">
        <v>245</v>
      </c>
      <c r="N3059" t="s">
        <v>2243</v>
      </c>
    </row>
    <row r="3060" spans="1:16" hidden="1" x14ac:dyDescent="0.25">
      <c r="A3060" s="16">
        <v>45839</v>
      </c>
      <c r="B3060" t="s">
        <v>120</v>
      </c>
      <c r="C3060">
        <v>69</v>
      </c>
      <c r="D3060" t="s">
        <v>291</v>
      </c>
      <c r="E3060" t="s">
        <v>292</v>
      </c>
      <c r="F3060" t="s">
        <v>244</v>
      </c>
      <c r="G3060" t="s">
        <v>82</v>
      </c>
      <c r="H3060" t="s">
        <v>134</v>
      </c>
      <c r="J3060" t="s">
        <v>199</v>
      </c>
      <c r="K3060" t="s">
        <v>250</v>
      </c>
      <c r="L3060">
        <v>81000000</v>
      </c>
      <c r="M3060" t="s">
        <v>245</v>
      </c>
      <c r="N3060" t="s">
        <v>2244</v>
      </c>
    </row>
    <row r="3061" spans="1:16" hidden="1" x14ac:dyDescent="0.25">
      <c r="A3061" s="16">
        <v>45839</v>
      </c>
      <c r="B3061" t="s">
        <v>120</v>
      </c>
      <c r="C3061">
        <v>70</v>
      </c>
      <c r="D3061" t="s">
        <v>291</v>
      </c>
      <c r="E3061" t="s">
        <v>292</v>
      </c>
      <c r="F3061" t="s">
        <v>244</v>
      </c>
      <c r="G3061" t="s">
        <v>82</v>
      </c>
      <c r="H3061" t="s">
        <v>137</v>
      </c>
      <c r="J3061" t="s">
        <v>199</v>
      </c>
      <c r="K3061" t="s">
        <v>250</v>
      </c>
      <c r="L3061">
        <v>294600000</v>
      </c>
      <c r="M3061" t="s">
        <v>245</v>
      </c>
      <c r="N3061" t="s">
        <v>2245</v>
      </c>
    </row>
    <row r="3062" spans="1:16" hidden="1" x14ac:dyDescent="0.25">
      <c r="A3062" s="16">
        <v>45839</v>
      </c>
      <c r="B3062" t="s">
        <v>120</v>
      </c>
      <c r="C3062">
        <v>70</v>
      </c>
      <c r="D3062" t="s">
        <v>291</v>
      </c>
      <c r="E3062" t="s">
        <v>292</v>
      </c>
      <c r="F3062" t="s">
        <v>244</v>
      </c>
      <c r="G3062" t="s">
        <v>82</v>
      </c>
      <c r="H3062" t="s">
        <v>138</v>
      </c>
      <c r="J3062" t="s">
        <v>199</v>
      </c>
      <c r="K3062" t="s">
        <v>250</v>
      </c>
      <c r="L3062">
        <v>1100000000</v>
      </c>
      <c r="M3062" t="s">
        <v>245</v>
      </c>
      <c r="N3062" t="s">
        <v>1023</v>
      </c>
    </row>
    <row r="3063" spans="1:16" hidden="1" x14ac:dyDescent="0.25">
      <c r="A3063" s="16">
        <v>45839</v>
      </c>
      <c r="B3063" t="s">
        <v>120</v>
      </c>
      <c r="C3063">
        <v>71</v>
      </c>
      <c r="D3063" t="s">
        <v>253</v>
      </c>
      <c r="E3063" t="s">
        <v>248</v>
      </c>
      <c r="F3063" t="s">
        <v>334</v>
      </c>
      <c r="G3063" t="s">
        <v>82</v>
      </c>
      <c r="J3063" t="s">
        <v>197</v>
      </c>
      <c r="K3063" t="s">
        <v>255</v>
      </c>
      <c r="L3063">
        <v>196</v>
      </c>
      <c r="M3063" t="s">
        <v>245</v>
      </c>
      <c r="N3063" t="s">
        <v>1901</v>
      </c>
      <c r="O3063">
        <v>1</v>
      </c>
      <c r="P3063" t="s">
        <v>257</v>
      </c>
    </row>
    <row r="3064" spans="1:16" hidden="1" x14ac:dyDescent="0.25">
      <c r="A3064" s="16">
        <v>45839</v>
      </c>
      <c r="B3064" t="s">
        <v>120</v>
      </c>
      <c r="C3064">
        <v>71</v>
      </c>
      <c r="D3064" t="s">
        <v>253</v>
      </c>
      <c r="E3064" t="s">
        <v>248</v>
      </c>
      <c r="F3064" t="s">
        <v>334</v>
      </c>
      <c r="G3064" t="s">
        <v>82</v>
      </c>
      <c r="J3064" t="s">
        <v>198</v>
      </c>
      <c r="K3064" t="s">
        <v>255</v>
      </c>
      <c r="L3064">
        <v>184</v>
      </c>
      <c r="M3064" t="s">
        <v>245</v>
      </c>
      <c r="N3064" t="s">
        <v>2077</v>
      </c>
      <c r="O3064">
        <v>1</v>
      </c>
      <c r="P3064" t="s">
        <v>257</v>
      </c>
    </row>
    <row r="3065" spans="1:16" hidden="1" x14ac:dyDescent="0.25">
      <c r="A3065" s="16">
        <v>45839</v>
      </c>
      <c r="B3065" t="s">
        <v>120</v>
      </c>
      <c r="C3065">
        <v>71</v>
      </c>
      <c r="D3065" t="s">
        <v>253</v>
      </c>
      <c r="E3065" t="s">
        <v>248</v>
      </c>
      <c r="F3065" t="s">
        <v>334</v>
      </c>
      <c r="G3065" t="s">
        <v>82</v>
      </c>
      <c r="J3065" t="s">
        <v>199</v>
      </c>
      <c r="K3065" t="s">
        <v>255</v>
      </c>
      <c r="L3065">
        <v>212</v>
      </c>
      <c r="M3065" t="s">
        <v>245</v>
      </c>
      <c r="N3065" t="s">
        <v>2246</v>
      </c>
      <c r="O3065">
        <v>1</v>
      </c>
      <c r="P3065" t="s">
        <v>261</v>
      </c>
    </row>
    <row r="3066" spans="1:16" hidden="1" x14ac:dyDescent="0.25">
      <c r="A3066" s="16">
        <v>45839</v>
      </c>
      <c r="B3066" t="s">
        <v>1192</v>
      </c>
      <c r="C3066">
        <v>55</v>
      </c>
      <c r="D3066" t="s">
        <v>238</v>
      </c>
      <c r="E3066" t="s">
        <v>239</v>
      </c>
      <c r="F3066" t="s">
        <v>240</v>
      </c>
      <c r="G3066" t="s">
        <v>82</v>
      </c>
      <c r="H3066" t="s">
        <v>184</v>
      </c>
      <c r="J3066" t="s">
        <v>199</v>
      </c>
      <c r="K3066" t="s">
        <v>241</v>
      </c>
      <c r="L3066">
        <v>85970000</v>
      </c>
      <c r="M3066" t="s">
        <v>242</v>
      </c>
      <c r="N3066" t="s">
        <v>2189</v>
      </c>
    </row>
    <row r="3067" spans="1:16" hidden="1" x14ac:dyDescent="0.25">
      <c r="A3067" s="16">
        <v>45839</v>
      </c>
      <c r="B3067" t="s">
        <v>1192</v>
      </c>
      <c r="C3067">
        <v>55</v>
      </c>
      <c r="D3067" t="s">
        <v>238</v>
      </c>
      <c r="E3067" t="s">
        <v>239</v>
      </c>
      <c r="F3067" t="s">
        <v>240</v>
      </c>
      <c r="G3067" t="s">
        <v>82</v>
      </c>
      <c r="H3067" t="s">
        <v>185</v>
      </c>
      <c r="J3067" t="s">
        <v>199</v>
      </c>
      <c r="K3067" t="s">
        <v>241</v>
      </c>
      <c r="L3067">
        <v>51940000</v>
      </c>
      <c r="M3067" t="s">
        <v>242</v>
      </c>
      <c r="N3067" t="s">
        <v>2247</v>
      </c>
    </row>
    <row r="3068" spans="1:16" hidden="1" x14ac:dyDescent="0.25">
      <c r="A3068" s="16">
        <v>45839</v>
      </c>
      <c r="B3068" t="s">
        <v>1192</v>
      </c>
      <c r="C3068">
        <v>55</v>
      </c>
      <c r="D3068" t="s">
        <v>238</v>
      </c>
      <c r="E3068" t="s">
        <v>239</v>
      </c>
      <c r="F3068" t="s">
        <v>1194</v>
      </c>
      <c r="G3068" t="s">
        <v>82</v>
      </c>
      <c r="J3068" t="s">
        <v>199</v>
      </c>
      <c r="K3068" t="s">
        <v>241</v>
      </c>
      <c r="L3068">
        <v>137900000</v>
      </c>
      <c r="M3068" t="s">
        <v>242</v>
      </c>
      <c r="N3068" t="s">
        <v>2248</v>
      </c>
    </row>
    <row r="3069" spans="1:16" hidden="1" x14ac:dyDescent="0.25">
      <c r="A3069" s="16">
        <v>45839</v>
      </c>
      <c r="B3069" t="s">
        <v>1192</v>
      </c>
      <c r="C3069">
        <v>55</v>
      </c>
      <c r="D3069" t="s">
        <v>238</v>
      </c>
      <c r="E3069" t="s">
        <v>239</v>
      </c>
      <c r="F3069" t="s">
        <v>1196</v>
      </c>
      <c r="G3069" t="s">
        <v>82</v>
      </c>
      <c r="J3069" t="s">
        <v>199</v>
      </c>
      <c r="K3069" t="s">
        <v>241</v>
      </c>
      <c r="L3069">
        <v>14320000000</v>
      </c>
      <c r="M3069" t="s">
        <v>245</v>
      </c>
      <c r="N3069" t="s">
        <v>2249</v>
      </c>
    </row>
    <row r="3070" spans="1:16" hidden="1" x14ac:dyDescent="0.25">
      <c r="A3070" s="16">
        <v>45839</v>
      </c>
      <c r="B3070" t="s">
        <v>1192</v>
      </c>
      <c r="C3070">
        <v>55</v>
      </c>
      <c r="D3070" t="s">
        <v>238</v>
      </c>
      <c r="E3070" t="s">
        <v>239</v>
      </c>
      <c r="F3070" t="s">
        <v>244</v>
      </c>
      <c r="G3070" t="s">
        <v>82</v>
      </c>
      <c r="H3070" t="s">
        <v>184</v>
      </c>
      <c r="J3070" t="s">
        <v>199</v>
      </c>
      <c r="K3070" t="s">
        <v>241</v>
      </c>
      <c r="L3070">
        <v>10750000000</v>
      </c>
      <c r="M3070" t="s">
        <v>245</v>
      </c>
      <c r="N3070" t="s">
        <v>2190</v>
      </c>
    </row>
    <row r="3071" spans="1:16" hidden="1" x14ac:dyDescent="0.25">
      <c r="A3071" s="16">
        <v>45839</v>
      </c>
      <c r="B3071" t="s">
        <v>1192</v>
      </c>
      <c r="C3071">
        <v>55</v>
      </c>
      <c r="D3071" t="s">
        <v>238</v>
      </c>
      <c r="E3071" t="s">
        <v>239</v>
      </c>
      <c r="F3071" t="s">
        <v>244</v>
      </c>
      <c r="G3071" t="s">
        <v>82</v>
      </c>
      <c r="H3071" t="s">
        <v>185</v>
      </c>
      <c r="J3071" t="s">
        <v>199</v>
      </c>
      <c r="K3071" t="s">
        <v>241</v>
      </c>
      <c r="L3071">
        <v>3560000000</v>
      </c>
      <c r="M3071" t="s">
        <v>245</v>
      </c>
      <c r="N3071" t="s">
        <v>2250</v>
      </c>
    </row>
    <row r="3072" spans="1:16" hidden="1" x14ac:dyDescent="0.25">
      <c r="A3072" s="16">
        <v>45839</v>
      </c>
      <c r="B3072" t="s">
        <v>1192</v>
      </c>
      <c r="C3072">
        <v>56</v>
      </c>
      <c r="D3072" t="s">
        <v>291</v>
      </c>
      <c r="E3072" t="s">
        <v>292</v>
      </c>
      <c r="F3072" t="s">
        <v>1199</v>
      </c>
      <c r="G3072" t="s">
        <v>63</v>
      </c>
      <c r="H3072" t="s">
        <v>1200</v>
      </c>
      <c r="J3072" t="s">
        <v>199</v>
      </c>
      <c r="K3072" t="s">
        <v>241</v>
      </c>
      <c r="L3072">
        <v>943000</v>
      </c>
      <c r="M3072" t="s">
        <v>242</v>
      </c>
      <c r="N3072" t="s">
        <v>2251</v>
      </c>
    </row>
    <row r="3073" spans="1:16" hidden="1" x14ac:dyDescent="0.25">
      <c r="A3073" s="16">
        <v>45839</v>
      </c>
      <c r="B3073" t="s">
        <v>1192</v>
      </c>
      <c r="C3073">
        <v>56</v>
      </c>
      <c r="D3073" t="s">
        <v>291</v>
      </c>
      <c r="E3073" t="s">
        <v>292</v>
      </c>
      <c r="F3073" t="s">
        <v>1199</v>
      </c>
      <c r="G3073" t="s">
        <v>63</v>
      </c>
      <c r="H3073" t="s">
        <v>1202</v>
      </c>
      <c r="J3073" t="s">
        <v>199</v>
      </c>
      <c r="K3073" t="s">
        <v>241</v>
      </c>
      <c r="L3073">
        <v>977000</v>
      </c>
      <c r="M3073" t="s">
        <v>242</v>
      </c>
      <c r="N3073" t="s">
        <v>2252</v>
      </c>
    </row>
    <row r="3074" spans="1:16" hidden="1" x14ac:dyDescent="0.25">
      <c r="A3074" s="16">
        <v>45839</v>
      </c>
      <c r="B3074" t="s">
        <v>1192</v>
      </c>
      <c r="C3074">
        <v>56</v>
      </c>
      <c r="D3074" t="s">
        <v>291</v>
      </c>
      <c r="E3074" t="s">
        <v>292</v>
      </c>
      <c r="F3074" t="s">
        <v>1199</v>
      </c>
      <c r="G3074" t="s">
        <v>63</v>
      </c>
      <c r="H3074" t="s">
        <v>1204</v>
      </c>
      <c r="J3074" t="s">
        <v>199</v>
      </c>
      <c r="K3074" t="s">
        <v>241</v>
      </c>
      <c r="L3074">
        <v>1683000</v>
      </c>
      <c r="M3074" t="s">
        <v>242</v>
      </c>
      <c r="N3074" t="s">
        <v>2253</v>
      </c>
    </row>
    <row r="3075" spans="1:16" hidden="1" x14ac:dyDescent="0.25">
      <c r="A3075" s="16">
        <v>45839</v>
      </c>
      <c r="B3075" t="s">
        <v>1192</v>
      </c>
      <c r="C3075">
        <v>56</v>
      </c>
      <c r="D3075" t="s">
        <v>238</v>
      </c>
      <c r="E3075" t="s">
        <v>239</v>
      </c>
      <c r="F3075" t="s">
        <v>1206</v>
      </c>
      <c r="G3075" t="s">
        <v>63</v>
      </c>
      <c r="H3075" t="s">
        <v>1207</v>
      </c>
      <c r="J3075" t="s">
        <v>199</v>
      </c>
      <c r="K3075" t="s">
        <v>241</v>
      </c>
      <c r="L3075">
        <v>3650000</v>
      </c>
      <c r="M3075" t="s">
        <v>242</v>
      </c>
      <c r="N3075" t="s">
        <v>1909</v>
      </c>
    </row>
    <row r="3076" spans="1:16" hidden="1" x14ac:dyDescent="0.25">
      <c r="A3076" s="16">
        <v>45839</v>
      </c>
      <c r="B3076" t="s">
        <v>1192</v>
      </c>
      <c r="C3076">
        <v>57</v>
      </c>
      <c r="D3076" t="s">
        <v>291</v>
      </c>
      <c r="E3076" t="s">
        <v>292</v>
      </c>
      <c r="F3076" t="s">
        <v>240</v>
      </c>
      <c r="G3076" t="s">
        <v>82</v>
      </c>
      <c r="H3076" t="s">
        <v>184</v>
      </c>
      <c r="J3076" t="s">
        <v>199</v>
      </c>
      <c r="K3076" t="s">
        <v>250</v>
      </c>
      <c r="L3076">
        <v>15300000</v>
      </c>
      <c r="M3076" t="s">
        <v>242</v>
      </c>
      <c r="N3076" t="s">
        <v>2254</v>
      </c>
    </row>
    <row r="3077" spans="1:16" hidden="1" x14ac:dyDescent="0.25">
      <c r="A3077" s="16">
        <v>45839</v>
      </c>
      <c r="B3077" t="s">
        <v>1192</v>
      </c>
      <c r="C3077">
        <v>57</v>
      </c>
      <c r="D3077" t="s">
        <v>291</v>
      </c>
      <c r="E3077" t="s">
        <v>292</v>
      </c>
      <c r="F3077" t="s">
        <v>240</v>
      </c>
      <c r="G3077" t="s">
        <v>82</v>
      </c>
      <c r="H3077" t="s">
        <v>185</v>
      </c>
      <c r="J3077" t="s">
        <v>199</v>
      </c>
      <c r="K3077" t="s">
        <v>250</v>
      </c>
      <c r="L3077">
        <v>9150000</v>
      </c>
      <c r="M3077" t="s">
        <v>242</v>
      </c>
      <c r="N3077" t="s">
        <v>2255</v>
      </c>
    </row>
    <row r="3078" spans="1:16" hidden="1" x14ac:dyDescent="0.25">
      <c r="A3078" s="16">
        <v>45839</v>
      </c>
      <c r="B3078" t="s">
        <v>1192</v>
      </c>
      <c r="C3078">
        <v>57</v>
      </c>
      <c r="D3078" t="s">
        <v>238</v>
      </c>
      <c r="E3078" t="s">
        <v>239</v>
      </c>
      <c r="F3078" t="s">
        <v>1194</v>
      </c>
      <c r="G3078" t="s">
        <v>82</v>
      </c>
      <c r="J3078" t="s">
        <v>199</v>
      </c>
      <c r="K3078" t="s">
        <v>250</v>
      </c>
      <c r="L3078">
        <v>24460000</v>
      </c>
      <c r="M3078" t="s">
        <v>242</v>
      </c>
      <c r="N3078" t="s">
        <v>2256</v>
      </c>
    </row>
    <row r="3079" spans="1:16" hidden="1" x14ac:dyDescent="0.25">
      <c r="A3079" s="16">
        <v>45839</v>
      </c>
      <c r="B3079" t="s">
        <v>1192</v>
      </c>
      <c r="C3079">
        <v>58</v>
      </c>
      <c r="D3079" t="s">
        <v>238</v>
      </c>
      <c r="E3079" t="s">
        <v>239</v>
      </c>
      <c r="F3079" t="s">
        <v>1196</v>
      </c>
      <c r="G3079" t="s">
        <v>82</v>
      </c>
      <c r="J3079" t="s">
        <v>199</v>
      </c>
      <c r="K3079" t="s">
        <v>250</v>
      </c>
      <c r="L3079">
        <v>2450000000</v>
      </c>
      <c r="M3079" t="s">
        <v>245</v>
      </c>
      <c r="N3079" t="s">
        <v>1905</v>
      </c>
    </row>
    <row r="3080" spans="1:16" hidden="1" x14ac:dyDescent="0.25">
      <c r="A3080" s="16">
        <v>45839</v>
      </c>
      <c r="B3080" t="s">
        <v>1192</v>
      </c>
      <c r="C3080">
        <v>58</v>
      </c>
      <c r="D3080" t="s">
        <v>291</v>
      </c>
      <c r="E3080" t="s">
        <v>292</v>
      </c>
      <c r="F3080" t="s">
        <v>244</v>
      </c>
      <c r="G3080" t="s">
        <v>82</v>
      </c>
      <c r="H3080" t="s">
        <v>184</v>
      </c>
      <c r="J3080" t="s">
        <v>199</v>
      </c>
      <c r="K3080" t="s">
        <v>250</v>
      </c>
      <c r="L3080">
        <v>1860000000</v>
      </c>
      <c r="M3080" t="s">
        <v>245</v>
      </c>
      <c r="N3080" t="s">
        <v>2257</v>
      </c>
    </row>
    <row r="3081" spans="1:16" hidden="1" x14ac:dyDescent="0.25">
      <c r="A3081" s="16">
        <v>45839</v>
      </c>
      <c r="B3081" t="s">
        <v>1192</v>
      </c>
      <c r="C3081">
        <v>58</v>
      </c>
      <c r="D3081" t="s">
        <v>291</v>
      </c>
      <c r="E3081" t="s">
        <v>292</v>
      </c>
      <c r="F3081" t="s">
        <v>244</v>
      </c>
      <c r="G3081" t="s">
        <v>82</v>
      </c>
      <c r="H3081" t="s">
        <v>185</v>
      </c>
      <c r="J3081" t="s">
        <v>199</v>
      </c>
      <c r="K3081" t="s">
        <v>250</v>
      </c>
      <c r="L3081">
        <v>590000000</v>
      </c>
      <c r="M3081" t="s">
        <v>245</v>
      </c>
      <c r="N3081" t="s">
        <v>2258</v>
      </c>
    </row>
    <row r="3082" spans="1:16" hidden="1" x14ac:dyDescent="0.25">
      <c r="A3082" s="16">
        <v>45839</v>
      </c>
      <c r="B3082" t="s">
        <v>1192</v>
      </c>
      <c r="C3082">
        <v>59</v>
      </c>
      <c r="D3082" t="s">
        <v>291</v>
      </c>
      <c r="E3082" t="s">
        <v>292</v>
      </c>
      <c r="F3082" t="s">
        <v>1210</v>
      </c>
      <c r="G3082" t="s">
        <v>82</v>
      </c>
      <c r="H3082" t="s">
        <v>184</v>
      </c>
      <c r="J3082" t="s">
        <v>199</v>
      </c>
      <c r="K3082" t="s">
        <v>250</v>
      </c>
      <c r="L3082">
        <v>121.6</v>
      </c>
      <c r="M3082" t="s">
        <v>245</v>
      </c>
      <c r="N3082" t="s">
        <v>2259</v>
      </c>
    </row>
    <row r="3083" spans="1:16" hidden="1" x14ac:dyDescent="0.25">
      <c r="A3083" s="16">
        <v>45839</v>
      </c>
      <c r="B3083" t="s">
        <v>1192</v>
      </c>
      <c r="C3083">
        <v>59</v>
      </c>
      <c r="D3083" t="s">
        <v>291</v>
      </c>
      <c r="E3083" t="s">
        <v>292</v>
      </c>
      <c r="F3083" t="s">
        <v>1210</v>
      </c>
      <c r="G3083" t="s">
        <v>82</v>
      </c>
      <c r="H3083" t="s">
        <v>185</v>
      </c>
      <c r="J3083" t="s">
        <v>199</v>
      </c>
      <c r="K3083" t="s">
        <v>250</v>
      </c>
      <c r="L3083">
        <v>64.2</v>
      </c>
      <c r="M3083" t="s">
        <v>245</v>
      </c>
      <c r="N3083" t="s">
        <v>2260</v>
      </c>
    </row>
    <row r="3084" spans="1:16" hidden="1" x14ac:dyDescent="0.25">
      <c r="A3084" s="16">
        <v>45839</v>
      </c>
      <c r="B3084" t="s">
        <v>1192</v>
      </c>
      <c r="C3084">
        <v>59</v>
      </c>
      <c r="D3084" t="s">
        <v>238</v>
      </c>
      <c r="E3084" t="s">
        <v>239</v>
      </c>
      <c r="F3084" t="s">
        <v>1213</v>
      </c>
      <c r="G3084" t="s">
        <v>82</v>
      </c>
      <c r="H3084" t="s">
        <v>1214</v>
      </c>
      <c r="J3084" t="s">
        <v>199</v>
      </c>
      <c r="K3084" t="s">
        <v>250</v>
      </c>
      <c r="L3084">
        <v>100.1</v>
      </c>
      <c r="M3084" t="s">
        <v>245</v>
      </c>
      <c r="N3084" t="s">
        <v>2261</v>
      </c>
    </row>
    <row r="3085" spans="1:16" hidden="1" x14ac:dyDescent="0.25">
      <c r="A3085" s="16">
        <v>45839</v>
      </c>
      <c r="B3085" t="s">
        <v>162</v>
      </c>
      <c r="C3085">
        <v>42</v>
      </c>
      <c r="D3085" t="s">
        <v>238</v>
      </c>
      <c r="E3085" t="s">
        <v>239</v>
      </c>
      <c r="F3085" t="s">
        <v>240</v>
      </c>
      <c r="G3085" t="s">
        <v>82</v>
      </c>
      <c r="J3085" t="s">
        <v>199</v>
      </c>
      <c r="K3085" t="s">
        <v>241</v>
      </c>
      <c r="L3085">
        <v>137900000</v>
      </c>
      <c r="M3085" t="s">
        <v>242</v>
      </c>
      <c r="N3085" t="s">
        <v>2248</v>
      </c>
    </row>
    <row r="3086" spans="1:16" hidden="1" x14ac:dyDescent="0.25">
      <c r="A3086" s="16">
        <v>45839</v>
      </c>
      <c r="B3086" t="s">
        <v>162</v>
      </c>
      <c r="C3086">
        <v>42</v>
      </c>
      <c r="D3086" t="s">
        <v>238</v>
      </c>
      <c r="E3086" t="s">
        <v>239</v>
      </c>
      <c r="F3086" t="s">
        <v>244</v>
      </c>
      <c r="G3086" t="s">
        <v>82</v>
      </c>
      <c r="J3086" t="s">
        <v>199</v>
      </c>
      <c r="K3086" t="s">
        <v>241</v>
      </c>
      <c r="L3086">
        <v>14320000000</v>
      </c>
      <c r="M3086" t="s">
        <v>245</v>
      </c>
      <c r="N3086" t="s">
        <v>2249</v>
      </c>
    </row>
    <row r="3087" spans="1:16" hidden="1" x14ac:dyDescent="0.25">
      <c r="A3087" s="16">
        <v>45839</v>
      </c>
      <c r="B3087" t="s">
        <v>162</v>
      </c>
      <c r="C3087">
        <v>43</v>
      </c>
      <c r="D3087" t="s">
        <v>253</v>
      </c>
      <c r="E3087" t="s">
        <v>248</v>
      </c>
      <c r="F3087" t="s">
        <v>240</v>
      </c>
      <c r="G3087" t="s">
        <v>82</v>
      </c>
      <c r="J3087" t="s">
        <v>197</v>
      </c>
      <c r="K3087" t="s">
        <v>255</v>
      </c>
      <c r="L3087">
        <v>21940000</v>
      </c>
      <c r="M3087" t="s">
        <v>242</v>
      </c>
      <c r="N3087" t="s">
        <v>1917</v>
      </c>
      <c r="O3087">
        <v>1</v>
      </c>
      <c r="P3087" t="s">
        <v>257</v>
      </c>
    </row>
    <row r="3088" spans="1:16" hidden="1" x14ac:dyDescent="0.25">
      <c r="A3088" s="16">
        <v>45839</v>
      </c>
      <c r="B3088" t="s">
        <v>162</v>
      </c>
      <c r="C3088">
        <v>43</v>
      </c>
      <c r="D3088" t="s">
        <v>253</v>
      </c>
      <c r="E3088" t="s">
        <v>248</v>
      </c>
      <c r="F3088" t="s">
        <v>240</v>
      </c>
      <c r="G3088" t="s">
        <v>82</v>
      </c>
      <c r="J3088" t="s">
        <v>198</v>
      </c>
      <c r="K3088" t="s">
        <v>255</v>
      </c>
      <c r="L3088">
        <v>21070000</v>
      </c>
      <c r="M3088" t="s">
        <v>242</v>
      </c>
      <c r="N3088" t="s">
        <v>2096</v>
      </c>
      <c r="O3088">
        <v>1</v>
      </c>
      <c r="P3088" t="s">
        <v>257</v>
      </c>
    </row>
    <row r="3089" spans="1:16" hidden="1" x14ac:dyDescent="0.25">
      <c r="A3089" s="16">
        <v>45839</v>
      </c>
      <c r="B3089" t="s">
        <v>162</v>
      </c>
      <c r="C3089">
        <v>43</v>
      </c>
      <c r="D3089" t="s">
        <v>253</v>
      </c>
      <c r="E3089" t="s">
        <v>248</v>
      </c>
      <c r="F3089" t="s">
        <v>240</v>
      </c>
      <c r="G3089" t="s">
        <v>82</v>
      </c>
      <c r="J3089" t="s">
        <v>199</v>
      </c>
      <c r="K3089" t="s">
        <v>255</v>
      </c>
      <c r="L3089">
        <v>24460000</v>
      </c>
      <c r="M3089" t="s">
        <v>242</v>
      </c>
      <c r="N3089" t="s">
        <v>2262</v>
      </c>
      <c r="O3089">
        <v>1</v>
      </c>
      <c r="P3089" t="s">
        <v>261</v>
      </c>
    </row>
    <row r="3090" spans="1:16" hidden="1" x14ac:dyDescent="0.25">
      <c r="A3090" s="16">
        <v>45839</v>
      </c>
      <c r="B3090" t="s">
        <v>162</v>
      </c>
      <c r="C3090">
        <v>43</v>
      </c>
      <c r="D3090" t="s">
        <v>247</v>
      </c>
      <c r="E3090" t="s">
        <v>248</v>
      </c>
      <c r="F3090" t="s">
        <v>240</v>
      </c>
      <c r="G3090" t="s">
        <v>82</v>
      </c>
      <c r="H3090" t="s">
        <v>286</v>
      </c>
      <c r="J3090" t="s">
        <v>199</v>
      </c>
      <c r="K3090" t="s">
        <v>250</v>
      </c>
      <c r="L3090">
        <v>16</v>
      </c>
      <c r="M3090" t="s">
        <v>251</v>
      </c>
      <c r="N3090" t="s">
        <v>2263</v>
      </c>
    </row>
    <row r="3091" spans="1:16" hidden="1" x14ac:dyDescent="0.25">
      <c r="A3091" s="16">
        <v>45839</v>
      </c>
      <c r="B3091" t="s">
        <v>162</v>
      </c>
      <c r="C3091">
        <v>44</v>
      </c>
      <c r="D3091" t="s">
        <v>291</v>
      </c>
      <c r="E3091" t="s">
        <v>292</v>
      </c>
      <c r="F3091" t="s">
        <v>240</v>
      </c>
      <c r="G3091" t="s">
        <v>82</v>
      </c>
      <c r="H3091" t="s">
        <v>170</v>
      </c>
      <c r="J3091" t="s">
        <v>199</v>
      </c>
      <c r="K3091" t="s">
        <v>250</v>
      </c>
      <c r="L3091">
        <v>13110</v>
      </c>
      <c r="M3091" t="s">
        <v>242</v>
      </c>
      <c r="N3091" t="s">
        <v>2264</v>
      </c>
    </row>
    <row r="3092" spans="1:16" hidden="1" x14ac:dyDescent="0.25">
      <c r="A3092" s="16">
        <v>45839</v>
      </c>
      <c r="B3092" t="s">
        <v>162</v>
      </c>
      <c r="C3092">
        <v>44</v>
      </c>
      <c r="D3092" t="s">
        <v>291</v>
      </c>
      <c r="E3092" t="s">
        <v>292</v>
      </c>
      <c r="F3092" t="s">
        <v>240</v>
      </c>
      <c r="G3092" t="s">
        <v>82</v>
      </c>
      <c r="H3092" t="s">
        <v>164</v>
      </c>
      <c r="J3092" t="s">
        <v>199</v>
      </c>
      <c r="K3092" t="s">
        <v>250</v>
      </c>
      <c r="L3092">
        <v>10650000</v>
      </c>
      <c r="M3092" t="s">
        <v>242</v>
      </c>
      <c r="N3092" t="s">
        <v>2265</v>
      </c>
    </row>
    <row r="3093" spans="1:16" hidden="1" x14ac:dyDescent="0.25">
      <c r="A3093" s="16">
        <v>45839</v>
      </c>
      <c r="B3093" t="s">
        <v>162</v>
      </c>
      <c r="C3093">
        <v>44</v>
      </c>
      <c r="D3093" t="s">
        <v>291</v>
      </c>
      <c r="E3093" t="s">
        <v>292</v>
      </c>
      <c r="F3093" t="s">
        <v>240</v>
      </c>
      <c r="G3093" t="s">
        <v>82</v>
      </c>
      <c r="H3093" t="s">
        <v>165</v>
      </c>
      <c r="J3093" t="s">
        <v>199</v>
      </c>
      <c r="K3093" t="s">
        <v>250</v>
      </c>
      <c r="L3093">
        <v>4640000</v>
      </c>
      <c r="M3093" t="s">
        <v>242</v>
      </c>
      <c r="N3093" t="s">
        <v>2266</v>
      </c>
    </row>
    <row r="3094" spans="1:16" hidden="1" x14ac:dyDescent="0.25">
      <c r="A3094" s="16">
        <v>45839</v>
      </c>
      <c r="B3094" t="s">
        <v>162</v>
      </c>
      <c r="C3094">
        <v>44</v>
      </c>
      <c r="D3094" t="s">
        <v>291</v>
      </c>
      <c r="E3094" t="s">
        <v>292</v>
      </c>
      <c r="F3094" t="s">
        <v>240</v>
      </c>
      <c r="G3094" t="s">
        <v>82</v>
      </c>
      <c r="H3094" t="s">
        <v>171</v>
      </c>
      <c r="J3094" t="s">
        <v>199</v>
      </c>
      <c r="K3094" t="s">
        <v>250</v>
      </c>
      <c r="L3094">
        <v>120380</v>
      </c>
      <c r="M3094" t="s">
        <v>242</v>
      </c>
      <c r="N3094" t="s">
        <v>2267</v>
      </c>
    </row>
    <row r="3095" spans="1:16" hidden="1" x14ac:dyDescent="0.25">
      <c r="A3095" s="16">
        <v>45839</v>
      </c>
      <c r="B3095" t="s">
        <v>162</v>
      </c>
      <c r="C3095">
        <v>44</v>
      </c>
      <c r="D3095" t="s">
        <v>291</v>
      </c>
      <c r="E3095" t="s">
        <v>292</v>
      </c>
      <c r="F3095" t="s">
        <v>240</v>
      </c>
      <c r="G3095" t="s">
        <v>82</v>
      </c>
      <c r="H3095" t="s">
        <v>166</v>
      </c>
      <c r="J3095" t="s">
        <v>199</v>
      </c>
      <c r="K3095" t="s">
        <v>250</v>
      </c>
      <c r="L3095">
        <v>2920000</v>
      </c>
      <c r="M3095" t="s">
        <v>242</v>
      </c>
      <c r="N3095" t="s">
        <v>1584</v>
      </c>
    </row>
    <row r="3096" spans="1:16" hidden="1" x14ac:dyDescent="0.25">
      <c r="A3096" s="16">
        <v>45839</v>
      </c>
      <c r="B3096" t="s">
        <v>162</v>
      </c>
      <c r="C3096">
        <v>44</v>
      </c>
      <c r="D3096" t="s">
        <v>291</v>
      </c>
      <c r="E3096" t="s">
        <v>292</v>
      </c>
      <c r="F3096" t="s">
        <v>240</v>
      </c>
      <c r="G3096" t="s">
        <v>82</v>
      </c>
      <c r="H3096" t="s">
        <v>167</v>
      </c>
      <c r="J3096" t="s">
        <v>199</v>
      </c>
      <c r="K3096" t="s">
        <v>250</v>
      </c>
      <c r="L3096">
        <v>6110000</v>
      </c>
      <c r="M3096" t="s">
        <v>242</v>
      </c>
      <c r="N3096" t="s">
        <v>1867</v>
      </c>
    </row>
    <row r="3097" spans="1:16" hidden="1" x14ac:dyDescent="0.25">
      <c r="A3097" s="16">
        <v>45839</v>
      </c>
      <c r="B3097" t="s">
        <v>162</v>
      </c>
      <c r="C3097">
        <v>45</v>
      </c>
      <c r="D3097" t="s">
        <v>253</v>
      </c>
      <c r="E3097" t="s">
        <v>248</v>
      </c>
      <c r="F3097" t="s">
        <v>428</v>
      </c>
      <c r="G3097" t="s">
        <v>82</v>
      </c>
      <c r="J3097" t="s">
        <v>197</v>
      </c>
      <c r="K3097" t="s">
        <v>255</v>
      </c>
      <c r="L3097">
        <v>19260000</v>
      </c>
      <c r="M3097" t="s">
        <v>242</v>
      </c>
      <c r="N3097" t="s">
        <v>1924</v>
      </c>
      <c r="O3097">
        <v>1</v>
      </c>
      <c r="P3097" t="s">
        <v>257</v>
      </c>
    </row>
    <row r="3098" spans="1:16" hidden="1" x14ac:dyDescent="0.25">
      <c r="A3098" s="16">
        <v>45839</v>
      </c>
      <c r="B3098" t="s">
        <v>162</v>
      </c>
      <c r="C3098">
        <v>45</v>
      </c>
      <c r="D3098" t="s">
        <v>253</v>
      </c>
      <c r="E3098" t="s">
        <v>248</v>
      </c>
      <c r="F3098" t="s">
        <v>428</v>
      </c>
      <c r="G3098" t="s">
        <v>82</v>
      </c>
      <c r="J3098" t="s">
        <v>198</v>
      </c>
      <c r="K3098" t="s">
        <v>255</v>
      </c>
      <c r="L3098">
        <v>18360000</v>
      </c>
      <c r="M3098" t="s">
        <v>242</v>
      </c>
      <c r="N3098" t="s">
        <v>2103</v>
      </c>
      <c r="O3098">
        <v>1</v>
      </c>
      <c r="P3098" t="s">
        <v>257</v>
      </c>
    </row>
    <row r="3099" spans="1:16" hidden="1" x14ac:dyDescent="0.25">
      <c r="A3099" s="16">
        <v>45839</v>
      </c>
      <c r="B3099" t="s">
        <v>162</v>
      </c>
      <c r="C3099">
        <v>45</v>
      </c>
      <c r="D3099" t="s">
        <v>253</v>
      </c>
      <c r="E3099" t="s">
        <v>248</v>
      </c>
      <c r="F3099" t="s">
        <v>428</v>
      </c>
      <c r="G3099" t="s">
        <v>82</v>
      </c>
      <c r="J3099" t="s">
        <v>199</v>
      </c>
      <c r="K3099" t="s">
        <v>255</v>
      </c>
      <c r="L3099">
        <v>20750000</v>
      </c>
      <c r="M3099" t="s">
        <v>242</v>
      </c>
      <c r="N3099" t="s">
        <v>2268</v>
      </c>
      <c r="O3099">
        <v>1</v>
      </c>
      <c r="P3099" t="s">
        <v>261</v>
      </c>
    </row>
    <row r="3100" spans="1:16" hidden="1" x14ac:dyDescent="0.25">
      <c r="A3100" s="16">
        <v>45839</v>
      </c>
      <c r="B3100" t="s">
        <v>162</v>
      </c>
      <c r="C3100">
        <v>45</v>
      </c>
      <c r="D3100" t="s">
        <v>247</v>
      </c>
      <c r="E3100" t="s">
        <v>248</v>
      </c>
      <c r="F3100" t="s">
        <v>428</v>
      </c>
      <c r="G3100" t="s">
        <v>82</v>
      </c>
      <c r="H3100" t="s">
        <v>286</v>
      </c>
      <c r="J3100" t="s">
        <v>199</v>
      </c>
      <c r="K3100" t="s">
        <v>250</v>
      </c>
      <c r="L3100">
        <v>13</v>
      </c>
      <c r="M3100" t="s">
        <v>251</v>
      </c>
      <c r="N3100" t="s">
        <v>2269</v>
      </c>
    </row>
    <row r="3101" spans="1:16" hidden="1" x14ac:dyDescent="0.25">
      <c r="A3101" s="16">
        <v>45839</v>
      </c>
      <c r="B3101" t="s">
        <v>162</v>
      </c>
      <c r="C3101">
        <v>46</v>
      </c>
      <c r="D3101" t="s">
        <v>291</v>
      </c>
      <c r="E3101" t="s">
        <v>292</v>
      </c>
      <c r="F3101" t="s">
        <v>428</v>
      </c>
      <c r="G3101" t="s">
        <v>82</v>
      </c>
      <c r="H3101" t="s">
        <v>94</v>
      </c>
      <c r="J3101" t="s">
        <v>199</v>
      </c>
      <c r="K3101" t="s">
        <v>250</v>
      </c>
      <c r="L3101">
        <v>15200000</v>
      </c>
      <c r="M3101" t="s">
        <v>242</v>
      </c>
      <c r="N3101" t="s">
        <v>2270</v>
      </c>
    </row>
    <row r="3102" spans="1:16" hidden="1" x14ac:dyDescent="0.25">
      <c r="A3102" s="16">
        <v>45839</v>
      </c>
      <c r="B3102" t="s">
        <v>162</v>
      </c>
      <c r="C3102">
        <v>46</v>
      </c>
      <c r="D3102" t="s">
        <v>291</v>
      </c>
      <c r="E3102" t="s">
        <v>292</v>
      </c>
      <c r="F3102" t="s">
        <v>428</v>
      </c>
      <c r="G3102" t="s">
        <v>82</v>
      </c>
      <c r="H3102" t="s">
        <v>95</v>
      </c>
      <c r="J3102" t="s">
        <v>199</v>
      </c>
      <c r="K3102" t="s">
        <v>250</v>
      </c>
      <c r="L3102">
        <v>5580000</v>
      </c>
      <c r="M3102" t="s">
        <v>242</v>
      </c>
      <c r="N3102" t="s">
        <v>2271</v>
      </c>
    </row>
    <row r="3103" spans="1:16" hidden="1" x14ac:dyDescent="0.25">
      <c r="A3103" s="16">
        <v>45839</v>
      </c>
      <c r="B3103" t="s">
        <v>162</v>
      </c>
      <c r="C3103">
        <v>47</v>
      </c>
      <c r="D3103" t="s">
        <v>291</v>
      </c>
      <c r="E3103" t="s">
        <v>292</v>
      </c>
      <c r="F3103" t="s">
        <v>428</v>
      </c>
      <c r="G3103" t="s">
        <v>82</v>
      </c>
      <c r="H3103" t="s">
        <v>173</v>
      </c>
      <c r="J3103" t="s">
        <v>199</v>
      </c>
      <c r="K3103" t="s">
        <v>250</v>
      </c>
      <c r="L3103">
        <v>3740000</v>
      </c>
      <c r="M3103" t="s">
        <v>242</v>
      </c>
      <c r="N3103" t="s">
        <v>2272</v>
      </c>
    </row>
    <row r="3104" spans="1:16" hidden="1" x14ac:dyDescent="0.25">
      <c r="A3104" s="16">
        <v>45839</v>
      </c>
      <c r="B3104" t="s">
        <v>162</v>
      </c>
      <c r="C3104">
        <v>47</v>
      </c>
      <c r="D3104" t="s">
        <v>291</v>
      </c>
      <c r="E3104" t="s">
        <v>292</v>
      </c>
      <c r="F3104" t="s">
        <v>428</v>
      </c>
      <c r="G3104" t="s">
        <v>82</v>
      </c>
      <c r="H3104" t="s">
        <v>174</v>
      </c>
      <c r="J3104" t="s">
        <v>199</v>
      </c>
      <c r="K3104" t="s">
        <v>250</v>
      </c>
      <c r="L3104">
        <v>2660000</v>
      </c>
      <c r="M3104" t="s">
        <v>242</v>
      </c>
      <c r="N3104" t="s">
        <v>1996</v>
      </c>
    </row>
    <row r="3105" spans="1:16" hidden="1" x14ac:dyDescent="0.25">
      <c r="A3105" s="16">
        <v>45839</v>
      </c>
      <c r="B3105" t="s">
        <v>162</v>
      </c>
      <c r="C3105">
        <v>48</v>
      </c>
      <c r="D3105" t="s">
        <v>253</v>
      </c>
      <c r="E3105" t="s">
        <v>248</v>
      </c>
      <c r="F3105" t="s">
        <v>244</v>
      </c>
      <c r="G3105" t="s">
        <v>82</v>
      </c>
      <c r="J3105" t="s">
        <v>197</v>
      </c>
      <c r="K3105" t="s">
        <v>255</v>
      </c>
      <c r="L3105">
        <v>2180000000</v>
      </c>
      <c r="M3105" t="s">
        <v>245</v>
      </c>
      <c r="N3105" t="s">
        <v>1930</v>
      </c>
      <c r="O3105">
        <v>1</v>
      </c>
      <c r="P3105" t="s">
        <v>257</v>
      </c>
    </row>
    <row r="3106" spans="1:16" hidden="1" x14ac:dyDescent="0.25">
      <c r="A3106" s="16">
        <v>45839</v>
      </c>
      <c r="B3106" t="s">
        <v>162</v>
      </c>
      <c r="C3106">
        <v>48</v>
      </c>
      <c r="D3106" t="s">
        <v>253</v>
      </c>
      <c r="E3106" t="s">
        <v>248</v>
      </c>
      <c r="F3106" t="s">
        <v>244</v>
      </c>
      <c r="G3106" t="s">
        <v>82</v>
      </c>
      <c r="J3106" t="s">
        <v>198</v>
      </c>
      <c r="K3106" t="s">
        <v>255</v>
      </c>
      <c r="L3106">
        <v>2120000000</v>
      </c>
      <c r="M3106" t="s">
        <v>245</v>
      </c>
      <c r="N3106" t="s">
        <v>2107</v>
      </c>
      <c r="O3106">
        <v>1</v>
      </c>
      <c r="P3106" t="s">
        <v>257</v>
      </c>
    </row>
    <row r="3107" spans="1:16" hidden="1" x14ac:dyDescent="0.25">
      <c r="A3107" s="16">
        <v>45839</v>
      </c>
      <c r="B3107" t="s">
        <v>162</v>
      </c>
      <c r="C3107">
        <v>48</v>
      </c>
      <c r="D3107" t="s">
        <v>253</v>
      </c>
      <c r="E3107" t="s">
        <v>248</v>
      </c>
      <c r="F3107" t="s">
        <v>244</v>
      </c>
      <c r="G3107" t="s">
        <v>82</v>
      </c>
      <c r="J3107" t="s">
        <v>199</v>
      </c>
      <c r="K3107" t="s">
        <v>255</v>
      </c>
      <c r="L3107">
        <v>2450000000</v>
      </c>
      <c r="M3107" t="s">
        <v>245</v>
      </c>
      <c r="N3107" t="s">
        <v>2273</v>
      </c>
      <c r="O3107">
        <v>1</v>
      </c>
      <c r="P3107" t="s">
        <v>261</v>
      </c>
    </row>
    <row r="3108" spans="1:16" hidden="1" x14ac:dyDescent="0.25">
      <c r="A3108" s="16">
        <v>45839</v>
      </c>
      <c r="B3108" t="s">
        <v>162</v>
      </c>
      <c r="C3108">
        <v>48</v>
      </c>
      <c r="D3108" t="s">
        <v>247</v>
      </c>
      <c r="E3108" t="s">
        <v>248</v>
      </c>
      <c r="F3108" t="s">
        <v>244</v>
      </c>
      <c r="G3108" t="s">
        <v>82</v>
      </c>
      <c r="H3108" t="s">
        <v>286</v>
      </c>
      <c r="J3108" t="s">
        <v>199</v>
      </c>
      <c r="K3108" t="s">
        <v>250</v>
      </c>
      <c r="L3108">
        <v>15.2</v>
      </c>
      <c r="M3108" t="s">
        <v>251</v>
      </c>
      <c r="N3108" t="s">
        <v>2274</v>
      </c>
    </row>
    <row r="3109" spans="1:16" hidden="1" x14ac:dyDescent="0.25">
      <c r="A3109" s="16">
        <v>45839</v>
      </c>
      <c r="B3109" t="s">
        <v>162</v>
      </c>
      <c r="C3109">
        <v>49</v>
      </c>
      <c r="D3109" t="s">
        <v>291</v>
      </c>
      <c r="E3109" t="s">
        <v>292</v>
      </c>
      <c r="F3109" t="s">
        <v>244</v>
      </c>
      <c r="G3109" t="s">
        <v>82</v>
      </c>
      <c r="H3109" t="s">
        <v>170</v>
      </c>
      <c r="J3109" t="s">
        <v>199</v>
      </c>
      <c r="K3109" t="s">
        <v>250</v>
      </c>
      <c r="L3109">
        <v>206000</v>
      </c>
      <c r="M3109" t="s">
        <v>245</v>
      </c>
      <c r="N3109" t="s">
        <v>2275</v>
      </c>
    </row>
    <row r="3110" spans="1:16" hidden="1" x14ac:dyDescent="0.25">
      <c r="A3110" s="16">
        <v>45839</v>
      </c>
      <c r="B3110" t="s">
        <v>162</v>
      </c>
      <c r="C3110">
        <v>49</v>
      </c>
      <c r="D3110" t="s">
        <v>291</v>
      </c>
      <c r="E3110" t="s">
        <v>292</v>
      </c>
      <c r="F3110" t="s">
        <v>244</v>
      </c>
      <c r="G3110" t="s">
        <v>82</v>
      </c>
      <c r="H3110" t="s">
        <v>164</v>
      </c>
      <c r="J3110" t="s">
        <v>199</v>
      </c>
      <c r="K3110" t="s">
        <v>250</v>
      </c>
      <c r="L3110">
        <v>1590000000</v>
      </c>
      <c r="M3110" t="s">
        <v>245</v>
      </c>
      <c r="N3110" t="s">
        <v>2276</v>
      </c>
    </row>
    <row r="3111" spans="1:16" hidden="1" x14ac:dyDescent="0.25">
      <c r="A3111" s="16">
        <v>45839</v>
      </c>
      <c r="B3111" t="s">
        <v>162</v>
      </c>
      <c r="C3111">
        <v>49</v>
      </c>
      <c r="D3111" t="s">
        <v>291</v>
      </c>
      <c r="E3111" t="s">
        <v>292</v>
      </c>
      <c r="F3111" t="s">
        <v>244</v>
      </c>
      <c r="G3111" t="s">
        <v>82</v>
      </c>
      <c r="H3111" t="s">
        <v>165</v>
      </c>
      <c r="J3111" t="s">
        <v>199</v>
      </c>
      <c r="K3111" t="s">
        <v>250</v>
      </c>
      <c r="L3111">
        <v>273400000</v>
      </c>
      <c r="M3111" t="s">
        <v>245</v>
      </c>
      <c r="N3111" t="s">
        <v>2277</v>
      </c>
    </row>
    <row r="3112" spans="1:16" hidden="1" x14ac:dyDescent="0.25">
      <c r="A3112" s="16">
        <v>45839</v>
      </c>
      <c r="B3112" t="s">
        <v>162</v>
      </c>
      <c r="C3112">
        <v>49</v>
      </c>
      <c r="D3112" t="s">
        <v>291</v>
      </c>
      <c r="E3112" t="s">
        <v>292</v>
      </c>
      <c r="F3112" t="s">
        <v>244</v>
      </c>
      <c r="G3112" t="s">
        <v>82</v>
      </c>
      <c r="H3112" t="s">
        <v>171</v>
      </c>
      <c r="J3112" t="s">
        <v>199</v>
      </c>
      <c r="K3112" t="s">
        <v>250</v>
      </c>
      <c r="L3112">
        <v>1300000</v>
      </c>
      <c r="M3112" t="s">
        <v>245</v>
      </c>
      <c r="N3112" t="s">
        <v>1430</v>
      </c>
    </row>
    <row r="3113" spans="1:16" hidden="1" x14ac:dyDescent="0.25">
      <c r="A3113" s="16">
        <v>45839</v>
      </c>
      <c r="B3113" t="s">
        <v>162</v>
      </c>
      <c r="C3113">
        <v>49</v>
      </c>
      <c r="D3113" t="s">
        <v>291</v>
      </c>
      <c r="E3113" t="s">
        <v>292</v>
      </c>
      <c r="F3113" t="s">
        <v>244</v>
      </c>
      <c r="G3113" t="s">
        <v>82</v>
      </c>
      <c r="H3113" t="s">
        <v>166</v>
      </c>
      <c r="J3113" t="s">
        <v>199</v>
      </c>
      <c r="K3113" t="s">
        <v>250</v>
      </c>
      <c r="L3113">
        <v>303900000</v>
      </c>
      <c r="M3113" t="s">
        <v>245</v>
      </c>
      <c r="N3113" t="s">
        <v>2278</v>
      </c>
    </row>
    <row r="3114" spans="1:16" hidden="1" x14ac:dyDescent="0.25">
      <c r="A3114" s="16">
        <v>45839</v>
      </c>
      <c r="B3114" t="s">
        <v>162</v>
      </c>
      <c r="C3114">
        <v>49</v>
      </c>
      <c r="D3114" t="s">
        <v>291</v>
      </c>
      <c r="E3114" t="s">
        <v>292</v>
      </c>
      <c r="F3114" t="s">
        <v>244</v>
      </c>
      <c r="G3114" t="s">
        <v>82</v>
      </c>
      <c r="H3114" t="s">
        <v>167</v>
      </c>
      <c r="J3114" t="s">
        <v>199</v>
      </c>
      <c r="K3114" t="s">
        <v>250</v>
      </c>
      <c r="L3114">
        <v>283000000</v>
      </c>
      <c r="M3114" t="s">
        <v>245</v>
      </c>
      <c r="N3114" t="s">
        <v>2279</v>
      </c>
    </row>
    <row r="3115" spans="1:16" hidden="1" x14ac:dyDescent="0.25">
      <c r="A3115" s="16">
        <v>45839</v>
      </c>
      <c r="B3115" t="s">
        <v>162</v>
      </c>
      <c r="C3115">
        <v>50</v>
      </c>
      <c r="D3115" t="s">
        <v>253</v>
      </c>
      <c r="E3115" t="s">
        <v>248</v>
      </c>
      <c r="F3115" t="s">
        <v>445</v>
      </c>
      <c r="G3115" t="s">
        <v>82</v>
      </c>
      <c r="J3115" t="s">
        <v>197</v>
      </c>
      <c r="K3115" t="s">
        <v>255</v>
      </c>
      <c r="L3115">
        <v>1780000000</v>
      </c>
      <c r="M3115" t="s">
        <v>245</v>
      </c>
      <c r="N3115" t="s">
        <v>1936</v>
      </c>
      <c r="O3115">
        <v>1</v>
      </c>
      <c r="P3115" t="s">
        <v>257</v>
      </c>
    </row>
    <row r="3116" spans="1:16" hidden="1" x14ac:dyDescent="0.25">
      <c r="A3116" s="16">
        <v>45839</v>
      </c>
      <c r="B3116" t="s">
        <v>162</v>
      </c>
      <c r="C3116">
        <v>50</v>
      </c>
      <c r="D3116" t="s">
        <v>253</v>
      </c>
      <c r="E3116" t="s">
        <v>248</v>
      </c>
      <c r="F3116" t="s">
        <v>445</v>
      </c>
      <c r="G3116" t="s">
        <v>82</v>
      </c>
      <c r="J3116" t="s">
        <v>198</v>
      </c>
      <c r="K3116" t="s">
        <v>255</v>
      </c>
      <c r="L3116">
        <v>1720000000</v>
      </c>
      <c r="M3116" t="s">
        <v>245</v>
      </c>
      <c r="N3116" t="s">
        <v>2114</v>
      </c>
      <c r="O3116">
        <v>1</v>
      </c>
      <c r="P3116" t="s">
        <v>257</v>
      </c>
    </row>
    <row r="3117" spans="1:16" hidden="1" x14ac:dyDescent="0.25">
      <c r="A3117" s="16">
        <v>45839</v>
      </c>
      <c r="B3117" t="s">
        <v>162</v>
      </c>
      <c r="C3117">
        <v>50</v>
      </c>
      <c r="D3117" t="s">
        <v>253</v>
      </c>
      <c r="E3117" t="s">
        <v>248</v>
      </c>
      <c r="F3117" t="s">
        <v>445</v>
      </c>
      <c r="G3117" t="s">
        <v>82</v>
      </c>
      <c r="J3117" t="s">
        <v>199</v>
      </c>
      <c r="K3117" t="s">
        <v>255</v>
      </c>
      <c r="L3117">
        <v>1900000000</v>
      </c>
      <c r="M3117" t="s">
        <v>245</v>
      </c>
      <c r="N3117" t="s">
        <v>2280</v>
      </c>
      <c r="O3117">
        <v>1</v>
      </c>
      <c r="P3117" t="s">
        <v>261</v>
      </c>
    </row>
    <row r="3118" spans="1:16" hidden="1" x14ac:dyDescent="0.25">
      <c r="A3118" s="16">
        <v>45839</v>
      </c>
      <c r="B3118" t="s">
        <v>162</v>
      </c>
      <c r="C3118">
        <v>50</v>
      </c>
      <c r="D3118" t="s">
        <v>247</v>
      </c>
      <c r="E3118" t="s">
        <v>248</v>
      </c>
      <c r="F3118" t="s">
        <v>445</v>
      </c>
      <c r="G3118" t="s">
        <v>82</v>
      </c>
      <c r="H3118" t="s">
        <v>286</v>
      </c>
      <c r="J3118" t="s">
        <v>199</v>
      </c>
      <c r="K3118" t="s">
        <v>250</v>
      </c>
      <c r="L3118">
        <v>10.7</v>
      </c>
      <c r="M3118" t="s">
        <v>251</v>
      </c>
      <c r="N3118" t="s">
        <v>1859</v>
      </c>
    </row>
    <row r="3119" spans="1:16" hidden="1" x14ac:dyDescent="0.25">
      <c r="A3119" s="16">
        <v>45839</v>
      </c>
      <c r="B3119" t="s">
        <v>162</v>
      </c>
      <c r="C3119">
        <v>51</v>
      </c>
      <c r="D3119" t="s">
        <v>291</v>
      </c>
      <c r="E3119" t="s">
        <v>292</v>
      </c>
      <c r="F3119" t="s">
        <v>445</v>
      </c>
      <c r="G3119" t="s">
        <v>82</v>
      </c>
      <c r="H3119" t="s">
        <v>94</v>
      </c>
      <c r="J3119" t="s">
        <v>199</v>
      </c>
      <c r="K3119" t="s">
        <v>250</v>
      </c>
      <c r="L3119">
        <v>1520000000</v>
      </c>
      <c r="M3119" t="s">
        <v>245</v>
      </c>
      <c r="N3119" t="s">
        <v>2281</v>
      </c>
    </row>
    <row r="3120" spans="1:16" hidden="1" x14ac:dyDescent="0.25">
      <c r="A3120" s="16">
        <v>45839</v>
      </c>
      <c r="B3120" t="s">
        <v>162</v>
      </c>
      <c r="C3120">
        <v>51</v>
      </c>
      <c r="D3120" t="s">
        <v>291</v>
      </c>
      <c r="E3120" t="s">
        <v>292</v>
      </c>
      <c r="F3120" t="s">
        <v>445</v>
      </c>
      <c r="G3120" t="s">
        <v>82</v>
      </c>
      <c r="H3120" t="s">
        <v>95</v>
      </c>
      <c r="J3120" t="s">
        <v>199</v>
      </c>
      <c r="K3120" t="s">
        <v>250</v>
      </c>
      <c r="L3120">
        <v>383300000</v>
      </c>
      <c r="M3120" t="s">
        <v>245</v>
      </c>
      <c r="N3120" t="s">
        <v>2282</v>
      </c>
    </row>
    <row r="3121" spans="1:16" hidden="1" x14ac:dyDescent="0.25">
      <c r="A3121" s="16">
        <v>45839</v>
      </c>
      <c r="B3121" t="s">
        <v>162</v>
      </c>
      <c r="C3121">
        <v>52</v>
      </c>
      <c r="D3121" t="s">
        <v>291</v>
      </c>
      <c r="E3121" t="s">
        <v>292</v>
      </c>
      <c r="F3121" t="s">
        <v>445</v>
      </c>
      <c r="G3121" t="s">
        <v>82</v>
      </c>
      <c r="H3121" t="s">
        <v>173</v>
      </c>
      <c r="J3121" t="s">
        <v>199</v>
      </c>
      <c r="K3121" t="s">
        <v>250</v>
      </c>
      <c r="L3121">
        <v>204900000</v>
      </c>
      <c r="M3121" t="s">
        <v>245</v>
      </c>
      <c r="N3121" t="s">
        <v>2283</v>
      </c>
    </row>
    <row r="3122" spans="1:16" hidden="1" x14ac:dyDescent="0.25">
      <c r="A3122" s="16">
        <v>45839</v>
      </c>
      <c r="B3122" t="s">
        <v>162</v>
      </c>
      <c r="C3122">
        <v>52</v>
      </c>
      <c r="D3122" t="s">
        <v>291</v>
      </c>
      <c r="E3122" t="s">
        <v>292</v>
      </c>
      <c r="F3122" t="s">
        <v>445</v>
      </c>
      <c r="G3122" t="s">
        <v>82</v>
      </c>
      <c r="H3122" t="s">
        <v>174</v>
      </c>
      <c r="J3122" t="s">
        <v>199</v>
      </c>
      <c r="K3122" t="s">
        <v>250</v>
      </c>
      <c r="L3122">
        <v>278100000</v>
      </c>
      <c r="M3122" t="s">
        <v>245</v>
      </c>
      <c r="N3122" t="s">
        <v>2284</v>
      </c>
    </row>
    <row r="3123" spans="1:16" hidden="1" x14ac:dyDescent="0.25">
      <c r="A3123" s="16">
        <v>45839</v>
      </c>
      <c r="B3123" t="s">
        <v>162</v>
      </c>
      <c r="C3123">
        <v>53</v>
      </c>
      <c r="D3123" t="s">
        <v>291</v>
      </c>
      <c r="E3123" t="s">
        <v>292</v>
      </c>
      <c r="F3123" t="s">
        <v>334</v>
      </c>
      <c r="G3123" t="s">
        <v>82</v>
      </c>
      <c r="H3123" t="s">
        <v>170</v>
      </c>
      <c r="J3123" t="s">
        <v>199</v>
      </c>
      <c r="K3123" t="s">
        <v>250</v>
      </c>
      <c r="L3123">
        <v>16</v>
      </c>
      <c r="M3123" t="s">
        <v>245</v>
      </c>
      <c r="N3123" t="s">
        <v>2285</v>
      </c>
    </row>
    <row r="3124" spans="1:16" hidden="1" x14ac:dyDescent="0.25">
      <c r="A3124" s="16">
        <v>45839</v>
      </c>
      <c r="B3124" t="s">
        <v>162</v>
      </c>
      <c r="C3124">
        <v>53</v>
      </c>
      <c r="D3124" t="s">
        <v>291</v>
      </c>
      <c r="E3124" t="s">
        <v>292</v>
      </c>
      <c r="F3124" t="s">
        <v>334</v>
      </c>
      <c r="G3124" t="s">
        <v>82</v>
      </c>
      <c r="H3124" t="s">
        <v>164</v>
      </c>
      <c r="J3124" t="s">
        <v>199</v>
      </c>
      <c r="K3124" t="s">
        <v>250</v>
      </c>
      <c r="L3124">
        <v>149</v>
      </c>
      <c r="M3124" t="s">
        <v>245</v>
      </c>
      <c r="N3124" t="s">
        <v>2119</v>
      </c>
    </row>
    <row r="3125" spans="1:16" hidden="1" x14ac:dyDescent="0.25">
      <c r="A3125" s="16">
        <v>45839</v>
      </c>
      <c r="B3125" t="s">
        <v>162</v>
      </c>
      <c r="C3125">
        <v>53</v>
      </c>
      <c r="D3125" t="s">
        <v>291</v>
      </c>
      <c r="E3125" t="s">
        <v>292</v>
      </c>
      <c r="F3125" t="s">
        <v>334</v>
      </c>
      <c r="G3125" t="s">
        <v>82</v>
      </c>
      <c r="H3125" t="s">
        <v>173</v>
      </c>
      <c r="J3125" t="s">
        <v>199</v>
      </c>
      <c r="K3125" t="s">
        <v>250</v>
      </c>
      <c r="L3125">
        <v>59</v>
      </c>
      <c r="M3125" t="s">
        <v>245</v>
      </c>
      <c r="N3125" t="s">
        <v>2286</v>
      </c>
    </row>
    <row r="3126" spans="1:16" hidden="1" x14ac:dyDescent="0.25">
      <c r="A3126" s="16">
        <v>45839</v>
      </c>
      <c r="B3126" t="s">
        <v>162</v>
      </c>
      <c r="C3126">
        <v>53</v>
      </c>
      <c r="D3126" t="s">
        <v>238</v>
      </c>
      <c r="E3126" t="s">
        <v>239</v>
      </c>
      <c r="F3126" t="s">
        <v>334</v>
      </c>
      <c r="G3126" t="s">
        <v>82</v>
      </c>
      <c r="H3126" t="s">
        <v>455</v>
      </c>
      <c r="J3126" t="s">
        <v>199</v>
      </c>
      <c r="K3126" t="s">
        <v>250</v>
      </c>
      <c r="L3126">
        <v>100</v>
      </c>
      <c r="M3126" t="s">
        <v>245</v>
      </c>
      <c r="N3126" t="s">
        <v>2287</v>
      </c>
    </row>
    <row r="3127" spans="1:16" hidden="1" x14ac:dyDescent="0.25">
      <c r="A3127" s="16">
        <v>45839</v>
      </c>
      <c r="B3127" t="s">
        <v>162</v>
      </c>
      <c r="C3127">
        <v>53</v>
      </c>
      <c r="D3127" t="s">
        <v>291</v>
      </c>
      <c r="E3127" t="s">
        <v>292</v>
      </c>
      <c r="F3127" t="s">
        <v>334</v>
      </c>
      <c r="G3127" t="s">
        <v>82</v>
      </c>
      <c r="H3127" t="s">
        <v>179</v>
      </c>
      <c r="J3127" t="s">
        <v>199</v>
      </c>
      <c r="K3127" t="s">
        <v>250</v>
      </c>
      <c r="L3127">
        <v>11</v>
      </c>
      <c r="M3127" t="s">
        <v>245</v>
      </c>
      <c r="N3127" t="s">
        <v>1945</v>
      </c>
    </row>
    <row r="3128" spans="1:16" hidden="1" x14ac:dyDescent="0.25">
      <c r="A3128" s="16">
        <v>45839</v>
      </c>
      <c r="B3128" t="s">
        <v>162</v>
      </c>
      <c r="C3128">
        <v>53</v>
      </c>
      <c r="D3128" t="s">
        <v>291</v>
      </c>
      <c r="E3128" t="s">
        <v>292</v>
      </c>
      <c r="F3128" t="s">
        <v>334</v>
      </c>
      <c r="G3128" t="s">
        <v>82</v>
      </c>
      <c r="H3128" t="s">
        <v>174</v>
      </c>
      <c r="J3128" t="s">
        <v>199</v>
      </c>
      <c r="K3128" t="s">
        <v>250</v>
      </c>
      <c r="L3128">
        <v>104</v>
      </c>
      <c r="M3128" t="s">
        <v>245</v>
      </c>
      <c r="N3128" t="s">
        <v>2288</v>
      </c>
    </row>
    <row r="3129" spans="1:16" hidden="1" x14ac:dyDescent="0.25">
      <c r="A3129" s="16">
        <v>45839</v>
      </c>
      <c r="B3129" t="s">
        <v>162</v>
      </c>
      <c r="C3129">
        <v>53</v>
      </c>
      <c r="D3129" t="s">
        <v>291</v>
      </c>
      <c r="E3129" t="s">
        <v>292</v>
      </c>
      <c r="F3129" t="s">
        <v>334</v>
      </c>
      <c r="G3129" t="s">
        <v>82</v>
      </c>
      <c r="H3129" t="s">
        <v>178</v>
      </c>
      <c r="J3129" t="s">
        <v>199</v>
      </c>
      <c r="K3129" t="s">
        <v>250</v>
      </c>
      <c r="L3129">
        <v>46</v>
      </c>
      <c r="M3129" t="s">
        <v>245</v>
      </c>
      <c r="N3129" t="s">
        <v>2289</v>
      </c>
    </row>
    <row r="3130" spans="1:16" hidden="1" x14ac:dyDescent="0.25">
      <c r="A3130" s="16">
        <v>45839</v>
      </c>
      <c r="B3130" t="s">
        <v>97</v>
      </c>
      <c r="C3130">
        <v>26</v>
      </c>
      <c r="D3130" t="s">
        <v>238</v>
      </c>
      <c r="E3130" t="s">
        <v>239</v>
      </c>
      <c r="F3130" t="s">
        <v>240</v>
      </c>
      <c r="G3130" t="s">
        <v>82</v>
      </c>
      <c r="J3130" t="s">
        <v>199</v>
      </c>
      <c r="K3130" t="s">
        <v>241</v>
      </c>
      <c r="L3130">
        <v>51940000</v>
      </c>
      <c r="M3130" t="s">
        <v>242</v>
      </c>
      <c r="N3130" t="s">
        <v>2247</v>
      </c>
    </row>
    <row r="3131" spans="1:16" hidden="1" x14ac:dyDescent="0.25">
      <c r="A3131" s="16">
        <v>45839</v>
      </c>
      <c r="B3131" t="s">
        <v>97</v>
      </c>
      <c r="C3131">
        <v>26</v>
      </c>
      <c r="D3131" t="s">
        <v>238</v>
      </c>
      <c r="E3131" t="s">
        <v>239</v>
      </c>
      <c r="F3131" t="s">
        <v>244</v>
      </c>
      <c r="G3131" t="s">
        <v>82</v>
      </c>
      <c r="J3131" t="s">
        <v>199</v>
      </c>
      <c r="K3131" t="s">
        <v>241</v>
      </c>
      <c r="L3131">
        <v>3560000000</v>
      </c>
      <c r="M3131" t="s">
        <v>245</v>
      </c>
      <c r="N3131" t="s">
        <v>2250</v>
      </c>
    </row>
    <row r="3132" spans="1:16" hidden="1" x14ac:dyDescent="0.25">
      <c r="A3132" s="16">
        <v>45839</v>
      </c>
      <c r="B3132" t="s">
        <v>97</v>
      </c>
      <c r="C3132">
        <v>27</v>
      </c>
      <c r="D3132" t="s">
        <v>253</v>
      </c>
      <c r="E3132" t="s">
        <v>248</v>
      </c>
      <c r="F3132" t="s">
        <v>285</v>
      </c>
      <c r="G3132" t="s">
        <v>63</v>
      </c>
      <c r="J3132" t="s">
        <v>197</v>
      </c>
      <c r="K3132" t="s">
        <v>255</v>
      </c>
      <c r="L3132">
        <v>2660000</v>
      </c>
      <c r="M3132" t="s">
        <v>242</v>
      </c>
      <c r="N3132" t="s">
        <v>1947</v>
      </c>
      <c r="O3132">
        <v>1</v>
      </c>
      <c r="P3132" t="s">
        <v>257</v>
      </c>
    </row>
    <row r="3133" spans="1:16" hidden="1" x14ac:dyDescent="0.25">
      <c r="A3133" s="16">
        <v>45839</v>
      </c>
      <c r="B3133" t="s">
        <v>97</v>
      </c>
      <c r="C3133">
        <v>27</v>
      </c>
      <c r="D3133" t="s">
        <v>253</v>
      </c>
      <c r="E3133" t="s">
        <v>248</v>
      </c>
      <c r="F3133" t="s">
        <v>285</v>
      </c>
      <c r="G3133" t="s">
        <v>63</v>
      </c>
      <c r="J3133" t="s">
        <v>198</v>
      </c>
      <c r="K3133" t="s">
        <v>255</v>
      </c>
      <c r="L3133">
        <v>2670000</v>
      </c>
      <c r="M3133" t="s">
        <v>242</v>
      </c>
      <c r="N3133" t="s">
        <v>2122</v>
      </c>
      <c r="O3133">
        <v>1</v>
      </c>
      <c r="P3133" t="s">
        <v>257</v>
      </c>
    </row>
    <row r="3134" spans="1:16" hidden="1" x14ac:dyDescent="0.25">
      <c r="A3134" s="16">
        <v>45839</v>
      </c>
      <c r="B3134" t="s">
        <v>97</v>
      </c>
      <c r="C3134">
        <v>27</v>
      </c>
      <c r="D3134" t="s">
        <v>253</v>
      </c>
      <c r="E3134" t="s">
        <v>248</v>
      </c>
      <c r="F3134" t="s">
        <v>285</v>
      </c>
      <c r="G3134" t="s">
        <v>63</v>
      </c>
      <c r="J3134" t="s">
        <v>199</v>
      </c>
      <c r="K3134" t="s">
        <v>255</v>
      </c>
      <c r="L3134">
        <v>2630000</v>
      </c>
      <c r="M3134" t="s">
        <v>242</v>
      </c>
      <c r="N3134" t="s">
        <v>1776</v>
      </c>
      <c r="O3134">
        <v>1</v>
      </c>
      <c r="P3134" t="s">
        <v>261</v>
      </c>
    </row>
    <row r="3135" spans="1:16" hidden="1" x14ac:dyDescent="0.25">
      <c r="A3135" s="16">
        <v>45839</v>
      </c>
      <c r="B3135" t="s">
        <v>97</v>
      </c>
      <c r="C3135">
        <v>27</v>
      </c>
      <c r="D3135" t="s">
        <v>247</v>
      </c>
      <c r="E3135" t="s">
        <v>248</v>
      </c>
      <c r="F3135" t="s">
        <v>285</v>
      </c>
      <c r="G3135" t="s">
        <v>63</v>
      </c>
      <c r="H3135" t="s">
        <v>249</v>
      </c>
      <c r="J3135" t="s">
        <v>199</v>
      </c>
      <c r="K3135" t="s">
        <v>250</v>
      </c>
      <c r="L3135">
        <v>1.5</v>
      </c>
      <c r="M3135" t="s">
        <v>251</v>
      </c>
      <c r="N3135" t="s">
        <v>446</v>
      </c>
    </row>
    <row r="3136" spans="1:16" hidden="1" x14ac:dyDescent="0.25">
      <c r="A3136" s="16">
        <v>45839</v>
      </c>
      <c r="B3136" t="s">
        <v>97</v>
      </c>
      <c r="C3136">
        <v>28</v>
      </c>
      <c r="D3136" t="s">
        <v>291</v>
      </c>
      <c r="E3136" t="s">
        <v>292</v>
      </c>
      <c r="F3136" t="s">
        <v>285</v>
      </c>
      <c r="G3136" t="s">
        <v>63</v>
      </c>
      <c r="H3136" t="s">
        <v>64</v>
      </c>
      <c r="J3136" t="s">
        <v>199</v>
      </c>
      <c r="K3136" t="s">
        <v>250</v>
      </c>
      <c r="L3136">
        <v>2310000</v>
      </c>
      <c r="M3136" t="s">
        <v>242</v>
      </c>
      <c r="N3136" t="s">
        <v>2290</v>
      </c>
    </row>
    <row r="3137" spans="1:14" hidden="1" x14ac:dyDescent="0.25">
      <c r="A3137" s="16">
        <v>45839</v>
      </c>
      <c r="B3137" t="s">
        <v>97</v>
      </c>
      <c r="C3137">
        <v>28</v>
      </c>
      <c r="D3137" t="s">
        <v>291</v>
      </c>
      <c r="E3137" t="s">
        <v>292</v>
      </c>
      <c r="F3137" t="s">
        <v>285</v>
      </c>
      <c r="G3137" t="s">
        <v>63</v>
      </c>
      <c r="H3137" t="s">
        <v>65</v>
      </c>
      <c r="J3137" t="s">
        <v>199</v>
      </c>
      <c r="K3137" t="s">
        <v>250</v>
      </c>
      <c r="L3137">
        <v>320000</v>
      </c>
      <c r="M3137" t="s">
        <v>242</v>
      </c>
      <c r="N3137" t="s">
        <v>2291</v>
      </c>
    </row>
    <row r="3138" spans="1:14" hidden="1" x14ac:dyDescent="0.25">
      <c r="A3138" s="16">
        <v>45839</v>
      </c>
      <c r="B3138" t="s">
        <v>97</v>
      </c>
      <c r="C3138">
        <v>29</v>
      </c>
      <c r="D3138" t="s">
        <v>291</v>
      </c>
      <c r="E3138" t="s">
        <v>292</v>
      </c>
      <c r="F3138" t="s">
        <v>285</v>
      </c>
      <c r="G3138" t="s">
        <v>63</v>
      </c>
      <c r="H3138" t="s">
        <v>67</v>
      </c>
      <c r="J3138" t="s">
        <v>199</v>
      </c>
      <c r="K3138" t="s">
        <v>250</v>
      </c>
      <c r="L3138">
        <v>1260000</v>
      </c>
      <c r="M3138" t="s">
        <v>242</v>
      </c>
      <c r="N3138" t="s">
        <v>782</v>
      </c>
    </row>
    <row r="3139" spans="1:14" hidden="1" x14ac:dyDescent="0.25">
      <c r="A3139" s="16">
        <v>45839</v>
      </c>
      <c r="B3139" t="s">
        <v>97</v>
      </c>
      <c r="C3139">
        <v>29</v>
      </c>
      <c r="D3139" t="s">
        <v>291</v>
      </c>
      <c r="E3139" t="s">
        <v>292</v>
      </c>
      <c r="F3139" t="s">
        <v>285</v>
      </c>
      <c r="G3139" t="s">
        <v>63</v>
      </c>
      <c r="H3139" t="s">
        <v>68</v>
      </c>
      <c r="J3139" t="s">
        <v>199</v>
      </c>
      <c r="K3139" t="s">
        <v>250</v>
      </c>
      <c r="L3139">
        <v>1350000</v>
      </c>
      <c r="M3139" t="s">
        <v>242</v>
      </c>
      <c r="N3139" t="s">
        <v>1950</v>
      </c>
    </row>
    <row r="3140" spans="1:14" hidden="1" x14ac:dyDescent="0.25">
      <c r="A3140" s="16">
        <v>45839</v>
      </c>
      <c r="B3140" t="s">
        <v>97</v>
      </c>
      <c r="C3140">
        <v>30</v>
      </c>
      <c r="D3140" t="s">
        <v>291</v>
      </c>
      <c r="E3140" t="s">
        <v>292</v>
      </c>
      <c r="F3140" t="s">
        <v>285</v>
      </c>
      <c r="G3140" t="s">
        <v>63</v>
      </c>
      <c r="H3140" t="s">
        <v>70</v>
      </c>
      <c r="J3140" t="s">
        <v>199</v>
      </c>
      <c r="K3140" t="s">
        <v>250</v>
      </c>
      <c r="L3140">
        <v>952000</v>
      </c>
      <c r="M3140" t="s">
        <v>242</v>
      </c>
      <c r="N3140" t="s">
        <v>2126</v>
      </c>
    </row>
    <row r="3141" spans="1:14" hidden="1" x14ac:dyDescent="0.25">
      <c r="A3141" s="16">
        <v>45839</v>
      </c>
      <c r="B3141" t="s">
        <v>97</v>
      </c>
      <c r="C3141">
        <v>30</v>
      </c>
      <c r="D3141" t="s">
        <v>291</v>
      </c>
      <c r="E3141" t="s">
        <v>292</v>
      </c>
      <c r="F3141" t="s">
        <v>285</v>
      </c>
      <c r="G3141" t="s">
        <v>63</v>
      </c>
      <c r="H3141" t="s">
        <v>71</v>
      </c>
      <c r="J3141" t="s">
        <v>199</v>
      </c>
      <c r="K3141" t="s">
        <v>250</v>
      </c>
      <c r="L3141">
        <v>675000</v>
      </c>
      <c r="M3141" t="s">
        <v>242</v>
      </c>
      <c r="N3141" t="s">
        <v>2292</v>
      </c>
    </row>
    <row r="3142" spans="1:14" hidden="1" x14ac:dyDescent="0.25">
      <c r="A3142" s="16">
        <v>45839</v>
      </c>
      <c r="B3142" t="s">
        <v>97</v>
      </c>
      <c r="C3142">
        <v>30</v>
      </c>
      <c r="D3142" t="s">
        <v>291</v>
      </c>
      <c r="E3142" t="s">
        <v>292</v>
      </c>
      <c r="F3142" t="s">
        <v>285</v>
      </c>
      <c r="G3142" t="s">
        <v>63</v>
      </c>
      <c r="H3142" t="s">
        <v>72</v>
      </c>
      <c r="J3142" t="s">
        <v>199</v>
      </c>
      <c r="K3142" t="s">
        <v>250</v>
      </c>
      <c r="L3142">
        <v>509000</v>
      </c>
      <c r="M3142" t="s">
        <v>242</v>
      </c>
      <c r="N3142" t="s">
        <v>1180</v>
      </c>
    </row>
    <row r="3143" spans="1:14" hidden="1" x14ac:dyDescent="0.25">
      <c r="A3143" s="16">
        <v>45839</v>
      </c>
      <c r="B3143" t="s">
        <v>97</v>
      </c>
      <c r="C3143">
        <v>30</v>
      </c>
      <c r="D3143" t="s">
        <v>291</v>
      </c>
      <c r="E3143" t="s">
        <v>292</v>
      </c>
      <c r="F3143" t="s">
        <v>285</v>
      </c>
      <c r="G3143" t="s">
        <v>63</v>
      </c>
      <c r="H3143" t="s">
        <v>73</v>
      </c>
      <c r="J3143" t="s">
        <v>199</v>
      </c>
      <c r="K3143" t="s">
        <v>250</v>
      </c>
      <c r="L3143">
        <v>316000</v>
      </c>
      <c r="M3143" t="s">
        <v>242</v>
      </c>
      <c r="N3143" t="s">
        <v>2293</v>
      </c>
    </row>
    <row r="3144" spans="1:14" hidden="1" x14ac:dyDescent="0.25">
      <c r="A3144" s="16">
        <v>45839</v>
      </c>
      <c r="B3144" t="s">
        <v>97</v>
      </c>
      <c r="C3144">
        <v>30</v>
      </c>
      <c r="D3144" t="s">
        <v>291</v>
      </c>
      <c r="E3144" t="s">
        <v>292</v>
      </c>
      <c r="F3144" t="s">
        <v>285</v>
      </c>
      <c r="G3144" t="s">
        <v>63</v>
      </c>
      <c r="H3144" t="s">
        <v>74</v>
      </c>
      <c r="J3144" t="s">
        <v>199</v>
      </c>
      <c r="K3144" t="s">
        <v>250</v>
      </c>
      <c r="L3144">
        <v>118000</v>
      </c>
      <c r="M3144" t="s">
        <v>242</v>
      </c>
      <c r="N3144" t="s">
        <v>1607</v>
      </c>
    </row>
    <row r="3145" spans="1:14" hidden="1" x14ac:dyDescent="0.25">
      <c r="A3145" s="16">
        <v>45839</v>
      </c>
      <c r="B3145" t="s">
        <v>97</v>
      </c>
      <c r="C3145">
        <v>30</v>
      </c>
      <c r="D3145" t="s">
        <v>291</v>
      </c>
      <c r="E3145" t="s">
        <v>292</v>
      </c>
      <c r="F3145" t="s">
        <v>285</v>
      </c>
      <c r="G3145" t="s">
        <v>63</v>
      </c>
      <c r="H3145" t="s">
        <v>75</v>
      </c>
      <c r="J3145" t="s">
        <v>199</v>
      </c>
      <c r="K3145" t="s">
        <v>250</v>
      </c>
      <c r="L3145">
        <v>34000</v>
      </c>
      <c r="M3145" t="s">
        <v>242</v>
      </c>
      <c r="N3145" t="s">
        <v>474</v>
      </c>
    </row>
    <row r="3146" spans="1:14" hidden="1" x14ac:dyDescent="0.25">
      <c r="A3146" s="16">
        <v>45839</v>
      </c>
      <c r="B3146" t="s">
        <v>97</v>
      </c>
      <c r="C3146">
        <v>30</v>
      </c>
      <c r="D3146" t="s">
        <v>291</v>
      </c>
      <c r="E3146" t="s">
        <v>292</v>
      </c>
      <c r="F3146" t="s">
        <v>285</v>
      </c>
      <c r="G3146" t="s">
        <v>63</v>
      </c>
      <c r="H3146" t="s">
        <v>76</v>
      </c>
      <c r="J3146" t="s">
        <v>199</v>
      </c>
      <c r="K3146" t="s">
        <v>250</v>
      </c>
      <c r="L3146">
        <v>13000</v>
      </c>
      <c r="M3146" t="s">
        <v>242</v>
      </c>
      <c r="N3146" t="s">
        <v>475</v>
      </c>
    </row>
    <row r="3147" spans="1:14" hidden="1" x14ac:dyDescent="0.25">
      <c r="A3147" s="16">
        <v>45839</v>
      </c>
      <c r="B3147" t="s">
        <v>97</v>
      </c>
      <c r="C3147">
        <v>30</v>
      </c>
      <c r="D3147" t="s">
        <v>291</v>
      </c>
      <c r="E3147" t="s">
        <v>292</v>
      </c>
      <c r="F3147" t="s">
        <v>285</v>
      </c>
      <c r="G3147" t="s">
        <v>63</v>
      </c>
      <c r="H3147" t="s">
        <v>77</v>
      </c>
      <c r="J3147" t="s">
        <v>199</v>
      </c>
      <c r="K3147" t="s">
        <v>250</v>
      </c>
      <c r="L3147">
        <v>1000</v>
      </c>
      <c r="M3147" t="s">
        <v>242</v>
      </c>
      <c r="N3147" t="s">
        <v>476</v>
      </c>
    </row>
    <row r="3148" spans="1:14" hidden="1" x14ac:dyDescent="0.25">
      <c r="A3148" s="16">
        <v>45839</v>
      </c>
      <c r="B3148" t="s">
        <v>97</v>
      </c>
      <c r="C3148">
        <v>31</v>
      </c>
      <c r="D3148" t="s">
        <v>291</v>
      </c>
      <c r="E3148" t="s">
        <v>292</v>
      </c>
      <c r="F3148" t="s">
        <v>477</v>
      </c>
      <c r="G3148" t="s">
        <v>99</v>
      </c>
      <c r="H3148" t="s">
        <v>100</v>
      </c>
      <c r="J3148" t="s">
        <v>199</v>
      </c>
      <c r="K3148" t="s">
        <v>250</v>
      </c>
      <c r="L3148">
        <v>972</v>
      </c>
      <c r="M3148" t="s">
        <v>242</v>
      </c>
      <c r="N3148" t="s">
        <v>2294</v>
      </c>
    </row>
    <row r="3149" spans="1:14" hidden="1" x14ac:dyDescent="0.25">
      <c r="A3149" s="16">
        <v>45839</v>
      </c>
      <c r="B3149" t="s">
        <v>97</v>
      </c>
      <c r="C3149">
        <v>31</v>
      </c>
      <c r="D3149" t="s">
        <v>291</v>
      </c>
      <c r="E3149" t="s">
        <v>292</v>
      </c>
      <c r="F3149" t="s">
        <v>477</v>
      </c>
      <c r="G3149" t="s">
        <v>99</v>
      </c>
      <c r="H3149" t="s">
        <v>101</v>
      </c>
      <c r="J3149" t="s">
        <v>199</v>
      </c>
      <c r="K3149" t="s">
        <v>250</v>
      </c>
      <c r="L3149">
        <v>1292</v>
      </c>
      <c r="M3149" t="s">
        <v>242</v>
      </c>
      <c r="N3149" t="s">
        <v>2295</v>
      </c>
    </row>
    <row r="3150" spans="1:14" hidden="1" x14ac:dyDescent="0.25">
      <c r="A3150" s="16">
        <v>45839</v>
      </c>
      <c r="B3150" t="s">
        <v>97</v>
      </c>
      <c r="C3150">
        <v>31</v>
      </c>
      <c r="D3150" t="s">
        <v>291</v>
      </c>
      <c r="E3150" t="s">
        <v>292</v>
      </c>
      <c r="F3150" t="s">
        <v>477</v>
      </c>
      <c r="G3150" t="s">
        <v>99</v>
      </c>
      <c r="H3150" t="s">
        <v>102</v>
      </c>
      <c r="J3150" t="s">
        <v>199</v>
      </c>
      <c r="K3150" t="s">
        <v>250</v>
      </c>
      <c r="L3150">
        <v>7</v>
      </c>
      <c r="M3150" t="s">
        <v>242</v>
      </c>
      <c r="N3150" t="s">
        <v>1064</v>
      </c>
    </row>
    <row r="3151" spans="1:14" hidden="1" x14ac:dyDescent="0.25">
      <c r="A3151" s="16">
        <v>45839</v>
      </c>
      <c r="B3151" t="s">
        <v>97</v>
      </c>
      <c r="C3151">
        <v>31</v>
      </c>
      <c r="D3151" t="s">
        <v>291</v>
      </c>
      <c r="E3151" t="s">
        <v>292</v>
      </c>
      <c r="F3151" t="s">
        <v>477</v>
      </c>
      <c r="G3151" t="s">
        <v>99</v>
      </c>
      <c r="H3151" t="s">
        <v>103</v>
      </c>
      <c r="J3151" t="s">
        <v>199</v>
      </c>
      <c r="K3151" t="s">
        <v>250</v>
      </c>
      <c r="L3151">
        <v>2600000</v>
      </c>
      <c r="M3151" t="s">
        <v>242</v>
      </c>
      <c r="N3151" t="s">
        <v>1601</v>
      </c>
    </row>
    <row r="3152" spans="1:14" hidden="1" x14ac:dyDescent="0.25">
      <c r="A3152" s="16">
        <v>45839</v>
      </c>
      <c r="B3152" t="s">
        <v>97</v>
      </c>
      <c r="C3152">
        <v>31</v>
      </c>
      <c r="D3152" t="s">
        <v>291</v>
      </c>
      <c r="E3152" t="s">
        <v>292</v>
      </c>
      <c r="F3152" t="s">
        <v>477</v>
      </c>
      <c r="G3152" t="s">
        <v>99</v>
      </c>
      <c r="H3152" t="s">
        <v>104</v>
      </c>
      <c r="J3152" t="s">
        <v>199</v>
      </c>
      <c r="K3152" t="s">
        <v>250</v>
      </c>
      <c r="L3152">
        <v>3496</v>
      </c>
      <c r="M3152" t="s">
        <v>242</v>
      </c>
      <c r="N3152" t="s">
        <v>2296</v>
      </c>
    </row>
    <row r="3153" spans="1:16" hidden="1" x14ac:dyDescent="0.25">
      <c r="A3153" s="16">
        <v>45839</v>
      </c>
      <c r="B3153" t="s">
        <v>97</v>
      </c>
      <c r="C3153">
        <v>32</v>
      </c>
      <c r="D3153" t="s">
        <v>253</v>
      </c>
      <c r="E3153" t="s">
        <v>248</v>
      </c>
      <c r="F3153" t="s">
        <v>240</v>
      </c>
      <c r="G3153" t="s">
        <v>82</v>
      </c>
      <c r="J3153" t="s">
        <v>197</v>
      </c>
      <c r="K3153" t="s">
        <v>255</v>
      </c>
      <c r="L3153">
        <v>8210000</v>
      </c>
      <c r="M3153" t="s">
        <v>242</v>
      </c>
      <c r="N3153" t="s">
        <v>1910</v>
      </c>
      <c r="O3153">
        <v>1</v>
      </c>
      <c r="P3153" t="s">
        <v>257</v>
      </c>
    </row>
    <row r="3154" spans="1:16" hidden="1" x14ac:dyDescent="0.25">
      <c r="A3154" s="16">
        <v>45839</v>
      </c>
      <c r="B3154" t="s">
        <v>97</v>
      </c>
      <c r="C3154">
        <v>32</v>
      </c>
      <c r="D3154" t="s">
        <v>253</v>
      </c>
      <c r="E3154" t="s">
        <v>248</v>
      </c>
      <c r="F3154" t="s">
        <v>240</v>
      </c>
      <c r="G3154" t="s">
        <v>82</v>
      </c>
      <c r="J3154" t="s">
        <v>198</v>
      </c>
      <c r="K3154" t="s">
        <v>255</v>
      </c>
      <c r="L3154">
        <v>7990000</v>
      </c>
      <c r="M3154" t="s">
        <v>242</v>
      </c>
      <c r="N3154" t="s">
        <v>2086</v>
      </c>
      <c r="O3154">
        <v>1</v>
      </c>
      <c r="P3154" t="s">
        <v>257</v>
      </c>
    </row>
    <row r="3155" spans="1:16" hidden="1" x14ac:dyDescent="0.25">
      <c r="A3155" s="16">
        <v>45839</v>
      </c>
      <c r="B3155" t="s">
        <v>97</v>
      </c>
      <c r="C3155">
        <v>32</v>
      </c>
      <c r="D3155" t="s">
        <v>253</v>
      </c>
      <c r="E3155" t="s">
        <v>248</v>
      </c>
      <c r="F3155" t="s">
        <v>240</v>
      </c>
      <c r="G3155" t="s">
        <v>82</v>
      </c>
      <c r="J3155" t="s">
        <v>199</v>
      </c>
      <c r="K3155" t="s">
        <v>255</v>
      </c>
      <c r="L3155">
        <v>9150000</v>
      </c>
      <c r="M3155" t="s">
        <v>242</v>
      </c>
      <c r="N3155" t="s">
        <v>2255</v>
      </c>
      <c r="O3155">
        <v>1</v>
      </c>
      <c r="P3155" t="s">
        <v>261</v>
      </c>
    </row>
    <row r="3156" spans="1:16" hidden="1" x14ac:dyDescent="0.25">
      <c r="A3156" s="16">
        <v>45839</v>
      </c>
      <c r="B3156" t="s">
        <v>97</v>
      </c>
      <c r="C3156">
        <v>32</v>
      </c>
      <c r="D3156" t="s">
        <v>247</v>
      </c>
      <c r="E3156" t="s">
        <v>248</v>
      </c>
      <c r="F3156" t="s">
        <v>240</v>
      </c>
      <c r="G3156" t="s">
        <v>82</v>
      </c>
      <c r="H3156" t="s">
        <v>286</v>
      </c>
      <c r="J3156" t="s">
        <v>199</v>
      </c>
      <c r="K3156" t="s">
        <v>250</v>
      </c>
      <c r="L3156">
        <v>14.6</v>
      </c>
      <c r="M3156" t="s">
        <v>251</v>
      </c>
      <c r="N3156" t="s">
        <v>2297</v>
      </c>
    </row>
    <row r="3157" spans="1:16" hidden="1" x14ac:dyDescent="0.25">
      <c r="A3157" s="16">
        <v>45839</v>
      </c>
      <c r="B3157" t="s">
        <v>97</v>
      </c>
      <c r="C3157">
        <v>33</v>
      </c>
      <c r="D3157" t="s">
        <v>291</v>
      </c>
      <c r="E3157" t="s">
        <v>292</v>
      </c>
      <c r="F3157" t="s">
        <v>240</v>
      </c>
      <c r="G3157" t="s">
        <v>82</v>
      </c>
      <c r="H3157" t="s">
        <v>105</v>
      </c>
      <c r="J3157" t="s">
        <v>199</v>
      </c>
      <c r="K3157" t="s">
        <v>250</v>
      </c>
      <c r="L3157">
        <v>131100</v>
      </c>
      <c r="M3157" t="s">
        <v>242</v>
      </c>
      <c r="N3157" t="s">
        <v>2298</v>
      </c>
    </row>
    <row r="3158" spans="1:16" hidden="1" x14ac:dyDescent="0.25">
      <c r="A3158" s="16">
        <v>45839</v>
      </c>
      <c r="B3158" t="s">
        <v>97</v>
      </c>
      <c r="C3158">
        <v>33</v>
      </c>
      <c r="D3158" t="s">
        <v>291</v>
      </c>
      <c r="E3158" t="s">
        <v>292</v>
      </c>
      <c r="F3158" t="s">
        <v>240</v>
      </c>
      <c r="G3158" t="s">
        <v>82</v>
      </c>
      <c r="H3158" t="s">
        <v>106</v>
      </c>
      <c r="J3158" t="s">
        <v>199</v>
      </c>
      <c r="K3158" t="s">
        <v>250</v>
      </c>
      <c r="L3158">
        <v>180000</v>
      </c>
      <c r="M3158" t="s">
        <v>242</v>
      </c>
      <c r="N3158" t="s">
        <v>2299</v>
      </c>
    </row>
    <row r="3159" spans="1:16" hidden="1" x14ac:dyDescent="0.25">
      <c r="A3159" s="16">
        <v>45839</v>
      </c>
      <c r="B3159" t="s">
        <v>97</v>
      </c>
      <c r="C3159">
        <v>33</v>
      </c>
      <c r="D3159" t="s">
        <v>291</v>
      </c>
      <c r="E3159" t="s">
        <v>292</v>
      </c>
      <c r="F3159" t="s">
        <v>240</v>
      </c>
      <c r="G3159" t="s">
        <v>82</v>
      </c>
      <c r="H3159" t="s">
        <v>83</v>
      </c>
      <c r="J3159" t="s">
        <v>199</v>
      </c>
      <c r="K3159" t="s">
        <v>250</v>
      </c>
      <c r="L3159">
        <v>8100000</v>
      </c>
      <c r="M3159" t="s">
        <v>242</v>
      </c>
      <c r="N3159" t="s">
        <v>2300</v>
      </c>
    </row>
    <row r="3160" spans="1:16" hidden="1" x14ac:dyDescent="0.25">
      <c r="A3160" s="16">
        <v>45839</v>
      </c>
      <c r="B3160" t="s">
        <v>97</v>
      </c>
      <c r="C3160">
        <v>33</v>
      </c>
      <c r="D3160" t="s">
        <v>291</v>
      </c>
      <c r="E3160" t="s">
        <v>292</v>
      </c>
      <c r="F3160" t="s">
        <v>240</v>
      </c>
      <c r="G3160" t="s">
        <v>82</v>
      </c>
      <c r="H3160" t="s">
        <v>84</v>
      </c>
      <c r="J3160" t="s">
        <v>199</v>
      </c>
      <c r="K3160" t="s">
        <v>250</v>
      </c>
      <c r="L3160">
        <v>717300</v>
      </c>
      <c r="M3160" t="s">
        <v>242</v>
      </c>
      <c r="N3160" t="s">
        <v>2301</v>
      </c>
    </row>
    <row r="3161" spans="1:16" hidden="1" x14ac:dyDescent="0.25">
      <c r="A3161" s="16">
        <v>45839</v>
      </c>
      <c r="B3161" t="s">
        <v>97</v>
      </c>
      <c r="C3161">
        <v>34</v>
      </c>
      <c r="D3161" t="s">
        <v>291</v>
      </c>
      <c r="E3161" t="s">
        <v>292</v>
      </c>
      <c r="F3161" t="s">
        <v>240</v>
      </c>
      <c r="G3161" t="s">
        <v>82</v>
      </c>
      <c r="H3161" t="s">
        <v>105</v>
      </c>
      <c r="I3161" t="s">
        <v>491</v>
      </c>
      <c r="J3161" t="s">
        <v>199</v>
      </c>
      <c r="K3161" t="s">
        <v>250</v>
      </c>
      <c r="L3161">
        <v>1.46</v>
      </c>
      <c r="M3161" t="s">
        <v>251</v>
      </c>
      <c r="N3161" t="s">
        <v>2302</v>
      </c>
    </row>
    <row r="3162" spans="1:16" hidden="1" x14ac:dyDescent="0.25">
      <c r="A3162" s="16">
        <v>45839</v>
      </c>
      <c r="B3162" t="s">
        <v>97</v>
      </c>
      <c r="C3162">
        <v>34</v>
      </c>
      <c r="D3162" t="s">
        <v>291</v>
      </c>
      <c r="E3162" t="s">
        <v>292</v>
      </c>
      <c r="F3162" t="s">
        <v>240</v>
      </c>
      <c r="G3162" t="s">
        <v>82</v>
      </c>
      <c r="H3162" t="s">
        <v>105</v>
      </c>
      <c r="I3162" t="s">
        <v>493</v>
      </c>
      <c r="J3162" t="s">
        <v>199</v>
      </c>
      <c r="K3162" t="s">
        <v>250</v>
      </c>
      <c r="L3162">
        <v>98.54</v>
      </c>
      <c r="M3162" t="s">
        <v>251</v>
      </c>
      <c r="N3162" t="s">
        <v>2303</v>
      </c>
    </row>
    <row r="3163" spans="1:16" hidden="1" x14ac:dyDescent="0.25">
      <c r="A3163" s="16">
        <v>45839</v>
      </c>
      <c r="B3163" t="s">
        <v>97</v>
      </c>
      <c r="C3163">
        <v>34</v>
      </c>
      <c r="D3163" t="s">
        <v>291</v>
      </c>
      <c r="E3163" t="s">
        <v>292</v>
      </c>
      <c r="F3163" t="s">
        <v>240</v>
      </c>
      <c r="G3163" t="s">
        <v>82</v>
      </c>
      <c r="H3163" t="s">
        <v>106</v>
      </c>
      <c r="I3163" t="s">
        <v>491</v>
      </c>
      <c r="J3163" t="s">
        <v>199</v>
      </c>
      <c r="K3163" t="s">
        <v>250</v>
      </c>
      <c r="L3163">
        <v>6</v>
      </c>
      <c r="M3163" t="s">
        <v>251</v>
      </c>
      <c r="N3163" t="s">
        <v>2304</v>
      </c>
    </row>
    <row r="3164" spans="1:16" hidden="1" x14ac:dyDescent="0.25">
      <c r="A3164" s="16">
        <v>45839</v>
      </c>
      <c r="B3164" t="s">
        <v>97</v>
      </c>
      <c r="C3164">
        <v>34</v>
      </c>
      <c r="D3164" t="s">
        <v>291</v>
      </c>
      <c r="E3164" t="s">
        <v>292</v>
      </c>
      <c r="F3164" t="s">
        <v>240</v>
      </c>
      <c r="G3164" t="s">
        <v>82</v>
      </c>
      <c r="H3164" t="s">
        <v>106</v>
      </c>
      <c r="I3164" t="s">
        <v>493</v>
      </c>
      <c r="J3164" t="s">
        <v>199</v>
      </c>
      <c r="K3164" t="s">
        <v>250</v>
      </c>
      <c r="L3164">
        <v>94</v>
      </c>
      <c r="M3164" t="s">
        <v>251</v>
      </c>
      <c r="N3164" t="s">
        <v>2305</v>
      </c>
    </row>
    <row r="3165" spans="1:16" hidden="1" x14ac:dyDescent="0.25">
      <c r="A3165" s="16">
        <v>45839</v>
      </c>
      <c r="B3165" t="s">
        <v>97</v>
      </c>
      <c r="C3165">
        <v>34</v>
      </c>
      <c r="D3165" t="s">
        <v>291</v>
      </c>
      <c r="E3165" t="s">
        <v>292</v>
      </c>
      <c r="F3165" t="s">
        <v>240</v>
      </c>
      <c r="G3165" t="s">
        <v>82</v>
      </c>
      <c r="H3165" t="s">
        <v>83</v>
      </c>
      <c r="I3165" t="s">
        <v>497</v>
      </c>
      <c r="J3165" t="s">
        <v>199</v>
      </c>
      <c r="K3165" t="s">
        <v>250</v>
      </c>
      <c r="L3165">
        <v>0.52</v>
      </c>
      <c r="M3165" t="s">
        <v>251</v>
      </c>
      <c r="N3165" t="s">
        <v>2306</v>
      </c>
    </row>
    <row r="3166" spans="1:16" hidden="1" x14ac:dyDescent="0.25">
      <c r="A3166" s="16">
        <v>45839</v>
      </c>
      <c r="B3166" t="s">
        <v>97</v>
      </c>
      <c r="C3166">
        <v>34</v>
      </c>
      <c r="D3166" t="s">
        <v>291</v>
      </c>
      <c r="E3166" t="s">
        <v>292</v>
      </c>
      <c r="F3166" t="s">
        <v>240</v>
      </c>
      <c r="G3166" t="s">
        <v>82</v>
      </c>
      <c r="H3166" t="s">
        <v>83</v>
      </c>
      <c r="I3166" t="s">
        <v>2307</v>
      </c>
      <c r="J3166" t="s">
        <v>199</v>
      </c>
      <c r="K3166" t="s">
        <v>250</v>
      </c>
      <c r="L3166">
        <v>0.1</v>
      </c>
      <c r="M3166" t="s">
        <v>251</v>
      </c>
      <c r="N3166" t="s">
        <v>2308</v>
      </c>
    </row>
    <row r="3167" spans="1:16" hidden="1" x14ac:dyDescent="0.25">
      <c r="A3167" s="16">
        <v>45839</v>
      </c>
      <c r="B3167" t="s">
        <v>97</v>
      </c>
      <c r="C3167">
        <v>34</v>
      </c>
      <c r="D3167" t="s">
        <v>291</v>
      </c>
      <c r="E3167" t="s">
        <v>292</v>
      </c>
      <c r="F3167" t="s">
        <v>240</v>
      </c>
      <c r="G3167" t="s">
        <v>82</v>
      </c>
      <c r="H3167" t="s">
        <v>83</v>
      </c>
      <c r="I3167" t="s">
        <v>501</v>
      </c>
      <c r="J3167" t="s">
        <v>199</v>
      </c>
      <c r="K3167" t="s">
        <v>250</v>
      </c>
      <c r="L3167">
        <v>0.03</v>
      </c>
      <c r="M3167" t="s">
        <v>251</v>
      </c>
      <c r="N3167" t="s">
        <v>522</v>
      </c>
    </row>
    <row r="3168" spans="1:16" hidden="1" x14ac:dyDescent="0.25">
      <c r="A3168" s="16">
        <v>45839</v>
      </c>
      <c r="B3168" t="s">
        <v>97</v>
      </c>
      <c r="C3168">
        <v>34</v>
      </c>
      <c r="D3168" t="s">
        <v>291</v>
      </c>
      <c r="E3168" t="s">
        <v>292</v>
      </c>
      <c r="F3168" t="s">
        <v>240</v>
      </c>
      <c r="G3168" t="s">
        <v>82</v>
      </c>
      <c r="H3168" t="s">
        <v>83</v>
      </c>
      <c r="I3168" t="s">
        <v>503</v>
      </c>
      <c r="J3168" t="s">
        <v>199</v>
      </c>
      <c r="K3168" t="s">
        <v>250</v>
      </c>
      <c r="L3168">
        <v>2.96</v>
      </c>
      <c r="M3168" t="s">
        <v>251</v>
      </c>
      <c r="N3168" t="s">
        <v>523</v>
      </c>
    </row>
    <row r="3169" spans="1:16" hidden="1" x14ac:dyDescent="0.25">
      <c r="A3169" s="16">
        <v>45839</v>
      </c>
      <c r="B3169" t="s">
        <v>97</v>
      </c>
      <c r="C3169">
        <v>34</v>
      </c>
      <c r="D3169" t="s">
        <v>291</v>
      </c>
      <c r="E3169" t="s">
        <v>292</v>
      </c>
      <c r="F3169" t="s">
        <v>240</v>
      </c>
      <c r="G3169" t="s">
        <v>82</v>
      </c>
      <c r="H3169" t="s">
        <v>83</v>
      </c>
      <c r="I3169" t="s">
        <v>315</v>
      </c>
      <c r="J3169" t="s">
        <v>199</v>
      </c>
      <c r="K3169" t="s">
        <v>250</v>
      </c>
      <c r="L3169">
        <v>89.75</v>
      </c>
      <c r="M3169" t="s">
        <v>251</v>
      </c>
      <c r="N3169" t="s">
        <v>2309</v>
      </c>
    </row>
    <row r="3170" spans="1:16" hidden="1" x14ac:dyDescent="0.25">
      <c r="A3170" s="16">
        <v>45839</v>
      </c>
      <c r="B3170" t="s">
        <v>97</v>
      </c>
      <c r="C3170">
        <v>34</v>
      </c>
      <c r="D3170" t="s">
        <v>291</v>
      </c>
      <c r="E3170" t="s">
        <v>292</v>
      </c>
      <c r="F3170" t="s">
        <v>240</v>
      </c>
      <c r="G3170" t="s">
        <v>82</v>
      </c>
      <c r="H3170" t="s">
        <v>83</v>
      </c>
      <c r="I3170" t="s">
        <v>317</v>
      </c>
      <c r="J3170" t="s">
        <v>199</v>
      </c>
      <c r="K3170" t="s">
        <v>250</v>
      </c>
      <c r="L3170">
        <v>6.64</v>
      </c>
      <c r="M3170" t="s">
        <v>251</v>
      </c>
      <c r="N3170" t="s">
        <v>2310</v>
      </c>
    </row>
    <row r="3171" spans="1:16" hidden="1" x14ac:dyDescent="0.25">
      <c r="A3171" s="16">
        <v>45839</v>
      </c>
      <c r="B3171" t="s">
        <v>97</v>
      </c>
      <c r="C3171">
        <v>34</v>
      </c>
      <c r="D3171" t="s">
        <v>291</v>
      </c>
      <c r="E3171" t="s">
        <v>292</v>
      </c>
      <c r="F3171" t="s">
        <v>240</v>
      </c>
      <c r="G3171" t="s">
        <v>82</v>
      </c>
      <c r="H3171" t="s">
        <v>84</v>
      </c>
      <c r="I3171" t="s">
        <v>84</v>
      </c>
      <c r="J3171" t="s">
        <v>199</v>
      </c>
      <c r="K3171" t="s">
        <v>250</v>
      </c>
      <c r="L3171">
        <v>77.03</v>
      </c>
      <c r="M3171" t="s">
        <v>251</v>
      </c>
      <c r="N3171" t="s">
        <v>2311</v>
      </c>
    </row>
    <row r="3172" spans="1:16" hidden="1" x14ac:dyDescent="0.25">
      <c r="A3172" s="16">
        <v>45839</v>
      </c>
      <c r="B3172" t="s">
        <v>97</v>
      </c>
      <c r="C3172">
        <v>34</v>
      </c>
      <c r="D3172" t="s">
        <v>291</v>
      </c>
      <c r="E3172" t="s">
        <v>292</v>
      </c>
      <c r="F3172" t="s">
        <v>240</v>
      </c>
      <c r="G3172" t="s">
        <v>82</v>
      </c>
      <c r="H3172" t="s">
        <v>84</v>
      </c>
      <c r="I3172" t="s">
        <v>321</v>
      </c>
      <c r="J3172" t="s">
        <v>199</v>
      </c>
      <c r="K3172" t="s">
        <v>250</v>
      </c>
      <c r="L3172">
        <v>22.97</v>
      </c>
      <c r="M3172" t="s">
        <v>251</v>
      </c>
      <c r="N3172" t="s">
        <v>2312</v>
      </c>
    </row>
    <row r="3173" spans="1:16" hidden="1" x14ac:dyDescent="0.25">
      <c r="A3173" s="16">
        <v>45839</v>
      </c>
      <c r="B3173" t="s">
        <v>97</v>
      </c>
      <c r="C3173">
        <v>35</v>
      </c>
      <c r="D3173" t="s">
        <v>253</v>
      </c>
      <c r="E3173" t="s">
        <v>248</v>
      </c>
      <c r="F3173" t="s">
        <v>244</v>
      </c>
      <c r="G3173" t="s">
        <v>82</v>
      </c>
      <c r="J3173" t="s">
        <v>197</v>
      </c>
      <c r="K3173" t="s">
        <v>255</v>
      </c>
      <c r="L3173">
        <v>543000000</v>
      </c>
      <c r="M3173" t="s">
        <v>245</v>
      </c>
      <c r="N3173" t="s">
        <v>1974</v>
      </c>
      <c r="O3173">
        <v>1</v>
      </c>
      <c r="P3173" t="s">
        <v>257</v>
      </c>
    </row>
    <row r="3174" spans="1:16" hidden="1" x14ac:dyDescent="0.25">
      <c r="A3174" s="16">
        <v>45839</v>
      </c>
      <c r="B3174" t="s">
        <v>97</v>
      </c>
      <c r="C3174">
        <v>35</v>
      </c>
      <c r="D3174" t="s">
        <v>253</v>
      </c>
      <c r="E3174" t="s">
        <v>248</v>
      </c>
      <c r="F3174" t="s">
        <v>244</v>
      </c>
      <c r="G3174" t="s">
        <v>82</v>
      </c>
      <c r="J3174" t="s">
        <v>198</v>
      </c>
      <c r="K3174" t="s">
        <v>255</v>
      </c>
      <c r="L3174">
        <v>525000000</v>
      </c>
      <c r="M3174" t="s">
        <v>245</v>
      </c>
      <c r="N3174" t="s">
        <v>2148</v>
      </c>
      <c r="O3174">
        <v>1</v>
      </c>
      <c r="P3174" t="s">
        <v>257</v>
      </c>
    </row>
    <row r="3175" spans="1:16" hidden="1" x14ac:dyDescent="0.25">
      <c r="A3175" s="16">
        <v>45839</v>
      </c>
      <c r="B3175" t="s">
        <v>97</v>
      </c>
      <c r="C3175">
        <v>35</v>
      </c>
      <c r="D3175" t="s">
        <v>253</v>
      </c>
      <c r="E3175" t="s">
        <v>248</v>
      </c>
      <c r="F3175" t="s">
        <v>244</v>
      </c>
      <c r="G3175" t="s">
        <v>82</v>
      </c>
      <c r="J3175" t="s">
        <v>199</v>
      </c>
      <c r="K3175" t="s">
        <v>255</v>
      </c>
      <c r="L3175">
        <v>588000000</v>
      </c>
      <c r="M3175" t="s">
        <v>245</v>
      </c>
      <c r="N3175" t="s">
        <v>2313</v>
      </c>
      <c r="O3175">
        <v>1</v>
      </c>
      <c r="P3175" t="s">
        <v>261</v>
      </c>
    </row>
    <row r="3176" spans="1:16" hidden="1" x14ac:dyDescent="0.25">
      <c r="A3176" s="16">
        <v>45839</v>
      </c>
      <c r="B3176" t="s">
        <v>97</v>
      </c>
      <c r="C3176">
        <v>35</v>
      </c>
      <c r="D3176" t="s">
        <v>247</v>
      </c>
      <c r="E3176" t="s">
        <v>248</v>
      </c>
      <c r="F3176" t="s">
        <v>244</v>
      </c>
      <c r="G3176" t="s">
        <v>82</v>
      </c>
      <c r="H3176" t="s">
        <v>286</v>
      </c>
      <c r="J3176" t="s">
        <v>199</v>
      </c>
      <c r="K3176" t="s">
        <v>250</v>
      </c>
      <c r="L3176">
        <v>12.1</v>
      </c>
      <c r="M3176" t="s">
        <v>251</v>
      </c>
      <c r="N3176" t="s">
        <v>2314</v>
      </c>
    </row>
    <row r="3177" spans="1:16" hidden="1" x14ac:dyDescent="0.25">
      <c r="A3177" s="16">
        <v>45839</v>
      </c>
      <c r="B3177" t="s">
        <v>97</v>
      </c>
      <c r="C3177">
        <v>36</v>
      </c>
      <c r="D3177" t="s">
        <v>291</v>
      </c>
      <c r="E3177" t="s">
        <v>292</v>
      </c>
      <c r="F3177" t="s">
        <v>244</v>
      </c>
      <c r="G3177" t="s">
        <v>82</v>
      </c>
      <c r="H3177" t="s">
        <v>105</v>
      </c>
      <c r="J3177" t="s">
        <v>199</v>
      </c>
      <c r="K3177" t="s">
        <v>250</v>
      </c>
      <c r="L3177">
        <v>19000000</v>
      </c>
      <c r="M3177" t="s">
        <v>245</v>
      </c>
      <c r="N3177" t="s">
        <v>1631</v>
      </c>
    </row>
    <row r="3178" spans="1:16" hidden="1" x14ac:dyDescent="0.25">
      <c r="A3178" s="16">
        <v>45839</v>
      </c>
      <c r="B3178" t="s">
        <v>97</v>
      </c>
      <c r="C3178">
        <v>36</v>
      </c>
      <c r="D3178" t="s">
        <v>291</v>
      </c>
      <c r="E3178" t="s">
        <v>292</v>
      </c>
      <c r="F3178" t="s">
        <v>244</v>
      </c>
      <c r="G3178" t="s">
        <v>82</v>
      </c>
      <c r="H3178" t="s">
        <v>106</v>
      </c>
      <c r="J3178" t="s">
        <v>199</v>
      </c>
      <c r="K3178" t="s">
        <v>250</v>
      </c>
      <c r="L3178">
        <v>28600000</v>
      </c>
      <c r="M3178" t="s">
        <v>245</v>
      </c>
      <c r="N3178" t="s">
        <v>1632</v>
      </c>
    </row>
    <row r="3179" spans="1:16" hidden="1" x14ac:dyDescent="0.25">
      <c r="A3179" s="16">
        <v>45839</v>
      </c>
      <c r="B3179" t="s">
        <v>97</v>
      </c>
      <c r="C3179">
        <v>36</v>
      </c>
      <c r="D3179" t="s">
        <v>291</v>
      </c>
      <c r="E3179" t="s">
        <v>292</v>
      </c>
      <c r="F3179" t="s">
        <v>244</v>
      </c>
      <c r="G3179" t="s">
        <v>82</v>
      </c>
      <c r="H3179" t="s">
        <v>83</v>
      </c>
      <c r="J3179" t="s">
        <v>199</v>
      </c>
      <c r="K3179" t="s">
        <v>250</v>
      </c>
      <c r="L3179">
        <v>483500000</v>
      </c>
      <c r="M3179" t="s">
        <v>245</v>
      </c>
      <c r="N3179" t="s">
        <v>1633</v>
      </c>
    </row>
    <row r="3180" spans="1:16" hidden="1" x14ac:dyDescent="0.25">
      <c r="A3180" s="16">
        <v>45839</v>
      </c>
      <c r="B3180" t="s">
        <v>97</v>
      </c>
      <c r="C3180">
        <v>36</v>
      </c>
      <c r="D3180" t="s">
        <v>291</v>
      </c>
      <c r="E3180" t="s">
        <v>292</v>
      </c>
      <c r="F3180" t="s">
        <v>244</v>
      </c>
      <c r="G3180" t="s">
        <v>82</v>
      </c>
      <c r="H3180" t="s">
        <v>84</v>
      </c>
      <c r="J3180" t="s">
        <v>199</v>
      </c>
      <c r="K3180" t="s">
        <v>250</v>
      </c>
      <c r="L3180">
        <v>6400000</v>
      </c>
      <c r="M3180" t="s">
        <v>245</v>
      </c>
      <c r="N3180" t="s">
        <v>1634</v>
      </c>
    </row>
    <row r="3181" spans="1:16" hidden="1" x14ac:dyDescent="0.25">
      <c r="A3181" s="16">
        <v>45839</v>
      </c>
      <c r="B3181" t="s">
        <v>97</v>
      </c>
      <c r="C3181">
        <v>37</v>
      </c>
      <c r="D3181" t="s">
        <v>291</v>
      </c>
      <c r="E3181" t="s">
        <v>292</v>
      </c>
      <c r="F3181" t="s">
        <v>244</v>
      </c>
      <c r="G3181" t="s">
        <v>82</v>
      </c>
      <c r="H3181" t="s">
        <v>105</v>
      </c>
      <c r="I3181" t="s">
        <v>491</v>
      </c>
      <c r="J3181" t="s">
        <v>199</v>
      </c>
      <c r="K3181" t="s">
        <v>250</v>
      </c>
      <c r="L3181">
        <v>1.38</v>
      </c>
      <c r="M3181" t="s">
        <v>251</v>
      </c>
      <c r="N3181" t="s">
        <v>2315</v>
      </c>
    </row>
    <row r="3182" spans="1:16" hidden="1" x14ac:dyDescent="0.25">
      <c r="A3182" s="16">
        <v>45839</v>
      </c>
      <c r="B3182" t="s">
        <v>97</v>
      </c>
      <c r="C3182">
        <v>37</v>
      </c>
      <c r="D3182" t="s">
        <v>291</v>
      </c>
      <c r="E3182" t="s">
        <v>292</v>
      </c>
      <c r="F3182" t="s">
        <v>244</v>
      </c>
      <c r="G3182" t="s">
        <v>82</v>
      </c>
      <c r="H3182" t="s">
        <v>105</v>
      </c>
      <c r="I3182" t="s">
        <v>493</v>
      </c>
      <c r="J3182" t="s">
        <v>199</v>
      </c>
      <c r="K3182" t="s">
        <v>250</v>
      </c>
      <c r="L3182">
        <v>98.62</v>
      </c>
      <c r="M3182" t="s">
        <v>251</v>
      </c>
      <c r="N3182" t="s">
        <v>2316</v>
      </c>
    </row>
    <row r="3183" spans="1:16" hidden="1" x14ac:dyDescent="0.25">
      <c r="A3183" s="16">
        <v>45839</v>
      </c>
      <c r="B3183" t="s">
        <v>97</v>
      </c>
      <c r="C3183">
        <v>37</v>
      </c>
      <c r="D3183" t="s">
        <v>291</v>
      </c>
      <c r="E3183" t="s">
        <v>292</v>
      </c>
      <c r="F3183" t="s">
        <v>244</v>
      </c>
      <c r="G3183" t="s">
        <v>82</v>
      </c>
      <c r="H3183" t="s">
        <v>106</v>
      </c>
      <c r="I3183" t="s">
        <v>491</v>
      </c>
      <c r="J3183" t="s">
        <v>199</v>
      </c>
      <c r="K3183" t="s">
        <v>250</v>
      </c>
      <c r="L3183">
        <v>6.54</v>
      </c>
      <c r="M3183" t="s">
        <v>251</v>
      </c>
      <c r="N3183" t="s">
        <v>2317</v>
      </c>
    </row>
    <row r="3184" spans="1:16" hidden="1" x14ac:dyDescent="0.25">
      <c r="A3184" s="16">
        <v>45839</v>
      </c>
      <c r="B3184" t="s">
        <v>97</v>
      </c>
      <c r="C3184">
        <v>37</v>
      </c>
      <c r="D3184" t="s">
        <v>291</v>
      </c>
      <c r="E3184" t="s">
        <v>292</v>
      </c>
      <c r="F3184" t="s">
        <v>244</v>
      </c>
      <c r="G3184" t="s">
        <v>82</v>
      </c>
      <c r="H3184" t="s">
        <v>106</v>
      </c>
      <c r="I3184" t="s">
        <v>493</v>
      </c>
      <c r="J3184" t="s">
        <v>199</v>
      </c>
      <c r="K3184" t="s">
        <v>250</v>
      </c>
      <c r="L3184">
        <v>93.46</v>
      </c>
      <c r="M3184" t="s">
        <v>251</v>
      </c>
      <c r="N3184" t="s">
        <v>2318</v>
      </c>
    </row>
    <row r="3185" spans="1:16" hidden="1" x14ac:dyDescent="0.25">
      <c r="A3185" s="16">
        <v>45839</v>
      </c>
      <c r="B3185" t="s">
        <v>97</v>
      </c>
      <c r="C3185">
        <v>37</v>
      </c>
      <c r="D3185" t="s">
        <v>291</v>
      </c>
      <c r="E3185" t="s">
        <v>292</v>
      </c>
      <c r="F3185" t="s">
        <v>244</v>
      </c>
      <c r="G3185" t="s">
        <v>82</v>
      </c>
      <c r="H3185" t="s">
        <v>83</v>
      </c>
      <c r="I3185" t="s">
        <v>497</v>
      </c>
      <c r="J3185" t="s">
        <v>199</v>
      </c>
      <c r="K3185" t="s">
        <v>250</v>
      </c>
      <c r="L3185">
        <v>2.73</v>
      </c>
      <c r="M3185" t="s">
        <v>251</v>
      </c>
      <c r="N3185" t="s">
        <v>2319</v>
      </c>
    </row>
    <row r="3186" spans="1:16" hidden="1" x14ac:dyDescent="0.25">
      <c r="A3186" s="16">
        <v>45839</v>
      </c>
      <c r="B3186" t="s">
        <v>97</v>
      </c>
      <c r="C3186">
        <v>37</v>
      </c>
      <c r="D3186" t="s">
        <v>291</v>
      </c>
      <c r="E3186" t="s">
        <v>292</v>
      </c>
      <c r="F3186" t="s">
        <v>244</v>
      </c>
      <c r="G3186" t="s">
        <v>82</v>
      </c>
      <c r="H3186" t="s">
        <v>83</v>
      </c>
      <c r="I3186" t="s">
        <v>2307</v>
      </c>
      <c r="J3186" t="s">
        <v>199</v>
      </c>
      <c r="K3186" t="s">
        <v>250</v>
      </c>
      <c r="L3186">
        <v>0.8</v>
      </c>
      <c r="M3186" t="s">
        <v>251</v>
      </c>
      <c r="N3186" t="s">
        <v>2320</v>
      </c>
    </row>
    <row r="3187" spans="1:16" hidden="1" x14ac:dyDescent="0.25">
      <c r="A3187" s="16">
        <v>45839</v>
      </c>
      <c r="B3187" t="s">
        <v>97</v>
      </c>
      <c r="C3187">
        <v>37</v>
      </c>
      <c r="D3187" t="s">
        <v>291</v>
      </c>
      <c r="E3187" t="s">
        <v>292</v>
      </c>
      <c r="F3187" t="s">
        <v>244</v>
      </c>
      <c r="G3187" t="s">
        <v>82</v>
      </c>
      <c r="H3187" t="s">
        <v>83</v>
      </c>
      <c r="I3187" t="s">
        <v>501</v>
      </c>
      <c r="J3187" t="s">
        <v>199</v>
      </c>
      <c r="K3187" t="s">
        <v>250</v>
      </c>
      <c r="L3187">
        <v>7.0000000000000007E-2</v>
      </c>
      <c r="M3187" t="s">
        <v>251</v>
      </c>
      <c r="N3187" t="s">
        <v>975</v>
      </c>
    </row>
    <row r="3188" spans="1:16" hidden="1" x14ac:dyDescent="0.25">
      <c r="A3188" s="16">
        <v>45839</v>
      </c>
      <c r="B3188" t="s">
        <v>97</v>
      </c>
      <c r="C3188">
        <v>37</v>
      </c>
      <c r="D3188" t="s">
        <v>291</v>
      </c>
      <c r="E3188" t="s">
        <v>292</v>
      </c>
      <c r="F3188" t="s">
        <v>244</v>
      </c>
      <c r="G3188" t="s">
        <v>82</v>
      </c>
      <c r="H3188" t="s">
        <v>83</v>
      </c>
      <c r="I3188" t="s">
        <v>503</v>
      </c>
      <c r="J3188" t="s">
        <v>199</v>
      </c>
      <c r="K3188" t="s">
        <v>250</v>
      </c>
      <c r="L3188">
        <v>5.38</v>
      </c>
      <c r="M3188" t="s">
        <v>251</v>
      </c>
      <c r="N3188" t="s">
        <v>2321</v>
      </c>
    </row>
    <row r="3189" spans="1:16" hidden="1" x14ac:dyDescent="0.25">
      <c r="A3189" s="16">
        <v>45839</v>
      </c>
      <c r="B3189" t="s">
        <v>97</v>
      </c>
      <c r="C3189">
        <v>37</v>
      </c>
      <c r="D3189" t="s">
        <v>291</v>
      </c>
      <c r="E3189" t="s">
        <v>292</v>
      </c>
      <c r="F3189" t="s">
        <v>244</v>
      </c>
      <c r="G3189" t="s">
        <v>82</v>
      </c>
      <c r="H3189" t="s">
        <v>83</v>
      </c>
      <c r="I3189" t="s">
        <v>315</v>
      </c>
      <c r="J3189" t="s">
        <v>199</v>
      </c>
      <c r="K3189" t="s">
        <v>250</v>
      </c>
      <c r="L3189">
        <v>70.13</v>
      </c>
      <c r="M3189" t="s">
        <v>251</v>
      </c>
      <c r="N3189" t="s">
        <v>2322</v>
      </c>
    </row>
    <row r="3190" spans="1:16" hidden="1" x14ac:dyDescent="0.25">
      <c r="A3190" s="16">
        <v>45839</v>
      </c>
      <c r="B3190" t="s">
        <v>97</v>
      </c>
      <c r="C3190">
        <v>37</v>
      </c>
      <c r="D3190" t="s">
        <v>291</v>
      </c>
      <c r="E3190" t="s">
        <v>292</v>
      </c>
      <c r="F3190" t="s">
        <v>244</v>
      </c>
      <c r="G3190" t="s">
        <v>82</v>
      </c>
      <c r="H3190" t="s">
        <v>83</v>
      </c>
      <c r="I3190" t="s">
        <v>317</v>
      </c>
      <c r="J3190" t="s">
        <v>199</v>
      </c>
      <c r="K3190" t="s">
        <v>250</v>
      </c>
      <c r="L3190">
        <v>20.89</v>
      </c>
      <c r="M3190" t="s">
        <v>251</v>
      </c>
      <c r="N3190" t="s">
        <v>2323</v>
      </c>
    </row>
    <row r="3191" spans="1:16" hidden="1" x14ac:dyDescent="0.25">
      <c r="A3191" s="16">
        <v>45839</v>
      </c>
      <c r="B3191" t="s">
        <v>97</v>
      </c>
      <c r="C3191">
        <v>37</v>
      </c>
      <c r="D3191" t="s">
        <v>291</v>
      </c>
      <c r="E3191" t="s">
        <v>292</v>
      </c>
      <c r="F3191" t="s">
        <v>244</v>
      </c>
      <c r="G3191" t="s">
        <v>82</v>
      </c>
      <c r="H3191" t="s">
        <v>84</v>
      </c>
      <c r="I3191" t="s">
        <v>84</v>
      </c>
      <c r="J3191" t="s">
        <v>199</v>
      </c>
      <c r="K3191" t="s">
        <v>250</v>
      </c>
      <c r="L3191">
        <v>94.87</v>
      </c>
      <c r="M3191" t="s">
        <v>251</v>
      </c>
      <c r="N3191" t="s">
        <v>2324</v>
      </c>
    </row>
    <row r="3192" spans="1:16" hidden="1" x14ac:dyDescent="0.25">
      <c r="A3192" s="16">
        <v>45839</v>
      </c>
      <c r="B3192" t="s">
        <v>97</v>
      </c>
      <c r="C3192">
        <v>37</v>
      </c>
      <c r="D3192" t="s">
        <v>291</v>
      </c>
      <c r="E3192" t="s">
        <v>292</v>
      </c>
      <c r="F3192" t="s">
        <v>244</v>
      </c>
      <c r="G3192" t="s">
        <v>82</v>
      </c>
      <c r="H3192" t="s">
        <v>84</v>
      </c>
      <c r="I3192" t="s">
        <v>321</v>
      </c>
      <c r="J3192" t="s">
        <v>199</v>
      </c>
      <c r="K3192" t="s">
        <v>250</v>
      </c>
      <c r="L3192">
        <v>5.13</v>
      </c>
      <c r="M3192" t="s">
        <v>251</v>
      </c>
      <c r="N3192" t="s">
        <v>2325</v>
      </c>
    </row>
    <row r="3193" spans="1:16" hidden="1" x14ac:dyDescent="0.25">
      <c r="A3193" s="16">
        <v>45839</v>
      </c>
      <c r="B3193" t="s">
        <v>97</v>
      </c>
      <c r="C3193">
        <v>38</v>
      </c>
      <c r="D3193" t="s">
        <v>253</v>
      </c>
      <c r="E3193" t="s">
        <v>248</v>
      </c>
      <c r="F3193" t="s">
        <v>334</v>
      </c>
      <c r="G3193" t="s">
        <v>82</v>
      </c>
      <c r="J3193" t="s">
        <v>197</v>
      </c>
      <c r="K3193" t="s">
        <v>255</v>
      </c>
      <c r="L3193">
        <v>66</v>
      </c>
      <c r="M3193" t="s">
        <v>245</v>
      </c>
      <c r="N3193" t="s">
        <v>1989</v>
      </c>
      <c r="O3193">
        <v>1</v>
      </c>
      <c r="P3193" t="s">
        <v>257</v>
      </c>
    </row>
    <row r="3194" spans="1:16" hidden="1" x14ac:dyDescent="0.25">
      <c r="A3194" s="16">
        <v>45839</v>
      </c>
      <c r="B3194" t="s">
        <v>97</v>
      </c>
      <c r="C3194">
        <v>38</v>
      </c>
      <c r="D3194" t="s">
        <v>253</v>
      </c>
      <c r="E3194" t="s">
        <v>248</v>
      </c>
      <c r="F3194" t="s">
        <v>334</v>
      </c>
      <c r="G3194" t="s">
        <v>82</v>
      </c>
      <c r="J3194" t="s">
        <v>198</v>
      </c>
      <c r="K3194" t="s">
        <v>255</v>
      </c>
      <c r="L3194">
        <v>66</v>
      </c>
      <c r="M3194" t="s">
        <v>245</v>
      </c>
      <c r="N3194" t="s">
        <v>1989</v>
      </c>
      <c r="O3194">
        <v>1</v>
      </c>
      <c r="P3194" t="s">
        <v>257</v>
      </c>
    </row>
    <row r="3195" spans="1:16" hidden="1" x14ac:dyDescent="0.25">
      <c r="A3195" s="16">
        <v>45839</v>
      </c>
      <c r="B3195" t="s">
        <v>97</v>
      </c>
      <c r="C3195">
        <v>38</v>
      </c>
      <c r="D3195" t="s">
        <v>253</v>
      </c>
      <c r="E3195" t="s">
        <v>248</v>
      </c>
      <c r="F3195" t="s">
        <v>334</v>
      </c>
      <c r="G3195" t="s">
        <v>82</v>
      </c>
      <c r="J3195" t="s">
        <v>199</v>
      </c>
      <c r="K3195" t="s">
        <v>255</v>
      </c>
      <c r="L3195">
        <v>64</v>
      </c>
      <c r="M3195" t="s">
        <v>245</v>
      </c>
      <c r="N3195" t="s">
        <v>2326</v>
      </c>
      <c r="O3195">
        <v>1</v>
      </c>
      <c r="P3195" t="s">
        <v>261</v>
      </c>
    </row>
    <row r="3196" spans="1:16" hidden="1" x14ac:dyDescent="0.25">
      <c r="A3196" s="16">
        <v>45839</v>
      </c>
      <c r="B3196" t="s">
        <v>97</v>
      </c>
      <c r="C3196">
        <v>39</v>
      </c>
      <c r="D3196" t="s">
        <v>291</v>
      </c>
      <c r="E3196" t="s">
        <v>292</v>
      </c>
      <c r="F3196" t="s">
        <v>240</v>
      </c>
      <c r="G3196" t="s">
        <v>82</v>
      </c>
      <c r="H3196" t="s">
        <v>94</v>
      </c>
      <c r="J3196" t="s">
        <v>199</v>
      </c>
      <c r="K3196" t="s">
        <v>250</v>
      </c>
      <c r="L3196">
        <v>2250000</v>
      </c>
      <c r="M3196" t="s">
        <v>242</v>
      </c>
      <c r="N3196" t="s">
        <v>2327</v>
      </c>
    </row>
    <row r="3197" spans="1:16" hidden="1" x14ac:dyDescent="0.25">
      <c r="A3197" s="16">
        <v>45839</v>
      </c>
      <c r="B3197" t="s">
        <v>97</v>
      </c>
      <c r="C3197">
        <v>39</v>
      </c>
      <c r="D3197" t="s">
        <v>291</v>
      </c>
      <c r="E3197" t="s">
        <v>292</v>
      </c>
      <c r="F3197" t="s">
        <v>240</v>
      </c>
      <c r="G3197" t="s">
        <v>82</v>
      </c>
      <c r="H3197" t="s">
        <v>95</v>
      </c>
      <c r="J3197" t="s">
        <v>199</v>
      </c>
      <c r="K3197" t="s">
        <v>250</v>
      </c>
      <c r="L3197">
        <v>3220000</v>
      </c>
      <c r="M3197" t="s">
        <v>242</v>
      </c>
      <c r="N3197" t="s">
        <v>2328</v>
      </c>
    </row>
    <row r="3198" spans="1:16" hidden="1" x14ac:dyDescent="0.25">
      <c r="A3198" s="16">
        <v>45839</v>
      </c>
      <c r="B3198" t="s">
        <v>97</v>
      </c>
      <c r="C3198">
        <v>40</v>
      </c>
      <c r="D3198" t="s">
        <v>291</v>
      </c>
      <c r="E3198" t="s">
        <v>292</v>
      </c>
      <c r="F3198" t="s">
        <v>244</v>
      </c>
      <c r="G3198" t="s">
        <v>82</v>
      </c>
      <c r="H3198" t="s">
        <v>94</v>
      </c>
      <c r="J3198" t="s">
        <v>199</v>
      </c>
      <c r="K3198" t="s">
        <v>250</v>
      </c>
      <c r="L3198">
        <v>97900000</v>
      </c>
      <c r="M3198" t="s">
        <v>245</v>
      </c>
      <c r="N3198" t="s">
        <v>2329</v>
      </c>
    </row>
    <row r="3199" spans="1:16" hidden="1" x14ac:dyDescent="0.25">
      <c r="A3199" s="16">
        <v>45839</v>
      </c>
      <c r="B3199" t="s">
        <v>97</v>
      </c>
      <c r="C3199">
        <v>40</v>
      </c>
      <c r="D3199" t="s">
        <v>291</v>
      </c>
      <c r="E3199" t="s">
        <v>292</v>
      </c>
      <c r="F3199" t="s">
        <v>244</v>
      </c>
      <c r="G3199" t="s">
        <v>82</v>
      </c>
      <c r="H3199" t="s">
        <v>95</v>
      </c>
      <c r="J3199" t="s">
        <v>199</v>
      </c>
      <c r="K3199" t="s">
        <v>250</v>
      </c>
      <c r="L3199">
        <v>125500000</v>
      </c>
      <c r="M3199" t="s">
        <v>245</v>
      </c>
      <c r="N3199" t="s">
        <v>2330</v>
      </c>
    </row>
    <row r="3200" spans="1:16" hidden="1" x14ac:dyDescent="0.25">
      <c r="A3200" s="16">
        <v>45839</v>
      </c>
      <c r="B3200" t="s">
        <v>535</v>
      </c>
      <c r="C3200">
        <v>4</v>
      </c>
      <c r="D3200" t="s">
        <v>238</v>
      </c>
      <c r="E3200" t="s">
        <v>239</v>
      </c>
      <c r="F3200" t="s">
        <v>240</v>
      </c>
      <c r="G3200" t="s">
        <v>82</v>
      </c>
      <c r="J3200" t="s">
        <v>199</v>
      </c>
      <c r="K3200" t="s">
        <v>250</v>
      </c>
      <c r="L3200">
        <v>15300000</v>
      </c>
      <c r="M3200" t="s">
        <v>242</v>
      </c>
      <c r="N3200" t="s">
        <v>2331</v>
      </c>
    </row>
    <row r="3201" spans="1:14" hidden="1" x14ac:dyDescent="0.25">
      <c r="A3201" s="16">
        <v>45839</v>
      </c>
      <c r="B3201" t="s">
        <v>535</v>
      </c>
      <c r="C3201">
        <v>4</v>
      </c>
      <c r="D3201" t="s">
        <v>238</v>
      </c>
      <c r="E3201" t="s">
        <v>239</v>
      </c>
      <c r="F3201" t="s">
        <v>285</v>
      </c>
      <c r="G3201" t="s">
        <v>63</v>
      </c>
      <c r="J3201" t="s">
        <v>199</v>
      </c>
      <c r="K3201" t="s">
        <v>250</v>
      </c>
      <c r="L3201">
        <v>1920000</v>
      </c>
      <c r="M3201" t="s">
        <v>242</v>
      </c>
      <c r="N3201" t="s">
        <v>1307</v>
      </c>
    </row>
    <row r="3202" spans="1:14" hidden="1" x14ac:dyDescent="0.25">
      <c r="A3202" s="16">
        <v>45839</v>
      </c>
      <c r="B3202" t="s">
        <v>535</v>
      </c>
      <c r="C3202">
        <v>4</v>
      </c>
      <c r="D3202" t="s">
        <v>238</v>
      </c>
      <c r="E3202" t="s">
        <v>239</v>
      </c>
      <c r="F3202" t="s">
        <v>244</v>
      </c>
      <c r="G3202" t="s">
        <v>82</v>
      </c>
      <c r="J3202" t="s">
        <v>199</v>
      </c>
      <c r="K3202" t="s">
        <v>250</v>
      </c>
      <c r="L3202">
        <v>1860000000</v>
      </c>
      <c r="M3202" t="s">
        <v>245</v>
      </c>
      <c r="N3202" t="s">
        <v>2257</v>
      </c>
    </row>
    <row r="3203" spans="1:14" hidden="1" x14ac:dyDescent="0.25">
      <c r="A3203" s="16">
        <v>45839</v>
      </c>
      <c r="B3203" t="s">
        <v>535</v>
      </c>
      <c r="C3203">
        <v>5</v>
      </c>
      <c r="D3203" t="s">
        <v>238</v>
      </c>
      <c r="E3203" t="s">
        <v>239</v>
      </c>
      <c r="F3203" t="s">
        <v>240</v>
      </c>
      <c r="G3203" t="s">
        <v>82</v>
      </c>
      <c r="J3203" t="s">
        <v>199</v>
      </c>
      <c r="K3203" t="s">
        <v>250</v>
      </c>
      <c r="L3203">
        <v>9150000</v>
      </c>
      <c r="M3203" t="s">
        <v>242</v>
      </c>
      <c r="N3203" t="s">
        <v>2332</v>
      </c>
    </row>
    <row r="3204" spans="1:14" hidden="1" x14ac:dyDescent="0.25">
      <c r="A3204" s="16">
        <v>45839</v>
      </c>
      <c r="B3204" t="s">
        <v>535</v>
      </c>
      <c r="C3204">
        <v>5</v>
      </c>
      <c r="D3204" t="s">
        <v>238</v>
      </c>
      <c r="E3204" t="s">
        <v>239</v>
      </c>
      <c r="F3204" t="s">
        <v>285</v>
      </c>
      <c r="G3204" t="s">
        <v>63</v>
      </c>
      <c r="J3204" t="s">
        <v>199</v>
      </c>
      <c r="K3204" t="s">
        <v>250</v>
      </c>
      <c r="L3204">
        <v>2630000</v>
      </c>
      <c r="M3204" t="s">
        <v>242</v>
      </c>
      <c r="N3204" t="s">
        <v>1825</v>
      </c>
    </row>
    <row r="3205" spans="1:14" hidden="1" x14ac:dyDescent="0.25">
      <c r="A3205" s="16">
        <v>45839</v>
      </c>
      <c r="B3205" t="s">
        <v>535</v>
      </c>
      <c r="C3205">
        <v>5</v>
      </c>
      <c r="D3205" t="s">
        <v>238</v>
      </c>
      <c r="E3205" t="s">
        <v>239</v>
      </c>
      <c r="F3205" t="s">
        <v>244</v>
      </c>
      <c r="G3205" t="s">
        <v>82</v>
      </c>
      <c r="J3205" t="s">
        <v>199</v>
      </c>
      <c r="K3205" t="s">
        <v>250</v>
      </c>
      <c r="L3205">
        <v>588000000</v>
      </c>
      <c r="M3205" t="s">
        <v>245</v>
      </c>
      <c r="N3205" t="s">
        <v>2333</v>
      </c>
    </row>
    <row r="3206" spans="1:14" hidden="1" x14ac:dyDescent="0.25">
      <c r="A3206" s="16">
        <v>45839</v>
      </c>
      <c r="B3206" t="s">
        <v>535</v>
      </c>
      <c r="C3206">
        <v>6</v>
      </c>
      <c r="D3206" t="s">
        <v>238</v>
      </c>
      <c r="E3206" t="s">
        <v>239</v>
      </c>
      <c r="F3206" t="s">
        <v>378</v>
      </c>
      <c r="G3206" t="s">
        <v>379</v>
      </c>
      <c r="J3206" t="s">
        <v>199</v>
      </c>
      <c r="K3206" t="s">
        <v>250</v>
      </c>
      <c r="L3206">
        <v>636</v>
      </c>
      <c r="M3206" t="s">
        <v>242</v>
      </c>
      <c r="N3206" t="s">
        <v>2230</v>
      </c>
    </row>
    <row r="3207" spans="1:14" hidden="1" x14ac:dyDescent="0.25">
      <c r="A3207" s="16">
        <v>45839</v>
      </c>
      <c r="B3207" t="s">
        <v>535</v>
      </c>
      <c r="C3207">
        <v>6</v>
      </c>
      <c r="D3207" t="s">
        <v>238</v>
      </c>
      <c r="E3207" t="s">
        <v>239</v>
      </c>
      <c r="F3207" t="s">
        <v>381</v>
      </c>
      <c r="G3207" t="s">
        <v>382</v>
      </c>
      <c r="J3207" t="s">
        <v>199</v>
      </c>
      <c r="K3207" t="s">
        <v>250</v>
      </c>
      <c r="L3207">
        <v>2193</v>
      </c>
      <c r="M3207" t="s">
        <v>242</v>
      </c>
      <c r="N3207" t="s">
        <v>2231</v>
      </c>
    </row>
    <row r="3208" spans="1:14" hidden="1" x14ac:dyDescent="0.25">
      <c r="A3208" s="16">
        <v>45839</v>
      </c>
      <c r="B3208" t="s">
        <v>535</v>
      </c>
      <c r="C3208">
        <v>6</v>
      </c>
      <c r="D3208" t="s">
        <v>238</v>
      </c>
      <c r="E3208" t="s">
        <v>239</v>
      </c>
      <c r="F3208" t="s">
        <v>240</v>
      </c>
      <c r="G3208" t="s">
        <v>82</v>
      </c>
      <c r="J3208" t="s">
        <v>199</v>
      </c>
      <c r="K3208" t="s">
        <v>250</v>
      </c>
      <c r="L3208">
        <v>6580000</v>
      </c>
      <c r="M3208" t="s">
        <v>242</v>
      </c>
      <c r="N3208" t="s">
        <v>2334</v>
      </c>
    </row>
    <row r="3209" spans="1:14" hidden="1" x14ac:dyDescent="0.25">
      <c r="A3209" s="16">
        <v>45839</v>
      </c>
      <c r="B3209" t="s">
        <v>535</v>
      </c>
      <c r="C3209">
        <v>6</v>
      </c>
      <c r="D3209" t="s">
        <v>238</v>
      </c>
      <c r="E3209" t="s">
        <v>239</v>
      </c>
      <c r="F3209" t="s">
        <v>285</v>
      </c>
      <c r="G3209" t="s">
        <v>63</v>
      </c>
      <c r="J3209" t="s">
        <v>199</v>
      </c>
      <c r="K3209" t="s">
        <v>250</v>
      </c>
      <c r="L3209">
        <v>4810000</v>
      </c>
      <c r="M3209" t="s">
        <v>242</v>
      </c>
      <c r="N3209" t="s">
        <v>342</v>
      </c>
    </row>
    <row r="3210" spans="1:14" hidden="1" x14ac:dyDescent="0.25">
      <c r="A3210" s="16">
        <v>45839</v>
      </c>
      <c r="B3210" t="s">
        <v>535</v>
      </c>
      <c r="C3210">
        <v>6</v>
      </c>
      <c r="D3210" t="s">
        <v>238</v>
      </c>
      <c r="E3210" t="s">
        <v>239</v>
      </c>
      <c r="F3210" t="s">
        <v>244</v>
      </c>
      <c r="G3210" t="s">
        <v>82</v>
      </c>
      <c r="J3210" t="s">
        <v>199</v>
      </c>
      <c r="K3210" t="s">
        <v>250</v>
      </c>
      <c r="L3210">
        <v>1400000000</v>
      </c>
      <c r="M3210" t="s">
        <v>245</v>
      </c>
      <c r="N3210" t="s">
        <v>2206</v>
      </c>
    </row>
    <row r="3211" spans="1:14" hidden="1" x14ac:dyDescent="0.25">
      <c r="A3211" s="16">
        <v>45839</v>
      </c>
      <c r="B3211" t="s">
        <v>535</v>
      </c>
      <c r="C3211">
        <v>7</v>
      </c>
      <c r="D3211" t="s">
        <v>238</v>
      </c>
      <c r="E3211" t="s">
        <v>239</v>
      </c>
      <c r="F3211" t="s">
        <v>544</v>
      </c>
      <c r="G3211" t="s">
        <v>82</v>
      </c>
      <c r="J3211" t="s">
        <v>199</v>
      </c>
      <c r="K3211" t="s">
        <v>250</v>
      </c>
      <c r="L3211">
        <v>1050000</v>
      </c>
      <c r="M3211" t="s">
        <v>242</v>
      </c>
      <c r="N3211" t="s">
        <v>2335</v>
      </c>
    </row>
    <row r="3212" spans="1:14" hidden="1" x14ac:dyDescent="0.25">
      <c r="A3212" s="16">
        <v>45839</v>
      </c>
      <c r="B3212" t="s">
        <v>535</v>
      </c>
      <c r="C3212">
        <v>7</v>
      </c>
      <c r="D3212" t="s">
        <v>238</v>
      </c>
      <c r="E3212" t="s">
        <v>239</v>
      </c>
      <c r="F3212" t="s">
        <v>240</v>
      </c>
      <c r="G3212" t="s">
        <v>82</v>
      </c>
      <c r="J3212" t="s">
        <v>199</v>
      </c>
      <c r="K3212" t="s">
        <v>250</v>
      </c>
      <c r="L3212">
        <v>1050000</v>
      </c>
      <c r="M3212" t="s">
        <v>242</v>
      </c>
      <c r="N3212" t="s">
        <v>2335</v>
      </c>
    </row>
    <row r="3213" spans="1:14" hidden="1" x14ac:dyDescent="0.25">
      <c r="A3213" s="16">
        <v>45839</v>
      </c>
      <c r="B3213" t="s">
        <v>535</v>
      </c>
      <c r="C3213">
        <v>7</v>
      </c>
      <c r="D3213" t="s">
        <v>238</v>
      </c>
      <c r="E3213" t="s">
        <v>239</v>
      </c>
      <c r="F3213" t="s">
        <v>929</v>
      </c>
      <c r="G3213" t="s">
        <v>82</v>
      </c>
      <c r="J3213" t="s">
        <v>199</v>
      </c>
      <c r="K3213" t="s">
        <v>250</v>
      </c>
      <c r="L3213">
        <v>903000000</v>
      </c>
      <c r="M3213" t="s">
        <v>245</v>
      </c>
      <c r="N3213" t="s">
        <v>2336</v>
      </c>
    </row>
    <row r="3214" spans="1:14" hidden="1" x14ac:dyDescent="0.25">
      <c r="A3214" s="16">
        <v>45839</v>
      </c>
      <c r="B3214" t="s">
        <v>535</v>
      </c>
      <c r="C3214">
        <v>8</v>
      </c>
      <c r="D3214" t="s">
        <v>238</v>
      </c>
      <c r="E3214" t="s">
        <v>239</v>
      </c>
      <c r="F3214" t="s">
        <v>548</v>
      </c>
      <c r="G3214" t="s">
        <v>158</v>
      </c>
      <c r="J3214" t="s">
        <v>199</v>
      </c>
      <c r="K3214" t="s">
        <v>250</v>
      </c>
      <c r="L3214">
        <v>551000</v>
      </c>
      <c r="M3214" t="s">
        <v>242</v>
      </c>
      <c r="N3214" t="s">
        <v>2337</v>
      </c>
    </row>
    <row r="3215" spans="1:14" hidden="1" x14ac:dyDescent="0.25">
      <c r="A3215" s="16">
        <v>45839</v>
      </c>
      <c r="B3215" t="s">
        <v>535</v>
      </c>
      <c r="C3215">
        <v>8</v>
      </c>
      <c r="D3215" t="s">
        <v>238</v>
      </c>
      <c r="E3215" t="s">
        <v>239</v>
      </c>
      <c r="F3215" t="s">
        <v>349</v>
      </c>
      <c r="G3215" t="s">
        <v>158</v>
      </c>
      <c r="J3215" t="s">
        <v>199</v>
      </c>
      <c r="K3215" t="s">
        <v>250</v>
      </c>
      <c r="L3215">
        <v>17300</v>
      </c>
      <c r="M3215" t="s">
        <v>242</v>
      </c>
      <c r="N3215" t="s">
        <v>2338</v>
      </c>
    </row>
    <row r="3216" spans="1:14" hidden="1" x14ac:dyDescent="0.25">
      <c r="A3216" s="16">
        <v>45839</v>
      </c>
      <c r="B3216" t="s">
        <v>535</v>
      </c>
      <c r="C3216">
        <v>8</v>
      </c>
      <c r="D3216" t="s">
        <v>238</v>
      </c>
      <c r="E3216" t="s">
        <v>239</v>
      </c>
      <c r="F3216" t="s">
        <v>551</v>
      </c>
      <c r="G3216" t="s">
        <v>158</v>
      </c>
      <c r="J3216" t="s">
        <v>199</v>
      </c>
      <c r="K3216" t="s">
        <v>250</v>
      </c>
      <c r="L3216">
        <v>3680000000</v>
      </c>
      <c r="M3216" t="s">
        <v>245</v>
      </c>
      <c r="N3216" t="s">
        <v>2339</v>
      </c>
    </row>
    <row r="3217" spans="1:14" hidden="1" x14ac:dyDescent="0.25">
      <c r="A3217" s="16">
        <v>45839</v>
      </c>
      <c r="B3217" t="s">
        <v>535</v>
      </c>
      <c r="C3217">
        <v>8</v>
      </c>
      <c r="D3217" t="s">
        <v>238</v>
      </c>
      <c r="E3217" t="s">
        <v>239</v>
      </c>
      <c r="F3217" t="s">
        <v>361</v>
      </c>
      <c r="G3217" t="s">
        <v>158</v>
      </c>
      <c r="J3217" t="s">
        <v>199</v>
      </c>
      <c r="K3217" t="s">
        <v>250</v>
      </c>
      <c r="L3217">
        <v>109000000</v>
      </c>
      <c r="M3217" t="s">
        <v>245</v>
      </c>
      <c r="N3217" t="s">
        <v>2340</v>
      </c>
    </row>
    <row r="3218" spans="1:14" hidden="1" x14ac:dyDescent="0.25">
      <c r="A3218" s="17">
        <v>45870</v>
      </c>
      <c r="B3218" s="18" t="s">
        <v>535</v>
      </c>
      <c r="C3218" s="18">
        <v>4</v>
      </c>
      <c r="D3218" s="18" t="s">
        <v>238</v>
      </c>
      <c r="E3218" s="18" t="s">
        <v>2341</v>
      </c>
      <c r="F3218" s="18" t="s">
        <v>285</v>
      </c>
      <c r="G3218" s="18" t="s">
        <v>63</v>
      </c>
      <c r="H3218" s="18"/>
      <c r="I3218" s="18"/>
      <c r="J3218" s="18" t="s">
        <v>200</v>
      </c>
      <c r="K3218" s="18" t="s">
        <v>250</v>
      </c>
      <c r="L3218" s="18">
        <v>1960000</v>
      </c>
      <c r="M3218" s="18" t="s">
        <v>242</v>
      </c>
      <c r="N3218" s="18" t="s">
        <v>2342</v>
      </c>
    </row>
    <row r="3219" spans="1:14" hidden="1" x14ac:dyDescent="0.25">
      <c r="A3219" s="17">
        <v>45870</v>
      </c>
      <c r="B3219" s="18" t="s">
        <v>535</v>
      </c>
      <c r="C3219" s="18">
        <v>4</v>
      </c>
      <c r="D3219" s="18" t="s">
        <v>238</v>
      </c>
      <c r="E3219" s="18" t="s">
        <v>2341</v>
      </c>
      <c r="F3219" s="18" t="s">
        <v>240</v>
      </c>
      <c r="G3219" s="18" t="s">
        <v>82</v>
      </c>
      <c r="H3219" s="18"/>
      <c r="I3219" s="18"/>
      <c r="J3219" s="18" t="s">
        <v>200</v>
      </c>
      <c r="K3219" s="18" t="s">
        <v>250</v>
      </c>
      <c r="L3219" s="18">
        <v>15770000</v>
      </c>
      <c r="M3219" s="18" t="s">
        <v>242</v>
      </c>
      <c r="N3219" s="18" t="s">
        <v>2343</v>
      </c>
    </row>
    <row r="3220" spans="1:14" hidden="1" x14ac:dyDescent="0.25">
      <c r="A3220" s="17">
        <v>45870</v>
      </c>
      <c r="B3220" s="18" t="s">
        <v>535</v>
      </c>
      <c r="C3220" s="18">
        <v>4</v>
      </c>
      <c r="D3220" s="18" t="s">
        <v>238</v>
      </c>
      <c r="E3220" s="18" t="s">
        <v>2341</v>
      </c>
      <c r="F3220" s="18" t="s">
        <v>244</v>
      </c>
      <c r="G3220" s="18" t="s">
        <v>82</v>
      </c>
      <c r="H3220" s="18"/>
      <c r="I3220" s="18"/>
      <c r="J3220" s="18" t="s">
        <v>200</v>
      </c>
      <c r="K3220" s="18" t="s">
        <v>250</v>
      </c>
      <c r="L3220" s="18">
        <v>1880000000</v>
      </c>
      <c r="M3220" s="18" t="s">
        <v>245</v>
      </c>
      <c r="N3220" s="18" t="s">
        <v>2344</v>
      </c>
    </row>
    <row r="3221" spans="1:14" hidden="1" x14ac:dyDescent="0.25">
      <c r="A3221" s="17">
        <v>45870</v>
      </c>
      <c r="B3221" s="18" t="s">
        <v>535</v>
      </c>
      <c r="C3221" s="18">
        <v>5</v>
      </c>
      <c r="D3221" s="18" t="s">
        <v>238</v>
      </c>
      <c r="E3221" s="18" t="s">
        <v>2341</v>
      </c>
      <c r="F3221" s="18" t="s">
        <v>285</v>
      </c>
      <c r="G3221" s="18" t="s">
        <v>63</v>
      </c>
      <c r="H3221" s="18"/>
      <c r="I3221" s="18"/>
      <c r="J3221" s="18" t="s">
        <v>200</v>
      </c>
      <c r="K3221" s="18" t="s">
        <v>250</v>
      </c>
      <c r="L3221" s="18">
        <v>2660000</v>
      </c>
      <c r="M3221" s="18" t="s">
        <v>242</v>
      </c>
      <c r="N3221" s="18" t="s">
        <v>1996</v>
      </c>
    </row>
    <row r="3222" spans="1:14" hidden="1" x14ac:dyDescent="0.25">
      <c r="A3222" s="17">
        <v>45870</v>
      </c>
      <c r="B3222" s="18" t="s">
        <v>535</v>
      </c>
      <c r="C3222" s="18">
        <v>5</v>
      </c>
      <c r="D3222" s="18" t="s">
        <v>238</v>
      </c>
      <c r="E3222" s="18" t="s">
        <v>2341</v>
      </c>
      <c r="F3222" s="18" t="s">
        <v>240</v>
      </c>
      <c r="G3222" s="18" t="s">
        <v>82</v>
      </c>
      <c r="H3222" s="18"/>
      <c r="I3222" s="18"/>
      <c r="J3222" s="18" t="s">
        <v>200</v>
      </c>
      <c r="K3222" s="18" t="s">
        <v>250</v>
      </c>
      <c r="L3222" s="18">
        <v>9450000</v>
      </c>
      <c r="M3222" s="18" t="s">
        <v>242</v>
      </c>
      <c r="N3222" s="18" t="s">
        <v>2345</v>
      </c>
    </row>
    <row r="3223" spans="1:14" hidden="1" x14ac:dyDescent="0.25">
      <c r="A3223" s="17">
        <v>45870</v>
      </c>
      <c r="B3223" s="18" t="s">
        <v>535</v>
      </c>
      <c r="C3223" s="18">
        <v>5</v>
      </c>
      <c r="D3223" s="18" t="s">
        <v>238</v>
      </c>
      <c r="E3223" s="18" t="s">
        <v>2341</v>
      </c>
      <c r="F3223" s="18" t="s">
        <v>244</v>
      </c>
      <c r="G3223" s="18" t="s">
        <v>82</v>
      </c>
      <c r="H3223" s="18"/>
      <c r="I3223" s="18"/>
      <c r="J3223" s="18" t="s">
        <v>200</v>
      </c>
      <c r="K3223" s="18" t="s">
        <v>250</v>
      </c>
      <c r="L3223" s="18">
        <v>573000000</v>
      </c>
      <c r="M3223" s="18" t="s">
        <v>245</v>
      </c>
      <c r="N3223" s="18" t="s">
        <v>2346</v>
      </c>
    </row>
    <row r="3224" spans="1:14" hidden="1" x14ac:dyDescent="0.25">
      <c r="A3224" s="17">
        <v>45870</v>
      </c>
      <c r="B3224" s="18" t="s">
        <v>535</v>
      </c>
      <c r="C3224" s="18">
        <v>6</v>
      </c>
      <c r="D3224" s="18" t="s">
        <v>238</v>
      </c>
      <c r="E3224" s="18" t="s">
        <v>2341</v>
      </c>
      <c r="F3224" s="18" t="s">
        <v>285</v>
      </c>
      <c r="G3224" s="18" t="s">
        <v>63</v>
      </c>
      <c r="H3224" s="18"/>
      <c r="I3224" s="18"/>
      <c r="J3224" s="18" t="s">
        <v>200</v>
      </c>
      <c r="K3224" s="18" t="s">
        <v>250</v>
      </c>
      <c r="L3224" s="18">
        <v>4850000</v>
      </c>
      <c r="M3224" s="18" t="s">
        <v>242</v>
      </c>
      <c r="N3224" s="18" t="s">
        <v>2347</v>
      </c>
    </row>
    <row r="3225" spans="1:14" hidden="1" x14ac:dyDescent="0.25">
      <c r="A3225" s="17">
        <v>45870</v>
      </c>
      <c r="B3225" s="18" t="s">
        <v>535</v>
      </c>
      <c r="C3225" s="18">
        <v>6</v>
      </c>
      <c r="D3225" s="18" t="s">
        <v>238</v>
      </c>
      <c r="E3225" s="18" t="s">
        <v>2341</v>
      </c>
      <c r="F3225" s="18" t="s">
        <v>378</v>
      </c>
      <c r="G3225" s="18" t="s">
        <v>379</v>
      </c>
      <c r="H3225" s="18"/>
      <c r="I3225" s="18"/>
      <c r="J3225" s="18" t="s">
        <v>200</v>
      </c>
      <c r="K3225" s="18" t="s">
        <v>250</v>
      </c>
      <c r="L3225" s="18">
        <v>643</v>
      </c>
      <c r="M3225" s="18" t="s">
        <v>242</v>
      </c>
      <c r="N3225" s="18" t="s">
        <v>2348</v>
      </c>
    </row>
    <row r="3226" spans="1:14" hidden="1" x14ac:dyDescent="0.25">
      <c r="A3226" s="17">
        <v>45870</v>
      </c>
      <c r="B3226" s="18" t="s">
        <v>535</v>
      </c>
      <c r="C3226" s="18">
        <v>6</v>
      </c>
      <c r="D3226" s="18" t="s">
        <v>238</v>
      </c>
      <c r="E3226" s="18" t="s">
        <v>2341</v>
      </c>
      <c r="F3226" s="18" t="s">
        <v>381</v>
      </c>
      <c r="G3226" s="18" t="s">
        <v>382</v>
      </c>
      <c r="H3226" s="18"/>
      <c r="I3226" s="18"/>
      <c r="J3226" s="18" t="s">
        <v>200</v>
      </c>
      <c r="K3226" s="18" t="s">
        <v>250</v>
      </c>
      <c r="L3226" s="18">
        <v>2212</v>
      </c>
      <c r="M3226" s="18" t="s">
        <v>242</v>
      </c>
      <c r="N3226" s="18" t="s">
        <v>2349</v>
      </c>
    </row>
    <row r="3227" spans="1:14" hidden="1" x14ac:dyDescent="0.25">
      <c r="A3227" s="17">
        <v>45870</v>
      </c>
      <c r="B3227" s="18" t="s">
        <v>535</v>
      </c>
      <c r="C3227" s="18">
        <v>6</v>
      </c>
      <c r="D3227" s="18" t="s">
        <v>238</v>
      </c>
      <c r="E3227" s="18" t="s">
        <v>2341</v>
      </c>
      <c r="F3227" s="18" t="s">
        <v>240</v>
      </c>
      <c r="G3227" s="18" t="s">
        <v>82</v>
      </c>
      <c r="H3227" s="18"/>
      <c r="I3227" s="18"/>
      <c r="J3227" s="18" t="s">
        <v>200</v>
      </c>
      <c r="K3227" s="18" t="s">
        <v>250</v>
      </c>
      <c r="L3227" s="18">
        <v>6640000</v>
      </c>
      <c r="M3227" s="18" t="s">
        <v>242</v>
      </c>
      <c r="N3227" s="18" t="s">
        <v>2350</v>
      </c>
    </row>
    <row r="3228" spans="1:14" hidden="1" x14ac:dyDescent="0.25">
      <c r="A3228" s="17">
        <v>45870</v>
      </c>
      <c r="B3228" s="18" t="s">
        <v>535</v>
      </c>
      <c r="C3228" s="18">
        <v>6</v>
      </c>
      <c r="D3228" s="18" t="s">
        <v>238</v>
      </c>
      <c r="E3228" s="18" t="s">
        <v>2341</v>
      </c>
      <c r="F3228" s="18" t="s">
        <v>244</v>
      </c>
      <c r="G3228" s="18" t="s">
        <v>82</v>
      </c>
      <c r="H3228" s="18"/>
      <c r="I3228" s="18"/>
      <c r="J3228" s="18" t="s">
        <v>200</v>
      </c>
      <c r="K3228" s="18" t="s">
        <v>250</v>
      </c>
      <c r="L3228" s="18">
        <v>1280000000</v>
      </c>
      <c r="M3228" s="18" t="s">
        <v>245</v>
      </c>
      <c r="N3228" s="18" t="s">
        <v>1390</v>
      </c>
    </row>
    <row r="3229" spans="1:14" hidden="1" x14ac:dyDescent="0.25">
      <c r="A3229" s="17">
        <v>45870</v>
      </c>
      <c r="B3229" s="18" t="s">
        <v>535</v>
      </c>
      <c r="C3229" s="18">
        <v>7</v>
      </c>
      <c r="D3229" s="18" t="s">
        <v>238</v>
      </c>
      <c r="E3229" s="18" t="s">
        <v>2341</v>
      </c>
      <c r="F3229" s="18" t="s">
        <v>1194</v>
      </c>
      <c r="G3229" s="18" t="s">
        <v>82</v>
      </c>
      <c r="H3229" s="18"/>
      <c r="I3229" s="18"/>
      <c r="J3229" s="18" t="s">
        <v>200</v>
      </c>
      <c r="K3229" s="18" t="s">
        <v>250</v>
      </c>
      <c r="L3229" s="18">
        <v>1010000</v>
      </c>
      <c r="M3229" s="18" t="s">
        <v>242</v>
      </c>
      <c r="N3229" s="18" t="s">
        <v>2351</v>
      </c>
    </row>
    <row r="3230" spans="1:14" hidden="1" x14ac:dyDescent="0.25">
      <c r="A3230" s="17">
        <v>45870</v>
      </c>
      <c r="B3230" s="18" t="s">
        <v>535</v>
      </c>
      <c r="C3230" s="18">
        <v>7</v>
      </c>
      <c r="D3230" s="18" t="s">
        <v>238</v>
      </c>
      <c r="E3230" s="18" t="s">
        <v>2341</v>
      </c>
      <c r="F3230" s="18" t="s">
        <v>544</v>
      </c>
      <c r="G3230" s="18" t="s">
        <v>82</v>
      </c>
      <c r="H3230" s="18"/>
      <c r="I3230" s="18"/>
      <c r="J3230" s="18" t="s">
        <v>200</v>
      </c>
      <c r="K3230" s="18" t="s">
        <v>250</v>
      </c>
      <c r="L3230" s="18">
        <v>1010000</v>
      </c>
      <c r="M3230" s="18" t="s">
        <v>242</v>
      </c>
      <c r="N3230" s="18" t="s">
        <v>2351</v>
      </c>
    </row>
    <row r="3231" spans="1:14" hidden="1" x14ac:dyDescent="0.25">
      <c r="A3231" s="17">
        <v>45870</v>
      </c>
      <c r="B3231" s="18" t="s">
        <v>535</v>
      </c>
      <c r="C3231" s="18">
        <v>7</v>
      </c>
      <c r="D3231" s="18" t="s">
        <v>238</v>
      </c>
      <c r="E3231" s="18" t="s">
        <v>2341</v>
      </c>
      <c r="F3231" s="18" t="s">
        <v>929</v>
      </c>
      <c r="G3231" s="18" t="s">
        <v>82</v>
      </c>
      <c r="H3231" s="18"/>
      <c r="I3231" s="18"/>
      <c r="J3231" s="18" t="s">
        <v>200</v>
      </c>
      <c r="K3231" s="18" t="s">
        <v>250</v>
      </c>
      <c r="L3231" s="18">
        <v>849000000</v>
      </c>
      <c r="M3231" s="18" t="s">
        <v>245</v>
      </c>
      <c r="N3231" s="18" t="s">
        <v>2352</v>
      </c>
    </row>
    <row r="3232" spans="1:14" hidden="1" x14ac:dyDescent="0.25">
      <c r="A3232" s="17">
        <v>45870</v>
      </c>
      <c r="B3232" s="18" t="s">
        <v>535</v>
      </c>
      <c r="C3232" s="18">
        <v>8</v>
      </c>
      <c r="D3232" s="18" t="s">
        <v>238</v>
      </c>
      <c r="E3232" s="18" t="s">
        <v>2341</v>
      </c>
      <c r="F3232" s="18" t="s">
        <v>548</v>
      </c>
      <c r="G3232" s="18" t="s">
        <v>158</v>
      </c>
      <c r="H3232" s="18"/>
      <c r="I3232" s="18"/>
      <c r="J3232" s="18" t="s">
        <v>200</v>
      </c>
      <c r="K3232" s="18" t="s">
        <v>250</v>
      </c>
      <c r="L3232" s="18">
        <v>525000</v>
      </c>
      <c r="M3232" s="18" t="s">
        <v>242</v>
      </c>
      <c r="N3232" s="18" t="s">
        <v>2353</v>
      </c>
    </row>
    <row r="3233" spans="1:14" hidden="1" x14ac:dyDescent="0.25">
      <c r="A3233" s="17">
        <v>45870</v>
      </c>
      <c r="B3233" s="18" t="s">
        <v>535</v>
      </c>
      <c r="C3233" s="18">
        <v>8</v>
      </c>
      <c r="D3233" s="18" t="s">
        <v>238</v>
      </c>
      <c r="E3233" s="18" t="s">
        <v>2341</v>
      </c>
      <c r="F3233" s="18" t="s">
        <v>551</v>
      </c>
      <c r="G3233" s="18" t="s">
        <v>158</v>
      </c>
      <c r="H3233" s="18"/>
      <c r="I3233" s="18"/>
      <c r="J3233" s="18" t="s">
        <v>200</v>
      </c>
      <c r="K3233" s="18" t="s">
        <v>250</v>
      </c>
      <c r="L3233" s="18">
        <v>3440000000</v>
      </c>
      <c r="M3233" s="18" t="s">
        <v>245</v>
      </c>
      <c r="N3233" s="18" t="s">
        <v>2354</v>
      </c>
    </row>
    <row r="3234" spans="1:14" hidden="1" x14ac:dyDescent="0.25">
      <c r="A3234" s="17">
        <v>45870</v>
      </c>
      <c r="B3234" s="18" t="s">
        <v>535</v>
      </c>
      <c r="C3234" s="18">
        <v>8</v>
      </c>
      <c r="D3234" s="18" t="s">
        <v>238</v>
      </c>
      <c r="E3234" s="18" t="s">
        <v>2341</v>
      </c>
      <c r="F3234" s="18" t="s">
        <v>349</v>
      </c>
      <c r="G3234" s="18" t="s">
        <v>158</v>
      </c>
      <c r="H3234" s="18"/>
      <c r="I3234" s="18"/>
      <c r="J3234" s="18" t="s">
        <v>200</v>
      </c>
      <c r="K3234" s="18" t="s">
        <v>250</v>
      </c>
      <c r="L3234" s="18">
        <v>15600</v>
      </c>
      <c r="M3234" s="18" t="s">
        <v>242</v>
      </c>
      <c r="N3234" s="18" t="s">
        <v>2355</v>
      </c>
    </row>
    <row r="3235" spans="1:14" hidden="1" x14ac:dyDescent="0.25">
      <c r="A3235" s="17">
        <v>45870</v>
      </c>
      <c r="B3235" s="18" t="s">
        <v>535</v>
      </c>
      <c r="C3235" s="18">
        <v>8</v>
      </c>
      <c r="D3235" s="18" t="s">
        <v>238</v>
      </c>
      <c r="E3235" s="18" t="s">
        <v>2341</v>
      </c>
      <c r="F3235" s="18" t="s">
        <v>361</v>
      </c>
      <c r="G3235" s="18" t="s">
        <v>158</v>
      </c>
      <c r="H3235" s="18"/>
      <c r="I3235" s="18"/>
      <c r="J3235" s="18" t="s">
        <v>200</v>
      </c>
      <c r="K3235" s="18" t="s">
        <v>250</v>
      </c>
      <c r="L3235" s="18">
        <v>84000000</v>
      </c>
      <c r="M3235" s="18" t="s">
        <v>245</v>
      </c>
      <c r="N3235" s="18" t="s">
        <v>2356</v>
      </c>
    </row>
    <row r="3236" spans="1:14" hidden="1" x14ac:dyDescent="0.25">
      <c r="A3236" s="17">
        <v>45870</v>
      </c>
      <c r="B3236" s="18" t="s">
        <v>35</v>
      </c>
      <c r="C3236" s="18">
        <v>10</v>
      </c>
      <c r="D3236" s="18" t="s">
        <v>238</v>
      </c>
      <c r="E3236" s="18" t="s">
        <v>2341</v>
      </c>
      <c r="F3236" s="18" t="s">
        <v>240</v>
      </c>
      <c r="G3236" s="18" t="s">
        <v>82</v>
      </c>
      <c r="H3236" s="18"/>
      <c r="I3236" s="18"/>
      <c r="J3236" s="18" t="s">
        <v>2357</v>
      </c>
      <c r="K3236" s="18" t="s">
        <v>241</v>
      </c>
      <c r="L3236" s="18">
        <v>101730000</v>
      </c>
      <c r="M3236" s="18" t="s">
        <v>242</v>
      </c>
      <c r="N3236" s="18" t="s">
        <v>2358</v>
      </c>
    </row>
    <row r="3237" spans="1:14" hidden="1" x14ac:dyDescent="0.25">
      <c r="A3237" s="17">
        <v>45870</v>
      </c>
      <c r="B3237" s="18" t="s">
        <v>35</v>
      </c>
      <c r="C3237" s="18">
        <v>11</v>
      </c>
      <c r="D3237" s="18" t="s">
        <v>253</v>
      </c>
      <c r="E3237" s="18" t="s">
        <v>2359</v>
      </c>
      <c r="F3237" s="18" t="s">
        <v>285</v>
      </c>
      <c r="G3237" s="18" t="s">
        <v>63</v>
      </c>
      <c r="H3237" s="18"/>
      <c r="I3237" s="18"/>
      <c r="J3237" s="18" t="s">
        <v>200</v>
      </c>
      <c r="K3237" s="18" t="s">
        <v>255</v>
      </c>
      <c r="L3237" s="18">
        <v>1960000</v>
      </c>
      <c r="M3237" s="18" t="s">
        <v>242</v>
      </c>
      <c r="N3237" s="18" t="s">
        <v>2360</v>
      </c>
    </row>
    <row r="3238" spans="1:14" hidden="1" x14ac:dyDescent="0.25">
      <c r="A3238" s="17">
        <v>45870</v>
      </c>
      <c r="B3238" s="18" t="s">
        <v>35</v>
      </c>
      <c r="C3238" s="18">
        <v>12</v>
      </c>
      <c r="D3238" s="18" t="s">
        <v>291</v>
      </c>
      <c r="E3238" s="18" t="s">
        <v>2361</v>
      </c>
      <c r="F3238" s="18" t="s">
        <v>2362</v>
      </c>
      <c r="G3238" s="18" t="s">
        <v>63</v>
      </c>
      <c r="H3238" s="18" t="s">
        <v>64</v>
      </c>
      <c r="I3238" s="18"/>
      <c r="J3238" s="18" t="s">
        <v>200</v>
      </c>
      <c r="K3238" s="18" t="s">
        <v>250</v>
      </c>
      <c r="L3238" s="18">
        <v>1880000</v>
      </c>
      <c r="M3238" s="18" t="s">
        <v>242</v>
      </c>
      <c r="N3238" s="18" t="s">
        <v>2167</v>
      </c>
    </row>
    <row r="3239" spans="1:14" hidden="1" x14ac:dyDescent="0.25">
      <c r="A3239" s="17">
        <v>45870</v>
      </c>
      <c r="B3239" s="18" t="s">
        <v>35</v>
      </c>
      <c r="C3239" s="18">
        <v>12</v>
      </c>
      <c r="D3239" s="18" t="s">
        <v>291</v>
      </c>
      <c r="E3239" s="18" t="s">
        <v>2361</v>
      </c>
      <c r="F3239" s="18" t="s">
        <v>2362</v>
      </c>
      <c r="G3239" s="18" t="s">
        <v>63</v>
      </c>
      <c r="H3239" s="18" t="s">
        <v>65</v>
      </c>
      <c r="I3239" s="18"/>
      <c r="J3239" s="18" t="s">
        <v>200</v>
      </c>
      <c r="K3239" s="18" t="s">
        <v>250</v>
      </c>
      <c r="L3239" s="18">
        <v>75800</v>
      </c>
      <c r="M3239" s="18" t="s">
        <v>242</v>
      </c>
      <c r="N3239" s="18" t="s">
        <v>2363</v>
      </c>
    </row>
    <row r="3240" spans="1:14" hidden="1" x14ac:dyDescent="0.25">
      <c r="A3240" s="17">
        <v>45870</v>
      </c>
      <c r="B3240" s="18" t="s">
        <v>35</v>
      </c>
      <c r="C3240" s="18">
        <v>13</v>
      </c>
      <c r="D3240" s="18" t="s">
        <v>291</v>
      </c>
      <c r="E3240" s="18" t="s">
        <v>2361</v>
      </c>
      <c r="F3240" s="18" t="s">
        <v>2362</v>
      </c>
      <c r="G3240" s="18" t="s">
        <v>63</v>
      </c>
      <c r="H3240" s="18" t="s">
        <v>2364</v>
      </c>
      <c r="I3240" s="18"/>
      <c r="J3240" s="18" t="s">
        <v>200</v>
      </c>
      <c r="K3240" s="18" t="s">
        <v>250</v>
      </c>
      <c r="L3240" s="18">
        <v>1210000</v>
      </c>
      <c r="M3240" s="18" t="s">
        <v>242</v>
      </c>
      <c r="N3240" s="18" t="s">
        <v>2365</v>
      </c>
    </row>
    <row r="3241" spans="1:14" hidden="1" x14ac:dyDescent="0.25">
      <c r="A3241" s="17">
        <v>45870</v>
      </c>
      <c r="B3241" s="18" t="s">
        <v>35</v>
      </c>
      <c r="C3241" s="18">
        <v>13</v>
      </c>
      <c r="D3241" s="18" t="s">
        <v>291</v>
      </c>
      <c r="E3241" s="18" t="s">
        <v>2361</v>
      </c>
      <c r="F3241" s="18" t="s">
        <v>2362</v>
      </c>
      <c r="G3241" s="18" t="s">
        <v>63</v>
      </c>
      <c r="H3241" s="18" t="s">
        <v>2366</v>
      </c>
      <c r="I3241" s="18"/>
      <c r="J3241" s="18" t="s">
        <v>200</v>
      </c>
      <c r="K3241" s="18" t="s">
        <v>250</v>
      </c>
      <c r="L3241" s="18">
        <v>690000</v>
      </c>
      <c r="M3241" s="18" t="s">
        <v>242</v>
      </c>
      <c r="N3241" s="18" t="s">
        <v>2367</v>
      </c>
    </row>
    <row r="3242" spans="1:14" hidden="1" x14ac:dyDescent="0.25">
      <c r="A3242" s="17">
        <v>45870</v>
      </c>
      <c r="B3242" s="18" t="s">
        <v>35</v>
      </c>
      <c r="C3242" s="18">
        <v>13</v>
      </c>
      <c r="D3242" s="18" t="s">
        <v>291</v>
      </c>
      <c r="E3242" s="18" t="s">
        <v>2361</v>
      </c>
      <c r="F3242" s="18" t="s">
        <v>2362</v>
      </c>
      <c r="G3242" s="18" t="s">
        <v>63</v>
      </c>
      <c r="H3242" s="18"/>
      <c r="I3242" s="18"/>
      <c r="J3242" s="18" t="s">
        <v>200</v>
      </c>
      <c r="K3242" s="18" t="s">
        <v>250</v>
      </c>
      <c r="L3242" s="18"/>
      <c r="M3242" s="18" t="s">
        <v>251</v>
      </c>
      <c r="N3242" s="18" t="s">
        <v>1346</v>
      </c>
    </row>
    <row r="3243" spans="1:14" x14ac:dyDescent="0.25">
      <c r="A3243" s="17">
        <v>45870</v>
      </c>
      <c r="B3243" s="18" t="s">
        <v>35</v>
      </c>
      <c r="C3243" s="18">
        <v>14</v>
      </c>
      <c r="D3243" s="18" t="s">
        <v>291</v>
      </c>
      <c r="E3243" s="18" t="s">
        <v>2361</v>
      </c>
      <c r="F3243" s="18" t="s">
        <v>285</v>
      </c>
      <c r="G3243" s="18" t="s">
        <v>63</v>
      </c>
      <c r="H3243" s="18" t="s">
        <v>77</v>
      </c>
      <c r="I3243" s="18"/>
      <c r="J3243" s="18" t="s">
        <v>200</v>
      </c>
      <c r="K3243" s="18" t="s">
        <v>250</v>
      </c>
      <c r="L3243" s="18">
        <v>9000</v>
      </c>
      <c r="M3243" s="18" t="s">
        <v>242</v>
      </c>
      <c r="N3243" s="18" t="s">
        <v>2368</v>
      </c>
    </row>
    <row r="3244" spans="1:14" x14ac:dyDescent="0.25">
      <c r="A3244" s="17">
        <v>45870</v>
      </c>
      <c r="B3244" s="18" t="s">
        <v>35</v>
      </c>
      <c r="C3244" s="18">
        <v>14</v>
      </c>
      <c r="D3244" s="18" t="s">
        <v>291</v>
      </c>
      <c r="E3244" s="18" t="s">
        <v>2361</v>
      </c>
      <c r="F3244" s="18" t="s">
        <v>285</v>
      </c>
      <c r="G3244" s="18" t="s">
        <v>63</v>
      </c>
      <c r="H3244" s="18" t="s">
        <v>70</v>
      </c>
      <c r="I3244" s="18"/>
      <c r="J3244" s="18" t="s">
        <v>200</v>
      </c>
      <c r="K3244" s="18" t="s">
        <v>250</v>
      </c>
      <c r="L3244" s="18">
        <v>709000</v>
      </c>
      <c r="M3244" s="18" t="s">
        <v>242</v>
      </c>
      <c r="N3244" s="18" t="s">
        <v>2369</v>
      </c>
    </row>
    <row r="3245" spans="1:14" x14ac:dyDescent="0.25">
      <c r="A3245" s="17">
        <v>45870</v>
      </c>
      <c r="B3245" s="18" t="s">
        <v>35</v>
      </c>
      <c r="C3245" s="18">
        <v>14</v>
      </c>
      <c r="D3245" s="18" t="s">
        <v>291</v>
      </c>
      <c r="E3245" s="18" t="s">
        <v>2361</v>
      </c>
      <c r="F3245" s="18" t="s">
        <v>285</v>
      </c>
      <c r="G3245" s="18" t="s">
        <v>63</v>
      </c>
      <c r="H3245" s="18" t="s">
        <v>71</v>
      </c>
      <c r="I3245" s="18"/>
      <c r="J3245" s="18" t="s">
        <v>200</v>
      </c>
      <c r="K3245" s="18" t="s">
        <v>250</v>
      </c>
      <c r="L3245" s="18">
        <v>509000</v>
      </c>
      <c r="M3245" s="18" t="s">
        <v>242</v>
      </c>
      <c r="N3245" s="18" t="s">
        <v>2370</v>
      </c>
    </row>
    <row r="3246" spans="1:14" x14ac:dyDescent="0.25">
      <c r="A3246" s="17">
        <v>45870</v>
      </c>
      <c r="B3246" s="18" t="s">
        <v>35</v>
      </c>
      <c r="C3246" s="18">
        <v>14</v>
      </c>
      <c r="D3246" s="18" t="s">
        <v>291</v>
      </c>
      <c r="E3246" s="18" t="s">
        <v>2361</v>
      </c>
      <c r="F3246" s="18" t="s">
        <v>285</v>
      </c>
      <c r="G3246" s="18" t="s">
        <v>63</v>
      </c>
      <c r="H3246" s="18" t="s">
        <v>72</v>
      </c>
      <c r="I3246" s="18"/>
      <c r="J3246" s="18" t="s">
        <v>200</v>
      </c>
      <c r="K3246" s="18" t="s">
        <v>250</v>
      </c>
      <c r="L3246" s="18">
        <v>348000</v>
      </c>
      <c r="M3246" s="18" t="s">
        <v>242</v>
      </c>
      <c r="N3246" s="18" t="s">
        <v>2371</v>
      </c>
    </row>
    <row r="3247" spans="1:14" x14ac:dyDescent="0.25">
      <c r="A3247" s="62">
        <v>45870</v>
      </c>
      <c r="B3247" s="64" t="s">
        <v>35</v>
      </c>
      <c r="C3247" s="64">
        <v>14</v>
      </c>
      <c r="D3247" s="64" t="s">
        <v>291</v>
      </c>
      <c r="E3247" s="64" t="s">
        <v>2361</v>
      </c>
      <c r="F3247" s="64" t="s">
        <v>285</v>
      </c>
      <c r="G3247" s="64" t="s">
        <v>63</v>
      </c>
      <c r="H3247" s="64" t="s">
        <v>73</v>
      </c>
      <c r="I3247" s="64"/>
      <c r="J3247" s="64" t="s">
        <v>200</v>
      </c>
      <c r="K3247" s="64" t="s">
        <v>250</v>
      </c>
      <c r="L3247" s="64">
        <v>214000</v>
      </c>
      <c r="M3247" s="64" t="s">
        <v>242</v>
      </c>
      <c r="N3247" s="64" t="s">
        <v>2372</v>
      </c>
    </row>
    <row r="3248" spans="1:14" x14ac:dyDescent="0.25">
      <c r="A3248" s="62">
        <v>45870</v>
      </c>
      <c r="B3248" s="64" t="s">
        <v>35</v>
      </c>
      <c r="C3248" s="64">
        <v>14</v>
      </c>
      <c r="D3248" s="64" t="s">
        <v>291</v>
      </c>
      <c r="E3248" s="64" t="s">
        <v>2361</v>
      </c>
      <c r="F3248" s="64" t="s">
        <v>285</v>
      </c>
      <c r="G3248" s="64" t="s">
        <v>63</v>
      </c>
      <c r="H3248" s="64" t="s">
        <v>74</v>
      </c>
      <c r="I3248" s="64"/>
      <c r="J3248" s="64" t="s">
        <v>200</v>
      </c>
      <c r="K3248" s="64" t="s">
        <v>250</v>
      </c>
      <c r="L3248" s="64">
        <v>98000</v>
      </c>
      <c r="M3248" s="64" t="s">
        <v>242</v>
      </c>
      <c r="N3248" s="64" t="s">
        <v>2373</v>
      </c>
    </row>
    <row r="3249" spans="1:14" x14ac:dyDescent="0.25">
      <c r="A3249" s="62">
        <v>45870</v>
      </c>
      <c r="B3249" s="64" t="s">
        <v>35</v>
      </c>
      <c r="C3249" s="64">
        <v>14</v>
      </c>
      <c r="D3249" s="64" t="s">
        <v>291</v>
      </c>
      <c r="E3249" s="64" t="s">
        <v>2361</v>
      </c>
      <c r="F3249" s="64" t="s">
        <v>285</v>
      </c>
      <c r="G3249" s="64" t="s">
        <v>63</v>
      </c>
      <c r="H3249" s="64" t="s">
        <v>75</v>
      </c>
      <c r="I3249" s="64"/>
      <c r="J3249" s="64" t="s">
        <v>200</v>
      </c>
      <c r="K3249" s="64" t="s">
        <v>250</v>
      </c>
      <c r="L3249" s="64">
        <v>26000</v>
      </c>
      <c r="M3249" s="64" t="s">
        <v>242</v>
      </c>
      <c r="N3249" s="64" t="s">
        <v>2374</v>
      </c>
    </row>
    <row r="3250" spans="1:14" x14ac:dyDescent="0.25">
      <c r="A3250" s="62">
        <v>45870</v>
      </c>
      <c r="B3250" s="64" t="s">
        <v>35</v>
      </c>
      <c r="C3250" s="64">
        <v>14</v>
      </c>
      <c r="D3250" s="64" t="s">
        <v>291</v>
      </c>
      <c r="E3250" s="64" t="s">
        <v>2361</v>
      </c>
      <c r="F3250" s="64" t="s">
        <v>285</v>
      </c>
      <c r="G3250" s="64" t="s">
        <v>63</v>
      </c>
      <c r="H3250" s="64" t="s">
        <v>76</v>
      </c>
      <c r="I3250" s="64"/>
      <c r="J3250" s="64" t="s">
        <v>200</v>
      </c>
      <c r="K3250" s="64" t="s">
        <v>250</v>
      </c>
      <c r="L3250" s="64">
        <v>6000</v>
      </c>
      <c r="M3250" s="64" t="s">
        <v>242</v>
      </c>
      <c r="N3250" s="64" t="s">
        <v>2375</v>
      </c>
    </row>
    <row r="3251" spans="1:14" hidden="1" x14ac:dyDescent="0.25">
      <c r="A3251" s="17">
        <v>45870</v>
      </c>
      <c r="B3251" s="18" t="s">
        <v>35</v>
      </c>
      <c r="C3251" s="18">
        <v>15</v>
      </c>
      <c r="D3251" s="18" t="s">
        <v>291</v>
      </c>
      <c r="E3251" s="18" t="s">
        <v>2361</v>
      </c>
      <c r="F3251" s="18" t="s">
        <v>2362</v>
      </c>
      <c r="G3251" s="18" t="s">
        <v>63</v>
      </c>
      <c r="H3251" s="18" t="s">
        <v>79</v>
      </c>
      <c r="I3251" s="18"/>
      <c r="J3251" s="18" t="s">
        <v>200</v>
      </c>
      <c r="K3251" s="18" t="s">
        <v>250</v>
      </c>
      <c r="L3251" s="18">
        <v>1920000</v>
      </c>
      <c r="M3251" s="18" t="s">
        <v>242</v>
      </c>
      <c r="N3251" s="18" t="s">
        <v>1307</v>
      </c>
    </row>
    <row r="3252" spans="1:14" hidden="1" x14ac:dyDescent="0.25">
      <c r="A3252" s="17">
        <v>45870</v>
      </c>
      <c r="B3252" s="18" t="s">
        <v>35</v>
      </c>
      <c r="C3252" s="18">
        <v>15</v>
      </c>
      <c r="D3252" s="18" t="s">
        <v>291</v>
      </c>
      <c r="E3252" s="18" t="s">
        <v>2361</v>
      </c>
      <c r="F3252" s="18" t="s">
        <v>2362</v>
      </c>
      <c r="G3252" s="18" t="s">
        <v>63</v>
      </c>
      <c r="H3252" s="18" t="s">
        <v>80</v>
      </c>
      <c r="I3252" s="18"/>
      <c r="J3252" s="18" t="s">
        <v>200</v>
      </c>
      <c r="K3252" s="18" t="s">
        <v>250</v>
      </c>
      <c r="L3252" s="18">
        <v>40400</v>
      </c>
      <c r="M3252" s="18" t="s">
        <v>242</v>
      </c>
      <c r="N3252" s="18" t="s">
        <v>2376</v>
      </c>
    </row>
    <row r="3253" spans="1:14" hidden="1" x14ac:dyDescent="0.25">
      <c r="A3253" s="17">
        <v>45870</v>
      </c>
      <c r="B3253" s="18" t="s">
        <v>35</v>
      </c>
      <c r="C3253" s="18">
        <v>16</v>
      </c>
      <c r="D3253" s="18" t="s">
        <v>253</v>
      </c>
      <c r="E3253" s="18" t="s">
        <v>2359</v>
      </c>
      <c r="F3253" s="18" t="s">
        <v>240</v>
      </c>
      <c r="G3253" s="18" t="s">
        <v>82</v>
      </c>
      <c r="H3253" s="18"/>
      <c r="I3253" s="18"/>
      <c r="J3253" s="18" t="s">
        <v>200</v>
      </c>
      <c r="K3253" s="18" t="s">
        <v>255</v>
      </c>
      <c r="L3253" s="18">
        <v>15770000</v>
      </c>
      <c r="M3253" s="18" t="s">
        <v>242</v>
      </c>
      <c r="N3253" s="18" t="s">
        <v>2377</v>
      </c>
    </row>
    <row r="3254" spans="1:14" hidden="1" x14ac:dyDescent="0.25">
      <c r="A3254" s="17">
        <v>45870</v>
      </c>
      <c r="B3254" s="18" t="s">
        <v>35</v>
      </c>
      <c r="C3254" s="18">
        <v>17</v>
      </c>
      <c r="D3254" s="18" t="s">
        <v>291</v>
      </c>
      <c r="E3254" s="18" t="s">
        <v>2361</v>
      </c>
      <c r="F3254" s="18" t="s">
        <v>240</v>
      </c>
      <c r="G3254" s="18" t="s">
        <v>82</v>
      </c>
      <c r="H3254" s="18" t="s">
        <v>83</v>
      </c>
      <c r="I3254" s="18"/>
      <c r="J3254" s="18" t="s">
        <v>200</v>
      </c>
      <c r="K3254" s="18" t="s">
        <v>250</v>
      </c>
      <c r="L3254" s="18">
        <v>12510000</v>
      </c>
      <c r="M3254" s="18" t="s">
        <v>242</v>
      </c>
      <c r="N3254" s="18" t="s">
        <v>2378</v>
      </c>
    </row>
    <row r="3255" spans="1:14" hidden="1" x14ac:dyDescent="0.25">
      <c r="A3255" s="17">
        <v>45870</v>
      </c>
      <c r="B3255" s="18" t="s">
        <v>35</v>
      </c>
      <c r="C3255" s="18">
        <v>17</v>
      </c>
      <c r="D3255" s="18" t="s">
        <v>291</v>
      </c>
      <c r="E3255" s="18" t="s">
        <v>2361</v>
      </c>
      <c r="F3255" s="18" t="s">
        <v>240</v>
      </c>
      <c r="G3255" s="18" t="s">
        <v>82</v>
      </c>
      <c r="H3255" s="18" t="s">
        <v>84</v>
      </c>
      <c r="I3255" s="18"/>
      <c r="J3255" s="18" t="s">
        <v>200</v>
      </c>
      <c r="K3255" s="18" t="s">
        <v>250</v>
      </c>
      <c r="L3255" s="18">
        <v>3260000</v>
      </c>
      <c r="M3255" s="18" t="s">
        <v>242</v>
      </c>
      <c r="N3255" s="18" t="s">
        <v>2379</v>
      </c>
    </row>
    <row r="3256" spans="1:14" hidden="1" x14ac:dyDescent="0.25">
      <c r="A3256" s="17">
        <v>45870</v>
      </c>
      <c r="B3256" s="18" t="s">
        <v>35</v>
      </c>
      <c r="C3256" s="18">
        <v>18</v>
      </c>
      <c r="D3256" s="18" t="s">
        <v>291</v>
      </c>
      <c r="E3256" s="18" t="s">
        <v>2361</v>
      </c>
      <c r="F3256" s="18" t="s">
        <v>240</v>
      </c>
      <c r="G3256" s="18" t="s">
        <v>82</v>
      </c>
      <c r="H3256" s="18" t="s">
        <v>83</v>
      </c>
      <c r="I3256" s="18" t="s">
        <v>315</v>
      </c>
      <c r="J3256" s="18" t="s">
        <v>200</v>
      </c>
      <c r="K3256" s="18" t="s">
        <v>250</v>
      </c>
      <c r="L3256" s="18"/>
      <c r="M3256" s="18" t="s">
        <v>251</v>
      </c>
      <c r="N3256" s="18" t="s">
        <v>2380</v>
      </c>
    </row>
    <row r="3257" spans="1:14" hidden="1" x14ac:dyDescent="0.25">
      <c r="A3257" s="17">
        <v>45870</v>
      </c>
      <c r="B3257" s="18" t="s">
        <v>35</v>
      </c>
      <c r="C3257" s="18">
        <v>18</v>
      </c>
      <c r="D3257" s="18" t="s">
        <v>291</v>
      </c>
      <c r="E3257" s="18" t="s">
        <v>2361</v>
      </c>
      <c r="F3257" s="18" t="s">
        <v>240</v>
      </c>
      <c r="G3257" s="18" t="s">
        <v>82</v>
      </c>
      <c r="H3257" s="18" t="s">
        <v>83</v>
      </c>
      <c r="I3257" s="18" t="s">
        <v>317</v>
      </c>
      <c r="J3257" s="18" t="s">
        <v>200</v>
      </c>
      <c r="K3257" s="18" t="s">
        <v>250</v>
      </c>
      <c r="L3257" s="18"/>
      <c r="M3257" s="18" t="s">
        <v>251</v>
      </c>
      <c r="N3257" s="18" t="s">
        <v>1512</v>
      </c>
    </row>
    <row r="3258" spans="1:14" hidden="1" x14ac:dyDescent="0.25">
      <c r="A3258" s="17">
        <v>45870</v>
      </c>
      <c r="B3258" s="18" t="s">
        <v>35</v>
      </c>
      <c r="C3258" s="18">
        <v>18</v>
      </c>
      <c r="D3258" s="18" t="s">
        <v>291</v>
      </c>
      <c r="E3258" s="18" t="s">
        <v>2361</v>
      </c>
      <c r="F3258" s="18" t="s">
        <v>240</v>
      </c>
      <c r="G3258" s="18" t="s">
        <v>82</v>
      </c>
      <c r="H3258" s="18" t="s">
        <v>83</v>
      </c>
      <c r="I3258" s="18" t="s">
        <v>313</v>
      </c>
      <c r="J3258" s="18" t="s">
        <v>200</v>
      </c>
      <c r="K3258" s="18" t="s">
        <v>250</v>
      </c>
      <c r="L3258" s="18"/>
      <c r="M3258" s="18" t="s">
        <v>251</v>
      </c>
      <c r="N3258" s="18" t="s">
        <v>271</v>
      </c>
    </row>
    <row r="3259" spans="1:14" hidden="1" x14ac:dyDescent="0.25">
      <c r="A3259" s="17">
        <v>45870</v>
      </c>
      <c r="B3259" s="18" t="s">
        <v>35</v>
      </c>
      <c r="C3259" s="18">
        <v>18</v>
      </c>
      <c r="D3259" s="18" t="s">
        <v>291</v>
      </c>
      <c r="E3259" s="18" t="s">
        <v>2361</v>
      </c>
      <c r="F3259" s="18" t="s">
        <v>240</v>
      </c>
      <c r="G3259" s="18" t="s">
        <v>82</v>
      </c>
      <c r="H3259" s="18" t="s">
        <v>84</v>
      </c>
      <c r="I3259" s="18" t="s">
        <v>319</v>
      </c>
      <c r="J3259" s="18" t="s">
        <v>200</v>
      </c>
      <c r="K3259" s="18" t="s">
        <v>250</v>
      </c>
      <c r="L3259" s="18"/>
      <c r="M3259" s="18" t="s">
        <v>251</v>
      </c>
      <c r="N3259" s="18" t="s">
        <v>1685</v>
      </c>
    </row>
    <row r="3260" spans="1:14" hidden="1" x14ac:dyDescent="0.25">
      <c r="A3260" s="17">
        <v>45870</v>
      </c>
      <c r="B3260" s="18" t="s">
        <v>35</v>
      </c>
      <c r="C3260" s="18">
        <v>18</v>
      </c>
      <c r="D3260" s="18" t="s">
        <v>291</v>
      </c>
      <c r="E3260" s="18" t="s">
        <v>2361</v>
      </c>
      <c r="F3260" s="18" t="s">
        <v>240</v>
      </c>
      <c r="G3260" s="18" t="s">
        <v>82</v>
      </c>
      <c r="H3260" s="18" t="s">
        <v>84</v>
      </c>
      <c r="I3260" s="18" t="s">
        <v>321</v>
      </c>
      <c r="J3260" s="18" t="s">
        <v>200</v>
      </c>
      <c r="K3260" s="18" t="s">
        <v>250</v>
      </c>
      <c r="L3260" s="18"/>
      <c r="M3260" s="18" t="s">
        <v>251</v>
      </c>
      <c r="N3260" s="18" t="s">
        <v>810</v>
      </c>
    </row>
    <row r="3261" spans="1:14" hidden="1" x14ac:dyDescent="0.25">
      <c r="A3261" s="17">
        <v>45870</v>
      </c>
      <c r="B3261" s="18" t="s">
        <v>35</v>
      </c>
      <c r="C3261" s="18">
        <v>19</v>
      </c>
      <c r="D3261" s="18" t="s">
        <v>253</v>
      </c>
      <c r="E3261" s="18" t="s">
        <v>2359</v>
      </c>
      <c r="F3261" s="18" t="s">
        <v>244</v>
      </c>
      <c r="G3261" s="18" t="s">
        <v>82</v>
      </c>
      <c r="H3261" s="18"/>
      <c r="I3261" s="18"/>
      <c r="J3261" s="18" t="s">
        <v>200</v>
      </c>
      <c r="K3261" s="18" t="s">
        <v>255</v>
      </c>
      <c r="L3261" s="18">
        <v>1880000000</v>
      </c>
      <c r="M3261" s="18" t="s">
        <v>245</v>
      </c>
      <c r="N3261" s="18" t="s">
        <v>2381</v>
      </c>
    </row>
    <row r="3262" spans="1:14" hidden="1" x14ac:dyDescent="0.25">
      <c r="A3262" s="17">
        <v>45870</v>
      </c>
      <c r="B3262" s="18" t="s">
        <v>35</v>
      </c>
      <c r="C3262" s="18">
        <v>20</v>
      </c>
      <c r="D3262" s="18" t="s">
        <v>291</v>
      </c>
      <c r="E3262" s="18" t="s">
        <v>2361</v>
      </c>
      <c r="F3262" s="18" t="s">
        <v>244</v>
      </c>
      <c r="G3262" s="18" t="s">
        <v>82</v>
      </c>
      <c r="H3262" s="18" t="s">
        <v>83</v>
      </c>
      <c r="I3262" s="18"/>
      <c r="J3262" s="18" t="s">
        <v>200</v>
      </c>
      <c r="K3262" s="18" t="s">
        <v>250</v>
      </c>
      <c r="L3262" s="18">
        <v>1350000000</v>
      </c>
      <c r="M3262" s="18" t="s">
        <v>245</v>
      </c>
      <c r="N3262" s="18" t="s">
        <v>2382</v>
      </c>
    </row>
    <row r="3263" spans="1:14" hidden="1" x14ac:dyDescent="0.25">
      <c r="A3263" s="17">
        <v>45870</v>
      </c>
      <c r="B3263" s="18" t="s">
        <v>35</v>
      </c>
      <c r="C3263" s="18">
        <v>20</v>
      </c>
      <c r="D3263" s="18" t="s">
        <v>291</v>
      </c>
      <c r="E3263" s="18" t="s">
        <v>2361</v>
      </c>
      <c r="F3263" s="18" t="s">
        <v>244</v>
      </c>
      <c r="G3263" s="18" t="s">
        <v>82</v>
      </c>
      <c r="H3263" s="18" t="s">
        <v>84</v>
      </c>
      <c r="I3263" s="18"/>
      <c r="J3263" s="18" t="s">
        <v>200</v>
      </c>
      <c r="K3263" s="18" t="s">
        <v>250</v>
      </c>
      <c r="L3263" s="18">
        <v>530800000</v>
      </c>
      <c r="M3263" s="18" t="s">
        <v>245</v>
      </c>
      <c r="N3263" s="18" t="s">
        <v>2383</v>
      </c>
    </row>
    <row r="3264" spans="1:14" hidden="1" x14ac:dyDescent="0.25">
      <c r="A3264" s="17">
        <v>45870</v>
      </c>
      <c r="B3264" s="18" t="s">
        <v>35</v>
      </c>
      <c r="C3264" s="18">
        <v>21</v>
      </c>
      <c r="D3264" s="18" t="s">
        <v>291</v>
      </c>
      <c r="E3264" s="18" t="s">
        <v>2361</v>
      </c>
      <c r="F3264" s="18" t="s">
        <v>244</v>
      </c>
      <c r="G3264" s="18" t="s">
        <v>82</v>
      </c>
      <c r="H3264" s="18" t="s">
        <v>83</v>
      </c>
      <c r="I3264" s="18" t="s">
        <v>315</v>
      </c>
      <c r="J3264" s="18" t="s">
        <v>200</v>
      </c>
      <c r="K3264" s="18" t="s">
        <v>250</v>
      </c>
      <c r="L3264" s="18"/>
      <c r="M3264" s="18" t="s">
        <v>251</v>
      </c>
      <c r="N3264" s="18" t="s">
        <v>1864</v>
      </c>
    </row>
    <row r="3265" spans="1:14" hidden="1" x14ac:dyDescent="0.25">
      <c r="A3265" s="17">
        <v>45870</v>
      </c>
      <c r="B3265" s="18" t="s">
        <v>35</v>
      </c>
      <c r="C3265" s="18">
        <v>21</v>
      </c>
      <c r="D3265" s="18" t="s">
        <v>291</v>
      </c>
      <c r="E3265" s="18" t="s">
        <v>2361</v>
      </c>
      <c r="F3265" s="18" t="s">
        <v>244</v>
      </c>
      <c r="G3265" s="18" t="s">
        <v>82</v>
      </c>
      <c r="H3265" s="18" t="s">
        <v>83</v>
      </c>
      <c r="I3265" s="18" t="s">
        <v>317</v>
      </c>
      <c r="J3265" s="18" t="s">
        <v>200</v>
      </c>
      <c r="K3265" s="18" t="s">
        <v>250</v>
      </c>
      <c r="L3265" s="18"/>
      <c r="M3265" s="18" t="s">
        <v>251</v>
      </c>
      <c r="N3265" s="18" t="s">
        <v>2384</v>
      </c>
    </row>
    <row r="3266" spans="1:14" hidden="1" x14ac:dyDescent="0.25">
      <c r="A3266" s="17">
        <v>45870</v>
      </c>
      <c r="B3266" s="18" t="s">
        <v>35</v>
      </c>
      <c r="C3266" s="18">
        <v>21</v>
      </c>
      <c r="D3266" s="18" t="s">
        <v>291</v>
      </c>
      <c r="E3266" s="18" t="s">
        <v>2361</v>
      </c>
      <c r="F3266" s="18" t="s">
        <v>244</v>
      </c>
      <c r="G3266" s="18" t="s">
        <v>82</v>
      </c>
      <c r="H3266" s="18" t="s">
        <v>83</v>
      </c>
      <c r="I3266" s="18" t="s">
        <v>313</v>
      </c>
      <c r="J3266" s="18" t="s">
        <v>200</v>
      </c>
      <c r="K3266" s="18" t="s">
        <v>250</v>
      </c>
      <c r="L3266" s="18"/>
      <c r="M3266" s="18" t="s">
        <v>251</v>
      </c>
      <c r="N3266" s="18" t="s">
        <v>1527</v>
      </c>
    </row>
    <row r="3267" spans="1:14" hidden="1" x14ac:dyDescent="0.25">
      <c r="A3267" s="17">
        <v>45870</v>
      </c>
      <c r="B3267" s="18" t="s">
        <v>35</v>
      </c>
      <c r="C3267" s="18">
        <v>21</v>
      </c>
      <c r="D3267" s="18" t="s">
        <v>291</v>
      </c>
      <c r="E3267" s="18" t="s">
        <v>2361</v>
      </c>
      <c r="F3267" s="18" t="s">
        <v>244</v>
      </c>
      <c r="G3267" s="18" t="s">
        <v>82</v>
      </c>
      <c r="H3267" s="18" t="s">
        <v>84</v>
      </c>
      <c r="I3267" s="18" t="s">
        <v>2385</v>
      </c>
      <c r="J3267" s="18" t="s">
        <v>200</v>
      </c>
      <c r="K3267" s="18" t="s">
        <v>250</v>
      </c>
      <c r="L3267" s="18"/>
      <c r="M3267" s="18" t="s">
        <v>251</v>
      </c>
      <c r="N3267" s="18" t="s">
        <v>974</v>
      </c>
    </row>
    <row r="3268" spans="1:14" hidden="1" x14ac:dyDescent="0.25">
      <c r="A3268" s="17">
        <v>45870</v>
      </c>
      <c r="B3268" s="18" t="s">
        <v>35</v>
      </c>
      <c r="C3268" s="18">
        <v>21</v>
      </c>
      <c r="D3268" s="18" t="s">
        <v>291</v>
      </c>
      <c r="E3268" s="18" t="s">
        <v>2361</v>
      </c>
      <c r="F3268" s="18" t="s">
        <v>244</v>
      </c>
      <c r="G3268" s="18" t="s">
        <v>82</v>
      </c>
      <c r="H3268" s="18" t="s">
        <v>84</v>
      </c>
      <c r="I3268" s="18" t="s">
        <v>321</v>
      </c>
      <c r="J3268" s="18" t="s">
        <v>200</v>
      </c>
      <c r="K3268" s="18" t="s">
        <v>250</v>
      </c>
      <c r="L3268" s="18"/>
      <c r="M3268" s="18" t="s">
        <v>251</v>
      </c>
      <c r="N3268" s="18" t="s">
        <v>975</v>
      </c>
    </row>
    <row r="3269" spans="1:14" hidden="1" x14ac:dyDescent="0.25">
      <c r="A3269" s="17">
        <v>45870</v>
      </c>
      <c r="B3269" s="18" t="s">
        <v>35</v>
      </c>
      <c r="C3269" s="18">
        <v>22</v>
      </c>
      <c r="D3269" s="18" t="s">
        <v>253</v>
      </c>
      <c r="E3269" s="18" t="s">
        <v>2359</v>
      </c>
      <c r="F3269" s="18" t="s">
        <v>334</v>
      </c>
      <c r="G3269" s="18" t="s">
        <v>82</v>
      </c>
      <c r="H3269" s="18"/>
      <c r="I3269" s="18"/>
      <c r="J3269" s="18" t="s">
        <v>200</v>
      </c>
      <c r="K3269" s="18" t="s">
        <v>255</v>
      </c>
      <c r="L3269" s="18">
        <v>119</v>
      </c>
      <c r="M3269" s="18" t="s">
        <v>245</v>
      </c>
      <c r="N3269" s="18" t="s">
        <v>1866</v>
      </c>
    </row>
    <row r="3270" spans="1:14" hidden="1" x14ac:dyDescent="0.25">
      <c r="A3270" s="17">
        <v>45870</v>
      </c>
      <c r="B3270" s="18" t="s">
        <v>35</v>
      </c>
      <c r="C3270" s="18">
        <v>23</v>
      </c>
      <c r="D3270" s="18" t="s">
        <v>291</v>
      </c>
      <c r="E3270" s="18" t="s">
        <v>2361</v>
      </c>
      <c r="F3270" s="18" t="s">
        <v>428</v>
      </c>
      <c r="G3270" s="18" t="s">
        <v>82</v>
      </c>
      <c r="H3270" s="18" t="s">
        <v>95</v>
      </c>
      <c r="I3270" s="18"/>
      <c r="J3270" s="18" t="s">
        <v>200</v>
      </c>
      <c r="K3270" s="18" t="s">
        <v>250</v>
      </c>
      <c r="L3270" s="18">
        <v>2380000</v>
      </c>
      <c r="M3270" s="18" t="s">
        <v>242</v>
      </c>
      <c r="N3270" s="18" t="s">
        <v>2386</v>
      </c>
    </row>
    <row r="3271" spans="1:14" hidden="1" x14ac:dyDescent="0.25">
      <c r="A3271" s="17">
        <v>45870</v>
      </c>
      <c r="B3271" s="18" t="s">
        <v>35</v>
      </c>
      <c r="C3271" s="18">
        <v>23</v>
      </c>
      <c r="D3271" s="18" t="s">
        <v>291</v>
      </c>
      <c r="E3271" s="18" t="s">
        <v>2361</v>
      </c>
      <c r="F3271" s="18" t="s">
        <v>428</v>
      </c>
      <c r="G3271" s="18" t="s">
        <v>82</v>
      </c>
      <c r="H3271" s="18" t="s">
        <v>94</v>
      </c>
      <c r="I3271" s="18"/>
      <c r="J3271" s="18" t="s">
        <v>200</v>
      </c>
      <c r="K3271" s="18" t="s">
        <v>250</v>
      </c>
      <c r="L3271" s="18">
        <v>6420000</v>
      </c>
      <c r="M3271" s="18" t="s">
        <v>242</v>
      </c>
      <c r="N3271" s="18" t="s">
        <v>1193</v>
      </c>
    </row>
    <row r="3272" spans="1:14" hidden="1" x14ac:dyDescent="0.25">
      <c r="A3272" s="17">
        <v>45870</v>
      </c>
      <c r="B3272" s="18" t="s">
        <v>35</v>
      </c>
      <c r="C3272" s="18">
        <v>24</v>
      </c>
      <c r="D3272" s="18" t="s">
        <v>291</v>
      </c>
      <c r="E3272" s="18" t="s">
        <v>2361</v>
      </c>
      <c r="F3272" s="18" t="s">
        <v>445</v>
      </c>
      <c r="G3272" s="18" t="s">
        <v>82</v>
      </c>
      <c r="H3272" s="18" t="s">
        <v>95</v>
      </c>
      <c r="I3272" s="18"/>
      <c r="J3272" s="18" t="s">
        <v>200</v>
      </c>
      <c r="K3272" s="18" t="s">
        <v>250</v>
      </c>
      <c r="L3272" s="18">
        <v>253700000</v>
      </c>
      <c r="M3272" s="18" t="s">
        <v>245</v>
      </c>
      <c r="N3272" s="18" t="s">
        <v>2387</v>
      </c>
    </row>
    <row r="3273" spans="1:14" hidden="1" x14ac:dyDescent="0.25">
      <c r="A3273" s="17">
        <v>45870</v>
      </c>
      <c r="B3273" s="18" t="s">
        <v>35</v>
      </c>
      <c r="C3273" s="18">
        <v>24</v>
      </c>
      <c r="D3273" s="18" t="s">
        <v>291</v>
      </c>
      <c r="E3273" s="18" t="s">
        <v>2361</v>
      </c>
      <c r="F3273" s="18" t="s">
        <v>445</v>
      </c>
      <c r="G3273" s="18" t="s">
        <v>82</v>
      </c>
      <c r="H3273" s="18" t="s">
        <v>94</v>
      </c>
      <c r="I3273" s="18"/>
      <c r="J3273" s="18" t="s">
        <v>200</v>
      </c>
      <c r="K3273" s="18" t="s">
        <v>250</v>
      </c>
      <c r="L3273" s="18">
        <v>901400000</v>
      </c>
      <c r="M3273" s="18" t="s">
        <v>245</v>
      </c>
      <c r="N3273" s="18" t="s">
        <v>2388</v>
      </c>
    </row>
    <row r="3274" spans="1:14" hidden="1" x14ac:dyDescent="0.25">
      <c r="A3274" s="17">
        <v>45870</v>
      </c>
      <c r="B3274" s="18" t="s">
        <v>35</v>
      </c>
      <c r="C3274" s="18">
        <v>10</v>
      </c>
      <c r="D3274" s="18" t="s">
        <v>238</v>
      </c>
      <c r="E3274" s="18" t="s">
        <v>2341</v>
      </c>
      <c r="F3274" s="18" t="s">
        <v>244</v>
      </c>
      <c r="G3274" s="18" t="s">
        <v>82</v>
      </c>
      <c r="H3274" s="18"/>
      <c r="I3274" s="18"/>
      <c r="J3274" s="18" t="s">
        <v>2357</v>
      </c>
      <c r="K3274" s="18" t="s">
        <v>241</v>
      </c>
      <c r="L3274" s="18">
        <v>12640000000</v>
      </c>
      <c r="M3274" s="18" t="s">
        <v>245</v>
      </c>
      <c r="N3274" s="18" t="s">
        <v>2389</v>
      </c>
    </row>
    <row r="3275" spans="1:14" hidden="1" x14ac:dyDescent="0.25">
      <c r="A3275" s="17">
        <v>45870</v>
      </c>
      <c r="B3275" s="18" t="s">
        <v>97</v>
      </c>
      <c r="C3275" s="18">
        <v>26</v>
      </c>
      <c r="D3275" s="18" t="s">
        <v>238</v>
      </c>
      <c r="E3275" s="18" t="s">
        <v>2341</v>
      </c>
      <c r="F3275" s="18" t="s">
        <v>240</v>
      </c>
      <c r="G3275" s="18" t="s">
        <v>82</v>
      </c>
      <c r="H3275" s="18"/>
      <c r="I3275" s="18"/>
      <c r="J3275" s="18" t="s">
        <v>2357</v>
      </c>
      <c r="K3275" s="18" t="s">
        <v>241</v>
      </c>
      <c r="L3275" s="18">
        <v>61380000</v>
      </c>
      <c r="M3275" s="18" t="s">
        <v>242</v>
      </c>
      <c r="N3275" s="18" t="s">
        <v>2390</v>
      </c>
    </row>
    <row r="3276" spans="1:14" hidden="1" x14ac:dyDescent="0.25">
      <c r="A3276" s="17">
        <v>45870</v>
      </c>
      <c r="B3276" s="18" t="s">
        <v>97</v>
      </c>
      <c r="C3276" s="18">
        <v>26</v>
      </c>
      <c r="D3276" s="18" t="s">
        <v>238</v>
      </c>
      <c r="E3276" s="18" t="s">
        <v>2341</v>
      </c>
      <c r="F3276" s="18" t="s">
        <v>244</v>
      </c>
      <c r="G3276" s="18" t="s">
        <v>82</v>
      </c>
      <c r="H3276" s="18"/>
      <c r="I3276" s="18"/>
      <c r="J3276" s="18" t="s">
        <v>2357</v>
      </c>
      <c r="K3276" s="18" t="s">
        <v>241</v>
      </c>
      <c r="L3276" s="18">
        <v>4140000000</v>
      </c>
      <c r="M3276" s="18" t="s">
        <v>245</v>
      </c>
      <c r="N3276" s="18" t="s">
        <v>2391</v>
      </c>
    </row>
    <row r="3277" spans="1:14" hidden="1" x14ac:dyDescent="0.25">
      <c r="A3277" s="17">
        <v>45870</v>
      </c>
      <c r="B3277" s="18" t="s">
        <v>97</v>
      </c>
      <c r="C3277" s="18">
        <v>27</v>
      </c>
      <c r="D3277" s="18" t="s">
        <v>253</v>
      </c>
      <c r="E3277" s="18" t="s">
        <v>2359</v>
      </c>
      <c r="F3277" s="18" t="s">
        <v>285</v>
      </c>
      <c r="G3277" s="18" t="s">
        <v>63</v>
      </c>
      <c r="H3277" s="18"/>
      <c r="I3277" s="18"/>
      <c r="J3277" s="18" t="s">
        <v>200</v>
      </c>
      <c r="K3277" s="18" t="s">
        <v>255</v>
      </c>
      <c r="L3277" s="18">
        <v>2660000</v>
      </c>
      <c r="M3277" s="18" t="s">
        <v>242</v>
      </c>
      <c r="N3277" s="18" t="s">
        <v>1947</v>
      </c>
    </row>
    <row r="3278" spans="1:14" hidden="1" x14ac:dyDescent="0.25">
      <c r="A3278" s="17">
        <v>45870</v>
      </c>
      <c r="B3278" s="18" t="s">
        <v>97</v>
      </c>
      <c r="C3278" s="18">
        <v>28</v>
      </c>
      <c r="D3278" s="18" t="s">
        <v>291</v>
      </c>
      <c r="E3278" s="18" t="s">
        <v>2361</v>
      </c>
      <c r="F3278" s="18" t="s">
        <v>2362</v>
      </c>
      <c r="G3278" s="18" t="s">
        <v>63</v>
      </c>
      <c r="H3278" s="18" t="s">
        <v>64</v>
      </c>
      <c r="I3278" s="18"/>
      <c r="J3278" s="18" t="s">
        <v>200</v>
      </c>
      <c r="K3278" s="18" t="s">
        <v>250</v>
      </c>
      <c r="L3278" s="18">
        <v>2340000</v>
      </c>
      <c r="M3278" s="18" t="s">
        <v>242</v>
      </c>
      <c r="N3278" s="18" t="s">
        <v>1408</v>
      </c>
    </row>
    <row r="3279" spans="1:14" hidden="1" x14ac:dyDescent="0.25">
      <c r="A3279" s="17">
        <v>45870</v>
      </c>
      <c r="B3279" s="18" t="s">
        <v>97</v>
      </c>
      <c r="C3279" s="18">
        <v>28</v>
      </c>
      <c r="D3279" s="18" t="s">
        <v>291</v>
      </c>
      <c r="E3279" s="18" t="s">
        <v>2361</v>
      </c>
      <c r="F3279" s="18" t="s">
        <v>2362</v>
      </c>
      <c r="G3279" s="18" t="s">
        <v>63</v>
      </c>
      <c r="H3279" s="18" t="s">
        <v>65</v>
      </c>
      <c r="I3279" s="18"/>
      <c r="J3279" s="18" t="s">
        <v>200</v>
      </c>
      <c r="K3279" s="18" t="s">
        <v>250</v>
      </c>
      <c r="L3279" s="18">
        <v>325000</v>
      </c>
      <c r="M3279" s="18" t="s">
        <v>242</v>
      </c>
      <c r="N3279" s="18" t="s">
        <v>2392</v>
      </c>
    </row>
    <row r="3280" spans="1:14" hidden="1" x14ac:dyDescent="0.25">
      <c r="A3280" s="17">
        <v>45870</v>
      </c>
      <c r="B3280" s="18" t="s">
        <v>97</v>
      </c>
      <c r="C3280" s="18">
        <v>29</v>
      </c>
      <c r="D3280" s="18" t="s">
        <v>291</v>
      </c>
      <c r="E3280" s="18" t="s">
        <v>2361</v>
      </c>
      <c r="F3280" s="18" t="s">
        <v>2362</v>
      </c>
      <c r="G3280" s="18" t="s">
        <v>63</v>
      </c>
      <c r="H3280" s="18" t="s">
        <v>2364</v>
      </c>
      <c r="I3280" s="18"/>
      <c r="J3280" s="18" t="s">
        <v>200</v>
      </c>
      <c r="K3280" s="18" t="s">
        <v>250</v>
      </c>
      <c r="L3280" s="18">
        <v>1380000</v>
      </c>
      <c r="M3280" s="18" t="s">
        <v>242</v>
      </c>
      <c r="N3280" s="18" t="s">
        <v>2393</v>
      </c>
    </row>
    <row r="3281" spans="1:14" hidden="1" x14ac:dyDescent="0.25">
      <c r="A3281" s="17">
        <v>45870</v>
      </c>
      <c r="B3281" s="18" t="s">
        <v>97</v>
      </c>
      <c r="C3281" s="18">
        <v>29</v>
      </c>
      <c r="D3281" s="18" t="s">
        <v>291</v>
      </c>
      <c r="E3281" s="18" t="s">
        <v>2361</v>
      </c>
      <c r="F3281" s="18" t="s">
        <v>2362</v>
      </c>
      <c r="G3281" s="18" t="s">
        <v>63</v>
      </c>
      <c r="H3281" s="18" t="s">
        <v>2366</v>
      </c>
      <c r="I3281" s="18"/>
      <c r="J3281" s="18" t="s">
        <v>200</v>
      </c>
      <c r="K3281" s="18" t="s">
        <v>250</v>
      </c>
      <c r="L3281" s="18">
        <v>1270000</v>
      </c>
      <c r="M3281" s="18" t="s">
        <v>242</v>
      </c>
      <c r="N3281" s="18" t="s">
        <v>647</v>
      </c>
    </row>
    <row r="3282" spans="1:14" hidden="1" x14ac:dyDescent="0.25">
      <c r="A3282" s="17">
        <v>45870</v>
      </c>
      <c r="B3282" s="18" t="s">
        <v>97</v>
      </c>
      <c r="C3282" s="18">
        <v>29</v>
      </c>
      <c r="D3282" s="18" t="s">
        <v>291</v>
      </c>
      <c r="E3282" s="18" t="s">
        <v>2361</v>
      </c>
      <c r="F3282" s="18" t="s">
        <v>2362</v>
      </c>
      <c r="G3282" s="18" t="s">
        <v>63</v>
      </c>
      <c r="H3282" s="18"/>
      <c r="I3282" s="18"/>
      <c r="J3282" s="18" t="s">
        <v>200</v>
      </c>
      <c r="K3282" s="18" t="s">
        <v>250</v>
      </c>
      <c r="L3282" s="18"/>
      <c r="M3282" s="18" t="s">
        <v>251</v>
      </c>
      <c r="N3282" s="18" t="s">
        <v>322</v>
      </c>
    </row>
    <row r="3283" spans="1:14" hidden="1" x14ac:dyDescent="0.25">
      <c r="A3283" s="17">
        <v>45870</v>
      </c>
      <c r="B3283" s="18" t="s">
        <v>97</v>
      </c>
      <c r="C3283" s="18">
        <v>30</v>
      </c>
      <c r="D3283" s="18" t="s">
        <v>291</v>
      </c>
      <c r="E3283" s="18" t="s">
        <v>2361</v>
      </c>
      <c r="F3283" s="18" t="s">
        <v>285</v>
      </c>
      <c r="G3283" s="18" t="s">
        <v>63</v>
      </c>
      <c r="H3283" s="18" t="s">
        <v>77</v>
      </c>
      <c r="I3283" s="18"/>
      <c r="J3283" s="18" t="s">
        <v>200</v>
      </c>
      <c r="K3283" s="18" t="s">
        <v>250</v>
      </c>
      <c r="L3283" s="18">
        <v>1000</v>
      </c>
      <c r="M3283" s="18" t="s">
        <v>242</v>
      </c>
      <c r="N3283" s="18" t="s">
        <v>2394</v>
      </c>
    </row>
    <row r="3284" spans="1:14" hidden="1" x14ac:dyDescent="0.25">
      <c r="A3284" s="17">
        <v>45870</v>
      </c>
      <c r="B3284" s="18" t="s">
        <v>97</v>
      </c>
      <c r="C3284" s="18">
        <v>30</v>
      </c>
      <c r="D3284" s="18" t="s">
        <v>291</v>
      </c>
      <c r="E3284" s="18" t="s">
        <v>2361</v>
      </c>
      <c r="F3284" s="18" t="s">
        <v>285</v>
      </c>
      <c r="G3284" s="18" t="s">
        <v>63</v>
      </c>
      <c r="H3284" s="18" t="s">
        <v>70</v>
      </c>
      <c r="I3284" s="18"/>
      <c r="J3284" s="18" t="s">
        <v>200</v>
      </c>
      <c r="K3284" s="18" t="s">
        <v>250</v>
      </c>
      <c r="L3284" s="18">
        <v>957000</v>
      </c>
      <c r="M3284" s="18" t="s">
        <v>242</v>
      </c>
      <c r="N3284" s="18" t="s">
        <v>2395</v>
      </c>
    </row>
    <row r="3285" spans="1:14" hidden="1" x14ac:dyDescent="0.25">
      <c r="A3285" s="17">
        <v>45870</v>
      </c>
      <c r="B3285" s="18" t="s">
        <v>97</v>
      </c>
      <c r="C3285" s="18">
        <v>30</v>
      </c>
      <c r="D3285" s="18" t="s">
        <v>291</v>
      </c>
      <c r="E3285" s="18" t="s">
        <v>2361</v>
      </c>
      <c r="F3285" s="18" t="s">
        <v>285</v>
      </c>
      <c r="G3285" s="18" t="s">
        <v>63</v>
      </c>
      <c r="H3285" s="18" t="s">
        <v>71</v>
      </c>
      <c r="I3285" s="18"/>
      <c r="J3285" s="18" t="s">
        <v>200</v>
      </c>
      <c r="K3285" s="18" t="s">
        <v>250</v>
      </c>
      <c r="L3285" s="18">
        <v>686000</v>
      </c>
      <c r="M3285" s="18" t="s">
        <v>242</v>
      </c>
      <c r="N3285" s="18" t="s">
        <v>2396</v>
      </c>
    </row>
    <row r="3286" spans="1:14" hidden="1" x14ac:dyDescent="0.25">
      <c r="A3286" s="17">
        <v>45870</v>
      </c>
      <c r="B3286" s="18" t="s">
        <v>97</v>
      </c>
      <c r="C3286" s="18">
        <v>30</v>
      </c>
      <c r="D3286" s="18" t="s">
        <v>291</v>
      </c>
      <c r="E3286" s="18" t="s">
        <v>2361</v>
      </c>
      <c r="F3286" s="18" t="s">
        <v>285</v>
      </c>
      <c r="G3286" s="18" t="s">
        <v>63</v>
      </c>
      <c r="H3286" s="18" t="s">
        <v>72</v>
      </c>
      <c r="I3286" s="18"/>
      <c r="J3286" s="18" t="s">
        <v>200</v>
      </c>
      <c r="K3286" s="18" t="s">
        <v>250</v>
      </c>
      <c r="L3286" s="18">
        <v>516000</v>
      </c>
      <c r="M3286" s="18" t="s">
        <v>242</v>
      </c>
      <c r="N3286" s="18" t="s">
        <v>2397</v>
      </c>
    </row>
    <row r="3287" spans="1:14" hidden="1" x14ac:dyDescent="0.25">
      <c r="A3287" s="17">
        <v>45870</v>
      </c>
      <c r="B3287" s="18" t="s">
        <v>97</v>
      </c>
      <c r="C3287" s="18">
        <v>30</v>
      </c>
      <c r="D3287" s="18" t="s">
        <v>291</v>
      </c>
      <c r="E3287" s="18" t="s">
        <v>2361</v>
      </c>
      <c r="F3287" s="18" t="s">
        <v>285</v>
      </c>
      <c r="G3287" s="18" t="s">
        <v>63</v>
      </c>
      <c r="H3287" s="18" t="s">
        <v>73</v>
      </c>
      <c r="I3287" s="18"/>
      <c r="J3287" s="18" t="s">
        <v>200</v>
      </c>
      <c r="K3287" s="18" t="s">
        <v>250</v>
      </c>
      <c r="L3287" s="18">
        <v>322000</v>
      </c>
      <c r="M3287" s="18" t="s">
        <v>242</v>
      </c>
      <c r="N3287" s="18" t="s">
        <v>2398</v>
      </c>
    </row>
    <row r="3288" spans="1:14" hidden="1" x14ac:dyDescent="0.25">
      <c r="A3288" s="17">
        <v>45870</v>
      </c>
      <c r="B3288" s="18" t="s">
        <v>97</v>
      </c>
      <c r="C3288" s="18">
        <v>30</v>
      </c>
      <c r="D3288" s="18" t="s">
        <v>291</v>
      </c>
      <c r="E3288" s="18" t="s">
        <v>2361</v>
      </c>
      <c r="F3288" s="18" t="s">
        <v>285</v>
      </c>
      <c r="G3288" s="18" t="s">
        <v>63</v>
      </c>
      <c r="H3288" s="18" t="s">
        <v>74</v>
      </c>
      <c r="I3288" s="18"/>
      <c r="J3288" s="18" t="s">
        <v>200</v>
      </c>
      <c r="K3288" s="18" t="s">
        <v>250</v>
      </c>
      <c r="L3288" s="18">
        <v>122000</v>
      </c>
      <c r="M3288" s="18" t="s">
        <v>242</v>
      </c>
      <c r="N3288" s="18" t="s">
        <v>2399</v>
      </c>
    </row>
    <row r="3289" spans="1:14" hidden="1" x14ac:dyDescent="0.25">
      <c r="A3289" s="17">
        <v>45870</v>
      </c>
      <c r="B3289" s="18" t="s">
        <v>97</v>
      </c>
      <c r="C3289" s="18">
        <v>30</v>
      </c>
      <c r="D3289" s="18" t="s">
        <v>291</v>
      </c>
      <c r="E3289" s="18" t="s">
        <v>2361</v>
      </c>
      <c r="F3289" s="18" t="s">
        <v>285</v>
      </c>
      <c r="G3289" s="18" t="s">
        <v>63</v>
      </c>
      <c r="H3289" s="18" t="s">
        <v>75</v>
      </c>
      <c r="I3289" s="18"/>
      <c r="J3289" s="18" t="s">
        <v>200</v>
      </c>
      <c r="K3289" s="18" t="s">
        <v>250</v>
      </c>
      <c r="L3289" s="18">
        <v>35000</v>
      </c>
      <c r="M3289" s="18" t="s">
        <v>242</v>
      </c>
      <c r="N3289" s="18" t="s">
        <v>1681</v>
      </c>
    </row>
    <row r="3290" spans="1:14" hidden="1" x14ac:dyDescent="0.25">
      <c r="A3290" s="17">
        <v>45870</v>
      </c>
      <c r="B3290" s="18" t="s">
        <v>97</v>
      </c>
      <c r="C3290" s="18">
        <v>30</v>
      </c>
      <c r="D3290" s="18" t="s">
        <v>291</v>
      </c>
      <c r="E3290" s="18" t="s">
        <v>2361</v>
      </c>
      <c r="F3290" s="18" t="s">
        <v>285</v>
      </c>
      <c r="G3290" s="18" t="s">
        <v>63</v>
      </c>
      <c r="H3290" s="18" t="s">
        <v>76</v>
      </c>
      <c r="I3290" s="18"/>
      <c r="J3290" s="18" t="s">
        <v>200</v>
      </c>
      <c r="K3290" s="18" t="s">
        <v>250</v>
      </c>
      <c r="L3290" s="18">
        <v>13000</v>
      </c>
      <c r="M3290" s="18" t="s">
        <v>242</v>
      </c>
      <c r="N3290" s="18" t="s">
        <v>932</v>
      </c>
    </row>
    <row r="3291" spans="1:14" hidden="1" x14ac:dyDescent="0.25">
      <c r="A3291" s="17">
        <v>45870</v>
      </c>
      <c r="B3291" s="18" t="s">
        <v>97</v>
      </c>
      <c r="C3291" s="18">
        <v>31</v>
      </c>
      <c r="D3291" s="18" t="s">
        <v>291</v>
      </c>
      <c r="E3291" s="18" t="s">
        <v>2361</v>
      </c>
      <c r="F3291" s="18" t="s">
        <v>2400</v>
      </c>
      <c r="G3291" s="18" t="s">
        <v>99</v>
      </c>
      <c r="H3291" s="18" t="s">
        <v>103</v>
      </c>
      <c r="I3291" s="18"/>
      <c r="J3291" s="18" t="s">
        <v>200</v>
      </c>
      <c r="K3291" s="18" t="s">
        <v>250</v>
      </c>
      <c r="L3291" s="18">
        <v>2600000</v>
      </c>
      <c r="M3291" s="18" t="s">
        <v>242</v>
      </c>
      <c r="N3291" s="18" t="s">
        <v>1652</v>
      </c>
    </row>
    <row r="3292" spans="1:14" hidden="1" x14ac:dyDescent="0.25">
      <c r="A3292" s="17">
        <v>45870</v>
      </c>
      <c r="B3292" s="18" t="s">
        <v>97</v>
      </c>
      <c r="C3292" s="18">
        <v>31</v>
      </c>
      <c r="D3292" s="18" t="s">
        <v>291</v>
      </c>
      <c r="E3292" s="18" t="s">
        <v>2361</v>
      </c>
      <c r="F3292" s="18" t="s">
        <v>477</v>
      </c>
      <c r="G3292" s="18" t="s">
        <v>99</v>
      </c>
      <c r="H3292" s="18" t="s">
        <v>104</v>
      </c>
      <c r="I3292" s="18"/>
      <c r="J3292" s="18" t="s">
        <v>200</v>
      </c>
      <c r="K3292" s="18" t="s">
        <v>250</v>
      </c>
      <c r="L3292" s="18">
        <v>3540</v>
      </c>
      <c r="M3292" s="18" t="s">
        <v>242</v>
      </c>
      <c r="N3292" s="18" t="s">
        <v>2401</v>
      </c>
    </row>
    <row r="3293" spans="1:14" hidden="1" x14ac:dyDescent="0.25">
      <c r="A3293" s="17">
        <v>45870</v>
      </c>
      <c r="B3293" s="18" t="s">
        <v>97</v>
      </c>
      <c r="C3293" s="18">
        <v>31</v>
      </c>
      <c r="D3293" s="18" t="s">
        <v>291</v>
      </c>
      <c r="E3293" s="18" t="s">
        <v>2361</v>
      </c>
      <c r="F3293" s="18" t="s">
        <v>477</v>
      </c>
      <c r="G3293" s="18" t="s">
        <v>99</v>
      </c>
      <c r="H3293" s="18" t="s">
        <v>101</v>
      </c>
      <c r="I3293" s="18"/>
      <c r="J3293" s="18" t="s">
        <v>200</v>
      </c>
      <c r="K3293" s="18" t="s">
        <v>250</v>
      </c>
      <c r="L3293" s="18">
        <v>1342</v>
      </c>
      <c r="M3293" s="18" t="s">
        <v>242</v>
      </c>
      <c r="N3293" s="18" t="s">
        <v>2402</v>
      </c>
    </row>
    <row r="3294" spans="1:14" hidden="1" x14ac:dyDescent="0.25">
      <c r="A3294" s="17">
        <v>45870</v>
      </c>
      <c r="B3294" s="18" t="s">
        <v>97</v>
      </c>
      <c r="C3294" s="18">
        <v>31</v>
      </c>
      <c r="D3294" s="18" t="s">
        <v>291</v>
      </c>
      <c r="E3294" s="18" t="s">
        <v>2361</v>
      </c>
      <c r="F3294" s="18" t="s">
        <v>477</v>
      </c>
      <c r="G3294" s="18" t="s">
        <v>99</v>
      </c>
      <c r="H3294" s="18" t="s">
        <v>100</v>
      </c>
      <c r="I3294" s="18"/>
      <c r="J3294" s="18" t="s">
        <v>200</v>
      </c>
      <c r="K3294" s="18" t="s">
        <v>250</v>
      </c>
      <c r="L3294" s="18">
        <v>980</v>
      </c>
      <c r="M3294" s="18" t="s">
        <v>242</v>
      </c>
      <c r="N3294" s="18" t="s">
        <v>2403</v>
      </c>
    </row>
    <row r="3295" spans="1:14" hidden="1" x14ac:dyDescent="0.25">
      <c r="A3295" s="17">
        <v>45870</v>
      </c>
      <c r="B3295" s="18" t="s">
        <v>97</v>
      </c>
      <c r="C3295" s="18">
        <v>31</v>
      </c>
      <c r="D3295" s="18" t="s">
        <v>291</v>
      </c>
      <c r="E3295" s="18" t="s">
        <v>2361</v>
      </c>
      <c r="F3295" s="18" t="s">
        <v>477</v>
      </c>
      <c r="G3295" s="18" t="s">
        <v>99</v>
      </c>
      <c r="H3295" s="18" t="s">
        <v>102</v>
      </c>
      <c r="I3295" s="18"/>
      <c r="J3295" s="18" t="s">
        <v>200</v>
      </c>
      <c r="K3295" s="18" t="s">
        <v>250</v>
      </c>
      <c r="L3295" s="18">
        <v>7</v>
      </c>
      <c r="M3295" s="18" t="s">
        <v>242</v>
      </c>
      <c r="N3295" s="18" t="s">
        <v>1064</v>
      </c>
    </row>
    <row r="3296" spans="1:14" hidden="1" x14ac:dyDescent="0.25">
      <c r="A3296" s="17">
        <v>45870</v>
      </c>
      <c r="B3296" s="18" t="s">
        <v>97</v>
      </c>
      <c r="C3296" s="18">
        <v>32</v>
      </c>
      <c r="D3296" s="18" t="s">
        <v>253</v>
      </c>
      <c r="E3296" s="18" t="s">
        <v>2359</v>
      </c>
      <c r="F3296" s="18" t="s">
        <v>240</v>
      </c>
      <c r="G3296" s="18" t="s">
        <v>82</v>
      </c>
      <c r="H3296" s="18"/>
      <c r="I3296" s="18"/>
      <c r="J3296" s="18" t="s">
        <v>200</v>
      </c>
      <c r="K3296" s="18" t="s">
        <v>255</v>
      </c>
      <c r="L3296" s="18">
        <v>9450000</v>
      </c>
      <c r="M3296" s="18" t="s">
        <v>242</v>
      </c>
      <c r="N3296" s="18" t="s">
        <v>2404</v>
      </c>
    </row>
    <row r="3297" spans="1:14" hidden="1" x14ac:dyDescent="0.25">
      <c r="A3297" s="17">
        <v>45870</v>
      </c>
      <c r="B3297" s="18" t="s">
        <v>97</v>
      </c>
      <c r="C3297" s="18">
        <v>33</v>
      </c>
      <c r="D3297" s="18" t="s">
        <v>291</v>
      </c>
      <c r="E3297" s="18" t="s">
        <v>2361</v>
      </c>
      <c r="F3297" s="18" t="s">
        <v>240</v>
      </c>
      <c r="G3297" s="18" t="s">
        <v>82</v>
      </c>
      <c r="H3297" s="18" t="s">
        <v>83</v>
      </c>
      <c r="I3297" s="18"/>
      <c r="J3297" s="18" t="s">
        <v>200</v>
      </c>
      <c r="K3297" s="18" t="s">
        <v>250</v>
      </c>
      <c r="L3297" s="18">
        <v>8400000</v>
      </c>
      <c r="M3297" s="18" t="s">
        <v>242</v>
      </c>
      <c r="N3297" s="18" t="s">
        <v>2405</v>
      </c>
    </row>
    <row r="3298" spans="1:14" hidden="1" x14ac:dyDescent="0.25">
      <c r="A3298" s="17">
        <v>45870</v>
      </c>
      <c r="B3298" s="18" t="s">
        <v>97</v>
      </c>
      <c r="C3298" s="18">
        <v>33</v>
      </c>
      <c r="D3298" s="18" t="s">
        <v>291</v>
      </c>
      <c r="E3298" s="18" t="s">
        <v>2361</v>
      </c>
      <c r="F3298" s="18" t="s">
        <v>240</v>
      </c>
      <c r="G3298" s="18" t="s">
        <v>82</v>
      </c>
      <c r="H3298" s="18" t="s">
        <v>84</v>
      </c>
      <c r="I3298" s="18"/>
      <c r="J3298" s="18" t="s">
        <v>200</v>
      </c>
      <c r="K3298" s="18" t="s">
        <v>250</v>
      </c>
      <c r="L3298" s="18">
        <v>738500</v>
      </c>
      <c r="M3298" s="18" t="s">
        <v>242</v>
      </c>
      <c r="N3298" s="18" t="s">
        <v>2406</v>
      </c>
    </row>
    <row r="3299" spans="1:14" hidden="1" x14ac:dyDescent="0.25">
      <c r="A3299" s="17">
        <v>45870</v>
      </c>
      <c r="B3299" s="18" t="s">
        <v>97</v>
      </c>
      <c r="C3299" s="18">
        <v>33</v>
      </c>
      <c r="D3299" s="18" t="s">
        <v>291</v>
      </c>
      <c r="E3299" s="18" t="s">
        <v>2361</v>
      </c>
      <c r="F3299" s="18" t="s">
        <v>240</v>
      </c>
      <c r="G3299" s="18" t="s">
        <v>82</v>
      </c>
      <c r="H3299" s="18" t="s">
        <v>106</v>
      </c>
      <c r="I3299" s="18"/>
      <c r="J3299" s="18" t="s">
        <v>200</v>
      </c>
      <c r="K3299" s="18" t="s">
        <v>250</v>
      </c>
      <c r="L3299" s="18">
        <v>177200</v>
      </c>
      <c r="M3299" s="18" t="s">
        <v>242</v>
      </c>
      <c r="N3299" s="18" t="s">
        <v>2407</v>
      </c>
    </row>
    <row r="3300" spans="1:14" hidden="1" x14ac:dyDescent="0.25">
      <c r="A3300" s="17">
        <v>45870</v>
      </c>
      <c r="B3300" s="18" t="s">
        <v>97</v>
      </c>
      <c r="C3300" s="18">
        <v>33</v>
      </c>
      <c r="D3300" s="18" t="s">
        <v>291</v>
      </c>
      <c r="E3300" s="18" t="s">
        <v>2361</v>
      </c>
      <c r="F3300" s="18" t="s">
        <v>240</v>
      </c>
      <c r="G3300" s="18" t="s">
        <v>82</v>
      </c>
      <c r="H3300" s="18" t="s">
        <v>105</v>
      </c>
      <c r="I3300" s="18"/>
      <c r="J3300" s="18" t="s">
        <v>200</v>
      </c>
      <c r="K3300" s="18" t="s">
        <v>250</v>
      </c>
      <c r="L3300" s="18">
        <v>124400</v>
      </c>
      <c r="M3300" s="18" t="s">
        <v>242</v>
      </c>
      <c r="N3300" s="18" t="s">
        <v>2408</v>
      </c>
    </row>
    <row r="3301" spans="1:14" hidden="1" x14ac:dyDescent="0.25">
      <c r="A3301" s="17">
        <v>45870</v>
      </c>
      <c r="B3301" s="18" t="s">
        <v>97</v>
      </c>
      <c r="C3301" s="18">
        <v>34</v>
      </c>
      <c r="D3301" s="18" t="s">
        <v>291</v>
      </c>
      <c r="E3301" s="18" t="s">
        <v>2361</v>
      </c>
      <c r="F3301" s="18" t="s">
        <v>240</v>
      </c>
      <c r="G3301" s="18" t="s">
        <v>82</v>
      </c>
      <c r="H3301" s="18" t="s">
        <v>83</v>
      </c>
      <c r="I3301" s="18" t="s">
        <v>315</v>
      </c>
      <c r="J3301" s="18" t="s">
        <v>200</v>
      </c>
      <c r="K3301" s="18" t="s">
        <v>250</v>
      </c>
      <c r="L3301" s="18"/>
      <c r="M3301" s="18" t="s">
        <v>251</v>
      </c>
      <c r="N3301" s="18" t="s">
        <v>2409</v>
      </c>
    </row>
    <row r="3302" spans="1:14" hidden="1" x14ac:dyDescent="0.25">
      <c r="A3302" s="17">
        <v>45870</v>
      </c>
      <c r="B3302" s="18" t="s">
        <v>97</v>
      </c>
      <c r="C3302" s="18">
        <v>34</v>
      </c>
      <c r="D3302" s="18" t="s">
        <v>291</v>
      </c>
      <c r="E3302" s="18" t="s">
        <v>2361</v>
      </c>
      <c r="F3302" s="18" t="s">
        <v>240</v>
      </c>
      <c r="G3302" s="18" t="s">
        <v>82</v>
      </c>
      <c r="H3302" s="18" t="s">
        <v>83</v>
      </c>
      <c r="I3302" s="18" t="s">
        <v>317</v>
      </c>
      <c r="J3302" s="18" t="s">
        <v>200</v>
      </c>
      <c r="K3302" s="18" t="s">
        <v>250</v>
      </c>
      <c r="L3302" s="18"/>
      <c r="M3302" s="18" t="s">
        <v>251</v>
      </c>
      <c r="N3302" s="18" t="s">
        <v>2410</v>
      </c>
    </row>
    <row r="3303" spans="1:14" hidden="1" x14ac:dyDescent="0.25">
      <c r="A3303" s="17">
        <v>45870</v>
      </c>
      <c r="B3303" s="18" t="s">
        <v>97</v>
      </c>
      <c r="C3303" s="18">
        <v>34</v>
      </c>
      <c r="D3303" s="18" t="s">
        <v>291</v>
      </c>
      <c r="E3303" s="18" t="s">
        <v>2361</v>
      </c>
      <c r="F3303" s="18" t="s">
        <v>240</v>
      </c>
      <c r="G3303" s="18" t="s">
        <v>82</v>
      </c>
      <c r="H3303" s="18" t="s">
        <v>83</v>
      </c>
      <c r="I3303" s="18" t="s">
        <v>503</v>
      </c>
      <c r="J3303" s="18" t="s">
        <v>200</v>
      </c>
      <c r="K3303" s="18" t="s">
        <v>250</v>
      </c>
      <c r="L3303" s="18"/>
      <c r="M3303" s="18" t="s">
        <v>251</v>
      </c>
      <c r="N3303" s="18" t="s">
        <v>2411</v>
      </c>
    </row>
    <row r="3304" spans="1:14" hidden="1" x14ac:dyDescent="0.25">
      <c r="A3304" s="17">
        <v>45870</v>
      </c>
      <c r="B3304" s="18" t="s">
        <v>97</v>
      </c>
      <c r="C3304" s="18">
        <v>34</v>
      </c>
      <c r="D3304" s="18" t="s">
        <v>291</v>
      </c>
      <c r="E3304" s="18" t="s">
        <v>2361</v>
      </c>
      <c r="F3304" s="18" t="s">
        <v>240</v>
      </c>
      <c r="G3304" s="18" t="s">
        <v>82</v>
      </c>
      <c r="H3304" s="18" t="s">
        <v>83</v>
      </c>
      <c r="I3304" s="18" t="s">
        <v>497</v>
      </c>
      <c r="J3304" s="18" t="s">
        <v>200</v>
      </c>
      <c r="K3304" s="18" t="s">
        <v>250</v>
      </c>
      <c r="L3304" s="18"/>
      <c r="M3304" s="18" t="s">
        <v>251</v>
      </c>
      <c r="N3304" s="18" t="s">
        <v>2412</v>
      </c>
    </row>
    <row r="3305" spans="1:14" hidden="1" x14ac:dyDescent="0.25">
      <c r="A3305" s="17">
        <v>45870</v>
      </c>
      <c r="B3305" s="18" t="s">
        <v>97</v>
      </c>
      <c r="C3305" s="18">
        <v>34</v>
      </c>
      <c r="D3305" s="18" t="s">
        <v>291</v>
      </c>
      <c r="E3305" s="18" t="s">
        <v>2361</v>
      </c>
      <c r="F3305" s="18" t="s">
        <v>240</v>
      </c>
      <c r="G3305" s="18" t="s">
        <v>82</v>
      </c>
      <c r="H3305" s="18" t="s">
        <v>83</v>
      </c>
      <c r="I3305" s="18" t="s">
        <v>2413</v>
      </c>
      <c r="J3305" s="18" t="s">
        <v>200</v>
      </c>
      <c r="K3305" s="18" t="s">
        <v>250</v>
      </c>
      <c r="L3305" s="18"/>
      <c r="M3305" s="18" t="s">
        <v>251</v>
      </c>
      <c r="N3305" s="18" t="s">
        <v>603</v>
      </c>
    </row>
    <row r="3306" spans="1:14" hidden="1" x14ac:dyDescent="0.25">
      <c r="A3306" s="17">
        <v>45870</v>
      </c>
      <c r="B3306" s="18" t="s">
        <v>97</v>
      </c>
      <c r="C3306" s="18">
        <v>34</v>
      </c>
      <c r="D3306" s="18" t="s">
        <v>291</v>
      </c>
      <c r="E3306" s="18" t="s">
        <v>2361</v>
      </c>
      <c r="F3306" s="18" t="s">
        <v>240</v>
      </c>
      <c r="G3306" s="18" t="s">
        <v>82</v>
      </c>
      <c r="H3306" s="18" t="s">
        <v>83</v>
      </c>
      <c r="I3306" s="18" t="s">
        <v>2414</v>
      </c>
      <c r="J3306" s="18" t="s">
        <v>200</v>
      </c>
      <c r="K3306" s="18" t="s">
        <v>250</v>
      </c>
      <c r="L3306" s="18"/>
      <c r="M3306" s="18" t="s">
        <v>251</v>
      </c>
      <c r="N3306" s="18" t="s">
        <v>906</v>
      </c>
    </row>
    <row r="3307" spans="1:14" hidden="1" x14ac:dyDescent="0.25">
      <c r="A3307" s="17">
        <v>45870</v>
      </c>
      <c r="B3307" s="18" t="s">
        <v>97</v>
      </c>
      <c r="C3307" s="18">
        <v>34</v>
      </c>
      <c r="D3307" s="18" t="s">
        <v>291</v>
      </c>
      <c r="E3307" s="18" t="s">
        <v>2361</v>
      </c>
      <c r="F3307" s="18" t="s">
        <v>240</v>
      </c>
      <c r="G3307" s="18" t="s">
        <v>82</v>
      </c>
      <c r="H3307" s="18" t="s">
        <v>84</v>
      </c>
      <c r="I3307" s="18" t="s">
        <v>319</v>
      </c>
      <c r="J3307" s="18" t="s">
        <v>200</v>
      </c>
      <c r="K3307" s="18" t="s">
        <v>250</v>
      </c>
      <c r="L3307" s="18"/>
      <c r="M3307" s="18" t="s">
        <v>251</v>
      </c>
      <c r="N3307" s="18" t="s">
        <v>2415</v>
      </c>
    </row>
    <row r="3308" spans="1:14" hidden="1" x14ac:dyDescent="0.25">
      <c r="A3308" s="17">
        <v>45870</v>
      </c>
      <c r="B3308" s="18" t="s">
        <v>97</v>
      </c>
      <c r="C3308" s="18">
        <v>34</v>
      </c>
      <c r="D3308" s="18" t="s">
        <v>291</v>
      </c>
      <c r="E3308" s="18" t="s">
        <v>2361</v>
      </c>
      <c r="F3308" s="18" t="s">
        <v>240</v>
      </c>
      <c r="G3308" s="18" t="s">
        <v>82</v>
      </c>
      <c r="H3308" s="18" t="s">
        <v>84</v>
      </c>
      <c r="I3308" s="18" t="s">
        <v>321</v>
      </c>
      <c r="J3308" s="18" t="s">
        <v>200</v>
      </c>
      <c r="K3308" s="18" t="s">
        <v>250</v>
      </c>
      <c r="L3308" s="18"/>
      <c r="M3308" s="18" t="s">
        <v>251</v>
      </c>
      <c r="N3308" s="18" t="s">
        <v>2416</v>
      </c>
    </row>
    <row r="3309" spans="1:14" hidden="1" x14ac:dyDescent="0.25">
      <c r="A3309" s="17">
        <v>45870</v>
      </c>
      <c r="B3309" s="18" t="s">
        <v>97</v>
      </c>
      <c r="C3309" s="18">
        <v>34</v>
      </c>
      <c r="D3309" s="18" t="s">
        <v>291</v>
      </c>
      <c r="E3309" s="18" t="s">
        <v>2361</v>
      </c>
      <c r="F3309" s="18" t="s">
        <v>240</v>
      </c>
      <c r="G3309" s="18" t="s">
        <v>82</v>
      </c>
      <c r="H3309" s="18" t="s">
        <v>106</v>
      </c>
      <c r="I3309" s="18" t="s">
        <v>493</v>
      </c>
      <c r="J3309" s="18" t="s">
        <v>200</v>
      </c>
      <c r="K3309" s="18" t="s">
        <v>250</v>
      </c>
      <c r="L3309" s="18"/>
      <c r="M3309" s="18" t="s">
        <v>251</v>
      </c>
      <c r="N3309" s="18" t="s">
        <v>2417</v>
      </c>
    </row>
    <row r="3310" spans="1:14" hidden="1" x14ac:dyDescent="0.25">
      <c r="A3310" s="17">
        <v>45870</v>
      </c>
      <c r="B3310" s="18" t="s">
        <v>97</v>
      </c>
      <c r="C3310" s="18">
        <v>34</v>
      </c>
      <c r="D3310" s="18" t="s">
        <v>291</v>
      </c>
      <c r="E3310" s="18" t="s">
        <v>2361</v>
      </c>
      <c r="F3310" s="18" t="s">
        <v>240</v>
      </c>
      <c r="G3310" s="18" t="s">
        <v>82</v>
      </c>
      <c r="H3310" s="18" t="s">
        <v>106</v>
      </c>
      <c r="I3310" s="18" t="s">
        <v>491</v>
      </c>
      <c r="J3310" s="18" t="s">
        <v>200</v>
      </c>
      <c r="K3310" s="18" t="s">
        <v>250</v>
      </c>
      <c r="L3310" s="18"/>
      <c r="M3310" s="18" t="s">
        <v>251</v>
      </c>
      <c r="N3310" s="18" t="s">
        <v>2418</v>
      </c>
    </row>
    <row r="3311" spans="1:14" hidden="1" x14ac:dyDescent="0.25">
      <c r="A3311" s="17">
        <v>45870</v>
      </c>
      <c r="B3311" s="18" t="s">
        <v>97</v>
      </c>
      <c r="C3311" s="18">
        <v>34</v>
      </c>
      <c r="D3311" s="18" t="s">
        <v>291</v>
      </c>
      <c r="E3311" s="18" t="s">
        <v>2361</v>
      </c>
      <c r="F3311" s="18" t="s">
        <v>240</v>
      </c>
      <c r="G3311" s="18" t="s">
        <v>82</v>
      </c>
      <c r="H3311" s="18" t="s">
        <v>105</v>
      </c>
      <c r="I3311" s="18" t="s">
        <v>493</v>
      </c>
      <c r="J3311" s="18" t="s">
        <v>200</v>
      </c>
      <c r="K3311" s="18" t="s">
        <v>250</v>
      </c>
      <c r="L3311" s="18"/>
      <c r="M3311" s="18" t="s">
        <v>251</v>
      </c>
      <c r="N3311" s="18" t="s">
        <v>2419</v>
      </c>
    </row>
    <row r="3312" spans="1:14" hidden="1" x14ac:dyDescent="0.25">
      <c r="A3312" s="17">
        <v>45870</v>
      </c>
      <c r="B3312" s="18" t="s">
        <v>97</v>
      </c>
      <c r="C3312" s="18">
        <v>34</v>
      </c>
      <c r="D3312" s="18" t="s">
        <v>291</v>
      </c>
      <c r="E3312" s="18" t="s">
        <v>2361</v>
      </c>
      <c r="F3312" s="18" t="s">
        <v>240</v>
      </c>
      <c r="G3312" s="18" t="s">
        <v>82</v>
      </c>
      <c r="H3312" s="18" t="s">
        <v>105</v>
      </c>
      <c r="I3312" s="18" t="s">
        <v>491</v>
      </c>
      <c r="J3312" s="18" t="s">
        <v>200</v>
      </c>
      <c r="K3312" s="18" t="s">
        <v>250</v>
      </c>
      <c r="L3312" s="18"/>
      <c r="M3312" s="18" t="s">
        <v>251</v>
      </c>
      <c r="N3312" s="18" t="s">
        <v>2420</v>
      </c>
    </row>
    <row r="3313" spans="1:14" hidden="1" x14ac:dyDescent="0.25">
      <c r="A3313" s="17">
        <v>45870</v>
      </c>
      <c r="B3313" s="18" t="s">
        <v>97</v>
      </c>
      <c r="C3313" s="18">
        <v>35</v>
      </c>
      <c r="D3313" s="18" t="s">
        <v>253</v>
      </c>
      <c r="E3313" s="18" t="s">
        <v>2359</v>
      </c>
      <c r="F3313" s="18" t="s">
        <v>244</v>
      </c>
      <c r="G3313" s="18" t="s">
        <v>82</v>
      </c>
      <c r="H3313" s="18"/>
      <c r="I3313" s="18"/>
      <c r="J3313" s="18" t="s">
        <v>200</v>
      </c>
      <c r="K3313" s="18" t="s">
        <v>255</v>
      </c>
      <c r="L3313" s="18">
        <v>573000000</v>
      </c>
      <c r="M3313" s="18" t="s">
        <v>245</v>
      </c>
      <c r="N3313" s="18" t="s">
        <v>2421</v>
      </c>
    </row>
    <row r="3314" spans="1:14" hidden="1" x14ac:dyDescent="0.25">
      <c r="A3314" s="17">
        <v>45870</v>
      </c>
      <c r="B3314" s="18" t="s">
        <v>97</v>
      </c>
      <c r="C3314" s="18">
        <v>36</v>
      </c>
      <c r="D3314" s="18" t="s">
        <v>291</v>
      </c>
      <c r="E3314" s="18" t="s">
        <v>2361</v>
      </c>
      <c r="F3314" s="18" t="s">
        <v>244</v>
      </c>
      <c r="G3314" s="18" t="s">
        <v>82</v>
      </c>
      <c r="H3314" s="18" t="s">
        <v>83</v>
      </c>
      <c r="I3314" s="18"/>
      <c r="J3314" s="18" t="s">
        <v>200</v>
      </c>
      <c r="K3314" s="18" t="s">
        <v>250</v>
      </c>
      <c r="L3314" s="18">
        <v>490700000</v>
      </c>
      <c r="M3314" s="18" t="s">
        <v>245</v>
      </c>
      <c r="N3314" s="18" t="s">
        <v>2422</v>
      </c>
    </row>
    <row r="3315" spans="1:14" hidden="1" x14ac:dyDescent="0.25">
      <c r="A3315" s="17">
        <v>45870</v>
      </c>
      <c r="B3315" s="18" t="s">
        <v>97</v>
      </c>
      <c r="C3315" s="18">
        <v>36</v>
      </c>
      <c r="D3315" s="18" t="s">
        <v>291</v>
      </c>
      <c r="E3315" s="18" t="s">
        <v>2361</v>
      </c>
      <c r="F3315" s="18" t="s">
        <v>244</v>
      </c>
      <c r="G3315" s="18" t="s">
        <v>82</v>
      </c>
      <c r="H3315" s="18" t="s">
        <v>84</v>
      </c>
      <c r="I3315" s="18"/>
      <c r="J3315" s="18" t="s">
        <v>200</v>
      </c>
      <c r="K3315" s="18" t="s">
        <v>250</v>
      </c>
      <c r="L3315" s="18">
        <v>36940000</v>
      </c>
      <c r="M3315" s="18" t="s">
        <v>245</v>
      </c>
      <c r="N3315" s="18" t="s">
        <v>2423</v>
      </c>
    </row>
    <row r="3316" spans="1:14" hidden="1" x14ac:dyDescent="0.25">
      <c r="A3316" s="17">
        <v>45870</v>
      </c>
      <c r="B3316" s="18" t="s">
        <v>97</v>
      </c>
      <c r="C3316" s="18">
        <v>36</v>
      </c>
      <c r="D3316" s="18" t="s">
        <v>291</v>
      </c>
      <c r="E3316" s="18" t="s">
        <v>2361</v>
      </c>
      <c r="F3316" s="18" t="s">
        <v>244</v>
      </c>
      <c r="G3316" s="18" t="s">
        <v>82</v>
      </c>
      <c r="H3316" s="18" t="s">
        <v>106</v>
      </c>
      <c r="I3316" s="18"/>
      <c r="J3316" s="18" t="s">
        <v>200</v>
      </c>
      <c r="K3316" s="18" t="s">
        <v>250</v>
      </c>
      <c r="L3316" s="18">
        <v>26340000</v>
      </c>
      <c r="M3316" s="18" t="s">
        <v>245</v>
      </c>
      <c r="N3316" s="18" t="s">
        <v>2424</v>
      </c>
    </row>
    <row r="3317" spans="1:14" hidden="1" x14ac:dyDescent="0.25">
      <c r="A3317" s="17">
        <v>45870</v>
      </c>
      <c r="B3317" s="18" t="s">
        <v>97</v>
      </c>
      <c r="C3317" s="18">
        <v>36</v>
      </c>
      <c r="D3317" s="18" t="s">
        <v>291</v>
      </c>
      <c r="E3317" s="18" t="s">
        <v>2361</v>
      </c>
      <c r="F3317" s="18" t="s">
        <v>244</v>
      </c>
      <c r="G3317" s="18" t="s">
        <v>82</v>
      </c>
      <c r="H3317" s="18" t="s">
        <v>105</v>
      </c>
      <c r="I3317" s="18"/>
      <c r="J3317" s="18" t="s">
        <v>200</v>
      </c>
      <c r="K3317" s="18" t="s">
        <v>250</v>
      </c>
      <c r="L3317" s="18">
        <v>19340000</v>
      </c>
      <c r="M3317" s="18" t="s">
        <v>245</v>
      </c>
      <c r="N3317" s="18" t="s">
        <v>2425</v>
      </c>
    </row>
    <row r="3318" spans="1:14" hidden="1" x14ac:dyDescent="0.25">
      <c r="A3318" s="17">
        <v>45870</v>
      </c>
      <c r="B3318" s="18" t="s">
        <v>97</v>
      </c>
      <c r="C3318" s="18">
        <v>37</v>
      </c>
      <c r="D3318" s="18" t="s">
        <v>291</v>
      </c>
      <c r="E3318" s="18" t="s">
        <v>2361</v>
      </c>
      <c r="F3318" s="18" t="s">
        <v>244</v>
      </c>
      <c r="G3318" s="18" t="s">
        <v>82</v>
      </c>
      <c r="H3318" s="18" t="s">
        <v>83</v>
      </c>
      <c r="I3318" s="18" t="s">
        <v>315</v>
      </c>
      <c r="J3318" s="18" t="s">
        <v>200</v>
      </c>
      <c r="K3318" s="18" t="s">
        <v>250</v>
      </c>
      <c r="L3318" s="18"/>
      <c r="M3318" s="18" t="s">
        <v>251</v>
      </c>
      <c r="N3318" s="18" t="s">
        <v>2426</v>
      </c>
    </row>
    <row r="3319" spans="1:14" hidden="1" x14ac:dyDescent="0.25">
      <c r="A3319" s="17">
        <v>45870</v>
      </c>
      <c r="B3319" s="18" t="s">
        <v>97</v>
      </c>
      <c r="C3319" s="18">
        <v>37</v>
      </c>
      <c r="D3319" s="18" t="s">
        <v>291</v>
      </c>
      <c r="E3319" s="18" t="s">
        <v>2361</v>
      </c>
      <c r="F3319" s="18" t="s">
        <v>244</v>
      </c>
      <c r="G3319" s="18" t="s">
        <v>82</v>
      </c>
      <c r="H3319" s="18" t="s">
        <v>83</v>
      </c>
      <c r="I3319" s="18" t="s">
        <v>317</v>
      </c>
      <c r="J3319" s="18" t="s">
        <v>200</v>
      </c>
      <c r="K3319" s="18" t="s">
        <v>250</v>
      </c>
      <c r="L3319" s="18"/>
      <c r="M3319" s="18" t="s">
        <v>251</v>
      </c>
      <c r="N3319" s="18" t="s">
        <v>2427</v>
      </c>
    </row>
    <row r="3320" spans="1:14" hidden="1" x14ac:dyDescent="0.25">
      <c r="A3320" s="17">
        <v>45870</v>
      </c>
      <c r="B3320" s="18" t="s">
        <v>97</v>
      </c>
      <c r="C3320" s="18">
        <v>37</v>
      </c>
      <c r="D3320" s="18" t="s">
        <v>291</v>
      </c>
      <c r="E3320" s="18" t="s">
        <v>2361</v>
      </c>
      <c r="F3320" s="18" t="s">
        <v>244</v>
      </c>
      <c r="G3320" s="18" t="s">
        <v>82</v>
      </c>
      <c r="H3320" s="18" t="s">
        <v>83</v>
      </c>
      <c r="I3320" s="18" t="s">
        <v>503</v>
      </c>
      <c r="J3320" s="18" t="s">
        <v>200</v>
      </c>
      <c r="K3320" s="18" t="s">
        <v>250</v>
      </c>
      <c r="L3320" s="18"/>
      <c r="M3320" s="18" t="s">
        <v>251</v>
      </c>
      <c r="N3320" s="18" t="s">
        <v>1971</v>
      </c>
    </row>
    <row r="3321" spans="1:14" hidden="1" x14ac:dyDescent="0.25">
      <c r="A3321" s="17">
        <v>45870</v>
      </c>
      <c r="B3321" s="18" t="s">
        <v>97</v>
      </c>
      <c r="C3321" s="18">
        <v>37</v>
      </c>
      <c r="D3321" s="18" t="s">
        <v>291</v>
      </c>
      <c r="E3321" s="18" t="s">
        <v>2361</v>
      </c>
      <c r="F3321" s="18" t="s">
        <v>244</v>
      </c>
      <c r="G3321" s="18" t="s">
        <v>82</v>
      </c>
      <c r="H3321" s="18" t="s">
        <v>83</v>
      </c>
      <c r="I3321" s="18" t="s">
        <v>497</v>
      </c>
      <c r="J3321" s="18" t="s">
        <v>200</v>
      </c>
      <c r="K3321" s="18" t="s">
        <v>250</v>
      </c>
      <c r="L3321" s="18"/>
      <c r="M3321" s="18" t="s">
        <v>251</v>
      </c>
      <c r="N3321" s="18" t="s">
        <v>2428</v>
      </c>
    </row>
    <row r="3322" spans="1:14" hidden="1" x14ac:dyDescent="0.25">
      <c r="A3322" s="17">
        <v>45870</v>
      </c>
      <c r="B3322" s="18" t="s">
        <v>97</v>
      </c>
      <c r="C3322" s="18">
        <v>37</v>
      </c>
      <c r="D3322" s="18" t="s">
        <v>291</v>
      </c>
      <c r="E3322" s="18" t="s">
        <v>2361</v>
      </c>
      <c r="F3322" s="18" t="s">
        <v>244</v>
      </c>
      <c r="G3322" s="18" t="s">
        <v>82</v>
      </c>
      <c r="H3322" s="18" t="s">
        <v>83</v>
      </c>
      <c r="I3322" s="18" t="s">
        <v>2413</v>
      </c>
      <c r="J3322" s="18" t="s">
        <v>200</v>
      </c>
      <c r="K3322" s="18" t="s">
        <v>250</v>
      </c>
      <c r="L3322" s="18"/>
      <c r="M3322" s="18" t="s">
        <v>251</v>
      </c>
      <c r="N3322" s="18" t="s">
        <v>2429</v>
      </c>
    </row>
    <row r="3323" spans="1:14" hidden="1" x14ac:dyDescent="0.25">
      <c r="A3323" s="17">
        <v>45870</v>
      </c>
      <c r="B3323" s="18" t="s">
        <v>97</v>
      </c>
      <c r="C3323" s="18">
        <v>37</v>
      </c>
      <c r="D3323" s="18" t="s">
        <v>291</v>
      </c>
      <c r="E3323" s="18" t="s">
        <v>2361</v>
      </c>
      <c r="F3323" s="18" t="s">
        <v>244</v>
      </c>
      <c r="G3323" s="18" t="s">
        <v>82</v>
      </c>
      <c r="H3323" s="18" t="s">
        <v>83</v>
      </c>
      <c r="I3323" s="18" t="s">
        <v>2414</v>
      </c>
      <c r="J3323" s="18" t="s">
        <v>200</v>
      </c>
      <c r="K3323" s="18" t="s">
        <v>250</v>
      </c>
      <c r="L3323" s="18"/>
      <c r="M3323" s="18" t="s">
        <v>251</v>
      </c>
      <c r="N3323" s="18" t="s">
        <v>2430</v>
      </c>
    </row>
    <row r="3324" spans="1:14" hidden="1" x14ac:dyDescent="0.25">
      <c r="A3324" s="17">
        <v>45870</v>
      </c>
      <c r="B3324" s="18" t="s">
        <v>97</v>
      </c>
      <c r="C3324" s="18">
        <v>37</v>
      </c>
      <c r="D3324" s="18" t="s">
        <v>291</v>
      </c>
      <c r="E3324" s="18" t="s">
        <v>2361</v>
      </c>
      <c r="F3324" s="18" t="s">
        <v>244</v>
      </c>
      <c r="G3324" s="18" t="s">
        <v>82</v>
      </c>
      <c r="H3324" s="18" t="s">
        <v>84</v>
      </c>
      <c r="I3324" s="18" t="s">
        <v>319</v>
      </c>
      <c r="J3324" s="18" t="s">
        <v>200</v>
      </c>
      <c r="K3324" s="18" t="s">
        <v>250</v>
      </c>
      <c r="L3324" s="18"/>
      <c r="M3324" s="18" t="s">
        <v>251</v>
      </c>
      <c r="N3324" s="18" t="s">
        <v>2431</v>
      </c>
    </row>
    <row r="3325" spans="1:14" hidden="1" x14ac:dyDescent="0.25">
      <c r="A3325" s="17">
        <v>45870</v>
      </c>
      <c r="B3325" s="18" t="s">
        <v>97</v>
      </c>
      <c r="C3325" s="18">
        <v>37</v>
      </c>
      <c r="D3325" s="18" t="s">
        <v>291</v>
      </c>
      <c r="E3325" s="18" t="s">
        <v>2361</v>
      </c>
      <c r="F3325" s="18" t="s">
        <v>244</v>
      </c>
      <c r="G3325" s="18" t="s">
        <v>82</v>
      </c>
      <c r="H3325" s="18" t="s">
        <v>84</v>
      </c>
      <c r="I3325" s="18" t="s">
        <v>321</v>
      </c>
      <c r="J3325" s="18" t="s">
        <v>200</v>
      </c>
      <c r="K3325" s="18" t="s">
        <v>250</v>
      </c>
      <c r="L3325" s="18"/>
      <c r="M3325" s="18" t="s">
        <v>251</v>
      </c>
      <c r="N3325" s="18" t="s">
        <v>2432</v>
      </c>
    </row>
    <row r="3326" spans="1:14" hidden="1" x14ac:dyDescent="0.25">
      <c r="A3326" s="17">
        <v>45870</v>
      </c>
      <c r="B3326" s="18" t="s">
        <v>97</v>
      </c>
      <c r="C3326" s="18">
        <v>37</v>
      </c>
      <c r="D3326" s="18" t="s">
        <v>291</v>
      </c>
      <c r="E3326" s="18" t="s">
        <v>2361</v>
      </c>
      <c r="F3326" s="18" t="s">
        <v>244</v>
      </c>
      <c r="G3326" s="18" t="s">
        <v>82</v>
      </c>
      <c r="H3326" s="18" t="s">
        <v>106</v>
      </c>
      <c r="I3326" s="18" t="s">
        <v>493</v>
      </c>
      <c r="J3326" s="18" t="s">
        <v>200</v>
      </c>
      <c r="K3326" s="18" t="s">
        <v>250</v>
      </c>
      <c r="L3326" s="18"/>
      <c r="M3326" s="18" t="s">
        <v>251</v>
      </c>
      <c r="N3326" s="18" t="s">
        <v>2433</v>
      </c>
    </row>
    <row r="3327" spans="1:14" hidden="1" x14ac:dyDescent="0.25">
      <c r="A3327" s="17">
        <v>45870</v>
      </c>
      <c r="B3327" s="18" t="s">
        <v>97</v>
      </c>
      <c r="C3327" s="18">
        <v>37</v>
      </c>
      <c r="D3327" s="18" t="s">
        <v>291</v>
      </c>
      <c r="E3327" s="18" t="s">
        <v>2361</v>
      </c>
      <c r="F3327" s="18" t="s">
        <v>244</v>
      </c>
      <c r="G3327" s="18" t="s">
        <v>82</v>
      </c>
      <c r="H3327" s="18" t="s">
        <v>106</v>
      </c>
      <c r="I3327" s="18" t="s">
        <v>491</v>
      </c>
      <c r="J3327" s="18" t="s">
        <v>200</v>
      </c>
      <c r="K3327" s="18" t="s">
        <v>250</v>
      </c>
      <c r="L3327" s="18"/>
      <c r="M3327" s="18" t="s">
        <v>251</v>
      </c>
      <c r="N3327" s="18" t="s">
        <v>2434</v>
      </c>
    </row>
    <row r="3328" spans="1:14" hidden="1" x14ac:dyDescent="0.25">
      <c r="A3328" s="17">
        <v>45870</v>
      </c>
      <c r="B3328" s="18" t="s">
        <v>97</v>
      </c>
      <c r="C3328" s="18">
        <v>37</v>
      </c>
      <c r="D3328" s="18" t="s">
        <v>291</v>
      </c>
      <c r="E3328" s="18" t="s">
        <v>2361</v>
      </c>
      <c r="F3328" s="18" t="s">
        <v>244</v>
      </c>
      <c r="G3328" s="18" t="s">
        <v>82</v>
      </c>
      <c r="H3328" s="18" t="s">
        <v>105</v>
      </c>
      <c r="I3328" s="18" t="s">
        <v>493</v>
      </c>
      <c r="J3328" s="18" t="s">
        <v>200</v>
      </c>
      <c r="K3328" s="18" t="s">
        <v>250</v>
      </c>
      <c r="L3328" s="18"/>
      <c r="M3328" s="18" t="s">
        <v>251</v>
      </c>
      <c r="N3328" s="18" t="s">
        <v>2435</v>
      </c>
    </row>
    <row r="3329" spans="1:14" hidden="1" x14ac:dyDescent="0.25">
      <c r="A3329" s="17">
        <v>45870</v>
      </c>
      <c r="B3329" s="18" t="s">
        <v>97</v>
      </c>
      <c r="C3329" s="18">
        <v>37</v>
      </c>
      <c r="D3329" s="18" t="s">
        <v>291</v>
      </c>
      <c r="E3329" s="18" t="s">
        <v>2361</v>
      </c>
      <c r="F3329" s="18" t="s">
        <v>244</v>
      </c>
      <c r="G3329" s="18" t="s">
        <v>82</v>
      </c>
      <c r="H3329" s="18" t="s">
        <v>105</v>
      </c>
      <c r="I3329" s="18" t="s">
        <v>491</v>
      </c>
      <c r="J3329" s="18" t="s">
        <v>200</v>
      </c>
      <c r="K3329" s="18" t="s">
        <v>250</v>
      </c>
      <c r="L3329" s="18"/>
      <c r="M3329" s="18" t="s">
        <v>251</v>
      </c>
      <c r="N3329" s="18" t="s">
        <v>2436</v>
      </c>
    </row>
    <row r="3330" spans="1:14" hidden="1" x14ac:dyDescent="0.25">
      <c r="A3330" s="17">
        <v>45870</v>
      </c>
      <c r="B3330" s="18" t="s">
        <v>97</v>
      </c>
      <c r="C3330" s="18">
        <v>38</v>
      </c>
      <c r="D3330" s="18" t="s">
        <v>253</v>
      </c>
      <c r="E3330" s="18" t="s">
        <v>2359</v>
      </c>
      <c r="F3330" s="18" t="s">
        <v>334</v>
      </c>
      <c r="G3330" s="18" t="s">
        <v>82</v>
      </c>
      <c r="H3330" s="18"/>
      <c r="I3330" s="18"/>
      <c r="J3330" s="18" t="s">
        <v>200</v>
      </c>
      <c r="K3330" s="18" t="s">
        <v>255</v>
      </c>
      <c r="L3330" s="18">
        <v>61</v>
      </c>
      <c r="M3330" s="18" t="s">
        <v>245</v>
      </c>
      <c r="N3330" s="18" t="s">
        <v>2437</v>
      </c>
    </row>
    <row r="3331" spans="1:14" hidden="1" x14ac:dyDescent="0.25">
      <c r="A3331" s="17">
        <v>45870</v>
      </c>
      <c r="B3331" s="18" t="s">
        <v>97</v>
      </c>
      <c r="C3331" s="18">
        <v>39</v>
      </c>
      <c r="D3331" s="18" t="s">
        <v>291</v>
      </c>
      <c r="E3331" s="18" t="s">
        <v>2361</v>
      </c>
      <c r="F3331" s="18" t="s">
        <v>428</v>
      </c>
      <c r="G3331" s="18" t="s">
        <v>82</v>
      </c>
      <c r="H3331" s="18" t="s">
        <v>95</v>
      </c>
      <c r="I3331" s="18"/>
      <c r="J3331" s="18" t="s">
        <v>200</v>
      </c>
      <c r="K3331" s="18" t="s">
        <v>250</v>
      </c>
      <c r="L3331" s="18">
        <v>3340000</v>
      </c>
      <c r="M3331" s="18" t="s">
        <v>242</v>
      </c>
      <c r="N3331" s="18" t="s">
        <v>2438</v>
      </c>
    </row>
    <row r="3332" spans="1:14" hidden="1" x14ac:dyDescent="0.25">
      <c r="A3332" s="17">
        <v>45870</v>
      </c>
      <c r="B3332" s="18" t="s">
        <v>97</v>
      </c>
      <c r="C3332" s="18">
        <v>39</v>
      </c>
      <c r="D3332" s="18" t="s">
        <v>291</v>
      </c>
      <c r="E3332" s="18" t="s">
        <v>2361</v>
      </c>
      <c r="F3332" s="18" t="s">
        <v>428</v>
      </c>
      <c r="G3332" s="18" t="s">
        <v>82</v>
      </c>
      <c r="H3332" s="18" t="s">
        <v>94</v>
      </c>
      <c r="I3332" s="18"/>
      <c r="J3332" s="18" t="s">
        <v>200</v>
      </c>
      <c r="K3332" s="18" t="s">
        <v>250</v>
      </c>
      <c r="L3332" s="18">
        <v>2300000</v>
      </c>
      <c r="M3332" s="18" t="s">
        <v>242</v>
      </c>
      <c r="N3332" s="18" t="s">
        <v>2439</v>
      </c>
    </row>
    <row r="3333" spans="1:14" hidden="1" x14ac:dyDescent="0.25">
      <c r="A3333" s="17">
        <v>45870</v>
      </c>
      <c r="B3333" s="18" t="s">
        <v>97</v>
      </c>
      <c r="C3333" s="18">
        <v>40</v>
      </c>
      <c r="D3333" s="18" t="s">
        <v>291</v>
      </c>
      <c r="E3333" s="18" t="s">
        <v>2361</v>
      </c>
      <c r="F3333" s="18" t="s">
        <v>445</v>
      </c>
      <c r="G3333" s="18" t="s">
        <v>82</v>
      </c>
      <c r="H3333" s="18" t="s">
        <v>95</v>
      </c>
      <c r="I3333" s="18"/>
      <c r="J3333" s="18" t="s">
        <v>200</v>
      </c>
      <c r="K3333" s="18" t="s">
        <v>250</v>
      </c>
      <c r="L3333" s="18">
        <v>122300000</v>
      </c>
      <c r="M3333" s="18" t="s">
        <v>245</v>
      </c>
      <c r="N3333" s="18" t="s">
        <v>2440</v>
      </c>
    </row>
    <row r="3334" spans="1:14" hidden="1" x14ac:dyDescent="0.25">
      <c r="A3334" s="17">
        <v>45870</v>
      </c>
      <c r="B3334" s="18" t="s">
        <v>97</v>
      </c>
      <c r="C3334" s="18">
        <v>40</v>
      </c>
      <c r="D3334" s="18" t="s">
        <v>291</v>
      </c>
      <c r="E3334" s="18" t="s">
        <v>2361</v>
      </c>
      <c r="F3334" s="18" t="s">
        <v>445</v>
      </c>
      <c r="G3334" s="18" t="s">
        <v>82</v>
      </c>
      <c r="H3334" s="18" t="s">
        <v>94</v>
      </c>
      <c r="I3334" s="18"/>
      <c r="J3334" s="18" t="s">
        <v>200</v>
      </c>
      <c r="K3334" s="18" t="s">
        <v>250</v>
      </c>
      <c r="L3334" s="18">
        <v>95800000</v>
      </c>
      <c r="M3334" s="18" t="s">
        <v>245</v>
      </c>
      <c r="N3334" s="18" t="s">
        <v>2441</v>
      </c>
    </row>
    <row r="3335" spans="1:14" hidden="1" x14ac:dyDescent="0.25">
      <c r="A3335" s="17">
        <v>45870</v>
      </c>
      <c r="B3335" s="18" t="s">
        <v>162</v>
      </c>
      <c r="C3335" s="18">
        <v>42</v>
      </c>
      <c r="D3335" s="18" t="s">
        <v>238</v>
      </c>
      <c r="E3335" s="18" t="s">
        <v>2341</v>
      </c>
      <c r="F3335" s="18" t="s">
        <v>240</v>
      </c>
      <c r="G3335" s="18" t="s">
        <v>82</v>
      </c>
      <c r="H3335" s="18"/>
      <c r="I3335" s="18"/>
      <c r="J3335" s="18" t="s">
        <v>2357</v>
      </c>
      <c r="K3335" s="18" t="s">
        <v>241</v>
      </c>
      <c r="L3335" s="18">
        <v>163110000</v>
      </c>
      <c r="M3335" s="18" t="s">
        <v>242</v>
      </c>
      <c r="N3335" s="18" t="s">
        <v>2442</v>
      </c>
    </row>
    <row r="3336" spans="1:14" hidden="1" x14ac:dyDescent="0.25">
      <c r="A3336" s="17">
        <v>45870</v>
      </c>
      <c r="B3336" s="18" t="s">
        <v>162</v>
      </c>
      <c r="C3336" s="18">
        <v>42</v>
      </c>
      <c r="D3336" s="18" t="s">
        <v>238</v>
      </c>
      <c r="E3336" s="18" t="s">
        <v>2341</v>
      </c>
      <c r="F3336" s="18" t="s">
        <v>244</v>
      </c>
      <c r="G3336" s="18" t="s">
        <v>82</v>
      </c>
      <c r="H3336" s="18"/>
      <c r="I3336" s="18"/>
      <c r="J3336" s="18" t="s">
        <v>2357</v>
      </c>
      <c r="K3336" s="18" t="s">
        <v>241</v>
      </c>
      <c r="L3336" s="18">
        <v>16770000000</v>
      </c>
      <c r="M3336" s="18" t="s">
        <v>245</v>
      </c>
      <c r="N3336" s="18" t="s">
        <v>2443</v>
      </c>
    </row>
    <row r="3337" spans="1:14" hidden="1" x14ac:dyDescent="0.25">
      <c r="A3337" s="17">
        <v>45870</v>
      </c>
      <c r="B3337" s="18" t="s">
        <v>162</v>
      </c>
      <c r="C3337" s="18">
        <v>43</v>
      </c>
      <c r="D3337" s="18" t="s">
        <v>253</v>
      </c>
      <c r="E3337" s="18" t="s">
        <v>2359</v>
      </c>
      <c r="F3337" s="18" t="s">
        <v>1194</v>
      </c>
      <c r="G3337" s="18" t="s">
        <v>82</v>
      </c>
      <c r="H3337" s="18"/>
      <c r="I3337" s="18"/>
      <c r="J3337" s="18" t="s">
        <v>200</v>
      </c>
      <c r="K3337" s="18" t="s">
        <v>255</v>
      </c>
      <c r="L3337" s="18">
        <v>25210000</v>
      </c>
      <c r="M3337" s="18" t="s">
        <v>242</v>
      </c>
      <c r="N3337" s="18" t="s">
        <v>2444</v>
      </c>
    </row>
    <row r="3338" spans="1:14" hidden="1" x14ac:dyDescent="0.25">
      <c r="A3338" s="17">
        <v>45870</v>
      </c>
      <c r="B3338" s="18" t="s">
        <v>162</v>
      </c>
      <c r="C3338" s="18">
        <v>44</v>
      </c>
      <c r="D3338" s="18" t="s">
        <v>291</v>
      </c>
      <c r="E3338" s="18" t="s">
        <v>2361</v>
      </c>
      <c r="F3338" s="18" t="s">
        <v>2445</v>
      </c>
      <c r="G3338" s="18" t="s">
        <v>82</v>
      </c>
      <c r="H3338" s="18" t="s">
        <v>2446</v>
      </c>
      <c r="I3338" s="18" t="s">
        <v>2447</v>
      </c>
      <c r="J3338" s="18" t="s">
        <v>200</v>
      </c>
      <c r="K3338" s="18" t="s">
        <v>250</v>
      </c>
      <c r="L3338" s="18">
        <v>10960000</v>
      </c>
      <c r="M3338" s="18" t="s">
        <v>242</v>
      </c>
      <c r="N3338" s="18" t="s">
        <v>2448</v>
      </c>
    </row>
    <row r="3339" spans="1:14" hidden="1" x14ac:dyDescent="0.25">
      <c r="A3339" s="17">
        <v>45870</v>
      </c>
      <c r="B3339" s="18" t="s">
        <v>162</v>
      </c>
      <c r="C3339" s="18">
        <v>44</v>
      </c>
      <c r="D3339" s="18" t="s">
        <v>291</v>
      </c>
      <c r="E3339" s="18" t="s">
        <v>2361</v>
      </c>
      <c r="F3339" s="18" t="s">
        <v>2445</v>
      </c>
      <c r="G3339" s="18" t="s">
        <v>82</v>
      </c>
      <c r="H3339" s="18" t="s">
        <v>2449</v>
      </c>
      <c r="I3339" s="18" t="s">
        <v>2447</v>
      </c>
      <c r="J3339" s="18" t="s">
        <v>200</v>
      </c>
      <c r="K3339" s="18" t="s">
        <v>250</v>
      </c>
      <c r="L3339" s="18">
        <v>3040000</v>
      </c>
      <c r="M3339" s="18" t="s">
        <v>242</v>
      </c>
      <c r="N3339" s="18" t="s">
        <v>2450</v>
      </c>
    </row>
    <row r="3340" spans="1:14" hidden="1" x14ac:dyDescent="0.25">
      <c r="A3340" s="17">
        <v>45870</v>
      </c>
      <c r="B3340" s="18" t="s">
        <v>162</v>
      </c>
      <c r="C3340" s="18">
        <v>44</v>
      </c>
      <c r="D3340" s="18" t="s">
        <v>291</v>
      </c>
      <c r="E3340" s="18" t="s">
        <v>2361</v>
      </c>
      <c r="F3340" s="18" t="s">
        <v>2445</v>
      </c>
      <c r="G3340" s="18" t="s">
        <v>82</v>
      </c>
      <c r="H3340" s="18" t="s">
        <v>2446</v>
      </c>
      <c r="I3340" s="18" t="s">
        <v>2451</v>
      </c>
      <c r="J3340" s="18" t="s">
        <v>200</v>
      </c>
      <c r="K3340" s="18" t="s">
        <v>250</v>
      </c>
      <c r="L3340" s="18">
        <v>4790000</v>
      </c>
      <c r="M3340" s="18" t="s">
        <v>242</v>
      </c>
      <c r="N3340" s="18" t="s">
        <v>2452</v>
      </c>
    </row>
    <row r="3341" spans="1:14" hidden="1" x14ac:dyDescent="0.25">
      <c r="A3341" s="17">
        <v>45870</v>
      </c>
      <c r="B3341" s="18" t="s">
        <v>162</v>
      </c>
      <c r="C3341" s="18">
        <v>44</v>
      </c>
      <c r="D3341" s="18" t="s">
        <v>291</v>
      </c>
      <c r="E3341" s="18" t="s">
        <v>2361</v>
      </c>
      <c r="F3341" s="18" t="s">
        <v>2445</v>
      </c>
      <c r="G3341" s="18" t="s">
        <v>82</v>
      </c>
      <c r="H3341" s="18" t="s">
        <v>2449</v>
      </c>
      <c r="I3341" s="18" t="s">
        <v>2451</v>
      </c>
      <c r="J3341" s="18" t="s">
        <v>200</v>
      </c>
      <c r="K3341" s="18" t="s">
        <v>250</v>
      </c>
      <c r="L3341" s="18">
        <v>6270000</v>
      </c>
      <c r="M3341" s="18" t="s">
        <v>242</v>
      </c>
      <c r="N3341" s="18" t="s">
        <v>2453</v>
      </c>
    </row>
    <row r="3342" spans="1:14" hidden="1" x14ac:dyDescent="0.25">
      <c r="A3342" s="17">
        <v>45870</v>
      </c>
      <c r="B3342" s="18" t="s">
        <v>162</v>
      </c>
      <c r="C3342" s="18">
        <v>44</v>
      </c>
      <c r="D3342" s="18" t="s">
        <v>291</v>
      </c>
      <c r="E3342" s="18" t="s">
        <v>2361</v>
      </c>
      <c r="F3342" s="18" t="s">
        <v>2445</v>
      </c>
      <c r="G3342" s="18" t="s">
        <v>82</v>
      </c>
      <c r="H3342" s="18" t="s">
        <v>2446</v>
      </c>
      <c r="I3342" s="18" t="s">
        <v>2454</v>
      </c>
      <c r="J3342" s="18" t="s">
        <v>200</v>
      </c>
      <c r="K3342" s="18" t="s">
        <v>250</v>
      </c>
      <c r="L3342" s="18">
        <v>14620</v>
      </c>
      <c r="M3342" s="18" t="s">
        <v>242</v>
      </c>
      <c r="N3342" s="18" t="s">
        <v>2455</v>
      </c>
    </row>
    <row r="3343" spans="1:14" hidden="1" x14ac:dyDescent="0.25">
      <c r="A3343" s="17">
        <v>45870</v>
      </c>
      <c r="B3343" s="18" t="s">
        <v>162</v>
      </c>
      <c r="C3343" s="18">
        <v>44</v>
      </c>
      <c r="D3343" s="18" t="s">
        <v>291</v>
      </c>
      <c r="E3343" s="18" t="s">
        <v>2361</v>
      </c>
      <c r="F3343" s="18" t="s">
        <v>2445</v>
      </c>
      <c r="G3343" s="18" t="s">
        <v>82</v>
      </c>
      <c r="H3343" s="18" t="s">
        <v>2449</v>
      </c>
      <c r="I3343" s="18" t="s">
        <v>2454</v>
      </c>
      <c r="J3343" s="18" t="s">
        <v>200</v>
      </c>
      <c r="K3343" s="18" t="s">
        <v>250</v>
      </c>
      <c r="L3343" s="18">
        <v>135360</v>
      </c>
      <c r="M3343" s="18" t="s">
        <v>242</v>
      </c>
      <c r="N3343" s="18" t="s">
        <v>2456</v>
      </c>
    </row>
    <row r="3344" spans="1:14" hidden="1" x14ac:dyDescent="0.25">
      <c r="A3344" s="17">
        <v>45870</v>
      </c>
      <c r="B3344" s="18" t="s">
        <v>162</v>
      </c>
      <c r="C3344" s="18">
        <v>45</v>
      </c>
      <c r="D3344" s="18" t="s">
        <v>253</v>
      </c>
      <c r="E3344" s="18" t="s">
        <v>2359</v>
      </c>
      <c r="F3344" s="18" t="s">
        <v>2457</v>
      </c>
      <c r="G3344" s="18" t="s">
        <v>82</v>
      </c>
      <c r="H3344" s="18"/>
      <c r="I3344" s="18"/>
      <c r="J3344" s="18" t="s">
        <v>200</v>
      </c>
      <c r="K3344" s="18" t="s">
        <v>255</v>
      </c>
      <c r="L3344" s="18">
        <v>20920000</v>
      </c>
      <c r="M3344" s="18" t="s">
        <v>242</v>
      </c>
      <c r="N3344" s="18" t="s">
        <v>2458</v>
      </c>
    </row>
    <row r="3345" spans="1:14" hidden="1" x14ac:dyDescent="0.25">
      <c r="A3345" s="17">
        <v>45870</v>
      </c>
      <c r="B3345" s="18" t="s">
        <v>162</v>
      </c>
      <c r="C3345" s="18">
        <v>45</v>
      </c>
      <c r="D3345" s="18" t="s">
        <v>253</v>
      </c>
      <c r="E3345" s="18" t="s">
        <v>2359</v>
      </c>
      <c r="F3345" s="18" t="s">
        <v>2457</v>
      </c>
      <c r="G3345" s="18" t="s">
        <v>82</v>
      </c>
      <c r="H3345" s="18"/>
      <c r="I3345" s="18"/>
      <c r="J3345" s="18" t="s">
        <v>198</v>
      </c>
      <c r="K3345" s="18" t="s">
        <v>255</v>
      </c>
      <c r="L3345" s="18">
        <v>18360000</v>
      </c>
      <c r="M3345" s="18" t="s">
        <v>242</v>
      </c>
      <c r="N3345" s="18" t="s">
        <v>2103</v>
      </c>
    </row>
    <row r="3346" spans="1:14" hidden="1" x14ac:dyDescent="0.25">
      <c r="A3346" s="17">
        <v>45870</v>
      </c>
      <c r="B3346" s="18" t="s">
        <v>162</v>
      </c>
      <c r="C3346" s="18">
        <v>46</v>
      </c>
      <c r="D3346" s="18" t="s">
        <v>291</v>
      </c>
      <c r="E3346" s="18" t="s">
        <v>2361</v>
      </c>
      <c r="F3346" s="18" t="s">
        <v>2457</v>
      </c>
      <c r="G3346" s="18" t="s">
        <v>82</v>
      </c>
      <c r="H3346" s="18" t="s">
        <v>95</v>
      </c>
      <c r="I3346" s="18"/>
      <c r="J3346" s="18" t="s">
        <v>200</v>
      </c>
      <c r="K3346" s="18" t="s">
        <v>250</v>
      </c>
      <c r="L3346" s="18">
        <v>5720000</v>
      </c>
      <c r="M3346" s="18" t="s">
        <v>242</v>
      </c>
      <c r="N3346" s="18" t="s">
        <v>424</v>
      </c>
    </row>
    <row r="3347" spans="1:14" hidden="1" x14ac:dyDescent="0.25">
      <c r="A3347" s="17">
        <v>45870</v>
      </c>
      <c r="B3347" s="18" t="s">
        <v>162</v>
      </c>
      <c r="C3347" s="18">
        <v>46</v>
      </c>
      <c r="D3347" s="18" t="s">
        <v>291</v>
      </c>
      <c r="E3347" s="18" t="s">
        <v>2361</v>
      </c>
      <c r="F3347" s="18" t="s">
        <v>2457</v>
      </c>
      <c r="G3347" s="18" t="s">
        <v>82</v>
      </c>
      <c r="H3347" s="18" t="s">
        <v>94</v>
      </c>
      <c r="I3347" s="18"/>
      <c r="J3347" s="18" t="s">
        <v>200</v>
      </c>
      <c r="K3347" s="18" t="s">
        <v>250</v>
      </c>
      <c r="L3347" s="18">
        <v>15190000</v>
      </c>
      <c r="M3347" s="18" t="s">
        <v>242</v>
      </c>
      <c r="N3347" s="18" t="s">
        <v>2459</v>
      </c>
    </row>
    <row r="3348" spans="1:14" hidden="1" x14ac:dyDescent="0.25">
      <c r="A3348" s="17">
        <v>45870</v>
      </c>
      <c r="B3348" s="18" t="s">
        <v>162</v>
      </c>
      <c r="C3348" s="18">
        <v>47</v>
      </c>
      <c r="D3348" s="18" t="s">
        <v>291</v>
      </c>
      <c r="E3348" s="18" t="s">
        <v>2361</v>
      </c>
      <c r="F3348" s="18" t="s">
        <v>2460</v>
      </c>
      <c r="G3348" s="18" t="s">
        <v>82</v>
      </c>
      <c r="H3348" s="18" t="s">
        <v>174</v>
      </c>
      <c r="I3348" s="18"/>
      <c r="J3348" s="18" t="s">
        <v>200</v>
      </c>
      <c r="K3348" s="18" t="s">
        <v>250</v>
      </c>
      <c r="L3348" s="18">
        <v>2770000</v>
      </c>
      <c r="M3348" s="18" t="s">
        <v>242</v>
      </c>
      <c r="N3348" s="18" t="s">
        <v>1030</v>
      </c>
    </row>
    <row r="3349" spans="1:14" hidden="1" x14ac:dyDescent="0.25">
      <c r="A3349" s="17">
        <v>45870</v>
      </c>
      <c r="B3349" s="18" t="s">
        <v>162</v>
      </c>
      <c r="C3349" s="18">
        <v>47</v>
      </c>
      <c r="D3349" s="18" t="s">
        <v>291</v>
      </c>
      <c r="E3349" s="18" t="s">
        <v>2361</v>
      </c>
      <c r="F3349" s="18" t="s">
        <v>2460</v>
      </c>
      <c r="G3349" s="18" t="s">
        <v>82</v>
      </c>
      <c r="H3349" s="18" t="s">
        <v>173</v>
      </c>
      <c r="I3349" s="18"/>
      <c r="J3349" s="18" t="s">
        <v>200</v>
      </c>
      <c r="K3349" s="18" t="s">
        <v>250</v>
      </c>
      <c r="L3349" s="18">
        <v>3700000</v>
      </c>
      <c r="M3349" s="18" t="s">
        <v>242</v>
      </c>
      <c r="N3349" s="18" t="s">
        <v>2461</v>
      </c>
    </row>
    <row r="3350" spans="1:14" hidden="1" x14ac:dyDescent="0.25">
      <c r="A3350" s="17">
        <v>45870</v>
      </c>
      <c r="B3350" s="18" t="s">
        <v>162</v>
      </c>
      <c r="C3350" s="18">
        <v>48</v>
      </c>
      <c r="D3350" s="18" t="s">
        <v>253</v>
      </c>
      <c r="E3350" s="18" t="s">
        <v>2359</v>
      </c>
      <c r="F3350" s="18" t="s">
        <v>1196</v>
      </c>
      <c r="G3350" s="18" t="s">
        <v>82</v>
      </c>
      <c r="H3350" s="18"/>
      <c r="I3350" s="18"/>
      <c r="J3350" s="18" t="s">
        <v>200</v>
      </c>
      <c r="K3350" s="18" t="s">
        <v>255</v>
      </c>
      <c r="L3350" s="18">
        <v>2450000000</v>
      </c>
      <c r="M3350" s="18" t="s">
        <v>245</v>
      </c>
      <c r="N3350" s="18" t="s">
        <v>2273</v>
      </c>
    </row>
    <row r="3351" spans="1:14" hidden="1" x14ac:dyDescent="0.25">
      <c r="A3351" s="17">
        <v>45870</v>
      </c>
      <c r="B3351" s="18" t="s">
        <v>162</v>
      </c>
      <c r="C3351" s="18">
        <v>48</v>
      </c>
      <c r="D3351" s="18" t="s">
        <v>253</v>
      </c>
      <c r="E3351" s="18" t="s">
        <v>2359</v>
      </c>
      <c r="F3351" s="18" t="s">
        <v>1196</v>
      </c>
      <c r="G3351" s="18" t="s">
        <v>82</v>
      </c>
      <c r="H3351" s="18"/>
      <c r="I3351" s="18"/>
      <c r="J3351" s="18" t="s">
        <v>198</v>
      </c>
      <c r="K3351" s="18" t="s">
        <v>255</v>
      </c>
      <c r="L3351" s="18">
        <v>2120000000</v>
      </c>
      <c r="M3351" s="18" t="s">
        <v>245</v>
      </c>
      <c r="N3351" s="18" t="s">
        <v>2107</v>
      </c>
    </row>
    <row r="3352" spans="1:14" hidden="1" x14ac:dyDescent="0.25">
      <c r="A3352" s="17">
        <v>45870</v>
      </c>
      <c r="B3352" s="18" t="s">
        <v>162</v>
      </c>
      <c r="C3352" s="18">
        <v>49</v>
      </c>
      <c r="D3352" s="18" t="s">
        <v>291</v>
      </c>
      <c r="E3352" s="18" t="s">
        <v>2361</v>
      </c>
      <c r="F3352" s="18" t="s">
        <v>2462</v>
      </c>
      <c r="G3352" s="18" t="s">
        <v>82</v>
      </c>
      <c r="H3352" s="18" t="s">
        <v>2446</v>
      </c>
      <c r="I3352" s="18" t="s">
        <v>2447</v>
      </c>
      <c r="J3352" s="18" t="s">
        <v>200</v>
      </c>
      <c r="K3352" s="18" t="s">
        <v>250</v>
      </c>
      <c r="L3352" s="18">
        <v>1610000000</v>
      </c>
      <c r="M3352" s="18" t="s">
        <v>245</v>
      </c>
      <c r="N3352" s="18" t="s">
        <v>2463</v>
      </c>
    </row>
    <row r="3353" spans="1:14" hidden="1" x14ac:dyDescent="0.25">
      <c r="A3353" s="17">
        <v>45870</v>
      </c>
      <c r="B3353" s="18" t="s">
        <v>162</v>
      </c>
      <c r="C3353" s="18">
        <v>49</v>
      </c>
      <c r="D3353" s="18" t="s">
        <v>291</v>
      </c>
      <c r="E3353" s="18" t="s">
        <v>2361</v>
      </c>
      <c r="F3353" s="18" t="s">
        <v>2462</v>
      </c>
      <c r="G3353" s="18" t="s">
        <v>82</v>
      </c>
      <c r="H3353" s="18" t="s">
        <v>2449</v>
      </c>
      <c r="I3353" s="18" t="s">
        <v>2447</v>
      </c>
      <c r="J3353" s="18" t="s">
        <v>200</v>
      </c>
      <c r="K3353" s="18" t="s">
        <v>250</v>
      </c>
      <c r="L3353" s="18">
        <v>298700000</v>
      </c>
      <c r="M3353" s="18" t="s">
        <v>245</v>
      </c>
      <c r="N3353" s="18" t="s">
        <v>2464</v>
      </c>
    </row>
    <row r="3354" spans="1:14" hidden="1" x14ac:dyDescent="0.25">
      <c r="A3354" s="17">
        <v>45870</v>
      </c>
      <c r="B3354" s="18" t="s">
        <v>162</v>
      </c>
      <c r="C3354" s="18">
        <v>49</v>
      </c>
      <c r="D3354" s="18" t="s">
        <v>291</v>
      </c>
      <c r="E3354" s="18" t="s">
        <v>2361</v>
      </c>
      <c r="F3354" s="18" t="s">
        <v>2462</v>
      </c>
      <c r="G3354" s="18" t="s">
        <v>82</v>
      </c>
      <c r="H3354" s="18" t="s">
        <v>2446</v>
      </c>
      <c r="I3354" s="18" t="s">
        <v>2451</v>
      </c>
      <c r="J3354" s="18" t="s">
        <v>200</v>
      </c>
      <c r="K3354" s="18" t="s">
        <v>250</v>
      </c>
      <c r="L3354" s="18">
        <v>274400000</v>
      </c>
      <c r="M3354" s="18" t="s">
        <v>245</v>
      </c>
      <c r="N3354" s="18" t="s">
        <v>2465</v>
      </c>
    </row>
    <row r="3355" spans="1:14" hidden="1" x14ac:dyDescent="0.25">
      <c r="A3355" s="17">
        <v>45870</v>
      </c>
      <c r="B3355" s="18" t="s">
        <v>162</v>
      </c>
      <c r="C3355" s="18">
        <v>49</v>
      </c>
      <c r="D3355" s="18" t="s">
        <v>291</v>
      </c>
      <c r="E3355" s="18" t="s">
        <v>2361</v>
      </c>
      <c r="F3355" s="18" t="s">
        <v>2462</v>
      </c>
      <c r="G3355" s="18" t="s">
        <v>82</v>
      </c>
      <c r="H3355" s="18" t="s">
        <v>2449</v>
      </c>
      <c r="I3355" s="18" t="s">
        <v>2451</v>
      </c>
      <c r="J3355" s="18" t="s">
        <v>200</v>
      </c>
      <c r="K3355" s="18" t="s">
        <v>250</v>
      </c>
      <c r="L3355" s="18">
        <v>273000000</v>
      </c>
      <c r="M3355" s="18" t="s">
        <v>245</v>
      </c>
      <c r="N3355" s="18" t="s">
        <v>2466</v>
      </c>
    </row>
    <row r="3356" spans="1:14" hidden="1" x14ac:dyDescent="0.25">
      <c r="A3356" s="17">
        <v>45870</v>
      </c>
      <c r="B3356" s="18" t="s">
        <v>162</v>
      </c>
      <c r="C3356" s="18">
        <v>49</v>
      </c>
      <c r="D3356" s="18" t="s">
        <v>291</v>
      </c>
      <c r="E3356" s="18" t="s">
        <v>2361</v>
      </c>
      <c r="F3356" s="18" t="s">
        <v>2462</v>
      </c>
      <c r="G3356" s="18" t="s">
        <v>82</v>
      </c>
      <c r="H3356" s="18" t="s">
        <v>2446</v>
      </c>
      <c r="I3356" s="18" t="s">
        <v>2454</v>
      </c>
      <c r="J3356" s="18" t="s">
        <v>200</v>
      </c>
      <c r="K3356" s="18" t="s">
        <v>250</v>
      </c>
      <c r="L3356" s="18">
        <v>225000</v>
      </c>
      <c r="M3356" s="18" t="s">
        <v>245</v>
      </c>
      <c r="N3356" s="18" t="s">
        <v>2467</v>
      </c>
    </row>
    <row r="3357" spans="1:14" hidden="1" x14ac:dyDescent="0.25">
      <c r="A3357" s="17">
        <v>45870</v>
      </c>
      <c r="B3357" s="18" t="s">
        <v>162</v>
      </c>
      <c r="C3357" s="18">
        <v>49</v>
      </c>
      <c r="D3357" s="18" t="s">
        <v>291</v>
      </c>
      <c r="E3357" s="18" t="s">
        <v>2361</v>
      </c>
      <c r="F3357" s="18" t="s">
        <v>2462</v>
      </c>
      <c r="G3357" s="18" t="s">
        <v>82</v>
      </c>
      <c r="H3357" s="18" t="s">
        <v>2449</v>
      </c>
      <c r="I3357" s="18" t="s">
        <v>2454</v>
      </c>
      <c r="J3357" s="18" t="s">
        <v>200</v>
      </c>
      <c r="K3357" s="18" t="s">
        <v>250</v>
      </c>
      <c r="L3357" s="18">
        <v>1500000</v>
      </c>
      <c r="M3357" s="18" t="s">
        <v>245</v>
      </c>
      <c r="N3357" s="18" t="s">
        <v>293</v>
      </c>
    </row>
    <row r="3358" spans="1:14" hidden="1" x14ac:dyDescent="0.25">
      <c r="A3358" s="17">
        <v>45870</v>
      </c>
      <c r="B3358" s="18" t="s">
        <v>162</v>
      </c>
      <c r="C3358" s="18">
        <v>50</v>
      </c>
      <c r="D3358" s="18" t="s">
        <v>253</v>
      </c>
      <c r="E3358" s="18" t="s">
        <v>2359</v>
      </c>
      <c r="F3358" s="18" t="s">
        <v>2468</v>
      </c>
      <c r="G3358" s="18" t="s">
        <v>82</v>
      </c>
      <c r="H3358" s="18"/>
      <c r="I3358" s="18"/>
      <c r="J3358" s="18" t="s">
        <v>200</v>
      </c>
      <c r="K3358" s="18" t="s">
        <v>255</v>
      </c>
      <c r="L3358" s="18">
        <v>1840000000</v>
      </c>
      <c r="M3358" s="18" t="s">
        <v>245</v>
      </c>
      <c r="N3358" s="18" t="s">
        <v>2469</v>
      </c>
    </row>
    <row r="3359" spans="1:14" hidden="1" x14ac:dyDescent="0.25">
      <c r="A3359" s="17">
        <v>45870</v>
      </c>
      <c r="B3359" s="18" t="s">
        <v>162</v>
      </c>
      <c r="C3359" s="18">
        <v>50</v>
      </c>
      <c r="D3359" s="18" t="s">
        <v>253</v>
      </c>
      <c r="E3359" s="18" t="s">
        <v>2359</v>
      </c>
      <c r="F3359" s="18" t="s">
        <v>2468</v>
      </c>
      <c r="G3359" s="18" t="s">
        <v>82</v>
      </c>
      <c r="H3359" s="18"/>
      <c r="I3359" s="18"/>
      <c r="J3359" s="18" t="s">
        <v>198</v>
      </c>
      <c r="K3359" s="18" t="s">
        <v>255</v>
      </c>
      <c r="L3359" s="18">
        <v>1720000000</v>
      </c>
      <c r="M3359" s="18" t="s">
        <v>245</v>
      </c>
      <c r="N3359" s="18" t="s">
        <v>2114</v>
      </c>
    </row>
    <row r="3360" spans="1:14" hidden="1" x14ac:dyDescent="0.25">
      <c r="A3360" s="17">
        <v>45870</v>
      </c>
      <c r="B3360" s="18" t="s">
        <v>162</v>
      </c>
      <c r="C3360" s="18">
        <v>51</v>
      </c>
      <c r="D3360" s="18" t="s">
        <v>291</v>
      </c>
      <c r="E3360" s="18" t="s">
        <v>2361</v>
      </c>
      <c r="F3360" s="18" t="s">
        <v>2468</v>
      </c>
      <c r="G3360" s="18" t="s">
        <v>82</v>
      </c>
      <c r="H3360" s="18" t="s">
        <v>95</v>
      </c>
      <c r="I3360" s="18"/>
      <c r="J3360" s="18" t="s">
        <v>200</v>
      </c>
      <c r="K3360" s="18" t="s">
        <v>250</v>
      </c>
      <c r="L3360" s="18">
        <v>376030000</v>
      </c>
      <c r="M3360" s="18" t="s">
        <v>245</v>
      </c>
      <c r="N3360" s="18" t="s">
        <v>2470</v>
      </c>
    </row>
    <row r="3361" spans="1:14" hidden="1" x14ac:dyDescent="0.25">
      <c r="A3361" s="17">
        <v>45870</v>
      </c>
      <c r="B3361" s="18" t="s">
        <v>162</v>
      </c>
      <c r="C3361" s="18">
        <v>51</v>
      </c>
      <c r="D3361" s="18" t="s">
        <v>291</v>
      </c>
      <c r="E3361" s="18" t="s">
        <v>2361</v>
      </c>
      <c r="F3361" s="18" t="s">
        <v>2468</v>
      </c>
      <c r="G3361" s="18" t="s">
        <v>82</v>
      </c>
      <c r="H3361" s="18" t="s">
        <v>94</v>
      </c>
      <c r="I3361" s="18"/>
      <c r="J3361" s="18" t="s">
        <v>200</v>
      </c>
      <c r="K3361" s="18" t="s">
        <v>250</v>
      </c>
      <c r="L3361" s="18">
        <v>1470000000</v>
      </c>
      <c r="M3361" s="18" t="s">
        <v>245</v>
      </c>
      <c r="N3361" s="18" t="s">
        <v>2471</v>
      </c>
    </row>
    <row r="3362" spans="1:14" hidden="1" x14ac:dyDescent="0.25">
      <c r="A3362" s="17">
        <v>45870</v>
      </c>
      <c r="B3362" s="18" t="s">
        <v>162</v>
      </c>
      <c r="C3362" s="18">
        <v>52</v>
      </c>
      <c r="D3362" s="18" t="s">
        <v>291</v>
      </c>
      <c r="E3362" s="18" t="s">
        <v>2361</v>
      </c>
      <c r="F3362" s="18" t="s">
        <v>2472</v>
      </c>
      <c r="G3362" s="18" t="s">
        <v>82</v>
      </c>
      <c r="H3362" s="18" t="s">
        <v>174</v>
      </c>
      <c r="I3362" s="18"/>
      <c r="J3362" s="18" t="s">
        <v>200</v>
      </c>
      <c r="K3362" s="18" t="s">
        <v>250</v>
      </c>
      <c r="L3362" s="18">
        <v>272600000</v>
      </c>
      <c r="M3362" s="18" t="s">
        <v>245</v>
      </c>
      <c r="N3362" s="18" t="s">
        <v>2473</v>
      </c>
    </row>
    <row r="3363" spans="1:14" hidden="1" x14ac:dyDescent="0.25">
      <c r="A3363" s="17">
        <v>45870</v>
      </c>
      <c r="B3363" s="18" t="s">
        <v>162</v>
      </c>
      <c r="C3363" s="18">
        <v>52</v>
      </c>
      <c r="D3363" s="18" t="s">
        <v>291</v>
      </c>
      <c r="E3363" s="18" t="s">
        <v>2361</v>
      </c>
      <c r="F3363" s="18" t="s">
        <v>2472</v>
      </c>
      <c r="G3363" s="18" t="s">
        <v>82</v>
      </c>
      <c r="H3363" s="18" t="s">
        <v>173</v>
      </c>
      <c r="I3363" s="18"/>
      <c r="J3363" s="18" t="s">
        <v>200</v>
      </c>
      <c r="K3363" s="18" t="s">
        <v>250</v>
      </c>
      <c r="L3363" s="18">
        <v>195300000</v>
      </c>
      <c r="M3363" s="18" t="s">
        <v>245</v>
      </c>
      <c r="N3363" s="18" t="s">
        <v>2474</v>
      </c>
    </row>
    <row r="3364" spans="1:14" hidden="1" x14ac:dyDescent="0.25">
      <c r="A3364" s="17">
        <v>45870</v>
      </c>
      <c r="B3364" s="18" t="s">
        <v>162</v>
      </c>
      <c r="C3364" s="18">
        <v>53</v>
      </c>
      <c r="D3364" s="18" t="s">
        <v>238</v>
      </c>
      <c r="E3364" s="18" t="s">
        <v>2341</v>
      </c>
      <c r="F3364" s="18" t="s">
        <v>334</v>
      </c>
      <c r="G3364" s="18" t="s">
        <v>82</v>
      </c>
      <c r="H3364" s="18" t="s">
        <v>179</v>
      </c>
      <c r="I3364" s="18"/>
      <c r="J3364" s="18" t="s">
        <v>200</v>
      </c>
      <c r="K3364" s="18" t="s">
        <v>250</v>
      </c>
      <c r="L3364" s="18">
        <v>11</v>
      </c>
      <c r="M3364" s="18" t="s">
        <v>245</v>
      </c>
      <c r="N3364" s="18" t="s">
        <v>1945</v>
      </c>
    </row>
    <row r="3365" spans="1:14" hidden="1" x14ac:dyDescent="0.25">
      <c r="A3365" s="17">
        <v>45870</v>
      </c>
      <c r="B3365" s="18" t="s">
        <v>162</v>
      </c>
      <c r="C3365" s="18">
        <v>53</v>
      </c>
      <c r="D3365" s="18" t="s">
        <v>238</v>
      </c>
      <c r="E3365" s="18" t="s">
        <v>2341</v>
      </c>
      <c r="F3365" s="18" t="s">
        <v>334</v>
      </c>
      <c r="G3365" s="18" t="s">
        <v>82</v>
      </c>
      <c r="H3365" s="18" t="s">
        <v>170</v>
      </c>
      <c r="I3365" s="18"/>
      <c r="J3365" s="18" t="s">
        <v>200</v>
      </c>
      <c r="K3365" s="18" t="s">
        <v>250</v>
      </c>
      <c r="L3365" s="18">
        <v>15</v>
      </c>
      <c r="M3365" s="18" t="s">
        <v>245</v>
      </c>
      <c r="N3365" s="18" t="s">
        <v>2475</v>
      </c>
    </row>
    <row r="3366" spans="1:14" hidden="1" x14ac:dyDescent="0.25">
      <c r="A3366" s="17">
        <v>45870</v>
      </c>
      <c r="B3366" s="18" t="s">
        <v>162</v>
      </c>
      <c r="C3366" s="18">
        <v>53</v>
      </c>
      <c r="D3366" s="18" t="s">
        <v>238</v>
      </c>
      <c r="E3366" s="18" t="s">
        <v>2341</v>
      </c>
      <c r="F3366" s="18" t="s">
        <v>334</v>
      </c>
      <c r="G3366" s="18" t="s">
        <v>82</v>
      </c>
      <c r="H3366" s="18" t="s">
        <v>178</v>
      </c>
      <c r="I3366" s="18"/>
      <c r="J3366" s="18" t="s">
        <v>200</v>
      </c>
      <c r="K3366" s="18" t="s">
        <v>250</v>
      </c>
      <c r="L3366" s="18">
        <v>44</v>
      </c>
      <c r="M3366" s="18" t="s">
        <v>245</v>
      </c>
      <c r="N3366" s="18" t="s">
        <v>2476</v>
      </c>
    </row>
    <row r="3367" spans="1:14" hidden="1" x14ac:dyDescent="0.25">
      <c r="A3367" s="17">
        <v>45870</v>
      </c>
      <c r="B3367" s="18" t="s">
        <v>162</v>
      </c>
      <c r="C3367" s="18">
        <v>53</v>
      </c>
      <c r="D3367" s="18" t="s">
        <v>238</v>
      </c>
      <c r="E3367" s="18" t="s">
        <v>2341</v>
      </c>
      <c r="F3367" s="18" t="s">
        <v>334</v>
      </c>
      <c r="G3367" s="18" t="s">
        <v>82</v>
      </c>
      <c r="H3367" s="18" t="s">
        <v>173</v>
      </c>
      <c r="I3367" s="18"/>
      <c r="J3367" s="18" t="s">
        <v>200</v>
      </c>
      <c r="K3367" s="18" t="s">
        <v>250</v>
      </c>
      <c r="L3367" s="18">
        <v>57</v>
      </c>
      <c r="M3367" s="18" t="s">
        <v>245</v>
      </c>
      <c r="N3367" s="18" t="s">
        <v>2477</v>
      </c>
    </row>
    <row r="3368" spans="1:14" hidden="1" x14ac:dyDescent="0.25">
      <c r="A3368" s="17">
        <v>45870</v>
      </c>
      <c r="B3368" s="18" t="s">
        <v>162</v>
      </c>
      <c r="C3368" s="18">
        <v>53</v>
      </c>
      <c r="D3368" s="18" t="s">
        <v>238</v>
      </c>
      <c r="E3368" s="18" t="s">
        <v>2341</v>
      </c>
      <c r="F3368" s="18" t="s">
        <v>334</v>
      </c>
      <c r="G3368" s="18" t="s">
        <v>82</v>
      </c>
      <c r="H3368" s="18" t="s">
        <v>174</v>
      </c>
      <c r="I3368" s="18"/>
      <c r="J3368" s="18" t="s">
        <v>200</v>
      </c>
      <c r="K3368" s="18" t="s">
        <v>250</v>
      </c>
      <c r="L3368" s="18">
        <v>98</v>
      </c>
      <c r="M3368" s="18" t="s">
        <v>245</v>
      </c>
      <c r="N3368" s="18" t="s">
        <v>2478</v>
      </c>
    </row>
    <row r="3369" spans="1:14" hidden="1" x14ac:dyDescent="0.25">
      <c r="A3369" s="17">
        <v>45870</v>
      </c>
      <c r="B3369" s="18" t="s">
        <v>162</v>
      </c>
      <c r="C3369" s="18">
        <v>53</v>
      </c>
      <c r="D3369" s="18" t="s">
        <v>238</v>
      </c>
      <c r="E3369" s="18" t="s">
        <v>2341</v>
      </c>
      <c r="F3369" s="18" t="s">
        <v>334</v>
      </c>
      <c r="G3369" s="18" t="s">
        <v>82</v>
      </c>
      <c r="H3369" s="18" t="s">
        <v>164</v>
      </c>
      <c r="I3369" s="18"/>
      <c r="J3369" s="18" t="s">
        <v>200</v>
      </c>
      <c r="K3369" s="18" t="s">
        <v>250</v>
      </c>
      <c r="L3369" s="18">
        <v>147</v>
      </c>
      <c r="M3369" s="18" t="s">
        <v>245</v>
      </c>
      <c r="N3369" s="18" t="s">
        <v>2479</v>
      </c>
    </row>
    <row r="3370" spans="1:14" hidden="1" x14ac:dyDescent="0.25">
      <c r="A3370" s="17">
        <v>45870</v>
      </c>
      <c r="B3370" s="18" t="s">
        <v>162</v>
      </c>
      <c r="C3370" s="18">
        <v>53</v>
      </c>
      <c r="D3370" s="18" t="s">
        <v>238</v>
      </c>
      <c r="E3370" s="18" t="s">
        <v>2341</v>
      </c>
      <c r="F3370" s="18" t="s">
        <v>455</v>
      </c>
      <c r="G3370" s="18" t="s">
        <v>82</v>
      </c>
      <c r="H3370" s="18"/>
      <c r="I3370" s="18"/>
      <c r="J3370" s="18" t="s">
        <v>200</v>
      </c>
      <c r="K3370" s="18" t="s">
        <v>250</v>
      </c>
      <c r="L3370" s="18">
        <v>97</v>
      </c>
      <c r="M3370" s="18" t="s">
        <v>245</v>
      </c>
      <c r="N3370" s="18" t="s">
        <v>2480</v>
      </c>
    </row>
    <row r="3371" spans="1:14" hidden="1" x14ac:dyDescent="0.25">
      <c r="A3371" s="17">
        <v>45870</v>
      </c>
      <c r="B3371" s="18" t="s">
        <v>1192</v>
      </c>
      <c r="C3371" s="18">
        <v>55</v>
      </c>
      <c r="D3371" s="18" t="s">
        <v>238</v>
      </c>
      <c r="E3371" s="18" t="s">
        <v>2341</v>
      </c>
      <c r="F3371" s="18" t="s">
        <v>240</v>
      </c>
      <c r="G3371" s="18" t="s">
        <v>82</v>
      </c>
      <c r="H3371" s="18"/>
      <c r="I3371" s="18"/>
      <c r="J3371" s="18" t="s">
        <v>2357</v>
      </c>
      <c r="K3371" s="18" t="s">
        <v>241</v>
      </c>
      <c r="L3371" s="18">
        <v>163110000</v>
      </c>
      <c r="M3371" s="18" t="s">
        <v>242</v>
      </c>
      <c r="N3371" s="18" t="s">
        <v>2442</v>
      </c>
    </row>
    <row r="3372" spans="1:14" hidden="1" x14ac:dyDescent="0.25">
      <c r="A3372" s="17">
        <v>45870</v>
      </c>
      <c r="B3372" s="18" t="s">
        <v>2481</v>
      </c>
      <c r="C3372" s="18">
        <v>55</v>
      </c>
      <c r="D3372" s="18" t="s">
        <v>238</v>
      </c>
      <c r="E3372" s="18" t="s">
        <v>2341</v>
      </c>
      <c r="F3372" s="18" t="s">
        <v>244</v>
      </c>
      <c r="G3372" s="18" t="s">
        <v>82</v>
      </c>
      <c r="H3372" s="18"/>
      <c r="I3372" s="18"/>
      <c r="J3372" s="18" t="s">
        <v>2357</v>
      </c>
      <c r="K3372" s="18" t="s">
        <v>241</v>
      </c>
      <c r="L3372" s="18">
        <v>16770000000</v>
      </c>
      <c r="M3372" s="18" t="s">
        <v>245</v>
      </c>
      <c r="N3372" s="18" t="s">
        <v>2443</v>
      </c>
    </row>
    <row r="3373" spans="1:14" hidden="1" x14ac:dyDescent="0.25">
      <c r="A3373" s="17">
        <v>45870</v>
      </c>
      <c r="B3373" s="18" t="s">
        <v>1192</v>
      </c>
      <c r="C3373" s="18">
        <v>55</v>
      </c>
      <c r="D3373" s="18" t="s">
        <v>238</v>
      </c>
      <c r="E3373" s="18" t="s">
        <v>2341</v>
      </c>
      <c r="F3373" s="18" t="s">
        <v>240</v>
      </c>
      <c r="G3373" s="18" t="s">
        <v>82</v>
      </c>
      <c r="H3373" s="18" t="s">
        <v>184</v>
      </c>
      <c r="I3373" s="18"/>
      <c r="J3373" s="18" t="s">
        <v>2357</v>
      </c>
      <c r="K3373" s="18" t="s">
        <v>241</v>
      </c>
      <c r="L3373" s="18">
        <v>101730000</v>
      </c>
      <c r="M3373" s="18" t="s">
        <v>242</v>
      </c>
      <c r="N3373" s="18" t="s">
        <v>2358</v>
      </c>
    </row>
    <row r="3374" spans="1:14" hidden="1" x14ac:dyDescent="0.25">
      <c r="A3374" s="17">
        <v>45870</v>
      </c>
      <c r="B3374" s="18" t="s">
        <v>1192</v>
      </c>
      <c r="C3374" s="18">
        <v>55</v>
      </c>
      <c r="D3374" s="18" t="s">
        <v>238</v>
      </c>
      <c r="E3374" s="18" t="s">
        <v>2341</v>
      </c>
      <c r="F3374" s="18" t="s">
        <v>240</v>
      </c>
      <c r="G3374" s="18" t="s">
        <v>82</v>
      </c>
      <c r="H3374" s="18" t="s">
        <v>185</v>
      </c>
      <c r="I3374" s="18"/>
      <c r="J3374" s="18" t="s">
        <v>2357</v>
      </c>
      <c r="K3374" s="18" t="s">
        <v>241</v>
      </c>
      <c r="L3374" s="18">
        <v>61380000</v>
      </c>
      <c r="M3374" s="18" t="s">
        <v>242</v>
      </c>
      <c r="N3374" s="18" t="s">
        <v>2390</v>
      </c>
    </row>
    <row r="3375" spans="1:14" hidden="1" x14ac:dyDescent="0.25">
      <c r="A3375" s="17">
        <v>45870</v>
      </c>
      <c r="B3375" s="18" t="s">
        <v>2481</v>
      </c>
      <c r="C3375" s="18">
        <v>55</v>
      </c>
      <c r="D3375" s="18" t="s">
        <v>238</v>
      </c>
      <c r="E3375" s="18" t="s">
        <v>2341</v>
      </c>
      <c r="F3375" s="18" t="s">
        <v>244</v>
      </c>
      <c r="G3375" s="18" t="s">
        <v>82</v>
      </c>
      <c r="H3375" s="18" t="s">
        <v>184</v>
      </c>
      <c r="I3375" s="18"/>
      <c r="J3375" s="18" t="s">
        <v>2357</v>
      </c>
      <c r="K3375" s="18" t="s">
        <v>241</v>
      </c>
      <c r="L3375" s="18">
        <v>12640000000</v>
      </c>
      <c r="M3375" s="18" t="s">
        <v>245</v>
      </c>
      <c r="N3375" s="18" t="s">
        <v>2389</v>
      </c>
    </row>
    <row r="3376" spans="1:14" hidden="1" x14ac:dyDescent="0.25">
      <c r="A3376" s="17">
        <v>45870</v>
      </c>
      <c r="B3376" s="18" t="s">
        <v>2481</v>
      </c>
      <c r="C3376" s="18">
        <v>55</v>
      </c>
      <c r="D3376" s="18" t="s">
        <v>238</v>
      </c>
      <c r="E3376" s="18" t="s">
        <v>2341</v>
      </c>
      <c r="F3376" s="18" t="s">
        <v>244</v>
      </c>
      <c r="G3376" s="18" t="s">
        <v>82</v>
      </c>
      <c r="H3376" s="18" t="s">
        <v>185</v>
      </c>
      <c r="I3376" s="18"/>
      <c r="J3376" s="18" t="s">
        <v>2357</v>
      </c>
      <c r="K3376" s="18" t="s">
        <v>241</v>
      </c>
      <c r="L3376" s="18">
        <v>4140000000</v>
      </c>
      <c r="M3376" s="18" t="s">
        <v>245</v>
      </c>
      <c r="N3376" s="18" t="s">
        <v>2391</v>
      </c>
    </row>
    <row r="3377" spans="1:14" hidden="1" x14ac:dyDescent="0.25">
      <c r="A3377" s="17">
        <v>45870</v>
      </c>
      <c r="B3377" s="18" t="s">
        <v>2481</v>
      </c>
      <c r="C3377" s="18">
        <v>56</v>
      </c>
      <c r="D3377" s="18" t="s">
        <v>238</v>
      </c>
      <c r="E3377" s="18" t="s">
        <v>2341</v>
      </c>
      <c r="F3377" s="18" t="s">
        <v>285</v>
      </c>
      <c r="G3377" s="18" t="s">
        <v>63</v>
      </c>
      <c r="H3377" s="18" t="s">
        <v>1202</v>
      </c>
      <c r="I3377" s="18"/>
      <c r="J3377" s="18" t="s">
        <v>2357</v>
      </c>
      <c r="K3377" s="18" t="s">
        <v>241</v>
      </c>
      <c r="L3377" s="18">
        <v>995000</v>
      </c>
      <c r="M3377" s="18" t="s">
        <v>242</v>
      </c>
      <c r="N3377" s="18" t="s">
        <v>2482</v>
      </c>
    </row>
    <row r="3378" spans="1:14" hidden="1" x14ac:dyDescent="0.25">
      <c r="A3378" s="17">
        <v>45870</v>
      </c>
      <c r="B3378" s="18" t="s">
        <v>2481</v>
      </c>
      <c r="C3378" s="18">
        <v>56</v>
      </c>
      <c r="D3378" s="18" t="s">
        <v>238</v>
      </c>
      <c r="E3378" s="18" t="s">
        <v>2341</v>
      </c>
      <c r="F3378" s="18" t="s">
        <v>285</v>
      </c>
      <c r="G3378" s="18" t="s">
        <v>63</v>
      </c>
      <c r="H3378" s="18" t="s">
        <v>1204</v>
      </c>
      <c r="I3378" s="18"/>
      <c r="J3378" s="18" t="s">
        <v>2357</v>
      </c>
      <c r="K3378" s="18" t="s">
        <v>241</v>
      </c>
      <c r="L3378" s="18">
        <v>1696000</v>
      </c>
      <c r="M3378" s="18" t="s">
        <v>242</v>
      </c>
      <c r="N3378" s="18" t="s">
        <v>2483</v>
      </c>
    </row>
    <row r="3379" spans="1:14" hidden="1" x14ac:dyDescent="0.25">
      <c r="A3379" s="17">
        <v>45870</v>
      </c>
      <c r="B3379" s="18" t="s">
        <v>2481</v>
      </c>
      <c r="C3379" s="18">
        <v>56</v>
      </c>
      <c r="D3379" s="18" t="s">
        <v>238</v>
      </c>
      <c r="E3379" s="18" t="s">
        <v>2341</v>
      </c>
      <c r="F3379" s="18" t="s">
        <v>285</v>
      </c>
      <c r="G3379" s="18" t="s">
        <v>63</v>
      </c>
      <c r="H3379" s="18" t="s">
        <v>1200</v>
      </c>
      <c r="I3379" s="18"/>
      <c r="J3379" s="18" t="s">
        <v>2357</v>
      </c>
      <c r="K3379" s="18" t="s">
        <v>241</v>
      </c>
      <c r="L3379" s="18">
        <v>965000</v>
      </c>
      <c r="M3379" s="18" t="s">
        <v>242</v>
      </c>
      <c r="N3379" s="18" t="s">
        <v>2484</v>
      </c>
    </row>
    <row r="3380" spans="1:14" hidden="1" x14ac:dyDescent="0.25">
      <c r="A3380" s="17">
        <v>45870</v>
      </c>
      <c r="B3380" s="18" t="s">
        <v>2481</v>
      </c>
      <c r="C3380" s="18">
        <v>56</v>
      </c>
      <c r="D3380" s="18" t="s">
        <v>238</v>
      </c>
      <c r="E3380" s="18" t="s">
        <v>2341</v>
      </c>
      <c r="F3380" s="18" t="s">
        <v>285</v>
      </c>
      <c r="G3380" s="18" t="s">
        <v>63</v>
      </c>
      <c r="H3380" s="18"/>
      <c r="I3380" s="18"/>
      <c r="J3380" s="18" t="s">
        <v>2357</v>
      </c>
      <c r="K3380" s="18" t="s">
        <v>241</v>
      </c>
      <c r="L3380" s="18">
        <v>3706000</v>
      </c>
      <c r="M3380" s="18" t="s">
        <v>242</v>
      </c>
      <c r="N3380" s="18" t="s">
        <v>2485</v>
      </c>
    </row>
    <row r="3381" spans="1:14" hidden="1" x14ac:dyDescent="0.25">
      <c r="A3381" s="17">
        <v>45870</v>
      </c>
      <c r="B3381" s="18" t="s">
        <v>2481</v>
      </c>
      <c r="C3381" s="18">
        <v>57</v>
      </c>
      <c r="D3381" s="18" t="s">
        <v>238</v>
      </c>
      <c r="E3381" s="18" t="s">
        <v>2341</v>
      </c>
      <c r="F3381" s="18" t="s">
        <v>1194</v>
      </c>
      <c r="G3381" s="18" t="s">
        <v>82</v>
      </c>
      <c r="H3381" s="18"/>
      <c r="I3381" s="18"/>
      <c r="J3381" s="18" t="s">
        <v>200</v>
      </c>
      <c r="K3381" s="18" t="s">
        <v>250</v>
      </c>
      <c r="L3381" s="18">
        <v>25210000</v>
      </c>
      <c r="M3381" s="18" t="s">
        <v>242</v>
      </c>
      <c r="N3381" s="18" t="s">
        <v>2486</v>
      </c>
    </row>
    <row r="3382" spans="1:14" hidden="1" x14ac:dyDescent="0.25">
      <c r="A3382" s="17">
        <v>45870</v>
      </c>
      <c r="B3382" s="18" t="s">
        <v>2481</v>
      </c>
      <c r="C3382" s="18">
        <v>57</v>
      </c>
      <c r="D3382" s="18" t="s">
        <v>238</v>
      </c>
      <c r="E3382" s="18" t="s">
        <v>2341</v>
      </c>
      <c r="F3382" s="18" t="s">
        <v>2487</v>
      </c>
      <c r="G3382" s="18" t="s">
        <v>82</v>
      </c>
      <c r="H3382" s="18" t="s">
        <v>184</v>
      </c>
      <c r="I3382" s="18"/>
      <c r="J3382" s="18" t="s">
        <v>200</v>
      </c>
      <c r="K3382" s="18" t="s">
        <v>250</v>
      </c>
      <c r="L3382" s="18">
        <v>15770000</v>
      </c>
      <c r="M3382" s="18" t="s">
        <v>242</v>
      </c>
      <c r="N3382" s="18" t="s">
        <v>2343</v>
      </c>
    </row>
    <row r="3383" spans="1:14" hidden="1" x14ac:dyDescent="0.25">
      <c r="A3383" s="17">
        <v>45870</v>
      </c>
      <c r="B3383" s="18" t="s">
        <v>2481</v>
      </c>
      <c r="C3383" s="18">
        <v>57</v>
      </c>
      <c r="D3383" s="18" t="s">
        <v>238</v>
      </c>
      <c r="E3383" s="18" t="s">
        <v>2341</v>
      </c>
      <c r="F3383" s="18" t="s">
        <v>2488</v>
      </c>
      <c r="G3383" s="18" t="s">
        <v>82</v>
      </c>
      <c r="H3383" s="18" t="s">
        <v>185</v>
      </c>
      <c r="I3383" s="18"/>
      <c r="J3383" s="18" t="s">
        <v>200</v>
      </c>
      <c r="K3383" s="18" t="s">
        <v>250</v>
      </c>
      <c r="L3383" s="18">
        <v>9450000</v>
      </c>
      <c r="M3383" s="18" t="s">
        <v>242</v>
      </c>
      <c r="N3383" s="18" t="s">
        <v>2345</v>
      </c>
    </row>
    <row r="3384" spans="1:14" hidden="1" x14ac:dyDescent="0.25">
      <c r="A3384" s="17">
        <v>45870</v>
      </c>
      <c r="B3384" s="18" t="s">
        <v>2481</v>
      </c>
      <c r="C3384" s="18">
        <v>58</v>
      </c>
      <c r="D3384" s="18" t="s">
        <v>238</v>
      </c>
      <c r="E3384" s="18" t="s">
        <v>2341</v>
      </c>
      <c r="F3384" s="18" t="s">
        <v>1196</v>
      </c>
      <c r="G3384" s="18" t="s">
        <v>82</v>
      </c>
      <c r="H3384" s="18"/>
      <c r="I3384" s="18"/>
      <c r="J3384" s="18" t="s">
        <v>200</v>
      </c>
      <c r="K3384" s="18" t="s">
        <v>250</v>
      </c>
      <c r="L3384" s="18">
        <v>2450000000</v>
      </c>
      <c r="M3384" s="18" t="s">
        <v>245</v>
      </c>
      <c r="N3384" s="18" t="s">
        <v>1905</v>
      </c>
    </row>
    <row r="3385" spans="1:14" hidden="1" x14ac:dyDescent="0.25">
      <c r="A3385" s="17">
        <v>45870</v>
      </c>
      <c r="B3385" s="18" t="s">
        <v>2481</v>
      </c>
      <c r="C3385" s="18">
        <v>58</v>
      </c>
      <c r="D3385" s="18" t="s">
        <v>238</v>
      </c>
      <c r="E3385" s="18" t="s">
        <v>2341</v>
      </c>
      <c r="F3385" s="18" t="s">
        <v>2489</v>
      </c>
      <c r="G3385" s="18" t="s">
        <v>82</v>
      </c>
      <c r="H3385" s="18" t="s">
        <v>184</v>
      </c>
      <c r="I3385" s="18"/>
      <c r="J3385" s="18" t="s">
        <v>200</v>
      </c>
      <c r="K3385" s="18" t="s">
        <v>250</v>
      </c>
      <c r="L3385" s="18">
        <v>1880000000</v>
      </c>
      <c r="M3385" s="18" t="s">
        <v>245</v>
      </c>
      <c r="N3385" s="18" t="s">
        <v>2344</v>
      </c>
    </row>
    <row r="3386" spans="1:14" hidden="1" x14ac:dyDescent="0.25">
      <c r="A3386" s="17">
        <v>45870</v>
      </c>
      <c r="B3386" s="18" t="s">
        <v>2481</v>
      </c>
      <c r="C3386" s="18">
        <v>58</v>
      </c>
      <c r="D3386" s="18" t="s">
        <v>238</v>
      </c>
      <c r="E3386" s="18" t="s">
        <v>2341</v>
      </c>
      <c r="F3386" s="18" t="s">
        <v>2490</v>
      </c>
      <c r="G3386" s="18" t="s">
        <v>82</v>
      </c>
      <c r="H3386" s="18" t="s">
        <v>185</v>
      </c>
      <c r="I3386" s="18"/>
      <c r="J3386" s="18" t="s">
        <v>200</v>
      </c>
      <c r="K3386" s="18" t="s">
        <v>250</v>
      </c>
      <c r="L3386" s="18">
        <v>570000000</v>
      </c>
      <c r="M3386" s="18" t="s">
        <v>245</v>
      </c>
      <c r="N3386" s="18" t="s">
        <v>2491</v>
      </c>
    </row>
    <row r="3387" spans="1:14" hidden="1" x14ac:dyDescent="0.25">
      <c r="A3387" s="17">
        <v>45870</v>
      </c>
      <c r="B3387" s="18" t="s">
        <v>2481</v>
      </c>
      <c r="C3387" s="18">
        <v>59</v>
      </c>
      <c r="D3387" s="18" t="s">
        <v>238</v>
      </c>
      <c r="E3387" s="18" t="s">
        <v>2341</v>
      </c>
      <c r="F3387" s="18" t="s">
        <v>1213</v>
      </c>
      <c r="G3387" s="18" t="s">
        <v>82</v>
      </c>
      <c r="H3387" s="18"/>
      <c r="I3387" s="18"/>
      <c r="J3387" s="18" t="s">
        <v>200</v>
      </c>
      <c r="K3387" s="18" t="s">
        <v>250</v>
      </c>
      <c r="L3387" s="18">
        <v>97.4</v>
      </c>
      <c r="M3387" s="18" t="s">
        <v>245</v>
      </c>
      <c r="N3387" s="18" t="s">
        <v>2492</v>
      </c>
    </row>
    <row r="3388" spans="1:14" hidden="1" x14ac:dyDescent="0.25">
      <c r="A3388" s="17">
        <v>45870</v>
      </c>
      <c r="B3388" s="18" t="s">
        <v>2481</v>
      </c>
      <c r="C3388" s="18">
        <v>59</v>
      </c>
      <c r="D3388" s="18" t="s">
        <v>238</v>
      </c>
      <c r="E3388" s="18" t="s">
        <v>2341</v>
      </c>
      <c r="F3388" s="18" t="s">
        <v>2493</v>
      </c>
      <c r="G3388" s="18" t="s">
        <v>82</v>
      </c>
      <c r="H3388" s="18" t="s">
        <v>184</v>
      </c>
      <c r="I3388" s="18"/>
      <c r="J3388" s="18" t="s">
        <v>200</v>
      </c>
      <c r="K3388" s="18" t="s">
        <v>250</v>
      </c>
      <c r="L3388" s="18">
        <v>119.3</v>
      </c>
      <c r="M3388" s="18" t="s">
        <v>245</v>
      </c>
      <c r="N3388" s="18" t="s">
        <v>2494</v>
      </c>
    </row>
    <row r="3389" spans="1:14" hidden="1" x14ac:dyDescent="0.25">
      <c r="A3389" s="17">
        <v>45870</v>
      </c>
      <c r="B3389" s="18" t="s">
        <v>2481</v>
      </c>
      <c r="C3389" s="18">
        <v>59</v>
      </c>
      <c r="D3389" s="18" t="s">
        <v>238</v>
      </c>
      <c r="E3389" s="18" t="s">
        <v>2341</v>
      </c>
      <c r="F3389" s="18" t="s">
        <v>2495</v>
      </c>
      <c r="G3389" s="18" t="s">
        <v>82</v>
      </c>
      <c r="H3389" s="18" t="s">
        <v>185</v>
      </c>
      <c r="I3389" s="18"/>
      <c r="J3389" s="18" t="s">
        <v>200</v>
      </c>
      <c r="K3389" s="18" t="s">
        <v>250</v>
      </c>
      <c r="L3389" s="18">
        <v>60.7</v>
      </c>
      <c r="M3389" s="18" t="s">
        <v>245</v>
      </c>
      <c r="N3389" s="18" t="s">
        <v>2496</v>
      </c>
    </row>
    <row r="3390" spans="1:14" hidden="1" x14ac:dyDescent="0.25">
      <c r="A3390" s="17">
        <v>45870</v>
      </c>
      <c r="B3390" s="18" t="s">
        <v>120</v>
      </c>
      <c r="C3390" s="18">
        <v>61</v>
      </c>
      <c r="D3390" s="18" t="s">
        <v>238</v>
      </c>
      <c r="E3390" s="18" t="s">
        <v>2341</v>
      </c>
      <c r="F3390" s="18" t="s">
        <v>240</v>
      </c>
      <c r="G3390" s="18" t="s">
        <v>82</v>
      </c>
      <c r="H3390" s="18"/>
      <c r="I3390" s="18"/>
      <c r="J3390" s="18" t="s">
        <v>2357</v>
      </c>
      <c r="K3390" s="18" t="s">
        <v>241</v>
      </c>
      <c r="L3390" s="18">
        <v>48730000</v>
      </c>
      <c r="M3390" s="18" t="s">
        <v>242</v>
      </c>
      <c r="N3390" s="18" t="s">
        <v>2497</v>
      </c>
    </row>
    <row r="3391" spans="1:14" hidden="1" x14ac:dyDescent="0.25">
      <c r="A3391" s="17">
        <v>45870</v>
      </c>
      <c r="B3391" s="18" t="s">
        <v>120</v>
      </c>
      <c r="C3391" s="18">
        <v>61</v>
      </c>
      <c r="D3391" s="18" t="s">
        <v>238</v>
      </c>
      <c r="E3391" s="18" t="s">
        <v>2341</v>
      </c>
      <c r="F3391" s="18" t="s">
        <v>244</v>
      </c>
      <c r="G3391" s="18" t="s">
        <v>82</v>
      </c>
      <c r="H3391" s="18"/>
      <c r="I3391" s="18"/>
      <c r="J3391" s="18" t="s">
        <v>2357</v>
      </c>
      <c r="K3391" s="18" t="s">
        <v>241</v>
      </c>
      <c r="L3391" s="18">
        <v>10170000000</v>
      </c>
      <c r="M3391" s="18" t="s">
        <v>245</v>
      </c>
      <c r="N3391" s="18" t="s">
        <v>2498</v>
      </c>
    </row>
    <row r="3392" spans="1:14" hidden="1" x14ac:dyDescent="0.25">
      <c r="A3392" s="17">
        <v>45870</v>
      </c>
      <c r="B3392" s="18" t="s">
        <v>120</v>
      </c>
      <c r="C3392" s="18">
        <v>62</v>
      </c>
      <c r="D3392" s="18" t="s">
        <v>253</v>
      </c>
      <c r="E3392" s="18" t="s">
        <v>2359</v>
      </c>
      <c r="F3392" s="18" t="s">
        <v>285</v>
      </c>
      <c r="G3392" s="18" t="s">
        <v>63</v>
      </c>
      <c r="H3392" s="18"/>
      <c r="I3392" s="18"/>
      <c r="J3392" s="18" t="s">
        <v>200</v>
      </c>
      <c r="K3392" s="18" t="s">
        <v>255</v>
      </c>
      <c r="L3392" s="18">
        <v>4850000</v>
      </c>
      <c r="M3392" s="18" t="s">
        <v>242</v>
      </c>
      <c r="N3392" s="18" t="s">
        <v>2499</v>
      </c>
    </row>
    <row r="3393" spans="1:14" hidden="1" x14ac:dyDescent="0.25">
      <c r="A3393" s="17">
        <v>45870</v>
      </c>
      <c r="B3393" s="18" t="s">
        <v>120</v>
      </c>
      <c r="C3393" s="18">
        <v>63</v>
      </c>
      <c r="D3393" s="18" t="s">
        <v>291</v>
      </c>
      <c r="E3393" s="18" t="s">
        <v>2361</v>
      </c>
      <c r="F3393" s="18" t="s">
        <v>285</v>
      </c>
      <c r="G3393" s="18" t="s">
        <v>63</v>
      </c>
      <c r="H3393" s="18" t="s">
        <v>122</v>
      </c>
      <c r="I3393" s="18"/>
      <c r="J3393" s="18" t="s">
        <v>200</v>
      </c>
      <c r="K3393" s="18" t="s">
        <v>250</v>
      </c>
      <c r="L3393" s="18">
        <v>4810000</v>
      </c>
      <c r="M3393" s="18" t="s">
        <v>242</v>
      </c>
      <c r="N3393" s="18" t="s">
        <v>342</v>
      </c>
    </row>
    <row r="3394" spans="1:14" hidden="1" x14ac:dyDescent="0.25">
      <c r="A3394" s="17">
        <v>45870</v>
      </c>
      <c r="B3394" s="18" t="s">
        <v>120</v>
      </c>
      <c r="C3394" s="18">
        <v>63</v>
      </c>
      <c r="D3394" s="18" t="s">
        <v>291</v>
      </c>
      <c r="E3394" s="18" t="s">
        <v>2361</v>
      </c>
      <c r="F3394" s="18" t="s">
        <v>285</v>
      </c>
      <c r="G3394" s="18" t="s">
        <v>63</v>
      </c>
      <c r="H3394" s="18" t="s">
        <v>123</v>
      </c>
      <c r="I3394" s="18"/>
      <c r="J3394" s="18" t="s">
        <v>200</v>
      </c>
      <c r="K3394" s="18" t="s">
        <v>250</v>
      </c>
      <c r="L3394" s="18">
        <v>46100</v>
      </c>
      <c r="M3394" s="18" t="s">
        <v>242</v>
      </c>
      <c r="N3394" s="18" t="s">
        <v>2500</v>
      </c>
    </row>
    <row r="3395" spans="1:14" hidden="1" x14ac:dyDescent="0.25">
      <c r="A3395" s="17">
        <v>45870</v>
      </c>
      <c r="B3395" s="18" t="s">
        <v>120</v>
      </c>
      <c r="C3395" s="18">
        <v>63</v>
      </c>
      <c r="D3395" s="18" t="s">
        <v>238</v>
      </c>
      <c r="E3395" s="18" t="s">
        <v>2341</v>
      </c>
      <c r="F3395" s="18" t="s">
        <v>376</v>
      </c>
      <c r="G3395" s="18" t="s">
        <v>63</v>
      </c>
      <c r="H3395" s="18"/>
      <c r="I3395" s="18"/>
      <c r="J3395" s="18" t="s">
        <v>200</v>
      </c>
      <c r="K3395" s="18" t="s">
        <v>250</v>
      </c>
      <c r="L3395" s="18">
        <v>4850000</v>
      </c>
      <c r="M3395" s="18" t="s">
        <v>242</v>
      </c>
      <c r="N3395" s="18" t="s">
        <v>2347</v>
      </c>
    </row>
    <row r="3396" spans="1:14" hidden="1" x14ac:dyDescent="0.25">
      <c r="A3396" s="17">
        <v>45870</v>
      </c>
      <c r="B3396" s="18" t="s">
        <v>120</v>
      </c>
      <c r="C3396" s="18">
        <v>64</v>
      </c>
      <c r="D3396" s="18" t="s">
        <v>238</v>
      </c>
      <c r="E3396" s="18" t="s">
        <v>2341</v>
      </c>
      <c r="F3396" s="18" t="s">
        <v>378</v>
      </c>
      <c r="G3396" s="18" t="s">
        <v>379</v>
      </c>
      <c r="H3396" s="18"/>
      <c r="I3396" s="18"/>
      <c r="J3396" s="18" t="s">
        <v>200</v>
      </c>
      <c r="K3396" s="18" t="s">
        <v>250</v>
      </c>
      <c r="L3396" s="18">
        <v>643</v>
      </c>
      <c r="M3396" s="18" t="s">
        <v>242</v>
      </c>
      <c r="N3396" s="18" t="s">
        <v>2348</v>
      </c>
    </row>
    <row r="3397" spans="1:14" hidden="1" x14ac:dyDescent="0.25">
      <c r="A3397" s="17">
        <v>45870</v>
      </c>
      <c r="B3397" s="18" t="s">
        <v>120</v>
      </c>
      <c r="C3397" s="18">
        <v>64</v>
      </c>
      <c r="D3397" s="18" t="s">
        <v>238</v>
      </c>
      <c r="E3397" s="18" t="s">
        <v>2341</v>
      </c>
      <c r="F3397" s="18" t="s">
        <v>381</v>
      </c>
      <c r="G3397" s="18" t="s">
        <v>382</v>
      </c>
      <c r="H3397" s="18"/>
      <c r="I3397" s="18"/>
      <c r="J3397" s="18" t="s">
        <v>200</v>
      </c>
      <c r="K3397" s="18" t="s">
        <v>250</v>
      </c>
      <c r="L3397" s="18">
        <v>2212</v>
      </c>
      <c r="M3397" s="18" t="s">
        <v>242</v>
      </c>
      <c r="N3397" s="18" t="s">
        <v>2349</v>
      </c>
    </row>
    <row r="3398" spans="1:14" hidden="1" x14ac:dyDescent="0.25">
      <c r="A3398" s="17">
        <v>45870</v>
      </c>
      <c r="B3398" s="18" t="s">
        <v>120</v>
      </c>
      <c r="C3398" s="18">
        <v>65</v>
      </c>
      <c r="D3398" s="18" t="s">
        <v>253</v>
      </c>
      <c r="E3398" s="18" t="s">
        <v>2359</v>
      </c>
      <c r="F3398" s="18" t="s">
        <v>240</v>
      </c>
      <c r="G3398" s="18" t="s">
        <v>82</v>
      </c>
      <c r="H3398" s="18"/>
      <c r="I3398" s="18"/>
      <c r="J3398" s="18" t="s">
        <v>200</v>
      </c>
      <c r="K3398" s="18" t="s">
        <v>255</v>
      </c>
      <c r="L3398" s="18">
        <v>6640000</v>
      </c>
      <c r="M3398" s="18" t="s">
        <v>242</v>
      </c>
      <c r="N3398" s="18" t="s">
        <v>2501</v>
      </c>
    </row>
    <row r="3399" spans="1:14" hidden="1" x14ac:dyDescent="0.25">
      <c r="A3399" s="17">
        <v>45870</v>
      </c>
      <c r="B3399" s="18" t="s">
        <v>120</v>
      </c>
      <c r="C3399" s="18">
        <v>66</v>
      </c>
      <c r="D3399" s="18" t="s">
        <v>291</v>
      </c>
      <c r="E3399" s="18" t="s">
        <v>2361</v>
      </c>
      <c r="F3399" s="18" t="s">
        <v>2502</v>
      </c>
      <c r="G3399" s="18" t="s">
        <v>82</v>
      </c>
      <c r="H3399" s="18" t="s">
        <v>128</v>
      </c>
      <c r="I3399" s="18"/>
      <c r="J3399" s="18" t="s">
        <v>200</v>
      </c>
      <c r="K3399" s="18" t="s">
        <v>250</v>
      </c>
      <c r="L3399" s="18">
        <v>33000</v>
      </c>
      <c r="M3399" s="18" t="s">
        <v>242</v>
      </c>
      <c r="N3399" s="18" t="s">
        <v>2503</v>
      </c>
    </row>
    <row r="3400" spans="1:14" hidden="1" x14ac:dyDescent="0.25">
      <c r="A3400" s="17">
        <v>45870</v>
      </c>
      <c r="B3400" s="18" t="s">
        <v>120</v>
      </c>
      <c r="C3400" s="18">
        <v>66</v>
      </c>
      <c r="D3400" s="18" t="s">
        <v>291</v>
      </c>
      <c r="E3400" s="18" t="s">
        <v>2361</v>
      </c>
      <c r="F3400" s="18" t="s">
        <v>2502</v>
      </c>
      <c r="G3400" s="18" t="s">
        <v>82</v>
      </c>
      <c r="H3400" s="18" t="s">
        <v>125</v>
      </c>
      <c r="I3400" s="18"/>
      <c r="J3400" s="18" t="s">
        <v>200</v>
      </c>
      <c r="K3400" s="18" t="s">
        <v>250</v>
      </c>
      <c r="L3400" s="18">
        <v>34000</v>
      </c>
      <c r="M3400" s="18" t="s">
        <v>242</v>
      </c>
      <c r="N3400" s="18" t="s">
        <v>1508</v>
      </c>
    </row>
    <row r="3401" spans="1:14" hidden="1" x14ac:dyDescent="0.25">
      <c r="A3401" s="17">
        <v>45870</v>
      </c>
      <c r="B3401" s="18" t="s">
        <v>120</v>
      </c>
      <c r="C3401" s="18">
        <v>66</v>
      </c>
      <c r="D3401" s="18" t="s">
        <v>291</v>
      </c>
      <c r="E3401" s="18" t="s">
        <v>2361</v>
      </c>
      <c r="F3401" s="18" t="s">
        <v>2502</v>
      </c>
      <c r="G3401" s="18" t="s">
        <v>82</v>
      </c>
      <c r="H3401" s="18" t="s">
        <v>131</v>
      </c>
      <c r="I3401" s="18"/>
      <c r="J3401" s="18" t="s">
        <v>200</v>
      </c>
      <c r="K3401" s="18" t="s">
        <v>250</v>
      </c>
      <c r="L3401" s="18">
        <v>45000</v>
      </c>
      <c r="M3401" s="18" t="s">
        <v>242</v>
      </c>
      <c r="N3401" s="18" t="s">
        <v>2504</v>
      </c>
    </row>
    <row r="3402" spans="1:14" hidden="1" x14ac:dyDescent="0.25">
      <c r="A3402" s="17">
        <v>45870</v>
      </c>
      <c r="B3402" s="18" t="s">
        <v>120</v>
      </c>
      <c r="C3402" s="18">
        <v>66</v>
      </c>
      <c r="D3402" s="18" t="s">
        <v>291</v>
      </c>
      <c r="E3402" s="18" t="s">
        <v>2361</v>
      </c>
      <c r="F3402" s="18" t="s">
        <v>2502</v>
      </c>
      <c r="G3402" s="18" t="s">
        <v>82</v>
      </c>
      <c r="H3402" s="18" t="s">
        <v>132</v>
      </c>
      <c r="I3402" s="18"/>
      <c r="J3402" s="18" t="s">
        <v>200</v>
      </c>
      <c r="K3402" s="18" t="s">
        <v>250</v>
      </c>
      <c r="L3402" s="18">
        <v>67000</v>
      </c>
      <c r="M3402" s="18" t="s">
        <v>242</v>
      </c>
      <c r="N3402" s="18" t="s">
        <v>1499</v>
      </c>
    </row>
    <row r="3403" spans="1:14" hidden="1" x14ac:dyDescent="0.25">
      <c r="A3403" s="17">
        <v>45870</v>
      </c>
      <c r="B3403" s="18" t="s">
        <v>120</v>
      </c>
      <c r="C3403" s="18">
        <v>66</v>
      </c>
      <c r="D3403" s="18" t="s">
        <v>291</v>
      </c>
      <c r="E3403" s="18" t="s">
        <v>2361</v>
      </c>
      <c r="F3403" s="18" t="s">
        <v>2502</v>
      </c>
      <c r="G3403" s="18" t="s">
        <v>82</v>
      </c>
      <c r="H3403" s="18" t="s">
        <v>126</v>
      </c>
      <c r="I3403" s="18"/>
      <c r="J3403" s="18" t="s">
        <v>200</v>
      </c>
      <c r="K3403" s="18" t="s">
        <v>250</v>
      </c>
      <c r="L3403" s="18">
        <v>188000</v>
      </c>
      <c r="M3403" s="18" t="s">
        <v>242</v>
      </c>
      <c r="N3403" s="18" t="s">
        <v>2505</v>
      </c>
    </row>
    <row r="3404" spans="1:14" hidden="1" x14ac:dyDescent="0.25">
      <c r="A3404" s="17">
        <v>45870</v>
      </c>
      <c r="B3404" s="18" t="s">
        <v>120</v>
      </c>
      <c r="C3404" s="18">
        <v>66</v>
      </c>
      <c r="D3404" s="18" t="s">
        <v>291</v>
      </c>
      <c r="E3404" s="18" t="s">
        <v>2361</v>
      </c>
      <c r="F3404" s="18" t="s">
        <v>2502</v>
      </c>
      <c r="G3404" s="18" t="s">
        <v>82</v>
      </c>
      <c r="H3404" s="18" t="s">
        <v>127</v>
      </c>
      <c r="I3404" s="18"/>
      <c r="J3404" s="18" t="s">
        <v>200</v>
      </c>
      <c r="K3404" s="18" t="s">
        <v>250</v>
      </c>
      <c r="L3404" s="18">
        <v>305000</v>
      </c>
      <c r="M3404" s="18" t="s">
        <v>242</v>
      </c>
      <c r="N3404" s="18" t="s">
        <v>2506</v>
      </c>
    </row>
    <row r="3405" spans="1:14" hidden="1" x14ac:dyDescent="0.25">
      <c r="A3405" s="17">
        <v>45870</v>
      </c>
      <c r="B3405" s="18" t="s">
        <v>120</v>
      </c>
      <c r="C3405" s="18">
        <v>66</v>
      </c>
      <c r="D3405" s="18" t="s">
        <v>291</v>
      </c>
      <c r="E3405" s="18" t="s">
        <v>2361</v>
      </c>
      <c r="F3405" s="18" t="s">
        <v>2502</v>
      </c>
      <c r="G3405" s="18" t="s">
        <v>82</v>
      </c>
      <c r="H3405" s="18" t="s">
        <v>133</v>
      </c>
      <c r="I3405" s="18"/>
      <c r="J3405" s="18" t="s">
        <v>200</v>
      </c>
      <c r="K3405" s="18" t="s">
        <v>250</v>
      </c>
      <c r="L3405" s="18">
        <v>581000</v>
      </c>
      <c r="M3405" s="18" t="s">
        <v>242</v>
      </c>
      <c r="N3405" s="18" t="s">
        <v>2507</v>
      </c>
    </row>
    <row r="3406" spans="1:14" hidden="1" x14ac:dyDescent="0.25">
      <c r="A3406" s="17">
        <v>45870</v>
      </c>
      <c r="B3406" s="18" t="s">
        <v>120</v>
      </c>
      <c r="C3406" s="18">
        <v>66</v>
      </c>
      <c r="D3406" s="18" t="s">
        <v>291</v>
      </c>
      <c r="E3406" s="18" t="s">
        <v>2361</v>
      </c>
      <c r="F3406" s="18" t="s">
        <v>2502</v>
      </c>
      <c r="G3406" s="18" t="s">
        <v>82</v>
      </c>
      <c r="H3406" s="18" t="s">
        <v>129</v>
      </c>
      <c r="I3406" s="18"/>
      <c r="J3406" s="18" t="s">
        <v>200</v>
      </c>
      <c r="K3406" s="18" t="s">
        <v>250</v>
      </c>
      <c r="L3406" s="18">
        <v>1360000</v>
      </c>
      <c r="M3406" s="18" t="s">
        <v>242</v>
      </c>
      <c r="N3406" s="18" t="s">
        <v>2125</v>
      </c>
    </row>
    <row r="3407" spans="1:14" hidden="1" x14ac:dyDescent="0.25">
      <c r="A3407" s="17">
        <v>45870</v>
      </c>
      <c r="B3407" s="18" t="s">
        <v>120</v>
      </c>
      <c r="C3407" s="18">
        <v>66</v>
      </c>
      <c r="D3407" s="18" t="s">
        <v>291</v>
      </c>
      <c r="E3407" s="18" t="s">
        <v>2361</v>
      </c>
      <c r="F3407" s="18" t="s">
        <v>2502</v>
      </c>
      <c r="G3407" s="18" t="s">
        <v>82</v>
      </c>
      <c r="H3407" s="18" t="s">
        <v>134</v>
      </c>
      <c r="I3407" s="18"/>
      <c r="J3407" s="18" t="s">
        <v>200</v>
      </c>
      <c r="K3407" s="18" t="s">
        <v>250</v>
      </c>
      <c r="L3407" s="18">
        <v>1830000</v>
      </c>
      <c r="M3407" s="18" t="s">
        <v>242</v>
      </c>
      <c r="N3407" s="18" t="s">
        <v>2508</v>
      </c>
    </row>
    <row r="3408" spans="1:14" hidden="1" x14ac:dyDescent="0.25">
      <c r="A3408" s="17">
        <v>45870</v>
      </c>
      <c r="B3408" s="18" t="s">
        <v>120</v>
      </c>
      <c r="C3408" s="18">
        <v>66</v>
      </c>
      <c r="D3408" s="18" t="s">
        <v>291</v>
      </c>
      <c r="E3408" s="18" t="s">
        <v>2361</v>
      </c>
      <c r="F3408" s="18" t="s">
        <v>2502</v>
      </c>
      <c r="G3408" s="18" t="s">
        <v>82</v>
      </c>
      <c r="H3408" s="18" t="s">
        <v>130</v>
      </c>
      <c r="I3408" s="18"/>
      <c r="J3408" s="18" t="s">
        <v>200</v>
      </c>
      <c r="K3408" s="18" t="s">
        <v>250</v>
      </c>
      <c r="L3408" s="18">
        <v>2100000</v>
      </c>
      <c r="M3408" s="18" t="s">
        <v>242</v>
      </c>
      <c r="N3408" s="18" t="s">
        <v>2509</v>
      </c>
    </row>
    <row r="3409" spans="1:14" hidden="1" x14ac:dyDescent="0.25">
      <c r="A3409" s="17">
        <v>45870</v>
      </c>
      <c r="B3409" s="18" t="s">
        <v>120</v>
      </c>
      <c r="C3409" s="18">
        <v>67</v>
      </c>
      <c r="D3409" s="18" t="s">
        <v>291</v>
      </c>
      <c r="E3409" s="18" t="s">
        <v>2361</v>
      </c>
      <c r="F3409" s="18" t="s">
        <v>2510</v>
      </c>
      <c r="G3409" s="18" t="s">
        <v>82</v>
      </c>
      <c r="H3409" s="18" t="s">
        <v>138</v>
      </c>
      <c r="I3409" s="18"/>
      <c r="J3409" s="18" t="s">
        <v>200</v>
      </c>
      <c r="K3409" s="18" t="s">
        <v>250</v>
      </c>
      <c r="L3409" s="18">
        <v>5420000</v>
      </c>
      <c r="M3409" s="18" t="s">
        <v>242</v>
      </c>
      <c r="N3409" s="18" t="s">
        <v>2511</v>
      </c>
    </row>
    <row r="3410" spans="1:14" hidden="1" x14ac:dyDescent="0.25">
      <c r="A3410" s="17">
        <v>45870</v>
      </c>
      <c r="B3410" s="18" t="s">
        <v>120</v>
      </c>
      <c r="C3410" s="18">
        <v>67</v>
      </c>
      <c r="D3410" s="18" t="s">
        <v>291</v>
      </c>
      <c r="E3410" s="18" t="s">
        <v>2361</v>
      </c>
      <c r="F3410" s="18" t="s">
        <v>2510</v>
      </c>
      <c r="G3410" s="18" t="s">
        <v>82</v>
      </c>
      <c r="H3410" s="18" t="s">
        <v>137</v>
      </c>
      <c r="I3410" s="18"/>
      <c r="J3410" s="18" t="s">
        <v>200</v>
      </c>
      <c r="K3410" s="18" t="s">
        <v>250</v>
      </c>
      <c r="L3410" s="18">
        <v>1220000</v>
      </c>
      <c r="M3410" s="18" t="s">
        <v>242</v>
      </c>
      <c r="N3410" s="18" t="s">
        <v>2512</v>
      </c>
    </row>
    <row r="3411" spans="1:14" hidden="1" x14ac:dyDescent="0.25">
      <c r="A3411" s="17">
        <v>45870</v>
      </c>
      <c r="B3411" s="18" t="s">
        <v>120</v>
      </c>
      <c r="C3411" s="18">
        <v>68</v>
      </c>
      <c r="D3411" s="18" t="s">
        <v>253</v>
      </c>
      <c r="E3411" s="18" t="s">
        <v>2359</v>
      </c>
      <c r="F3411" s="18" t="s">
        <v>244</v>
      </c>
      <c r="G3411" s="18" t="s">
        <v>82</v>
      </c>
      <c r="H3411" s="18"/>
      <c r="I3411" s="18"/>
      <c r="J3411" s="18" t="s">
        <v>200</v>
      </c>
      <c r="K3411" s="18" t="s">
        <v>255</v>
      </c>
      <c r="L3411" s="18">
        <v>1280000000</v>
      </c>
      <c r="M3411" s="18" t="s">
        <v>245</v>
      </c>
      <c r="N3411" s="18" t="s">
        <v>2513</v>
      </c>
    </row>
    <row r="3412" spans="1:14" hidden="1" x14ac:dyDescent="0.25">
      <c r="A3412" s="17">
        <v>45870</v>
      </c>
      <c r="B3412" s="18" t="s">
        <v>120</v>
      </c>
      <c r="C3412" s="18">
        <v>69</v>
      </c>
      <c r="D3412" s="18" t="s">
        <v>291</v>
      </c>
      <c r="E3412" s="18" t="s">
        <v>2361</v>
      </c>
      <c r="F3412" s="18" t="s">
        <v>2514</v>
      </c>
      <c r="G3412" s="18" t="s">
        <v>82</v>
      </c>
      <c r="H3412" s="18" t="s">
        <v>132</v>
      </c>
      <c r="I3412" s="18"/>
      <c r="J3412" s="18" t="s">
        <v>200</v>
      </c>
      <c r="K3412" s="18" t="s">
        <v>250</v>
      </c>
      <c r="L3412" s="18">
        <v>7000000</v>
      </c>
      <c r="M3412" s="18" t="s">
        <v>245</v>
      </c>
      <c r="N3412" s="18" t="s">
        <v>2515</v>
      </c>
    </row>
    <row r="3413" spans="1:14" hidden="1" x14ac:dyDescent="0.25">
      <c r="A3413" s="17">
        <v>45870</v>
      </c>
      <c r="B3413" s="18" t="s">
        <v>120</v>
      </c>
      <c r="C3413" s="18">
        <v>69</v>
      </c>
      <c r="D3413" s="18" t="s">
        <v>291</v>
      </c>
      <c r="E3413" s="18" t="s">
        <v>2361</v>
      </c>
      <c r="F3413" s="18" t="s">
        <v>2514</v>
      </c>
      <c r="G3413" s="18" t="s">
        <v>82</v>
      </c>
      <c r="H3413" s="18" t="s">
        <v>131</v>
      </c>
      <c r="I3413" s="18"/>
      <c r="J3413" s="18" t="s">
        <v>200</v>
      </c>
      <c r="K3413" s="18" t="s">
        <v>250</v>
      </c>
      <c r="L3413" s="18">
        <v>14000000</v>
      </c>
      <c r="M3413" s="18" t="s">
        <v>245</v>
      </c>
      <c r="N3413" s="18" t="s">
        <v>2516</v>
      </c>
    </row>
    <row r="3414" spans="1:14" hidden="1" x14ac:dyDescent="0.25">
      <c r="A3414" s="17">
        <v>45870</v>
      </c>
      <c r="B3414" s="18" t="s">
        <v>120</v>
      </c>
      <c r="C3414" s="18">
        <v>69</v>
      </c>
      <c r="D3414" s="18" t="s">
        <v>291</v>
      </c>
      <c r="E3414" s="18" t="s">
        <v>2361</v>
      </c>
      <c r="F3414" s="18" t="s">
        <v>2514</v>
      </c>
      <c r="G3414" s="18" t="s">
        <v>82</v>
      </c>
      <c r="H3414" s="18" t="s">
        <v>128</v>
      </c>
      <c r="I3414" s="18"/>
      <c r="J3414" s="18" t="s">
        <v>200</v>
      </c>
      <c r="K3414" s="18" t="s">
        <v>250</v>
      </c>
      <c r="L3414" s="18">
        <v>13000000</v>
      </c>
      <c r="M3414" s="18" t="s">
        <v>245</v>
      </c>
      <c r="N3414" s="18" t="s">
        <v>2517</v>
      </c>
    </row>
    <row r="3415" spans="1:14" hidden="1" x14ac:dyDescent="0.25">
      <c r="A3415" s="17">
        <v>45870</v>
      </c>
      <c r="B3415" s="18" t="s">
        <v>120</v>
      </c>
      <c r="C3415" s="18">
        <v>69</v>
      </c>
      <c r="D3415" s="18" t="s">
        <v>291</v>
      </c>
      <c r="E3415" s="18" t="s">
        <v>2361</v>
      </c>
      <c r="F3415" s="18" t="s">
        <v>2514</v>
      </c>
      <c r="G3415" s="18" t="s">
        <v>82</v>
      </c>
      <c r="H3415" s="18" t="s">
        <v>140</v>
      </c>
      <c r="I3415" s="18"/>
      <c r="J3415" s="18" t="s">
        <v>200</v>
      </c>
      <c r="K3415" s="18" t="s">
        <v>250</v>
      </c>
      <c r="L3415" s="18">
        <v>14000000</v>
      </c>
      <c r="M3415" s="18" t="s">
        <v>245</v>
      </c>
      <c r="N3415" s="18" t="s">
        <v>2516</v>
      </c>
    </row>
    <row r="3416" spans="1:14" hidden="1" x14ac:dyDescent="0.25">
      <c r="A3416" s="17">
        <v>45870</v>
      </c>
      <c r="B3416" s="18" t="s">
        <v>120</v>
      </c>
      <c r="C3416" s="18">
        <v>69</v>
      </c>
      <c r="D3416" s="18" t="s">
        <v>291</v>
      </c>
      <c r="E3416" s="18" t="s">
        <v>2361</v>
      </c>
      <c r="F3416" s="18" t="s">
        <v>2514</v>
      </c>
      <c r="G3416" s="18" t="s">
        <v>82</v>
      </c>
      <c r="H3416" s="18" t="s">
        <v>130</v>
      </c>
      <c r="I3416" s="18"/>
      <c r="J3416" s="18" t="s">
        <v>200</v>
      </c>
      <c r="K3416" s="18" t="s">
        <v>250</v>
      </c>
      <c r="L3416" s="18">
        <v>34000000</v>
      </c>
      <c r="M3416" s="18" t="s">
        <v>245</v>
      </c>
      <c r="N3416" s="18" t="s">
        <v>2518</v>
      </c>
    </row>
    <row r="3417" spans="1:14" hidden="1" x14ac:dyDescent="0.25">
      <c r="A3417" s="17">
        <v>45870</v>
      </c>
      <c r="B3417" s="18" t="s">
        <v>120</v>
      </c>
      <c r="C3417" s="18">
        <v>69</v>
      </c>
      <c r="D3417" s="18" t="s">
        <v>291</v>
      </c>
      <c r="E3417" s="18" t="s">
        <v>2361</v>
      </c>
      <c r="F3417" s="18" t="s">
        <v>2514</v>
      </c>
      <c r="G3417" s="18" t="s">
        <v>82</v>
      </c>
      <c r="H3417" s="18" t="s">
        <v>127</v>
      </c>
      <c r="I3417" s="18"/>
      <c r="J3417" s="18" t="s">
        <v>200</v>
      </c>
      <c r="K3417" s="18" t="s">
        <v>250</v>
      </c>
      <c r="L3417" s="18">
        <v>47000000</v>
      </c>
      <c r="M3417" s="18" t="s">
        <v>245</v>
      </c>
      <c r="N3417" s="18" t="s">
        <v>2519</v>
      </c>
    </row>
    <row r="3418" spans="1:14" hidden="1" x14ac:dyDescent="0.25">
      <c r="A3418" s="17">
        <v>45870</v>
      </c>
      <c r="B3418" s="18" t="s">
        <v>120</v>
      </c>
      <c r="C3418" s="18">
        <v>69</v>
      </c>
      <c r="D3418" s="18" t="s">
        <v>291</v>
      </c>
      <c r="E3418" s="18" t="s">
        <v>2361</v>
      </c>
      <c r="F3418" s="18" t="s">
        <v>2514</v>
      </c>
      <c r="G3418" s="18" t="s">
        <v>82</v>
      </c>
      <c r="H3418" s="18" t="s">
        <v>126</v>
      </c>
      <c r="I3418" s="18"/>
      <c r="J3418" s="18" t="s">
        <v>200</v>
      </c>
      <c r="K3418" s="18" t="s">
        <v>250</v>
      </c>
      <c r="L3418" s="18">
        <v>51000000</v>
      </c>
      <c r="M3418" s="18" t="s">
        <v>245</v>
      </c>
      <c r="N3418" s="18" t="s">
        <v>2520</v>
      </c>
    </row>
    <row r="3419" spans="1:14" hidden="1" x14ac:dyDescent="0.25">
      <c r="A3419" s="17">
        <v>45870</v>
      </c>
      <c r="B3419" s="18" t="s">
        <v>120</v>
      </c>
      <c r="C3419" s="18">
        <v>69</v>
      </c>
      <c r="D3419" s="18" t="s">
        <v>291</v>
      </c>
      <c r="E3419" s="18" t="s">
        <v>2361</v>
      </c>
      <c r="F3419" s="18" t="s">
        <v>2514</v>
      </c>
      <c r="G3419" s="18" t="s">
        <v>82</v>
      </c>
      <c r="H3419" s="18" t="s">
        <v>134</v>
      </c>
      <c r="I3419" s="18"/>
      <c r="J3419" s="18" t="s">
        <v>200</v>
      </c>
      <c r="K3419" s="18" t="s">
        <v>250</v>
      </c>
      <c r="L3419" s="18">
        <v>90000000</v>
      </c>
      <c r="M3419" s="18" t="s">
        <v>245</v>
      </c>
      <c r="N3419" s="18" t="s">
        <v>2521</v>
      </c>
    </row>
    <row r="3420" spans="1:14" hidden="1" x14ac:dyDescent="0.25">
      <c r="A3420" s="17">
        <v>45870</v>
      </c>
      <c r="B3420" s="18" t="s">
        <v>120</v>
      </c>
      <c r="C3420" s="18">
        <v>69</v>
      </c>
      <c r="D3420" s="18" t="s">
        <v>291</v>
      </c>
      <c r="E3420" s="18" t="s">
        <v>2361</v>
      </c>
      <c r="F3420" s="18" t="s">
        <v>2514</v>
      </c>
      <c r="G3420" s="18" t="s">
        <v>82</v>
      </c>
      <c r="H3420" s="18" t="s">
        <v>133</v>
      </c>
      <c r="I3420" s="18"/>
      <c r="J3420" s="18" t="s">
        <v>200</v>
      </c>
      <c r="K3420" s="18" t="s">
        <v>250</v>
      </c>
      <c r="L3420" s="18">
        <v>276000000</v>
      </c>
      <c r="M3420" s="18" t="s">
        <v>245</v>
      </c>
      <c r="N3420" s="18" t="s">
        <v>2522</v>
      </c>
    </row>
    <row r="3421" spans="1:14" hidden="1" x14ac:dyDescent="0.25">
      <c r="A3421" s="17">
        <v>45870</v>
      </c>
      <c r="B3421" s="18" t="s">
        <v>120</v>
      </c>
      <c r="C3421" s="18">
        <v>69</v>
      </c>
      <c r="D3421" s="18" t="s">
        <v>291</v>
      </c>
      <c r="E3421" s="18" t="s">
        <v>2361</v>
      </c>
      <c r="F3421" s="18" t="s">
        <v>2514</v>
      </c>
      <c r="G3421" s="18" t="s">
        <v>82</v>
      </c>
      <c r="H3421" s="18" t="s">
        <v>129</v>
      </c>
      <c r="I3421" s="18"/>
      <c r="J3421" s="18" t="s">
        <v>200</v>
      </c>
      <c r="K3421" s="18" t="s">
        <v>250</v>
      </c>
      <c r="L3421" s="18">
        <v>723000000</v>
      </c>
      <c r="M3421" s="18" t="s">
        <v>245</v>
      </c>
      <c r="N3421" s="18" t="s">
        <v>2523</v>
      </c>
    </row>
    <row r="3422" spans="1:14" hidden="1" x14ac:dyDescent="0.25">
      <c r="A3422" s="17">
        <v>45870</v>
      </c>
      <c r="B3422" s="18" t="s">
        <v>120</v>
      </c>
      <c r="C3422" s="18">
        <v>70</v>
      </c>
      <c r="D3422" s="18" t="s">
        <v>291</v>
      </c>
      <c r="E3422" s="18" t="s">
        <v>2361</v>
      </c>
      <c r="F3422" s="18" t="s">
        <v>2510</v>
      </c>
      <c r="G3422" s="18" t="s">
        <v>82</v>
      </c>
      <c r="H3422" s="18" t="s">
        <v>138</v>
      </c>
      <c r="I3422" s="18"/>
      <c r="J3422" s="18" t="s">
        <v>200</v>
      </c>
      <c r="K3422" s="18" t="s">
        <v>250</v>
      </c>
      <c r="L3422" s="18">
        <v>1010000000</v>
      </c>
      <c r="M3422" s="18" t="s">
        <v>245</v>
      </c>
      <c r="N3422" s="18" t="s">
        <v>2524</v>
      </c>
    </row>
    <row r="3423" spans="1:14" hidden="1" x14ac:dyDescent="0.25">
      <c r="A3423" s="17">
        <v>45870</v>
      </c>
      <c r="B3423" s="18" t="s">
        <v>120</v>
      </c>
      <c r="C3423" s="18">
        <v>70</v>
      </c>
      <c r="D3423" s="18" t="s">
        <v>291</v>
      </c>
      <c r="E3423" s="18" t="s">
        <v>2361</v>
      </c>
      <c r="F3423" s="18" t="s">
        <v>2510</v>
      </c>
      <c r="G3423" s="18" t="s">
        <v>82</v>
      </c>
      <c r="H3423" s="18" t="s">
        <v>137</v>
      </c>
      <c r="I3423" s="18"/>
      <c r="J3423" s="18" t="s">
        <v>200</v>
      </c>
      <c r="K3423" s="18" t="s">
        <v>250</v>
      </c>
      <c r="L3423" s="18">
        <v>268600000</v>
      </c>
      <c r="M3423" s="18" t="s">
        <v>245</v>
      </c>
      <c r="N3423" s="18" t="s">
        <v>2525</v>
      </c>
    </row>
    <row r="3424" spans="1:14" hidden="1" x14ac:dyDescent="0.25">
      <c r="A3424" s="17">
        <v>45870</v>
      </c>
      <c r="B3424" s="18" t="s">
        <v>120</v>
      </c>
      <c r="C3424" s="18">
        <v>71</v>
      </c>
      <c r="D3424" s="18" t="s">
        <v>253</v>
      </c>
      <c r="E3424" s="18" t="s">
        <v>2359</v>
      </c>
      <c r="F3424" s="18" t="s">
        <v>334</v>
      </c>
      <c r="G3424" s="18" t="s">
        <v>82</v>
      </c>
      <c r="H3424" s="18"/>
      <c r="I3424" s="18"/>
      <c r="J3424" s="18" t="s">
        <v>200</v>
      </c>
      <c r="K3424" s="18" t="s">
        <v>255</v>
      </c>
      <c r="L3424" s="18">
        <v>192</v>
      </c>
      <c r="M3424" s="18" t="s">
        <v>245</v>
      </c>
      <c r="N3424" s="18" t="s">
        <v>2526</v>
      </c>
    </row>
    <row r="3425" spans="1:14" hidden="1" x14ac:dyDescent="0.25">
      <c r="A3425" s="17">
        <v>45870</v>
      </c>
      <c r="B3425" s="18" t="s">
        <v>142</v>
      </c>
      <c r="C3425" s="18">
        <v>73</v>
      </c>
      <c r="D3425" s="18" t="s">
        <v>238</v>
      </c>
      <c r="E3425" s="18" t="s">
        <v>2341</v>
      </c>
      <c r="F3425" s="18" t="s">
        <v>240</v>
      </c>
      <c r="G3425" s="18" t="s">
        <v>82</v>
      </c>
      <c r="H3425" s="18"/>
      <c r="I3425" s="18"/>
      <c r="J3425" s="18" t="s">
        <v>2357</v>
      </c>
      <c r="K3425" s="18" t="s">
        <v>241</v>
      </c>
      <c r="L3425" s="18">
        <v>7900000</v>
      </c>
      <c r="M3425" s="18" t="s">
        <v>242</v>
      </c>
      <c r="N3425" s="18" t="s">
        <v>2527</v>
      </c>
    </row>
    <row r="3426" spans="1:14" hidden="1" x14ac:dyDescent="0.25">
      <c r="A3426" s="17">
        <v>45870</v>
      </c>
      <c r="B3426" s="18" t="s">
        <v>142</v>
      </c>
      <c r="C3426" s="18">
        <v>73</v>
      </c>
      <c r="D3426" s="18" t="s">
        <v>238</v>
      </c>
      <c r="E3426" s="18" t="s">
        <v>2341</v>
      </c>
      <c r="F3426" s="18" t="s">
        <v>244</v>
      </c>
      <c r="G3426" s="18" t="s">
        <v>82</v>
      </c>
      <c r="H3426" s="18"/>
      <c r="I3426" s="18"/>
      <c r="J3426" s="18" t="s">
        <v>2357</v>
      </c>
      <c r="K3426" s="18" t="s">
        <v>241</v>
      </c>
      <c r="L3426" s="18">
        <v>6520000000</v>
      </c>
      <c r="M3426" s="18" t="s">
        <v>245</v>
      </c>
      <c r="N3426" s="18" t="s">
        <v>2528</v>
      </c>
    </row>
    <row r="3427" spans="1:14" hidden="1" x14ac:dyDescent="0.25">
      <c r="A3427" s="17">
        <v>45870</v>
      </c>
      <c r="B3427" s="18" t="s">
        <v>142</v>
      </c>
      <c r="C3427" s="18">
        <v>74</v>
      </c>
      <c r="D3427" s="18" t="s">
        <v>253</v>
      </c>
      <c r="E3427" s="18" t="s">
        <v>2359</v>
      </c>
      <c r="F3427" s="18" t="s">
        <v>544</v>
      </c>
      <c r="G3427" s="18" t="s">
        <v>82</v>
      </c>
      <c r="H3427" s="18"/>
      <c r="I3427" s="18"/>
      <c r="J3427" s="18" t="s">
        <v>200</v>
      </c>
      <c r="K3427" s="18" t="s">
        <v>255</v>
      </c>
      <c r="L3427" s="18">
        <v>1010000</v>
      </c>
      <c r="M3427" s="18" t="s">
        <v>242</v>
      </c>
      <c r="N3427" s="18" t="s">
        <v>2529</v>
      </c>
    </row>
    <row r="3428" spans="1:14" hidden="1" x14ac:dyDescent="0.25">
      <c r="A3428" s="17">
        <v>45870</v>
      </c>
      <c r="B3428" s="18" t="s">
        <v>142</v>
      </c>
      <c r="C3428" s="18">
        <v>76</v>
      </c>
      <c r="D3428" s="18" t="s">
        <v>253</v>
      </c>
      <c r="E3428" s="18" t="s">
        <v>2359</v>
      </c>
      <c r="F3428" s="18" t="s">
        <v>929</v>
      </c>
      <c r="G3428" s="18" t="s">
        <v>82</v>
      </c>
      <c r="H3428" s="18"/>
      <c r="I3428" s="18"/>
      <c r="J3428" s="18" t="s">
        <v>200</v>
      </c>
      <c r="K3428" s="18" t="s">
        <v>255</v>
      </c>
      <c r="L3428" s="18">
        <v>849000000</v>
      </c>
      <c r="M3428" s="18" t="s">
        <v>245</v>
      </c>
      <c r="N3428" s="18" t="s">
        <v>2530</v>
      </c>
    </row>
    <row r="3429" spans="1:14" hidden="1" x14ac:dyDescent="0.25">
      <c r="A3429" s="17">
        <v>45870</v>
      </c>
      <c r="B3429" s="18" t="s">
        <v>142</v>
      </c>
      <c r="C3429" s="18">
        <v>75</v>
      </c>
      <c r="D3429" s="18" t="s">
        <v>253</v>
      </c>
      <c r="E3429" s="18" t="s">
        <v>2359</v>
      </c>
      <c r="F3429" s="18" t="s">
        <v>2531</v>
      </c>
      <c r="G3429" s="18" t="s">
        <v>82</v>
      </c>
      <c r="H3429" s="18" t="s">
        <v>149</v>
      </c>
      <c r="I3429" s="18"/>
      <c r="J3429" s="18" t="s">
        <v>200</v>
      </c>
      <c r="K3429" s="18" t="s">
        <v>255</v>
      </c>
      <c r="L3429" s="18">
        <v>5974</v>
      </c>
      <c r="M3429" s="18" t="s">
        <v>242</v>
      </c>
      <c r="N3429" s="18" t="s">
        <v>2532</v>
      </c>
    </row>
    <row r="3430" spans="1:14" hidden="1" x14ac:dyDescent="0.25">
      <c r="A3430" s="17">
        <v>45870</v>
      </c>
      <c r="B3430" s="18" t="s">
        <v>142</v>
      </c>
      <c r="C3430" s="18">
        <v>75</v>
      </c>
      <c r="D3430" s="18" t="s">
        <v>253</v>
      </c>
      <c r="E3430" s="18" t="s">
        <v>2359</v>
      </c>
      <c r="F3430" s="18" t="s">
        <v>2531</v>
      </c>
      <c r="G3430" s="18" t="s">
        <v>82</v>
      </c>
      <c r="H3430" s="18" t="s">
        <v>150</v>
      </c>
      <c r="I3430" s="18"/>
      <c r="J3430" s="18" t="s">
        <v>200</v>
      </c>
      <c r="K3430" s="18" t="s">
        <v>255</v>
      </c>
      <c r="L3430" s="18">
        <v>305</v>
      </c>
      <c r="M3430" s="18" t="s">
        <v>242</v>
      </c>
      <c r="N3430" s="18" t="s">
        <v>1838</v>
      </c>
    </row>
    <row r="3431" spans="1:14" hidden="1" x14ac:dyDescent="0.25">
      <c r="A3431" s="17">
        <v>45870</v>
      </c>
      <c r="B3431" s="18" t="s">
        <v>142</v>
      </c>
      <c r="C3431" s="18">
        <v>75</v>
      </c>
      <c r="D3431" s="18" t="s">
        <v>253</v>
      </c>
      <c r="E3431" s="18" t="s">
        <v>2359</v>
      </c>
      <c r="F3431" s="18" t="s">
        <v>2531</v>
      </c>
      <c r="G3431" s="18" t="s">
        <v>82</v>
      </c>
      <c r="H3431" s="18" t="s">
        <v>151</v>
      </c>
      <c r="I3431" s="18"/>
      <c r="J3431" s="18" t="s">
        <v>200</v>
      </c>
      <c r="K3431" s="18" t="s">
        <v>255</v>
      </c>
      <c r="L3431" s="18">
        <v>35</v>
      </c>
      <c r="M3431" s="18" t="s">
        <v>242</v>
      </c>
      <c r="N3431" s="18" t="s">
        <v>1122</v>
      </c>
    </row>
    <row r="3432" spans="1:14" hidden="1" x14ac:dyDescent="0.25">
      <c r="A3432" s="17">
        <v>45870</v>
      </c>
      <c r="B3432" s="18" t="s">
        <v>142</v>
      </c>
      <c r="C3432" s="18">
        <v>77</v>
      </c>
      <c r="D3432" s="18" t="s">
        <v>253</v>
      </c>
      <c r="E3432" s="18" t="s">
        <v>2359</v>
      </c>
      <c r="F3432" s="18" t="s">
        <v>2533</v>
      </c>
      <c r="G3432" s="18" t="s">
        <v>82</v>
      </c>
      <c r="H3432" s="18" t="s">
        <v>149</v>
      </c>
      <c r="I3432" s="18"/>
      <c r="J3432" s="18" t="s">
        <v>200</v>
      </c>
      <c r="K3432" s="18" t="s">
        <v>255</v>
      </c>
      <c r="L3432" s="18">
        <v>42400000</v>
      </c>
      <c r="M3432" s="18" t="s">
        <v>149</v>
      </c>
      <c r="N3432" s="18" t="s">
        <v>2534</v>
      </c>
    </row>
    <row r="3433" spans="1:14" hidden="1" x14ac:dyDescent="0.25">
      <c r="A3433" s="17">
        <v>45870</v>
      </c>
      <c r="B3433" s="18" t="s">
        <v>142</v>
      </c>
      <c r="C3433" s="18">
        <v>77</v>
      </c>
      <c r="D3433" s="18" t="s">
        <v>253</v>
      </c>
      <c r="E3433" s="18" t="s">
        <v>2359</v>
      </c>
      <c r="F3433" s="18" t="s">
        <v>2533</v>
      </c>
      <c r="G3433" s="18" t="s">
        <v>82</v>
      </c>
      <c r="H3433" s="18" t="s">
        <v>150</v>
      </c>
      <c r="I3433" s="18"/>
      <c r="J3433" s="18" t="s">
        <v>200</v>
      </c>
      <c r="K3433" s="18" t="s">
        <v>255</v>
      </c>
      <c r="L3433" s="18">
        <v>2860000</v>
      </c>
      <c r="M3433" s="18" t="s">
        <v>150</v>
      </c>
      <c r="N3433" s="18" t="s">
        <v>2535</v>
      </c>
    </row>
    <row r="3434" spans="1:14" hidden="1" x14ac:dyDescent="0.25">
      <c r="A3434" s="17">
        <v>45870</v>
      </c>
      <c r="B3434" s="18" t="s">
        <v>142</v>
      </c>
      <c r="C3434" s="18">
        <v>77</v>
      </c>
      <c r="D3434" s="18" t="s">
        <v>253</v>
      </c>
      <c r="E3434" s="18" t="s">
        <v>2359</v>
      </c>
      <c r="F3434" s="18" t="s">
        <v>2533</v>
      </c>
      <c r="G3434" s="18" t="s">
        <v>82</v>
      </c>
      <c r="H3434" s="18" t="s">
        <v>151</v>
      </c>
      <c r="I3434" s="18"/>
      <c r="J3434" s="18" t="s">
        <v>200</v>
      </c>
      <c r="K3434" s="18" t="s">
        <v>255</v>
      </c>
      <c r="L3434" s="18">
        <v>280000</v>
      </c>
      <c r="M3434" s="18" t="s">
        <v>151</v>
      </c>
      <c r="N3434" s="18" t="s">
        <v>2536</v>
      </c>
    </row>
    <row r="3435" spans="1:14" hidden="1" x14ac:dyDescent="0.25">
      <c r="A3435" s="17">
        <v>45870</v>
      </c>
      <c r="B3435" s="18" t="s">
        <v>156</v>
      </c>
      <c r="C3435" s="18">
        <v>79</v>
      </c>
      <c r="D3435" s="18" t="s">
        <v>238</v>
      </c>
      <c r="E3435" s="18" t="s">
        <v>2341</v>
      </c>
      <c r="F3435" s="18" t="s">
        <v>240</v>
      </c>
      <c r="G3435" s="18" t="s">
        <v>158</v>
      </c>
      <c r="H3435" s="18"/>
      <c r="I3435" s="18"/>
      <c r="J3435" s="18" t="s">
        <v>2357</v>
      </c>
      <c r="K3435" s="18" t="s">
        <v>241</v>
      </c>
      <c r="L3435" s="18">
        <v>4100000</v>
      </c>
      <c r="M3435" s="18" t="s">
        <v>242</v>
      </c>
      <c r="N3435" s="18" t="s">
        <v>2537</v>
      </c>
    </row>
    <row r="3436" spans="1:14" hidden="1" x14ac:dyDescent="0.25">
      <c r="A3436" s="17">
        <v>45870</v>
      </c>
      <c r="B3436" s="18" t="s">
        <v>156</v>
      </c>
      <c r="C3436" s="18">
        <v>79</v>
      </c>
      <c r="D3436" s="18" t="s">
        <v>238</v>
      </c>
      <c r="E3436" s="18" t="s">
        <v>2341</v>
      </c>
      <c r="F3436" s="18" t="s">
        <v>244</v>
      </c>
      <c r="G3436" s="18" t="s">
        <v>158</v>
      </c>
      <c r="H3436" s="18"/>
      <c r="I3436" s="18"/>
      <c r="J3436" s="18" t="s">
        <v>2357</v>
      </c>
      <c r="K3436" s="18" t="s">
        <v>241</v>
      </c>
      <c r="L3436" s="18">
        <v>26700000000</v>
      </c>
      <c r="M3436" s="18" t="s">
        <v>245</v>
      </c>
      <c r="N3436" s="18" t="s">
        <v>2538</v>
      </c>
    </row>
    <row r="3437" spans="1:14" hidden="1" x14ac:dyDescent="0.25">
      <c r="A3437" s="17">
        <v>45870</v>
      </c>
      <c r="B3437" s="18" t="s">
        <v>156</v>
      </c>
      <c r="C3437" s="18">
        <v>80</v>
      </c>
      <c r="D3437" s="18" t="s">
        <v>253</v>
      </c>
      <c r="E3437" s="18" t="s">
        <v>2359</v>
      </c>
      <c r="F3437" s="18" t="s">
        <v>344</v>
      </c>
      <c r="G3437" s="18" t="s">
        <v>158</v>
      </c>
      <c r="H3437" s="18"/>
      <c r="I3437" s="18"/>
      <c r="J3437" s="18" t="s">
        <v>200</v>
      </c>
      <c r="K3437" s="18" t="s">
        <v>255</v>
      </c>
      <c r="L3437" s="18">
        <v>525000</v>
      </c>
      <c r="M3437" s="18" t="s">
        <v>242</v>
      </c>
      <c r="N3437" s="18" t="s">
        <v>2539</v>
      </c>
    </row>
    <row r="3438" spans="1:14" hidden="1" x14ac:dyDescent="0.25">
      <c r="A3438" s="17">
        <v>45870</v>
      </c>
      <c r="B3438" s="18" t="s">
        <v>156</v>
      </c>
      <c r="C3438" s="18">
        <v>81</v>
      </c>
      <c r="D3438" s="18" t="s">
        <v>253</v>
      </c>
      <c r="E3438" s="18" t="s">
        <v>2359</v>
      </c>
      <c r="F3438" s="18" t="s">
        <v>349</v>
      </c>
      <c r="G3438" s="18" t="s">
        <v>158</v>
      </c>
      <c r="H3438" s="18"/>
      <c r="I3438" s="18"/>
      <c r="J3438" s="18" t="s">
        <v>200</v>
      </c>
      <c r="K3438" s="18" t="s">
        <v>255</v>
      </c>
      <c r="L3438" s="18">
        <v>15600</v>
      </c>
      <c r="M3438" s="18" t="s">
        <v>242</v>
      </c>
      <c r="N3438" s="18" t="s">
        <v>2540</v>
      </c>
    </row>
    <row r="3439" spans="1:14" hidden="1" x14ac:dyDescent="0.25">
      <c r="A3439" s="17">
        <v>45870</v>
      </c>
      <c r="B3439" s="18" t="s">
        <v>156</v>
      </c>
      <c r="C3439" s="18">
        <v>83</v>
      </c>
      <c r="D3439" s="18" t="s">
        <v>291</v>
      </c>
      <c r="E3439" s="18" t="s">
        <v>2361</v>
      </c>
      <c r="F3439" s="18" t="s">
        <v>349</v>
      </c>
      <c r="G3439" s="18" t="s">
        <v>158</v>
      </c>
      <c r="H3439" s="18" t="s">
        <v>159</v>
      </c>
      <c r="I3439" s="18"/>
      <c r="J3439" s="18" t="s">
        <v>200</v>
      </c>
      <c r="K3439" s="18" t="s">
        <v>250</v>
      </c>
      <c r="L3439" s="18">
        <v>10032</v>
      </c>
      <c r="M3439" s="18" t="s">
        <v>242</v>
      </c>
      <c r="N3439" s="18" t="s">
        <v>2541</v>
      </c>
    </row>
    <row r="3440" spans="1:14" hidden="1" x14ac:dyDescent="0.25">
      <c r="A3440" s="17">
        <v>45870</v>
      </c>
      <c r="B3440" s="18" t="s">
        <v>156</v>
      </c>
      <c r="C3440" s="18">
        <v>83</v>
      </c>
      <c r="D3440" s="18" t="s">
        <v>291</v>
      </c>
      <c r="E3440" s="18" t="s">
        <v>2361</v>
      </c>
      <c r="F3440" s="18" t="s">
        <v>349</v>
      </c>
      <c r="G3440" s="18" t="s">
        <v>158</v>
      </c>
      <c r="H3440" s="18" t="s">
        <v>160</v>
      </c>
      <c r="I3440" s="18"/>
      <c r="J3440" s="18" t="s">
        <v>200</v>
      </c>
      <c r="K3440" s="18" t="s">
        <v>250</v>
      </c>
      <c r="L3440" s="18">
        <v>5558</v>
      </c>
      <c r="M3440" s="18" t="s">
        <v>242</v>
      </c>
      <c r="N3440" s="18" t="s">
        <v>2542</v>
      </c>
    </row>
    <row r="3441" spans="1:14" hidden="1" x14ac:dyDescent="0.25">
      <c r="A3441" s="17">
        <v>45870</v>
      </c>
      <c r="B3441" s="18" t="s">
        <v>156</v>
      </c>
      <c r="C3441" s="18">
        <v>84</v>
      </c>
      <c r="D3441" s="18" t="s">
        <v>253</v>
      </c>
      <c r="E3441" s="18" t="s">
        <v>2359</v>
      </c>
      <c r="F3441" s="18" t="s">
        <v>356</v>
      </c>
      <c r="G3441" s="18" t="s">
        <v>158</v>
      </c>
      <c r="H3441" s="18"/>
      <c r="I3441" s="18"/>
      <c r="J3441" s="18" t="s">
        <v>200</v>
      </c>
      <c r="K3441" s="18" t="s">
        <v>255</v>
      </c>
      <c r="L3441" s="18">
        <v>3440000000</v>
      </c>
      <c r="M3441" s="18" t="s">
        <v>245</v>
      </c>
      <c r="N3441" s="18" t="s">
        <v>2543</v>
      </c>
    </row>
    <row r="3442" spans="1:14" hidden="1" x14ac:dyDescent="0.25">
      <c r="A3442" s="17">
        <v>45870</v>
      </c>
      <c r="B3442" s="18" t="s">
        <v>156</v>
      </c>
      <c r="C3442" s="18">
        <v>85</v>
      </c>
      <c r="D3442" s="18" t="s">
        <v>253</v>
      </c>
      <c r="E3442" s="18" t="s">
        <v>2359</v>
      </c>
      <c r="F3442" s="18" t="s">
        <v>361</v>
      </c>
      <c r="G3442" s="18" t="s">
        <v>158</v>
      </c>
      <c r="H3442" s="18"/>
      <c r="I3442" s="18"/>
      <c r="J3442" s="18" t="s">
        <v>200</v>
      </c>
      <c r="K3442" s="18" t="s">
        <v>255</v>
      </c>
      <c r="L3442" s="18">
        <v>84000000</v>
      </c>
      <c r="M3442" s="18" t="s">
        <v>245</v>
      </c>
      <c r="N3442" s="18" t="s">
        <v>1532</v>
      </c>
    </row>
    <row r="3443" spans="1:14" hidden="1" x14ac:dyDescent="0.25">
      <c r="A3443" s="17">
        <v>45870</v>
      </c>
      <c r="B3443" s="18" t="s">
        <v>156</v>
      </c>
      <c r="C3443" s="18">
        <v>87</v>
      </c>
      <c r="D3443" s="18" t="s">
        <v>291</v>
      </c>
      <c r="E3443" s="18" t="s">
        <v>2361</v>
      </c>
      <c r="F3443" s="18" t="s">
        <v>361</v>
      </c>
      <c r="G3443" s="18" t="s">
        <v>158</v>
      </c>
      <c r="H3443" s="18" t="s">
        <v>159</v>
      </c>
      <c r="I3443" s="18"/>
      <c r="J3443" s="18" t="s">
        <v>200</v>
      </c>
      <c r="K3443" s="18" t="s">
        <v>250</v>
      </c>
      <c r="L3443" s="18">
        <v>54600000</v>
      </c>
      <c r="M3443" s="18" t="s">
        <v>245</v>
      </c>
      <c r="N3443" s="18" t="s">
        <v>2544</v>
      </c>
    </row>
    <row r="3444" spans="1:14" hidden="1" x14ac:dyDescent="0.25">
      <c r="A3444" s="17">
        <v>45870</v>
      </c>
      <c r="B3444" s="18" t="s">
        <v>156</v>
      </c>
      <c r="C3444" s="18">
        <v>87</v>
      </c>
      <c r="D3444" s="18" t="s">
        <v>291</v>
      </c>
      <c r="E3444" s="18" t="s">
        <v>2361</v>
      </c>
      <c r="F3444" s="18" t="s">
        <v>361</v>
      </c>
      <c r="G3444" s="18" t="s">
        <v>158</v>
      </c>
      <c r="H3444" s="18" t="s">
        <v>160</v>
      </c>
      <c r="I3444" s="18"/>
      <c r="J3444" s="18" t="s">
        <v>200</v>
      </c>
      <c r="K3444" s="18" t="s">
        <v>250</v>
      </c>
      <c r="L3444" s="18">
        <v>29600000</v>
      </c>
      <c r="M3444" s="18" t="s">
        <v>245</v>
      </c>
      <c r="N3444" s="18" t="s">
        <v>2545</v>
      </c>
    </row>
    <row r="3445" spans="1:14" hidden="1" x14ac:dyDescent="0.25">
      <c r="A3445" s="17">
        <v>45870</v>
      </c>
      <c r="B3445" s="18" t="s">
        <v>156</v>
      </c>
      <c r="C3445" s="18">
        <v>82</v>
      </c>
      <c r="D3445" s="18" t="s">
        <v>253</v>
      </c>
      <c r="E3445" s="18" t="s">
        <v>2359</v>
      </c>
      <c r="F3445" s="18" t="s">
        <v>2546</v>
      </c>
      <c r="G3445" s="18" t="s">
        <v>158</v>
      </c>
      <c r="H3445" s="18"/>
      <c r="I3445" s="18"/>
      <c r="J3445" s="18" t="s">
        <v>200</v>
      </c>
      <c r="K3445" s="18" t="s">
        <v>255</v>
      </c>
      <c r="L3445" s="18">
        <v>3</v>
      </c>
      <c r="M3445" s="18" t="s">
        <v>251</v>
      </c>
      <c r="N3445" s="18" t="s">
        <v>2547</v>
      </c>
    </row>
    <row r="3446" spans="1:14" hidden="1" x14ac:dyDescent="0.25">
      <c r="A3446" s="17">
        <v>45870</v>
      </c>
      <c r="B3446" s="18" t="s">
        <v>156</v>
      </c>
      <c r="C3446" s="18">
        <v>86</v>
      </c>
      <c r="D3446" s="18" t="s">
        <v>253</v>
      </c>
      <c r="E3446" s="18" t="s">
        <v>2359</v>
      </c>
      <c r="F3446" s="18" t="s">
        <v>2548</v>
      </c>
      <c r="G3446" s="18" t="s">
        <v>158</v>
      </c>
      <c r="H3446" s="18"/>
      <c r="I3446" s="18"/>
      <c r="J3446" s="18" t="s">
        <v>200</v>
      </c>
      <c r="K3446" s="18" t="s">
        <v>255</v>
      </c>
      <c r="L3446" s="18">
        <v>2.4500000000000002</v>
      </c>
      <c r="M3446" s="18" t="s">
        <v>251</v>
      </c>
      <c r="N3446" s="18" t="s">
        <v>2549</v>
      </c>
    </row>
    <row r="3447" spans="1:14" hidden="1" x14ac:dyDescent="0.25">
      <c r="A3447" s="17">
        <v>45870</v>
      </c>
      <c r="B3447" s="18" t="s">
        <v>35</v>
      </c>
      <c r="C3447" s="18">
        <v>11</v>
      </c>
      <c r="D3447" s="18" t="s">
        <v>253</v>
      </c>
      <c r="E3447" s="18" t="s">
        <v>2359</v>
      </c>
      <c r="F3447" s="18" t="s">
        <v>285</v>
      </c>
      <c r="G3447" s="18" t="s">
        <v>63</v>
      </c>
      <c r="H3447" s="18"/>
      <c r="I3447" s="18"/>
      <c r="J3447" s="18" t="s">
        <v>198</v>
      </c>
      <c r="K3447" s="18" t="s">
        <v>255</v>
      </c>
      <c r="L3447" s="18">
        <v>1880000</v>
      </c>
      <c r="M3447" s="18" t="s">
        <v>242</v>
      </c>
      <c r="N3447" s="18" t="s">
        <v>2020</v>
      </c>
    </row>
    <row r="3448" spans="1:14" hidden="1" x14ac:dyDescent="0.25">
      <c r="A3448" s="17">
        <v>45870</v>
      </c>
      <c r="B3448" s="18" t="s">
        <v>35</v>
      </c>
      <c r="C3448" s="18">
        <v>11</v>
      </c>
      <c r="D3448" s="18" t="s">
        <v>253</v>
      </c>
      <c r="E3448" s="18" t="s">
        <v>2359</v>
      </c>
      <c r="F3448" s="18" t="s">
        <v>285</v>
      </c>
      <c r="G3448" s="18" t="s">
        <v>63</v>
      </c>
      <c r="H3448" s="18"/>
      <c r="I3448" s="18"/>
      <c r="J3448" s="18" t="s">
        <v>199</v>
      </c>
      <c r="K3448" s="18" t="s">
        <v>255</v>
      </c>
      <c r="L3448" s="18">
        <v>1920000</v>
      </c>
      <c r="M3448" s="18" t="s">
        <v>242</v>
      </c>
      <c r="N3448" s="18" t="s">
        <v>2191</v>
      </c>
    </row>
    <row r="3449" spans="1:14" hidden="1" x14ac:dyDescent="0.25">
      <c r="A3449" s="17">
        <v>45870</v>
      </c>
      <c r="B3449" s="18" t="s">
        <v>35</v>
      </c>
      <c r="C3449" s="18">
        <v>16</v>
      </c>
      <c r="D3449" s="18" t="s">
        <v>253</v>
      </c>
      <c r="E3449" s="18" t="s">
        <v>2359</v>
      </c>
      <c r="F3449" s="18" t="s">
        <v>240</v>
      </c>
      <c r="G3449" s="18" t="s">
        <v>82</v>
      </c>
      <c r="H3449" s="18"/>
      <c r="I3449" s="18"/>
      <c r="J3449" s="18" t="s">
        <v>198</v>
      </c>
      <c r="K3449" s="18" t="s">
        <v>255</v>
      </c>
      <c r="L3449" s="18">
        <v>13090000</v>
      </c>
      <c r="M3449" s="18" t="s">
        <v>242</v>
      </c>
      <c r="N3449" s="18" t="s">
        <v>2029</v>
      </c>
    </row>
    <row r="3450" spans="1:14" hidden="1" x14ac:dyDescent="0.25">
      <c r="A3450" s="17">
        <v>45870</v>
      </c>
      <c r="B3450" s="18" t="s">
        <v>35</v>
      </c>
      <c r="C3450" s="18">
        <v>16</v>
      </c>
      <c r="D3450" s="18" t="s">
        <v>253</v>
      </c>
      <c r="E3450" s="18" t="s">
        <v>2359</v>
      </c>
      <c r="F3450" s="18" t="s">
        <v>240</v>
      </c>
      <c r="G3450" s="18" t="s">
        <v>82</v>
      </c>
      <c r="H3450" s="18"/>
      <c r="I3450" s="18"/>
      <c r="J3450" s="18" t="s">
        <v>199</v>
      </c>
      <c r="K3450" s="18" t="s">
        <v>255</v>
      </c>
      <c r="L3450" s="18">
        <v>15300000</v>
      </c>
      <c r="M3450" s="18" t="s">
        <v>242</v>
      </c>
      <c r="N3450" s="18" t="s">
        <v>2199</v>
      </c>
    </row>
    <row r="3451" spans="1:14" hidden="1" x14ac:dyDescent="0.25">
      <c r="A3451" s="17">
        <v>45870</v>
      </c>
      <c r="B3451" s="18" t="s">
        <v>35</v>
      </c>
      <c r="C3451" s="18">
        <v>19</v>
      </c>
      <c r="D3451" s="18" t="s">
        <v>253</v>
      </c>
      <c r="E3451" s="18" t="s">
        <v>2359</v>
      </c>
      <c r="F3451" s="18" t="s">
        <v>244</v>
      </c>
      <c r="G3451" s="18" t="s">
        <v>82</v>
      </c>
      <c r="H3451" s="18"/>
      <c r="I3451" s="18"/>
      <c r="J3451" s="18" t="s">
        <v>198</v>
      </c>
      <c r="K3451" s="18" t="s">
        <v>255</v>
      </c>
      <c r="L3451" s="18">
        <v>1600000000</v>
      </c>
      <c r="M3451" s="18" t="s">
        <v>245</v>
      </c>
      <c r="N3451" s="18" t="s">
        <v>438</v>
      </c>
    </row>
    <row r="3452" spans="1:14" hidden="1" x14ac:dyDescent="0.25">
      <c r="A3452" s="17">
        <v>45870</v>
      </c>
      <c r="B3452" s="18" t="s">
        <v>35</v>
      </c>
      <c r="C3452" s="18">
        <v>19</v>
      </c>
      <c r="D3452" s="18" t="s">
        <v>253</v>
      </c>
      <c r="E3452" s="18" t="s">
        <v>2359</v>
      </c>
      <c r="F3452" s="18" t="s">
        <v>244</v>
      </c>
      <c r="G3452" s="18" t="s">
        <v>82</v>
      </c>
      <c r="H3452" s="18"/>
      <c r="I3452" s="18"/>
      <c r="J3452" s="18" t="s">
        <v>199</v>
      </c>
      <c r="K3452" s="18" t="s">
        <v>255</v>
      </c>
      <c r="L3452" s="18">
        <v>1860000000</v>
      </c>
      <c r="M3452" s="18" t="s">
        <v>245</v>
      </c>
      <c r="N3452" s="18" t="s">
        <v>2550</v>
      </c>
    </row>
    <row r="3453" spans="1:14" hidden="1" x14ac:dyDescent="0.25">
      <c r="A3453" s="17">
        <v>45870</v>
      </c>
      <c r="B3453" s="18" t="s">
        <v>35</v>
      </c>
      <c r="C3453" s="18">
        <v>22</v>
      </c>
      <c r="D3453" s="18" t="s">
        <v>253</v>
      </c>
      <c r="E3453" s="18" t="s">
        <v>2359</v>
      </c>
      <c r="F3453" s="18" t="s">
        <v>334</v>
      </c>
      <c r="G3453" s="18" t="s">
        <v>82</v>
      </c>
      <c r="H3453" s="18"/>
      <c r="I3453" s="18"/>
      <c r="J3453" s="18" t="s">
        <v>198</v>
      </c>
      <c r="K3453" s="18" t="s">
        <v>255</v>
      </c>
      <c r="L3453" s="18">
        <v>122</v>
      </c>
      <c r="M3453" s="18" t="s">
        <v>245</v>
      </c>
      <c r="N3453" s="18" t="s">
        <v>2039</v>
      </c>
    </row>
    <row r="3454" spans="1:14" hidden="1" x14ac:dyDescent="0.25">
      <c r="A3454" s="17">
        <v>45870</v>
      </c>
      <c r="B3454" s="18" t="s">
        <v>35</v>
      </c>
      <c r="C3454" s="18">
        <v>22</v>
      </c>
      <c r="D3454" s="18" t="s">
        <v>253</v>
      </c>
      <c r="E3454" s="18" t="s">
        <v>2359</v>
      </c>
      <c r="F3454" s="18" t="s">
        <v>334</v>
      </c>
      <c r="G3454" s="18" t="s">
        <v>82</v>
      </c>
      <c r="H3454" s="18"/>
      <c r="I3454" s="18"/>
      <c r="J3454" s="18" t="s">
        <v>199</v>
      </c>
      <c r="K3454" s="18" t="s">
        <v>255</v>
      </c>
      <c r="L3454" s="18">
        <v>122</v>
      </c>
      <c r="M3454" s="18" t="s">
        <v>245</v>
      </c>
      <c r="N3454" s="18" t="s">
        <v>2039</v>
      </c>
    </row>
    <row r="3455" spans="1:14" hidden="1" x14ac:dyDescent="0.25">
      <c r="A3455" s="17">
        <v>45870</v>
      </c>
      <c r="B3455" s="18" t="s">
        <v>97</v>
      </c>
      <c r="C3455" s="18">
        <v>27</v>
      </c>
      <c r="D3455" s="18" t="s">
        <v>253</v>
      </c>
      <c r="E3455" s="18" t="s">
        <v>2359</v>
      </c>
      <c r="F3455" s="18" t="s">
        <v>285</v>
      </c>
      <c r="G3455" s="18" t="s">
        <v>63</v>
      </c>
      <c r="H3455" s="18"/>
      <c r="I3455" s="18"/>
      <c r="J3455" s="18" t="s">
        <v>198</v>
      </c>
      <c r="K3455" s="18" t="s">
        <v>255</v>
      </c>
      <c r="L3455" s="18">
        <v>2670000</v>
      </c>
      <c r="M3455" s="18" t="s">
        <v>242</v>
      </c>
      <c r="N3455" s="18" t="s">
        <v>2122</v>
      </c>
    </row>
    <row r="3456" spans="1:14" hidden="1" x14ac:dyDescent="0.25">
      <c r="A3456" s="17">
        <v>45870</v>
      </c>
      <c r="B3456" s="18" t="s">
        <v>97</v>
      </c>
      <c r="C3456" s="18">
        <v>27</v>
      </c>
      <c r="D3456" s="18" t="s">
        <v>253</v>
      </c>
      <c r="E3456" s="18" t="s">
        <v>2359</v>
      </c>
      <c r="F3456" s="18" t="s">
        <v>285</v>
      </c>
      <c r="G3456" s="18" t="s">
        <v>63</v>
      </c>
      <c r="H3456" s="18"/>
      <c r="I3456" s="18"/>
      <c r="J3456" s="18" t="s">
        <v>199</v>
      </c>
      <c r="K3456" s="18" t="s">
        <v>255</v>
      </c>
      <c r="L3456" s="18">
        <v>2630000</v>
      </c>
      <c r="M3456" s="18" t="s">
        <v>242</v>
      </c>
      <c r="N3456" s="18" t="s">
        <v>1776</v>
      </c>
    </row>
    <row r="3457" spans="1:14" hidden="1" x14ac:dyDescent="0.25">
      <c r="A3457" s="17">
        <v>45870</v>
      </c>
      <c r="B3457" s="18" t="s">
        <v>97</v>
      </c>
      <c r="C3457" s="18">
        <v>32</v>
      </c>
      <c r="D3457" s="18" t="s">
        <v>253</v>
      </c>
      <c r="E3457" s="18" t="s">
        <v>2359</v>
      </c>
      <c r="F3457" s="18" t="s">
        <v>240</v>
      </c>
      <c r="G3457" s="18" t="s">
        <v>82</v>
      </c>
      <c r="H3457" s="18"/>
      <c r="I3457" s="18"/>
      <c r="J3457" s="18" t="s">
        <v>198</v>
      </c>
      <c r="K3457" s="18" t="s">
        <v>255</v>
      </c>
      <c r="L3457" s="18">
        <v>7990000</v>
      </c>
      <c r="M3457" s="18" t="s">
        <v>242</v>
      </c>
      <c r="N3457" s="18" t="s">
        <v>2086</v>
      </c>
    </row>
    <row r="3458" spans="1:14" hidden="1" x14ac:dyDescent="0.25">
      <c r="A3458" s="17">
        <v>45870</v>
      </c>
      <c r="B3458" s="18" t="s">
        <v>97</v>
      </c>
      <c r="C3458" s="18">
        <v>32</v>
      </c>
      <c r="D3458" s="18" t="s">
        <v>253</v>
      </c>
      <c r="E3458" s="18" t="s">
        <v>2359</v>
      </c>
      <c r="F3458" s="18" t="s">
        <v>240</v>
      </c>
      <c r="G3458" s="18" t="s">
        <v>82</v>
      </c>
      <c r="H3458" s="18"/>
      <c r="I3458" s="18"/>
      <c r="J3458" s="18" t="s">
        <v>199</v>
      </c>
      <c r="K3458" s="18" t="s">
        <v>255</v>
      </c>
      <c r="L3458" s="18">
        <v>9150000</v>
      </c>
      <c r="M3458" s="18" t="s">
        <v>242</v>
      </c>
      <c r="N3458" s="18" t="s">
        <v>2255</v>
      </c>
    </row>
    <row r="3459" spans="1:14" hidden="1" x14ac:dyDescent="0.25">
      <c r="A3459" s="17">
        <v>45870</v>
      </c>
      <c r="B3459" s="18" t="s">
        <v>97</v>
      </c>
      <c r="C3459" s="18">
        <v>35</v>
      </c>
      <c r="D3459" s="18" t="s">
        <v>253</v>
      </c>
      <c r="E3459" s="18" t="s">
        <v>2359</v>
      </c>
      <c r="F3459" s="18" t="s">
        <v>244</v>
      </c>
      <c r="G3459" s="18" t="s">
        <v>82</v>
      </c>
      <c r="H3459" s="18"/>
      <c r="I3459" s="18"/>
      <c r="J3459" s="18" t="s">
        <v>198</v>
      </c>
      <c r="K3459" s="18" t="s">
        <v>255</v>
      </c>
      <c r="L3459" s="18">
        <v>525000000</v>
      </c>
      <c r="M3459" s="18" t="s">
        <v>245</v>
      </c>
      <c r="N3459" s="18" t="s">
        <v>2148</v>
      </c>
    </row>
    <row r="3460" spans="1:14" hidden="1" x14ac:dyDescent="0.25">
      <c r="A3460" s="17">
        <v>45870</v>
      </c>
      <c r="B3460" s="18" t="s">
        <v>97</v>
      </c>
      <c r="C3460" s="18">
        <v>35</v>
      </c>
      <c r="D3460" s="18" t="s">
        <v>253</v>
      </c>
      <c r="E3460" s="18" t="s">
        <v>2359</v>
      </c>
      <c r="F3460" s="18" t="s">
        <v>244</v>
      </c>
      <c r="G3460" s="18" t="s">
        <v>82</v>
      </c>
      <c r="H3460" s="18"/>
      <c r="I3460" s="18"/>
      <c r="J3460" s="18" t="s">
        <v>199</v>
      </c>
      <c r="K3460" s="18" t="s">
        <v>255</v>
      </c>
      <c r="L3460" s="18">
        <v>588000000</v>
      </c>
      <c r="M3460" s="18" t="s">
        <v>245</v>
      </c>
      <c r="N3460" s="18" t="s">
        <v>2313</v>
      </c>
    </row>
    <row r="3461" spans="1:14" hidden="1" x14ac:dyDescent="0.25">
      <c r="A3461" s="17">
        <v>45870</v>
      </c>
      <c r="B3461" s="18" t="s">
        <v>97</v>
      </c>
      <c r="C3461" s="18">
        <v>38</v>
      </c>
      <c r="D3461" s="18" t="s">
        <v>253</v>
      </c>
      <c r="E3461" s="18" t="s">
        <v>2359</v>
      </c>
      <c r="F3461" s="18" t="s">
        <v>334</v>
      </c>
      <c r="G3461" s="18" t="s">
        <v>82</v>
      </c>
      <c r="H3461" s="18"/>
      <c r="I3461" s="18"/>
      <c r="J3461" s="18" t="s">
        <v>198</v>
      </c>
      <c r="K3461" s="18" t="s">
        <v>255</v>
      </c>
      <c r="L3461" s="18">
        <v>66</v>
      </c>
      <c r="M3461" s="18" t="s">
        <v>245</v>
      </c>
      <c r="N3461" s="18" t="s">
        <v>1989</v>
      </c>
    </row>
    <row r="3462" spans="1:14" hidden="1" x14ac:dyDescent="0.25">
      <c r="A3462" s="17">
        <v>45870</v>
      </c>
      <c r="B3462" s="18" t="s">
        <v>97</v>
      </c>
      <c r="C3462" s="18">
        <v>38</v>
      </c>
      <c r="D3462" s="18" t="s">
        <v>253</v>
      </c>
      <c r="E3462" s="18" t="s">
        <v>2359</v>
      </c>
      <c r="F3462" s="18" t="s">
        <v>334</v>
      </c>
      <c r="G3462" s="18" t="s">
        <v>82</v>
      </c>
      <c r="H3462" s="18"/>
      <c r="I3462" s="18"/>
      <c r="J3462" s="18" t="s">
        <v>199</v>
      </c>
      <c r="K3462" s="18" t="s">
        <v>255</v>
      </c>
      <c r="L3462" s="18">
        <v>64</v>
      </c>
      <c r="M3462" s="18" t="s">
        <v>245</v>
      </c>
      <c r="N3462" s="18" t="s">
        <v>2326</v>
      </c>
    </row>
    <row r="3463" spans="1:14" hidden="1" x14ac:dyDescent="0.25">
      <c r="A3463" s="17">
        <v>45870</v>
      </c>
      <c r="B3463" s="18" t="s">
        <v>120</v>
      </c>
      <c r="C3463" s="18">
        <v>62</v>
      </c>
      <c r="D3463" s="18" t="s">
        <v>253</v>
      </c>
      <c r="E3463" s="18" t="s">
        <v>2359</v>
      </c>
      <c r="F3463" s="18" t="s">
        <v>285</v>
      </c>
      <c r="G3463" s="18" t="s">
        <v>63</v>
      </c>
      <c r="H3463" s="18"/>
      <c r="I3463" s="18"/>
      <c r="J3463" s="18" t="s">
        <v>198</v>
      </c>
      <c r="K3463" s="18" t="s">
        <v>255</v>
      </c>
      <c r="L3463" s="18">
        <v>4760000</v>
      </c>
      <c r="M3463" s="18" t="s">
        <v>242</v>
      </c>
      <c r="N3463" s="18" t="s">
        <v>2057</v>
      </c>
    </row>
    <row r="3464" spans="1:14" hidden="1" x14ac:dyDescent="0.25">
      <c r="A3464" s="17">
        <v>45870</v>
      </c>
      <c r="B3464" s="18" t="s">
        <v>120</v>
      </c>
      <c r="C3464" s="18">
        <v>62</v>
      </c>
      <c r="D3464" s="18" t="s">
        <v>253</v>
      </c>
      <c r="E3464" s="18" t="s">
        <v>2359</v>
      </c>
      <c r="F3464" s="18" t="s">
        <v>285</v>
      </c>
      <c r="G3464" s="18" t="s">
        <v>63</v>
      </c>
      <c r="H3464" s="18"/>
      <c r="I3464" s="18"/>
      <c r="J3464" s="18" t="s">
        <v>199</v>
      </c>
      <c r="K3464" s="18" t="s">
        <v>255</v>
      </c>
      <c r="L3464" s="18">
        <v>4810000</v>
      </c>
      <c r="M3464" s="18" t="s">
        <v>242</v>
      </c>
      <c r="N3464" s="18" t="s">
        <v>2228</v>
      </c>
    </row>
    <row r="3465" spans="1:14" hidden="1" x14ac:dyDescent="0.25">
      <c r="A3465" s="17">
        <v>45870</v>
      </c>
      <c r="B3465" s="18" t="s">
        <v>120</v>
      </c>
      <c r="C3465" s="18">
        <v>65</v>
      </c>
      <c r="D3465" s="18" t="s">
        <v>253</v>
      </c>
      <c r="E3465" s="18" t="s">
        <v>2359</v>
      </c>
      <c r="F3465" s="18" t="s">
        <v>240</v>
      </c>
      <c r="G3465" s="18" t="s">
        <v>82</v>
      </c>
      <c r="H3465" s="18"/>
      <c r="I3465" s="18"/>
      <c r="J3465" s="18" t="s">
        <v>198</v>
      </c>
      <c r="K3465" s="18" t="s">
        <v>255</v>
      </c>
      <c r="L3465" s="18">
        <v>6130000</v>
      </c>
      <c r="M3465" s="18" t="s">
        <v>242</v>
      </c>
      <c r="N3465" s="18" t="s">
        <v>2062</v>
      </c>
    </row>
    <row r="3466" spans="1:14" hidden="1" x14ac:dyDescent="0.25">
      <c r="A3466" s="17">
        <v>45870</v>
      </c>
      <c r="B3466" s="18" t="s">
        <v>120</v>
      </c>
      <c r="C3466" s="18">
        <v>65</v>
      </c>
      <c r="D3466" s="18" t="s">
        <v>253</v>
      </c>
      <c r="E3466" s="18" t="s">
        <v>2359</v>
      </c>
      <c r="F3466" s="18" t="s">
        <v>240</v>
      </c>
      <c r="G3466" s="18" t="s">
        <v>82</v>
      </c>
      <c r="H3466" s="18"/>
      <c r="I3466" s="18"/>
      <c r="J3466" s="18" t="s">
        <v>199</v>
      </c>
      <c r="K3466" s="18" t="s">
        <v>255</v>
      </c>
      <c r="L3466" s="18">
        <v>6580000</v>
      </c>
      <c r="M3466" s="18" t="s">
        <v>242</v>
      </c>
      <c r="N3466" s="18" t="s">
        <v>2232</v>
      </c>
    </row>
    <row r="3467" spans="1:14" hidden="1" x14ac:dyDescent="0.25">
      <c r="A3467" s="17">
        <v>45870</v>
      </c>
      <c r="B3467" s="18" t="s">
        <v>120</v>
      </c>
      <c r="C3467" s="18">
        <v>68</v>
      </c>
      <c r="D3467" s="18" t="s">
        <v>253</v>
      </c>
      <c r="E3467" s="18" t="s">
        <v>2359</v>
      </c>
      <c r="F3467" s="18" t="s">
        <v>244</v>
      </c>
      <c r="G3467" s="18" t="s">
        <v>82</v>
      </c>
      <c r="H3467" s="18"/>
      <c r="I3467" s="18"/>
      <c r="J3467" s="18" t="s">
        <v>198</v>
      </c>
      <c r="K3467" s="18" t="s">
        <v>255</v>
      </c>
      <c r="L3467" s="18">
        <v>1130000000</v>
      </c>
      <c r="M3467" s="18" t="s">
        <v>245</v>
      </c>
      <c r="N3467" s="18" t="s">
        <v>1551</v>
      </c>
    </row>
    <row r="3468" spans="1:14" hidden="1" x14ac:dyDescent="0.25">
      <c r="A3468" s="17">
        <v>45870</v>
      </c>
      <c r="B3468" s="18" t="s">
        <v>120</v>
      </c>
      <c r="C3468" s="18">
        <v>68</v>
      </c>
      <c r="D3468" s="18" t="s">
        <v>253</v>
      </c>
      <c r="E3468" s="18" t="s">
        <v>2359</v>
      </c>
      <c r="F3468" s="18" t="s">
        <v>244</v>
      </c>
      <c r="G3468" s="18" t="s">
        <v>82</v>
      </c>
      <c r="H3468" s="18"/>
      <c r="I3468" s="18"/>
      <c r="J3468" s="18" t="s">
        <v>199</v>
      </c>
      <c r="K3468" s="18" t="s">
        <v>255</v>
      </c>
      <c r="L3468" s="18">
        <v>1400000000</v>
      </c>
      <c r="M3468" s="18" t="s">
        <v>245</v>
      </c>
      <c r="N3468" s="18" t="s">
        <v>2240</v>
      </c>
    </row>
    <row r="3469" spans="1:14" hidden="1" x14ac:dyDescent="0.25">
      <c r="A3469" s="17">
        <v>45870</v>
      </c>
      <c r="B3469" s="18" t="s">
        <v>120</v>
      </c>
      <c r="C3469" s="18">
        <v>71</v>
      </c>
      <c r="D3469" s="18" t="s">
        <v>253</v>
      </c>
      <c r="E3469" s="18" t="s">
        <v>2359</v>
      </c>
      <c r="F3469" s="18" t="s">
        <v>334</v>
      </c>
      <c r="G3469" s="18" t="s">
        <v>82</v>
      </c>
      <c r="H3469" s="18"/>
      <c r="I3469" s="18"/>
      <c r="J3469" s="18" t="s">
        <v>198</v>
      </c>
      <c r="K3469" s="18" t="s">
        <v>255</v>
      </c>
      <c r="L3469" s="18">
        <v>184</v>
      </c>
      <c r="M3469" s="18" t="s">
        <v>245</v>
      </c>
      <c r="N3469" s="18" t="s">
        <v>2077</v>
      </c>
    </row>
    <row r="3470" spans="1:14" hidden="1" x14ac:dyDescent="0.25">
      <c r="A3470" s="17">
        <v>45870</v>
      </c>
      <c r="B3470" s="18" t="s">
        <v>120</v>
      </c>
      <c r="C3470" s="18">
        <v>71</v>
      </c>
      <c r="D3470" s="18" t="s">
        <v>253</v>
      </c>
      <c r="E3470" s="18" t="s">
        <v>2359</v>
      </c>
      <c r="F3470" s="18" t="s">
        <v>334</v>
      </c>
      <c r="G3470" s="18" t="s">
        <v>82</v>
      </c>
      <c r="H3470" s="18"/>
      <c r="I3470" s="18"/>
      <c r="J3470" s="18" t="s">
        <v>199</v>
      </c>
      <c r="K3470" s="18" t="s">
        <v>255</v>
      </c>
      <c r="L3470" s="18">
        <v>212</v>
      </c>
      <c r="M3470" s="18" t="s">
        <v>245</v>
      </c>
      <c r="N3470" s="18" t="s">
        <v>2246</v>
      </c>
    </row>
    <row r="3471" spans="1:14" hidden="1" x14ac:dyDescent="0.25">
      <c r="A3471" s="17">
        <v>45870</v>
      </c>
      <c r="B3471" s="18" t="s">
        <v>142</v>
      </c>
      <c r="C3471" s="18">
        <v>74</v>
      </c>
      <c r="D3471" s="18" t="s">
        <v>253</v>
      </c>
      <c r="E3471" s="18" t="s">
        <v>2359</v>
      </c>
      <c r="F3471" s="18" t="s">
        <v>544</v>
      </c>
      <c r="G3471" s="18" t="s">
        <v>82</v>
      </c>
      <c r="H3471" s="18"/>
      <c r="I3471" s="18"/>
      <c r="J3471" s="18" t="s">
        <v>198</v>
      </c>
      <c r="K3471" s="18" t="s">
        <v>255</v>
      </c>
      <c r="L3471" s="18">
        <v>970000</v>
      </c>
      <c r="M3471" s="18" t="s">
        <v>242</v>
      </c>
      <c r="N3471" s="18" t="s">
        <v>1837</v>
      </c>
    </row>
    <row r="3472" spans="1:14" hidden="1" x14ac:dyDescent="0.25">
      <c r="A3472" s="17">
        <v>45870</v>
      </c>
      <c r="B3472" s="18" t="s">
        <v>142</v>
      </c>
      <c r="C3472" s="18">
        <v>74</v>
      </c>
      <c r="D3472" s="18" t="s">
        <v>253</v>
      </c>
      <c r="E3472" s="18" t="s">
        <v>2359</v>
      </c>
      <c r="F3472" s="18" t="s">
        <v>544</v>
      </c>
      <c r="G3472" s="18" t="s">
        <v>82</v>
      </c>
      <c r="H3472" s="18"/>
      <c r="I3472" s="18"/>
      <c r="J3472" s="18" t="s">
        <v>199</v>
      </c>
      <c r="K3472" s="18" t="s">
        <v>255</v>
      </c>
      <c r="L3472" s="18">
        <v>1050000</v>
      </c>
      <c r="M3472" s="18" t="s">
        <v>242</v>
      </c>
      <c r="N3472" s="18" t="s">
        <v>2551</v>
      </c>
    </row>
    <row r="3473" spans="1:14" hidden="1" x14ac:dyDescent="0.25">
      <c r="A3473" s="17">
        <v>45870</v>
      </c>
      <c r="B3473" s="18" t="s">
        <v>142</v>
      </c>
      <c r="C3473" s="18">
        <v>76</v>
      </c>
      <c r="D3473" s="18" t="s">
        <v>253</v>
      </c>
      <c r="E3473" s="18" t="s">
        <v>2359</v>
      </c>
      <c r="F3473" s="18" t="s">
        <v>929</v>
      </c>
      <c r="G3473" s="18" t="s">
        <v>82</v>
      </c>
      <c r="H3473" s="18"/>
      <c r="I3473" s="18"/>
      <c r="J3473" s="18" t="s">
        <v>198</v>
      </c>
      <c r="K3473" s="18" t="s">
        <v>255</v>
      </c>
      <c r="L3473" s="18">
        <v>780000000</v>
      </c>
      <c r="M3473" s="18" t="s">
        <v>245</v>
      </c>
      <c r="N3473" s="18" t="s">
        <v>2014</v>
      </c>
    </row>
    <row r="3474" spans="1:14" hidden="1" x14ac:dyDescent="0.25">
      <c r="A3474" s="17">
        <v>45870</v>
      </c>
      <c r="B3474" s="18" t="s">
        <v>142</v>
      </c>
      <c r="C3474" s="18">
        <v>76</v>
      </c>
      <c r="D3474" s="18" t="s">
        <v>253</v>
      </c>
      <c r="E3474" s="18" t="s">
        <v>2359</v>
      </c>
      <c r="F3474" s="18" t="s">
        <v>929</v>
      </c>
      <c r="G3474" s="18" t="s">
        <v>82</v>
      </c>
      <c r="H3474" s="18"/>
      <c r="I3474" s="18"/>
      <c r="J3474" s="18" t="s">
        <v>199</v>
      </c>
      <c r="K3474" s="18" t="s">
        <v>255</v>
      </c>
      <c r="L3474" s="18">
        <v>903000000</v>
      </c>
      <c r="M3474" s="18" t="s">
        <v>245</v>
      </c>
      <c r="N3474" s="18" t="s">
        <v>2185</v>
      </c>
    </row>
    <row r="3475" spans="1:14" hidden="1" x14ac:dyDescent="0.25">
      <c r="A3475" s="17">
        <v>45870</v>
      </c>
      <c r="B3475" s="18" t="s">
        <v>156</v>
      </c>
      <c r="C3475" s="18">
        <v>80</v>
      </c>
      <c r="D3475" s="18" t="s">
        <v>253</v>
      </c>
      <c r="E3475" s="18" t="s">
        <v>2359</v>
      </c>
      <c r="F3475" s="18" t="s">
        <v>344</v>
      </c>
      <c r="G3475" s="18" t="s">
        <v>158</v>
      </c>
      <c r="H3475" s="18"/>
      <c r="I3475" s="18"/>
      <c r="J3475" s="18" t="s">
        <v>198</v>
      </c>
      <c r="K3475" s="18" t="s">
        <v>255</v>
      </c>
      <c r="L3475" s="18">
        <v>562000</v>
      </c>
      <c r="M3475" s="18" t="s">
        <v>242</v>
      </c>
      <c r="N3475" s="18" t="s">
        <v>2045</v>
      </c>
    </row>
    <row r="3476" spans="1:14" hidden="1" x14ac:dyDescent="0.25">
      <c r="A3476" s="17">
        <v>45870</v>
      </c>
      <c r="B3476" s="18" t="s">
        <v>156</v>
      </c>
      <c r="C3476" s="18">
        <v>80</v>
      </c>
      <c r="D3476" s="18" t="s">
        <v>253</v>
      </c>
      <c r="E3476" s="18" t="s">
        <v>2359</v>
      </c>
      <c r="F3476" s="18" t="s">
        <v>344</v>
      </c>
      <c r="G3476" s="18" t="s">
        <v>158</v>
      </c>
      <c r="H3476" s="18"/>
      <c r="I3476" s="18"/>
      <c r="J3476" s="18" t="s">
        <v>199</v>
      </c>
      <c r="K3476" s="18" t="s">
        <v>255</v>
      </c>
      <c r="L3476" s="18">
        <v>551000</v>
      </c>
      <c r="M3476" s="18" t="s">
        <v>242</v>
      </c>
      <c r="N3476" s="18" t="s">
        <v>2217</v>
      </c>
    </row>
    <row r="3477" spans="1:14" hidden="1" x14ac:dyDescent="0.25">
      <c r="A3477" s="17">
        <v>45870</v>
      </c>
      <c r="B3477" s="18" t="s">
        <v>156</v>
      </c>
      <c r="C3477" s="18">
        <v>81</v>
      </c>
      <c r="D3477" s="18" t="s">
        <v>253</v>
      </c>
      <c r="E3477" s="18" t="s">
        <v>2359</v>
      </c>
      <c r="F3477" s="18" t="s">
        <v>349</v>
      </c>
      <c r="G3477" s="18" t="s">
        <v>158</v>
      </c>
      <c r="H3477" s="18"/>
      <c r="I3477" s="18"/>
      <c r="J3477" s="18" t="s">
        <v>198</v>
      </c>
      <c r="K3477" s="18" t="s">
        <v>255</v>
      </c>
      <c r="L3477" s="18">
        <v>21300</v>
      </c>
      <c r="M3477" s="18" t="s">
        <v>242</v>
      </c>
      <c r="N3477" s="18" t="s">
        <v>2047</v>
      </c>
    </row>
    <row r="3478" spans="1:14" hidden="1" x14ac:dyDescent="0.25">
      <c r="A3478" s="17">
        <v>45870</v>
      </c>
      <c r="B3478" s="18" t="s">
        <v>156</v>
      </c>
      <c r="C3478" s="18">
        <v>81</v>
      </c>
      <c r="D3478" s="18" t="s">
        <v>253</v>
      </c>
      <c r="E3478" s="18" t="s">
        <v>2359</v>
      </c>
      <c r="F3478" s="18" t="s">
        <v>349</v>
      </c>
      <c r="G3478" s="18" t="s">
        <v>158</v>
      </c>
      <c r="H3478" s="18"/>
      <c r="I3478" s="18"/>
      <c r="J3478" s="18" t="s">
        <v>199</v>
      </c>
      <c r="K3478" s="18" t="s">
        <v>255</v>
      </c>
      <c r="L3478" s="18">
        <v>17300</v>
      </c>
      <c r="M3478" s="18" t="s">
        <v>242</v>
      </c>
      <c r="N3478" s="18" t="s">
        <v>2219</v>
      </c>
    </row>
    <row r="3479" spans="1:14" hidden="1" x14ac:dyDescent="0.25">
      <c r="A3479" s="17">
        <v>45870</v>
      </c>
      <c r="B3479" s="18" t="s">
        <v>156</v>
      </c>
      <c r="C3479" s="18">
        <v>84</v>
      </c>
      <c r="D3479" s="18" t="s">
        <v>253</v>
      </c>
      <c r="E3479" s="18" t="s">
        <v>2359</v>
      </c>
      <c r="F3479" s="18" t="s">
        <v>356</v>
      </c>
      <c r="G3479" s="18" t="s">
        <v>158</v>
      </c>
      <c r="H3479" s="18"/>
      <c r="I3479" s="18"/>
      <c r="J3479" s="18" t="s">
        <v>198</v>
      </c>
      <c r="K3479" s="18" t="s">
        <v>255</v>
      </c>
      <c r="L3479" s="18">
        <v>3350000000</v>
      </c>
      <c r="M3479" s="18" t="s">
        <v>245</v>
      </c>
      <c r="N3479" s="18" t="s">
        <v>2552</v>
      </c>
    </row>
    <row r="3480" spans="1:14" hidden="1" x14ac:dyDescent="0.25">
      <c r="A3480" s="17">
        <v>45870</v>
      </c>
      <c r="B3480" s="18" t="s">
        <v>156</v>
      </c>
      <c r="C3480" s="18">
        <v>84</v>
      </c>
      <c r="D3480" s="18" t="s">
        <v>253</v>
      </c>
      <c r="E3480" s="18" t="s">
        <v>2359</v>
      </c>
      <c r="F3480" s="18" t="s">
        <v>356</v>
      </c>
      <c r="G3480" s="18" t="s">
        <v>158</v>
      </c>
      <c r="H3480" s="18"/>
      <c r="I3480" s="18"/>
      <c r="J3480" s="18" t="s">
        <v>199</v>
      </c>
      <c r="K3480" s="18" t="s">
        <v>255</v>
      </c>
      <c r="L3480" s="18">
        <v>3680000000</v>
      </c>
      <c r="M3480" s="18" t="s">
        <v>245</v>
      </c>
      <c r="N3480" s="18" t="s">
        <v>2553</v>
      </c>
    </row>
    <row r="3481" spans="1:14" hidden="1" x14ac:dyDescent="0.25">
      <c r="A3481" s="17">
        <v>45870</v>
      </c>
      <c r="B3481" s="18" t="s">
        <v>156</v>
      </c>
      <c r="C3481" s="18">
        <v>85</v>
      </c>
      <c r="D3481" s="18" t="s">
        <v>253</v>
      </c>
      <c r="E3481" s="18" t="s">
        <v>2359</v>
      </c>
      <c r="F3481" s="18" t="s">
        <v>361</v>
      </c>
      <c r="G3481" s="18" t="s">
        <v>158</v>
      </c>
      <c r="H3481" s="18"/>
      <c r="I3481" s="18"/>
      <c r="J3481" s="18" t="s">
        <v>198</v>
      </c>
      <c r="K3481" s="18" t="s">
        <v>255</v>
      </c>
      <c r="L3481" s="18">
        <v>113000000</v>
      </c>
      <c r="M3481" s="18" t="s">
        <v>245</v>
      </c>
      <c r="N3481" s="18" t="s">
        <v>2051</v>
      </c>
    </row>
    <row r="3482" spans="1:14" hidden="1" x14ac:dyDescent="0.25">
      <c r="A3482" s="17">
        <v>45870</v>
      </c>
      <c r="B3482" s="18" t="s">
        <v>156</v>
      </c>
      <c r="C3482" s="18">
        <v>85</v>
      </c>
      <c r="D3482" s="18" t="s">
        <v>253</v>
      </c>
      <c r="E3482" s="18" t="s">
        <v>2359</v>
      </c>
      <c r="F3482" s="18" t="s">
        <v>361</v>
      </c>
      <c r="G3482" s="18" t="s">
        <v>158</v>
      </c>
      <c r="H3482" s="18"/>
      <c r="I3482" s="18"/>
      <c r="J3482" s="18" t="s">
        <v>199</v>
      </c>
      <c r="K3482" s="18" t="s">
        <v>255</v>
      </c>
      <c r="L3482" s="18">
        <v>109000000</v>
      </c>
      <c r="M3482" s="18" t="s">
        <v>245</v>
      </c>
      <c r="N3482" s="18" t="s">
        <v>2224</v>
      </c>
    </row>
    <row r="3483" spans="1:14" hidden="1" x14ac:dyDescent="0.25">
      <c r="A3483" s="17">
        <v>45870</v>
      </c>
      <c r="B3483" s="18" t="s">
        <v>35</v>
      </c>
      <c r="C3483" s="18">
        <v>11</v>
      </c>
      <c r="D3483" s="18" t="s">
        <v>247</v>
      </c>
      <c r="E3483" s="18" t="s">
        <v>2554</v>
      </c>
      <c r="F3483" s="18" t="s">
        <v>2555</v>
      </c>
      <c r="G3483" s="18" t="s">
        <v>63</v>
      </c>
      <c r="H3483" s="18" t="s">
        <v>286</v>
      </c>
      <c r="I3483" s="18"/>
      <c r="J3483" s="18" t="s">
        <v>200</v>
      </c>
      <c r="K3483" s="18" t="s">
        <v>250</v>
      </c>
      <c r="L3483" s="18">
        <v>2.1</v>
      </c>
      <c r="M3483" s="18" t="s">
        <v>251</v>
      </c>
      <c r="N3483" s="18" t="s">
        <v>1498</v>
      </c>
    </row>
    <row r="3484" spans="1:14" hidden="1" x14ac:dyDescent="0.25">
      <c r="A3484" s="17">
        <v>45870</v>
      </c>
      <c r="B3484" s="18" t="s">
        <v>35</v>
      </c>
      <c r="C3484" s="18">
        <v>16</v>
      </c>
      <c r="D3484" s="18" t="s">
        <v>247</v>
      </c>
      <c r="E3484" s="18" t="s">
        <v>2554</v>
      </c>
      <c r="F3484" s="18" t="s">
        <v>2556</v>
      </c>
      <c r="G3484" s="18" t="s">
        <v>82</v>
      </c>
      <c r="H3484" s="18" t="s">
        <v>286</v>
      </c>
      <c r="I3484" s="18"/>
      <c r="J3484" s="18" t="s">
        <v>200</v>
      </c>
      <c r="K3484" s="18" t="s">
        <v>250</v>
      </c>
      <c r="L3484" s="18">
        <v>3</v>
      </c>
      <c r="M3484" s="18" t="s">
        <v>251</v>
      </c>
      <c r="N3484" s="18" t="s">
        <v>1531</v>
      </c>
    </row>
    <row r="3485" spans="1:14" hidden="1" x14ac:dyDescent="0.25">
      <c r="A3485" s="17">
        <v>45870</v>
      </c>
      <c r="B3485" s="18" t="s">
        <v>35</v>
      </c>
      <c r="C3485" s="18">
        <v>19</v>
      </c>
      <c r="D3485" s="18" t="s">
        <v>247</v>
      </c>
      <c r="E3485" s="18" t="s">
        <v>2554</v>
      </c>
      <c r="F3485" s="18" t="s">
        <v>2557</v>
      </c>
      <c r="G3485" s="18" t="s">
        <v>82</v>
      </c>
      <c r="H3485" s="18" t="s">
        <v>286</v>
      </c>
      <c r="I3485" s="18"/>
      <c r="J3485" s="18" t="s">
        <v>200</v>
      </c>
      <c r="K3485" s="18" t="s">
        <v>250</v>
      </c>
      <c r="L3485" s="18">
        <v>1.1000000000000001</v>
      </c>
      <c r="M3485" s="18" t="s">
        <v>251</v>
      </c>
      <c r="N3485" s="18" t="s">
        <v>1235</v>
      </c>
    </row>
    <row r="3486" spans="1:14" hidden="1" x14ac:dyDescent="0.25">
      <c r="A3486" s="17">
        <v>45870</v>
      </c>
      <c r="B3486" s="18" t="s">
        <v>97</v>
      </c>
      <c r="C3486" s="18">
        <v>27</v>
      </c>
      <c r="D3486" s="18" t="s">
        <v>247</v>
      </c>
      <c r="E3486" s="18" t="s">
        <v>2554</v>
      </c>
      <c r="F3486" s="18" t="s">
        <v>2555</v>
      </c>
      <c r="G3486" s="18" t="s">
        <v>63</v>
      </c>
      <c r="H3486" s="18" t="s">
        <v>286</v>
      </c>
      <c r="I3486" s="18"/>
      <c r="J3486" s="18" t="s">
        <v>200</v>
      </c>
      <c r="K3486" s="18" t="s">
        <v>250</v>
      </c>
      <c r="L3486" s="18">
        <v>1.3</v>
      </c>
      <c r="M3486" s="18" t="s">
        <v>251</v>
      </c>
      <c r="N3486" s="18" t="s">
        <v>1230</v>
      </c>
    </row>
    <row r="3487" spans="1:14" hidden="1" x14ac:dyDescent="0.25">
      <c r="A3487" s="17">
        <v>45870</v>
      </c>
      <c r="B3487" s="18" t="s">
        <v>97</v>
      </c>
      <c r="C3487" s="18">
        <v>32</v>
      </c>
      <c r="D3487" s="18" t="s">
        <v>247</v>
      </c>
      <c r="E3487" s="18" t="s">
        <v>2554</v>
      </c>
      <c r="F3487" s="18" t="s">
        <v>2556</v>
      </c>
      <c r="G3487" s="18" t="s">
        <v>82</v>
      </c>
      <c r="H3487" s="18" t="s">
        <v>286</v>
      </c>
      <c r="I3487" s="18"/>
      <c r="J3487" s="18" t="s">
        <v>200</v>
      </c>
      <c r="K3487" s="18" t="s">
        <v>250</v>
      </c>
      <c r="L3487" s="18">
        <v>3.2</v>
      </c>
      <c r="M3487" s="18" t="s">
        <v>251</v>
      </c>
      <c r="N3487" s="18" t="s">
        <v>509</v>
      </c>
    </row>
    <row r="3488" spans="1:14" hidden="1" x14ac:dyDescent="0.25">
      <c r="A3488" s="17">
        <v>45870</v>
      </c>
      <c r="B3488" s="18" t="s">
        <v>97</v>
      </c>
      <c r="C3488" s="18">
        <v>35</v>
      </c>
      <c r="D3488" s="18" t="s">
        <v>247</v>
      </c>
      <c r="E3488" s="18" t="s">
        <v>2554</v>
      </c>
      <c r="F3488" s="18" t="s">
        <v>2558</v>
      </c>
      <c r="G3488" s="18" t="s">
        <v>82</v>
      </c>
      <c r="H3488" s="18" t="s">
        <v>249</v>
      </c>
      <c r="I3488" s="18"/>
      <c r="J3488" s="18" t="s">
        <v>200</v>
      </c>
      <c r="K3488" s="18" t="s">
        <v>250</v>
      </c>
      <c r="L3488" s="18">
        <v>2.5</v>
      </c>
      <c r="M3488" s="18" t="s">
        <v>251</v>
      </c>
      <c r="N3488" s="18" t="s">
        <v>287</v>
      </c>
    </row>
    <row r="3489" spans="1:14" hidden="1" x14ac:dyDescent="0.25">
      <c r="A3489" s="17">
        <v>45870</v>
      </c>
      <c r="B3489" s="18" t="s">
        <v>120</v>
      </c>
      <c r="C3489" s="18">
        <v>62</v>
      </c>
      <c r="D3489" s="18" t="s">
        <v>247</v>
      </c>
      <c r="E3489" s="18" t="s">
        <v>2554</v>
      </c>
      <c r="F3489" s="18" t="s">
        <v>2555</v>
      </c>
      <c r="G3489" s="18" t="s">
        <v>63</v>
      </c>
      <c r="H3489" s="18" t="s">
        <v>286</v>
      </c>
      <c r="I3489" s="18"/>
      <c r="J3489" s="18" t="s">
        <v>200</v>
      </c>
      <c r="K3489" s="18" t="s">
        <v>250</v>
      </c>
      <c r="L3489" s="18">
        <v>1</v>
      </c>
      <c r="M3489" s="18" t="s">
        <v>251</v>
      </c>
      <c r="N3489" s="18" t="s">
        <v>323</v>
      </c>
    </row>
    <row r="3490" spans="1:14" hidden="1" x14ac:dyDescent="0.25">
      <c r="A3490" s="17">
        <v>45870</v>
      </c>
      <c r="B3490" s="18" t="s">
        <v>120</v>
      </c>
      <c r="C3490" s="18">
        <v>65</v>
      </c>
      <c r="D3490" s="18" t="s">
        <v>247</v>
      </c>
      <c r="E3490" s="18" t="s">
        <v>2554</v>
      </c>
      <c r="F3490" s="18" t="s">
        <v>2556</v>
      </c>
      <c r="G3490" s="18" t="s">
        <v>82</v>
      </c>
      <c r="H3490" s="18" t="s">
        <v>286</v>
      </c>
      <c r="I3490" s="18"/>
      <c r="J3490" s="18" t="s">
        <v>200</v>
      </c>
      <c r="K3490" s="18" t="s">
        <v>250</v>
      </c>
      <c r="L3490" s="18">
        <v>0.9</v>
      </c>
      <c r="M3490" s="18" t="s">
        <v>251</v>
      </c>
      <c r="N3490" s="18" t="s">
        <v>845</v>
      </c>
    </row>
    <row r="3491" spans="1:14" hidden="1" x14ac:dyDescent="0.25">
      <c r="A3491" s="17">
        <v>45870</v>
      </c>
      <c r="B3491" s="18" t="s">
        <v>120</v>
      </c>
      <c r="C3491" s="18">
        <v>68</v>
      </c>
      <c r="D3491" s="18" t="s">
        <v>247</v>
      </c>
      <c r="E3491" s="18" t="s">
        <v>2554</v>
      </c>
      <c r="F3491" s="18" t="s">
        <v>2558</v>
      </c>
      <c r="G3491" s="18" t="s">
        <v>82</v>
      </c>
      <c r="H3491" s="18" t="s">
        <v>249</v>
      </c>
      <c r="I3491" s="18"/>
      <c r="J3491" s="18" t="s">
        <v>200</v>
      </c>
      <c r="K3491" s="18" t="s">
        <v>250</v>
      </c>
      <c r="L3491" s="18">
        <v>8.5</v>
      </c>
      <c r="M3491" s="18" t="s">
        <v>251</v>
      </c>
      <c r="N3491" s="18" t="s">
        <v>1172</v>
      </c>
    </row>
    <row r="3492" spans="1:14" hidden="1" x14ac:dyDescent="0.25">
      <c r="A3492" s="17">
        <v>45870</v>
      </c>
      <c r="B3492" s="18" t="s">
        <v>142</v>
      </c>
      <c r="C3492" s="18">
        <v>74</v>
      </c>
      <c r="D3492" s="18" t="s">
        <v>247</v>
      </c>
      <c r="E3492" s="18" t="s">
        <v>2554</v>
      </c>
      <c r="F3492" s="18" t="s">
        <v>2559</v>
      </c>
      <c r="G3492" s="18" t="s">
        <v>82</v>
      </c>
      <c r="H3492" s="18" t="s">
        <v>249</v>
      </c>
      <c r="I3492" s="18"/>
      <c r="J3492" s="18" t="s">
        <v>200</v>
      </c>
      <c r="K3492" s="18" t="s">
        <v>250</v>
      </c>
      <c r="L3492" s="18">
        <v>4.0999999999999996</v>
      </c>
      <c r="M3492" s="18" t="s">
        <v>251</v>
      </c>
      <c r="N3492" s="18" t="s">
        <v>1789</v>
      </c>
    </row>
    <row r="3493" spans="1:14" hidden="1" x14ac:dyDescent="0.25">
      <c r="A3493" s="17">
        <v>45870</v>
      </c>
      <c r="B3493" s="18" t="s">
        <v>142</v>
      </c>
      <c r="C3493" s="18">
        <v>76</v>
      </c>
      <c r="D3493" s="18" t="s">
        <v>247</v>
      </c>
      <c r="E3493" s="18" t="s">
        <v>2554</v>
      </c>
      <c r="F3493" s="18" t="s">
        <v>2558</v>
      </c>
      <c r="G3493" s="18" t="s">
        <v>82</v>
      </c>
      <c r="H3493" s="18" t="s">
        <v>249</v>
      </c>
      <c r="I3493" s="18"/>
      <c r="J3493" s="18" t="s">
        <v>200</v>
      </c>
      <c r="K3493" s="18" t="s">
        <v>250</v>
      </c>
      <c r="L3493" s="18">
        <v>6</v>
      </c>
      <c r="M3493" s="18" t="s">
        <v>251</v>
      </c>
      <c r="N3493" s="18" t="s">
        <v>672</v>
      </c>
    </row>
    <row r="3494" spans="1:14" hidden="1" x14ac:dyDescent="0.25">
      <c r="A3494" s="17">
        <v>45870</v>
      </c>
      <c r="B3494" s="18" t="s">
        <v>156</v>
      </c>
      <c r="C3494" s="18">
        <v>80</v>
      </c>
      <c r="D3494" s="18" t="s">
        <v>247</v>
      </c>
      <c r="E3494" s="18" t="s">
        <v>2554</v>
      </c>
      <c r="F3494" s="18" t="s">
        <v>2560</v>
      </c>
      <c r="G3494" s="18" t="s">
        <v>158</v>
      </c>
      <c r="H3494" s="18" t="s">
        <v>249</v>
      </c>
      <c r="I3494" s="18"/>
      <c r="J3494" s="18" t="s">
        <v>200</v>
      </c>
      <c r="K3494" s="18" t="s">
        <v>250</v>
      </c>
      <c r="L3494" s="18">
        <v>4.7</v>
      </c>
      <c r="M3494" s="18" t="s">
        <v>251</v>
      </c>
      <c r="N3494" s="18" t="s">
        <v>720</v>
      </c>
    </row>
    <row r="3495" spans="1:14" hidden="1" x14ac:dyDescent="0.25">
      <c r="A3495" s="17">
        <v>45870</v>
      </c>
      <c r="B3495" s="18" t="s">
        <v>156</v>
      </c>
      <c r="C3495" s="18">
        <v>84</v>
      </c>
      <c r="D3495" s="18" t="s">
        <v>247</v>
      </c>
      <c r="E3495" s="18" t="s">
        <v>2554</v>
      </c>
      <c r="F3495" s="18" t="s">
        <v>2561</v>
      </c>
      <c r="G3495" s="18" t="s">
        <v>158</v>
      </c>
      <c r="H3495" s="18" t="s">
        <v>286</v>
      </c>
      <c r="I3495" s="18"/>
      <c r="J3495" s="18" t="s">
        <v>200</v>
      </c>
      <c r="K3495" s="18" t="s">
        <v>250</v>
      </c>
      <c r="L3495" s="18">
        <v>6.4</v>
      </c>
      <c r="M3495" s="18" t="s">
        <v>251</v>
      </c>
      <c r="N3495" s="18" t="s">
        <v>2562</v>
      </c>
    </row>
    <row r="3496" spans="1:14" hidden="1" x14ac:dyDescent="0.25">
      <c r="A3496" s="17">
        <v>45870</v>
      </c>
      <c r="B3496" s="18" t="s">
        <v>162</v>
      </c>
      <c r="C3496" s="18">
        <v>43</v>
      </c>
      <c r="D3496" s="18" t="s">
        <v>253</v>
      </c>
      <c r="E3496" s="18" t="s">
        <v>2359</v>
      </c>
      <c r="F3496" s="18" t="s">
        <v>1194</v>
      </c>
      <c r="G3496" s="18" t="s">
        <v>82</v>
      </c>
      <c r="H3496" s="18"/>
      <c r="I3496" s="18"/>
      <c r="J3496" s="18" t="s">
        <v>199</v>
      </c>
      <c r="K3496" s="18" t="s">
        <v>255</v>
      </c>
      <c r="L3496" s="18">
        <v>24460000</v>
      </c>
      <c r="M3496" s="18" t="s">
        <v>242</v>
      </c>
      <c r="N3496" s="18" t="s">
        <v>2262</v>
      </c>
    </row>
    <row r="3497" spans="1:14" hidden="1" x14ac:dyDescent="0.25">
      <c r="A3497" s="17">
        <v>45870</v>
      </c>
      <c r="B3497" s="18" t="s">
        <v>162</v>
      </c>
      <c r="C3497" s="18">
        <v>43</v>
      </c>
      <c r="D3497" s="18" t="s">
        <v>247</v>
      </c>
      <c r="E3497" s="18" t="s">
        <v>2554</v>
      </c>
      <c r="F3497" s="18" t="s">
        <v>2556</v>
      </c>
      <c r="G3497" s="18" t="s">
        <v>82</v>
      </c>
      <c r="H3497" s="18" t="s">
        <v>286</v>
      </c>
      <c r="I3497" s="18"/>
      <c r="J3497" s="18" t="s">
        <v>200</v>
      </c>
      <c r="K3497" s="18" t="s">
        <v>250</v>
      </c>
      <c r="L3497" s="18">
        <v>3.1</v>
      </c>
      <c r="M3497" s="18" t="s">
        <v>251</v>
      </c>
      <c r="N3497" s="18" t="s">
        <v>1525</v>
      </c>
    </row>
    <row r="3498" spans="1:14" hidden="1" x14ac:dyDescent="0.25">
      <c r="A3498" s="17">
        <v>45870</v>
      </c>
      <c r="B3498" s="18" t="s">
        <v>162</v>
      </c>
      <c r="C3498" s="18">
        <v>45</v>
      </c>
      <c r="D3498" s="18" t="s">
        <v>253</v>
      </c>
      <c r="E3498" s="18" t="s">
        <v>2359</v>
      </c>
      <c r="F3498" s="18" t="s">
        <v>2457</v>
      </c>
      <c r="G3498" s="18" t="s">
        <v>82</v>
      </c>
      <c r="H3498" s="18"/>
      <c r="I3498" s="18"/>
      <c r="J3498" s="18" t="s">
        <v>199</v>
      </c>
      <c r="K3498" s="18" t="s">
        <v>255</v>
      </c>
      <c r="L3498" s="18">
        <v>20750000</v>
      </c>
      <c r="M3498" s="18" t="s">
        <v>242</v>
      </c>
      <c r="N3498" s="18" t="s">
        <v>2268</v>
      </c>
    </row>
    <row r="3499" spans="1:14" hidden="1" x14ac:dyDescent="0.25">
      <c r="A3499" s="17">
        <v>45870</v>
      </c>
      <c r="B3499" s="18" t="s">
        <v>162</v>
      </c>
      <c r="C3499" s="18">
        <v>45</v>
      </c>
      <c r="D3499" s="18" t="s">
        <v>247</v>
      </c>
      <c r="E3499" s="18" t="s">
        <v>2554</v>
      </c>
      <c r="F3499" s="18" t="s">
        <v>2556</v>
      </c>
      <c r="G3499" s="18" t="s">
        <v>82</v>
      </c>
      <c r="H3499" s="18" t="s">
        <v>286</v>
      </c>
      <c r="I3499" s="18"/>
      <c r="J3499" s="18" t="s">
        <v>200</v>
      </c>
      <c r="K3499" s="18" t="s">
        <v>250</v>
      </c>
      <c r="L3499" s="18">
        <v>0.8</v>
      </c>
      <c r="M3499" s="18" t="s">
        <v>251</v>
      </c>
      <c r="N3499" s="18" t="s">
        <v>370</v>
      </c>
    </row>
    <row r="3500" spans="1:14" hidden="1" x14ac:dyDescent="0.25">
      <c r="A3500" s="17">
        <v>45870</v>
      </c>
      <c r="B3500" s="18" t="s">
        <v>162</v>
      </c>
      <c r="C3500" s="18">
        <v>48</v>
      </c>
      <c r="D3500" s="18" t="s">
        <v>253</v>
      </c>
      <c r="E3500" s="18" t="s">
        <v>2359</v>
      </c>
      <c r="F3500" s="18" t="s">
        <v>1196</v>
      </c>
      <c r="G3500" s="18" t="s">
        <v>82</v>
      </c>
      <c r="H3500" s="18"/>
      <c r="I3500" s="18"/>
      <c r="J3500" s="18" t="s">
        <v>199</v>
      </c>
      <c r="K3500" s="18" t="s">
        <v>255</v>
      </c>
      <c r="L3500" s="18">
        <v>2450000000</v>
      </c>
      <c r="M3500" s="18" t="s">
        <v>245</v>
      </c>
      <c r="N3500" s="18" t="s">
        <v>2273</v>
      </c>
    </row>
    <row r="3501" spans="1:14" hidden="1" x14ac:dyDescent="0.25">
      <c r="A3501" s="17">
        <v>45870</v>
      </c>
      <c r="B3501" s="18" t="s">
        <v>162</v>
      </c>
      <c r="C3501" s="18">
        <v>48</v>
      </c>
      <c r="D3501" s="18" t="s">
        <v>247</v>
      </c>
      <c r="E3501" s="18" t="s">
        <v>2554</v>
      </c>
      <c r="F3501" s="18" t="s">
        <v>2557</v>
      </c>
      <c r="G3501" s="18" t="s">
        <v>82</v>
      </c>
      <c r="H3501" s="18" t="s">
        <v>286</v>
      </c>
      <c r="I3501" s="18"/>
      <c r="J3501" s="18" t="s">
        <v>200</v>
      </c>
      <c r="K3501" s="18" t="s">
        <v>250</v>
      </c>
      <c r="L3501" s="18">
        <v>0.2</v>
      </c>
      <c r="M3501" s="18" t="s">
        <v>251</v>
      </c>
      <c r="N3501" s="18" t="s">
        <v>307</v>
      </c>
    </row>
    <row r="3502" spans="1:14" hidden="1" x14ac:dyDescent="0.25">
      <c r="A3502" s="17">
        <v>45870</v>
      </c>
      <c r="B3502" s="18" t="s">
        <v>162</v>
      </c>
      <c r="C3502" s="18">
        <v>50</v>
      </c>
      <c r="D3502" s="18" t="s">
        <v>253</v>
      </c>
      <c r="E3502" s="18" t="s">
        <v>2359</v>
      </c>
      <c r="F3502" s="18" t="s">
        <v>2468</v>
      </c>
      <c r="G3502" s="18" t="s">
        <v>82</v>
      </c>
      <c r="H3502" s="18"/>
      <c r="I3502" s="18"/>
      <c r="J3502" s="18" t="s">
        <v>199</v>
      </c>
      <c r="K3502" s="18" t="s">
        <v>255</v>
      </c>
      <c r="L3502" s="18">
        <v>1900000000</v>
      </c>
      <c r="M3502" s="18" t="s">
        <v>245</v>
      </c>
      <c r="N3502" s="18" t="s">
        <v>2280</v>
      </c>
    </row>
    <row r="3503" spans="1:14" hidden="1" x14ac:dyDescent="0.25">
      <c r="A3503" s="17">
        <v>45870</v>
      </c>
      <c r="B3503" s="18" t="s">
        <v>162</v>
      </c>
      <c r="C3503" s="18">
        <v>50</v>
      </c>
      <c r="D3503" s="18" t="s">
        <v>247</v>
      </c>
      <c r="E3503" s="18" t="s">
        <v>2554</v>
      </c>
      <c r="F3503" s="18" t="s">
        <v>2558</v>
      </c>
      <c r="G3503" s="18" t="s">
        <v>82</v>
      </c>
      <c r="H3503" s="18" t="s">
        <v>249</v>
      </c>
      <c r="I3503" s="18"/>
      <c r="J3503" s="18" t="s">
        <v>200</v>
      </c>
      <c r="K3503" s="18" t="s">
        <v>250</v>
      </c>
      <c r="L3503" s="18">
        <v>3.3</v>
      </c>
      <c r="M3503" s="18" t="s">
        <v>251</v>
      </c>
      <c r="N3503" s="18" t="s">
        <v>1527</v>
      </c>
    </row>
    <row r="3504" spans="1:14" hidden="1" x14ac:dyDescent="0.25">
      <c r="A3504" s="17">
        <v>45870</v>
      </c>
      <c r="B3504" s="18" t="s">
        <v>142</v>
      </c>
      <c r="C3504" s="18">
        <v>75</v>
      </c>
      <c r="D3504" s="18" t="s">
        <v>253</v>
      </c>
      <c r="E3504" s="18" t="s">
        <v>2359</v>
      </c>
      <c r="F3504" s="18" t="s">
        <v>2531</v>
      </c>
      <c r="G3504" s="18" t="s">
        <v>82</v>
      </c>
      <c r="H3504" s="18" t="s">
        <v>149</v>
      </c>
      <c r="I3504" s="18"/>
      <c r="J3504" s="18" t="s">
        <v>198</v>
      </c>
      <c r="K3504" s="18" t="s">
        <v>255</v>
      </c>
      <c r="L3504" s="18">
        <v>4927</v>
      </c>
      <c r="M3504" s="18" t="s">
        <v>242</v>
      </c>
      <c r="N3504" s="18" t="s">
        <v>2013</v>
      </c>
    </row>
    <row r="3505" spans="1:14" hidden="1" x14ac:dyDescent="0.25">
      <c r="A3505" s="17">
        <v>45870</v>
      </c>
      <c r="B3505" s="18" t="s">
        <v>142</v>
      </c>
      <c r="C3505" s="18">
        <v>75</v>
      </c>
      <c r="D3505" s="18" t="s">
        <v>253</v>
      </c>
      <c r="E3505" s="18" t="s">
        <v>2359</v>
      </c>
      <c r="F3505" s="18" t="s">
        <v>2531</v>
      </c>
      <c r="G3505" s="18" t="s">
        <v>82</v>
      </c>
      <c r="H3505" s="18" t="s">
        <v>149</v>
      </c>
      <c r="I3505" s="18"/>
      <c r="J3505" s="18" t="s">
        <v>199</v>
      </c>
      <c r="K3505" s="18" t="s">
        <v>255</v>
      </c>
      <c r="L3505" s="18">
        <v>6215</v>
      </c>
      <c r="M3505" s="18" t="s">
        <v>242</v>
      </c>
      <c r="N3505" s="18" t="s">
        <v>2184</v>
      </c>
    </row>
    <row r="3506" spans="1:14" hidden="1" x14ac:dyDescent="0.25">
      <c r="A3506" s="17">
        <v>45870</v>
      </c>
      <c r="B3506" s="18" t="s">
        <v>142</v>
      </c>
      <c r="C3506" s="18">
        <v>75</v>
      </c>
      <c r="D3506" s="18" t="s">
        <v>253</v>
      </c>
      <c r="E3506" s="18" t="s">
        <v>2359</v>
      </c>
      <c r="F3506" s="18" t="s">
        <v>2531</v>
      </c>
      <c r="G3506" s="18" t="s">
        <v>82</v>
      </c>
      <c r="H3506" s="18" t="s">
        <v>150</v>
      </c>
      <c r="I3506" s="18"/>
      <c r="J3506" s="18" t="s">
        <v>198</v>
      </c>
      <c r="K3506" s="18" t="s">
        <v>255</v>
      </c>
      <c r="L3506" s="18">
        <v>247</v>
      </c>
      <c r="M3506" s="18" t="s">
        <v>242</v>
      </c>
      <c r="N3506" s="18" t="s">
        <v>2011</v>
      </c>
    </row>
    <row r="3507" spans="1:14" hidden="1" x14ac:dyDescent="0.25">
      <c r="A3507" s="17">
        <v>45870</v>
      </c>
      <c r="B3507" s="18" t="s">
        <v>142</v>
      </c>
      <c r="C3507" s="18">
        <v>75</v>
      </c>
      <c r="D3507" s="18" t="s">
        <v>253</v>
      </c>
      <c r="E3507" s="18" t="s">
        <v>2359</v>
      </c>
      <c r="F3507" s="18" t="s">
        <v>2531</v>
      </c>
      <c r="G3507" s="18" t="s">
        <v>82</v>
      </c>
      <c r="H3507" s="18" t="s">
        <v>150</v>
      </c>
      <c r="I3507" s="18"/>
      <c r="J3507" s="18" t="s">
        <v>199</v>
      </c>
      <c r="K3507" s="18" t="s">
        <v>255</v>
      </c>
      <c r="L3507" s="18">
        <v>356</v>
      </c>
      <c r="M3507" s="18" t="s">
        <v>242</v>
      </c>
      <c r="N3507" s="18" t="s">
        <v>2182</v>
      </c>
    </row>
    <row r="3508" spans="1:14" hidden="1" x14ac:dyDescent="0.25">
      <c r="A3508" s="17">
        <v>45870</v>
      </c>
      <c r="B3508" s="18" t="s">
        <v>142</v>
      </c>
      <c r="C3508" s="18">
        <v>75</v>
      </c>
      <c r="D3508" s="18" t="s">
        <v>253</v>
      </c>
      <c r="E3508" s="18" t="s">
        <v>2359</v>
      </c>
      <c r="F3508" s="18" t="s">
        <v>2531</v>
      </c>
      <c r="G3508" s="18" t="s">
        <v>82</v>
      </c>
      <c r="H3508" s="18" t="s">
        <v>151</v>
      </c>
      <c r="I3508" s="18"/>
      <c r="J3508" s="18" t="s">
        <v>198</v>
      </c>
      <c r="K3508" s="18" t="s">
        <v>255</v>
      </c>
      <c r="L3508" s="18">
        <v>29</v>
      </c>
      <c r="M3508" s="18" t="s">
        <v>242</v>
      </c>
      <c r="N3508" s="18" t="s">
        <v>2012</v>
      </c>
    </row>
    <row r="3509" spans="1:14" hidden="1" x14ac:dyDescent="0.25">
      <c r="A3509" s="17">
        <v>45870</v>
      </c>
      <c r="B3509" s="18" t="s">
        <v>142</v>
      </c>
      <c r="C3509" s="18">
        <v>75</v>
      </c>
      <c r="D3509" s="18" t="s">
        <v>253</v>
      </c>
      <c r="E3509" s="18" t="s">
        <v>2359</v>
      </c>
      <c r="F3509" s="18" t="s">
        <v>2531</v>
      </c>
      <c r="G3509" s="18" t="s">
        <v>82</v>
      </c>
      <c r="H3509" s="18" t="s">
        <v>151</v>
      </c>
      <c r="I3509" s="18"/>
      <c r="J3509" s="18" t="s">
        <v>199</v>
      </c>
      <c r="K3509" s="18" t="s">
        <v>255</v>
      </c>
      <c r="L3509" s="18">
        <v>45</v>
      </c>
      <c r="M3509" s="18" t="s">
        <v>242</v>
      </c>
      <c r="N3509" s="18" t="s">
        <v>2183</v>
      </c>
    </row>
    <row r="3510" spans="1:14" hidden="1" x14ac:dyDescent="0.25">
      <c r="A3510" s="17">
        <v>45870</v>
      </c>
      <c r="B3510" s="18" t="s">
        <v>142</v>
      </c>
      <c r="C3510" s="18">
        <v>77</v>
      </c>
      <c r="D3510" s="18" t="s">
        <v>253</v>
      </c>
      <c r="E3510" s="18" t="s">
        <v>2359</v>
      </c>
      <c r="F3510" s="18" t="s">
        <v>2533</v>
      </c>
      <c r="G3510" s="18" t="s">
        <v>82</v>
      </c>
      <c r="H3510" s="18" t="s">
        <v>149</v>
      </c>
      <c r="I3510" s="18"/>
      <c r="J3510" s="18" t="s">
        <v>198</v>
      </c>
      <c r="K3510" s="18" t="s">
        <v>255</v>
      </c>
      <c r="L3510" s="18">
        <v>32600000</v>
      </c>
      <c r="M3510" s="18" t="s">
        <v>149</v>
      </c>
      <c r="N3510" s="18" t="s">
        <v>2563</v>
      </c>
    </row>
    <row r="3511" spans="1:14" hidden="1" x14ac:dyDescent="0.25">
      <c r="A3511" s="17">
        <v>45870</v>
      </c>
      <c r="B3511" s="18" t="s">
        <v>142</v>
      </c>
      <c r="C3511" s="18">
        <v>77</v>
      </c>
      <c r="D3511" s="18" t="s">
        <v>253</v>
      </c>
      <c r="E3511" s="18" t="s">
        <v>2359</v>
      </c>
      <c r="F3511" s="18" t="s">
        <v>2533</v>
      </c>
      <c r="G3511" s="18" t="s">
        <v>82</v>
      </c>
      <c r="H3511" s="18" t="s">
        <v>149</v>
      </c>
      <c r="I3511" s="18"/>
      <c r="J3511" s="18" t="s">
        <v>199</v>
      </c>
      <c r="K3511" s="18" t="s">
        <v>255</v>
      </c>
      <c r="L3511" s="18">
        <v>40300000</v>
      </c>
      <c r="M3511" s="18" t="s">
        <v>149</v>
      </c>
      <c r="N3511" s="18" t="s">
        <v>2564</v>
      </c>
    </row>
    <row r="3512" spans="1:14" hidden="1" x14ac:dyDescent="0.25">
      <c r="A3512" s="17">
        <v>45870</v>
      </c>
      <c r="B3512" s="18" t="s">
        <v>142</v>
      </c>
      <c r="C3512" s="18">
        <v>77</v>
      </c>
      <c r="D3512" s="18" t="s">
        <v>253</v>
      </c>
      <c r="E3512" s="18" t="s">
        <v>2359</v>
      </c>
      <c r="F3512" s="18" t="s">
        <v>2533</v>
      </c>
      <c r="G3512" s="18" t="s">
        <v>82</v>
      </c>
      <c r="H3512" s="18" t="s">
        <v>150</v>
      </c>
      <c r="I3512" s="18"/>
      <c r="J3512" s="18" t="s">
        <v>198</v>
      </c>
      <c r="K3512" s="18" t="s">
        <v>255</v>
      </c>
      <c r="L3512" s="18">
        <v>2460000</v>
      </c>
      <c r="M3512" s="18" t="s">
        <v>150</v>
      </c>
      <c r="N3512" s="18" t="s">
        <v>1820</v>
      </c>
    </row>
    <row r="3513" spans="1:14" hidden="1" x14ac:dyDescent="0.25">
      <c r="A3513" s="17">
        <v>45870</v>
      </c>
      <c r="B3513" s="18" t="s">
        <v>142</v>
      </c>
      <c r="C3513" s="18">
        <v>77</v>
      </c>
      <c r="D3513" s="18" t="s">
        <v>253</v>
      </c>
      <c r="E3513" s="18" t="s">
        <v>2359</v>
      </c>
      <c r="F3513" s="18" t="s">
        <v>2533</v>
      </c>
      <c r="G3513" s="18" t="s">
        <v>82</v>
      </c>
      <c r="H3513" s="18" t="s">
        <v>150</v>
      </c>
      <c r="I3513" s="18"/>
      <c r="J3513" s="18" t="s">
        <v>199</v>
      </c>
      <c r="K3513" s="18" t="s">
        <v>255</v>
      </c>
      <c r="L3513" s="18">
        <v>3350000</v>
      </c>
      <c r="M3513" s="18" t="s">
        <v>150</v>
      </c>
      <c r="N3513" s="18" t="s">
        <v>2565</v>
      </c>
    </row>
    <row r="3514" spans="1:14" hidden="1" x14ac:dyDescent="0.25">
      <c r="A3514" s="17">
        <v>45870</v>
      </c>
      <c r="B3514" s="18" t="s">
        <v>142</v>
      </c>
      <c r="C3514" s="18">
        <v>77</v>
      </c>
      <c r="D3514" s="18" t="s">
        <v>253</v>
      </c>
      <c r="E3514" s="18" t="s">
        <v>2359</v>
      </c>
      <c r="F3514" s="18" t="s">
        <v>2533</v>
      </c>
      <c r="G3514" s="18" t="s">
        <v>82</v>
      </c>
      <c r="H3514" s="18" t="s">
        <v>151</v>
      </c>
      <c r="I3514" s="18"/>
      <c r="J3514" s="18" t="s">
        <v>198</v>
      </c>
      <c r="K3514" s="18" t="s">
        <v>255</v>
      </c>
      <c r="L3514" s="18">
        <v>360000</v>
      </c>
      <c r="M3514" s="18" t="s">
        <v>151</v>
      </c>
      <c r="N3514" s="18" t="s">
        <v>2566</v>
      </c>
    </row>
    <row r="3515" spans="1:14" hidden="1" x14ac:dyDescent="0.25">
      <c r="A3515" s="17">
        <v>45870</v>
      </c>
      <c r="B3515" s="18" t="s">
        <v>142</v>
      </c>
      <c r="C3515" s="18">
        <v>77</v>
      </c>
      <c r="D3515" s="18" t="s">
        <v>253</v>
      </c>
      <c r="E3515" s="18" t="s">
        <v>2359</v>
      </c>
      <c r="F3515" s="18" t="s">
        <v>2533</v>
      </c>
      <c r="G3515" s="18" t="s">
        <v>82</v>
      </c>
      <c r="H3515" s="18" t="s">
        <v>151</v>
      </c>
      <c r="I3515" s="18"/>
      <c r="J3515" s="18" t="s">
        <v>199</v>
      </c>
      <c r="K3515" s="18" t="s">
        <v>255</v>
      </c>
      <c r="L3515" s="18">
        <v>430000</v>
      </c>
      <c r="M3515" s="18" t="s">
        <v>151</v>
      </c>
      <c r="N3515" s="18" t="s">
        <v>2567</v>
      </c>
    </row>
    <row r="3516" spans="1:14" hidden="1" x14ac:dyDescent="0.25">
      <c r="A3516" s="17">
        <v>45870</v>
      </c>
      <c r="B3516" s="18" t="s">
        <v>156</v>
      </c>
      <c r="C3516" s="18">
        <v>82</v>
      </c>
      <c r="D3516" s="18" t="s">
        <v>253</v>
      </c>
      <c r="E3516" s="18" t="s">
        <v>2359</v>
      </c>
      <c r="F3516" s="18" t="s">
        <v>2546</v>
      </c>
      <c r="G3516" s="18" t="s">
        <v>158</v>
      </c>
      <c r="H3516" s="18"/>
      <c r="I3516" s="18"/>
      <c r="J3516" s="18" t="s">
        <v>198</v>
      </c>
      <c r="K3516" s="18" t="s">
        <v>255</v>
      </c>
      <c r="L3516" s="18">
        <v>3.8</v>
      </c>
      <c r="M3516" s="18" t="s">
        <v>251</v>
      </c>
      <c r="N3516" s="18" t="s">
        <v>855</v>
      </c>
    </row>
    <row r="3517" spans="1:14" hidden="1" x14ac:dyDescent="0.25">
      <c r="A3517" s="17">
        <v>45870</v>
      </c>
      <c r="B3517" s="18" t="s">
        <v>156</v>
      </c>
      <c r="C3517" s="18">
        <v>82</v>
      </c>
      <c r="D3517" s="18" t="s">
        <v>253</v>
      </c>
      <c r="E3517" s="18" t="s">
        <v>2359</v>
      </c>
      <c r="F3517" s="18" t="s">
        <v>2546</v>
      </c>
      <c r="G3517" s="18" t="s">
        <v>158</v>
      </c>
      <c r="H3517" s="18"/>
      <c r="I3517" s="18"/>
      <c r="J3517" s="18" t="s">
        <v>199</v>
      </c>
      <c r="K3517" s="18" t="s">
        <v>255</v>
      </c>
      <c r="L3517" s="18">
        <v>3.2</v>
      </c>
      <c r="M3517" s="18" t="s">
        <v>251</v>
      </c>
      <c r="N3517" s="18" t="s">
        <v>509</v>
      </c>
    </row>
    <row r="3518" spans="1:14" hidden="1" x14ac:dyDescent="0.25">
      <c r="A3518" s="17">
        <v>45870</v>
      </c>
      <c r="B3518" s="18" t="s">
        <v>156</v>
      </c>
      <c r="C3518" s="18">
        <v>86</v>
      </c>
      <c r="D3518" s="18" t="s">
        <v>253</v>
      </c>
      <c r="E3518" s="18" t="s">
        <v>2359</v>
      </c>
      <c r="F3518" s="18" t="s">
        <v>2548</v>
      </c>
      <c r="G3518" s="18" t="s">
        <v>158</v>
      </c>
      <c r="H3518" s="18"/>
      <c r="I3518" s="18"/>
      <c r="J3518" s="18" t="s">
        <v>198</v>
      </c>
      <c r="K3518" s="18" t="s">
        <v>255</v>
      </c>
      <c r="L3518" s="18">
        <v>3.38</v>
      </c>
      <c r="M3518" s="18" t="s">
        <v>251</v>
      </c>
      <c r="N3518" s="18" t="s">
        <v>2052</v>
      </c>
    </row>
    <row r="3519" spans="1:14" hidden="1" x14ac:dyDescent="0.25">
      <c r="A3519" s="17">
        <v>45870</v>
      </c>
      <c r="B3519" s="18" t="s">
        <v>156</v>
      </c>
      <c r="C3519" s="18">
        <v>86</v>
      </c>
      <c r="D3519" s="18" t="s">
        <v>253</v>
      </c>
      <c r="E3519" s="18" t="s">
        <v>2359</v>
      </c>
      <c r="F3519" s="18" t="s">
        <v>2548</v>
      </c>
      <c r="G3519" s="18" t="s">
        <v>158</v>
      </c>
      <c r="H3519" s="18"/>
      <c r="I3519" s="18"/>
      <c r="J3519" s="18" t="s">
        <v>199</v>
      </c>
      <c r="K3519" s="18" t="s">
        <v>255</v>
      </c>
      <c r="L3519" s="18">
        <v>2.97</v>
      </c>
      <c r="M3519" s="18" t="s">
        <v>251</v>
      </c>
      <c r="N3519" s="18" t="s">
        <v>2225</v>
      </c>
    </row>
    <row r="3520" spans="1:14" hidden="1" x14ac:dyDescent="0.25">
      <c r="A3520" s="17">
        <v>45870</v>
      </c>
      <c r="B3520" s="18" t="s">
        <v>162</v>
      </c>
      <c r="C3520" s="18">
        <v>43</v>
      </c>
      <c r="D3520" s="18" t="s">
        <v>253</v>
      </c>
      <c r="E3520" s="18" t="s">
        <v>2359</v>
      </c>
      <c r="F3520" s="18" t="s">
        <v>1194</v>
      </c>
      <c r="G3520" s="18" t="s">
        <v>82</v>
      </c>
      <c r="H3520" s="18"/>
      <c r="I3520" s="18"/>
      <c r="J3520" s="18" t="s">
        <v>198</v>
      </c>
      <c r="K3520" s="18" t="s">
        <v>255</v>
      </c>
      <c r="L3520" s="18">
        <v>21070000</v>
      </c>
      <c r="M3520" s="18" t="s">
        <v>242</v>
      </c>
      <c r="N3520" s="18" t="s">
        <v>2096</v>
      </c>
    </row>
    <row r="3521" spans="1:14" hidden="1" x14ac:dyDescent="0.25">
      <c r="A3521" s="19">
        <v>45901</v>
      </c>
      <c r="B3521" s="20" t="s">
        <v>535</v>
      </c>
      <c r="C3521" s="20">
        <v>4</v>
      </c>
      <c r="D3521" s="20" t="s">
        <v>238</v>
      </c>
      <c r="E3521" s="20" t="s">
        <v>2341</v>
      </c>
      <c r="F3521" s="20" t="s">
        <v>285</v>
      </c>
      <c r="G3521" s="20" t="s">
        <v>63</v>
      </c>
      <c r="H3521" s="20"/>
      <c r="I3521" s="20"/>
      <c r="J3521" s="20" t="s">
        <v>201</v>
      </c>
      <c r="K3521" s="20" t="s">
        <v>250</v>
      </c>
      <c r="L3521" s="20">
        <v>2000000</v>
      </c>
      <c r="M3521" s="20" t="s">
        <v>242</v>
      </c>
      <c r="N3521" s="20" t="s">
        <v>1469</v>
      </c>
    </row>
    <row r="3522" spans="1:14" hidden="1" x14ac:dyDescent="0.25">
      <c r="A3522" s="19">
        <v>45901</v>
      </c>
      <c r="B3522" s="20" t="s">
        <v>535</v>
      </c>
      <c r="C3522" s="20">
        <v>4</v>
      </c>
      <c r="D3522" s="20" t="s">
        <v>238</v>
      </c>
      <c r="E3522" s="20" t="s">
        <v>2341</v>
      </c>
      <c r="F3522" s="20" t="s">
        <v>240</v>
      </c>
      <c r="G3522" s="20" t="s">
        <v>82</v>
      </c>
      <c r="H3522" s="20"/>
      <c r="I3522" s="20"/>
      <c r="J3522" s="20" t="s">
        <v>201</v>
      </c>
      <c r="K3522" s="20" t="s">
        <v>250</v>
      </c>
      <c r="L3522" s="20">
        <v>15580000</v>
      </c>
      <c r="M3522" s="20" t="s">
        <v>242</v>
      </c>
      <c r="N3522" s="20" t="s">
        <v>2568</v>
      </c>
    </row>
    <row r="3523" spans="1:14" hidden="1" x14ac:dyDescent="0.25">
      <c r="A3523" s="19">
        <v>45901</v>
      </c>
      <c r="B3523" s="20" t="s">
        <v>535</v>
      </c>
      <c r="C3523" s="20">
        <v>4</v>
      </c>
      <c r="D3523" s="20" t="s">
        <v>238</v>
      </c>
      <c r="E3523" s="20" t="s">
        <v>2341</v>
      </c>
      <c r="F3523" s="20" t="s">
        <v>244</v>
      </c>
      <c r="G3523" s="20" t="s">
        <v>82</v>
      </c>
      <c r="H3523" s="20"/>
      <c r="I3523" s="20"/>
      <c r="J3523" s="20" t="s">
        <v>201</v>
      </c>
      <c r="K3523" s="20" t="s">
        <v>250</v>
      </c>
      <c r="L3523" s="20">
        <v>1870000000</v>
      </c>
      <c r="M3523" s="20" t="s">
        <v>245</v>
      </c>
      <c r="N3523" s="20" t="s">
        <v>2569</v>
      </c>
    </row>
    <row r="3524" spans="1:14" hidden="1" x14ac:dyDescent="0.25">
      <c r="A3524" s="19">
        <v>45901</v>
      </c>
      <c r="B3524" s="20" t="s">
        <v>535</v>
      </c>
      <c r="C3524" s="20">
        <v>5</v>
      </c>
      <c r="D3524" s="20" t="s">
        <v>238</v>
      </c>
      <c r="E3524" s="20" t="s">
        <v>2341</v>
      </c>
      <c r="F3524" s="20" t="s">
        <v>285</v>
      </c>
      <c r="G3524" s="20" t="s">
        <v>63</v>
      </c>
      <c r="H3524" s="20"/>
      <c r="I3524" s="20"/>
      <c r="J3524" s="20" t="s">
        <v>201</v>
      </c>
      <c r="K3524" s="20" t="s">
        <v>250</v>
      </c>
      <c r="L3524" s="20">
        <v>2700000</v>
      </c>
      <c r="M3524" s="20" t="s">
        <v>242</v>
      </c>
      <c r="N3524" s="20" t="s">
        <v>2202</v>
      </c>
    </row>
    <row r="3525" spans="1:14" hidden="1" x14ac:dyDescent="0.25">
      <c r="A3525" s="19">
        <v>45901</v>
      </c>
      <c r="B3525" s="20" t="s">
        <v>535</v>
      </c>
      <c r="C3525" s="20">
        <v>5</v>
      </c>
      <c r="D3525" s="20" t="s">
        <v>238</v>
      </c>
      <c r="E3525" s="20" t="s">
        <v>2341</v>
      </c>
      <c r="F3525" s="20" t="s">
        <v>240</v>
      </c>
      <c r="G3525" s="20" t="s">
        <v>82</v>
      </c>
      <c r="H3525" s="20"/>
      <c r="I3525" s="20"/>
      <c r="J3525" s="20" t="s">
        <v>201</v>
      </c>
      <c r="K3525" s="20" t="s">
        <v>250</v>
      </c>
      <c r="L3525" s="20">
        <v>9500000</v>
      </c>
      <c r="M3525" s="20" t="s">
        <v>242</v>
      </c>
      <c r="N3525" s="20" t="s">
        <v>2570</v>
      </c>
    </row>
    <row r="3526" spans="1:14" hidden="1" x14ac:dyDescent="0.25">
      <c r="A3526" s="19">
        <v>45901</v>
      </c>
      <c r="B3526" s="20" t="s">
        <v>535</v>
      </c>
      <c r="C3526" s="20">
        <v>5</v>
      </c>
      <c r="D3526" s="20" t="s">
        <v>238</v>
      </c>
      <c r="E3526" s="20" t="s">
        <v>2341</v>
      </c>
      <c r="F3526" s="20" t="s">
        <v>244</v>
      </c>
      <c r="G3526" s="20" t="s">
        <v>82</v>
      </c>
      <c r="H3526" s="20"/>
      <c r="I3526" s="20"/>
      <c r="J3526" s="20" t="s">
        <v>201</v>
      </c>
      <c r="K3526" s="20" t="s">
        <v>250</v>
      </c>
      <c r="L3526" s="20">
        <v>559000000</v>
      </c>
      <c r="M3526" s="20" t="s">
        <v>245</v>
      </c>
      <c r="N3526" s="20" t="s">
        <v>2571</v>
      </c>
    </row>
    <row r="3527" spans="1:14" hidden="1" x14ac:dyDescent="0.25">
      <c r="A3527" s="19">
        <v>45901</v>
      </c>
      <c r="B3527" s="20" t="s">
        <v>535</v>
      </c>
      <c r="C3527" s="20">
        <v>6</v>
      </c>
      <c r="D3527" s="20" t="s">
        <v>238</v>
      </c>
      <c r="E3527" s="20" t="s">
        <v>2341</v>
      </c>
      <c r="F3527" s="20" t="s">
        <v>285</v>
      </c>
      <c r="G3527" s="20" t="s">
        <v>63</v>
      </c>
      <c r="H3527" s="20"/>
      <c r="I3527" s="20"/>
      <c r="J3527" s="20" t="s">
        <v>201</v>
      </c>
      <c r="K3527" s="20" t="s">
        <v>250</v>
      </c>
      <c r="L3527" s="20">
        <v>4900000</v>
      </c>
      <c r="M3527" s="20" t="s">
        <v>242</v>
      </c>
      <c r="N3527" s="20" t="s">
        <v>2572</v>
      </c>
    </row>
    <row r="3528" spans="1:14" hidden="1" x14ac:dyDescent="0.25">
      <c r="A3528" s="19">
        <v>45901</v>
      </c>
      <c r="B3528" s="20" t="s">
        <v>535</v>
      </c>
      <c r="C3528" s="20">
        <v>6</v>
      </c>
      <c r="D3528" s="20" t="s">
        <v>238</v>
      </c>
      <c r="E3528" s="20" t="s">
        <v>2341</v>
      </c>
      <c r="F3528" s="20" t="s">
        <v>378</v>
      </c>
      <c r="G3528" s="20" t="s">
        <v>379</v>
      </c>
      <c r="H3528" s="20"/>
      <c r="I3528" s="20"/>
      <c r="J3528" s="20" t="s">
        <v>201</v>
      </c>
      <c r="K3528" s="20" t="s">
        <v>250</v>
      </c>
      <c r="L3528" s="20">
        <v>652</v>
      </c>
      <c r="M3528" s="20" t="s">
        <v>242</v>
      </c>
      <c r="N3528" s="20" t="s">
        <v>2573</v>
      </c>
    </row>
    <row r="3529" spans="1:14" hidden="1" x14ac:dyDescent="0.25">
      <c r="A3529" s="19">
        <v>45901</v>
      </c>
      <c r="B3529" s="20" t="s">
        <v>535</v>
      </c>
      <c r="C3529" s="20">
        <v>6</v>
      </c>
      <c r="D3529" s="20" t="s">
        <v>238</v>
      </c>
      <c r="E3529" s="20" t="s">
        <v>2341</v>
      </c>
      <c r="F3529" s="20" t="s">
        <v>381</v>
      </c>
      <c r="G3529" s="20" t="s">
        <v>382</v>
      </c>
      <c r="H3529" s="20"/>
      <c r="I3529" s="20"/>
      <c r="J3529" s="20" t="s">
        <v>201</v>
      </c>
      <c r="K3529" s="20" t="s">
        <v>250</v>
      </c>
      <c r="L3529" s="20">
        <v>2245</v>
      </c>
      <c r="M3529" s="20" t="s">
        <v>242</v>
      </c>
      <c r="N3529" s="20" t="s">
        <v>2574</v>
      </c>
    </row>
    <row r="3530" spans="1:14" hidden="1" x14ac:dyDescent="0.25">
      <c r="A3530" s="19">
        <v>45901</v>
      </c>
      <c r="B3530" s="20" t="s">
        <v>535</v>
      </c>
      <c r="C3530" s="20">
        <v>6</v>
      </c>
      <c r="D3530" s="20" t="s">
        <v>238</v>
      </c>
      <c r="E3530" s="20" t="s">
        <v>2341</v>
      </c>
      <c r="F3530" s="20" t="s">
        <v>240</v>
      </c>
      <c r="G3530" s="20" t="s">
        <v>82</v>
      </c>
      <c r="H3530" s="20"/>
      <c r="I3530" s="20"/>
      <c r="J3530" s="20" t="s">
        <v>201</v>
      </c>
      <c r="K3530" s="20" t="s">
        <v>250</v>
      </c>
      <c r="L3530" s="20">
        <v>6450000</v>
      </c>
      <c r="M3530" s="20" t="s">
        <v>242</v>
      </c>
      <c r="N3530" s="20" t="s">
        <v>2575</v>
      </c>
    </row>
    <row r="3531" spans="1:14" hidden="1" x14ac:dyDescent="0.25">
      <c r="A3531" s="19">
        <v>45901</v>
      </c>
      <c r="B3531" s="20" t="s">
        <v>535</v>
      </c>
      <c r="C3531" s="20">
        <v>6</v>
      </c>
      <c r="D3531" s="20" t="s">
        <v>238</v>
      </c>
      <c r="E3531" s="20" t="s">
        <v>2341</v>
      </c>
      <c r="F3531" s="20" t="s">
        <v>244</v>
      </c>
      <c r="G3531" s="20" t="s">
        <v>82</v>
      </c>
      <c r="H3531" s="20"/>
      <c r="I3531" s="20"/>
      <c r="J3531" s="20" t="s">
        <v>201</v>
      </c>
      <c r="K3531" s="20" t="s">
        <v>250</v>
      </c>
      <c r="L3531" s="20">
        <v>1400000000</v>
      </c>
      <c r="M3531" s="20" t="s">
        <v>245</v>
      </c>
      <c r="N3531" s="20" t="s">
        <v>2206</v>
      </c>
    </row>
    <row r="3532" spans="1:14" hidden="1" x14ac:dyDescent="0.25">
      <c r="A3532" s="19">
        <v>45901</v>
      </c>
      <c r="B3532" s="20" t="s">
        <v>535</v>
      </c>
      <c r="C3532" s="20">
        <v>7</v>
      </c>
      <c r="D3532" s="20" t="s">
        <v>238</v>
      </c>
      <c r="E3532" s="20" t="s">
        <v>2341</v>
      </c>
      <c r="F3532" s="20" t="s">
        <v>1194</v>
      </c>
      <c r="G3532" s="20" t="s">
        <v>82</v>
      </c>
      <c r="H3532" s="20"/>
      <c r="I3532" s="20"/>
      <c r="J3532" s="20" t="s">
        <v>201</v>
      </c>
      <c r="K3532" s="20" t="s">
        <v>250</v>
      </c>
      <c r="L3532" s="20">
        <v>1010000</v>
      </c>
      <c r="M3532" s="20" t="s">
        <v>242</v>
      </c>
      <c r="N3532" s="20" t="s">
        <v>2351</v>
      </c>
    </row>
    <row r="3533" spans="1:14" hidden="1" x14ac:dyDescent="0.25">
      <c r="A3533" s="19">
        <v>45901</v>
      </c>
      <c r="B3533" s="20" t="s">
        <v>535</v>
      </c>
      <c r="C3533" s="20">
        <v>7</v>
      </c>
      <c r="D3533" s="20" t="s">
        <v>238</v>
      </c>
      <c r="E3533" s="20" t="s">
        <v>2341</v>
      </c>
      <c r="F3533" s="20" t="s">
        <v>544</v>
      </c>
      <c r="G3533" s="20" t="s">
        <v>82</v>
      </c>
      <c r="H3533" s="20"/>
      <c r="I3533" s="20"/>
      <c r="J3533" s="20" t="s">
        <v>201</v>
      </c>
      <c r="K3533" s="20" t="s">
        <v>250</v>
      </c>
      <c r="L3533" s="20">
        <v>1010000</v>
      </c>
      <c r="M3533" s="20" t="s">
        <v>242</v>
      </c>
      <c r="N3533" s="20" t="s">
        <v>2351</v>
      </c>
    </row>
    <row r="3534" spans="1:14" hidden="1" x14ac:dyDescent="0.25">
      <c r="A3534" s="19">
        <v>45901</v>
      </c>
      <c r="B3534" s="20" t="s">
        <v>535</v>
      </c>
      <c r="C3534" s="20">
        <v>7</v>
      </c>
      <c r="D3534" s="20" t="s">
        <v>238</v>
      </c>
      <c r="E3534" s="20" t="s">
        <v>2341</v>
      </c>
      <c r="F3534" s="20" t="s">
        <v>929</v>
      </c>
      <c r="G3534" s="20" t="s">
        <v>82</v>
      </c>
      <c r="H3534" s="20"/>
      <c r="I3534" s="20"/>
      <c r="J3534" s="20" t="s">
        <v>201</v>
      </c>
      <c r="K3534" s="20" t="s">
        <v>250</v>
      </c>
      <c r="L3534" s="20">
        <v>858000000</v>
      </c>
      <c r="M3534" s="20" t="s">
        <v>245</v>
      </c>
      <c r="N3534" s="20" t="s">
        <v>2576</v>
      </c>
    </row>
    <row r="3535" spans="1:14" hidden="1" x14ac:dyDescent="0.25">
      <c r="A3535" s="19">
        <v>45901</v>
      </c>
      <c r="B3535" s="20" t="s">
        <v>535</v>
      </c>
      <c r="C3535" s="20">
        <v>8</v>
      </c>
      <c r="D3535" s="20" t="s">
        <v>238</v>
      </c>
      <c r="E3535" s="20" t="s">
        <v>2341</v>
      </c>
      <c r="F3535" s="20" t="s">
        <v>548</v>
      </c>
      <c r="G3535" s="20" t="s">
        <v>158</v>
      </c>
      <c r="H3535" s="20"/>
      <c r="I3535" s="20"/>
      <c r="J3535" s="20" t="s">
        <v>201</v>
      </c>
      <c r="K3535" s="20" t="s">
        <v>250</v>
      </c>
      <c r="L3535" s="20">
        <v>539000</v>
      </c>
      <c r="M3535" s="20" t="s">
        <v>242</v>
      </c>
      <c r="N3535" s="20" t="s">
        <v>2577</v>
      </c>
    </row>
    <row r="3536" spans="1:14" hidden="1" x14ac:dyDescent="0.25">
      <c r="A3536" s="19">
        <v>45901</v>
      </c>
      <c r="B3536" s="20" t="s">
        <v>535</v>
      </c>
      <c r="C3536" s="20">
        <v>8</v>
      </c>
      <c r="D3536" s="20" t="s">
        <v>238</v>
      </c>
      <c r="E3536" s="20" t="s">
        <v>2341</v>
      </c>
      <c r="F3536" s="20" t="s">
        <v>349</v>
      </c>
      <c r="G3536" s="20" t="s">
        <v>158</v>
      </c>
      <c r="H3536" s="20"/>
      <c r="I3536" s="20"/>
      <c r="J3536" s="20" t="s">
        <v>201</v>
      </c>
      <c r="K3536" s="20" t="s">
        <v>250</v>
      </c>
      <c r="L3536" s="20">
        <v>16000</v>
      </c>
      <c r="M3536" s="20" t="s">
        <v>242</v>
      </c>
      <c r="N3536" s="20" t="s">
        <v>2578</v>
      </c>
    </row>
    <row r="3537" spans="1:14" hidden="1" x14ac:dyDescent="0.25">
      <c r="A3537" s="19">
        <v>45901</v>
      </c>
      <c r="B3537" s="20" t="s">
        <v>535</v>
      </c>
      <c r="C3537" s="20">
        <v>8</v>
      </c>
      <c r="D3537" s="20" t="s">
        <v>238</v>
      </c>
      <c r="E3537" s="20" t="s">
        <v>2341</v>
      </c>
      <c r="F3537" s="20" t="s">
        <v>551</v>
      </c>
      <c r="G3537" s="20" t="s">
        <v>158</v>
      </c>
      <c r="H3537" s="20"/>
      <c r="I3537" s="20"/>
      <c r="J3537" s="20" t="s">
        <v>201</v>
      </c>
      <c r="K3537" s="20" t="s">
        <v>250</v>
      </c>
      <c r="L3537" s="20">
        <v>3440000000</v>
      </c>
      <c r="M3537" s="20" t="s">
        <v>245</v>
      </c>
      <c r="N3537" s="20" t="s">
        <v>2354</v>
      </c>
    </row>
    <row r="3538" spans="1:14" hidden="1" x14ac:dyDescent="0.25">
      <c r="A3538" s="19">
        <v>45901</v>
      </c>
      <c r="B3538" s="20" t="s">
        <v>535</v>
      </c>
      <c r="C3538" s="20">
        <v>8</v>
      </c>
      <c r="D3538" s="20" t="s">
        <v>238</v>
      </c>
      <c r="E3538" s="20" t="s">
        <v>2341</v>
      </c>
      <c r="F3538" s="20" t="s">
        <v>361</v>
      </c>
      <c r="G3538" s="20" t="s">
        <v>158</v>
      </c>
      <c r="H3538" s="20"/>
      <c r="I3538" s="20"/>
      <c r="J3538" s="20" t="s">
        <v>201</v>
      </c>
      <c r="K3538" s="20" t="s">
        <v>250</v>
      </c>
      <c r="L3538" s="20">
        <v>75000000</v>
      </c>
      <c r="M3538" s="20" t="s">
        <v>245</v>
      </c>
      <c r="N3538" s="20" t="s">
        <v>2579</v>
      </c>
    </row>
    <row r="3539" spans="1:14" hidden="1" x14ac:dyDescent="0.25">
      <c r="A3539" s="19">
        <v>45901</v>
      </c>
      <c r="B3539" s="20" t="s">
        <v>35</v>
      </c>
      <c r="C3539" s="20">
        <v>10</v>
      </c>
      <c r="D3539" s="20" t="s">
        <v>238</v>
      </c>
      <c r="E3539" s="20" t="s">
        <v>2341</v>
      </c>
      <c r="F3539" s="20" t="s">
        <v>240</v>
      </c>
      <c r="G3539" s="20" t="s">
        <v>82</v>
      </c>
      <c r="H3539" s="20"/>
      <c r="I3539" s="20"/>
      <c r="J3539" s="20" t="s">
        <v>2580</v>
      </c>
      <c r="K3539" s="20" t="s">
        <v>241</v>
      </c>
      <c r="L3539" s="20">
        <v>117300000</v>
      </c>
      <c r="M3539" s="20" t="s">
        <v>242</v>
      </c>
      <c r="N3539" s="20" t="s">
        <v>2581</v>
      </c>
    </row>
    <row r="3540" spans="1:14" hidden="1" x14ac:dyDescent="0.25">
      <c r="A3540" s="19">
        <v>45901</v>
      </c>
      <c r="B3540" s="20" t="s">
        <v>35</v>
      </c>
      <c r="C3540" s="20">
        <v>10</v>
      </c>
      <c r="D3540" s="20" t="s">
        <v>238</v>
      </c>
      <c r="E3540" s="20" t="s">
        <v>2341</v>
      </c>
      <c r="F3540" s="20" t="s">
        <v>244</v>
      </c>
      <c r="G3540" s="20" t="s">
        <v>82</v>
      </c>
      <c r="H3540" s="20"/>
      <c r="I3540" s="20"/>
      <c r="J3540" s="20" t="s">
        <v>2580</v>
      </c>
      <c r="K3540" s="20" t="s">
        <v>241</v>
      </c>
      <c r="L3540" s="20">
        <v>14500000000</v>
      </c>
      <c r="M3540" s="20" t="s">
        <v>245</v>
      </c>
      <c r="N3540" s="20" t="s">
        <v>2582</v>
      </c>
    </row>
    <row r="3541" spans="1:14" hidden="1" x14ac:dyDescent="0.25">
      <c r="A3541" s="19">
        <v>45901</v>
      </c>
      <c r="B3541" s="20" t="s">
        <v>35</v>
      </c>
      <c r="C3541" s="20">
        <v>11</v>
      </c>
      <c r="D3541" s="20" t="s">
        <v>253</v>
      </c>
      <c r="E3541" s="20" t="s">
        <v>2359</v>
      </c>
      <c r="F3541" s="20" t="s">
        <v>285</v>
      </c>
      <c r="G3541" s="20" t="s">
        <v>63</v>
      </c>
      <c r="H3541" s="20"/>
      <c r="I3541" s="20"/>
      <c r="J3541" s="20" t="s">
        <v>199</v>
      </c>
      <c r="K3541" s="20" t="s">
        <v>255</v>
      </c>
      <c r="L3541" s="20">
        <v>1920000</v>
      </c>
      <c r="M3541" s="20" t="s">
        <v>242</v>
      </c>
      <c r="N3541" s="20" t="s">
        <v>2191</v>
      </c>
    </row>
    <row r="3542" spans="1:14" hidden="1" x14ac:dyDescent="0.25">
      <c r="A3542" s="19">
        <v>45901</v>
      </c>
      <c r="B3542" s="20" t="s">
        <v>35</v>
      </c>
      <c r="C3542" s="20">
        <v>11</v>
      </c>
      <c r="D3542" s="20" t="s">
        <v>253</v>
      </c>
      <c r="E3542" s="20" t="s">
        <v>2359</v>
      </c>
      <c r="F3542" s="20" t="s">
        <v>285</v>
      </c>
      <c r="G3542" s="20" t="s">
        <v>63</v>
      </c>
      <c r="H3542" s="20"/>
      <c r="I3542" s="20"/>
      <c r="J3542" s="20" t="s">
        <v>200</v>
      </c>
      <c r="K3542" s="20" t="s">
        <v>255</v>
      </c>
      <c r="L3542" s="20">
        <v>1960000</v>
      </c>
      <c r="M3542" s="20" t="s">
        <v>242</v>
      </c>
      <c r="N3542" s="20" t="s">
        <v>2360</v>
      </c>
    </row>
    <row r="3543" spans="1:14" hidden="1" x14ac:dyDescent="0.25">
      <c r="A3543" s="19">
        <v>45901</v>
      </c>
      <c r="B3543" s="20" t="s">
        <v>35</v>
      </c>
      <c r="C3543" s="20">
        <v>11</v>
      </c>
      <c r="D3543" s="20" t="s">
        <v>253</v>
      </c>
      <c r="E3543" s="20" t="s">
        <v>2359</v>
      </c>
      <c r="F3543" s="20" t="s">
        <v>285</v>
      </c>
      <c r="G3543" s="20" t="s">
        <v>63</v>
      </c>
      <c r="H3543" s="20"/>
      <c r="I3543" s="20"/>
      <c r="J3543" s="20" t="s">
        <v>201</v>
      </c>
      <c r="K3543" s="20" t="s">
        <v>255</v>
      </c>
      <c r="L3543" s="20">
        <v>2000000</v>
      </c>
      <c r="M3543" s="20" t="s">
        <v>242</v>
      </c>
      <c r="N3543" s="20" t="s">
        <v>2583</v>
      </c>
    </row>
    <row r="3544" spans="1:14" hidden="1" x14ac:dyDescent="0.25">
      <c r="A3544" s="19">
        <v>45901</v>
      </c>
      <c r="B3544" s="20" t="s">
        <v>35</v>
      </c>
      <c r="C3544" s="20">
        <v>11</v>
      </c>
      <c r="D3544" s="20" t="s">
        <v>247</v>
      </c>
      <c r="E3544" s="20" t="s">
        <v>2554</v>
      </c>
      <c r="F3544" s="20" t="s">
        <v>2555</v>
      </c>
      <c r="G3544" s="20" t="s">
        <v>63</v>
      </c>
      <c r="H3544" s="20" t="s">
        <v>286</v>
      </c>
      <c r="I3544" s="20"/>
      <c r="J3544" s="20" t="s">
        <v>201</v>
      </c>
      <c r="K3544" s="20" t="s">
        <v>250</v>
      </c>
      <c r="L3544" s="20">
        <v>2.2000000000000002</v>
      </c>
      <c r="M3544" s="20" t="s">
        <v>251</v>
      </c>
      <c r="N3544" s="20" t="s">
        <v>769</v>
      </c>
    </row>
    <row r="3545" spans="1:14" hidden="1" x14ac:dyDescent="0.25">
      <c r="A3545" s="19">
        <v>45901</v>
      </c>
      <c r="B3545" s="20" t="s">
        <v>35</v>
      </c>
      <c r="C3545" s="20">
        <v>12</v>
      </c>
      <c r="D3545" s="20" t="s">
        <v>291</v>
      </c>
      <c r="E3545" s="20" t="s">
        <v>2361</v>
      </c>
      <c r="F3545" s="20" t="s">
        <v>2362</v>
      </c>
      <c r="G3545" s="20" t="s">
        <v>63</v>
      </c>
      <c r="H3545" s="20" t="s">
        <v>64</v>
      </c>
      <c r="I3545" s="20"/>
      <c r="J3545" s="20" t="s">
        <v>201</v>
      </c>
      <c r="K3545" s="20" t="s">
        <v>250</v>
      </c>
      <c r="L3545" s="20">
        <v>1930000</v>
      </c>
      <c r="M3545" s="20" t="s">
        <v>242</v>
      </c>
      <c r="N3545" s="20" t="s">
        <v>1221</v>
      </c>
    </row>
    <row r="3546" spans="1:14" hidden="1" x14ac:dyDescent="0.25">
      <c r="A3546" s="19">
        <v>45901</v>
      </c>
      <c r="B3546" s="20" t="s">
        <v>35</v>
      </c>
      <c r="C3546" s="20">
        <v>12</v>
      </c>
      <c r="D3546" s="20" t="s">
        <v>291</v>
      </c>
      <c r="E3546" s="20" t="s">
        <v>2361</v>
      </c>
      <c r="F3546" s="20" t="s">
        <v>2362</v>
      </c>
      <c r="G3546" s="20" t="s">
        <v>63</v>
      </c>
      <c r="H3546" s="20" t="s">
        <v>65</v>
      </c>
      <c r="I3546" s="20"/>
      <c r="J3546" s="20" t="s">
        <v>201</v>
      </c>
      <c r="K3546" s="20" t="s">
        <v>250</v>
      </c>
      <c r="L3546" s="20">
        <v>77980</v>
      </c>
      <c r="M3546" s="20" t="s">
        <v>242</v>
      </c>
      <c r="N3546" s="20" t="s">
        <v>2584</v>
      </c>
    </row>
    <row r="3547" spans="1:14" hidden="1" x14ac:dyDescent="0.25">
      <c r="A3547" s="19">
        <v>45901</v>
      </c>
      <c r="B3547" s="20" t="s">
        <v>35</v>
      </c>
      <c r="C3547" s="20">
        <v>13</v>
      </c>
      <c r="D3547" s="20" t="s">
        <v>291</v>
      </c>
      <c r="E3547" s="20" t="s">
        <v>2361</v>
      </c>
      <c r="F3547" s="20" t="s">
        <v>2362</v>
      </c>
      <c r="G3547" s="20" t="s">
        <v>63</v>
      </c>
      <c r="H3547" s="20" t="s">
        <v>2364</v>
      </c>
      <c r="I3547" s="20"/>
      <c r="J3547" s="20" t="s">
        <v>201</v>
      </c>
      <c r="K3547" s="20" t="s">
        <v>250</v>
      </c>
      <c r="L3547" s="20">
        <v>1240000</v>
      </c>
      <c r="M3547" s="20" t="s">
        <v>242</v>
      </c>
      <c r="N3547" s="20" t="s">
        <v>591</v>
      </c>
    </row>
    <row r="3548" spans="1:14" hidden="1" x14ac:dyDescent="0.25">
      <c r="A3548" s="19">
        <v>45901</v>
      </c>
      <c r="B3548" s="20" t="s">
        <v>35</v>
      </c>
      <c r="C3548" s="20">
        <v>13</v>
      </c>
      <c r="D3548" s="20" t="s">
        <v>291</v>
      </c>
      <c r="E3548" s="20" t="s">
        <v>2361</v>
      </c>
      <c r="F3548" s="20" t="s">
        <v>2362</v>
      </c>
      <c r="G3548" s="20" t="s">
        <v>63</v>
      </c>
      <c r="H3548" s="20" t="s">
        <v>2366</v>
      </c>
      <c r="I3548" s="20"/>
      <c r="J3548" s="20" t="s">
        <v>201</v>
      </c>
      <c r="K3548" s="20" t="s">
        <v>250</v>
      </c>
      <c r="L3548" s="20">
        <v>710000</v>
      </c>
      <c r="M3548" s="20" t="s">
        <v>242</v>
      </c>
      <c r="N3548" s="20" t="s">
        <v>2585</v>
      </c>
    </row>
    <row r="3549" spans="1:14" x14ac:dyDescent="0.25">
      <c r="A3549" s="19">
        <v>45901</v>
      </c>
      <c r="B3549" s="20" t="s">
        <v>35</v>
      </c>
      <c r="C3549" s="20">
        <v>14</v>
      </c>
      <c r="D3549" s="20" t="s">
        <v>291</v>
      </c>
      <c r="E3549" s="20" t="s">
        <v>2361</v>
      </c>
      <c r="F3549" s="20" t="s">
        <v>285</v>
      </c>
      <c r="G3549" s="20" t="s">
        <v>63</v>
      </c>
      <c r="H3549" s="20" t="s">
        <v>77</v>
      </c>
      <c r="I3549" s="20"/>
      <c r="J3549" s="20" t="s">
        <v>201</v>
      </c>
      <c r="K3549" s="20" t="s">
        <v>250</v>
      </c>
      <c r="L3549" s="20">
        <v>9000</v>
      </c>
      <c r="M3549" s="20" t="s">
        <v>242</v>
      </c>
      <c r="N3549" s="20" t="s">
        <v>2368</v>
      </c>
    </row>
    <row r="3550" spans="1:14" x14ac:dyDescent="0.25">
      <c r="A3550" s="19">
        <v>45901</v>
      </c>
      <c r="B3550" s="20" t="s">
        <v>35</v>
      </c>
      <c r="C3550" s="20">
        <v>14</v>
      </c>
      <c r="D3550" s="20" t="s">
        <v>291</v>
      </c>
      <c r="E3550" s="20" t="s">
        <v>2361</v>
      </c>
      <c r="F3550" s="20" t="s">
        <v>285</v>
      </c>
      <c r="G3550" s="20" t="s">
        <v>63</v>
      </c>
      <c r="H3550" s="20" t="s">
        <v>70</v>
      </c>
      <c r="I3550" s="20"/>
      <c r="J3550" s="20" t="s">
        <v>201</v>
      </c>
      <c r="K3550" s="20" t="s">
        <v>250</v>
      </c>
      <c r="L3550" s="20">
        <v>730000</v>
      </c>
      <c r="M3550" s="20" t="s">
        <v>242</v>
      </c>
      <c r="N3550" s="20" t="s">
        <v>2586</v>
      </c>
    </row>
    <row r="3551" spans="1:14" x14ac:dyDescent="0.25">
      <c r="A3551" s="19">
        <v>45901</v>
      </c>
      <c r="B3551" s="20" t="s">
        <v>35</v>
      </c>
      <c r="C3551" s="20">
        <v>14</v>
      </c>
      <c r="D3551" s="20" t="s">
        <v>291</v>
      </c>
      <c r="E3551" s="20" t="s">
        <v>2361</v>
      </c>
      <c r="F3551" s="20" t="s">
        <v>285</v>
      </c>
      <c r="G3551" s="20" t="s">
        <v>63</v>
      </c>
      <c r="H3551" s="20" t="s">
        <v>71</v>
      </c>
      <c r="I3551" s="20"/>
      <c r="J3551" s="20" t="s">
        <v>201</v>
      </c>
      <c r="K3551" s="20" t="s">
        <v>250</v>
      </c>
      <c r="L3551" s="20">
        <v>516000</v>
      </c>
      <c r="M3551" s="20" t="s">
        <v>242</v>
      </c>
      <c r="N3551" s="20" t="s">
        <v>2397</v>
      </c>
    </row>
    <row r="3552" spans="1:14" x14ac:dyDescent="0.25">
      <c r="A3552" s="19">
        <v>45901</v>
      </c>
      <c r="B3552" s="20" t="s">
        <v>35</v>
      </c>
      <c r="C3552" s="20">
        <v>14</v>
      </c>
      <c r="D3552" s="20" t="s">
        <v>291</v>
      </c>
      <c r="E3552" s="20" t="s">
        <v>2361</v>
      </c>
      <c r="F3552" s="20" t="s">
        <v>285</v>
      </c>
      <c r="G3552" s="20" t="s">
        <v>63</v>
      </c>
      <c r="H3552" s="20" t="s">
        <v>72</v>
      </c>
      <c r="I3552" s="20"/>
      <c r="J3552" s="20" t="s">
        <v>201</v>
      </c>
      <c r="K3552" s="20" t="s">
        <v>250</v>
      </c>
      <c r="L3552" s="20">
        <v>354000</v>
      </c>
      <c r="M3552" s="20" t="s">
        <v>242</v>
      </c>
      <c r="N3552" s="20" t="s">
        <v>2587</v>
      </c>
    </row>
    <row r="3553" spans="1:14" x14ac:dyDescent="0.25">
      <c r="A3553" s="19">
        <v>45901</v>
      </c>
      <c r="B3553" s="20" t="s">
        <v>35</v>
      </c>
      <c r="C3553" s="20">
        <v>14</v>
      </c>
      <c r="D3553" s="20" t="s">
        <v>291</v>
      </c>
      <c r="E3553" s="20" t="s">
        <v>2361</v>
      </c>
      <c r="F3553" s="20" t="s">
        <v>285</v>
      </c>
      <c r="G3553" s="20" t="s">
        <v>63</v>
      </c>
      <c r="H3553" s="20" t="s">
        <v>73</v>
      </c>
      <c r="I3553" s="20"/>
      <c r="J3553" s="20" t="s">
        <v>201</v>
      </c>
      <c r="K3553" s="20" t="s">
        <v>250</v>
      </c>
      <c r="L3553" s="20">
        <v>218000</v>
      </c>
      <c r="M3553" s="20" t="s">
        <v>242</v>
      </c>
      <c r="N3553" s="20" t="s">
        <v>2588</v>
      </c>
    </row>
    <row r="3554" spans="1:14" x14ac:dyDescent="0.25">
      <c r="A3554" s="19">
        <v>45901</v>
      </c>
      <c r="B3554" s="20" t="s">
        <v>35</v>
      </c>
      <c r="C3554" s="20">
        <v>14</v>
      </c>
      <c r="D3554" s="20" t="s">
        <v>291</v>
      </c>
      <c r="E3554" s="20" t="s">
        <v>2361</v>
      </c>
      <c r="F3554" s="20" t="s">
        <v>285</v>
      </c>
      <c r="G3554" s="20" t="s">
        <v>63</v>
      </c>
      <c r="H3554" s="20" t="s">
        <v>74</v>
      </c>
      <c r="I3554" s="20"/>
      <c r="J3554" s="20" t="s">
        <v>201</v>
      </c>
      <c r="K3554" s="20" t="s">
        <v>250</v>
      </c>
      <c r="L3554" s="20">
        <v>100000</v>
      </c>
      <c r="M3554" s="20" t="s">
        <v>242</v>
      </c>
      <c r="N3554" s="20" t="s">
        <v>2589</v>
      </c>
    </row>
    <row r="3555" spans="1:14" x14ac:dyDescent="0.25">
      <c r="A3555" s="19">
        <v>45901</v>
      </c>
      <c r="B3555" s="20" t="s">
        <v>35</v>
      </c>
      <c r="C3555" s="20">
        <v>14</v>
      </c>
      <c r="D3555" s="20" t="s">
        <v>291</v>
      </c>
      <c r="E3555" s="20" t="s">
        <v>2361</v>
      </c>
      <c r="F3555" s="20" t="s">
        <v>285</v>
      </c>
      <c r="G3555" s="20" t="s">
        <v>63</v>
      </c>
      <c r="H3555" s="20" t="s">
        <v>75</v>
      </c>
      <c r="I3555" s="20"/>
      <c r="J3555" s="20" t="s">
        <v>201</v>
      </c>
      <c r="K3555" s="20" t="s">
        <v>250</v>
      </c>
      <c r="L3555" s="20">
        <v>27000</v>
      </c>
      <c r="M3555" s="20" t="s">
        <v>242</v>
      </c>
      <c r="N3555" s="20" t="s">
        <v>2590</v>
      </c>
    </row>
    <row r="3556" spans="1:14" x14ac:dyDescent="0.25">
      <c r="A3556" s="19">
        <v>45901</v>
      </c>
      <c r="B3556" s="20" t="s">
        <v>35</v>
      </c>
      <c r="C3556" s="20">
        <v>14</v>
      </c>
      <c r="D3556" s="20" t="s">
        <v>291</v>
      </c>
      <c r="E3556" s="20" t="s">
        <v>2361</v>
      </c>
      <c r="F3556" s="20" t="s">
        <v>285</v>
      </c>
      <c r="G3556" s="20" t="s">
        <v>63</v>
      </c>
      <c r="H3556" s="20" t="s">
        <v>76</v>
      </c>
      <c r="I3556" s="20"/>
      <c r="J3556" s="20" t="s">
        <v>201</v>
      </c>
      <c r="K3556" s="20" t="s">
        <v>250</v>
      </c>
      <c r="L3556" s="20">
        <v>6000</v>
      </c>
      <c r="M3556" s="20" t="s">
        <v>242</v>
      </c>
      <c r="N3556" s="20" t="s">
        <v>2375</v>
      </c>
    </row>
    <row r="3557" spans="1:14" hidden="1" x14ac:dyDescent="0.25">
      <c r="A3557" s="19">
        <v>45901</v>
      </c>
      <c r="B3557" s="20" t="s">
        <v>35</v>
      </c>
      <c r="C3557" s="20">
        <v>15</v>
      </c>
      <c r="D3557" s="20" t="s">
        <v>291</v>
      </c>
      <c r="E3557" s="20" t="s">
        <v>2361</v>
      </c>
      <c r="F3557" s="20" t="s">
        <v>2362</v>
      </c>
      <c r="G3557" s="20" t="s">
        <v>63</v>
      </c>
      <c r="H3557" s="20" t="s">
        <v>79</v>
      </c>
      <c r="I3557" s="20"/>
      <c r="J3557" s="20" t="s">
        <v>201</v>
      </c>
      <c r="K3557" s="20" t="s">
        <v>250</v>
      </c>
      <c r="L3557" s="20">
        <v>1950000</v>
      </c>
      <c r="M3557" s="20" t="s">
        <v>242</v>
      </c>
      <c r="N3557" s="20" t="s">
        <v>2591</v>
      </c>
    </row>
    <row r="3558" spans="1:14" hidden="1" x14ac:dyDescent="0.25">
      <c r="A3558" s="19">
        <v>45901</v>
      </c>
      <c r="B3558" s="20" t="s">
        <v>35</v>
      </c>
      <c r="C3558" s="20">
        <v>15</v>
      </c>
      <c r="D3558" s="20" t="s">
        <v>291</v>
      </c>
      <c r="E3558" s="20" t="s">
        <v>2361</v>
      </c>
      <c r="F3558" s="20" t="s">
        <v>2362</v>
      </c>
      <c r="G3558" s="20" t="s">
        <v>63</v>
      </c>
      <c r="H3558" s="20" t="s">
        <v>80</v>
      </c>
      <c r="I3558" s="20"/>
      <c r="J3558" s="20" t="s">
        <v>201</v>
      </c>
      <c r="K3558" s="20" t="s">
        <v>250</v>
      </c>
      <c r="L3558" s="20">
        <v>55300</v>
      </c>
      <c r="M3558" s="20" t="s">
        <v>242</v>
      </c>
      <c r="N3558" s="20" t="s">
        <v>2592</v>
      </c>
    </row>
    <row r="3559" spans="1:14" hidden="1" x14ac:dyDescent="0.25">
      <c r="A3559" s="19">
        <v>45901</v>
      </c>
      <c r="B3559" s="20" t="s">
        <v>35</v>
      </c>
      <c r="C3559" s="20">
        <v>16</v>
      </c>
      <c r="D3559" s="20" t="s">
        <v>253</v>
      </c>
      <c r="E3559" s="20" t="s">
        <v>2359</v>
      </c>
      <c r="F3559" s="20" t="s">
        <v>240</v>
      </c>
      <c r="G3559" s="20" t="s">
        <v>82</v>
      </c>
      <c r="H3559" s="20"/>
      <c r="I3559" s="20"/>
      <c r="J3559" s="20" t="s">
        <v>199</v>
      </c>
      <c r="K3559" s="20" t="s">
        <v>255</v>
      </c>
      <c r="L3559" s="20">
        <v>15300000</v>
      </c>
      <c r="M3559" s="20" t="s">
        <v>242</v>
      </c>
      <c r="N3559" s="20" t="s">
        <v>2199</v>
      </c>
    </row>
    <row r="3560" spans="1:14" hidden="1" x14ac:dyDescent="0.25">
      <c r="A3560" s="19">
        <v>45901</v>
      </c>
      <c r="B3560" s="20" t="s">
        <v>35</v>
      </c>
      <c r="C3560" s="20">
        <v>16</v>
      </c>
      <c r="D3560" s="20" t="s">
        <v>253</v>
      </c>
      <c r="E3560" s="20" t="s">
        <v>2359</v>
      </c>
      <c r="F3560" s="20" t="s">
        <v>240</v>
      </c>
      <c r="G3560" s="20" t="s">
        <v>82</v>
      </c>
      <c r="H3560" s="20"/>
      <c r="I3560" s="20"/>
      <c r="J3560" s="20" t="s">
        <v>200</v>
      </c>
      <c r="K3560" s="20" t="s">
        <v>255</v>
      </c>
      <c r="L3560" s="20">
        <v>15770000</v>
      </c>
      <c r="M3560" s="20" t="s">
        <v>242</v>
      </c>
      <c r="N3560" s="20" t="s">
        <v>2377</v>
      </c>
    </row>
    <row r="3561" spans="1:14" hidden="1" x14ac:dyDescent="0.25">
      <c r="A3561" s="19">
        <v>45901</v>
      </c>
      <c r="B3561" s="20" t="s">
        <v>35</v>
      </c>
      <c r="C3561" s="20">
        <v>16</v>
      </c>
      <c r="D3561" s="20" t="s">
        <v>253</v>
      </c>
      <c r="E3561" s="20" t="s">
        <v>2359</v>
      </c>
      <c r="F3561" s="20" t="s">
        <v>240</v>
      </c>
      <c r="G3561" s="20" t="s">
        <v>82</v>
      </c>
      <c r="H3561" s="20"/>
      <c r="I3561" s="20"/>
      <c r="J3561" s="20" t="s">
        <v>201</v>
      </c>
      <c r="K3561" s="20" t="s">
        <v>255</v>
      </c>
      <c r="L3561" s="20">
        <v>15580000</v>
      </c>
      <c r="M3561" s="20" t="s">
        <v>242</v>
      </c>
      <c r="N3561" s="20" t="s">
        <v>2593</v>
      </c>
    </row>
    <row r="3562" spans="1:14" hidden="1" x14ac:dyDescent="0.25">
      <c r="A3562" s="19">
        <v>45901</v>
      </c>
      <c r="B3562" s="20" t="s">
        <v>35</v>
      </c>
      <c r="C3562" s="20">
        <v>16</v>
      </c>
      <c r="D3562" s="20" t="s">
        <v>247</v>
      </c>
      <c r="E3562" s="20" t="s">
        <v>2554</v>
      </c>
      <c r="F3562" s="20" t="s">
        <v>2559</v>
      </c>
      <c r="G3562" s="20" t="s">
        <v>82</v>
      </c>
      <c r="H3562" s="20" t="s">
        <v>249</v>
      </c>
      <c r="I3562" s="20"/>
      <c r="J3562" s="20" t="s">
        <v>201</v>
      </c>
      <c r="K3562" s="20" t="s">
        <v>250</v>
      </c>
      <c r="L3562" s="20">
        <v>1.2</v>
      </c>
      <c r="M3562" s="20" t="s">
        <v>251</v>
      </c>
      <c r="N3562" s="20" t="s">
        <v>1427</v>
      </c>
    </row>
    <row r="3563" spans="1:14" hidden="1" x14ac:dyDescent="0.25">
      <c r="A3563" s="19">
        <v>45901</v>
      </c>
      <c r="B3563" s="20" t="s">
        <v>35</v>
      </c>
      <c r="C3563" s="20">
        <v>17</v>
      </c>
      <c r="D3563" s="20" t="s">
        <v>291</v>
      </c>
      <c r="E3563" s="20" t="s">
        <v>2361</v>
      </c>
      <c r="F3563" s="20" t="s">
        <v>240</v>
      </c>
      <c r="G3563" s="20" t="s">
        <v>82</v>
      </c>
      <c r="H3563" s="20" t="s">
        <v>83</v>
      </c>
      <c r="I3563" s="20"/>
      <c r="J3563" s="20" t="s">
        <v>201</v>
      </c>
      <c r="K3563" s="20" t="s">
        <v>250</v>
      </c>
      <c r="L3563" s="20">
        <v>12300000</v>
      </c>
      <c r="M3563" s="20" t="s">
        <v>242</v>
      </c>
      <c r="N3563" s="20" t="s">
        <v>2594</v>
      </c>
    </row>
    <row r="3564" spans="1:14" hidden="1" x14ac:dyDescent="0.25">
      <c r="A3564" s="19">
        <v>45901</v>
      </c>
      <c r="B3564" s="20" t="s">
        <v>35</v>
      </c>
      <c r="C3564" s="20">
        <v>17</v>
      </c>
      <c r="D3564" s="20" t="s">
        <v>291</v>
      </c>
      <c r="E3564" s="20" t="s">
        <v>2361</v>
      </c>
      <c r="F3564" s="20" t="s">
        <v>240</v>
      </c>
      <c r="G3564" s="20" t="s">
        <v>82</v>
      </c>
      <c r="H3564" s="20" t="s">
        <v>84</v>
      </c>
      <c r="I3564" s="20"/>
      <c r="J3564" s="20" t="s">
        <v>201</v>
      </c>
      <c r="K3564" s="20" t="s">
        <v>250</v>
      </c>
      <c r="L3564" s="20">
        <v>3280000</v>
      </c>
      <c r="M3564" s="20" t="s">
        <v>242</v>
      </c>
      <c r="N3564" s="20" t="s">
        <v>2595</v>
      </c>
    </row>
    <row r="3565" spans="1:14" hidden="1" x14ac:dyDescent="0.25">
      <c r="A3565" s="19">
        <v>45901</v>
      </c>
      <c r="B3565" s="20" t="s">
        <v>35</v>
      </c>
      <c r="C3565" s="20">
        <v>18</v>
      </c>
      <c r="D3565" s="20" t="s">
        <v>291</v>
      </c>
      <c r="E3565" s="20" t="s">
        <v>2361</v>
      </c>
      <c r="F3565" s="20" t="s">
        <v>240</v>
      </c>
      <c r="G3565" s="20" t="s">
        <v>82</v>
      </c>
      <c r="H3565" s="20" t="s">
        <v>83</v>
      </c>
      <c r="I3565" s="20" t="s">
        <v>315</v>
      </c>
      <c r="J3565" s="20" t="s">
        <v>201</v>
      </c>
      <c r="K3565" s="20" t="s">
        <v>250</v>
      </c>
      <c r="L3565" s="20"/>
      <c r="M3565" s="20" t="s">
        <v>251</v>
      </c>
      <c r="N3565" s="20" t="s">
        <v>2032</v>
      </c>
    </row>
    <row r="3566" spans="1:14" hidden="1" x14ac:dyDescent="0.25">
      <c r="A3566" s="19">
        <v>45901</v>
      </c>
      <c r="B3566" s="20" t="s">
        <v>35</v>
      </c>
      <c r="C3566" s="20">
        <v>18</v>
      </c>
      <c r="D3566" s="20" t="s">
        <v>291</v>
      </c>
      <c r="E3566" s="20" t="s">
        <v>2361</v>
      </c>
      <c r="F3566" s="20" t="s">
        <v>240</v>
      </c>
      <c r="G3566" s="20" t="s">
        <v>82</v>
      </c>
      <c r="H3566" s="20" t="s">
        <v>83</v>
      </c>
      <c r="I3566" s="20" t="s">
        <v>317</v>
      </c>
      <c r="J3566" s="20" t="s">
        <v>201</v>
      </c>
      <c r="K3566" s="20" t="s">
        <v>250</v>
      </c>
      <c r="L3566" s="20"/>
      <c r="M3566" s="20" t="s">
        <v>251</v>
      </c>
      <c r="N3566" s="20" t="s">
        <v>961</v>
      </c>
    </row>
    <row r="3567" spans="1:14" hidden="1" x14ac:dyDescent="0.25">
      <c r="A3567" s="19">
        <v>45901</v>
      </c>
      <c r="B3567" s="20" t="s">
        <v>35</v>
      </c>
      <c r="C3567" s="20">
        <v>18</v>
      </c>
      <c r="D3567" s="20" t="s">
        <v>291</v>
      </c>
      <c r="E3567" s="20" t="s">
        <v>2361</v>
      </c>
      <c r="F3567" s="20" t="s">
        <v>240</v>
      </c>
      <c r="G3567" s="20" t="s">
        <v>82</v>
      </c>
      <c r="H3567" s="20" t="s">
        <v>83</v>
      </c>
      <c r="I3567" s="20" t="s">
        <v>313</v>
      </c>
      <c r="J3567" s="20" t="s">
        <v>201</v>
      </c>
      <c r="K3567" s="20" t="s">
        <v>250</v>
      </c>
      <c r="L3567" s="20"/>
      <c r="M3567" s="20" t="s">
        <v>251</v>
      </c>
      <c r="N3567" s="20" t="s">
        <v>271</v>
      </c>
    </row>
    <row r="3568" spans="1:14" hidden="1" x14ac:dyDescent="0.25">
      <c r="A3568" s="19">
        <v>45901</v>
      </c>
      <c r="B3568" s="20" t="s">
        <v>35</v>
      </c>
      <c r="C3568" s="20">
        <v>18</v>
      </c>
      <c r="D3568" s="20" t="s">
        <v>291</v>
      </c>
      <c r="E3568" s="20" t="s">
        <v>2361</v>
      </c>
      <c r="F3568" s="20" t="s">
        <v>240</v>
      </c>
      <c r="G3568" s="20" t="s">
        <v>82</v>
      </c>
      <c r="H3568" s="20" t="s">
        <v>84</v>
      </c>
      <c r="I3568" s="20" t="s">
        <v>319</v>
      </c>
      <c r="J3568" s="20" t="s">
        <v>201</v>
      </c>
      <c r="K3568" s="20" t="s">
        <v>250</v>
      </c>
      <c r="L3568" s="20"/>
      <c r="M3568" s="20" t="s">
        <v>251</v>
      </c>
      <c r="N3568" s="20" t="s">
        <v>1685</v>
      </c>
    </row>
    <row r="3569" spans="1:14" hidden="1" x14ac:dyDescent="0.25">
      <c r="A3569" s="19">
        <v>45901</v>
      </c>
      <c r="B3569" s="20" t="s">
        <v>35</v>
      </c>
      <c r="C3569" s="20">
        <v>18</v>
      </c>
      <c r="D3569" s="20" t="s">
        <v>291</v>
      </c>
      <c r="E3569" s="20" t="s">
        <v>2361</v>
      </c>
      <c r="F3569" s="20" t="s">
        <v>240</v>
      </c>
      <c r="G3569" s="20" t="s">
        <v>82</v>
      </c>
      <c r="H3569" s="20" t="s">
        <v>84</v>
      </c>
      <c r="I3569" s="20" t="s">
        <v>321</v>
      </c>
      <c r="J3569" s="20" t="s">
        <v>201</v>
      </c>
      <c r="K3569" s="20" t="s">
        <v>250</v>
      </c>
      <c r="L3569" s="20"/>
      <c r="M3569" s="20" t="s">
        <v>251</v>
      </c>
      <c r="N3569" s="20" t="s">
        <v>810</v>
      </c>
    </row>
    <row r="3570" spans="1:14" hidden="1" x14ac:dyDescent="0.25">
      <c r="A3570" s="19">
        <v>45901</v>
      </c>
      <c r="B3570" s="20" t="s">
        <v>35</v>
      </c>
      <c r="C3570" s="20">
        <v>19</v>
      </c>
      <c r="D3570" s="20" t="s">
        <v>253</v>
      </c>
      <c r="E3570" s="20" t="s">
        <v>2359</v>
      </c>
      <c r="F3570" s="20" t="s">
        <v>244</v>
      </c>
      <c r="G3570" s="20" t="s">
        <v>82</v>
      </c>
      <c r="H3570" s="20"/>
      <c r="I3570" s="20"/>
      <c r="J3570" s="20" t="s">
        <v>199</v>
      </c>
      <c r="K3570" s="20" t="s">
        <v>255</v>
      </c>
      <c r="L3570" s="20">
        <v>1860000000</v>
      </c>
      <c r="M3570" s="20" t="s">
        <v>245</v>
      </c>
      <c r="N3570" s="20" t="s">
        <v>2204</v>
      </c>
    </row>
    <row r="3571" spans="1:14" hidden="1" x14ac:dyDescent="0.25">
      <c r="A3571" s="19">
        <v>45901</v>
      </c>
      <c r="B3571" s="20" t="s">
        <v>35</v>
      </c>
      <c r="C3571" s="20">
        <v>19</v>
      </c>
      <c r="D3571" s="20" t="s">
        <v>253</v>
      </c>
      <c r="E3571" s="20" t="s">
        <v>2359</v>
      </c>
      <c r="F3571" s="20" t="s">
        <v>244</v>
      </c>
      <c r="G3571" s="20" t="s">
        <v>82</v>
      </c>
      <c r="H3571" s="20"/>
      <c r="I3571" s="20"/>
      <c r="J3571" s="20" t="s">
        <v>200</v>
      </c>
      <c r="K3571" s="20" t="s">
        <v>255</v>
      </c>
      <c r="L3571" s="20">
        <v>1880000000</v>
      </c>
      <c r="M3571" s="20" t="s">
        <v>245</v>
      </c>
      <c r="N3571" s="20" t="s">
        <v>2596</v>
      </c>
    </row>
    <row r="3572" spans="1:14" hidden="1" x14ac:dyDescent="0.25">
      <c r="A3572" s="19">
        <v>45901</v>
      </c>
      <c r="B3572" s="20" t="s">
        <v>35</v>
      </c>
      <c r="C3572" s="20">
        <v>19</v>
      </c>
      <c r="D3572" s="20" t="s">
        <v>253</v>
      </c>
      <c r="E3572" s="20" t="s">
        <v>2359</v>
      </c>
      <c r="F3572" s="20" t="s">
        <v>244</v>
      </c>
      <c r="G3572" s="20" t="s">
        <v>82</v>
      </c>
      <c r="H3572" s="20"/>
      <c r="I3572" s="20"/>
      <c r="J3572" s="20" t="s">
        <v>201</v>
      </c>
      <c r="K3572" s="20" t="s">
        <v>255</v>
      </c>
      <c r="L3572" s="20">
        <v>1870000000</v>
      </c>
      <c r="M3572" s="20" t="s">
        <v>245</v>
      </c>
      <c r="N3572" s="20" t="s">
        <v>2597</v>
      </c>
    </row>
    <row r="3573" spans="1:14" hidden="1" x14ac:dyDescent="0.25">
      <c r="A3573" s="19">
        <v>45901</v>
      </c>
      <c r="B3573" s="20" t="s">
        <v>35</v>
      </c>
      <c r="C3573" s="20">
        <v>19</v>
      </c>
      <c r="D3573" s="20" t="s">
        <v>247</v>
      </c>
      <c r="E3573" s="20" t="s">
        <v>2554</v>
      </c>
      <c r="F3573" s="20" t="s">
        <v>2558</v>
      </c>
      <c r="G3573" s="20" t="s">
        <v>82</v>
      </c>
      <c r="H3573" s="20" t="s">
        <v>249</v>
      </c>
      <c r="I3573" s="20"/>
      <c r="J3573" s="20" t="s">
        <v>201</v>
      </c>
      <c r="K3573" s="20" t="s">
        <v>250</v>
      </c>
      <c r="L3573" s="20">
        <v>0.8</v>
      </c>
      <c r="M3573" s="20" t="s">
        <v>251</v>
      </c>
      <c r="N3573" s="20" t="s">
        <v>370</v>
      </c>
    </row>
    <row r="3574" spans="1:14" hidden="1" x14ac:dyDescent="0.25">
      <c r="A3574" s="19">
        <v>45901</v>
      </c>
      <c r="B3574" s="20" t="s">
        <v>35</v>
      </c>
      <c r="C3574" s="20">
        <v>20</v>
      </c>
      <c r="D3574" s="20" t="s">
        <v>291</v>
      </c>
      <c r="E3574" s="20" t="s">
        <v>2361</v>
      </c>
      <c r="F3574" s="20" t="s">
        <v>244</v>
      </c>
      <c r="G3574" s="20" t="s">
        <v>82</v>
      </c>
      <c r="H3574" s="20" t="s">
        <v>83</v>
      </c>
      <c r="I3574" s="20"/>
      <c r="J3574" s="20" t="s">
        <v>201</v>
      </c>
      <c r="K3574" s="20" t="s">
        <v>250</v>
      </c>
      <c r="L3574" s="20">
        <v>1330000000</v>
      </c>
      <c r="M3574" s="20" t="s">
        <v>245</v>
      </c>
      <c r="N3574" s="20" t="s">
        <v>967</v>
      </c>
    </row>
    <row r="3575" spans="1:14" hidden="1" x14ac:dyDescent="0.25">
      <c r="A3575" s="19">
        <v>45901</v>
      </c>
      <c r="B3575" s="20" t="s">
        <v>35</v>
      </c>
      <c r="C3575" s="20">
        <v>20</v>
      </c>
      <c r="D3575" s="20" t="s">
        <v>291</v>
      </c>
      <c r="E3575" s="20" t="s">
        <v>2361</v>
      </c>
      <c r="F3575" s="20" t="s">
        <v>244</v>
      </c>
      <c r="G3575" s="20" t="s">
        <v>82</v>
      </c>
      <c r="H3575" s="20" t="s">
        <v>84</v>
      </c>
      <c r="I3575" s="20"/>
      <c r="J3575" s="20" t="s">
        <v>201</v>
      </c>
      <c r="K3575" s="20" t="s">
        <v>250</v>
      </c>
      <c r="L3575" s="20">
        <v>533100000</v>
      </c>
      <c r="M3575" s="20" t="s">
        <v>245</v>
      </c>
      <c r="N3575" s="20" t="s">
        <v>2598</v>
      </c>
    </row>
    <row r="3576" spans="1:14" hidden="1" x14ac:dyDescent="0.25">
      <c r="A3576" s="19">
        <v>45901</v>
      </c>
      <c r="B3576" s="20" t="s">
        <v>35</v>
      </c>
      <c r="C3576" s="20">
        <v>21</v>
      </c>
      <c r="D3576" s="20" t="s">
        <v>291</v>
      </c>
      <c r="E3576" s="20" t="s">
        <v>2361</v>
      </c>
      <c r="F3576" s="20" t="s">
        <v>244</v>
      </c>
      <c r="G3576" s="20" t="s">
        <v>82</v>
      </c>
      <c r="H3576" s="20" t="s">
        <v>83</v>
      </c>
      <c r="I3576" s="20" t="s">
        <v>315</v>
      </c>
      <c r="J3576" s="20" t="s">
        <v>201</v>
      </c>
      <c r="K3576" s="20" t="s">
        <v>250</v>
      </c>
      <c r="L3576" s="20"/>
      <c r="M3576" s="20" t="s">
        <v>251</v>
      </c>
      <c r="N3576" s="20" t="s">
        <v>2599</v>
      </c>
    </row>
    <row r="3577" spans="1:14" hidden="1" x14ac:dyDescent="0.25">
      <c r="A3577" s="19">
        <v>45901</v>
      </c>
      <c r="B3577" s="20" t="s">
        <v>35</v>
      </c>
      <c r="C3577" s="20">
        <v>21</v>
      </c>
      <c r="D3577" s="20" t="s">
        <v>291</v>
      </c>
      <c r="E3577" s="20" t="s">
        <v>2361</v>
      </c>
      <c r="F3577" s="20" t="s">
        <v>244</v>
      </c>
      <c r="G3577" s="20" t="s">
        <v>82</v>
      </c>
      <c r="H3577" s="20" t="s">
        <v>83</v>
      </c>
      <c r="I3577" s="20" t="s">
        <v>317</v>
      </c>
      <c r="J3577" s="20" t="s">
        <v>201</v>
      </c>
      <c r="K3577" s="20" t="s">
        <v>250</v>
      </c>
      <c r="L3577" s="20"/>
      <c r="M3577" s="20" t="s">
        <v>251</v>
      </c>
      <c r="N3577" s="20" t="s">
        <v>1613</v>
      </c>
    </row>
    <row r="3578" spans="1:14" hidden="1" x14ac:dyDescent="0.25">
      <c r="A3578" s="19">
        <v>45901</v>
      </c>
      <c r="B3578" s="20" t="s">
        <v>35</v>
      </c>
      <c r="C3578" s="20">
        <v>21</v>
      </c>
      <c r="D3578" s="20" t="s">
        <v>291</v>
      </c>
      <c r="E3578" s="20" t="s">
        <v>2361</v>
      </c>
      <c r="F3578" s="20" t="s">
        <v>244</v>
      </c>
      <c r="G3578" s="20" t="s">
        <v>82</v>
      </c>
      <c r="H3578" s="20" t="s">
        <v>83</v>
      </c>
      <c r="I3578" s="20" t="s">
        <v>313</v>
      </c>
      <c r="J3578" s="20" t="s">
        <v>201</v>
      </c>
      <c r="K3578" s="20" t="s">
        <v>250</v>
      </c>
      <c r="L3578" s="20"/>
      <c r="M3578" s="20" t="s">
        <v>251</v>
      </c>
      <c r="N3578" s="20" t="s">
        <v>314</v>
      </c>
    </row>
    <row r="3579" spans="1:14" hidden="1" x14ac:dyDescent="0.25">
      <c r="A3579" s="19">
        <v>45901</v>
      </c>
      <c r="B3579" s="20" t="s">
        <v>35</v>
      </c>
      <c r="C3579" s="20">
        <v>21</v>
      </c>
      <c r="D3579" s="20" t="s">
        <v>291</v>
      </c>
      <c r="E3579" s="20" t="s">
        <v>2361</v>
      </c>
      <c r="F3579" s="20" t="s">
        <v>244</v>
      </c>
      <c r="G3579" s="20" t="s">
        <v>82</v>
      </c>
      <c r="H3579" s="20" t="s">
        <v>84</v>
      </c>
      <c r="I3579" s="20" t="s">
        <v>2385</v>
      </c>
      <c r="J3579" s="20" t="s">
        <v>201</v>
      </c>
      <c r="K3579" s="20" t="s">
        <v>250</v>
      </c>
      <c r="L3579" s="20"/>
      <c r="M3579" s="20" t="s">
        <v>251</v>
      </c>
      <c r="N3579" s="20" t="s">
        <v>602</v>
      </c>
    </row>
    <row r="3580" spans="1:14" hidden="1" x14ac:dyDescent="0.25">
      <c r="A3580" s="19">
        <v>45901</v>
      </c>
      <c r="B3580" s="20" t="s">
        <v>35</v>
      </c>
      <c r="C3580" s="20">
        <v>21</v>
      </c>
      <c r="D3580" s="20" t="s">
        <v>291</v>
      </c>
      <c r="E3580" s="20" t="s">
        <v>2361</v>
      </c>
      <c r="F3580" s="20" t="s">
        <v>244</v>
      </c>
      <c r="G3580" s="20" t="s">
        <v>82</v>
      </c>
      <c r="H3580" s="20" t="s">
        <v>84</v>
      </c>
      <c r="I3580" s="20" t="s">
        <v>321</v>
      </c>
      <c r="J3580" s="20" t="s">
        <v>201</v>
      </c>
      <c r="K3580" s="20" t="s">
        <v>250</v>
      </c>
      <c r="L3580" s="20"/>
      <c r="M3580" s="20" t="s">
        <v>251</v>
      </c>
      <c r="N3580" s="20" t="s">
        <v>603</v>
      </c>
    </row>
    <row r="3581" spans="1:14" hidden="1" x14ac:dyDescent="0.25">
      <c r="A3581" s="19">
        <v>45901</v>
      </c>
      <c r="B3581" s="20" t="s">
        <v>35</v>
      </c>
      <c r="C3581" s="20">
        <v>22</v>
      </c>
      <c r="D3581" s="20" t="s">
        <v>253</v>
      </c>
      <c r="E3581" s="20" t="s">
        <v>2359</v>
      </c>
      <c r="F3581" s="20" t="s">
        <v>334</v>
      </c>
      <c r="G3581" s="20" t="s">
        <v>82</v>
      </c>
      <c r="H3581" s="20"/>
      <c r="I3581" s="20"/>
      <c r="J3581" s="20" t="s">
        <v>199</v>
      </c>
      <c r="K3581" s="20" t="s">
        <v>255</v>
      </c>
      <c r="L3581" s="20">
        <v>122</v>
      </c>
      <c r="M3581" s="20" t="s">
        <v>245</v>
      </c>
      <c r="N3581" s="20" t="s">
        <v>2039</v>
      </c>
    </row>
    <row r="3582" spans="1:14" hidden="1" x14ac:dyDescent="0.25">
      <c r="A3582" s="19">
        <v>45901</v>
      </c>
      <c r="B3582" s="20" t="s">
        <v>35</v>
      </c>
      <c r="C3582" s="20">
        <v>22</v>
      </c>
      <c r="D3582" s="20" t="s">
        <v>253</v>
      </c>
      <c r="E3582" s="20" t="s">
        <v>2359</v>
      </c>
      <c r="F3582" s="20" t="s">
        <v>334</v>
      </c>
      <c r="G3582" s="20" t="s">
        <v>82</v>
      </c>
      <c r="H3582" s="20"/>
      <c r="I3582" s="20"/>
      <c r="J3582" s="20" t="s">
        <v>200</v>
      </c>
      <c r="K3582" s="20" t="s">
        <v>255</v>
      </c>
      <c r="L3582" s="20">
        <v>119</v>
      </c>
      <c r="M3582" s="20" t="s">
        <v>245</v>
      </c>
      <c r="N3582" s="20" t="s">
        <v>1866</v>
      </c>
    </row>
    <row r="3583" spans="1:14" hidden="1" x14ac:dyDescent="0.25">
      <c r="A3583" s="19">
        <v>45901</v>
      </c>
      <c r="B3583" s="20" t="s">
        <v>35</v>
      </c>
      <c r="C3583" s="20">
        <v>22</v>
      </c>
      <c r="D3583" s="20" t="s">
        <v>253</v>
      </c>
      <c r="E3583" s="20" t="s">
        <v>2359</v>
      </c>
      <c r="F3583" s="20" t="s">
        <v>334</v>
      </c>
      <c r="G3583" s="20" t="s">
        <v>82</v>
      </c>
      <c r="H3583" s="20"/>
      <c r="I3583" s="20"/>
      <c r="J3583" s="20" t="s">
        <v>201</v>
      </c>
      <c r="K3583" s="20" t="s">
        <v>255</v>
      </c>
      <c r="L3583" s="20">
        <v>120</v>
      </c>
      <c r="M3583" s="20" t="s">
        <v>245</v>
      </c>
      <c r="N3583" s="20" t="s">
        <v>2600</v>
      </c>
    </row>
    <row r="3584" spans="1:14" hidden="1" x14ac:dyDescent="0.25">
      <c r="A3584" s="19">
        <v>45901</v>
      </c>
      <c r="B3584" s="20" t="s">
        <v>35</v>
      </c>
      <c r="C3584" s="20">
        <v>23</v>
      </c>
      <c r="D3584" s="20" t="s">
        <v>291</v>
      </c>
      <c r="E3584" s="20" t="s">
        <v>2361</v>
      </c>
      <c r="F3584" s="20" t="s">
        <v>428</v>
      </c>
      <c r="G3584" s="20" t="s">
        <v>82</v>
      </c>
      <c r="H3584" s="20" t="s">
        <v>95</v>
      </c>
      <c r="I3584" s="20"/>
      <c r="J3584" s="20" t="s">
        <v>201</v>
      </c>
      <c r="K3584" s="20" t="s">
        <v>250</v>
      </c>
      <c r="L3584" s="20">
        <v>2350000</v>
      </c>
      <c r="M3584" s="20" t="s">
        <v>242</v>
      </c>
      <c r="N3584" s="20" t="s">
        <v>1948</v>
      </c>
    </row>
    <row r="3585" spans="1:14" hidden="1" x14ac:dyDescent="0.25">
      <c r="A3585" s="19">
        <v>45901</v>
      </c>
      <c r="B3585" s="20" t="s">
        <v>35</v>
      </c>
      <c r="C3585" s="20">
        <v>23</v>
      </c>
      <c r="D3585" s="20" t="s">
        <v>291</v>
      </c>
      <c r="E3585" s="20" t="s">
        <v>2361</v>
      </c>
      <c r="F3585" s="20" t="s">
        <v>428</v>
      </c>
      <c r="G3585" s="20" t="s">
        <v>82</v>
      </c>
      <c r="H3585" s="20" t="s">
        <v>94</v>
      </c>
      <c r="I3585" s="20"/>
      <c r="J3585" s="20" t="s">
        <v>201</v>
      </c>
      <c r="K3585" s="20" t="s">
        <v>250</v>
      </c>
      <c r="L3585" s="20">
        <v>6300000</v>
      </c>
      <c r="M3585" s="20" t="s">
        <v>242</v>
      </c>
      <c r="N3585" s="20" t="s">
        <v>2601</v>
      </c>
    </row>
    <row r="3586" spans="1:14" hidden="1" x14ac:dyDescent="0.25">
      <c r="A3586" s="19">
        <v>45901</v>
      </c>
      <c r="B3586" s="20" t="s">
        <v>35</v>
      </c>
      <c r="C3586" s="20">
        <v>24</v>
      </c>
      <c r="D3586" s="20" t="s">
        <v>291</v>
      </c>
      <c r="E3586" s="20" t="s">
        <v>2361</v>
      </c>
      <c r="F3586" s="20" t="s">
        <v>445</v>
      </c>
      <c r="G3586" s="20" t="s">
        <v>82</v>
      </c>
      <c r="H3586" s="20" t="s">
        <v>95</v>
      </c>
      <c r="I3586" s="20"/>
      <c r="J3586" s="20" t="s">
        <v>201</v>
      </c>
      <c r="K3586" s="20" t="s">
        <v>250</v>
      </c>
      <c r="L3586" s="20">
        <v>250100000</v>
      </c>
      <c r="M3586" s="20" t="s">
        <v>245</v>
      </c>
      <c r="N3586" s="20" t="s">
        <v>2602</v>
      </c>
    </row>
    <row r="3587" spans="1:14" hidden="1" x14ac:dyDescent="0.25">
      <c r="A3587" s="19">
        <v>45901</v>
      </c>
      <c r="B3587" s="20" t="s">
        <v>35</v>
      </c>
      <c r="C3587" s="20">
        <v>24</v>
      </c>
      <c r="D3587" s="20" t="s">
        <v>291</v>
      </c>
      <c r="E3587" s="20" t="s">
        <v>2361</v>
      </c>
      <c r="F3587" s="20" t="s">
        <v>445</v>
      </c>
      <c r="G3587" s="20" t="s">
        <v>82</v>
      </c>
      <c r="H3587" s="20" t="s">
        <v>94</v>
      </c>
      <c r="I3587" s="20"/>
      <c r="J3587" s="20" t="s">
        <v>201</v>
      </c>
      <c r="K3587" s="20" t="s">
        <v>250</v>
      </c>
      <c r="L3587" s="20">
        <v>891800000</v>
      </c>
      <c r="M3587" s="20" t="s">
        <v>245</v>
      </c>
      <c r="N3587" s="20" t="s">
        <v>2603</v>
      </c>
    </row>
    <row r="3588" spans="1:14" hidden="1" x14ac:dyDescent="0.25">
      <c r="A3588" s="19">
        <v>45901</v>
      </c>
      <c r="B3588" s="20" t="s">
        <v>97</v>
      </c>
      <c r="C3588" s="20">
        <v>26</v>
      </c>
      <c r="D3588" s="20" t="s">
        <v>238</v>
      </c>
      <c r="E3588" s="20" t="s">
        <v>2341</v>
      </c>
      <c r="F3588" s="20" t="s">
        <v>240</v>
      </c>
      <c r="G3588" s="20" t="s">
        <v>82</v>
      </c>
      <c r="H3588" s="20"/>
      <c r="I3588" s="20"/>
      <c r="J3588" s="20" t="s">
        <v>2580</v>
      </c>
      <c r="K3588" s="20" t="s">
        <v>241</v>
      </c>
      <c r="L3588" s="20">
        <v>70880000</v>
      </c>
      <c r="M3588" s="20" t="s">
        <v>242</v>
      </c>
      <c r="N3588" s="20" t="s">
        <v>2604</v>
      </c>
    </row>
    <row r="3589" spans="1:14" hidden="1" x14ac:dyDescent="0.25">
      <c r="A3589" s="19">
        <v>45901</v>
      </c>
      <c r="B3589" s="20" t="s">
        <v>97</v>
      </c>
      <c r="C3589" s="20">
        <v>26</v>
      </c>
      <c r="D3589" s="20" t="s">
        <v>238</v>
      </c>
      <c r="E3589" s="20" t="s">
        <v>2341</v>
      </c>
      <c r="F3589" s="20" t="s">
        <v>244</v>
      </c>
      <c r="G3589" s="20" t="s">
        <v>82</v>
      </c>
      <c r="H3589" s="20"/>
      <c r="I3589" s="20"/>
      <c r="J3589" s="20" t="s">
        <v>2580</v>
      </c>
      <c r="K3589" s="20" t="s">
        <v>241</v>
      </c>
      <c r="L3589" s="20">
        <v>4690000000</v>
      </c>
      <c r="M3589" s="20" t="s">
        <v>245</v>
      </c>
      <c r="N3589" s="20" t="s">
        <v>2605</v>
      </c>
    </row>
    <row r="3590" spans="1:14" hidden="1" x14ac:dyDescent="0.25">
      <c r="A3590" s="19">
        <v>45901</v>
      </c>
      <c r="B3590" s="20" t="s">
        <v>97</v>
      </c>
      <c r="C3590" s="20">
        <v>27</v>
      </c>
      <c r="D3590" s="20" t="s">
        <v>253</v>
      </c>
      <c r="E3590" s="20" t="s">
        <v>2359</v>
      </c>
      <c r="F3590" s="20" t="s">
        <v>285</v>
      </c>
      <c r="G3590" s="20" t="s">
        <v>63</v>
      </c>
      <c r="H3590" s="20"/>
      <c r="I3590" s="20"/>
      <c r="J3590" s="20" t="s">
        <v>199</v>
      </c>
      <c r="K3590" s="20" t="s">
        <v>255</v>
      </c>
      <c r="L3590" s="20">
        <v>2630000</v>
      </c>
      <c r="M3590" s="20" t="s">
        <v>242</v>
      </c>
      <c r="N3590" s="20" t="s">
        <v>1776</v>
      </c>
    </row>
    <row r="3591" spans="1:14" hidden="1" x14ac:dyDescent="0.25">
      <c r="A3591" s="19">
        <v>45901</v>
      </c>
      <c r="B3591" s="20" t="s">
        <v>97</v>
      </c>
      <c r="C3591" s="20">
        <v>27</v>
      </c>
      <c r="D3591" s="20" t="s">
        <v>253</v>
      </c>
      <c r="E3591" s="20" t="s">
        <v>2359</v>
      </c>
      <c r="F3591" s="20" t="s">
        <v>285</v>
      </c>
      <c r="G3591" s="20" t="s">
        <v>63</v>
      </c>
      <c r="H3591" s="20"/>
      <c r="I3591" s="20"/>
      <c r="J3591" s="20" t="s">
        <v>200</v>
      </c>
      <c r="K3591" s="20" t="s">
        <v>255</v>
      </c>
      <c r="L3591" s="20">
        <v>2660000</v>
      </c>
      <c r="M3591" s="20" t="s">
        <v>242</v>
      </c>
      <c r="N3591" s="20" t="s">
        <v>1947</v>
      </c>
    </row>
    <row r="3592" spans="1:14" hidden="1" x14ac:dyDescent="0.25">
      <c r="A3592" s="19">
        <v>45901</v>
      </c>
      <c r="B3592" s="20" t="s">
        <v>97</v>
      </c>
      <c r="C3592" s="20">
        <v>27</v>
      </c>
      <c r="D3592" s="20" t="s">
        <v>253</v>
      </c>
      <c r="E3592" s="20" t="s">
        <v>2359</v>
      </c>
      <c r="F3592" s="20" t="s">
        <v>285</v>
      </c>
      <c r="G3592" s="20" t="s">
        <v>63</v>
      </c>
      <c r="H3592" s="20"/>
      <c r="I3592" s="20"/>
      <c r="J3592" s="20" t="s">
        <v>201</v>
      </c>
      <c r="K3592" s="20" t="s">
        <v>255</v>
      </c>
      <c r="L3592" s="20">
        <v>2700000</v>
      </c>
      <c r="M3592" s="20" t="s">
        <v>242</v>
      </c>
      <c r="N3592" s="20" t="s">
        <v>2606</v>
      </c>
    </row>
    <row r="3593" spans="1:14" hidden="1" x14ac:dyDescent="0.25">
      <c r="A3593" s="19">
        <v>45901</v>
      </c>
      <c r="B3593" s="20" t="s">
        <v>97</v>
      </c>
      <c r="C3593" s="20">
        <v>27</v>
      </c>
      <c r="D3593" s="20" t="s">
        <v>247</v>
      </c>
      <c r="E3593" s="20" t="s">
        <v>2554</v>
      </c>
      <c r="F3593" s="20" t="s">
        <v>2555</v>
      </c>
      <c r="G3593" s="20" t="s">
        <v>63</v>
      </c>
      <c r="H3593" s="20" t="s">
        <v>286</v>
      </c>
      <c r="I3593" s="20"/>
      <c r="J3593" s="20" t="s">
        <v>201</v>
      </c>
      <c r="K3593" s="20" t="s">
        <v>250</v>
      </c>
      <c r="L3593" s="20">
        <v>1.4</v>
      </c>
      <c r="M3593" s="20" t="s">
        <v>251</v>
      </c>
      <c r="N3593" s="20" t="s">
        <v>271</v>
      </c>
    </row>
    <row r="3594" spans="1:14" hidden="1" x14ac:dyDescent="0.25">
      <c r="A3594" s="19">
        <v>45901</v>
      </c>
      <c r="B3594" s="20" t="s">
        <v>97</v>
      </c>
      <c r="C3594" s="20">
        <v>28</v>
      </c>
      <c r="D3594" s="20" t="s">
        <v>291</v>
      </c>
      <c r="E3594" s="20" t="s">
        <v>2361</v>
      </c>
      <c r="F3594" s="20" t="s">
        <v>2362</v>
      </c>
      <c r="G3594" s="20" t="s">
        <v>63</v>
      </c>
      <c r="H3594" s="20" t="s">
        <v>64</v>
      </c>
      <c r="I3594" s="20"/>
      <c r="J3594" s="20" t="s">
        <v>201</v>
      </c>
      <c r="K3594" s="20" t="s">
        <v>250</v>
      </c>
      <c r="L3594" s="20">
        <v>2370000</v>
      </c>
      <c r="M3594" s="20" t="s">
        <v>242</v>
      </c>
      <c r="N3594" s="20" t="s">
        <v>746</v>
      </c>
    </row>
    <row r="3595" spans="1:14" hidden="1" x14ac:dyDescent="0.25">
      <c r="A3595" s="19">
        <v>45901</v>
      </c>
      <c r="B3595" s="20" t="s">
        <v>97</v>
      </c>
      <c r="C3595" s="20">
        <v>28</v>
      </c>
      <c r="D3595" s="20" t="s">
        <v>291</v>
      </c>
      <c r="E3595" s="20" t="s">
        <v>2361</v>
      </c>
      <c r="F3595" s="20" t="s">
        <v>2362</v>
      </c>
      <c r="G3595" s="20" t="s">
        <v>63</v>
      </c>
      <c r="H3595" s="20" t="s">
        <v>65</v>
      </c>
      <c r="I3595" s="20"/>
      <c r="J3595" s="20" t="s">
        <v>201</v>
      </c>
      <c r="K3595" s="20" t="s">
        <v>250</v>
      </c>
      <c r="L3595" s="20">
        <v>330000</v>
      </c>
      <c r="M3595" s="20" t="s">
        <v>242</v>
      </c>
      <c r="N3595" s="20" t="s">
        <v>2607</v>
      </c>
    </row>
    <row r="3596" spans="1:14" hidden="1" x14ac:dyDescent="0.25">
      <c r="A3596" s="19">
        <v>45901</v>
      </c>
      <c r="B3596" s="20" t="s">
        <v>97</v>
      </c>
      <c r="C3596" s="20">
        <v>29</v>
      </c>
      <c r="D3596" s="20" t="s">
        <v>291</v>
      </c>
      <c r="E3596" s="20" t="s">
        <v>2361</v>
      </c>
      <c r="F3596" s="20" t="s">
        <v>2362</v>
      </c>
      <c r="G3596" s="20" t="s">
        <v>63</v>
      </c>
      <c r="H3596" s="20" t="s">
        <v>2364</v>
      </c>
      <c r="I3596" s="20"/>
      <c r="J3596" s="20" t="s">
        <v>201</v>
      </c>
      <c r="K3596" s="20" t="s">
        <v>250</v>
      </c>
      <c r="L3596" s="20">
        <v>1410000</v>
      </c>
      <c r="M3596" s="20" t="s">
        <v>242</v>
      </c>
      <c r="N3596" s="20" t="s">
        <v>2608</v>
      </c>
    </row>
    <row r="3597" spans="1:14" hidden="1" x14ac:dyDescent="0.25">
      <c r="A3597" s="19">
        <v>45901</v>
      </c>
      <c r="B3597" s="20" t="s">
        <v>97</v>
      </c>
      <c r="C3597" s="20">
        <v>29</v>
      </c>
      <c r="D3597" s="20" t="s">
        <v>291</v>
      </c>
      <c r="E3597" s="20" t="s">
        <v>2361</v>
      </c>
      <c r="F3597" s="20" t="s">
        <v>2362</v>
      </c>
      <c r="G3597" s="20" t="s">
        <v>63</v>
      </c>
      <c r="H3597" s="20" t="s">
        <v>2366</v>
      </c>
      <c r="I3597" s="20"/>
      <c r="J3597" s="20" t="s">
        <v>201</v>
      </c>
      <c r="K3597" s="20" t="s">
        <v>250</v>
      </c>
      <c r="L3597" s="20">
        <v>1280000</v>
      </c>
      <c r="M3597" s="20" t="s">
        <v>242</v>
      </c>
      <c r="N3597" s="20" t="s">
        <v>339</v>
      </c>
    </row>
    <row r="3598" spans="1:14" hidden="1" x14ac:dyDescent="0.25">
      <c r="A3598" s="19">
        <v>45901</v>
      </c>
      <c r="B3598" s="20" t="s">
        <v>97</v>
      </c>
      <c r="C3598" s="20">
        <v>30</v>
      </c>
      <c r="D3598" s="20" t="s">
        <v>291</v>
      </c>
      <c r="E3598" s="20" t="s">
        <v>2361</v>
      </c>
      <c r="F3598" s="20" t="s">
        <v>285</v>
      </c>
      <c r="G3598" s="20" t="s">
        <v>63</v>
      </c>
      <c r="H3598" s="20" t="s">
        <v>77</v>
      </c>
      <c r="I3598" s="20"/>
      <c r="J3598" s="20" t="s">
        <v>201</v>
      </c>
      <c r="K3598" s="20" t="s">
        <v>250</v>
      </c>
      <c r="L3598" s="20">
        <v>1000</v>
      </c>
      <c r="M3598" s="20" t="s">
        <v>242</v>
      </c>
      <c r="N3598" s="20" t="s">
        <v>2394</v>
      </c>
    </row>
    <row r="3599" spans="1:14" hidden="1" x14ac:dyDescent="0.25">
      <c r="A3599" s="19">
        <v>45901</v>
      </c>
      <c r="B3599" s="20" t="s">
        <v>97</v>
      </c>
      <c r="C3599" s="20">
        <v>30</v>
      </c>
      <c r="D3599" s="20" t="s">
        <v>291</v>
      </c>
      <c r="E3599" s="20" t="s">
        <v>2361</v>
      </c>
      <c r="F3599" s="20" t="s">
        <v>285</v>
      </c>
      <c r="G3599" s="20" t="s">
        <v>63</v>
      </c>
      <c r="H3599" s="20" t="s">
        <v>70</v>
      </c>
      <c r="I3599" s="20"/>
      <c r="J3599" s="20" t="s">
        <v>201</v>
      </c>
      <c r="K3599" s="20" t="s">
        <v>250</v>
      </c>
      <c r="L3599" s="20">
        <v>976000</v>
      </c>
      <c r="M3599" s="20" t="s">
        <v>242</v>
      </c>
      <c r="N3599" s="20" t="s">
        <v>2609</v>
      </c>
    </row>
    <row r="3600" spans="1:14" hidden="1" x14ac:dyDescent="0.25">
      <c r="A3600" s="19">
        <v>45901</v>
      </c>
      <c r="B3600" s="20" t="s">
        <v>97</v>
      </c>
      <c r="C3600" s="20">
        <v>30</v>
      </c>
      <c r="D3600" s="20" t="s">
        <v>291</v>
      </c>
      <c r="E3600" s="20" t="s">
        <v>2361</v>
      </c>
      <c r="F3600" s="20" t="s">
        <v>285</v>
      </c>
      <c r="G3600" s="20" t="s">
        <v>63</v>
      </c>
      <c r="H3600" s="20" t="s">
        <v>71</v>
      </c>
      <c r="I3600" s="20"/>
      <c r="J3600" s="20" t="s">
        <v>201</v>
      </c>
      <c r="K3600" s="20" t="s">
        <v>250</v>
      </c>
      <c r="L3600" s="20">
        <v>694000</v>
      </c>
      <c r="M3600" s="20" t="s">
        <v>242</v>
      </c>
      <c r="N3600" s="20" t="s">
        <v>2610</v>
      </c>
    </row>
    <row r="3601" spans="1:14" hidden="1" x14ac:dyDescent="0.25">
      <c r="A3601" s="19">
        <v>45901</v>
      </c>
      <c r="B3601" s="20" t="s">
        <v>97</v>
      </c>
      <c r="C3601" s="20">
        <v>30</v>
      </c>
      <c r="D3601" s="20" t="s">
        <v>291</v>
      </c>
      <c r="E3601" s="20" t="s">
        <v>2361</v>
      </c>
      <c r="F3601" s="20" t="s">
        <v>285</v>
      </c>
      <c r="G3601" s="20" t="s">
        <v>63</v>
      </c>
      <c r="H3601" s="20" t="s">
        <v>72</v>
      </c>
      <c r="I3601" s="20"/>
      <c r="J3601" s="20" t="s">
        <v>201</v>
      </c>
      <c r="K3601" s="20" t="s">
        <v>250</v>
      </c>
      <c r="L3601" s="20">
        <v>522000</v>
      </c>
      <c r="M3601" s="20" t="s">
        <v>242</v>
      </c>
      <c r="N3601" s="20" t="s">
        <v>2611</v>
      </c>
    </row>
    <row r="3602" spans="1:14" hidden="1" x14ac:dyDescent="0.25">
      <c r="A3602" s="19">
        <v>45901</v>
      </c>
      <c r="B3602" s="20" t="s">
        <v>97</v>
      </c>
      <c r="C3602" s="20">
        <v>30</v>
      </c>
      <c r="D3602" s="20" t="s">
        <v>291</v>
      </c>
      <c r="E3602" s="20" t="s">
        <v>2361</v>
      </c>
      <c r="F3602" s="20" t="s">
        <v>285</v>
      </c>
      <c r="G3602" s="20" t="s">
        <v>63</v>
      </c>
      <c r="H3602" s="20" t="s">
        <v>73</v>
      </c>
      <c r="I3602" s="20"/>
      <c r="J3602" s="20" t="s">
        <v>201</v>
      </c>
      <c r="K3602" s="20" t="s">
        <v>250</v>
      </c>
      <c r="L3602" s="20">
        <v>326000</v>
      </c>
      <c r="M3602" s="20" t="s">
        <v>242</v>
      </c>
      <c r="N3602" s="20" t="s">
        <v>2612</v>
      </c>
    </row>
    <row r="3603" spans="1:14" hidden="1" x14ac:dyDescent="0.25">
      <c r="A3603" s="19">
        <v>45901</v>
      </c>
      <c r="B3603" s="20" t="s">
        <v>97</v>
      </c>
      <c r="C3603" s="20">
        <v>30</v>
      </c>
      <c r="D3603" s="20" t="s">
        <v>291</v>
      </c>
      <c r="E3603" s="20" t="s">
        <v>2361</v>
      </c>
      <c r="F3603" s="20" t="s">
        <v>285</v>
      </c>
      <c r="G3603" s="20" t="s">
        <v>63</v>
      </c>
      <c r="H3603" s="20" t="s">
        <v>74</v>
      </c>
      <c r="I3603" s="20"/>
      <c r="J3603" s="20" t="s">
        <v>201</v>
      </c>
      <c r="K3603" s="20" t="s">
        <v>250</v>
      </c>
      <c r="L3603" s="20">
        <v>123000</v>
      </c>
      <c r="M3603" s="20" t="s">
        <v>242</v>
      </c>
      <c r="N3603" s="20" t="s">
        <v>2613</v>
      </c>
    </row>
    <row r="3604" spans="1:14" hidden="1" x14ac:dyDescent="0.25">
      <c r="A3604" s="19">
        <v>45901</v>
      </c>
      <c r="B3604" s="20" t="s">
        <v>97</v>
      </c>
      <c r="C3604" s="20">
        <v>30</v>
      </c>
      <c r="D3604" s="20" t="s">
        <v>291</v>
      </c>
      <c r="E3604" s="20" t="s">
        <v>2361</v>
      </c>
      <c r="F3604" s="20" t="s">
        <v>285</v>
      </c>
      <c r="G3604" s="20" t="s">
        <v>63</v>
      </c>
      <c r="H3604" s="20" t="s">
        <v>75</v>
      </c>
      <c r="I3604" s="20"/>
      <c r="J3604" s="20" t="s">
        <v>201</v>
      </c>
      <c r="K3604" s="20" t="s">
        <v>250</v>
      </c>
      <c r="L3604" s="20">
        <v>36000</v>
      </c>
      <c r="M3604" s="20" t="s">
        <v>242</v>
      </c>
      <c r="N3604" s="20" t="s">
        <v>1854</v>
      </c>
    </row>
    <row r="3605" spans="1:14" hidden="1" x14ac:dyDescent="0.25">
      <c r="A3605" s="19">
        <v>45901</v>
      </c>
      <c r="B3605" s="20" t="s">
        <v>97</v>
      </c>
      <c r="C3605" s="20">
        <v>30</v>
      </c>
      <c r="D3605" s="20" t="s">
        <v>291</v>
      </c>
      <c r="E3605" s="20" t="s">
        <v>2361</v>
      </c>
      <c r="F3605" s="20" t="s">
        <v>285</v>
      </c>
      <c r="G3605" s="20" t="s">
        <v>63</v>
      </c>
      <c r="H3605" s="20" t="s">
        <v>76</v>
      </c>
      <c r="I3605" s="20"/>
      <c r="J3605" s="20" t="s">
        <v>201</v>
      </c>
      <c r="K3605" s="20" t="s">
        <v>250</v>
      </c>
      <c r="L3605" s="20">
        <v>13000</v>
      </c>
      <c r="M3605" s="20" t="s">
        <v>242</v>
      </c>
      <c r="N3605" s="20" t="s">
        <v>932</v>
      </c>
    </row>
    <row r="3606" spans="1:14" hidden="1" x14ac:dyDescent="0.25">
      <c r="A3606" s="19">
        <v>45901</v>
      </c>
      <c r="B3606" s="20" t="s">
        <v>97</v>
      </c>
      <c r="C3606" s="20">
        <v>31</v>
      </c>
      <c r="D3606" s="20" t="s">
        <v>291</v>
      </c>
      <c r="E3606" s="20" t="s">
        <v>2361</v>
      </c>
      <c r="F3606" s="20" t="s">
        <v>2400</v>
      </c>
      <c r="G3606" s="20" t="s">
        <v>99</v>
      </c>
      <c r="H3606" s="20" t="s">
        <v>103</v>
      </c>
      <c r="I3606" s="20"/>
      <c r="J3606" s="20" t="s">
        <v>201</v>
      </c>
      <c r="K3606" s="20" t="s">
        <v>250</v>
      </c>
      <c r="L3606" s="20">
        <v>2670000</v>
      </c>
      <c r="M3606" s="20" t="s">
        <v>242</v>
      </c>
      <c r="N3606" s="20" t="s">
        <v>2169</v>
      </c>
    </row>
    <row r="3607" spans="1:14" hidden="1" x14ac:dyDescent="0.25">
      <c r="A3607" s="19">
        <v>45901</v>
      </c>
      <c r="B3607" s="20" t="s">
        <v>97</v>
      </c>
      <c r="C3607" s="20">
        <v>31</v>
      </c>
      <c r="D3607" s="20" t="s">
        <v>291</v>
      </c>
      <c r="E3607" s="20" t="s">
        <v>2361</v>
      </c>
      <c r="F3607" s="20" t="s">
        <v>477</v>
      </c>
      <c r="G3607" s="20" t="s">
        <v>99</v>
      </c>
      <c r="H3607" s="20" t="s">
        <v>104</v>
      </c>
      <c r="I3607" s="20"/>
      <c r="J3607" s="20" t="s">
        <v>201</v>
      </c>
      <c r="K3607" s="20" t="s">
        <v>250</v>
      </c>
      <c r="L3607" s="20">
        <v>3574</v>
      </c>
      <c r="M3607" s="20" t="s">
        <v>242</v>
      </c>
      <c r="N3607" s="20" t="s">
        <v>2614</v>
      </c>
    </row>
    <row r="3608" spans="1:14" hidden="1" x14ac:dyDescent="0.25">
      <c r="A3608" s="19">
        <v>45901</v>
      </c>
      <c r="B3608" s="20" t="s">
        <v>97</v>
      </c>
      <c r="C3608" s="20">
        <v>31</v>
      </c>
      <c r="D3608" s="20" t="s">
        <v>291</v>
      </c>
      <c r="E3608" s="20" t="s">
        <v>2361</v>
      </c>
      <c r="F3608" s="20" t="s">
        <v>477</v>
      </c>
      <c r="G3608" s="20" t="s">
        <v>99</v>
      </c>
      <c r="H3608" s="20" t="s">
        <v>101</v>
      </c>
      <c r="I3608" s="20"/>
      <c r="J3608" s="20" t="s">
        <v>201</v>
      </c>
      <c r="K3608" s="20" t="s">
        <v>250</v>
      </c>
      <c r="L3608" s="20">
        <v>1388</v>
      </c>
      <c r="M3608" s="20" t="s">
        <v>242</v>
      </c>
      <c r="N3608" s="20" t="s">
        <v>2615</v>
      </c>
    </row>
    <row r="3609" spans="1:14" hidden="1" x14ac:dyDescent="0.25">
      <c r="A3609" s="19">
        <v>45901</v>
      </c>
      <c r="B3609" s="20" t="s">
        <v>97</v>
      </c>
      <c r="C3609" s="20">
        <v>31</v>
      </c>
      <c r="D3609" s="20" t="s">
        <v>291</v>
      </c>
      <c r="E3609" s="20" t="s">
        <v>2361</v>
      </c>
      <c r="F3609" s="20" t="s">
        <v>477</v>
      </c>
      <c r="G3609" s="20" t="s">
        <v>99</v>
      </c>
      <c r="H3609" s="20" t="s">
        <v>100</v>
      </c>
      <c r="I3609" s="20"/>
      <c r="J3609" s="20" t="s">
        <v>201</v>
      </c>
      <c r="K3609" s="20" t="s">
        <v>250</v>
      </c>
      <c r="L3609" s="20">
        <v>992</v>
      </c>
      <c r="M3609" s="20" t="s">
        <v>242</v>
      </c>
      <c r="N3609" s="20" t="s">
        <v>2616</v>
      </c>
    </row>
    <row r="3610" spans="1:14" hidden="1" x14ac:dyDescent="0.25">
      <c r="A3610" s="19">
        <v>45901</v>
      </c>
      <c r="B3610" s="20" t="s">
        <v>97</v>
      </c>
      <c r="C3610" s="20">
        <v>31</v>
      </c>
      <c r="D3610" s="20" t="s">
        <v>291</v>
      </c>
      <c r="E3610" s="20" t="s">
        <v>2361</v>
      </c>
      <c r="F3610" s="20" t="s">
        <v>477</v>
      </c>
      <c r="G3610" s="20" t="s">
        <v>99</v>
      </c>
      <c r="H3610" s="20" t="s">
        <v>102</v>
      </c>
      <c r="I3610" s="20"/>
      <c r="J3610" s="20" t="s">
        <v>201</v>
      </c>
      <c r="K3610" s="20" t="s">
        <v>250</v>
      </c>
      <c r="L3610" s="20">
        <v>7</v>
      </c>
      <c r="M3610" s="20" t="s">
        <v>242</v>
      </c>
      <c r="N3610" s="20" t="s">
        <v>1064</v>
      </c>
    </row>
    <row r="3611" spans="1:14" hidden="1" x14ac:dyDescent="0.25">
      <c r="A3611" s="19">
        <v>45901</v>
      </c>
      <c r="B3611" s="20" t="s">
        <v>97</v>
      </c>
      <c r="C3611" s="20">
        <v>32</v>
      </c>
      <c r="D3611" s="20" t="s">
        <v>253</v>
      </c>
      <c r="E3611" s="20" t="s">
        <v>2359</v>
      </c>
      <c r="F3611" s="20" t="s">
        <v>240</v>
      </c>
      <c r="G3611" s="20" t="s">
        <v>82</v>
      </c>
      <c r="H3611" s="20"/>
      <c r="I3611" s="20"/>
      <c r="J3611" s="20" t="s">
        <v>199</v>
      </c>
      <c r="K3611" s="20" t="s">
        <v>255</v>
      </c>
      <c r="L3611" s="20">
        <v>9150000</v>
      </c>
      <c r="M3611" s="20" t="s">
        <v>242</v>
      </c>
      <c r="N3611" s="20" t="s">
        <v>2255</v>
      </c>
    </row>
    <row r="3612" spans="1:14" hidden="1" x14ac:dyDescent="0.25">
      <c r="A3612" s="19">
        <v>45901</v>
      </c>
      <c r="B3612" s="20" t="s">
        <v>97</v>
      </c>
      <c r="C3612" s="20">
        <v>32</v>
      </c>
      <c r="D3612" s="20" t="s">
        <v>253</v>
      </c>
      <c r="E3612" s="20" t="s">
        <v>2359</v>
      </c>
      <c r="F3612" s="20" t="s">
        <v>240</v>
      </c>
      <c r="G3612" s="20" t="s">
        <v>82</v>
      </c>
      <c r="H3612" s="20"/>
      <c r="I3612" s="20"/>
      <c r="J3612" s="20" t="s">
        <v>200</v>
      </c>
      <c r="K3612" s="20" t="s">
        <v>255</v>
      </c>
      <c r="L3612" s="20">
        <v>9450000</v>
      </c>
      <c r="M3612" s="20" t="s">
        <v>242</v>
      </c>
      <c r="N3612" s="20" t="s">
        <v>2404</v>
      </c>
    </row>
    <row r="3613" spans="1:14" hidden="1" x14ac:dyDescent="0.25">
      <c r="A3613" s="19">
        <v>45901</v>
      </c>
      <c r="B3613" s="20" t="s">
        <v>97</v>
      </c>
      <c r="C3613" s="20">
        <v>32</v>
      </c>
      <c r="D3613" s="20" t="s">
        <v>253</v>
      </c>
      <c r="E3613" s="20" t="s">
        <v>2359</v>
      </c>
      <c r="F3613" s="20" t="s">
        <v>240</v>
      </c>
      <c r="G3613" s="20" t="s">
        <v>82</v>
      </c>
      <c r="H3613" s="20"/>
      <c r="I3613" s="20"/>
      <c r="J3613" s="20" t="s">
        <v>201</v>
      </c>
      <c r="K3613" s="20" t="s">
        <v>255</v>
      </c>
      <c r="L3613" s="20">
        <v>9500000</v>
      </c>
      <c r="M3613" s="20" t="s">
        <v>242</v>
      </c>
      <c r="N3613" s="20" t="s">
        <v>2617</v>
      </c>
    </row>
    <row r="3614" spans="1:14" hidden="1" x14ac:dyDescent="0.25">
      <c r="A3614" s="19">
        <v>45901</v>
      </c>
      <c r="B3614" s="20" t="s">
        <v>97</v>
      </c>
      <c r="C3614" s="20">
        <v>32</v>
      </c>
      <c r="D3614" s="20" t="s">
        <v>247</v>
      </c>
      <c r="E3614" s="20" t="s">
        <v>2554</v>
      </c>
      <c r="F3614" s="20" t="s">
        <v>2556</v>
      </c>
      <c r="G3614" s="20" t="s">
        <v>82</v>
      </c>
      <c r="H3614" s="20" t="s">
        <v>286</v>
      </c>
      <c r="I3614" s="20"/>
      <c r="J3614" s="20" t="s">
        <v>201</v>
      </c>
      <c r="K3614" s="20" t="s">
        <v>250</v>
      </c>
      <c r="L3614" s="20">
        <v>0.5</v>
      </c>
      <c r="M3614" s="20" t="s">
        <v>251</v>
      </c>
      <c r="N3614" s="20" t="s">
        <v>322</v>
      </c>
    </row>
    <row r="3615" spans="1:14" hidden="1" x14ac:dyDescent="0.25">
      <c r="A3615" s="19">
        <v>45901</v>
      </c>
      <c r="B3615" s="20" t="s">
        <v>97</v>
      </c>
      <c r="C3615" s="20">
        <v>33</v>
      </c>
      <c r="D3615" s="20" t="s">
        <v>291</v>
      </c>
      <c r="E3615" s="20" t="s">
        <v>2361</v>
      </c>
      <c r="F3615" s="20" t="s">
        <v>240</v>
      </c>
      <c r="G3615" s="20" t="s">
        <v>82</v>
      </c>
      <c r="H3615" s="20" t="s">
        <v>83</v>
      </c>
      <c r="I3615" s="20"/>
      <c r="J3615" s="20" t="s">
        <v>201</v>
      </c>
      <c r="K3615" s="20" t="s">
        <v>250</v>
      </c>
      <c r="L3615" s="20">
        <v>8270000</v>
      </c>
      <c r="M3615" s="20" t="s">
        <v>242</v>
      </c>
      <c r="N3615" s="20" t="s">
        <v>2618</v>
      </c>
    </row>
    <row r="3616" spans="1:14" hidden="1" x14ac:dyDescent="0.25">
      <c r="A3616" s="19">
        <v>45901</v>
      </c>
      <c r="B3616" s="20" t="s">
        <v>97</v>
      </c>
      <c r="C3616" s="20">
        <v>33</v>
      </c>
      <c r="D3616" s="20" t="s">
        <v>291</v>
      </c>
      <c r="E3616" s="20" t="s">
        <v>2361</v>
      </c>
      <c r="F3616" s="20" t="s">
        <v>240</v>
      </c>
      <c r="G3616" s="20" t="s">
        <v>82</v>
      </c>
      <c r="H3616" s="20" t="s">
        <v>84</v>
      </c>
      <c r="I3616" s="20"/>
      <c r="J3616" s="20" t="s">
        <v>201</v>
      </c>
      <c r="K3616" s="20" t="s">
        <v>250</v>
      </c>
      <c r="L3616" s="20">
        <v>1030000</v>
      </c>
      <c r="M3616" s="20" t="s">
        <v>242</v>
      </c>
      <c r="N3616" s="20" t="s">
        <v>826</v>
      </c>
    </row>
    <row r="3617" spans="1:14" hidden="1" x14ac:dyDescent="0.25">
      <c r="A3617" s="19">
        <v>45901</v>
      </c>
      <c r="B3617" s="20" t="s">
        <v>97</v>
      </c>
      <c r="C3617" s="20">
        <v>33</v>
      </c>
      <c r="D3617" s="20" t="s">
        <v>291</v>
      </c>
      <c r="E3617" s="20" t="s">
        <v>2361</v>
      </c>
      <c r="F3617" s="20" t="s">
        <v>240</v>
      </c>
      <c r="G3617" s="20" t="s">
        <v>82</v>
      </c>
      <c r="H3617" s="20" t="s">
        <v>106</v>
      </c>
      <c r="I3617" s="20"/>
      <c r="J3617" s="20" t="s">
        <v>201</v>
      </c>
      <c r="K3617" s="20" t="s">
        <v>250</v>
      </c>
      <c r="L3617" s="20">
        <v>128300</v>
      </c>
      <c r="M3617" s="20" t="s">
        <v>242</v>
      </c>
      <c r="N3617" s="20" t="s">
        <v>2619</v>
      </c>
    </row>
    <row r="3618" spans="1:14" hidden="1" x14ac:dyDescent="0.25">
      <c r="A3618" s="19">
        <v>45901</v>
      </c>
      <c r="B3618" s="20" t="s">
        <v>97</v>
      </c>
      <c r="C3618" s="20">
        <v>33</v>
      </c>
      <c r="D3618" s="20" t="s">
        <v>291</v>
      </c>
      <c r="E3618" s="20" t="s">
        <v>2361</v>
      </c>
      <c r="F3618" s="20" t="s">
        <v>240</v>
      </c>
      <c r="G3618" s="20" t="s">
        <v>82</v>
      </c>
      <c r="H3618" s="20" t="s">
        <v>105</v>
      </c>
      <c r="I3618" s="20"/>
      <c r="J3618" s="20" t="s">
        <v>201</v>
      </c>
      <c r="K3618" s="20" t="s">
        <v>250</v>
      </c>
      <c r="L3618" s="20">
        <v>73240</v>
      </c>
      <c r="M3618" s="20" t="s">
        <v>242</v>
      </c>
      <c r="N3618" s="20" t="s">
        <v>2620</v>
      </c>
    </row>
    <row r="3619" spans="1:14" hidden="1" x14ac:dyDescent="0.25">
      <c r="A3619" s="19">
        <v>45901</v>
      </c>
      <c r="B3619" s="20" t="s">
        <v>97</v>
      </c>
      <c r="C3619" s="20">
        <v>34</v>
      </c>
      <c r="D3619" s="20" t="s">
        <v>291</v>
      </c>
      <c r="E3619" s="20" t="s">
        <v>2361</v>
      </c>
      <c r="F3619" s="20" t="s">
        <v>240</v>
      </c>
      <c r="G3619" s="20" t="s">
        <v>82</v>
      </c>
      <c r="H3619" s="20" t="s">
        <v>83</v>
      </c>
      <c r="I3619" s="20" t="s">
        <v>315</v>
      </c>
      <c r="J3619" s="20" t="s">
        <v>201</v>
      </c>
      <c r="K3619" s="20" t="s">
        <v>250</v>
      </c>
      <c r="L3619" s="20"/>
      <c r="M3619" s="20" t="s">
        <v>251</v>
      </c>
      <c r="N3619" s="20" t="s">
        <v>2621</v>
      </c>
    </row>
    <row r="3620" spans="1:14" hidden="1" x14ac:dyDescent="0.25">
      <c r="A3620" s="19">
        <v>45901</v>
      </c>
      <c r="B3620" s="20" t="s">
        <v>97</v>
      </c>
      <c r="C3620" s="20">
        <v>34</v>
      </c>
      <c r="D3620" s="20" t="s">
        <v>291</v>
      </c>
      <c r="E3620" s="20" t="s">
        <v>2361</v>
      </c>
      <c r="F3620" s="20" t="s">
        <v>240</v>
      </c>
      <c r="G3620" s="20" t="s">
        <v>82</v>
      </c>
      <c r="H3620" s="20" t="s">
        <v>83</v>
      </c>
      <c r="I3620" s="20" t="s">
        <v>317</v>
      </c>
      <c r="J3620" s="20" t="s">
        <v>201</v>
      </c>
      <c r="K3620" s="20" t="s">
        <v>250</v>
      </c>
      <c r="L3620" s="20"/>
      <c r="M3620" s="20" t="s">
        <v>251</v>
      </c>
      <c r="N3620" s="20" t="s">
        <v>2622</v>
      </c>
    </row>
    <row r="3621" spans="1:14" hidden="1" x14ac:dyDescent="0.25">
      <c r="A3621" s="19">
        <v>45901</v>
      </c>
      <c r="B3621" s="20" t="s">
        <v>97</v>
      </c>
      <c r="C3621" s="20">
        <v>34</v>
      </c>
      <c r="D3621" s="20" t="s">
        <v>291</v>
      </c>
      <c r="E3621" s="20" t="s">
        <v>2361</v>
      </c>
      <c r="F3621" s="20" t="s">
        <v>240</v>
      </c>
      <c r="G3621" s="20" t="s">
        <v>82</v>
      </c>
      <c r="H3621" s="20" t="s">
        <v>83</v>
      </c>
      <c r="I3621" s="20" t="s">
        <v>503</v>
      </c>
      <c r="J3621" s="20" t="s">
        <v>201</v>
      </c>
      <c r="K3621" s="20" t="s">
        <v>250</v>
      </c>
      <c r="L3621" s="20"/>
      <c r="M3621" s="20" t="s">
        <v>251</v>
      </c>
      <c r="N3621" s="20" t="s">
        <v>2623</v>
      </c>
    </row>
    <row r="3622" spans="1:14" hidden="1" x14ac:dyDescent="0.25">
      <c r="A3622" s="19">
        <v>45901</v>
      </c>
      <c r="B3622" s="20" t="s">
        <v>97</v>
      </c>
      <c r="C3622" s="20">
        <v>34</v>
      </c>
      <c r="D3622" s="20" t="s">
        <v>291</v>
      </c>
      <c r="E3622" s="20" t="s">
        <v>2361</v>
      </c>
      <c r="F3622" s="20" t="s">
        <v>240</v>
      </c>
      <c r="G3622" s="20" t="s">
        <v>82</v>
      </c>
      <c r="H3622" s="20" t="s">
        <v>83</v>
      </c>
      <c r="I3622" s="20" t="s">
        <v>497</v>
      </c>
      <c r="J3622" s="20" t="s">
        <v>201</v>
      </c>
      <c r="K3622" s="20" t="s">
        <v>250</v>
      </c>
      <c r="L3622" s="20"/>
      <c r="M3622" s="20" t="s">
        <v>251</v>
      </c>
      <c r="N3622" s="20" t="s">
        <v>2624</v>
      </c>
    </row>
    <row r="3623" spans="1:14" hidden="1" x14ac:dyDescent="0.25">
      <c r="A3623" s="19">
        <v>45901</v>
      </c>
      <c r="B3623" s="20" t="s">
        <v>97</v>
      </c>
      <c r="C3623" s="20">
        <v>34</v>
      </c>
      <c r="D3623" s="20" t="s">
        <v>291</v>
      </c>
      <c r="E3623" s="20" t="s">
        <v>2361</v>
      </c>
      <c r="F3623" s="20" t="s">
        <v>240</v>
      </c>
      <c r="G3623" s="20" t="s">
        <v>82</v>
      </c>
      <c r="H3623" s="20" t="s">
        <v>83</v>
      </c>
      <c r="I3623" s="20" t="s">
        <v>2413</v>
      </c>
      <c r="J3623" s="20" t="s">
        <v>201</v>
      </c>
      <c r="K3623" s="20" t="s">
        <v>250</v>
      </c>
      <c r="L3623" s="20"/>
      <c r="M3623" s="20" t="s">
        <v>251</v>
      </c>
      <c r="N3623" s="20" t="s">
        <v>2625</v>
      </c>
    </row>
    <row r="3624" spans="1:14" hidden="1" x14ac:dyDescent="0.25">
      <c r="A3624" s="19">
        <v>45901</v>
      </c>
      <c r="B3624" s="20" t="s">
        <v>97</v>
      </c>
      <c r="C3624" s="20">
        <v>34</v>
      </c>
      <c r="D3624" s="20" t="s">
        <v>291</v>
      </c>
      <c r="E3624" s="20" t="s">
        <v>2361</v>
      </c>
      <c r="F3624" s="20" t="s">
        <v>240</v>
      </c>
      <c r="G3624" s="20" t="s">
        <v>82</v>
      </c>
      <c r="H3624" s="20" t="s">
        <v>83</v>
      </c>
      <c r="I3624" s="20" t="s">
        <v>2414</v>
      </c>
      <c r="J3624" s="20" t="s">
        <v>201</v>
      </c>
      <c r="K3624" s="20" t="s">
        <v>250</v>
      </c>
      <c r="L3624" s="20"/>
      <c r="M3624" s="20" t="s">
        <v>251</v>
      </c>
      <c r="N3624" s="20" t="s">
        <v>333</v>
      </c>
    </row>
    <row r="3625" spans="1:14" hidden="1" x14ac:dyDescent="0.25">
      <c r="A3625" s="19">
        <v>45901</v>
      </c>
      <c r="B3625" s="20" t="s">
        <v>97</v>
      </c>
      <c r="C3625" s="20">
        <v>34</v>
      </c>
      <c r="D3625" s="20" t="s">
        <v>291</v>
      </c>
      <c r="E3625" s="20" t="s">
        <v>2361</v>
      </c>
      <c r="F3625" s="20" t="s">
        <v>240</v>
      </c>
      <c r="G3625" s="20" t="s">
        <v>82</v>
      </c>
      <c r="H3625" s="20" t="s">
        <v>84</v>
      </c>
      <c r="I3625" s="20" t="s">
        <v>319</v>
      </c>
      <c r="J3625" s="20" t="s">
        <v>201</v>
      </c>
      <c r="K3625" s="20" t="s">
        <v>250</v>
      </c>
      <c r="L3625" s="20"/>
      <c r="M3625" s="20" t="s">
        <v>251</v>
      </c>
      <c r="N3625" s="20" t="s">
        <v>2626</v>
      </c>
    </row>
    <row r="3626" spans="1:14" hidden="1" x14ac:dyDescent="0.25">
      <c r="A3626" s="19">
        <v>45901</v>
      </c>
      <c r="B3626" s="20" t="s">
        <v>97</v>
      </c>
      <c r="C3626" s="20">
        <v>34</v>
      </c>
      <c r="D3626" s="20" t="s">
        <v>291</v>
      </c>
      <c r="E3626" s="20" t="s">
        <v>2361</v>
      </c>
      <c r="F3626" s="20" t="s">
        <v>240</v>
      </c>
      <c r="G3626" s="20" t="s">
        <v>82</v>
      </c>
      <c r="H3626" s="20" t="s">
        <v>84</v>
      </c>
      <c r="I3626" s="20" t="s">
        <v>321</v>
      </c>
      <c r="J3626" s="20" t="s">
        <v>201</v>
      </c>
      <c r="K3626" s="20" t="s">
        <v>250</v>
      </c>
      <c r="L3626" s="20"/>
      <c r="M3626" s="20" t="s">
        <v>251</v>
      </c>
      <c r="N3626" s="20" t="s">
        <v>2627</v>
      </c>
    </row>
    <row r="3627" spans="1:14" hidden="1" x14ac:dyDescent="0.25">
      <c r="A3627" s="19">
        <v>45901</v>
      </c>
      <c r="B3627" s="20" t="s">
        <v>97</v>
      </c>
      <c r="C3627" s="20">
        <v>34</v>
      </c>
      <c r="D3627" s="20" t="s">
        <v>291</v>
      </c>
      <c r="E3627" s="20" t="s">
        <v>2361</v>
      </c>
      <c r="F3627" s="20" t="s">
        <v>240</v>
      </c>
      <c r="G3627" s="20" t="s">
        <v>82</v>
      </c>
      <c r="H3627" s="20" t="s">
        <v>106</v>
      </c>
      <c r="I3627" s="20" t="s">
        <v>493</v>
      </c>
      <c r="J3627" s="20" t="s">
        <v>201</v>
      </c>
      <c r="K3627" s="20" t="s">
        <v>250</v>
      </c>
      <c r="L3627" s="20"/>
      <c r="M3627" s="20" t="s">
        <v>251</v>
      </c>
      <c r="N3627" s="20" t="s">
        <v>2628</v>
      </c>
    </row>
    <row r="3628" spans="1:14" hidden="1" x14ac:dyDescent="0.25">
      <c r="A3628" s="19">
        <v>45901</v>
      </c>
      <c r="B3628" s="20" t="s">
        <v>97</v>
      </c>
      <c r="C3628" s="20">
        <v>34</v>
      </c>
      <c r="D3628" s="20" t="s">
        <v>291</v>
      </c>
      <c r="E3628" s="20" t="s">
        <v>2361</v>
      </c>
      <c r="F3628" s="20" t="s">
        <v>240</v>
      </c>
      <c r="G3628" s="20" t="s">
        <v>82</v>
      </c>
      <c r="H3628" s="20" t="s">
        <v>106</v>
      </c>
      <c r="I3628" s="20" t="s">
        <v>491</v>
      </c>
      <c r="J3628" s="20" t="s">
        <v>201</v>
      </c>
      <c r="K3628" s="20" t="s">
        <v>250</v>
      </c>
      <c r="L3628" s="20"/>
      <c r="M3628" s="20" t="s">
        <v>251</v>
      </c>
      <c r="N3628" s="20" t="s">
        <v>2629</v>
      </c>
    </row>
    <row r="3629" spans="1:14" hidden="1" x14ac:dyDescent="0.25">
      <c r="A3629" s="19">
        <v>45901</v>
      </c>
      <c r="B3629" s="20" t="s">
        <v>97</v>
      </c>
      <c r="C3629" s="20">
        <v>34</v>
      </c>
      <c r="D3629" s="20" t="s">
        <v>291</v>
      </c>
      <c r="E3629" s="20" t="s">
        <v>2361</v>
      </c>
      <c r="F3629" s="20" t="s">
        <v>240</v>
      </c>
      <c r="G3629" s="20" t="s">
        <v>82</v>
      </c>
      <c r="H3629" s="20" t="s">
        <v>105</v>
      </c>
      <c r="I3629" s="20" t="s">
        <v>493</v>
      </c>
      <c r="J3629" s="20" t="s">
        <v>201</v>
      </c>
      <c r="K3629" s="20" t="s">
        <v>250</v>
      </c>
      <c r="L3629" s="20"/>
      <c r="M3629" s="20" t="s">
        <v>251</v>
      </c>
      <c r="N3629" s="20" t="s">
        <v>2630</v>
      </c>
    </row>
    <row r="3630" spans="1:14" hidden="1" x14ac:dyDescent="0.25">
      <c r="A3630" s="19">
        <v>45901</v>
      </c>
      <c r="B3630" s="20" t="s">
        <v>97</v>
      </c>
      <c r="C3630" s="20">
        <v>34</v>
      </c>
      <c r="D3630" s="20" t="s">
        <v>291</v>
      </c>
      <c r="E3630" s="20" t="s">
        <v>2361</v>
      </c>
      <c r="F3630" s="20" t="s">
        <v>240</v>
      </c>
      <c r="G3630" s="20" t="s">
        <v>82</v>
      </c>
      <c r="H3630" s="20" t="s">
        <v>105</v>
      </c>
      <c r="I3630" s="20" t="s">
        <v>491</v>
      </c>
      <c r="J3630" s="20" t="s">
        <v>201</v>
      </c>
      <c r="K3630" s="20" t="s">
        <v>250</v>
      </c>
      <c r="L3630" s="20"/>
      <c r="M3630" s="20" t="s">
        <v>251</v>
      </c>
      <c r="N3630" s="20" t="s">
        <v>2631</v>
      </c>
    </row>
    <row r="3631" spans="1:14" hidden="1" x14ac:dyDescent="0.25">
      <c r="A3631" s="19">
        <v>45901</v>
      </c>
      <c r="B3631" s="20" t="s">
        <v>97</v>
      </c>
      <c r="C3631" s="20">
        <v>35</v>
      </c>
      <c r="D3631" s="20" t="s">
        <v>253</v>
      </c>
      <c r="E3631" s="20" t="s">
        <v>2359</v>
      </c>
      <c r="F3631" s="20" t="s">
        <v>244</v>
      </c>
      <c r="G3631" s="20" t="s">
        <v>82</v>
      </c>
      <c r="H3631" s="20"/>
      <c r="I3631" s="20"/>
      <c r="J3631" s="20" t="s">
        <v>199</v>
      </c>
      <c r="K3631" s="20" t="s">
        <v>255</v>
      </c>
      <c r="L3631" s="20">
        <v>588000000</v>
      </c>
      <c r="M3631" s="20" t="s">
        <v>245</v>
      </c>
      <c r="N3631" s="20" t="s">
        <v>2313</v>
      </c>
    </row>
    <row r="3632" spans="1:14" hidden="1" x14ac:dyDescent="0.25">
      <c r="A3632" s="19">
        <v>45901</v>
      </c>
      <c r="B3632" s="20" t="s">
        <v>97</v>
      </c>
      <c r="C3632" s="20">
        <v>35</v>
      </c>
      <c r="D3632" s="20" t="s">
        <v>253</v>
      </c>
      <c r="E3632" s="20" t="s">
        <v>2359</v>
      </c>
      <c r="F3632" s="20" t="s">
        <v>244</v>
      </c>
      <c r="G3632" s="20" t="s">
        <v>82</v>
      </c>
      <c r="H3632" s="20"/>
      <c r="I3632" s="20"/>
      <c r="J3632" s="20" t="s">
        <v>200</v>
      </c>
      <c r="K3632" s="20" t="s">
        <v>255</v>
      </c>
      <c r="L3632" s="20">
        <v>573000000</v>
      </c>
      <c r="M3632" s="20" t="s">
        <v>245</v>
      </c>
      <c r="N3632" s="20" t="s">
        <v>2421</v>
      </c>
    </row>
    <row r="3633" spans="1:14" hidden="1" x14ac:dyDescent="0.25">
      <c r="A3633" s="19">
        <v>45901</v>
      </c>
      <c r="B3633" s="20" t="s">
        <v>97</v>
      </c>
      <c r="C3633" s="20">
        <v>35</v>
      </c>
      <c r="D3633" s="20" t="s">
        <v>253</v>
      </c>
      <c r="E3633" s="20" t="s">
        <v>2359</v>
      </c>
      <c r="F3633" s="20" t="s">
        <v>244</v>
      </c>
      <c r="G3633" s="20" t="s">
        <v>82</v>
      </c>
      <c r="H3633" s="20"/>
      <c r="I3633" s="20"/>
      <c r="J3633" s="20" t="s">
        <v>201</v>
      </c>
      <c r="K3633" s="20" t="s">
        <v>255</v>
      </c>
      <c r="L3633" s="20">
        <v>559000000</v>
      </c>
      <c r="M3633" s="20" t="s">
        <v>245</v>
      </c>
      <c r="N3633" s="20" t="s">
        <v>2632</v>
      </c>
    </row>
    <row r="3634" spans="1:14" hidden="1" x14ac:dyDescent="0.25">
      <c r="A3634" s="19">
        <v>45901</v>
      </c>
      <c r="B3634" s="20" t="s">
        <v>97</v>
      </c>
      <c r="C3634" s="20">
        <v>35</v>
      </c>
      <c r="D3634" s="20" t="s">
        <v>247</v>
      </c>
      <c r="E3634" s="20" t="s">
        <v>2554</v>
      </c>
      <c r="F3634" s="20" t="s">
        <v>2558</v>
      </c>
      <c r="G3634" s="20" t="s">
        <v>82</v>
      </c>
      <c r="H3634" s="20" t="s">
        <v>249</v>
      </c>
      <c r="I3634" s="20"/>
      <c r="J3634" s="20" t="s">
        <v>201</v>
      </c>
      <c r="K3634" s="20" t="s">
        <v>250</v>
      </c>
      <c r="L3634" s="20">
        <v>2.5</v>
      </c>
      <c r="M3634" s="20" t="s">
        <v>251</v>
      </c>
      <c r="N3634" s="20" t="s">
        <v>287</v>
      </c>
    </row>
    <row r="3635" spans="1:14" hidden="1" x14ac:dyDescent="0.25">
      <c r="A3635" s="19">
        <v>45901</v>
      </c>
      <c r="B3635" s="20" t="s">
        <v>97</v>
      </c>
      <c r="C3635" s="20">
        <v>36</v>
      </c>
      <c r="D3635" s="20" t="s">
        <v>291</v>
      </c>
      <c r="E3635" s="20" t="s">
        <v>2361</v>
      </c>
      <c r="F3635" s="20" t="s">
        <v>244</v>
      </c>
      <c r="G3635" s="20" t="s">
        <v>82</v>
      </c>
      <c r="H3635" s="20" t="s">
        <v>83</v>
      </c>
      <c r="I3635" s="20"/>
      <c r="J3635" s="20" t="s">
        <v>201</v>
      </c>
      <c r="K3635" s="20" t="s">
        <v>250</v>
      </c>
      <c r="L3635" s="20">
        <v>464890000</v>
      </c>
      <c r="M3635" s="20" t="s">
        <v>245</v>
      </c>
      <c r="N3635" s="20" t="s">
        <v>2633</v>
      </c>
    </row>
    <row r="3636" spans="1:14" hidden="1" x14ac:dyDescent="0.25">
      <c r="A3636" s="19">
        <v>45901</v>
      </c>
      <c r="B3636" s="20" t="s">
        <v>97</v>
      </c>
      <c r="C3636" s="20">
        <v>36</v>
      </c>
      <c r="D3636" s="20" t="s">
        <v>291</v>
      </c>
      <c r="E3636" s="20" t="s">
        <v>2361</v>
      </c>
      <c r="F3636" s="20" t="s">
        <v>244</v>
      </c>
      <c r="G3636" s="20" t="s">
        <v>82</v>
      </c>
      <c r="H3636" s="20" t="s">
        <v>84</v>
      </c>
      <c r="I3636" s="20"/>
      <c r="J3636" s="20" t="s">
        <v>201</v>
      </c>
      <c r="K3636" s="20" t="s">
        <v>250</v>
      </c>
      <c r="L3636" s="20">
        <v>62300000</v>
      </c>
      <c r="M3636" s="20" t="s">
        <v>245</v>
      </c>
      <c r="N3636" s="20" t="s">
        <v>2634</v>
      </c>
    </row>
    <row r="3637" spans="1:14" hidden="1" x14ac:dyDescent="0.25">
      <c r="A3637" s="19">
        <v>45901</v>
      </c>
      <c r="B3637" s="20" t="s">
        <v>97</v>
      </c>
      <c r="C3637" s="20">
        <v>36</v>
      </c>
      <c r="D3637" s="20" t="s">
        <v>291</v>
      </c>
      <c r="E3637" s="20" t="s">
        <v>2361</v>
      </c>
      <c r="F3637" s="20" t="s">
        <v>244</v>
      </c>
      <c r="G3637" s="20" t="s">
        <v>82</v>
      </c>
      <c r="H3637" s="20" t="s">
        <v>106</v>
      </c>
      <c r="I3637" s="20"/>
      <c r="J3637" s="20" t="s">
        <v>201</v>
      </c>
      <c r="K3637" s="20" t="s">
        <v>250</v>
      </c>
      <c r="L3637" s="20">
        <v>19380000</v>
      </c>
      <c r="M3637" s="20" t="s">
        <v>245</v>
      </c>
      <c r="N3637" s="20" t="s">
        <v>2635</v>
      </c>
    </row>
    <row r="3638" spans="1:14" hidden="1" x14ac:dyDescent="0.25">
      <c r="A3638" s="19">
        <v>45901</v>
      </c>
      <c r="B3638" s="20" t="s">
        <v>97</v>
      </c>
      <c r="C3638" s="20">
        <v>36</v>
      </c>
      <c r="D3638" s="20" t="s">
        <v>291</v>
      </c>
      <c r="E3638" s="20" t="s">
        <v>2361</v>
      </c>
      <c r="F3638" s="20" t="s">
        <v>244</v>
      </c>
      <c r="G3638" s="20" t="s">
        <v>82</v>
      </c>
      <c r="H3638" s="20" t="s">
        <v>105</v>
      </c>
      <c r="I3638" s="20"/>
      <c r="J3638" s="20" t="s">
        <v>201</v>
      </c>
      <c r="K3638" s="20" t="s">
        <v>250</v>
      </c>
      <c r="L3638" s="20">
        <v>12170000</v>
      </c>
      <c r="M3638" s="20" t="s">
        <v>245</v>
      </c>
      <c r="N3638" s="20" t="s">
        <v>2636</v>
      </c>
    </row>
    <row r="3639" spans="1:14" hidden="1" x14ac:dyDescent="0.25">
      <c r="A3639" s="19">
        <v>45901</v>
      </c>
      <c r="B3639" s="20" t="s">
        <v>97</v>
      </c>
      <c r="C3639" s="20">
        <v>37</v>
      </c>
      <c r="D3639" s="20" t="s">
        <v>291</v>
      </c>
      <c r="E3639" s="20" t="s">
        <v>2361</v>
      </c>
      <c r="F3639" s="20" t="s">
        <v>244</v>
      </c>
      <c r="G3639" s="20" t="s">
        <v>82</v>
      </c>
      <c r="H3639" s="20" t="s">
        <v>83</v>
      </c>
      <c r="I3639" s="20" t="s">
        <v>315</v>
      </c>
      <c r="J3639" s="20" t="s">
        <v>201</v>
      </c>
      <c r="K3639" s="20" t="s">
        <v>250</v>
      </c>
      <c r="L3639" s="20"/>
      <c r="M3639" s="20" t="s">
        <v>251</v>
      </c>
      <c r="N3639" s="20" t="s">
        <v>2637</v>
      </c>
    </row>
    <row r="3640" spans="1:14" hidden="1" x14ac:dyDescent="0.25">
      <c r="A3640" s="19">
        <v>45901</v>
      </c>
      <c r="B3640" s="20" t="s">
        <v>97</v>
      </c>
      <c r="C3640" s="20">
        <v>37</v>
      </c>
      <c r="D3640" s="20" t="s">
        <v>291</v>
      </c>
      <c r="E3640" s="20" t="s">
        <v>2361</v>
      </c>
      <c r="F3640" s="20" t="s">
        <v>244</v>
      </c>
      <c r="G3640" s="20" t="s">
        <v>82</v>
      </c>
      <c r="H3640" s="20" t="s">
        <v>83</v>
      </c>
      <c r="I3640" s="20" t="s">
        <v>317</v>
      </c>
      <c r="J3640" s="20" t="s">
        <v>201</v>
      </c>
      <c r="K3640" s="20" t="s">
        <v>250</v>
      </c>
      <c r="L3640" s="20"/>
      <c r="M3640" s="20" t="s">
        <v>251</v>
      </c>
      <c r="N3640" s="20" t="s">
        <v>2638</v>
      </c>
    </row>
    <row r="3641" spans="1:14" hidden="1" x14ac:dyDescent="0.25">
      <c r="A3641" s="19">
        <v>45901</v>
      </c>
      <c r="B3641" s="20" t="s">
        <v>97</v>
      </c>
      <c r="C3641" s="20">
        <v>37</v>
      </c>
      <c r="D3641" s="20" t="s">
        <v>291</v>
      </c>
      <c r="E3641" s="20" t="s">
        <v>2361</v>
      </c>
      <c r="F3641" s="20" t="s">
        <v>244</v>
      </c>
      <c r="G3641" s="20" t="s">
        <v>82</v>
      </c>
      <c r="H3641" s="20" t="s">
        <v>83</v>
      </c>
      <c r="I3641" s="20" t="s">
        <v>503</v>
      </c>
      <c r="J3641" s="20" t="s">
        <v>201</v>
      </c>
      <c r="K3641" s="20" t="s">
        <v>250</v>
      </c>
      <c r="L3641" s="20"/>
      <c r="M3641" s="20" t="s">
        <v>251</v>
      </c>
      <c r="N3641" s="20" t="s">
        <v>2639</v>
      </c>
    </row>
    <row r="3642" spans="1:14" hidden="1" x14ac:dyDescent="0.25">
      <c r="A3642" s="19">
        <v>45901</v>
      </c>
      <c r="B3642" s="20" t="s">
        <v>97</v>
      </c>
      <c r="C3642" s="20">
        <v>37</v>
      </c>
      <c r="D3642" s="20" t="s">
        <v>291</v>
      </c>
      <c r="E3642" s="20" t="s">
        <v>2361</v>
      </c>
      <c r="F3642" s="20" t="s">
        <v>244</v>
      </c>
      <c r="G3642" s="20" t="s">
        <v>82</v>
      </c>
      <c r="H3642" s="20" t="s">
        <v>83</v>
      </c>
      <c r="I3642" s="20" t="s">
        <v>497</v>
      </c>
      <c r="J3642" s="20" t="s">
        <v>201</v>
      </c>
      <c r="K3642" s="20" t="s">
        <v>250</v>
      </c>
      <c r="L3642" s="20"/>
      <c r="M3642" s="20" t="s">
        <v>251</v>
      </c>
      <c r="N3642" s="20" t="s">
        <v>2640</v>
      </c>
    </row>
    <row r="3643" spans="1:14" hidden="1" x14ac:dyDescent="0.25">
      <c r="A3643" s="19">
        <v>45901</v>
      </c>
      <c r="B3643" s="20" t="s">
        <v>97</v>
      </c>
      <c r="C3643" s="20">
        <v>37</v>
      </c>
      <c r="D3643" s="20" t="s">
        <v>291</v>
      </c>
      <c r="E3643" s="20" t="s">
        <v>2361</v>
      </c>
      <c r="F3643" s="20" t="s">
        <v>244</v>
      </c>
      <c r="G3643" s="20" t="s">
        <v>82</v>
      </c>
      <c r="H3643" s="20" t="s">
        <v>83</v>
      </c>
      <c r="I3643" s="20" t="s">
        <v>2413</v>
      </c>
      <c r="J3643" s="20" t="s">
        <v>201</v>
      </c>
      <c r="K3643" s="20" t="s">
        <v>250</v>
      </c>
      <c r="L3643" s="20"/>
      <c r="M3643" s="20" t="s">
        <v>251</v>
      </c>
      <c r="N3643" s="20" t="s">
        <v>1284</v>
      </c>
    </row>
    <row r="3644" spans="1:14" hidden="1" x14ac:dyDescent="0.25">
      <c r="A3644" s="19">
        <v>45901</v>
      </c>
      <c r="B3644" s="20" t="s">
        <v>97</v>
      </c>
      <c r="C3644" s="20">
        <v>37</v>
      </c>
      <c r="D3644" s="20" t="s">
        <v>291</v>
      </c>
      <c r="E3644" s="20" t="s">
        <v>2361</v>
      </c>
      <c r="F3644" s="20" t="s">
        <v>244</v>
      </c>
      <c r="G3644" s="20" t="s">
        <v>82</v>
      </c>
      <c r="H3644" s="20" t="s">
        <v>83</v>
      </c>
      <c r="I3644" s="20" t="s">
        <v>2414</v>
      </c>
      <c r="J3644" s="20" t="s">
        <v>201</v>
      </c>
      <c r="K3644" s="20" t="s">
        <v>250</v>
      </c>
      <c r="L3644" s="20"/>
      <c r="M3644" s="20" t="s">
        <v>251</v>
      </c>
      <c r="N3644" s="20" t="s">
        <v>2641</v>
      </c>
    </row>
    <row r="3645" spans="1:14" hidden="1" x14ac:dyDescent="0.25">
      <c r="A3645" s="19">
        <v>45901</v>
      </c>
      <c r="B3645" s="20" t="s">
        <v>97</v>
      </c>
      <c r="C3645" s="20">
        <v>37</v>
      </c>
      <c r="D3645" s="20" t="s">
        <v>291</v>
      </c>
      <c r="E3645" s="20" t="s">
        <v>2361</v>
      </c>
      <c r="F3645" s="20" t="s">
        <v>244</v>
      </c>
      <c r="G3645" s="20" t="s">
        <v>82</v>
      </c>
      <c r="H3645" s="20" t="s">
        <v>84</v>
      </c>
      <c r="I3645" s="20" t="s">
        <v>319</v>
      </c>
      <c r="J3645" s="20" t="s">
        <v>201</v>
      </c>
      <c r="K3645" s="20" t="s">
        <v>250</v>
      </c>
      <c r="L3645" s="20"/>
      <c r="M3645" s="20" t="s">
        <v>251</v>
      </c>
      <c r="N3645" s="20" t="s">
        <v>2642</v>
      </c>
    </row>
    <row r="3646" spans="1:14" hidden="1" x14ac:dyDescent="0.25">
      <c r="A3646" s="19">
        <v>45901</v>
      </c>
      <c r="B3646" s="20" t="s">
        <v>97</v>
      </c>
      <c r="C3646" s="20">
        <v>37</v>
      </c>
      <c r="D3646" s="20" t="s">
        <v>291</v>
      </c>
      <c r="E3646" s="20" t="s">
        <v>2361</v>
      </c>
      <c r="F3646" s="20" t="s">
        <v>244</v>
      </c>
      <c r="G3646" s="20" t="s">
        <v>82</v>
      </c>
      <c r="H3646" s="20" t="s">
        <v>84</v>
      </c>
      <c r="I3646" s="20" t="s">
        <v>321</v>
      </c>
      <c r="J3646" s="20" t="s">
        <v>201</v>
      </c>
      <c r="K3646" s="20" t="s">
        <v>250</v>
      </c>
      <c r="L3646" s="20"/>
      <c r="M3646" s="20" t="s">
        <v>251</v>
      </c>
      <c r="N3646" s="20" t="s">
        <v>805</v>
      </c>
    </row>
    <row r="3647" spans="1:14" hidden="1" x14ac:dyDescent="0.25">
      <c r="A3647" s="19">
        <v>45901</v>
      </c>
      <c r="B3647" s="20" t="s">
        <v>97</v>
      </c>
      <c r="C3647" s="20">
        <v>37</v>
      </c>
      <c r="D3647" s="20" t="s">
        <v>291</v>
      </c>
      <c r="E3647" s="20" t="s">
        <v>2361</v>
      </c>
      <c r="F3647" s="20" t="s">
        <v>244</v>
      </c>
      <c r="G3647" s="20" t="s">
        <v>82</v>
      </c>
      <c r="H3647" s="20" t="s">
        <v>106</v>
      </c>
      <c r="I3647" s="20" t="s">
        <v>493</v>
      </c>
      <c r="J3647" s="20" t="s">
        <v>201</v>
      </c>
      <c r="K3647" s="20" t="s">
        <v>250</v>
      </c>
      <c r="L3647" s="20"/>
      <c r="M3647" s="20" t="s">
        <v>251</v>
      </c>
      <c r="N3647" s="20" t="s">
        <v>1983</v>
      </c>
    </row>
    <row r="3648" spans="1:14" hidden="1" x14ac:dyDescent="0.25">
      <c r="A3648" s="19">
        <v>45901</v>
      </c>
      <c r="B3648" s="20" t="s">
        <v>97</v>
      </c>
      <c r="C3648" s="20">
        <v>37</v>
      </c>
      <c r="D3648" s="20" t="s">
        <v>291</v>
      </c>
      <c r="E3648" s="20" t="s">
        <v>2361</v>
      </c>
      <c r="F3648" s="20" t="s">
        <v>244</v>
      </c>
      <c r="G3648" s="20" t="s">
        <v>82</v>
      </c>
      <c r="H3648" s="20" t="s">
        <v>106</v>
      </c>
      <c r="I3648" s="20" t="s">
        <v>491</v>
      </c>
      <c r="J3648" s="20" t="s">
        <v>201</v>
      </c>
      <c r="K3648" s="20" t="s">
        <v>250</v>
      </c>
      <c r="L3648" s="20"/>
      <c r="M3648" s="20" t="s">
        <v>251</v>
      </c>
      <c r="N3648" s="20" t="s">
        <v>1982</v>
      </c>
    </row>
    <row r="3649" spans="1:14" hidden="1" x14ac:dyDescent="0.25">
      <c r="A3649" s="19">
        <v>45901</v>
      </c>
      <c r="B3649" s="20" t="s">
        <v>97</v>
      </c>
      <c r="C3649" s="20">
        <v>37</v>
      </c>
      <c r="D3649" s="20" t="s">
        <v>291</v>
      </c>
      <c r="E3649" s="20" t="s">
        <v>2361</v>
      </c>
      <c r="F3649" s="20" t="s">
        <v>244</v>
      </c>
      <c r="G3649" s="20" t="s">
        <v>82</v>
      </c>
      <c r="H3649" s="20" t="s">
        <v>105</v>
      </c>
      <c r="I3649" s="20" t="s">
        <v>493</v>
      </c>
      <c r="J3649" s="20" t="s">
        <v>201</v>
      </c>
      <c r="K3649" s="20" t="s">
        <v>250</v>
      </c>
      <c r="L3649" s="20"/>
      <c r="M3649" s="20" t="s">
        <v>251</v>
      </c>
      <c r="N3649" s="20" t="s">
        <v>2643</v>
      </c>
    </row>
    <row r="3650" spans="1:14" hidden="1" x14ac:dyDescent="0.25">
      <c r="A3650" s="19">
        <v>45901</v>
      </c>
      <c r="B3650" s="20" t="s">
        <v>97</v>
      </c>
      <c r="C3650" s="20">
        <v>37</v>
      </c>
      <c r="D3650" s="20" t="s">
        <v>291</v>
      </c>
      <c r="E3650" s="20" t="s">
        <v>2361</v>
      </c>
      <c r="F3650" s="20" t="s">
        <v>244</v>
      </c>
      <c r="G3650" s="20" t="s">
        <v>82</v>
      </c>
      <c r="H3650" s="20" t="s">
        <v>105</v>
      </c>
      <c r="I3650" s="20" t="s">
        <v>491</v>
      </c>
      <c r="J3650" s="20" t="s">
        <v>201</v>
      </c>
      <c r="K3650" s="20" t="s">
        <v>250</v>
      </c>
      <c r="L3650" s="20"/>
      <c r="M3650" s="20" t="s">
        <v>251</v>
      </c>
      <c r="N3650" s="20" t="s">
        <v>2644</v>
      </c>
    </row>
    <row r="3651" spans="1:14" hidden="1" x14ac:dyDescent="0.25">
      <c r="A3651" s="19">
        <v>45901</v>
      </c>
      <c r="B3651" s="20" t="s">
        <v>97</v>
      </c>
      <c r="C3651" s="20">
        <v>38</v>
      </c>
      <c r="D3651" s="20" t="s">
        <v>253</v>
      </c>
      <c r="E3651" s="20" t="s">
        <v>2359</v>
      </c>
      <c r="F3651" s="20" t="s">
        <v>334</v>
      </c>
      <c r="G3651" s="20" t="s">
        <v>82</v>
      </c>
      <c r="H3651" s="20"/>
      <c r="I3651" s="20"/>
      <c r="J3651" s="20" t="s">
        <v>199</v>
      </c>
      <c r="K3651" s="20" t="s">
        <v>255</v>
      </c>
      <c r="L3651" s="20">
        <v>64</v>
      </c>
      <c r="M3651" s="20" t="s">
        <v>245</v>
      </c>
      <c r="N3651" s="20" t="s">
        <v>2326</v>
      </c>
    </row>
    <row r="3652" spans="1:14" hidden="1" x14ac:dyDescent="0.25">
      <c r="A3652" s="19">
        <v>45901</v>
      </c>
      <c r="B3652" s="20" t="s">
        <v>97</v>
      </c>
      <c r="C3652" s="20">
        <v>38</v>
      </c>
      <c r="D3652" s="20" t="s">
        <v>253</v>
      </c>
      <c r="E3652" s="20" t="s">
        <v>2359</v>
      </c>
      <c r="F3652" s="20" t="s">
        <v>334</v>
      </c>
      <c r="G3652" s="20" t="s">
        <v>82</v>
      </c>
      <c r="H3652" s="20"/>
      <c r="I3652" s="20"/>
      <c r="J3652" s="20" t="s">
        <v>200</v>
      </c>
      <c r="K3652" s="20" t="s">
        <v>255</v>
      </c>
      <c r="L3652" s="20">
        <v>61</v>
      </c>
      <c r="M3652" s="20" t="s">
        <v>245</v>
      </c>
      <c r="N3652" s="20" t="s">
        <v>2437</v>
      </c>
    </row>
    <row r="3653" spans="1:14" hidden="1" x14ac:dyDescent="0.25">
      <c r="A3653" s="19">
        <v>45901</v>
      </c>
      <c r="B3653" s="20" t="s">
        <v>97</v>
      </c>
      <c r="C3653" s="20">
        <v>38</v>
      </c>
      <c r="D3653" s="20" t="s">
        <v>253</v>
      </c>
      <c r="E3653" s="20" t="s">
        <v>2359</v>
      </c>
      <c r="F3653" s="20" t="s">
        <v>334</v>
      </c>
      <c r="G3653" s="20" t="s">
        <v>82</v>
      </c>
      <c r="H3653" s="20"/>
      <c r="I3653" s="20"/>
      <c r="J3653" s="20" t="s">
        <v>201</v>
      </c>
      <c r="K3653" s="20" t="s">
        <v>255</v>
      </c>
      <c r="L3653" s="20">
        <v>59</v>
      </c>
      <c r="M3653" s="20" t="s">
        <v>245</v>
      </c>
      <c r="N3653" s="20" t="s">
        <v>2645</v>
      </c>
    </row>
    <row r="3654" spans="1:14" hidden="1" x14ac:dyDescent="0.25">
      <c r="A3654" s="19">
        <v>45901</v>
      </c>
      <c r="B3654" s="20" t="s">
        <v>97</v>
      </c>
      <c r="C3654" s="20">
        <v>39</v>
      </c>
      <c r="D3654" s="20" t="s">
        <v>291</v>
      </c>
      <c r="E3654" s="20" t="s">
        <v>2361</v>
      </c>
      <c r="F3654" s="20" t="s">
        <v>428</v>
      </c>
      <c r="G3654" s="20" t="s">
        <v>82</v>
      </c>
      <c r="H3654" s="20" t="s">
        <v>95</v>
      </c>
      <c r="I3654" s="20"/>
      <c r="J3654" s="20" t="s">
        <v>201</v>
      </c>
      <c r="K3654" s="20" t="s">
        <v>250</v>
      </c>
      <c r="L3654" s="20">
        <v>3310000</v>
      </c>
      <c r="M3654" s="20" t="s">
        <v>242</v>
      </c>
      <c r="N3654" s="20" t="s">
        <v>2646</v>
      </c>
    </row>
    <row r="3655" spans="1:14" hidden="1" x14ac:dyDescent="0.25">
      <c r="A3655" s="19">
        <v>45901</v>
      </c>
      <c r="B3655" s="20" t="s">
        <v>97</v>
      </c>
      <c r="C3655" s="20">
        <v>39</v>
      </c>
      <c r="D3655" s="20" t="s">
        <v>291</v>
      </c>
      <c r="E3655" s="20" t="s">
        <v>2361</v>
      </c>
      <c r="F3655" s="20" t="s">
        <v>428</v>
      </c>
      <c r="G3655" s="20" t="s">
        <v>82</v>
      </c>
      <c r="H3655" s="20" t="s">
        <v>94</v>
      </c>
      <c r="I3655" s="20"/>
      <c r="J3655" s="20" t="s">
        <v>201</v>
      </c>
      <c r="K3655" s="20" t="s">
        <v>250</v>
      </c>
      <c r="L3655" s="20">
        <v>2270000</v>
      </c>
      <c r="M3655" s="20" t="s">
        <v>242</v>
      </c>
      <c r="N3655" s="20" t="s">
        <v>1428</v>
      </c>
    </row>
    <row r="3656" spans="1:14" hidden="1" x14ac:dyDescent="0.25">
      <c r="A3656" s="19">
        <v>45901</v>
      </c>
      <c r="B3656" s="20" t="s">
        <v>97</v>
      </c>
      <c r="C3656" s="20">
        <v>40</v>
      </c>
      <c r="D3656" s="20" t="s">
        <v>291</v>
      </c>
      <c r="E3656" s="20" t="s">
        <v>2361</v>
      </c>
      <c r="F3656" s="20" t="s">
        <v>445</v>
      </c>
      <c r="G3656" s="20" t="s">
        <v>82</v>
      </c>
      <c r="H3656" s="20" t="s">
        <v>95</v>
      </c>
      <c r="I3656" s="20"/>
      <c r="J3656" s="20" t="s">
        <v>201</v>
      </c>
      <c r="K3656" s="20" t="s">
        <v>250</v>
      </c>
      <c r="L3656" s="20">
        <v>118550000</v>
      </c>
      <c r="M3656" s="20" t="s">
        <v>245</v>
      </c>
      <c r="N3656" s="20" t="s">
        <v>2647</v>
      </c>
    </row>
    <row r="3657" spans="1:14" hidden="1" x14ac:dyDescent="0.25">
      <c r="A3657" s="19">
        <v>45901</v>
      </c>
      <c r="B3657" s="20" t="s">
        <v>97</v>
      </c>
      <c r="C3657" s="20">
        <v>40</v>
      </c>
      <c r="D3657" s="20" t="s">
        <v>291</v>
      </c>
      <c r="E3657" s="20" t="s">
        <v>2361</v>
      </c>
      <c r="F3657" s="20" t="s">
        <v>445</v>
      </c>
      <c r="G3657" s="20" t="s">
        <v>82</v>
      </c>
      <c r="H3657" s="20" t="s">
        <v>94</v>
      </c>
      <c r="I3657" s="20"/>
      <c r="J3657" s="20" t="s">
        <v>201</v>
      </c>
      <c r="K3657" s="20" t="s">
        <v>250</v>
      </c>
      <c r="L3657" s="20">
        <v>92170000</v>
      </c>
      <c r="M3657" s="20" t="s">
        <v>245</v>
      </c>
      <c r="N3657" s="20" t="s">
        <v>2648</v>
      </c>
    </row>
    <row r="3658" spans="1:14" hidden="1" x14ac:dyDescent="0.25">
      <c r="A3658" s="19">
        <v>45901</v>
      </c>
      <c r="B3658" s="20" t="s">
        <v>162</v>
      </c>
      <c r="C3658" s="20">
        <v>42</v>
      </c>
      <c r="D3658" s="20" t="s">
        <v>238</v>
      </c>
      <c r="E3658" s="20" t="s">
        <v>2341</v>
      </c>
      <c r="F3658" s="20" t="s">
        <v>240</v>
      </c>
      <c r="G3658" s="20" t="s">
        <v>82</v>
      </c>
      <c r="H3658" s="20"/>
      <c r="I3658" s="20"/>
      <c r="J3658" s="20" t="s">
        <v>2580</v>
      </c>
      <c r="K3658" s="20" t="s">
        <v>241</v>
      </c>
      <c r="L3658" s="20">
        <v>188190000</v>
      </c>
      <c r="M3658" s="20" t="s">
        <v>242</v>
      </c>
      <c r="N3658" s="20" t="s">
        <v>2649</v>
      </c>
    </row>
    <row r="3659" spans="1:14" hidden="1" x14ac:dyDescent="0.25">
      <c r="A3659" s="19">
        <v>45901</v>
      </c>
      <c r="B3659" s="20" t="s">
        <v>162</v>
      </c>
      <c r="C3659" s="20">
        <v>42</v>
      </c>
      <c r="D3659" s="20" t="s">
        <v>238</v>
      </c>
      <c r="E3659" s="20" t="s">
        <v>2341</v>
      </c>
      <c r="F3659" s="20" t="s">
        <v>244</v>
      </c>
      <c r="G3659" s="20" t="s">
        <v>82</v>
      </c>
      <c r="H3659" s="20"/>
      <c r="I3659" s="20"/>
      <c r="J3659" s="20" t="s">
        <v>2580</v>
      </c>
      <c r="K3659" s="20" t="s">
        <v>241</v>
      </c>
      <c r="L3659" s="20">
        <v>19200000000</v>
      </c>
      <c r="M3659" s="20" t="s">
        <v>245</v>
      </c>
      <c r="N3659" s="20" t="s">
        <v>2650</v>
      </c>
    </row>
    <row r="3660" spans="1:14" hidden="1" x14ac:dyDescent="0.25">
      <c r="A3660" s="19">
        <v>45901</v>
      </c>
      <c r="B3660" s="20" t="s">
        <v>162</v>
      </c>
      <c r="C3660" s="20">
        <v>43</v>
      </c>
      <c r="D3660" s="20" t="s">
        <v>253</v>
      </c>
      <c r="E3660" s="20" t="s">
        <v>2359</v>
      </c>
      <c r="F3660" s="20" t="s">
        <v>1194</v>
      </c>
      <c r="G3660" s="20" t="s">
        <v>82</v>
      </c>
      <c r="H3660" s="20"/>
      <c r="I3660" s="20"/>
      <c r="J3660" s="20" t="s">
        <v>199</v>
      </c>
      <c r="K3660" s="20" t="s">
        <v>255</v>
      </c>
      <c r="L3660" s="20">
        <v>24460000</v>
      </c>
      <c r="M3660" s="20" t="s">
        <v>242</v>
      </c>
      <c r="N3660" s="20" t="s">
        <v>2262</v>
      </c>
    </row>
    <row r="3661" spans="1:14" hidden="1" x14ac:dyDescent="0.25">
      <c r="A3661" s="19">
        <v>45901</v>
      </c>
      <c r="B3661" s="20" t="s">
        <v>162</v>
      </c>
      <c r="C3661" s="20">
        <v>43</v>
      </c>
      <c r="D3661" s="20" t="s">
        <v>253</v>
      </c>
      <c r="E3661" s="20" t="s">
        <v>2359</v>
      </c>
      <c r="F3661" s="20" t="s">
        <v>1194</v>
      </c>
      <c r="G3661" s="20" t="s">
        <v>82</v>
      </c>
      <c r="H3661" s="20"/>
      <c r="I3661" s="20"/>
      <c r="J3661" s="20" t="s">
        <v>200</v>
      </c>
      <c r="K3661" s="20" t="s">
        <v>255</v>
      </c>
      <c r="L3661" s="20">
        <v>25210000</v>
      </c>
      <c r="M3661" s="20" t="s">
        <v>242</v>
      </c>
      <c r="N3661" s="20" t="s">
        <v>2444</v>
      </c>
    </row>
    <row r="3662" spans="1:14" hidden="1" x14ac:dyDescent="0.25">
      <c r="A3662" s="19">
        <v>45901</v>
      </c>
      <c r="B3662" s="20" t="s">
        <v>162</v>
      </c>
      <c r="C3662" s="20">
        <v>43</v>
      </c>
      <c r="D3662" s="20" t="s">
        <v>253</v>
      </c>
      <c r="E3662" s="20" t="s">
        <v>2359</v>
      </c>
      <c r="F3662" s="20" t="s">
        <v>1194</v>
      </c>
      <c r="G3662" s="20" t="s">
        <v>82</v>
      </c>
      <c r="H3662" s="20"/>
      <c r="I3662" s="20"/>
      <c r="J3662" s="20" t="s">
        <v>201</v>
      </c>
      <c r="K3662" s="20" t="s">
        <v>255</v>
      </c>
      <c r="L3662" s="20">
        <v>25080000</v>
      </c>
      <c r="M3662" s="20" t="s">
        <v>242</v>
      </c>
      <c r="N3662" s="20" t="s">
        <v>2651</v>
      </c>
    </row>
    <row r="3663" spans="1:14" hidden="1" x14ac:dyDescent="0.25">
      <c r="A3663" s="19">
        <v>45901</v>
      </c>
      <c r="B3663" s="20" t="s">
        <v>162</v>
      </c>
      <c r="C3663" s="20">
        <v>43</v>
      </c>
      <c r="D3663" s="20" t="s">
        <v>247</v>
      </c>
      <c r="E3663" s="20" t="s">
        <v>2554</v>
      </c>
      <c r="F3663" s="20" t="s">
        <v>2559</v>
      </c>
      <c r="G3663" s="20" t="s">
        <v>82</v>
      </c>
      <c r="H3663" s="20" t="s">
        <v>249</v>
      </c>
      <c r="I3663" s="20"/>
      <c r="J3663" s="20" t="s">
        <v>201</v>
      </c>
      <c r="K3663" s="20" t="s">
        <v>250</v>
      </c>
      <c r="L3663" s="20">
        <v>0.5</v>
      </c>
      <c r="M3663" s="20" t="s">
        <v>251</v>
      </c>
      <c r="N3663" s="20" t="s">
        <v>322</v>
      </c>
    </row>
    <row r="3664" spans="1:14" hidden="1" x14ac:dyDescent="0.25">
      <c r="A3664" s="19">
        <v>45901</v>
      </c>
      <c r="B3664" s="20" t="s">
        <v>162</v>
      </c>
      <c r="C3664" s="20">
        <v>44</v>
      </c>
      <c r="D3664" s="20" t="s">
        <v>291</v>
      </c>
      <c r="E3664" s="20" t="s">
        <v>2361</v>
      </c>
      <c r="F3664" s="20" t="s">
        <v>2445</v>
      </c>
      <c r="G3664" s="20" t="s">
        <v>82</v>
      </c>
      <c r="H3664" s="20" t="s">
        <v>2446</v>
      </c>
      <c r="I3664" s="20" t="s">
        <v>2447</v>
      </c>
      <c r="J3664" s="20" t="s">
        <v>201</v>
      </c>
      <c r="K3664" s="20" t="s">
        <v>250</v>
      </c>
      <c r="L3664" s="20">
        <v>10810000</v>
      </c>
      <c r="M3664" s="20" t="s">
        <v>242</v>
      </c>
      <c r="N3664" s="20" t="s">
        <v>2652</v>
      </c>
    </row>
    <row r="3665" spans="1:14" hidden="1" x14ac:dyDescent="0.25">
      <c r="A3665" s="19">
        <v>45901</v>
      </c>
      <c r="B3665" s="20" t="s">
        <v>162</v>
      </c>
      <c r="C3665" s="20">
        <v>44</v>
      </c>
      <c r="D3665" s="20" t="s">
        <v>291</v>
      </c>
      <c r="E3665" s="20" t="s">
        <v>2361</v>
      </c>
      <c r="F3665" s="20" t="s">
        <v>2445</v>
      </c>
      <c r="G3665" s="20" t="s">
        <v>82</v>
      </c>
      <c r="H3665" s="20" t="s">
        <v>2449</v>
      </c>
      <c r="I3665" s="20" t="s">
        <v>2447</v>
      </c>
      <c r="J3665" s="20" t="s">
        <v>201</v>
      </c>
      <c r="K3665" s="20" t="s">
        <v>250</v>
      </c>
      <c r="L3665" s="20">
        <v>3050000</v>
      </c>
      <c r="M3665" s="20" t="s">
        <v>242</v>
      </c>
      <c r="N3665" s="20" t="s">
        <v>2653</v>
      </c>
    </row>
    <row r="3666" spans="1:14" hidden="1" x14ac:dyDescent="0.25">
      <c r="A3666" s="19">
        <v>45901</v>
      </c>
      <c r="B3666" s="20" t="s">
        <v>162</v>
      </c>
      <c r="C3666" s="20">
        <v>44</v>
      </c>
      <c r="D3666" s="20" t="s">
        <v>291</v>
      </c>
      <c r="E3666" s="20" t="s">
        <v>2361</v>
      </c>
      <c r="F3666" s="20" t="s">
        <v>2445</v>
      </c>
      <c r="G3666" s="20" t="s">
        <v>82</v>
      </c>
      <c r="H3666" s="20" t="s">
        <v>2446</v>
      </c>
      <c r="I3666" s="20" t="s">
        <v>2451</v>
      </c>
      <c r="J3666" s="20" t="s">
        <v>201</v>
      </c>
      <c r="K3666" s="20" t="s">
        <v>250</v>
      </c>
      <c r="L3666" s="20">
        <v>4750000</v>
      </c>
      <c r="M3666" s="20" t="s">
        <v>242</v>
      </c>
      <c r="N3666" s="20" t="s">
        <v>1753</v>
      </c>
    </row>
    <row r="3667" spans="1:14" hidden="1" x14ac:dyDescent="0.25">
      <c r="A3667" s="19">
        <v>45901</v>
      </c>
      <c r="B3667" s="20" t="s">
        <v>162</v>
      </c>
      <c r="C3667" s="20">
        <v>44</v>
      </c>
      <c r="D3667" s="20" t="s">
        <v>291</v>
      </c>
      <c r="E3667" s="20" t="s">
        <v>2361</v>
      </c>
      <c r="F3667" s="20" t="s">
        <v>2445</v>
      </c>
      <c r="G3667" s="20" t="s">
        <v>82</v>
      </c>
      <c r="H3667" s="20" t="s">
        <v>2449</v>
      </c>
      <c r="I3667" s="20" t="s">
        <v>2451</v>
      </c>
      <c r="J3667" s="20" t="s">
        <v>201</v>
      </c>
      <c r="K3667" s="20" t="s">
        <v>250</v>
      </c>
      <c r="L3667" s="20">
        <v>6340000</v>
      </c>
      <c r="M3667" s="20" t="s">
        <v>242</v>
      </c>
      <c r="N3667" s="20" t="s">
        <v>2654</v>
      </c>
    </row>
    <row r="3668" spans="1:14" hidden="1" x14ac:dyDescent="0.25">
      <c r="A3668" s="19">
        <v>45901</v>
      </c>
      <c r="B3668" s="20" t="s">
        <v>162</v>
      </c>
      <c r="C3668" s="20">
        <v>44</v>
      </c>
      <c r="D3668" s="20" t="s">
        <v>291</v>
      </c>
      <c r="E3668" s="20" t="s">
        <v>2361</v>
      </c>
      <c r="F3668" s="20" t="s">
        <v>2445</v>
      </c>
      <c r="G3668" s="20" t="s">
        <v>82</v>
      </c>
      <c r="H3668" s="20" t="s">
        <v>2446</v>
      </c>
      <c r="I3668" s="20" t="s">
        <v>2454</v>
      </c>
      <c r="J3668" s="20" t="s">
        <v>201</v>
      </c>
      <c r="K3668" s="20" t="s">
        <v>250</v>
      </c>
      <c r="L3668" s="20">
        <v>14350</v>
      </c>
      <c r="M3668" s="20" t="s">
        <v>242</v>
      </c>
      <c r="N3668" s="20" t="s">
        <v>2655</v>
      </c>
    </row>
    <row r="3669" spans="1:14" hidden="1" x14ac:dyDescent="0.25">
      <c r="A3669" s="19">
        <v>45901</v>
      </c>
      <c r="B3669" s="20" t="s">
        <v>162</v>
      </c>
      <c r="C3669" s="20">
        <v>44</v>
      </c>
      <c r="D3669" s="20" t="s">
        <v>291</v>
      </c>
      <c r="E3669" s="20" t="s">
        <v>2361</v>
      </c>
      <c r="F3669" s="20" t="s">
        <v>2445</v>
      </c>
      <c r="G3669" s="20" t="s">
        <v>82</v>
      </c>
      <c r="H3669" s="20" t="s">
        <v>2449</v>
      </c>
      <c r="I3669" s="20" t="s">
        <v>2454</v>
      </c>
      <c r="J3669" s="20" t="s">
        <v>201</v>
      </c>
      <c r="K3669" s="20" t="s">
        <v>250</v>
      </c>
      <c r="L3669" s="20">
        <v>108320</v>
      </c>
      <c r="M3669" s="20" t="s">
        <v>242</v>
      </c>
      <c r="N3669" s="20" t="s">
        <v>2656</v>
      </c>
    </row>
    <row r="3670" spans="1:14" hidden="1" x14ac:dyDescent="0.25">
      <c r="A3670" s="19">
        <v>45901</v>
      </c>
      <c r="B3670" s="20" t="s">
        <v>162</v>
      </c>
      <c r="C3670" s="20">
        <v>45</v>
      </c>
      <c r="D3670" s="20" t="s">
        <v>253</v>
      </c>
      <c r="E3670" s="20" t="s">
        <v>2359</v>
      </c>
      <c r="F3670" s="20" t="s">
        <v>2457</v>
      </c>
      <c r="G3670" s="20" t="s">
        <v>82</v>
      </c>
      <c r="H3670" s="20"/>
      <c r="I3670" s="20"/>
      <c r="J3670" s="20" t="s">
        <v>199</v>
      </c>
      <c r="K3670" s="20" t="s">
        <v>255</v>
      </c>
      <c r="L3670" s="20">
        <v>20750000</v>
      </c>
      <c r="M3670" s="20" t="s">
        <v>242</v>
      </c>
      <c r="N3670" s="20" t="s">
        <v>2268</v>
      </c>
    </row>
    <row r="3671" spans="1:14" hidden="1" x14ac:dyDescent="0.25">
      <c r="A3671" s="19">
        <v>45901</v>
      </c>
      <c r="B3671" s="20" t="s">
        <v>162</v>
      </c>
      <c r="C3671" s="20">
        <v>45</v>
      </c>
      <c r="D3671" s="20" t="s">
        <v>253</v>
      </c>
      <c r="E3671" s="20" t="s">
        <v>2359</v>
      </c>
      <c r="F3671" s="20" t="s">
        <v>2457</v>
      </c>
      <c r="G3671" s="20" t="s">
        <v>82</v>
      </c>
      <c r="H3671" s="20"/>
      <c r="I3671" s="20"/>
      <c r="J3671" s="20" t="s">
        <v>200</v>
      </c>
      <c r="K3671" s="20" t="s">
        <v>255</v>
      </c>
      <c r="L3671" s="20">
        <v>20920000</v>
      </c>
      <c r="M3671" s="20" t="s">
        <v>242</v>
      </c>
      <c r="N3671" s="20" t="s">
        <v>2458</v>
      </c>
    </row>
    <row r="3672" spans="1:14" hidden="1" x14ac:dyDescent="0.25">
      <c r="A3672" s="19">
        <v>45901</v>
      </c>
      <c r="B3672" s="20" t="s">
        <v>162</v>
      </c>
      <c r="C3672" s="20">
        <v>45</v>
      </c>
      <c r="D3672" s="20" t="s">
        <v>253</v>
      </c>
      <c r="E3672" s="20" t="s">
        <v>2359</v>
      </c>
      <c r="F3672" s="20" t="s">
        <v>2457</v>
      </c>
      <c r="G3672" s="20" t="s">
        <v>82</v>
      </c>
      <c r="H3672" s="20"/>
      <c r="I3672" s="20"/>
      <c r="J3672" s="20" t="s">
        <v>201</v>
      </c>
      <c r="K3672" s="20" t="s">
        <v>255</v>
      </c>
      <c r="L3672" s="20">
        <v>20570000</v>
      </c>
      <c r="M3672" s="20" t="s">
        <v>242</v>
      </c>
      <c r="N3672" s="20" t="s">
        <v>2657</v>
      </c>
    </row>
    <row r="3673" spans="1:14" hidden="1" x14ac:dyDescent="0.25">
      <c r="A3673" s="19">
        <v>45901</v>
      </c>
      <c r="B3673" s="20" t="s">
        <v>162</v>
      </c>
      <c r="C3673" s="20">
        <v>45</v>
      </c>
      <c r="D3673" s="20" t="s">
        <v>247</v>
      </c>
      <c r="E3673" s="20" t="s">
        <v>2554</v>
      </c>
      <c r="F3673" s="20" t="s">
        <v>2559</v>
      </c>
      <c r="G3673" s="20" t="s">
        <v>82</v>
      </c>
      <c r="H3673" s="20" t="s">
        <v>249</v>
      </c>
      <c r="I3673" s="20"/>
      <c r="J3673" s="20" t="s">
        <v>201</v>
      </c>
      <c r="K3673" s="20" t="s">
        <v>250</v>
      </c>
      <c r="L3673" s="20">
        <v>1.7</v>
      </c>
      <c r="M3673" s="20" t="s">
        <v>251</v>
      </c>
      <c r="N3673" s="20" t="s">
        <v>635</v>
      </c>
    </row>
    <row r="3674" spans="1:14" hidden="1" x14ac:dyDescent="0.25">
      <c r="A3674" s="19">
        <v>45901</v>
      </c>
      <c r="B3674" s="20" t="s">
        <v>162</v>
      </c>
      <c r="C3674" s="20">
        <v>46</v>
      </c>
      <c r="D3674" s="20" t="s">
        <v>291</v>
      </c>
      <c r="E3674" s="20" t="s">
        <v>2361</v>
      </c>
      <c r="F3674" s="20" t="s">
        <v>2457</v>
      </c>
      <c r="G3674" s="20" t="s">
        <v>82</v>
      </c>
      <c r="H3674" s="20" t="s">
        <v>95</v>
      </c>
      <c r="I3674" s="20"/>
      <c r="J3674" s="20" t="s">
        <v>201</v>
      </c>
      <c r="K3674" s="20" t="s">
        <v>250</v>
      </c>
      <c r="L3674" s="20">
        <v>5660000</v>
      </c>
      <c r="M3674" s="20" t="s">
        <v>242</v>
      </c>
      <c r="N3674" s="20" t="s">
        <v>2658</v>
      </c>
    </row>
    <row r="3675" spans="1:14" hidden="1" x14ac:dyDescent="0.25">
      <c r="A3675" s="19">
        <v>45901</v>
      </c>
      <c r="B3675" s="20" t="s">
        <v>162</v>
      </c>
      <c r="C3675" s="20">
        <v>46</v>
      </c>
      <c r="D3675" s="20" t="s">
        <v>291</v>
      </c>
      <c r="E3675" s="20" t="s">
        <v>2361</v>
      </c>
      <c r="F3675" s="20" t="s">
        <v>2457</v>
      </c>
      <c r="G3675" s="20" t="s">
        <v>82</v>
      </c>
      <c r="H3675" s="20" t="s">
        <v>94</v>
      </c>
      <c r="I3675" s="20"/>
      <c r="J3675" s="20" t="s">
        <v>201</v>
      </c>
      <c r="K3675" s="20" t="s">
        <v>250</v>
      </c>
      <c r="L3675" s="20">
        <v>14910000</v>
      </c>
      <c r="M3675" s="20" t="s">
        <v>242</v>
      </c>
      <c r="N3675" s="20" t="s">
        <v>2659</v>
      </c>
    </row>
    <row r="3676" spans="1:14" hidden="1" x14ac:dyDescent="0.25">
      <c r="A3676" s="19">
        <v>45901</v>
      </c>
      <c r="B3676" s="20" t="s">
        <v>162</v>
      </c>
      <c r="C3676" s="20">
        <v>47</v>
      </c>
      <c r="D3676" s="20" t="s">
        <v>291</v>
      </c>
      <c r="E3676" s="20" t="s">
        <v>2361</v>
      </c>
      <c r="F3676" s="20" t="s">
        <v>2460</v>
      </c>
      <c r="G3676" s="20" t="s">
        <v>82</v>
      </c>
      <c r="H3676" s="20" t="s">
        <v>174</v>
      </c>
      <c r="I3676" s="20"/>
      <c r="J3676" s="20" t="s">
        <v>201</v>
      </c>
      <c r="K3676" s="20" t="s">
        <v>250</v>
      </c>
      <c r="L3676" s="20">
        <v>2680000</v>
      </c>
      <c r="M3676" s="20" t="s">
        <v>242</v>
      </c>
      <c r="N3676" s="20" t="s">
        <v>2660</v>
      </c>
    </row>
    <row r="3677" spans="1:14" hidden="1" x14ac:dyDescent="0.25">
      <c r="A3677" s="19">
        <v>45901</v>
      </c>
      <c r="B3677" s="20" t="s">
        <v>162</v>
      </c>
      <c r="C3677" s="20">
        <v>47</v>
      </c>
      <c r="D3677" s="20" t="s">
        <v>291</v>
      </c>
      <c r="E3677" s="20" t="s">
        <v>2361</v>
      </c>
      <c r="F3677" s="20" t="s">
        <v>2460</v>
      </c>
      <c r="G3677" s="20" t="s">
        <v>82</v>
      </c>
      <c r="H3677" s="20" t="s">
        <v>173</v>
      </c>
      <c r="I3677" s="20"/>
      <c r="J3677" s="20" t="s">
        <v>201</v>
      </c>
      <c r="K3677" s="20" t="s">
        <v>250</v>
      </c>
      <c r="L3677" s="20">
        <v>3650000</v>
      </c>
      <c r="M3677" s="20" t="s">
        <v>242</v>
      </c>
      <c r="N3677" s="20" t="s">
        <v>1909</v>
      </c>
    </row>
    <row r="3678" spans="1:14" hidden="1" x14ac:dyDescent="0.25">
      <c r="A3678" s="19">
        <v>45901</v>
      </c>
      <c r="B3678" s="20" t="s">
        <v>162</v>
      </c>
      <c r="C3678" s="20">
        <v>48</v>
      </c>
      <c r="D3678" s="20" t="s">
        <v>253</v>
      </c>
      <c r="E3678" s="20" t="s">
        <v>2359</v>
      </c>
      <c r="F3678" s="20" t="s">
        <v>1196</v>
      </c>
      <c r="G3678" s="20" t="s">
        <v>82</v>
      </c>
      <c r="H3678" s="20"/>
      <c r="I3678" s="20"/>
      <c r="J3678" s="20" t="s">
        <v>199</v>
      </c>
      <c r="K3678" s="20" t="s">
        <v>255</v>
      </c>
      <c r="L3678" s="20">
        <v>2450000000</v>
      </c>
      <c r="M3678" s="20" t="s">
        <v>245</v>
      </c>
      <c r="N3678" s="20" t="s">
        <v>2273</v>
      </c>
    </row>
    <row r="3679" spans="1:14" hidden="1" x14ac:dyDescent="0.25">
      <c r="A3679" s="19">
        <v>45901</v>
      </c>
      <c r="B3679" s="20" t="s">
        <v>162</v>
      </c>
      <c r="C3679" s="20">
        <v>48</v>
      </c>
      <c r="D3679" s="20" t="s">
        <v>253</v>
      </c>
      <c r="E3679" s="20" t="s">
        <v>2359</v>
      </c>
      <c r="F3679" s="20" t="s">
        <v>1196</v>
      </c>
      <c r="G3679" s="20" t="s">
        <v>82</v>
      </c>
      <c r="H3679" s="20"/>
      <c r="I3679" s="20"/>
      <c r="J3679" s="20" t="s">
        <v>200</v>
      </c>
      <c r="K3679" s="20" t="s">
        <v>255</v>
      </c>
      <c r="L3679" s="20">
        <v>2450000000</v>
      </c>
      <c r="M3679" s="20" t="s">
        <v>245</v>
      </c>
      <c r="N3679" s="20" t="s">
        <v>2273</v>
      </c>
    </row>
    <row r="3680" spans="1:14" hidden="1" x14ac:dyDescent="0.25">
      <c r="A3680" s="19">
        <v>45901</v>
      </c>
      <c r="B3680" s="20" t="s">
        <v>162</v>
      </c>
      <c r="C3680" s="20">
        <v>48</v>
      </c>
      <c r="D3680" s="20" t="s">
        <v>253</v>
      </c>
      <c r="E3680" s="20" t="s">
        <v>2359</v>
      </c>
      <c r="F3680" s="20" t="s">
        <v>1196</v>
      </c>
      <c r="G3680" s="20" t="s">
        <v>82</v>
      </c>
      <c r="H3680" s="20"/>
      <c r="I3680" s="20"/>
      <c r="J3680" s="20" t="s">
        <v>201</v>
      </c>
      <c r="K3680" s="20" t="s">
        <v>255</v>
      </c>
      <c r="L3680" s="20">
        <v>2420000000</v>
      </c>
      <c r="M3680" s="20" t="s">
        <v>245</v>
      </c>
      <c r="N3680" s="20" t="s">
        <v>2661</v>
      </c>
    </row>
    <row r="3681" spans="1:14" hidden="1" x14ac:dyDescent="0.25">
      <c r="A3681" s="19">
        <v>45901</v>
      </c>
      <c r="B3681" s="20" t="s">
        <v>162</v>
      </c>
      <c r="C3681" s="20">
        <v>48</v>
      </c>
      <c r="D3681" s="20" t="s">
        <v>247</v>
      </c>
      <c r="E3681" s="20" t="s">
        <v>2554</v>
      </c>
      <c r="F3681" s="20" t="s">
        <v>2558</v>
      </c>
      <c r="G3681" s="20" t="s">
        <v>82</v>
      </c>
      <c r="H3681" s="20" t="s">
        <v>249</v>
      </c>
      <c r="I3681" s="20"/>
      <c r="J3681" s="20" t="s">
        <v>201</v>
      </c>
      <c r="K3681" s="20" t="s">
        <v>250</v>
      </c>
      <c r="L3681" s="20">
        <v>1.2</v>
      </c>
      <c r="M3681" s="20" t="s">
        <v>251</v>
      </c>
      <c r="N3681" s="20" t="s">
        <v>1427</v>
      </c>
    </row>
    <row r="3682" spans="1:14" hidden="1" x14ac:dyDescent="0.25">
      <c r="A3682" s="19">
        <v>45901</v>
      </c>
      <c r="B3682" s="20" t="s">
        <v>162</v>
      </c>
      <c r="C3682" s="20">
        <v>49</v>
      </c>
      <c r="D3682" s="20" t="s">
        <v>291</v>
      </c>
      <c r="E3682" s="20" t="s">
        <v>2361</v>
      </c>
      <c r="F3682" s="20" t="s">
        <v>2462</v>
      </c>
      <c r="G3682" s="20" t="s">
        <v>82</v>
      </c>
      <c r="H3682" s="20" t="s">
        <v>2446</v>
      </c>
      <c r="I3682" s="20" t="s">
        <v>2447</v>
      </c>
      <c r="J3682" s="20" t="s">
        <v>201</v>
      </c>
      <c r="K3682" s="20" t="s">
        <v>250</v>
      </c>
      <c r="L3682" s="20">
        <v>1600000000</v>
      </c>
      <c r="M3682" s="20" t="s">
        <v>245</v>
      </c>
      <c r="N3682" s="20" t="s">
        <v>2034</v>
      </c>
    </row>
    <row r="3683" spans="1:14" hidden="1" x14ac:dyDescent="0.25">
      <c r="A3683" s="19">
        <v>45901</v>
      </c>
      <c r="B3683" s="20" t="s">
        <v>162</v>
      </c>
      <c r="C3683" s="20">
        <v>49</v>
      </c>
      <c r="D3683" s="20" t="s">
        <v>291</v>
      </c>
      <c r="E3683" s="20" t="s">
        <v>2361</v>
      </c>
      <c r="F3683" s="20" t="s">
        <v>2462</v>
      </c>
      <c r="G3683" s="20" t="s">
        <v>82</v>
      </c>
      <c r="H3683" s="20" t="s">
        <v>2449</v>
      </c>
      <c r="I3683" s="20" t="s">
        <v>2447</v>
      </c>
      <c r="J3683" s="20" t="s">
        <v>201</v>
      </c>
      <c r="K3683" s="20" t="s">
        <v>250</v>
      </c>
      <c r="L3683" s="20">
        <v>290200000</v>
      </c>
      <c r="M3683" s="20" t="s">
        <v>245</v>
      </c>
      <c r="N3683" s="20" t="s">
        <v>2662</v>
      </c>
    </row>
    <row r="3684" spans="1:14" hidden="1" x14ac:dyDescent="0.25">
      <c r="A3684" s="19">
        <v>45901</v>
      </c>
      <c r="B3684" s="20" t="s">
        <v>162</v>
      </c>
      <c r="C3684" s="20">
        <v>49</v>
      </c>
      <c r="D3684" s="20" t="s">
        <v>291</v>
      </c>
      <c r="E3684" s="20" t="s">
        <v>2361</v>
      </c>
      <c r="F3684" s="20" t="s">
        <v>2462</v>
      </c>
      <c r="G3684" s="20" t="s">
        <v>82</v>
      </c>
      <c r="H3684" s="20" t="s">
        <v>2446</v>
      </c>
      <c r="I3684" s="20" t="s">
        <v>2451</v>
      </c>
      <c r="J3684" s="20" t="s">
        <v>201</v>
      </c>
      <c r="K3684" s="20" t="s">
        <v>250</v>
      </c>
      <c r="L3684" s="20">
        <v>270800000</v>
      </c>
      <c r="M3684" s="20" t="s">
        <v>245</v>
      </c>
      <c r="N3684" s="20" t="s">
        <v>2663</v>
      </c>
    </row>
    <row r="3685" spans="1:14" hidden="1" x14ac:dyDescent="0.25">
      <c r="A3685" s="19">
        <v>45901</v>
      </c>
      <c r="B3685" s="20" t="s">
        <v>162</v>
      </c>
      <c r="C3685" s="20">
        <v>49</v>
      </c>
      <c r="D3685" s="20" t="s">
        <v>291</v>
      </c>
      <c r="E3685" s="20" t="s">
        <v>2361</v>
      </c>
      <c r="F3685" s="20" t="s">
        <v>2462</v>
      </c>
      <c r="G3685" s="20" t="s">
        <v>82</v>
      </c>
      <c r="H3685" s="20" t="s">
        <v>2449</v>
      </c>
      <c r="I3685" s="20" t="s">
        <v>2451</v>
      </c>
      <c r="J3685" s="20" t="s">
        <v>201</v>
      </c>
      <c r="K3685" s="20" t="s">
        <v>250</v>
      </c>
      <c r="L3685" s="20">
        <v>267000000</v>
      </c>
      <c r="M3685" s="20" t="s">
        <v>245</v>
      </c>
      <c r="N3685" s="20" t="s">
        <v>2664</v>
      </c>
    </row>
    <row r="3686" spans="1:14" hidden="1" x14ac:dyDescent="0.25">
      <c r="A3686" s="19">
        <v>45901</v>
      </c>
      <c r="B3686" s="20" t="s">
        <v>162</v>
      </c>
      <c r="C3686" s="20">
        <v>49</v>
      </c>
      <c r="D3686" s="20" t="s">
        <v>291</v>
      </c>
      <c r="E3686" s="20" t="s">
        <v>2361</v>
      </c>
      <c r="F3686" s="20" t="s">
        <v>2462</v>
      </c>
      <c r="G3686" s="20" t="s">
        <v>82</v>
      </c>
      <c r="H3686" s="20" t="s">
        <v>2446</v>
      </c>
      <c r="I3686" s="20" t="s">
        <v>2454</v>
      </c>
      <c r="J3686" s="20" t="s">
        <v>201</v>
      </c>
      <c r="K3686" s="20" t="s">
        <v>250</v>
      </c>
      <c r="L3686" s="20">
        <v>182000</v>
      </c>
      <c r="M3686" s="20" t="s">
        <v>245</v>
      </c>
      <c r="N3686" s="20" t="s">
        <v>2665</v>
      </c>
    </row>
    <row r="3687" spans="1:14" hidden="1" x14ac:dyDescent="0.25">
      <c r="A3687" s="19">
        <v>45901</v>
      </c>
      <c r="B3687" s="20" t="s">
        <v>162</v>
      </c>
      <c r="C3687" s="20">
        <v>49</v>
      </c>
      <c r="D3687" s="20" t="s">
        <v>291</v>
      </c>
      <c r="E3687" s="20" t="s">
        <v>2361</v>
      </c>
      <c r="F3687" s="20" t="s">
        <v>2462</v>
      </c>
      <c r="G3687" s="20" t="s">
        <v>82</v>
      </c>
      <c r="H3687" s="20" t="s">
        <v>2449</v>
      </c>
      <c r="I3687" s="20" t="s">
        <v>2454</v>
      </c>
      <c r="J3687" s="20" t="s">
        <v>201</v>
      </c>
      <c r="K3687" s="20" t="s">
        <v>250</v>
      </c>
      <c r="L3687" s="20">
        <v>1200000</v>
      </c>
      <c r="M3687" s="20" t="s">
        <v>245</v>
      </c>
      <c r="N3687" s="20" t="s">
        <v>2239</v>
      </c>
    </row>
    <row r="3688" spans="1:14" hidden="1" x14ac:dyDescent="0.25">
      <c r="A3688" s="19">
        <v>45901</v>
      </c>
      <c r="B3688" s="20" t="s">
        <v>162</v>
      </c>
      <c r="C3688" s="20">
        <v>50</v>
      </c>
      <c r="D3688" s="20" t="s">
        <v>253</v>
      </c>
      <c r="E3688" s="20" t="s">
        <v>2359</v>
      </c>
      <c r="F3688" s="20" t="s">
        <v>2468</v>
      </c>
      <c r="G3688" s="20" t="s">
        <v>82</v>
      </c>
      <c r="H3688" s="20"/>
      <c r="I3688" s="20"/>
      <c r="J3688" s="20" t="s">
        <v>199</v>
      </c>
      <c r="K3688" s="20" t="s">
        <v>255</v>
      </c>
      <c r="L3688" s="20">
        <v>1900000000</v>
      </c>
      <c r="M3688" s="20" t="s">
        <v>245</v>
      </c>
      <c r="N3688" s="20" t="s">
        <v>2280</v>
      </c>
    </row>
    <row r="3689" spans="1:14" hidden="1" x14ac:dyDescent="0.25">
      <c r="A3689" s="19">
        <v>45901</v>
      </c>
      <c r="B3689" s="20" t="s">
        <v>162</v>
      </c>
      <c r="C3689" s="20">
        <v>50</v>
      </c>
      <c r="D3689" s="20" t="s">
        <v>253</v>
      </c>
      <c r="E3689" s="20" t="s">
        <v>2359</v>
      </c>
      <c r="F3689" s="20" t="s">
        <v>2468</v>
      </c>
      <c r="G3689" s="20" t="s">
        <v>82</v>
      </c>
      <c r="H3689" s="20"/>
      <c r="I3689" s="20"/>
      <c r="J3689" s="20" t="s">
        <v>200</v>
      </c>
      <c r="K3689" s="20" t="s">
        <v>255</v>
      </c>
      <c r="L3689" s="20">
        <v>1840000000</v>
      </c>
      <c r="M3689" s="20" t="s">
        <v>245</v>
      </c>
      <c r="N3689" s="20" t="s">
        <v>2469</v>
      </c>
    </row>
    <row r="3690" spans="1:14" hidden="1" x14ac:dyDescent="0.25">
      <c r="A3690" s="19">
        <v>45901</v>
      </c>
      <c r="B3690" s="20" t="s">
        <v>162</v>
      </c>
      <c r="C3690" s="20">
        <v>50</v>
      </c>
      <c r="D3690" s="20" t="s">
        <v>253</v>
      </c>
      <c r="E3690" s="20" t="s">
        <v>2359</v>
      </c>
      <c r="F3690" s="20" t="s">
        <v>2468</v>
      </c>
      <c r="G3690" s="20" t="s">
        <v>82</v>
      </c>
      <c r="H3690" s="20"/>
      <c r="I3690" s="20"/>
      <c r="J3690" s="20" t="s">
        <v>201</v>
      </c>
      <c r="K3690" s="20" t="s">
        <v>255</v>
      </c>
      <c r="L3690" s="20">
        <v>1800000000</v>
      </c>
      <c r="M3690" s="20" t="s">
        <v>245</v>
      </c>
      <c r="N3690" s="20" t="s">
        <v>1229</v>
      </c>
    </row>
    <row r="3691" spans="1:14" hidden="1" x14ac:dyDescent="0.25">
      <c r="A3691" s="19">
        <v>45901</v>
      </c>
      <c r="B3691" s="20" t="s">
        <v>162</v>
      </c>
      <c r="C3691" s="20">
        <v>50</v>
      </c>
      <c r="D3691" s="20" t="s">
        <v>247</v>
      </c>
      <c r="E3691" s="20" t="s">
        <v>2554</v>
      </c>
      <c r="F3691" s="20" t="s">
        <v>2558</v>
      </c>
      <c r="G3691" s="20" t="s">
        <v>82</v>
      </c>
      <c r="H3691" s="20" t="s">
        <v>249</v>
      </c>
      <c r="I3691" s="20"/>
      <c r="J3691" s="20" t="s">
        <v>201</v>
      </c>
      <c r="K3691" s="20" t="s">
        <v>250</v>
      </c>
      <c r="L3691" s="20">
        <v>2.4</v>
      </c>
      <c r="M3691" s="20" t="s">
        <v>251</v>
      </c>
      <c r="N3691" s="20" t="s">
        <v>2666</v>
      </c>
    </row>
    <row r="3692" spans="1:14" hidden="1" x14ac:dyDescent="0.25">
      <c r="A3692" s="19">
        <v>45901</v>
      </c>
      <c r="B3692" s="20" t="s">
        <v>162</v>
      </c>
      <c r="C3692" s="20">
        <v>51</v>
      </c>
      <c r="D3692" s="20" t="s">
        <v>291</v>
      </c>
      <c r="E3692" s="20" t="s">
        <v>2361</v>
      </c>
      <c r="F3692" s="20" t="s">
        <v>2468</v>
      </c>
      <c r="G3692" s="20" t="s">
        <v>82</v>
      </c>
      <c r="H3692" s="20" t="s">
        <v>95</v>
      </c>
      <c r="I3692" s="20"/>
      <c r="J3692" s="20" t="s">
        <v>201</v>
      </c>
      <c r="K3692" s="20" t="s">
        <v>250</v>
      </c>
      <c r="L3692" s="20">
        <v>368700000</v>
      </c>
      <c r="M3692" s="20" t="s">
        <v>245</v>
      </c>
      <c r="N3692" s="20" t="s">
        <v>2667</v>
      </c>
    </row>
    <row r="3693" spans="1:14" hidden="1" x14ac:dyDescent="0.25">
      <c r="A3693" s="19">
        <v>45901</v>
      </c>
      <c r="B3693" s="20" t="s">
        <v>162</v>
      </c>
      <c r="C3693" s="20">
        <v>51</v>
      </c>
      <c r="D3693" s="20" t="s">
        <v>291</v>
      </c>
      <c r="E3693" s="20" t="s">
        <v>2361</v>
      </c>
      <c r="F3693" s="20" t="s">
        <v>2468</v>
      </c>
      <c r="G3693" s="20" t="s">
        <v>82</v>
      </c>
      <c r="H3693" s="20" t="s">
        <v>94</v>
      </c>
      <c r="I3693" s="20"/>
      <c r="J3693" s="20" t="s">
        <v>201</v>
      </c>
      <c r="K3693" s="20" t="s">
        <v>250</v>
      </c>
      <c r="L3693" s="20">
        <v>1430000000</v>
      </c>
      <c r="M3693" s="20" t="s">
        <v>245</v>
      </c>
      <c r="N3693" s="20" t="s">
        <v>2668</v>
      </c>
    </row>
    <row r="3694" spans="1:14" hidden="1" x14ac:dyDescent="0.25">
      <c r="A3694" s="19">
        <v>45901</v>
      </c>
      <c r="B3694" s="20" t="s">
        <v>162</v>
      </c>
      <c r="C3694" s="20">
        <v>52</v>
      </c>
      <c r="D3694" s="20" t="s">
        <v>291</v>
      </c>
      <c r="E3694" s="20" t="s">
        <v>2361</v>
      </c>
      <c r="F3694" s="20" t="s">
        <v>2472</v>
      </c>
      <c r="G3694" s="20" t="s">
        <v>82</v>
      </c>
      <c r="H3694" s="20" t="s">
        <v>174</v>
      </c>
      <c r="I3694" s="20"/>
      <c r="J3694" s="20" t="s">
        <v>201</v>
      </c>
      <c r="K3694" s="20" t="s">
        <v>250</v>
      </c>
      <c r="L3694" s="20">
        <v>254200000</v>
      </c>
      <c r="M3694" s="20" t="s">
        <v>245</v>
      </c>
      <c r="N3694" s="20" t="s">
        <v>2669</v>
      </c>
    </row>
    <row r="3695" spans="1:14" hidden="1" x14ac:dyDescent="0.25">
      <c r="A3695" s="19">
        <v>45901</v>
      </c>
      <c r="B3695" s="20" t="s">
        <v>162</v>
      </c>
      <c r="C3695" s="20">
        <v>52</v>
      </c>
      <c r="D3695" s="20" t="s">
        <v>291</v>
      </c>
      <c r="E3695" s="20" t="s">
        <v>2361</v>
      </c>
      <c r="F3695" s="20" t="s">
        <v>2472</v>
      </c>
      <c r="G3695" s="20" t="s">
        <v>82</v>
      </c>
      <c r="H3695" s="20" t="s">
        <v>173</v>
      </c>
      <c r="I3695" s="20"/>
      <c r="J3695" s="20" t="s">
        <v>201</v>
      </c>
      <c r="K3695" s="20" t="s">
        <v>250</v>
      </c>
      <c r="L3695" s="20">
        <v>190700000</v>
      </c>
      <c r="M3695" s="20" t="s">
        <v>245</v>
      </c>
      <c r="N3695" s="20" t="s">
        <v>2670</v>
      </c>
    </row>
    <row r="3696" spans="1:14" hidden="1" x14ac:dyDescent="0.25">
      <c r="A3696" s="19">
        <v>45901</v>
      </c>
      <c r="B3696" s="20" t="s">
        <v>162</v>
      </c>
      <c r="C3696" s="20">
        <v>53</v>
      </c>
      <c r="D3696" s="20" t="s">
        <v>238</v>
      </c>
      <c r="E3696" s="20" t="s">
        <v>2341</v>
      </c>
      <c r="F3696" s="20" t="s">
        <v>334</v>
      </c>
      <c r="G3696" s="20" t="s">
        <v>82</v>
      </c>
      <c r="H3696" s="20" t="s">
        <v>179</v>
      </c>
      <c r="I3696" s="20"/>
      <c r="J3696" s="20" t="s">
        <v>201</v>
      </c>
      <c r="K3696" s="20" t="s">
        <v>250</v>
      </c>
      <c r="L3696" s="20">
        <v>11</v>
      </c>
      <c r="M3696" s="20" t="s">
        <v>245</v>
      </c>
      <c r="N3696" s="20" t="s">
        <v>1945</v>
      </c>
    </row>
    <row r="3697" spans="1:14" hidden="1" x14ac:dyDescent="0.25">
      <c r="A3697" s="19">
        <v>45901</v>
      </c>
      <c r="B3697" s="20" t="s">
        <v>162</v>
      </c>
      <c r="C3697" s="20">
        <v>53</v>
      </c>
      <c r="D3697" s="20" t="s">
        <v>238</v>
      </c>
      <c r="E3697" s="20" t="s">
        <v>2341</v>
      </c>
      <c r="F3697" s="20" t="s">
        <v>334</v>
      </c>
      <c r="G3697" s="20" t="s">
        <v>82</v>
      </c>
      <c r="H3697" s="20" t="s">
        <v>170</v>
      </c>
      <c r="I3697" s="20"/>
      <c r="J3697" s="20" t="s">
        <v>201</v>
      </c>
      <c r="K3697" s="20" t="s">
        <v>250</v>
      </c>
      <c r="L3697" s="20">
        <v>13</v>
      </c>
      <c r="M3697" s="20" t="s">
        <v>245</v>
      </c>
      <c r="N3697" s="20" t="s">
        <v>1424</v>
      </c>
    </row>
    <row r="3698" spans="1:14" hidden="1" x14ac:dyDescent="0.25">
      <c r="A3698" s="19">
        <v>45901</v>
      </c>
      <c r="B3698" s="20" t="s">
        <v>162</v>
      </c>
      <c r="C3698" s="20">
        <v>53</v>
      </c>
      <c r="D3698" s="20" t="s">
        <v>238</v>
      </c>
      <c r="E3698" s="20" t="s">
        <v>2341</v>
      </c>
      <c r="F3698" s="20" t="s">
        <v>334</v>
      </c>
      <c r="G3698" s="20" t="s">
        <v>82</v>
      </c>
      <c r="H3698" s="20" t="s">
        <v>178</v>
      </c>
      <c r="I3698" s="20"/>
      <c r="J3698" s="20" t="s">
        <v>201</v>
      </c>
      <c r="K3698" s="20" t="s">
        <v>250</v>
      </c>
      <c r="L3698" s="20">
        <v>42</v>
      </c>
      <c r="M3698" s="20" t="s">
        <v>245</v>
      </c>
      <c r="N3698" s="20" t="s">
        <v>2671</v>
      </c>
    </row>
    <row r="3699" spans="1:14" hidden="1" x14ac:dyDescent="0.25">
      <c r="A3699" s="19">
        <v>45901</v>
      </c>
      <c r="B3699" s="20" t="s">
        <v>162</v>
      </c>
      <c r="C3699" s="20">
        <v>53</v>
      </c>
      <c r="D3699" s="20" t="s">
        <v>238</v>
      </c>
      <c r="E3699" s="20" t="s">
        <v>2341</v>
      </c>
      <c r="F3699" s="20" t="s">
        <v>334</v>
      </c>
      <c r="G3699" s="20" t="s">
        <v>82</v>
      </c>
      <c r="H3699" s="20" t="s">
        <v>173</v>
      </c>
      <c r="I3699" s="20"/>
      <c r="J3699" s="20" t="s">
        <v>201</v>
      </c>
      <c r="K3699" s="20" t="s">
        <v>250</v>
      </c>
      <c r="L3699" s="20">
        <v>57</v>
      </c>
      <c r="M3699" s="20" t="s">
        <v>245</v>
      </c>
      <c r="N3699" s="20" t="s">
        <v>2477</v>
      </c>
    </row>
    <row r="3700" spans="1:14" hidden="1" x14ac:dyDescent="0.25">
      <c r="A3700" s="19">
        <v>45901</v>
      </c>
      <c r="B3700" s="20" t="s">
        <v>162</v>
      </c>
      <c r="C3700" s="20">
        <v>53</v>
      </c>
      <c r="D3700" s="20" t="s">
        <v>238</v>
      </c>
      <c r="E3700" s="20" t="s">
        <v>2341</v>
      </c>
      <c r="F3700" s="20" t="s">
        <v>334</v>
      </c>
      <c r="G3700" s="20" t="s">
        <v>82</v>
      </c>
      <c r="H3700" s="20" t="s">
        <v>174</v>
      </c>
      <c r="I3700" s="20"/>
      <c r="J3700" s="20" t="s">
        <v>201</v>
      </c>
      <c r="K3700" s="20" t="s">
        <v>250</v>
      </c>
      <c r="L3700" s="20">
        <v>95</v>
      </c>
      <c r="M3700" s="20" t="s">
        <v>245</v>
      </c>
      <c r="N3700" s="20" t="s">
        <v>2672</v>
      </c>
    </row>
    <row r="3701" spans="1:14" hidden="1" x14ac:dyDescent="0.25">
      <c r="A3701" s="19">
        <v>45901</v>
      </c>
      <c r="B3701" s="20" t="s">
        <v>162</v>
      </c>
      <c r="C3701" s="20">
        <v>53</v>
      </c>
      <c r="D3701" s="20" t="s">
        <v>238</v>
      </c>
      <c r="E3701" s="20" t="s">
        <v>2341</v>
      </c>
      <c r="F3701" s="20" t="s">
        <v>334</v>
      </c>
      <c r="G3701" s="20" t="s">
        <v>82</v>
      </c>
      <c r="H3701" s="20" t="s">
        <v>164</v>
      </c>
      <c r="I3701" s="20"/>
      <c r="J3701" s="20" t="s">
        <v>201</v>
      </c>
      <c r="K3701" s="20" t="s">
        <v>250</v>
      </c>
      <c r="L3701" s="20">
        <v>148</v>
      </c>
      <c r="M3701" s="20" t="s">
        <v>245</v>
      </c>
      <c r="N3701" s="20" t="s">
        <v>2673</v>
      </c>
    </row>
    <row r="3702" spans="1:14" hidden="1" x14ac:dyDescent="0.25">
      <c r="A3702" s="19">
        <v>45901</v>
      </c>
      <c r="B3702" s="20" t="s">
        <v>162</v>
      </c>
      <c r="C3702" s="20">
        <v>53</v>
      </c>
      <c r="D3702" s="20" t="s">
        <v>238</v>
      </c>
      <c r="E3702" s="20" t="s">
        <v>2341</v>
      </c>
      <c r="F3702" s="20" t="s">
        <v>455</v>
      </c>
      <c r="G3702" s="20" t="s">
        <v>82</v>
      </c>
      <c r="H3702" s="20"/>
      <c r="I3702" s="20"/>
      <c r="J3702" s="20" t="s">
        <v>201</v>
      </c>
      <c r="K3702" s="20" t="s">
        <v>250</v>
      </c>
      <c r="L3702" s="20">
        <v>97</v>
      </c>
      <c r="M3702" s="20" t="s">
        <v>245</v>
      </c>
      <c r="N3702" s="20" t="s">
        <v>2480</v>
      </c>
    </row>
    <row r="3703" spans="1:14" hidden="1" x14ac:dyDescent="0.25">
      <c r="A3703" s="19">
        <v>45901</v>
      </c>
      <c r="B3703" s="20" t="s">
        <v>1192</v>
      </c>
      <c r="C3703" s="20">
        <v>55</v>
      </c>
      <c r="D3703" s="20" t="s">
        <v>238</v>
      </c>
      <c r="E3703" s="20" t="s">
        <v>2341</v>
      </c>
      <c r="F3703" s="20" t="s">
        <v>240</v>
      </c>
      <c r="G3703" s="20" t="s">
        <v>82</v>
      </c>
      <c r="H3703" s="20"/>
      <c r="I3703" s="20"/>
      <c r="J3703" s="20" t="s">
        <v>2580</v>
      </c>
      <c r="K3703" s="20" t="s">
        <v>241</v>
      </c>
      <c r="L3703" s="20">
        <v>188190000</v>
      </c>
      <c r="M3703" s="20" t="s">
        <v>242</v>
      </c>
      <c r="N3703" s="20" t="s">
        <v>2649</v>
      </c>
    </row>
    <row r="3704" spans="1:14" hidden="1" x14ac:dyDescent="0.25">
      <c r="A3704" s="19">
        <v>45901</v>
      </c>
      <c r="B3704" s="20" t="s">
        <v>2481</v>
      </c>
      <c r="C3704" s="20">
        <v>55</v>
      </c>
      <c r="D3704" s="20" t="s">
        <v>238</v>
      </c>
      <c r="E3704" s="20" t="s">
        <v>2341</v>
      </c>
      <c r="F3704" s="20" t="s">
        <v>244</v>
      </c>
      <c r="G3704" s="20" t="s">
        <v>82</v>
      </c>
      <c r="H3704" s="20"/>
      <c r="I3704" s="20"/>
      <c r="J3704" s="20" t="s">
        <v>2580</v>
      </c>
      <c r="K3704" s="20" t="s">
        <v>241</v>
      </c>
      <c r="L3704" s="20">
        <v>19200000000</v>
      </c>
      <c r="M3704" s="20" t="s">
        <v>245</v>
      </c>
      <c r="N3704" s="20" t="s">
        <v>2650</v>
      </c>
    </row>
    <row r="3705" spans="1:14" hidden="1" x14ac:dyDescent="0.25">
      <c r="A3705" s="19">
        <v>45901</v>
      </c>
      <c r="B3705" s="20" t="s">
        <v>1192</v>
      </c>
      <c r="C3705" s="20">
        <v>55</v>
      </c>
      <c r="D3705" s="20" t="s">
        <v>238</v>
      </c>
      <c r="E3705" s="20" t="s">
        <v>2341</v>
      </c>
      <c r="F3705" s="20" t="s">
        <v>240</v>
      </c>
      <c r="G3705" s="20" t="s">
        <v>82</v>
      </c>
      <c r="H3705" s="20" t="s">
        <v>184</v>
      </c>
      <c r="I3705" s="20"/>
      <c r="J3705" s="20" t="s">
        <v>2580</v>
      </c>
      <c r="K3705" s="20" t="s">
        <v>241</v>
      </c>
      <c r="L3705" s="20">
        <v>117310000</v>
      </c>
      <c r="M3705" s="20" t="s">
        <v>242</v>
      </c>
      <c r="N3705" s="20" t="s">
        <v>2674</v>
      </c>
    </row>
    <row r="3706" spans="1:14" hidden="1" x14ac:dyDescent="0.25">
      <c r="A3706" s="19">
        <v>45901</v>
      </c>
      <c r="B3706" s="20" t="s">
        <v>1192</v>
      </c>
      <c r="C3706" s="20">
        <v>55</v>
      </c>
      <c r="D3706" s="20" t="s">
        <v>238</v>
      </c>
      <c r="E3706" s="20" t="s">
        <v>2341</v>
      </c>
      <c r="F3706" s="20" t="s">
        <v>240</v>
      </c>
      <c r="G3706" s="20" t="s">
        <v>82</v>
      </c>
      <c r="H3706" s="20" t="s">
        <v>185</v>
      </c>
      <c r="I3706" s="20"/>
      <c r="J3706" s="20" t="s">
        <v>2580</v>
      </c>
      <c r="K3706" s="20" t="s">
        <v>241</v>
      </c>
      <c r="L3706" s="20">
        <v>70880000</v>
      </c>
      <c r="M3706" s="20" t="s">
        <v>242</v>
      </c>
      <c r="N3706" s="20" t="s">
        <v>2604</v>
      </c>
    </row>
    <row r="3707" spans="1:14" hidden="1" x14ac:dyDescent="0.25">
      <c r="A3707" s="19">
        <v>45901</v>
      </c>
      <c r="B3707" s="20" t="s">
        <v>2481</v>
      </c>
      <c r="C3707" s="20">
        <v>55</v>
      </c>
      <c r="D3707" s="20" t="s">
        <v>238</v>
      </c>
      <c r="E3707" s="20" t="s">
        <v>2341</v>
      </c>
      <c r="F3707" s="20" t="s">
        <v>244</v>
      </c>
      <c r="G3707" s="20" t="s">
        <v>82</v>
      </c>
      <c r="H3707" s="20" t="s">
        <v>184</v>
      </c>
      <c r="I3707" s="20"/>
      <c r="J3707" s="20" t="s">
        <v>2580</v>
      </c>
      <c r="K3707" s="20" t="s">
        <v>241</v>
      </c>
      <c r="L3707" s="20">
        <v>14500000000</v>
      </c>
      <c r="M3707" s="20" t="s">
        <v>245</v>
      </c>
      <c r="N3707" s="20" t="s">
        <v>2582</v>
      </c>
    </row>
    <row r="3708" spans="1:14" hidden="1" x14ac:dyDescent="0.25">
      <c r="A3708" s="19">
        <v>45901</v>
      </c>
      <c r="B3708" s="20" t="s">
        <v>2481</v>
      </c>
      <c r="C3708" s="20">
        <v>55</v>
      </c>
      <c r="D3708" s="20" t="s">
        <v>238</v>
      </c>
      <c r="E3708" s="20" t="s">
        <v>2341</v>
      </c>
      <c r="F3708" s="20" t="s">
        <v>244</v>
      </c>
      <c r="G3708" s="20" t="s">
        <v>82</v>
      </c>
      <c r="H3708" s="20" t="s">
        <v>185</v>
      </c>
      <c r="I3708" s="20"/>
      <c r="J3708" s="20" t="s">
        <v>2580</v>
      </c>
      <c r="K3708" s="20" t="s">
        <v>241</v>
      </c>
      <c r="L3708" s="20">
        <v>4690000000</v>
      </c>
      <c r="M3708" s="20" t="s">
        <v>245</v>
      </c>
      <c r="N3708" s="20" t="s">
        <v>2605</v>
      </c>
    </row>
    <row r="3709" spans="1:14" hidden="1" x14ac:dyDescent="0.25">
      <c r="A3709" s="19">
        <v>45901</v>
      </c>
      <c r="B3709" s="20" t="s">
        <v>2481</v>
      </c>
      <c r="C3709" s="20">
        <v>56</v>
      </c>
      <c r="D3709" s="20" t="s">
        <v>238</v>
      </c>
      <c r="E3709" s="20" t="s">
        <v>2341</v>
      </c>
      <c r="F3709" s="20" t="s">
        <v>285</v>
      </c>
      <c r="G3709" s="20" t="s">
        <v>63</v>
      </c>
      <c r="H3709" s="20" t="s">
        <v>1202</v>
      </c>
      <c r="I3709" s="20"/>
      <c r="J3709" s="20" t="s">
        <v>2580</v>
      </c>
      <c r="K3709" s="20" t="s">
        <v>241</v>
      </c>
      <c r="L3709" s="20">
        <v>1010000</v>
      </c>
      <c r="M3709" s="20" t="s">
        <v>242</v>
      </c>
      <c r="N3709" s="20" t="s">
        <v>2351</v>
      </c>
    </row>
    <row r="3710" spans="1:14" hidden="1" x14ac:dyDescent="0.25">
      <c r="A3710" s="19">
        <v>45901</v>
      </c>
      <c r="B3710" s="20" t="s">
        <v>2481</v>
      </c>
      <c r="C3710" s="20">
        <v>56</v>
      </c>
      <c r="D3710" s="20" t="s">
        <v>238</v>
      </c>
      <c r="E3710" s="20" t="s">
        <v>2341</v>
      </c>
      <c r="F3710" s="20" t="s">
        <v>285</v>
      </c>
      <c r="G3710" s="20" t="s">
        <v>63</v>
      </c>
      <c r="H3710" s="20" t="s">
        <v>1204</v>
      </c>
      <c r="I3710" s="20"/>
      <c r="J3710" s="20" t="s">
        <v>2580</v>
      </c>
      <c r="K3710" s="20" t="s">
        <v>241</v>
      </c>
      <c r="L3710" s="20">
        <v>1710000</v>
      </c>
      <c r="M3710" s="20" t="s">
        <v>242</v>
      </c>
      <c r="N3710" s="20" t="s">
        <v>740</v>
      </c>
    </row>
    <row r="3711" spans="1:14" hidden="1" x14ac:dyDescent="0.25">
      <c r="A3711" s="19">
        <v>45901</v>
      </c>
      <c r="B3711" s="20" t="s">
        <v>2481</v>
      </c>
      <c r="C3711" s="20">
        <v>56</v>
      </c>
      <c r="D3711" s="20" t="s">
        <v>238</v>
      </c>
      <c r="E3711" s="20" t="s">
        <v>2341</v>
      </c>
      <c r="F3711" s="20" t="s">
        <v>285</v>
      </c>
      <c r="G3711" s="20" t="s">
        <v>63</v>
      </c>
      <c r="H3711" s="20" t="s">
        <v>1200</v>
      </c>
      <c r="I3711" s="20"/>
      <c r="J3711" s="20" t="s">
        <v>2580</v>
      </c>
      <c r="K3711" s="20" t="s">
        <v>241</v>
      </c>
      <c r="L3711" s="20">
        <v>990000</v>
      </c>
      <c r="M3711" s="20" t="s">
        <v>242</v>
      </c>
      <c r="N3711" s="20" t="s">
        <v>2675</v>
      </c>
    </row>
    <row r="3712" spans="1:14" hidden="1" x14ac:dyDescent="0.25">
      <c r="A3712" s="19">
        <v>45901</v>
      </c>
      <c r="B3712" s="20" t="s">
        <v>2481</v>
      </c>
      <c r="C3712" s="20">
        <v>56</v>
      </c>
      <c r="D3712" s="20" t="s">
        <v>238</v>
      </c>
      <c r="E3712" s="20" t="s">
        <v>2341</v>
      </c>
      <c r="F3712" s="20" t="s">
        <v>285</v>
      </c>
      <c r="G3712" s="20" t="s">
        <v>63</v>
      </c>
      <c r="H3712" s="20"/>
      <c r="I3712" s="20"/>
      <c r="J3712" s="20" t="s">
        <v>2580</v>
      </c>
      <c r="K3712" s="20" t="s">
        <v>241</v>
      </c>
      <c r="L3712" s="20">
        <v>3760000</v>
      </c>
      <c r="M3712" s="20" t="s">
        <v>242</v>
      </c>
      <c r="N3712" s="20" t="s">
        <v>2676</v>
      </c>
    </row>
    <row r="3713" spans="1:14" hidden="1" x14ac:dyDescent="0.25">
      <c r="A3713" s="19">
        <v>45901</v>
      </c>
      <c r="B3713" s="20" t="s">
        <v>2481</v>
      </c>
      <c r="C3713" s="20">
        <v>57</v>
      </c>
      <c r="D3713" s="20" t="s">
        <v>238</v>
      </c>
      <c r="E3713" s="20" t="s">
        <v>2341</v>
      </c>
      <c r="F3713" s="20" t="s">
        <v>1194</v>
      </c>
      <c r="G3713" s="20" t="s">
        <v>82</v>
      </c>
      <c r="H3713" s="20"/>
      <c r="I3713" s="20"/>
      <c r="J3713" s="20" t="s">
        <v>201</v>
      </c>
      <c r="K3713" s="20" t="s">
        <v>250</v>
      </c>
      <c r="L3713" s="20">
        <v>25080000</v>
      </c>
      <c r="M3713" s="20" t="s">
        <v>242</v>
      </c>
      <c r="N3713" s="20" t="s">
        <v>2677</v>
      </c>
    </row>
    <row r="3714" spans="1:14" hidden="1" x14ac:dyDescent="0.25">
      <c r="A3714" s="19">
        <v>45901</v>
      </c>
      <c r="B3714" s="20" t="s">
        <v>2481</v>
      </c>
      <c r="C3714" s="20">
        <v>57</v>
      </c>
      <c r="D3714" s="20" t="s">
        <v>238</v>
      </c>
      <c r="E3714" s="20" t="s">
        <v>2341</v>
      </c>
      <c r="F3714" s="20" t="s">
        <v>2487</v>
      </c>
      <c r="G3714" s="20" t="s">
        <v>82</v>
      </c>
      <c r="H3714" s="20" t="s">
        <v>184</v>
      </c>
      <c r="I3714" s="20"/>
      <c r="J3714" s="20" t="s">
        <v>201</v>
      </c>
      <c r="K3714" s="20" t="s">
        <v>250</v>
      </c>
      <c r="L3714" s="20">
        <v>15580000</v>
      </c>
      <c r="M3714" s="20" t="s">
        <v>242</v>
      </c>
      <c r="N3714" s="20" t="s">
        <v>2568</v>
      </c>
    </row>
    <row r="3715" spans="1:14" hidden="1" x14ac:dyDescent="0.25">
      <c r="A3715" s="19">
        <v>45901</v>
      </c>
      <c r="B3715" s="20" t="s">
        <v>2481</v>
      </c>
      <c r="C3715" s="20">
        <v>57</v>
      </c>
      <c r="D3715" s="20" t="s">
        <v>238</v>
      </c>
      <c r="E3715" s="20" t="s">
        <v>2341</v>
      </c>
      <c r="F3715" s="20" t="s">
        <v>2488</v>
      </c>
      <c r="G3715" s="20" t="s">
        <v>82</v>
      </c>
      <c r="H3715" s="20" t="s">
        <v>185</v>
      </c>
      <c r="I3715" s="20"/>
      <c r="J3715" s="20" t="s">
        <v>201</v>
      </c>
      <c r="K3715" s="20" t="s">
        <v>250</v>
      </c>
      <c r="L3715" s="20">
        <v>9500000</v>
      </c>
      <c r="M3715" s="20" t="s">
        <v>242</v>
      </c>
      <c r="N3715" s="20" t="s">
        <v>2678</v>
      </c>
    </row>
    <row r="3716" spans="1:14" hidden="1" x14ac:dyDescent="0.25">
      <c r="A3716" s="19">
        <v>45901</v>
      </c>
      <c r="B3716" s="20" t="s">
        <v>2481</v>
      </c>
      <c r="C3716" s="20">
        <v>58</v>
      </c>
      <c r="D3716" s="20" t="s">
        <v>238</v>
      </c>
      <c r="E3716" s="20" t="s">
        <v>2341</v>
      </c>
      <c r="F3716" s="20" t="s">
        <v>1196</v>
      </c>
      <c r="G3716" s="20" t="s">
        <v>82</v>
      </c>
      <c r="H3716" s="20"/>
      <c r="I3716" s="20"/>
      <c r="J3716" s="20" t="s">
        <v>201</v>
      </c>
      <c r="K3716" s="20" t="s">
        <v>250</v>
      </c>
      <c r="L3716" s="20">
        <v>2420000000</v>
      </c>
      <c r="M3716" s="20" t="s">
        <v>245</v>
      </c>
      <c r="N3716" s="20" t="s">
        <v>2679</v>
      </c>
    </row>
    <row r="3717" spans="1:14" hidden="1" x14ac:dyDescent="0.25">
      <c r="A3717" s="19">
        <v>45901</v>
      </c>
      <c r="B3717" s="20" t="s">
        <v>2481</v>
      </c>
      <c r="C3717" s="20">
        <v>58</v>
      </c>
      <c r="D3717" s="20" t="s">
        <v>238</v>
      </c>
      <c r="E3717" s="20" t="s">
        <v>2341</v>
      </c>
      <c r="F3717" s="20" t="s">
        <v>2489</v>
      </c>
      <c r="G3717" s="20" t="s">
        <v>82</v>
      </c>
      <c r="H3717" s="20" t="s">
        <v>184</v>
      </c>
      <c r="I3717" s="20"/>
      <c r="J3717" s="20" t="s">
        <v>201</v>
      </c>
      <c r="K3717" s="20" t="s">
        <v>250</v>
      </c>
      <c r="L3717" s="20">
        <v>1870000000</v>
      </c>
      <c r="M3717" s="20" t="s">
        <v>245</v>
      </c>
      <c r="N3717" s="20" t="s">
        <v>2569</v>
      </c>
    </row>
    <row r="3718" spans="1:14" hidden="1" x14ac:dyDescent="0.25">
      <c r="A3718" s="19">
        <v>45901</v>
      </c>
      <c r="B3718" s="20" t="s">
        <v>2481</v>
      </c>
      <c r="C3718" s="20">
        <v>58</v>
      </c>
      <c r="D3718" s="20" t="s">
        <v>238</v>
      </c>
      <c r="E3718" s="20" t="s">
        <v>2341</v>
      </c>
      <c r="F3718" s="20" t="s">
        <v>2490</v>
      </c>
      <c r="G3718" s="20" t="s">
        <v>82</v>
      </c>
      <c r="H3718" s="20" t="s">
        <v>185</v>
      </c>
      <c r="I3718" s="20"/>
      <c r="J3718" s="20" t="s">
        <v>201</v>
      </c>
      <c r="K3718" s="20" t="s">
        <v>250</v>
      </c>
      <c r="L3718" s="20">
        <v>560000000</v>
      </c>
      <c r="M3718" s="20" t="s">
        <v>245</v>
      </c>
      <c r="N3718" s="20" t="s">
        <v>2680</v>
      </c>
    </row>
    <row r="3719" spans="1:14" hidden="1" x14ac:dyDescent="0.25">
      <c r="A3719" s="19">
        <v>45901</v>
      </c>
      <c r="B3719" s="20" t="s">
        <v>2481</v>
      </c>
      <c r="C3719" s="20">
        <v>59</v>
      </c>
      <c r="D3719" s="20" t="s">
        <v>238</v>
      </c>
      <c r="E3719" s="20" t="s">
        <v>2341</v>
      </c>
      <c r="F3719" s="20" t="s">
        <v>1213</v>
      </c>
      <c r="G3719" s="20" t="s">
        <v>82</v>
      </c>
      <c r="H3719" s="20"/>
      <c r="I3719" s="20"/>
      <c r="J3719" s="20" t="s">
        <v>201</v>
      </c>
      <c r="K3719" s="20" t="s">
        <v>250</v>
      </c>
      <c r="L3719" s="20">
        <v>96.7</v>
      </c>
      <c r="M3719" s="20" t="s">
        <v>245</v>
      </c>
      <c r="N3719" s="20" t="s">
        <v>2681</v>
      </c>
    </row>
    <row r="3720" spans="1:14" hidden="1" x14ac:dyDescent="0.25">
      <c r="A3720" s="19">
        <v>45901</v>
      </c>
      <c r="B3720" s="20" t="s">
        <v>2481</v>
      </c>
      <c r="C3720" s="20">
        <v>59</v>
      </c>
      <c r="D3720" s="20" t="s">
        <v>238</v>
      </c>
      <c r="E3720" s="20" t="s">
        <v>2341</v>
      </c>
      <c r="F3720" s="20" t="s">
        <v>2493</v>
      </c>
      <c r="G3720" s="20" t="s">
        <v>82</v>
      </c>
      <c r="H3720" s="20" t="s">
        <v>184</v>
      </c>
      <c r="I3720" s="20"/>
      <c r="J3720" s="20" t="s">
        <v>201</v>
      </c>
      <c r="K3720" s="20" t="s">
        <v>250</v>
      </c>
      <c r="L3720" s="20">
        <v>119.8</v>
      </c>
      <c r="M3720" s="20" t="s">
        <v>245</v>
      </c>
      <c r="N3720" s="20" t="s">
        <v>2682</v>
      </c>
    </row>
    <row r="3721" spans="1:14" hidden="1" x14ac:dyDescent="0.25">
      <c r="A3721" s="19">
        <v>45901</v>
      </c>
      <c r="B3721" s="20" t="s">
        <v>2481</v>
      </c>
      <c r="C3721" s="20">
        <v>59</v>
      </c>
      <c r="D3721" s="20" t="s">
        <v>238</v>
      </c>
      <c r="E3721" s="20" t="s">
        <v>2341</v>
      </c>
      <c r="F3721" s="20" t="s">
        <v>2495</v>
      </c>
      <c r="G3721" s="20" t="s">
        <v>82</v>
      </c>
      <c r="H3721" s="20" t="s">
        <v>185</v>
      </c>
      <c r="I3721" s="20"/>
      <c r="J3721" s="20" t="s">
        <v>201</v>
      </c>
      <c r="K3721" s="20" t="s">
        <v>250</v>
      </c>
      <c r="L3721" s="20">
        <v>58.8</v>
      </c>
      <c r="M3721" s="20" t="s">
        <v>245</v>
      </c>
      <c r="N3721" s="20" t="s">
        <v>2683</v>
      </c>
    </row>
    <row r="3722" spans="1:14" hidden="1" x14ac:dyDescent="0.25">
      <c r="A3722" s="19">
        <v>45901</v>
      </c>
      <c r="B3722" s="20" t="s">
        <v>120</v>
      </c>
      <c r="C3722" s="20">
        <v>61</v>
      </c>
      <c r="D3722" s="20" t="s">
        <v>238</v>
      </c>
      <c r="E3722" s="20" t="s">
        <v>2341</v>
      </c>
      <c r="F3722" s="20" t="s">
        <v>240</v>
      </c>
      <c r="G3722" s="20" t="s">
        <v>82</v>
      </c>
      <c r="H3722" s="20"/>
      <c r="I3722" s="20"/>
      <c r="J3722" s="20" t="s">
        <v>2580</v>
      </c>
      <c r="K3722" s="20" t="s">
        <v>241</v>
      </c>
      <c r="L3722" s="20">
        <v>55190000</v>
      </c>
      <c r="M3722" s="20" t="s">
        <v>242</v>
      </c>
      <c r="N3722" s="20" t="s">
        <v>2684</v>
      </c>
    </row>
    <row r="3723" spans="1:14" hidden="1" x14ac:dyDescent="0.25">
      <c r="A3723" s="19">
        <v>45901</v>
      </c>
      <c r="B3723" s="20" t="s">
        <v>120</v>
      </c>
      <c r="C3723" s="20">
        <v>61</v>
      </c>
      <c r="D3723" s="20" t="s">
        <v>238</v>
      </c>
      <c r="E3723" s="20" t="s">
        <v>2341</v>
      </c>
      <c r="F3723" s="20" t="s">
        <v>244</v>
      </c>
      <c r="G3723" s="20" t="s">
        <v>82</v>
      </c>
      <c r="H3723" s="20"/>
      <c r="I3723" s="20"/>
      <c r="J3723" s="20" t="s">
        <v>2580</v>
      </c>
      <c r="K3723" s="20" t="s">
        <v>241</v>
      </c>
      <c r="L3723" s="20">
        <v>11570000000</v>
      </c>
      <c r="M3723" s="20" t="s">
        <v>245</v>
      </c>
      <c r="N3723" s="20" t="s">
        <v>2685</v>
      </c>
    </row>
    <row r="3724" spans="1:14" hidden="1" x14ac:dyDescent="0.25">
      <c r="A3724" s="19">
        <v>45901</v>
      </c>
      <c r="B3724" s="20" t="s">
        <v>120</v>
      </c>
      <c r="C3724" s="20">
        <v>62</v>
      </c>
      <c r="D3724" s="20" t="s">
        <v>253</v>
      </c>
      <c r="E3724" s="20" t="s">
        <v>2359</v>
      </c>
      <c r="F3724" s="20" t="s">
        <v>285</v>
      </c>
      <c r="G3724" s="20" t="s">
        <v>63</v>
      </c>
      <c r="H3724" s="20"/>
      <c r="I3724" s="20"/>
      <c r="J3724" s="20" t="s">
        <v>199</v>
      </c>
      <c r="K3724" s="20" t="s">
        <v>255</v>
      </c>
      <c r="L3724" s="20">
        <v>4810000</v>
      </c>
      <c r="M3724" s="20" t="s">
        <v>242</v>
      </c>
      <c r="N3724" s="20" t="s">
        <v>2228</v>
      </c>
    </row>
    <row r="3725" spans="1:14" hidden="1" x14ac:dyDescent="0.25">
      <c r="A3725" s="19">
        <v>45901</v>
      </c>
      <c r="B3725" s="20" t="s">
        <v>120</v>
      </c>
      <c r="C3725" s="20">
        <v>62</v>
      </c>
      <c r="D3725" s="20" t="s">
        <v>253</v>
      </c>
      <c r="E3725" s="20" t="s">
        <v>2359</v>
      </c>
      <c r="F3725" s="20" t="s">
        <v>285</v>
      </c>
      <c r="G3725" s="20" t="s">
        <v>63</v>
      </c>
      <c r="H3725" s="20"/>
      <c r="I3725" s="20"/>
      <c r="J3725" s="20" t="s">
        <v>200</v>
      </c>
      <c r="K3725" s="20" t="s">
        <v>255</v>
      </c>
      <c r="L3725" s="20">
        <v>4850000</v>
      </c>
      <c r="M3725" s="20" t="s">
        <v>242</v>
      </c>
      <c r="N3725" s="20" t="s">
        <v>2499</v>
      </c>
    </row>
    <row r="3726" spans="1:14" hidden="1" x14ac:dyDescent="0.25">
      <c r="A3726" s="19">
        <v>45901</v>
      </c>
      <c r="B3726" s="20" t="s">
        <v>120</v>
      </c>
      <c r="C3726" s="20">
        <v>62</v>
      </c>
      <c r="D3726" s="20" t="s">
        <v>253</v>
      </c>
      <c r="E3726" s="20" t="s">
        <v>2359</v>
      </c>
      <c r="F3726" s="20" t="s">
        <v>285</v>
      </c>
      <c r="G3726" s="20" t="s">
        <v>63</v>
      </c>
      <c r="H3726" s="20"/>
      <c r="I3726" s="20"/>
      <c r="J3726" s="20" t="s">
        <v>201</v>
      </c>
      <c r="K3726" s="20" t="s">
        <v>255</v>
      </c>
      <c r="L3726" s="20">
        <v>4900000</v>
      </c>
      <c r="M3726" s="20" t="s">
        <v>242</v>
      </c>
      <c r="N3726" s="20" t="s">
        <v>2686</v>
      </c>
    </row>
    <row r="3727" spans="1:14" hidden="1" x14ac:dyDescent="0.25">
      <c r="A3727" s="19">
        <v>45901</v>
      </c>
      <c r="B3727" s="20" t="s">
        <v>120</v>
      </c>
      <c r="C3727" s="20">
        <v>62</v>
      </c>
      <c r="D3727" s="20" t="s">
        <v>247</v>
      </c>
      <c r="E3727" s="20" t="s">
        <v>2554</v>
      </c>
      <c r="F3727" s="20" t="s">
        <v>2555</v>
      </c>
      <c r="G3727" s="20" t="s">
        <v>63</v>
      </c>
      <c r="H3727" s="20" t="s">
        <v>286</v>
      </c>
      <c r="I3727" s="20"/>
      <c r="J3727" s="20" t="s">
        <v>201</v>
      </c>
      <c r="K3727" s="20" t="s">
        <v>250</v>
      </c>
      <c r="L3727" s="20">
        <v>0.9</v>
      </c>
      <c r="M3727" s="20" t="s">
        <v>251</v>
      </c>
      <c r="N3727" s="20" t="s">
        <v>845</v>
      </c>
    </row>
    <row r="3728" spans="1:14" hidden="1" x14ac:dyDescent="0.25">
      <c r="A3728" s="19">
        <v>45901</v>
      </c>
      <c r="B3728" s="20" t="s">
        <v>120</v>
      </c>
      <c r="C3728" s="20">
        <v>63</v>
      </c>
      <c r="D3728" s="20" t="s">
        <v>291</v>
      </c>
      <c r="E3728" s="20" t="s">
        <v>2361</v>
      </c>
      <c r="F3728" s="20" t="s">
        <v>285</v>
      </c>
      <c r="G3728" s="20" t="s">
        <v>63</v>
      </c>
      <c r="H3728" s="20" t="s">
        <v>122</v>
      </c>
      <c r="I3728" s="20"/>
      <c r="J3728" s="20" t="s">
        <v>201</v>
      </c>
      <c r="K3728" s="20" t="s">
        <v>250</v>
      </c>
      <c r="L3728" s="20">
        <v>4850000</v>
      </c>
      <c r="M3728" s="20" t="s">
        <v>242</v>
      </c>
      <c r="N3728" s="20" t="s">
        <v>2347</v>
      </c>
    </row>
    <row r="3729" spans="1:14" hidden="1" x14ac:dyDescent="0.25">
      <c r="A3729" s="19">
        <v>45901</v>
      </c>
      <c r="B3729" s="20" t="s">
        <v>120</v>
      </c>
      <c r="C3729" s="20">
        <v>63</v>
      </c>
      <c r="D3729" s="20" t="s">
        <v>291</v>
      </c>
      <c r="E3729" s="20" t="s">
        <v>2361</v>
      </c>
      <c r="F3729" s="20" t="s">
        <v>285</v>
      </c>
      <c r="G3729" s="20" t="s">
        <v>63</v>
      </c>
      <c r="H3729" s="20" t="s">
        <v>123</v>
      </c>
      <c r="I3729" s="20"/>
      <c r="J3729" s="20" t="s">
        <v>201</v>
      </c>
      <c r="K3729" s="20" t="s">
        <v>250</v>
      </c>
      <c r="L3729" s="20">
        <v>44600</v>
      </c>
      <c r="M3729" s="20" t="s">
        <v>242</v>
      </c>
      <c r="N3729" s="20" t="s">
        <v>2687</v>
      </c>
    </row>
    <row r="3730" spans="1:14" hidden="1" x14ac:dyDescent="0.25">
      <c r="A3730" s="19">
        <v>45901</v>
      </c>
      <c r="B3730" s="20" t="s">
        <v>120</v>
      </c>
      <c r="C3730" s="20">
        <v>63</v>
      </c>
      <c r="D3730" s="20" t="s">
        <v>238</v>
      </c>
      <c r="E3730" s="20" t="s">
        <v>2341</v>
      </c>
      <c r="F3730" s="20" t="s">
        <v>376</v>
      </c>
      <c r="G3730" s="20" t="s">
        <v>63</v>
      </c>
      <c r="H3730" s="20"/>
      <c r="I3730" s="20"/>
      <c r="J3730" s="20" t="s">
        <v>201</v>
      </c>
      <c r="K3730" s="20" t="s">
        <v>250</v>
      </c>
      <c r="L3730" s="20">
        <v>4900000</v>
      </c>
      <c r="M3730" s="20" t="s">
        <v>242</v>
      </c>
      <c r="N3730" s="20" t="s">
        <v>2572</v>
      </c>
    </row>
    <row r="3731" spans="1:14" hidden="1" x14ac:dyDescent="0.25">
      <c r="A3731" s="19">
        <v>45901</v>
      </c>
      <c r="B3731" s="20" t="s">
        <v>120</v>
      </c>
      <c r="C3731" s="20">
        <v>64</v>
      </c>
      <c r="D3731" s="20" t="s">
        <v>238</v>
      </c>
      <c r="E3731" s="20" t="s">
        <v>2341</v>
      </c>
      <c r="F3731" s="20" t="s">
        <v>378</v>
      </c>
      <c r="G3731" s="20" t="s">
        <v>379</v>
      </c>
      <c r="H3731" s="20"/>
      <c r="I3731" s="20"/>
      <c r="J3731" s="20" t="s">
        <v>201</v>
      </c>
      <c r="K3731" s="20" t="s">
        <v>250</v>
      </c>
      <c r="L3731" s="20">
        <v>652</v>
      </c>
      <c r="M3731" s="20" t="s">
        <v>242</v>
      </c>
      <c r="N3731" s="20" t="s">
        <v>2573</v>
      </c>
    </row>
    <row r="3732" spans="1:14" hidden="1" x14ac:dyDescent="0.25">
      <c r="A3732" s="19">
        <v>45901</v>
      </c>
      <c r="B3732" s="20" t="s">
        <v>120</v>
      </c>
      <c r="C3732" s="20">
        <v>64</v>
      </c>
      <c r="D3732" s="20" t="s">
        <v>238</v>
      </c>
      <c r="E3732" s="20" t="s">
        <v>2341</v>
      </c>
      <c r="F3732" s="20" t="s">
        <v>381</v>
      </c>
      <c r="G3732" s="20" t="s">
        <v>382</v>
      </c>
      <c r="H3732" s="20"/>
      <c r="I3732" s="20"/>
      <c r="J3732" s="20" t="s">
        <v>201</v>
      </c>
      <c r="K3732" s="20" t="s">
        <v>250</v>
      </c>
      <c r="L3732" s="20">
        <v>2245</v>
      </c>
      <c r="M3732" s="20" t="s">
        <v>242</v>
      </c>
      <c r="N3732" s="20" t="s">
        <v>2574</v>
      </c>
    </row>
    <row r="3733" spans="1:14" hidden="1" x14ac:dyDescent="0.25">
      <c r="A3733" s="19">
        <v>45901</v>
      </c>
      <c r="B3733" s="20" t="s">
        <v>120</v>
      </c>
      <c r="C3733" s="20">
        <v>65</v>
      </c>
      <c r="D3733" s="20" t="s">
        <v>253</v>
      </c>
      <c r="E3733" s="20" t="s">
        <v>2359</v>
      </c>
      <c r="F3733" s="20" t="s">
        <v>240</v>
      </c>
      <c r="G3733" s="20" t="s">
        <v>82</v>
      </c>
      <c r="H3733" s="20"/>
      <c r="I3733" s="20"/>
      <c r="J3733" s="20" t="s">
        <v>199</v>
      </c>
      <c r="K3733" s="20" t="s">
        <v>255</v>
      </c>
      <c r="L3733" s="20">
        <v>6580000</v>
      </c>
      <c r="M3733" s="20" t="s">
        <v>242</v>
      </c>
      <c r="N3733" s="20" t="s">
        <v>2232</v>
      </c>
    </row>
    <row r="3734" spans="1:14" hidden="1" x14ac:dyDescent="0.25">
      <c r="A3734" s="19">
        <v>45901</v>
      </c>
      <c r="B3734" s="20" t="s">
        <v>120</v>
      </c>
      <c r="C3734" s="20">
        <v>65</v>
      </c>
      <c r="D3734" s="20" t="s">
        <v>253</v>
      </c>
      <c r="E3734" s="20" t="s">
        <v>2359</v>
      </c>
      <c r="F3734" s="20" t="s">
        <v>240</v>
      </c>
      <c r="G3734" s="20" t="s">
        <v>82</v>
      </c>
      <c r="H3734" s="20"/>
      <c r="I3734" s="20"/>
      <c r="J3734" s="20" t="s">
        <v>200</v>
      </c>
      <c r="K3734" s="20" t="s">
        <v>255</v>
      </c>
      <c r="L3734" s="20">
        <v>6640000</v>
      </c>
      <c r="M3734" s="20" t="s">
        <v>242</v>
      </c>
      <c r="N3734" s="20" t="s">
        <v>2501</v>
      </c>
    </row>
    <row r="3735" spans="1:14" hidden="1" x14ac:dyDescent="0.25">
      <c r="A3735" s="19">
        <v>45901</v>
      </c>
      <c r="B3735" s="20" t="s">
        <v>120</v>
      </c>
      <c r="C3735" s="20">
        <v>65</v>
      </c>
      <c r="D3735" s="20" t="s">
        <v>253</v>
      </c>
      <c r="E3735" s="20" t="s">
        <v>2359</v>
      </c>
      <c r="F3735" s="20" t="s">
        <v>240</v>
      </c>
      <c r="G3735" s="20" t="s">
        <v>82</v>
      </c>
      <c r="H3735" s="20"/>
      <c r="I3735" s="20"/>
      <c r="J3735" s="20" t="s">
        <v>201</v>
      </c>
      <c r="K3735" s="20" t="s">
        <v>255</v>
      </c>
      <c r="L3735" s="20">
        <v>6450000</v>
      </c>
      <c r="M3735" s="20" t="s">
        <v>242</v>
      </c>
      <c r="N3735" s="20" t="s">
        <v>2688</v>
      </c>
    </row>
    <row r="3736" spans="1:14" hidden="1" x14ac:dyDescent="0.25">
      <c r="A3736" s="19">
        <v>45901</v>
      </c>
      <c r="B3736" s="20" t="s">
        <v>120</v>
      </c>
      <c r="C3736" s="20">
        <v>65</v>
      </c>
      <c r="D3736" s="20" t="s">
        <v>247</v>
      </c>
      <c r="E3736" s="20" t="s">
        <v>2554</v>
      </c>
      <c r="F3736" s="20" t="s">
        <v>2559</v>
      </c>
      <c r="G3736" s="20" t="s">
        <v>82</v>
      </c>
      <c r="H3736" s="20" t="s">
        <v>249</v>
      </c>
      <c r="I3736" s="20"/>
      <c r="J3736" s="20" t="s">
        <v>201</v>
      </c>
      <c r="K3736" s="20" t="s">
        <v>250</v>
      </c>
      <c r="L3736" s="20">
        <v>2.8</v>
      </c>
      <c r="M3736" s="20" t="s">
        <v>251</v>
      </c>
      <c r="N3736" s="20" t="s">
        <v>1346</v>
      </c>
    </row>
    <row r="3737" spans="1:14" hidden="1" x14ac:dyDescent="0.25">
      <c r="A3737" s="19">
        <v>45901</v>
      </c>
      <c r="B3737" s="20" t="s">
        <v>120</v>
      </c>
      <c r="C3737" s="20">
        <v>66</v>
      </c>
      <c r="D3737" s="20" t="s">
        <v>291</v>
      </c>
      <c r="E3737" s="20" t="s">
        <v>2361</v>
      </c>
      <c r="F3737" s="20" t="s">
        <v>2502</v>
      </c>
      <c r="G3737" s="20" t="s">
        <v>82</v>
      </c>
      <c r="H3737" s="20" t="s">
        <v>128</v>
      </c>
      <c r="I3737" s="20"/>
      <c r="J3737" s="20" t="s">
        <v>201</v>
      </c>
      <c r="K3737" s="20" t="s">
        <v>250</v>
      </c>
      <c r="L3737" s="20">
        <v>33000</v>
      </c>
      <c r="M3737" s="20" t="s">
        <v>242</v>
      </c>
      <c r="N3737" s="20" t="s">
        <v>2503</v>
      </c>
    </row>
    <row r="3738" spans="1:14" hidden="1" x14ac:dyDescent="0.25">
      <c r="A3738" s="19">
        <v>45901</v>
      </c>
      <c r="B3738" s="20" t="s">
        <v>120</v>
      </c>
      <c r="C3738" s="20">
        <v>66</v>
      </c>
      <c r="D3738" s="20" t="s">
        <v>291</v>
      </c>
      <c r="E3738" s="20" t="s">
        <v>2361</v>
      </c>
      <c r="F3738" s="20" t="s">
        <v>2502</v>
      </c>
      <c r="G3738" s="20" t="s">
        <v>82</v>
      </c>
      <c r="H3738" s="20" t="s">
        <v>125</v>
      </c>
      <c r="I3738" s="20"/>
      <c r="J3738" s="20" t="s">
        <v>201</v>
      </c>
      <c r="K3738" s="20" t="s">
        <v>250</v>
      </c>
      <c r="L3738" s="20">
        <v>34000</v>
      </c>
      <c r="M3738" s="20" t="s">
        <v>242</v>
      </c>
      <c r="N3738" s="20" t="s">
        <v>1508</v>
      </c>
    </row>
    <row r="3739" spans="1:14" hidden="1" x14ac:dyDescent="0.25">
      <c r="A3739" s="19">
        <v>45901</v>
      </c>
      <c r="B3739" s="20" t="s">
        <v>120</v>
      </c>
      <c r="C3739" s="20">
        <v>66</v>
      </c>
      <c r="D3739" s="20" t="s">
        <v>291</v>
      </c>
      <c r="E3739" s="20" t="s">
        <v>2361</v>
      </c>
      <c r="F3739" s="20" t="s">
        <v>2502</v>
      </c>
      <c r="G3739" s="20" t="s">
        <v>82</v>
      </c>
      <c r="H3739" s="20" t="s">
        <v>131</v>
      </c>
      <c r="I3739" s="20"/>
      <c r="J3739" s="20" t="s">
        <v>201</v>
      </c>
      <c r="K3739" s="20" t="s">
        <v>250</v>
      </c>
      <c r="L3739" s="20">
        <v>46000</v>
      </c>
      <c r="M3739" s="20" t="s">
        <v>242</v>
      </c>
      <c r="N3739" s="20" t="s">
        <v>2689</v>
      </c>
    </row>
    <row r="3740" spans="1:14" hidden="1" x14ac:dyDescent="0.25">
      <c r="A3740" s="19">
        <v>45901</v>
      </c>
      <c r="B3740" s="20" t="s">
        <v>120</v>
      </c>
      <c r="C3740" s="20">
        <v>66</v>
      </c>
      <c r="D3740" s="20" t="s">
        <v>291</v>
      </c>
      <c r="E3740" s="20" t="s">
        <v>2361</v>
      </c>
      <c r="F3740" s="20" t="s">
        <v>2502</v>
      </c>
      <c r="G3740" s="20" t="s">
        <v>82</v>
      </c>
      <c r="H3740" s="20" t="s">
        <v>132</v>
      </c>
      <c r="I3740" s="20"/>
      <c r="J3740" s="20" t="s">
        <v>201</v>
      </c>
      <c r="K3740" s="20" t="s">
        <v>250</v>
      </c>
      <c r="L3740" s="20">
        <v>59000</v>
      </c>
      <c r="M3740" s="20" t="s">
        <v>242</v>
      </c>
      <c r="N3740" s="20" t="s">
        <v>771</v>
      </c>
    </row>
    <row r="3741" spans="1:14" hidden="1" x14ac:dyDescent="0.25">
      <c r="A3741" s="19">
        <v>45901</v>
      </c>
      <c r="B3741" s="20" t="s">
        <v>120</v>
      </c>
      <c r="C3741" s="20">
        <v>66</v>
      </c>
      <c r="D3741" s="20" t="s">
        <v>291</v>
      </c>
      <c r="E3741" s="20" t="s">
        <v>2361</v>
      </c>
      <c r="F3741" s="20" t="s">
        <v>2502</v>
      </c>
      <c r="G3741" s="20" t="s">
        <v>82</v>
      </c>
      <c r="H3741" s="20" t="s">
        <v>126</v>
      </c>
      <c r="I3741" s="20"/>
      <c r="J3741" s="20" t="s">
        <v>201</v>
      </c>
      <c r="K3741" s="20" t="s">
        <v>250</v>
      </c>
      <c r="L3741" s="20">
        <v>247000</v>
      </c>
      <c r="M3741" s="20" t="s">
        <v>242</v>
      </c>
      <c r="N3741" s="20" t="s">
        <v>2690</v>
      </c>
    </row>
    <row r="3742" spans="1:14" hidden="1" x14ac:dyDescent="0.25">
      <c r="A3742" s="19">
        <v>45901</v>
      </c>
      <c r="B3742" s="20" t="s">
        <v>120</v>
      </c>
      <c r="C3742" s="20">
        <v>66</v>
      </c>
      <c r="D3742" s="20" t="s">
        <v>291</v>
      </c>
      <c r="E3742" s="20" t="s">
        <v>2361</v>
      </c>
      <c r="F3742" s="20" t="s">
        <v>2502</v>
      </c>
      <c r="G3742" s="20" t="s">
        <v>82</v>
      </c>
      <c r="H3742" s="20" t="s">
        <v>127</v>
      </c>
      <c r="I3742" s="20"/>
      <c r="J3742" s="20" t="s">
        <v>201</v>
      </c>
      <c r="K3742" s="20" t="s">
        <v>250</v>
      </c>
      <c r="L3742" s="20">
        <v>307000</v>
      </c>
      <c r="M3742" s="20" t="s">
        <v>242</v>
      </c>
      <c r="N3742" s="20" t="s">
        <v>2691</v>
      </c>
    </row>
    <row r="3743" spans="1:14" hidden="1" x14ac:dyDescent="0.25">
      <c r="A3743" s="19">
        <v>45901</v>
      </c>
      <c r="B3743" s="20" t="s">
        <v>120</v>
      </c>
      <c r="C3743" s="20">
        <v>66</v>
      </c>
      <c r="D3743" s="20" t="s">
        <v>291</v>
      </c>
      <c r="E3743" s="20" t="s">
        <v>2361</v>
      </c>
      <c r="F3743" s="20" t="s">
        <v>2502</v>
      </c>
      <c r="G3743" s="20" t="s">
        <v>82</v>
      </c>
      <c r="H3743" s="20" t="s">
        <v>133</v>
      </c>
      <c r="I3743" s="20"/>
      <c r="J3743" s="20" t="s">
        <v>201</v>
      </c>
      <c r="K3743" s="20" t="s">
        <v>250</v>
      </c>
      <c r="L3743" s="20">
        <v>566000</v>
      </c>
      <c r="M3743" s="20" t="s">
        <v>242</v>
      </c>
      <c r="N3743" s="20" t="s">
        <v>2692</v>
      </c>
    </row>
    <row r="3744" spans="1:14" hidden="1" x14ac:dyDescent="0.25">
      <c r="A3744" s="19">
        <v>45901</v>
      </c>
      <c r="B3744" s="20" t="s">
        <v>120</v>
      </c>
      <c r="C3744" s="20">
        <v>66</v>
      </c>
      <c r="D3744" s="20" t="s">
        <v>291</v>
      </c>
      <c r="E3744" s="20" t="s">
        <v>2361</v>
      </c>
      <c r="F3744" s="20" t="s">
        <v>2502</v>
      </c>
      <c r="G3744" s="20" t="s">
        <v>82</v>
      </c>
      <c r="H3744" s="20" t="s">
        <v>129</v>
      </c>
      <c r="I3744" s="20"/>
      <c r="J3744" s="20" t="s">
        <v>201</v>
      </c>
      <c r="K3744" s="20" t="s">
        <v>250</v>
      </c>
      <c r="L3744" s="20">
        <v>1280000</v>
      </c>
      <c r="M3744" s="20" t="s">
        <v>242</v>
      </c>
      <c r="N3744" s="20" t="s">
        <v>339</v>
      </c>
    </row>
    <row r="3745" spans="1:14" hidden="1" x14ac:dyDescent="0.25">
      <c r="A3745" s="19">
        <v>45901</v>
      </c>
      <c r="B3745" s="20" t="s">
        <v>120</v>
      </c>
      <c r="C3745" s="20">
        <v>66</v>
      </c>
      <c r="D3745" s="20" t="s">
        <v>291</v>
      </c>
      <c r="E3745" s="20" t="s">
        <v>2361</v>
      </c>
      <c r="F3745" s="20" t="s">
        <v>2502</v>
      </c>
      <c r="G3745" s="20" t="s">
        <v>82</v>
      </c>
      <c r="H3745" s="20" t="s">
        <v>134</v>
      </c>
      <c r="I3745" s="20"/>
      <c r="J3745" s="20" t="s">
        <v>201</v>
      </c>
      <c r="K3745" s="20" t="s">
        <v>250</v>
      </c>
      <c r="L3745" s="20">
        <v>1780000</v>
      </c>
      <c r="M3745" s="20" t="s">
        <v>242</v>
      </c>
      <c r="N3745" s="20" t="s">
        <v>1650</v>
      </c>
    </row>
    <row r="3746" spans="1:14" hidden="1" x14ac:dyDescent="0.25">
      <c r="A3746" s="19">
        <v>45901</v>
      </c>
      <c r="B3746" s="20" t="s">
        <v>120</v>
      </c>
      <c r="C3746" s="20">
        <v>66</v>
      </c>
      <c r="D3746" s="20" t="s">
        <v>291</v>
      </c>
      <c r="E3746" s="20" t="s">
        <v>2361</v>
      </c>
      <c r="F3746" s="20" t="s">
        <v>2502</v>
      </c>
      <c r="G3746" s="20" t="s">
        <v>82</v>
      </c>
      <c r="H3746" s="20" t="s">
        <v>130</v>
      </c>
      <c r="I3746" s="20"/>
      <c r="J3746" s="20" t="s">
        <v>201</v>
      </c>
      <c r="K3746" s="20" t="s">
        <v>250</v>
      </c>
      <c r="L3746" s="20">
        <v>2010000</v>
      </c>
      <c r="M3746" s="20" t="s">
        <v>242</v>
      </c>
      <c r="N3746" s="20" t="s">
        <v>670</v>
      </c>
    </row>
    <row r="3747" spans="1:14" hidden="1" x14ac:dyDescent="0.25">
      <c r="A3747" s="19">
        <v>45901</v>
      </c>
      <c r="B3747" s="20" t="s">
        <v>120</v>
      </c>
      <c r="C3747" s="20">
        <v>67</v>
      </c>
      <c r="D3747" s="20" t="s">
        <v>291</v>
      </c>
      <c r="E3747" s="20" t="s">
        <v>2361</v>
      </c>
      <c r="F3747" s="20" t="s">
        <v>2510</v>
      </c>
      <c r="G3747" s="20" t="s">
        <v>82</v>
      </c>
      <c r="H3747" s="20" t="s">
        <v>138</v>
      </c>
      <c r="I3747" s="20"/>
      <c r="J3747" s="20" t="s">
        <v>201</v>
      </c>
      <c r="K3747" s="20" t="s">
        <v>250</v>
      </c>
      <c r="L3747" s="20">
        <v>5240000</v>
      </c>
      <c r="M3747" s="20" t="s">
        <v>242</v>
      </c>
      <c r="N3747" s="20" t="s">
        <v>2693</v>
      </c>
    </row>
    <row r="3748" spans="1:14" hidden="1" x14ac:dyDescent="0.25">
      <c r="A3748" s="19">
        <v>45901</v>
      </c>
      <c r="B3748" s="20" t="s">
        <v>120</v>
      </c>
      <c r="C3748" s="20">
        <v>67</v>
      </c>
      <c r="D3748" s="20" t="s">
        <v>291</v>
      </c>
      <c r="E3748" s="20" t="s">
        <v>2361</v>
      </c>
      <c r="F3748" s="20" t="s">
        <v>2510</v>
      </c>
      <c r="G3748" s="20" t="s">
        <v>82</v>
      </c>
      <c r="H3748" s="20" t="s">
        <v>137</v>
      </c>
      <c r="I3748" s="20"/>
      <c r="J3748" s="20" t="s">
        <v>201</v>
      </c>
      <c r="K3748" s="20" t="s">
        <v>250</v>
      </c>
      <c r="L3748" s="20">
        <v>1210000</v>
      </c>
      <c r="M3748" s="20" t="s">
        <v>242</v>
      </c>
      <c r="N3748" s="20" t="s">
        <v>2365</v>
      </c>
    </row>
    <row r="3749" spans="1:14" hidden="1" x14ac:dyDescent="0.25">
      <c r="A3749" s="19">
        <v>45901</v>
      </c>
      <c r="B3749" s="20" t="s">
        <v>120</v>
      </c>
      <c r="C3749" s="20">
        <v>68</v>
      </c>
      <c r="D3749" s="20" t="s">
        <v>253</v>
      </c>
      <c r="E3749" s="20" t="s">
        <v>2359</v>
      </c>
      <c r="F3749" s="20" t="s">
        <v>244</v>
      </c>
      <c r="G3749" s="20" t="s">
        <v>82</v>
      </c>
      <c r="H3749" s="20"/>
      <c r="I3749" s="20"/>
      <c r="J3749" s="20" t="s">
        <v>199</v>
      </c>
      <c r="K3749" s="20" t="s">
        <v>255</v>
      </c>
      <c r="L3749" s="20">
        <v>1400000000</v>
      </c>
      <c r="M3749" s="20" t="s">
        <v>245</v>
      </c>
      <c r="N3749" s="20" t="s">
        <v>2240</v>
      </c>
    </row>
    <row r="3750" spans="1:14" hidden="1" x14ac:dyDescent="0.25">
      <c r="A3750" s="19">
        <v>45901</v>
      </c>
      <c r="B3750" s="20" t="s">
        <v>120</v>
      </c>
      <c r="C3750" s="20">
        <v>68</v>
      </c>
      <c r="D3750" s="20" t="s">
        <v>253</v>
      </c>
      <c r="E3750" s="20" t="s">
        <v>2359</v>
      </c>
      <c r="F3750" s="20" t="s">
        <v>244</v>
      </c>
      <c r="G3750" s="20" t="s">
        <v>82</v>
      </c>
      <c r="H3750" s="20"/>
      <c r="I3750" s="20"/>
      <c r="J3750" s="20" t="s">
        <v>200</v>
      </c>
      <c r="K3750" s="20" t="s">
        <v>255</v>
      </c>
      <c r="L3750" s="20">
        <v>1280000000</v>
      </c>
      <c r="M3750" s="20" t="s">
        <v>245</v>
      </c>
      <c r="N3750" s="20" t="s">
        <v>2513</v>
      </c>
    </row>
    <row r="3751" spans="1:14" hidden="1" x14ac:dyDescent="0.25">
      <c r="A3751" s="19">
        <v>45901</v>
      </c>
      <c r="B3751" s="20" t="s">
        <v>120</v>
      </c>
      <c r="C3751" s="20">
        <v>68</v>
      </c>
      <c r="D3751" s="20" t="s">
        <v>253</v>
      </c>
      <c r="E3751" s="20" t="s">
        <v>2359</v>
      </c>
      <c r="F3751" s="20" t="s">
        <v>244</v>
      </c>
      <c r="G3751" s="20" t="s">
        <v>82</v>
      </c>
      <c r="H3751" s="20"/>
      <c r="I3751" s="20"/>
      <c r="J3751" s="20" t="s">
        <v>201</v>
      </c>
      <c r="K3751" s="20" t="s">
        <v>255</v>
      </c>
      <c r="L3751" s="20">
        <v>1400000000</v>
      </c>
      <c r="M3751" s="20" t="s">
        <v>245</v>
      </c>
      <c r="N3751" s="20" t="s">
        <v>2240</v>
      </c>
    </row>
    <row r="3752" spans="1:14" hidden="1" x14ac:dyDescent="0.25">
      <c r="A3752" s="19">
        <v>45901</v>
      </c>
      <c r="B3752" s="20" t="s">
        <v>120</v>
      </c>
      <c r="C3752" s="20">
        <v>68</v>
      </c>
      <c r="D3752" s="20" t="s">
        <v>247</v>
      </c>
      <c r="E3752" s="20" t="s">
        <v>2554</v>
      </c>
      <c r="F3752" s="20" t="s">
        <v>2557</v>
      </c>
      <c r="G3752" s="20" t="s">
        <v>82</v>
      </c>
      <c r="H3752" s="20" t="s">
        <v>286</v>
      </c>
      <c r="I3752" s="20"/>
      <c r="J3752" s="20" t="s">
        <v>201</v>
      </c>
      <c r="K3752" s="20" t="s">
        <v>250</v>
      </c>
      <c r="L3752" s="20">
        <v>9.4</v>
      </c>
      <c r="M3752" s="20" t="s">
        <v>251</v>
      </c>
      <c r="N3752" s="20" t="s">
        <v>2694</v>
      </c>
    </row>
    <row r="3753" spans="1:14" hidden="1" x14ac:dyDescent="0.25">
      <c r="A3753" s="19">
        <v>45901</v>
      </c>
      <c r="B3753" s="20" t="s">
        <v>120</v>
      </c>
      <c r="C3753" s="20">
        <v>69</v>
      </c>
      <c r="D3753" s="20" t="s">
        <v>291</v>
      </c>
      <c r="E3753" s="20" t="s">
        <v>2361</v>
      </c>
      <c r="F3753" s="20" t="s">
        <v>2514</v>
      </c>
      <c r="G3753" s="20" t="s">
        <v>82</v>
      </c>
      <c r="H3753" s="20" t="s">
        <v>132</v>
      </c>
      <c r="I3753" s="20"/>
      <c r="J3753" s="20" t="s">
        <v>201</v>
      </c>
      <c r="K3753" s="20" t="s">
        <v>250</v>
      </c>
      <c r="L3753" s="20">
        <v>6000000</v>
      </c>
      <c r="M3753" s="20" t="s">
        <v>245</v>
      </c>
      <c r="N3753" s="20" t="s">
        <v>2695</v>
      </c>
    </row>
    <row r="3754" spans="1:14" hidden="1" x14ac:dyDescent="0.25">
      <c r="A3754" s="19">
        <v>45901</v>
      </c>
      <c r="B3754" s="20" t="s">
        <v>120</v>
      </c>
      <c r="C3754" s="20">
        <v>69</v>
      </c>
      <c r="D3754" s="20" t="s">
        <v>291</v>
      </c>
      <c r="E3754" s="20" t="s">
        <v>2361</v>
      </c>
      <c r="F3754" s="20" t="s">
        <v>2514</v>
      </c>
      <c r="G3754" s="20" t="s">
        <v>82</v>
      </c>
      <c r="H3754" s="20" t="s">
        <v>131</v>
      </c>
      <c r="I3754" s="20"/>
      <c r="J3754" s="20" t="s">
        <v>201</v>
      </c>
      <c r="K3754" s="20" t="s">
        <v>250</v>
      </c>
      <c r="L3754" s="20">
        <v>14000000</v>
      </c>
      <c r="M3754" s="20" t="s">
        <v>245</v>
      </c>
      <c r="N3754" s="20" t="s">
        <v>2516</v>
      </c>
    </row>
    <row r="3755" spans="1:14" hidden="1" x14ac:dyDescent="0.25">
      <c r="A3755" s="19">
        <v>45901</v>
      </c>
      <c r="B3755" s="20" t="s">
        <v>120</v>
      </c>
      <c r="C3755" s="20">
        <v>69</v>
      </c>
      <c r="D3755" s="20" t="s">
        <v>291</v>
      </c>
      <c r="E3755" s="20" t="s">
        <v>2361</v>
      </c>
      <c r="F3755" s="20" t="s">
        <v>2514</v>
      </c>
      <c r="G3755" s="20" t="s">
        <v>82</v>
      </c>
      <c r="H3755" s="20" t="s">
        <v>128</v>
      </c>
      <c r="I3755" s="20"/>
      <c r="J3755" s="20" t="s">
        <v>201</v>
      </c>
      <c r="K3755" s="20" t="s">
        <v>250</v>
      </c>
      <c r="L3755" s="20">
        <v>14000000</v>
      </c>
      <c r="M3755" s="20" t="s">
        <v>245</v>
      </c>
      <c r="N3755" s="20" t="s">
        <v>2516</v>
      </c>
    </row>
    <row r="3756" spans="1:14" hidden="1" x14ac:dyDescent="0.25">
      <c r="A3756" s="19">
        <v>45901</v>
      </c>
      <c r="B3756" s="20" t="s">
        <v>120</v>
      </c>
      <c r="C3756" s="20">
        <v>69</v>
      </c>
      <c r="D3756" s="20" t="s">
        <v>291</v>
      </c>
      <c r="E3756" s="20" t="s">
        <v>2361</v>
      </c>
      <c r="F3756" s="20" t="s">
        <v>2514</v>
      </c>
      <c r="G3756" s="20" t="s">
        <v>82</v>
      </c>
      <c r="H3756" s="20" t="s">
        <v>140</v>
      </c>
      <c r="I3756" s="20"/>
      <c r="J3756" s="20" t="s">
        <v>201</v>
      </c>
      <c r="K3756" s="20" t="s">
        <v>250</v>
      </c>
      <c r="L3756" s="20">
        <v>17000000</v>
      </c>
      <c r="M3756" s="20" t="s">
        <v>245</v>
      </c>
      <c r="N3756" s="20" t="s">
        <v>2696</v>
      </c>
    </row>
    <row r="3757" spans="1:14" hidden="1" x14ac:dyDescent="0.25">
      <c r="A3757" s="19">
        <v>45901</v>
      </c>
      <c r="B3757" s="20" t="s">
        <v>120</v>
      </c>
      <c r="C3757" s="20">
        <v>69</v>
      </c>
      <c r="D3757" s="20" t="s">
        <v>291</v>
      </c>
      <c r="E3757" s="20" t="s">
        <v>2361</v>
      </c>
      <c r="F3757" s="20" t="s">
        <v>2514</v>
      </c>
      <c r="G3757" s="20" t="s">
        <v>82</v>
      </c>
      <c r="H3757" s="20" t="s">
        <v>130</v>
      </c>
      <c r="I3757" s="20"/>
      <c r="J3757" s="20" t="s">
        <v>201</v>
      </c>
      <c r="K3757" s="20" t="s">
        <v>250</v>
      </c>
      <c r="L3757" s="20">
        <v>33000000</v>
      </c>
      <c r="M3757" s="20" t="s">
        <v>245</v>
      </c>
      <c r="N3757" s="20" t="s">
        <v>2697</v>
      </c>
    </row>
    <row r="3758" spans="1:14" hidden="1" x14ac:dyDescent="0.25">
      <c r="A3758" s="19">
        <v>45901</v>
      </c>
      <c r="B3758" s="20" t="s">
        <v>120</v>
      </c>
      <c r="C3758" s="20">
        <v>69</v>
      </c>
      <c r="D3758" s="20" t="s">
        <v>291</v>
      </c>
      <c r="E3758" s="20" t="s">
        <v>2361</v>
      </c>
      <c r="F3758" s="20" t="s">
        <v>2514</v>
      </c>
      <c r="G3758" s="20" t="s">
        <v>82</v>
      </c>
      <c r="H3758" s="20" t="s">
        <v>127</v>
      </c>
      <c r="I3758" s="20"/>
      <c r="J3758" s="20" t="s">
        <v>201</v>
      </c>
      <c r="K3758" s="20" t="s">
        <v>250</v>
      </c>
      <c r="L3758" s="20">
        <v>51000000</v>
      </c>
      <c r="M3758" s="20" t="s">
        <v>245</v>
      </c>
      <c r="N3758" s="20" t="s">
        <v>2520</v>
      </c>
    </row>
    <row r="3759" spans="1:14" hidden="1" x14ac:dyDescent="0.25">
      <c r="A3759" s="19">
        <v>45901</v>
      </c>
      <c r="B3759" s="20" t="s">
        <v>120</v>
      </c>
      <c r="C3759" s="20">
        <v>69</v>
      </c>
      <c r="D3759" s="20" t="s">
        <v>291</v>
      </c>
      <c r="E3759" s="20" t="s">
        <v>2361</v>
      </c>
      <c r="F3759" s="20" t="s">
        <v>2514</v>
      </c>
      <c r="G3759" s="20" t="s">
        <v>82</v>
      </c>
      <c r="H3759" s="20" t="s">
        <v>134</v>
      </c>
      <c r="I3759" s="20"/>
      <c r="J3759" s="20" t="s">
        <v>201</v>
      </c>
      <c r="K3759" s="20" t="s">
        <v>250</v>
      </c>
      <c r="L3759" s="20">
        <v>91000000</v>
      </c>
      <c r="M3759" s="20" t="s">
        <v>245</v>
      </c>
      <c r="N3759" s="20" t="s">
        <v>2698</v>
      </c>
    </row>
    <row r="3760" spans="1:14" hidden="1" x14ac:dyDescent="0.25">
      <c r="A3760" s="19">
        <v>45901</v>
      </c>
      <c r="B3760" s="20" t="s">
        <v>120</v>
      </c>
      <c r="C3760" s="20">
        <v>69</v>
      </c>
      <c r="D3760" s="20" t="s">
        <v>291</v>
      </c>
      <c r="E3760" s="20" t="s">
        <v>2361</v>
      </c>
      <c r="F3760" s="20" t="s">
        <v>2514</v>
      </c>
      <c r="G3760" s="20" t="s">
        <v>82</v>
      </c>
      <c r="H3760" s="20" t="s">
        <v>126</v>
      </c>
      <c r="I3760" s="20"/>
      <c r="J3760" s="20" t="s">
        <v>201</v>
      </c>
      <c r="K3760" s="20" t="s">
        <v>250</v>
      </c>
      <c r="L3760" s="20">
        <v>96000000</v>
      </c>
      <c r="M3760" s="20" t="s">
        <v>245</v>
      </c>
      <c r="N3760" s="20" t="s">
        <v>2699</v>
      </c>
    </row>
    <row r="3761" spans="1:14" hidden="1" x14ac:dyDescent="0.25">
      <c r="A3761" s="19">
        <v>45901</v>
      </c>
      <c r="B3761" s="20" t="s">
        <v>120</v>
      </c>
      <c r="C3761" s="20">
        <v>69</v>
      </c>
      <c r="D3761" s="20" t="s">
        <v>291</v>
      </c>
      <c r="E3761" s="20" t="s">
        <v>2361</v>
      </c>
      <c r="F3761" s="20" t="s">
        <v>2514</v>
      </c>
      <c r="G3761" s="20" t="s">
        <v>82</v>
      </c>
      <c r="H3761" s="20" t="s">
        <v>133</v>
      </c>
      <c r="I3761" s="20"/>
      <c r="J3761" s="20" t="s">
        <v>201</v>
      </c>
      <c r="K3761" s="20" t="s">
        <v>250</v>
      </c>
      <c r="L3761" s="20">
        <v>309000000</v>
      </c>
      <c r="M3761" s="20" t="s">
        <v>245</v>
      </c>
      <c r="N3761" s="20" t="s">
        <v>2700</v>
      </c>
    </row>
    <row r="3762" spans="1:14" hidden="1" x14ac:dyDescent="0.25">
      <c r="A3762" s="19">
        <v>45901</v>
      </c>
      <c r="B3762" s="20" t="s">
        <v>120</v>
      </c>
      <c r="C3762" s="20">
        <v>69</v>
      </c>
      <c r="D3762" s="20" t="s">
        <v>291</v>
      </c>
      <c r="E3762" s="20" t="s">
        <v>2361</v>
      </c>
      <c r="F3762" s="20" t="s">
        <v>2514</v>
      </c>
      <c r="G3762" s="20" t="s">
        <v>82</v>
      </c>
      <c r="H3762" s="20" t="s">
        <v>129</v>
      </c>
      <c r="I3762" s="20"/>
      <c r="J3762" s="20" t="s">
        <v>201</v>
      </c>
      <c r="K3762" s="20" t="s">
        <v>250</v>
      </c>
      <c r="L3762" s="20">
        <v>758000000</v>
      </c>
      <c r="M3762" s="20" t="s">
        <v>245</v>
      </c>
      <c r="N3762" s="20" t="s">
        <v>2701</v>
      </c>
    </row>
    <row r="3763" spans="1:14" hidden="1" x14ac:dyDescent="0.25">
      <c r="A3763" s="19">
        <v>45901</v>
      </c>
      <c r="B3763" s="20" t="s">
        <v>120</v>
      </c>
      <c r="C3763" s="20">
        <v>70</v>
      </c>
      <c r="D3763" s="20" t="s">
        <v>291</v>
      </c>
      <c r="E3763" s="20" t="s">
        <v>2361</v>
      </c>
      <c r="F3763" s="20" t="s">
        <v>2510</v>
      </c>
      <c r="G3763" s="20" t="s">
        <v>82</v>
      </c>
      <c r="H3763" s="20" t="s">
        <v>138</v>
      </c>
      <c r="I3763" s="20"/>
      <c r="J3763" s="20" t="s">
        <v>201</v>
      </c>
      <c r="K3763" s="20" t="s">
        <v>250</v>
      </c>
      <c r="L3763" s="20">
        <v>1090000000</v>
      </c>
      <c r="M3763" s="20" t="s">
        <v>245</v>
      </c>
      <c r="N3763" s="20" t="s">
        <v>2702</v>
      </c>
    </row>
    <row r="3764" spans="1:14" hidden="1" x14ac:dyDescent="0.25">
      <c r="A3764" s="19">
        <v>45901</v>
      </c>
      <c r="B3764" s="20" t="s">
        <v>120</v>
      </c>
      <c r="C3764" s="20">
        <v>70</v>
      </c>
      <c r="D3764" s="20" t="s">
        <v>291</v>
      </c>
      <c r="E3764" s="20" t="s">
        <v>2361</v>
      </c>
      <c r="F3764" s="20" t="s">
        <v>2510</v>
      </c>
      <c r="G3764" s="20" t="s">
        <v>82</v>
      </c>
      <c r="H3764" s="20" t="s">
        <v>137</v>
      </c>
      <c r="I3764" s="20"/>
      <c r="J3764" s="20" t="s">
        <v>201</v>
      </c>
      <c r="K3764" s="20" t="s">
        <v>250</v>
      </c>
      <c r="L3764" s="20">
        <v>311400000</v>
      </c>
      <c r="M3764" s="20" t="s">
        <v>245</v>
      </c>
      <c r="N3764" s="20" t="s">
        <v>2703</v>
      </c>
    </row>
    <row r="3765" spans="1:14" hidden="1" x14ac:dyDescent="0.25">
      <c r="A3765" s="19">
        <v>45901</v>
      </c>
      <c r="B3765" s="20" t="s">
        <v>120</v>
      </c>
      <c r="C3765" s="20">
        <v>71</v>
      </c>
      <c r="D3765" s="20" t="s">
        <v>253</v>
      </c>
      <c r="E3765" s="20" t="s">
        <v>2359</v>
      </c>
      <c r="F3765" s="20" t="s">
        <v>334</v>
      </c>
      <c r="G3765" s="20" t="s">
        <v>82</v>
      </c>
      <c r="H3765" s="20"/>
      <c r="I3765" s="20"/>
      <c r="J3765" s="20" t="s">
        <v>199</v>
      </c>
      <c r="K3765" s="20" t="s">
        <v>255</v>
      </c>
      <c r="L3765" s="20">
        <v>212</v>
      </c>
      <c r="M3765" s="20" t="s">
        <v>245</v>
      </c>
      <c r="N3765" s="20" t="s">
        <v>2246</v>
      </c>
    </row>
    <row r="3766" spans="1:14" hidden="1" x14ac:dyDescent="0.25">
      <c r="A3766" s="19">
        <v>45901</v>
      </c>
      <c r="B3766" s="20" t="s">
        <v>120</v>
      </c>
      <c r="C3766" s="20">
        <v>71</v>
      </c>
      <c r="D3766" s="20" t="s">
        <v>253</v>
      </c>
      <c r="E3766" s="20" t="s">
        <v>2359</v>
      </c>
      <c r="F3766" s="20" t="s">
        <v>334</v>
      </c>
      <c r="G3766" s="20" t="s">
        <v>82</v>
      </c>
      <c r="H3766" s="20"/>
      <c r="I3766" s="20"/>
      <c r="J3766" s="20" t="s">
        <v>200</v>
      </c>
      <c r="K3766" s="20" t="s">
        <v>255</v>
      </c>
      <c r="L3766" s="20">
        <v>192</v>
      </c>
      <c r="M3766" s="20" t="s">
        <v>245</v>
      </c>
      <c r="N3766" s="20" t="s">
        <v>2526</v>
      </c>
    </row>
    <row r="3767" spans="1:14" hidden="1" x14ac:dyDescent="0.25">
      <c r="A3767" s="19">
        <v>45901</v>
      </c>
      <c r="B3767" s="20" t="s">
        <v>120</v>
      </c>
      <c r="C3767" s="20">
        <v>71</v>
      </c>
      <c r="D3767" s="20" t="s">
        <v>253</v>
      </c>
      <c r="E3767" s="20" t="s">
        <v>2359</v>
      </c>
      <c r="F3767" s="20" t="s">
        <v>334</v>
      </c>
      <c r="G3767" s="20" t="s">
        <v>82</v>
      </c>
      <c r="H3767" s="20"/>
      <c r="I3767" s="20"/>
      <c r="J3767" s="20" t="s">
        <v>201</v>
      </c>
      <c r="K3767" s="20" t="s">
        <v>255</v>
      </c>
      <c r="L3767" s="20">
        <v>217</v>
      </c>
      <c r="M3767" s="20" t="s">
        <v>245</v>
      </c>
      <c r="N3767" s="20" t="s">
        <v>2704</v>
      </c>
    </row>
    <row r="3768" spans="1:14" hidden="1" x14ac:dyDescent="0.25">
      <c r="A3768" s="19">
        <v>45901</v>
      </c>
      <c r="B3768" s="20" t="s">
        <v>142</v>
      </c>
      <c r="C3768" s="20">
        <v>73</v>
      </c>
      <c r="D3768" s="20" t="s">
        <v>238</v>
      </c>
      <c r="E3768" s="20" t="s">
        <v>2341</v>
      </c>
      <c r="F3768" s="20" t="s">
        <v>240</v>
      </c>
      <c r="G3768" s="20" t="s">
        <v>82</v>
      </c>
      <c r="H3768" s="20"/>
      <c r="I3768" s="20"/>
      <c r="J3768" s="20" t="s">
        <v>2580</v>
      </c>
      <c r="K3768" s="20" t="s">
        <v>241</v>
      </c>
      <c r="L3768" s="20">
        <v>8900000</v>
      </c>
      <c r="M3768" s="20" t="s">
        <v>242</v>
      </c>
      <c r="N3768" s="20" t="s">
        <v>2705</v>
      </c>
    </row>
    <row r="3769" spans="1:14" hidden="1" x14ac:dyDescent="0.25">
      <c r="A3769" s="19">
        <v>45901</v>
      </c>
      <c r="B3769" s="20" t="s">
        <v>142</v>
      </c>
      <c r="C3769" s="20">
        <v>73</v>
      </c>
      <c r="D3769" s="20" t="s">
        <v>238</v>
      </c>
      <c r="E3769" s="20" t="s">
        <v>2341</v>
      </c>
      <c r="F3769" s="20" t="s">
        <v>244</v>
      </c>
      <c r="G3769" s="20" t="s">
        <v>82</v>
      </c>
      <c r="H3769" s="20"/>
      <c r="I3769" s="20"/>
      <c r="J3769" s="20" t="s">
        <v>2580</v>
      </c>
      <c r="K3769" s="20" t="s">
        <v>241</v>
      </c>
      <c r="L3769" s="20">
        <v>7380000000</v>
      </c>
      <c r="M3769" s="20" t="s">
        <v>245</v>
      </c>
      <c r="N3769" s="20" t="s">
        <v>2706</v>
      </c>
    </row>
    <row r="3770" spans="1:14" hidden="1" x14ac:dyDescent="0.25">
      <c r="A3770" s="19">
        <v>45901</v>
      </c>
      <c r="B3770" s="20" t="s">
        <v>142</v>
      </c>
      <c r="C3770" s="20">
        <v>74</v>
      </c>
      <c r="D3770" s="20" t="s">
        <v>253</v>
      </c>
      <c r="E3770" s="20" t="s">
        <v>2359</v>
      </c>
      <c r="F3770" s="20" t="s">
        <v>544</v>
      </c>
      <c r="G3770" s="20" t="s">
        <v>82</v>
      </c>
      <c r="H3770" s="20"/>
      <c r="I3770" s="20"/>
      <c r="J3770" s="20" t="s">
        <v>199</v>
      </c>
      <c r="K3770" s="20" t="s">
        <v>255</v>
      </c>
      <c r="L3770" s="20">
        <v>1050000</v>
      </c>
      <c r="M3770" s="20" t="s">
        <v>242</v>
      </c>
      <c r="N3770" s="20" t="s">
        <v>2551</v>
      </c>
    </row>
    <row r="3771" spans="1:14" hidden="1" x14ac:dyDescent="0.25">
      <c r="A3771" s="19">
        <v>45901</v>
      </c>
      <c r="B3771" s="20" t="s">
        <v>142</v>
      </c>
      <c r="C3771" s="20">
        <v>74</v>
      </c>
      <c r="D3771" s="20" t="s">
        <v>253</v>
      </c>
      <c r="E3771" s="20" t="s">
        <v>2359</v>
      </c>
      <c r="F3771" s="20" t="s">
        <v>544</v>
      </c>
      <c r="G3771" s="20" t="s">
        <v>82</v>
      </c>
      <c r="H3771" s="20"/>
      <c r="I3771" s="20"/>
      <c r="J3771" s="20" t="s">
        <v>200</v>
      </c>
      <c r="K3771" s="20" t="s">
        <v>255</v>
      </c>
      <c r="L3771" s="20">
        <v>1010000</v>
      </c>
      <c r="M3771" s="20" t="s">
        <v>242</v>
      </c>
      <c r="N3771" s="20" t="s">
        <v>2529</v>
      </c>
    </row>
    <row r="3772" spans="1:14" hidden="1" x14ac:dyDescent="0.25">
      <c r="A3772" s="19">
        <v>45901</v>
      </c>
      <c r="B3772" s="20" t="s">
        <v>142</v>
      </c>
      <c r="C3772" s="20">
        <v>74</v>
      </c>
      <c r="D3772" s="20" t="s">
        <v>253</v>
      </c>
      <c r="E3772" s="20" t="s">
        <v>2359</v>
      </c>
      <c r="F3772" s="20" t="s">
        <v>544</v>
      </c>
      <c r="G3772" s="20" t="s">
        <v>82</v>
      </c>
      <c r="H3772" s="20"/>
      <c r="I3772" s="20"/>
      <c r="J3772" s="20" t="s">
        <v>201</v>
      </c>
      <c r="K3772" s="20" t="s">
        <v>255</v>
      </c>
      <c r="L3772" s="20">
        <v>1010000</v>
      </c>
      <c r="M3772" s="20" t="s">
        <v>242</v>
      </c>
      <c r="N3772" s="20" t="s">
        <v>2529</v>
      </c>
    </row>
    <row r="3773" spans="1:14" hidden="1" x14ac:dyDescent="0.25">
      <c r="A3773" s="19">
        <v>45901</v>
      </c>
      <c r="B3773" s="20" t="s">
        <v>142</v>
      </c>
      <c r="C3773" s="20">
        <v>74</v>
      </c>
      <c r="D3773" s="20" t="s">
        <v>247</v>
      </c>
      <c r="E3773" s="20" t="s">
        <v>2554</v>
      </c>
      <c r="F3773" s="20" t="s">
        <v>2559</v>
      </c>
      <c r="G3773" s="20" t="s">
        <v>82</v>
      </c>
      <c r="H3773" s="20" t="s">
        <v>249</v>
      </c>
      <c r="I3773" s="20"/>
      <c r="J3773" s="20" t="s">
        <v>201</v>
      </c>
      <c r="K3773" s="20" t="s">
        <v>250</v>
      </c>
      <c r="L3773" s="20">
        <v>0.02</v>
      </c>
      <c r="M3773" s="20" t="s">
        <v>251</v>
      </c>
      <c r="N3773" s="20" t="s">
        <v>731</v>
      </c>
    </row>
    <row r="3774" spans="1:14" hidden="1" x14ac:dyDescent="0.25">
      <c r="A3774" s="19">
        <v>45901</v>
      </c>
      <c r="B3774" s="20" t="s">
        <v>142</v>
      </c>
      <c r="C3774" s="20">
        <v>75</v>
      </c>
      <c r="D3774" s="20" t="s">
        <v>253</v>
      </c>
      <c r="E3774" s="20" t="s">
        <v>2359</v>
      </c>
      <c r="F3774" s="20" t="s">
        <v>2531</v>
      </c>
      <c r="G3774" s="20" t="s">
        <v>82</v>
      </c>
      <c r="H3774" s="20" t="s">
        <v>149</v>
      </c>
      <c r="I3774" s="20"/>
      <c r="J3774" s="20" t="s">
        <v>199</v>
      </c>
      <c r="K3774" s="20" t="s">
        <v>255</v>
      </c>
      <c r="L3774" s="20">
        <v>6215</v>
      </c>
      <c r="M3774" s="20" t="s">
        <v>242</v>
      </c>
      <c r="N3774" s="20" t="s">
        <v>2707</v>
      </c>
    </row>
    <row r="3775" spans="1:14" hidden="1" x14ac:dyDescent="0.25">
      <c r="A3775" s="19">
        <v>45901</v>
      </c>
      <c r="B3775" s="20" t="s">
        <v>142</v>
      </c>
      <c r="C3775" s="20">
        <v>75</v>
      </c>
      <c r="D3775" s="20" t="s">
        <v>253</v>
      </c>
      <c r="E3775" s="20" t="s">
        <v>2359</v>
      </c>
      <c r="F3775" s="20" t="s">
        <v>2531</v>
      </c>
      <c r="G3775" s="20" t="s">
        <v>82</v>
      </c>
      <c r="H3775" s="20" t="s">
        <v>149</v>
      </c>
      <c r="I3775" s="20"/>
      <c r="J3775" s="20" t="s">
        <v>200</v>
      </c>
      <c r="K3775" s="20" t="s">
        <v>255</v>
      </c>
      <c r="L3775" s="20">
        <v>5974</v>
      </c>
      <c r="M3775" s="20" t="s">
        <v>242</v>
      </c>
      <c r="N3775" s="20" t="s">
        <v>2532</v>
      </c>
    </row>
    <row r="3776" spans="1:14" hidden="1" x14ac:dyDescent="0.25">
      <c r="A3776" s="19">
        <v>45901</v>
      </c>
      <c r="B3776" s="20" t="s">
        <v>142</v>
      </c>
      <c r="C3776" s="20">
        <v>75</v>
      </c>
      <c r="D3776" s="20" t="s">
        <v>253</v>
      </c>
      <c r="E3776" s="20" t="s">
        <v>2359</v>
      </c>
      <c r="F3776" s="20" t="s">
        <v>2531</v>
      </c>
      <c r="G3776" s="20" t="s">
        <v>82</v>
      </c>
      <c r="H3776" s="20" t="s">
        <v>149</v>
      </c>
      <c r="I3776" s="20"/>
      <c r="J3776" s="20" t="s">
        <v>201</v>
      </c>
      <c r="K3776" s="20" t="s">
        <v>255</v>
      </c>
      <c r="L3776" s="20">
        <v>5367</v>
      </c>
      <c r="M3776" s="20" t="s">
        <v>242</v>
      </c>
      <c r="N3776" s="20" t="s">
        <v>2708</v>
      </c>
    </row>
    <row r="3777" spans="1:14" hidden="1" x14ac:dyDescent="0.25">
      <c r="A3777" s="19">
        <v>45901</v>
      </c>
      <c r="B3777" s="20" t="s">
        <v>142</v>
      </c>
      <c r="C3777" s="20">
        <v>75</v>
      </c>
      <c r="D3777" s="20" t="s">
        <v>253</v>
      </c>
      <c r="E3777" s="20" t="s">
        <v>2359</v>
      </c>
      <c r="F3777" s="20" t="s">
        <v>2531</v>
      </c>
      <c r="G3777" s="20" t="s">
        <v>82</v>
      </c>
      <c r="H3777" s="20" t="s">
        <v>150</v>
      </c>
      <c r="I3777" s="20"/>
      <c r="J3777" s="20" t="s">
        <v>199</v>
      </c>
      <c r="K3777" s="20" t="s">
        <v>255</v>
      </c>
      <c r="L3777" s="20">
        <v>356</v>
      </c>
      <c r="M3777" s="20" t="s">
        <v>242</v>
      </c>
      <c r="N3777" s="20" t="s">
        <v>2182</v>
      </c>
    </row>
    <row r="3778" spans="1:14" hidden="1" x14ac:dyDescent="0.25">
      <c r="A3778" s="19">
        <v>45901</v>
      </c>
      <c r="B3778" s="20" t="s">
        <v>142</v>
      </c>
      <c r="C3778" s="20">
        <v>75</v>
      </c>
      <c r="D3778" s="20" t="s">
        <v>253</v>
      </c>
      <c r="E3778" s="20" t="s">
        <v>2359</v>
      </c>
      <c r="F3778" s="20" t="s">
        <v>2531</v>
      </c>
      <c r="G3778" s="20" t="s">
        <v>82</v>
      </c>
      <c r="H3778" s="20" t="s">
        <v>150</v>
      </c>
      <c r="I3778" s="20"/>
      <c r="J3778" s="20" t="s">
        <v>200</v>
      </c>
      <c r="K3778" s="20" t="s">
        <v>255</v>
      </c>
      <c r="L3778" s="20">
        <v>305</v>
      </c>
      <c r="M3778" s="20" t="s">
        <v>242</v>
      </c>
      <c r="N3778" s="20" t="s">
        <v>1838</v>
      </c>
    </row>
    <row r="3779" spans="1:14" hidden="1" x14ac:dyDescent="0.25">
      <c r="A3779" s="19">
        <v>45901</v>
      </c>
      <c r="B3779" s="20" t="s">
        <v>142</v>
      </c>
      <c r="C3779" s="20">
        <v>75</v>
      </c>
      <c r="D3779" s="20" t="s">
        <v>253</v>
      </c>
      <c r="E3779" s="20" t="s">
        <v>2359</v>
      </c>
      <c r="F3779" s="20" t="s">
        <v>2531</v>
      </c>
      <c r="G3779" s="20" t="s">
        <v>82</v>
      </c>
      <c r="H3779" s="20" t="s">
        <v>150</v>
      </c>
      <c r="I3779" s="20"/>
      <c r="J3779" s="20" t="s">
        <v>201</v>
      </c>
      <c r="K3779" s="20" t="s">
        <v>255</v>
      </c>
      <c r="L3779" s="20">
        <v>328</v>
      </c>
      <c r="M3779" s="20" t="s">
        <v>242</v>
      </c>
      <c r="N3779" s="20" t="s">
        <v>2709</v>
      </c>
    </row>
    <row r="3780" spans="1:14" hidden="1" x14ac:dyDescent="0.25">
      <c r="A3780" s="19">
        <v>45901</v>
      </c>
      <c r="B3780" s="20" t="s">
        <v>142</v>
      </c>
      <c r="C3780" s="20">
        <v>75</v>
      </c>
      <c r="D3780" s="20" t="s">
        <v>253</v>
      </c>
      <c r="E3780" s="20" t="s">
        <v>2359</v>
      </c>
      <c r="F3780" s="20" t="s">
        <v>2531</v>
      </c>
      <c r="G3780" s="20" t="s">
        <v>82</v>
      </c>
      <c r="H3780" s="20" t="s">
        <v>151</v>
      </c>
      <c r="I3780" s="20"/>
      <c r="J3780" s="20" t="s">
        <v>199</v>
      </c>
      <c r="K3780" s="20" t="s">
        <v>255</v>
      </c>
      <c r="L3780" s="20">
        <v>45</v>
      </c>
      <c r="M3780" s="20" t="s">
        <v>242</v>
      </c>
      <c r="N3780" s="20" t="s">
        <v>2183</v>
      </c>
    </row>
    <row r="3781" spans="1:14" hidden="1" x14ac:dyDescent="0.25">
      <c r="A3781" s="19">
        <v>45901</v>
      </c>
      <c r="B3781" s="20" t="s">
        <v>142</v>
      </c>
      <c r="C3781" s="20">
        <v>75</v>
      </c>
      <c r="D3781" s="20" t="s">
        <v>253</v>
      </c>
      <c r="E3781" s="20" t="s">
        <v>2359</v>
      </c>
      <c r="F3781" s="20" t="s">
        <v>2531</v>
      </c>
      <c r="G3781" s="20" t="s">
        <v>82</v>
      </c>
      <c r="H3781" s="20" t="s">
        <v>151</v>
      </c>
      <c r="I3781" s="20"/>
      <c r="J3781" s="20" t="s">
        <v>200</v>
      </c>
      <c r="K3781" s="20" t="s">
        <v>255</v>
      </c>
      <c r="L3781" s="20">
        <v>35</v>
      </c>
      <c r="M3781" s="20" t="s">
        <v>242</v>
      </c>
      <c r="N3781" s="20" t="s">
        <v>1122</v>
      </c>
    </row>
    <row r="3782" spans="1:14" hidden="1" x14ac:dyDescent="0.25">
      <c r="A3782" s="19">
        <v>45901</v>
      </c>
      <c r="B3782" s="20" t="s">
        <v>142</v>
      </c>
      <c r="C3782" s="20">
        <v>75</v>
      </c>
      <c r="D3782" s="20" t="s">
        <v>253</v>
      </c>
      <c r="E3782" s="20" t="s">
        <v>2359</v>
      </c>
      <c r="F3782" s="20" t="s">
        <v>2531</v>
      </c>
      <c r="G3782" s="20" t="s">
        <v>82</v>
      </c>
      <c r="H3782" s="20" t="s">
        <v>151</v>
      </c>
      <c r="I3782" s="20"/>
      <c r="J3782" s="20" t="s">
        <v>201</v>
      </c>
      <c r="K3782" s="20" t="s">
        <v>255</v>
      </c>
      <c r="L3782" s="20">
        <v>53</v>
      </c>
      <c r="M3782" s="20" t="s">
        <v>242</v>
      </c>
      <c r="N3782" s="20" t="s">
        <v>2710</v>
      </c>
    </row>
    <row r="3783" spans="1:14" hidden="1" x14ac:dyDescent="0.25">
      <c r="A3783" s="19">
        <v>45901</v>
      </c>
      <c r="B3783" s="20" t="s">
        <v>142</v>
      </c>
      <c r="C3783" s="20">
        <v>76</v>
      </c>
      <c r="D3783" s="20" t="s">
        <v>253</v>
      </c>
      <c r="E3783" s="20" t="s">
        <v>2359</v>
      </c>
      <c r="F3783" s="20" t="s">
        <v>929</v>
      </c>
      <c r="G3783" s="20" t="s">
        <v>82</v>
      </c>
      <c r="H3783" s="20"/>
      <c r="I3783" s="20"/>
      <c r="J3783" s="20" t="s">
        <v>199</v>
      </c>
      <c r="K3783" s="20" t="s">
        <v>255</v>
      </c>
      <c r="L3783" s="20">
        <v>903000000</v>
      </c>
      <c r="M3783" s="20" t="s">
        <v>245</v>
      </c>
      <c r="N3783" s="20" t="s">
        <v>2185</v>
      </c>
    </row>
    <row r="3784" spans="1:14" hidden="1" x14ac:dyDescent="0.25">
      <c r="A3784" s="19">
        <v>45901</v>
      </c>
      <c r="B3784" s="20" t="s">
        <v>142</v>
      </c>
      <c r="C3784" s="20">
        <v>76</v>
      </c>
      <c r="D3784" s="20" t="s">
        <v>253</v>
      </c>
      <c r="E3784" s="20" t="s">
        <v>2359</v>
      </c>
      <c r="F3784" s="20" t="s">
        <v>929</v>
      </c>
      <c r="G3784" s="20" t="s">
        <v>82</v>
      </c>
      <c r="H3784" s="20"/>
      <c r="I3784" s="20"/>
      <c r="J3784" s="20" t="s">
        <v>200</v>
      </c>
      <c r="K3784" s="20" t="s">
        <v>255</v>
      </c>
      <c r="L3784" s="20">
        <v>849000000</v>
      </c>
      <c r="M3784" s="20" t="s">
        <v>245</v>
      </c>
      <c r="N3784" s="20" t="s">
        <v>2530</v>
      </c>
    </row>
    <row r="3785" spans="1:14" hidden="1" x14ac:dyDescent="0.25">
      <c r="A3785" s="19">
        <v>45901</v>
      </c>
      <c r="B3785" s="20" t="s">
        <v>142</v>
      </c>
      <c r="C3785" s="20">
        <v>76</v>
      </c>
      <c r="D3785" s="20" t="s">
        <v>253</v>
      </c>
      <c r="E3785" s="20" t="s">
        <v>2359</v>
      </c>
      <c r="F3785" s="20" t="s">
        <v>929</v>
      </c>
      <c r="G3785" s="20" t="s">
        <v>82</v>
      </c>
      <c r="H3785" s="20"/>
      <c r="I3785" s="20"/>
      <c r="J3785" s="20" t="s">
        <v>201</v>
      </c>
      <c r="K3785" s="20" t="s">
        <v>255</v>
      </c>
      <c r="L3785" s="20">
        <v>858000000</v>
      </c>
      <c r="M3785" s="20" t="s">
        <v>245</v>
      </c>
      <c r="N3785" s="20" t="s">
        <v>2711</v>
      </c>
    </row>
    <row r="3786" spans="1:14" hidden="1" x14ac:dyDescent="0.25">
      <c r="A3786" s="19">
        <v>45901</v>
      </c>
      <c r="B3786" s="20" t="s">
        <v>142</v>
      </c>
      <c r="C3786" s="20">
        <v>76</v>
      </c>
      <c r="D3786" s="20" t="s">
        <v>247</v>
      </c>
      <c r="E3786" s="20" t="s">
        <v>2554</v>
      </c>
      <c r="F3786" s="20" t="s">
        <v>2557</v>
      </c>
      <c r="G3786" s="20" t="s">
        <v>82</v>
      </c>
      <c r="H3786" s="20" t="s">
        <v>286</v>
      </c>
      <c r="I3786" s="20"/>
      <c r="J3786" s="20" t="s">
        <v>201</v>
      </c>
      <c r="K3786" s="20" t="s">
        <v>250</v>
      </c>
      <c r="L3786" s="20">
        <v>1.1000000000000001</v>
      </c>
      <c r="M3786" s="20" t="s">
        <v>251</v>
      </c>
      <c r="N3786" s="20" t="s">
        <v>1235</v>
      </c>
    </row>
    <row r="3787" spans="1:14" hidden="1" x14ac:dyDescent="0.25">
      <c r="A3787" s="19">
        <v>45901</v>
      </c>
      <c r="B3787" s="20" t="s">
        <v>142</v>
      </c>
      <c r="C3787" s="20">
        <v>77</v>
      </c>
      <c r="D3787" s="20" t="s">
        <v>253</v>
      </c>
      <c r="E3787" s="20" t="s">
        <v>2359</v>
      </c>
      <c r="F3787" s="20" t="s">
        <v>2533</v>
      </c>
      <c r="G3787" s="20" t="s">
        <v>82</v>
      </c>
      <c r="H3787" s="20" t="s">
        <v>149</v>
      </c>
      <c r="I3787" s="20"/>
      <c r="J3787" s="20" t="s">
        <v>199</v>
      </c>
      <c r="K3787" s="20" t="s">
        <v>255</v>
      </c>
      <c r="L3787" s="20">
        <v>40300000</v>
      </c>
      <c r="M3787" s="20" t="s">
        <v>149</v>
      </c>
      <c r="N3787" s="20" t="s">
        <v>2564</v>
      </c>
    </row>
    <row r="3788" spans="1:14" hidden="1" x14ac:dyDescent="0.25">
      <c r="A3788" s="19">
        <v>45901</v>
      </c>
      <c r="B3788" s="20" t="s">
        <v>142</v>
      </c>
      <c r="C3788" s="20">
        <v>77</v>
      </c>
      <c r="D3788" s="20" t="s">
        <v>253</v>
      </c>
      <c r="E3788" s="20" t="s">
        <v>2359</v>
      </c>
      <c r="F3788" s="20" t="s">
        <v>2533</v>
      </c>
      <c r="G3788" s="20" t="s">
        <v>82</v>
      </c>
      <c r="H3788" s="20" t="s">
        <v>149</v>
      </c>
      <c r="I3788" s="20"/>
      <c r="J3788" s="20" t="s">
        <v>200</v>
      </c>
      <c r="K3788" s="20" t="s">
        <v>255</v>
      </c>
      <c r="L3788" s="20">
        <v>42400000</v>
      </c>
      <c r="M3788" s="20" t="s">
        <v>149</v>
      </c>
      <c r="N3788" s="20" t="s">
        <v>2534</v>
      </c>
    </row>
    <row r="3789" spans="1:14" hidden="1" x14ac:dyDescent="0.25">
      <c r="A3789" s="19">
        <v>45901</v>
      </c>
      <c r="B3789" s="20" t="s">
        <v>142</v>
      </c>
      <c r="C3789" s="20">
        <v>77</v>
      </c>
      <c r="D3789" s="20" t="s">
        <v>253</v>
      </c>
      <c r="E3789" s="20" t="s">
        <v>2359</v>
      </c>
      <c r="F3789" s="20" t="s">
        <v>2533</v>
      </c>
      <c r="G3789" s="20" t="s">
        <v>82</v>
      </c>
      <c r="H3789" s="20" t="s">
        <v>149</v>
      </c>
      <c r="I3789" s="20"/>
      <c r="J3789" s="20" t="s">
        <v>201</v>
      </c>
      <c r="K3789" s="20" t="s">
        <v>255</v>
      </c>
      <c r="L3789" s="20">
        <v>39800000</v>
      </c>
      <c r="M3789" s="20" t="s">
        <v>149</v>
      </c>
      <c r="N3789" s="20" t="s">
        <v>2712</v>
      </c>
    </row>
    <row r="3790" spans="1:14" hidden="1" x14ac:dyDescent="0.25">
      <c r="A3790" s="19">
        <v>45901</v>
      </c>
      <c r="B3790" s="20" t="s">
        <v>142</v>
      </c>
      <c r="C3790" s="20">
        <v>77</v>
      </c>
      <c r="D3790" s="20" t="s">
        <v>253</v>
      </c>
      <c r="E3790" s="20" t="s">
        <v>2359</v>
      </c>
      <c r="F3790" s="20" t="s">
        <v>2533</v>
      </c>
      <c r="G3790" s="20" t="s">
        <v>82</v>
      </c>
      <c r="H3790" s="20" t="s">
        <v>150</v>
      </c>
      <c r="I3790" s="20"/>
      <c r="J3790" s="20" t="s">
        <v>199</v>
      </c>
      <c r="K3790" s="20" t="s">
        <v>255</v>
      </c>
      <c r="L3790" s="20">
        <v>3350000</v>
      </c>
      <c r="M3790" s="20" t="s">
        <v>150</v>
      </c>
      <c r="N3790" s="20" t="s">
        <v>2565</v>
      </c>
    </row>
    <row r="3791" spans="1:14" hidden="1" x14ac:dyDescent="0.25">
      <c r="A3791" s="19">
        <v>45901</v>
      </c>
      <c r="B3791" s="20" t="s">
        <v>142</v>
      </c>
      <c r="C3791" s="20">
        <v>77</v>
      </c>
      <c r="D3791" s="20" t="s">
        <v>253</v>
      </c>
      <c r="E3791" s="20" t="s">
        <v>2359</v>
      </c>
      <c r="F3791" s="20" t="s">
        <v>2533</v>
      </c>
      <c r="G3791" s="20" t="s">
        <v>82</v>
      </c>
      <c r="H3791" s="20" t="s">
        <v>150</v>
      </c>
      <c r="I3791" s="20"/>
      <c r="J3791" s="20" t="s">
        <v>200</v>
      </c>
      <c r="K3791" s="20" t="s">
        <v>255</v>
      </c>
      <c r="L3791" s="20">
        <v>2860000</v>
      </c>
      <c r="M3791" s="20" t="s">
        <v>150</v>
      </c>
      <c r="N3791" s="20" t="s">
        <v>2535</v>
      </c>
    </row>
    <row r="3792" spans="1:14" hidden="1" x14ac:dyDescent="0.25">
      <c r="A3792" s="19">
        <v>45901</v>
      </c>
      <c r="B3792" s="20" t="s">
        <v>142</v>
      </c>
      <c r="C3792" s="20">
        <v>77</v>
      </c>
      <c r="D3792" s="20" t="s">
        <v>253</v>
      </c>
      <c r="E3792" s="20" t="s">
        <v>2359</v>
      </c>
      <c r="F3792" s="20" t="s">
        <v>2533</v>
      </c>
      <c r="G3792" s="20" t="s">
        <v>82</v>
      </c>
      <c r="H3792" s="20" t="s">
        <v>150</v>
      </c>
      <c r="I3792" s="20"/>
      <c r="J3792" s="20" t="s">
        <v>201</v>
      </c>
      <c r="K3792" s="20" t="s">
        <v>255</v>
      </c>
      <c r="L3792" s="20">
        <v>3120000</v>
      </c>
      <c r="M3792" s="20" t="s">
        <v>150</v>
      </c>
      <c r="N3792" s="20" t="s">
        <v>2713</v>
      </c>
    </row>
    <row r="3793" spans="1:14" hidden="1" x14ac:dyDescent="0.25">
      <c r="A3793" s="19">
        <v>45901</v>
      </c>
      <c r="B3793" s="20" t="s">
        <v>142</v>
      </c>
      <c r="C3793" s="20">
        <v>77</v>
      </c>
      <c r="D3793" s="20" t="s">
        <v>253</v>
      </c>
      <c r="E3793" s="20" t="s">
        <v>2359</v>
      </c>
      <c r="F3793" s="20" t="s">
        <v>2533</v>
      </c>
      <c r="G3793" s="20" t="s">
        <v>82</v>
      </c>
      <c r="H3793" s="20" t="s">
        <v>151</v>
      </c>
      <c r="I3793" s="20"/>
      <c r="J3793" s="20" t="s">
        <v>199</v>
      </c>
      <c r="K3793" s="20" t="s">
        <v>255</v>
      </c>
      <c r="L3793" s="20">
        <v>430000</v>
      </c>
      <c r="M3793" s="20" t="s">
        <v>151</v>
      </c>
      <c r="N3793" s="20" t="s">
        <v>2567</v>
      </c>
    </row>
    <row r="3794" spans="1:14" hidden="1" x14ac:dyDescent="0.25">
      <c r="A3794" s="19">
        <v>45901</v>
      </c>
      <c r="B3794" s="20" t="s">
        <v>142</v>
      </c>
      <c r="C3794" s="20">
        <v>77</v>
      </c>
      <c r="D3794" s="20" t="s">
        <v>253</v>
      </c>
      <c r="E3794" s="20" t="s">
        <v>2359</v>
      </c>
      <c r="F3794" s="20" t="s">
        <v>2533</v>
      </c>
      <c r="G3794" s="20" t="s">
        <v>82</v>
      </c>
      <c r="H3794" s="20" t="s">
        <v>151</v>
      </c>
      <c r="I3794" s="20"/>
      <c r="J3794" s="20" t="s">
        <v>200</v>
      </c>
      <c r="K3794" s="20" t="s">
        <v>255</v>
      </c>
      <c r="L3794" s="20">
        <v>280000</v>
      </c>
      <c r="M3794" s="20" t="s">
        <v>151</v>
      </c>
      <c r="N3794" s="20" t="s">
        <v>2536</v>
      </c>
    </row>
    <row r="3795" spans="1:14" hidden="1" x14ac:dyDescent="0.25">
      <c r="A3795" s="19">
        <v>45901</v>
      </c>
      <c r="B3795" s="20" t="s">
        <v>142</v>
      </c>
      <c r="C3795" s="20">
        <v>77</v>
      </c>
      <c r="D3795" s="20" t="s">
        <v>253</v>
      </c>
      <c r="E3795" s="20" t="s">
        <v>2359</v>
      </c>
      <c r="F3795" s="20" t="s">
        <v>2533</v>
      </c>
      <c r="G3795" s="20" t="s">
        <v>82</v>
      </c>
      <c r="H3795" s="20" t="s">
        <v>151</v>
      </c>
      <c r="I3795" s="20"/>
      <c r="J3795" s="20" t="s">
        <v>201</v>
      </c>
      <c r="K3795" s="20" t="s">
        <v>255</v>
      </c>
      <c r="L3795" s="20">
        <v>360000</v>
      </c>
      <c r="M3795" s="20" t="s">
        <v>151</v>
      </c>
      <c r="N3795" s="20" t="s">
        <v>2566</v>
      </c>
    </row>
    <row r="3796" spans="1:14" hidden="1" x14ac:dyDescent="0.25">
      <c r="A3796" s="19">
        <v>45901</v>
      </c>
      <c r="B3796" s="20" t="s">
        <v>156</v>
      </c>
      <c r="C3796" s="20">
        <v>79</v>
      </c>
      <c r="D3796" s="20" t="s">
        <v>238</v>
      </c>
      <c r="E3796" s="20" t="s">
        <v>2341</v>
      </c>
      <c r="F3796" s="20" t="s">
        <v>240</v>
      </c>
      <c r="G3796" s="20" t="s">
        <v>158</v>
      </c>
      <c r="H3796" s="20"/>
      <c r="I3796" s="20"/>
      <c r="J3796" s="20" t="s">
        <v>2580</v>
      </c>
      <c r="K3796" s="20" t="s">
        <v>241</v>
      </c>
      <c r="L3796" s="20">
        <v>4640000</v>
      </c>
      <c r="M3796" s="20" t="s">
        <v>242</v>
      </c>
      <c r="N3796" s="20" t="s">
        <v>2266</v>
      </c>
    </row>
    <row r="3797" spans="1:14" hidden="1" x14ac:dyDescent="0.25">
      <c r="A3797" s="19">
        <v>45901</v>
      </c>
      <c r="B3797" s="20" t="s">
        <v>156</v>
      </c>
      <c r="C3797" s="20">
        <v>79</v>
      </c>
      <c r="D3797" s="20" t="s">
        <v>238</v>
      </c>
      <c r="E3797" s="20" t="s">
        <v>2341</v>
      </c>
      <c r="F3797" s="20" t="s">
        <v>244</v>
      </c>
      <c r="G3797" s="20" t="s">
        <v>158</v>
      </c>
      <c r="H3797" s="20"/>
      <c r="I3797" s="20"/>
      <c r="J3797" s="20" t="s">
        <v>2580</v>
      </c>
      <c r="K3797" s="20" t="s">
        <v>241</v>
      </c>
      <c r="L3797" s="20">
        <v>30140000000</v>
      </c>
      <c r="M3797" s="20" t="s">
        <v>245</v>
      </c>
      <c r="N3797" s="20" t="s">
        <v>2714</v>
      </c>
    </row>
    <row r="3798" spans="1:14" hidden="1" x14ac:dyDescent="0.25">
      <c r="A3798" s="19">
        <v>45901</v>
      </c>
      <c r="B3798" s="20" t="s">
        <v>156</v>
      </c>
      <c r="C3798" s="20">
        <v>80</v>
      </c>
      <c r="D3798" s="20" t="s">
        <v>253</v>
      </c>
      <c r="E3798" s="20" t="s">
        <v>2359</v>
      </c>
      <c r="F3798" s="20" t="s">
        <v>344</v>
      </c>
      <c r="G3798" s="20" t="s">
        <v>158</v>
      </c>
      <c r="H3798" s="20"/>
      <c r="I3798" s="20"/>
      <c r="J3798" s="20" t="s">
        <v>199</v>
      </c>
      <c r="K3798" s="20" t="s">
        <v>255</v>
      </c>
      <c r="L3798" s="20">
        <v>551000</v>
      </c>
      <c r="M3798" s="20" t="s">
        <v>242</v>
      </c>
      <c r="N3798" s="20" t="s">
        <v>2217</v>
      </c>
    </row>
    <row r="3799" spans="1:14" hidden="1" x14ac:dyDescent="0.25">
      <c r="A3799" s="19">
        <v>45901</v>
      </c>
      <c r="B3799" s="20" t="s">
        <v>156</v>
      </c>
      <c r="C3799" s="20">
        <v>80</v>
      </c>
      <c r="D3799" s="20" t="s">
        <v>253</v>
      </c>
      <c r="E3799" s="20" t="s">
        <v>2359</v>
      </c>
      <c r="F3799" s="20" t="s">
        <v>344</v>
      </c>
      <c r="G3799" s="20" t="s">
        <v>158</v>
      </c>
      <c r="H3799" s="20"/>
      <c r="I3799" s="20"/>
      <c r="J3799" s="20" t="s">
        <v>200</v>
      </c>
      <c r="K3799" s="20" t="s">
        <v>255</v>
      </c>
      <c r="L3799" s="20">
        <v>525000</v>
      </c>
      <c r="M3799" s="20" t="s">
        <v>242</v>
      </c>
      <c r="N3799" s="20" t="s">
        <v>2539</v>
      </c>
    </row>
    <row r="3800" spans="1:14" hidden="1" x14ac:dyDescent="0.25">
      <c r="A3800" s="19">
        <v>45901</v>
      </c>
      <c r="B3800" s="20" t="s">
        <v>156</v>
      </c>
      <c r="C3800" s="20">
        <v>80</v>
      </c>
      <c r="D3800" s="20" t="s">
        <v>253</v>
      </c>
      <c r="E3800" s="20" t="s">
        <v>2359</v>
      </c>
      <c r="F3800" s="20" t="s">
        <v>344</v>
      </c>
      <c r="G3800" s="20" t="s">
        <v>158</v>
      </c>
      <c r="H3800" s="20"/>
      <c r="I3800" s="20"/>
      <c r="J3800" s="20" t="s">
        <v>201</v>
      </c>
      <c r="K3800" s="20" t="s">
        <v>255</v>
      </c>
      <c r="L3800" s="20">
        <v>539000</v>
      </c>
      <c r="M3800" s="20" t="s">
        <v>242</v>
      </c>
      <c r="N3800" s="20" t="s">
        <v>2715</v>
      </c>
    </row>
    <row r="3801" spans="1:14" hidden="1" x14ac:dyDescent="0.25">
      <c r="A3801" s="19">
        <v>45901</v>
      </c>
      <c r="B3801" s="20" t="s">
        <v>156</v>
      </c>
      <c r="C3801" s="20">
        <v>80</v>
      </c>
      <c r="D3801" s="20" t="s">
        <v>247</v>
      </c>
      <c r="E3801" s="20" t="s">
        <v>2554</v>
      </c>
      <c r="F3801" s="20" t="s">
        <v>2716</v>
      </c>
      <c r="G3801" s="20" t="s">
        <v>158</v>
      </c>
      <c r="H3801" s="20" t="s">
        <v>286</v>
      </c>
      <c r="I3801" s="20"/>
      <c r="J3801" s="20" t="s">
        <v>201</v>
      </c>
      <c r="K3801" s="20" t="s">
        <v>250</v>
      </c>
      <c r="L3801" s="20">
        <v>2.6</v>
      </c>
      <c r="M3801" s="20" t="s">
        <v>251</v>
      </c>
      <c r="N3801" s="20" t="s">
        <v>2717</v>
      </c>
    </row>
    <row r="3802" spans="1:14" hidden="1" x14ac:dyDescent="0.25">
      <c r="A3802" s="19">
        <v>45901</v>
      </c>
      <c r="B3802" s="20" t="s">
        <v>156</v>
      </c>
      <c r="C3802" s="20">
        <v>81</v>
      </c>
      <c r="D3802" s="20" t="s">
        <v>253</v>
      </c>
      <c r="E3802" s="20" t="s">
        <v>2359</v>
      </c>
      <c r="F3802" s="20" t="s">
        <v>349</v>
      </c>
      <c r="G3802" s="20" t="s">
        <v>158</v>
      </c>
      <c r="H3802" s="20"/>
      <c r="I3802" s="20"/>
      <c r="J3802" s="20" t="s">
        <v>199</v>
      </c>
      <c r="K3802" s="20" t="s">
        <v>255</v>
      </c>
      <c r="L3802" s="20">
        <v>17300</v>
      </c>
      <c r="M3802" s="20" t="s">
        <v>242</v>
      </c>
      <c r="N3802" s="20" t="s">
        <v>2219</v>
      </c>
    </row>
    <row r="3803" spans="1:14" hidden="1" x14ac:dyDescent="0.25">
      <c r="A3803" s="19">
        <v>45901</v>
      </c>
      <c r="B3803" s="20" t="s">
        <v>156</v>
      </c>
      <c r="C3803" s="20">
        <v>81</v>
      </c>
      <c r="D3803" s="20" t="s">
        <v>253</v>
      </c>
      <c r="E3803" s="20" t="s">
        <v>2359</v>
      </c>
      <c r="F3803" s="20" t="s">
        <v>349</v>
      </c>
      <c r="G3803" s="20" t="s">
        <v>158</v>
      </c>
      <c r="H3803" s="20"/>
      <c r="I3803" s="20"/>
      <c r="J3803" s="20" t="s">
        <v>200</v>
      </c>
      <c r="K3803" s="20" t="s">
        <v>255</v>
      </c>
      <c r="L3803" s="20">
        <v>15600</v>
      </c>
      <c r="M3803" s="20" t="s">
        <v>242</v>
      </c>
      <c r="N3803" s="20" t="s">
        <v>2540</v>
      </c>
    </row>
    <row r="3804" spans="1:14" hidden="1" x14ac:dyDescent="0.25">
      <c r="A3804" s="19">
        <v>45901</v>
      </c>
      <c r="B3804" s="20" t="s">
        <v>156</v>
      </c>
      <c r="C3804" s="20">
        <v>81</v>
      </c>
      <c r="D3804" s="20" t="s">
        <v>253</v>
      </c>
      <c r="E3804" s="20" t="s">
        <v>2359</v>
      </c>
      <c r="F3804" s="20" t="s">
        <v>349</v>
      </c>
      <c r="G3804" s="20" t="s">
        <v>158</v>
      </c>
      <c r="H3804" s="20"/>
      <c r="I3804" s="20"/>
      <c r="J3804" s="20" t="s">
        <v>201</v>
      </c>
      <c r="K3804" s="20" t="s">
        <v>255</v>
      </c>
      <c r="L3804" s="20">
        <v>16000</v>
      </c>
      <c r="M3804" s="20" t="s">
        <v>242</v>
      </c>
      <c r="N3804" s="20" t="s">
        <v>2718</v>
      </c>
    </row>
    <row r="3805" spans="1:14" hidden="1" x14ac:dyDescent="0.25">
      <c r="A3805" s="19">
        <v>45901</v>
      </c>
      <c r="B3805" s="20" t="s">
        <v>156</v>
      </c>
      <c r="C3805" s="20">
        <v>82</v>
      </c>
      <c r="D3805" s="20" t="s">
        <v>253</v>
      </c>
      <c r="E3805" s="20" t="s">
        <v>2359</v>
      </c>
      <c r="F3805" s="20" t="s">
        <v>2546</v>
      </c>
      <c r="G3805" s="20" t="s">
        <v>158</v>
      </c>
      <c r="H3805" s="20"/>
      <c r="I3805" s="20"/>
      <c r="J3805" s="20" t="s">
        <v>199</v>
      </c>
      <c r="K3805" s="20" t="s">
        <v>255</v>
      </c>
      <c r="L3805" s="20">
        <v>3.2</v>
      </c>
      <c r="M3805" s="20" t="s">
        <v>251</v>
      </c>
      <c r="N3805" s="20" t="s">
        <v>509</v>
      </c>
    </row>
    <row r="3806" spans="1:14" hidden="1" x14ac:dyDescent="0.25">
      <c r="A3806" s="19">
        <v>45901</v>
      </c>
      <c r="B3806" s="20" t="s">
        <v>156</v>
      </c>
      <c r="C3806" s="20">
        <v>82</v>
      </c>
      <c r="D3806" s="20" t="s">
        <v>253</v>
      </c>
      <c r="E3806" s="20" t="s">
        <v>2359</v>
      </c>
      <c r="F3806" s="20" t="s">
        <v>2546</v>
      </c>
      <c r="G3806" s="20" t="s">
        <v>158</v>
      </c>
      <c r="H3806" s="20"/>
      <c r="I3806" s="20"/>
      <c r="J3806" s="20" t="s">
        <v>200</v>
      </c>
      <c r="K3806" s="20" t="s">
        <v>255</v>
      </c>
      <c r="L3806" s="20">
        <v>3</v>
      </c>
      <c r="M3806" s="20" t="s">
        <v>251</v>
      </c>
      <c r="N3806" s="20" t="s">
        <v>2547</v>
      </c>
    </row>
    <row r="3807" spans="1:14" hidden="1" x14ac:dyDescent="0.25">
      <c r="A3807" s="19">
        <v>45901</v>
      </c>
      <c r="B3807" s="20" t="s">
        <v>156</v>
      </c>
      <c r="C3807" s="20">
        <v>82</v>
      </c>
      <c r="D3807" s="20" t="s">
        <v>253</v>
      </c>
      <c r="E3807" s="20" t="s">
        <v>2359</v>
      </c>
      <c r="F3807" s="20" t="s">
        <v>2546</v>
      </c>
      <c r="G3807" s="20" t="s">
        <v>158</v>
      </c>
      <c r="H3807" s="20"/>
      <c r="I3807" s="20"/>
      <c r="J3807" s="20" t="s">
        <v>201</v>
      </c>
      <c r="K3807" s="20" t="s">
        <v>255</v>
      </c>
      <c r="L3807" s="20">
        <v>3</v>
      </c>
      <c r="M3807" s="20" t="s">
        <v>251</v>
      </c>
      <c r="N3807" s="20" t="s">
        <v>2547</v>
      </c>
    </row>
    <row r="3808" spans="1:14" hidden="1" x14ac:dyDescent="0.25">
      <c r="A3808" s="19">
        <v>45901</v>
      </c>
      <c r="B3808" s="20" t="s">
        <v>156</v>
      </c>
      <c r="C3808" s="20">
        <v>83</v>
      </c>
      <c r="D3808" s="20" t="s">
        <v>291</v>
      </c>
      <c r="E3808" s="20" t="s">
        <v>2361</v>
      </c>
      <c r="F3808" s="20" t="s">
        <v>349</v>
      </c>
      <c r="G3808" s="20" t="s">
        <v>158</v>
      </c>
      <c r="H3808" s="20" t="s">
        <v>159</v>
      </c>
      <c r="I3808" s="20"/>
      <c r="J3808" s="20" t="s">
        <v>201</v>
      </c>
      <c r="K3808" s="20" t="s">
        <v>250</v>
      </c>
      <c r="L3808" s="20">
        <v>10477</v>
      </c>
      <c r="M3808" s="20" t="s">
        <v>242</v>
      </c>
      <c r="N3808" s="20" t="s">
        <v>2719</v>
      </c>
    </row>
    <row r="3809" spans="1:14" hidden="1" x14ac:dyDescent="0.25">
      <c r="A3809" s="19">
        <v>45901</v>
      </c>
      <c r="B3809" s="20" t="s">
        <v>156</v>
      </c>
      <c r="C3809" s="20">
        <v>83</v>
      </c>
      <c r="D3809" s="20" t="s">
        <v>291</v>
      </c>
      <c r="E3809" s="20" t="s">
        <v>2361</v>
      </c>
      <c r="F3809" s="20" t="s">
        <v>349</v>
      </c>
      <c r="G3809" s="20" t="s">
        <v>158</v>
      </c>
      <c r="H3809" s="20" t="s">
        <v>160</v>
      </c>
      <c r="I3809" s="20"/>
      <c r="J3809" s="20" t="s">
        <v>201</v>
      </c>
      <c r="K3809" s="20" t="s">
        <v>250</v>
      </c>
      <c r="L3809" s="20">
        <v>5529</v>
      </c>
      <c r="M3809" s="20" t="s">
        <v>242</v>
      </c>
      <c r="N3809" s="20" t="s">
        <v>2720</v>
      </c>
    </row>
    <row r="3810" spans="1:14" hidden="1" x14ac:dyDescent="0.25">
      <c r="A3810" s="19">
        <v>45901</v>
      </c>
      <c r="B3810" s="20" t="s">
        <v>156</v>
      </c>
      <c r="C3810" s="20">
        <v>84</v>
      </c>
      <c r="D3810" s="20" t="s">
        <v>253</v>
      </c>
      <c r="E3810" s="20" t="s">
        <v>2359</v>
      </c>
      <c r="F3810" s="20" t="s">
        <v>356</v>
      </c>
      <c r="G3810" s="20" t="s">
        <v>158</v>
      </c>
      <c r="H3810" s="20"/>
      <c r="I3810" s="20"/>
      <c r="J3810" s="20" t="s">
        <v>199</v>
      </c>
      <c r="K3810" s="20" t="s">
        <v>255</v>
      </c>
      <c r="L3810" s="20">
        <v>3680000000</v>
      </c>
      <c r="M3810" s="20" t="s">
        <v>245</v>
      </c>
      <c r="N3810" s="20" t="s">
        <v>2222</v>
      </c>
    </row>
    <row r="3811" spans="1:14" hidden="1" x14ac:dyDescent="0.25">
      <c r="A3811" s="19">
        <v>45901</v>
      </c>
      <c r="B3811" s="20" t="s">
        <v>156</v>
      </c>
      <c r="C3811" s="20">
        <v>84</v>
      </c>
      <c r="D3811" s="20" t="s">
        <v>253</v>
      </c>
      <c r="E3811" s="20" t="s">
        <v>2359</v>
      </c>
      <c r="F3811" s="20" t="s">
        <v>356</v>
      </c>
      <c r="G3811" s="20" t="s">
        <v>158</v>
      </c>
      <c r="H3811" s="20"/>
      <c r="I3811" s="20"/>
      <c r="J3811" s="20" t="s">
        <v>200</v>
      </c>
      <c r="K3811" s="20" t="s">
        <v>255</v>
      </c>
      <c r="L3811" s="20">
        <v>3440000000</v>
      </c>
      <c r="M3811" s="20" t="s">
        <v>245</v>
      </c>
      <c r="N3811" s="20" t="s">
        <v>2721</v>
      </c>
    </row>
    <row r="3812" spans="1:14" hidden="1" x14ac:dyDescent="0.25">
      <c r="A3812" s="19">
        <v>45901</v>
      </c>
      <c r="B3812" s="20" t="s">
        <v>156</v>
      </c>
      <c r="C3812" s="20">
        <v>84</v>
      </c>
      <c r="D3812" s="20" t="s">
        <v>253</v>
      </c>
      <c r="E3812" s="20" t="s">
        <v>2359</v>
      </c>
      <c r="F3812" s="20" t="s">
        <v>356</v>
      </c>
      <c r="G3812" s="20" t="s">
        <v>158</v>
      </c>
      <c r="H3812" s="20"/>
      <c r="I3812" s="20"/>
      <c r="J3812" s="20" t="s">
        <v>201</v>
      </c>
      <c r="K3812" s="20" t="s">
        <v>255</v>
      </c>
      <c r="L3812" s="20">
        <v>3440000000</v>
      </c>
      <c r="M3812" s="20" t="s">
        <v>245</v>
      </c>
      <c r="N3812" s="20" t="s">
        <v>2721</v>
      </c>
    </row>
    <row r="3813" spans="1:14" hidden="1" x14ac:dyDescent="0.25">
      <c r="A3813" s="19">
        <v>45901</v>
      </c>
      <c r="B3813" s="20" t="s">
        <v>156</v>
      </c>
      <c r="C3813" s="20">
        <v>84</v>
      </c>
      <c r="D3813" s="20" t="s">
        <v>247</v>
      </c>
      <c r="E3813" s="20" t="s">
        <v>2554</v>
      </c>
      <c r="F3813" s="20" t="s">
        <v>2722</v>
      </c>
      <c r="G3813" s="20" t="s">
        <v>158</v>
      </c>
      <c r="H3813" s="20" t="s">
        <v>249</v>
      </c>
      <c r="I3813" s="20"/>
      <c r="J3813" s="20" t="s">
        <v>201</v>
      </c>
      <c r="K3813" s="20" t="s">
        <v>250</v>
      </c>
      <c r="L3813" s="20">
        <v>0.01</v>
      </c>
      <c r="M3813" s="20" t="s">
        <v>251</v>
      </c>
      <c r="N3813" s="20" t="s">
        <v>500</v>
      </c>
    </row>
    <row r="3814" spans="1:14" hidden="1" x14ac:dyDescent="0.25">
      <c r="A3814" s="19">
        <v>45901</v>
      </c>
      <c r="B3814" s="20" t="s">
        <v>156</v>
      </c>
      <c r="C3814" s="20">
        <v>85</v>
      </c>
      <c r="D3814" s="20" t="s">
        <v>253</v>
      </c>
      <c r="E3814" s="20" t="s">
        <v>2359</v>
      </c>
      <c r="F3814" s="20" t="s">
        <v>361</v>
      </c>
      <c r="G3814" s="20" t="s">
        <v>158</v>
      </c>
      <c r="H3814" s="20"/>
      <c r="I3814" s="20"/>
      <c r="J3814" s="20" t="s">
        <v>199</v>
      </c>
      <c r="K3814" s="20" t="s">
        <v>255</v>
      </c>
      <c r="L3814" s="20">
        <v>109000000</v>
      </c>
      <c r="M3814" s="20" t="s">
        <v>245</v>
      </c>
      <c r="N3814" s="20" t="s">
        <v>2723</v>
      </c>
    </row>
    <row r="3815" spans="1:14" hidden="1" x14ac:dyDescent="0.25">
      <c r="A3815" s="19">
        <v>45901</v>
      </c>
      <c r="B3815" s="20" t="s">
        <v>156</v>
      </c>
      <c r="C3815" s="20">
        <v>85</v>
      </c>
      <c r="D3815" s="20" t="s">
        <v>253</v>
      </c>
      <c r="E3815" s="20" t="s">
        <v>2359</v>
      </c>
      <c r="F3815" s="20" t="s">
        <v>361</v>
      </c>
      <c r="G3815" s="20" t="s">
        <v>158</v>
      </c>
      <c r="H3815" s="20"/>
      <c r="I3815" s="20"/>
      <c r="J3815" s="20" t="s">
        <v>200</v>
      </c>
      <c r="K3815" s="20" t="s">
        <v>255</v>
      </c>
      <c r="L3815" s="20">
        <v>84000000</v>
      </c>
      <c r="M3815" s="20" t="s">
        <v>245</v>
      </c>
      <c r="N3815" s="20" t="s">
        <v>2724</v>
      </c>
    </row>
    <row r="3816" spans="1:14" hidden="1" x14ac:dyDescent="0.25">
      <c r="A3816" s="19">
        <v>45901</v>
      </c>
      <c r="B3816" s="20" t="s">
        <v>156</v>
      </c>
      <c r="C3816" s="20">
        <v>85</v>
      </c>
      <c r="D3816" s="20" t="s">
        <v>253</v>
      </c>
      <c r="E3816" s="20" t="s">
        <v>2359</v>
      </c>
      <c r="F3816" s="20" t="s">
        <v>361</v>
      </c>
      <c r="G3816" s="20" t="s">
        <v>158</v>
      </c>
      <c r="H3816" s="20"/>
      <c r="I3816" s="20"/>
      <c r="J3816" s="20" t="s">
        <v>201</v>
      </c>
      <c r="K3816" s="20" t="s">
        <v>255</v>
      </c>
      <c r="L3816" s="20">
        <v>75000000</v>
      </c>
      <c r="M3816" s="20" t="s">
        <v>245</v>
      </c>
      <c r="N3816" s="20" t="s">
        <v>2725</v>
      </c>
    </row>
    <row r="3817" spans="1:14" hidden="1" x14ac:dyDescent="0.25">
      <c r="A3817" s="19">
        <v>45901</v>
      </c>
      <c r="B3817" s="20" t="s">
        <v>156</v>
      </c>
      <c r="C3817" s="20">
        <v>86</v>
      </c>
      <c r="D3817" s="20" t="s">
        <v>253</v>
      </c>
      <c r="E3817" s="20" t="s">
        <v>2359</v>
      </c>
      <c r="F3817" s="20" t="s">
        <v>2548</v>
      </c>
      <c r="G3817" s="20" t="s">
        <v>158</v>
      </c>
      <c r="H3817" s="20"/>
      <c r="I3817" s="20"/>
      <c r="J3817" s="20" t="s">
        <v>199</v>
      </c>
      <c r="K3817" s="20" t="s">
        <v>255</v>
      </c>
      <c r="L3817" s="20">
        <v>2.97</v>
      </c>
      <c r="M3817" s="20" t="s">
        <v>251</v>
      </c>
      <c r="N3817" s="20" t="s">
        <v>2225</v>
      </c>
    </row>
    <row r="3818" spans="1:14" hidden="1" x14ac:dyDescent="0.25">
      <c r="A3818" s="19">
        <v>45901</v>
      </c>
      <c r="B3818" s="20" t="s">
        <v>156</v>
      </c>
      <c r="C3818" s="20">
        <v>86</v>
      </c>
      <c r="D3818" s="20" t="s">
        <v>253</v>
      </c>
      <c r="E3818" s="20" t="s">
        <v>2359</v>
      </c>
      <c r="F3818" s="20" t="s">
        <v>2548</v>
      </c>
      <c r="G3818" s="20" t="s">
        <v>158</v>
      </c>
      <c r="H3818" s="20"/>
      <c r="I3818" s="20"/>
      <c r="J3818" s="20" t="s">
        <v>200</v>
      </c>
      <c r="K3818" s="20" t="s">
        <v>255</v>
      </c>
      <c r="L3818" s="20">
        <v>2.4500000000000002</v>
      </c>
      <c r="M3818" s="20" t="s">
        <v>251</v>
      </c>
      <c r="N3818" s="20" t="s">
        <v>2549</v>
      </c>
    </row>
    <row r="3819" spans="1:14" hidden="1" x14ac:dyDescent="0.25">
      <c r="A3819" s="19">
        <v>45901</v>
      </c>
      <c r="B3819" s="20" t="s">
        <v>156</v>
      </c>
      <c r="C3819" s="20">
        <v>86</v>
      </c>
      <c r="D3819" s="20" t="s">
        <v>253</v>
      </c>
      <c r="E3819" s="20" t="s">
        <v>2359</v>
      </c>
      <c r="F3819" s="20" t="s">
        <v>2548</v>
      </c>
      <c r="G3819" s="20" t="s">
        <v>158</v>
      </c>
      <c r="H3819" s="20"/>
      <c r="I3819" s="20"/>
      <c r="J3819" s="20" t="s">
        <v>201</v>
      </c>
      <c r="K3819" s="20" t="s">
        <v>255</v>
      </c>
      <c r="L3819" s="20">
        <v>2.1800000000000002</v>
      </c>
      <c r="M3819" s="20" t="s">
        <v>251</v>
      </c>
      <c r="N3819" s="20" t="s">
        <v>2726</v>
      </c>
    </row>
    <row r="3820" spans="1:14" hidden="1" x14ac:dyDescent="0.25">
      <c r="A3820" s="19">
        <v>45901</v>
      </c>
      <c r="B3820" s="20" t="s">
        <v>156</v>
      </c>
      <c r="C3820" s="20">
        <v>87</v>
      </c>
      <c r="D3820" s="20" t="s">
        <v>291</v>
      </c>
      <c r="E3820" s="20" t="s">
        <v>2361</v>
      </c>
      <c r="F3820" s="20" t="s">
        <v>361</v>
      </c>
      <c r="G3820" s="20" t="s">
        <v>158</v>
      </c>
      <c r="H3820" s="20" t="s">
        <v>159</v>
      </c>
      <c r="I3820" s="20"/>
      <c r="J3820" s="20" t="s">
        <v>201</v>
      </c>
      <c r="K3820" s="20" t="s">
        <v>250</v>
      </c>
      <c r="L3820" s="20">
        <v>45900000</v>
      </c>
      <c r="M3820" s="20" t="s">
        <v>245</v>
      </c>
      <c r="N3820" s="20" t="s">
        <v>2727</v>
      </c>
    </row>
    <row r="3821" spans="1:14" hidden="1" x14ac:dyDescent="0.25">
      <c r="A3821" s="19">
        <v>45901</v>
      </c>
      <c r="B3821" s="20" t="s">
        <v>156</v>
      </c>
      <c r="C3821" s="20">
        <v>87</v>
      </c>
      <c r="D3821" s="20" t="s">
        <v>291</v>
      </c>
      <c r="E3821" s="20" t="s">
        <v>2361</v>
      </c>
      <c r="F3821" s="20" t="s">
        <v>361</v>
      </c>
      <c r="G3821" s="20" t="s">
        <v>158</v>
      </c>
      <c r="H3821" s="20" t="s">
        <v>160</v>
      </c>
      <c r="I3821" s="20"/>
      <c r="J3821" s="20" t="s">
        <v>201</v>
      </c>
      <c r="K3821" s="20" t="s">
        <v>250</v>
      </c>
      <c r="L3821" s="20">
        <v>29100000</v>
      </c>
      <c r="M3821" s="20" t="s">
        <v>245</v>
      </c>
      <c r="N3821" s="20" t="s">
        <v>2728</v>
      </c>
    </row>
    <row r="3822" spans="1:14" hidden="1" x14ac:dyDescent="0.25">
      <c r="A3822" s="19">
        <v>45931</v>
      </c>
      <c r="B3822" s="20" t="s">
        <v>535</v>
      </c>
      <c r="C3822" s="20">
        <v>4</v>
      </c>
      <c r="D3822" s="20" t="s">
        <v>238</v>
      </c>
      <c r="E3822" s="20" t="s">
        <v>2341</v>
      </c>
      <c r="F3822" s="20" t="s">
        <v>285</v>
      </c>
      <c r="G3822" s="20" t="s">
        <v>63</v>
      </c>
      <c r="H3822" s="20"/>
      <c r="I3822" s="20"/>
      <c r="J3822" s="20" t="s">
        <v>202</v>
      </c>
      <c r="K3822" s="20" t="s">
        <v>250</v>
      </c>
      <c r="L3822" s="20">
        <v>2060000</v>
      </c>
      <c r="M3822" s="20" t="s">
        <v>242</v>
      </c>
      <c r="N3822" s="20" t="s">
        <v>2729</v>
      </c>
    </row>
    <row r="3823" spans="1:14" hidden="1" x14ac:dyDescent="0.25">
      <c r="A3823" s="19">
        <v>45931</v>
      </c>
      <c r="B3823" s="20" t="s">
        <v>535</v>
      </c>
      <c r="C3823" s="20">
        <v>4</v>
      </c>
      <c r="D3823" s="20" t="s">
        <v>238</v>
      </c>
      <c r="E3823" s="20" t="s">
        <v>2341</v>
      </c>
      <c r="F3823" s="20" t="s">
        <v>240</v>
      </c>
      <c r="G3823" s="20" t="s">
        <v>82</v>
      </c>
      <c r="H3823" s="20"/>
      <c r="I3823" s="20"/>
      <c r="J3823" s="20" t="s">
        <v>202</v>
      </c>
      <c r="K3823" s="20" t="s">
        <v>250</v>
      </c>
      <c r="L3823" s="20">
        <v>16590000</v>
      </c>
      <c r="M3823" s="20" t="s">
        <v>242</v>
      </c>
      <c r="N3823" s="20" t="s">
        <v>2730</v>
      </c>
    </row>
    <row r="3824" spans="1:14" hidden="1" x14ac:dyDescent="0.25">
      <c r="A3824" s="19">
        <v>45931</v>
      </c>
      <c r="B3824" s="20" t="s">
        <v>535</v>
      </c>
      <c r="C3824" s="20">
        <v>4</v>
      </c>
      <c r="D3824" s="20" t="s">
        <v>238</v>
      </c>
      <c r="E3824" s="20" t="s">
        <v>2341</v>
      </c>
      <c r="F3824" s="20" t="s">
        <v>244</v>
      </c>
      <c r="G3824" s="20" t="s">
        <v>82</v>
      </c>
      <c r="H3824" s="20"/>
      <c r="I3824" s="20"/>
      <c r="J3824" s="20" t="s">
        <v>202</v>
      </c>
      <c r="K3824" s="20" t="s">
        <v>250</v>
      </c>
      <c r="L3824" s="20">
        <v>1860000000</v>
      </c>
      <c r="M3824" s="20" t="s">
        <v>245</v>
      </c>
      <c r="N3824" s="20" t="s">
        <v>2257</v>
      </c>
    </row>
    <row r="3825" spans="1:14" hidden="1" x14ac:dyDescent="0.25">
      <c r="A3825" s="19">
        <v>45931</v>
      </c>
      <c r="B3825" s="20" t="s">
        <v>535</v>
      </c>
      <c r="C3825" s="20">
        <v>5</v>
      </c>
      <c r="D3825" s="20" t="s">
        <v>238</v>
      </c>
      <c r="E3825" s="20" t="s">
        <v>2341</v>
      </c>
      <c r="F3825" s="20" t="s">
        <v>285</v>
      </c>
      <c r="G3825" s="20" t="s">
        <v>63</v>
      </c>
      <c r="H3825" s="20"/>
      <c r="I3825" s="20"/>
      <c r="J3825" s="20" t="s">
        <v>202</v>
      </c>
      <c r="K3825" s="20" t="s">
        <v>250</v>
      </c>
      <c r="L3825" s="20">
        <v>2740000</v>
      </c>
      <c r="M3825" s="20" t="s">
        <v>242</v>
      </c>
      <c r="N3825" s="20" t="s">
        <v>2731</v>
      </c>
    </row>
    <row r="3826" spans="1:14" hidden="1" x14ac:dyDescent="0.25">
      <c r="A3826" s="19">
        <v>45931</v>
      </c>
      <c r="B3826" s="20" t="s">
        <v>535</v>
      </c>
      <c r="C3826" s="20">
        <v>5</v>
      </c>
      <c r="D3826" s="20" t="s">
        <v>238</v>
      </c>
      <c r="E3826" s="20" t="s">
        <v>2341</v>
      </c>
      <c r="F3826" s="20" t="s">
        <v>240</v>
      </c>
      <c r="G3826" s="20" t="s">
        <v>82</v>
      </c>
      <c r="H3826" s="20"/>
      <c r="I3826" s="20"/>
      <c r="J3826" s="20" t="s">
        <v>202</v>
      </c>
      <c r="K3826" s="20" t="s">
        <v>250</v>
      </c>
      <c r="L3826" s="20">
        <v>10130000</v>
      </c>
      <c r="M3826" s="20" t="s">
        <v>242</v>
      </c>
      <c r="N3826" s="20" t="s">
        <v>2732</v>
      </c>
    </row>
    <row r="3827" spans="1:14" hidden="1" x14ac:dyDescent="0.25">
      <c r="A3827" s="19">
        <v>45931</v>
      </c>
      <c r="B3827" s="20" t="s">
        <v>535</v>
      </c>
      <c r="C3827" s="20">
        <v>5</v>
      </c>
      <c r="D3827" s="20" t="s">
        <v>238</v>
      </c>
      <c r="E3827" s="20" t="s">
        <v>2341</v>
      </c>
      <c r="F3827" s="20" t="s">
        <v>244</v>
      </c>
      <c r="G3827" s="20" t="s">
        <v>82</v>
      </c>
      <c r="H3827" s="20"/>
      <c r="I3827" s="20"/>
      <c r="J3827" s="20" t="s">
        <v>202</v>
      </c>
      <c r="K3827" s="20" t="s">
        <v>250</v>
      </c>
      <c r="L3827" s="20">
        <v>555000000</v>
      </c>
      <c r="M3827" s="20" t="s">
        <v>245</v>
      </c>
      <c r="N3827" s="20" t="s">
        <v>2733</v>
      </c>
    </row>
    <row r="3828" spans="1:14" hidden="1" x14ac:dyDescent="0.25">
      <c r="A3828" s="19">
        <v>45931</v>
      </c>
      <c r="B3828" s="20" t="s">
        <v>535</v>
      </c>
      <c r="C3828" s="20">
        <v>6</v>
      </c>
      <c r="D3828" s="20" t="s">
        <v>238</v>
      </c>
      <c r="E3828" s="20" t="s">
        <v>2341</v>
      </c>
      <c r="F3828" s="20" t="s">
        <v>285</v>
      </c>
      <c r="G3828" s="20" t="s">
        <v>63</v>
      </c>
      <c r="H3828" s="20"/>
      <c r="I3828" s="20"/>
      <c r="J3828" s="20" t="s">
        <v>202</v>
      </c>
      <c r="K3828" s="20" t="s">
        <v>250</v>
      </c>
      <c r="L3828" s="20">
        <v>4950000</v>
      </c>
      <c r="M3828" s="20" t="s">
        <v>242</v>
      </c>
      <c r="N3828" s="20" t="s">
        <v>2734</v>
      </c>
    </row>
    <row r="3829" spans="1:14" hidden="1" x14ac:dyDescent="0.25">
      <c r="A3829" s="19">
        <v>45931</v>
      </c>
      <c r="B3829" s="20" t="s">
        <v>535</v>
      </c>
      <c r="C3829" s="20">
        <v>6</v>
      </c>
      <c r="D3829" s="20" t="s">
        <v>238</v>
      </c>
      <c r="E3829" s="20" t="s">
        <v>2341</v>
      </c>
      <c r="F3829" s="20" t="s">
        <v>378</v>
      </c>
      <c r="G3829" s="20" t="s">
        <v>379</v>
      </c>
      <c r="H3829" s="20"/>
      <c r="I3829" s="20"/>
      <c r="J3829" s="20" t="s">
        <v>202</v>
      </c>
      <c r="K3829" s="20" t="s">
        <v>250</v>
      </c>
      <c r="L3829" s="20">
        <v>665</v>
      </c>
      <c r="M3829" s="20" t="s">
        <v>242</v>
      </c>
      <c r="N3829" s="20" t="s">
        <v>2735</v>
      </c>
    </row>
    <row r="3830" spans="1:14" hidden="1" x14ac:dyDescent="0.25">
      <c r="A3830" s="19">
        <v>45931</v>
      </c>
      <c r="B3830" s="20" t="s">
        <v>535</v>
      </c>
      <c r="C3830" s="20">
        <v>6</v>
      </c>
      <c r="D3830" s="20" t="s">
        <v>238</v>
      </c>
      <c r="E3830" s="20" t="s">
        <v>2341</v>
      </c>
      <c r="F3830" s="20" t="s">
        <v>381</v>
      </c>
      <c r="G3830" s="20" t="s">
        <v>382</v>
      </c>
      <c r="H3830" s="20"/>
      <c r="I3830" s="20"/>
      <c r="J3830" s="20" t="s">
        <v>202</v>
      </c>
      <c r="K3830" s="20" t="s">
        <v>250</v>
      </c>
      <c r="L3830" s="20">
        <v>2272</v>
      </c>
      <c r="M3830" s="20" t="s">
        <v>242</v>
      </c>
      <c r="N3830" s="20" t="s">
        <v>2736</v>
      </c>
    </row>
    <row r="3831" spans="1:14" hidden="1" x14ac:dyDescent="0.25">
      <c r="A3831" s="19">
        <v>45931</v>
      </c>
      <c r="B3831" s="20" t="s">
        <v>535</v>
      </c>
      <c r="C3831" s="20">
        <v>6</v>
      </c>
      <c r="D3831" s="20" t="s">
        <v>238</v>
      </c>
      <c r="E3831" s="20" t="s">
        <v>2341</v>
      </c>
      <c r="F3831" s="20" t="s">
        <v>240</v>
      </c>
      <c r="G3831" s="20" t="s">
        <v>82</v>
      </c>
      <c r="H3831" s="20"/>
      <c r="I3831" s="20"/>
      <c r="J3831" s="20" t="s">
        <v>202</v>
      </c>
      <c r="K3831" s="20" t="s">
        <v>250</v>
      </c>
      <c r="L3831" s="20">
        <v>6690000</v>
      </c>
      <c r="M3831" s="20" t="s">
        <v>242</v>
      </c>
      <c r="N3831" s="20" t="s">
        <v>2737</v>
      </c>
    </row>
    <row r="3832" spans="1:14" hidden="1" x14ac:dyDescent="0.25">
      <c r="A3832" s="19">
        <v>45931</v>
      </c>
      <c r="B3832" s="20" t="s">
        <v>535</v>
      </c>
      <c r="C3832" s="20">
        <v>6</v>
      </c>
      <c r="D3832" s="20" t="s">
        <v>238</v>
      </c>
      <c r="E3832" s="20" t="s">
        <v>2341</v>
      </c>
      <c r="F3832" s="20" t="s">
        <v>244</v>
      </c>
      <c r="G3832" s="20" t="s">
        <v>82</v>
      </c>
      <c r="H3832" s="20"/>
      <c r="I3832" s="20"/>
      <c r="J3832" s="20" t="s">
        <v>202</v>
      </c>
      <c r="K3832" s="20" t="s">
        <v>250</v>
      </c>
      <c r="L3832" s="20">
        <v>1420000000</v>
      </c>
      <c r="M3832" s="20" t="s">
        <v>245</v>
      </c>
      <c r="N3832" s="20" t="s">
        <v>2738</v>
      </c>
    </row>
    <row r="3833" spans="1:14" hidden="1" x14ac:dyDescent="0.25">
      <c r="A3833" s="19">
        <v>45931</v>
      </c>
      <c r="B3833" s="20" t="s">
        <v>535</v>
      </c>
      <c r="C3833" s="20">
        <v>7</v>
      </c>
      <c r="D3833" s="20" t="s">
        <v>238</v>
      </c>
      <c r="E3833" s="20" t="s">
        <v>2341</v>
      </c>
      <c r="F3833" s="20" t="s">
        <v>1194</v>
      </c>
      <c r="G3833" s="20" t="s">
        <v>82</v>
      </c>
      <c r="H3833" s="20"/>
      <c r="I3833" s="20"/>
      <c r="J3833" s="20" t="s">
        <v>202</v>
      </c>
      <c r="K3833" s="20" t="s">
        <v>250</v>
      </c>
      <c r="L3833" s="20">
        <v>1050000</v>
      </c>
      <c r="M3833" s="20" t="s">
        <v>242</v>
      </c>
      <c r="N3833" s="20" t="s">
        <v>2335</v>
      </c>
    </row>
    <row r="3834" spans="1:14" hidden="1" x14ac:dyDescent="0.25">
      <c r="A3834" s="19">
        <v>45931</v>
      </c>
      <c r="B3834" s="20" t="s">
        <v>535</v>
      </c>
      <c r="C3834" s="20">
        <v>7</v>
      </c>
      <c r="D3834" s="20" t="s">
        <v>238</v>
      </c>
      <c r="E3834" s="20" t="s">
        <v>2341</v>
      </c>
      <c r="F3834" s="20" t="s">
        <v>544</v>
      </c>
      <c r="G3834" s="20" t="s">
        <v>82</v>
      </c>
      <c r="H3834" s="20"/>
      <c r="I3834" s="20"/>
      <c r="J3834" s="20" t="s">
        <v>202</v>
      </c>
      <c r="K3834" s="20" t="s">
        <v>250</v>
      </c>
      <c r="L3834" s="20">
        <v>1040000</v>
      </c>
      <c r="M3834" s="20" t="s">
        <v>242</v>
      </c>
      <c r="N3834" s="20" t="s">
        <v>952</v>
      </c>
    </row>
    <row r="3835" spans="1:14" hidden="1" x14ac:dyDescent="0.25">
      <c r="A3835" s="19">
        <v>45931</v>
      </c>
      <c r="B3835" s="20" t="s">
        <v>535</v>
      </c>
      <c r="C3835" s="20">
        <v>7</v>
      </c>
      <c r="D3835" s="20" t="s">
        <v>238</v>
      </c>
      <c r="E3835" s="20" t="s">
        <v>2341</v>
      </c>
      <c r="F3835" s="20" t="s">
        <v>929</v>
      </c>
      <c r="G3835" s="20" t="s">
        <v>82</v>
      </c>
      <c r="H3835" s="20"/>
      <c r="I3835" s="20"/>
      <c r="J3835" s="20" t="s">
        <v>202</v>
      </c>
      <c r="K3835" s="20" t="s">
        <v>250</v>
      </c>
      <c r="L3835" s="20">
        <v>872000000</v>
      </c>
      <c r="M3835" s="20" t="s">
        <v>245</v>
      </c>
      <c r="N3835" s="20" t="s">
        <v>2739</v>
      </c>
    </row>
    <row r="3836" spans="1:14" hidden="1" x14ac:dyDescent="0.25">
      <c r="A3836" s="19">
        <v>45931</v>
      </c>
      <c r="B3836" s="20" t="s">
        <v>535</v>
      </c>
      <c r="C3836" s="20">
        <v>8</v>
      </c>
      <c r="D3836" s="20" t="s">
        <v>238</v>
      </c>
      <c r="E3836" s="20" t="s">
        <v>2341</v>
      </c>
      <c r="F3836" s="20" t="s">
        <v>548</v>
      </c>
      <c r="G3836" s="20" t="s">
        <v>158</v>
      </c>
      <c r="H3836" s="20"/>
      <c r="I3836" s="20"/>
      <c r="J3836" s="20" t="s">
        <v>202</v>
      </c>
      <c r="K3836" s="20" t="s">
        <v>250</v>
      </c>
      <c r="L3836" s="20">
        <v>516000</v>
      </c>
      <c r="M3836" s="20" t="s">
        <v>242</v>
      </c>
      <c r="N3836" s="20" t="s">
        <v>2397</v>
      </c>
    </row>
    <row r="3837" spans="1:14" hidden="1" x14ac:dyDescent="0.25">
      <c r="A3837" s="19">
        <v>45931</v>
      </c>
      <c r="B3837" s="20" t="s">
        <v>535</v>
      </c>
      <c r="C3837" s="20">
        <v>8</v>
      </c>
      <c r="D3837" s="20" t="s">
        <v>238</v>
      </c>
      <c r="E3837" s="20" t="s">
        <v>2341</v>
      </c>
      <c r="F3837" s="20" t="s">
        <v>349</v>
      </c>
      <c r="G3837" s="20" t="s">
        <v>158</v>
      </c>
      <c r="H3837" s="20"/>
      <c r="I3837" s="20"/>
      <c r="J3837" s="20" t="s">
        <v>202</v>
      </c>
      <c r="K3837" s="20" t="s">
        <v>250</v>
      </c>
      <c r="L3837" s="20">
        <v>15100</v>
      </c>
      <c r="M3837" s="20" t="s">
        <v>242</v>
      </c>
      <c r="N3837" s="20" t="s">
        <v>2740</v>
      </c>
    </row>
    <row r="3838" spans="1:14" hidden="1" x14ac:dyDescent="0.25">
      <c r="A3838" s="19">
        <v>45931</v>
      </c>
      <c r="B3838" s="20" t="s">
        <v>535</v>
      </c>
      <c r="C3838" s="20">
        <v>8</v>
      </c>
      <c r="D3838" s="20" t="s">
        <v>238</v>
      </c>
      <c r="E3838" s="20" t="s">
        <v>2341</v>
      </c>
      <c r="F3838" s="20" t="s">
        <v>551</v>
      </c>
      <c r="G3838" s="20" t="s">
        <v>158</v>
      </c>
      <c r="H3838" s="20"/>
      <c r="I3838" s="20"/>
      <c r="J3838" s="20" t="s">
        <v>202</v>
      </c>
      <c r="K3838" s="20" t="s">
        <v>250</v>
      </c>
      <c r="L3838" s="20">
        <v>3660000000</v>
      </c>
      <c r="M3838" s="20" t="s">
        <v>245</v>
      </c>
      <c r="N3838" s="20" t="s">
        <v>2741</v>
      </c>
    </row>
    <row r="3839" spans="1:14" hidden="1" x14ac:dyDescent="0.25">
      <c r="A3839" s="19">
        <v>45931</v>
      </c>
      <c r="B3839" s="20" t="s">
        <v>535</v>
      </c>
      <c r="C3839" s="20">
        <v>8</v>
      </c>
      <c r="D3839" s="20" t="s">
        <v>238</v>
      </c>
      <c r="E3839" s="20" t="s">
        <v>2341</v>
      </c>
      <c r="F3839" s="20" t="s">
        <v>361</v>
      </c>
      <c r="G3839" s="20" t="s">
        <v>158</v>
      </c>
      <c r="H3839" s="20"/>
      <c r="I3839" s="20"/>
      <c r="J3839" s="20" t="s">
        <v>202</v>
      </c>
      <c r="K3839" s="20" t="s">
        <v>250</v>
      </c>
      <c r="L3839" s="20">
        <v>80000000</v>
      </c>
      <c r="M3839" s="20" t="s">
        <v>245</v>
      </c>
      <c r="N3839" s="20" t="s">
        <v>2742</v>
      </c>
    </row>
    <row r="3840" spans="1:14" hidden="1" x14ac:dyDescent="0.25">
      <c r="A3840" s="19">
        <v>45931</v>
      </c>
      <c r="B3840" s="20" t="s">
        <v>35</v>
      </c>
      <c r="C3840" s="20">
        <v>10</v>
      </c>
      <c r="D3840" s="20" t="s">
        <v>238</v>
      </c>
      <c r="E3840" s="20" t="s">
        <v>2341</v>
      </c>
      <c r="F3840" s="20" t="s">
        <v>240</v>
      </c>
      <c r="G3840" s="20" t="s">
        <v>82</v>
      </c>
      <c r="H3840" s="20"/>
      <c r="I3840" s="20"/>
      <c r="J3840" s="20" t="s">
        <v>2743</v>
      </c>
      <c r="K3840" s="20" t="s">
        <v>241</v>
      </c>
      <c r="L3840" s="20">
        <v>133900000</v>
      </c>
      <c r="M3840" s="20" t="s">
        <v>242</v>
      </c>
      <c r="N3840" s="20" t="s">
        <v>2744</v>
      </c>
    </row>
    <row r="3841" spans="1:14" hidden="1" x14ac:dyDescent="0.25">
      <c r="A3841" s="19">
        <v>45931</v>
      </c>
      <c r="B3841" s="20" t="s">
        <v>35</v>
      </c>
      <c r="C3841" s="20">
        <v>10</v>
      </c>
      <c r="D3841" s="20" t="s">
        <v>238</v>
      </c>
      <c r="E3841" s="20" t="s">
        <v>2341</v>
      </c>
      <c r="F3841" s="20" t="s">
        <v>244</v>
      </c>
      <c r="G3841" s="20" t="s">
        <v>82</v>
      </c>
      <c r="H3841" s="20"/>
      <c r="I3841" s="20"/>
      <c r="J3841" s="20" t="s">
        <v>2743</v>
      </c>
      <c r="K3841" s="20" t="s">
        <v>241</v>
      </c>
      <c r="L3841" s="20">
        <v>16360000000</v>
      </c>
      <c r="M3841" s="20" t="s">
        <v>245</v>
      </c>
      <c r="N3841" s="20" t="s">
        <v>2745</v>
      </c>
    </row>
    <row r="3842" spans="1:14" hidden="1" x14ac:dyDescent="0.25">
      <c r="A3842" s="19">
        <v>45931</v>
      </c>
      <c r="B3842" s="20" t="s">
        <v>35</v>
      </c>
      <c r="C3842" s="20">
        <v>11</v>
      </c>
      <c r="D3842" s="20" t="s">
        <v>253</v>
      </c>
      <c r="E3842" s="20" t="s">
        <v>2359</v>
      </c>
      <c r="F3842" s="20" t="s">
        <v>285</v>
      </c>
      <c r="G3842" s="20" t="s">
        <v>63</v>
      </c>
      <c r="H3842" s="20"/>
      <c r="I3842" s="20"/>
      <c r="J3842" s="20" t="s">
        <v>200</v>
      </c>
      <c r="K3842" s="20" t="s">
        <v>255</v>
      </c>
      <c r="L3842" s="20">
        <v>1960000</v>
      </c>
      <c r="M3842" s="20" t="s">
        <v>242</v>
      </c>
      <c r="N3842" s="20" t="s">
        <v>2360</v>
      </c>
    </row>
    <row r="3843" spans="1:14" hidden="1" x14ac:dyDescent="0.25">
      <c r="A3843" s="19">
        <v>45931</v>
      </c>
      <c r="B3843" s="20" t="s">
        <v>35</v>
      </c>
      <c r="C3843" s="20">
        <v>11</v>
      </c>
      <c r="D3843" s="20" t="s">
        <v>253</v>
      </c>
      <c r="E3843" s="20" t="s">
        <v>2359</v>
      </c>
      <c r="F3843" s="20" t="s">
        <v>285</v>
      </c>
      <c r="G3843" s="20" t="s">
        <v>63</v>
      </c>
      <c r="H3843" s="20"/>
      <c r="I3843" s="20"/>
      <c r="J3843" s="20" t="s">
        <v>201</v>
      </c>
      <c r="K3843" s="20" t="s">
        <v>255</v>
      </c>
      <c r="L3843" s="20">
        <v>2000000</v>
      </c>
      <c r="M3843" s="20" t="s">
        <v>242</v>
      </c>
      <c r="N3843" s="20" t="s">
        <v>2583</v>
      </c>
    </row>
    <row r="3844" spans="1:14" hidden="1" x14ac:dyDescent="0.25">
      <c r="A3844" s="19">
        <v>45931</v>
      </c>
      <c r="B3844" s="20" t="s">
        <v>35</v>
      </c>
      <c r="C3844" s="20">
        <v>11</v>
      </c>
      <c r="D3844" s="20" t="s">
        <v>253</v>
      </c>
      <c r="E3844" s="20" t="s">
        <v>2359</v>
      </c>
      <c r="F3844" s="20" t="s">
        <v>285</v>
      </c>
      <c r="G3844" s="20" t="s">
        <v>63</v>
      </c>
      <c r="H3844" s="20"/>
      <c r="I3844" s="20"/>
      <c r="J3844" s="20" t="s">
        <v>202</v>
      </c>
      <c r="K3844" s="20" t="s">
        <v>255</v>
      </c>
      <c r="L3844" s="20">
        <v>2060000</v>
      </c>
      <c r="M3844" s="20" t="s">
        <v>242</v>
      </c>
      <c r="N3844" s="20" t="s">
        <v>2746</v>
      </c>
    </row>
    <row r="3845" spans="1:14" hidden="1" x14ac:dyDescent="0.25">
      <c r="A3845" s="19">
        <v>45931</v>
      </c>
      <c r="B3845" s="20" t="s">
        <v>35</v>
      </c>
      <c r="C3845" s="20">
        <v>11</v>
      </c>
      <c r="D3845" s="20" t="s">
        <v>247</v>
      </c>
      <c r="E3845" s="20" t="s">
        <v>2554</v>
      </c>
      <c r="F3845" s="20" t="s">
        <v>2555</v>
      </c>
      <c r="G3845" s="20" t="s">
        <v>63</v>
      </c>
      <c r="H3845" s="20" t="s">
        <v>286</v>
      </c>
      <c r="I3845" s="20"/>
      <c r="J3845" s="20" t="s">
        <v>202</v>
      </c>
      <c r="K3845" s="20" t="s">
        <v>250</v>
      </c>
      <c r="L3845" s="20">
        <v>2.7</v>
      </c>
      <c r="M3845" s="20" t="s">
        <v>251</v>
      </c>
      <c r="N3845" s="20" t="s">
        <v>574</v>
      </c>
    </row>
    <row r="3846" spans="1:14" hidden="1" x14ac:dyDescent="0.25">
      <c r="A3846" s="19">
        <v>45931</v>
      </c>
      <c r="B3846" s="20" t="s">
        <v>35</v>
      </c>
      <c r="C3846" s="20">
        <v>12</v>
      </c>
      <c r="D3846" s="20" t="s">
        <v>291</v>
      </c>
      <c r="E3846" s="20" t="s">
        <v>2361</v>
      </c>
      <c r="F3846" s="20" t="s">
        <v>2362</v>
      </c>
      <c r="G3846" s="20" t="s">
        <v>63</v>
      </c>
      <c r="H3846" s="20" t="s">
        <v>64</v>
      </c>
      <c r="I3846" s="20"/>
      <c r="J3846" s="20" t="s">
        <v>202</v>
      </c>
      <c r="K3846" s="20" t="s">
        <v>250</v>
      </c>
      <c r="L3846" s="20">
        <v>1980000</v>
      </c>
      <c r="M3846" s="20" t="s">
        <v>242</v>
      </c>
      <c r="N3846" s="20" t="s">
        <v>2747</v>
      </c>
    </row>
    <row r="3847" spans="1:14" hidden="1" x14ac:dyDescent="0.25">
      <c r="A3847" s="19">
        <v>45931</v>
      </c>
      <c r="B3847" s="20" t="s">
        <v>35</v>
      </c>
      <c r="C3847" s="20">
        <v>12</v>
      </c>
      <c r="D3847" s="20" t="s">
        <v>291</v>
      </c>
      <c r="E3847" s="20" t="s">
        <v>2361</v>
      </c>
      <c r="F3847" s="20" t="s">
        <v>2362</v>
      </c>
      <c r="G3847" s="20" t="s">
        <v>63</v>
      </c>
      <c r="H3847" s="20" t="s">
        <v>65</v>
      </c>
      <c r="I3847" s="20"/>
      <c r="J3847" s="20" t="s">
        <v>202</v>
      </c>
      <c r="K3847" s="20" t="s">
        <v>250</v>
      </c>
      <c r="L3847" s="20">
        <v>80300</v>
      </c>
      <c r="M3847" s="20" t="s">
        <v>242</v>
      </c>
      <c r="N3847" s="20" t="s">
        <v>2748</v>
      </c>
    </row>
    <row r="3848" spans="1:14" hidden="1" x14ac:dyDescent="0.25">
      <c r="A3848" s="19">
        <v>45931</v>
      </c>
      <c r="B3848" s="20" t="s">
        <v>35</v>
      </c>
      <c r="C3848" s="20">
        <v>13</v>
      </c>
      <c r="D3848" s="20" t="s">
        <v>291</v>
      </c>
      <c r="E3848" s="20" t="s">
        <v>2361</v>
      </c>
      <c r="F3848" s="20" t="s">
        <v>2362</v>
      </c>
      <c r="G3848" s="20" t="s">
        <v>63</v>
      </c>
      <c r="H3848" s="20" t="s">
        <v>2364</v>
      </c>
      <c r="I3848" s="20"/>
      <c r="J3848" s="20" t="s">
        <v>202</v>
      </c>
      <c r="K3848" s="20" t="s">
        <v>250</v>
      </c>
      <c r="L3848" s="20">
        <v>1260000</v>
      </c>
      <c r="M3848" s="20" t="s">
        <v>242</v>
      </c>
      <c r="N3848" s="20" t="s">
        <v>782</v>
      </c>
    </row>
    <row r="3849" spans="1:14" hidden="1" x14ac:dyDescent="0.25">
      <c r="A3849" s="19">
        <v>45931</v>
      </c>
      <c r="B3849" s="20" t="s">
        <v>35</v>
      </c>
      <c r="C3849" s="20">
        <v>13</v>
      </c>
      <c r="D3849" s="20" t="s">
        <v>291</v>
      </c>
      <c r="E3849" s="20" t="s">
        <v>2361</v>
      </c>
      <c r="F3849" s="20" t="s">
        <v>2362</v>
      </c>
      <c r="G3849" s="20" t="s">
        <v>63</v>
      </c>
      <c r="H3849" s="20" t="s">
        <v>2366</v>
      </c>
      <c r="I3849" s="20"/>
      <c r="J3849" s="20" t="s">
        <v>202</v>
      </c>
      <c r="K3849" s="20" t="s">
        <v>250</v>
      </c>
      <c r="L3849" s="20">
        <v>730000</v>
      </c>
      <c r="M3849" s="20" t="s">
        <v>242</v>
      </c>
      <c r="N3849" s="20" t="s">
        <v>2749</v>
      </c>
    </row>
    <row r="3850" spans="1:14" x14ac:dyDescent="0.25">
      <c r="A3850" s="19">
        <v>45931</v>
      </c>
      <c r="B3850" s="20" t="s">
        <v>35</v>
      </c>
      <c r="C3850" s="20">
        <v>14</v>
      </c>
      <c r="D3850" s="20" t="s">
        <v>291</v>
      </c>
      <c r="E3850" s="20" t="s">
        <v>2361</v>
      </c>
      <c r="F3850" s="20" t="s">
        <v>285</v>
      </c>
      <c r="G3850" s="20" t="s">
        <v>63</v>
      </c>
      <c r="H3850" s="20" t="s">
        <v>77</v>
      </c>
      <c r="I3850" s="20"/>
      <c r="J3850" s="20" t="s">
        <v>202</v>
      </c>
      <c r="K3850" s="20" t="s">
        <v>250</v>
      </c>
      <c r="L3850" s="20">
        <v>9000</v>
      </c>
      <c r="M3850" s="20" t="s">
        <v>242</v>
      </c>
      <c r="N3850" s="20" t="s">
        <v>2368</v>
      </c>
    </row>
    <row r="3851" spans="1:14" x14ac:dyDescent="0.25">
      <c r="A3851" s="19">
        <v>45931</v>
      </c>
      <c r="B3851" s="20" t="s">
        <v>35</v>
      </c>
      <c r="C3851" s="20">
        <v>14</v>
      </c>
      <c r="D3851" s="20" t="s">
        <v>291</v>
      </c>
      <c r="E3851" s="20" t="s">
        <v>2361</v>
      </c>
      <c r="F3851" s="20" t="s">
        <v>285</v>
      </c>
      <c r="G3851" s="20" t="s">
        <v>63</v>
      </c>
      <c r="H3851" s="20" t="s">
        <v>70</v>
      </c>
      <c r="I3851" s="20"/>
      <c r="J3851" s="20" t="s">
        <v>202</v>
      </c>
      <c r="K3851" s="20" t="s">
        <v>250</v>
      </c>
      <c r="L3851" s="20">
        <v>748000</v>
      </c>
      <c r="M3851" s="20" t="s">
        <v>242</v>
      </c>
      <c r="N3851" s="20" t="s">
        <v>2750</v>
      </c>
    </row>
    <row r="3852" spans="1:14" x14ac:dyDescent="0.25">
      <c r="A3852" s="19">
        <v>45931</v>
      </c>
      <c r="B3852" s="20" t="s">
        <v>35</v>
      </c>
      <c r="C3852" s="20">
        <v>14</v>
      </c>
      <c r="D3852" s="20" t="s">
        <v>291</v>
      </c>
      <c r="E3852" s="20" t="s">
        <v>2361</v>
      </c>
      <c r="F3852" s="20" t="s">
        <v>285</v>
      </c>
      <c r="G3852" s="20" t="s">
        <v>63</v>
      </c>
      <c r="H3852" s="20" t="s">
        <v>71</v>
      </c>
      <c r="I3852" s="20"/>
      <c r="J3852" s="20" t="s">
        <v>202</v>
      </c>
      <c r="K3852" s="20" t="s">
        <v>250</v>
      </c>
      <c r="L3852" s="20">
        <v>528000</v>
      </c>
      <c r="M3852" s="20" t="s">
        <v>242</v>
      </c>
      <c r="N3852" s="20" t="s">
        <v>2751</v>
      </c>
    </row>
    <row r="3853" spans="1:14" x14ac:dyDescent="0.25">
      <c r="A3853" s="19">
        <v>45931</v>
      </c>
      <c r="B3853" s="20" t="s">
        <v>35</v>
      </c>
      <c r="C3853" s="20">
        <v>14</v>
      </c>
      <c r="D3853" s="20" t="s">
        <v>291</v>
      </c>
      <c r="E3853" s="20" t="s">
        <v>2361</v>
      </c>
      <c r="F3853" s="20" t="s">
        <v>285</v>
      </c>
      <c r="G3853" s="20" t="s">
        <v>63</v>
      </c>
      <c r="H3853" s="20" t="s">
        <v>72</v>
      </c>
      <c r="I3853" s="20"/>
      <c r="J3853" s="20" t="s">
        <v>202</v>
      </c>
      <c r="K3853" s="20" t="s">
        <v>250</v>
      </c>
      <c r="L3853" s="20">
        <v>364000</v>
      </c>
      <c r="M3853" s="20" t="s">
        <v>242</v>
      </c>
      <c r="N3853" s="20" t="s">
        <v>2752</v>
      </c>
    </row>
    <row r="3854" spans="1:14" x14ac:dyDescent="0.25">
      <c r="A3854" s="19">
        <v>45931</v>
      </c>
      <c r="B3854" s="20" t="s">
        <v>35</v>
      </c>
      <c r="C3854" s="20">
        <v>14</v>
      </c>
      <c r="D3854" s="20" t="s">
        <v>291</v>
      </c>
      <c r="E3854" s="20" t="s">
        <v>2361</v>
      </c>
      <c r="F3854" s="20" t="s">
        <v>285</v>
      </c>
      <c r="G3854" s="20" t="s">
        <v>63</v>
      </c>
      <c r="H3854" s="20" t="s">
        <v>73</v>
      </c>
      <c r="I3854" s="20"/>
      <c r="J3854" s="20" t="s">
        <v>202</v>
      </c>
      <c r="K3854" s="20" t="s">
        <v>250</v>
      </c>
      <c r="L3854" s="20">
        <v>225000</v>
      </c>
      <c r="M3854" s="20" t="s">
        <v>242</v>
      </c>
      <c r="N3854" s="20" t="s">
        <v>2467</v>
      </c>
    </row>
    <row r="3855" spans="1:14" x14ac:dyDescent="0.25">
      <c r="A3855" s="19">
        <v>45931</v>
      </c>
      <c r="B3855" s="20" t="s">
        <v>35</v>
      </c>
      <c r="C3855" s="20">
        <v>14</v>
      </c>
      <c r="D3855" s="20" t="s">
        <v>291</v>
      </c>
      <c r="E3855" s="20" t="s">
        <v>2361</v>
      </c>
      <c r="F3855" s="20" t="s">
        <v>285</v>
      </c>
      <c r="G3855" s="20" t="s">
        <v>63</v>
      </c>
      <c r="H3855" s="20" t="s">
        <v>74</v>
      </c>
      <c r="I3855" s="20"/>
      <c r="J3855" s="20" t="s">
        <v>202</v>
      </c>
      <c r="K3855" s="20" t="s">
        <v>250</v>
      </c>
      <c r="L3855" s="20">
        <v>104000</v>
      </c>
      <c r="M3855" s="20" t="s">
        <v>242</v>
      </c>
      <c r="N3855" s="20" t="s">
        <v>2753</v>
      </c>
    </row>
    <row r="3856" spans="1:14" x14ac:dyDescent="0.25">
      <c r="A3856" s="19">
        <v>45931</v>
      </c>
      <c r="B3856" s="20" t="s">
        <v>35</v>
      </c>
      <c r="C3856" s="20">
        <v>14</v>
      </c>
      <c r="D3856" s="20" t="s">
        <v>291</v>
      </c>
      <c r="E3856" s="20" t="s">
        <v>2361</v>
      </c>
      <c r="F3856" s="20" t="s">
        <v>285</v>
      </c>
      <c r="G3856" s="20" t="s">
        <v>63</v>
      </c>
      <c r="H3856" s="20" t="s">
        <v>75</v>
      </c>
      <c r="I3856" s="20"/>
      <c r="J3856" s="20" t="s">
        <v>202</v>
      </c>
      <c r="K3856" s="20" t="s">
        <v>250</v>
      </c>
      <c r="L3856" s="20">
        <v>28000</v>
      </c>
      <c r="M3856" s="20" t="s">
        <v>242</v>
      </c>
      <c r="N3856" s="20" t="s">
        <v>587</v>
      </c>
    </row>
    <row r="3857" spans="1:14" x14ac:dyDescent="0.25">
      <c r="A3857" s="19">
        <v>45931</v>
      </c>
      <c r="B3857" s="20" t="s">
        <v>35</v>
      </c>
      <c r="C3857" s="20">
        <v>14</v>
      </c>
      <c r="D3857" s="20" t="s">
        <v>291</v>
      </c>
      <c r="E3857" s="20" t="s">
        <v>2361</v>
      </c>
      <c r="F3857" s="20" t="s">
        <v>285</v>
      </c>
      <c r="G3857" s="20" t="s">
        <v>63</v>
      </c>
      <c r="H3857" s="20" t="s">
        <v>76</v>
      </c>
      <c r="I3857" s="20"/>
      <c r="J3857" s="20" t="s">
        <v>202</v>
      </c>
      <c r="K3857" s="20" t="s">
        <v>250</v>
      </c>
      <c r="L3857" s="20">
        <v>6000</v>
      </c>
      <c r="M3857" s="20" t="s">
        <v>242</v>
      </c>
      <c r="N3857" s="20" t="s">
        <v>2375</v>
      </c>
    </row>
    <row r="3858" spans="1:14" hidden="1" x14ac:dyDescent="0.25">
      <c r="A3858" s="19">
        <v>45931</v>
      </c>
      <c r="B3858" s="20" t="s">
        <v>35</v>
      </c>
      <c r="C3858" s="20">
        <v>15</v>
      </c>
      <c r="D3858" s="20" t="s">
        <v>291</v>
      </c>
      <c r="E3858" s="20" t="s">
        <v>2361</v>
      </c>
      <c r="F3858" s="20" t="s">
        <v>2362</v>
      </c>
      <c r="G3858" s="20" t="s">
        <v>63</v>
      </c>
      <c r="H3858" s="20" t="s">
        <v>79</v>
      </c>
      <c r="I3858" s="20"/>
      <c r="J3858" s="20" t="s">
        <v>202</v>
      </c>
      <c r="K3858" s="20" t="s">
        <v>250</v>
      </c>
      <c r="L3858" s="20">
        <v>2010000</v>
      </c>
      <c r="M3858" s="20" t="s">
        <v>242</v>
      </c>
      <c r="N3858" s="20" t="s">
        <v>670</v>
      </c>
    </row>
    <row r="3859" spans="1:14" hidden="1" x14ac:dyDescent="0.25">
      <c r="A3859" s="19">
        <v>45931</v>
      </c>
      <c r="B3859" s="20" t="s">
        <v>35</v>
      </c>
      <c r="C3859" s="20">
        <v>15</v>
      </c>
      <c r="D3859" s="20" t="s">
        <v>291</v>
      </c>
      <c r="E3859" s="20" t="s">
        <v>2361</v>
      </c>
      <c r="F3859" s="20" t="s">
        <v>2362</v>
      </c>
      <c r="G3859" s="20" t="s">
        <v>63</v>
      </c>
      <c r="H3859" s="20" t="s">
        <v>80</v>
      </c>
      <c r="I3859" s="20"/>
      <c r="J3859" s="20" t="s">
        <v>202</v>
      </c>
      <c r="K3859" s="20" t="s">
        <v>250</v>
      </c>
      <c r="L3859" s="20">
        <v>45600</v>
      </c>
      <c r="M3859" s="20" t="s">
        <v>242</v>
      </c>
      <c r="N3859" s="20" t="s">
        <v>2754</v>
      </c>
    </row>
    <row r="3860" spans="1:14" hidden="1" x14ac:dyDescent="0.25">
      <c r="A3860" s="19">
        <v>45931</v>
      </c>
      <c r="B3860" s="20" t="s">
        <v>35</v>
      </c>
      <c r="C3860" s="20">
        <v>16</v>
      </c>
      <c r="D3860" s="20" t="s">
        <v>253</v>
      </c>
      <c r="E3860" s="20" t="s">
        <v>2359</v>
      </c>
      <c r="F3860" s="20" t="s">
        <v>240</v>
      </c>
      <c r="G3860" s="20" t="s">
        <v>82</v>
      </c>
      <c r="H3860" s="20"/>
      <c r="I3860" s="20"/>
      <c r="J3860" s="20" t="s">
        <v>200</v>
      </c>
      <c r="K3860" s="20" t="s">
        <v>255</v>
      </c>
      <c r="L3860" s="20">
        <v>15770000</v>
      </c>
      <c r="M3860" s="20" t="s">
        <v>242</v>
      </c>
      <c r="N3860" s="20" t="s">
        <v>2377</v>
      </c>
    </row>
    <row r="3861" spans="1:14" hidden="1" x14ac:dyDescent="0.25">
      <c r="A3861" s="19">
        <v>45931</v>
      </c>
      <c r="B3861" s="20" t="s">
        <v>35</v>
      </c>
      <c r="C3861" s="20">
        <v>16</v>
      </c>
      <c r="D3861" s="20" t="s">
        <v>253</v>
      </c>
      <c r="E3861" s="20" t="s">
        <v>2359</v>
      </c>
      <c r="F3861" s="20" t="s">
        <v>240</v>
      </c>
      <c r="G3861" s="20" t="s">
        <v>82</v>
      </c>
      <c r="H3861" s="20"/>
      <c r="I3861" s="20"/>
      <c r="J3861" s="20" t="s">
        <v>201</v>
      </c>
      <c r="K3861" s="20" t="s">
        <v>255</v>
      </c>
      <c r="L3861" s="20">
        <v>15580000</v>
      </c>
      <c r="M3861" s="20" t="s">
        <v>242</v>
      </c>
      <c r="N3861" s="20" t="s">
        <v>2593</v>
      </c>
    </row>
    <row r="3862" spans="1:14" hidden="1" x14ac:dyDescent="0.25">
      <c r="A3862" s="19">
        <v>45931</v>
      </c>
      <c r="B3862" s="20" t="s">
        <v>35</v>
      </c>
      <c r="C3862" s="20">
        <v>16</v>
      </c>
      <c r="D3862" s="20" t="s">
        <v>253</v>
      </c>
      <c r="E3862" s="20" t="s">
        <v>2359</v>
      </c>
      <c r="F3862" s="20" t="s">
        <v>240</v>
      </c>
      <c r="G3862" s="20" t="s">
        <v>82</v>
      </c>
      <c r="H3862" s="20"/>
      <c r="I3862" s="20"/>
      <c r="J3862" s="20" t="s">
        <v>202</v>
      </c>
      <c r="K3862" s="20" t="s">
        <v>255</v>
      </c>
      <c r="L3862" s="20">
        <v>16590000</v>
      </c>
      <c r="M3862" s="20" t="s">
        <v>242</v>
      </c>
      <c r="N3862" s="20" t="s">
        <v>2755</v>
      </c>
    </row>
    <row r="3863" spans="1:14" hidden="1" x14ac:dyDescent="0.25">
      <c r="A3863" s="19">
        <v>45931</v>
      </c>
      <c r="B3863" s="20" t="s">
        <v>35</v>
      </c>
      <c r="C3863" s="20">
        <v>16</v>
      </c>
      <c r="D3863" s="20" t="s">
        <v>247</v>
      </c>
      <c r="E3863" s="20" t="s">
        <v>2554</v>
      </c>
      <c r="F3863" s="20" t="s">
        <v>2556</v>
      </c>
      <c r="G3863" s="20" t="s">
        <v>82</v>
      </c>
      <c r="H3863" s="20" t="s">
        <v>286</v>
      </c>
      <c r="I3863" s="20"/>
      <c r="J3863" s="20" t="s">
        <v>202</v>
      </c>
      <c r="K3863" s="20" t="s">
        <v>250</v>
      </c>
      <c r="L3863" s="20">
        <v>6.5</v>
      </c>
      <c r="M3863" s="20" t="s">
        <v>251</v>
      </c>
      <c r="N3863" s="20" t="s">
        <v>2756</v>
      </c>
    </row>
    <row r="3864" spans="1:14" hidden="1" x14ac:dyDescent="0.25">
      <c r="A3864" s="19">
        <v>45931</v>
      </c>
      <c r="B3864" s="20" t="s">
        <v>35</v>
      </c>
      <c r="C3864" s="20">
        <v>17</v>
      </c>
      <c r="D3864" s="20" t="s">
        <v>291</v>
      </c>
      <c r="E3864" s="20" t="s">
        <v>2361</v>
      </c>
      <c r="F3864" s="20" t="s">
        <v>240</v>
      </c>
      <c r="G3864" s="20" t="s">
        <v>82</v>
      </c>
      <c r="H3864" s="20" t="s">
        <v>83</v>
      </c>
      <c r="I3864" s="20"/>
      <c r="J3864" s="20" t="s">
        <v>202</v>
      </c>
      <c r="K3864" s="20" t="s">
        <v>250</v>
      </c>
      <c r="L3864" s="20">
        <v>13300000</v>
      </c>
      <c r="M3864" s="20" t="s">
        <v>242</v>
      </c>
      <c r="N3864" s="20" t="s">
        <v>2757</v>
      </c>
    </row>
    <row r="3865" spans="1:14" hidden="1" x14ac:dyDescent="0.25">
      <c r="A3865" s="19">
        <v>45931</v>
      </c>
      <c r="B3865" s="20" t="s">
        <v>35</v>
      </c>
      <c r="C3865" s="20">
        <v>17</v>
      </c>
      <c r="D3865" s="20" t="s">
        <v>291</v>
      </c>
      <c r="E3865" s="20" t="s">
        <v>2361</v>
      </c>
      <c r="F3865" s="20" t="s">
        <v>240</v>
      </c>
      <c r="G3865" s="20" t="s">
        <v>82</v>
      </c>
      <c r="H3865" s="20" t="s">
        <v>84</v>
      </c>
      <c r="I3865" s="20"/>
      <c r="J3865" s="20" t="s">
        <v>202</v>
      </c>
      <c r="K3865" s="20" t="s">
        <v>250</v>
      </c>
      <c r="L3865" s="20">
        <v>3280000</v>
      </c>
      <c r="M3865" s="20" t="s">
        <v>242</v>
      </c>
      <c r="N3865" s="20" t="s">
        <v>2595</v>
      </c>
    </row>
    <row r="3866" spans="1:14" hidden="1" x14ac:dyDescent="0.25">
      <c r="A3866" s="19">
        <v>45931</v>
      </c>
      <c r="B3866" s="20" t="s">
        <v>35</v>
      </c>
      <c r="C3866" s="20">
        <v>18</v>
      </c>
      <c r="D3866" s="20" t="s">
        <v>291</v>
      </c>
      <c r="E3866" s="20" t="s">
        <v>2361</v>
      </c>
      <c r="F3866" s="20" t="s">
        <v>240</v>
      </c>
      <c r="G3866" s="20" t="s">
        <v>82</v>
      </c>
      <c r="H3866" s="20" t="s">
        <v>83</v>
      </c>
      <c r="I3866" s="20" t="s">
        <v>315</v>
      </c>
      <c r="J3866" s="20" t="s">
        <v>202</v>
      </c>
      <c r="K3866" s="20" t="s">
        <v>250</v>
      </c>
      <c r="L3866" s="20"/>
      <c r="M3866" s="20" t="s">
        <v>251</v>
      </c>
      <c r="N3866" s="20" t="s">
        <v>2758</v>
      </c>
    </row>
    <row r="3867" spans="1:14" hidden="1" x14ac:dyDescent="0.25">
      <c r="A3867" s="19">
        <v>45931</v>
      </c>
      <c r="B3867" s="20" t="s">
        <v>35</v>
      </c>
      <c r="C3867" s="20">
        <v>18</v>
      </c>
      <c r="D3867" s="20" t="s">
        <v>291</v>
      </c>
      <c r="E3867" s="20" t="s">
        <v>2361</v>
      </c>
      <c r="F3867" s="20" t="s">
        <v>240</v>
      </c>
      <c r="G3867" s="20" t="s">
        <v>82</v>
      </c>
      <c r="H3867" s="20" t="s">
        <v>83</v>
      </c>
      <c r="I3867" s="20" t="s">
        <v>317</v>
      </c>
      <c r="J3867" s="20" t="s">
        <v>202</v>
      </c>
      <c r="K3867" s="20" t="s">
        <v>250</v>
      </c>
      <c r="L3867" s="20"/>
      <c r="M3867" s="20" t="s">
        <v>251</v>
      </c>
      <c r="N3867" s="20" t="s">
        <v>1876</v>
      </c>
    </row>
    <row r="3868" spans="1:14" hidden="1" x14ac:dyDescent="0.25">
      <c r="A3868" s="19">
        <v>45931</v>
      </c>
      <c r="B3868" s="20" t="s">
        <v>35</v>
      </c>
      <c r="C3868" s="20">
        <v>18</v>
      </c>
      <c r="D3868" s="20" t="s">
        <v>291</v>
      </c>
      <c r="E3868" s="20" t="s">
        <v>2361</v>
      </c>
      <c r="F3868" s="20" t="s">
        <v>240</v>
      </c>
      <c r="G3868" s="20" t="s">
        <v>82</v>
      </c>
      <c r="H3868" s="20" t="s">
        <v>83</v>
      </c>
      <c r="I3868" s="20" t="s">
        <v>313</v>
      </c>
      <c r="J3868" s="20" t="s">
        <v>202</v>
      </c>
      <c r="K3868" s="20" t="s">
        <v>250</v>
      </c>
      <c r="L3868" s="20"/>
      <c r="M3868" s="20" t="s">
        <v>251</v>
      </c>
      <c r="N3868" s="20" t="s">
        <v>2666</v>
      </c>
    </row>
    <row r="3869" spans="1:14" hidden="1" x14ac:dyDescent="0.25">
      <c r="A3869" s="19">
        <v>45931</v>
      </c>
      <c r="B3869" s="20" t="s">
        <v>35</v>
      </c>
      <c r="C3869" s="20">
        <v>18</v>
      </c>
      <c r="D3869" s="20" t="s">
        <v>291</v>
      </c>
      <c r="E3869" s="20" t="s">
        <v>2361</v>
      </c>
      <c r="F3869" s="20" t="s">
        <v>240</v>
      </c>
      <c r="G3869" s="20" t="s">
        <v>82</v>
      </c>
      <c r="H3869" s="20" t="s">
        <v>84</v>
      </c>
      <c r="I3869" s="20" t="s">
        <v>319</v>
      </c>
      <c r="J3869" s="20" t="s">
        <v>202</v>
      </c>
      <c r="K3869" s="20" t="s">
        <v>250</v>
      </c>
      <c r="L3869" s="20"/>
      <c r="M3869" s="20" t="s">
        <v>251</v>
      </c>
      <c r="N3869" s="20" t="s">
        <v>1333</v>
      </c>
    </row>
    <row r="3870" spans="1:14" hidden="1" x14ac:dyDescent="0.25">
      <c r="A3870" s="19">
        <v>45931</v>
      </c>
      <c r="B3870" s="20" t="s">
        <v>35</v>
      </c>
      <c r="C3870" s="20">
        <v>18</v>
      </c>
      <c r="D3870" s="20" t="s">
        <v>291</v>
      </c>
      <c r="E3870" s="20" t="s">
        <v>2361</v>
      </c>
      <c r="F3870" s="20" t="s">
        <v>240</v>
      </c>
      <c r="G3870" s="20" t="s">
        <v>82</v>
      </c>
      <c r="H3870" s="20" t="s">
        <v>84</v>
      </c>
      <c r="I3870" s="20" t="s">
        <v>321</v>
      </c>
      <c r="J3870" s="20" t="s">
        <v>202</v>
      </c>
      <c r="K3870" s="20" t="s">
        <v>250</v>
      </c>
      <c r="L3870" s="20"/>
      <c r="M3870" s="20" t="s">
        <v>251</v>
      </c>
      <c r="N3870" s="20" t="s">
        <v>483</v>
      </c>
    </row>
    <row r="3871" spans="1:14" hidden="1" x14ac:dyDescent="0.25">
      <c r="A3871" s="19">
        <v>45931</v>
      </c>
      <c r="B3871" s="20" t="s">
        <v>35</v>
      </c>
      <c r="C3871" s="20">
        <v>19</v>
      </c>
      <c r="D3871" s="20" t="s">
        <v>253</v>
      </c>
      <c r="E3871" s="20" t="s">
        <v>2359</v>
      </c>
      <c r="F3871" s="20" t="s">
        <v>244</v>
      </c>
      <c r="G3871" s="20" t="s">
        <v>82</v>
      </c>
      <c r="H3871" s="20"/>
      <c r="I3871" s="20"/>
      <c r="J3871" s="20" t="s">
        <v>200</v>
      </c>
      <c r="K3871" s="20" t="s">
        <v>255</v>
      </c>
      <c r="L3871" s="20">
        <v>1880000000</v>
      </c>
      <c r="M3871" s="20" t="s">
        <v>245</v>
      </c>
      <c r="N3871" s="20" t="s">
        <v>2596</v>
      </c>
    </row>
    <row r="3872" spans="1:14" hidden="1" x14ac:dyDescent="0.25">
      <c r="A3872" s="19">
        <v>45931</v>
      </c>
      <c r="B3872" s="20" t="s">
        <v>35</v>
      </c>
      <c r="C3872" s="20">
        <v>19</v>
      </c>
      <c r="D3872" s="20" t="s">
        <v>253</v>
      </c>
      <c r="E3872" s="20" t="s">
        <v>2359</v>
      </c>
      <c r="F3872" s="20" t="s">
        <v>244</v>
      </c>
      <c r="G3872" s="20" t="s">
        <v>82</v>
      </c>
      <c r="H3872" s="20"/>
      <c r="I3872" s="20"/>
      <c r="J3872" s="20" t="s">
        <v>201</v>
      </c>
      <c r="K3872" s="20" t="s">
        <v>255</v>
      </c>
      <c r="L3872" s="20">
        <v>1870000000</v>
      </c>
      <c r="M3872" s="20" t="s">
        <v>245</v>
      </c>
      <c r="N3872" s="20" t="s">
        <v>2597</v>
      </c>
    </row>
    <row r="3873" spans="1:14" hidden="1" x14ac:dyDescent="0.25">
      <c r="A3873" s="19">
        <v>45931</v>
      </c>
      <c r="B3873" s="20" t="s">
        <v>35</v>
      </c>
      <c r="C3873" s="20">
        <v>19</v>
      </c>
      <c r="D3873" s="20" t="s">
        <v>253</v>
      </c>
      <c r="E3873" s="20" t="s">
        <v>2359</v>
      </c>
      <c r="F3873" s="20" t="s">
        <v>244</v>
      </c>
      <c r="G3873" s="20" t="s">
        <v>82</v>
      </c>
      <c r="H3873" s="20"/>
      <c r="I3873" s="20"/>
      <c r="J3873" s="20" t="s">
        <v>202</v>
      </c>
      <c r="K3873" s="20" t="s">
        <v>255</v>
      </c>
      <c r="L3873" s="20">
        <v>1860000000</v>
      </c>
      <c r="M3873" s="20" t="s">
        <v>245</v>
      </c>
      <c r="N3873" s="20" t="s">
        <v>2204</v>
      </c>
    </row>
    <row r="3874" spans="1:14" hidden="1" x14ac:dyDescent="0.25">
      <c r="A3874" s="19">
        <v>45931</v>
      </c>
      <c r="B3874" s="20" t="s">
        <v>35</v>
      </c>
      <c r="C3874" s="20">
        <v>19</v>
      </c>
      <c r="D3874" s="20" t="s">
        <v>247</v>
      </c>
      <c r="E3874" s="20" t="s">
        <v>2554</v>
      </c>
      <c r="F3874" s="20" t="s">
        <v>2558</v>
      </c>
      <c r="G3874" s="20" t="s">
        <v>82</v>
      </c>
      <c r="H3874" s="20" t="s">
        <v>249</v>
      </c>
      <c r="I3874" s="20"/>
      <c r="J3874" s="20" t="s">
        <v>202</v>
      </c>
      <c r="K3874" s="20" t="s">
        <v>250</v>
      </c>
      <c r="L3874" s="20">
        <v>0.5</v>
      </c>
      <c r="M3874" s="20" t="s">
        <v>251</v>
      </c>
      <c r="N3874" s="20" t="s">
        <v>322</v>
      </c>
    </row>
    <row r="3875" spans="1:14" hidden="1" x14ac:dyDescent="0.25">
      <c r="A3875" s="19">
        <v>45931</v>
      </c>
      <c r="B3875" s="20" t="s">
        <v>35</v>
      </c>
      <c r="C3875" s="20">
        <v>20</v>
      </c>
      <c r="D3875" s="20" t="s">
        <v>291</v>
      </c>
      <c r="E3875" s="20" t="s">
        <v>2361</v>
      </c>
      <c r="F3875" s="20" t="s">
        <v>244</v>
      </c>
      <c r="G3875" s="20" t="s">
        <v>82</v>
      </c>
      <c r="H3875" s="20" t="s">
        <v>83</v>
      </c>
      <c r="I3875" s="20"/>
      <c r="J3875" s="20" t="s">
        <v>202</v>
      </c>
      <c r="K3875" s="20" t="s">
        <v>250</v>
      </c>
      <c r="L3875" s="20">
        <v>1350000000</v>
      </c>
      <c r="M3875" s="20" t="s">
        <v>245</v>
      </c>
      <c r="N3875" s="20" t="s">
        <v>2382</v>
      </c>
    </row>
    <row r="3876" spans="1:14" hidden="1" x14ac:dyDescent="0.25">
      <c r="A3876" s="19">
        <v>45931</v>
      </c>
      <c r="B3876" s="20" t="s">
        <v>35</v>
      </c>
      <c r="C3876" s="20">
        <v>20</v>
      </c>
      <c r="D3876" s="20" t="s">
        <v>291</v>
      </c>
      <c r="E3876" s="20" t="s">
        <v>2361</v>
      </c>
      <c r="F3876" s="20" t="s">
        <v>244</v>
      </c>
      <c r="G3876" s="20" t="s">
        <v>82</v>
      </c>
      <c r="H3876" s="20" t="s">
        <v>84</v>
      </c>
      <c r="I3876" s="20"/>
      <c r="J3876" s="20" t="s">
        <v>202</v>
      </c>
      <c r="K3876" s="20" t="s">
        <v>250</v>
      </c>
      <c r="L3876" s="20">
        <v>506200000</v>
      </c>
      <c r="M3876" s="20" t="s">
        <v>245</v>
      </c>
      <c r="N3876" s="20" t="s">
        <v>2759</v>
      </c>
    </row>
    <row r="3877" spans="1:14" hidden="1" x14ac:dyDescent="0.25">
      <c r="A3877" s="19">
        <v>45931</v>
      </c>
      <c r="B3877" s="20" t="s">
        <v>35</v>
      </c>
      <c r="C3877" s="20">
        <v>21</v>
      </c>
      <c r="D3877" s="20" t="s">
        <v>291</v>
      </c>
      <c r="E3877" s="20" t="s">
        <v>2361</v>
      </c>
      <c r="F3877" s="20" t="s">
        <v>244</v>
      </c>
      <c r="G3877" s="20" t="s">
        <v>82</v>
      </c>
      <c r="H3877" s="20" t="s">
        <v>83</v>
      </c>
      <c r="I3877" s="20" t="s">
        <v>315</v>
      </c>
      <c r="J3877" s="20" t="s">
        <v>202</v>
      </c>
      <c r="K3877" s="20" t="s">
        <v>250</v>
      </c>
      <c r="L3877" s="20"/>
      <c r="M3877" s="20" t="s">
        <v>251</v>
      </c>
      <c r="N3877" s="20" t="s">
        <v>2760</v>
      </c>
    </row>
    <row r="3878" spans="1:14" hidden="1" x14ac:dyDescent="0.25">
      <c r="A3878" s="19">
        <v>45931</v>
      </c>
      <c r="B3878" s="20" t="s">
        <v>35</v>
      </c>
      <c r="C3878" s="20">
        <v>21</v>
      </c>
      <c r="D3878" s="20" t="s">
        <v>291</v>
      </c>
      <c r="E3878" s="20" t="s">
        <v>2361</v>
      </c>
      <c r="F3878" s="20" t="s">
        <v>244</v>
      </c>
      <c r="G3878" s="20" t="s">
        <v>82</v>
      </c>
      <c r="H3878" s="20" t="s">
        <v>83</v>
      </c>
      <c r="I3878" s="20" t="s">
        <v>317</v>
      </c>
      <c r="J3878" s="20" t="s">
        <v>202</v>
      </c>
      <c r="K3878" s="20" t="s">
        <v>250</v>
      </c>
      <c r="L3878" s="20"/>
      <c r="M3878" s="20" t="s">
        <v>251</v>
      </c>
      <c r="N3878" s="20" t="s">
        <v>2761</v>
      </c>
    </row>
    <row r="3879" spans="1:14" hidden="1" x14ac:dyDescent="0.25">
      <c r="A3879" s="19">
        <v>45931</v>
      </c>
      <c r="B3879" s="20" t="s">
        <v>35</v>
      </c>
      <c r="C3879" s="20">
        <v>21</v>
      </c>
      <c r="D3879" s="20" t="s">
        <v>291</v>
      </c>
      <c r="E3879" s="20" t="s">
        <v>2361</v>
      </c>
      <c r="F3879" s="20" t="s">
        <v>244</v>
      </c>
      <c r="G3879" s="20" t="s">
        <v>82</v>
      </c>
      <c r="H3879" s="20" t="s">
        <v>83</v>
      </c>
      <c r="I3879" s="20" t="s">
        <v>313</v>
      </c>
      <c r="J3879" s="20" t="s">
        <v>202</v>
      </c>
      <c r="K3879" s="20" t="s">
        <v>250</v>
      </c>
      <c r="L3879" s="20"/>
      <c r="M3879" s="20" t="s">
        <v>251</v>
      </c>
      <c r="N3879" s="20" t="s">
        <v>1690</v>
      </c>
    </row>
    <row r="3880" spans="1:14" hidden="1" x14ac:dyDescent="0.25">
      <c r="A3880" s="19">
        <v>45931</v>
      </c>
      <c r="B3880" s="20" t="s">
        <v>35</v>
      </c>
      <c r="C3880" s="20">
        <v>21</v>
      </c>
      <c r="D3880" s="20" t="s">
        <v>291</v>
      </c>
      <c r="E3880" s="20" t="s">
        <v>2361</v>
      </c>
      <c r="F3880" s="20" t="s">
        <v>244</v>
      </c>
      <c r="G3880" s="20" t="s">
        <v>82</v>
      </c>
      <c r="H3880" s="20" t="s">
        <v>84</v>
      </c>
      <c r="I3880" s="20" t="s">
        <v>2385</v>
      </c>
      <c r="J3880" s="20" t="s">
        <v>202</v>
      </c>
      <c r="K3880" s="20" t="s">
        <v>250</v>
      </c>
      <c r="L3880" s="20"/>
      <c r="M3880" s="20" t="s">
        <v>251</v>
      </c>
      <c r="N3880" s="20" t="s">
        <v>602</v>
      </c>
    </row>
    <row r="3881" spans="1:14" hidden="1" x14ac:dyDescent="0.25">
      <c r="A3881" s="19">
        <v>45931</v>
      </c>
      <c r="B3881" s="20" t="s">
        <v>35</v>
      </c>
      <c r="C3881" s="20">
        <v>21</v>
      </c>
      <c r="D3881" s="20" t="s">
        <v>291</v>
      </c>
      <c r="E3881" s="20" t="s">
        <v>2361</v>
      </c>
      <c r="F3881" s="20" t="s">
        <v>244</v>
      </c>
      <c r="G3881" s="20" t="s">
        <v>82</v>
      </c>
      <c r="H3881" s="20" t="s">
        <v>84</v>
      </c>
      <c r="I3881" s="20" t="s">
        <v>321</v>
      </c>
      <c r="J3881" s="20" t="s">
        <v>202</v>
      </c>
      <c r="K3881" s="20" t="s">
        <v>250</v>
      </c>
      <c r="L3881" s="20"/>
      <c r="M3881" s="20" t="s">
        <v>251</v>
      </c>
      <c r="N3881" s="20" t="s">
        <v>603</v>
      </c>
    </row>
    <row r="3882" spans="1:14" hidden="1" x14ac:dyDescent="0.25">
      <c r="A3882" s="19">
        <v>45931</v>
      </c>
      <c r="B3882" s="20" t="s">
        <v>35</v>
      </c>
      <c r="C3882" s="20">
        <v>22</v>
      </c>
      <c r="D3882" s="20" t="s">
        <v>253</v>
      </c>
      <c r="E3882" s="20" t="s">
        <v>2359</v>
      </c>
      <c r="F3882" s="20" t="s">
        <v>334</v>
      </c>
      <c r="G3882" s="20" t="s">
        <v>82</v>
      </c>
      <c r="H3882" s="20"/>
      <c r="I3882" s="20"/>
      <c r="J3882" s="20" t="s">
        <v>200</v>
      </c>
      <c r="K3882" s="20" t="s">
        <v>255</v>
      </c>
      <c r="L3882" s="20">
        <v>119</v>
      </c>
      <c r="M3882" s="20" t="s">
        <v>245</v>
      </c>
      <c r="N3882" s="20" t="s">
        <v>1866</v>
      </c>
    </row>
    <row r="3883" spans="1:14" hidden="1" x14ac:dyDescent="0.25">
      <c r="A3883" s="19">
        <v>45931</v>
      </c>
      <c r="B3883" s="20" t="s">
        <v>35</v>
      </c>
      <c r="C3883" s="20">
        <v>22</v>
      </c>
      <c r="D3883" s="20" t="s">
        <v>253</v>
      </c>
      <c r="E3883" s="20" t="s">
        <v>2359</v>
      </c>
      <c r="F3883" s="20" t="s">
        <v>334</v>
      </c>
      <c r="G3883" s="20" t="s">
        <v>82</v>
      </c>
      <c r="H3883" s="20"/>
      <c r="I3883" s="20"/>
      <c r="J3883" s="20" t="s">
        <v>201</v>
      </c>
      <c r="K3883" s="20" t="s">
        <v>255</v>
      </c>
      <c r="L3883" s="20">
        <v>120</v>
      </c>
      <c r="M3883" s="20" t="s">
        <v>245</v>
      </c>
      <c r="N3883" s="20" t="s">
        <v>2600</v>
      </c>
    </row>
    <row r="3884" spans="1:14" hidden="1" x14ac:dyDescent="0.25">
      <c r="A3884" s="19">
        <v>45931</v>
      </c>
      <c r="B3884" s="20" t="s">
        <v>35</v>
      </c>
      <c r="C3884" s="20">
        <v>22</v>
      </c>
      <c r="D3884" s="20" t="s">
        <v>253</v>
      </c>
      <c r="E3884" s="20" t="s">
        <v>2359</v>
      </c>
      <c r="F3884" s="20" t="s">
        <v>334</v>
      </c>
      <c r="G3884" s="20" t="s">
        <v>82</v>
      </c>
      <c r="H3884" s="20"/>
      <c r="I3884" s="20"/>
      <c r="J3884" s="20" t="s">
        <v>202</v>
      </c>
      <c r="K3884" s="20" t="s">
        <v>255</v>
      </c>
      <c r="L3884" s="20">
        <v>112</v>
      </c>
      <c r="M3884" s="20" t="s">
        <v>245</v>
      </c>
      <c r="N3884" s="20" t="s">
        <v>2762</v>
      </c>
    </row>
    <row r="3885" spans="1:14" hidden="1" x14ac:dyDescent="0.25">
      <c r="A3885" s="19">
        <v>45931</v>
      </c>
      <c r="B3885" s="20" t="s">
        <v>35</v>
      </c>
      <c r="C3885" s="20">
        <v>23</v>
      </c>
      <c r="D3885" s="20" t="s">
        <v>291</v>
      </c>
      <c r="E3885" s="20" t="s">
        <v>2361</v>
      </c>
      <c r="F3885" s="20" t="s">
        <v>428</v>
      </c>
      <c r="G3885" s="20" t="s">
        <v>82</v>
      </c>
      <c r="H3885" s="20" t="s">
        <v>95</v>
      </c>
      <c r="I3885" s="20"/>
      <c r="J3885" s="20" t="s">
        <v>202</v>
      </c>
      <c r="K3885" s="20" t="s">
        <v>250</v>
      </c>
      <c r="L3885" s="20">
        <v>2500000</v>
      </c>
      <c r="M3885" s="20" t="s">
        <v>242</v>
      </c>
      <c r="N3885" s="20" t="s">
        <v>1646</v>
      </c>
    </row>
    <row r="3886" spans="1:14" hidden="1" x14ac:dyDescent="0.25">
      <c r="A3886" s="19">
        <v>45931</v>
      </c>
      <c r="B3886" s="20" t="s">
        <v>35</v>
      </c>
      <c r="C3886" s="20">
        <v>23</v>
      </c>
      <c r="D3886" s="20" t="s">
        <v>291</v>
      </c>
      <c r="E3886" s="20" t="s">
        <v>2361</v>
      </c>
      <c r="F3886" s="20" t="s">
        <v>428</v>
      </c>
      <c r="G3886" s="20" t="s">
        <v>82</v>
      </c>
      <c r="H3886" s="20" t="s">
        <v>94</v>
      </c>
      <c r="I3886" s="20"/>
      <c r="J3886" s="20" t="s">
        <v>202</v>
      </c>
      <c r="K3886" s="20" t="s">
        <v>250</v>
      </c>
      <c r="L3886" s="20">
        <v>6800000</v>
      </c>
      <c r="M3886" s="20" t="s">
        <v>242</v>
      </c>
      <c r="N3886" s="20" t="s">
        <v>311</v>
      </c>
    </row>
    <row r="3887" spans="1:14" hidden="1" x14ac:dyDescent="0.25">
      <c r="A3887" s="19">
        <v>45931</v>
      </c>
      <c r="B3887" s="20" t="s">
        <v>35</v>
      </c>
      <c r="C3887" s="20">
        <v>24</v>
      </c>
      <c r="D3887" s="20" t="s">
        <v>291</v>
      </c>
      <c r="E3887" s="20" t="s">
        <v>2361</v>
      </c>
      <c r="F3887" s="20" t="s">
        <v>445</v>
      </c>
      <c r="G3887" s="20" t="s">
        <v>82</v>
      </c>
      <c r="H3887" s="20" t="s">
        <v>95</v>
      </c>
      <c r="I3887" s="20"/>
      <c r="J3887" s="20" t="s">
        <v>202</v>
      </c>
      <c r="K3887" s="20" t="s">
        <v>250</v>
      </c>
      <c r="L3887" s="20">
        <v>247400000</v>
      </c>
      <c r="M3887" s="20" t="s">
        <v>245</v>
      </c>
      <c r="N3887" s="20" t="s">
        <v>2763</v>
      </c>
    </row>
    <row r="3888" spans="1:14" hidden="1" x14ac:dyDescent="0.25">
      <c r="A3888" s="19">
        <v>45931</v>
      </c>
      <c r="B3888" s="20" t="s">
        <v>35</v>
      </c>
      <c r="C3888" s="20">
        <v>24</v>
      </c>
      <c r="D3888" s="20" t="s">
        <v>291</v>
      </c>
      <c r="E3888" s="20" t="s">
        <v>2361</v>
      </c>
      <c r="F3888" s="20" t="s">
        <v>445</v>
      </c>
      <c r="G3888" s="20" t="s">
        <v>82</v>
      </c>
      <c r="H3888" s="20" t="s">
        <v>94</v>
      </c>
      <c r="I3888" s="20"/>
      <c r="J3888" s="20" t="s">
        <v>202</v>
      </c>
      <c r="K3888" s="20" t="s">
        <v>250</v>
      </c>
      <c r="L3888" s="20">
        <v>907200000</v>
      </c>
      <c r="M3888" s="20" t="s">
        <v>245</v>
      </c>
      <c r="N3888" s="20" t="s">
        <v>2764</v>
      </c>
    </row>
    <row r="3889" spans="1:14" hidden="1" x14ac:dyDescent="0.25">
      <c r="A3889" s="19">
        <v>45931</v>
      </c>
      <c r="B3889" s="20" t="s">
        <v>97</v>
      </c>
      <c r="C3889" s="20">
        <v>26</v>
      </c>
      <c r="D3889" s="20" t="s">
        <v>238</v>
      </c>
      <c r="E3889" s="20" t="s">
        <v>2341</v>
      </c>
      <c r="F3889" s="20" t="s">
        <v>240</v>
      </c>
      <c r="G3889" s="20" t="s">
        <v>82</v>
      </c>
      <c r="H3889" s="20"/>
      <c r="I3889" s="20"/>
      <c r="J3889" s="20" t="s">
        <v>2743</v>
      </c>
      <c r="K3889" s="20" t="s">
        <v>241</v>
      </c>
      <c r="L3889" s="20">
        <v>81010000</v>
      </c>
      <c r="M3889" s="20" t="s">
        <v>242</v>
      </c>
      <c r="N3889" s="20" t="s">
        <v>2765</v>
      </c>
    </row>
    <row r="3890" spans="1:14" hidden="1" x14ac:dyDescent="0.25">
      <c r="A3890" s="19">
        <v>45931</v>
      </c>
      <c r="B3890" s="20" t="s">
        <v>97</v>
      </c>
      <c r="C3890" s="20">
        <v>26</v>
      </c>
      <c r="D3890" s="20" t="s">
        <v>238</v>
      </c>
      <c r="E3890" s="20" t="s">
        <v>2341</v>
      </c>
      <c r="F3890" s="20" t="s">
        <v>244</v>
      </c>
      <c r="G3890" s="20" t="s">
        <v>82</v>
      </c>
      <c r="H3890" s="20"/>
      <c r="I3890" s="20"/>
      <c r="J3890" s="20" t="s">
        <v>2743</v>
      </c>
      <c r="K3890" s="20" t="s">
        <v>241</v>
      </c>
      <c r="L3890" s="20">
        <v>5250000000</v>
      </c>
      <c r="M3890" s="20" t="s">
        <v>245</v>
      </c>
      <c r="N3890" s="20" t="s">
        <v>2766</v>
      </c>
    </row>
    <row r="3891" spans="1:14" hidden="1" x14ac:dyDescent="0.25">
      <c r="A3891" s="19">
        <v>45931</v>
      </c>
      <c r="B3891" s="20" t="s">
        <v>97</v>
      </c>
      <c r="C3891" s="20">
        <v>27</v>
      </c>
      <c r="D3891" s="20" t="s">
        <v>253</v>
      </c>
      <c r="E3891" s="20" t="s">
        <v>2359</v>
      </c>
      <c r="F3891" s="20" t="s">
        <v>285</v>
      </c>
      <c r="G3891" s="20" t="s">
        <v>63</v>
      </c>
      <c r="H3891" s="20"/>
      <c r="I3891" s="20"/>
      <c r="J3891" s="20" t="s">
        <v>200</v>
      </c>
      <c r="K3891" s="20" t="s">
        <v>255</v>
      </c>
      <c r="L3891" s="20">
        <v>2660000</v>
      </c>
      <c r="M3891" s="20" t="s">
        <v>242</v>
      </c>
      <c r="N3891" s="20" t="s">
        <v>1947</v>
      </c>
    </row>
    <row r="3892" spans="1:14" hidden="1" x14ac:dyDescent="0.25">
      <c r="A3892" s="19">
        <v>45931</v>
      </c>
      <c r="B3892" s="20" t="s">
        <v>97</v>
      </c>
      <c r="C3892" s="20">
        <v>27</v>
      </c>
      <c r="D3892" s="20" t="s">
        <v>253</v>
      </c>
      <c r="E3892" s="20" t="s">
        <v>2359</v>
      </c>
      <c r="F3892" s="20" t="s">
        <v>285</v>
      </c>
      <c r="G3892" s="20" t="s">
        <v>63</v>
      </c>
      <c r="H3892" s="20"/>
      <c r="I3892" s="20"/>
      <c r="J3892" s="20" t="s">
        <v>201</v>
      </c>
      <c r="K3892" s="20" t="s">
        <v>255</v>
      </c>
      <c r="L3892" s="20">
        <v>2700000</v>
      </c>
      <c r="M3892" s="20" t="s">
        <v>242</v>
      </c>
      <c r="N3892" s="20" t="s">
        <v>2606</v>
      </c>
    </row>
    <row r="3893" spans="1:14" hidden="1" x14ac:dyDescent="0.25">
      <c r="A3893" s="19">
        <v>45931</v>
      </c>
      <c r="B3893" s="20" t="s">
        <v>97</v>
      </c>
      <c r="C3893" s="20">
        <v>27</v>
      </c>
      <c r="D3893" s="20" t="s">
        <v>253</v>
      </c>
      <c r="E3893" s="20" t="s">
        <v>2359</v>
      </c>
      <c r="F3893" s="20" t="s">
        <v>285</v>
      </c>
      <c r="G3893" s="20" t="s">
        <v>63</v>
      </c>
      <c r="H3893" s="20"/>
      <c r="I3893" s="20"/>
      <c r="J3893" s="20" t="s">
        <v>202</v>
      </c>
      <c r="K3893" s="20" t="s">
        <v>255</v>
      </c>
      <c r="L3893" s="20">
        <v>2740000</v>
      </c>
      <c r="M3893" s="20" t="s">
        <v>242</v>
      </c>
      <c r="N3893" s="20" t="s">
        <v>2767</v>
      </c>
    </row>
    <row r="3894" spans="1:14" hidden="1" x14ac:dyDescent="0.25">
      <c r="A3894" s="19">
        <v>45931</v>
      </c>
      <c r="B3894" s="20" t="s">
        <v>97</v>
      </c>
      <c r="C3894" s="20">
        <v>27</v>
      </c>
      <c r="D3894" s="20" t="s">
        <v>247</v>
      </c>
      <c r="E3894" s="20" t="s">
        <v>2554</v>
      </c>
      <c r="F3894" s="20" t="s">
        <v>2555</v>
      </c>
      <c r="G3894" s="20" t="s">
        <v>63</v>
      </c>
      <c r="H3894" s="20" t="s">
        <v>286</v>
      </c>
      <c r="I3894" s="20"/>
      <c r="J3894" s="20" t="s">
        <v>202</v>
      </c>
      <c r="K3894" s="20" t="s">
        <v>250</v>
      </c>
      <c r="L3894" s="20">
        <v>1.4</v>
      </c>
      <c r="M3894" s="20" t="s">
        <v>251</v>
      </c>
      <c r="N3894" s="20" t="s">
        <v>271</v>
      </c>
    </row>
    <row r="3895" spans="1:14" hidden="1" x14ac:dyDescent="0.25">
      <c r="A3895" s="19">
        <v>45931</v>
      </c>
      <c r="B3895" s="20" t="s">
        <v>97</v>
      </c>
      <c r="C3895" s="20">
        <v>28</v>
      </c>
      <c r="D3895" s="20" t="s">
        <v>291</v>
      </c>
      <c r="E3895" s="20" t="s">
        <v>2361</v>
      </c>
      <c r="F3895" s="20" t="s">
        <v>2362</v>
      </c>
      <c r="G3895" s="20" t="s">
        <v>63</v>
      </c>
      <c r="H3895" s="20" t="s">
        <v>64</v>
      </c>
      <c r="I3895" s="20"/>
      <c r="J3895" s="20" t="s">
        <v>202</v>
      </c>
      <c r="K3895" s="20" t="s">
        <v>250</v>
      </c>
      <c r="L3895" s="20">
        <v>2400000</v>
      </c>
      <c r="M3895" s="20" t="s">
        <v>242</v>
      </c>
      <c r="N3895" s="20" t="s">
        <v>922</v>
      </c>
    </row>
    <row r="3896" spans="1:14" hidden="1" x14ac:dyDescent="0.25">
      <c r="A3896" s="19">
        <v>45931</v>
      </c>
      <c r="B3896" s="20" t="s">
        <v>97</v>
      </c>
      <c r="C3896" s="20">
        <v>28</v>
      </c>
      <c r="D3896" s="20" t="s">
        <v>291</v>
      </c>
      <c r="E3896" s="20" t="s">
        <v>2361</v>
      </c>
      <c r="F3896" s="20" t="s">
        <v>2362</v>
      </c>
      <c r="G3896" s="20" t="s">
        <v>63</v>
      </c>
      <c r="H3896" s="20" t="s">
        <v>65</v>
      </c>
      <c r="I3896" s="20"/>
      <c r="J3896" s="20" t="s">
        <v>202</v>
      </c>
      <c r="K3896" s="20" t="s">
        <v>250</v>
      </c>
      <c r="L3896" s="20">
        <v>334900</v>
      </c>
      <c r="M3896" s="20" t="s">
        <v>242</v>
      </c>
      <c r="N3896" s="20" t="s">
        <v>2768</v>
      </c>
    </row>
    <row r="3897" spans="1:14" hidden="1" x14ac:dyDescent="0.25">
      <c r="A3897" s="19">
        <v>45931</v>
      </c>
      <c r="B3897" s="20" t="s">
        <v>97</v>
      </c>
      <c r="C3897" s="20">
        <v>29</v>
      </c>
      <c r="D3897" s="20" t="s">
        <v>291</v>
      </c>
      <c r="E3897" s="20" t="s">
        <v>2361</v>
      </c>
      <c r="F3897" s="20" t="s">
        <v>2362</v>
      </c>
      <c r="G3897" s="20" t="s">
        <v>63</v>
      </c>
      <c r="H3897" s="20" t="s">
        <v>2364</v>
      </c>
      <c r="I3897" s="20"/>
      <c r="J3897" s="20" t="s">
        <v>202</v>
      </c>
      <c r="K3897" s="20" t="s">
        <v>250</v>
      </c>
      <c r="L3897" s="20">
        <v>1440000</v>
      </c>
      <c r="M3897" s="20" t="s">
        <v>242</v>
      </c>
      <c r="N3897" s="20" t="s">
        <v>606</v>
      </c>
    </row>
    <row r="3898" spans="1:14" hidden="1" x14ac:dyDescent="0.25">
      <c r="A3898" s="19">
        <v>45931</v>
      </c>
      <c r="B3898" s="20" t="s">
        <v>97</v>
      </c>
      <c r="C3898" s="20">
        <v>29</v>
      </c>
      <c r="D3898" s="20" t="s">
        <v>291</v>
      </c>
      <c r="E3898" s="20" t="s">
        <v>2361</v>
      </c>
      <c r="F3898" s="20" t="s">
        <v>2362</v>
      </c>
      <c r="G3898" s="20" t="s">
        <v>63</v>
      </c>
      <c r="H3898" s="20" t="s">
        <v>2366</v>
      </c>
      <c r="I3898" s="20"/>
      <c r="J3898" s="20" t="s">
        <v>202</v>
      </c>
      <c r="K3898" s="20" t="s">
        <v>250</v>
      </c>
      <c r="L3898" s="20">
        <v>1290000</v>
      </c>
      <c r="M3898" s="20" t="s">
        <v>242</v>
      </c>
      <c r="N3898" s="20" t="s">
        <v>2124</v>
      </c>
    </row>
    <row r="3899" spans="1:14" hidden="1" x14ac:dyDescent="0.25">
      <c r="A3899" s="19">
        <v>45931</v>
      </c>
      <c r="B3899" s="20" t="s">
        <v>97</v>
      </c>
      <c r="C3899" s="20">
        <v>30</v>
      </c>
      <c r="D3899" s="20" t="s">
        <v>291</v>
      </c>
      <c r="E3899" s="20" t="s">
        <v>2361</v>
      </c>
      <c r="F3899" s="20" t="s">
        <v>285</v>
      </c>
      <c r="G3899" s="20" t="s">
        <v>63</v>
      </c>
      <c r="H3899" s="20" t="s">
        <v>77</v>
      </c>
      <c r="I3899" s="20"/>
      <c r="J3899" s="20" t="s">
        <v>202</v>
      </c>
      <c r="K3899" s="20" t="s">
        <v>250</v>
      </c>
      <c r="L3899" s="20">
        <v>1000</v>
      </c>
      <c r="M3899" s="20" t="s">
        <v>242</v>
      </c>
      <c r="N3899" s="20" t="s">
        <v>2394</v>
      </c>
    </row>
    <row r="3900" spans="1:14" hidden="1" x14ac:dyDescent="0.25">
      <c r="A3900" s="19">
        <v>45931</v>
      </c>
      <c r="B3900" s="20" t="s">
        <v>97</v>
      </c>
      <c r="C3900" s="20">
        <v>30</v>
      </c>
      <c r="D3900" s="20" t="s">
        <v>291</v>
      </c>
      <c r="E3900" s="20" t="s">
        <v>2361</v>
      </c>
      <c r="F3900" s="20" t="s">
        <v>285</v>
      </c>
      <c r="G3900" s="20" t="s">
        <v>63</v>
      </c>
      <c r="H3900" s="20" t="s">
        <v>70</v>
      </c>
      <c r="I3900" s="20"/>
      <c r="J3900" s="20" t="s">
        <v>202</v>
      </c>
      <c r="K3900" s="20" t="s">
        <v>250</v>
      </c>
      <c r="L3900" s="20">
        <v>983000</v>
      </c>
      <c r="M3900" s="20" t="s">
        <v>242</v>
      </c>
      <c r="N3900" s="20" t="s">
        <v>2769</v>
      </c>
    </row>
    <row r="3901" spans="1:14" hidden="1" x14ac:dyDescent="0.25">
      <c r="A3901" s="19">
        <v>45931</v>
      </c>
      <c r="B3901" s="20" t="s">
        <v>97</v>
      </c>
      <c r="C3901" s="20">
        <v>30</v>
      </c>
      <c r="D3901" s="20" t="s">
        <v>291</v>
      </c>
      <c r="E3901" s="20" t="s">
        <v>2361</v>
      </c>
      <c r="F3901" s="20" t="s">
        <v>285</v>
      </c>
      <c r="G3901" s="20" t="s">
        <v>63</v>
      </c>
      <c r="H3901" s="20" t="s">
        <v>71</v>
      </c>
      <c r="I3901" s="20"/>
      <c r="J3901" s="20" t="s">
        <v>202</v>
      </c>
      <c r="K3901" s="20" t="s">
        <v>250</v>
      </c>
      <c r="L3901" s="20">
        <v>705000</v>
      </c>
      <c r="M3901" s="20" t="s">
        <v>242</v>
      </c>
      <c r="N3901" s="20" t="s">
        <v>2770</v>
      </c>
    </row>
    <row r="3902" spans="1:14" hidden="1" x14ac:dyDescent="0.25">
      <c r="A3902" s="19">
        <v>45931</v>
      </c>
      <c r="B3902" s="20" t="s">
        <v>97</v>
      </c>
      <c r="C3902" s="20">
        <v>30</v>
      </c>
      <c r="D3902" s="20" t="s">
        <v>291</v>
      </c>
      <c r="E3902" s="20" t="s">
        <v>2361</v>
      </c>
      <c r="F3902" s="20" t="s">
        <v>285</v>
      </c>
      <c r="G3902" s="20" t="s">
        <v>63</v>
      </c>
      <c r="H3902" s="20" t="s">
        <v>72</v>
      </c>
      <c r="I3902" s="20"/>
      <c r="J3902" s="20" t="s">
        <v>202</v>
      </c>
      <c r="K3902" s="20" t="s">
        <v>250</v>
      </c>
      <c r="L3902" s="20">
        <v>530000</v>
      </c>
      <c r="M3902" s="20" t="s">
        <v>242</v>
      </c>
      <c r="N3902" s="20" t="s">
        <v>2771</v>
      </c>
    </row>
    <row r="3903" spans="1:14" hidden="1" x14ac:dyDescent="0.25">
      <c r="A3903" s="19">
        <v>45931</v>
      </c>
      <c r="B3903" s="20" t="s">
        <v>97</v>
      </c>
      <c r="C3903" s="20">
        <v>30</v>
      </c>
      <c r="D3903" s="20" t="s">
        <v>291</v>
      </c>
      <c r="E3903" s="20" t="s">
        <v>2361</v>
      </c>
      <c r="F3903" s="20" t="s">
        <v>285</v>
      </c>
      <c r="G3903" s="20" t="s">
        <v>63</v>
      </c>
      <c r="H3903" s="20" t="s">
        <v>73</v>
      </c>
      <c r="I3903" s="20"/>
      <c r="J3903" s="20" t="s">
        <v>202</v>
      </c>
      <c r="K3903" s="20" t="s">
        <v>250</v>
      </c>
      <c r="L3903" s="20">
        <v>332000</v>
      </c>
      <c r="M3903" s="20" t="s">
        <v>242</v>
      </c>
      <c r="N3903" s="20" t="s">
        <v>2772</v>
      </c>
    </row>
    <row r="3904" spans="1:14" hidden="1" x14ac:dyDescent="0.25">
      <c r="A3904" s="19">
        <v>45931</v>
      </c>
      <c r="B3904" s="20" t="s">
        <v>97</v>
      </c>
      <c r="C3904" s="20">
        <v>30</v>
      </c>
      <c r="D3904" s="20" t="s">
        <v>291</v>
      </c>
      <c r="E3904" s="20" t="s">
        <v>2361</v>
      </c>
      <c r="F3904" s="20" t="s">
        <v>285</v>
      </c>
      <c r="G3904" s="20" t="s">
        <v>63</v>
      </c>
      <c r="H3904" s="20" t="s">
        <v>74</v>
      </c>
      <c r="I3904" s="20"/>
      <c r="J3904" s="20" t="s">
        <v>202</v>
      </c>
      <c r="K3904" s="20" t="s">
        <v>250</v>
      </c>
      <c r="L3904" s="20">
        <v>126000</v>
      </c>
      <c r="M3904" s="20" t="s">
        <v>242</v>
      </c>
      <c r="N3904" s="20" t="s">
        <v>2773</v>
      </c>
    </row>
    <row r="3905" spans="1:14" hidden="1" x14ac:dyDescent="0.25">
      <c r="A3905" s="19">
        <v>45931</v>
      </c>
      <c r="B3905" s="20" t="s">
        <v>97</v>
      </c>
      <c r="C3905" s="20">
        <v>30</v>
      </c>
      <c r="D3905" s="20" t="s">
        <v>291</v>
      </c>
      <c r="E3905" s="20" t="s">
        <v>2361</v>
      </c>
      <c r="F3905" s="20" t="s">
        <v>285</v>
      </c>
      <c r="G3905" s="20" t="s">
        <v>63</v>
      </c>
      <c r="H3905" s="20" t="s">
        <v>75</v>
      </c>
      <c r="I3905" s="20"/>
      <c r="J3905" s="20" t="s">
        <v>202</v>
      </c>
      <c r="K3905" s="20" t="s">
        <v>250</v>
      </c>
      <c r="L3905" s="20">
        <v>37000</v>
      </c>
      <c r="M3905" s="20" t="s">
        <v>242</v>
      </c>
      <c r="N3905" s="20" t="s">
        <v>2774</v>
      </c>
    </row>
    <row r="3906" spans="1:14" hidden="1" x14ac:dyDescent="0.25">
      <c r="A3906" s="19">
        <v>45931</v>
      </c>
      <c r="B3906" s="20" t="s">
        <v>97</v>
      </c>
      <c r="C3906" s="20">
        <v>30</v>
      </c>
      <c r="D3906" s="20" t="s">
        <v>291</v>
      </c>
      <c r="E3906" s="20" t="s">
        <v>2361</v>
      </c>
      <c r="F3906" s="20" t="s">
        <v>285</v>
      </c>
      <c r="G3906" s="20" t="s">
        <v>63</v>
      </c>
      <c r="H3906" s="20" t="s">
        <v>76</v>
      </c>
      <c r="I3906" s="20"/>
      <c r="J3906" s="20" t="s">
        <v>202</v>
      </c>
      <c r="K3906" s="20" t="s">
        <v>250</v>
      </c>
      <c r="L3906" s="20">
        <v>13000</v>
      </c>
      <c r="M3906" s="20" t="s">
        <v>242</v>
      </c>
      <c r="N3906" s="20" t="s">
        <v>932</v>
      </c>
    </row>
    <row r="3907" spans="1:14" hidden="1" x14ac:dyDescent="0.25">
      <c r="A3907" s="19">
        <v>45931</v>
      </c>
      <c r="B3907" s="20" t="s">
        <v>97</v>
      </c>
      <c r="C3907" s="20">
        <v>31</v>
      </c>
      <c r="D3907" s="20" t="s">
        <v>291</v>
      </c>
      <c r="E3907" s="20" t="s">
        <v>2361</v>
      </c>
      <c r="F3907" s="20" t="s">
        <v>2400</v>
      </c>
      <c r="G3907" s="20" t="s">
        <v>99</v>
      </c>
      <c r="H3907" s="20" t="s">
        <v>103</v>
      </c>
      <c r="I3907" s="20"/>
      <c r="J3907" s="20" t="s">
        <v>202</v>
      </c>
      <c r="K3907" s="20" t="s">
        <v>250</v>
      </c>
      <c r="L3907" s="20">
        <v>2700000</v>
      </c>
      <c r="M3907" s="20" t="s">
        <v>242</v>
      </c>
      <c r="N3907" s="20" t="s">
        <v>2202</v>
      </c>
    </row>
    <row r="3908" spans="1:14" hidden="1" x14ac:dyDescent="0.25">
      <c r="A3908" s="19">
        <v>45931</v>
      </c>
      <c r="B3908" s="20" t="s">
        <v>97</v>
      </c>
      <c r="C3908" s="20">
        <v>31</v>
      </c>
      <c r="D3908" s="20" t="s">
        <v>291</v>
      </c>
      <c r="E3908" s="20" t="s">
        <v>2361</v>
      </c>
      <c r="F3908" s="20" t="s">
        <v>477</v>
      </c>
      <c r="G3908" s="20" t="s">
        <v>99</v>
      </c>
      <c r="H3908" s="20" t="s">
        <v>104</v>
      </c>
      <c r="I3908" s="20"/>
      <c r="J3908" s="20" t="s">
        <v>202</v>
      </c>
      <c r="K3908" s="20" t="s">
        <v>250</v>
      </c>
      <c r="L3908" s="20">
        <v>3568</v>
      </c>
      <c r="M3908" s="20" t="s">
        <v>242</v>
      </c>
      <c r="N3908" s="20" t="s">
        <v>2775</v>
      </c>
    </row>
    <row r="3909" spans="1:14" hidden="1" x14ac:dyDescent="0.25">
      <c r="A3909" s="19">
        <v>45931</v>
      </c>
      <c r="B3909" s="20" t="s">
        <v>97</v>
      </c>
      <c r="C3909" s="20">
        <v>31</v>
      </c>
      <c r="D3909" s="20" t="s">
        <v>291</v>
      </c>
      <c r="E3909" s="20" t="s">
        <v>2361</v>
      </c>
      <c r="F3909" s="20" t="s">
        <v>477</v>
      </c>
      <c r="G3909" s="20" t="s">
        <v>99</v>
      </c>
      <c r="H3909" s="20" t="s">
        <v>101</v>
      </c>
      <c r="I3909" s="20"/>
      <c r="J3909" s="20" t="s">
        <v>202</v>
      </c>
      <c r="K3909" s="20" t="s">
        <v>250</v>
      </c>
      <c r="L3909" s="20">
        <v>1420</v>
      </c>
      <c r="M3909" s="20" t="s">
        <v>242</v>
      </c>
      <c r="N3909" s="20" t="s">
        <v>2776</v>
      </c>
    </row>
    <row r="3910" spans="1:14" hidden="1" x14ac:dyDescent="0.25">
      <c r="A3910" s="19">
        <v>45931</v>
      </c>
      <c r="B3910" s="20" t="s">
        <v>97</v>
      </c>
      <c r="C3910" s="20">
        <v>31</v>
      </c>
      <c r="D3910" s="20" t="s">
        <v>291</v>
      </c>
      <c r="E3910" s="20" t="s">
        <v>2361</v>
      </c>
      <c r="F3910" s="20" t="s">
        <v>477</v>
      </c>
      <c r="G3910" s="20" t="s">
        <v>99</v>
      </c>
      <c r="H3910" s="20" t="s">
        <v>100</v>
      </c>
      <c r="I3910" s="20"/>
      <c r="J3910" s="20" t="s">
        <v>202</v>
      </c>
      <c r="K3910" s="20" t="s">
        <v>250</v>
      </c>
      <c r="L3910" s="20">
        <v>1014</v>
      </c>
      <c r="M3910" s="20" t="s">
        <v>242</v>
      </c>
      <c r="N3910" s="20" t="s">
        <v>2777</v>
      </c>
    </row>
    <row r="3911" spans="1:14" hidden="1" x14ac:dyDescent="0.25">
      <c r="A3911" s="19">
        <v>45931</v>
      </c>
      <c r="B3911" s="20" t="s">
        <v>97</v>
      </c>
      <c r="C3911" s="20">
        <v>31</v>
      </c>
      <c r="D3911" s="20" t="s">
        <v>291</v>
      </c>
      <c r="E3911" s="20" t="s">
        <v>2361</v>
      </c>
      <c r="F3911" s="20" t="s">
        <v>477</v>
      </c>
      <c r="G3911" s="20" t="s">
        <v>99</v>
      </c>
      <c r="H3911" s="20" t="s">
        <v>102</v>
      </c>
      <c r="I3911" s="20"/>
      <c r="J3911" s="20" t="s">
        <v>202</v>
      </c>
      <c r="K3911" s="20" t="s">
        <v>250</v>
      </c>
      <c r="L3911" s="20">
        <v>8</v>
      </c>
      <c r="M3911" s="20" t="s">
        <v>242</v>
      </c>
      <c r="N3911" s="20" t="s">
        <v>480</v>
      </c>
    </row>
    <row r="3912" spans="1:14" hidden="1" x14ac:dyDescent="0.25">
      <c r="A3912" s="19">
        <v>45931</v>
      </c>
      <c r="B3912" s="20" t="s">
        <v>97</v>
      </c>
      <c r="C3912" s="20">
        <v>32</v>
      </c>
      <c r="D3912" s="20" t="s">
        <v>253</v>
      </c>
      <c r="E3912" s="20" t="s">
        <v>2359</v>
      </c>
      <c r="F3912" s="20" t="s">
        <v>240</v>
      </c>
      <c r="G3912" s="20" t="s">
        <v>82</v>
      </c>
      <c r="H3912" s="20"/>
      <c r="I3912" s="20"/>
      <c r="J3912" s="20" t="s">
        <v>200</v>
      </c>
      <c r="K3912" s="20" t="s">
        <v>255</v>
      </c>
      <c r="L3912" s="20">
        <v>9450000</v>
      </c>
      <c r="M3912" s="20" t="s">
        <v>242</v>
      </c>
      <c r="N3912" s="20" t="s">
        <v>2404</v>
      </c>
    </row>
    <row r="3913" spans="1:14" hidden="1" x14ac:dyDescent="0.25">
      <c r="A3913" s="19">
        <v>45931</v>
      </c>
      <c r="B3913" s="20" t="s">
        <v>97</v>
      </c>
      <c r="C3913" s="20">
        <v>32</v>
      </c>
      <c r="D3913" s="20" t="s">
        <v>253</v>
      </c>
      <c r="E3913" s="20" t="s">
        <v>2359</v>
      </c>
      <c r="F3913" s="20" t="s">
        <v>240</v>
      </c>
      <c r="G3913" s="20" t="s">
        <v>82</v>
      </c>
      <c r="H3913" s="20"/>
      <c r="I3913" s="20"/>
      <c r="J3913" s="20" t="s">
        <v>201</v>
      </c>
      <c r="K3913" s="20" t="s">
        <v>255</v>
      </c>
      <c r="L3913" s="20">
        <v>9500000</v>
      </c>
      <c r="M3913" s="20" t="s">
        <v>242</v>
      </c>
      <c r="N3913" s="20" t="s">
        <v>2617</v>
      </c>
    </row>
    <row r="3914" spans="1:14" hidden="1" x14ac:dyDescent="0.25">
      <c r="A3914" s="19">
        <v>45931</v>
      </c>
      <c r="B3914" s="20" t="s">
        <v>97</v>
      </c>
      <c r="C3914" s="20">
        <v>32</v>
      </c>
      <c r="D3914" s="20" t="s">
        <v>253</v>
      </c>
      <c r="E3914" s="20" t="s">
        <v>2359</v>
      </c>
      <c r="F3914" s="20" t="s">
        <v>240</v>
      </c>
      <c r="G3914" s="20" t="s">
        <v>82</v>
      </c>
      <c r="H3914" s="20"/>
      <c r="I3914" s="20"/>
      <c r="J3914" s="20" t="s">
        <v>202</v>
      </c>
      <c r="K3914" s="20" t="s">
        <v>255</v>
      </c>
      <c r="L3914" s="20">
        <v>10130000</v>
      </c>
      <c r="M3914" s="20" t="s">
        <v>242</v>
      </c>
      <c r="N3914" s="20" t="s">
        <v>2778</v>
      </c>
    </row>
    <row r="3915" spans="1:14" hidden="1" x14ac:dyDescent="0.25">
      <c r="A3915" s="19">
        <v>45931</v>
      </c>
      <c r="B3915" s="20" t="s">
        <v>97</v>
      </c>
      <c r="C3915" s="20">
        <v>32</v>
      </c>
      <c r="D3915" s="20" t="s">
        <v>247</v>
      </c>
      <c r="E3915" s="20" t="s">
        <v>2554</v>
      </c>
      <c r="F3915" s="20" t="s">
        <v>2556</v>
      </c>
      <c r="G3915" s="20" t="s">
        <v>82</v>
      </c>
      <c r="H3915" s="20" t="s">
        <v>286</v>
      </c>
      <c r="I3915" s="20"/>
      <c r="J3915" s="20" t="s">
        <v>202</v>
      </c>
      <c r="K3915" s="20" t="s">
        <v>250</v>
      </c>
      <c r="L3915" s="20">
        <v>6.7</v>
      </c>
      <c r="M3915" s="20" t="s">
        <v>251</v>
      </c>
      <c r="N3915" s="20" t="s">
        <v>611</v>
      </c>
    </row>
    <row r="3916" spans="1:14" hidden="1" x14ac:dyDescent="0.25">
      <c r="A3916" s="19">
        <v>45931</v>
      </c>
      <c r="B3916" s="20" t="s">
        <v>97</v>
      </c>
      <c r="C3916" s="20">
        <v>33</v>
      </c>
      <c r="D3916" s="20" t="s">
        <v>291</v>
      </c>
      <c r="E3916" s="20" t="s">
        <v>2361</v>
      </c>
      <c r="F3916" s="20" t="s">
        <v>240</v>
      </c>
      <c r="G3916" s="20" t="s">
        <v>82</v>
      </c>
      <c r="H3916" s="20" t="s">
        <v>83</v>
      </c>
      <c r="I3916" s="20"/>
      <c r="J3916" s="20" t="s">
        <v>202</v>
      </c>
      <c r="K3916" s="20" t="s">
        <v>250</v>
      </c>
      <c r="L3916" s="20">
        <v>8560000</v>
      </c>
      <c r="M3916" s="20" t="s">
        <v>242</v>
      </c>
      <c r="N3916" s="20" t="s">
        <v>2779</v>
      </c>
    </row>
    <row r="3917" spans="1:14" hidden="1" x14ac:dyDescent="0.25">
      <c r="A3917" s="19">
        <v>45931</v>
      </c>
      <c r="B3917" s="20" t="s">
        <v>97</v>
      </c>
      <c r="C3917" s="20">
        <v>33</v>
      </c>
      <c r="D3917" s="20" t="s">
        <v>291</v>
      </c>
      <c r="E3917" s="20" t="s">
        <v>2361</v>
      </c>
      <c r="F3917" s="20" t="s">
        <v>240</v>
      </c>
      <c r="G3917" s="20" t="s">
        <v>82</v>
      </c>
      <c r="H3917" s="20" t="s">
        <v>84</v>
      </c>
      <c r="I3917" s="20"/>
      <c r="J3917" s="20" t="s">
        <v>202</v>
      </c>
      <c r="K3917" s="20" t="s">
        <v>250</v>
      </c>
      <c r="L3917" s="20">
        <v>1470000</v>
      </c>
      <c r="M3917" s="20" t="s">
        <v>242</v>
      </c>
      <c r="N3917" s="20" t="s">
        <v>2780</v>
      </c>
    </row>
    <row r="3918" spans="1:14" hidden="1" x14ac:dyDescent="0.25">
      <c r="A3918" s="19">
        <v>45931</v>
      </c>
      <c r="B3918" s="20" t="s">
        <v>97</v>
      </c>
      <c r="C3918" s="20">
        <v>33</v>
      </c>
      <c r="D3918" s="20" t="s">
        <v>291</v>
      </c>
      <c r="E3918" s="20" t="s">
        <v>2361</v>
      </c>
      <c r="F3918" s="20" t="s">
        <v>240</v>
      </c>
      <c r="G3918" s="20" t="s">
        <v>82</v>
      </c>
      <c r="H3918" s="20" t="s">
        <v>106</v>
      </c>
      <c r="I3918" s="20"/>
      <c r="J3918" s="20" t="s">
        <v>202</v>
      </c>
      <c r="K3918" s="20" t="s">
        <v>250</v>
      </c>
      <c r="L3918" s="20">
        <v>82200</v>
      </c>
      <c r="M3918" s="20" t="s">
        <v>242</v>
      </c>
      <c r="N3918" s="20" t="s">
        <v>2781</v>
      </c>
    </row>
    <row r="3919" spans="1:14" hidden="1" x14ac:dyDescent="0.25">
      <c r="A3919" s="19">
        <v>45931</v>
      </c>
      <c r="B3919" s="20" t="s">
        <v>97</v>
      </c>
      <c r="C3919" s="20">
        <v>33</v>
      </c>
      <c r="D3919" s="20" t="s">
        <v>291</v>
      </c>
      <c r="E3919" s="20" t="s">
        <v>2361</v>
      </c>
      <c r="F3919" s="20" t="s">
        <v>240</v>
      </c>
      <c r="G3919" s="20" t="s">
        <v>82</v>
      </c>
      <c r="H3919" s="20" t="s">
        <v>105</v>
      </c>
      <c r="I3919" s="20"/>
      <c r="J3919" s="20" t="s">
        <v>202</v>
      </c>
      <c r="K3919" s="20" t="s">
        <v>250</v>
      </c>
      <c r="L3919" s="20">
        <v>22800</v>
      </c>
      <c r="M3919" s="20" t="s">
        <v>242</v>
      </c>
      <c r="N3919" s="20" t="s">
        <v>2782</v>
      </c>
    </row>
    <row r="3920" spans="1:14" hidden="1" x14ac:dyDescent="0.25">
      <c r="A3920" s="19">
        <v>45931</v>
      </c>
      <c r="B3920" s="20" t="s">
        <v>97</v>
      </c>
      <c r="C3920" s="20">
        <v>34</v>
      </c>
      <c r="D3920" s="20" t="s">
        <v>291</v>
      </c>
      <c r="E3920" s="20" t="s">
        <v>2361</v>
      </c>
      <c r="F3920" s="20" t="s">
        <v>240</v>
      </c>
      <c r="G3920" s="20" t="s">
        <v>82</v>
      </c>
      <c r="H3920" s="20" t="s">
        <v>83</v>
      </c>
      <c r="I3920" s="20" t="s">
        <v>315</v>
      </c>
      <c r="J3920" s="20" t="s">
        <v>202</v>
      </c>
      <c r="K3920" s="20" t="s">
        <v>250</v>
      </c>
      <c r="L3920" s="20"/>
      <c r="M3920" s="20" t="s">
        <v>251</v>
      </c>
      <c r="N3920" s="20" t="s">
        <v>2783</v>
      </c>
    </row>
    <row r="3921" spans="1:14" hidden="1" x14ac:dyDescent="0.25">
      <c r="A3921" s="19">
        <v>45931</v>
      </c>
      <c r="B3921" s="20" t="s">
        <v>97</v>
      </c>
      <c r="C3921" s="20">
        <v>34</v>
      </c>
      <c r="D3921" s="20" t="s">
        <v>291</v>
      </c>
      <c r="E3921" s="20" t="s">
        <v>2361</v>
      </c>
      <c r="F3921" s="20" t="s">
        <v>240</v>
      </c>
      <c r="G3921" s="20" t="s">
        <v>82</v>
      </c>
      <c r="H3921" s="20" t="s">
        <v>83</v>
      </c>
      <c r="I3921" s="20" t="s">
        <v>317</v>
      </c>
      <c r="J3921" s="20" t="s">
        <v>202</v>
      </c>
      <c r="K3921" s="20" t="s">
        <v>250</v>
      </c>
      <c r="L3921" s="20"/>
      <c r="M3921" s="20" t="s">
        <v>251</v>
      </c>
      <c r="N3921" s="20" t="s">
        <v>2784</v>
      </c>
    </row>
    <row r="3922" spans="1:14" hidden="1" x14ac:dyDescent="0.25">
      <c r="A3922" s="19">
        <v>45931</v>
      </c>
      <c r="B3922" s="20" t="s">
        <v>97</v>
      </c>
      <c r="C3922" s="20">
        <v>34</v>
      </c>
      <c r="D3922" s="20" t="s">
        <v>291</v>
      </c>
      <c r="E3922" s="20" t="s">
        <v>2361</v>
      </c>
      <c r="F3922" s="20" t="s">
        <v>240</v>
      </c>
      <c r="G3922" s="20" t="s">
        <v>82</v>
      </c>
      <c r="H3922" s="20" t="s">
        <v>83</v>
      </c>
      <c r="I3922" s="20" t="s">
        <v>2785</v>
      </c>
      <c r="J3922" s="20" t="s">
        <v>202</v>
      </c>
      <c r="K3922" s="20" t="s">
        <v>250</v>
      </c>
      <c r="L3922" s="20"/>
      <c r="M3922" s="20" t="s">
        <v>251</v>
      </c>
      <c r="N3922" s="20" t="s">
        <v>1072</v>
      </c>
    </row>
    <row r="3923" spans="1:14" hidden="1" x14ac:dyDescent="0.25">
      <c r="A3923" s="19">
        <v>45931</v>
      </c>
      <c r="B3923" s="20" t="s">
        <v>97</v>
      </c>
      <c r="C3923" s="20">
        <v>34</v>
      </c>
      <c r="D3923" s="20" t="s">
        <v>291</v>
      </c>
      <c r="E3923" s="20" t="s">
        <v>2361</v>
      </c>
      <c r="F3923" s="20" t="s">
        <v>240</v>
      </c>
      <c r="G3923" s="20" t="s">
        <v>82</v>
      </c>
      <c r="H3923" s="20" t="s">
        <v>83</v>
      </c>
      <c r="I3923" s="20" t="s">
        <v>497</v>
      </c>
      <c r="J3923" s="20" t="s">
        <v>202</v>
      </c>
      <c r="K3923" s="20" t="s">
        <v>250</v>
      </c>
      <c r="L3923" s="20"/>
      <c r="M3923" s="20" t="s">
        <v>251</v>
      </c>
      <c r="N3923" s="20" t="s">
        <v>2786</v>
      </c>
    </row>
    <row r="3924" spans="1:14" hidden="1" x14ac:dyDescent="0.25">
      <c r="A3924" s="19">
        <v>45931</v>
      </c>
      <c r="B3924" s="20" t="s">
        <v>97</v>
      </c>
      <c r="C3924" s="20">
        <v>34</v>
      </c>
      <c r="D3924" s="20" t="s">
        <v>291</v>
      </c>
      <c r="E3924" s="20" t="s">
        <v>2361</v>
      </c>
      <c r="F3924" s="20" t="s">
        <v>240</v>
      </c>
      <c r="G3924" s="20" t="s">
        <v>82</v>
      </c>
      <c r="H3924" s="20" t="s">
        <v>83</v>
      </c>
      <c r="I3924" s="20" t="s">
        <v>503</v>
      </c>
      <c r="J3924" s="20" t="s">
        <v>202</v>
      </c>
      <c r="K3924" s="20" t="s">
        <v>250</v>
      </c>
      <c r="L3924" s="20"/>
      <c r="M3924" s="20" t="s">
        <v>251</v>
      </c>
      <c r="N3924" s="20" t="s">
        <v>2787</v>
      </c>
    </row>
    <row r="3925" spans="1:14" hidden="1" x14ac:dyDescent="0.25">
      <c r="A3925" s="19">
        <v>45931</v>
      </c>
      <c r="B3925" s="20" t="s">
        <v>97</v>
      </c>
      <c r="C3925" s="20">
        <v>34</v>
      </c>
      <c r="D3925" s="20" t="s">
        <v>291</v>
      </c>
      <c r="E3925" s="20" t="s">
        <v>2361</v>
      </c>
      <c r="F3925" s="20" t="s">
        <v>240</v>
      </c>
      <c r="G3925" s="20" t="s">
        <v>82</v>
      </c>
      <c r="H3925" s="20" t="s">
        <v>83</v>
      </c>
      <c r="I3925" s="20" t="s">
        <v>2413</v>
      </c>
      <c r="J3925" s="20" t="s">
        <v>202</v>
      </c>
      <c r="K3925" s="20" t="s">
        <v>250</v>
      </c>
      <c r="L3925" s="20"/>
      <c r="M3925" s="20" t="s">
        <v>251</v>
      </c>
      <c r="N3925" s="20" t="s">
        <v>2788</v>
      </c>
    </row>
    <row r="3926" spans="1:14" hidden="1" x14ac:dyDescent="0.25">
      <c r="A3926" s="19">
        <v>45931</v>
      </c>
      <c r="B3926" s="20" t="s">
        <v>97</v>
      </c>
      <c r="C3926" s="20">
        <v>34</v>
      </c>
      <c r="D3926" s="20" t="s">
        <v>291</v>
      </c>
      <c r="E3926" s="20" t="s">
        <v>2361</v>
      </c>
      <c r="F3926" s="20" t="s">
        <v>240</v>
      </c>
      <c r="G3926" s="20" t="s">
        <v>82</v>
      </c>
      <c r="H3926" s="20" t="s">
        <v>83</v>
      </c>
      <c r="I3926" s="20" t="s">
        <v>2414</v>
      </c>
      <c r="J3926" s="20" t="s">
        <v>202</v>
      </c>
      <c r="K3926" s="20" t="s">
        <v>250</v>
      </c>
      <c r="L3926" s="20"/>
      <c r="M3926" s="20" t="s">
        <v>251</v>
      </c>
      <c r="N3926" s="20" t="s">
        <v>333</v>
      </c>
    </row>
    <row r="3927" spans="1:14" hidden="1" x14ac:dyDescent="0.25">
      <c r="A3927" s="19">
        <v>45931</v>
      </c>
      <c r="B3927" s="20" t="s">
        <v>97</v>
      </c>
      <c r="C3927" s="20">
        <v>34</v>
      </c>
      <c r="D3927" s="20" t="s">
        <v>291</v>
      </c>
      <c r="E3927" s="20" t="s">
        <v>2361</v>
      </c>
      <c r="F3927" s="20" t="s">
        <v>240</v>
      </c>
      <c r="G3927" s="20" t="s">
        <v>82</v>
      </c>
      <c r="H3927" s="20" t="s">
        <v>84</v>
      </c>
      <c r="I3927" s="20" t="s">
        <v>319</v>
      </c>
      <c r="J3927" s="20" t="s">
        <v>202</v>
      </c>
      <c r="K3927" s="20" t="s">
        <v>250</v>
      </c>
      <c r="L3927" s="20"/>
      <c r="M3927" s="20" t="s">
        <v>251</v>
      </c>
      <c r="N3927" s="20" t="s">
        <v>2789</v>
      </c>
    </row>
    <row r="3928" spans="1:14" hidden="1" x14ac:dyDescent="0.25">
      <c r="A3928" s="19">
        <v>45931</v>
      </c>
      <c r="B3928" s="20" t="s">
        <v>97</v>
      </c>
      <c r="C3928" s="20">
        <v>34</v>
      </c>
      <c r="D3928" s="20" t="s">
        <v>291</v>
      </c>
      <c r="E3928" s="20" t="s">
        <v>2361</v>
      </c>
      <c r="F3928" s="20" t="s">
        <v>240</v>
      </c>
      <c r="G3928" s="20" t="s">
        <v>82</v>
      </c>
      <c r="H3928" s="20" t="s">
        <v>84</v>
      </c>
      <c r="I3928" s="20" t="s">
        <v>321</v>
      </c>
      <c r="J3928" s="20" t="s">
        <v>202</v>
      </c>
      <c r="K3928" s="20" t="s">
        <v>250</v>
      </c>
      <c r="L3928" s="20"/>
      <c r="M3928" s="20" t="s">
        <v>251</v>
      </c>
      <c r="N3928" s="20" t="s">
        <v>966</v>
      </c>
    </row>
    <row r="3929" spans="1:14" hidden="1" x14ac:dyDescent="0.25">
      <c r="A3929" s="19">
        <v>45931</v>
      </c>
      <c r="B3929" s="20" t="s">
        <v>97</v>
      </c>
      <c r="C3929" s="20">
        <v>34</v>
      </c>
      <c r="D3929" s="20" t="s">
        <v>291</v>
      </c>
      <c r="E3929" s="20" t="s">
        <v>2361</v>
      </c>
      <c r="F3929" s="20" t="s">
        <v>240</v>
      </c>
      <c r="G3929" s="20" t="s">
        <v>82</v>
      </c>
      <c r="H3929" s="20" t="s">
        <v>106</v>
      </c>
      <c r="I3929" s="20" t="s">
        <v>493</v>
      </c>
      <c r="J3929" s="20" t="s">
        <v>202</v>
      </c>
      <c r="K3929" s="20" t="s">
        <v>250</v>
      </c>
      <c r="L3929" s="20"/>
      <c r="M3929" s="20" t="s">
        <v>251</v>
      </c>
      <c r="N3929" s="20" t="s">
        <v>2790</v>
      </c>
    </row>
    <row r="3930" spans="1:14" hidden="1" x14ac:dyDescent="0.25">
      <c r="A3930" s="19">
        <v>45931</v>
      </c>
      <c r="B3930" s="20" t="s">
        <v>97</v>
      </c>
      <c r="C3930" s="20">
        <v>34</v>
      </c>
      <c r="D3930" s="20" t="s">
        <v>291</v>
      </c>
      <c r="E3930" s="20" t="s">
        <v>2361</v>
      </c>
      <c r="F3930" s="20" t="s">
        <v>240</v>
      </c>
      <c r="G3930" s="20" t="s">
        <v>82</v>
      </c>
      <c r="H3930" s="20" t="s">
        <v>106</v>
      </c>
      <c r="I3930" s="20" t="s">
        <v>491</v>
      </c>
      <c r="J3930" s="20" t="s">
        <v>202</v>
      </c>
      <c r="K3930" s="20" t="s">
        <v>250</v>
      </c>
      <c r="L3930" s="20"/>
      <c r="M3930" s="20" t="s">
        <v>251</v>
      </c>
      <c r="N3930" s="20" t="s">
        <v>2791</v>
      </c>
    </row>
    <row r="3931" spans="1:14" hidden="1" x14ac:dyDescent="0.25">
      <c r="A3931" s="19">
        <v>45931</v>
      </c>
      <c r="B3931" s="20" t="s">
        <v>97</v>
      </c>
      <c r="C3931" s="20">
        <v>34</v>
      </c>
      <c r="D3931" s="20" t="s">
        <v>291</v>
      </c>
      <c r="E3931" s="20" t="s">
        <v>2361</v>
      </c>
      <c r="F3931" s="20" t="s">
        <v>240</v>
      </c>
      <c r="G3931" s="20" t="s">
        <v>82</v>
      </c>
      <c r="H3931" s="20" t="s">
        <v>105</v>
      </c>
      <c r="I3931" s="20" t="s">
        <v>493</v>
      </c>
      <c r="J3931" s="20" t="s">
        <v>202</v>
      </c>
      <c r="K3931" s="20" t="s">
        <v>250</v>
      </c>
      <c r="L3931" s="20"/>
      <c r="M3931" s="20" t="s">
        <v>251</v>
      </c>
      <c r="N3931" s="20" t="s">
        <v>2792</v>
      </c>
    </row>
    <row r="3932" spans="1:14" hidden="1" x14ac:dyDescent="0.25">
      <c r="A3932" s="19">
        <v>45931</v>
      </c>
      <c r="B3932" s="20" t="s">
        <v>97</v>
      </c>
      <c r="C3932" s="20">
        <v>34</v>
      </c>
      <c r="D3932" s="20" t="s">
        <v>291</v>
      </c>
      <c r="E3932" s="20" t="s">
        <v>2361</v>
      </c>
      <c r="F3932" s="20" t="s">
        <v>240</v>
      </c>
      <c r="G3932" s="20" t="s">
        <v>82</v>
      </c>
      <c r="H3932" s="20" t="s">
        <v>105</v>
      </c>
      <c r="I3932" s="20" t="s">
        <v>491</v>
      </c>
      <c r="J3932" s="20" t="s">
        <v>202</v>
      </c>
      <c r="K3932" s="20" t="s">
        <v>250</v>
      </c>
      <c r="L3932" s="20"/>
      <c r="M3932" s="20" t="s">
        <v>251</v>
      </c>
      <c r="N3932" s="20" t="s">
        <v>2793</v>
      </c>
    </row>
    <row r="3933" spans="1:14" hidden="1" x14ac:dyDescent="0.25">
      <c r="A3933" s="19">
        <v>45931</v>
      </c>
      <c r="B3933" s="20" t="s">
        <v>97</v>
      </c>
      <c r="C3933" s="20">
        <v>35</v>
      </c>
      <c r="D3933" s="20" t="s">
        <v>253</v>
      </c>
      <c r="E3933" s="20" t="s">
        <v>2359</v>
      </c>
      <c r="F3933" s="20" t="s">
        <v>244</v>
      </c>
      <c r="G3933" s="20" t="s">
        <v>82</v>
      </c>
      <c r="H3933" s="20"/>
      <c r="I3933" s="20"/>
      <c r="J3933" s="20" t="s">
        <v>200</v>
      </c>
      <c r="K3933" s="20" t="s">
        <v>255</v>
      </c>
      <c r="L3933" s="20">
        <v>573000000</v>
      </c>
      <c r="M3933" s="20" t="s">
        <v>245</v>
      </c>
      <c r="N3933" s="20" t="s">
        <v>2421</v>
      </c>
    </row>
    <row r="3934" spans="1:14" hidden="1" x14ac:dyDescent="0.25">
      <c r="A3934" s="19">
        <v>45931</v>
      </c>
      <c r="B3934" s="20" t="s">
        <v>97</v>
      </c>
      <c r="C3934" s="20">
        <v>35</v>
      </c>
      <c r="D3934" s="20" t="s">
        <v>253</v>
      </c>
      <c r="E3934" s="20" t="s">
        <v>2359</v>
      </c>
      <c r="F3934" s="20" t="s">
        <v>244</v>
      </c>
      <c r="G3934" s="20" t="s">
        <v>82</v>
      </c>
      <c r="H3934" s="20"/>
      <c r="I3934" s="20"/>
      <c r="J3934" s="20" t="s">
        <v>201</v>
      </c>
      <c r="K3934" s="20" t="s">
        <v>255</v>
      </c>
      <c r="L3934" s="20">
        <v>559000000</v>
      </c>
      <c r="M3934" s="20" t="s">
        <v>245</v>
      </c>
      <c r="N3934" s="20" t="s">
        <v>2632</v>
      </c>
    </row>
    <row r="3935" spans="1:14" hidden="1" x14ac:dyDescent="0.25">
      <c r="A3935" s="19">
        <v>45931</v>
      </c>
      <c r="B3935" s="20" t="s">
        <v>97</v>
      </c>
      <c r="C3935" s="20">
        <v>35</v>
      </c>
      <c r="D3935" s="20" t="s">
        <v>253</v>
      </c>
      <c r="E3935" s="20" t="s">
        <v>2359</v>
      </c>
      <c r="F3935" s="20" t="s">
        <v>244</v>
      </c>
      <c r="G3935" s="20" t="s">
        <v>82</v>
      </c>
      <c r="H3935" s="20"/>
      <c r="I3935" s="20"/>
      <c r="J3935" s="20" t="s">
        <v>202</v>
      </c>
      <c r="K3935" s="20" t="s">
        <v>255</v>
      </c>
      <c r="L3935" s="20">
        <v>555000000</v>
      </c>
      <c r="M3935" s="20" t="s">
        <v>245</v>
      </c>
      <c r="N3935" s="20" t="s">
        <v>2794</v>
      </c>
    </row>
    <row r="3936" spans="1:14" hidden="1" x14ac:dyDescent="0.25">
      <c r="A3936" s="19">
        <v>45931</v>
      </c>
      <c r="B3936" s="20" t="s">
        <v>97</v>
      </c>
      <c r="C3936" s="20">
        <v>35</v>
      </c>
      <c r="D3936" s="20" t="s">
        <v>247</v>
      </c>
      <c r="E3936" s="20" t="s">
        <v>2554</v>
      </c>
      <c r="F3936" s="20" t="s">
        <v>2558</v>
      </c>
      <c r="G3936" s="20" t="s">
        <v>82</v>
      </c>
      <c r="H3936" s="20" t="s">
        <v>249</v>
      </c>
      <c r="I3936" s="20"/>
      <c r="J3936" s="20" t="s">
        <v>202</v>
      </c>
      <c r="K3936" s="20" t="s">
        <v>250</v>
      </c>
      <c r="L3936" s="20">
        <v>0.7</v>
      </c>
      <c r="M3936" s="20" t="s">
        <v>251</v>
      </c>
      <c r="N3936" s="20" t="s">
        <v>810</v>
      </c>
    </row>
    <row r="3937" spans="1:14" hidden="1" x14ac:dyDescent="0.25">
      <c r="A3937" s="19">
        <v>45931</v>
      </c>
      <c r="B3937" s="20" t="s">
        <v>97</v>
      </c>
      <c r="C3937" s="20">
        <v>36</v>
      </c>
      <c r="D3937" s="20" t="s">
        <v>291</v>
      </c>
      <c r="E3937" s="20" t="s">
        <v>2361</v>
      </c>
      <c r="F3937" s="20" t="s">
        <v>244</v>
      </c>
      <c r="G3937" s="20" t="s">
        <v>82</v>
      </c>
      <c r="H3937" s="20" t="s">
        <v>83</v>
      </c>
      <c r="I3937" s="20"/>
      <c r="J3937" s="20" t="s">
        <v>202</v>
      </c>
      <c r="K3937" s="20" t="s">
        <v>250</v>
      </c>
      <c r="L3937" s="20">
        <v>445850000</v>
      </c>
      <c r="M3937" s="20" t="s">
        <v>245</v>
      </c>
      <c r="N3937" s="20" t="s">
        <v>2795</v>
      </c>
    </row>
    <row r="3938" spans="1:14" hidden="1" x14ac:dyDescent="0.25">
      <c r="A3938" s="19">
        <v>45931</v>
      </c>
      <c r="B3938" s="20" t="s">
        <v>97</v>
      </c>
      <c r="C3938" s="20">
        <v>36</v>
      </c>
      <c r="D3938" s="20" t="s">
        <v>291</v>
      </c>
      <c r="E3938" s="20" t="s">
        <v>2361</v>
      </c>
      <c r="F3938" s="20" t="s">
        <v>244</v>
      </c>
      <c r="G3938" s="20" t="s">
        <v>82</v>
      </c>
      <c r="H3938" s="20" t="s">
        <v>84</v>
      </c>
      <c r="I3938" s="20"/>
      <c r="J3938" s="20" t="s">
        <v>202</v>
      </c>
      <c r="K3938" s="20" t="s">
        <v>250</v>
      </c>
      <c r="L3938" s="20">
        <v>94010000</v>
      </c>
      <c r="M3938" s="20" t="s">
        <v>245</v>
      </c>
      <c r="N3938" s="20" t="s">
        <v>2796</v>
      </c>
    </row>
    <row r="3939" spans="1:14" hidden="1" x14ac:dyDescent="0.25">
      <c r="A3939" s="19">
        <v>45931</v>
      </c>
      <c r="B3939" s="20" t="s">
        <v>97</v>
      </c>
      <c r="C3939" s="20">
        <v>36</v>
      </c>
      <c r="D3939" s="20" t="s">
        <v>291</v>
      </c>
      <c r="E3939" s="20" t="s">
        <v>2361</v>
      </c>
      <c r="F3939" s="20" t="s">
        <v>244</v>
      </c>
      <c r="G3939" s="20" t="s">
        <v>82</v>
      </c>
      <c r="H3939" s="20" t="s">
        <v>106</v>
      </c>
      <c r="I3939" s="20"/>
      <c r="J3939" s="20" t="s">
        <v>202</v>
      </c>
      <c r="K3939" s="20" t="s">
        <v>250</v>
      </c>
      <c r="L3939" s="20">
        <v>11630000</v>
      </c>
      <c r="M3939" s="20" t="s">
        <v>245</v>
      </c>
      <c r="N3939" s="20" t="s">
        <v>2797</v>
      </c>
    </row>
    <row r="3940" spans="1:14" hidden="1" x14ac:dyDescent="0.25">
      <c r="A3940" s="19">
        <v>45931</v>
      </c>
      <c r="B3940" s="20" t="s">
        <v>97</v>
      </c>
      <c r="C3940" s="20">
        <v>36</v>
      </c>
      <c r="D3940" s="20" t="s">
        <v>291</v>
      </c>
      <c r="E3940" s="20" t="s">
        <v>2361</v>
      </c>
      <c r="F3940" s="20" t="s">
        <v>244</v>
      </c>
      <c r="G3940" s="20" t="s">
        <v>82</v>
      </c>
      <c r="H3940" s="20" t="s">
        <v>105</v>
      </c>
      <c r="I3940" s="20"/>
      <c r="J3940" s="20" t="s">
        <v>202</v>
      </c>
      <c r="K3940" s="20" t="s">
        <v>250</v>
      </c>
      <c r="L3940" s="20">
        <v>3520000</v>
      </c>
      <c r="M3940" s="20" t="s">
        <v>245</v>
      </c>
      <c r="N3940" s="20" t="s">
        <v>2798</v>
      </c>
    </row>
    <row r="3941" spans="1:14" hidden="1" x14ac:dyDescent="0.25">
      <c r="A3941" s="19">
        <v>45931</v>
      </c>
      <c r="B3941" s="20" t="s">
        <v>97</v>
      </c>
      <c r="C3941" s="20">
        <v>37</v>
      </c>
      <c r="D3941" s="20" t="s">
        <v>291</v>
      </c>
      <c r="E3941" s="20" t="s">
        <v>2361</v>
      </c>
      <c r="F3941" s="20" t="s">
        <v>244</v>
      </c>
      <c r="G3941" s="20" t="s">
        <v>82</v>
      </c>
      <c r="H3941" s="20" t="s">
        <v>83</v>
      </c>
      <c r="I3941" s="20" t="s">
        <v>315</v>
      </c>
      <c r="J3941" s="20" t="s">
        <v>202</v>
      </c>
      <c r="K3941" s="20" t="s">
        <v>250</v>
      </c>
      <c r="L3941" s="20"/>
      <c r="M3941" s="20" t="s">
        <v>251</v>
      </c>
      <c r="N3941" s="20" t="s">
        <v>2799</v>
      </c>
    </row>
    <row r="3942" spans="1:14" hidden="1" x14ac:dyDescent="0.25">
      <c r="A3942" s="19">
        <v>45931</v>
      </c>
      <c r="B3942" s="20" t="s">
        <v>97</v>
      </c>
      <c r="C3942" s="20">
        <v>37</v>
      </c>
      <c r="D3942" s="20" t="s">
        <v>291</v>
      </c>
      <c r="E3942" s="20" t="s">
        <v>2361</v>
      </c>
      <c r="F3942" s="20" t="s">
        <v>244</v>
      </c>
      <c r="G3942" s="20" t="s">
        <v>82</v>
      </c>
      <c r="H3942" s="20" t="s">
        <v>83</v>
      </c>
      <c r="I3942" s="20" t="s">
        <v>317</v>
      </c>
      <c r="J3942" s="20" t="s">
        <v>202</v>
      </c>
      <c r="K3942" s="20" t="s">
        <v>250</v>
      </c>
      <c r="L3942" s="20"/>
      <c r="M3942" s="20" t="s">
        <v>251</v>
      </c>
      <c r="N3942" s="20" t="s">
        <v>2800</v>
      </c>
    </row>
    <row r="3943" spans="1:14" hidden="1" x14ac:dyDescent="0.25">
      <c r="A3943" s="19">
        <v>45931</v>
      </c>
      <c r="B3943" s="20" t="s">
        <v>97</v>
      </c>
      <c r="C3943" s="20">
        <v>37</v>
      </c>
      <c r="D3943" s="20" t="s">
        <v>291</v>
      </c>
      <c r="E3943" s="20" t="s">
        <v>2361</v>
      </c>
      <c r="F3943" s="20" t="s">
        <v>244</v>
      </c>
      <c r="G3943" s="20" t="s">
        <v>82</v>
      </c>
      <c r="H3943" s="20" t="s">
        <v>83</v>
      </c>
      <c r="I3943" s="20" t="s">
        <v>2785</v>
      </c>
      <c r="J3943" s="20" t="s">
        <v>202</v>
      </c>
      <c r="K3943" s="20" t="s">
        <v>250</v>
      </c>
      <c r="L3943" s="20"/>
      <c r="M3943" s="20" t="s">
        <v>251</v>
      </c>
      <c r="N3943" s="20" t="s">
        <v>2801</v>
      </c>
    </row>
    <row r="3944" spans="1:14" hidden="1" x14ac:dyDescent="0.25">
      <c r="A3944" s="19">
        <v>45931</v>
      </c>
      <c r="B3944" s="20" t="s">
        <v>97</v>
      </c>
      <c r="C3944" s="20">
        <v>37</v>
      </c>
      <c r="D3944" s="20" t="s">
        <v>291</v>
      </c>
      <c r="E3944" s="20" t="s">
        <v>2361</v>
      </c>
      <c r="F3944" s="20" t="s">
        <v>244</v>
      </c>
      <c r="G3944" s="20" t="s">
        <v>82</v>
      </c>
      <c r="H3944" s="20" t="s">
        <v>83</v>
      </c>
      <c r="I3944" s="20" t="s">
        <v>497</v>
      </c>
      <c r="J3944" s="20" t="s">
        <v>202</v>
      </c>
      <c r="K3944" s="20" t="s">
        <v>250</v>
      </c>
      <c r="L3944" s="20"/>
      <c r="M3944" s="20" t="s">
        <v>251</v>
      </c>
      <c r="N3944" s="20" t="s">
        <v>1984</v>
      </c>
    </row>
    <row r="3945" spans="1:14" hidden="1" x14ac:dyDescent="0.25">
      <c r="A3945" s="19">
        <v>45931</v>
      </c>
      <c r="B3945" s="20" t="s">
        <v>97</v>
      </c>
      <c r="C3945" s="20">
        <v>37</v>
      </c>
      <c r="D3945" s="20" t="s">
        <v>291</v>
      </c>
      <c r="E3945" s="20" t="s">
        <v>2361</v>
      </c>
      <c r="F3945" s="20" t="s">
        <v>244</v>
      </c>
      <c r="G3945" s="20" t="s">
        <v>82</v>
      </c>
      <c r="H3945" s="20" t="s">
        <v>83</v>
      </c>
      <c r="I3945" s="20" t="s">
        <v>503</v>
      </c>
      <c r="J3945" s="20" t="s">
        <v>202</v>
      </c>
      <c r="K3945" s="20" t="s">
        <v>250</v>
      </c>
      <c r="L3945" s="20"/>
      <c r="M3945" s="20" t="s">
        <v>251</v>
      </c>
      <c r="N3945" s="20" t="s">
        <v>1463</v>
      </c>
    </row>
    <row r="3946" spans="1:14" hidden="1" x14ac:dyDescent="0.25">
      <c r="A3946" s="19">
        <v>45931</v>
      </c>
      <c r="B3946" s="20" t="s">
        <v>97</v>
      </c>
      <c r="C3946" s="20">
        <v>37</v>
      </c>
      <c r="D3946" s="20" t="s">
        <v>291</v>
      </c>
      <c r="E3946" s="20" t="s">
        <v>2361</v>
      </c>
      <c r="F3946" s="20" t="s">
        <v>244</v>
      </c>
      <c r="G3946" s="20" t="s">
        <v>82</v>
      </c>
      <c r="H3946" s="20" t="s">
        <v>83</v>
      </c>
      <c r="I3946" s="20" t="s">
        <v>2413</v>
      </c>
      <c r="J3946" s="20" t="s">
        <v>202</v>
      </c>
      <c r="K3946" s="20" t="s">
        <v>250</v>
      </c>
      <c r="L3946" s="20"/>
      <c r="M3946" s="20" t="s">
        <v>251</v>
      </c>
      <c r="N3946" s="20" t="s">
        <v>2802</v>
      </c>
    </row>
    <row r="3947" spans="1:14" hidden="1" x14ac:dyDescent="0.25">
      <c r="A3947" s="19">
        <v>45931</v>
      </c>
      <c r="B3947" s="20" t="s">
        <v>97</v>
      </c>
      <c r="C3947" s="20">
        <v>37</v>
      </c>
      <c r="D3947" s="20" t="s">
        <v>291</v>
      </c>
      <c r="E3947" s="20" t="s">
        <v>2361</v>
      </c>
      <c r="F3947" s="20" t="s">
        <v>244</v>
      </c>
      <c r="G3947" s="20" t="s">
        <v>82</v>
      </c>
      <c r="H3947" s="20" t="s">
        <v>83</v>
      </c>
      <c r="I3947" s="20" t="s">
        <v>2414</v>
      </c>
      <c r="J3947" s="20" t="s">
        <v>202</v>
      </c>
      <c r="K3947" s="20" t="s">
        <v>250</v>
      </c>
      <c r="L3947" s="20"/>
      <c r="M3947" s="20" t="s">
        <v>251</v>
      </c>
      <c r="N3947" s="20" t="s">
        <v>2803</v>
      </c>
    </row>
    <row r="3948" spans="1:14" hidden="1" x14ac:dyDescent="0.25">
      <c r="A3948" s="19">
        <v>45931</v>
      </c>
      <c r="B3948" s="20" t="s">
        <v>97</v>
      </c>
      <c r="C3948" s="20">
        <v>37</v>
      </c>
      <c r="D3948" s="20" t="s">
        <v>291</v>
      </c>
      <c r="E3948" s="20" t="s">
        <v>2361</v>
      </c>
      <c r="F3948" s="20" t="s">
        <v>244</v>
      </c>
      <c r="G3948" s="20" t="s">
        <v>82</v>
      </c>
      <c r="H3948" s="20" t="s">
        <v>84</v>
      </c>
      <c r="I3948" s="20" t="s">
        <v>319</v>
      </c>
      <c r="J3948" s="20" t="s">
        <v>202</v>
      </c>
      <c r="K3948" s="20" t="s">
        <v>250</v>
      </c>
      <c r="L3948" s="20"/>
      <c r="M3948" s="20" t="s">
        <v>251</v>
      </c>
      <c r="N3948" s="20" t="s">
        <v>2804</v>
      </c>
    </row>
    <row r="3949" spans="1:14" hidden="1" x14ac:dyDescent="0.25">
      <c r="A3949" s="19">
        <v>45931</v>
      </c>
      <c r="B3949" s="20" t="s">
        <v>97</v>
      </c>
      <c r="C3949" s="20">
        <v>37</v>
      </c>
      <c r="D3949" s="20" t="s">
        <v>291</v>
      </c>
      <c r="E3949" s="20" t="s">
        <v>2361</v>
      </c>
      <c r="F3949" s="20" t="s">
        <v>244</v>
      </c>
      <c r="G3949" s="20" t="s">
        <v>82</v>
      </c>
      <c r="H3949" s="20" t="s">
        <v>84</v>
      </c>
      <c r="I3949" s="20" t="s">
        <v>321</v>
      </c>
      <c r="J3949" s="20" t="s">
        <v>202</v>
      </c>
      <c r="K3949" s="20" t="s">
        <v>250</v>
      </c>
      <c r="L3949" s="20"/>
      <c r="M3949" s="20" t="s">
        <v>251</v>
      </c>
      <c r="N3949" s="20" t="s">
        <v>714</v>
      </c>
    </row>
    <row r="3950" spans="1:14" hidden="1" x14ac:dyDescent="0.25">
      <c r="A3950" s="19">
        <v>45931</v>
      </c>
      <c r="B3950" s="20" t="s">
        <v>97</v>
      </c>
      <c r="C3950" s="20">
        <v>37</v>
      </c>
      <c r="D3950" s="20" t="s">
        <v>291</v>
      </c>
      <c r="E3950" s="20" t="s">
        <v>2361</v>
      </c>
      <c r="F3950" s="20" t="s">
        <v>244</v>
      </c>
      <c r="G3950" s="20" t="s">
        <v>82</v>
      </c>
      <c r="H3950" s="20" t="s">
        <v>106</v>
      </c>
      <c r="I3950" s="20" t="s">
        <v>493</v>
      </c>
      <c r="J3950" s="20" t="s">
        <v>202</v>
      </c>
      <c r="K3950" s="20" t="s">
        <v>250</v>
      </c>
      <c r="L3950" s="20"/>
      <c r="M3950" s="20" t="s">
        <v>251</v>
      </c>
      <c r="N3950" s="20" t="s">
        <v>2805</v>
      </c>
    </row>
    <row r="3951" spans="1:14" hidden="1" x14ac:dyDescent="0.25">
      <c r="A3951" s="19">
        <v>45931</v>
      </c>
      <c r="B3951" s="20" t="s">
        <v>97</v>
      </c>
      <c r="C3951" s="20">
        <v>37</v>
      </c>
      <c r="D3951" s="20" t="s">
        <v>291</v>
      </c>
      <c r="E3951" s="20" t="s">
        <v>2361</v>
      </c>
      <c r="F3951" s="20" t="s">
        <v>244</v>
      </c>
      <c r="G3951" s="20" t="s">
        <v>82</v>
      </c>
      <c r="H3951" s="20" t="s">
        <v>106</v>
      </c>
      <c r="I3951" s="20" t="s">
        <v>491</v>
      </c>
      <c r="J3951" s="20" t="s">
        <v>202</v>
      </c>
      <c r="K3951" s="20" t="s">
        <v>250</v>
      </c>
      <c r="L3951" s="20"/>
      <c r="M3951" s="20" t="s">
        <v>251</v>
      </c>
      <c r="N3951" s="20" t="s">
        <v>2806</v>
      </c>
    </row>
    <row r="3952" spans="1:14" hidden="1" x14ac:dyDescent="0.25">
      <c r="A3952" s="19">
        <v>45931</v>
      </c>
      <c r="B3952" s="20" t="s">
        <v>97</v>
      </c>
      <c r="C3952" s="20">
        <v>37</v>
      </c>
      <c r="D3952" s="20" t="s">
        <v>291</v>
      </c>
      <c r="E3952" s="20" t="s">
        <v>2361</v>
      </c>
      <c r="F3952" s="20" t="s">
        <v>244</v>
      </c>
      <c r="G3952" s="20" t="s">
        <v>82</v>
      </c>
      <c r="H3952" s="20" t="s">
        <v>105</v>
      </c>
      <c r="I3952" s="20" t="s">
        <v>493</v>
      </c>
      <c r="J3952" s="20" t="s">
        <v>202</v>
      </c>
      <c r="K3952" s="20" t="s">
        <v>250</v>
      </c>
      <c r="L3952" s="20"/>
      <c r="M3952" s="20" t="s">
        <v>251</v>
      </c>
      <c r="N3952" s="20" t="s">
        <v>2807</v>
      </c>
    </row>
    <row r="3953" spans="1:14" hidden="1" x14ac:dyDescent="0.25">
      <c r="A3953" s="19">
        <v>45931</v>
      </c>
      <c r="B3953" s="20" t="s">
        <v>97</v>
      </c>
      <c r="C3953" s="20">
        <v>37</v>
      </c>
      <c r="D3953" s="20" t="s">
        <v>291</v>
      </c>
      <c r="E3953" s="20" t="s">
        <v>2361</v>
      </c>
      <c r="F3953" s="20" t="s">
        <v>244</v>
      </c>
      <c r="G3953" s="20" t="s">
        <v>82</v>
      </c>
      <c r="H3953" s="20" t="s">
        <v>105</v>
      </c>
      <c r="I3953" s="20" t="s">
        <v>491</v>
      </c>
      <c r="J3953" s="20" t="s">
        <v>202</v>
      </c>
      <c r="K3953" s="20" t="s">
        <v>250</v>
      </c>
      <c r="L3953" s="20"/>
      <c r="M3953" s="20" t="s">
        <v>251</v>
      </c>
      <c r="N3953" s="20" t="s">
        <v>2808</v>
      </c>
    </row>
    <row r="3954" spans="1:14" hidden="1" x14ac:dyDescent="0.25">
      <c r="A3954" s="19">
        <v>45931</v>
      </c>
      <c r="B3954" s="20" t="s">
        <v>97</v>
      </c>
      <c r="C3954" s="20">
        <v>38</v>
      </c>
      <c r="D3954" s="20" t="s">
        <v>253</v>
      </c>
      <c r="E3954" s="20" t="s">
        <v>2359</v>
      </c>
      <c r="F3954" s="20" t="s">
        <v>334</v>
      </c>
      <c r="G3954" s="20" t="s">
        <v>82</v>
      </c>
      <c r="H3954" s="20"/>
      <c r="I3954" s="20"/>
      <c r="J3954" s="20" t="s">
        <v>200</v>
      </c>
      <c r="K3954" s="20" t="s">
        <v>255</v>
      </c>
      <c r="L3954" s="20">
        <v>61</v>
      </c>
      <c r="M3954" s="20" t="s">
        <v>245</v>
      </c>
      <c r="N3954" s="20" t="s">
        <v>2437</v>
      </c>
    </row>
    <row r="3955" spans="1:14" hidden="1" x14ac:dyDescent="0.25">
      <c r="A3955" s="19">
        <v>45931</v>
      </c>
      <c r="B3955" s="20" t="s">
        <v>97</v>
      </c>
      <c r="C3955" s="20">
        <v>38</v>
      </c>
      <c r="D3955" s="20" t="s">
        <v>253</v>
      </c>
      <c r="E3955" s="20" t="s">
        <v>2359</v>
      </c>
      <c r="F3955" s="20" t="s">
        <v>334</v>
      </c>
      <c r="G3955" s="20" t="s">
        <v>82</v>
      </c>
      <c r="H3955" s="20"/>
      <c r="I3955" s="20"/>
      <c r="J3955" s="20" t="s">
        <v>201</v>
      </c>
      <c r="K3955" s="20" t="s">
        <v>255</v>
      </c>
      <c r="L3955" s="20">
        <v>59</v>
      </c>
      <c r="M3955" s="20" t="s">
        <v>245</v>
      </c>
      <c r="N3955" s="20" t="s">
        <v>2645</v>
      </c>
    </row>
    <row r="3956" spans="1:14" hidden="1" x14ac:dyDescent="0.25">
      <c r="A3956" s="19">
        <v>45931</v>
      </c>
      <c r="B3956" s="20" t="s">
        <v>97</v>
      </c>
      <c r="C3956" s="20">
        <v>38</v>
      </c>
      <c r="D3956" s="20" t="s">
        <v>253</v>
      </c>
      <c r="E3956" s="20" t="s">
        <v>2359</v>
      </c>
      <c r="F3956" s="20" t="s">
        <v>334</v>
      </c>
      <c r="G3956" s="20" t="s">
        <v>82</v>
      </c>
      <c r="H3956" s="20"/>
      <c r="I3956" s="20"/>
      <c r="J3956" s="20" t="s">
        <v>202</v>
      </c>
      <c r="K3956" s="20" t="s">
        <v>255</v>
      </c>
      <c r="L3956" s="20">
        <v>55</v>
      </c>
      <c r="M3956" s="20" t="s">
        <v>245</v>
      </c>
      <c r="N3956" s="20" t="s">
        <v>2809</v>
      </c>
    </row>
    <row r="3957" spans="1:14" hidden="1" x14ac:dyDescent="0.25">
      <c r="A3957" s="19">
        <v>45931</v>
      </c>
      <c r="B3957" s="20" t="s">
        <v>97</v>
      </c>
      <c r="C3957" s="20">
        <v>39</v>
      </c>
      <c r="D3957" s="20" t="s">
        <v>291</v>
      </c>
      <c r="E3957" s="20" t="s">
        <v>2361</v>
      </c>
      <c r="F3957" s="20" t="s">
        <v>428</v>
      </c>
      <c r="G3957" s="20" t="s">
        <v>82</v>
      </c>
      <c r="H3957" s="20" t="s">
        <v>95</v>
      </c>
      <c r="I3957" s="20"/>
      <c r="J3957" s="20" t="s">
        <v>202</v>
      </c>
      <c r="K3957" s="20" t="s">
        <v>250</v>
      </c>
      <c r="L3957" s="20">
        <v>3400000</v>
      </c>
      <c r="M3957" s="20" t="s">
        <v>242</v>
      </c>
      <c r="N3957" s="20" t="s">
        <v>2810</v>
      </c>
    </row>
    <row r="3958" spans="1:14" hidden="1" x14ac:dyDescent="0.25">
      <c r="A3958" s="19">
        <v>45931</v>
      </c>
      <c r="B3958" s="20" t="s">
        <v>97</v>
      </c>
      <c r="C3958" s="20">
        <v>39</v>
      </c>
      <c r="D3958" s="20" t="s">
        <v>291</v>
      </c>
      <c r="E3958" s="20" t="s">
        <v>2361</v>
      </c>
      <c r="F3958" s="20" t="s">
        <v>428</v>
      </c>
      <c r="G3958" s="20" t="s">
        <v>82</v>
      </c>
      <c r="H3958" s="20" t="s">
        <v>94</v>
      </c>
      <c r="I3958" s="20"/>
      <c r="J3958" s="20" t="s">
        <v>202</v>
      </c>
      <c r="K3958" s="20" t="s">
        <v>250</v>
      </c>
      <c r="L3958" s="20">
        <v>2400000</v>
      </c>
      <c r="M3958" s="20" t="s">
        <v>242</v>
      </c>
      <c r="N3958" s="20" t="s">
        <v>922</v>
      </c>
    </row>
    <row r="3959" spans="1:14" hidden="1" x14ac:dyDescent="0.25">
      <c r="A3959" s="19">
        <v>45931</v>
      </c>
      <c r="B3959" s="20" t="s">
        <v>97</v>
      </c>
      <c r="C3959" s="20">
        <v>40</v>
      </c>
      <c r="D3959" s="20" t="s">
        <v>291</v>
      </c>
      <c r="E3959" s="20" t="s">
        <v>2361</v>
      </c>
      <c r="F3959" s="20" t="s">
        <v>445</v>
      </c>
      <c r="G3959" s="20" t="s">
        <v>82</v>
      </c>
      <c r="H3959" s="20" t="s">
        <v>95</v>
      </c>
      <c r="I3959" s="20"/>
      <c r="J3959" s="20" t="s">
        <v>202</v>
      </c>
      <c r="K3959" s="20" t="s">
        <v>250</v>
      </c>
      <c r="L3959" s="20">
        <v>114400000</v>
      </c>
      <c r="M3959" s="20" t="s">
        <v>245</v>
      </c>
      <c r="N3959" s="20" t="s">
        <v>2811</v>
      </c>
    </row>
    <row r="3960" spans="1:14" hidden="1" x14ac:dyDescent="0.25">
      <c r="A3960" s="19">
        <v>45931</v>
      </c>
      <c r="B3960" s="20" t="s">
        <v>97</v>
      </c>
      <c r="C3960" s="20">
        <v>40</v>
      </c>
      <c r="D3960" s="20" t="s">
        <v>291</v>
      </c>
      <c r="E3960" s="20" t="s">
        <v>2361</v>
      </c>
      <c r="F3960" s="20" t="s">
        <v>445</v>
      </c>
      <c r="G3960" s="20" t="s">
        <v>82</v>
      </c>
      <c r="H3960" s="20" t="s">
        <v>94</v>
      </c>
      <c r="I3960" s="20"/>
      <c r="J3960" s="20" t="s">
        <v>202</v>
      </c>
      <c r="K3960" s="20" t="s">
        <v>250</v>
      </c>
      <c r="L3960" s="20">
        <v>92030000</v>
      </c>
      <c r="M3960" s="20" t="s">
        <v>245</v>
      </c>
      <c r="N3960" s="20" t="s">
        <v>2812</v>
      </c>
    </row>
    <row r="3961" spans="1:14" hidden="1" x14ac:dyDescent="0.25">
      <c r="A3961" s="19">
        <v>45931</v>
      </c>
      <c r="B3961" s="20" t="s">
        <v>162</v>
      </c>
      <c r="C3961" s="20">
        <v>42</v>
      </c>
      <c r="D3961" s="20" t="s">
        <v>238</v>
      </c>
      <c r="E3961" s="20" t="s">
        <v>2341</v>
      </c>
      <c r="F3961" s="20" t="s">
        <v>240</v>
      </c>
      <c r="G3961" s="20" t="s">
        <v>82</v>
      </c>
      <c r="H3961" s="20"/>
      <c r="I3961" s="20"/>
      <c r="J3961" s="20" t="s">
        <v>2743</v>
      </c>
      <c r="K3961" s="20" t="s">
        <v>241</v>
      </c>
      <c r="L3961" s="20">
        <v>214910000</v>
      </c>
      <c r="M3961" s="20" t="s">
        <v>242</v>
      </c>
      <c r="N3961" s="20" t="s">
        <v>2813</v>
      </c>
    </row>
    <row r="3962" spans="1:14" hidden="1" x14ac:dyDescent="0.25">
      <c r="A3962" s="19">
        <v>45931</v>
      </c>
      <c r="B3962" s="20" t="s">
        <v>162</v>
      </c>
      <c r="C3962" s="20">
        <v>42</v>
      </c>
      <c r="D3962" s="20" t="s">
        <v>238</v>
      </c>
      <c r="E3962" s="20" t="s">
        <v>2341</v>
      </c>
      <c r="F3962" s="20" t="s">
        <v>244</v>
      </c>
      <c r="G3962" s="20" t="s">
        <v>82</v>
      </c>
      <c r="H3962" s="20"/>
      <c r="I3962" s="20"/>
      <c r="J3962" s="20" t="s">
        <v>2743</v>
      </c>
      <c r="K3962" s="20" t="s">
        <v>241</v>
      </c>
      <c r="L3962" s="20">
        <v>21610000000</v>
      </c>
      <c r="M3962" s="20" t="s">
        <v>245</v>
      </c>
      <c r="N3962" s="20" t="s">
        <v>2814</v>
      </c>
    </row>
    <row r="3963" spans="1:14" hidden="1" x14ac:dyDescent="0.25">
      <c r="A3963" s="19">
        <v>45931</v>
      </c>
      <c r="B3963" s="20" t="s">
        <v>162</v>
      </c>
      <c r="C3963" s="20">
        <v>43</v>
      </c>
      <c r="D3963" s="20" t="s">
        <v>253</v>
      </c>
      <c r="E3963" s="20" t="s">
        <v>2359</v>
      </c>
      <c r="F3963" s="20" t="s">
        <v>1194</v>
      </c>
      <c r="G3963" s="20" t="s">
        <v>82</v>
      </c>
      <c r="H3963" s="20"/>
      <c r="I3963" s="20"/>
      <c r="J3963" s="20" t="s">
        <v>200</v>
      </c>
      <c r="K3963" s="20" t="s">
        <v>255</v>
      </c>
      <c r="L3963" s="20">
        <v>25210000</v>
      </c>
      <c r="M3963" s="20" t="s">
        <v>242</v>
      </c>
      <c r="N3963" s="20" t="s">
        <v>2444</v>
      </c>
    </row>
    <row r="3964" spans="1:14" hidden="1" x14ac:dyDescent="0.25">
      <c r="A3964" s="19">
        <v>45931</v>
      </c>
      <c r="B3964" s="20" t="s">
        <v>162</v>
      </c>
      <c r="C3964" s="20">
        <v>43</v>
      </c>
      <c r="D3964" s="20" t="s">
        <v>253</v>
      </c>
      <c r="E3964" s="20" t="s">
        <v>2359</v>
      </c>
      <c r="F3964" s="20" t="s">
        <v>1194</v>
      </c>
      <c r="G3964" s="20" t="s">
        <v>82</v>
      </c>
      <c r="H3964" s="20"/>
      <c r="I3964" s="20"/>
      <c r="J3964" s="20" t="s">
        <v>201</v>
      </c>
      <c r="K3964" s="20" t="s">
        <v>255</v>
      </c>
      <c r="L3964" s="20">
        <v>25080000</v>
      </c>
      <c r="M3964" s="20" t="s">
        <v>242</v>
      </c>
      <c r="N3964" s="20" t="s">
        <v>2651</v>
      </c>
    </row>
    <row r="3965" spans="1:14" hidden="1" x14ac:dyDescent="0.25">
      <c r="A3965" s="19">
        <v>45931</v>
      </c>
      <c r="B3965" s="20" t="s">
        <v>162</v>
      </c>
      <c r="C3965" s="20">
        <v>43</v>
      </c>
      <c r="D3965" s="20" t="s">
        <v>253</v>
      </c>
      <c r="E3965" s="20" t="s">
        <v>2359</v>
      </c>
      <c r="F3965" s="20" t="s">
        <v>1194</v>
      </c>
      <c r="G3965" s="20" t="s">
        <v>82</v>
      </c>
      <c r="H3965" s="20"/>
      <c r="I3965" s="20"/>
      <c r="J3965" s="20" t="s">
        <v>202</v>
      </c>
      <c r="K3965" s="20" t="s">
        <v>255</v>
      </c>
      <c r="L3965" s="20">
        <v>26720000</v>
      </c>
      <c r="M3965" s="20" t="s">
        <v>242</v>
      </c>
      <c r="N3965" s="20" t="s">
        <v>2815</v>
      </c>
    </row>
    <row r="3966" spans="1:14" hidden="1" x14ac:dyDescent="0.25">
      <c r="A3966" s="19">
        <v>45931</v>
      </c>
      <c r="B3966" s="20" t="s">
        <v>162</v>
      </c>
      <c r="C3966" s="20">
        <v>43</v>
      </c>
      <c r="D3966" s="20" t="s">
        <v>247</v>
      </c>
      <c r="E3966" s="20" t="s">
        <v>2554</v>
      </c>
      <c r="F3966" s="20" t="s">
        <v>2556</v>
      </c>
      <c r="G3966" s="20" t="s">
        <v>82</v>
      </c>
      <c r="H3966" s="20" t="s">
        <v>286</v>
      </c>
      <c r="I3966" s="20"/>
      <c r="J3966" s="20" t="s">
        <v>202</v>
      </c>
      <c r="K3966" s="20" t="s">
        <v>250</v>
      </c>
      <c r="L3966" s="20">
        <v>6.5</v>
      </c>
      <c r="M3966" s="20" t="s">
        <v>251</v>
      </c>
      <c r="N3966" s="20" t="s">
        <v>2756</v>
      </c>
    </row>
    <row r="3967" spans="1:14" hidden="1" x14ac:dyDescent="0.25">
      <c r="A3967" s="19">
        <v>45931</v>
      </c>
      <c r="B3967" s="20" t="s">
        <v>162</v>
      </c>
      <c r="C3967" s="20">
        <v>44</v>
      </c>
      <c r="D3967" s="20" t="s">
        <v>291</v>
      </c>
      <c r="E3967" s="20" t="s">
        <v>2361</v>
      </c>
      <c r="F3967" s="20" t="s">
        <v>2445</v>
      </c>
      <c r="G3967" s="20" t="s">
        <v>82</v>
      </c>
      <c r="H3967" s="20" t="s">
        <v>2446</v>
      </c>
      <c r="I3967" s="20" t="s">
        <v>2447</v>
      </c>
      <c r="J3967" s="20" t="s">
        <v>202</v>
      </c>
      <c r="K3967" s="20" t="s">
        <v>250</v>
      </c>
      <c r="L3967" s="20">
        <v>11440000</v>
      </c>
      <c r="M3967" s="20" t="s">
        <v>242</v>
      </c>
      <c r="N3967" s="20" t="s">
        <v>2816</v>
      </c>
    </row>
    <row r="3968" spans="1:14" hidden="1" x14ac:dyDescent="0.25">
      <c r="A3968" s="19">
        <v>45931</v>
      </c>
      <c r="B3968" s="20" t="s">
        <v>162</v>
      </c>
      <c r="C3968" s="20">
        <v>44</v>
      </c>
      <c r="D3968" s="20" t="s">
        <v>291</v>
      </c>
      <c r="E3968" s="20" t="s">
        <v>2361</v>
      </c>
      <c r="F3968" s="20" t="s">
        <v>2445</v>
      </c>
      <c r="G3968" s="20" t="s">
        <v>82</v>
      </c>
      <c r="H3968" s="20" t="s">
        <v>2449</v>
      </c>
      <c r="I3968" s="20" t="s">
        <v>2447</v>
      </c>
      <c r="J3968" s="20" t="s">
        <v>202</v>
      </c>
      <c r="K3968" s="20" t="s">
        <v>250</v>
      </c>
      <c r="L3968" s="20">
        <v>3280000</v>
      </c>
      <c r="M3968" s="20" t="s">
        <v>242</v>
      </c>
      <c r="N3968" s="20" t="s">
        <v>2595</v>
      </c>
    </row>
    <row r="3969" spans="1:14" hidden="1" x14ac:dyDescent="0.25">
      <c r="A3969" s="19">
        <v>45931</v>
      </c>
      <c r="B3969" s="20" t="s">
        <v>162</v>
      </c>
      <c r="C3969" s="20">
        <v>44</v>
      </c>
      <c r="D3969" s="20" t="s">
        <v>291</v>
      </c>
      <c r="E3969" s="20" t="s">
        <v>2361</v>
      </c>
      <c r="F3969" s="20" t="s">
        <v>2445</v>
      </c>
      <c r="G3969" s="20" t="s">
        <v>82</v>
      </c>
      <c r="H3969" s="20" t="s">
        <v>2446</v>
      </c>
      <c r="I3969" s="20" t="s">
        <v>2451</v>
      </c>
      <c r="J3969" s="20" t="s">
        <v>202</v>
      </c>
      <c r="K3969" s="20" t="s">
        <v>250</v>
      </c>
      <c r="L3969" s="20">
        <v>5130000</v>
      </c>
      <c r="M3969" s="20" t="s">
        <v>242</v>
      </c>
      <c r="N3969" s="20" t="s">
        <v>2817</v>
      </c>
    </row>
    <row r="3970" spans="1:14" hidden="1" x14ac:dyDescent="0.25">
      <c r="A3970" s="19">
        <v>45931</v>
      </c>
      <c r="B3970" s="20" t="s">
        <v>162</v>
      </c>
      <c r="C3970" s="20">
        <v>44</v>
      </c>
      <c r="D3970" s="20" t="s">
        <v>291</v>
      </c>
      <c r="E3970" s="20" t="s">
        <v>2361</v>
      </c>
      <c r="F3970" s="20" t="s">
        <v>2445</v>
      </c>
      <c r="G3970" s="20" t="s">
        <v>82</v>
      </c>
      <c r="H3970" s="20" t="s">
        <v>2449</v>
      </c>
      <c r="I3970" s="20" t="s">
        <v>2451</v>
      </c>
      <c r="J3970" s="20" t="s">
        <v>202</v>
      </c>
      <c r="K3970" s="20" t="s">
        <v>250</v>
      </c>
      <c r="L3970" s="20">
        <v>6730000</v>
      </c>
      <c r="M3970" s="20" t="s">
        <v>242</v>
      </c>
      <c r="N3970" s="20" t="s">
        <v>2818</v>
      </c>
    </row>
    <row r="3971" spans="1:14" hidden="1" x14ac:dyDescent="0.25">
      <c r="A3971" s="19">
        <v>45931</v>
      </c>
      <c r="B3971" s="20" t="s">
        <v>162</v>
      </c>
      <c r="C3971" s="20">
        <v>44</v>
      </c>
      <c r="D3971" s="20" t="s">
        <v>291</v>
      </c>
      <c r="E3971" s="20" t="s">
        <v>2361</v>
      </c>
      <c r="F3971" s="20" t="s">
        <v>2445</v>
      </c>
      <c r="G3971" s="20" t="s">
        <v>82</v>
      </c>
      <c r="H3971" s="20" t="s">
        <v>2446</v>
      </c>
      <c r="I3971" s="20" t="s">
        <v>2454</v>
      </c>
      <c r="J3971" s="20" t="s">
        <v>202</v>
      </c>
      <c r="K3971" s="20" t="s">
        <v>250</v>
      </c>
      <c r="L3971" s="20">
        <v>13870</v>
      </c>
      <c r="M3971" s="20" t="s">
        <v>242</v>
      </c>
      <c r="N3971" s="20" t="s">
        <v>2819</v>
      </c>
    </row>
    <row r="3972" spans="1:14" hidden="1" x14ac:dyDescent="0.25">
      <c r="A3972" s="19">
        <v>45931</v>
      </c>
      <c r="B3972" s="20" t="s">
        <v>162</v>
      </c>
      <c r="C3972" s="20">
        <v>44</v>
      </c>
      <c r="D3972" s="20" t="s">
        <v>291</v>
      </c>
      <c r="E3972" s="20" t="s">
        <v>2361</v>
      </c>
      <c r="F3972" s="20" t="s">
        <v>2445</v>
      </c>
      <c r="G3972" s="20" t="s">
        <v>82</v>
      </c>
      <c r="H3972" s="20" t="s">
        <v>2449</v>
      </c>
      <c r="I3972" s="20" t="s">
        <v>2454</v>
      </c>
      <c r="J3972" s="20" t="s">
        <v>202</v>
      </c>
      <c r="K3972" s="20" t="s">
        <v>250</v>
      </c>
      <c r="L3972" s="20">
        <v>120360</v>
      </c>
      <c r="M3972" s="20" t="s">
        <v>242</v>
      </c>
      <c r="N3972" s="20" t="s">
        <v>2820</v>
      </c>
    </row>
    <row r="3973" spans="1:14" hidden="1" x14ac:dyDescent="0.25">
      <c r="A3973" s="19">
        <v>45931</v>
      </c>
      <c r="B3973" s="20" t="s">
        <v>162</v>
      </c>
      <c r="C3973" s="20">
        <v>45</v>
      </c>
      <c r="D3973" s="20" t="s">
        <v>253</v>
      </c>
      <c r="E3973" s="20" t="s">
        <v>2359</v>
      </c>
      <c r="F3973" s="20" t="s">
        <v>2457</v>
      </c>
      <c r="G3973" s="20" t="s">
        <v>82</v>
      </c>
      <c r="H3973" s="20"/>
      <c r="I3973" s="20"/>
      <c r="J3973" s="20" t="s">
        <v>200</v>
      </c>
      <c r="K3973" s="20" t="s">
        <v>255</v>
      </c>
      <c r="L3973" s="20">
        <v>20920000</v>
      </c>
      <c r="M3973" s="20" t="s">
        <v>242</v>
      </c>
      <c r="N3973" s="20" t="s">
        <v>2458</v>
      </c>
    </row>
    <row r="3974" spans="1:14" hidden="1" x14ac:dyDescent="0.25">
      <c r="A3974" s="19">
        <v>45931</v>
      </c>
      <c r="B3974" s="20" t="s">
        <v>162</v>
      </c>
      <c r="C3974" s="20">
        <v>45</v>
      </c>
      <c r="D3974" s="20" t="s">
        <v>253</v>
      </c>
      <c r="E3974" s="20" t="s">
        <v>2359</v>
      </c>
      <c r="F3974" s="20" t="s">
        <v>2457</v>
      </c>
      <c r="G3974" s="20" t="s">
        <v>82</v>
      </c>
      <c r="H3974" s="20"/>
      <c r="I3974" s="20"/>
      <c r="J3974" s="20" t="s">
        <v>201</v>
      </c>
      <c r="K3974" s="20" t="s">
        <v>255</v>
      </c>
      <c r="L3974" s="20">
        <v>20570000</v>
      </c>
      <c r="M3974" s="20" t="s">
        <v>242</v>
      </c>
      <c r="N3974" s="20" t="s">
        <v>2657</v>
      </c>
    </row>
    <row r="3975" spans="1:14" hidden="1" x14ac:dyDescent="0.25">
      <c r="A3975" s="19">
        <v>45931</v>
      </c>
      <c r="B3975" s="20" t="s">
        <v>162</v>
      </c>
      <c r="C3975" s="20">
        <v>45</v>
      </c>
      <c r="D3975" s="20" t="s">
        <v>253</v>
      </c>
      <c r="E3975" s="20" t="s">
        <v>2359</v>
      </c>
      <c r="F3975" s="20" t="s">
        <v>2457</v>
      </c>
      <c r="G3975" s="20" t="s">
        <v>82</v>
      </c>
      <c r="H3975" s="20"/>
      <c r="I3975" s="20"/>
      <c r="J3975" s="20" t="s">
        <v>202</v>
      </c>
      <c r="K3975" s="20" t="s">
        <v>255</v>
      </c>
      <c r="L3975" s="20">
        <v>21870000</v>
      </c>
      <c r="M3975" s="20" t="s">
        <v>242</v>
      </c>
      <c r="N3975" s="20" t="s">
        <v>2821</v>
      </c>
    </row>
    <row r="3976" spans="1:14" hidden="1" x14ac:dyDescent="0.25">
      <c r="A3976" s="19">
        <v>45931</v>
      </c>
      <c r="B3976" s="20" t="s">
        <v>162</v>
      </c>
      <c r="C3976" s="20">
        <v>45</v>
      </c>
      <c r="D3976" s="20" t="s">
        <v>247</v>
      </c>
      <c r="E3976" s="20" t="s">
        <v>2554</v>
      </c>
      <c r="F3976" s="20" t="s">
        <v>2556</v>
      </c>
      <c r="G3976" s="20" t="s">
        <v>82</v>
      </c>
      <c r="H3976" s="20" t="s">
        <v>286</v>
      </c>
      <c r="I3976" s="20"/>
      <c r="J3976" s="20" t="s">
        <v>202</v>
      </c>
      <c r="K3976" s="20" t="s">
        <v>250</v>
      </c>
      <c r="L3976" s="20">
        <v>6.3</v>
      </c>
      <c r="M3976" s="20" t="s">
        <v>251</v>
      </c>
      <c r="N3976" s="20" t="s">
        <v>2063</v>
      </c>
    </row>
    <row r="3977" spans="1:14" hidden="1" x14ac:dyDescent="0.25">
      <c r="A3977" s="19">
        <v>45931</v>
      </c>
      <c r="B3977" s="20" t="s">
        <v>162</v>
      </c>
      <c r="C3977" s="20">
        <v>46</v>
      </c>
      <c r="D3977" s="20" t="s">
        <v>291</v>
      </c>
      <c r="E3977" s="20" t="s">
        <v>2361</v>
      </c>
      <c r="F3977" s="20" t="s">
        <v>2457</v>
      </c>
      <c r="G3977" s="20" t="s">
        <v>82</v>
      </c>
      <c r="H3977" s="20" t="s">
        <v>95</v>
      </c>
      <c r="I3977" s="20"/>
      <c r="J3977" s="20" t="s">
        <v>202</v>
      </c>
      <c r="K3977" s="20" t="s">
        <v>250</v>
      </c>
      <c r="L3977" s="20">
        <v>5890000</v>
      </c>
      <c r="M3977" s="20" t="s">
        <v>242</v>
      </c>
      <c r="N3977" s="20" t="s">
        <v>1165</v>
      </c>
    </row>
    <row r="3978" spans="1:14" hidden="1" x14ac:dyDescent="0.25">
      <c r="A3978" s="19">
        <v>45931</v>
      </c>
      <c r="B3978" s="20" t="s">
        <v>162</v>
      </c>
      <c r="C3978" s="20">
        <v>46</v>
      </c>
      <c r="D3978" s="20" t="s">
        <v>291</v>
      </c>
      <c r="E3978" s="20" t="s">
        <v>2361</v>
      </c>
      <c r="F3978" s="20" t="s">
        <v>2457</v>
      </c>
      <c r="G3978" s="20" t="s">
        <v>82</v>
      </c>
      <c r="H3978" s="20" t="s">
        <v>94</v>
      </c>
      <c r="I3978" s="20"/>
      <c r="J3978" s="20" t="s">
        <v>202</v>
      </c>
      <c r="K3978" s="20" t="s">
        <v>250</v>
      </c>
      <c r="L3978" s="20">
        <v>15970000</v>
      </c>
      <c r="M3978" s="20" t="s">
        <v>242</v>
      </c>
      <c r="N3978" s="20" t="s">
        <v>2822</v>
      </c>
    </row>
    <row r="3979" spans="1:14" hidden="1" x14ac:dyDescent="0.25">
      <c r="A3979" s="19">
        <v>45931</v>
      </c>
      <c r="B3979" s="20" t="s">
        <v>162</v>
      </c>
      <c r="C3979" s="20">
        <v>47</v>
      </c>
      <c r="D3979" s="20" t="s">
        <v>291</v>
      </c>
      <c r="E3979" s="20" t="s">
        <v>2361</v>
      </c>
      <c r="F3979" s="20" t="s">
        <v>2460</v>
      </c>
      <c r="G3979" s="20" t="s">
        <v>82</v>
      </c>
      <c r="H3979" s="20" t="s">
        <v>174</v>
      </c>
      <c r="I3979" s="20"/>
      <c r="J3979" s="20" t="s">
        <v>202</v>
      </c>
      <c r="K3979" s="20" t="s">
        <v>250</v>
      </c>
      <c r="L3979" s="20">
        <v>2770000</v>
      </c>
      <c r="M3979" s="20" t="s">
        <v>242</v>
      </c>
      <c r="N3979" s="20" t="s">
        <v>1030</v>
      </c>
    </row>
    <row r="3980" spans="1:14" hidden="1" x14ac:dyDescent="0.25">
      <c r="A3980" s="19">
        <v>45931</v>
      </c>
      <c r="B3980" s="20" t="s">
        <v>162</v>
      </c>
      <c r="C3980" s="20">
        <v>47</v>
      </c>
      <c r="D3980" s="20" t="s">
        <v>291</v>
      </c>
      <c r="E3980" s="20" t="s">
        <v>2361</v>
      </c>
      <c r="F3980" s="20" t="s">
        <v>2460</v>
      </c>
      <c r="G3980" s="20" t="s">
        <v>82</v>
      </c>
      <c r="H3980" s="20" t="s">
        <v>173</v>
      </c>
      <c r="I3980" s="20"/>
      <c r="J3980" s="20" t="s">
        <v>202</v>
      </c>
      <c r="K3980" s="20" t="s">
        <v>250</v>
      </c>
      <c r="L3980" s="20">
        <v>3990000</v>
      </c>
      <c r="M3980" s="20" t="s">
        <v>242</v>
      </c>
      <c r="N3980" s="20" t="s">
        <v>2823</v>
      </c>
    </row>
    <row r="3981" spans="1:14" hidden="1" x14ac:dyDescent="0.25">
      <c r="A3981" s="19">
        <v>45931</v>
      </c>
      <c r="B3981" s="20" t="s">
        <v>162</v>
      </c>
      <c r="C3981" s="20">
        <v>48</v>
      </c>
      <c r="D3981" s="20" t="s">
        <v>253</v>
      </c>
      <c r="E3981" s="20" t="s">
        <v>2359</v>
      </c>
      <c r="F3981" s="20" t="s">
        <v>1196</v>
      </c>
      <c r="G3981" s="20" t="s">
        <v>82</v>
      </c>
      <c r="H3981" s="20"/>
      <c r="I3981" s="20"/>
      <c r="J3981" s="20" t="s">
        <v>200</v>
      </c>
      <c r="K3981" s="20" t="s">
        <v>255</v>
      </c>
      <c r="L3981" s="20">
        <v>2450000000</v>
      </c>
      <c r="M3981" s="20" t="s">
        <v>245</v>
      </c>
      <c r="N3981" s="20" t="s">
        <v>2273</v>
      </c>
    </row>
    <row r="3982" spans="1:14" hidden="1" x14ac:dyDescent="0.25">
      <c r="A3982" s="19">
        <v>45931</v>
      </c>
      <c r="B3982" s="20" t="s">
        <v>162</v>
      </c>
      <c r="C3982" s="20">
        <v>48</v>
      </c>
      <c r="D3982" s="20" t="s">
        <v>253</v>
      </c>
      <c r="E3982" s="20" t="s">
        <v>2359</v>
      </c>
      <c r="F3982" s="20" t="s">
        <v>1196</v>
      </c>
      <c r="G3982" s="20" t="s">
        <v>82</v>
      </c>
      <c r="H3982" s="20"/>
      <c r="I3982" s="20"/>
      <c r="J3982" s="20" t="s">
        <v>201</v>
      </c>
      <c r="K3982" s="20" t="s">
        <v>255</v>
      </c>
      <c r="L3982" s="20">
        <v>2420000000</v>
      </c>
      <c r="M3982" s="20" t="s">
        <v>245</v>
      </c>
      <c r="N3982" s="20" t="s">
        <v>2661</v>
      </c>
    </row>
    <row r="3983" spans="1:14" hidden="1" x14ac:dyDescent="0.25">
      <c r="A3983" s="19">
        <v>45931</v>
      </c>
      <c r="B3983" s="20" t="s">
        <v>162</v>
      </c>
      <c r="C3983" s="20">
        <v>48</v>
      </c>
      <c r="D3983" s="20" t="s">
        <v>253</v>
      </c>
      <c r="E3983" s="20" t="s">
        <v>2359</v>
      </c>
      <c r="F3983" s="20" t="s">
        <v>1196</v>
      </c>
      <c r="G3983" s="20" t="s">
        <v>82</v>
      </c>
      <c r="H3983" s="20"/>
      <c r="I3983" s="20"/>
      <c r="J3983" s="20" t="s">
        <v>202</v>
      </c>
      <c r="K3983" s="20" t="s">
        <v>255</v>
      </c>
      <c r="L3983" s="20">
        <v>2410000000</v>
      </c>
      <c r="M3983" s="20" t="s">
        <v>245</v>
      </c>
      <c r="N3983" s="20" t="s">
        <v>2824</v>
      </c>
    </row>
    <row r="3984" spans="1:14" hidden="1" x14ac:dyDescent="0.25">
      <c r="A3984" s="19">
        <v>45931</v>
      </c>
      <c r="B3984" s="20" t="s">
        <v>162</v>
      </c>
      <c r="C3984" s="20">
        <v>48</v>
      </c>
      <c r="D3984" s="20" t="s">
        <v>247</v>
      </c>
      <c r="E3984" s="20" t="s">
        <v>2554</v>
      </c>
      <c r="F3984" s="20" t="s">
        <v>2558</v>
      </c>
      <c r="G3984" s="20" t="s">
        <v>82</v>
      </c>
      <c r="H3984" s="20" t="s">
        <v>249</v>
      </c>
      <c r="I3984" s="20"/>
      <c r="J3984" s="20" t="s">
        <v>202</v>
      </c>
      <c r="K3984" s="20" t="s">
        <v>250</v>
      </c>
      <c r="L3984" s="20">
        <v>0.5</v>
      </c>
      <c r="M3984" s="20" t="s">
        <v>251</v>
      </c>
      <c r="N3984" s="20" t="s">
        <v>322</v>
      </c>
    </row>
    <row r="3985" spans="1:14" hidden="1" x14ac:dyDescent="0.25">
      <c r="A3985" s="19">
        <v>45931</v>
      </c>
      <c r="B3985" s="20" t="s">
        <v>162</v>
      </c>
      <c r="C3985" s="20">
        <v>49</v>
      </c>
      <c r="D3985" s="20" t="s">
        <v>291</v>
      </c>
      <c r="E3985" s="20" t="s">
        <v>2361</v>
      </c>
      <c r="F3985" s="20" t="s">
        <v>2462</v>
      </c>
      <c r="G3985" s="20" t="s">
        <v>82</v>
      </c>
      <c r="H3985" s="20" t="s">
        <v>2446</v>
      </c>
      <c r="I3985" s="20" t="s">
        <v>2447</v>
      </c>
      <c r="J3985" s="20" t="s">
        <v>202</v>
      </c>
      <c r="K3985" s="20" t="s">
        <v>250</v>
      </c>
      <c r="L3985" s="20">
        <v>1580000000</v>
      </c>
      <c r="M3985" s="20" t="s">
        <v>245</v>
      </c>
      <c r="N3985" s="20" t="s">
        <v>2825</v>
      </c>
    </row>
    <row r="3986" spans="1:14" hidden="1" x14ac:dyDescent="0.25">
      <c r="A3986" s="19">
        <v>45931</v>
      </c>
      <c r="B3986" s="20" t="s">
        <v>162</v>
      </c>
      <c r="C3986" s="20">
        <v>49</v>
      </c>
      <c r="D3986" s="20" t="s">
        <v>291</v>
      </c>
      <c r="E3986" s="20" t="s">
        <v>2361</v>
      </c>
      <c r="F3986" s="20" t="s">
        <v>2462</v>
      </c>
      <c r="G3986" s="20" t="s">
        <v>82</v>
      </c>
      <c r="H3986" s="20" t="s">
        <v>2449</v>
      </c>
      <c r="I3986" s="20" t="s">
        <v>2447</v>
      </c>
      <c r="J3986" s="20" t="s">
        <v>202</v>
      </c>
      <c r="K3986" s="20" t="s">
        <v>250</v>
      </c>
      <c r="L3986" s="20">
        <v>290000000</v>
      </c>
      <c r="M3986" s="20" t="s">
        <v>245</v>
      </c>
      <c r="N3986" s="20" t="s">
        <v>2826</v>
      </c>
    </row>
    <row r="3987" spans="1:14" hidden="1" x14ac:dyDescent="0.25">
      <c r="A3987" s="19">
        <v>45931</v>
      </c>
      <c r="B3987" s="20" t="s">
        <v>162</v>
      </c>
      <c r="C3987" s="20">
        <v>49</v>
      </c>
      <c r="D3987" s="20" t="s">
        <v>291</v>
      </c>
      <c r="E3987" s="20" t="s">
        <v>2361</v>
      </c>
      <c r="F3987" s="20" t="s">
        <v>2462</v>
      </c>
      <c r="G3987" s="20" t="s">
        <v>82</v>
      </c>
      <c r="H3987" s="20" t="s">
        <v>2446</v>
      </c>
      <c r="I3987" s="20" t="s">
        <v>2451</v>
      </c>
      <c r="J3987" s="20" t="s">
        <v>202</v>
      </c>
      <c r="K3987" s="20" t="s">
        <v>250</v>
      </c>
      <c r="L3987" s="20">
        <v>274700000</v>
      </c>
      <c r="M3987" s="20" t="s">
        <v>245</v>
      </c>
      <c r="N3987" s="20" t="s">
        <v>2827</v>
      </c>
    </row>
    <row r="3988" spans="1:14" hidden="1" x14ac:dyDescent="0.25">
      <c r="A3988" s="19">
        <v>45931</v>
      </c>
      <c r="B3988" s="20" t="s">
        <v>162</v>
      </c>
      <c r="C3988" s="20">
        <v>49</v>
      </c>
      <c r="D3988" s="20" t="s">
        <v>291</v>
      </c>
      <c r="E3988" s="20" t="s">
        <v>2361</v>
      </c>
      <c r="F3988" s="20" t="s">
        <v>2462</v>
      </c>
      <c r="G3988" s="20" t="s">
        <v>82</v>
      </c>
      <c r="H3988" s="20" t="s">
        <v>2449</v>
      </c>
      <c r="I3988" s="20" t="s">
        <v>2451</v>
      </c>
      <c r="J3988" s="20" t="s">
        <v>202</v>
      </c>
      <c r="K3988" s="20" t="s">
        <v>250</v>
      </c>
      <c r="L3988" s="20">
        <v>264000000</v>
      </c>
      <c r="M3988" s="20" t="s">
        <v>245</v>
      </c>
      <c r="N3988" s="20" t="s">
        <v>2828</v>
      </c>
    </row>
    <row r="3989" spans="1:14" hidden="1" x14ac:dyDescent="0.25">
      <c r="A3989" s="19">
        <v>45931</v>
      </c>
      <c r="B3989" s="20" t="s">
        <v>162</v>
      </c>
      <c r="C3989" s="20">
        <v>49</v>
      </c>
      <c r="D3989" s="20" t="s">
        <v>291</v>
      </c>
      <c r="E3989" s="20" t="s">
        <v>2361</v>
      </c>
      <c r="F3989" s="20" t="s">
        <v>2462</v>
      </c>
      <c r="G3989" s="20" t="s">
        <v>82</v>
      </c>
      <c r="H3989" s="20" t="s">
        <v>2446</v>
      </c>
      <c r="I3989" s="20" t="s">
        <v>2454</v>
      </c>
      <c r="J3989" s="20" t="s">
        <v>202</v>
      </c>
      <c r="K3989" s="20" t="s">
        <v>250</v>
      </c>
      <c r="L3989" s="20">
        <v>174000</v>
      </c>
      <c r="M3989" s="20" t="s">
        <v>245</v>
      </c>
      <c r="N3989" s="20" t="s">
        <v>2829</v>
      </c>
    </row>
    <row r="3990" spans="1:14" hidden="1" x14ac:dyDescent="0.25">
      <c r="A3990" s="19">
        <v>45931</v>
      </c>
      <c r="B3990" s="20" t="s">
        <v>162</v>
      </c>
      <c r="C3990" s="20">
        <v>49</v>
      </c>
      <c r="D3990" s="20" t="s">
        <v>291</v>
      </c>
      <c r="E3990" s="20" t="s">
        <v>2361</v>
      </c>
      <c r="F3990" s="20" t="s">
        <v>2462</v>
      </c>
      <c r="G3990" s="20" t="s">
        <v>82</v>
      </c>
      <c r="H3990" s="20" t="s">
        <v>2449</v>
      </c>
      <c r="I3990" s="20" t="s">
        <v>2454</v>
      </c>
      <c r="J3990" s="20" t="s">
        <v>202</v>
      </c>
      <c r="K3990" s="20" t="s">
        <v>250</v>
      </c>
      <c r="L3990" s="20">
        <v>1300000</v>
      </c>
      <c r="M3990" s="20" t="s">
        <v>245</v>
      </c>
      <c r="N3990" s="20" t="s">
        <v>1430</v>
      </c>
    </row>
    <row r="3991" spans="1:14" hidden="1" x14ac:dyDescent="0.25">
      <c r="A3991" s="19">
        <v>45931</v>
      </c>
      <c r="B3991" s="20" t="s">
        <v>162</v>
      </c>
      <c r="C3991" s="20">
        <v>50</v>
      </c>
      <c r="D3991" s="20" t="s">
        <v>253</v>
      </c>
      <c r="E3991" s="20" t="s">
        <v>2359</v>
      </c>
      <c r="F3991" s="20" t="s">
        <v>2468</v>
      </c>
      <c r="G3991" s="20" t="s">
        <v>82</v>
      </c>
      <c r="H3991" s="20"/>
      <c r="I3991" s="20"/>
      <c r="J3991" s="20" t="s">
        <v>200</v>
      </c>
      <c r="K3991" s="20" t="s">
        <v>255</v>
      </c>
      <c r="L3991" s="20">
        <v>1840000000</v>
      </c>
      <c r="M3991" s="20" t="s">
        <v>245</v>
      </c>
      <c r="N3991" s="20" t="s">
        <v>2469</v>
      </c>
    </row>
    <row r="3992" spans="1:14" hidden="1" x14ac:dyDescent="0.25">
      <c r="A3992" s="19">
        <v>45931</v>
      </c>
      <c r="B3992" s="20" t="s">
        <v>162</v>
      </c>
      <c r="C3992" s="20">
        <v>50</v>
      </c>
      <c r="D3992" s="20" t="s">
        <v>253</v>
      </c>
      <c r="E3992" s="20" t="s">
        <v>2359</v>
      </c>
      <c r="F3992" s="20" t="s">
        <v>2468</v>
      </c>
      <c r="G3992" s="20" t="s">
        <v>82</v>
      </c>
      <c r="H3992" s="20"/>
      <c r="I3992" s="20"/>
      <c r="J3992" s="20" t="s">
        <v>201</v>
      </c>
      <c r="K3992" s="20" t="s">
        <v>255</v>
      </c>
      <c r="L3992" s="20">
        <v>1800000000</v>
      </c>
      <c r="M3992" s="20" t="s">
        <v>245</v>
      </c>
      <c r="N3992" s="20" t="s">
        <v>1229</v>
      </c>
    </row>
    <row r="3993" spans="1:14" hidden="1" x14ac:dyDescent="0.25">
      <c r="A3993" s="19">
        <v>45931</v>
      </c>
      <c r="B3993" s="20" t="s">
        <v>162</v>
      </c>
      <c r="C3993" s="20">
        <v>50</v>
      </c>
      <c r="D3993" s="20" t="s">
        <v>253</v>
      </c>
      <c r="E3993" s="20" t="s">
        <v>2359</v>
      </c>
      <c r="F3993" s="20" t="s">
        <v>2468</v>
      </c>
      <c r="G3993" s="20" t="s">
        <v>82</v>
      </c>
      <c r="H3993" s="20"/>
      <c r="I3993" s="20"/>
      <c r="J3993" s="20" t="s">
        <v>202</v>
      </c>
      <c r="K3993" s="20" t="s">
        <v>255</v>
      </c>
      <c r="L3993" s="20">
        <v>1800000000</v>
      </c>
      <c r="M3993" s="20" t="s">
        <v>245</v>
      </c>
      <c r="N3993" s="20" t="s">
        <v>1229</v>
      </c>
    </row>
    <row r="3994" spans="1:14" hidden="1" x14ac:dyDescent="0.25">
      <c r="A3994" s="19">
        <v>45931</v>
      </c>
      <c r="B3994" s="20" t="s">
        <v>162</v>
      </c>
      <c r="C3994" s="20">
        <v>50</v>
      </c>
      <c r="D3994" s="20" t="s">
        <v>247</v>
      </c>
      <c r="E3994" s="20" t="s">
        <v>2554</v>
      </c>
      <c r="F3994" s="20" t="s">
        <v>2558</v>
      </c>
      <c r="G3994" s="20" t="s">
        <v>82</v>
      </c>
      <c r="H3994" s="20" t="s">
        <v>249</v>
      </c>
      <c r="I3994" s="20"/>
      <c r="J3994" s="20" t="s">
        <v>202</v>
      </c>
      <c r="K3994" s="20" t="s">
        <v>250</v>
      </c>
      <c r="L3994" s="20">
        <v>0.1</v>
      </c>
      <c r="M3994" s="20" t="s">
        <v>251</v>
      </c>
      <c r="N3994" s="20" t="s">
        <v>420</v>
      </c>
    </row>
    <row r="3995" spans="1:14" hidden="1" x14ac:dyDescent="0.25">
      <c r="A3995" s="19">
        <v>45931</v>
      </c>
      <c r="B3995" s="20" t="s">
        <v>162</v>
      </c>
      <c r="C3995" s="20">
        <v>51</v>
      </c>
      <c r="D3995" s="20" t="s">
        <v>291</v>
      </c>
      <c r="E3995" s="20" t="s">
        <v>2361</v>
      </c>
      <c r="F3995" s="20" t="s">
        <v>2468</v>
      </c>
      <c r="G3995" s="20" t="s">
        <v>82</v>
      </c>
      <c r="H3995" s="20" t="s">
        <v>95</v>
      </c>
      <c r="I3995" s="20"/>
      <c r="J3995" s="20" t="s">
        <v>202</v>
      </c>
      <c r="K3995" s="20" t="s">
        <v>250</v>
      </c>
      <c r="L3995" s="20">
        <v>361800000</v>
      </c>
      <c r="M3995" s="20" t="s">
        <v>245</v>
      </c>
      <c r="N3995" s="20" t="s">
        <v>2830</v>
      </c>
    </row>
    <row r="3996" spans="1:14" hidden="1" x14ac:dyDescent="0.25">
      <c r="A3996" s="19">
        <v>45931</v>
      </c>
      <c r="B3996" s="20" t="s">
        <v>162</v>
      </c>
      <c r="C3996" s="20">
        <v>51</v>
      </c>
      <c r="D3996" s="20" t="s">
        <v>291</v>
      </c>
      <c r="E3996" s="20" t="s">
        <v>2361</v>
      </c>
      <c r="F3996" s="20" t="s">
        <v>2468</v>
      </c>
      <c r="G3996" s="20" t="s">
        <v>82</v>
      </c>
      <c r="H3996" s="20" t="s">
        <v>94</v>
      </c>
      <c r="I3996" s="20"/>
      <c r="J3996" s="20" t="s">
        <v>202</v>
      </c>
      <c r="K3996" s="20" t="s">
        <v>250</v>
      </c>
      <c r="L3996" s="20">
        <v>1430000000</v>
      </c>
      <c r="M3996" s="20" t="s">
        <v>245</v>
      </c>
      <c r="N3996" s="20" t="s">
        <v>2668</v>
      </c>
    </row>
    <row r="3997" spans="1:14" hidden="1" x14ac:dyDescent="0.25">
      <c r="A3997" s="19">
        <v>45931</v>
      </c>
      <c r="B3997" s="20" t="s">
        <v>162</v>
      </c>
      <c r="C3997" s="20">
        <v>52</v>
      </c>
      <c r="D3997" s="20" t="s">
        <v>291</v>
      </c>
      <c r="E3997" s="20" t="s">
        <v>2361</v>
      </c>
      <c r="F3997" s="20" t="s">
        <v>2472</v>
      </c>
      <c r="G3997" s="20" t="s">
        <v>82</v>
      </c>
      <c r="H3997" s="20" t="s">
        <v>174</v>
      </c>
      <c r="I3997" s="20"/>
      <c r="J3997" s="20" t="s">
        <v>202</v>
      </c>
      <c r="K3997" s="20" t="s">
        <v>250</v>
      </c>
      <c r="L3997" s="20">
        <v>239400000</v>
      </c>
      <c r="M3997" s="20" t="s">
        <v>245</v>
      </c>
      <c r="N3997" s="20" t="s">
        <v>2831</v>
      </c>
    </row>
    <row r="3998" spans="1:14" hidden="1" x14ac:dyDescent="0.25">
      <c r="A3998" s="19">
        <v>45931</v>
      </c>
      <c r="B3998" s="20" t="s">
        <v>162</v>
      </c>
      <c r="C3998" s="20">
        <v>52</v>
      </c>
      <c r="D3998" s="20" t="s">
        <v>291</v>
      </c>
      <c r="E3998" s="20" t="s">
        <v>2361</v>
      </c>
      <c r="F3998" s="20" t="s">
        <v>2472</v>
      </c>
      <c r="G3998" s="20" t="s">
        <v>82</v>
      </c>
      <c r="H3998" s="20" t="s">
        <v>173</v>
      </c>
      <c r="I3998" s="20"/>
      <c r="J3998" s="20" t="s">
        <v>202</v>
      </c>
      <c r="K3998" s="20" t="s">
        <v>250</v>
      </c>
      <c r="L3998" s="20">
        <v>195400000</v>
      </c>
      <c r="M3998" s="20" t="s">
        <v>245</v>
      </c>
      <c r="N3998" s="20" t="s">
        <v>2832</v>
      </c>
    </row>
    <row r="3999" spans="1:14" hidden="1" x14ac:dyDescent="0.25">
      <c r="A3999" s="19">
        <v>45931</v>
      </c>
      <c r="B3999" s="20" t="s">
        <v>162</v>
      </c>
      <c r="C3999" s="20">
        <v>53</v>
      </c>
      <c r="D3999" s="20" t="s">
        <v>238</v>
      </c>
      <c r="E3999" s="20" t="s">
        <v>2341</v>
      </c>
      <c r="F3999" s="20" t="s">
        <v>334</v>
      </c>
      <c r="G3999" s="20" t="s">
        <v>82</v>
      </c>
      <c r="H3999" s="20" t="s">
        <v>179</v>
      </c>
      <c r="I3999" s="20"/>
      <c r="J3999" s="20" t="s">
        <v>202</v>
      </c>
      <c r="K3999" s="20" t="s">
        <v>250</v>
      </c>
      <c r="L3999" s="20">
        <v>11</v>
      </c>
      <c r="M3999" s="20" t="s">
        <v>245</v>
      </c>
      <c r="N3999" s="20" t="s">
        <v>1945</v>
      </c>
    </row>
    <row r="4000" spans="1:14" hidden="1" x14ac:dyDescent="0.25">
      <c r="A4000" s="19">
        <v>45931</v>
      </c>
      <c r="B4000" s="20" t="s">
        <v>162</v>
      </c>
      <c r="C4000" s="20">
        <v>53</v>
      </c>
      <c r="D4000" s="20" t="s">
        <v>238</v>
      </c>
      <c r="E4000" s="20" t="s">
        <v>2341</v>
      </c>
      <c r="F4000" s="20" t="s">
        <v>334</v>
      </c>
      <c r="G4000" s="20" t="s">
        <v>82</v>
      </c>
      <c r="H4000" s="20" t="s">
        <v>170</v>
      </c>
      <c r="I4000" s="20"/>
      <c r="J4000" s="20" t="s">
        <v>202</v>
      </c>
      <c r="K4000" s="20" t="s">
        <v>250</v>
      </c>
      <c r="L4000" s="20">
        <v>13</v>
      </c>
      <c r="M4000" s="20" t="s">
        <v>245</v>
      </c>
      <c r="N4000" s="20" t="s">
        <v>1424</v>
      </c>
    </row>
    <row r="4001" spans="1:14" hidden="1" x14ac:dyDescent="0.25">
      <c r="A4001" s="19">
        <v>45931</v>
      </c>
      <c r="B4001" s="20" t="s">
        <v>162</v>
      </c>
      <c r="C4001" s="20">
        <v>53</v>
      </c>
      <c r="D4001" s="20" t="s">
        <v>238</v>
      </c>
      <c r="E4001" s="20" t="s">
        <v>2341</v>
      </c>
      <c r="F4001" s="20" t="s">
        <v>334</v>
      </c>
      <c r="G4001" s="20" t="s">
        <v>82</v>
      </c>
      <c r="H4001" s="20" t="s">
        <v>178</v>
      </c>
      <c r="I4001" s="20"/>
      <c r="J4001" s="20" t="s">
        <v>202</v>
      </c>
      <c r="K4001" s="20" t="s">
        <v>250</v>
      </c>
      <c r="L4001" s="20">
        <v>39</v>
      </c>
      <c r="M4001" s="20" t="s">
        <v>245</v>
      </c>
      <c r="N4001" s="20" t="s">
        <v>2833</v>
      </c>
    </row>
    <row r="4002" spans="1:14" hidden="1" x14ac:dyDescent="0.25">
      <c r="A4002" s="19">
        <v>45931</v>
      </c>
      <c r="B4002" s="20" t="s">
        <v>162</v>
      </c>
      <c r="C4002" s="20">
        <v>53</v>
      </c>
      <c r="D4002" s="20" t="s">
        <v>238</v>
      </c>
      <c r="E4002" s="20" t="s">
        <v>2341</v>
      </c>
      <c r="F4002" s="20" t="s">
        <v>334</v>
      </c>
      <c r="G4002" s="20" t="s">
        <v>82</v>
      </c>
      <c r="H4002" s="20" t="s">
        <v>173</v>
      </c>
      <c r="I4002" s="20"/>
      <c r="J4002" s="20" t="s">
        <v>202</v>
      </c>
      <c r="K4002" s="20" t="s">
        <v>250</v>
      </c>
      <c r="L4002" s="20">
        <v>54</v>
      </c>
      <c r="M4002" s="20" t="s">
        <v>245</v>
      </c>
      <c r="N4002" s="20" t="s">
        <v>1244</v>
      </c>
    </row>
    <row r="4003" spans="1:14" hidden="1" x14ac:dyDescent="0.25">
      <c r="A4003" s="19">
        <v>45931</v>
      </c>
      <c r="B4003" s="20" t="s">
        <v>162</v>
      </c>
      <c r="C4003" s="20">
        <v>53</v>
      </c>
      <c r="D4003" s="20" t="s">
        <v>238</v>
      </c>
      <c r="E4003" s="20" t="s">
        <v>2341</v>
      </c>
      <c r="F4003" s="20" t="s">
        <v>334</v>
      </c>
      <c r="G4003" s="20" t="s">
        <v>82</v>
      </c>
      <c r="H4003" s="20" t="s">
        <v>174</v>
      </c>
      <c r="I4003" s="20"/>
      <c r="J4003" s="20" t="s">
        <v>202</v>
      </c>
      <c r="K4003" s="20" t="s">
        <v>250</v>
      </c>
      <c r="L4003" s="20">
        <v>88</v>
      </c>
      <c r="M4003" s="20" t="s">
        <v>245</v>
      </c>
      <c r="N4003" s="20" t="s">
        <v>2834</v>
      </c>
    </row>
    <row r="4004" spans="1:14" hidden="1" x14ac:dyDescent="0.25">
      <c r="A4004" s="19">
        <v>45931</v>
      </c>
      <c r="B4004" s="20" t="s">
        <v>162</v>
      </c>
      <c r="C4004" s="20">
        <v>53</v>
      </c>
      <c r="D4004" s="20" t="s">
        <v>238</v>
      </c>
      <c r="E4004" s="20" t="s">
        <v>2341</v>
      </c>
      <c r="F4004" s="20" t="s">
        <v>334</v>
      </c>
      <c r="G4004" s="20" t="s">
        <v>82</v>
      </c>
      <c r="H4004" s="20" t="s">
        <v>164</v>
      </c>
      <c r="I4004" s="20"/>
      <c r="J4004" s="20" t="s">
        <v>202</v>
      </c>
      <c r="K4004" s="20" t="s">
        <v>250</v>
      </c>
      <c r="L4004" s="20">
        <v>138</v>
      </c>
      <c r="M4004" s="20" t="s">
        <v>245</v>
      </c>
      <c r="N4004" s="20" t="s">
        <v>2835</v>
      </c>
    </row>
    <row r="4005" spans="1:14" hidden="1" x14ac:dyDescent="0.25">
      <c r="A4005" s="19">
        <v>45931</v>
      </c>
      <c r="B4005" s="20" t="s">
        <v>162</v>
      </c>
      <c r="C4005" s="20">
        <v>53</v>
      </c>
      <c r="D4005" s="20" t="s">
        <v>238</v>
      </c>
      <c r="E4005" s="20" t="s">
        <v>2341</v>
      </c>
      <c r="F4005" s="20" t="s">
        <v>455</v>
      </c>
      <c r="G4005" s="20" t="s">
        <v>82</v>
      </c>
      <c r="H4005" s="20"/>
      <c r="I4005" s="20"/>
      <c r="J4005" s="20" t="s">
        <v>202</v>
      </c>
      <c r="K4005" s="20" t="s">
        <v>250</v>
      </c>
      <c r="L4005" s="20">
        <v>90</v>
      </c>
      <c r="M4005" s="20" t="s">
        <v>245</v>
      </c>
      <c r="N4005" s="20" t="s">
        <v>2836</v>
      </c>
    </row>
    <row r="4006" spans="1:14" hidden="1" x14ac:dyDescent="0.25">
      <c r="A4006" s="19">
        <v>45931</v>
      </c>
      <c r="B4006" s="20" t="s">
        <v>1192</v>
      </c>
      <c r="C4006" s="20">
        <v>55</v>
      </c>
      <c r="D4006" s="20" t="s">
        <v>238</v>
      </c>
      <c r="E4006" s="20" t="s">
        <v>2341</v>
      </c>
      <c r="F4006" s="20" t="s">
        <v>240</v>
      </c>
      <c r="G4006" s="20" t="s">
        <v>82</v>
      </c>
      <c r="H4006" s="20"/>
      <c r="I4006" s="20"/>
      <c r="J4006" s="20" t="s">
        <v>2743</v>
      </c>
      <c r="K4006" s="20" t="s">
        <v>241</v>
      </c>
      <c r="L4006" s="20">
        <v>214910000</v>
      </c>
      <c r="M4006" s="20" t="s">
        <v>242</v>
      </c>
      <c r="N4006" s="20" t="s">
        <v>2813</v>
      </c>
    </row>
    <row r="4007" spans="1:14" hidden="1" x14ac:dyDescent="0.25">
      <c r="A4007" s="19">
        <v>45931</v>
      </c>
      <c r="B4007" s="20" t="s">
        <v>2481</v>
      </c>
      <c r="C4007" s="20">
        <v>55</v>
      </c>
      <c r="D4007" s="20" t="s">
        <v>238</v>
      </c>
      <c r="E4007" s="20" t="s">
        <v>2341</v>
      </c>
      <c r="F4007" s="20" t="s">
        <v>244</v>
      </c>
      <c r="G4007" s="20" t="s">
        <v>82</v>
      </c>
      <c r="H4007" s="20"/>
      <c r="I4007" s="20"/>
      <c r="J4007" s="20" t="s">
        <v>2743</v>
      </c>
      <c r="K4007" s="20" t="s">
        <v>241</v>
      </c>
      <c r="L4007" s="20">
        <v>21610000000</v>
      </c>
      <c r="M4007" s="20" t="s">
        <v>245</v>
      </c>
      <c r="N4007" s="20" t="s">
        <v>2814</v>
      </c>
    </row>
    <row r="4008" spans="1:14" hidden="1" x14ac:dyDescent="0.25">
      <c r="A4008" s="19">
        <v>45931</v>
      </c>
      <c r="B4008" s="20" t="s">
        <v>1192</v>
      </c>
      <c r="C4008" s="20">
        <v>55</v>
      </c>
      <c r="D4008" s="20" t="s">
        <v>238</v>
      </c>
      <c r="E4008" s="20" t="s">
        <v>2341</v>
      </c>
      <c r="F4008" s="20" t="s">
        <v>240</v>
      </c>
      <c r="G4008" s="20" t="s">
        <v>82</v>
      </c>
      <c r="H4008" s="20" t="s">
        <v>184</v>
      </c>
      <c r="I4008" s="20"/>
      <c r="J4008" s="20" t="s">
        <v>2743</v>
      </c>
      <c r="K4008" s="20" t="s">
        <v>241</v>
      </c>
      <c r="L4008" s="20">
        <v>133900000</v>
      </c>
      <c r="M4008" s="20" t="s">
        <v>242</v>
      </c>
      <c r="N4008" s="20" t="s">
        <v>2744</v>
      </c>
    </row>
    <row r="4009" spans="1:14" hidden="1" x14ac:dyDescent="0.25">
      <c r="A4009" s="19">
        <v>45931</v>
      </c>
      <c r="B4009" s="20" t="s">
        <v>1192</v>
      </c>
      <c r="C4009" s="20">
        <v>55</v>
      </c>
      <c r="D4009" s="20" t="s">
        <v>238</v>
      </c>
      <c r="E4009" s="20" t="s">
        <v>2341</v>
      </c>
      <c r="F4009" s="20" t="s">
        <v>240</v>
      </c>
      <c r="G4009" s="20" t="s">
        <v>82</v>
      </c>
      <c r="H4009" s="20" t="s">
        <v>185</v>
      </c>
      <c r="I4009" s="20"/>
      <c r="J4009" s="20" t="s">
        <v>2743</v>
      </c>
      <c r="K4009" s="20" t="s">
        <v>241</v>
      </c>
      <c r="L4009" s="20">
        <v>81010000</v>
      </c>
      <c r="M4009" s="20" t="s">
        <v>242</v>
      </c>
      <c r="N4009" s="20" t="s">
        <v>2765</v>
      </c>
    </row>
    <row r="4010" spans="1:14" hidden="1" x14ac:dyDescent="0.25">
      <c r="A4010" s="19">
        <v>45931</v>
      </c>
      <c r="B4010" s="20" t="s">
        <v>2481</v>
      </c>
      <c r="C4010" s="20">
        <v>55</v>
      </c>
      <c r="D4010" s="20" t="s">
        <v>238</v>
      </c>
      <c r="E4010" s="20" t="s">
        <v>2341</v>
      </c>
      <c r="F4010" s="20" t="s">
        <v>244</v>
      </c>
      <c r="G4010" s="20" t="s">
        <v>82</v>
      </c>
      <c r="H4010" s="20" t="s">
        <v>184</v>
      </c>
      <c r="I4010" s="20"/>
      <c r="J4010" s="20" t="s">
        <v>2743</v>
      </c>
      <c r="K4010" s="20" t="s">
        <v>241</v>
      </c>
      <c r="L4010" s="20">
        <v>16360000000</v>
      </c>
      <c r="M4010" s="20" t="s">
        <v>245</v>
      </c>
      <c r="N4010" s="20" t="s">
        <v>2745</v>
      </c>
    </row>
    <row r="4011" spans="1:14" hidden="1" x14ac:dyDescent="0.25">
      <c r="A4011" s="19">
        <v>45931</v>
      </c>
      <c r="B4011" s="20" t="s">
        <v>2481</v>
      </c>
      <c r="C4011" s="20">
        <v>55</v>
      </c>
      <c r="D4011" s="20" t="s">
        <v>238</v>
      </c>
      <c r="E4011" s="20" t="s">
        <v>2341</v>
      </c>
      <c r="F4011" s="20" t="s">
        <v>244</v>
      </c>
      <c r="G4011" s="20" t="s">
        <v>82</v>
      </c>
      <c r="H4011" s="20" t="s">
        <v>185</v>
      </c>
      <c r="I4011" s="20"/>
      <c r="J4011" s="20" t="s">
        <v>2743</v>
      </c>
      <c r="K4011" s="20" t="s">
        <v>241</v>
      </c>
      <c r="L4011" s="20">
        <v>5250000000</v>
      </c>
      <c r="M4011" s="20" t="s">
        <v>245</v>
      </c>
      <c r="N4011" s="20" t="s">
        <v>2766</v>
      </c>
    </row>
    <row r="4012" spans="1:14" hidden="1" x14ac:dyDescent="0.25">
      <c r="A4012" s="19">
        <v>45931</v>
      </c>
      <c r="B4012" s="20" t="s">
        <v>2481</v>
      </c>
      <c r="C4012" s="20">
        <v>56</v>
      </c>
      <c r="D4012" s="20" t="s">
        <v>238</v>
      </c>
      <c r="E4012" s="20" t="s">
        <v>2341</v>
      </c>
      <c r="F4012" s="20" t="s">
        <v>285</v>
      </c>
      <c r="G4012" s="20" t="s">
        <v>63</v>
      </c>
      <c r="H4012" s="20" t="s">
        <v>1202</v>
      </c>
      <c r="I4012" s="20"/>
      <c r="J4012" s="20" t="s">
        <v>2743</v>
      </c>
      <c r="K4012" s="20" t="s">
        <v>241</v>
      </c>
      <c r="L4012" s="20">
        <v>1040000</v>
      </c>
      <c r="M4012" s="20" t="s">
        <v>242</v>
      </c>
      <c r="N4012" s="20" t="s">
        <v>952</v>
      </c>
    </row>
    <row r="4013" spans="1:14" hidden="1" x14ac:dyDescent="0.25">
      <c r="A4013" s="19">
        <v>45931</v>
      </c>
      <c r="B4013" s="20" t="s">
        <v>2481</v>
      </c>
      <c r="C4013" s="20">
        <v>56</v>
      </c>
      <c r="D4013" s="20" t="s">
        <v>238</v>
      </c>
      <c r="E4013" s="20" t="s">
        <v>2341</v>
      </c>
      <c r="F4013" s="20" t="s">
        <v>285</v>
      </c>
      <c r="G4013" s="20" t="s">
        <v>63</v>
      </c>
      <c r="H4013" s="20" t="s">
        <v>1204</v>
      </c>
      <c r="I4013" s="20"/>
      <c r="J4013" s="20" t="s">
        <v>2743</v>
      </c>
      <c r="K4013" s="20" t="s">
        <v>241</v>
      </c>
      <c r="L4013" s="20">
        <v>1710000</v>
      </c>
      <c r="M4013" s="20" t="s">
        <v>242</v>
      </c>
      <c r="N4013" s="20" t="s">
        <v>740</v>
      </c>
    </row>
    <row r="4014" spans="1:14" hidden="1" x14ac:dyDescent="0.25">
      <c r="A4014" s="19">
        <v>45931</v>
      </c>
      <c r="B4014" s="20" t="s">
        <v>2481</v>
      </c>
      <c r="C4014" s="20">
        <v>56</v>
      </c>
      <c r="D4014" s="20" t="s">
        <v>238</v>
      </c>
      <c r="E4014" s="20" t="s">
        <v>2341</v>
      </c>
      <c r="F4014" s="20" t="s">
        <v>285</v>
      </c>
      <c r="G4014" s="20" t="s">
        <v>63</v>
      </c>
      <c r="H4014" s="20" t="s">
        <v>1200</v>
      </c>
      <c r="I4014" s="20"/>
      <c r="J4014" s="20" t="s">
        <v>2743</v>
      </c>
      <c r="K4014" s="20" t="s">
        <v>241</v>
      </c>
      <c r="L4014" s="20">
        <v>1020000</v>
      </c>
      <c r="M4014" s="20" t="s">
        <v>242</v>
      </c>
      <c r="N4014" s="20" t="s">
        <v>773</v>
      </c>
    </row>
    <row r="4015" spans="1:14" hidden="1" x14ac:dyDescent="0.25">
      <c r="A4015" s="19">
        <v>45931</v>
      </c>
      <c r="B4015" s="20" t="s">
        <v>2481</v>
      </c>
      <c r="C4015" s="20">
        <v>56</v>
      </c>
      <c r="D4015" s="20" t="s">
        <v>238</v>
      </c>
      <c r="E4015" s="20" t="s">
        <v>2341</v>
      </c>
      <c r="F4015" s="20" t="s">
        <v>285</v>
      </c>
      <c r="G4015" s="20" t="s">
        <v>63</v>
      </c>
      <c r="H4015" s="20"/>
      <c r="I4015" s="20"/>
      <c r="J4015" s="20" t="s">
        <v>2743</v>
      </c>
      <c r="K4015" s="20" t="s">
        <v>241</v>
      </c>
      <c r="L4015" s="20">
        <v>3820000</v>
      </c>
      <c r="M4015" s="20" t="s">
        <v>242</v>
      </c>
      <c r="N4015" s="20" t="s">
        <v>2837</v>
      </c>
    </row>
    <row r="4016" spans="1:14" hidden="1" x14ac:dyDescent="0.25">
      <c r="A4016" s="19">
        <v>45931</v>
      </c>
      <c r="B4016" s="20" t="s">
        <v>2481</v>
      </c>
      <c r="C4016" s="20">
        <v>57</v>
      </c>
      <c r="D4016" s="20" t="s">
        <v>238</v>
      </c>
      <c r="E4016" s="20" t="s">
        <v>2341</v>
      </c>
      <c r="F4016" s="20" t="s">
        <v>1194</v>
      </c>
      <c r="G4016" s="20" t="s">
        <v>82</v>
      </c>
      <c r="H4016" s="20"/>
      <c r="I4016" s="20"/>
      <c r="J4016" s="20" t="s">
        <v>202</v>
      </c>
      <c r="K4016" s="20" t="s">
        <v>250</v>
      </c>
      <c r="L4016" s="20">
        <v>26720000</v>
      </c>
      <c r="M4016" s="20" t="s">
        <v>242</v>
      </c>
      <c r="N4016" s="20" t="s">
        <v>2838</v>
      </c>
    </row>
    <row r="4017" spans="1:14" hidden="1" x14ac:dyDescent="0.25">
      <c r="A4017" s="19">
        <v>45931</v>
      </c>
      <c r="B4017" s="20" t="s">
        <v>2481</v>
      </c>
      <c r="C4017" s="20">
        <v>57</v>
      </c>
      <c r="D4017" s="20" t="s">
        <v>238</v>
      </c>
      <c r="E4017" s="20" t="s">
        <v>2341</v>
      </c>
      <c r="F4017" s="20" t="s">
        <v>2487</v>
      </c>
      <c r="G4017" s="20" t="s">
        <v>82</v>
      </c>
      <c r="H4017" s="20" t="s">
        <v>184</v>
      </c>
      <c r="I4017" s="20"/>
      <c r="J4017" s="20" t="s">
        <v>202</v>
      </c>
      <c r="K4017" s="20" t="s">
        <v>250</v>
      </c>
      <c r="L4017" s="20">
        <v>16590000</v>
      </c>
      <c r="M4017" s="20" t="s">
        <v>242</v>
      </c>
      <c r="N4017" s="20" t="s">
        <v>2730</v>
      </c>
    </row>
    <row r="4018" spans="1:14" hidden="1" x14ac:dyDescent="0.25">
      <c r="A4018" s="19">
        <v>45931</v>
      </c>
      <c r="B4018" s="20" t="s">
        <v>2481</v>
      </c>
      <c r="C4018" s="20">
        <v>57</v>
      </c>
      <c r="D4018" s="20" t="s">
        <v>238</v>
      </c>
      <c r="E4018" s="20" t="s">
        <v>2341</v>
      </c>
      <c r="F4018" s="20" t="s">
        <v>2488</v>
      </c>
      <c r="G4018" s="20" t="s">
        <v>82</v>
      </c>
      <c r="H4018" s="20" t="s">
        <v>185</v>
      </c>
      <c r="I4018" s="20"/>
      <c r="J4018" s="20" t="s">
        <v>202</v>
      </c>
      <c r="K4018" s="20" t="s">
        <v>250</v>
      </c>
      <c r="L4018" s="20">
        <v>10130000</v>
      </c>
      <c r="M4018" s="20" t="s">
        <v>242</v>
      </c>
      <c r="N4018" s="20" t="s">
        <v>2732</v>
      </c>
    </row>
    <row r="4019" spans="1:14" hidden="1" x14ac:dyDescent="0.25">
      <c r="A4019" s="19">
        <v>45931</v>
      </c>
      <c r="B4019" s="20" t="s">
        <v>2481</v>
      </c>
      <c r="C4019" s="20">
        <v>58</v>
      </c>
      <c r="D4019" s="20" t="s">
        <v>238</v>
      </c>
      <c r="E4019" s="20" t="s">
        <v>2341</v>
      </c>
      <c r="F4019" s="20" t="s">
        <v>1196</v>
      </c>
      <c r="G4019" s="20" t="s">
        <v>82</v>
      </c>
      <c r="H4019" s="20"/>
      <c r="I4019" s="20"/>
      <c r="J4019" s="20" t="s">
        <v>202</v>
      </c>
      <c r="K4019" s="20" t="s">
        <v>250</v>
      </c>
      <c r="L4019" s="20">
        <v>2410000000</v>
      </c>
      <c r="M4019" s="20" t="s">
        <v>245</v>
      </c>
      <c r="N4019" s="20" t="s">
        <v>1486</v>
      </c>
    </row>
    <row r="4020" spans="1:14" hidden="1" x14ac:dyDescent="0.25">
      <c r="A4020" s="19">
        <v>45931</v>
      </c>
      <c r="B4020" s="20" t="s">
        <v>2481</v>
      </c>
      <c r="C4020" s="20">
        <v>58</v>
      </c>
      <c r="D4020" s="20" t="s">
        <v>238</v>
      </c>
      <c r="E4020" s="20" t="s">
        <v>2341</v>
      </c>
      <c r="F4020" s="20" t="s">
        <v>2489</v>
      </c>
      <c r="G4020" s="20" t="s">
        <v>82</v>
      </c>
      <c r="H4020" s="20" t="s">
        <v>184</v>
      </c>
      <c r="I4020" s="20"/>
      <c r="J4020" s="20" t="s">
        <v>202</v>
      </c>
      <c r="K4020" s="20" t="s">
        <v>250</v>
      </c>
      <c r="L4020" s="20">
        <v>1860000000</v>
      </c>
      <c r="M4020" s="20" t="s">
        <v>245</v>
      </c>
      <c r="N4020" s="20" t="s">
        <v>2257</v>
      </c>
    </row>
    <row r="4021" spans="1:14" hidden="1" x14ac:dyDescent="0.25">
      <c r="A4021" s="19">
        <v>45931</v>
      </c>
      <c r="B4021" s="20" t="s">
        <v>2481</v>
      </c>
      <c r="C4021" s="20">
        <v>58</v>
      </c>
      <c r="D4021" s="20" t="s">
        <v>238</v>
      </c>
      <c r="E4021" s="20" t="s">
        <v>2341</v>
      </c>
      <c r="F4021" s="20" t="s">
        <v>2490</v>
      </c>
      <c r="G4021" s="20" t="s">
        <v>82</v>
      </c>
      <c r="H4021" s="20" t="s">
        <v>185</v>
      </c>
      <c r="I4021" s="20"/>
      <c r="J4021" s="20" t="s">
        <v>202</v>
      </c>
      <c r="K4021" s="20" t="s">
        <v>250</v>
      </c>
      <c r="L4021" s="20">
        <v>560000000</v>
      </c>
      <c r="M4021" s="20" t="s">
        <v>245</v>
      </c>
      <c r="N4021" s="20" t="s">
        <v>2680</v>
      </c>
    </row>
    <row r="4022" spans="1:14" hidden="1" x14ac:dyDescent="0.25">
      <c r="A4022" s="19">
        <v>45931</v>
      </c>
      <c r="B4022" s="20" t="s">
        <v>2481</v>
      </c>
      <c r="C4022" s="20">
        <v>59</v>
      </c>
      <c r="D4022" s="20" t="s">
        <v>238</v>
      </c>
      <c r="E4022" s="20" t="s">
        <v>2341</v>
      </c>
      <c r="F4022" s="20" t="s">
        <v>1213</v>
      </c>
      <c r="G4022" s="20" t="s">
        <v>82</v>
      </c>
      <c r="H4022" s="20"/>
      <c r="I4022" s="20"/>
      <c r="J4022" s="20" t="s">
        <v>202</v>
      </c>
      <c r="K4022" s="20" t="s">
        <v>250</v>
      </c>
      <c r="L4022" s="20">
        <v>90</v>
      </c>
      <c r="M4022" s="20" t="s">
        <v>245</v>
      </c>
      <c r="N4022" s="20" t="s">
        <v>2836</v>
      </c>
    </row>
    <row r="4023" spans="1:14" hidden="1" x14ac:dyDescent="0.25">
      <c r="A4023" s="19">
        <v>45931</v>
      </c>
      <c r="B4023" s="20" t="s">
        <v>2481</v>
      </c>
      <c r="C4023" s="20">
        <v>59</v>
      </c>
      <c r="D4023" s="20" t="s">
        <v>238</v>
      </c>
      <c r="E4023" s="20" t="s">
        <v>2341</v>
      </c>
      <c r="F4023" s="20" t="s">
        <v>2493</v>
      </c>
      <c r="G4023" s="20" t="s">
        <v>82</v>
      </c>
      <c r="H4023" s="20" t="s">
        <v>184</v>
      </c>
      <c r="I4023" s="20"/>
      <c r="J4023" s="20" t="s">
        <v>202</v>
      </c>
      <c r="K4023" s="20" t="s">
        <v>250</v>
      </c>
      <c r="L4023" s="20">
        <v>111.9</v>
      </c>
      <c r="M4023" s="20" t="s">
        <v>245</v>
      </c>
      <c r="N4023" s="20" t="s">
        <v>2839</v>
      </c>
    </row>
    <row r="4024" spans="1:14" hidden="1" x14ac:dyDescent="0.25">
      <c r="A4024" s="19">
        <v>45931</v>
      </c>
      <c r="B4024" s="20" t="s">
        <v>2481</v>
      </c>
      <c r="C4024" s="20">
        <v>59</v>
      </c>
      <c r="D4024" s="20" t="s">
        <v>238</v>
      </c>
      <c r="E4024" s="20" t="s">
        <v>2341</v>
      </c>
      <c r="F4024" s="20" t="s">
        <v>2495</v>
      </c>
      <c r="G4024" s="20" t="s">
        <v>82</v>
      </c>
      <c r="H4024" s="20" t="s">
        <v>185</v>
      </c>
      <c r="I4024" s="20"/>
      <c r="J4024" s="20" t="s">
        <v>202</v>
      </c>
      <c r="K4024" s="20" t="s">
        <v>250</v>
      </c>
      <c r="L4024" s="20">
        <v>54.8</v>
      </c>
      <c r="M4024" s="20" t="s">
        <v>245</v>
      </c>
      <c r="N4024" s="20" t="s">
        <v>2840</v>
      </c>
    </row>
    <row r="4025" spans="1:14" hidden="1" x14ac:dyDescent="0.25">
      <c r="A4025" s="19">
        <v>45931</v>
      </c>
      <c r="B4025" s="20" t="s">
        <v>120</v>
      </c>
      <c r="C4025" s="20">
        <v>61</v>
      </c>
      <c r="D4025" s="20" t="s">
        <v>238</v>
      </c>
      <c r="E4025" s="20" t="s">
        <v>2341</v>
      </c>
      <c r="F4025" s="20" t="s">
        <v>240</v>
      </c>
      <c r="G4025" s="20" t="s">
        <v>82</v>
      </c>
      <c r="H4025" s="20"/>
      <c r="I4025" s="20"/>
      <c r="J4025" s="20" t="s">
        <v>2743</v>
      </c>
      <c r="K4025" s="20" t="s">
        <v>241</v>
      </c>
      <c r="L4025" s="20">
        <v>61880000</v>
      </c>
      <c r="M4025" s="20" t="s">
        <v>242</v>
      </c>
      <c r="N4025" s="20" t="s">
        <v>2841</v>
      </c>
    </row>
    <row r="4026" spans="1:14" hidden="1" x14ac:dyDescent="0.25">
      <c r="A4026" s="19">
        <v>45931</v>
      </c>
      <c r="B4026" s="20" t="s">
        <v>120</v>
      </c>
      <c r="C4026" s="20">
        <v>61</v>
      </c>
      <c r="D4026" s="20" t="s">
        <v>238</v>
      </c>
      <c r="E4026" s="20" t="s">
        <v>2341</v>
      </c>
      <c r="F4026" s="20" t="s">
        <v>244</v>
      </c>
      <c r="G4026" s="20" t="s">
        <v>82</v>
      </c>
      <c r="H4026" s="20"/>
      <c r="I4026" s="20"/>
      <c r="J4026" s="20" t="s">
        <v>2743</v>
      </c>
      <c r="K4026" s="20" t="s">
        <v>241</v>
      </c>
      <c r="L4026" s="20">
        <v>12990000000</v>
      </c>
      <c r="M4026" s="20" t="s">
        <v>245</v>
      </c>
      <c r="N4026" s="20" t="s">
        <v>2842</v>
      </c>
    </row>
    <row r="4027" spans="1:14" hidden="1" x14ac:dyDescent="0.25">
      <c r="A4027" s="19">
        <v>45931</v>
      </c>
      <c r="B4027" s="20" t="s">
        <v>120</v>
      </c>
      <c r="C4027" s="20">
        <v>62</v>
      </c>
      <c r="D4027" s="20" t="s">
        <v>253</v>
      </c>
      <c r="E4027" s="20" t="s">
        <v>2359</v>
      </c>
      <c r="F4027" s="20" t="s">
        <v>285</v>
      </c>
      <c r="G4027" s="20" t="s">
        <v>63</v>
      </c>
      <c r="H4027" s="20"/>
      <c r="I4027" s="20"/>
      <c r="J4027" s="20" t="s">
        <v>200</v>
      </c>
      <c r="K4027" s="20" t="s">
        <v>255</v>
      </c>
      <c r="L4027" s="20">
        <v>4850000</v>
      </c>
      <c r="M4027" s="20" t="s">
        <v>242</v>
      </c>
      <c r="N4027" s="20" t="s">
        <v>2499</v>
      </c>
    </row>
    <row r="4028" spans="1:14" hidden="1" x14ac:dyDescent="0.25">
      <c r="A4028" s="19">
        <v>45931</v>
      </c>
      <c r="B4028" s="20" t="s">
        <v>120</v>
      </c>
      <c r="C4028" s="20">
        <v>62</v>
      </c>
      <c r="D4028" s="20" t="s">
        <v>253</v>
      </c>
      <c r="E4028" s="20" t="s">
        <v>2359</v>
      </c>
      <c r="F4028" s="20" t="s">
        <v>285</v>
      </c>
      <c r="G4028" s="20" t="s">
        <v>63</v>
      </c>
      <c r="H4028" s="20"/>
      <c r="I4028" s="20"/>
      <c r="J4028" s="20" t="s">
        <v>201</v>
      </c>
      <c r="K4028" s="20" t="s">
        <v>255</v>
      </c>
      <c r="L4028" s="20">
        <v>4900000</v>
      </c>
      <c r="M4028" s="20" t="s">
        <v>242</v>
      </c>
      <c r="N4028" s="20" t="s">
        <v>2686</v>
      </c>
    </row>
    <row r="4029" spans="1:14" hidden="1" x14ac:dyDescent="0.25">
      <c r="A4029" s="19">
        <v>45931</v>
      </c>
      <c r="B4029" s="20" t="s">
        <v>120</v>
      </c>
      <c r="C4029" s="20">
        <v>62</v>
      </c>
      <c r="D4029" s="20" t="s">
        <v>253</v>
      </c>
      <c r="E4029" s="20" t="s">
        <v>2359</v>
      </c>
      <c r="F4029" s="20" t="s">
        <v>285</v>
      </c>
      <c r="G4029" s="20" t="s">
        <v>63</v>
      </c>
      <c r="H4029" s="20"/>
      <c r="I4029" s="20"/>
      <c r="J4029" s="20" t="s">
        <v>202</v>
      </c>
      <c r="K4029" s="20" t="s">
        <v>255</v>
      </c>
      <c r="L4029" s="20">
        <v>4950000</v>
      </c>
      <c r="M4029" s="20" t="s">
        <v>242</v>
      </c>
      <c r="N4029" s="20" t="s">
        <v>2843</v>
      </c>
    </row>
    <row r="4030" spans="1:14" hidden="1" x14ac:dyDescent="0.25">
      <c r="A4030" s="19">
        <v>45931</v>
      </c>
      <c r="B4030" s="20" t="s">
        <v>120</v>
      </c>
      <c r="C4030" s="20">
        <v>62</v>
      </c>
      <c r="D4030" s="20" t="s">
        <v>247</v>
      </c>
      <c r="E4030" s="20" t="s">
        <v>2554</v>
      </c>
      <c r="F4030" s="20" t="s">
        <v>2555</v>
      </c>
      <c r="G4030" s="20" t="s">
        <v>63</v>
      </c>
      <c r="H4030" s="20" t="s">
        <v>286</v>
      </c>
      <c r="I4030" s="20"/>
      <c r="J4030" s="20" t="s">
        <v>202</v>
      </c>
      <c r="K4030" s="20" t="s">
        <v>250</v>
      </c>
      <c r="L4030" s="20">
        <v>1.1000000000000001</v>
      </c>
      <c r="M4030" s="20" t="s">
        <v>251</v>
      </c>
      <c r="N4030" s="20" t="s">
        <v>1235</v>
      </c>
    </row>
    <row r="4031" spans="1:14" hidden="1" x14ac:dyDescent="0.25">
      <c r="A4031" s="19">
        <v>45931</v>
      </c>
      <c r="B4031" s="20" t="s">
        <v>120</v>
      </c>
      <c r="C4031" s="20">
        <v>63</v>
      </c>
      <c r="D4031" s="20" t="s">
        <v>291</v>
      </c>
      <c r="E4031" s="20" t="s">
        <v>2361</v>
      </c>
      <c r="F4031" s="20" t="s">
        <v>285</v>
      </c>
      <c r="G4031" s="20" t="s">
        <v>63</v>
      </c>
      <c r="H4031" s="20" t="s">
        <v>122</v>
      </c>
      <c r="I4031" s="20"/>
      <c r="J4031" s="20" t="s">
        <v>202</v>
      </c>
      <c r="K4031" s="20" t="s">
        <v>250</v>
      </c>
      <c r="L4031" s="20">
        <v>4900000</v>
      </c>
      <c r="M4031" s="20" t="s">
        <v>242</v>
      </c>
      <c r="N4031" s="20" t="s">
        <v>2572</v>
      </c>
    </row>
    <row r="4032" spans="1:14" hidden="1" x14ac:dyDescent="0.25">
      <c r="A4032" s="19">
        <v>45931</v>
      </c>
      <c r="B4032" s="20" t="s">
        <v>120</v>
      </c>
      <c r="C4032" s="20">
        <v>63</v>
      </c>
      <c r="D4032" s="20" t="s">
        <v>291</v>
      </c>
      <c r="E4032" s="20" t="s">
        <v>2361</v>
      </c>
      <c r="F4032" s="20" t="s">
        <v>285</v>
      </c>
      <c r="G4032" s="20" t="s">
        <v>63</v>
      </c>
      <c r="H4032" s="20" t="s">
        <v>123</v>
      </c>
      <c r="I4032" s="20"/>
      <c r="J4032" s="20" t="s">
        <v>202</v>
      </c>
      <c r="K4032" s="20" t="s">
        <v>250</v>
      </c>
      <c r="L4032" s="20">
        <v>55700</v>
      </c>
      <c r="M4032" s="20" t="s">
        <v>242</v>
      </c>
      <c r="N4032" s="20" t="s">
        <v>2844</v>
      </c>
    </row>
    <row r="4033" spans="1:14" hidden="1" x14ac:dyDescent="0.25">
      <c r="A4033" s="19">
        <v>45931</v>
      </c>
      <c r="B4033" s="20" t="s">
        <v>120</v>
      </c>
      <c r="C4033" s="20">
        <v>63</v>
      </c>
      <c r="D4033" s="20" t="s">
        <v>238</v>
      </c>
      <c r="E4033" s="20" t="s">
        <v>2341</v>
      </c>
      <c r="F4033" s="20" t="s">
        <v>376</v>
      </c>
      <c r="G4033" s="20" t="s">
        <v>63</v>
      </c>
      <c r="H4033" s="20"/>
      <c r="I4033" s="20"/>
      <c r="J4033" s="20" t="s">
        <v>202</v>
      </c>
      <c r="K4033" s="20" t="s">
        <v>250</v>
      </c>
      <c r="L4033" s="20">
        <v>5000000</v>
      </c>
      <c r="M4033" s="20" t="s">
        <v>242</v>
      </c>
      <c r="N4033" s="20" t="s">
        <v>2845</v>
      </c>
    </row>
    <row r="4034" spans="1:14" hidden="1" x14ac:dyDescent="0.25">
      <c r="A4034" s="19">
        <v>45931</v>
      </c>
      <c r="B4034" s="20" t="s">
        <v>120</v>
      </c>
      <c r="C4034" s="20">
        <v>64</v>
      </c>
      <c r="D4034" s="20" t="s">
        <v>238</v>
      </c>
      <c r="E4034" s="20" t="s">
        <v>2341</v>
      </c>
      <c r="F4034" s="20" t="s">
        <v>378</v>
      </c>
      <c r="G4034" s="20" t="s">
        <v>379</v>
      </c>
      <c r="H4034" s="20"/>
      <c r="I4034" s="20"/>
      <c r="J4034" s="20" t="s">
        <v>202</v>
      </c>
      <c r="K4034" s="20" t="s">
        <v>250</v>
      </c>
      <c r="L4034" s="20">
        <v>665</v>
      </c>
      <c r="M4034" s="20" t="s">
        <v>242</v>
      </c>
      <c r="N4034" s="20" t="s">
        <v>2735</v>
      </c>
    </row>
    <row r="4035" spans="1:14" hidden="1" x14ac:dyDescent="0.25">
      <c r="A4035" s="19">
        <v>45931</v>
      </c>
      <c r="B4035" s="20" t="s">
        <v>120</v>
      </c>
      <c r="C4035" s="20">
        <v>64</v>
      </c>
      <c r="D4035" s="20" t="s">
        <v>238</v>
      </c>
      <c r="E4035" s="20" t="s">
        <v>2341</v>
      </c>
      <c r="F4035" s="20" t="s">
        <v>381</v>
      </c>
      <c r="G4035" s="20" t="s">
        <v>382</v>
      </c>
      <c r="H4035" s="20"/>
      <c r="I4035" s="20"/>
      <c r="J4035" s="20" t="s">
        <v>202</v>
      </c>
      <c r="K4035" s="20" t="s">
        <v>250</v>
      </c>
      <c r="L4035" s="20">
        <v>2272</v>
      </c>
      <c r="M4035" s="20" t="s">
        <v>242</v>
      </c>
      <c r="N4035" s="20" t="s">
        <v>2736</v>
      </c>
    </row>
    <row r="4036" spans="1:14" hidden="1" x14ac:dyDescent="0.25">
      <c r="A4036" s="19">
        <v>45931</v>
      </c>
      <c r="B4036" s="20" t="s">
        <v>120</v>
      </c>
      <c r="C4036" s="20">
        <v>65</v>
      </c>
      <c r="D4036" s="20" t="s">
        <v>253</v>
      </c>
      <c r="E4036" s="20" t="s">
        <v>2359</v>
      </c>
      <c r="F4036" s="20" t="s">
        <v>240</v>
      </c>
      <c r="G4036" s="20" t="s">
        <v>82</v>
      </c>
      <c r="H4036" s="20"/>
      <c r="I4036" s="20"/>
      <c r="J4036" s="20" t="s">
        <v>200</v>
      </c>
      <c r="K4036" s="20" t="s">
        <v>255</v>
      </c>
      <c r="L4036" s="20">
        <v>6640000</v>
      </c>
      <c r="M4036" s="20" t="s">
        <v>242</v>
      </c>
      <c r="N4036" s="20" t="s">
        <v>2501</v>
      </c>
    </row>
    <row r="4037" spans="1:14" hidden="1" x14ac:dyDescent="0.25">
      <c r="A4037" s="19">
        <v>45931</v>
      </c>
      <c r="B4037" s="20" t="s">
        <v>120</v>
      </c>
      <c r="C4037" s="20">
        <v>65</v>
      </c>
      <c r="D4037" s="20" t="s">
        <v>253</v>
      </c>
      <c r="E4037" s="20" t="s">
        <v>2359</v>
      </c>
      <c r="F4037" s="20" t="s">
        <v>240</v>
      </c>
      <c r="G4037" s="20" t="s">
        <v>82</v>
      </c>
      <c r="H4037" s="20"/>
      <c r="I4037" s="20"/>
      <c r="J4037" s="20" t="s">
        <v>201</v>
      </c>
      <c r="K4037" s="20" t="s">
        <v>255</v>
      </c>
      <c r="L4037" s="20">
        <v>6450000</v>
      </c>
      <c r="M4037" s="20" t="s">
        <v>242</v>
      </c>
      <c r="N4037" s="20" t="s">
        <v>2688</v>
      </c>
    </row>
    <row r="4038" spans="1:14" hidden="1" x14ac:dyDescent="0.25">
      <c r="A4038" s="19">
        <v>45931</v>
      </c>
      <c r="B4038" s="20" t="s">
        <v>120</v>
      </c>
      <c r="C4038" s="20">
        <v>65</v>
      </c>
      <c r="D4038" s="20" t="s">
        <v>253</v>
      </c>
      <c r="E4038" s="20" t="s">
        <v>2359</v>
      </c>
      <c r="F4038" s="20" t="s">
        <v>240</v>
      </c>
      <c r="G4038" s="20" t="s">
        <v>82</v>
      </c>
      <c r="H4038" s="20"/>
      <c r="I4038" s="20"/>
      <c r="J4038" s="20" t="s">
        <v>202</v>
      </c>
      <c r="K4038" s="20" t="s">
        <v>255</v>
      </c>
      <c r="L4038" s="20">
        <v>6690000</v>
      </c>
      <c r="M4038" s="20" t="s">
        <v>242</v>
      </c>
      <c r="N4038" s="20" t="s">
        <v>2846</v>
      </c>
    </row>
    <row r="4039" spans="1:14" hidden="1" x14ac:dyDescent="0.25">
      <c r="A4039" s="19">
        <v>45931</v>
      </c>
      <c r="B4039" s="20" t="s">
        <v>120</v>
      </c>
      <c r="C4039" s="20">
        <v>65</v>
      </c>
      <c r="D4039" s="20" t="s">
        <v>247</v>
      </c>
      <c r="E4039" s="20" t="s">
        <v>2554</v>
      </c>
      <c r="F4039" s="20" t="s">
        <v>2556</v>
      </c>
      <c r="G4039" s="20" t="s">
        <v>82</v>
      </c>
      <c r="H4039" s="20" t="s">
        <v>286</v>
      </c>
      <c r="I4039" s="20"/>
      <c r="J4039" s="20" t="s">
        <v>202</v>
      </c>
      <c r="K4039" s="20" t="s">
        <v>250</v>
      </c>
      <c r="L4039" s="20">
        <v>3.7</v>
      </c>
      <c r="M4039" s="20" t="s">
        <v>251</v>
      </c>
      <c r="N4039" s="20" t="s">
        <v>592</v>
      </c>
    </row>
    <row r="4040" spans="1:14" hidden="1" x14ac:dyDescent="0.25">
      <c r="A4040" s="19">
        <v>45931</v>
      </c>
      <c r="B4040" s="20" t="s">
        <v>120</v>
      </c>
      <c r="C4040" s="20">
        <v>66</v>
      </c>
      <c r="D4040" s="20" t="s">
        <v>291</v>
      </c>
      <c r="E4040" s="20" t="s">
        <v>2361</v>
      </c>
      <c r="F4040" s="20" t="s">
        <v>2502</v>
      </c>
      <c r="G4040" s="20" t="s">
        <v>82</v>
      </c>
      <c r="H4040" s="20" t="s">
        <v>128</v>
      </c>
      <c r="I4040" s="20"/>
      <c r="J4040" s="20" t="s">
        <v>202</v>
      </c>
      <c r="K4040" s="20" t="s">
        <v>250</v>
      </c>
      <c r="L4040" s="20">
        <v>34000</v>
      </c>
      <c r="M4040" s="20" t="s">
        <v>242</v>
      </c>
      <c r="N4040" s="20" t="s">
        <v>1508</v>
      </c>
    </row>
    <row r="4041" spans="1:14" hidden="1" x14ac:dyDescent="0.25">
      <c r="A4041" s="19">
        <v>45931</v>
      </c>
      <c r="B4041" s="20" t="s">
        <v>120</v>
      </c>
      <c r="C4041" s="20">
        <v>66</v>
      </c>
      <c r="D4041" s="20" t="s">
        <v>291</v>
      </c>
      <c r="E4041" s="20" t="s">
        <v>2361</v>
      </c>
      <c r="F4041" s="20" t="s">
        <v>2502</v>
      </c>
      <c r="G4041" s="20" t="s">
        <v>82</v>
      </c>
      <c r="H4041" s="20" t="s">
        <v>125</v>
      </c>
      <c r="I4041" s="20"/>
      <c r="J4041" s="20" t="s">
        <v>202</v>
      </c>
      <c r="K4041" s="20" t="s">
        <v>250</v>
      </c>
      <c r="L4041" s="20">
        <v>36000</v>
      </c>
      <c r="M4041" s="20" t="s">
        <v>242</v>
      </c>
      <c r="N4041" s="20" t="s">
        <v>1854</v>
      </c>
    </row>
    <row r="4042" spans="1:14" hidden="1" x14ac:dyDescent="0.25">
      <c r="A4042" s="19">
        <v>45931</v>
      </c>
      <c r="B4042" s="20" t="s">
        <v>120</v>
      </c>
      <c r="C4042" s="20">
        <v>66</v>
      </c>
      <c r="D4042" s="20" t="s">
        <v>291</v>
      </c>
      <c r="E4042" s="20" t="s">
        <v>2361</v>
      </c>
      <c r="F4042" s="20" t="s">
        <v>2502</v>
      </c>
      <c r="G4042" s="20" t="s">
        <v>82</v>
      </c>
      <c r="H4042" s="20" t="s">
        <v>131</v>
      </c>
      <c r="I4042" s="20"/>
      <c r="J4042" s="20" t="s">
        <v>202</v>
      </c>
      <c r="K4042" s="20" t="s">
        <v>250</v>
      </c>
      <c r="L4042" s="20">
        <v>63000</v>
      </c>
      <c r="M4042" s="20" t="s">
        <v>242</v>
      </c>
      <c r="N4042" s="20" t="s">
        <v>1130</v>
      </c>
    </row>
    <row r="4043" spans="1:14" hidden="1" x14ac:dyDescent="0.25">
      <c r="A4043" s="19">
        <v>45931</v>
      </c>
      <c r="B4043" s="20" t="s">
        <v>120</v>
      </c>
      <c r="C4043" s="20">
        <v>66</v>
      </c>
      <c r="D4043" s="20" t="s">
        <v>291</v>
      </c>
      <c r="E4043" s="20" t="s">
        <v>2361</v>
      </c>
      <c r="F4043" s="20" t="s">
        <v>2502</v>
      </c>
      <c r="G4043" s="20" t="s">
        <v>82</v>
      </c>
      <c r="H4043" s="20" t="s">
        <v>132</v>
      </c>
      <c r="I4043" s="20"/>
      <c r="J4043" s="20" t="s">
        <v>202</v>
      </c>
      <c r="K4043" s="20" t="s">
        <v>250</v>
      </c>
      <c r="L4043" s="20">
        <v>63000</v>
      </c>
      <c r="M4043" s="20" t="s">
        <v>242</v>
      </c>
      <c r="N4043" s="20" t="s">
        <v>1130</v>
      </c>
    </row>
    <row r="4044" spans="1:14" hidden="1" x14ac:dyDescent="0.25">
      <c r="A4044" s="19">
        <v>45931</v>
      </c>
      <c r="B4044" s="20" t="s">
        <v>120</v>
      </c>
      <c r="C4044" s="20">
        <v>66</v>
      </c>
      <c r="D4044" s="20" t="s">
        <v>291</v>
      </c>
      <c r="E4044" s="20" t="s">
        <v>2361</v>
      </c>
      <c r="F4044" s="20" t="s">
        <v>2502</v>
      </c>
      <c r="G4044" s="20" t="s">
        <v>82</v>
      </c>
      <c r="H4044" s="20" t="s">
        <v>126</v>
      </c>
      <c r="I4044" s="20"/>
      <c r="J4044" s="20" t="s">
        <v>202</v>
      </c>
      <c r="K4044" s="20" t="s">
        <v>250</v>
      </c>
      <c r="L4044" s="20">
        <v>139000</v>
      </c>
      <c r="M4044" s="20" t="s">
        <v>242</v>
      </c>
      <c r="N4044" s="20" t="s">
        <v>2847</v>
      </c>
    </row>
    <row r="4045" spans="1:14" hidden="1" x14ac:dyDescent="0.25">
      <c r="A4045" s="19">
        <v>45931</v>
      </c>
      <c r="B4045" s="20" t="s">
        <v>120</v>
      </c>
      <c r="C4045" s="20">
        <v>66</v>
      </c>
      <c r="D4045" s="20" t="s">
        <v>291</v>
      </c>
      <c r="E4045" s="20" t="s">
        <v>2361</v>
      </c>
      <c r="F4045" s="20" t="s">
        <v>2502</v>
      </c>
      <c r="G4045" s="20" t="s">
        <v>82</v>
      </c>
      <c r="H4045" s="20" t="s">
        <v>127</v>
      </c>
      <c r="I4045" s="20"/>
      <c r="J4045" s="20" t="s">
        <v>202</v>
      </c>
      <c r="K4045" s="20" t="s">
        <v>250</v>
      </c>
      <c r="L4045" s="20">
        <v>332000</v>
      </c>
      <c r="M4045" s="20" t="s">
        <v>242</v>
      </c>
      <c r="N4045" s="20" t="s">
        <v>2772</v>
      </c>
    </row>
    <row r="4046" spans="1:14" hidden="1" x14ac:dyDescent="0.25">
      <c r="A4046" s="19">
        <v>45931</v>
      </c>
      <c r="B4046" s="20" t="s">
        <v>120</v>
      </c>
      <c r="C4046" s="20">
        <v>66</v>
      </c>
      <c r="D4046" s="20" t="s">
        <v>291</v>
      </c>
      <c r="E4046" s="20" t="s">
        <v>2361</v>
      </c>
      <c r="F4046" s="20" t="s">
        <v>2502</v>
      </c>
      <c r="G4046" s="20" t="s">
        <v>82</v>
      </c>
      <c r="H4046" s="20" t="s">
        <v>133</v>
      </c>
      <c r="I4046" s="20"/>
      <c r="J4046" s="20" t="s">
        <v>202</v>
      </c>
      <c r="K4046" s="20" t="s">
        <v>250</v>
      </c>
      <c r="L4046" s="20">
        <v>579000</v>
      </c>
      <c r="M4046" s="20" t="s">
        <v>242</v>
      </c>
      <c r="N4046" s="20" t="s">
        <v>2848</v>
      </c>
    </row>
    <row r="4047" spans="1:14" hidden="1" x14ac:dyDescent="0.25">
      <c r="A4047" s="19">
        <v>45931</v>
      </c>
      <c r="B4047" s="20" t="s">
        <v>120</v>
      </c>
      <c r="C4047" s="20">
        <v>66</v>
      </c>
      <c r="D4047" s="20" t="s">
        <v>291</v>
      </c>
      <c r="E4047" s="20" t="s">
        <v>2361</v>
      </c>
      <c r="F4047" s="20" t="s">
        <v>2502</v>
      </c>
      <c r="G4047" s="20" t="s">
        <v>82</v>
      </c>
      <c r="H4047" s="20" t="s">
        <v>129</v>
      </c>
      <c r="I4047" s="20"/>
      <c r="J4047" s="20" t="s">
        <v>202</v>
      </c>
      <c r="K4047" s="20" t="s">
        <v>250</v>
      </c>
      <c r="L4047" s="20">
        <v>1500000</v>
      </c>
      <c r="M4047" s="20" t="s">
        <v>242</v>
      </c>
      <c r="N4047" s="20" t="s">
        <v>293</v>
      </c>
    </row>
    <row r="4048" spans="1:14" hidden="1" x14ac:dyDescent="0.25">
      <c r="A4048" s="19">
        <v>45931</v>
      </c>
      <c r="B4048" s="20" t="s">
        <v>120</v>
      </c>
      <c r="C4048" s="20">
        <v>66</v>
      </c>
      <c r="D4048" s="20" t="s">
        <v>291</v>
      </c>
      <c r="E4048" s="20" t="s">
        <v>2361</v>
      </c>
      <c r="F4048" s="20" t="s">
        <v>2502</v>
      </c>
      <c r="G4048" s="20" t="s">
        <v>82</v>
      </c>
      <c r="H4048" s="20" t="s">
        <v>134</v>
      </c>
      <c r="I4048" s="20"/>
      <c r="J4048" s="20" t="s">
        <v>202</v>
      </c>
      <c r="K4048" s="20" t="s">
        <v>250</v>
      </c>
      <c r="L4048" s="20">
        <v>1800000</v>
      </c>
      <c r="M4048" s="20" t="s">
        <v>242</v>
      </c>
      <c r="N4048" s="20" t="s">
        <v>435</v>
      </c>
    </row>
    <row r="4049" spans="1:14" hidden="1" x14ac:dyDescent="0.25">
      <c r="A4049" s="19">
        <v>45931</v>
      </c>
      <c r="B4049" s="20" t="s">
        <v>120</v>
      </c>
      <c r="C4049" s="20">
        <v>66</v>
      </c>
      <c r="D4049" s="20" t="s">
        <v>291</v>
      </c>
      <c r="E4049" s="20" t="s">
        <v>2361</v>
      </c>
      <c r="F4049" s="20" t="s">
        <v>2502</v>
      </c>
      <c r="G4049" s="20" t="s">
        <v>82</v>
      </c>
      <c r="H4049" s="20" t="s">
        <v>130</v>
      </c>
      <c r="I4049" s="20"/>
      <c r="J4049" s="20" t="s">
        <v>202</v>
      </c>
      <c r="K4049" s="20" t="s">
        <v>250</v>
      </c>
      <c r="L4049" s="20">
        <v>2060000</v>
      </c>
      <c r="M4049" s="20" t="s">
        <v>242</v>
      </c>
      <c r="N4049" s="20" t="s">
        <v>2729</v>
      </c>
    </row>
    <row r="4050" spans="1:14" hidden="1" x14ac:dyDescent="0.25">
      <c r="A4050" s="19">
        <v>45931</v>
      </c>
      <c r="B4050" s="20" t="s">
        <v>120</v>
      </c>
      <c r="C4050" s="20">
        <v>67</v>
      </c>
      <c r="D4050" s="20" t="s">
        <v>291</v>
      </c>
      <c r="E4050" s="20" t="s">
        <v>2361</v>
      </c>
      <c r="F4050" s="20" t="s">
        <v>2510</v>
      </c>
      <c r="G4050" s="20" t="s">
        <v>82</v>
      </c>
      <c r="H4050" s="20" t="s">
        <v>138</v>
      </c>
      <c r="I4050" s="20"/>
      <c r="J4050" s="20" t="s">
        <v>202</v>
      </c>
      <c r="K4050" s="20" t="s">
        <v>250</v>
      </c>
      <c r="L4050" s="20">
        <v>5360000</v>
      </c>
      <c r="M4050" s="20" t="s">
        <v>242</v>
      </c>
      <c r="N4050" s="20" t="s">
        <v>2849</v>
      </c>
    </row>
    <row r="4051" spans="1:14" hidden="1" x14ac:dyDescent="0.25">
      <c r="A4051" s="19">
        <v>45931</v>
      </c>
      <c r="B4051" s="20" t="s">
        <v>120</v>
      </c>
      <c r="C4051" s="20">
        <v>67</v>
      </c>
      <c r="D4051" s="20" t="s">
        <v>291</v>
      </c>
      <c r="E4051" s="20" t="s">
        <v>2361</v>
      </c>
      <c r="F4051" s="20" t="s">
        <v>2510</v>
      </c>
      <c r="G4051" s="20" t="s">
        <v>82</v>
      </c>
      <c r="H4051" s="20" t="s">
        <v>137</v>
      </c>
      <c r="I4051" s="20"/>
      <c r="J4051" s="20" t="s">
        <v>202</v>
      </c>
      <c r="K4051" s="20" t="s">
        <v>250</v>
      </c>
      <c r="L4051" s="20">
        <v>1340000</v>
      </c>
      <c r="M4051" s="20" t="s">
        <v>242</v>
      </c>
      <c r="N4051" s="20" t="s">
        <v>2850</v>
      </c>
    </row>
    <row r="4052" spans="1:14" hidden="1" x14ac:dyDescent="0.25">
      <c r="A4052" s="19">
        <v>45931</v>
      </c>
      <c r="B4052" s="20" t="s">
        <v>120</v>
      </c>
      <c r="C4052" s="20">
        <v>68</v>
      </c>
      <c r="D4052" s="20" t="s">
        <v>253</v>
      </c>
      <c r="E4052" s="20" t="s">
        <v>2359</v>
      </c>
      <c r="F4052" s="20" t="s">
        <v>244</v>
      </c>
      <c r="G4052" s="20" t="s">
        <v>82</v>
      </c>
      <c r="H4052" s="20"/>
      <c r="I4052" s="20"/>
      <c r="J4052" s="20" t="s">
        <v>200</v>
      </c>
      <c r="K4052" s="20" t="s">
        <v>255</v>
      </c>
      <c r="L4052" s="20">
        <v>1280000000</v>
      </c>
      <c r="M4052" s="20" t="s">
        <v>245</v>
      </c>
      <c r="N4052" s="20" t="s">
        <v>2513</v>
      </c>
    </row>
    <row r="4053" spans="1:14" hidden="1" x14ac:dyDescent="0.25">
      <c r="A4053" s="19">
        <v>45931</v>
      </c>
      <c r="B4053" s="20" t="s">
        <v>120</v>
      </c>
      <c r="C4053" s="20">
        <v>68</v>
      </c>
      <c r="D4053" s="20" t="s">
        <v>253</v>
      </c>
      <c r="E4053" s="20" t="s">
        <v>2359</v>
      </c>
      <c r="F4053" s="20" t="s">
        <v>244</v>
      </c>
      <c r="G4053" s="20" t="s">
        <v>82</v>
      </c>
      <c r="H4053" s="20"/>
      <c r="I4053" s="20"/>
      <c r="J4053" s="20" t="s">
        <v>201</v>
      </c>
      <c r="K4053" s="20" t="s">
        <v>255</v>
      </c>
      <c r="L4053" s="20">
        <v>1400000000</v>
      </c>
      <c r="M4053" s="20" t="s">
        <v>245</v>
      </c>
      <c r="N4053" s="20" t="s">
        <v>2240</v>
      </c>
    </row>
    <row r="4054" spans="1:14" hidden="1" x14ac:dyDescent="0.25">
      <c r="A4054" s="19">
        <v>45931</v>
      </c>
      <c r="B4054" s="20" t="s">
        <v>120</v>
      </c>
      <c r="C4054" s="20">
        <v>68</v>
      </c>
      <c r="D4054" s="20" t="s">
        <v>253</v>
      </c>
      <c r="E4054" s="20" t="s">
        <v>2359</v>
      </c>
      <c r="F4054" s="20" t="s">
        <v>244</v>
      </c>
      <c r="G4054" s="20" t="s">
        <v>82</v>
      </c>
      <c r="H4054" s="20"/>
      <c r="I4054" s="20"/>
      <c r="J4054" s="20" t="s">
        <v>202</v>
      </c>
      <c r="K4054" s="20" t="s">
        <v>255</v>
      </c>
      <c r="L4054" s="20">
        <v>1420000000</v>
      </c>
      <c r="M4054" s="20" t="s">
        <v>245</v>
      </c>
      <c r="N4054" s="20" t="s">
        <v>2851</v>
      </c>
    </row>
    <row r="4055" spans="1:14" hidden="1" x14ac:dyDescent="0.25">
      <c r="A4055" s="19">
        <v>45931</v>
      </c>
      <c r="B4055" s="20" t="s">
        <v>120</v>
      </c>
      <c r="C4055" s="20">
        <v>68</v>
      </c>
      <c r="D4055" s="20" t="s">
        <v>247</v>
      </c>
      <c r="E4055" s="20" t="s">
        <v>2554</v>
      </c>
      <c r="F4055" s="20" t="s">
        <v>2557</v>
      </c>
      <c r="G4055" s="20" t="s">
        <v>82</v>
      </c>
      <c r="H4055" s="20" t="s">
        <v>286</v>
      </c>
      <c r="I4055" s="20"/>
      <c r="J4055" s="20" t="s">
        <v>202</v>
      </c>
      <c r="K4055" s="20" t="s">
        <v>250</v>
      </c>
      <c r="L4055" s="20">
        <v>1.3</v>
      </c>
      <c r="M4055" s="20" t="s">
        <v>251</v>
      </c>
      <c r="N4055" s="20" t="s">
        <v>1230</v>
      </c>
    </row>
    <row r="4056" spans="1:14" hidden="1" x14ac:dyDescent="0.25">
      <c r="A4056" s="19">
        <v>45931</v>
      </c>
      <c r="B4056" s="20" t="s">
        <v>120</v>
      </c>
      <c r="C4056" s="20">
        <v>69</v>
      </c>
      <c r="D4056" s="20" t="s">
        <v>291</v>
      </c>
      <c r="E4056" s="20" t="s">
        <v>2361</v>
      </c>
      <c r="F4056" s="20" t="s">
        <v>2514</v>
      </c>
      <c r="G4056" s="20" t="s">
        <v>82</v>
      </c>
      <c r="H4056" s="20" t="s">
        <v>132</v>
      </c>
      <c r="I4056" s="20"/>
      <c r="J4056" s="20" t="s">
        <v>202</v>
      </c>
      <c r="K4056" s="20" t="s">
        <v>250</v>
      </c>
      <c r="L4056" s="20">
        <v>6000000</v>
      </c>
      <c r="M4056" s="20" t="s">
        <v>245</v>
      </c>
      <c r="N4056" s="20" t="s">
        <v>2695</v>
      </c>
    </row>
    <row r="4057" spans="1:14" hidden="1" x14ac:dyDescent="0.25">
      <c r="A4057" s="19">
        <v>45931</v>
      </c>
      <c r="B4057" s="20" t="s">
        <v>120</v>
      </c>
      <c r="C4057" s="20">
        <v>69</v>
      </c>
      <c r="D4057" s="20" t="s">
        <v>291</v>
      </c>
      <c r="E4057" s="20" t="s">
        <v>2361</v>
      </c>
      <c r="F4057" s="20" t="s">
        <v>2514</v>
      </c>
      <c r="G4057" s="20" t="s">
        <v>82</v>
      </c>
      <c r="H4057" s="20" t="s">
        <v>128</v>
      </c>
      <c r="I4057" s="20"/>
      <c r="J4057" s="20" t="s">
        <v>202</v>
      </c>
      <c r="K4057" s="20" t="s">
        <v>250</v>
      </c>
      <c r="L4057" s="20">
        <v>14000000</v>
      </c>
      <c r="M4057" s="20" t="s">
        <v>245</v>
      </c>
      <c r="N4057" s="20" t="s">
        <v>2516</v>
      </c>
    </row>
    <row r="4058" spans="1:14" hidden="1" x14ac:dyDescent="0.25">
      <c r="A4058" s="19">
        <v>45931</v>
      </c>
      <c r="B4058" s="20" t="s">
        <v>120</v>
      </c>
      <c r="C4058" s="20">
        <v>69</v>
      </c>
      <c r="D4058" s="20" t="s">
        <v>291</v>
      </c>
      <c r="E4058" s="20" t="s">
        <v>2361</v>
      </c>
      <c r="F4058" s="20" t="s">
        <v>2514</v>
      </c>
      <c r="G4058" s="20" t="s">
        <v>82</v>
      </c>
      <c r="H4058" s="20" t="s">
        <v>131</v>
      </c>
      <c r="I4058" s="20"/>
      <c r="J4058" s="20" t="s">
        <v>202</v>
      </c>
      <c r="K4058" s="20" t="s">
        <v>250</v>
      </c>
      <c r="L4058" s="20">
        <v>15000000</v>
      </c>
      <c r="M4058" s="20" t="s">
        <v>245</v>
      </c>
      <c r="N4058" s="20" t="s">
        <v>2852</v>
      </c>
    </row>
    <row r="4059" spans="1:14" hidden="1" x14ac:dyDescent="0.25">
      <c r="A4059" s="19">
        <v>45931</v>
      </c>
      <c r="B4059" s="20" t="s">
        <v>120</v>
      </c>
      <c r="C4059" s="20">
        <v>69</v>
      </c>
      <c r="D4059" s="20" t="s">
        <v>291</v>
      </c>
      <c r="E4059" s="20" t="s">
        <v>2361</v>
      </c>
      <c r="F4059" s="20" t="s">
        <v>2514</v>
      </c>
      <c r="G4059" s="20" t="s">
        <v>82</v>
      </c>
      <c r="H4059" s="20" t="s">
        <v>140</v>
      </c>
      <c r="I4059" s="20"/>
      <c r="J4059" s="20" t="s">
        <v>202</v>
      </c>
      <c r="K4059" s="20" t="s">
        <v>250</v>
      </c>
      <c r="L4059" s="20">
        <v>18000000</v>
      </c>
      <c r="M4059" s="20" t="s">
        <v>245</v>
      </c>
      <c r="N4059" s="20" t="s">
        <v>2853</v>
      </c>
    </row>
    <row r="4060" spans="1:14" hidden="1" x14ac:dyDescent="0.25">
      <c r="A4060" s="19">
        <v>45931</v>
      </c>
      <c r="B4060" s="20" t="s">
        <v>120</v>
      </c>
      <c r="C4060" s="20">
        <v>69</v>
      </c>
      <c r="D4060" s="20" t="s">
        <v>291</v>
      </c>
      <c r="E4060" s="20" t="s">
        <v>2361</v>
      </c>
      <c r="F4060" s="20" t="s">
        <v>2514</v>
      </c>
      <c r="G4060" s="20" t="s">
        <v>82</v>
      </c>
      <c r="H4060" s="20" t="s">
        <v>130</v>
      </c>
      <c r="I4060" s="20"/>
      <c r="J4060" s="20" t="s">
        <v>202</v>
      </c>
      <c r="K4060" s="20" t="s">
        <v>250</v>
      </c>
      <c r="L4060" s="20">
        <v>34000000</v>
      </c>
      <c r="M4060" s="20" t="s">
        <v>245</v>
      </c>
      <c r="N4060" s="20" t="s">
        <v>2518</v>
      </c>
    </row>
    <row r="4061" spans="1:14" hidden="1" x14ac:dyDescent="0.25">
      <c r="A4061" s="19">
        <v>45931</v>
      </c>
      <c r="B4061" s="20" t="s">
        <v>120</v>
      </c>
      <c r="C4061" s="20">
        <v>69</v>
      </c>
      <c r="D4061" s="20" t="s">
        <v>291</v>
      </c>
      <c r="E4061" s="20" t="s">
        <v>2361</v>
      </c>
      <c r="F4061" s="20" t="s">
        <v>2514</v>
      </c>
      <c r="G4061" s="20" t="s">
        <v>82</v>
      </c>
      <c r="H4061" s="20" t="s">
        <v>126</v>
      </c>
      <c r="I4061" s="20"/>
      <c r="J4061" s="20" t="s">
        <v>202</v>
      </c>
      <c r="K4061" s="20" t="s">
        <v>250</v>
      </c>
      <c r="L4061" s="20">
        <v>41000000</v>
      </c>
      <c r="M4061" s="20" t="s">
        <v>245</v>
      </c>
      <c r="N4061" s="20" t="s">
        <v>2854</v>
      </c>
    </row>
    <row r="4062" spans="1:14" hidden="1" x14ac:dyDescent="0.25">
      <c r="A4062" s="19">
        <v>45931</v>
      </c>
      <c r="B4062" s="20" t="s">
        <v>120</v>
      </c>
      <c r="C4062" s="20">
        <v>69</v>
      </c>
      <c r="D4062" s="20" t="s">
        <v>291</v>
      </c>
      <c r="E4062" s="20" t="s">
        <v>2361</v>
      </c>
      <c r="F4062" s="20" t="s">
        <v>2514</v>
      </c>
      <c r="G4062" s="20" t="s">
        <v>82</v>
      </c>
      <c r="H4062" s="20" t="s">
        <v>127</v>
      </c>
      <c r="I4062" s="20"/>
      <c r="J4062" s="20" t="s">
        <v>202</v>
      </c>
      <c r="K4062" s="20" t="s">
        <v>250</v>
      </c>
      <c r="L4062" s="20">
        <v>58000000</v>
      </c>
      <c r="M4062" s="20" t="s">
        <v>245</v>
      </c>
      <c r="N4062" s="20" t="s">
        <v>2855</v>
      </c>
    </row>
    <row r="4063" spans="1:14" hidden="1" x14ac:dyDescent="0.25">
      <c r="A4063" s="19">
        <v>45931</v>
      </c>
      <c r="B4063" s="20" t="s">
        <v>120</v>
      </c>
      <c r="C4063" s="20">
        <v>69</v>
      </c>
      <c r="D4063" s="20" t="s">
        <v>291</v>
      </c>
      <c r="E4063" s="20" t="s">
        <v>2361</v>
      </c>
      <c r="F4063" s="20" t="s">
        <v>2514</v>
      </c>
      <c r="G4063" s="20" t="s">
        <v>82</v>
      </c>
      <c r="H4063" s="20" t="s">
        <v>134</v>
      </c>
      <c r="I4063" s="20"/>
      <c r="J4063" s="20" t="s">
        <v>202</v>
      </c>
      <c r="K4063" s="20" t="s">
        <v>250</v>
      </c>
      <c r="L4063" s="20">
        <v>80000000</v>
      </c>
      <c r="M4063" s="20" t="s">
        <v>245</v>
      </c>
      <c r="N4063" s="20" t="s">
        <v>2856</v>
      </c>
    </row>
    <row r="4064" spans="1:14" hidden="1" x14ac:dyDescent="0.25">
      <c r="A4064" s="19">
        <v>45931</v>
      </c>
      <c r="B4064" s="20" t="s">
        <v>120</v>
      </c>
      <c r="C4064" s="20">
        <v>69</v>
      </c>
      <c r="D4064" s="20" t="s">
        <v>291</v>
      </c>
      <c r="E4064" s="20" t="s">
        <v>2361</v>
      </c>
      <c r="F4064" s="20" t="s">
        <v>2514</v>
      </c>
      <c r="G4064" s="20" t="s">
        <v>82</v>
      </c>
      <c r="H4064" s="20" t="s">
        <v>133</v>
      </c>
      <c r="I4064" s="20"/>
      <c r="J4064" s="20" t="s">
        <v>202</v>
      </c>
      <c r="K4064" s="20" t="s">
        <v>250</v>
      </c>
      <c r="L4064" s="20">
        <v>354000000</v>
      </c>
      <c r="M4064" s="20" t="s">
        <v>245</v>
      </c>
      <c r="N4064" s="20" t="s">
        <v>2857</v>
      </c>
    </row>
    <row r="4065" spans="1:14" hidden="1" x14ac:dyDescent="0.25">
      <c r="A4065" s="19">
        <v>45931</v>
      </c>
      <c r="B4065" s="20" t="s">
        <v>120</v>
      </c>
      <c r="C4065" s="20">
        <v>69</v>
      </c>
      <c r="D4065" s="20" t="s">
        <v>291</v>
      </c>
      <c r="E4065" s="20" t="s">
        <v>2361</v>
      </c>
      <c r="F4065" s="20" t="s">
        <v>2514</v>
      </c>
      <c r="G4065" s="20" t="s">
        <v>82</v>
      </c>
      <c r="H4065" s="20" t="s">
        <v>129</v>
      </c>
      <c r="I4065" s="20"/>
      <c r="J4065" s="20" t="s">
        <v>202</v>
      </c>
      <c r="K4065" s="20" t="s">
        <v>250</v>
      </c>
      <c r="L4065" s="20">
        <v>788000000</v>
      </c>
      <c r="M4065" s="20" t="s">
        <v>245</v>
      </c>
      <c r="N4065" s="20" t="s">
        <v>2858</v>
      </c>
    </row>
    <row r="4066" spans="1:14" hidden="1" x14ac:dyDescent="0.25">
      <c r="A4066" s="19">
        <v>45931</v>
      </c>
      <c r="B4066" s="20" t="s">
        <v>120</v>
      </c>
      <c r="C4066" s="20">
        <v>70</v>
      </c>
      <c r="D4066" s="20" t="s">
        <v>291</v>
      </c>
      <c r="E4066" s="20" t="s">
        <v>2361</v>
      </c>
      <c r="F4066" s="20" t="s">
        <v>2510</v>
      </c>
      <c r="G4066" s="20" t="s">
        <v>82</v>
      </c>
      <c r="H4066" s="20" t="s">
        <v>138</v>
      </c>
      <c r="I4066" s="20"/>
      <c r="J4066" s="20" t="s">
        <v>202</v>
      </c>
      <c r="K4066" s="20" t="s">
        <v>250</v>
      </c>
      <c r="L4066" s="20">
        <v>1060000000</v>
      </c>
      <c r="M4066" s="20" t="s">
        <v>245</v>
      </c>
      <c r="N4066" s="20" t="s">
        <v>2859</v>
      </c>
    </row>
    <row r="4067" spans="1:14" hidden="1" x14ac:dyDescent="0.25">
      <c r="A4067" s="19">
        <v>45931</v>
      </c>
      <c r="B4067" s="20" t="s">
        <v>120</v>
      </c>
      <c r="C4067" s="20">
        <v>70</v>
      </c>
      <c r="D4067" s="20" t="s">
        <v>291</v>
      </c>
      <c r="E4067" s="20" t="s">
        <v>2361</v>
      </c>
      <c r="F4067" s="20" t="s">
        <v>2510</v>
      </c>
      <c r="G4067" s="20" t="s">
        <v>82</v>
      </c>
      <c r="H4067" s="20" t="s">
        <v>137</v>
      </c>
      <c r="I4067" s="20"/>
      <c r="J4067" s="20" t="s">
        <v>202</v>
      </c>
      <c r="K4067" s="20" t="s">
        <v>250</v>
      </c>
      <c r="L4067" s="20">
        <v>352000000</v>
      </c>
      <c r="M4067" s="20" t="s">
        <v>245</v>
      </c>
      <c r="N4067" s="20" t="s">
        <v>2860</v>
      </c>
    </row>
    <row r="4068" spans="1:14" hidden="1" x14ac:dyDescent="0.25">
      <c r="A4068" s="19">
        <v>45931</v>
      </c>
      <c r="B4068" s="20" t="s">
        <v>120</v>
      </c>
      <c r="C4068" s="20">
        <v>71</v>
      </c>
      <c r="D4068" s="20" t="s">
        <v>253</v>
      </c>
      <c r="E4068" s="20" t="s">
        <v>2359</v>
      </c>
      <c r="F4068" s="20" t="s">
        <v>334</v>
      </c>
      <c r="G4068" s="20" t="s">
        <v>82</v>
      </c>
      <c r="H4068" s="20"/>
      <c r="I4068" s="20"/>
      <c r="J4068" s="20" t="s">
        <v>200</v>
      </c>
      <c r="K4068" s="20" t="s">
        <v>255</v>
      </c>
      <c r="L4068" s="20">
        <v>192</v>
      </c>
      <c r="M4068" s="20" t="s">
        <v>245</v>
      </c>
      <c r="N4068" s="20" t="s">
        <v>2526</v>
      </c>
    </row>
    <row r="4069" spans="1:14" hidden="1" x14ac:dyDescent="0.25">
      <c r="A4069" s="19">
        <v>45931</v>
      </c>
      <c r="B4069" s="20" t="s">
        <v>120</v>
      </c>
      <c r="C4069" s="20">
        <v>71</v>
      </c>
      <c r="D4069" s="20" t="s">
        <v>253</v>
      </c>
      <c r="E4069" s="20" t="s">
        <v>2359</v>
      </c>
      <c r="F4069" s="20" t="s">
        <v>334</v>
      </c>
      <c r="G4069" s="20" t="s">
        <v>82</v>
      </c>
      <c r="H4069" s="20"/>
      <c r="I4069" s="20"/>
      <c r="J4069" s="20" t="s">
        <v>201</v>
      </c>
      <c r="K4069" s="20" t="s">
        <v>255</v>
      </c>
      <c r="L4069" s="20">
        <v>217</v>
      </c>
      <c r="M4069" s="20" t="s">
        <v>245</v>
      </c>
      <c r="N4069" s="20" t="s">
        <v>2704</v>
      </c>
    </row>
    <row r="4070" spans="1:14" hidden="1" x14ac:dyDescent="0.25">
      <c r="A4070" s="19">
        <v>45931</v>
      </c>
      <c r="B4070" s="20" t="s">
        <v>120</v>
      </c>
      <c r="C4070" s="20">
        <v>71</v>
      </c>
      <c r="D4070" s="20" t="s">
        <v>253</v>
      </c>
      <c r="E4070" s="20" t="s">
        <v>2359</v>
      </c>
      <c r="F4070" s="20" t="s">
        <v>334</v>
      </c>
      <c r="G4070" s="20" t="s">
        <v>82</v>
      </c>
      <c r="H4070" s="20"/>
      <c r="I4070" s="20"/>
      <c r="J4070" s="20" t="s">
        <v>202</v>
      </c>
      <c r="K4070" s="20" t="s">
        <v>255</v>
      </c>
      <c r="L4070" s="20">
        <v>212</v>
      </c>
      <c r="M4070" s="20" t="s">
        <v>245</v>
      </c>
      <c r="N4070" s="20" t="s">
        <v>2246</v>
      </c>
    </row>
    <row r="4071" spans="1:14" hidden="1" x14ac:dyDescent="0.25">
      <c r="A4071" s="19">
        <v>45931</v>
      </c>
      <c r="B4071" s="20" t="s">
        <v>142</v>
      </c>
      <c r="C4071" s="20">
        <v>73</v>
      </c>
      <c r="D4071" s="20" t="s">
        <v>238</v>
      </c>
      <c r="E4071" s="20" t="s">
        <v>2341</v>
      </c>
      <c r="F4071" s="20" t="s">
        <v>240</v>
      </c>
      <c r="G4071" s="20" t="s">
        <v>82</v>
      </c>
      <c r="H4071" s="20"/>
      <c r="I4071" s="20"/>
      <c r="J4071" s="20" t="s">
        <v>2743</v>
      </c>
      <c r="K4071" s="20" t="s">
        <v>241</v>
      </c>
      <c r="L4071" s="20">
        <v>9940000</v>
      </c>
      <c r="M4071" s="20" t="s">
        <v>242</v>
      </c>
      <c r="N4071" s="20" t="s">
        <v>2861</v>
      </c>
    </row>
    <row r="4072" spans="1:14" hidden="1" x14ac:dyDescent="0.25">
      <c r="A4072" s="19">
        <v>45931</v>
      </c>
      <c r="B4072" s="20" t="s">
        <v>142</v>
      </c>
      <c r="C4072" s="20">
        <v>73</v>
      </c>
      <c r="D4072" s="20" t="s">
        <v>238</v>
      </c>
      <c r="E4072" s="20" t="s">
        <v>2341</v>
      </c>
      <c r="F4072" s="20" t="s">
        <v>244</v>
      </c>
      <c r="G4072" s="20" t="s">
        <v>82</v>
      </c>
      <c r="H4072" s="20"/>
      <c r="I4072" s="20"/>
      <c r="J4072" s="20" t="s">
        <v>2743</v>
      </c>
      <c r="K4072" s="20" t="s">
        <v>241</v>
      </c>
      <c r="L4072" s="20">
        <v>8250000000</v>
      </c>
      <c r="M4072" s="20" t="s">
        <v>245</v>
      </c>
      <c r="N4072" s="20" t="s">
        <v>2862</v>
      </c>
    </row>
    <row r="4073" spans="1:14" hidden="1" x14ac:dyDescent="0.25">
      <c r="A4073" s="19">
        <v>45931</v>
      </c>
      <c r="B4073" s="20" t="s">
        <v>142</v>
      </c>
      <c r="C4073" s="20">
        <v>74</v>
      </c>
      <c r="D4073" s="20" t="s">
        <v>253</v>
      </c>
      <c r="E4073" s="20" t="s">
        <v>2359</v>
      </c>
      <c r="F4073" s="20" t="s">
        <v>544</v>
      </c>
      <c r="G4073" s="20" t="s">
        <v>82</v>
      </c>
      <c r="H4073" s="20"/>
      <c r="I4073" s="20"/>
      <c r="J4073" s="20" t="s">
        <v>200</v>
      </c>
      <c r="K4073" s="20" t="s">
        <v>255</v>
      </c>
      <c r="L4073" s="20">
        <v>1010000</v>
      </c>
      <c r="M4073" s="20" t="s">
        <v>242</v>
      </c>
      <c r="N4073" s="20" t="s">
        <v>2529</v>
      </c>
    </row>
    <row r="4074" spans="1:14" hidden="1" x14ac:dyDescent="0.25">
      <c r="A4074" s="19">
        <v>45931</v>
      </c>
      <c r="B4074" s="20" t="s">
        <v>142</v>
      </c>
      <c r="C4074" s="20">
        <v>74</v>
      </c>
      <c r="D4074" s="20" t="s">
        <v>253</v>
      </c>
      <c r="E4074" s="20" t="s">
        <v>2359</v>
      </c>
      <c r="F4074" s="20" t="s">
        <v>544</v>
      </c>
      <c r="G4074" s="20" t="s">
        <v>82</v>
      </c>
      <c r="H4074" s="20"/>
      <c r="I4074" s="20"/>
      <c r="J4074" s="20" t="s">
        <v>201</v>
      </c>
      <c r="K4074" s="20" t="s">
        <v>255</v>
      </c>
      <c r="L4074" s="20">
        <v>1010000</v>
      </c>
      <c r="M4074" s="20" t="s">
        <v>242</v>
      </c>
      <c r="N4074" s="20" t="s">
        <v>2529</v>
      </c>
    </row>
    <row r="4075" spans="1:14" hidden="1" x14ac:dyDescent="0.25">
      <c r="A4075" s="19">
        <v>45931</v>
      </c>
      <c r="B4075" s="20" t="s">
        <v>142</v>
      </c>
      <c r="C4075" s="20">
        <v>74</v>
      </c>
      <c r="D4075" s="20" t="s">
        <v>253</v>
      </c>
      <c r="E4075" s="20" t="s">
        <v>2359</v>
      </c>
      <c r="F4075" s="20" t="s">
        <v>544</v>
      </c>
      <c r="G4075" s="20" t="s">
        <v>82</v>
      </c>
      <c r="H4075" s="20"/>
      <c r="I4075" s="20"/>
      <c r="J4075" s="20" t="s">
        <v>202</v>
      </c>
      <c r="K4075" s="20" t="s">
        <v>255</v>
      </c>
      <c r="L4075" s="20">
        <v>1040000</v>
      </c>
      <c r="M4075" s="20" t="s">
        <v>242</v>
      </c>
      <c r="N4075" s="20" t="s">
        <v>2863</v>
      </c>
    </row>
    <row r="4076" spans="1:14" hidden="1" x14ac:dyDescent="0.25">
      <c r="A4076" s="19">
        <v>45931</v>
      </c>
      <c r="B4076" s="20" t="s">
        <v>142</v>
      </c>
      <c r="C4076" s="20">
        <v>74</v>
      </c>
      <c r="D4076" s="20" t="s">
        <v>247</v>
      </c>
      <c r="E4076" s="20" t="s">
        <v>2554</v>
      </c>
      <c r="F4076" s="20" t="s">
        <v>2556</v>
      </c>
      <c r="G4076" s="20" t="s">
        <v>82</v>
      </c>
      <c r="H4076" s="20" t="s">
        <v>286</v>
      </c>
      <c r="I4076" s="20"/>
      <c r="J4076" s="20" t="s">
        <v>202</v>
      </c>
      <c r="K4076" s="20" t="s">
        <v>250</v>
      </c>
      <c r="L4076" s="20">
        <v>3.5</v>
      </c>
      <c r="M4076" s="20" t="s">
        <v>251</v>
      </c>
      <c r="N4076" s="20" t="s">
        <v>1141</v>
      </c>
    </row>
    <row r="4077" spans="1:14" hidden="1" x14ac:dyDescent="0.25">
      <c r="A4077" s="19">
        <v>45931</v>
      </c>
      <c r="B4077" s="20" t="s">
        <v>142</v>
      </c>
      <c r="C4077" s="20">
        <v>75</v>
      </c>
      <c r="D4077" s="20" t="s">
        <v>253</v>
      </c>
      <c r="E4077" s="20" t="s">
        <v>2359</v>
      </c>
      <c r="F4077" s="20" t="s">
        <v>2531</v>
      </c>
      <c r="G4077" s="20" t="s">
        <v>82</v>
      </c>
      <c r="H4077" s="20" t="s">
        <v>149</v>
      </c>
      <c r="I4077" s="20"/>
      <c r="J4077" s="20" t="s">
        <v>200</v>
      </c>
      <c r="K4077" s="20" t="s">
        <v>255</v>
      </c>
      <c r="L4077" s="20">
        <v>5974</v>
      </c>
      <c r="M4077" s="20" t="s">
        <v>242</v>
      </c>
      <c r="N4077" s="20" t="s">
        <v>2532</v>
      </c>
    </row>
    <row r="4078" spans="1:14" hidden="1" x14ac:dyDescent="0.25">
      <c r="A4078" s="19">
        <v>45931</v>
      </c>
      <c r="B4078" s="20" t="s">
        <v>142</v>
      </c>
      <c r="C4078" s="20">
        <v>75</v>
      </c>
      <c r="D4078" s="20" t="s">
        <v>253</v>
      </c>
      <c r="E4078" s="20" t="s">
        <v>2359</v>
      </c>
      <c r="F4078" s="20" t="s">
        <v>2531</v>
      </c>
      <c r="G4078" s="20" t="s">
        <v>82</v>
      </c>
      <c r="H4078" s="20" t="s">
        <v>149</v>
      </c>
      <c r="I4078" s="20"/>
      <c r="J4078" s="20" t="s">
        <v>201</v>
      </c>
      <c r="K4078" s="20" t="s">
        <v>255</v>
      </c>
      <c r="L4078" s="20">
        <v>5367</v>
      </c>
      <c r="M4078" s="20" t="s">
        <v>242</v>
      </c>
      <c r="N4078" s="20" t="s">
        <v>2708</v>
      </c>
    </row>
    <row r="4079" spans="1:14" hidden="1" x14ac:dyDescent="0.25">
      <c r="A4079" s="19">
        <v>45931</v>
      </c>
      <c r="B4079" s="20" t="s">
        <v>142</v>
      </c>
      <c r="C4079" s="20">
        <v>75</v>
      </c>
      <c r="D4079" s="20" t="s">
        <v>253</v>
      </c>
      <c r="E4079" s="20" t="s">
        <v>2359</v>
      </c>
      <c r="F4079" s="20" t="s">
        <v>2531</v>
      </c>
      <c r="G4079" s="20" t="s">
        <v>82</v>
      </c>
      <c r="H4079" s="20" t="s">
        <v>149</v>
      </c>
      <c r="I4079" s="20"/>
      <c r="J4079" s="20" t="s">
        <v>202</v>
      </c>
      <c r="K4079" s="20" t="s">
        <v>255</v>
      </c>
      <c r="L4079" s="20">
        <v>6250</v>
      </c>
      <c r="M4079" s="20" t="s">
        <v>242</v>
      </c>
      <c r="N4079" s="20" t="s">
        <v>2864</v>
      </c>
    </row>
    <row r="4080" spans="1:14" hidden="1" x14ac:dyDescent="0.25">
      <c r="A4080" s="19">
        <v>45931</v>
      </c>
      <c r="B4080" s="20" t="s">
        <v>142</v>
      </c>
      <c r="C4080" s="20">
        <v>75</v>
      </c>
      <c r="D4080" s="20" t="s">
        <v>253</v>
      </c>
      <c r="E4080" s="20" t="s">
        <v>2359</v>
      </c>
      <c r="F4080" s="20" t="s">
        <v>2531</v>
      </c>
      <c r="G4080" s="20" t="s">
        <v>82</v>
      </c>
      <c r="H4080" s="20" t="s">
        <v>150</v>
      </c>
      <c r="I4080" s="20"/>
      <c r="J4080" s="20" t="s">
        <v>200</v>
      </c>
      <c r="K4080" s="20" t="s">
        <v>255</v>
      </c>
      <c r="L4080" s="20">
        <v>305</v>
      </c>
      <c r="M4080" s="20" t="s">
        <v>242</v>
      </c>
      <c r="N4080" s="20" t="s">
        <v>1838</v>
      </c>
    </row>
    <row r="4081" spans="1:14" hidden="1" x14ac:dyDescent="0.25">
      <c r="A4081" s="19">
        <v>45931</v>
      </c>
      <c r="B4081" s="20" t="s">
        <v>142</v>
      </c>
      <c r="C4081" s="20">
        <v>75</v>
      </c>
      <c r="D4081" s="20" t="s">
        <v>253</v>
      </c>
      <c r="E4081" s="20" t="s">
        <v>2359</v>
      </c>
      <c r="F4081" s="20" t="s">
        <v>2531</v>
      </c>
      <c r="G4081" s="20" t="s">
        <v>82</v>
      </c>
      <c r="H4081" s="20" t="s">
        <v>150</v>
      </c>
      <c r="I4081" s="20"/>
      <c r="J4081" s="20" t="s">
        <v>201</v>
      </c>
      <c r="K4081" s="20" t="s">
        <v>255</v>
      </c>
      <c r="L4081" s="20">
        <v>328</v>
      </c>
      <c r="M4081" s="20" t="s">
        <v>242</v>
      </c>
      <c r="N4081" s="20" t="s">
        <v>2709</v>
      </c>
    </row>
    <row r="4082" spans="1:14" hidden="1" x14ac:dyDescent="0.25">
      <c r="A4082" s="19">
        <v>45931</v>
      </c>
      <c r="B4082" s="20" t="s">
        <v>142</v>
      </c>
      <c r="C4082" s="20">
        <v>75</v>
      </c>
      <c r="D4082" s="20" t="s">
        <v>253</v>
      </c>
      <c r="E4082" s="20" t="s">
        <v>2359</v>
      </c>
      <c r="F4082" s="20" t="s">
        <v>2531</v>
      </c>
      <c r="G4082" s="20" t="s">
        <v>82</v>
      </c>
      <c r="H4082" s="20" t="s">
        <v>150</v>
      </c>
      <c r="I4082" s="20"/>
      <c r="J4082" s="20" t="s">
        <v>202</v>
      </c>
      <c r="K4082" s="20" t="s">
        <v>255</v>
      </c>
      <c r="L4082" s="20">
        <v>332</v>
      </c>
      <c r="M4082" s="20" t="s">
        <v>242</v>
      </c>
      <c r="N4082" s="20" t="s">
        <v>2865</v>
      </c>
    </row>
    <row r="4083" spans="1:14" hidden="1" x14ac:dyDescent="0.25">
      <c r="A4083" s="19">
        <v>45931</v>
      </c>
      <c r="B4083" s="20" t="s">
        <v>142</v>
      </c>
      <c r="C4083" s="20">
        <v>75</v>
      </c>
      <c r="D4083" s="20" t="s">
        <v>253</v>
      </c>
      <c r="E4083" s="20" t="s">
        <v>2359</v>
      </c>
      <c r="F4083" s="20" t="s">
        <v>2531</v>
      </c>
      <c r="G4083" s="20" t="s">
        <v>82</v>
      </c>
      <c r="H4083" s="20" t="s">
        <v>151</v>
      </c>
      <c r="I4083" s="20"/>
      <c r="J4083" s="20" t="s">
        <v>200</v>
      </c>
      <c r="K4083" s="20" t="s">
        <v>255</v>
      </c>
      <c r="L4083" s="20">
        <v>35</v>
      </c>
      <c r="M4083" s="20" t="s">
        <v>242</v>
      </c>
      <c r="N4083" s="20" t="s">
        <v>1122</v>
      </c>
    </row>
    <row r="4084" spans="1:14" hidden="1" x14ac:dyDescent="0.25">
      <c r="A4084" s="19">
        <v>45931</v>
      </c>
      <c r="B4084" s="20" t="s">
        <v>142</v>
      </c>
      <c r="C4084" s="20">
        <v>75</v>
      </c>
      <c r="D4084" s="20" t="s">
        <v>253</v>
      </c>
      <c r="E4084" s="20" t="s">
        <v>2359</v>
      </c>
      <c r="F4084" s="20" t="s">
        <v>2531</v>
      </c>
      <c r="G4084" s="20" t="s">
        <v>82</v>
      </c>
      <c r="H4084" s="20" t="s">
        <v>151</v>
      </c>
      <c r="I4084" s="20"/>
      <c r="J4084" s="20" t="s">
        <v>201</v>
      </c>
      <c r="K4084" s="20" t="s">
        <v>255</v>
      </c>
      <c r="L4084" s="20">
        <v>53</v>
      </c>
      <c r="M4084" s="20" t="s">
        <v>242</v>
      </c>
      <c r="N4084" s="20" t="s">
        <v>2710</v>
      </c>
    </row>
    <row r="4085" spans="1:14" hidden="1" x14ac:dyDescent="0.25">
      <c r="A4085" s="19">
        <v>45931</v>
      </c>
      <c r="B4085" s="20" t="s">
        <v>142</v>
      </c>
      <c r="C4085" s="20">
        <v>75</v>
      </c>
      <c r="D4085" s="20" t="s">
        <v>253</v>
      </c>
      <c r="E4085" s="20" t="s">
        <v>2359</v>
      </c>
      <c r="F4085" s="20" t="s">
        <v>2531</v>
      </c>
      <c r="G4085" s="20" t="s">
        <v>82</v>
      </c>
      <c r="H4085" s="20" t="s">
        <v>151</v>
      </c>
      <c r="I4085" s="20"/>
      <c r="J4085" s="20" t="s">
        <v>202</v>
      </c>
      <c r="K4085" s="20" t="s">
        <v>255</v>
      </c>
      <c r="L4085" s="20">
        <v>42</v>
      </c>
      <c r="M4085" s="20" t="s">
        <v>242</v>
      </c>
      <c r="N4085" s="20" t="s">
        <v>266</v>
      </c>
    </row>
    <row r="4086" spans="1:14" hidden="1" x14ac:dyDescent="0.25">
      <c r="A4086" s="19">
        <v>45931</v>
      </c>
      <c r="B4086" s="20" t="s">
        <v>142</v>
      </c>
      <c r="C4086" s="20">
        <v>76</v>
      </c>
      <c r="D4086" s="20" t="s">
        <v>253</v>
      </c>
      <c r="E4086" s="20" t="s">
        <v>2359</v>
      </c>
      <c r="F4086" s="20" t="s">
        <v>929</v>
      </c>
      <c r="G4086" s="20" t="s">
        <v>82</v>
      </c>
      <c r="H4086" s="20"/>
      <c r="I4086" s="20"/>
      <c r="J4086" s="20" t="s">
        <v>200</v>
      </c>
      <c r="K4086" s="20" t="s">
        <v>255</v>
      </c>
      <c r="L4086" s="20">
        <v>849000000</v>
      </c>
      <c r="M4086" s="20" t="s">
        <v>245</v>
      </c>
      <c r="N4086" s="20" t="s">
        <v>2530</v>
      </c>
    </row>
    <row r="4087" spans="1:14" hidden="1" x14ac:dyDescent="0.25">
      <c r="A4087" s="19">
        <v>45931</v>
      </c>
      <c r="B4087" s="20" t="s">
        <v>142</v>
      </c>
      <c r="C4087" s="20">
        <v>76</v>
      </c>
      <c r="D4087" s="20" t="s">
        <v>253</v>
      </c>
      <c r="E4087" s="20" t="s">
        <v>2359</v>
      </c>
      <c r="F4087" s="20" t="s">
        <v>929</v>
      </c>
      <c r="G4087" s="20" t="s">
        <v>82</v>
      </c>
      <c r="H4087" s="20"/>
      <c r="I4087" s="20"/>
      <c r="J4087" s="20" t="s">
        <v>201</v>
      </c>
      <c r="K4087" s="20" t="s">
        <v>255</v>
      </c>
      <c r="L4087" s="20">
        <v>858000000</v>
      </c>
      <c r="M4087" s="20" t="s">
        <v>245</v>
      </c>
      <c r="N4087" s="20" t="s">
        <v>2711</v>
      </c>
    </row>
    <row r="4088" spans="1:14" hidden="1" x14ac:dyDescent="0.25">
      <c r="A4088" s="19">
        <v>45931</v>
      </c>
      <c r="B4088" s="20" t="s">
        <v>142</v>
      </c>
      <c r="C4088" s="20">
        <v>76</v>
      </c>
      <c r="D4088" s="20" t="s">
        <v>253</v>
      </c>
      <c r="E4088" s="20" t="s">
        <v>2359</v>
      </c>
      <c r="F4088" s="20" t="s">
        <v>929</v>
      </c>
      <c r="G4088" s="20" t="s">
        <v>82</v>
      </c>
      <c r="H4088" s="20"/>
      <c r="I4088" s="20"/>
      <c r="J4088" s="20" t="s">
        <v>202</v>
      </c>
      <c r="K4088" s="20" t="s">
        <v>255</v>
      </c>
      <c r="L4088" s="20">
        <v>872000000</v>
      </c>
      <c r="M4088" s="20" t="s">
        <v>245</v>
      </c>
      <c r="N4088" s="20" t="s">
        <v>2866</v>
      </c>
    </row>
    <row r="4089" spans="1:14" hidden="1" x14ac:dyDescent="0.25">
      <c r="A4089" s="19">
        <v>45931</v>
      </c>
      <c r="B4089" s="20" t="s">
        <v>142</v>
      </c>
      <c r="C4089" s="20">
        <v>76</v>
      </c>
      <c r="D4089" s="20" t="s">
        <v>247</v>
      </c>
      <c r="E4089" s="20" t="s">
        <v>2554</v>
      </c>
      <c r="F4089" s="20" t="s">
        <v>2557</v>
      </c>
      <c r="G4089" s="20" t="s">
        <v>82</v>
      </c>
      <c r="H4089" s="20" t="s">
        <v>286</v>
      </c>
      <c r="I4089" s="20"/>
      <c r="J4089" s="20" t="s">
        <v>202</v>
      </c>
      <c r="K4089" s="20" t="s">
        <v>250</v>
      </c>
      <c r="L4089" s="20">
        <v>1.6</v>
      </c>
      <c r="M4089" s="20" t="s">
        <v>251</v>
      </c>
      <c r="N4089" s="20" t="s">
        <v>437</v>
      </c>
    </row>
    <row r="4090" spans="1:14" hidden="1" x14ac:dyDescent="0.25">
      <c r="A4090" s="19">
        <v>45931</v>
      </c>
      <c r="B4090" s="20" t="s">
        <v>142</v>
      </c>
      <c r="C4090" s="20">
        <v>77</v>
      </c>
      <c r="D4090" s="20" t="s">
        <v>253</v>
      </c>
      <c r="E4090" s="20" t="s">
        <v>2359</v>
      </c>
      <c r="F4090" s="20" t="s">
        <v>2533</v>
      </c>
      <c r="G4090" s="20" t="s">
        <v>82</v>
      </c>
      <c r="H4090" s="20" t="s">
        <v>149</v>
      </c>
      <c r="I4090" s="20"/>
      <c r="J4090" s="20" t="s">
        <v>200</v>
      </c>
      <c r="K4090" s="20" t="s">
        <v>255</v>
      </c>
      <c r="L4090" s="20">
        <v>42400000</v>
      </c>
      <c r="M4090" s="20" t="s">
        <v>149</v>
      </c>
      <c r="N4090" s="20" t="s">
        <v>2534</v>
      </c>
    </row>
    <row r="4091" spans="1:14" hidden="1" x14ac:dyDescent="0.25">
      <c r="A4091" s="19">
        <v>45931</v>
      </c>
      <c r="B4091" s="20" t="s">
        <v>142</v>
      </c>
      <c r="C4091" s="20">
        <v>77</v>
      </c>
      <c r="D4091" s="20" t="s">
        <v>253</v>
      </c>
      <c r="E4091" s="20" t="s">
        <v>2359</v>
      </c>
      <c r="F4091" s="20" t="s">
        <v>2533</v>
      </c>
      <c r="G4091" s="20" t="s">
        <v>82</v>
      </c>
      <c r="H4091" s="20" t="s">
        <v>149</v>
      </c>
      <c r="I4091" s="20"/>
      <c r="J4091" s="20" t="s">
        <v>201</v>
      </c>
      <c r="K4091" s="20" t="s">
        <v>255</v>
      </c>
      <c r="L4091" s="20">
        <v>39800000</v>
      </c>
      <c r="M4091" s="20" t="s">
        <v>149</v>
      </c>
      <c r="N4091" s="20" t="s">
        <v>2712</v>
      </c>
    </row>
    <row r="4092" spans="1:14" hidden="1" x14ac:dyDescent="0.25">
      <c r="A4092" s="19">
        <v>45931</v>
      </c>
      <c r="B4092" s="20" t="s">
        <v>142</v>
      </c>
      <c r="C4092" s="20">
        <v>77</v>
      </c>
      <c r="D4092" s="20" t="s">
        <v>253</v>
      </c>
      <c r="E4092" s="20" t="s">
        <v>2359</v>
      </c>
      <c r="F4092" s="20" t="s">
        <v>2533</v>
      </c>
      <c r="G4092" s="20" t="s">
        <v>82</v>
      </c>
      <c r="H4092" s="20" t="s">
        <v>149</v>
      </c>
      <c r="I4092" s="20"/>
      <c r="J4092" s="20" t="s">
        <v>202</v>
      </c>
      <c r="K4092" s="20" t="s">
        <v>255</v>
      </c>
      <c r="L4092" s="20">
        <v>40600000</v>
      </c>
      <c r="M4092" s="20" t="s">
        <v>149</v>
      </c>
      <c r="N4092" s="20" t="s">
        <v>2867</v>
      </c>
    </row>
    <row r="4093" spans="1:14" hidden="1" x14ac:dyDescent="0.25">
      <c r="A4093" s="19">
        <v>45931</v>
      </c>
      <c r="B4093" s="20" t="s">
        <v>142</v>
      </c>
      <c r="C4093" s="20">
        <v>77</v>
      </c>
      <c r="D4093" s="20" t="s">
        <v>253</v>
      </c>
      <c r="E4093" s="20" t="s">
        <v>2359</v>
      </c>
      <c r="F4093" s="20" t="s">
        <v>2533</v>
      </c>
      <c r="G4093" s="20" t="s">
        <v>82</v>
      </c>
      <c r="H4093" s="20" t="s">
        <v>150</v>
      </c>
      <c r="I4093" s="20"/>
      <c r="J4093" s="20" t="s">
        <v>200</v>
      </c>
      <c r="K4093" s="20" t="s">
        <v>255</v>
      </c>
      <c r="L4093" s="20">
        <v>2860000</v>
      </c>
      <c r="M4093" s="20" t="s">
        <v>150</v>
      </c>
      <c r="N4093" s="20" t="s">
        <v>2535</v>
      </c>
    </row>
    <row r="4094" spans="1:14" hidden="1" x14ac:dyDescent="0.25">
      <c r="A4094" s="19">
        <v>45931</v>
      </c>
      <c r="B4094" s="20" t="s">
        <v>142</v>
      </c>
      <c r="C4094" s="20">
        <v>77</v>
      </c>
      <c r="D4094" s="20" t="s">
        <v>253</v>
      </c>
      <c r="E4094" s="20" t="s">
        <v>2359</v>
      </c>
      <c r="F4094" s="20" t="s">
        <v>2533</v>
      </c>
      <c r="G4094" s="20" t="s">
        <v>82</v>
      </c>
      <c r="H4094" s="20" t="s">
        <v>150</v>
      </c>
      <c r="I4094" s="20"/>
      <c r="J4094" s="20" t="s">
        <v>201</v>
      </c>
      <c r="K4094" s="20" t="s">
        <v>255</v>
      </c>
      <c r="L4094" s="20">
        <v>3120000</v>
      </c>
      <c r="M4094" s="20" t="s">
        <v>150</v>
      </c>
      <c r="N4094" s="20" t="s">
        <v>2713</v>
      </c>
    </row>
    <row r="4095" spans="1:14" hidden="1" x14ac:dyDescent="0.25">
      <c r="A4095" s="19">
        <v>45931</v>
      </c>
      <c r="B4095" s="20" t="s">
        <v>142</v>
      </c>
      <c r="C4095" s="20">
        <v>77</v>
      </c>
      <c r="D4095" s="20" t="s">
        <v>253</v>
      </c>
      <c r="E4095" s="20" t="s">
        <v>2359</v>
      </c>
      <c r="F4095" s="20" t="s">
        <v>2533</v>
      </c>
      <c r="G4095" s="20" t="s">
        <v>82</v>
      </c>
      <c r="H4095" s="20" t="s">
        <v>150</v>
      </c>
      <c r="I4095" s="20"/>
      <c r="J4095" s="20" t="s">
        <v>202</v>
      </c>
      <c r="K4095" s="20" t="s">
        <v>255</v>
      </c>
      <c r="L4095" s="20">
        <v>2800000</v>
      </c>
      <c r="M4095" s="20" t="s">
        <v>150</v>
      </c>
      <c r="N4095" s="20" t="s">
        <v>2868</v>
      </c>
    </row>
    <row r="4096" spans="1:14" hidden="1" x14ac:dyDescent="0.25">
      <c r="A4096" s="19">
        <v>45931</v>
      </c>
      <c r="B4096" s="20" t="s">
        <v>142</v>
      </c>
      <c r="C4096" s="20">
        <v>77</v>
      </c>
      <c r="D4096" s="20" t="s">
        <v>253</v>
      </c>
      <c r="E4096" s="20" t="s">
        <v>2359</v>
      </c>
      <c r="F4096" s="20" t="s">
        <v>2533</v>
      </c>
      <c r="G4096" s="20" t="s">
        <v>82</v>
      </c>
      <c r="H4096" s="20" t="s">
        <v>151</v>
      </c>
      <c r="I4096" s="20"/>
      <c r="J4096" s="20" t="s">
        <v>200</v>
      </c>
      <c r="K4096" s="20" t="s">
        <v>255</v>
      </c>
      <c r="L4096" s="20">
        <v>280000</v>
      </c>
      <c r="M4096" s="20" t="s">
        <v>151</v>
      </c>
      <c r="N4096" s="20" t="s">
        <v>2536</v>
      </c>
    </row>
    <row r="4097" spans="1:14" hidden="1" x14ac:dyDescent="0.25">
      <c r="A4097" s="19">
        <v>45931</v>
      </c>
      <c r="B4097" s="20" t="s">
        <v>142</v>
      </c>
      <c r="C4097" s="20">
        <v>77</v>
      </c>
      <c r="D4097" s="20" t="s">
        <v>253</v>
      </c>
      <c r="E4097" s="20" t="s">
        <v>2359</v>
      </c>
      <c r="F4097" s="20" t="s">
        <v>2533</v>
      </c>
      <c r="G4097" s="20" t="s">
        <v>82</v>
      </c>
      <c r="H4097" s="20" t="s">
        <v>151</v>
      </c>
      <c r="I4097" s="20"/>
      <c r="J4097" s="20" t="s">
        <v>201</v>
      </c>
      <c r="K4097" s="20" t="s">
        <v>255</v>
      </c>
      <c r="L4097" s="20">
        <v>360000</v>
      </c>
      <c r="M4097" s="20" t="s">
        <v>151</v>
      </c>
      <c r="N4097" s="20" t="s">
        <v>2566</v>
      </c>
    </row>
    <row r="4098" spans="1:14" hidden="1" x14ac:dyDescent="0.25">
      <c r="A4098" s="19">
        <v>45931</v>
      </c>
      <c r="B4098" s="20" t="s">
        <v>142</v>
      </c>
      <c r="C4098" s="20">
        <v>77</v>
      </c>
      <c r="D4098" s="20" t="s">
        <v>253</v>
      </c>
      <c r="E4098" s="20" t="s">
        <v>2359</v>
      </c>
      <c r="F4098" s="20" t="s">
        <v>2533</v>
      </c>
      <c r="G4098" s="20" t="s">
        <v>82</v>
      </c>
      <c r="H4098" s="20" t="s">
        <v>151</v>
      </c>
      <c r="I4098" s="20"/>
      <c r="J4098" s="20" t="s">
        <v>202</v>
      </c>
      <c r="K4098" s="20" t="s">
        <v>255</v>
      </c>
      <c r="L4098" s="20">
        <v>390000</v>
      </c>
      <c r="M4098" s="20" t="s">
        <v>151</v>
      </c>
      <c r="N4098" s="20" t="s">
        <v>2869</v>
      </c>
    </row>
    <row r="4099" spans="1:14" hidden="1" x14ac:dyDescent="0.25">
      <c r="A4099" s="19">
        <v>45931</v>
      </c>
      <c r="B4099" s="20" t="s">
        <v>156</v>
      </c>
      <c r="C4099" s="20">
        <v>79</v>
      </c>
      <c r="D4099" s="20" t="s">
        <v>238</v>
      </c>
      <c r="E4099" s="20" t="s">
        <v>2341</v>
      </c>
      <c r="F4099" s="20" t="s">
        <v>240</v>
      </c>
      <c r="G4099" s="20" t="s">
        <v>158</v>
      </c>
      <c r="H4099" s="20"/>
      <c r="I4099" s="20"/>
      <c r="J4099" s="20" t="s">
        <v>2743</v>
      </c>
      <c r="K4099" s="20" t="s">
        <v>241</v>
      </c>
      <c r="L4099" s="20">
        <v>5160000</v>
      </c>
      <c r="M4099" s="20" t="s">
        <v>242</v>
      </c>
      <c r="N4099" s="20" t="s">
        <v>924</v>
      </c>
    </row>
    <row r="4100" spans="1:14" hidden="1" x14ac:dyDescent="0.25">
      <c r="A4100" s="19">
        <v>45931</v>
      </c>
      <c r="B4100" s="20" t="s">
        <v>156</v>
      </c>
      <c r="C4100" s="20">
        <v>79</v>
      </c>
      <c r="D4100" s="20" t="s">
        <v>238</v>
      </c>
      <c r="E4100" s="20" t="s">
        <v>2341</v>
      </c>
      <c r="F4100" s="20" t="s">
        <v>244</v>
      </c>
      <c r="G4100" s="20" t="s">
        <v>158</v>
      </c>
      <c r="H4100" s="20"/>
      <c r="I4100" s="20"/>
      <c r="J4100" s="20" t="s">
        <v>2743</v>
      </c>
      <c r="K4100" s="20" t="s">
        <v>241</v>
      </c>
      <c r="L4100" s="20">
        <v>33810000000</v>
      </c>
      <c r="M4100" s="20" t="s">
        <v>245</v>
      </c>
      <c r="N4100" s="20" t="s">
        <v>2870</v>
      </c>
    </row>
    <row r="4101" spans="1:14" hidden="1" x14ac:dyDescent="0.25">
      <c r="A4101" s="19">
        <v>45931</v>
      </c>
      <c r="B4101" s="20" t="s">
        <v>156</v>
      </c>
      <c r="C4101" s="20">
        <v>80</v>
      </c>
      <c r="D4101" s="20" t="s">
        <v>253</v>
      </c>
      <c r="E4101" s="20" t="s">
        <v>2359</v>
      </c>
      <c r="F4101" s="20" t="s">
        <v>344</v>
      </c>
      <c r="G4101" s="20" t="s">
        <v>158</v>
      </c>
      <c r="H4101" s="20"/>
      <c r="I4101" s="20"/>
      <c r="J4101" s="20" t="s">
        <v>200</v>
      </c>
      <c r="K4101" s="20" t="s">
        <v>255</v>
      </c>
      <c r="L4101" s="20">
        <v>525000</v>
      </c>
      <c r="M4101" s="20" t="s">
        <v>242</v>
      </c>
      <c r="N4101" s="20" t="s">
        <v>2539</v>
      </c>
    </row>
    <row r="4102" spans="1:14" hidden="1" x14ac:dyDescent="0.25">
      <c r="A4102" s="19">
        <v>45931</v>
      </c>
      <c r="B4102" s="20" t="s">
        <v>156</v>
      </c>
      <c r="C4102" s="20">
        <v>80</v>
      </c>
      <c r="D4102" s="20" t="s">
        <v>253</v>
      </c>
      <c r="E4102" s="20" t="s">
        <v>2359</v>
      </c>
      <c r="F4102" s="20" t="s">
        <v>344</v>
      </c>
      <c r="G4102" s="20" t="s">
        <v>158</v>
      </c>
      <c r="H4102" s="20"/>
      <c r="I4102" s="20"/>
      <c r="J4102" s="20" t="s">
        <v>201</v>
      </c>
      <c r="K4102" s="20" t="s">
        <v>255</v>
      </c>
      <c r="L4102" s="20">
        <v>539000</v>
      </c>
      <c r="M4102" s="20" t="s">
        <v>242</v>
      </c>
      <c r="N4102" s="20" t="s">
        <v>2715</v>
      </c>
    </row>
    <row r="4103" spans="1:14" hidden="1" x14ac:dyDescent="0.25">
      <c r="A4103" s="19">
        <v>45931</v>
      </c>
      <c r="B4103" s="20" t="s">
        <v>156</v>
      </c>
      <c r="C4103" s="20">
        <v>80</v>
      </c>
      <c r="D4103" s="20" t="s">
        <v>253</v>
      </c>
      <c r="E4103" s="20" t="s">
        <v>2359</v>
      </c>
      <c r="F4103" s="20" t="s">
        <v>344</v>
      </c>
      <c r="G4103" s="20" t="s">
        <v>158</v>
      </c>
      <c r="H4103" s="20"/>
      <c r="I4103" s="20"/>
      <c r="J4103" s="20" t="s">
        <v>202</v>
      </c>
      <c r="K4103" s="20" t="s">
        <v>255</v>
      </c>
      <c r="L4103" s="20">
        <v>516000</v>
      </c>
      <c r="M4103" s="20" t="s">
        <v>242</v>
      </c>
      <c r="N4103" s="20" t="s">
        <v>2871</v>
      </c>
    </row>
    <row r="4104" spans="1:14" hidden="1" x14ac:dyDescent="0.25">
      <c r="A4104" s="19">
        <v>45931</v>
      </c>
      <c r="B4104" s="20" t="s">
        <v>156</v>
      </c>
      <c r="C4104" s="20">
        <v>80</v>
      </c>
      <c r="D4104" s="20" t="s">
        <v>247</v>
      </c>
      <c r="E4104" s="20" t="s">
        <v>2554</v>
      </c>
      <c r="F4104" s="20" t="s">
        <v>2560</v>
      </c>
      <c r="G4104" s="20" t="s">
        <v>158</v>
      </c>
      <c r="H4104" s="20" t="s">
        <v>249</v>
      </c>
      <c r="I4104" s="20"/>
      <c r="J4104" s="20" t="s">
        <v>202</v>
      </c>
      <c r="K4104" s="20" t="s">
        <v>250</v>
      </c>
      <c r="L4104" s="20">
        <v>4.3</v>
      </c>
      <c r="M4104" s="20" t="s">
        <v>251</v>
      </c>
      <c r="N4104" s="20" t="s">
        <v>252</v>
      </c>
    </row>
    <row r="4105" spans="1:14" hidden="1" x14ac:dyDescent="0.25">
      <c r="A4105" s="19">
        <v>45931</v>
      </c>
      <c r="B4105" s="20" t="s">
        <v>156</v>
      </c>
      <c r="C4105" s="20">
        <v>81</v>
      </c>
      <c r="D4105" s="20" t="s">
        <v>253</v>
      </c>
      <c r="E4105" s="20" t="s">
        <v>2359</v>
      </c>
      <c r="F4105" s="20" t="s">
        <v>349</v>
      </c>
      <c r="G4105" s="20" t="s">
        <v>158</v>
      </c>
      <c r="H4105" s="20"/>
      <c r="I4105" s="20"/>
      <c r="J4105" s="20" t="s">
        <v>200</v>
      </c>
      <c r="K4105" s="20" t="s">
        <v>255</v>
      </c>
      <c r="L4105" s="20">
        <v>15600</v>
      </c>
      <c r="M4105" s="20" t="s">
        <v>242</v>
      </c>
      <c r="N4105" s="20" t="s">
        <v>2540</v>
      </c>
    </row>
    <row r="4106" spans="1:14" hidden="1" x14ac:dyDescent="0.25">
      <c r="A4106" s="19">
        <v>45931</v>
      </c>
      <c r="B4106" s="20" t="s">
        <v>156</v>
      </c>
      <c r="C4106" s="20">
        <v>81</v>
      </c>
      <c r="D4106" s="20" t="s">
        <v>253</v>
      </c>
      <c r="E4106" s="20" t="s">
        <v>2359</v>
      </c>
      <c r="F4106" s="20" t="s">
        <v>349</v>
      </c>
      <c r="G4106" s="20" t="s">
        <v>158</v>
      </c>
      <c r="H4106" s="20"/>
      <c r="I4106" s="20"/>
      <c r="J4106" s="20" t="s">
        <v>201</v>
      </c>
      <c r="K4106" s="20" t="s">
        <v>255</v>
      </c>
      <c r="L4106" s="20">
        <v>16000</v>
      </c>
      <c r="M4106" s="20" t="s">
        <v>242</v>
      </c>
      <c r="N4106" s="20" t="s">
        <v>2718</v>
      </c>
    </row>
    <row r="4107" spans="1:14" hidden="1" x14ac:dyDescent="0.25">
      <c r="A4107" s="19">
        <v>45931</v>
      </c>
      <c r="B4107" s="20" t="s">
        <v>156</v>
      </c>
      <c r="C4107" s="20">
        <v>81</v>
      </c>
      <c r="D4107" s="20" t="s">
        <v>253</v>
      </c>
      <c r="E4107" s="20" t="s">
        <v>2359</v>
      </c>
      <c r="F4107" s="20" t="s">
        <v>349</v>
      </c>
      <c r="G4107" s="20" t="s">
        <v>158</v>
      </c>
      <c r="H4107" s="20"/>
      <c r="I4107" s="20"/>
      <c r="J4107" s="20" t="s">
        <v>202</v>
      </c>
      <c r="K4107" s="20" t="s">
        <v>255</v>
      </c>
      <c r="L4107" s="20">
        <v>15100</v>
      </c>
      <c r="M4107" s="20" t="s">
        <v>242</v>
      </c>
      <c r="N4107" s="20" t="s">
        <v>2872</v>
      </c>
    </row>
    <row r="4108" spans="1:14" hidden="1" x14ac:dyDescent="0.25">
      <c r="A4108" s="19">
        <v>45931</v>
      </c>
      <c r="B4108" s="20" t="s">
        <v>156</v>
      </c>
      <c r="C4108" s="20">
        <v>82</v>
      </c>
      <c r="D4108" s="20" t="s">
        <v>253</v>
      </c>
      <c r="E4108" s="20" t="s">
        <v>2359</v>
      </c>
      <c r="F4108" s="20" t="s">
        <v>2546</v>
      </c>
      <c r="G4108" s="20" t="s">
        <v>158</v>
      </c>
      <c r="H4108" s="20"/>
      <c r="I4108" s="20"/>
      <c r="J4108" s="20" t="s">
        <v>200</v>
      </c>
      <c r="K4108" s="20" t="s">
        <v>255</v>
      </c>
      <c r="L4108" s="20">
        <v>3</v>
      </c>
      <c r="M4108" s="20" t="s">
        <v>251</v>
      </c>
      <c r="N4108" s="20" t="s">
        <v>2547</v>
      </c>
    </row>
    <row r="4109" spans="1:14" hidden="1" x14ac:dyDescent="0.25">
      <c r="A4109" s="19">
        <v>45931</v>
      </c>
      <c r="B4109" s="20" t="s">
        <v>156</v>
      </c>
      <c r="C4109" s="20">
        <v>82</v>
      </c>
      <c r="D4109" s="20" t="s">
        <v>253</v>
      </c>
      <c r="E4109" s="20" t="s">
        <v>2359</v>
      </c>
      <c r="F4109" s="20" t="s">
        <v>2546</v>
      </c>
      <c r="G4109" s="20" t="s">
        <v>158</v>
      </c>
      <c r="H4109" s="20"/>
      <c r="I4109" s="20"/>
      <c r="J4109" s="20" t="s">
        <v>201</v>
      </c>
      <c r="K4109" s="20" t="s">
        <v>255</v>
      </c>
      <c r="L4109" s="20">
        <v>3</v>
      </c>
      <c r="M4109" s="20" t="s">
        <v>251</v>
      </c>
      <c r="N4109" s="20" t="s">
        <v>2547</v>
      </c>
    </row>
    <row r="4110" spans="1:14" hidden="1" x14ac:dyDescent="0.25">
      <c r="A4110" s="19">
        <v>45931</v>
      </c>
      <c r="B4110" s="20" t="s">
        <v>156</v>
      </c>
      <c r="C4110" s="20">
        <v>82</v>
      </c>
      <c r="D4110" s="20" t="s">
        <v>253</v>
      </c>
      <c r="E4110" s="20" t="s">
        <v>2359</v>
      </c>
      <c r="F4110" s="20" t="s">
        <v>2546</v>
      </c>
      <c r="G4110" s="20" t="s">
        <v>158</v>
      </c>
      <c r="H4110" s="20"/>
      <c r="I4110" s="20"/>
      <c r="J4110" s="20" t="s">
        <v>202</v>
      </c>
      <c r="K4110" s="20" t="s">
        <v>255</v>
      </c>
      <c r="L4110" s="20">
        <v>2.9</v>
      </c>
      <c r="M4110" s="20" t="s">
        <v>251</v>
      </c>
      <c r="N4110" s="20" t="s">
        <v>616</v>
      </c>
    </row>
    <row r="4111" spans="1:14" hidden="1" x14ac:dyDescent="0.25">
      <c r="A4111" s="19">
        <v>45931</v>
      </c>
      <c r="B4111" s="20" t="s">
        <v>156</v>
      </c>
      <c r="C4111" s="20">
        <v>83</v>
      </c>
      <c r="D4111" s="20" t="s">
        <v>291</v>
      </c>
      <c r="E4111" s="20" t="s">
        <v>2361</v>
      </c>
      <c r="F4111" s="20" t="s">
        <v>349</v>
      </c>
      <c r="G4111" s="20" t="s">
        <v>158</v>
      </c>
      <c r="H4111" s="20" t="s">
        <v>159</v>
      </c>
      <c r="I4111" s="20"/>
      <c r="J4111" s="20" t="s">
        <v>202</v>
      </c>
      <c r="K4111" s="20" t="s">
        <v>250</v>
      </c>
      <c r="L4111" s="20">
        <v>9735</v>
      </c>
      <c r="M4111" s="20" t="s">
        <v>242</v>
      </c>
      <c r="N4111" s="20" t="s">
        <v>2873</v>
      </c>
    </row>
    <row r="4112" spans="1:14" hidden="1" x14ac:dyDescent="0.25">
      <c r="A4112" s="19">
        <v>45931</v>
      </c>
      <c r="B4112" s="20" t="s">
        <v>156</v>
      </c>
      <c r="C4112" s="20">
        <v>83</v>
      </c>
      <c r="D4112" s="20" t="s">
        <v>291</v>
      </c>
      <c r="E4112" s="20" t="s">
        <v>2361</v>
      </c>
      <c r="F4112" s="20" t="s">
        <v>349</v>
      </c>
      <c r="G4112" s="20" t="s">
        <v>158</v>
      </c>
      <c r="H4112" s="20" t="s">
        <v>160</v>
      </c>
      <c r="I4112" s="20"/>
      <c r="J4112" s="20" t="s">
        <v>202</v>
      </c>
      <c r="K4112" s="20" t="s">
        <v>250</v>
      </c>
      <c r="L4112" s="20">
        <v>5359</v>
      </c>
      <c r="M4112" s="20" t="s">
        <v>242</v>
      </c>
      <c r="N4112" s="20" t="s">
        <v>2874</v>
      </c>
    </row>
    <row r="4113" spans="1:14" hidden="1" x14ac:dyDescent="0.25">
      <c r="A4113" s="19">
        <v>45931</v>
      </c>
      <c r="B4113" s="20" t="s">
        <v>156</v>
      </c>
      <c r="C4113" s="20">
        <v>84</v>
      </c>
      <c r="D4113" s="20" t="s">
        <v>253</v>
      </c>
      <c r="E4113" s="20" t="s">
        <v>2359</v>
      </c>
      <c r="F4113" s="20" t="s">
        <v>356</v>
      </c>
      <c r="G4113" s="20" t="s">
        <v>158</v>
      </c>
      <c r="H4113" s="20"/>
      <c r="I4113" s="20"/>
      <c r="J4113" s="20" t="s">
        <v>200</v>
      </c>
      <c r="K4113" s="20" t="s">
        <v>255</v>
      </c>
      <c r="L4113" s="20">
        <v>3440000000</v>
      </c>
      <c r="M4113" s="20" t="s">
        <v>245</v>
      </c>
      <c r="N4113" s="20" t="s">
        <v>2721</v>
      </c>
    </row>
    <row r="4114" spans="1:14" hidden="1" x14ac:dyDescent="0.25">
      <c r="A4114" s="19">
        <v>45931</v>
      </c>
      <c r="B4114" s="20" t="s">
        <v>156</v>
      </c>
      <c r="C4114" s="20">
        <v>84</v>
      </c>
      <c r="D4114" s="20" t="s">
        <v>253</v>
      </c>
      <c r="E4114" s="20" t="s">
        <v>2359</v>
      </c>
      <c r="F4114" s="20" t="s">
        <v>356</v>
      </c>
      <c r="G4114" s="20" t="s">
        <v>158</v>
      </c>
      <c r="H4114" s="20"/>
      <c r="I4114" s="20"/>
      <c r="J4114" s="20" t="s">
        <v>201</v>
      </c>
      <c r="K4114" s="20" t="s">
        <v>255</v>
      </c>
      <c r="L4114" s="20">
        <v>3440000000</v>
      </c>
      <c r="M4114" s="20" t="s">
        <v>245</v>
      </c>
      <c r="N4114" s="20" t="s">
        <v>2721</v>
      </c>
    </row>
    <row r="4115" spans="1:14" hidden="1" x14ac:dyDescent="0.25">
      <c r="A4115" s="19">
        <v>45931</v>
      </c>
      <c r="B4115" s="20" t="s">
        <v>156</v>
      </c>
      <c r="C4115" s="20">
        <v>84</v>
      </c>
      <c r="D4115" s="20" t="s">
        <v>253</v>
      </c>
      <c r="E4115" s="20" t="s">
        <v>2359</v>
      </c>
      <c r="F4115" s="20" t="s">
        <v>356</v>
      </c>
      <c r="G4115" s="20" t="s">
        <v>158</v>
      </c>
      <c r="H4115" s="20"/>
      <c r="I4115" s="20"/>
      <c r="J4115" s="20" t="s">
        <v>202</v>
      </c>
      <c r="K4115" s="20" t="s">
        <v>255</v>
      </c>
      <c r="L4115" s="20">
        <v>3660000000</v>
      </c>
      <c r="M4115" s="20" t="s">
        <v>245</v>
      </c>
      <c r="N4115" s="20" t="s">
        <v>2875</v>
      </c>
    </row>
    <row r="4116" spans="1:14" hidden="1" x14ac:dyDescent="0.25">
      <c r="A4116" s="19">
        <v>45931</v>
      </c>
      <c r="B4116" s="20" t="s">
        <v>156</v>
      </c>
      <c r="C4116" s="20">
        <v>84</v>
      </c>
      <c r="D4116" s="20" t="s">
        <v>247</v>
      </c>
      <c r="E4116" s="20" t="s">
        <v>2554</v>
      </c>
      <c r="F4116" s="20" t="s">
        <v>2561</v>
      </c>
      <c r="G4116" s="20" t="s">
        <v>158</v>
      </c>
      <c r="H4116" s="20" t="s">
        <v>286</v>
      </c>
      <c r="I4116" s="20"/>
      <c r="J4116" s="20" t="s">
        <v>202</v>
      </c>
      <c r="K4116" s="20" t="s">
        <v>250</v>
      </c>
      <c r="L4116" s="20">
        <v>6.4</v>
      </c>
      <c r="M4116" s="20" t="s">
        <v>251</v>
      </c>
      <c r="N4116" s="20" t="s">
        <v>2562</v>
      </c>
    </row>
    <row r="4117" spans="1:14" hidden="1" x14ac:dyDescent="0.25">
      <c r="A4117" s="19">
        <v>45931</v>
      </c>
      <c r="B4117" s="20" t="s">
        <v>156</v>
      </c>
      <c r="C4117" s="20">
        <v>85</v>
      </c>
      <c r="D4117" s="20" t="s">
        <v>253</v>
      </c>
      <c r="E4117" s="20" t="s">
        <v>2359</v>
      </c>
      <c r="F4117" s="20" t="s">
        <v>361</v>
      </c>
      <c r="G4117" s="20" t="s">
        <v>158</v>
      </c>
      <c r="H4117" s="20"/>
      <c r="I4117" s="20"/>
      <c r="J4117" s="20" t="s">
        <v>200</v>
      </c>
      <c r="K4117" s="20" t="s">
        <v>255</v>
      </c>
      <c r="L4117" s="20">
        <v>84000000</v>
      </c>
      <c r="M4117" s="20" t="s">
        <v>245</v>
      </c>
      <c r="N4117" s="20" t="s">
        <v>2724</v>
      </c>
    </row>
    <row r="4118" spans="1:14" hidden="1" x14ac:dyDescent="0.25">
      <c r="A4118" s="19">
        <v>45931</v>
      </c>
      <c r="B4118" s="20" t="s">
        <v>156</v>
      </c>
      <c r="C4118" s="20">
        <v>85</v>
      </c>
      <c r="D4118" s="20" t="s">
        <v>253</v>
      </c>
      <c r="E4118" s="20" t="s">
        <v>2359</v>
      </c>
      <c r="F4118" s="20" t="s">
        <v>361</v>
      </c>
      <c r="G4118" s="20" t="s">
        <v>158</v>
      </c>
      <c r="H4118" s="20"/>
      <c r="I4118" s="20"/>
      <c r="J4118" s="20" t="s">
        <v>201</v>
      </c>
      <c r="K4118" s="20" t="s">
        <v>255</v>
      </c>
      <c r="L4118" s="20">
        <v>75000000</v>
      </c>
      <c r="M4118" s="20" t="s">
        <v>245</v>
      </c>
      <c r="N4118" s="20" t="s">
        <v>2725</v>
      </c>
    </row>
    <row r="4119" spans="1:14" hidden="1" x14ac:dyDescent="0.25">
      <c r="A4119" s="19">
        <v>45931</v>
      </c>
      <c r="B4119" s="20" t="s">
        <v>156</v>
      </c>
      <c r="C4119" s="20">
        <v>85</v>
      </c>
      <c r="D4119" s="20" t="s">
        <v>253</v>
      </c>
      <c r="E4119" s="20" t="s">
        <v>2359</v>
      </c>
      <c r="F4119" s="20" t="s">
        <v>361</v>
      </c>
      <c r="G4119" s="20" t="s">
        <v>158</v>
      </c>
      <c r="H4119" s="20"/>
      <c r="I4119" s="20"/>
      <c r="J4119" s="20" t="s">
        <v>202</v>
      </c>
      <c r="K4119" s="20" t="s">
        <v>255</v>
      </c>
      <c r="L4119" s="20">
        <v>80000000</v>
      </c>
      <c r="M4119" s="20" t="s">
        <v>245</v>
      </c>
      <c r="N4119" s="20" t="s">
        <v>2856</v>
      </c>
    </row>
    <row r="4120" spans="1:14" hidden="1" x14ac:dyDescent="0.25">
      <c r="A4120" s="19">
        <v>45931</v>
      </c>
      <c r="B4120" s="20" t="s">
        <v>156</v>
      </c>
      <c r="C4120" s="20">
        <v>86</v>
      </c>
      <c r="D4120" s="20" t="s">
        <v>253</v>
      </c>
      <c r="E4120" s="20" t="s">
        <v>2359</v>
      </c>
      <c r="F4120" s="20" t="s">
        <v>2548</v>
      </c>
      <c r="G4120" s="20" t="s">
        <v>158</v>
      </c>
      <c r="H4120" s="20"/>
      <c r="I4120" s="20"/>
      <c r="J4120" s="20" t="s">
        <v>200</v>
      </c>
      <c r="K4120" s="20" t="s">
        <v>255</v>
      </c>
      <c r="L4120" s="20">
        <v>2.4500000000000002</v>
      </c>
      <c r="M4120" s="20" t="s">
        <v>251</v>
      </c>
      <c r="N4120" s="20" t="s">
        <v>2549</v>
      </c>
    </row>
    <row r="4121" spans="1:14" hidden="1" x14ac:dyDescent="0.25">
      <c r="A4121" s="19">
        <v>45931</v>
      </c>
      <c r="B4121" s="20" t="s">
        <v>156</v>
      </c>
      <c r="C4121" s="20">
        <v>86</v>
      </c>
      <c r="D4121" s="20" t="s">
        <v>253</v>
      </c>
      <c r="E4121" s="20" t="s">
        <v>2359</v>
      </c>
      <c r="F4121" s="20" t="s">
        <v>2548</v>
      </c>
      <c r="G4121" s="20" t="s">
        <v>158</v>
      </c>
      <c r="H4121" s="20"/>
      <c r="I4121" s="20"/>
      <c r="J4121" s="20" t="s">
        <v>201</v>
      </c>
      <c r="K4121" s="20" t="s">
        <v>255</v>
      </c>
      <c r="L4121" s="20">
        <v>2.1800000000000002</v>
      </c>
      <c r="M4121" s="20" t="s">
        <v>251</v>
      </c>
      <c r="N4121" s="20" t="s">
        <v>2726</v>
      </c>
    </row>
    <row r="4122" spans="1:14" hidden="1" x14ac:dyDescent="0.25">
      <c r="A4122" s="19">
        <v>45931</v>
      </c>
      <c r="B4122" s="20" t="s">
        <v>156</v>
      </c>
      <c r="C4122" s="20">
        <v>86</v>
      </c>
      <c r="D4122" s="20" t="s">
        <v>253</v>
      </c>
      <c r="E4122" s="20" t="s">
        <v>2359</v>
      </c>
      <c r="F4122" s="20" t="s">
        <v>2548</v>
      </c>
      <c r="G4122" s="20" t="s">
        <v>158</v>
      </c>
      <c r="H4122" s="20"/>
      <c r="I4122" s="20"/>
      <c r="J4122" s="20" t="s">
        <v>202</v>
      </c>
      <c r="K4122" s="20" t="s">
        <v>255</v>
      </c>
      <c r="L4122" s="20">
        <v>2.1800000000000002</v>
      </c>
      <c r="M4122" s="20" t="s">
        <v>251</v>
      </c>
      <c r="N4122" s="20" t="s">
        <v>2726</v>
      </c>
    </row>
    <row r="4123" spans="1:14" hidden="1" x14ac:dyDescent="0.25">
      <c r="A4123" s="19">
        <v>45931</v>
      </c>
      <c r="B4123" s="20" t="s">
        <v>156</v>
      </c>
      <c r="C4123" s="20">
        <v>87</v>
      </c>
      <c r="D4123" s="20" t="s">
        <v>291</v>
      </c>
      <c r="E4123" s="20" t="s">
        <v>2361</v>
      </c>
      <c r="F4123" s="20" t="s">
        <v>361</v>
      </c>
      <c r="G4123" s="20" t="s">
        <v>158</v>
      </c>
      <c r="H4123" s="20" t="s">
        <v>159</v>
      </c>
      <c r="I4123" s="20"/>
      <c r="J4123" s="20" t="s">
        <v>202</v>
      </c>
      <c r="K4123" s="20" t="s">
        <v>250</v>
      </c>
      <c r="L4123" s="20">
        <v>45200000</v>
      </c>
      <c r="M4123" s="20" t="s">
        <v>245</v>
      </c>
      <c r="N4123" s="20" t="s">
        <v>2876</v>
      </c>
    </row>
    <row r="4124" spans="1:14" hidden="1" x14ac:dyDescent="0.25">
      <c r="A4124" s="19">
        <v>45931</v>
      </c>
      <c r="B4124" s="20" t="s">
        <v>156</v>
      </c>
      <c r="C4124" s="20">
        <v>87</v>
      </c>
      <c r="D4124" s="20" t="s">
        <v>291</v>
      </c>
      <c r="E4124" s="20" t="s">
        <v>2361</v>
      </c>
      <c r="F4124" s="20" t="s">
        <v>361</v>
      </c>
      <c r="G4124" s="20" t="s">
        <v>158</v>
      </c>
      <c r="H4124" s="20" t="s">
        <v>160</v>
      </c>
      <c r="I4124" s="20"/>
      <c r="J4124" s="20" t="s">
        <v>202</v>
      </c>
      <c r="K4124" s="20" t="s">
        <v>250</v>
      </c>
      <c r="L4124" s="20">
        <v>34500000</v>
      </c>
      <c r="M4124" s="20" t="s">
        <v>245</v>
      </c>
      <c r="N4124" s="20" t="s">
        <v>2877</v>
      </c>
    </row>
    <row r="4125" spans="1:14" hidden="1" x14ac:dyDescent="0.25">
      <c r="A4125" s="19">
        <v>45962</v>
      </c>
      <c r="B4125" s="20" t="s">
        <v>535</v>
      </c>
      <c r="C4125" s="20">
        <v>4</v>
      </c>
      <c r="D4125" s="20" t="s">
        <v>238</v>
      </c>
      <c r="E4125" s="20" t="s">
        <v>2341</v>
      </c>
      <c r="F4125" s="20" t="s">
        <v>285</v>
      </c>
      <c r="G4125" s="20" t="s">
        <v>63</v>
      </c>
      <c r="H4125" s="20"/>
      <c r="I4125" s="20"/>
      <c r="J4125" s="20" t="s">
        <v>203</v>
      </c>
      <c r="K4125" s="20" t="s">
        <v>250</v>
      </c>
      <c r="L4125" s="20">
        <v>2090000</v>
      </c>
      <c r="M4125" s="20" t="s">
        <v>242</v>
      </c>
      <c r="N4125" s="20" t="s">
        <v>691</v>
      </c>
    </row>
    <row r="4126" spans="1:14" hidden="1" x14ac:dyDescent="0.25">
      <c r="A4126" s="19">
        <v>45962</v>
      </c>
      <c r="B4126" s="20" t="s">
        <v>535</v>
      </c>
      <c r="C4126" s="20">
        <v>4</v>
      </c>
      <c r="D4126" s="20" t="s">
        <v>238</v>
      </c>
      <c r="E4126" s="20" t="s">
        <v>2341</v>
      </c>
      <c r="F4126" s="20" t="s">
        <v>240</v>
      </c>
      <c r="G4126" s="20" t="s">
        <v>82</v>
      </c>
      <c r="H4126" s="20"/>
      <c r="I4126" s="20"/>
      <c r="J4126" s="20" t="s">
        <v>203</v>
      </c>
      <c r="K4126" s="20" t="s">
        <v>250</v>
      </c>
      <c r="L4126" s="20">
        <v>16350000</v>
      </c>
      <c r="M4126" s="20" t="s">
        <v>242</v>
      </c>
      <c r="N4126" s="20" t="s">
        <v>2878</v>
      </c>
    </row>
    <row r="4127" spans="1:14" hidden="1" x14ac:dyDescent="0.25">
      <c r="A4127" s="19">
        <v>45962</v>
      </c>
      <c r="B4127" s="20" t="s">
        <v>535</v>
      </c>
      <c r="C4127" s="20">
        <v>4</v>
      </c>
      <c r="D4127" s="20" t="s">
        <v>238</v>
      </c>
      <c r="E4127" s="20" t="s">
        <v>2341</v>
      </c>
      <c r="F4127" s="20" t="s">
        <v>244</v>
      </c>
      <c r="G4127" s="20" t="s">
        <v>82</v>
      </c>
      <c r="H4127" s="20"/>
      <c r="I4127" s="20"/>
      <c r="J4127" s="20" t="s">
        <v>203</v>
      </c>
      <c r="K4127" s="20" t="s">
        <v>250</v>
      </c>
      <c r="L4127" s="20">
        <v>1730000000</v>
      </c>
      <c r="M4127" s="20" t="s">
        <v>245</v>
      </c>
      <c r="N4127" s="20" t="s">
        <v>2879</v>
      </c>
    </row>
    <row r="4128" spans="1:14" hidden="1" x14ac:dyDescent="0.25">
      <c r="A4128" s="19">
        <v>45962</v>
      </c>
      <c r="B4128" s="20" t="s">
        <v>535</v>
      </c>
      <c r="C4128" s="20">
        <v>5</v>
      </c>
      <c r="D4128" s="20" t="s">
        <v>238</v>
      </c>
      <c r="E4128" s="20" t="s">
        <v>2341</v>
      </c>
      <c r="F4128" s="20" t="s">
        <v>285</v>
      </c>
      <c r="G4128" s="20" t="s">
        <v>63</v>
      </c>
      <c r="H4128" s="20"/>
      <c r="I4128" s="20"/>
      <c r="J4128" s="20" t="s">
        <v>203</v>
      </c>
      <c r="K4128" s="20" t="s">
        <v>250</v>
      </c>
      <c r="L4128" s="20">
        <v>2780000</v>
      </c>
      <c r="M4128" s="20" t="s">
        <v>242</v>
      </c>
      <c r="N4128" s="20" t="s">
        <v>2880</v>
      </c>
    </row>
    <row r="4129" spans="1:14" hidden="1" x14ac:dyDescent="0.25">
      <c r="A4129" s="19">
        <v>45962</v>
      </c>
      <c r="B4129" s="20" t="s">
        <v>535</v>
      </c>
      <c r="C4129" s="20">
        <v>5</v>
      </c>
      <c r="D4129" s="20" t="s">
        <v>238</v>
      </c>
      <c r="E4129" s="20" t="s">
        <v>2341</v>
      </c>
      <c r="F4129" s="20" t="s">
        <v>240</v>
      </c>
      <c r="G4129" s="20" t="s">
        <v>82</v>
      </c>
      <c r="H4129" s="20"/>
      <c r="I4129" s="20"/>
      <c r="J4129" s="20" t="s">
        <v>203</v>
      </c>
      <c r="K4129" s="20" t="s">
        <v>250</v>
      </c>
      <c r="L4129" s="20">
        <v>10100000</v>
      </c>
      <c r="M4129" s="20" t="s">
        <v>242</v>
      </c>
      <c r="N4129" s="20" t="s">
        <v>2881</v>
      </c>
    </row>
    <row r="4130" spans="1:14" hidden="1" x14ac:dyDescent="0.25">
      <c r="A4130" s="19">
        <v>45962</v>
      </c>
      <c r="B4130" s="20" t="s">
        <v>535</v>
      </c>
      <c r="C4130" s="20">
        <v>5</v>
      </c>
      <c r="D4130" s="20" t="s">
        <v>238</v>
      </c>
      <c r="E4130" s="20" t="s">
        <v>2341</v>
      </c>
      <c r="F4130" s="20" t="s">
        <v>244</v>
      </c>
      <c r="G4130" s="20" t="s">
        <v>82</v>
      </c>
      <c r="H4130" s="20"/>
      <c r="I4130" s="20"/>
      <c r="J4130" s="20" t="s">
        <v>203</v>
      </c>
      <c r="K4130" s="20" t="s">
        <v>250</v>
      </c>
      <c r="L4130" s="20">
        <v>526000000</v>
      </c>
      <c r="M4130" s="20" t="s">
        <v>245</v>
      </c>
      <c r="N4130" s="20" t="s">
        <v>2882</v>
      </c>
    </row>
    <row r="4131" spans="1:14" hidden="1" x14ac:dyDescent="0.25">
      <c r="A4131" s="19">
        <v>45962</v>
      </c>
      <c r="B4131" s="20" t="s">
        <v>535</v>
      </c>
      <c r="C4131" s="20">
        <v>6</v>
      </c>
      <c r="D4131" s="20" t="s">
        <v>238</v>
      </c>
      <c r="E4131" s="20" t="s">
        <v>2341</v>
      </c>
      <c r="F4131" s="20" t="s">
        <v>285</v>
      </c>
      <c r="G4131" s="20" t="s">
        <v>63</v>
      </c>
      <c r="H4131" s="20"/>
      <c r="I4131" s="20"/>
      <c r="J4131" s="20" t="s">
        <v>203</v>
      </c>
      <c r="K4131" s="20" t="s">
        <v>250</v>
      </c>
      <c r="L4131" s="20">
        <v>5000000</v>
      </c>
      <c r="M4131" s="20" t="s">
        <v>242</v>
      </c>
      <c r="N4131" s="20" t="s">
        <v>2845</v>
      </c>
    </row>
    <row r="4132" spans="1:14" hidden="1" x14ac:dyDescent="0.25">
      <c r="A4132" s="19">
        <v>45962</v>
      </c>
      <c r="B4132" s="20" t="s">
        <v>535</v>
      </c>
      <c r="C4132" s="20">
        <v>6</v>
      </c>
      <c r="D4132" s="20" t="s">
        <v>238</v>
      </c>
      <c r="E4132" s="20" t="s">
        <v>2341</v>
      </c>
      <c r="F4132" s="20" t="s">
        <v>378</v>
      </c>
      <c r="G4132" s="20" t="s">
        <v>379</v>
      </c>
      <c r="H4132" s="20"/>
      <c r="I4132" s="20"/>
      <c r="J4132" s="20" t="s">
        <v>203</v>
      </c>
      <c r="K4132" s="20" t="s">
        <v>250</v>
      </c>
      <c r="L4132" s="20">
        <v>676</v>
      </c>
      <c r="M4132" s="20" t="s">
        <v>242</v>
      </c>
      <c r="N4132" s="20" t="s">
        <v>2883</v>
      </c>
    </row>
    <row r="4133" spans="1:14" hidden="1" x14ac:dyDescent="0.25">
      <c r="A4133" s="19">
        <v>45962</v>
      </c>
      <c r="B4133" s="20" t="s">
        <v>535</v>
      </c>
      <c r="C4133" s="20">
        <v>6</v>
      </c>
      <c r="D4133" s="20" t="s">
        <v>238</v>
      </c>
      <c r="E4133" s="20" t="s">
        <v>2341</v>
      </c>
      <c r="F4133" s="20" t="s">
        <v>381</v>
      </c>
      <c r="G4133" s="20" t="s">
        <v>382</v>
      </c>
      <c r="H4133" s="20"/>
      <c r="I4133" s="20"/>
      <c r="J4133" s="20" t="s">
        <v>203</v>
      </c>
      <c r="K4133" s="20" t="s">
        <v>250</v>
      </c>
      <c r="L4133" s="20">
        <v>2310</v>
      </c>
      <c r="M4133" s="20" t="s">
        <v>242</v>
      </c>
      <c r="N4133" s="20" t="s">
        <v>2884</v>
      </c>
    </row>
    <row r="4134" spans="1:14" hidden="1" x14ac:dyDescent="0.25">
      <c r="A4134" s="19">
        <v>45962</v>
      </c>
      <c r="B4134" s="20" t="s">
        <v>535</v>
      </c>
      <c r="C4134" s="20">
        <v>6</v>
      </c>
      <c r="D4134" s="20" t="s">
        <v>238</v>
      </c>
      <c r="E4134" s="20" t="s">
        <v>2341</v>
      </c>
      <c r="F4134" s="20" t="s">
        <v>240</v>
      </c>
      <c r="G4134" s="20" t="s">
        <v>82</v>
      </c>
      <c r="H4134" s="20"/>
      <c r="I4134" s="20"/>
      <c r="J4134" s="20" t="s">
        <v>203</v>
      </c>
      <c r="K4134" s="20" t="s">
        <v>250</v>
      </c>
      <c r="L4134" s="20">
        <v>6520000</v>
      </c>
      <c r="M4134" s="20" t="s">
        <v>242</v>
      </c>
      <c r="N4134" s="20" t="s">
        <v>2885</v>
      </c>
    </row>
    <row r="4135" spans="1:14" hidden="1" x14ac:dyDescent="0.25">
      <c r="A4135" s="19">
        <v>45962</v>
      </c>
      <c r="B4135" s="20" t="s">
        <v>535</v>
      </c>
      <c r="C4135" s="20">
        <v>6</v>
      </c>
      <c r="D4135" s="20" t="s">
        <v>238</v>
      </c>
      <c r="E4135" s="20" t="s">
        <v>2341</v>
      </c>
      <c r="F4135" s="20" t="s">
        <v>244</v>
      </c>
      <c r="G4135" s="20" t="s">
        <v>82</v>
      </c>
      <c r="H4135" s="20"/>
      <c r="I4135" s="20"/>
      <c r="J4135" s="20" t="s">
        <v>203</v>
      </c>
      <c r="K4135" s="20" t="s">
        <v>250</v>
      </c>
      <c r="L4135" s="20">
        <v>1410000000</v>
      </c>
      <c r="M4135" s="20" t="s">
        <v>245</v>
      </c>
      <c r="N4135" s="20" t="s">
        <v>2886</v>
      </c>
    </row>
    <row r="4136" spans="1:14" hidden="1" x14ac:dyDescent="0.25">
      <c r="A4136" s="19">
        <v>45962</v>
      </c>
      <c r="B4136" s="20" t="s">
        <v>535</v>
      </c>
      <c r="C4136" s="20">
        <v>7</v>
      </c>
      <c r="D4136" s="20" t="s">
        <v>238</v>
      </c>
      <c r="E4136" s="20" t="s">
        <v>2341</v>
      </c>
      <c r="F4136" s="20" t="s">
        <v>1194</v>
      </c>
      <c r="G4136" s="20" t="s">
        <v>82</v>
      </c>
      <c r="H4136" s="20"/>
      <c r="I4136" s="20"/>
      <c r="J4136" s="20" t="s">
        <v>203</v>
      </c>
      <c r="K4136" s="20" t="s">
        <v>250</v>
      </c>
      <c r="L4136" s="20">
        <v>1030000</v>
      </c>
      <c r="M4136" s="20" t="s">
        <v>242</v>
      </c>
      <c r="N4136" s="20" t="s">
        <v>826</v>
      </c>
    </row>
    <row r="4137" spans="1:14" hidden="1" x14ac:dyDescent="0.25">
      <c r="A4137" s="19">
        <v>45962</v>
      </c>
      <c r="B4137" s="20" t="s">
        <v>535</v>
      </c>
      <c r="C4137" s="20">
        <v>7</v>
      </c>
      <c r="D4137" s="20" t="s">
        <v>238</v>
      </c>
      <c r="E4137" s="20" t="s">
        <v>2341</v>
      </c>
      <c r="F4137" s="20" t="s">
        <v>544</v>
      </c>
      <c r="G4137" s="20" t="s">
        <v>82</v>
      </c>
      <c r="H4137" s="20"/>
      <c r="I4137" s="20"/>
      <c r="J4137" s="20" t="s">
        <v>203</v>
      </c>
      <c r="K4137" s="20" t="s">
        <v>250</v>
      </c>
      <c r="L4137" s="20">
        <v>1020000</v>
      </c>
      <c r="M4137" s="20" t="s">
        <v>242</v>
      </c>
      <c r="N4137" s="20" t="s">
        <v>773</v>
      </c>
    </row>
    <row r="4138" spans="1:14" hidden="1" x14ac:dyDescent="0.25">
      <c r="A4138" s="19">
        <v>45962</v>
      </c>
      <c r="B4138" s="20" t="s">
        <v>535</v>
      </c>
      <c r="C4138" s="20">
        <v>7</v>
      </c>
      <c r="D4138" s="20" t="s">
        <v>238</v>
      </c>
      <c r="E4138" s="20" t="s">
        <v>2341</v>
      </c>
      <c r="F4138" s="20" t="s">
        <v>929</v>
      </c>
      <c r="G4138" s="20" t="s">
        <v>82</v>
      </c>
      <c r="H4138" s="20"/>
      <c r="I4138" s="20"/>
      <c r="J4138" s="20" t="s">
        <v>203</v>
      </c>
      <c r="K4138" s="20" t="s">
        <v>250</v>
      </c>
      <c r="L4138" s="20">
        <v>818000000</v>
      </c>
      <c r="M4138" s="20" t="s">
        <v>245</v>
      </c>
      <c r="N4138" s="20" t="s">
        <v>2887</v>
      </c>
    </row>
    <row r="4139" spans="1:14" hidden="1" x14ac:dyDescent="0.25">
      <c r="A4139" s="19">
        <v>45962</v>
      </c>
      <c r="B4139" s="20" t="s">
        <v>535</v>
      </c>
      <c r="C4139" s="20">
        <v>8</v>
      </c>
      <c r="D4139" s="20" t="s">
        <v>238</v>
      </c>
      <c r="E4139" s="20" t="s">
        <v>2341</v>
      </c>
      <c r="F4139" s="20" t="s">
        <v>548</v>
      </c>
      <c r="G4139" s="20" t="s">
        <v>158</v>
      </c>
      <c r="H4139" s="20"/>
      <c r="I4139" s="20"/>
      <c r="J4139" s="20" t="s">
        <v>203</v>
      </c>
      <c r="K4139" s="20" t="s">
        <v>250</v>
      </c>
      <c r="L4139" s="20">
        <v>562000</v>
      </c>
      <c r="M4139" s="20" t="s">
        <v>242</v>
      </c>
      <c r="N4139" s="20" t="s">
        <v>2175</v>
      </c>
    </row>
    <row r="4140" spans="1:14" hidden="1" x14ac:dyDescent="0.25">
      <c r="A4140" s="19">
        <v>45962</v>
      </c>
      <c r="B4140" s="20" t="s">
        <v>535</v>
      </c>
      <c r="C4140" s="20">
        <v>8</v>
      </c>
      <c r="D4140" s="20" t="s">
        <v>238</v>
      </c>
      <c r="E4140" s="20" t="s">
        <v>2341</v>
      </c>
      <c r="F4140" s="20" t="s">
        <v>349</v>
      </c>
      <c r="G4140" s="20" t="s">
        <v>158</v>
      </c>
      <c r="H4140" s="20"/>
      <c r="I4140" s="20"/>
      <c r="J4140" s="20" t="s">
        <v>203</v>
      </c>
      <c r="K4140" s="20" t="s">
        <v>250</v>
      </c>
      <c r="L4140" s="20">
        <v>17900</v>
      </c>
      <c r="M4140" s="20" t="s">
        <v>242</v>
      </c>
      <c r="N4140" s="20" t="s">
        <v>2888</v>
      </c>
    </row>
    <row r="4141" spans="1:14" hidden="1" x14ac:dyDescent="0.25">
      <c r="A4141" s="19">
        <v>45962</v>
      </c>
      <c r="B4141" s="20" t="s">
        <v>535</v>
      </c>
      <c r="C4141" s="20">
        <v>8</v>
      </c>
      <c r="D4141" s="20" t="s">
        <v>238</v>
      </c>
      <c r="E4141" s="20" t="s">
        <v>2341</v>
      </c>
      <c r="F4141" s="20" t="s">
        <v>551</v>
      </c>
      <c r="G4141" s="20" t="s">
        <v>158</v>
      </c>
      <c r="H4141" s="20"/>
      <c r="I4141" s="20"/>
      <c r="J4141" s="20" t="s">
        <v>203</v>
      </c>
      <c r="K4141" s="20" t="s">
        <v>250</v>
      </c>
      <c r="L4141" s="20">
        <v>3300000000</v>
      </c>
      <c r="M4141" s="20" t="s">
        <v>245</v>
      </c>
      <c r="N4141" s="20" t="s">
        <v>2889</v>
      </c>
    </row>
    <row r="4142" spans="1:14" hidden="1" x14ac:dyDescent="0.25">
      <c r="A4142" s="19">
        <v>45962</v>
      </c>
      <c r="B4142" s="20" t="s">
        <v>535</v>
      </c>
      <c r="C4142" s="20">
        <v>8</v>
      </c>
      <c r="D4142" s="20" t="s">
        <v>238</v>
      </c>
      <c r="E4142" s="20" t="s">
        <v>2341</v>
      </c>
      <c r="F4142" s="20" t="s">
        <v>361</v>
      </c>
      <c r="G4142" s="20" t="s">
        <v>158</v>
      </c>
      <c r="H4142" s="20"/>
      <c r="I4142" s="20"/>
      <c r="J4142" s="20" t="s">
        <v>203</v>
      </c>
      <c r="K4142" s="20" t="s">
        <v>250</v>
      </c>
      <c r="L4142" s="20">
        <v>88000000</v>
      </c>
      <c r="M4142" s="20" t="s">
        <v>245</v>
      </c>
      <c r="N4142" s="20" t="s">
        <v>2890</v>
      </c>
    </row>
    <row r="4143" spans="1:14" hidden="1" x14ac:dyDescent="0.25">
      <c r="A4143" s="19">
        <v>45962</v>
      </c>
      <c r="B4143" s="20" t="s">
        <v>35</v>
      </c>
      <c r="C4143" s="20">
        <v>10</v>
      </c>
      <c r="D4143" s="20" t="s">
        <v>238</v>
      </c>
      <c r="E4143" s="20" t="s">
        <v>2341</v>
      </c>
      <c r="F4143" s="20" t="s">
        <v>240</v>
      </c>
      <c r="G4143" s="20" t="s">
        <v>82</v>
      </c>
      <c r="H4143" s="20"/>
      <c r="I4143" s="20"/>
      <c r="J4143" s="20" t="s">
        <v>2891</v>
      </c>
      <c r="K4143" s="20" t="s">
        <v>241</v>
      </c>
      <c r="L4143" s="20">
        <v>150250000</v>
      </c>
      <c r="M4143" s="20" t="s">
        <v>242</v>
      </c>
      <c r="N4143" s="20" t="s">
        <v>2892</v>
      </c>
    </row>
    <row r="4144" spans="1:14" hidden="1" x14ac:dyDescent="0.25">
      <c r="A4144" s="19">
        <v>45962</v>
      </c>
      <c r="B4144" s="20" t="s">
        <v>35</v>
      </c>
      <c r="C4144" s="20">
        <v>10</v>
      </c>
      <c r="D4144" s="20" t="s">
        <v>238</v>
      </c>
      <c r="E4144" s="20" t="s">
        <v>2341</v>
      </c>
      <c r="F4144" s="20" t="s">
        <v>244</v>
      </c>
      <c r="G4144" s="20" t="s">
        <v>82</v>
      </c>
      <c r="H4144" s="20"/>
      <c r="I4144" s="20"/>
      <c r="J4144" s="20" t="s">
        <v>2891</v>
      </c>
      <c r="K4144" s="20" t="s">
        <v>241</v>
      </c>
      <c r="L4144" s="20">
        <v>18090000000</v>
      </c>
      <c r="M4144" s="20" t="s">
        <v>245</v>
      </c>
      <c r="N4144" s="20" t="s">
        <v>2893</v>
      </c>
    </row>
    <row r="4145" spans="1:14" hidden="1" x14ac:dyDescent="0.25">
      <c r="A4145" s="19">
        <v>45962</v>
      </c>
      <c r="B4145" s="20" t="s">
        <v>35</v>
      </c>
      <c r="C4145" s="20">
        <v>11</v>
      </c>
      <c r="D4145" s="20" t="s">
        <v>253</v>
      </c>
      <c r="E4145" s="20" t="s">
        <v>2359</v>
      </c>
      <c r="F4145" s="20" t="s">
        <v>285</v>
      </c>
      <c r="G4145" s="20" t="s">
        <v>63</v>
      </c>
      <c r="H4145" s="20"/>
      <c r="I4145" s="20"/>
      <c r="J4145" s="20" t="s">
        <v>201</v>
      </c>
      <c r="K4145" s="20" t="s">
        <v>255</v>
      </c>
      <c r="L4145" s="20">
        <v>2000000</v>
      </c>
      <c r="M4145" s="20" t="s">
        <v>242</v>
      </c>
      <c r="N4145" s="20" t="s">
        <v>2583</v>
      </c>
    </row>
    <row r="4146" spans="1:14" hidden="1" x14ac:dyDescent="0.25">
      <c r="A4146" s="19">
        <v>45962</v>
      </c>
      <c r="B4146" s="20" t="s">
        <v>35</v>
      </c>
      <c r="C4146" s="20">
        <v>11</v>
      </c>
      <c r="D4146" s="20" t="s">
        <v>253</v>
      </c>
      <c r="E4146" s="20" t="s">
        <v>2359</v>
      </c>
      <c r="F4146" s="20" t="s">
        <v>285</v>
      </c>
      <c r="G4146" s="20" t="s">
        <v>63</v>
      </c>
      <c r="H4146" s="20"/>
      <c r="I4146" s="20"/>
      <c r="J4146" s="20" t="s">
        <v>202</v>
      </c>
      <c r="K4146" s="20" t="s">
        <v>255</v>
      </c>
      <c r="L4146" s="20">
        <v>2060000</v>
      </c>
      <c r="M4146" s="20" t="s">
        <v>242</v>
      </c>
      <c r="N4146" s="20" t="s">
        <v>2746</v>
      </c>
    </row>
    <row r="4147" spans="1:14" hidden="1" x14ac:dyDescent="0.25">
      <c r="A4147" s="19">
        <v>45962</v>
      </c>
      <c r="B4147" s="20" t="s">
        <v>35</v>
      </c>
      <c r="C4147" s="20">
        <v>11</v>
      </c>
      <c r="D4147" s="20" t="s">
        <v>253</v>
      </c>
      <c r="E4147" s="20" t="s">
        <v>2359</v>
      </c>
      <c r="F4147" s="20" t="s">
        <v>285</v>
      </c>
      <c r="G4147" s="20" t="s">
        <v>63</v>
      </c>
      <c r="H4147" s="20"/>
      <c r="I4147" s="20"/>
      <c r="J4147" s="20" t="s">
        <v>203</v>
      </c>
      <c r="K4147" s="20" t="s">
        <v>255</v>
      </c>
      <c r="L4147" s="20">
        <v>2090000</v>
      </c>
      <c r="M4147" s="20" t="s">
        <v>242</v>
      </c>
      <c r="N4147" s="20" t="s">
        <v>2894</v>
      </c>
    </row>
    <row r="4148" spans="1:14" hidden="1" x14ac:dyDescent="0.25">
      <c r="A4148" s="19">
        <v>45962</v>
      </c>
      <c r="B4148" s="20" t="s">
        <v>35</v>
      </c>
      <c r="C4148" s="20">
        <v>11</v>
      </c>
      <c r="D4148" s="20" t="s">
        <v>247</v>
      </c>
      <c r="E4148" s="20" t="s">
        <v>2554</v>
      </c>
      <c r="F4148" s="20" t="s">
        <v>2555</v>
      </c>
      <c r="G4148" s="20" t="s">
        <v>63</v>
      </c>
      <c r="H4148" s="20" t="s">
        <v>286</v>
      </c>
      <c r="I4148" s="20"/>
      <c r="J4148" s="20" t="s">
        <v>203</v>
      </c>
      <c r="K4148" s="20" t="s">
        <v>250</v>
      </c>
      <c r="L4148" s="20">
        <v>1.8</v>
      </c>
      <c r="M4148" s="20" t="s">
        <v>251</v>
      </c>
      <c r="N4148" s="20" t="s">
        <v>461</v>
      </c>
    </row>
    <row r="4149" spans="1:14" hidden="1" x14ac:dyDescent="0.25">
      <c r="A4149" s="19">
        <v>45962</v>
      </c>
      <c r="B4149" s="20" t="s">
        <v>35</v>
      </c>
      <c r="C4149" s="20">
        <v>12</v>
      </c>
      <c r="D4149" s="20" t="s">
        <v>291</v>
      </c>
      <c r="E4149" s="20" t="s">
        <v>2361</v>
      </c>
      <c r="F4149" s="20" t="s">
        <v>2362</v>
      </c>
      <c r="G4149" s="20" t="s">
        <v>63</v>
      </c>
      <c r="H4149" s="20" t="s">
        <v>64</v>
      </c>
      <c r="I4149" s="20"/>
      <c r="J4149" s="20" t="s">
        <v>203</v>
      </c>
      <c r="K4149" s="20" t="s">
        <v>250</v>
      </c>
      <c r="L4149" s="20">
        <v>2010000</v>
      </c>
      <c r="M4149" s="20" t="s">
        <v>242</v>
      </c>
      <c r="N4149" s="20" t="s">
        <v>670</v>
      </c>
    </row>
    <row r="4150" spans="1:14" hidden="1" x14ac:dyDescent="0.25">
      <c r="A4150" s="19">
        <v>45962</v>
      </c>
      <c r="B4150" s="20" t="s">
        <v>35</v>
      </c>
      <c r="C4150" s="20">
        <v>12</v>
      </c>
      <c r="D4150" s="20" t="s">
        <v>291</v>
      </c>
      <c r="E4150" s="20" t="s">
        <v>2361</v>
      </c>
      <c r="F4150" s="20" t="s">
        <v>2362</v>
      </c>
      <c r="G4150" s="20" t="s">
        <v>63</v>
      </c>
      <c r="H4150" s="20" t="s">
        <v>65</v>
      </c>
      <c r="I4150" s="20"/>
      <c r="J4150" s="20" t="s">
        <v>203</v>
      </c>
      <c r="K4150" s="20" t="s">
        <v>250</v>
      </c>
      <c r="L4150" s="20">
        <v>82400</v>
      </c>
      <c r="M4150" s="20" t="s">
        <v>242</v>
      </c>
      <c r="N4150" s="20" t="s">
        <v>2895</v>
      </c>
    </row>
    <row r="4151" spans="1:14" hidden="1" x14ac:dyDescent="0.25">
      <c r="A4151" s="19">
        <v>45962</v>
      </c>
      <c r="B4151" s="20" t="s">
        <v>35</v>
      </c>
      <c r="C4151" s="20">
        <v>13</v>
      </c>
      <c r="D4151" s="20" t="s">
        <v>291</v>
      </c>
      <c r="E4151" s="20" t="s">
        <v>2361</v>
      </c>
      <c r="F4151" s="20" t="s">
        <v>2362</v>
      </c>
      <c r="G4151" s="20" t="s">
        <v>63</v>
      </c>
      <c r="H4151" s="20" t="s">
        <v>2364</v>
      </c>
      <c r="I4151" s="20"/>
      <c r="J4151" s="20" t="s">
        <v>203</v>
      </c>
      <c r="K4151" s="20" t="s">
        <v>250</v>
      </c>
      <c r="L4151" s="20">
        <v>1280000</v>
      </c>
      <c r="M4151" s="20" t="s">
        <v>242</v>
      </c>
      <c r="N4151" s="20" t="s">
        <v>339</v>
      </c>
    </row>
    <row r="4152" spans="1:14" hidden="1" x14ac:dyDescent="0.25">
      <c r="A4152" s="19">
        <v>45962</v>
      </c>
      <c r="B4152" s="20" t="s">
        <v>35</v>
      </c>
      <c r="C4152" s="20">
        <v>13</v>
      </c>
      <c r="D4152" s="20" t="s">
        <v>291</v>
      </c>
      <c r="E4152" s="20" t="s">
        <v>2361</v>
      </c>
      <c r="F4152" s="20" t="s">
        <v>2362</v>
      </c>
      <c r="G4152" s="20" t="s">
        <v>63</v>
      </c>
      <c r="H4152" s="20" t="s">
        <v>2366</v>
      </c>
      <c r="I4152" s="20"/>
      <c r="J4152" s="20" t="s">
        <v>203</v>
      </c>
      <c r="K4152" s="20" t="s">
        <v>250</v>
      </c>
      <c r="L4152" s="20">
        <v>750000</v>
      </c>
      <c r="M4152" s="20" t="s">
        <v>242</v>
      </c>
      <c r="N4152" s="20" t="s">
        <v>2896</v>
      </c>
    </row>
    <row r="4153" spans="1:14" x14ac:dyDescent="0.25">
      <c r="A4153" s="19">
        <v>45962</v>
      </c>
      <c r="B4153" s="20" t="s">
        <v>35</v>
      </c>
      <c r="C4153" s="20">
        <v>14</v>
      </c>
      <c r="D4153" s="20" t="s">
        <v>291</v>
      </c>
      <c r="E4153" s="20" t="s">
        <v>2361</v>
      </c>
      <c r="F4153" s="20" t="s">
        <v>285</v>
      </c>
      <c r="G4153" s="20" t="s">
        <v>63</v>
      </c>
      <c r="H4153" s="20" t="s">
        <v>77</v>
      </c>
      <c r="I4153" s="20"/>
      <c r="J4153" s="20" t="s">
        <v>203</v>
      </c>
      <c r="K4153" s="20" t="s">
        <v>250</v>
      </c>
      <c r="L4153" s="20">
        <v>9000</v>
      </c>
      <c r="M4153" s="20" t="s">
        <v>242</v>
      </c>
      <c r="N4153" s="20" t="s">
        <v>2368</v>
      </c>
    </row>
    <row r="4154" spans="1:14" x14ac:dyDescent="0.25">
      <c r="A4154" s="19">
        <v>45962</v>
      </c>
      <c r="B4154" s="20" t="s">
        <v>35</v>
      </c>
      <c r="C4154" s="20">
        <v>14</v>
      </c>
      <c r="D4154" s="20" t="s">
        <v>291</v>
      </c>
      <c r="E4154" s="20" t="s">
        <v>2361</v>
      </c>
      <c r="F4154" s="20" t="s">
        <v>285</v>
      </c>
      <c r="G4154" s="20" t="s">
        <v>63</v>
      </c>
      <c r="H4154" s="20" t="s">
        <v>70</v>
      </c>
      <c r="I4154" s="20"/>
      <c r="J4154" s="20" t="s">
        <v>203</v>
      </c>
      <c r="K4154" s="20" t="s">
        <v>250</v>
      </c>
      <c r="L4154" s="20">
        <v>761000</v>
      </c>
      <c r="M4154" s="20" t="s">
        <v>242</v>
      </c>
      <c r="N4154" s="20" t="s">
        <v>2897</v>
      </c>
    </row>
    <row r="4155" spans="1:14" x14ac:dyDescent="0.25">
      <c r="A4155" s="19">
        <v>45962</v>
      </c>
      <c r="B4155" s="20" t="s">
        <v>35</v>
      </c>
      <c r="C4155" s="20">
        <v>14</v>
      </c>
      <c r="D4155" s="20" t="s">
        <v>291</v>
      </c>
      <c r="E4155" s="20" t="s">
        <v>2361</v>
      </c>
      <c r="F4155" s="20" t="s">
        <v>285</v>
      </c>
      <c r="G4155" s="20" t="s">
        <v>63</v>
      </c>
      <c r="H4155" s="20" t="s">
        <v>71</v>
      </c>
      <c r="I4155" s="20"/>
      <c r="J4155" s="20" t="s">
        <v>203</v>
      </c>
      <c r="K4155" s="20" t="s">
        <v>250</v>
      </c>
      <c r="L4155" s="20">
        <v>536000</v>
      </c>
      <c r="M4155" s="20" t="s">
        <v>242</v>
      </c>
      <c r="N4155" s="20" t="s">
        <v>2898</v>
      </c>
    </row>
    <row r="4156" spans="1:14" x14ac:dyDescent="0.25">
      <c r="A4156" s="19">
        <v>45962</v>
      </c>
      <c r="B4156" s="20" t="s">
        <v>35</v>
      </c>
      <c r="C4156" s="20">
        <v>14</v>
      </c>
      <c r="D4156" s="20" t="s">
        <v>291</v>
      </c>
      <c r="E4156" s="20" t="s">
        <v>2361</v>
      </c>
      <c r="F4156" s="20" t="s">
        <v>285</v>
      </c>
      <c r="G4156" s="20" t="s">
        <v>63</v>
      </c>
      <c r="H4156" s="20" t="s">
        <v>72</v>
      </c>
      <c r="I4156" s="20"/>
      <c r="J4156" s="20" t="s">
        <v>203</v>
      </c>
      <c r="K4156" s="20" t="s">
        <v>250</v>
      </c>
      <c r="L4156" s="20">
        <v>371000</v>
      </c>
      <c r="M4156" s="20" t="s">
        <v>242</v>
      </c>
      <c r="N4156" s="20" t="s">
        <v>2899</v>
      </c>
    </row>
    <row r="4157" spans="1:14" x14ac:dyDescent="0.25">
      <c r="A4157" s="19">
        <v>45962</v>
      </c>
      <c r="B4157" s="20" t="s">
        <v>35</v>
      </c>
      <c r="C4157" s="20">
        <v>14</v>
      </c>
      <c r="D4157" s="20" t="s">
        <v>291</v>
      </c>
      <c r="E4157" s="20" t="s">
        <v>2361</v>
      </c>
      <c r="F4157" s="20" t="s">
        <v>285</v>
      </c>
      <c r="G4157" s="20" t="s">
        <v>63</v>
      </c>
      <c r="H4157" s="20" t="s">
        <v>73</v>
      </c>
      <c r="I4157" s="20"/>
      <c r="J4157" s="20" t="s">
        <v>203</v>
      </c>
      <c r="K4157" s="20" t="s">
        <v>250</v>
      </c>
      <c r="L4157" s="20">
        <v>229000</v>
      </c>
      <c r="M4157" s="20" t="s">
        <v>242</v>
      </c>
      <c r="N4157" s="20" t="s">
        <v>2900</v>
      </c>
    </row>
    <row r="4158" spans="1:14" x14ac:dyDescent="0.25">
      <c r="A4158" s="19">
        <v>45962</v>
      </c>
      <c r="B4158" s="20" t="s">
        <v>35</v>
      </c>
      <c r="C4158" s="20">
        <v>14</v>
      </c>
      <c r="D4158" s="20" t="s">
        <v>291</v>
      </c>
      <c r="E4158" s="20" t="s">
        <v>2361</v>
      </c>
      <c r="F4158" s="20" t="s">
        <v>285</v>
      </c>
      <c r="G4158" s="20" t="s">
        <v>63</v>
      </c>
      <c r="H4158" s="20" t="s">
        <v>74</v>
      </c>
      <c r="I4158" s="20"/>
      <c r="J4158" s="20" t="s">
        <v>203</v>
      </c>
      <c r="K4158" s="20" t="s">
        <v>250</v>
      </c>
      <c r="L4158" s="20">
        <v>106000</v>
      </c>
      <c r="M4158" s="20" t="s">
        <v>242</v>
      </c>
      <c r="N4158" s="20" t="s">
        <v>2901</v>
      </c>
    </row>
    <row r="4159" spans="1:14" x14ac:dyDescent="0.25">
      <c r="A4159" s="19">
        <v>45962</v>
      </c>
      <c r="B4159" s="20" t="s">
        <v>35</v>
      </c>
      <c r="C4159" s="20">
        <v>14</v>
      </c>
      <c r="D4159" s="20" t="s">
        <v>291</v>
      </c>
      <c r="E4159" s="20" t="s">
        <v>2361</v>
      </c>
      <c r="F4159" s="20" t="s">
        <v>285</v>
      </c>
      <c r="G4159" s="20" t="s">
        <v>63</v>
      </c>
      <c r="H4159" s="20" t="s">
        <v>75</v>
      </c>
      <c r="I4159" s="20"/>
      <c r="J4159" s="20" t="s">
        <v>203</v>
      </c>
      <c r="K4159" s="20" t="s">
        <v>250</v>
      </c>
      <c r="L4159" s="20">
        <v>28000</v>
      </c>
      <c r="M4159" s="20" t="s">
        <v>242</v>
      </c>
      <c r="N4159" s="20" t="s">
        <v>587</v>
      </c>
    </row>
    <row r="4160" spans="1:14" x14ac:dyDescent="0.25">
      <c r="A4160" s="19">
        <v>45962</v>
      </c>
      <c r="B4160" s="20" t="s">
        <v>35</v>
      </c>
      <c r="C4160" s="20">
        <v>14</v>
      </c>
      <c r="D4160" s="20" t="s">
        <v>291</v>
      </c>
      <c r="E4160" s="20" t="s">
        <v>2361</v>
      </c>
      <c r="F4160" s="20" t="s">
        <v>285</v>
      </c>
      <c r="G4160" s="20" t="s">
        <v>63</v>
      </c>
      <c r="H4160" s="20" t="s">
        <v>76</v>
      </c>
      <c r="I4160" s="20"/>
      <c r="J4160" s="20" t="s">
        <v>203</v>
      </c>
      <c r="K4160" s="20" t="s">
        <v>250</v>
      </c>
      <c r="L4160" s="20">
        <v>6000</v>
      </c>
      <c r="M4160" s="20" t="s">
        <v>242</v>
      </c>
      <c r="N4160" s="20" t="s">
        <v>2375</v>
      </c>
    </row>
    <row r="4161" spans="1:14" hidden="1" x14ac:dyDescent="0.25">
      <c r="A4161" s="19">
        <v>45962</v>
      </c>
      <c r="B4161" s="20" t="s">
        <v>35</v>
      </c>
      <c r="C4161" s="20">
        <v>15</v>
      </c>
      <c r="D4161" s="20" t="s">
        <v>291</v>
      </c>
      <c r="E4161" s="20" t="s">
        <v>2361</v>
      </c>
      <c r="F4161" s="20" t="s">
        <v>2362</v>
      </c>
      <c r="G4161" s="20" t="s">
        <v>63</v>
      </c>
      <c r="H4161" s="20" t="s">
        <v>79</v>
      </c>
      <c r="I4161" s="20"/>
      <c r="J4161" s="20" t="s">
        <v>203</v>
      </c>
      <c r="K4161" s="20" t="s">
        <v>250</v>
      </c>
      <c r="L4161" s="20">
        <v>2050000</v>
      </c>
      <c r="M4161" s="20" t="s">
        <v>242</v>
      </c>
      <c r="N4161" s="20" t="s">
        <v>465</v>
      </c>
    </row>
    <row r="4162" spans="1:14" hidden="1" x14ac:dyDescent="0.25">
      <c r="A4162" s="19">
        <v>45962</v>
      </c>
      <c r="B4162" s="20" t="s">
        <v>35</v>
      </c>
      <c r="C4162" s="20">
        <v>15</v>
      </c>
      <c r="D4162" s="20" t="s">
        <v>291</v>
      </c>
      <c r="E4162" s="20" t="s">
        <v>2361</v>
      </c>
      <c r="F4162" s="20" t="s">
        <v>2362</v>
      </c>
      <c r="G4162" s="20" t="s">
        <v>63</v>
      </c>
      <c r="H4162" s="20" t="s">
        <v>80</v>
      </c>
      <c r="I4162" s="20"/>
      <c r="J4162" s="20" t="s">
        <v>203</v>
      </c>
      <c r="K4162" s="20" t="s">
        <v>250</v>
      </c>
      <c r="L4162" s="20">
        <v>47000</v>
      </c>
      <c r="M4162" s="20" t="s">
        <v>242</v>
      </c>
      <c r="N4162" s="20" t="s">
        <v>2902</v>
      </c>
    </row>
    <row r="4163" spans="1:14" hidden="1" x14ac:dyDescent="0.25">
      <c r="A4163" s="19">
        <v>45962</v>
      </c>
      <c r="B4163" s="20" t="s">
        <v>35</v>
      </c>
      <c r="C4163" s="20">
        <v>16</v>
      </c>
      <c r="D4163" s="20" t="s">
        <v>253</v>
      </c>
      <c r="E4163" s="20" t="s">
        <v>2359</v>
      </c>
      <c r="F4163" s="20" t="s">
        <v>240</v>
      </c>
      <c r="G4163" s="20" t="s">
        <v>82</v>
      </c>
      <c r="H4163" s="20"/>
      <c r="I4163" s="20"/>
      <c r="J4163" s="20" t="s">
        <v>201</v>
      </c>
      <c r="K4163" s="20" t="s">
        <v>255</v>
      </c>
      <c r="L4163" s="20">
        <v>15580000</v>
      </c>
      <c r="M4163" s="20" t="s">
        <v>242</v>
      </c>
      <c r="N4163" s="20" t="s">
        <v>2593</v>
      </c>
    </row>
    <row r="4164" spans="1:14" hidden="1" x14ac:dyDescent="0.25">
      <c r="A4164" s="19">
        <v>45962</v>
      </c>
      <c r="B4164" s="20" t="s">
        <v>35</v>
      </c>
      <c r="C4164" s="20">
        <v>16</v>
      </c>
      <c r="D4164" s="20" t="s">
        <v>253</v>
      </c>
      <c r="E4164" s="20" t="s">
        <v>2359</v>
      </c>
      <c r="F4164" s="20" t="s">
        <v>240</v>
      </c>
      <c r="G4164" s="20" t="s">
        <v>82</v>
      </c>
      <c r="H4164" s="20"/>
      <c r="I4164" s="20"/>
      <c r="J4164" s="20" t="s">
        <v>202</v>
      </c>
      <c r="K4164" s="20" t="s">
        <v>255</v>
      </c>
      <c r="L4164" s="20">
        <v>16590000</v>
      </c>
      <c r="M4164" s="20" t="s">
        <v>242</v>
      </c>
      <c r="N4164" s="20" t="s">
        <v>2755</v>
      </c>
    </row>
    <row r="4165" spans="1:14" hidden="1" x14ac:dyDescent="0.25">
      <c r="A4165" s="19">
        <v>45962</v>
      </c>
      <c r="B4165" s="20" t="s">
        <v>35</v>
      </c>
      <c r="C4165" s="20">
        <v>16</v>
      </c>
      <c r="D4165" s="20" t="s">
        <v>253</v>
      </c>
      <c r="E4165" s="20" t="s">
        <v>2359</v>
      </c>
      <c r="F4165" s="20" t="s">
        <v>240</v>
      </c>
      <c r="G4165" s="20" t="s">
        <v>82</v>
      </c>
      <c r="H4165" s="20"/>
      <c r="I4165" s="20"/>
      <c r="J4165" s="20" t="s">
        <v>203</v>
      </c>
      <c r="K4165" s="20" t="s">
        <v>255</v>
      </c>
      <c r="L4165" s="20">
        <v>16350000</v>
      </c>
      <c r="M4165" s="20" t="s">
        <v>242</v>
      </c>
      <c r="N4165" s="20" t="s">
        <v>2903</v>
      </c>
    </row>
    <row r="4166" spans="1:14" hidden="1" x14ac:dyDescent="0.25">
      <c r="A4166" s="19">
        <v>45962</v>
      </c>
      <c r="B4166" s="20" t="s">
        <v>35</v>
      </c>
      <c r="C4166" s="20">
        <v>16</v>
      </c>
      <c r="D4166" s="20" t="s">
        <v>247</v>
      </c>
      <c r="E4166" s="20" t="s">
        <v>2554</v>
      </c>
      <c r="F4166" s="20" t="s">
        <v>2559</v>
      </c>
      <c r="G4166" s="20" t="s">
        <v>82</v>
      </c>
      <c r="H4166" s="20" t="s">
        <v>249</v>
      </c>
      <c r="I4166" s="20"/>
      <c r="J4166" s="20" t="s">
        <v>203</v>
      </c>
      <c r="K4166" s="20" t="s">
        <v>250</v>
      </c>
      <c r="L4166" s="20">
        <v>1.4</v>
      </c>
      <c r="M4166" s="20" t="s">
        <v>251</v>
      </c>
      <c r="N4166" s="20" t="s">
        <v>271</v>
      </c>
    </row>
    <row r="4167" spans="1:14" hidden="1" x14ac:dyDescent="0.25">
      <c r="A4167" s="19">
        <v>45962</v>
      </c>
      <c r="B4167" s="20" t="s">
        <v>35</v>
      </c>
      <c r="C4167" s="20">
        <v>17</v>
      </c>
      <c r="D4167" s="20" t="s">
        <v>291</v>
      </c>
      <c r="E4167" s="20" t="s">
        <v>2361</v>
      </c>
      <c r="F4167" s="20" t="s">
        <v>240</v>
      </c>
      <c r="G4167" s="20" t="s">
        <v>82</v>
      </c>
      <c r="H4167" s="20" t="s">
        <v>83</v>
      </c>
      <c r="I4167" s="20"/>
      <c r="J4167" s="20" t="s">
        <v>203</v>
      </c>
      <c r="K4167" s="20" t="s">
        <v>250</v>
      </c>
      <c r="L4167" s="20">
        <v>13200000</v>
      </c>
      <c r="M4167" s="20" t="s">
        <v>242</v>
      </c>
      <c r="N4167" s="20" t="s">
        <v>2904</v>
      </c>
    </row>
    <row r="4168" spans="1:14" hidden="1" x14ac:dyDescent="0.25">
      <c r="A4168" s="19">
        <v>45962</v>
      </c>
      <c r="B4168" s="20" t="s">
        <v>35</v>
      </c>
      <c r="C4168" s="20">
        <v>17</v>
      </c>
      <c r="D4168" s="20" t="s">
        <v>291</v>
      </c>
      <c r="E4168" s="20" t="s">
        <v>2361</v>
      </c>
      <c r="F4168" s="20" t="s">
        <v>240</v>
      </c>
      <c r="G4168" s="20" t="s">
        <v>82</v>
      </c>
      <c r="H4168" s="20" t="s">
        <v>84</v>
      </c>
      <c r="I4168" s="20"/>
      <c r="J4168" s="20" t="s">
        <v>203</v>
      </c>
      <c r="K4168" s="20" t="s">
        <v>250</v>
      </c>
      <c r="L4168" s="20">
        <v>3170000</v>
      </c>
      <c r="M4168" s="20" t="s">
        <v>242</v>
      </c>
      <c r="N4168" s="20" t="s">
        <v>2905</v>
      </c>
    </row>
    <row r="4169" spans="1:14" hidden="1" x14ac:dyDescent="0.25">
      <c r="A4169" s="19">
        <v>45962</v>
      </c>
      <c r="B4169" s="20" t="s">
        <v>35</v>
      </c>
      <c r="C4169" s="20">
        <v>18</v>
      </c>
      <c r="D4169" s="20" t="s">
        <v>291</v>
      </c>
      <c r="E4169" s="20" t="s">
        <v>2361</v>
      </c>
      <c r="F4169" s="20" t="s">
        <v>240</v>
      </c>
      <c r="G4169" s="20" t="s">
        <v>82</v>
      </c>
      <c r="H4169" s="20" t="s">
        <v>83</v>
      </c>
      <c r="I4169" s="20" t="s">
        <v>315</v>
      </c>
      <c r="J4169" s="20" t="s">
        <v>203</v>
      </c>
      <c r="K4169" s="20" t="s">
        <v>250</v>
      </c>
      <c r="L4169" s="20"/>
      <c r="M4169" s="20" t="s">
        <v>251</v>
      </c>
      <c r="N4169" s="20" t="s">
        <v>2906</v>
      </c>
    </row>
    <row r="4170" spans="1:14" hidden="1" x14ac:dyDescent="0.25">
      <c r="A4170" s="19">
        <v>45962</v>
      </c>
      <c r="B4170" s="20" t="s">
        <v>35</v>
      </c>
      <c r="C4170" s="20">
        <v>18</v>
      </c>
      <c r="D4170" s="20" t="s">
        <v>291</v>
      </c>
      <c r="E4170" s="20" t="s">
        <v>2361</v>
      </c>
      <c r="F4170" s="20" t="s">
        <v>240</v>
      </c>
      <c r="G4170" s="20" t="s">
        <v>82</v>
      </c>
      <c r="H4170" s="20" t="s">
        <v>83</v>
      </c>
      <c r="I4170" s="20" t="s">
        <v>317</v>
      </c>
      <c r="J4170" s="20" t="s">
        <v>203</v>
      </c>
      <c r="K4170" s="20" t="s">
        <v>250</v>
      </c>
      <c r="L4170" s="20"/>
      <c r="M4170" s="20" t="s">
        <v>251</v>
      </c>
      <c r="N4170" s="20" t="s">
        <v>2907</v>
      </c>
    </row>
    <row r="4171" spans="1:14" hidden="1" x14ac:dyDescent="0.25">
      <c r="A4171" s="19">
        <v>45962</v>
      </c>
      <c r="B4171" s="20" t="s">
        <v>35</v>
      </c>
      <c r="C4171" s="20">
        <v>18</v>
      </c>
      <c r="D4171" s="20" t="s">
        <v>291</v>
      </c>
      <c r="E4171" s="20" t="s">
        <v>2361</v>
      </c>
      <c r="F4171" s="20" t="s">
        <v>240</v>
      </c>
      <c r="G4171" s="20" t="s">
        <v>82</v>
      </c>
      <c r="H4171" s="20" t="s">
        <v>83</v>
      </c>
      <c r="I4171" s="20" t="s">
        <v>313</v>
      </c>
      <c r="J4171" s="20" t="s">
        <v>203</v>
      </c>
      <c r="K4171" s="20" t="s">
        <v>250</v>
      </c>
      <c r="L4171" s="20"/>
      <c r="M4171" s="20" t="s">
        <v>251</v>
      </c>
      <c r="N4171" s="20" t="s">
        <v>2666</v>
      </c>
    </row>
    <row r="4172" spans="1:14" hidden="1" x14ac:dyDescent="0.25">
      <c r="A4172" s="19">
        <v>45962</v>
      </c>
      <c r="B4172" s="20" t="s">
        <v>35</v>
      </c>
      <c r="C4172" s="20">
        <v>18</v>
      </c>
      <c r="D4172" s="20" t="s">
        <v>291</v>
      </c>
      <c r="E4172" s="20" t="s">
        <v>2361</v>
      </c>
      <c r="F4172" s="20" t="s">
        <v>240</v>
      </c>
      <c r="G4172" s="20" t="s">
        <v>82</v>
      </c>
      <c r="H4172" s="20" t="s">
        <v>84</v>
      </c>
      <c r="I4172" s="20" t="s">
        <v>319</v>
      </c>
      <c r="J4172" s="20" t="s">
        <v>203</v>
      </c>
      <c r="K4172" s="20" t="s">
        <v>250</v>
      </c>
      <c r="L4172" s="20"/>
      <c r="M4172" s="20" t="s">
        <v>251</v>
      </c>
      <c r="N4172" s="20" t="s">
        <v>1333</v>
      </c>
    </row>
    <row r="4173" spans="1:14" hidden="1" x14ac:dyDescent="0.25">
      <c r="A4173" s="19">
        <v>45962</v>
      </c>
      <c r="B4173" s="20" t="s">
        <v>35</v>
      </c>
      <c r="C4173" s="20">
        <v>18</v>
      </c>
      <c r="D4173" s="20" t="s">
        <v>291</v>
      </c>
      <c r="E4173" s="20" t="s">
        <v>2361</v>
      </c>
      <c r="F4173" s="20" t="s">
        <v>240</v>
      </c>
      <c r="G4173" s="20" t="s">
        <v>82</v>
      </c>
      <c r="H4173" s="20" t="s">
        <v>84</v>
      </c>
      <c r="I4173" s="20" t="s">
        <v>321</v>
      </c>
      <c r="J4173" s="20" t="s">
        <v>203</v>
      </c>
      <c r="K4173" s="20" t="s">
        <v>250</v>
      </c>
      <c r="L4173" s="20"/>
      <c r="M4173" s="20" t="s">
        <v>251</v>
      </c>
      <c r="N4173" s="20" t="s">
        <v>483</v>
      </c>
    </row>
    <row r="4174" spans="1:14" hidden="1" x14ac:dyDescent="0.25">
      <c r="A4174" s="19">
        <v>45962</v>
      </c>
      <c r="B4174" s="20" t="s">
        <v>35</v>
      </c>
      <c r="C4174" s="20">
        <v>19</v>
      </c>
      <c r="D4174" s="20" t="s">
        <v>253</v>
      </c>
      <c r="E4174" s="20" t="s">
        <v>2359</v>
      </c>
      <c r="F4174" s="20" t="s">
        <v>244</v>
      </c>
      <c r="G4174" s="20" t="s">
        <v>82</v>
      </c>
      <c r="H4174" s="20"/>
      <c r="I4174" s="20"/>
      <c r="J4174" s="20" t="s">
        <v>201</v>
      </c>
      <c r="K4174" s="20" t="s">
        <v>255</v>
      </c>
      <c r="L4174" s="20">
        <v>1870000000</v>
      </c>
      <c r="M4174" s="20" t="s">
        <v>245</v>
      </c>
      <c r="N4174" s="20" t="s">
        <v>2597</v>
      </c>
    </row>
    <row r="4175" spans="1:14" hidden="1" x14ac:dyDescent="0.25">
      <c r="A4175" s="19">
        <v>45962</v>
      </c>
      <c r="B4175" s="20" t="s">
        <v>35</v>
      </c>
      <c r="C4175" s="20">
        <v>19</v>
      </c>
      <c r="D4175" s="20" t="s">
        <v>253</v>
      </c>
      <c r="E4175" s="20" t="s">
        <v>2359</v>
      </c>
      <c r="F4175" s="20" t="s">
        <v>244</v>
      </c>
      <c r="G4175" s="20" t="s">
        <v>82</v>
      </c>
      <c r="H4175" s="20"/>
      <c r="I4175" s="20"/>
      <c r="J4175" s="20" t="s">
        <v>202</v>
      </c>
      <c r="K4175" s="20" t="s">
        <v>255</v>
      </c>
      <c r="L4175" s="20">
        <v>1860000000</v>
      </c>
      <c r="M4175" s="20" t="s">
        <v>245</v>
      </c>
      <c r="N4175" s="20" t="s">
        <v>2204</v>
      </c>
    </row>
    <row r="4176" spans="1:14" hidden="1" x14ac:dyDescent="0.25">
      <c r="A4176" s="19">
        <v>45962</v>
      </c>
      <c r="B4176" s="20" t="s">
        <v>35</v>
      </c>
      <c r="C4176" s="20">
        <v>19</v>
      </c>
      <c r="D4176" s="20" t="s">
        <v>253</v>
      </c>
      <c r="E4176" s="20" t="s">
        <v>2359</v>
      </c>
      <c r="F4176" s="20" t="s">
        <v>244</v>
      </c>
      <c r="G4176" s="20" t="s">
        <v>82</v>
      </c>
      <c r="H4176" s="20"/>
      <c r="I4176" s="20"/>
      <c r="J4176" s="20" t="s">
        <v>203</v>
      </c>
      <c r="K4176" s="20" t="s">
        <v>255</v>
      </c>
      <c r="L4176" s="20">
        <v>1730000000</v>
      </c>
      <c r="M4176" s="20" t="s">
        <v>245</v>
      </c>
      <c r="N4176" s="20" t="s">
        <v>2908</v>
      </c>
    </row>
    <row r="4177" spans="1:14" hidden="1" x14ac:dyDescent="0.25">
      <c r="A4177" s="19">
        <v>45962</v>
      </c>
      <c r="B4177" s="20" t="s">
        <v>35</v>
      </c>
      <c r="C4177" s="20">
        <v>19</v>
      </c>
      <c r="D4177" s="20" t="s">
        <v>247</v>
      </c>
      <c r="E4177" s="20" t="s">
        <v>2554</v>
      </c>
      <c r="F4177" s="20" t="s">
        <v>2558</v>
      </c>
      <c r="G4177" s="20" t="s">
        <v>82</v>
      </c>
      <c r="H4177" s="20" t="s">
        <v>249</v>
      </c>
      <c r="I4177" s="20"/>
      <c r="J4177" s="20" t="s">
        <v>203</v>
      </c>
      <c r="K4177" s="20" t="s">
        <v>250</v>
      </c>
      <c r="L4177" s="20">
        <v>6.9</v>
      </c>
      <c r="M4177" s="20" t="s">
        <v>251</v>
      </c>
      <c r="N4177" s="20" t="s">
        <v>2909</v>
      </c>
    </row>
    <row r="4178" spans="1:14" hidden="1" x14ac:dyDescent="0.25">
      <c r="A4178" s="19">
        <v>45962</v>
      </c>
      <c r="B4178" s="20" t="s">
        <v>35</v>
      </c>
      <c r="C4178" s="20">
        <v>20</v>
      </c>
      <c r="D4178" s="20" t="s">
        <v>291</v>
      </c>
      <c r="E4178" s="20" t="s">
        <v>2361</v>
      </c>
      <c r="F4178" s="20" t="s">
        <v>244</v>
      </c>
      <c r="G4178" s="20" t="s">
        <v>82</v>
      </c>
      <c r="H4178" s="20" t="s">
        <v>83</v>
      </c>
      <c r="I4178" s="20"/>
      <c r="J4178" s="20" t="s">
        <v>203</v>
      </c>
      <c r="K4178" s="20" t="s">
        <v>250</v>
      </c>
      <c r="L4178" s="20">
        <v>1270000000</v>
      </c>
      <c r="M4178" s="20" t="s">
        <v>245</v>
      </c>
      <c r="N4178" s="20" t="s">
        <v>2910</v>
      </c>
    </row>
    <row r="4179" spans="1:14" hidden="1" x14ac:dyDescent="0.25">
      <c r="A4179" s="19">
        <v>45962</v>
      </c>
      <c r="B4179" s="20" t="s">
        <v>35</v>
      </c>
      <c r="C4179" s="20">
        <v>20</v>
      </c>
      <c r="D4179" s="20" t="s">
        <v>291</v>
      </c>
      <c r="E4179" s="20" t="s">
        <v>2361</v>
      </c>
      <c r="F4179" s="20" t="s">
        <v>244</v>
      </c>
      <c r="G4179" s="20" t="s">
        <v>82</v>
      </c>
      <c r="H4179" s="20" t="s">
        <v>84</v>
      </c>
      <c r="I4179" s="20"/>
      <c r="J4179" s="20" t="s">
        <v>203</v>
      </c>
      <c r="K4179" s="20" t="s">
        <v>250</v>
      </c>
      <c r="L4179" s="20">
        <v>462500000</v>
      </c>
      <c r="M4179" s="20" t="s">
        <v>245</v>
      </c>
      <c r="N4179" s="20" t="s">
        <v>2911</v>
      </c>
    </row>
    <row r="4180" spans="1:14" hidden="1" x14ac:dyDescent="0.25">
      <c r="A4180" s="19">
        <v>45962</v>
      </c>
      <c r="B4180" s="20" t="s">
        <v>35</v>
      </c>
      <c r="C4180" s="20">
        <v>21</v>
      </c>
      <c r="D4180" s="20" t="s">
        <v>291</v>
      </c>
      <c r="E4180" s="20" t="s">
        <v>2361</v>
      </c>
      <c r="F4180" s="20" t="s">
        <v>244</v>
      </c>
      <c r="G4180" s="20" t="s">
        <v>82</v>
      </c>
      <c r="H4180" s="20" t="s">
        <v>83</v>
      </c>
      <c r="I4180" s="20" t="s">
        <v>315</v>
      </c>
      <c r="J4180" s="20" t="s">
        <v>203</v>
      </c>
      <c r="K4180" s="20" t="s">
        <v>250</v>
      </c>
      <c r="L4180" s="20"/>
      <c r="M4180" s="20" t="s">
        <v>251</v>
      </c>
      <c r="N4180" s="20" t="s">
        <v>2912</v>
      </c>
    </row>
    <row r="4181" spans="1:14" hidden="1" x14ac:dyDescent="0.25">
      <c r="A4181" s="19">
        <v>45962</v>
      </c>
      <c r="B4181" s="20" t="s">
        <v>35</v>
      </c>
      <c r="C4181" s="20">
        <v>21</v>
      </c>
      <c r="D4181" s="20" t="s">
        <v>291</v>
      </c>
      <c r="E4181" s="20" t="s">
        <v>2361</v>
      </c>
      <c r="F4181" s="20" t="s">
        <v>244</v>
      </c>
      <c r="G4181" s="20" t="s">
        <v>82</v>
      </c>
      <c r="H4181" s="20" t="s">
        <v>83</v>
      </c>
      <c r="I4181" s="20" t="s">
        <v>317</v>
      </c>
      <c r="J4181" s="20" t="s">
        <v>203</v>
      </c>
      <c r="K4181" s="20" t="s">
        <v>250</v>
      </c>
      <c r="L4181" s="20"/>
      <c r="M4181" s="20" t="s">
        <v>251</v>
      </c>
      <c r="N4181" s="20" t="s">
        <v>1510</v>
      </c>
    </row>
    <row r="4182" spans="1:14" hidden="1" x14ac:dyDescent="0.25">
      <c r="A4182" s="19">
        <v>45962</v>
      </c>
      <c r="B4182" s="20" t="s">
        <v>35</v>
      </c>
      <c r="C4182" s="20">
        <v>21</v>
      </c>
      <c r="D4182" s="20" t="s">
        <v>291</v>
      </c>
      <c r="E4182" s="20" t="s">
        <v>2361</v>
      </c>
      <c r="F4182" s="20" t="s">
        <v>244</v>
      </c>
      <c r="G4182" s="20" t="s">
        <v>82</v>
      </c>
      <c r="H4182" s="20" t="s">
        <v>83</v>
      </c>
      <c r="I4182" s="20" t="s">
        <v>313</v>
      </c>
      <c r="J4182" s="20" t="s">
        <v>203</v>
      </c>
      <c r="K4182" s="20" t="s">
        <v>250</v>
      </c>
      <c r="L4182" s="20"/>
      <c r="M4182" s="20" t="s">
        <v>251</v>
      </c>
      <c r="N4182" s="20" t="s">
        <v>1337</v>
      </c>
    </row>
    <row r="4183" spans="1:14" hidden="1" x14ac:dyDescent="0.25">
      <c r="A4183" s="19">
        <v>45962</v>
      </c>
      <c r="B4183" s="20" t="s">
        <v>35</v>
      </c>
      <c r="C4183" s="20">
        <v>21</v>
      </c>
      <c r="D4183" s="20" t="s">
        <v>291</v>
      </c>
      <c r="E4183" s="20" t="s">
        <v>2361</v>
      </c>
      <c r="F4183" s="20" t="s">
        <v>244</v>
      </c>
      <c r="G4183" s="20" t="s">
        <v>82</v>
      </c>
      <c r="H4183" s="20" t="s">
        <v>84</v>
      </c>
      <c r="I4183" s="20" t="s">
        <v>2385</v>
      </c>
      <c r="J4183" s="20" t="s">
        <v>203</v>
      </c>
      <c r="K4183" s="20" t="s">
        <v>250</v>
      </c>
      <c r="L4183" s="20"/>
      <c r="M4183" s="20" t="s">
        <v>251</v>
      </c>
      <c r="N4183" s="20" t="s">
        <v>2913</v>
      </c>
    </row>
    <row r="4184" spans="1:14" hidden="1" x14ac:dyDescent="0.25">
      <c r="A4184" s="19">
        <v>45962</v>
      </c>
      <c r="B4184" s="20" t="s">
        <v>35</v>
      </c>
      <c r="C4184" s="20">
        <v>21</v>
      </c>
      <c r="D4184" s="20" t="s">
        <v>291</v>
      </c>
      <c r="E4184" s="20" t="s">
        <v>2361</v>
      </c>
      <c r="F4184" s="20" t="s">
        <v>244</v>
      </c>
      <c r="G4184" s="20" t="s">
        <v>82</v>
      </c>
      <c r="H4184" s="20" t="s">
        <v>84</v>
      </c>
      <c r="I4184" s="20" t="s">
        <v>321</v>
      </c>
      <c r="J4184" s="20" t="s">
        <v>203</v>
      </c>
      <c r="K4184" s="20" t="s">
        <v>250</v>
      </c>
      <c r="L4184" s="20"/>
      <c r="M4184" s="20" t="s">
        <v>251</v>
      </c>
      <c r="N4184" s="20" t="s">
        <v>2914</v>
      </c>
    </row>
    <row r="4185" spans="1:14" hidden="1" x14ac:dyDescent="0.25">
      <c r="A4185" s="19">
        <v>45962</v>
      </c>
      <c r="B4185" s="20" t="s">
        <v>35</v>
      </c>
      <c r="C4185" s="20">
        <v>22</v>
      </c>
      <c r="D4185" s="20" t="s">
        <v>253</v>
      </c>
      <c r="E4185" s="20" t="s">
        <v>2359</v>
      </c>
      <c r="F4185" s="20" t="s">
        <v>334</v>
      </c>
      <c r="G4185" s="20" t="s">
        <v>82</v>
      </c>
      <c r="H4185" s="20"/>
      <c r="I4185" s="20"/>
      <c r="J4185" s="20" t="s">
        <v>201</v>
      </c>
      <c r="K4185" s="20" t="s">
        <v>255</v>
      </c>
      <c r="L4185" s="20">
        <v>120</v>
      </c>
      <c r="M4185" s="20" t="s">
        <v>245</v>
      </c>
      <c r="N4185" s="20" t="s">
        <v>2600</v>
      </c>
    </row>
    <row r="4186" spans="1:14" hidden="1" x14ac:dyDescent="0.25">
      <c r="A4186" s="19">
        <v>45962</v>
      </c>
      <c r="B4186" s="20" t="s">
        <v>35</v>
      </c>
      <c r="C4186" s="20">
        <v>22</v>
      </c>
      <c r="D4186" s="20" t="s">
        <v>253</v>
      </c>
      <c r="E4186" s="20" t="s">
        <v>2359</v>
      </c>
      <c r="F4186" s="20" t="s">
        <v>334</v>
      </c>
      <c r="G4186" s="20" t="s">
        <v>82</v>
      </c>
      <c r="H4186" s="20"/>
      <c r="I4186" s="20"/>
      <c r="J4186" s="20" t="s">
        <v>202</v>
      </c>
      <c r="K4186" s="20" t="s">
        <v>255</v>
      </c>
      <c r="L4186" s="20">
        <v>112</v>
      </c>
      <c r="M4186" s="20" t="s">
        <v>245</v>
      </c>
      <c r="N4186" s="20" t="s">
        <v>2762</v>
      </c>
    </row>
    <row r="4187" spans="1:14" hidden="1" x14ac:dyDescent="0.25">
      <c r="A4187" s="19">
        <v>45962</v>
      </c>
      <c r="B4187" s="20" t="s">
        <v>35</v>
      </c>
      <c r="C4187" s="20">
        <v>22</v>
      </c>
      <c r="D4187" s="20" t="s">
        <v>253</v>
      </c>
      <c r="E4187" s="20" t="s">
        <v>2359</v>
      </c>
      <c r="F4187" s="20" t="s">
        <v>334</v>
      </c>
      <c r="G4187" s="20" t="s">
        <v>82</v>
      </c>
      <c r="H4187" s="20"/>
      <c r="I4187" s="20"/>
      <c r="J4187" s="20" t="s">
        <v>203</v>
      </c>
      <c r="K4187" s="20" t="s">
        <v>255</v>
      </c>
      <c r="L4187" s="20">
        <v>106</v>
      </c>
      <c r="M4187" s="20" t="s">
        <v>245</v>
      </c>
      <c r="N4187" s="20" t="s">
        <v>2915</v>
      </c>
    </row>
    <row r="4188" spans="1:14" hidden="1" x14ac:dyDescent="0.25">
      <c r="A4188" s="19">
        <v>45962</v>
      </c>
      <c r="B4188" s="20" t="s">
        <v>35</v>
      </c>
      <c r="C4188" s="20">
        <v>23</v>
      </c>
      <c r="D4188" s="20" t="s">
        <v>291</v>
      </c>
      <c r="E4188" s="20" t="s">
        <v>2361</v>
      </c>
      <c r="F4188" s="20" t="s">
        <v>428</v>
      </c>
      <c r="G4188" s="20" t="s">
        <v>82</v>
      </c>
      <c r="H4188" s="20" t="s">
        <v>95</v>
      </c>
      <c r="I4188" s="20"/>
      <c r="J4188" s="20" t="s">
        <v>203</v>
      </c>
      <c r="K4188" s="20" t="s">
        <v>250</v>
      </c>
      <c r="L4188" s="20">
        <v>2490000</v>
      </c>
      <c r="M4188" s="20" t="s">
        <v>242</v>
      </c>
      <c r="N4188" s="20" t="s">
        <v>2916</v>
      </c>
    </row>
    <row r="4189" spans="1:14" hidden="1" x14ac:dyDescent="0.25">
      <c r="A4189" s="19">
        <v>45962</v>
      </c>
      <c r="B4189" s="20" t="s">
        <v>35</v>
      </c>
      <c r="C4189" s="20">
        <v>23</v>
      </c>
      <c r="D4189" s="20" t="s">
        <v>291</v>
      </c>
      <c r="E4189" s="20" t="s">
        <v>2361</v>
      </c>
      <c r="F4189" s="20" t="s">
        <v>428</v>
      </c>
      <c r="G4189" s="20" t="s">
        <v>82</v>
      </c>
      <c r="H4189" s="20" t="s">
        <v>94</v>
      </c>
      <c r="I4189" s="20"/>
      <c r="J4189" s="20" t="s">
        <v>203</v>
      </c>
      <c r="K4189" s="20" t="s">
        <v>250</v>
      </c>
      <c r="L4189" s="20">
        <v>6730000</v>
      </c>
      <c r="M4189" s="20" t="s">
        <v>242</v>
      </c>
      <c r="N4189" s="20" t="s">
        <v>2818</v>
      </c>
    </row>
    <row r="4190" spans="1:14" hidden="1" x14ac:dyDescent="0.25">
      <c r="A4190" s="19">
        <v>45962</v>
      </c>
      <c r="B4190" s="20" t="s">
        <v>35</v>
      </c>
      <c r="C4190" s="20">
        <v>24</v>
      </c>
      <c r="D4190" s="20" t="s">
        <v>291</v>
      </c>
      <c r="E4190" s="20" t="s">
        <v>2361</v>
      </c>
      <c r="F4190" s="20" t="s">
        <v>445</v>
      </c>
      <c r="G4190" s="20" t="s">
        <v>82</v>
      </c>
      <c r="H4190" s="20" t="s">
        <v>95</v>
      </c>
      <c r="I4190" s="20"/>
      <c r="J4190" s="20" t="s">
        <v>203</v>
      </c>
      <c r="K4190" s="20" t="s">
        <v>250</v>
      </c>
      <c r="L4190" s="20">
        <v>232200000</v>
      </c>
      <c r="M4190" s="20" t="s">
        <v>245</v>
      </c>
      <c r="N4190" s="20" t="s">
        <v>2917</v>
      </c>
    </row>
    <row r="4191" spans="1:14" hidden="1" x14ac:dyDescent="0.25">
      <c r="A4191" s="19">
        <v>45962</v>
      </c>
      <c r="B4191" s="20" t="s">
        <v>35</v>
      </c>
      <c r="C4191" s="20">
        <v>24</v>
      </c>
      <c r="D4191" s="20" t="s">
        <v>291</v>
      </c>
      <c r="E4191" s="20" t="s">
        <v>2361</v>
      </c>
      <c r="F4191" s="20" t="s">
        <v>445</v>
      </c>
      <c r="G4191" s="20" t="s">
        <v>82</v>
      </c>
      <c r="H4191" s="20" t="s">
        <v>94</v>
      </c>
      <c r="I4191" s="20"/>
      <c r="J4191" s="20" t="s">
        <v>203</v>
      </c>
      <c r="K4191" s="20" t="s">
        <v>250</v>
      </c>
      <c r="L4191" s="20">
        <v>846500000</v>
      </c>
      <c r="M4191" s="20" t="s">
        <v>245</v>
      </c>
      <c r="N4191" s="20" t="s">
        <v>2918</v>
      </c>
    </row>
    <row r="4192" spans="1:14" hidden="1" x14ac:dyDescent="0.25">
      <c r="A4192" s="19">
        <v>45962</v>
      </c>
      <c r="B4192" s="20" t="s">
        <v>97</v>
      </c>
      <c r="C4192" s="20">
        <v>26</v>
      </c>
      <c r="D4192" s="20" t="s">
        <v>238</v>
      </c>
      <c r="E4192" s="20" t="s">
        <v>2341</v>
      </c>
      <c r="F4192" s="20" t="s">
        <v>240</v>
      </c>
      <c r="G4192" s="20" t="s">
        <v>82</v>
      </c>
      <c r="H4192" s="20"/>
      <c r="I4192" s="20"/>
      <c r="J4192" s="20" t="s">
        <v>2891</v>
      </c>
      <c r="K4192" s="20" t="s">
        <v>241</v>
      </c>
      <c r="L4192" s="20">
        <v>91110000</v>
      </c>
      <c r="M4192" s="20" t="s">
        <v>242</v>
      </c>
      <c r="N4192" s="20" t="s">
        <v>2919</v>
      </c>
    </row>
    <row r="4193" spans="1:14" hidden="1" x14ac:dyDescent="0.25">
      <c r="A4193" s="19">
        <v>45962</v>
      </c>
      <c r="B4193" s="20" t="s">
        <v>97</v>
      </c>
      <c r="C4193" s="20">
        <v>26</v>
      </c>
      <c r="D4193" s="20" t="s">
        <v>238</v>
      </c>
      <c r="E4193" s="20" t="s">
        <v>2341</v>
      </c>
      <c r="F4193" s="20" t="s">
        <v>244</v>
      </c>
      <c r="G4193" s="20" t="s">
        <v>82</v>
      </c>
      <c r="H4193" s="20"/>
      <c r="I4193" s="20"/>
      <c r="J4193" s="20" t="s">
        <v>2891</v>
      </c>
      <c r="K4193" s="20" t="s">
        <v>241</v>
      </c>
      <c r="L4193" s="20">
        <v>5780000000</v>
      </c>
      <c r="M4193" s="20" t="s">
        <v>245</v>
      </c>
      <c r="N4193" s="20" t="s">
        <v>2920</v>
      </c>
    </row>
    <row r="4194" spans="1:14" hidden="1" x14ac:dyDescent="0.25">
      <c r="A4194" s="19">
        <v>45962</v>
      </c>
      <c r="B4194" s="20" t="s">
        <v>97</v>
      </c>
      <c r="C4194" s="20">
        <v>27</v>
      </c>
      <c r="D4194" s="20" t="s">
        <v>253</v>
      </c>
      <c r="E4194" s="20" t="s">
        <v>2359</v>
      </c>
      <c r="F4194" s="20" t="s">
        <v>285</v>
      </c>
      <c r="G4194" s="20" t="s">
        <v>63</v>
      </c>
      <c r="H4194" s="20"/>
      <c r="I4194" s="20"/>
      <c r="J4194" s="20" t="s">
        <v>201</v>
      </c>
      <c r="K4194" s="20" t="s">
        <v>255</v>
      </c>
      <c r="L4194" s="20">
        <v>2700000</v>
      </c>
      <c r="M4194" s="20" t="s">
        <v>242</v>
      </c>
      <c r="N4194" s="20" t="s">
        <v>2606</v>
      </c>
    </row>
    <row r="4195" spans="1:14" hidden="1" x14ac:dyDescent="0.25">
      <c r="A4195" s="19">
        <v>45962</v>
      </c>
      <c r="B4195" s="20" t="s">
        <v>97</v>
      </c>
      <c r="C4195" s="20">
        <v>27</v>
      </c>
      <c r="D4195" s="20" t="s">
        <v>253</v>
      </c>
      <c r="E4195" s="20" t="s">
        <v>2359</v>
      </c>
      <c r="F4195" s="20" t="s">
        <v>285</v>
      </c>
      <c r="G4195" s="20" t="s">
        <v>63</v>
      </c>
      <c r="H4195" s="20"/>
      <c r="I4195" s="20"/>
      <c r="J4195" s="20" t="s">
        <v>202</v>
      </c>
      <c r="K4195" s="20" t="s">
        <v>255</v>
      </c>
      <c r="L4195" s="20">
        <v>2740000</v>
      </c>
      <c r="M4195" s="20" t="s">
        <v>242</v>
      </c>
      <c r="N4195" s="20" t="s">
        <v>2767</v>
      </c>
    </row>
    <row r="4196" spans="1:14" hidden="1" x14ac:dyDescent="0.25">
      <c r="A4196" s="19">
        <v>45962</v>
      </c>
      <c r="B4196" s="20" t="s">
        <v>97</v>
      </c>
      <c r="C4196" s="20">
        <v>27</v>
      </c>
      <c r="D4196" s="20" t="s">
        <v>253</v>
      </c>
      <c r="E4196" s="20" t="s">
        <v>2359</v>
      </c>
      <c r="F4196" s="20" t="s">
        <v>285</v>
      </c>
      <c r="G4196" s="20" t="s">
        <v>63</v>
      </c>
      <c r="H4196" s="20"/>
      <c r="I4196" s="20"/>
      <c r="J4196" s="20" t="s">
        <v>203</v>
      </c>
      <c r="K4196" s="20" t="s">
        <v>255</v>
      </c>
      <c r="L4196" s="20">
        <v>2780000</v>
      </c>
      <c r="M4196" s="20" t="s">
        <v>242</v>
      </c>
      <c r="N4196" s="20" t="s">
        <v>2921</v>
      </c>
    </row>
    <row r="4197" spans="1:14" hidden="1" x14ac:dyDescent="0.25">
      <c r="A4197" s="19">
        <v>45962</v>
      </c>
      <c r="B4197" s="20" t="s">
        <v>97</v>
      </c>
      <c r="C4197" s="20">
        <v>27</v>
      </c>
      <c r="D4197" s="20" t="s">
        <v>247</v>
      </c>
      <c r="E4197" s="20" t="s">
        <v>2554</v>
      </c>
      <c r="F4197" s="20" t="s">
        <v>2555</v>
      </c>
      <c r="G4197" s="20" t="s">
        <v>63</v>
      </c>
      <c r="H4197" s="20" t="s">
        <v>286</v>
      </c>
      <c r="I4197" s="20"/>
      <c r="J4197" s="20" t="s">
        <v>203</v>
      </c>
      <c r="K4197" s="20" t="s">
        <v>250</v>
      </c>
      <c r="L4197" s="20">
        <v>1.5</v>
      </c>
      <c r="M4197" s="20" t="s">
        <v>251</v>
      </c>
      <c r="N4197" s="20" t="s">
        <v>446</v>
      </c>
    </row>
    <row r="4198" spans="1:14" hidden="1" x14ac:dyDescent="0.25">
      <c r="A4198" s="19">
        <v>45962</v>
      </c>
      <c r="B4198" s="20" t="s">
        <v>97</v>
      </c>
      <c r="C4198" s="20">
        <v>28</v>
      </c>
      <c r="D4198" s="20" t="s">
        <v>291</v>
      </c>
      <c r="E4198" s="20" t="s">
        <v>2361</v>
      </c>
      <c r="F4198" s="20" t="s">
        <v>2362</v>
      </c>
      <c r="G4198" s="20" t="s">
        <v>63</v>
      </c>
      <c r="H4198" s="20" t="s">
        <v>64</v>
      </c>
      <c r="I4198" s="20"/>
      <c r="J4198" s="20" t="s">
        <v>203</v>
      </c>
      <c r="K4198" s="20" t="s">
        <v>250</v>
      </c>
      <c r="L4198" s="20">
        <v>2440000</v>
      </c>
      <c r="M4198" s="20" t="s">
        <v>242</v>
      </c>
      <c r="N4198" s="20" t="s">
        <v>2922</v>
      </c>
    </row>
    <row r="4199" spans="1:14" hidden="1" x14ac:dyDescent="0.25">
      <c r="A4199" s="19">
        <v>45962</v>
      </c>
      <c r="B4199" s="20" t="s">
        <v>97</v>
      </c>
      <c r="C4199" s="20">
        <v>28</v>
      </c>
      <c r="D4199" s="20" t="s">
        <v>291</v>
      </c>
      <c r="E4199" s="20" t="s">
        <v>2361</v>
      </c>
      <c r="F4199" s="20" t="s">
        <v>2362</v>
      </c>
      <c r="G4199" s="20" t="s">
        <v>63</v>
      </c>
      <c r="H4199" s="20" t="s">
        <v>65</v>
      </c>
      <c r="I4199" s="20"/>
      <c r="J4199" s="20" t="s">
        <v>203</v>
      </c>
      <c r="K4199" s="20" t="s">
        <v>250</v>
      </c>
      <c r="L4199" s="20">
        <v>339800</v>
      </c>
      <c r="M4199" s="20" t="s">
        <v>242</v>
      </c>
      <c r="N4199" s="20" t="s">
        <v>2923</v>
      </c>
    </row>
    <row r="4200" spans="1:14" hidden="1" x14ac:dyDescent="0.25">
      <c r="A4200" s="19">
        <v>45962</v>
      </c>
      <c r="B4200" s="20" t="s">
        <v>97</v>
      </c>
      <c r="C4200" s="20">
        <v>29</v>
      </c>
      <c r="D4200" s="20" t="s">
        <v>291</v>
      </c>
      <c r="E4200" s="20" t="s">
        <v>2361</v>
      </c>
      <c r="F4200" s="20" t="s">
        <v>2362</v>
      </c>
      <c r="G4200" s="20" t="s">
        <v>63</v>
      </c>
      <c r="H4200" s="20" t="s">
        <v>2364</v>
      </c>
      <c r="I4200" s="20"/>
      <c r="J4200" s="20" t="s">
        <v>203</v>
      </c>
      <c r="K4200" s="20" t="s">
        <v>250</v>
      </c>
      <c r="L4200" s="20">
        <v>1460000</v>
      </c>
      <c r="M4200" s="20" t="s">
        <v>242</v>
      </c>
      <c r="N4200" s="20" t="s">
        <v>793</v>
      </c>
    </row>
    <row r="4201" spans="1:14" hidden="1" x14ac:dyDescent="0.25">
      <c r="A4201" s="19">
        <v>45962</v>
      </c>
      <c r="B4201" s="20" t="s">
        <v>97</v>
      </c>
      <c r="C4201" s="20">
        <v>29</v>
      </c>
      <c r="D4201" s="20" t="s">
        <v>291</v>
      </c>
      <c r="E4201" s="20" t="s">
        <v>2361</v>
      </c>
      <c r="F4201" s="20" t="s">
        <v>2362</v>
      </c>
      <c r="G4201" s="20" t="s">
        <v>63</v>
      </c>
      <c r="H4201" s="20" t="s">
        <v>2366</v>
      </c>
      <c r="I4201" s="20"/>
      <c r="J4201" s="20" t="s">
        <v>203</v>
      </c>
      <c r="K4201" s="20" t="s">
        <v>250</v>
      </c>
      <c r="L4201" s="20">
        <v>1300000</v>
      </c>
      <c r="M4201" s="20" t="s">
        <v>242</v>
      </c>
      <c r="N4201" s="20" t="s">
        <v>1430</v>
      </c>
    </row>
    <row r="4202" spans="1:14" hidden="1" x14ac:dyDescent="0.25">
      <c r="A4202" s="19">
        <v>45962</v>
      </c>
      <c r="B4202" s="20" t="s">
        <v>97</v>
      </c>
      <c r="C4202" s="20">
        <v>30</v>
      </c>
      <c r="D4202" s="20" t="s">
        <v>291</v>
      </c>
      <c r="E4202" s="20" t="s">
        <v>2361</v>
      </c>
      <c r="F4202" s="20" t="s">
        <v>285</v>
      </c>
      <c r="G4202" s="20" t="s">
        <v>63</v>
      </c>
      <c r="H4202" s="20" t="s">
        <v>77</v>
      </c>
      <c r="I4202" s="20"/>
      <c r="J4202" s="20" t="s">
        <v>203</v>
      </c>
      <c r="K4202" s="20" t="s">
        <v>250</v>
      </c>
      <c r="L4202" s="20">
        <v>1000</v>
      </c>
      <c r="M4202" s="20" t="s">
        <v>242</v>
      </c>
      <c r="N4202" s="20" t="s">
        <v>2394</v>
      </c>
    </row>
    <row r="4203" spans="1:14" hidden="1" x14ac:dyDescent="0.25">
      <c r="A4203" s="19">
        <v>45962</v>
      </c>
      <c r="B4203" s="20" t="s">
        <v>97</v>
      </c>
      <c r="C4203" s="20">
        <v>30</v>
      </c>
      <c r="D4203" s="20" t="s">
        <v>291</v>
      </c>
      <c r="E4203" s="20" t="s">
        <v>2361</v>
      </c>
      <c r="F4203" s="20" t="s">
        <v>285</v>
      </c>
      <c r="G4203" s="20" t="s">
        <v>63</v>
      </c>
      <c r="H4203" s="20" t="s">
        <v>70</v>
      </c>
      <c r="I4203" s="20"/>
      <c r="J4203" s="20" t="s">
        <v>203</v>
      </c>
      <c r="K4203" s="20" t="s">
        <v>250</v>
      </c>
      <c r="L4203" s="20">
        <v>1003000</v>
      </c>
      <c r="M4203" s="20" t="s">
        <v>242</v>
      </c>
      <c r="N4203" s="20" t="s">
        <v>2924</v>
      </c>
    </row>
    <row r="4204" spans="1:14" hidden="1" x14ac:dyDescent="0.25">
      <c r="A4204" s="19">
        <v>45962</v>
      </c>
      <c r="B4204" s="20" t="s">
        <v>97</v>
      </c>
      <c r="C4204" s="20">
        <v>30</v>
      </c>
      <c r="D4204" s="20" t="s">
        <v>291</v>
      </c>
      <c r="E4204" s="20" t="s">
        <v>2361</v>
      </c>
      <c r="F4204" s="20" t="s">
        <v>285</v>
      </c>
      <c r="G4204" s="20" t="s">
        <v>63</v>
      </c>
      <c r="H4204" s="20" t="s">
        <v>71</v>
      </c>
      <c r="I4204" s="20"/>
      <c r="J4204" s="20" t="s">
        <v>203</v>
      </c>
      <c r="K4204" s="20" t="s">
        <v>250</v>
      </c>
      <c r="L4204" s="20">
        <v>714000</v>
      </c>
      <c r="M4204" s="20" t="s">
        <v>242</v>
      </c>
      <c r="N4204" s="20" t="s">
        <v>2925</v>
      </c>
    </row>
    <row r="4205" spans="1:14" hidden="1" x14ac:dyDescent="0.25">
      <c r="A4205" s="19">
        <v>45962</v>
      </c>
      <c r="B4205" s="20" t="s">
        <v>97</v>
      </c>
      <c r="C4205" s="20">
        <v>30</v>
      </c>
      <c r="D4205" s="20" t="s">
        <v>291</v>
      </c>
      <c r="E4205" s="20" t="s">
        <v>2361</v>
      </c>
      <c r="F4205" s="20" t="s">
        <v>285</v>
      </c>
      <c r="G4205" s="20" t="s">
        <v>63</v>
      </c>
      <c r="H4205" s="20" t="s">
        <v>72</v>
      </c>
      <c r="I4205" s="20"/>
      <c r="J4205" s="20" t="s">
        <v>203</v>
      </c>
      <c r="K4205" s="20" t="s">
        <v>250</v>
      </c>
      <c r="L4205" s="20">
        <v>536000</v>
      </c>
      <c r="M4205" s="20" t="s">
        <v>242</v>
      </c>
      <c r="N4205" s="20" t="s">
        <v>2898</v>
      </c>
    </row>
    <row r="4206" spans="1:14" hidden="1" x14ac:dyDescent="0.25">
      <c r="A4206" s="19">
        <v>45962</v>
      </c>
      <c r="B4206" s="20" t="s">
        <v>97</v>
      </c>
      <c r="C4206" s="20">
        <v>30</v>
      </c>
      <c r="D4206" s="20" t="s">
        <v>291</v>
      </c>
      <c r="E4206" s="20" t="s">
        <v>2361</v>
      </c>
      <c r="F4206" s="20" t="s">
        <v>285</v>
      </c>
      <c r="G4206" s="20" t="s">
        <v>63</v>
      </c>
      <c r="H4206" s="20" t="s">
        <v>73</v>
      </c>
      <c r="I4206" s="20"/>
      <c r="J4206" s="20" t="s">
        <v>203</v>
      </c>
      <c r="K4206" s="20" t="s">
        <v>250</v>
      </c>
      <c r="L4206" s="20">
        <v>336000</v>
      </c>
      <c r="M4206" s="20" t="s">
        <v>242</v>
      </c>
      <c r="N4206" s="20" t="s">
        <v>2926</v>
      </c>
    </row>
    <row r="4207" spans="1:14" hidden="1" x14ac:dyDescent="0.25">
      <c r="A4207" s="19">
        <v>45962</v>
      </c>
      <c r="B4207" s="20" t="s">
        <v>97</v>
      </c>
      <c r="C4207" s="20">
        <v>30</v>
      </c>
      <c r="D4207" s="20" t="s">
        <v>291</v>
      </c>
      <c r="E4207" s="20" t="s">
        <v>2361</v>
      </c>
      <c r="F4207" s="20" t="s">
        <v>285</v>
      </c>
      <c r="G4207" s="20" t="s">
        <v>63</v>
      </c>
      <c r="H4207" s="20" t="s">
        <v>74</v>
      </c>
      <c r="I4207" s="20"/>
      <c r="J4207" s="20" t="s">
        <v>203</v>
      </c>
      <c r="K4207" s="20" t="s">
        <v>250</v>
      </c>
      <c r="L4207" s="20">
        <v>129000</v>
      </c>
      <c r="M4207" s="20" t="s">
        <v>242</v>
      </c>
      <c r="N4207" s="20" t="s">
        <v>2927</v>
      </c>
    </row>
    <row r="4208" spans="1:14" hidden="1" x14ac:dyDescent="0.25">
      <c r="A4208" s="19">
        <v>45962</v>
      </c>
      <c r="B4208" s="20" t="s">
        <v>97</v>
      </c>
      <c r="C4208" s="20">
        <v>30</v>
      </c>
      <c r="D4208" s="20" t="s">
        <v>291</v>
      </c>
      <c r="E4208" s="20" t="s">
        <v>2361</v>
      </c>
      <c r="F4208" s="20" t="s">
        <v>285</v>
      </c>
      <c r="G4208" s="20" t="s">
        <v>63</v>
      </c>
      <c r="H4208" s="20" t="s">
        <v>75</v>
      </c>
      <c r="I4208" s="20"/>
      <c r="J4208" s="20" t="s">
        <v>203</v>
      </c>
      <c r="K4208" s="20" t="s">
        <v>250</v>
      </c>
      <c r="L4208" s="20">
        <v>37000</v>
      </c>
      <c r="M4208" s="20" t="s">
        <v>242</v>
      </c>
      <c r="N4208" s="20" t="s">
        <v>2774</v>
      </c>
    </row>
    <row r="4209" spans="1:14" hidden="1" x14ac:dyDescent="0.25">
      <c r="A4209" s="19">
        <v>45962</v>
      </c>
      <c r="B4209" s="20" t="s">
        <v>97</v>
      </c>
      <c r="C4209" s="20">
        <v>30</v>
      </c>
      <c r="D4209" s="20" t="s">
        <v>291</v>
      </c>
      <c r="E4209" s="20" t="s">
        <v>2361</v>
      </c>
      <c r="F4209" s="20" t="s">
        <v>285</v>
      </c>
      <c r="G4209" s="20" t="s">
        <v>63</v>
      </c>
      <c r="H4209" s="20" t="s">
        <v>76</v>
      </c>
      <c r="I4209" s="20"/>
      <c r="J4209" s="20" t="s">
        <v>203</v>
      </c>
      <c r="K4209" s="20" t="s">
        <v>250</v>
      </c>
      <c r="L4209" s="20">
        <v>13000</v>
      </c>
      <c r="M4209" s="20" t="s">
        <v>242</v>
      </c>
      <c r="N4209" s="20" t="s">
        <v>932</v>
      </c>
    </row>
    <row r="4210" spans="1:14" hidden="1" x14ac:dyDescent="0.25">
      <c r="A4210" s="19">
        <v>45962</v>
      </c>
      <c r="B4210" s="20" t="s">
        <v>97</v>
      </c>
      <c r="C4210" s="20">
        <v>31</v>
      </c>
      <c r="D4210" s="20" t="s">
        <v>291</v>
      </c>
      <c r="E4210" s="20" t="s">
        <v>2361</v>
      </c>
      <c r="F4210" s="20" t="s">
        <v>2400</v>
      </c>
      <c r="G4210" s="20" t="s">
        <v>99</v>
      </c>
      <c r="H4210" s="20" t="s">
        <v>103</v>
      </c>
      <c r="I4210" s="20"/>
      <c r="J4210" s="20" t="s">
        <v>203</v>
      </c>
      <c r="K4210" s="20" t="s">
        <v>250</v>
      </c>
      <c r="L4210" s="20">
        <v>2700000</v>
      </c>
      <c r="M4210" s="20" t="s">
        <v>242</v>
      </c>
      <c r="N4210" s="20" t="s">
        <v>2202</v>
      </c>
    </row>
    <row r="4211" spans="1:14" hidden="1" x14ac:dyDescent="0.25">
      <c r="A4211" s="19">
        <v>45962</v>
      </c>
      <c r="B4211" s="20" t="s">
        <v>97</v>
      </c>
      <c r="C4211" s="20">
        <v>31</v>
      </c>
      <c r="D4211" s="20" t="s">
        <v>291</v>
      </c>
      <c r="E4211" s="20" t="s">
        <v>2361</v>
      </c>
      <c r="F4211" s="20" t="s">
        <v>477</v>
      </c>
      <c r="G4211" s="20" t="s">
        <v>99</v>
      </c>
      <c r="H4211" s="20" t="s">
        <v>104</v>
      </c>
      <c r="I4211" s="20"/>
      <c r="J4211" s="20" t="s">
        <v>203</v>
      </c>
      <c r="K4211" s="20" t="s">
        <v>250</v>
      </c>
      <c r="L4211" s="20">
        <v>3627</v>
      </c>
      <c r="M4211" s="20" t="s">
        <v>242</v>
      </c>
      <c r="N4211" s="20" t="s">
        <v>2928</v>
      </c>
    </row>
    <row r="4212" spans="1:14" hidden="1" x14ac:dyDescent="0.25">
      <c r="A4212" s="19">
        <v>45962</v>
      </c>
      <c r="B4212" s="20" t="s">
        <v>97</v>
      </c>
      <c r="C4212" s="20">
        <v>31</v>
      </c>
      <c r="D4212" s="20" t="s">
        <v>291</v>
      </c>
      <c r="E4212" s="20" t="s">
        <v>2361</v>
      </c>
      <c r="F4212" s="20" t="s">
        <v>477</v>
      </c>
      <c r="G4212" s="20" t="s">
        <v>99</v>
      </c>
      <c r="H4212" s="20" t="s">
        <v>101</v>
      </c>
      <c r="I4212" s="20"/>
      <c r="J4212" s="20" t="s">
        <v>203</v>
      </c>
      <c r="K4212" s="20" t="s">
        <v>250</v>
      </c>
      <c r="L4212" s="20">
        <v>1469</v>
      </c>
      <c r="M4212" s="20" t="s">
        <v>242</v>
      </c>
      <c r="N4212" s="20" t="s">
        <v>2929</v>
      </c>
    </row>
    <row r="4213" spans="1:14" hidden="1" x14ac:dyDescent="0.25">
      <c r="A4213" s="19">
        <v>45962</v>
      </c>
      <c r="B4213" s="20" t="s">
        <v>97</v>
      </c>
      <c r="C4213" s="20">
        <v>31</v>
      </c>
      <c r="D4213" s="20" t="s">
        <v>291</v>
      </c>
      <c r="E4213" s="20" t="s">
        <v>2361</v>
      </c>
      <c r="F4213" s="20" t="s">
        <v>477</v>
      </c>
      <c r="G4213" s="20" t="s">
        <v>99</v>
      </c>
      <c r="H4213" s="20" t="s">
        <v>100</v>
      </c>
      <c r="I4213" s="20"/>
      <c r="J4213" s="20" t="s">
        <v>203</v>
      </c>
      <c r="K4213" s="20" t="s">
        <v>250</v>
      </c>
      <c r="L4213" s="20">
        <v>1034</v>
      </c>
      <c r="M4213" s="20" t="s">
        <v>242</v>
      </c>
      <c r="N4213" s="20" t="s">
        <v>2930</v>
      </c>
    </row>
    <row r="4214" spans="1:14" hidden="1" x14ac:dyDescent="0.25">
      <c r="A4214" s="19">
        <v>45962</v>
      </c>
      <c r="B4214" s="20" t="s">
        <v>97</v>
      </c>
      <c r="C4214" s="20">
        <v>31</v>
      </c>
      <c r="D4214" s="20" t="s">
        <v>291</v>
      </c>
      <c r="E4214" s="20" t="s">
        <v>2361</v>
      </c>
      <c r="F4214" s="20" t="s">
        <v>477</v>
      </c>
      <c r="G4214" s="20" t="s">
        <v>99</v>
      </c>
      <c r="H4214" s="20" t="s">
        <v>102</v>
      </c>
      <c r="I4214" s="20"/>
      <c r="J4214" s="20" t="s">
        <v>203</v>
      </c>
      <c r="K4214" s="20" t="s">
        <v>250</v>
      </c>
      <c r="L4214" s="20">
        <v>8</v>
      </c>
      <c r="M4214" s="20" t="s">
        <v>242</v>
      </c>
      <c r="N4214" s="20" t="s">
        <v>480</v>
      </c>
    </row>
    <row r="4215" spans="1:14" hidden="1" x14ac:dyDescent="0.25">
      <c r="A4215" s="19">
        <v>45962</v>
      </c>
      <c r="B4215" s="20" t="s">
        <v>97</v>
      </c>
      <c r="C4215" s="20">
        <v>32</v>
      </c>
      <c r="D4215" s="20" t="s">
        <v>253</v>
      </c>
      <c r="E4215" s="20" t="s">
        <v>2359</v>
      </c>
      <c r="F4215" s="20" t="s">
        <v>240</v>
      </c>
      <c r="G4215" s="20" t="s">
        <v>82</v>
      </c>
      <c r="H4215" s="20"/>
      <c r="I4215" s="20"/>
      <c r="J4215" s="20" t="s">
        <v>201</v>
      </c>
      <c r="K4215" s="20" t="s">
        <v>255</v>
      </c>
      <c r="L4215" s="20">
        <v>9500000</v>
      </c>
      <c r="M4215" s="20" t="s">
        <v>242</v>
      </c>
      <c r="N4215" s="20" t="s">
        <v>2617</v>
      </c>
    </row>
    <row r="4216" spans="1:14" hidden="1" x14ac:dyDescent="0.25">
      <c r="A4216" s="19">
        <v>45962</v>
      </c>
      <c r="B4216" s="20" t="s">
        <v>97</v>
      </c>
      <c r="C4216" s="20">
        <v>32</v>
      </c>
      <c r="D4216" s="20" t="s">
        <v>253</v>
      </c>
      <c r="E4216" s="20" t="s">
        <v>2359</v>
      </c>
      <c r="F4216" s="20" t="s">
        <v>240</v>
      </c>
      <c r="G4216" s="20" t="s">
        <v>82</v>
      </c>
      <c r="H4216" s="20"/>
      <c r="I4216" s="20"/>
      <c r="J4216" s="20" t="s">
        <v>202</v>
      </c>
      <c r="K4216" s="20" t="s">
        <v>255</v>
      </c>
      <c r="L4216" s="20">
        <v>10130000</v>
      </c>
      <c r="M4216" s="20" t="s">
        <v>242</v>
      </c>
      <c r="N4216" s="20" t="s">
        <v>2778</v>
      </c>
    </row>
    <row r="4217" spans="1:14" hidden="1" x14ac:dyDescent="0.25">
      <c r="A4217" s="19">
        <v>45962</v>
      </c>
      <c r="B4217" s="20" t="s">
        <v>97</v>
      </c>
      <c r="C4217" s="20">
        <v>32</v>
      </c>
      <c r="D4217" s="20" t="s">
        <v>253</v>
      </c>
      <c r="E4217" s="20" t="s">
        <v>2359</v>
      </c>
      <c r="F4217" s="20" t="s">
        <v>240</v>
      </c>
      <c r="G4217" s="20" t="s">
        <v>82</v>
      </c>
      <c r="H4217" s="20"/>
      <c r="I4217" s="20"/>
      <c r="J4217" s="20" t="s">
        <v>203</v>
      </c>
      <c r="K4217" s="20" t="s">
        <v>255</v>
      </c>
      <c r="L4217" s="20">
        <v>10100000</v>
      </c>
      <c r="M4217" s="20" t="s">
        <v>242</v>
      </c>
      <c r="N4217" s="20" t="s">
        <v>2931</v>
      </c>
    </row>
    <row r="4218" spans="1:14" hidden="1" x14ac:dyDescent="0.25">
      <c r="A4218" s="19">
        <v>45962</v>
      </c>
      <c r="B4218" s="20" t="s">
        <v>97</v>
      </c>
      <c r="C4218" s="20">
        <v>32</v>
      </c>
      <c r="D4218" s="20" t="s">
        <v>247</v>
      </c>
      <c r="E4218" s="20" t="s">
        <v>2554</v>
      </c>
      <c r="F4218" s="20" t="s">
        <v>2559</v>
      </c>
      <c r="G4218" s="20" t="s">
        <v>82</v>
      </c>
      <c r="H4218" s="20" t="s">
        <v>249</v>
      </c>
      <c r="I4218" s="20"/>
      <c r="J4218" s="20" t="s">
        <v>203</v>
      </c>
      <c r="K4218" s="20" t="s">
        <v>250</v>
      </c>
      <c r="L4218" s="20">
        <v>0.3</v>
      </c>
      <c r="M4218" s="20" t="s">
        <v>251</v>
      </c>
      <c r="N4218" s="20" t="s">
        <v>429</v>
      </c>
    </row>
    <row r="4219" spans="1:14" hidden="1" x14ac:dyDescent="0.25">
      <c r="A4219" s="19">
        <v>45962</v>
      </c>
      <c r="B4219" s="20" t="s">
        <v>97</v>
      </c>
      <c r="C4219" s="20">
        <v>33</v>
      </c>
      <c r="D4219" s="20" t="s">
        <v>291</v>
      </c>
      <c r="E4219" s="20" t="s">
        <v>2361</v>
      </c>
      <c r="F4219" s="20" t="s">
        <v>240</v>
      </c>
      <c r="G4219" s="20" t="s">
        <v>82</v>
      </c>
      <c r="H4219" s="20" t="s">
        <v>83</v>
      </c>
      <c r="I4219" s="20"/>
      <c r="J4219" s="20" t="s">
        <v>203</v>
      </c>
      <c r="K4219" s="20" t="s">
        <v>250</v>
      </c>
      <c r="L4219" s="20">
        <v>8550000</v>
      </c>
      <c r="M4219" s="20" t="s">
        <v>242</v>
      </c>
      <c r="N4219" s="20" t="s">
        <v>2932</v>
      </c>
    </row>
    <row r="4220" spans="1:14" hidden="1" x14ac:dyDescent="0.25">
      <c r="A4220" s="19">
        <v>45962</v>
      </c>
      <c r="B4220" s="20" t="s">
        <v>97</v>
      </c>
      <c r="C4220" s="20">
        <v>33</v>
      </c>
      <c r="D4220" s="20" t="s">
        <v>291</v>
      </c>
      <c r="E4220" s="20" t="s">
        <v>2361</v>
      </c>
      <c r="F4220" s="20" t="s">
        <v>240</v>
      </c>
      <c r="G4220" s="20" t="s">
        <v>82</v>
      </c>
      <c r="H4220" s="20" t="s">
        <v>84</v>
      </c>
      <c r="I4220" s="20"/>
      <c r="J4220" s="20" t="s">
        <v>203</v>
      </c>
      <c r="K4220" s="20" t="s">
        <v>250</v>
      </c>
      <c r="L4220" s="20">
        <v>1450000</v>
      </c>
      <c r="M4220" s="20" t="s">
        <v>242</v>
      </c>
      <c r="N4220" s="20" t="s">
        <v>1332</v>
      </c>
    </row>
    <row r="4221" spans="1:14" hidden="1" x14ac:dyDescent="0.25">
      <c r="A4221" s="19">
        <v>45962</v>
      </c>
      <c r="B4221" s="20" t="s">
        <v>97</v>
      </c>
      <c r="C4221" s="20">
        <v>33</v>
      </c>
      <c r="D4221" s="20" t="s">
        <v>291</v>
      </c>
      <c r="E4221" s="20" t="s">
        <v>2361</v>
      </c>
      <c r="F4221" s="20" t="s">
        <v>240</v>
      </c>
      <c r="G4221" s="20" t="s">
        <v>82</v>
      </c>
      <c r="H4221" s="20" t="s">
        <v>106</v>
      </c>
      <c r="I4221" s="20"/>
      <c r="J4221" s="20" t="s">
        <v>203</v>
      </c>
      <c r="K4221" s="20" t="s">
        <v>250</v>
      </c>
      <c r="L4221" s="20">
        <v>72800</v>
      </c>
      <c r="M4221" s="20" t="s">
        <v>242</v>
      </c>
      <c r="N4221" s="20" t="s">
        <v>2933</v>
      </c>
    </row>
    <row r="4222" spans="1:14" hidden="1" x14ac:dyDescent="0.25">
      <c r="A4222" s="19">
        <v>45962</v>
      </c>
      <c r="B4222" s="20" t="s">
        <v>97</v>
      </c>
      <c r="C4222" s="20">
        <v>33</v>
      </c>
      <c r="D4222" s="20" t="s">
        <v>291</v>
      </c>
      <c r="E4222" s="20" t="s">
        <v>2361</v>
      </c>
      <c r="F4222" s="20" t="s">
        <v>240</v>
      </c>
      <c r="G4222" s="20" t="s">
        <v>82</v>
      </c>
      <c r="H4222" s="20" t="s">
        <v>105</v>
      </c>
      <c r="I4222" s="20"/>
      <c r="J4222" s="20" t="s">
        <v>203</v>
      </c>
      <c r="K4222" s="20" t="s">
        <v>250</v>
      </c>
      <c r="L4222" s="20">
        <v>21400</v>
      </c>
      <c r="M4222" s="20" t="s">
        <v>242</v>
      </c>
      <c r="N4222" s="20" t="s">
        <v>2934</v>
      </c>
    </row>
    <row r="4223" spans="1:14" hidden="1" x14ac:dyDescent="0.25">
      <c r="A4223" s="19">
        <v>45962</v>
      </c>
      <c r="B4223" s="20" t="s">
        <v>97</v>
      </c>
      <c r="C4223" s="20">
        <v>34</v>
      </c>
      <c r="D4223" s="20" t="s">
        <v>291</v>
      </c>
      <c r="E4223" s="20" t="s">
        <v>2361</v>
      </c>
      <c r="F4223" s="20" t="s">
        <v>240</v>
      </c>
      <c r="G4223" s="20" t="s">
        <v>82</v>
      </c>
      <c r="H4223" s="20" t="s">
        <v>83</v>
      </c>
      <c r="I4223" s="20" t="s">
        <v>315</v>
      </c>
      <c r="J4223" s="20" t="s">
        <v>203</v>
      </c>
      <c r="K4223" s="20" t="s">
        <v>250</v>
      </c>
      <c r="L4223" s="20"/>
      <c r="M4223" s="20" t="s">
        <v>251</v>
      </c>
      <c r="N4223" s="20" t="s">
        <v>2935</v>
      </c>
    </row>
    <row r="4224" spans="1:14" hidden="1" x14ac:dyDescent="0.25">
      <c r="A4224" s="19">
        <v>45962</v>
      </c>
      <c r="B4224" s="20" t="s">
        <v>97</v>
      </c>
      <c r="C4224" s="20">
        <v>34</v>
      </c>
      <c r="D4224" s="20" t="s">
        <v>291</v>
      </c>
      <c r="E4224" s="20" t="s">
        <v>2361</v>
      </c>
      <c r="F4224" s="20" t="s">
        <v>240</v>
      </c>
      <c r="G4224" s="20" t="s">
        <v>82</v>
      </c>
      <c r="H4224" s="20" t="s">
        <v>83</v>
      </c>
      <c r="I4224" s="20" t="s">
        <v>317</v>
      </c>
      <c r="J4224" s="20" t="s">
        <v>203</v>
      </c>
      <c r="K4224" s="20" t="s">
        <v>250</v>
      </c>
      <c r="L4224" s="20"/>
      <c r="M4224" s="20" t="s">
        <v>251</v>
      </c>
      <c r="N4224" s="20" t="s">
        <v>2936</v>
      </c>
    </row>
    <row r="4225" spans="1:14" hidden="1" x14ac:dyDescent="0.25">
      <c r="A4225" s="19">
        <v>45962</v>
      </c>
      <c r="B4225" s="20" t="s">
        <v>97</v>
      </c>
      <c r="C4225" s="20">
        <v>34</v>
      </c>
      <c r="D4225" s="20" t="s">
        <v>291</v>
      </c>
      <c r="E4225" s="20" t="s">
        <v>2361</v>
      </c>
      <c r="F4225" s="20" t="s">
        <v>240</v>
      </c>
      <c r="G4225" s="20" t="s">
        <v>82</v>
      </c>
      <c r="H4225" s="20" t="s">
        <v>83</v>
      </c>
      <c r="I4225" s="20" t="s">
        <v>2785</v>
      </c>
      <c r="J4225" s="20" t="s">
        <v>203</v>
      </c>
      <c r="K4225" s="20" t="s">
        <v>250</v>
      </c>
      <c r="L4225" s="20"/>
      <c r="M4225" s="20" t="s">
        <v>251</v>
      </c>
      <c r="N4225" s="20" t="s">
        <v>2937</v>
      </c>
    </row>
    <row r="4226" spans="1:14" hidden="1" x14ac:dyDescent="0.25">
      <c r="A4226" s="19">
        <v>45962</v>
      </c>
      <c r="B4226" s="20" t="s">
        <v>97</v>
      </c>
      <c r="C4226" s="20">
        <v>34</v>
      </c>
      <c r="D4226" s="20" t="s">
        <v>291</v>
      </c>
      <c r="E4226" s="20" t="s">
        <v>2361</v>
      </c>
      <c r="F4226" s="20" t="s">
        <v>240</v>
      </c>
      <c r="G4226" s="20" t="s">
        <v>82</v>
      </c>
      <c r="H4226" s="20" t="s">
        <v>83</v>
      </c>
      <c r="I4226" s="20" t="s">
        <v>497</v>
      </c>
      <c r="J4226" s="20" t="s">
        <v>203</v>
      </c>
      <c r="K4226" s="20" t="s">
        <v>250</v>
      </c>
      <c r="L4226" s="20"/>
      <c r="M4226" s="20" t="s">
        <v>251</v>
      </c>
      <c r="N4226" s="20" t="s">
        <v>2938</v>
      </c>
    </row>
    <row r="4227" spans="1:14" hidden="1" x14ac:dyDescent="0.25">
      <c r="A4227" s="19">
        <v>45962</v>
      </c>
      <c r="B4227" s="20" t="s">
        <v>97</v>
      </c>
      <c r="C4227" s="20">
        <v>34</v>
      </c>
      <c r="D4227" s="20" t="s">
        <v>291</v>
      </c>
      <c r="E4227" s="20" t="s">
        <v>2361</v>
      </c>
      <c r="F4227" s="20" t="s">
        <v>240</v>
      </c>
      <c r="G4227" s="20" t="s">
        <v>82</v>
      </c>
      <c r="H4227" s="20" t="s">
        <v>83</v>
      </c>
      <c r="I4227" s="20" t="s">
        <v>503</v>
      </c>
      <c r="J4227" s="20" t="s">
        <v>203</v>
      </c>
      <c r="K4227" s="20" t="s">
        <v>250</v>
      </c>
      <c r="L4227" s="20"/>
      <c r="M4227" s="20" t="s">
        <v>251</v>
      </c>
      <c r="N4227" s="20" t="s">
        <v>2939</v>
      </c>
    </row>
    <row r="4228" spans="1:14" hidden="1" x14ac:dyDescent="0.25">
      <c r="A4228" s="19">
        <v>45962</v>
      </c>
      <c r="B4228" s="20" t="s">
        <v>97</v>
      </c>
      <c r="C4228" s="20">
        <v>34</v>
      </c>
      <c r="D4228" s="20" t="s">
        <v>291</v>
      </c>
      <c r="E4228" s="20" t="s">
        <v>2361</v>
      </c>
      <c r="F4228" s="20" t="s">
        <v>240</v>
      </c>
      <c r="G4228" s="20" t="s">
        <v>82</v>
      </c>
      <c r="H4228" s="20" t="s">
        <v>83</v>
      </c>
      <c r="I4228" s="20" t="s">
        <v>2413</v>
      </c>
      <c r="J4228" s="20" t="s">
        <v>203</v>
      </c>
      <c r="K4228" s="20" t="s">
        <v>250</v>
      </c>
      <c r="L4228" s="20"/>
      <c r="M4228" s="20" t="s">
        <v>251</v>
      </c>
      <c r="N4228" s="20" t="s">
        <v>2940</v>
      </c>
    </row>
    <row r="4229" spans="1:14" hidden="1" x14ac:dyDescent="0.25">
      <c r="A4229" s="19">
        <v>45962</v>
      </c>
      <c r="B4229" s="20" t="s">
        <v>97</v>
      </c>
      <c r="C4229" s="20">
        <v>34</v>
      </c>
      <c r="D4229" s="20" t="s">
        <v>291</v>
      </c>
      <c r="E4229" s="20" t="s">
        <v>2361</v>
      </c>
      <c r="F4229" s="20" t="s">
        <v>240</v>
      </c>
      <c r="G4229" s="20" t="s">
        <v>82</v>
      </c>
      <c r="H4229" s="20" t="s">
        <v>83</v>
      </c>
      <c r="I4229" s="20" t="s">
        <v>2414</v>
      </c>
      <c r="J4229" s="20" t="s">
        <v>203</v>
      </c>
      <c r="K4229" s="20" t="s">
        <v>250</v>
      </c>
      <c r="L4229" s="20"/>
      <c r="M4229" s="20" t="s">
        <v>251</v>
      </c>
      <c r="N4229" s="20" t="s">
        <v>975</v>
      </c>
    </row>
    <row r="4230" spans="1:14" hidden="1" x14ac:dyDescent="0.25">
      <c r="A4230" s="19">
        <v>45962</v>
      </c>
      <c r="B4230" s="20" t="s">
        <v>97</v>
      </c>
      <c r="C4230" s="20">
        <v>34</v>
      </c>
      <c r="D4230" s="20" t="s">
        <v>291</v>
      </c>
      <c r="E4230" s="20" t="s">
        <v>2361</v>
      </c>
      <c r="F4230" s="20" t="s">
        <v>240</v>
      </c>
      <c r="G4230" s="20" t="s">
        <v>82</v>
      </c>
      <c r="H4230" s="20" t="s">
        <v>84</v>
      </c>
      <c r="I4230" s="20" t="s">
        <v>319</v>
      </c>
      <c r="J4230" s="20" t="s">
        <v>203</v>
      </c>
      <c r="K4230" s="20" t="s">
        <v>250</v>
      </c>
      <c r="L4230" s="20"/>
      <c r="M4230" s="20" t="s">
        <v>251</v>
      </c>
      <c r="N4230" s="20" t="s">
        <v>2941</v>
      </c>
    </row>
    <row r="4231" spans="1:14" hidden="1" x14ac:dyDescent="0.25">
      <c r="A4231" s="19">
        <v>45962</v>
      </c>
      <c r="B4231" s="20" t="s">
        <v>97</v>
      </c>
      <c r="C4231" s="20">
        <v>34</v>
      </c>
      <c r="D4231" s="20" t="s">
        <v>291</v>
      </c>
      <c r="E4231" s="20" t="s">
        <v>2361</v>
      </c>
      <c r="F4231" s="20" t="s">
        <v>240</v>
      </c>
      <c r="G4231" s="20" t="s">
        <v>82</v>
      </c>
      <c r="H4231" s="20" t="s">
        <v>84</v>
      </c>
      <c r="I4231" s="20" t="s">
        <v>321</v>
      </c>
      <c r="J4231" s="20" t="s">
        <v>203</v>
      </c>
      <c r="K4231" s="20" t="s">
        <v>250</v>
      </c>
      <c r="L4231" s="20"/>
      <c r="M4231" s="20" t="s">
        <v>251</v>
      </c>
      <c r="N4231" s="20" t="s">
        <v>2942</v>
      </c>
    </row>
    <row r="4232" spans="1:14" hidden="1" x14ac:dyDescent="0.25">
      <c r="A4232" s="19">
        <v>45962</v>
      </c>
      <c r="B4232" s="20" t="s">
        <v>97</v>
      </c>
      <c r="C4232" s="20">
        <v>34</v>
      </c>
      <c r="D4232" s="20" t="s">
        <v>291</v>
      </c>
      <c r="E4232" s="20" t="s">
        <v>2361</v>
      </c>
      <c r="F4232" s="20" t="s">
        <v>240</v>
      </c>
      <c r="G4232" s="20" t="s">
        <v>82</v>
      </c>
      <c r="H4232" s="20" t="s">
        <v>106</v>
      </c>
      <c r="I4232" s="20" t="s">
        <v>493</v>
      </c>
      <c r="J4232" s="20" t="s">
        <v>203</v>
      </c>
      <c r="K4232" s="20" t="s">
        <v>250</v>
      </c>
      <c r="L4232" s="20"/>
      <c r="M4232" s="20" t="s">
        <v>251</v>
      </c>
      <c r="N4232" s="20" t="s">
        <v>2943</v>
      </c>
    </row>
    <row r="4233" spans="1:14" hidden="1" x14ac:dyDescent="0.25">
      <c r="A4233" s="19">
        <v>45962</v>
      </c>
      <c r="B4233" s="20" t="s">
        <v>97</v>
      </c>
      <c r="C4233" s="20">
        <v>34</v>
      </c>
      <c r="D4233" s="20" t="s">
        <v>291</v>
      </c>
      <c r="E4233" s="20" t="s">
        <v>2361</v>
      </c>
      <c r="F4233" s="20" t="s">
        <v>240</v>
      </c>
      <c r="G4233" s="20" t="s">
        <v>82</v>
      </c>
      <c r="H4233" s="20" t="s">
        <v>106</v>
      </c>
      <c r="I4233" s="20" t="s">
        <v>491</v>
      </c>
      <c r="J4233" s="20" t="s">
        <v>203</v>
      </c>
      <c r="K4233" s="20" t="s">
        <v>250</v>
      </c>
      <c r="L4233" s="20"/>
      <c r="M4233" s="20" t="s">
        <v>251</v>
      </c>
      <c r="N4233" s="20" t="s">
        <v>2944</v>
      </c>
    </row>
    <row r="4234" spans="1:14" hidden="1" x14ac:dyDescent="0.25">
      <c r="A4234" s="19">
        <v>45962</v>
      </c>
      <c r="B4234" s="20" t="s">
        <v>97</v>
      </c>
      <c r="C4234" s="20">
        <v>34</v>
      </c>
      <c r="D4234" s="20" t="s">
        <v>291</v>
      </c>
      <c r="E4234" s="20" t="s">
        <v>2361</v>
      </c>
      <c r="F4234" s="20" t="s">
        <v>240</v>
      </c>
      <c r="G4234" s="20" t="s">
        <v>82</v>
      </c>
      <c r="H4234" s="20" t="s">
        <v>105</v>
      </c>
      <c r="I4234" s="20" t="s">
        <v>493</v>
      </c>
      <c r="J4234" s="20" t="s">
        <v>203</v>
      </c>
      <c r="K4234" s="20" t="s">
        <v>250</v>
      </c>
      <c r="L4234" s="20"/>
      <c r="M4234" s="20" t="s">
        <v>251</v>
      </c>
      <c r="N4234" s="20" t="s">
        <v>2945</v>
      </c>
    </row>
    <row r="4235" spans="1:14" hidden="1" x14ac:dyDescent="0.25">
      <c r="A4235" s="19">
        <v>45962</v>
      </c>
      <c r="B4235" s="20" t="s">
        <v>97</v>
      </c>
      <c r="C4235" s="20">
        <v>34</v>
      </c>
      <c r="D4235" s="20" t="s">
        <v>291</v>
      </c>
      <c r="E4235" s="20" t="s">
        <v>2361</v>
      </c>
      <c r="F4235" s="20" t="s">
        <v>240</v>
      </c>
      <c r="G4235" s="20" t="s">
        <v>82</v>
      </c>
      <c r="H4235" s="20" t="s">
        <v>105</v>
      </c>
      <c r="I4235" s="20" t="s">
        <v>491</v>
      </c>
      <c r="J4235" s="20" t="s">
        <v>203</v>
      </c>
      <c r="K4235" s="20" t="s">
        <v>250</v>
      </c>
      <c r="L4235" s="20"/>
      <c r="M4235" s="20" t="s">
        <v>251</v>
      </c>
      <c r="N4235" s="20" t="s">
        <v>2946</v>
      </c>
    </row>
    <row r="4236" spans="1:14" hidden="1" x14ac:dyDescent="0.25">
      <c r="A4236" s="19">
        <v>45962</v>
      </c>
      <c r="B4236" s="20" t="s">
        <v>97</v>
      </c>
      <c r="C4236" s="20">
        <v>35</v>
      </c>
      <c r="D4236" s="20" t="s">
        <v>253</v>
      </c>
      <c r="E4236" s="20" t="s">
        <v>2359</v>
      </c>
      <c r="F4236" s="20" t="s">
        <v>244</v>
      </c>
      <c r="G4236" s="20" t="s">
        <v>82</v>
      </c>
      <c r="H4236" s="20"/>
      <c r="I4236" s="20"/>
      <c r="J4236" s="20" t="s">
        <v>201</v>
      </c>
      <c r="K4236" s="20" t="s">
        <v>255</v>
      </c>
      <c r="L4236" s="20">
        <v>559000000</v>
      </c>
      <c r="M4236" s="20" t="s">
        <v>245</v>
      </c>
      <c r="N4236" s="20" t="s">
        <v>2632</v>
      </c>
    </row>
    <row r="4237" spans="1:14" hidden="1" x14ac:dyDescent="0.25">
      <c r="A4237" s="19">
        <v>45962</v>
      </c>
      <c r="B4237" s="20" t="s">
        <v>97</v>
      </c>
      <c r="C4237" s="20">
        <v>35</v>
      </c>
      <c r="D4237" s="20" t="s">
        <v>253</v>
      </c>
      <c r="E4237" s="20" t="s">
        <v>2359</v>
      </c>
      <c r="F4237" s="20" t="s">
        <v>244</v>
      </c>
      <c r="G4237" s="20" t="s">
        <v>82</v>
      </c>
      <c r="H4237" s="20"/>
      <c r="I4237" s="20"/>
      <c r="J4237" s="20" t="s">
        <v>202</v>
      </c>
      <c r="K4237" s="20" t="s">
        <v>255</v>
      </c>
      <c r="L4237" s="20">
        <v>555000000</v>
      </c>
      <c r="M4237" s="20" t="s">
        <v>245</v>
      </c>
      <c r="N4237" s="20" t="s">
        <v>2794</v>
      </c>
    </row>
    <row r="4238" spans="1:14" hidden="1" x14ac:dyDescent="0.25">
      <c r="A4238" s="19">
        <v>45962</v>
      </c>
      <c r="B4238" s="20" t="s">
        <v>97</v>
      </c>
      <c r="C4238" s="20">
        <v>35</v>
      </c>
      <c r="D4238" s="20" t="s">
        <v>253</v>
      </c>
      <c r="E4238" s="20" t="s">
        <v>2359</v>
      </c>
      <c r="F4238" s="20" t="s">
        <v>244</v>
      </c>
      <c r="G4238" s="20" t="s">
        <v>82</v>
      </c>
      <c r="H4238" s="20"/>
      <c r="I4238" s="20"/>
      <c r="J4238" s="20" t="s">
        <v>203</v>
      </c>
      <c r="K4238" s="20" t="s">
        <v>255</v>
      </c>
      <c r="L4238" s="20">
        <v>526000000</v>
      </c>
      <c r="M4238" s="20" t="s">
        <v>245</v>
      </c>
      <c r="N4238" s="20" t="s">
        <v>2947</v>
      </c>
    </row>
    <row r="4239" spans="1:14" hidden="1" x14ac:dyDescent="0.25">
      <c r="A4239" s="19">
        <v>45962</v>
      </c>
      <c r="B4239" s="20" t="s">
        <v>97</v>
      </c>
      <c r="C4239" s="20">
        <v>35</v>
      </c>
      <c r="D4239" s="20" t="s">
        <v>247</v>
      </c>
      <c r="E4239" s="20" t="s">
        <v>2554</v>
      </c>
      <c r="F4239" s="20" t="s">
        <v>2558</v>
      </c>
      <c r="G4239" s="20" t="s">
        <v>82</v>
      </c>
      <c r="H4239" s="20" t="s">
        <v>249</v>
      </c>
      <c r="I4239" s="20"/>
      <c r="J4239" s="20" t="s">
        <v>203</v>
      </c>
      <c r="K4239" s="20" t="s">
        <v>250</v>
      </c>
      <c r="L4239" s="20">
        <v>5.2</v>
      </c>
      <c r="M4239" s="20" t="s">
        <v>251</v>
      </c>
      <c r="N4239" s="20" t="s">
        <v>1863</v>
      </c>
    </row>
    <row r="4240" spans="1:14" hidden="1" x14ac:dyDescent="0.25">
      <c r="A4240" s="19">
        <v>45962</v>
      </c>
      <c r="B4240" s="20" t="s">
        <v>97</v>
      </c>
      <c r="C4240" s="20">
        <v>36</v>
      </c>
      <c r="D4240" s="20" t="s">
        <v>291</v>
      </c>
      <c r="E4240" s="20" t="s">
        <v>2361</v>
      </c>
      <c r="F4240" s="20" t="s">
        <v>244</v>
      </c>
      <c r="G4240" s="20" t="s">
        <v>82</v>
      </c>
      <c r="H4240" s="20" t="s">
        <v>83</v>
      </c>
      <c r="I4240" s="20"/>
      <c r="J4240" s="20" t="s">
        <v>203</v>
      </c>
      <c r="K4240" s="20" t="s">
        <v>250</v>
      </c>
      <c r="L4240" s="20">
        <v>421980000</v>
      </c>
      <c r="M4240" s="20" t="s">
        <v>245</v>
      </c>
      <c r="N4240" s="20" t="s">
        <v>2948</v>
      </c>
    </row>
    <row r="4241" spans="1:14" hidden="1" x14ac:dyDescent="0.25">
      <c r="A4241" s="19">
        <v>45962</v>
      </c>
      <c r="B4241" s="20" t="s">
        <v>97</v>
      </c>
      <c r="C4241" s="20">
        <v>36</v>
      </c>
      <c r="D4241" s="20" t="s">
        <v>291</v>
      </c>
      <c r="E4241" s="20" t="s">
        <v>2361</v>
      </c>
      <c r="F4241" s="20" t="s">
        <v>244</v>
      </c>
      <c r="G4241" s="20" t="s">
        <v>82</v>
      </c>
      <c r="H4241" s="20" t="s">
        <v>84</v>
      </c>
      <c r="I4241" s="20"/>
      <c r="J4241" s="20" t="s">
        <v>203</v>
      </c>
      <c r="K4241" s="20" t="s">
        <v>250</v>
      </c>
      <c r="L4241" s="20">
        <v>90980000</v>
      </c>
      <c r="M4241" s="20" t="s">
        <v>245</v>
      </c>
      <c r="N4241" s="20" t="s">
        <v>2949</v>
      </c>
    </row>
    <row r="4242" spans="1:14" hidden="1" x14ac:dyDescent="0.25">
      <c r="A4242" s="19">
        <v>45962</v>
      </c>
      <c r="B4242" s="20" t="s">
        <v>97</v>
      </c>
      <c r="C4242" s="20">
        <v>36</v>
      </c>
      <c r="D4242" s="20" t="s">
        <v>291</v>
      </c>
      <c r="E4242" s="20" t="s">
        <v>2361</v>
      </c>
      <c r="F4242" s="20" t="s">
        <v>244</v>
      </c>
      <c r="G4242" s="20" t="s">
        <v>82</v>
      </c>
      <c r="H4242" s="20" t="s">
        <v>106</v>
      </c>
      <c r="I4242" s="20"/>
      <c r="J4242" s="20" t="s">
        <v>203</v>
      </c>
      <c r="K4242" s="20" t="s">
        <v>250</v>
      </c>
      <c r="L4242" s="20">
        <v>10060000</v>
      </c>
      <c r="M4242" s="20" t="s">
        <v>245</v>
      </c>
      <c r="N4242" s="20" t="s">
        <v>2950</v>
      </c>
    </row>
    <row r="4243" spans="1:14" hidden="1" x14ac:dyDescent="0.25">
      <c r="A4243" s="19">
        <v>45962</v>
      </c>
      <c r="B4243" s="20" t="s">
        <v>97</v>
      </c>
      <c r="C4243" s="20">
        <v>36</v>
      </c>
      <c r="D4243" s="20" t="s">
        <v>291</v>
      </c>
      <c r="E4243" s="20" t="s">
        <v>2361</v>
      </c>
      <c r="F4243" s="20" t="s">
        <v>244</v>
      </c>
      <c r="G4243" s="20" t="s">
        <v>82</v>
      </c>
      <c r="H4243" s="20" t="s">
        <v>105</v>
      </c>
      <c r="I4243" s="20"/>
      <c r="J4243" s="20" t="s">
        <v>203</v>
      </c>
      <c r="K4243" s="20" t="s">
        <v>250</v>
      </c>
      <c r="L4243" s="20">
        <v>3250000</v>
      </c>
      <c r="M4243" s="20" t="s">
        <v>245</v>
      </c>
      <c r="N4243" s="20" t="s">
        <v>2106</v>
      </c>
    </row>
    <row r="4244" spans="1:14" hidden="1" x14ac:dyDescent="0.25">
      <c r="A4244" s="19">
        <v>45962</v>
      </c>
      <c r="B4244" s="20" t="s">
        <v>97</v>
      </c>
      <c r="C4244" s="20">
        <v>37</v>
      </c>
      <c r="D4244" s="20" t="s">
        <v>291</v>
      </c>
      <c r="E4244" s="20" t="s">
        <v>2361</v>
      </c>
      <c r="F4244" s="20" t="s">
        <v>244</v>
      </c>
      <c r="G4244" s="20" t="s">
        <v>82</v>
      </c>
      <c r="H4244" s="20" t="s">
        <v>83</v>
      </c>
      <c r="I4244" s="20" t="s">
        <v>315</v>
      </c>
      <c r="J4244" s="20" t="s">
        <v>203</v>
      </c>
      <c r="K4244" s="20" t="s">
        <v>250</v>
      </c>
      <c r="L4244" s="20"/>
      <c r="M4244" s="20" t="s">
        <v>251</v>
      </c>
      <c r="N4244" s="20" t="s">
        <v>2951</v>
      </c>
    </row>
    <row r="4245" spans="1:14" hidden="1" x14ac:dyDescent="0.25">
      <c r="A4245" s="19">
        <v>45962</v>
      </c>
      <c r="B4245" s="20" t="s">
        <v>97</v>
      </c>
      <c r="C4245" s="20">
        <v>37</v>
      </c>
      <c r="D4245" s="20" t="s">
        <v>291</v>
      </c>
      <c r="E4245" s="20" t="s">
        <v>2361</v>
      </c>
      <c r="F4245" s="20" t="s">
        <v>244</v>
      </c>
      <c r="G4245" s="20" t="s">
        <v>82</v>
      </c>
      <c r="H4245" s="20" t="s">
        <v>83</v>
      </c>
      <c r="I4245" s="20" t="s">
        <v>317</v>
      </c>
      <c r="J4245" s="20" t="s">
        <v>203</v>
      </c>
      <c r="K4245" s="20" t="s">
        <v>250</v>
      </c>
      <c r="L4245" s="20"/>
      <c r="M4245" s="20" t="s">
        <v>251</v>
      </c>
      <c r="N4245" s="20" t="s">
        <v>2952</v>
      </c>
    </row>
    <row r="4246" spans="1:14" hidden="1" x14ac:dyDescent="0.25">
      <c r="A4246" s="19">
        <v>45962</v>
      </c>
      <c r="B4246" s="20" t="s">
        <v>97</v>
      </c>
      <c r="C4246" s="20">
        <v>37</v>
      </c>
      <c r="D4246" s="20" t="s">
        <v>291</v>
      </c>
      <c r="E4246" s="20" t="s">
        <v>2361</v>
      </c>
      <c r="F4246" s="20" t="s">
        <v>244</v>
      </c>
      <c r="G4246" s="20" t="s">
        <v>82</v>
      </c>
      <c r="H4246" s="20" t="s">
        <v>83</v>
      </c>
      <c r="I4246" s="20" t="s">
        <v>2785</v>
      </c>
      <c r="J4246" s="20" t="s">
        <v>203</v>
      </c>
      <c r="K4246" s="20" t="s">
        <v>250</v>
      </c>
      <c r="L4246" s="20"/>
      <c r="M4246" s="20" t="s">
        <v>251</v>
      </c>
      <c r="N4246" s="20" t="s">
        <v>2953</v>
      </c>
    </row>
    <row r="4247" spans="1:14" hidden="1" x14ac:dyDescent="0.25">
      <c r="A4247" s="19">
        <v>45962</v>
      </c>
      <c r="B4247" s="20" t="s">
        <v>97</v>
      </c>
      <c r="C4247" s="20">
        <v>37</v>
      </c>
      <c r="D4247" s="20" t="s">
        <v>291</v>
      </c>
      <c r="E4247" s="20" t="s">
        <v>2361</v>
      </c>
      <c r="F4247" s="20" t="s">
        <v>244</v>
      </c>
      <c r="G4247" s="20" t="s">
        <v>82</v>
      </c>
      <c r="H4247" s="20" t="s">
        <v>83</v>
      </c>
      <c r="I4247" s="20" t="s">
        <v>497</v>
      </c>
      <c r="J4247" s="20" t="s">
        <v>203</v>
      </c>
      <c r="K4247" s="20" t="s">
        <v>250</v>
      </c>
      <c r="L4247" s="20"/>
      <c r="M4247" s="20" t="s">
        <v>251</v>
      </c>
      <c r="N4247" s="20" t="s">
        <v>2954</v>
      </c>
    </row>
    <row r="4248" spans="1:14" hidden="1" x14ac:dyDescent="0.25">
      <c r="A4248" s="19">
        <v>45962</v>
      </c>
      <c r="B4248" s="20" t="s">
        <v>97</v>
      </c>
      <c r="C4248" s="20">
        <v>37</v>
      </c>
      <c r="D4248" s="20" t="s">
        <v>291</v>
      </c>
      <c r="E4248" s="20" t="s">
        <v>2361</v>
      </c>
      <c r="F4248" s="20" t="s">
        <v>244</v>
      </c>
      <c r="G4248" s="20" t="s">
        <v>82</v>
      </c>
      <c r="H4248" s="20" t="s">
        <v>83</v>
      </c>
      <c r="I4248" s="20" t="s">
        <v>503</v>
      </c>
      <c r="J4248" s="20" t="s">
        <v>203</v>
      </c>
      <c r="K4248" s="20" t="s">
        <v>250</v>
      </c>
      <c r="L4248" s="20"/>
      <c r="M4248" s="20" t="s">
        <v>251</v>
      </c>
      <c r="N4248" s="20" t="s">
        <v>2955</v>
      </c>
    </row>
    <row r="4249" spans="1:14" hidden="1" x14ac:dyDescent="0.25">
      <c r="A4249" s="19">
        <v>45962</v>
      </c>
      <c r="B4249" s="20" t="s">
        <v>97</v>
      </c>
      <c r="C4249" s="20">
        <v>37</v>
      </c>
      <c r="D4249" s="20" t="s">
        <v>291</v>
      </c>
      <c r="E4249" s="20" t="s">
        <v>2361</v>
      </c>
      <c r="F4249" s="20" t="s">
        <v>244</v>
      </c>
      <c r="G4249" s="20" t="s">
        <v>82</v>
      </c>
      <c r="H4249" s="20" t="s">
        <v>83</v>
      </c>
      <c r="I4249" s="20" t="s">
        <v>2413</v>
      </c>
      <c r="J4249" s="20" t="s">
        <v>203</v>
      </c>
      <c r="K4249" s="20" t="s">
        <v>250</v>
      </c>
      <c r="L4249" s="20"/>
      <c r="M4249" s="20" t="s">
        <v>251</v>
      </c>
      <c r="N4249" s="20" t="s">
        <v>2956</v>
      </c>
    </row>
    <row r="4250" spans="1:14" hidden="1" x14ac:dyDescent="0.25">
      <c r="A4250" s="19">
        <v>45962</v>
      </c>
      <c r="B4250" s="20" t="s">
        <v>97</v>
      </c>
      <c r="C4250" s="20">
        <v>37</v>
      </c>
      <c r="D4250" s="20" t="s">
        <v>291</v>
      </c>
      <c r="E4250" s="20" t="s">
        <v>2361</v>
      </c>
      <c r="F4250" s="20" t="s">
        <v>244</v>
      </c>
      <c r="G4250" s="20" t="s">
        <v>82</v>
      </c>
      <c r="H4250" s="20" t="s">
        <v>83</v>
      </c>
      <c r="I4250" s="20" t="s">
        <v>2414</v>
      </c>
      <c r="J4250" s="20" t="s">
        <v>203</v>
      </c>
      <c r="K4250" s="20" t="s">
        <v>250</v>
      </c>
      <c r="L4250" s="20"/>
      <c r="M4250" s="20" t="s">
        <v>251</v>
      </c>
      <c r="N4250" s="20" t="s">
        <v>2957</v>
      </c>
    </row>
    <row r="4251" spans="1:14" hidden="1" x14ac:dyDescent="0.25">
      <c r="A4251" s="19">
        <v>45962</v>
      </c>
      <c r="B4251" s="20" t="s">
        <v>97</v>
      </c>
      <c r="C4251" s="20">
        <v>37</v>
      </c>
      <c r="D4251" s="20" t="s">
        <v>291</v>
      </c>
      <c r="E4251" s="20" t="s">
        <v>2361</v>
      </c>
      <c r="F4251" s="20" t="s">
        <v>244</v>
      </c>
      <c r="G4251" s="20" t="s">
        <v>82</v>
      </c>
      <c r="H4251" s="20" t="s">
        <v>84</v>
      </c>
      <c r="I4251" s="20" t="s">
        <v>319</v>
      </c>
      <c r="J4251" s="20" t="s">
        <v>203</v>
      </c>
      <c r="K4251" s="20" t="s">
        <v>250</v>
      </c>
      <c r="L4251" s="20"/>
      <c r="M4251" s="20" t="s">
        <v>251</v>
      </c>
      <c r="N4251" s="20" t="s">
        <v>2958</v>
      </c>
    </row>
    <row r="4252" spans="1:14" hidden="1" x14ac:dyDescent="0.25">
      <c r="A4252" s="19">
        <v>45962</v>
      </c>
      <c r="B4252" s="20" t="s">
        <v>97</v>
      </c>
      <c r="C4252" s="20">
        <v>37</v>
      </c>
      <c r="D4252" s="20" t="s">
        <v>291</v>
      </c>
      <c r="E4252" s="20" t="s">
        <v>2361</v>
      </c>
      <c r="F4252" s="20" t="s">
        <v>244</v>
      </c>
      <c r="G4252" s="20" t="s">
        <v>82</v>
      </c>
      <c r="H4252" s="20" t="s">
        <v>84</v>
      </c>
      <c r="I4252" s="20" t="s">
        <v>321</v>
      </c>
      <c r="J4252" s="20" t="s">
        <v>203</v>
      </c>
      <c r="K4252" s="20" t="s">
        <v>250</v>
      </c>
      <c r="L4252" s="20"/>
      <c r="M4252" s="20" t="s">
        <v>251</v>
      </c>
      <c r="N4252" s="20" t="s">
        <v>2959</v>
      </c>
    </row>
    <row r="4253" spans="1:14" hidden="1" x14ac:dyDescent="0.25">
      <c r="A4253" s="19">
        <v>45962</v>
      </c>
      <c r="B4253" s="20" t="s">
        <v>97</v>
      </c>
      <c r="C4253" s="20">
        <v>37</v>
      </c>
      <c r="D4253" s="20" t="s">
        <v>291</v>
      </c>
      <c r="E4253" s="20" t="s">
        <v>2361</v>
      </c>
      <c r="F4253" s="20" t="s">
        <v>244</v>
      </c>
      <c r="G4253" s="20" t="s">
        <v>82</v>
      </c>
      <c r="H4253" s="20" t="s">
        <v>106</v>
      </c>
      <c r="I4253" s="20" t="s">
        <v>493</v>
      </c>
      <c r="J4253" s="20" t="s">
        <v>203</v>
      </c>
      <c r="K4253" s="20" t="s">
        <v>250</v>
      </c>
      <c r="L4253" s="20"/>
      <c r="M4253" s="20" t="s">
        <v>251</v>
      </c>
      <c r="N4253" s="20" t="s">
        <v>2960</v>
      </c>
    </row>
    <row r="4254" spans="1:14" hidden="1" x14ac:dyDescent="0.25">
      <c r="A4254" s="19">
        <v>45962</v>
      </c>
      <c r="B4254" s="20" t="s">
        <v>97</v>
      </c>
      <c r="C4254" s="20">
        <v>37</v>
      </c>
      <c r="D4254" s="20" t="s">
        <v>291</v>
      </c>
      <c r="E4254" s="20" t="s">
        <v>2361</v>
      </c>
      <c r="F4254" s="20" t="s">
        <v>244</v>
      </c>
      <c r="G4254" s="20" t="s">
        <v>82</v>
      </c>
      <c r="H4254" s="20" t="s">
        <v>106</v>
      </c>
      <c r="I4254" s="20" t="s">
        <v>491</v>
      </c>
      <c r="J4254" s="20" t="s">
        <v>203</v>
      </c>
      <c r="K4254" s="20" t="s">
        <v>250</v>
      </c>
      <c r="L4254" s="20"/>
      <c r="M4254" s="20" t="s">
        <v>251</v>
      </c>
      <c r="N4254" s="20" t="s">
        <v>2961</v>
      </c>
    </row>
    <row r="4255" spans="1:14" hidden="1" x14ac:dyDescent="0.25">
      <c r="A4255" s="19">
        <v>45962</v>
      </c>
      <c r="B4255" s="20" t="s">
        <v>97</v>
      </c>
      <c r="C4255" s="20">
        <v>37</v>
      </c>
      <c r="D4255" s="20" t="s">
        <v>291</v>
      </c>
      <c r="E4255" s="20" t="s">
        <v>2361</v>
      </c>
      <c r="F4255" s="20" t="s">
        <v>244</v>
      </c>
      <c r="G4255" s="20" t="s">
        <v>82</v>
      </c>
      <c r="H4255" s="20" t="s">
        <v>105</v>
      </c>
      <c r="I4255" s="20" t="s">
        <v>493</v>
      </c>
      <c r="J4255" s="20" t="s">
        <v>203</v>
      </c>
      <c r="K4255" s="20" t="s">
        <v>250</v>
      </c>
      <c r="L4255" s="20"/>
      <c r="M4255" s="20" t="s">
        <v>251</v>
      </c>
      <c r="N4255" s="20" t="s">
        <v>2962</v>
      </c>
    </row>
    <row r="4256" spans="1:14" hidden="1" x14ac:dyDescent="0.25">
      <c r="A4256" s="19">
        <v>45962</v>
      </c>
      <c r="B4256" s="20" t="s">
        <v>97</v>
      </c>
      <c r="C4256" s="20">
        <v>37</v>
      </c>
      <c r="D4256" s="20" t="s">
        <v>291</v>
      </c>
      <c r="E4256" s="20" t="s">
        <v>2361</v>
      </c>
      <c r="F4256" s="20" t="s">
        <v>244</v>
      </c>
      <c r="G4256" s="20" t="s">
        <v>82</v>
      </c>
      <c r="H4256" s="20" t="s">
        <v>105</v>
      </c>
      <c r="I4256" s="20" t="s">
        <v>491</v>
      </c>
      <c r="J4256" s="20" t="s">
        <v>203</v>
      </c>
      <c r="K4256" s="20" t="s">
        <v>250</v>
      </c>
      <c r="L4256" s="20"/>
      <c r="M4256" s="20" t="s">
        <v>251</v>
      </c>
      <c r="N4256" s="20" t="s">
        <v>2963</v>
      </c>
    </row>
    <row r="4257" spans="1:14" hidden="1" x14ac:dyDescent="0.25">
      <c r="A4257" s="19">
        <v>45962</v>
      </c>
      <c r="B4257" s="20" t="s">
        <v>97</v>
      </c>
      <c r="C4257" s="20">
        <v>38</v>
      </c>
      <c r="D4257" s="20" t="s">
        <v>253</v>
      </c>
      <c r="E4257" s="20" t="s">
        <v>2359</v>
      </c>
      <c r="F4257" s="20" t="s">
        <v>334</v>
      </c>
      <c r="G4257" s="20" t="s">
        <v>82</v>
      </c>
      <c r="H4257" s="20"/>
      <c r="I4257" s="20"/>
      <c r="J4257" s="20" t="s">
        <v>201</v>
      </c>
      <c r="K4257" s="20" t="s">
        <v>255</v>
      </c>
      <c r="L4257" s="20">
        <v>59</v>
      </c>
      <c r="M4257" s="20" t="s">
        <v>245</v>
      </c>
      <c r="N4257" s="20" t="s">
        <v>2645</v>
      </c>
    </row>
    <row r="4258" spans="1:14" hidden="1" x14ac:dyDescent="0.25">
      <c r="A4258" s="19">
        <v>45962</v>
      </c>
      <c r="B4258" s="20" t="s">
        <v>97</v>
      </c>
      <c r="C4258" s="20">
        <v>38</v>
      </c>
      <c r="D4258" s="20" t="s">
        <v>253</v>
      </c>
      <c r="E4258" s="20" t="s">
        <v>2359</v>
      </c>
      <c r="F4258" s="20" t="s">
        <v>334</v>
      </c>
      <c r="G4258" s="20" t="s">
        <v>82</v>
      </c>
      <c r="H4258" s="20"/>
      <c r="I4258" s="20"/>
      <c r="J4258" s="20" t="s">
        <v>202</v>
      </c>
      <c r="K4258" s="20" t="s">
        <v>255</v>
      </c>
      <c r="L4258" s="20">
        <v>55</v>
      </c>
      <c r="M4258" s="20" t="s">
        <v>245</v>
      </c>
      <c r="N4258" s="20" t="s">
        <v>2809</v>
      </c>
    </row>
    <row r="4259" spans="1:14" hidden="1" x14ac:dyDescent="0.25">
      <c r="A4259" s="19">
        <v>45962</v>
      </c>
      <c r="B4259" s="20" t="s">
        <v>97</v>
      </c>
      <c r="C4259" s="20">
        <v>38</v>
      </c>
      <c r="D4259" s="20" t="s">
        <v>253</v>
      </c>
      <c r="E4259" s="20" t="s">
        <v>2359</v>
      </c>
      <c r="F4259" s="20" t="s">
        <v>334</v>
      </c>
      <c r="G4259" s="20" t="s">
        <v>82</v>
      </c>
      <c r="H4259" s="20"/>
      <c r="I4259" s="20"/>
      <c r="J4259" s="20" t="s">
        <v>203</v>
      </c>
      <c r="K4259" s="20" t="s">
        <v>255</v>
      </c>
      <c r="L4259" s="20">
        <v>52</v>
      </c>
      <c r="M4259" s="20" t="s">
        <v>245</v>
      </c>
      <c r="N4259" s="20" t="s">
        <v>2964</v>
      </c>
    </row>
    <row r="4260" spans="1:14" hidden="1" x14ac:dyDescent="0.25">
      <c r="A4260" s="19">
        <v>45962</v>
      </c>
      <c r="B4260" s="20" t="s">
        <v>97</v>
      </c>
      <c r="C4260" s="20">
        <v>39</v>
      </c>
      <c r="D4260" s="20" t="s">
        <v>291</v>
      </c>
      <c r="E4260" s="20" t="s">
        <v>2361</v>
      </c>
      <c r="F4260" s="20" t="s">
        <v>428</v>
      </c>
      <c r="G4260" s="20" t="s">
        <v>82</v>
      </c>
      <c r="H4260" s="20" t="s">
        <v>95</v>
      </c>
      <c r="I4260" s="20"/>
      <c r="J4260" s="20" t="s">
        <v>203</v>
      </c>
      <c r="K4260" s="20" t="s">
        <v>250</v>
      </c>
      <c r="L4260" s="20">
        <v>3470000</v>
      </c>
      <c r="M4260" s="20" t="s">
        <v>242</v>
      </c>
      <c r="N4260" s="20" t="s">
        <v>2965</v>
      </c>
    </row>
    <row r="4261" spans="1:14" hidden="1" x14ac:dyDescent="0.25">
      <c r="A4261" s="19">
        <v>45962</v>
      </c>
      <c r="B4261" s="20" t="s">
        <v>97</v>
      </c>
      <c r="C4261" s="20">
        <v>39</v>
      </c>
      <c r="D4261" s="20" t="s">
        <v>291</v>
      </c>
      <c r="E4261" s="20" t="s">
        <v>2361</v>
      </c>
      <c r="F4261" s="20" t="s">
        <v>428</v>
      </c>
      <c r="G4261" s="20" t="s">
        <v>82</v>
      </c>
      <c r="H4261" s="20" t="s">
        <v>94</v>
      </c>
      <c r="I4261" s="20"/>
      <c r="J4261" s="20" t="s">
        <v>203</v>
      </c>
      <c r="K4261" s="20" t="s">
        <v>250</v>
      </c>
      <c r="L4261" s="20">
        <v>2330000</v>
      </c>
      <c r="M4261" s="20" t="s">
        <v>242</v>
      </c>
      <c r="N4261" s="20" t="s">
        <v>540</v>
      </c>
    </row>
    <row r="4262" spans="1:14" hidden="1" x14ac:dyDescent="0.25">
      <c r="A4262" s="19">
        <v>45962</v>
      </c>
      <c r="B4262" s="20" t="s">
        <v>97</v>
      </c>
      <c r="C4262" s="20">
        <v>40</v>
      </c>
      <c r="D4262" s="20" t="s">
        <v>291</v>
      </c>
      <c r="E4262" s="20" t="s">
        <v>2361</v>
      </c>
      <c r="F4262" s="20" t="s">
        <v>445</v>
      </c>
      <c r="G4262" s="20" t="s">
        <v>82</v>
      </c>
      <c r="H4262" s="20" t="s">
        <v>95</v>
      </c>
      <c r="I4262" s="20"/>
      <c r="J4262" s="20" t="s">
        <v>203</v>
      </c>
      <c r="K4262" s="20" t="s">
        <v>250</v>
      </c>
      <c r="L4262" s="20">
        <v>107890000</v>
      </c>
      <c r="M4262" s="20" t="s">
        <v>245</v>
      </c>
      <c r="N4262" s="20" t="s">
        <v>2966</v>
      </c>
    </row>
    <row r="4263" spans="1:14" hidden="1" x14ac:dyDescent="0.25">
      <c r="A4263" s="19">
        <v>45962</v>
      </c>
      <c r="B4263" s="20" t="s">
        <v>97</v>
      </c>
      <c r="C4263" s="20">
        <v>40</v>
      </c>
      <c r="D4263" s="20" t="s">
        <v>291</v>
      </c>
      <c r="E4263" s="20" t="s">
        <v>2361</v>
      </c>
      <c r="F4263" s="20" t="s">
        <v>445</v>
      </c>
      <c r="G4263" s="20" t="s">
        <v>82</v>
      </c>
      <c r="H4263" s="20" t="s">
        <v>94</v>
      </c>
      <c r="I4263" s="20"/>
      <c r="J4263" s="20" t="s">
        <v>203</v>
      </c>
      <c r="K4263" s="20" t="s">
        <v>250</v>
      </c>
      <c r="L4263" s="20">
        <v>84520000</v>
      </c>
      <c r="M4263" s="20" t="s">
        <v>245</v>
      </c>
      <c r="N4263" s="20" t="s">
        <v>2967</v>
      </c>
    </row>
    <row r="4264" spans="1:14" hidden="1" x14ac:dyDescent="0.25">
      <c r="A4264" s="19">
        <v>45962</v>
      </c>
      <c r="B4264" s="20" t="s">
        <v>162</v>
      </c>
      <c r="C4264" s="20">
        <v>42</v>
      </c>
      <c r="D4264" s="20" t="s">
        <v>238</v>
      </c>
      <c r="E4264" s="20" t="s">
        <v>2341</v>
      </c>
      <c r="F4264" s="20" t="s">
        <v>240</v>
      </c>
      <c r="G4264" s="20" t="s">
        <v>82</v>
      </c>
      <c r="H4264" s="20"/>
      <c r="I4264" s="20"/>
      <c r="J4264" s="20" t="s">
        <v>2891</v>
      </c>
      <c r="K4264" s="20" t="s">
        <v>241</v>
      </c>
      <c r="L4264" s="20">
        <v>241360000</v>
      </c>
      <c r="M4264" s="20" t="s">
        <v>242</v>
      </c>
      <c r="N4264" s="20" t="s">
        <v>2968</v>
      </c>
    </row>
    <row r="4265" spans="1:14" hidden="1" x14ac:dyDescent="0.25">
      <c r="A4265" s="19">
        <v>45962</v>
      </c>
      <c r="B4265" s="20" t="s">
        <v>162</v>
      </c>
      <c r="C4265" s="20">
        <v>42</v>
      </c>
      <c r="D4265" s="20" t="s">
        <v>238</v>
      </c>
      <c r="E4265" s="20" t="s">
        <v>2341</v>
      </c>
      <c r="F4265" s="20" t="s">
        <v>244</v>
      </c>
      <c r="G4265" s="20" t="s">
        <v>82</v>
      </c>
      <c r="H4265" s="20"/>
      <c r="I4265" s="20"/>
      <c r="J4265" s="20" t="s">
        <v>2891</v>
      </c>
      <c r="K4265" s="20" t="s">
        <v>241</v>
      </c>
      <c r="L4265" s="20">
        <v>23860000000</v>
      </c>
      <c r="M4265" s="20" t="s">
        <v>245</v>
      </c>
      <c r="N4265" s="20" t="s">
        <v>2969</v>
      </c>
    </row>
    <row r="4266" spans="1:14" hidden="1" x14ac:dyDescent="0.25">
      <c r="A4266" s="19">
        <v>45962</v>
      </c>
      <c r="B4266" s="20" t="s">
        <v>162</v>
      </c>
      <c r="C4266" s="20">
        <v>43</v>
      </c>
      <c r="D4266" s="20" t="s">
        <v>253</v>
      </c>
      <c r="E4266" s="20" t="s">
        <v>2359</v>
      </c>
      <c r="F4266" s="20" t="s">
        <v>1194</v>
      </c>
      <c r="G4266" s="20" t="s">
        <v>82</v>
      </c>
      <c r="H4266" s="20"/>
      <c r="I4266" s="20"/>
      <c r="J4266" s="20" t="s">
        <v>201</v>
      </c>
      <c r="K4266" s="20" t="s">
        <v>255</v>
      </c>
      <c r="L4266" s="20">
        <v>25080000</v>
      </c>
      <c r="M4266" s="20" t="s">
        <v>242</v>
      </c>
      <c r="N4266" s="20" t="s">
        <v>2651</v>
      </c>
    </row>
    <row r="4267" spans="1:14" hidden="1" x14ac:dyDescent="0.25">
      <c r="A4267" s="19">
        <v>45962</v>
      </c>
      <c r="B4267" s="20" t="s">
        <v>162</v>
      </c>
      <c r="C4267" s="20">
        <v>43</v>
      </c>
      <c r="D4267" s="20" t="s">
        <v>253</v>
      </c>
      <c r="E4267" s="20" t="s">
        <v>2359</v>
      </c>
      <c r="F4267" s="20" t="s">
        <v>1194</v>
      </c>
      <c r="G4267" s="20" t="s">
        <v>82</v>
      </c>
      <c r="H4267" s="20"/>
      <c r="I4267" s="20"/>
      <c r="J4267" s="20" t="s">
        <v>202</v>
      </c>
      <c r="K4267" s="20" t="s">
        <v>255</v>
      </c>
      <c r="L4267" s="20">
        <v>26720000</v>
      </c>
      <c r="M4267" s="20" t="s">
        <v>242</v>
      </c>
      <c r="N4267" s="20" t="s">
        <v>2815</v>
      </c>
    </row>
    <row r="4268" spans="1:14" hidden="1" x14ac:dyDescent="0.25">
      <c r="A4268" s="19">
        <v>45962</v>
      </c>
      <c r="B4268" s="20" t="s">
        <v>162</v>
      </c>
      <c r="C4268" s="20">
        <v>43</v>
      </c>
      <c r="D4268" s="20" t="s">
        <v>253</v>
      </c>
      <c r="E4268" s="20" t="s">
        <v>2359</v>
      </c>
      <c r="F4268" s="20" t="s">
        <v>1194</v>
      </c>
      <c r="G4268" s="20" t="s">
        <v>82</v>
      </c>
      <c r="H4268" s="20"/>
      <c r="I4268" s="20"/>
      <c r="J4268" s="20" t="s">
        <v>203</v>
      </c>
      <c r="K4268" s="20" t="s">
        <v>255</v>
      </c>
      <c r="L4268" s="20">
        <v>26450000</v>
      </c>
      <c r="M4268" s="20" t="s">
        <v>242</v>
      </c>
      <c r="N4268" s="20" t="s">
        <v>2970</v>
      </c>
    </row>
    <row r="4269" spans="1:14" hidden="1" x14ac:dyDescent="0.25">
      <c r="A4269" s="19">
        <v>45962</v>
      </c>
      <c r="B4269" s="20" t="s">
        <v>162</v>
      </c>
      <c r="C4269" s="20">
        <v>43</v>
      </c>
      <c r="D4269" s="20" t="s">
        <v>247</v>
      </c>
      <c r="E4269" s="20" t="s">
        <v>2554</v>
      </c>
      <c r="F4269" s="20" t="s">
        <v>2559</v>
      </c>
      <c r="G4269" s="20" t="s">
        <v>82</v>
      </c>
      <c r="H4269" s="20" t="s">
        <v>249</v>
      </c>
      <c r="I4269" s="20"/>
      <c r="J4269" s="20" t="s">
        <v>203</v>
      </c>
      <c r="K4269" s="20" t="s">
        <v>250</v>
      </c>
      <c r="L4269" s="20">
        <v>1</v>
      </c>
      <c r="M4269" s="20" t="s">
        <v>251</v>
      </c>
      <c r="N4269" s="20" t="s">
        <v>323</v>
      </c>
    </row>
    <row r="4270" spans="1:14" hidden="1" x14ac:dyDescent="0.25">
      <c r="A4270" s="19">
        <v>45962</v>
      </c>
      <c r="B4270" s="20" t="s">
        <v>162</v>
      </c>
      <c r="C4270" s="20">
        <v>44</v>
      </c>
      <c r="D4270" s="20" t="s">
        <v>291</v>
      </c>
      <c r="E4270" s="20" t="s">
        <v>2361</v>
      </c>
      <c r="F4270" s="20" t="s">
        <v>2445</v>
      </c>
      <c r="G4270" s="20" t="s">
        <v>82</v>
      </c>
      <c r="H4270" s="20" t="s">
        <v>2446</v>
      </c>
      <c r="I4270" s="20" t="s">
        <v>2447</v>
      </c>
      <c r="J4270" s="20" t="s">
        <v>203</v>
      </c>
      <c r="K4270" s="20" t="s">
        <v>250</v>
      </c>
      <c r="L4270" s="20">
        <v>11240000</v>
      </c>
      <c r="M4270" s="20" t="s">
        <v>242</v>
      </c>
      <c r="N4270" s="20" t="s">
        <v>2971</v>
      </c>
    </row>
    <row r="4271" spans="1:14" hidden="1" x14ac:dyDescent="0.25">
      <c r="A4271" s="19">
        <v>45962</v>
      </c>
      <c r="B4271" s="20" t="s">
        <v>162</v>
      </c>
      <c r="C4271" s="20">
        <v>44</v>
      </c>
      <c r="D4271" s="20" t="s">
        <v>291</v>
      </c>
      <c r="E4271" s="20" t="s">
        <v>2361</v>
      </c>
      <c r="F4271" s="20" t="s">
        <v>2445</v>
      </c>
      <c r="G4271" s="20" t="s">
        <v>82</v>
      </c>
      <c r="H4271" s="20" t="s">
        <v>2449</v>
      </c>
      <c r="I4271" s="20" t="s">
        <v>2447</v>
      </c>
      <c r="J4271" s="20" t="s">
        <v>203</v>
      </c>
      <c r="K4271" s="20" t="s">
        <v>250</v>
      </c>
      <c r="L4271" s="20">
        <v>3260000</v>
      </c>
      <c r="M4271" s="20" t="s">
        <v>242</v>
      </c>
      <c r="N4271" s="20" t="s">
        <v>2379</v>
      </c>
    </row>
    <row r="4272" spans="1:14" hidden="1" x14ac:dyDescent="0.25">
      <c r="A4272" s="19">
        <v>45962</v>
      </c>
      <c r="B4272" s="20" t="s">
        <v>162</v>
      </c>
      <c r="C4272" s="20">
        <v>44</v>
      </c>
      <c r="D4272" s="20" t="s">
        <v>291</v>
      </c>
      <c r="E4272" s="20" t="s">
        <v>2361</v>
      </c>
      <c r="F4272" s="20" t="s">
        <v>2445</v>
      </c>
      <c r="G4272" s="20" t="s">
        <v>82</v>
      </c>
      <c r="H4272" s="20" t="s">
        <v>2446</v>
      </c>
      <c r="I4272" s="20" t="s">
        <v>2451</v>
      </c>
      <c r="J4272" s="20" t="s">
        <v>203</v>
      </c>
      <c r="K4272" s="20" t="s">
        <v>250</v>
      </c>
      <c r="L4272" s="20">
        <v>5100000</v>
      </c>
      <c r="M4272" s="20" t="s">
        <v>242</v>
      </c>
      <c r="N4272" s="20" t="s">
        <v>2972</v>
      </c>
    </row>
    <row r="4273" spans="1:14" hidden="1" x14ac:dyDescent="0.25">
      <c r="A4273" s="19">
        <v>45962</v>
      </c>
      <c r="B4273" s="20" t="s">
        <v>162</v>
      </c>
      <c r="C4273" s="20">
        <v>44</v>
      </c>
      <c r="D4273" s="20" t="s">
        <v>291</v>
      </c>
      <c r="E4273" s="20" t="s">
        <v>2361</v>
      </c>
      <c r="F4273" s="20" t="s">
        <v>2445</v>
      </c>
      <c r="G4273" s="20" t="s">
        <v>82</v>
      </c>
      <c r="H4273" s="20" t="s">
        <v>2449</v>
      </c>
      <c r="I4273" s="20" t="s">
        <v>2451</v>
      </c>
      <c r="J4273" s="20" t="s">
        <v>203</v>
      </c>
      <c r="K4273" s="20" t="s">
        <v>250</v>
      </c>
      <c r="L4273" s="20">
        <v>6720000</v>
      </c>
      <c r="M4273" s="20" t="s">
        <v>242</v>
      </c>
      <c r="N4273" s="20" t="s">
        <v>2973</v>
      </c>
    </row>
    <row r="4274" spans="1:14" hidden="1" x14ac:dyDescent="0.25">
      <c r="A4274" s="19">
        <v>45962</v>
      </c>
      <c r="B4274" s="20" t="s">
        <v>162</v>
      </c>
      <c r="C4274" s="20">
        <v>44</v>
      </c>
      <c r="D4274" s="20" t="s">
        <v>291</v>
      </c>
      <c r="E4274" s="20" t="s">
        <v>2361</v>
      </c>
      <c r="F4274" s="20" t="s">
        <v>2445</v>
      </c>
      <c r="G4274" s="20" t="s">
        <v>82</v>
      </c>
      <c r="H4274" s="20" t="s">
        <v>2446</v>
      </c>
      <c r="I4274" s="20" t="s">
        <v>2454</v>
      </c>
      <c r="J4274" s="20" t="s">
        <v>203</v>
      </c>
      <c r="K4274" s="20" t="s">
        <v>250</v>
      </c>
      <c r="L4274" s="20">
        <v>12040</v>
      </c>
      <c r="M4274" s="20" t="s">
        <v>242</v>
      </c>
      <c r="N4274" s="20" t="s">
        <v>2974</v>
      </c>
    </row>
    <row r="4275" spans="1:14" hidden="1" x14ac:dyDescent="0.25">
      <c r="A4275" s="19">
        <v>45962</v>
      </c>
      <c r="B4275" s="20" t="s">
        <v>162</v>
      </c>
      <c r="C4275" s="20">
        <v>44</v>
      </c>
      <c r="D4275" s="20" t="s">
        <v>291</v>
      </c>
      <c r="E4275" s="20" t="s">
        <v>2361</v>
      </c>
      <c r="F4275" s="20" t="s">
        <v>2445</v>
      </c>
      <c r="G4275" s="20" t="s">
        <v>82</v>
      </c>
      <c r="H4275" s="20" t="s">
        <v>2449</v>
      </c>
      <c r="I4275" s="20" t="s">
        <v>2454</v>
      </c>
      <c r="J4275" s="20" t="s">
        <v>203</v>
      </c>
      <c r="K4275" s="20" t="s">
        <v>250</v>
      </c>
      <c r="L4275" s="20">
        <v>112900</v>
      </c>
      <c r="M4275" s="20" t="s">
        <v>242</v>
      </c>
      <c r="N4275" s="20" t="s">
        <v>2975</v>
      </c>
    </row>
    <row r="4276" spans="1:14" hidden="1" x14ac:dyDescent="0.25">
      <c r="A4276" s="19">
        <v>45962</v>
      </c>
      <c r="B4276" s="20" t="s">
        <v>162</v>
      </c>
      <c r="C4276" s="20">
        <v>45</v>
      </c>
      <c r="D4276" s="20" t="s">
        <v>253</v>
      </c>
      <c r="E4276" s="20" t="s">
        <v>2359</v>
      </c>
      <c r="F4276" s="20" t="s">
        <v>2457</v>
      </c>
      <c r="G4276" s="20" t="s">
        <v>82</v>
      </c>
      <c r="H4276" s="20"/>
      <c r="I4276" s="20"/>
      <c r="J4276" s="20" t="s">
        <v>201</v>
      </c>
      <c r="K4276" s="20" t="s">
        <v>255</v>
      </c>
      <c r="L4276" s="20">
        <v>20570000</v>
      </c>
      <c r="M4276" s="20" t="s">
        <v>242</v>
      </c>
      <c r="N4276" s="20" t="s">
        <v>2657</v>
      </c>
    </row>
    <row r="4277" spans="1:14" hidden="1" x14ac:dyDescent="0.25">
      <c r="A4277" s="19">
        <v>45962</v>
      </c>
      <c r="B4277" s="20" t="s">
        <v>162</v>
      </c>
      <c r="C4277" s="20">
        <v>45</v>
      </c>
      <c r="D4277" s="20" t="s">
        <v>253</v>
      </c>
      <c r="E4277" s="20" t="s">
        <v>2359</v>
      </c>
      <c r="F4277" s="20" t="s">
        <v>2457</v>
      </c>
      <c r="G4277" s="20" t="s">
        <v>82</v>
      </c>
      <c r="H4277" s="20"/>
      <c r="I4277" s="20"/>
      <c r="J4277" s="20" t="s">
        <v>202</v>
      </c>
      <c r="K4277" s="20" t="s">
        <v>255</v>
      </c>
      <c r="L4277" s="20">
        <v>21870000</v>
      </c>
      <c r="M4277" s="20" t="s">
        <v>242</v>
      </c>
      <c r="N4277" s="20" t="s">
        <v>2821</v>
      </c>
    </row>
    <row r="4278" spans="1:14" hidden="1" x14ac:dyDescent="0.25">
      <c r="A4278" s="19">
        <v>45962</v>
      </c>
      <c r="B4278" s="20" t="s">
        <v>162</v>
      </c>
      <c r="C4278" s="20">
        <v>45</v>
      </c>
      <c r="D4278" s="20" t="s">
        <v>253</v>
      </c>
      <c r="E4278" s="20" t="s">
        <v>2359</v>
      </c>
      <c r="F4278" s="20" t="s">
        <v>2457</v>
      </c>
      <c r="G4278" s="20" t="s">
        <v>82</v>
      </c>
      <c r="H4278" s="20"/>
      <c r="I4278" s="20"/>
      <c r="J4278" s="20" t="s">
        <v>203</v>
      </c>
      <c r="K4278" s="20" t="s">
        <v>255</v>
      </c>
      <c r="L4278" s="20">
        <v>21730000</v>
      </c>
      <c r="M4278" s="20" t="s">
        <v>242</v>
      </c>
      <c r="N4278" s="20" t="s">
        <v>2976</v>
      </c>
    </row>
    <row r="4279" spans="1:14" hidden="1" x14ac:dyDescent="0.25">
      <c r="A4279" s="19">
        <v>45962</v>
      </c>
      <c r="B4279" s="20" t="s">
        <v>162</v>
      </c>
      <c r="C4279" s="20">
        <v>45</v>
      </c>
      <c r="D4279" s="20" t="s">
        <v>247</v>
      </c>
      <c r="E4279" s="20" t="s">
        <v>2554</v>
      </c>
      <c r="F4279" s="20" t="s">
        <v>2559</v>
      </c>
      <c r="G4279" s="20" t="s">
        <v>82</v>
      </c>
      <c r="H4279" s="20" t="s">
        <v>249</v>
      </c>
      <c r="I4279" s="20"/>
      <c r="J4279" s="20" t="s">
        <v>203</v>
      </c>
      <c r="K4279" s="20" t="s">
        <v>250</v>
      </c>
      <c r="L4279" s="20">
        <v>0.6</v>
      </c>
      <c r="M4279" s="20" t="s">
        <v>251</v>
      </c>
      <c r="N4279" s="20" t="s">
        <v>483</v>
      </c>
    </row>
    <row r="4280" spans="1:14" hidden="1" x14ac:dyDescent="0.25">
      <c r="A4280" s="19">
        <v>45962</v>
      </c>
      <c r="B4280" s="20" t="s">
        <v>162</v>
      </c>
      <c r="C4280" s="20">
        <v>46</v>
      </c>
      <c r="D4280" s="20" t="s">
        <v>291</v>
      </c>
      <c r="E4280" s="20" t="s">
        <v>2361</v>
      </c>
      <c r="F4280" s="20" t="s">
        <v>2457</v>
      </c>
      <c r="G4280" s="20" t="s">
        <v>82</v>
      </c>
      <c r="H4280" s="20" t="s">
        <v>95</v>
      </c>
      <c r="I4280" s="20"/>
      <c r="J4280" s="20" t="s">
        <v>203</v>
      </c>
      <c r="K4280" s="20" t="s">
        <v>250</v>
      </c>
      <c r="L4280" s="20">
        <v>5960000</v>
      </c>
      <c r="M4280" s="20" t="s">
        <v>242</v>
      </c>
      <c r="N4280" s="20" t="s">
        <v>2977</v>
      </c>
    </row>
    <row r="4281" spans="1:14" hidden="1" x14ac:dyDescent="0.25">
      <c r="A4281" s="19">
        <v>45962</v>
      </c>
      <c r="B4281" s="20" t="s">
        <v>162</v>
      </c>
      <c r="C4281" s="20">
        <v>46</v>
      </c>
      <c r="D4281" s="20" t="s">
        <v>291</v>
      </c>
      <c r="E4281" s="20" t="s">
        <v>2361</v>
      </c>
      <c r="F4281" s="20" t="s">
        <v>2457</v>
      </c>
      <c r="G4281" s="20" t="s">
        <v>82</v>
      </c>
      <c r="H4281" s="20" t="s">
        <v>94</v>
      </c>
      <c r="I4281" s="20"/>
      <c r="J4281" s="20" t="s">
        <v>203</v>
      </c>
      <c r="K4281" s="20" t="s">
        <v>250</v>
      </c>
      <c r="L4281" s="20">
        <v>15780000</v>
      </c>
      <c r="M4281" s="20" t="s">
        <v>242</v>
      </c>
      <c r="N4281" s="20" t="s">
        <v>2978</v>
      </c>
    </row>
    <row r="4282" spans="1:14" hidden="1" x14ac:dyDescent="0.25">
      <c r="A4282" s="19">
        <v>45962</v>
      </c>
      <c r="B4282" s="20" t="s">
        <v>162</v>
      </c>
      <c r="C4282" s="20">
        <v>47</v>
      </c>
      <c r="D4282" s="20" t="s">
        <v>291</v>
      </c>
      <c r="E4282" s="20" t="s">
        <v>2361</v>
      </c>
      <c r="F4282" s="20" t="s">
        <v>2460</v>
      </c>
      <c r="G4282" s="20" t="s">
        <v>82</v>
      </c>
      <c r="H4282" s="20" t="s">
        <v>174</v>
      </c>
      <c r="I4282" s="20"/>
      <c r="J4282" s="20" t="s">
        <v>203</v>
      </c>
      <c r="K4282" s="20" t="s">
        <v>250</v>
      </c>
      <c r="L4282" s="20">
        <v>2760000</v>
      </c>
      <c r="M4282" s="20" t="s">
        <v>242</v>
      </c>
      <c r="N4282" s="20" t="s">
        <v>2979</v>
      </c>
    </row>
    <row r="4283" spans="1:14" hidden="1" x14ac:dyDescent="0.25">
      <c r="A4283" s="19">
        <v>45962</v>
      </c>
      <c r="B4283" s="20" t="s">
        <v>162</v>
      </c>
      <c r="C4283" s="20">
        <v>47</v>
      </c>
      <c r="D4283" s="20" t="s">
        <v>291</v>
      </c>
      <c r="E4283" s="20" t="s">
        <v>2361</v>
      </c>
      <c r="F4283" s="20" t="s">
        <v>2460</v>
      </c>
      <c r="G4283" s="20" t="s">
        <v>82</v>
      </c>
      <c r="H4283" s="20" t="s">
        <v>173</v>
      </c>
      <c r="I4283" s="20"/>
      <c r="J4283" s="20" t="s">
        <v>203</v>
      </c>
      <c r="K4283" s="20" t="s">
        <v>250</v>
      </c>
      <c r="L4283" s="20">
        <v>3970000</v>
      </c>
      <c r="M4283" s="20" t="s">
        <v>242</v>
      </c>
      <c r="N4283" s="20" t="s">
        <v>1403</v>
      </c>
    </row>
    <row r="4284" spans="1:14" hidden="1" x14ac:dyDescent="0.25">
      <c r="A4284" s="19">
        <v>45962</v>
      </c>
      <c r="B4284" s="20" t="s">
        <v>162</v>
      </c>
      <c r="C4284" s="20">
        <v>48</v>
      </c>
      <c r="D4284" s="20" t="s">
        <v>253</v>
      </c>
      <c r="E4284" s="20" t="s">
        <v>2359</v>
      </c>
      <c r="F4284" s="20" t="s">
        <v>1196</v>
      </c>
      <c r="G4284" s="20" t="s">
        <v>82</v>
      </c>
      <c r="H4284" s="20"/>
      <c r="I4284" s="20"/>
      <c r="J4284" s="20" t="s">
        <v>201</v>
      </c>
      <c r="K4284" s="20" t="s">
        <v>255</v>
      </c>
      <c r="L4284" s="20">
        <v>2420000000</v>
      </c>
      <c r="M4284" s="20" t="s">
        <v>245</v>
      </c>
      <c r="N4284" s="20" t="s">
        <v>2661</v>
      </c>
    </row>
    <row r="4285" spans="1:14" hidden="1" x14ac:dyDescent="0.25">
      <c r="A4285" s="19">
        <v>45962</v>
      </c>
      <c r="B4285" s="20" t="s">
        <v>162</v>
      </c>
      <c r="C4285" s="20">
        <v>48</v>
      </c>
      <c r="D4285" s="20" t="s">
        <v>253</v>
      </c>
      <c r="E4285" s="20" t="s">
        <v>2359</v>
      </c>
      <c r="F4285" s="20" t="s">
        <v>1196</v>
      </c>
      <c r="G4285" s="20" t="s">
        <v>82</v>
      </c>
      <c r="H4285" s="20"/>
      <c r="I4285" s="20"/>
      <c r="J4285" s="20" t="s">
        <v>202</v>
      </c>
      <c r="K4285" s="20" t="s">
        <v>255</v>
      </c>
      <c r="L4285" s="20">
        <v>2410000000</v>
      </c>
      <c r="M4285" s="20" t="s">
        <v>245</v>
      </c>
      <c r="N4285" s="20" t="s">
        <v>2824</v>
      </c>
    </row>
    <row r="4286" spans="1:14" hidden="1" x14ac:dyDescent="0.25">
      <c r="A4286" s="19">
        <v>45962</v>
      </c>
      <c r="B4286" s="20" t="s">
        <v>162</v>
      </c>
      <c r="C4286" s="20">
        <v>48</v>
      </c>
      <c r="D4286" s="20" t="s">
        <v>253</v>
      </c>
      <c r="E4286" s="20" t="s">
        <v>2359</v>
      </c>
      <c r="F4286" s="20" t="s">
        <v>1196</v>
      </c>
      <c r="G4286" s="20" t="s">
        <v>82</v>
      </c>
      <c r="H4286" s="20"/>
      <c r="I4286" s="20"/>
      <c r="J4286" s="20" t="s">
        <v>203</v>
      </c>
      <c r="K4286" s="20" t="s">
        <v>255</v>
      </c>
      <c r="L4286" s="20">
        <v>2250000000</v>
      </c>
      <c r="M4286" s="20" t="s">
        <v>245</v>
      </c>
      <c r="N4286" s="20" t="s">
        <v>2980</v>
      </c>
    </row>
    <row r="4287" spans="1:14" hidden="1" x14ac:dyDescent="0.25">
      <c r="A4287" s="19">
        <v>45962</v>
      </c>
      <c r="B4287" s="20" t="s">
        <v>162</v>
      </c>
      <c r="C4287" s="20">
        <v>48</v>
      </c>
      <c r="D4287" s="20" t="s">
        <v>247</v>
      </c>
      <c r="E4287" s="20" t="s">
        <v>2554</v>
      </c>
      <c r="F4287" s="20" t="s">
        <v>2558</v>
      </c>
      <c r="G4287" s="20" t="s">
        <v>82</v>
      </c>
      <c r="H4287" s="20" t="s">
        <v>249</v>
      </c>
      <c r="I4287" s="20"/>
      <c r="J4287" s="20" t="s">
        <v>203</v>
      </c>
      <c r="K4287" s="20" t="s">
        <v>250</v>
      </c>
      <c r="L4287" s="20">
        <v>6.5</v>
      </c>
      <c r="M4287" s="20" t="s">
        <v>251</v>
      </c>
      <c r="N4287" s="20" t="s">
        <v>2756</v>
      </c>
    </row>
    <row r="4288" spans="1:14" hidden="1" x14ac:dyDescent="0.25">
      <c r="A4288" s="19">
        <v>45962</v>
      </c>
      <c r="B4288" s="20" t="s">
        <v>162</v>
      </c>
      <c r="C4288" s="20">
        <v>49</v>
      </c>
      <c r="D4288" s="20" t="s">
        <v>291</v>
      </c>
      <c r="E4288" s="20" t="s">
        <v>2361</v>
      </c>
      <c r="F4288" s="20" t="s">
        <v>2462</v>
      </c>
      <c r="G4288" s="20" t="s">
        <v>82</v>
      </c>
      <c r="H4288" s="20" t="s">
        <v>2446</v>
      </c>
      <c r="I4288" s="20" t="s">
        <v>2447</v>
      </c>
      <c r="J4288" s="20" t="s">
        <v>203</v>
      </c>
      <c r="K4288" s="20" t="s">
        <v>250</v>
      </c>
      <c r="L4288" s="20">
        <v>1470000000</v>
      </c>
      <c r="M4288" s="20" t="s">
        <v>245</v>
      </c>
      <c r="N4288" s="20" t="s">
        <v>2471</v>
      </c>
    </row>
    <row r="4289" spans="1:14" hidden="1" x14ac:dyDescent="0.25">
      <c r="A4289" s="19">
        <v>45962</v>
      </c>
      <c r="B4289" s="20" t="s">
        <v>162</v>
      </c>
      <c r="C4289" s="20">
        <v>49</v>
      </c>
      <c r="D4289" s="20" t="s">
        <v>291</v>
      </c>
      <c r="E4289" s="20" t="s">
        <v>2361</v>
      </c>
      <c r="F4289" s="20" t="s">
        <v>2462</v>
      </c>
      <c r="G4289" s="20" t="s">
        <v>82</v>
      </c>
      <c r="H4289" s="20" t="s">
        <v>2449</v>
      </c>
      <c r="I4289" s="20" t="s">
        <v>2447</v>
      </c>
      <c r="J4289" s="20" t="s">
        <v>203</v>
      </c>
      <c r="K4289" s="20" t="s">
        <v>250</v>
      </c>
      <c r="L4289" s="20">
        <v>279200000</v>
      </c>
      <c r="M4289" s="20" t="s">
        <v>245</v>
      </c>
      <c r="N4289" s="20" t="s">
        <v>2981</v>
      </c>
    </row>
    <row r="4290" spans="1:14" hidden="1" x14ac:dyDescent="0.25">
      <c r="A4290" s="19">
        <v>45962</v>
      </c>
      <c r="B4290" s="20" t="s">
        <v>162</v>
      </c>
      <c r="C4290" s="20">
        <v>49</v>
      </c>
      <c r="D4290" s="20" t="s">
        <v>291</v>
      </c>
      <c r="E4290" s="20" t="s">
        <v>2361</v>
      </c>
      <c r="F4290" s="20" t="s">
        <v>2462</v>
      </c>
      <c r="G4290" s="20" t="s">
        <v>82</v>
      </c>
      <c r="H4290" s="20" t="s">
        <v>2446</v>
      </c>
      <c r="I4290" s="20" t="s">
        <v>2451</v>
      </c>
      <c r="J4290" s="20" t="s">
        <v>203</v>
      </c>
      <c r="K4290" s="20" t="s">
        <v>250</v>
      </c>
      <c r="L4290" s="20">
        <v>262900000</v>
      </c>
      <c r="M4290" s="20" t="s">
        <v>245</v>
      </c>
      <c r="N4290" s="20" t="s">
        <v>2982</v>
      </c>
    </row>
    <row r="4291" spans="1:14" hidden="1" x14ac:dyDescent="0.25">
      <c r="A4291" s="19">
        <v>45962</v>
      </c>
      <c r="B4291" s="20" t="s">
        <v>162</v>
      </c>
      <c r="C4291" s="20">
        <v>49</v>
      </c>
      <c r="D4291" s="20" t="s">
        <v>291</v>
      </c>
      <c r="E4291" s="20" t="s">
        <v>2361</v>
      </c>
      <c r="F4291" s="20" t="s">
        <v>2462</v>
      </c>
      <c r="G4291" s="20" t="s">
        <v>82</v>
      </c>
      <c r="H4291" s="20" t="s">
        <v>2449</v>
      </c>
      <c r="I4291" s="20" t="s">
        <v>2451</v>
      </c>
      <c r="J4291" s="20" t="s">
        <v>203</v>
      </c>
      <c r="K4291" s="20" t="s">
        <v>250</v>
      </c>
      <c r="L4291" s="20">
        <v>245700000</v>
      </c>
      <c r="M4291" s="20" t="s">
        <v>245</v>
      </c>
      <c r="N4291" s="20" t="s">
        <v>2983</v>
      </c>
    </row>
    <row r="4292" spans="1:14" hidden="1" x14ac:dyDescent="0.25">
      <c r="A4292" s="19">
        <v>45962</v>
      </c>
      <c r="B4292" s="20" t="s">
        <v>162</v>
      </c>
      <c r="C4292" s="20">
        <v>49</v>
      </c>
      <c r="D4292" s="20" t="s">
        <v>291</v>
      </c>
      <c r="E4292" s="20" t="s">
        <v>2361</v>
      </c>
      <c r="F4292" s="20" t="s">
        <v>2462</v>
      </c>
      <c r="G4292" s="20" t="s">
        <v>82</v>
      </c>
      <c r="H4292" s="20" t="s">
        <v>2446</v>
      </c>
      <c r="I4292" s="20" t="s">
        <v>2454</v>
      </c>
      <c r="J4292" s="20" t="s">
        <v>203</v>
      </c>
      <c r="K4292" s="20" t="s">
        <v>250</v>
      </c>
      <c r="L4292" s="20">
        <v>148000</v>
      </c>
      <c r="M4292" s="20" t="s">
        <v>245</v>
      </c>
      <c r="N4292" s="20" t="s">
        <v>2984</v>
      </c>
    </row>
    <row r="4293" spans="1:14" hidden="1" x14ac:dyDescent="0.25">
      <c r="A4293" s="19">
        <v>45962</v>
      </c>
      <c r="B4293" s="20" t="s">
        <v>162</v>
      </c>
      <c r="C4293" s="20">
        <v>49</v>
      </c>
      <c r="D4293" s="20" t="s">
        <v>291</v>
      </c>
      <c r="E4293" s="20" t="s">
        <v>2361</v>
      </c>
      <c r="F4293" s="20" t="s">
        <v>2462</v>
      </c>
      <c r="G4293" s="20" t="s">
        <v>82</v>
      </c>
      <c r="H4293" s="20" t="s">
        <v>2449</v>
      </c>
      <c r="I4293" s="20" t="s">
        <v>2454</v>
      </c>
      <c r="J4293" s="20" t="s">
        <v>203</v>
      </c>
      <c r="K4293" s="20" t="s">
        <v>250</v>
      </c>
      <c r="L4293" s="20">
        <v>1200000</v>
      </c>
      <c r="M4293" s="20" t="s">
        <v>245</v>
      </c>
      <c r="N4293" s="20" t="s">
        <v>2239</v>
      </c>
    </row>
    <row r="4294" spans="1:14" hidden="1" x14ac:dyDescent="0.25">
      <c r="A4294" s="19">
        <v>45962</v>
      </c>
      <c r="B4294" s="20" t="s">
        <v>162</v>
      </c>
      <c r="C4294" s="20">
        <v>50</v>
      </c>
      <c r="D4294" s="20" t="s">
        <v>253</v>
      </c>
      <c r="E4294" s="20" t="s">
        <v>2359</v>
      </c>
      <c r="F4294" s="20" t="s">
        <v>2468</v>
      </c>
      <c r="G4294" s="20" t="s">
        <v>82</v>
      </c>
      <c r="H4294" s="20"/>
      <c r="I4294" s="20"/>
      <c r="J4294" s="20" t="s">
        <v>201</v>
      </c>
      <c r="K4294" s="20" t="s">
        <v>255</v>
      </c>
      <c r="L4294" s="20">
        <v>1800000000</v>
      </c>
      <c r="M4294" s="20" t="s">
        <v>245</v>
      </c>
      <c r="N4294" s="20" t="s">
        <v>1229</v>
      </c>
    </row>
    <row r="4295" spans="1:14" hidden="1" x14ac:dyDescent="0.25">
      <c r="A4295" s="19">
        <v>45962</v>
      </c>
      <c r="B4295" s="20" t="s">
        <v>162</v>
      </c>
      <c r="C4295" s="20">
        <v>50</v>
      </c>
      <c r="D4295" s="20" t="s">
        <v>253</v>
      </c>
      <c r="E4295" s="20" t="s">
        <v>2359</v>
      </c>
      <c r="F4295" s="20" t="s">
        <v>2468</v>
      </c>
      <c r="G4295" s="20" t="s">
        <v>82</v>
      </c>
      <c r="H4295" s="20"/>
      <c r="I4295" s="20"/>
      <c r="J4295" s="20" t="s">
        <v>202</v>
      </c>
      <c r="K4295" s="20" t="s">
        <v>255</v>
      </c>
      <c r="L4295" s="20">
        <v>1800000000</v>
      </c>
      <c r="M4295" s="20" t="s">
        <v>245</v>
      </c>
      <c r="N4295" s="20" t="s">
        <v>1229</v>
      </c>
    </row>
    <row r="4296" spans="1:14" hidden="1" x14ac:dyDescent="0.25">
      <c r="A4296" s="19">
        <v>45962</v>
      </c>
      <c r="B4296" s="20" t="s">
        <v>162</v>
      </c>
      <c r="C4296" s="20">
        <v>50</v>
      </c>
      <c r="D4296" s="20" t="s">
        <v>253</v>
      </c>
      <c r="E4296" s="20" t="s">
        <v>2359</v>
      </c>
      <c r="F4296" s="20" t="s">
        <v>2468</v>
      </c>
      <c r="G4296" s="20" t="s">
        <v>82</v>
      </c>
      <c r="H4296" s="20"/>
      <c r="I4296" s="20"/>
      <c r="J4296" s="20" t="s">
        <v>203</v>
      </c>
      <c r="K4296" s="20" t="s">
        <v>255</v>
      </c>
      <c r="L4296" s="20">
        <v>1690000000</v>
      </c>
      <c r="M4296" s="20" t="s">
        <v>245</v>
      </c>
      <c r="N4296" s="20" t="s">
        <v>673</v>
      </c>
    </row>
    <row r="4297" spans="1:14" hidden="1" x14ac:dyDescent="0.25">
      <c r="A4297" s="19">
        <v>45962</v>
      </c>
      <c r="B4297" s="20" t="s">
        <v>162</v>
      </c>
      <c r="C4297" s="20">
        <v>50</v>
      </c>
      <c r="D4297" s="20" t="s">
        <v>247</v>
      </c>
      <c r="E4297" s="20" t="s">
        <v>2554</v>
      </c>
      <c r="F4297" s="20" t="s">
        <v>2558</v>
      </c>
      <c r="G4297" s="20" t="s">
        <v>82</v>
      </c>
      <c r="H4297" s="20" t="s">
        <v>249</v>
      </c>
      <c r="I4297" s="20"/>
      <c r="J4297" s="20" t="s">
        <v>203</v>
      </c>
      <c r="K4297" s="20" t="s">
        <v>250</v>
      </c>
      <c r="L4297" s="20">
        <v>6</v>
      </c>
      <c r="M4297" s="20" t="s">
        <v>251</v>
      </c>
      <c r="N4297" s="20" t="s">
        <v>672</v>
      </c>
    </row>
    <row r="4298" spans="1:14" hidden="1" x14ac:dyDescent="0.25">
      <c r="A4298" s="19">
        <v>45962</v>
      </c>
      <c r="B4298" s="20" t="s">
        <v>162</v>
      </c>
      <c r="C4298" s="20">
        <v>51</v>
      </c>
      <c r="D4298" s="20" t="s">
        <v>291</v>
      </c>
      <c r="E4298" s="20" t="s">
        <v>2361</v>
      </c>
      <c r="F4298" s="20" t="s">
        <v>2468</v>
      </c>
      <c r="G4298" s="20" t="s">
        <v>82</v>
      </c>
      <c r="H4298" s="20" t="s">
        <v>95</v>
      </c>
      <c r="I4298" s="20"/>
      <c r="J4298" s="20" t="s">
        <v>203</v>
      </c>
      <c r="K4298" s="20" t="s">
        <v>250</v>
      </c>
      <c r="L4298" s="20">
        <v>340050000</v>
      </c>
      <c r="M4298" s="20" t="s">
        <v>245</v>
      </c>
      <c r="N4298" s="20" t="s">
        <v>2985</v>
      </c>
    </row>
    <row r="4299" spans="1:14" hidden="1" x14ac:dyDescent="0.25">
      <c r="A4299" s="19">
        <v>45962</v>
      </c>
      <c r="B4299" s="20" t="s">
        <v>162</v>
      </c>
      <c r="C4299" s="20">
        <v>51</v>
      </c>
      <c r="D4299" s="20" t="s">
        <v>291</v>
      </c>
      <c r="E4299" s="20" t="s">
        <v>2361</v>
      </c>
      <c r="F4299" s="20" t="s">
        <v>2468</v>
      </c>
      <c r="G4299" s="20" t="s">
        <v>82</v>
      </c>
      <c r="H4299" s="20" t="s">
        <v>94</v>
      </c>
      <c r="I4299" s="20"/>
      <c r="J4299" s="20" t="s">
        <v>203</v>
      </c>
      <c r="K4299" s="20" t="s">
        <v>250</v>
      </c>
      <c r="L4299" s="20">
        <v>1350000000</v>
      </c>
      <c r="M4299" s="20" t="s">
        <v>245</v>
      </c>
      <c r="N4299" s="20" t="s">
        <v>2382</v>
      </c>
    </row>
    <row r="4300" spans="1:14" hidden="1" x14ac:dyDescent="0.25">
      <c r="A4300" s="19">
        <v>45962</v>
      </c>
      <c r="B4300" s="20" t="s">
        <v>162</v>
      </c>
      <c r="C4300" s="20">
        <v>52</v>
      </c>
      <c r="D4300" s="20" t="s">
        <v>291</v>
      </c>
      <c r="E4300" s="20" t="s">
        <v>2361</v>
      </c>
      <c r="F4300" s="20" t="s">
        <v>2472</v>
      </c>
      <c r="G4300" s="20" t="s">
        <v>82</v>
      </c>
      <c r="H4300" s="20" t="s">
        <v>174</v>
      </c>
      <c r="I4300" s="20"/>
      <c r="J4300" s="20" t="s">
        <v>203</v>
      </c>
      <c r="K4300" s="20" t="s">
        <v>250</v>
      </c>
      <c r="L4300" s="20">
        <v>229600000</v>
      </c>
      <c r="M4300" s="20" t="s">
        <v>245</v>
      </c>
      <c r="N4300" s="20" t="s">
        <v>2986</v>
      </c>
    </row>
    <row r="4301" spans="1:14" hidden="1" x14ac:dyDescent="0.25">
      <c r="A4301" s="19">
        <v>45962</v>
      </c>
      <c r="B4301" s="20" t="s">
        <v>162</v>
      </c>
      <c r="C4301" s="20">
        <v>52</v>
      </c>
      <c r="D4301" s="20" t="s">
        <v>291</v>
      </c>
      <c r="E4301" s="20" t="s">
        <v>2361</v>
      </c>
      <c r="F4301" s="20" t="s">
        <v>2472</v>
      </c>
      <c r="G4301" s="20" t="s">
        <v>82</v>
      </c>
      <c r="H4301" s="20" t="s">
        <v>173</v>
      </c>
      <c r="I4301" s="20"/>
      <c r="J4301" s="20" t="s">
        <v>203</v>
      </c>
      <c r="K4301" s="20" t="s">
        <v>250</v>
      </c>
      <c r="L4301" s="20">
        <v>187000000</v>
      </c>
      <c r="M4301" s="20" t="s">
        <v>245</v>
      </c>
      <c r="N4301" s="20" t="s">
        <v>2987</v>
      </c>
    </row>
    <row r="4302" spans="1:14" hidden="1" x14ac:dyDescent="0.25">
      <c r="A4302" s="19">
        <v>45962</v>
      </c>
      <c r="B4302" s="20" t="s">
        <v>162</v>
      </c>
      <c r="C4302" s="20">
        <v>53</v>
      </c>
      <c r="D4302" s="20" t="s">
        <v>238</v>
      </c>
      <c r="E4302" s="20" t="s">
        <v>2341</v>
      </c>
      <c r="F4302" s="20" t="s">
        <v>334</v>
      </c>
      <c r="G4302" s="20" t="s">
        <v>82</v>
      </c>
      <c r="H4302" s="20" t="s">
        <v>179</v>
      </c>
      <c r="I4302" s="20"/>
      <c r="J4302" s="20" t="s">
        <v>203</v>
      </c>
      <c r="K4302" s="20" t="s">
        <v>250</v>
      </c>
      <c r="L4302" s="20">
        <v>10</v>
      </c>
      <c r="M4302" s="20" t="s">
        <v>245</v>
      </c>
      <c r="N4302" s="20" t="s">
        <v>2988</v>
      </c>
    </row>
    <row r="4303" spans="1:14" hidden="1" x14ac:dyDescent="0.25">
      <c r="A4303" s="19">
        <v>45962</v>
      </c>
      <c r="B4303" s="20" t="s">
        <v>162</v>
      </c>
      <c r="C4303" s="20">
        <v>53</v>
      </c>
      <c r="D4303" s="20" t="s">
        <v>238</v>
      </c>
      <c r="E4303" s="20" t="s">
        <v>2341</v>
      </c>
      <c r="F4303" s="20" t="s">
        <v>334</v>
      </c>
      <c r="G4303" s="20" t="s">
        <v>82</v>
      </c>
      <c r="H4303" s="20" t="s">
        <v>170</v>
      </c>
      <c r="I4303" s="20"/>
      <c r="J4303" s="20" t="s">
        <v>203</v>
      </c>
      <c r="K4303" s="20" t="s">
        <v>250</v>
      </c>
      <c r="L4303" s="20">
        <v>12</v>
      </c>
      <c r="M4303" s="20" t="s">
        <v>245</v>
      </c>
      <c r="N4303" s="20" t="s">
        <v>1773</v>
      </c>
    </row>
    <row r="4304" spans="1:14" hidden="1" x14ac:dyDescent="0.25">
      <c r="A4304" s="19">
        <v>45962</v>
      </c>
      <c r="B4304" s="20" t="s">
        <v>162</v>
      </c>
      <c r="C4304" s="20">
        <v>53</v>
      </c>
      <c r="D4304" s="20" t="s">
        <v>238</v>
      </c>
      <c r="E4304" s="20" t="s">
        <v>2341</v>
      </c>
      <c r="F4304" s="20" t="s">
        <v>334</v>
      </c>
      <c r="G4304" s="20" t="s">
        <v>82</v>
      </c>
      <c r="H4304" s="20" t="s">
        <v>178</v>
      </c>
      <c r="I4304" s="20"/>
      <c r="J4304" s="20" t="s">
        <v>203</v>
      </c>
      <c r="K4304" s="20" t="s">
        <v>250</v>
      </c>
      <c r="L4304" s="20">
        <v>37</v>
      </c>
      <c r="M4304" s="20" t="s">
        <v>245</v>
      </c>
      <c r="N4304" s="20" t="s">
        <v>2989</v>
      </c>
    </row>
    <row r="4305" spans="1:14" hidden="1" x14ac:dyDescent="0.25">
      <c r="A4305" s="19">
        <v>45962</v>
      </c>
      <c r="B4305" s="20" t="s">
        <v>162</v>
      </c>
      <c r="C4305" s="20">
        <v>53</v>
      </c>
      <c r="D4305" s="20" t="s">
        <v>238</v>
      </c>
      <c r="E4305" s="20" t="s">
        <v>2341</v>
      </c>
      <c r="F4305" s="20" t="s">
        <v>334</v>
      </c>
      <c r="G4305" s="20" t="s">
        <v>82</v>
      </c>
      <c r="H4305" s="20" t="s">
        <v>173</v>
      </c>
      <c r="I4305" s="20"/>
      <c r="J4305" s="20" t="s">
        <v>203</v>
      </c>
      <c r="K4305" s="20" t="s">
        <v>250</v>
      </c>
      <c r="L4305" s="20">
        <v>52</v>
      </c>
      <c r="M4305" s="20" t="s">
        <v>245</v>
      </c>
      <c r="N4305" s="20" t="s">
        <v>2990</v>
      </c>
    </row>
    <row r="4306" spans="1:14" hidden="1" x14ac:dyDescent="0.25">
      <c r="A4306" s="19">
        <v>45962</v>
      </c>
      <c r="B4306" s="20" t="s">
        <v>162</v>
      </c>
      <c r="C4306" s="20">
        <v>53</v>
      </c>
      <c r="D4306" s="20" t="s">
        <v>238</v>
      </c>
      <c r="E4306" s="20" t="s">
        <v>2341</v>
      </c>
      <c r="F4306" s="20" t="s">
        <v>334</v>
      </c>
      <c r="G4306" s="20" t="s">
        <v>82</v>
      </c>
      <c r="H4306" s="20" t="s">
        <v>174</v>
      </c>
      <c r="I4306" s="20"/>
      <c r="J4306" s="20" t="s">
        <v>203</v>
      </c>
      <c r="K4306" s="20" t="s">
        <v>250</v>
      </c>
      <c r="L4306" s="20">
        <v>86</v>
      </c>
      <c r="M4306" s="20" t="s">
        <v>245</v>
      </c>
      <c r="N4306" s="20" t="s">
        <v>2991</v>
      </c>
    </row>
    <row r="4307" spans="1:14" hidden="1" x14ac:dyDescent="0.25">
      <c r="A4307" s="19">
        <v>45962</v>
      </c>
      <c r="B4307" s="20" t="s">
        <v>162</v>
      </c>
      <c r="C4307" s="20">
        <v>53</v>
      </c>
      <c r="D4307" s="20" t="s">
        <v>238</v>
      </c>
      <c r="E4307" s="20" t="s">
        <v>2341</v>
      </c>
      <c r="F4307" s="20" t="s">
        <v>334</v>
      </c>
      <c r="G4307" s="20" t="s">
        <v>82</v>
      </c>
      <c r="H4307" s="20" t="s">
        <v>164</v>
      </c>
      <c r="I4307" s="20"/>
      <c r="J4307" s="20" t="s">
        <v>203</v>
      </c>
      <c r="K4307" s="20" t="s">
        <v>250</v>
      </c>
      <c r="L4307" s="20">
        <v>130</v>
      </c>
      <c r="M4307" s="20" t="s">
        <v>245</v>
      </c>
      <c r="N4307" s="20" t="s">
        <v>686</v>
      </c>
    </row>
    <row r="4308" spans="1:14" hidden="1" x14ac:dyDescent="0.25">
      <c r="A4308" s="19">
        <v>45962</v>
      </c>
      <c r="B4308" s="20" t="s">
        <v>162</v>
      </c>
      <c r="C4308" s="20">
        <v>53</v>
      </c>
      <c r="D4308" s="20" t="s">
        <v>238</v>
      </c>
      <c r="E4308" s="20" t="s">
        <v>2341</v>
      </c>
      <c r="F4308" s="20" t="s">
        <v>455</v>
      </c>
      <c r="G4308" s="20" t="s">
        <v>82</v>
      </c>
      <c r="H4308" s="20"/>
      <c r="I4308" s="20"/>
      <c r="J4308" s="20" t="s">
        <v>203</v>
      </c>
      <c r="K4308" s="20" t="s">
        <v>250</v>
      </c>
      <c r="L4308" s="20">
        <v>85</v>
      </c>
      <c r="M4308" s="20" t="s">
        <v>245</v>
      </c>
      <c r="N4308" s="20" t="s">
        <v>2992</v>
      </c>
    </row>
    <row r="4309" spans="1:14" hidden="1" x14ac:dyDescent="0.25">
      <c r="A4309" s="19">
        <v>45962</v>
      </c>
      <c r="B4309" s="20" t="s">
        <v>1192</v>
      </c>
      <c r="C4309" s="20">
        <v>55</v>
      </c>
      <c r="D4309" s="20" t="s">
        <v>238</v>
      </c>
      <c r="E4309" s="20" t="s">
        <v>2341</v>
      </c>
      <c r="F4309" s="20" t="s">
        <v>240</v>
      </c>
      <c r="G4309" s="20" t="s">
        <v>82</v>
      </c>
      <c r="H4309" s="20"/>
      <c r="I4309" s="20"/>
      <c r="J4309" s="20" t="s">
        <v>2891</v>
      </c>
      <c r="K4309" s="20" t="s">
        <v>241</v>
      </c>
      <c r="L4309" s="20">
        <v>241360000</v>
      </c>
      <c r="M4309" s="20" t="s">
        <v>242</v>
      </c>
      <c r="N4309" s="20" t="s">
        <v>2968</v>
      </c>
    </row>
    <row r="4310" spans="1:14" hidden="1" x14ac:dyDescent="0.25">
      <c r="A4310" s="19">
        <v>45962</v>
      </c>
      <c r="B4310" s="20" t="s">
        <v>2481</v>
      </c>
      <c r="C4310" s="20">
        <v>55</v>
      </c>
      <c r="D4310" s="20" t="s">
        <v>238</v>
      </c>
      <c r="E4310" s="20" t="s">
        <v>2341</v>
      </c>
      <c r="F4310" s="20" t="s">
        <v>244</v>
      </c>
      <c r="G4310" s="20" t="s">
        <v>82</v>
      </c>
      <c r="H4310" s="20"/>
      <c r="I4310" s="20"/>
      <c r="J4310" s="20" t="s">
        <v>2891</v>
      </c>
      <c r="K4310" s="20" t="s">
        <v>241</v>
      </c>
      <c r="L4310" s="20">
        <v>23860000000</v>
      </c>
      <c r="M4310" s="20" t="s">
        <v>245</v>
      </c>
      <c r="N4310" s="20" t="s">
        <v>2969</v>
      </c>
    </row>
    <row r="4311" spans="1:14" hidden="1" x14ac:dyDescent="0.25">
      <c r="A4311" s="19">
        <v>45962</v>
      </c>
      <c r="B4311" s="20" t="s">
        <v>1192</v>
      </c>
      <c r="C4311" s="20">
        <v>55</v>
      </c>
      <c r="D4311" s="20" t="s">
        <v>238</v>
      </c>
      <c r="E4311" s="20" t="s">
        <v>2341</v>
      </c>
      <c r="F4311" s="20" t="s">
        <v>240</v>
      </c>
      <c r="G4311" s="20" t="s">
        <v>82</v>
      </c>
      <c r="H4311" s="20" t="s">
        <v>184</v>
      </c>
      <c r="I4311" s="20"/>
      <c r="J4311" s="20" t="s">
        <v>2891</v>
      </c>
      <c r="K4311" s="20" t="s">
        <v>241</v>
      </c>
      <c r="L4311" s="20">
        <v>150250000</v>
      </c>
      <c r="M4311" s="20" t="s">
        <v>242</v>
      </c>
      <c r="N4311" s="20" t="s">
        <v>2892</v>
      </c>
    </row>
    <row r="4312" spans="1:14" hidden="1" x14ac:dyDescent="0.25">
      <c r="A4312" s="19">
        <v>45962</v>
      </c>
      <c r="B4312" s="20" t="s">
        <v>1192</v>
      </c>
      <c r="C4312" s="20">
        <v>55</v>
      </c>
      <c r="D4312" s="20" t="s">
        <v>238</v>
      </c>
      <c r="E4312" s="20" t="s">
        <v>2341</v>
      </c>
      <c r="F4312" s="20" t="s">
        <v>240</v>
      </c>
      <c r="G4312" s="20" t="s">
        <v>82</v>
      </c>
      <c r="H4312" s="20" t="s">
        <v>185</v>
      </c>
      <c r="I4312" s="20"/>
      <c r="J4312" s="20" t="s">
        <v>2891</v>
      </c>
      <c r="K4312" s="20" t="s">
        <v>241</v>
      </c>
      <c r="L4312" s="20">
        <v>91110000</v>
      </c>
      <c r="M4312" s="20" t="s">
        <v>242</v>
      </c>
      <c r="N4312" s="20" t="s">
        <v>2919</v>
      </c>
    </row>
    <row r="4313" spans="1:14" hidden="1" x14ac:dyDescent="0.25">
      <c r="A4313" s="19">
        <v>45962</v>
      </c>
      <c r="B4313" s="20" t="s">
        <v>2481</v>
      </c>
      <c r="C4313" s="20">
        <v>55</v>
      </c>
      <c r="D4313" s="20" t="s">
        <v>238</v>
      </c>
      <c r="E4313" s="20" t="s">
        <v>2341</v>
      </c>
      <c r="F4313" s="20" t="s">
        <v>244</v>
      </c>
      <c r="G4313" s="20" t="s">
        <v>82</v>
      </c>
      <c r="H4313" s="20" t="s">
        <v>184</v>
      </c>
      <c r="I4313" s="20"/>
      <c r="J4313" s="20" t="s">
        <v>2891</v>
      </c>
      <c r="K4313" s="20" t="s">
        <v>241</v>
      </c>
      <c r="L4313" s="20">
        <v>18090000000</v>
      </c>
      <c r="M4313" s="20" t="s">
        <v>245</v>
      </c>
      <c r="N4313" s="20" t="s">
        <v>2893</v>
      </c>
    </row>
    <row r="4314" spans="1:14" hidden="1" x14ac:dyDescent="0.25">
      <c r="A4314" s="19">
        <v>45962</v>
      </c>
      <c r="B4314" s="20" t="s">
        <v>2481</v>
      </c>
      <c r="C4314" s="20">
        <v>55</v>
      </c>
      <c r="D4314" s="20" t="s">
        <v>238</v>
      </c>
      <c r="E4314" s="20" t="s">
        <v>2341</v>
      </c>
      <c r="F4314" s="20" t="s">
        <v>244</v>
      </c>
      <c r="G4314" s="20" t="s">
        <v>82</v>
      </c>
      <c r="H4314" s="20" t="s">
        <v>185</v>
      </c>
      <c r="I4314" s="20"/>
      <c r="J4314" s="20" t="s">
        <v>2891</v>
      </c>
      <c r="K4314" s="20" t="s">
        <v>241</v>
      </c>
      <c r="L4314" s="20">
        <v>5780000000</v>
      </c>
      <c r="M4314" s="20" t="s">
        <v>245</v>
      </c>
      <c r="N4314" s="20" t="s">
        <v>2920</v>
      </c>
    </row>
    <row r="4315" spans="1:14" hidden="1" x14ac:dyDescent="0.25">
      <c r="A4315" s="19">
        <v>45962</v>
      </c>
      <c r="B4315" s="20" t="s">
        <v>2481</v>
      </c>
      <c r="C4315" s="20">
        <v>56</v>
      </c>
      <c r="D4315" s="20" t="s">
        <v>238</v>
      </c>
      <c r="E4315" s="20" t="s">
        <v>2341</v>
      </c>
      <c r="F4315" s="20" t="s">
        <v>285</v>
      </c>
      <c r="G4315" s="20" t="s">
        <v>63</v>
      </c>
      <c r="H4315" s="20" t="s">
        <v>1202</v>
      </c>
      <c r="I4315" s="20"/>
      <c r="J4315" s="20" t="s">
        <v>2891</v>
      </c>
      <c r="K4315" s="20" t="s">
        <v>241</v>
      </c>
      <c r="L4315" s="20">
        <v>1050000</v>
      </c>
      <c r="M4315" s="20" t="s">
        <v>242</v>
      </c>
      <c r="N4315" s="20" t="s">
        <v>2335</v>
      </c>
    </row>
    <row r="4316" spans="1:14" hidden="1" x14ac:dyDescent="0.25">
      <c r="A4316" s="19">
        <v>45962</v>
      </c>
      <c r="B4316" s="20" t="s">
        <v>2481</v>
      </c>
      <c r="C4316" s="20">
        <v>56</v>
      </c>
      <c r="D4316" s="20" t="s">
        <v>238</v>
      </c>
      <c r="E4316" s="20" t="s">
        <v>2341</v>
      </c>
      <c r="F4316" s="20" t="s">
        <v>285</v>
      </c>
      <c r="G4316" s="20" t="s">
        <v>63</v>
      </c>
      <c r="H4316" s="20" t="s">
        <v>1204</v>
      </c>
      <c r="I4316" s="20"/>
      <c r="J4316" s="20" t="s">
        <v>2891</v>
      </c>
      <c r="K4316" s="20" t="s">
        <v>241</v>
      </c>
      <c r="L4316" s="20">
        <v>1730000</v>
      </c>
      <c r="M4316" s="20" t="s">
        <v>242</v>
      </c>
      <c r="N4316" s="20" t="s">
        <v>2993</v>
      </c>
    </row>
    <row r="4317" spans="1:14" hidden="1" x14ac:dyDescent="0.25">
      <c r="A4317" s="19">
        <v>45962</v>
      </c>
      <c r="B4317" s="20" t="s">
        <v>2481</v>
      </c>
      <c r="C4317" s="20">
        <v>56</v>
      </c>
      <c r="D4317" s="20" t="s">
        <v>238</v>
      </c>
      <c r="E4317" s="20" t="s">
        <v>2341</v>
      </c>
      <c r="F4317" s="20" t="s">
        <v>285</v>
      </c>
      <c r="G4317" s="20" t="s">
        <v>63</v>
      </c>
      <c r="H4317" s="20" t="s">
        <v>1200</v>
      </c>
      <c r="I4317" s="20"/>
      <c r="J4317" s="20" t="s">
        <v>2891</v>
      </c>
      <c r="K4317" s="20" t="s">
        <v>241</v>
      </c>
      <c r="L4317" s="20">
        <v>1040000</v>
      </c>
      <c r="M4317" s="20" t="s">
        <v>242</v>
      </c>
      <c r="N4317" s="20" t="s">
        <v>952</v>
      </c>
    </row>
    <row r="4318" spans="1:14" hidden="1" x14ac:dyDescent="0.25">
      <c r="A4318" s="19">
        <v>45962</v>
      </c>
      <c r="B4318" s="20" t="s">
        <v>2481</v>
      </c>
      <c r="C4318" s="20">
        <v>56</v>
      </c>
      <c r="D4318" s="20" t="s">
        <v>238</v>
      </c>
      <c r="E4318" s="20" t="s">
        <v>2341</v>
      </c>
      <c r="F4318" s="20" t="s">
        <v>285</v>
      </c>
      <c r="G4318" s="20" t="s">
        <v>63</v>
      </c>
      <c r="H4318" s="20"/>
      <c r="I4318" s="20"/>
      <c r="J4318" s="20" t="s">
        <v>2891</v>
      </c>
      <c r="K4318" s="20" t="s">
        <v>241</v>
      </c>
      <c r="L4318" s="20">
        <v>3880000</v>
      </c>
      <c r="M4318" s="20" t="s">
        <v>242</v>
      </c>
      <c r="N4318" s="20" t="s">
        <v>2994</v>
      </c>
    </row>
    <row r="4319" spans="1:14" hidden="1" x14ac:dyDescent="0.25">
      <c r="A4319" s="19">
        <v>45962</v>
      </c>
      <c r="B4319" s="20" t="s">
        <v>2481</v>
      </c>
      <c r="C4319" s="20">
        <v>57</v>
      </c>
      <c r="D4319" s="20" t="s">
        <v>238</v>
      </c>
      <c r="E4319" s="20" t="s">
        <v>2341</v>
      </c>
      <c r="F4319" s="20" t="s">
        <v>1194</v>
      </c>
      <c r="G4319" s="20" t="s">
        <v>82</v>
      </c>
      <c r="H4319" s="20"/>
      <c r="I4319" s="20"/>
      <c r="J4319" s="20" t="s">
        <v>203</v>
      </c>
      <c r="K4319" s="20" t="s">
        <v>250</v>
      </c>
      <c r="L4319" s="20">
        <v>26450000</v>
      </c>
      <c r="M4319" s="20" t="s">
        <v>242</v>
      </c>
      <c r="N4319" s="20" t="s">
        <v>2995</v>
      </c>
    </row>
    <row r="4320" spans="1:14" hidden="1" x14ac:dyDescent="0.25">
      <c r="A4320" s="19">
        <v>45962</v>
      </c>
      <c r="B4320" s="20" t="s">
        <v>2481</v>
      </c>
      <c r="C4320" s="20">
        <v>57</v>
      </c>
      <c r="D4320" s="20" t="s">
        <v>238</v>
      </c>
      <c r="E4320" s="20" t="s">
        <v>2341</v>
      </c>
      <c r="F4320" s="20" t="s">
        <v>2487</v>
      </c>
      <c r="G4320" s="20" t="s">
        <v>82</v>
      </c>
      <c r="H4320" s="20" t="s">
        <v>184</v>
      </c>
      <c r="I4320" s="20"/>
      <c r="J4320" s="20" t="s">
        <v>203</v>
      </c>
      <c r="K4320" s="20" t="s">
        <v>250</v>
      </c>
      <c r="L4320" s="20">
        <v>16350000</v>
      </c>
      <c r="M4320" s="20" t="s">
        <v>242</v>
      </c>
      <c r="N4320" s="20" t="s">
        <v>2878</v>
      </c>
    </row>
    <row r="4321" spans="1:14" hidden="1" x14ac:dyDescent="0.25">
      <c r="A4321" s="19">
        <v>45962</v>
      </c>
      <c r="B4321" s="20" t="s">
        <v>2481</v>
      </c>
      <c r="C4321" s="20">
        <v>57</v>
      </c>
      <c r="D4321" s="20" t="s">
        <v>238</v>
      </c>
      <c r="E4321" s="20" t="s">
        <v>2341</v>
      </c>
      <c r="F4321" s="20" t="s">
        <v>2488</v>
      </c>
      <c r="G4321" s="20" t="s">
        <v>82</v>
      </c>
      <c r="H4321" s="20" t="s">
        <v>185</v>
      </c>
      <c r="I4321" s="20"/>
      <c r="J4321" s="20" t="s">
        <v>203</v>
      </c>
      <c r="K4321" s="20" t="s">
        <v>250</v>
      </c>
      <c r="L4321" s="20">
        <v>10100000</v>
      </c>
      <c r="M4321" s="20" t="s">
        <v>242</v>
      </c>
      <c r="N4321" s="20" t="s">
        <v>2881</v>
      </c>
    </row>
    <row r="4322" spans="1:14" hidden="1" x14ac:dyDescent="0.25">
      <c r="A4322" s="19">
        <v>45962</v>
      </c>
      <c r="B4322" s="20" t="s">
        <v>2481</v>
      </c>
      <c r="C4322" s="20">
        <v>58</v>
      </c>
      <c r="D4322" s="20" t="s">
        <v>238</v>
      </c>
      <c r="E4322" s="20" t="s">
        <v>2341</v>
      </c>
      <c r="F4322" s="20" t="s">
        <v>1196</v>
      </c>
      <c r="G4322" s="20" t="s">
        <v>82</v>
      </c>
      <c r="H4322" s="20"/>
      <c r="I4322" s="20"/>
      <c r="J4322" s="20" t="s">
        <v>203</v>
      </c>
      <c r="K4322" s="20" t="s">
        <v>250</v>
      </c>
      <c r="L4322" s="20">
        <v>2250000000</v>
      </c>
      <c r="M4322" s="20" t="s">
        <v>245</v>
      </c>
      <c r="N4322" s="20" t="s">
        <v>2996</v>
      </c>
    </row>
    <row r="4323" spans="1:14" hidden="1" x14ac:dyDescent="0.25">
      <c r="A4323" s="19">
        <v>45962</v>
      </c>
      <c r="B4323" s="20" t="s">
        <v>2481</v>
      </c>
      <c r="C4323" s="20">
        <v>58</v>
      </c>
      <c r="D4323" s="20" t="s">
        <v>238</v>
      </c>
      <c r="E4323" s="20" t="s">
        <v>2341</v>
      </c>
      <c r="F4323" s="20" t="s">
        <v>2489</v>
      </c>
      <c r="G4323" s="20" t="s">
        <v>82</v>
      </c>
      <c r="H4323" s="20" t="s">
        <v>184</v>
      </c>
      <c r="I4323" s="20"/>
      <c r="J4323" s="20" t="s">
        <v>203</v>
      </c>
      <c r="K4323" s="20" t="s">
        <v>250</v>
      </c>
      <c r="L4323" s="20">
        <v>1730000000</v>
      </c>
      <c r="M4323" s="20" t="s">
        <v>245</v>
      </c>
      <c r="N4323" s="20" t="s">
        <v>2879</v>
      </c>
    </row>
    <row r="4324" spans="1:14" hidden="1" x14ac:dyDescent="0.25">
      <c r="A4324" s="19">
        <v>45962</v>
      </c>
      <c r="B4324" s="20" t="s">
        <v>2481</v>
      </c>
      <c r="C4324" s="20">
        <v>58</v>
      </c>
      <c r="D4324" s="20" t="s">
        <v>238</v>
      </c>
      <c r="E4324" s="20" t="s">
        <v>2341</v>
      </c>
      <c r="F4324" s="20" t="s">
        <v>2490</v>
      </c>
      <c r="G4324" s="20" t="s">
        <v>82</v>
      </c>
      <c r="H4324" s="20" t="s">
        <v>185</v>
      </c>
      <c r="I4324" s="20"/>
      <c r="J4324" s="20" t="s">
        <v>203</v>
      </c>
      <c r="K4324" s="20" t="s">
        <v>250</v>
      </c>
      <c r="L4324" s="20">
        <v>530000000</v>
      </c>
      <c r="M4324" s="20" t="s">
        <v>245</v>
      </c>
      <c r="N4324" s="20" t="s">
        <v>2997</v>
      </c>
    </row>
    <row r="4325" spans="1:14" hidden="1" x14ac:dyDescent="0.25">
      <c r="A4325" s="19">
        <v>45962</v>
      </c>
      <c r="B4325" s="20" t="s">
        <v>2481</v>
      </c>
      <c r="C4325" s="20">
        <v>59</v>
      </c>
      <c r="D4325" s="20" t="s">
        <v>238</v>
      </c>
      <c r="E4325" s="20" t="s">
        <v>2341</v>
      </c>
      <c r="F4325" s="20" t="s">
        <v>1213</v>
      </c>
      <c r="G4325" s="20" t="s">
        <v>82</v>
      </c>
      <c r="H4325" s="20"/>
      <c r="I4325" s="20"/>
      <c r="J4325" s="20" t="s">
        <v>203</v>
      </c>
      <c r="K4325" s="20" t="s">
        <v>250</v>
      </c>
      <c r="L4325" s="20">
        <v>85.2</v>
      </c>
      <c r="M4325" s="20" t="s">
        <v>245</v>
      </c>
      <c r="N4325" s="20" t="s">
        <v>2998</v>
      </c>
    </row>
    <row r="4326" spans="1:14" hidden="1" x14ac:dyDescent="0.25">
      <c r="A4326" s="19">
        <v>45962</v>
      </c>
      <c r="B4326" s="20" t="s">
        <v>2481</v>
      </c>
      <c r="C4326" s="20">
        <v>59</v>
      </c>
      <c r="D4326" s="20" t="s">
        <v>238</v>
      </c>
      <c r="E4326" s="20" t="s">
        <v>2341</v>
      </c>
      <c r="F4326" s="20" t="s">
        <v>2493</v>
      </c>
      <c r="G4326" s="20" t="s">
        <v>82</v>
      </c>
      <c r="H4326" s="20" t="s">
        <v>184</v>
      </c>
      <c r="I4326" s="20"/>
      <c r="J4326" s="20" t="s">
        <v>203</v>
      </c>
      <c r="K4326" s="20" t="s">
        <v>250</v>
      </c>
      <c r="L4326" s="20">
        <v>105.7</v>
      </c>
      <c r="M4326" s="20" t="s">
        <v>245</v>
      </c>
      <c r="N4326" s="20" t="s">
        <v>2999</v>
      </c>
    </row>
    <row r="4327" spans="1:14" hidden="1" x14ac:dyDescent="0.25">
      <c r="A4327" s="19">
        <v>45962</v>
      </c>
      <c r="B4327" s="20" t="s">
        <v>2481</v>
      </c>
      <c r="C4327" s="20">
        <v>59</v>
      </c>
      <c r="D4327" s="20" t="s">
        <v>238</v>
      </c>
      <c r="E4327" s="20" t="s">
        <v>2341</v>
      </c>
      <c r="F4327" s="20" t="s">
        <v>2495</v>
      </c>
      <c r="G4327" s="20" t="s">
        <v>82</v>
      </c>
      <c r="H4327" s="20" t="s">
        <v>185</v>
      </c>
      <c r="I4327" s="20"/>
      <c r="J4327" s="20" t="s">
        <v>203</v>
      </c>
      <c r="K4327" s="20" t="s">
        <v>250</v>
      </c>
      <c r="L4327" s="20">
        <v>52.1</v>
      </c>
      <c r="M4327" s="20" t="s">
        <v>245</v>
      </c>
      <c r="N4327" s="20" t="s">
        <v>3000</v>
      </c>
    </row>
    <row r="4328" spans="1:14" hidden="1" x14ac:dyDescent="0.25">
      <c r="A4328" s="19">
        <v>45962</v>
      </c>
      <c r="B4328" s="20" t="s">
        <v>120</v>
      </c>
      <c r="C4328" s="20">
        <v>61</v>
      </c>
      <c r="D4328" s="20" t="s">
        <v>238</v>
      </c>
      <c r="E4328" s="20" t="s">
        <v>2341</v>
      </c>
      <c r="F4328" s="20" t="s">
        <v>240</v>
      </c>
      <c r="G4328" s="20" t="s">
        <v>82</v>
      </c>
      <c r="H4328" s="20"/>
      <c r="I4328" s="20"/>
      <c r="J4328" s="20" t="s">
        <v>2891</v>
      </c>
      <c r="K4328" s="20" t="s">
        <v>241</v>
      </c>
      <c r="L4328" s="20">
        <v>68400000</v>
      </c>
      <c r="M4328" s="20" t="s">
        <v>242</v>
      </c>
      <c r="N4328" s="20" t="s">
        <v>3001</v>
      </c>
    </row>
    <row r="4329" spans="1:14" hidden="1" x14ac:dyDescent="0.25">
      <c r="A4329" s="19">
        <v>45962</v>
      </c>
      <c r="B4329" s="20" t="s">
        <v>120</v>
      </c>
      <c r="C4329" s="20">
        <v>61</v>
      </c>
      <c r="D4329" s="20" t="s">
        <v>238</v>
      </c>
      <c r="E4329" s="20" t="s">
        <v>2341</v>
      </c>
      <c r="F4329" s="20" t="s">
        <v>244</v>
      </c>
      <c r="G4329" s="20" t="s">
        <v>82</v>
      </c>
      <c r="H4329" s="20"/>
      <c r="I4329" s="20"/>
      <c r="J4329" s="20" t="s">
        <v>2891</v>
      </c>
      <c r="K4329" s="20" t="s">
        <v>241</v>
      </c>
      <c r="L4329" s="20">
        <v>14390000000</v>
      </c>
      <c r="M4329" s="20" t="s">
        <v>245</v>
      </c>
      <c r="N4329" s="20" t="s">
        <v>3002</v>
      </c>
    </row>
    <row r="4330" spans="1:14" hidden="1" x14ac:dyDescent="0.25">
      <c r="A4330" s="19">
        <v>45962</v>
      </c>
      <c r="B4330" s="20" t="s">
        <v>120</v>
      </c>
      <c r="C4330" s="20">
        <v>62</v>
      </c>
      <c r="D4330" s="20" t="s">
        <v>253</v>
      </c>
      <c r="E4330" s="20" t="s">
        <v>2359</v>
      </c>
      <c r="F4330" s="20" t="s">
        <v>285</v>
      </c>
      <c r="G4330" s="20" t="s">
        <v>63</v>
      </c>
      <c r="H4330" s="20"/>
      <c r="I4330" s="20"/>
      <c r="J4330" s="20" t="s">
        <v>201</v>
      </c>
      <c r="K4330" s="20" t="s">
        <v>255</v>
      </c>
      <c r="L4330" s="20">
        <v>4900000</v>
      </c>
      <c r="M4330" s="20" t="s">
        <v>242</v>
      </c>
      <c r="N4330" s="20" t="s">
        <v>2686</v>
      </c>
    </row>
    <row r="4331" spans="1:14" hidden="1" x14ac:dyDescent="0.25">
      <c r="A4331" s="19">
        <v>45962</v>
      </c>
      <c r="B4331" s="20" t="s">
        <v>120</v>
      </c>
      <c r="C4331" s="20">
        <v>62</v>
      </c>
      <c r="D4331" s="20" t="s">
        <v>253</v>
      </c>
      <c r="E4331" s="20" t="s">
        <v>2359</v>
      </c>
      <c r="F4331" s="20" t="s">
        <v>285</v>
      </c>
      <c r="G4331" s="20" t="s">
        <v>63</v>
      </c>
      <c r="H4331" s="20"/>
      <c r="I4331" s="20"/>
      <c r="J4331" s="20" t="s">
        <v>202</v>
      </c>
      <c r="K4331" s="20" t="s">
        <v>255</v>
      </c>
      <c r="L4331" s="20">
        <v>4950000</v>
      </c>
      <c r="M4331" s="20" t="s">
        <v>242</v>
      </c>
      <c r="N4331" s="20" t="s">
        <v>2843</v>
      </c>
    </row>
    <row r="4332" spans="1:14" hidden="1" x14ac:dyDescent="0.25">
      <c r="A4332" s="19">
        <v>45962</v>
      </c>
      <c r="B4332" s="20" t="s">
        <v>120</v>
      </c>
      <c r="C4332" s="20">
        <v>62</v>
      </c>
      <c r="D4332" s="20" t="s">
        <v>253</v>
      </c>
      <c r="E4332" s="20" t="s">
        <v>2359</v>
      </c>
      <c r="F4332" s="20" t="s">
        <v>285</v>
      </c>
      <c r="G4332" s="20" t="s">
        <v>63</v>
      </c>
      <c r="H4332" s="20"/>
      <c r="I4332" s="20"/>
      <c r="J4332" s="20" t="s">
        <v>203</v>
      </c>
      <c r="K4332" s="20" t="s">
        <v>255</v>
      </c>
      <c r="L4332" s="20">
        <v>5000000</v>
      </c>
      <c r="M4332" s="20" t="s">
        <v>242</v>
      </c>
      <c r="N4332" s="20" t="s">
        <v>3003</v>
      </c>
    </row>
    <row r="4333" spans="1:14" hidden="1" x14ac:dyDescent="0.25">
      <c r="A4333" s="19">
        <v>45962</v>
      </c>
      <c r="B4333" s="20" t="s">
        <v>120</v>
      </c>
      <c r="C4333" s="20">
        <v>62</v>
      </c>
      <c r="D4333" s="20" t="s">
        <v>247</v>
      </c>
      <c r="E4333" s="20" t="s">
        <v>2554</v>
      </c>
      <c r="F4333" s="20" t="s">
        <v>2555</v>
      </c>
      <c r="G4333" s="20" t="s">
        <v>63</v>
      </c>
      <c r="H4333" s="20" t="s">
        <v>286</v>
      </c>
      <c r="I4333" s="20"/>
      <c r="J4333" s="20" t="s">
        <v>203</v>
      </c>
      <c r="K4333" s="20" t="s">
        <v>250</v>
      </c>
      <c r="L4333" s="20">
        <v>0.8</v>
      </c>
      <c r="M4333" s="20" t="s">
        <v>251</v>
      </c>
      <c r="N4333" s="20" t="s">
        <v>370</v>
      </c>
    </row>
    <row r="4334" spans="1:14" hidden="1" x14ac:dyDescent="0.25">
      <c r="A4334" s="19">
        <v>45962</v>
      </c>
      <c r="B4334" s="20" t="s">
        <v>120</v>
      </c>
      <c r="C4334" s="20">
        <v>63</v>
      </c>
      <c r="D4334" s="20" t="s">
        <v>291</v>
      </c>
      <c r="E4334" s="20" t="s">
        <v>2361</v>
      </c>
      <c r="F4334" s="20" t="s">
        <v>285</v>
      </c>
      <c r="G4334" s="20" t="s">
        <v>63</v>
      </c>
      <c r="H4334" s="20" t="s">
        <v>122</v>
      </c>
      <c r="I4334" s="20"/>
      <c r="J4334" s="20" t="s">
        <v>203</v>
      </c>
      <c r="K4334" s="20" t="s">
        <v>250</v>
      </c>
      <c r="L4334" s="20">
        <v>4950000</v>
      </c>
      <c r="M4334" s="20" t="s">
        <v>242</v>
      </c>
      <c r="N4334" s="20" t="s">
        <v>2734</v>
      </c>
    </row>
    <row r="4335" spans="1:14" hidden="1" x14ac:dyDescent="0.25">
      <c r="A4335" s="19">
        <v>45962</v>
      </c>
      <c r="B4335" s="20" t="s">
        <v>120</v>
      </c>
      <c r="C4335" s="20">
        <v>63</v>
      </c>
      <c r="D4335" s="20" t="s">
        <v>291</v>
      </c>
      <c r="E4335" s="20" t="s">
        <v>2361</v>
      </c>
      <c r="F4335" s="20" t="s">
        <v>285</v>
      </c>
      <c r="G4335" s="20" t="s">
        <v>63</v>
      </c>
      <c r="H4335" s="20" t="s">
        <v>123</v>
      </c>
      <c r="I4335" s="20"/>
      <c r="J4335" s="20" t="s">
        <v>203</v>
      </c>
      <c r="K4335" s="20" t="s">
        <v>250</v>
      </c>
      <c r="L4335" s="20">
        <v>41500</v>
      </c>
      <c r="M4335" s="20" t="s">
        <v>242</v>
      </c>
      <c r="N4335" s="20" t="s">
        <v>3004</v>
      </c>
    </row>
    <row r="4336" spans="1:14" hidden="1" x14ac:dyDescent="0.25">
      <c r="A4336" s="19">
        <v>45962</v>
      </c>
      <c r="B4336" s="20" t="s">
        <v>120</v>
      </c>
      <c r="C4336" s="20">
        <v>63</v>
      </c>
      <c r="D4336" s="20" t="s">
        <v>238</v>
      </c>
      <c r="E4336" s="20" t="s">
        <v>2341</v>
      </c>
      <c r="F4336" s="20" t="s">
        <v>376</v>
      </c>
      <c r="G4336" s="20" t="s">
        <v>63</v>
      </c>
      <c r="H4336" s="20"/>
      <c r="I4336" s="20"/>
      <c r="J4336" s="20" t="s">
        <v>203</v>
      </c>
      <c r="K4336" s="20" t="s">
        <v>250</v>
      </c>
      <c r="L4336" s="20">
        <v>5000000</v>
      </c>
      <c r="M4336" s="20" t="s">
        <v>242</v>
      </c>
      <c r="N4336" s="20" t="s">
        <v>2845</v>
      </c>
    </row>
    <row r="4337" spans="1:14" hidden="1" x14ac:dyDescent="0.25">
      <c r="A4337" s="19">
        <v>45962</v>
      </c>
      <c r="B4337" s="20" t="s">
        <v>120</v>
      </c>
      <c r="C4337" s="20">
        <v>64</v>
      </c>
      <c r="D4337" s="20" t="s">
        <v>238</v>
      </c>
      <c r="E4337" s="20" t="s">
        <v>2341</v>
      </c>
      <c r="F4337" s="20" t="s">
        <v>378</v>
      </c>
      <c r="G4337" s="20" t="s">
        <v>379</v>
      </c>
      <c r="H4337" s="20"/>
      <c r="I4337" s="20"/>
      <c r="J4337" s="20" t="s">
        <v>203</v>
      </c>
      <c r="K4337" s="20" t="s">
        <v>250</v>
      </c>
      <c r="L4337" s="20">
        <v>676</v>
      </c>
      <c r="M4337" s="20" t="s">
        <v>242</v>
      </c>
      <c r="N4337" s="20" t="s">
        <v>2883</v>
      </c>
    </row>
    <row r="4338" spans="1:14" hidden="1" x14ac:dyDescent="0.25">
      <c r="A4338" s="19">
        <v>45962</v>
      </c>
      <c r="B4338" s="20" t="s">
        <v>120</v>
      </c>
      <c r="C4338" s="20">
        <v>64</v>
      </c>
      <c r="D4338" s="20" t="s">
        <v>238</v>
      </c>
      <c r="E4338" s="20" t="s">
        <v>2341</v>
      </c>
      <c r="F4338" s="20" t="s">
        <v>381</v>
      </c>
      <c r="G4338" s="20" t="s">
        <v>382</v>
      </c>
      <c r="H4338" s="20"/>
      <c r="I4338" s="20"/>
      <c r="J4338" s="20" t="s">
        <v>203</v>
      </c>
      <c r="K4338" s="20" t="s">
        <v>250</v>
      </c>
      <c r="L4338" s="20">
        <v>2310</v>
      </c>
      <c r="M4338" s="20" t="s">
        <v>242</v>
      </c>
      <c r="N4338" s="20" t="s">
        <v>2884</v>
      </c>
    </row>
    <row r="4339" spans="1:14" hidden="1" x14ac:dyDescent="0.25">
      <c r="A4339" s="19">
        <v>45962</v>
      </c>
      <c r="B4339" s="20" t="s">
        <v>120</v>
      </c>
      <c r="C4339" s="20">
        <v>65</v>
      </c>
      <c r="D4339" s="20" t="s">
        <v>253</v>
      </c>
      <c r="E4339" s="20" t="s">
        <v>2359</v>
      </c>
      <c r="F4339" s="20" t="s">
        <v>240</v>
      </c>
      <c r="G4339" s="20" t="s">
        <v>82</v>
      </c>
      <c r="H4339" s="20"/>
      <c r="I4339" s="20"/>
      <c r="J4339" s="20" t="s">
        <v>201</v>
      </c>
      <c r="K4339" s="20" t="s">
        <v>255</v>
      </c>
      <c r="L4339" s="20">
        <v>6450000</v>
      </c>
      <c r="M4339" s="20" t="s">
        <v>242</v>
      </c>
      <c r="N4339" s="20" t="s">
        <v>2688</v>
      </c>
    </row>
    <row r="4340" spans="1:14" hidden="1" x14ac:dyDescent="0.25">
      <c r="A4340" s="19">
        <v>45962</v>
      </c>
      <c r="B4340" s="20" t="s">
        <v>120</v>
      </c>
      <c r="C4340" s="20">
        <v>65</v>
      </c>
      <c r="D4340" s="20" t="s">
        <v>253</v>
      </c>
      <c r="E4340" s="20" t="s">
        <v>2359</v>
      </c>
      <c r="F4340" s="20" t="s">
        <v>240</v>
      </c>
      <c r="G4340" s="20" t="s">
        <v>82</v>
      </c>
      <c r="H4340" s="20"/>
      <c r="I4340" s="20"/>
      <c r="J4340" s="20" t="s">
        <v>202</v>
      </c>
      <c r="K4340" s="20" t="s">
        <v>255</v>
      </c>
      <c r="L4340" s="20">
        <v>6690000</v>
      </c>
      <c r="M4340" s="20" t="s">
        <v>242</v>
      </c>
      <c r="N4340" s="20" t="s">
        <v>2846</v>
      </c>
    </row>
    <row r="4341" spans="1:14" hidden="1" x14ac:dyDescent="0.25">
      <c r="A4341" s="19">
        <v>45962</v>
      </c>
      <c r="B4341" s="20" t="s">
        <v>120</v>
      </c>
      <c r="C4341" s="20">
        <v>65</v>
      </c>
      <c r="D4341" s="20" t="s">
        <v>253</v>
      </c>
      <c r="E4341" s="20" t="s">
        <v>2359</v>
      </c>
      <c r="F4341" s="20" t="s">
        <v>240</v>
      </c>
      <c r="G4341" s="20" t="s">
        <v>82</v>
      </c>
      <c r="H4341" s="20"/>
      <c r="I4341" s="20"/>
      <c r="J4341" s="20" t="s">
        <v>203</v>
      </c>
      <c r="K4341" s="20" t="s">
        <v>255</v>
      </c>
      <c r="L4341" s="20">
        <v>6520000</v>
      </c>
      <c r="M4341" s="20" t="s">
        <v>242</v>
      </c>
      <c r="N4341" s="20" t="s">
        <v>3005</v>
      </c>
    </row>
    <row r="4342" spans="1:14" hidden="1" x14ac:dyDescent="0.25">
      <c r="A4342" s="19">
        <v>45962</v>
      </c>
      <c r="B4342" s="20" t="s">
        <v>120</v>
      </c>
      <c r="C4342" s="20">
        <v>65</v>
      </c>
      <c r="D4342" s="20" t="s">
        <v>247</v>
      </c>
      <c r="E4342" s="20" t="s">
        <v>2554</v>
      </c>
      <c r="F4342" s="20" t="s">
        <v>2559</v>
      </c>
      <c r="G4342" s="20" t="s">
        <v>82</v>
      </c>
      <c r="H4342" s="20" t="s">
        <v>249</v>
      </c>
      <c r="I4342" s="20"/>
      <c r="J4342" s="20" t="s">
        <v>203</v>
      </c>
      <c r="K4342" s="20" t="s">
        <v>250</v>
      </c>
      <c r="L4342" s="20">
        <v>2.6</v>
      </c>
      <c r="M4342" s="20" t="s">
        <v>251</v>
      </c>
      <c r="N4342" s="20" t="s">
        <v>2717</v>
      </c>
    </row>
    <row r="4343" spans="1:14" hidden="1" x14ac:dyDescent="0.25">
      <c r="A4343" s="19">
        <v>45962</v>
      </c>
      <c r="B4343" s="20" t="s">
        <v>120</v>
      </c>
      <c r="C4343" s="20">
        <v>66</v>
      </c>
      <c r="D4343" s="20" t="s">
        <v>291</v>
      </c>
      <c r="E4343" s="20" t="s">
        <v>2361</v>
      </c>
      <c r="F4343" s="20" t="s">
        <v>2502</v>
      </c>
      <c r="G4343" s="20" t="s">
        <v>82</v>
      </c>
      <c r="H4343" s="20" t="s">
        <v>128</v>
      </c>
      <c r="I4343" s="20"/>
      <c r="J4343" s="20" t="s">
        <v>203</v>
      </c>
      <c r="K4343" s="20" t="s">
        <v>250</v>
      </c>
      <c r="L4343" s="20">
        <v>35000</v>
      </c>
      <c r="M4343" s="20" t="s">
        <v>242</v>
      </c>
      <c r="N4343" s="20" t="s">
        <v>1681</v>
      </c>
    </row>
    <row r="4344" spans="1:14" hidden="1" x14ac:dyDescent="0.25">
      <c r="A4344" s="19">
        <v>45962</v>
      </c>
      <c r="B4344" s="20" t="s">
        <v>120</v>
      </c>
      <c r="C4344" s="20">
        <v>66</v>
      </c>
      <c r="D4344" s="20" t="s">
        <v>291</v>
      </c>
      <c r="E4344" s="20" t="s">
        <v>2361</v>
      </c>
      <c r="F4344" s="20" t="s">
        <v>2502</v>
      </c>
      <c r="G4344" s="20" t="s">
        <v>82</v>
      </c>
      <c r="H4344" s="20" t="s">
        <v>125</v>
      </c>
      <c r="I4344" s="20"/>
      <c r="J4344" s="20" t="s">
        <v>203</v>
      </c>
      <c r="K4344" s="20" t="s">
        <v>250</v>
      </c>
      <c r="L4344" s="20">
        <v>36000</v>
      </c>
      <c r="M4344" s="20" t="s">
        <v>242</v>
      </c>
      <c r="N4344" s="20" t="s">
        <v>1854</v>
      </c>
    </row>
    <row r="4345" spans="1:14" hidden="1" x14ac:dyDescent="0.25">
      <c r="A4345" s="19">
        <v>45962</v>
      </c>
      <c r="B4345" s="20" t="s">
        <v>120</v>
      </c>
      <c r="C4345" s="20">
        <v>66</v>
      </c>
      <c r="D4345" s="20" t="s">
        <v>291</v>
      </c>
      <c r="E4345" s="20" t="s">
        <v>2361</v>
      </c>
      <c r="F4345" s="20" t="s">
        <v>2502</v>
      </c>
      <c r="G4345" s="20" t="s">
        <v>82</v>
      </c>
      <c r="H4345" s="20" t="s">
        <v>131</v>
      </c>
      <c r="I4345" s="20"/>
      <c r="J4345" s="20" t="s">
        <v>203</v>
      </c>
      <c r="K4345" s="20" t="s">
        <v>250</v>
      </c>
      <c r="L4345" s="20">
        <v>43000</v>
      </c>
      <c r="M4345" s="20" t="s">
        <v>242</v>
      </c>
      <c r="N4345" s="20" t="s">
        <v>3006</v>
      </c>
    </row>
    <row r="4346" spans="1:14" hidden="1" x14ac:dyDescent="0.25">
      <c r="A4346" s="19">
        <v>45962</v>
      </c>
      <c r="B4346" s="20" t="s">
        <v>120</v>
      </c>
      <c r="C4346" s="20">
        <v>66</v>
      </c>
      <c r="D4346" s="20" t="s">
        <v>291</v>
      </c>
      <c r="E4346" s="20" t="s">
        <v>2361</v>
      </c>
      <c r="F4346" s="20" t="s">
        <v>2502</v>
      </c>
      <c r="G4346" s="20" t="s">
        <v>82</v>
      </c>
      <c r="H4346" s="20" t="s">
        <v>132</v>
      </c>
      <c r="I4346" s="20"/>
      <c r="J4346" s="20" t="s">
        <v>203</v>
      </c>
      <c r="K4346" s="20" t="s">
        <v>250</v>
      </c>
      <c r="L4346" s="20">
        <v>60000</v>
      </c>
      <c r="M4346" s="20" t="s">
        <v>242</v>
      </c>
      <c r="N4346" s="20" t="s">
        <v>3007</v>
      </c>
    </row>
    <row r="4347" spans="1:14" hidden="1" x14ac:dyDescent="0.25">
      <c r="A4347" s="19">
        <v>45962</v>
      </c>
      <c r="B4347" s="20" t="s">
        <v>120</v>
      </c>
      <c r="C4347" s="20">
        <v>66</v>
      </c>
      <c r="D4347" s="20" t="s">
        <v>291</v>
      </c>
      <c r="E4347" s="20" t="s">
        <v>2361</v>
      </c>
      <c r="F4347" s="20" t="s">
        <v>2502</v>
      </c>
      <c r="G4347" s="20" t="s">
        <v>82</v>
      </c>
      <c r="H4347" s="20" t="s">
        <v>126</v>
      </c>
      <c r="I4347" s="20"/>
      <c r="J4347" s="20" t="s">
        <v>203</v>
      </c>
      <c r="K4347" s="20" t="s">
        <v>250</v>
      </c>
      <c r="L4347" s="20">
        <v>61000</v>
      </c>
      <c r="M4347" s="20" t="s">
        <v>242</v>
      </c>
      <c r="N4347" s="20" t="s">
        <v>950</v>
      </c>
    </row>
    <row r="4348" spans="1:14" hidden="1" x14ac:dyDescent="0.25">
      <c r="A4348" s="19">
        <v>45962</v>
      </c>
      <c r="B4348" s="20" t="s">
        <v>120</v>
      </c>
      <c r="C4348" s="20">
        <v>66</v>
      </c>
      <c r="D4348" s="20" t="s">
        <v>291</v>
      </c>
      <c r="E4348" s="20" t="s">
        <v>2361</v>
      </c>
      <c r="F4348" s="20" t="s">
        <v>2502</v>
      </c>
      <c r="G4348" s="20" t="s">
        <v>82</v>
      </c>
      <c r="H4348" s="20" t="s">
        <v>127</v>
      </c>
      <c r="I4348" s="20"/>
      <c r="J4348" s="20" t="s">
        <v>203</v>
      </c>
      <c r="K4348" s="20" t="s">
        <v>250</v>
      </c>
      <c r="L4348" s="20">
        <v>321000</v>
      </c>
      <c r="M4348" s="20" t="s">
        <v>242</v>
      </c>
      <c r="N4348" s="20" t="s">
        <v>3008</v>
      </c>
    </row>
    <row r="4349" spans="1:14" hidden="1" x14ac:dyDescent="0.25">
      <c r="A4349" s="19">
        <v>45962</v>
      </c>
      <c r="B4349" s="20" t="s">
        <v>120</v>
      </c>
      <c r="C4349" s="20">
        <v>66</v>
      </c>
      <c r="D4349" s="20" t="s">
        <v>291</v>
      </c>
      <c r="E4349" s="20" t="s">
        <v>2361</v>
      </c>
      <c r="F4349" s="20" t="s">
        <v>2502</v>
      </c>
      <c r="G4349" s="20" t="s">
        <v>82</v>
      </c>
      <c r="H4349" s="20" t="s">
        <v>133</v>
      </c>
      <c r="I4349" s="20"/>
      <c r="J4349" s="20" t="s">
        <v>203</v>
      </c>
      <c r="K4349" s="20" t="s">
        <v>250</v>
      </c>
      <c r="L4349" s="20">
        <v>573000</v>
      </c>
      <c r="M4349" s="20" t="s">
        <v>242</v>
      </c>
      <c r="N4349" s="20" t="s">
        <v>3009</v>
      </c>
    </row>
    <row r="4350" spans="1:14" hidden="1" x14ac:dyDescent="0.25">
      <c r="A4350" s="19">
        <v>45962</v>
      </c>
      <c r="B4350" s="20" t="s">
        <v>120</v>
      </c>
      <c r="C4350" s="20">
        <v>66</v>
      </c>
      <c r="D4350" s="20" t="s">
        <v>291</v>
      </c>
      <c r="E4350" s="20" t="s">
        <v>2361</v>
      </c>
      <c r="F4350" s="20" t="s">
        <v>2502</v>
      </c>
      <c r="G4350" s="20" t="s">
        <v>82</v>
      </c>
      <c r="H4350" s="20" t="s">
        <v>129</v>
      </c>
      <c r="I4350" s="20"/>
      <c r="J4350" s="20" t="s">
        <v>203</v>
      </c>
      <c r="K4350" s="20" t="s">
        <v>250</v>
      </c>
      <c r="L4350" s="20">
        <v>1370000</v>
      </c>
      <c r="M4350" s="20" t="s">
        <v>242</v>
      </c>
      <c r="N4350" s="20" t="s">
        <v>3010</v>
      </c>
    </row>
    <row r="4351" spans="1:14" hidden="1" x14ac:dyDescent="0.25">
      <c r="A4351" s="19">
        <v>45962</v>
      </c>
      <c r="B4351" s="20" t="s">
        <v>120</v>
      </c>
      <c r="C4351" s="20">
        <v>66</v>
      </c>
      <c r="D4351" s="20" t="s">
        <v>291</v>
      </c>
      <c r="E4351" s="20" t="s">
        <v>2361</v>
      </c>
      <c r="F4351" s="20" t="s">
        <v>2502</v>
      </c>
      <c r="G4351" s="20" t="s">
        <v>82</v>
      </c>
      <c r="H4351" s="20" t="s">
        <v>134</v>
      </c>
      <c r="I4351" s="20"/>
      <c r="J4351" s="20" t="s">
        <v>203</v>
      </c>
      <c r="K4351" s="20" t="s">
        <v>250</v>
      </c>
      <c r="L4351" s="20">
        <v>1850000</v>
      </c>
      <c r="M4351" s="20" t="s">
        <v>242</v>
      </c>
      <c r="N4351" s="20" t="s">
        <v>1994</v>
      </c>
    </row>
    <row r="4352" spans="1:14" hidden="1" x14ac:dyDescent="0.25">
      <c r="A4352" s="19">
        <v>45962</v>
      </c>
      <c r="B4352" s="20" t="s">
        <v>120</v>
      </c>
      <c r="C4352" s="20">
        <v>66</v>
      </c>
      <c r="D4352" s="20" t="s">
        <v>291</v>
      </c>
      <c r="E4352" s="20" t="s">
        <v>2361</v>
      </c>
      <c r="F4352" s="20" t="s">
        <v>2502</v>
      </c>
      <c r="G4352" s="20" t="s">
        <v>82</v>
      </c>
      <c r="H4352" s="20" t="s">
        <v>130</v>
      </c>
      <c r="I4352" s="20"/>
      <c r="J4352" s="20" t="s">
        <v>203</v>
      </c>
      <c r="K4352" s="20" t="s">
        <v>250</v>
      </c>
      <c r="L4352" s="20">
        <v>2080000</v>
      </c>
      <c r="M4352" s="20" t="s">
        <v>242</v>
      </c>
      <c r="N4352" s="20" t="s">
        <v>848</v>
      </c>
    </row>
    <row r="4353" spans="1:14" hidden="1" x14ac:dyDescent="0.25">
      <c r="A4353" s="19">
        <v>45962</v>
      </c>
      <c r="B4353" s="20" t="s">
        <v>120</v>
      </c>
      <c r="C4353" s="20">
        <v>67</v>
      </c>
      <c r="D4353" s="20" t="s">
        <v>291</v>
      </c>
      <c r="E4353" s="20" t="s">
        <v>2361</v>
      </c>
      <c r="F4353" s="20" t="s">
        <v>2510</v>
      </c>
      <c r="G4353" s="20" t="s">
        <v>82</v>
      </c>
      <c r="H4353" s="20" t="s">
        <v>138</v>
      </c>
      <c r="I4353" s="20"/>
      <c r="J4353" s="20" t="s">
        <v>203</v>
      </c>
      <c r="K4353" s="20" t="s">
        <v>250</v>
      </c>
      <c r="L4353" s="20">
        <v>5250000</v>
      </c>
      <c r="M4353" s="20" t="s">
        <v>242</v>
      </c>
      <c r="N4353" s="20" t="s">
        <v>3011</v>
      </c>
    </row>
    <row r="4354" spans="1:14" hidden="1" x14ac:dyDescent="0.25">
      <c r="A4354" s="19">
        <v>45962</v>
      </c>
      <c r="B4354" s="20" t="s">
        <v>120</v>
      </c>
      <c r="C4354" s="20">
        <v>67</v>
      </c>
      <c r="D4354" s="20" t="s">
        <v>291</v>
      </c>
      <c r="E4354" s="20" t="s">
        <v>2361</v>
      </c>
      <c r="F4354" s="20" t="s">
        <v>2510</v>
      </c>
      <c r="G4354" s="20" t="s">
        <v>82</v>
      </c>
      <c r="H4354" s="20" t="s">
        <v>137</v>
      </c>
      <c r="I4354" s="20"/>
      <c r="J4354" s="20" t="s">
        <v>203</v>
      </c>
      <c r="K4354" s="20" t="s">
        <v>250</v>
      </c>
      <c r="L4354" s="20">
        <v>1270000</v>
      </c>
      <c r="M4354" s="20" t="s">
        <v>242</v>
      </c>
      <c r="N4354" s="20" t="s">
        <v>647</v>
      </c>
    </row>
    <row r="4355" spans="1:14" hidden="1" x14ac:dyDescent="0.25">
      <c r="A4355" s="19">
        <v>45962</v>
      </c>
      <c r="B4355" s="20" t="s">
        <v>120</v>
      </c>
      <c r="C4355" s="20">
        <v>68</v>
      </c>
      <c r="D4355" s="20" t="s">
        <v>253</v>
      </c>
      <c r="E4355" s="20" t="s">
        <v>2359</v>
      </c>
      <c r="F4355" s="20" t="s">
        <v>244</v>
      </c>
      <c r="G4355" s="20" t="s">
        <v>82</v>
      </c>
      <c r="H4355" s="20"/>
      <c r="I4355" s="20"/>
      <c r="J4355" s="20" t="s">
        <v>201</v>
      </c>
      <c r="K4355" s="20" t="s">
        <v>255</v>
      </c>
      <c r="L4355" s="20">
        <v>1400000000</v>
      </c>
      <c r="M4355" s="20" t="s">
        <v>245</v>
      </c>
      <c r="N4355" s="20" t="s">
        <v>2240</v>
      </c>
    </row>
    <row r="4356" spans="1:14" hidden="1" x14ac:dyDescent="0.25">
      <c r="A4356" s="19">
        <v>45962</v>
      </c>
      <c r="B4356" s="20" t="s">
        <v>120</v>
      </c>
      <c r="C4356" s="20">
        <v>68</v>
      </c>
      <c r="D4356" s="20" t="s">
        <v>253</v>
      </c>
      <c r="E4356" s="20" t="s">
        <v>2359</v>
      </c>
      <c r="F4356" s="20" t="s">
        <v>244</v>
      </c>
      <c r="G4356" s="20" t="s">
        <v>82</v>
      </c>
      <c r="H4356" s="20"/>
      <c r="I4356" s="20"/>
      <c r="J4356" s="20" t="s">
        <v>202</v>
      </c>
      <c r="K4356" s="20" t="s">
        <v>255</v>
      </c>
      <c r="L4356" s="20">
        <v>1420000000</v>
      </c>
      <c r="M4356" s="20" t="s">
        <v>245</v>
      </c>
      <c r="N4356" s="20" t="s">
        <v>2851</v>
      </c>
    </row>
    <row r="4357" spans="1:14" hidden="1" x14ac:dyDescent="0.25">
      <c r="A4357" s="19">
        <v>45962</v>
      </c>
      <c r="B4357" s="20" t="s">
        <v>120</v>
      </c>
      <c r="C4357" s="20">
        <v>68</v>
      </c>
      <c r="D4357" s="20" t="s">
        <v>253</v>
      </c>
      <c r="E4357" s="20" t="s">
        <v>2359</v>
      </c>
      <c r="F4357" s="20" t="s">
        <v>244</v>
      </c>
      <c r="G4357" s="20" t="s">
        <v>82</v>
      </c>
      <c r="H4357" s="20"/>
      <c r="I4357" s="20"/>
      <c r="J4357" s="20" t="s">
        <v>203</v>
      </c>
      <c r="K4357" s="20" t="s">
        <v>255</v>
      </c>
      <c r="L4357" s="20">
        <v>1410000000</v>
      </c>
      <c r="M4357" s="20" t="s">
        <v>245</v>
      </c>
      <c r="N4357" s="20" t="s">
        <v>1417</v>
      </c>
    </row>
    <row r="4358" spans="1:14" hidden="1" x14ac:dyDescent="0.25">
      <c r="A4358" s="19">
        <v>45962</v>
      </c>
      <c r="B4358" s="20" t="s">
        <v>120</v>
      </c>
      <c r="C4358" s="20">
        <v>68</v>
      </c>
      <c r="D4358" s="20" t="s">
        <v>247</v>
      </c>
      <c r="E4358" s="20" t="s">
        <v>2554</v>
      </c>
      <c r="F4358" s="20" t="s">
        <v>2558</v>
      </c>
      <c r="G4358" s="20" t="s">
        <v>82</v>
      </c>
      <c r="H4358" s="20" t="s">
        <v>249</v>
      </c>
      <c r="I4358" s="20"/>
      <c r="J4358" s="20" t="s">
        <v>203</v>
      </c>
      <c r="K4358" s="20" t="s">
        <v>250</v>
      </c>
      <c r="L4358" s="20">
        <v>0.7</v>
      </c>
      <c r="M4358" s="20" t="s">
        <v>251</v>
      </c>
      <c r="N4358" s="20" t="s">
        <v>810</v>
      </c>
    </row>
    <row r="4359" spans="1:14" hidden="1" x14ac:dyDescent="0.25">
      <c r="A4359" s="19">
        <v>45962</v>
      </c>
      <c r="B4359" s="20" t="s">
        <v>120</v>
      </c>
      <c r="C4359" s="20">
        <v>69</v>
      </c>
      <c r="D4359" s="20" t="s">
        <v>291</v>
      </c>
      <c r="E4359" s="20" t="s">
        <v>2361</v>
      </c>
      <c r="F4359" s="20" t="s">
        <v>2514</v>
      </c>
      <c r="G4359" s="20" t="s">
        <v>82</v>
      </c>
      <c r="H4359" s="20" t="s">
        <v>132</v>
      </c>
      <c r="I4359" s="20"/>
      <c r="J4359" s="20" t="s">
        <v>203</v>
      </c>
      <c r="K4359" s="20" t="s">
        <v>250</v>
      </c>
      <c r="L4359" s="20">
        <v>6000000</v>
      </c>
      <c r="M4359" s="20" t="s">
        <v>245</v>
      </c>
      <c r="N4359" s="20" t="s">
        <v>2695</v>
      </c>
    </row>
    <row r="4360" spans="1:14" hidden="1" x14ac:dyDescent="0.25">
      <c r="A4360" s="19">
        <v>45962</v>
      </c>
      <c r="B4360" s="20" t="s">
        <v>120</v>
      </c>
      <c r="C4360" s="20">
        <v>69</v>
      </c>
      <c r="D4360" s="20" t="s">
        <v>291</v>
      </c>
      <c r="E4360" s="20" t="s">
        <v>2361</v>
      </c>
      <c r="F4360" s="20" t="s">
        <v>2514</v>
      </c>
      <c r="G4360" s="20" t="s">
        <v>82</v>
      </c>
      <c r="H4360" s="20" t="s">
        <v>126</v>
      </c>
      <c r="I4360" s="20"/>
      <c r="J4360" s="20" t="s">
        <v>203</v>
      </c>
      <c r="K4360" s="20" t="s">
        <v>250</v>
      </c>
      <c r="L4360" s="20">
        <v>8000000</v>
      </c>
      <c r="M4360" s="20" t="s">
        <v>245</v>
      </c>
      <c r="N4360" s="20" t="s">
        <v>3012</v>
      </c>
    </row>
    <row r="4361" spans="1:14" hidden="1" x14ac:dyDescent="0.25">
      <c r="A4361" s="19">
        <v>45962</v>
      </c>
      <c r="B4361" s="20" t="s">
        <v>120</v>
      </c>
      <c r="C4361" s="20">
        <v>69</v>
      </c>
      <c r="D4361" s="20" t="s">
        <v>291</v>
      </c>
      <c r="E4361" s="20" t="s">
        <v>2361</v>
      </c>
      <c r="F4361" s="20" t="s">
        <v>2514</v>
      </c>
      <c r="G4361" s="20" t="s">
        <v>82</v>
      </c>
      <c r="H4361" s="20" t="s">
        <v>131</v>
      </c>
      <c r="I4361" s="20"/>
      <c r="J4361" s="20" t="s">
        <v>203</v>
      </c>
      <c r="K4361" s="20" t="s">
        <v>250</v>
      </c>
      <c r="L4361" s="20">
        <v>13000000</v>
      </c>
      <c r="M4361" s="20" t="s">
        <v>245</v>
      </c>
      <c r="N4361" s="20" t="s">
        <v>2517</v>
      </c>
    </row>
    <row r="4362" spans="1:14" hidden="1" x14ac:dyDescent="0.25">
      <c r="A4362" s="19">
        <v>45962</v>
      </c>
      <c r="B4362" s="20" t="s">
        <v>120</v>
      </c>
      <c r="C4362" s="20">
        <v>69</v>
      </c>
      <c r="D4362" s="20" t="s">
        <v>291</v>
      </c>
      <c r="E4362" s="20" t="s">
        <v>2361</v>
      </c>
      <c r="F4362" s="20" t="s">
        <v>2514</v>
      </c>
      <c r="G4362" s="20" t="s">
        <v>82</v>
      </c>
      <c r="H4362" s="20" t="s">
        <v>128</v>
      </c>
      <c r="I4362" s="20"/>
      <c r="J4362" s="20" t="s">
        <v>203</v>
      </c>
      <c r="K4362" s="20" t="s">
        <v>250</v>
      </c>
      <c r="L4362" s="20">
        <v>15000000</v>
      </c>
      <c r="M4362" s="20" t="s">
        <v>245</v>
      </c>
      <c r="N4362" s="20" t="s">
        <v>2852</v>
      </c>
    </row>
    <row r="4363" spans="1:14" hidden="1" x14ac:dyDescent="0.25">
      <c r="A4363" s="19">
        <v>45962</v>
      </c>
      <c r="B4363" s="20" t="s">
        <v>120</v>
      </c>
      <c r="C4363" s="20">
        <v>69</v>
      </c>
      <c r="D4363" s="20" t="s">
        <v>291</v>
      </c>
      <c r="E4363" s="20" t="s">
        <v>2361</v>
      </c>
      <c r="F4363" s="20" t="s">
        <v>2514</v>
      </c>
      <c r="G4363" s="20" t="s">
        <v>82</v>
      </c>
      <c r="H4363" s="20" t="s">
        <v>140</v>
      </c>
      <c r="I4363" s="20"/>
      <c r="J4363" s="20" t="s">
        <v>203</v>
      </c>
      <c r="K4363" s="20" t="s">
        <v>250</v>
      </c>
      <c r="L4363" s="20">
        <v>18000000</v>
      </c>
      <c r="M4363" s="20" t="s">
        <v>245</v>
      </c>
      <c r="N4363" s="20" t="s">
        <v>2853</v>
      </c>
    </row>
    <row r="4364" spans="1:14" hidden="1" x14ac:dyDescent="0.25">
      <c r="A4364" s="19">
        <v>45962</v>
      </c>
      <c r="B4364" s="20" t="s">
        <v>120</v>
      </c>
      <c r="C4364" s="20">
        <v>69</v>
      </c>
      <c r="D4364" s="20" t="s">
        <v>291</v>
      </c>
      <c r="E4364" s="20" t="s">
        <v>2361</v>
      </c>
      <c r="F4364" s="20" t="s">
        <v>2514</v>
      </c>
      <c r="G4364" s="20" t="s">
        <v>82</v>
      </c>
      <c r="H4364" s="20" t="s">
        <v>130</v>
      </c>
      <c r="I4364" s="20"/>
      <c r="J4364" s="20" t="s">
        <v>203</v>
      </c>
      <c r="K4364" s="20" t="s">
        <v>250</v>
      </c>
      <c r="L4364" s="20">
        <v>34000000</v>
      </c>
      <c r="M4364" s="20" t="s">
        <v>245</v>
      </c>
      <c r="N4364" s="20" t="s">
        <v>2518</v>
      </c>
    </row>
    <row r="4365" spans="1:14" hidden="1" x14ac:dyDescent="0.25">
      <c r="A4365" s="19">
        <v>45962</v>
      </c>
      <c r="B4365" s="20" t="s">
        <v>120</v>
      </c>
      <c r="C4365" s="20">
        <v>69</v>
      </c>
      <c r="D4365" s="20" t="s">
        <v>291</v>
      </c>
      <c r="E4365" s="20" t="s">
        <v>2361</v>
      </c>
      <c r="F4365" s="20" t="s">
        <v>2514</v>
      </c>
      <c r="G4365" s="20" t="s">
        <v>82</v>
      </c>
      <c r="H4365" s="20" t="s">
        <v>127</v>
      </c>
      <c r="I4365" s="20"/>
      <c r="J4365" s="20" t="s">
        <v>203</v>
      </c>
      <c r="K4365" s="20" t="s">
        <v>250</v>
      </c>
      <c r="L4365" s="20">
        <v>54000000</v>
      </c>
      <c r="M4365" s="20" t="s">
        <v>245</v>
      </c>
      <c r="N4365" s="20" t="s">
        <v>3013</v>
      </c>
    </row>
    <row r="4366" spans="1:14" hidden="1" x14ac:dyDescent="0.25">
      <c r="A4366" s="19">
        <v>45962</v>
      </c>
      <c r="B4366" s="20" t="s">
        <v>120</v>
      </c>
      <c r="C4366" s="20">
        <v>69</v>
      </c>
      <c r="D4366" s="20" t="s">
        <v>291</v>
      </c>
      <c r="E4366" s="20" t="s">
        <v>2361</v>
      </c>
      <c r="F4366" s="20" t="s">
        <v>2514</v>
      </c>
      <c r="G4366" s="20" t="s">
        <v>82</v>
      </c>
      <c r="H4366" s="20" t="s">
        <v>134</v>
      </c>
      <c r="I4366" s="20"/>
      <c r="J4366" s="20" t="s">
        <v>203</v>
      </c>
      <c r="K4366" s="20" t="s">
        <v>250</v>
      </c>
      <c r="L4366" s="20">
        <v>74000000</v>
      </c>
      <c r="M4366" s="20" t="s">
        <v>245</v>
      </c>
      <c r="N4366" s="20" t="s">
        <v>3014</v>
      </c>
    </row>
    <row r="4367" spans="1:14" hidden="1" x14ac:dyDescent="0.25">
      <c r="A4367" s="19">
        <v>45962</v>
      </c>
      <c r="B4367" s="20" t="s">
        <v>120</v>
      </c>
      <c r="C4367" s="20">
        <v>69</v>
      </c>
      <c r="D4367" s="20" t="s">
        <v>291</v>
      </c>
      <c r="E4367" s="20" t="s">
        <v>2361</v>
      </c>
      <c r="F4367" s="20" t="s">
        <v>2514</v>
      </c>
      <c r="G4367" s="20" t="s">
        <v>82</v>
      </c>
      <c r="H4367" s="20" t="s">
        <v>133</v>
      </c>
      <c r="I4367" s="20"/>
      <c r="J4367" s="20" t="s">
        <v>203</v>
      </c>
      <c r="K4367" s="20" t="s">
        <v>250</v>
      </c>
      <c r="L4367" s="20">
        <v>341000000</v>
      </c>
      <c r="M4367" s="20" t="s">
        <v>245</v>
      </c>
      <c r="N4367" s="20" t="s">
        <v>3015</v>
      </c>
    </row>
    <row r="4368" spans="1:14" hidden="1" x14ac:dyDescent="0.25">
      <c r="A4368" s="19">
        <v>45962</v>
      </c>
      <c r="B4368" s="20" t="s">
        <v>120</v>
      </c>
      <c r="C4368" s="20">
        <v>69</v>
      </c>
      <c r="D4368" s="20" t="s">
        <v>291</v>
      </c>
      <c r="E4368" s="20" t="s">
        <v>2361</v>
      </c>
      <c r="F4368" s="20" t="s">
        <v>2514</v>
      </c>
      <c r="G4368" s="20" t="s">
        <v>82</v>
      </c>
      <c r="H4368" s="20" t="s">
        <v>129</v>
      </c>
      <c r="I4368" s="20"/>
      <c r="J4368" s="20" t="s">
        <v>203</v>
      </c>
      <c r="K4368" s="20" t="s">
        <v>250</v>
      </c>
      <c r="L4368" s="20">
        <v>836000000</v>
      </c>
      <c r="M4368" s="20" t="s">
        <v>245</v>
      </c>
      <c r="N4368" s="20" t="s">
        <v>3016</v>
      </c>
    </row>
    <row r="4369" spans="1:14" hidden="1" x14ac:dyDescent="0.25">
      <c r="A4369" s="19">
        <v>45962</v>
      </c>
      <c r="B4369" s="20" t="s">
        <v>120</v>
      </c>
      <c r="C4369" s="20">
        <v>70</v>
      </c>
      <c r="D4369" s="20" t="s">
        <v>291</v>
      </c>
      <c r="E4369" s="20" t="s">
        <v>2361</v>
      </c>
      <c r="F4369" s="20" t="s">
        <v>2510</v>
      </c>
      <c r="G4369" s="20" t="s">
        <v>82</v>
      </c>
      <c r="H4369" s="20" t="s">
        <v>138</v>
      </c>
      <c r="I4369" s="20"/>
      <c r="J4369" s="20" t="s">
        <v>203</v>
      </c>
      <c r="K4369" s="20" t="s">
        <v>250</v>
      </c>
      <c r="L4369" s="20">
        <v>1070000000</v>
      </c>
      <c r="M4369" s="20" t="s">
        <v>245</v>
      </c>
      <c r="N4369" s="20" t="s">
        <v>3017</v>
      </c>
    </row>
    <row r="4370" spans="1:14" hidden="1" x14ac:dyDescent="0.25">
      <c r="A4370" s="19">
        <v>45962</v>
      </c>
      <c r="B4370" s="20" t="s">
        <v>120</v>
      </c>
      <c r="C4370" s="20">
        <v>70</v>
      </c>
      <c r="D4370" s="20" t="s">
        <v>291</v>
      </c>
      <c r="E4370" s="20" t="s">
        <v>2361</v>
      </c>
      <c r="F4370" s="20" t="s">
        <v>2510</v>
      </c>
      <c r="G4370" s="20" t="s">
        <v>82</v>
      </c>
      <c r="H4370" s="20" t="s">
        <v>137</v>
      </c>
      <c r="I4370" s="20"/>
      <c r="J4370" s="20" t="s">
        <v>203</v>
      </c>
      <c r="K4370" s="20" t="s">
        <v>250</v>
      </c>
      <c r="L4370" s="20">
        <v>338500000</v>
      </c>
      <c r="M4370" s="20" t="s">
        <v>245</v>
      </c>
      <c r="N4370" s="20" t="s">
        <v>3018</v>
      </c>
    </row>
    <row r="4371" spans="1:14" hidden="1" x14ac:dyDescent="0.25">
      <c r="A4371" s="19">
        <v>45962</v>
      </c>
      <c r="B4371" s="20" t="s">
        <v>120</v>
      </c>
      <c r="C4371" s="20">
        <v>71</v>
      </c>
      <c r="D4371" s="20" t="s">
        <v>253</v>
      </c>
      <c r="E4371" s="20" t="s">
        <v>2359</v>
      </c>
      <c r="F4371" s="20" t="s">
        <v>334</v>
      </c>
      <c r="G4371" s="20" t="s">
        <v>82</v>
      </c>
      <c r="H4371" s="20"/>
      <c r="I4371" s="20"/>
      <c r="J4371" s="20" t="s">
        <v>201</v>
      </c>
      <c r="K4371" s="20" t="s">
        <v>255</v>
      </c>
      <c r="L4371" s="20">
        <v>217</v>
      </c>
      <c r="M4371" s="20" t="s">
        <v>245</v>
      </c>
      <c r="N4371" s="20" t="s">
        <v>2704</v>
      </c>
    </row>
    <row r="4372" spans="1:14" hidden="1" x14ac:dyDescent="0.25">
      <c r="A4372" s="19">
        <v>45962</v>
      </c>
      <c r="B4372" s="20" t="s">
        <v>120</v>
      </c>
      <c r="C4372" s="20">
        <v>71</v>
      </c>
      <c r="D4372" s="20" t="s">
        <v>253</v>
      </c>
      <c r="E4372" s="20" t="s">
        <v>2359</v>
      </c>
      <c r="F4372" s="20" t="s">
        <v>334</v>
      </c>
      <c r="G4372" s="20" t="s">
        <v>82</v>
      </c>
      <c r="H4372" s="20"/>
      <c r="I4372" s="20"/>
      <c r="J4372" s="20" t="s">
        <v>202</v>
      </c>
      <c r="K4372" s="20" t="s">
        <v>255</v>
      </c>
      <c r="L4372" s="20">
        <v>212</v>
      </c>
      <c r="M4372" s="20" t="s">
        <v>245</v>
      </c>
      <c r="N4372" s="20" t="s">
        <v>2246</v>
      </c>
    </row>
    <row r="4373" spans="1:14" hidden="1" x14ac:dyDescent="0.25">
      <c r="A4373" s="19">
        <v>45962</v>
      </c>
      <c r="B4373" s="20" t="s">
        <v>120</v>
      </c>
      <c r="C4373" s="20">
        <v>71</v>
      </c>
      <c r="D4373" s="20" t="s">
        <v>253</v>
      </c>
      <c r="E4373" s="20" t="s">
        <v>2359</v>
      </c>
      <c r="F4373" s="20" t="s">
        <v>334</v>
      </c>
      <c r="G4373" s="20" t="s">
        <v>82</v>
      </c>
      <c r="H4373" s="20"/>
      <c r="I4373" s="20"/>
      <c r="J4373" s="20" t="s">
        <v>203</v>
      </c>
      <c r="K4373" s="20" t="s">
        <v>255</v>
      </c>
      <c r="L4373" s="20">
        <v>216</v>
      </c>
      <c r="M4373" s="20" t="s">
        <v>245</v>
      </c>
      <c r="N4373" s="20" t="s">
        <v>3019</v>
      </c>
    </row>
    <row r="4374" spans="1:14" hidden="1" x14ac:dyDescent="0.25">
      <c r="A4374" s="19">
        <v>45962</v>
      </c>
      <c r="B4374" s="20" t="s">
        <v>142</v>
      </c>
      <c r="C4374" s="20">
        <v>73</v>
      </c>
      <c r="D4374" s="20" t="s">
        <v>238</v>
      </c>
      <c r="E4374" s="20" t="s">
        <v>2341</v>
      </c>
      <c r="F4374" s="20" t="s">
        <v>240</v>
      </c>
      <c r="G4374" s="20" t="s">
        <v>82</v>
      </c>
      <c r="H4374" s="20"/>
      <c r="I4374" s="20"/>
      <c r="J4374" s="20" t="s">
        <v>2891</v>
      </c>
      <c r="K4374" s="20" t="s">
        <v>241</v>
      </c>
      <c r="L4374" s="20">
        <v>10970000</v>
      </c>
      <c r="M4374" s="20" t="s">
        <v>242</v>
      </c>
      <c r="N4374" s="20" t="s">
        <v>3020</v>
      </c>
    </row>
    <row r="4375" spans="1:14" hidden="1" x14ac:dyDescent="0.25">
      <c r="A4375" s="19">
        <v>45962</v>
      </c>
      <c r="B4375" s="20" t="s">
        <v>142</v>
      </c>
      <c r="C4375" s="20">
        <v>73</v>
      </c>
      <c r="D4375" s="20" t="s">
        <v>238</v>
      </c>
      <c r="E4375" s="20" t="s">
        <v>2341</v>
      </c>
      <c r="F4375" s="20" t="s">
        <v>244</v>
      </c>
      <c r="G4375" s="20" t="s">
        <v>82</v>
      </c>
      <c r="H4375" s="20"/>
      <c r="I4375" s="20"/>
      <c r="J4375" s="20" t="s">
        <v>2891</v>
      </c>
      <c r="K4375" s="20" t="s">
        <v>241</v>
      </c>
      <c r="L4375" s="20">
        <v>9070000000</v>
      </c>
      <c r="M4375" s="20" t="s">
        <v>245</v>
      </c>
      <c r="N4375" s="20" t="s">
        <v>3021</v>
      </c>
    </row>
    <row r="4376" spans="1:14" hidden="1" x14ac:dyDescent="0.25">
      <c r="A4376" s="19">
        <v>45962</v>
      </c>
      <c r="B4376" s="20" t="s">
        <v>142</v>
      </c>
      <c r="C4376" s="20">
        <v>74</v>
      </c>
      <c r="D4376" s="20" t="s">
        <v>253</v>
      </c>
      <c r="E4376" s="20" t="s">
        <v>2359</v>
      </c>
      <c r="F4376" s="20" t="s">
        <v>544</v>
      </c>
      <c r="G4376" s="20" t="s">
        <v>82</v>
      </c>
      <c r="H4376" s="20"/>
      <c r="I4376" s="20"/>
      <c r="J4376" s="20" t="s">
        <v>201</v>
      </c>
      <c r="K4376" s="20" t="s">
        <v>255</v>
      </c>
      <c r="L4376" s="20">
        <v>1010000</v>
      </c>
      <c r="M4376" s="20" t="s">
        <v>242</v>
      </c>
      <c r="N4376" s="20" t="s">
        <v>2529</v>
      </c>
    </row>
    <row r="4377" spans="1:14" hidden="1" x14ac:dyDescent="0.25">
      <c r="A4377" s="19">
        <v>45962</v>
      </c>
      <c r="B4377" s="20" t="s">
        <v>142</v>
      </c>
      <c r="C4377" s="20">
        <v>74</v>
      </c>
      <c r="D4377" s="20" t="s">
        <v>253</v>
      </c>
      <c r="E4377" s="20" t="s">
        <v>2359</v>
      </c>
      <c r="F4377" s="20" t="s">
        <v>544</v>
      </c>
      <c r="G4377" s="20" t="s">
        <v>82</v>
      </c>
      <c r="H4377" s="20"/>
      <c r="I4377" s="20"/>
      <c r="J4377" s="20" t="s">
        <v>202</v>
      </c>
      <c r="K4377" s="20" t="s">
        <v>255</v>
      </c>
      <c r="L4377" s="20">
        <v>1040000</v>
      </c>
      <c r="M4377" s="20" t="s">
        <v>242</v>
      </c>
      <c r="N4377" s="20" t="s">
        <v>2863</v>
      </c>
    </row>
    <row r="4378" spans="1:14" hidden="1" x14ac:dyDescent="0.25">
      <c r="A4378" s="19">
        <v>45962</v>
      </c>
      <c r="B4378" s="20" t="s">
        <v>142</v>
      </c>
      <c r="C4378" s="20">
        <v>74</v>
      </c>
      <c r="D4378" s="20" t="s">
        <v>253</v>
      </c>
      <c r="E4378" s="20" t="s">
        <v>2359</v>
      </c>
      <c r="F4378" s="20" t="s">
        <v>544</v>
      </c>
      <c r="G4378" s="20" t="s">
        <v>82</v>
      </c>
      <c r="H4378" s="20"/>
      <c r="I4378" s="20"/>
      <c r="J4378" s="20" t="s">
        <v>203</v>
      </c>
      <c r="K4378" s="20" t="s">
        <v>255</v>
      </c>
      <c r="L4378" s="20">
        <v>1020000</v>
      </c>
      <c r="M4378" s="20" t="s">
        <v>242</v>
      </c>
      <c r="N4378" s="20" t="s">
        <v>937</v>
      </c>
    </row>
    <row r="4379" spans="1:14" hidden="1" x14ac:dyDescent="0.25">
      <c r="A4379" s="19">
        <v>45962</v>
      </c>
      <c r="B4379" s="20" t="s">
        <v>142</v>
      </c>
      <c r="C4379" s="20">
        <v>74</v>
      </c>
      <c r="D4379" s="20" t="s">
        <v>247</v>
      </c>
      <c r="E4379" s="20" t="s">
        <v>2554</v>
      </c>
      <c r="F4379" s="20" t="s">
        <v>2559</v>
      </c>
      <c r="G4379" s="20" t="s">
        <v>82</v>
      </c>
      <c r="H4379" s="20" t="s">
        <v>249</v>
      </c>
      <c r="I4379" s="20"/>
      <c r="J4379" s="20" t="s">
        <v>203</v>
      </c>
      <c r="K4379" s="20" t="s">
        <v>250</v>
      </c>
      <c r="L4379" s="20">
        <v>1.5</v>
      </c>
      <c r="M4379" s="20" t="s">
        <v>251</v>
      </c>
      <c r="N4379" s="20" t="s">
        <v>446</v>
      </c>
    </row>
    <row r="4380" spans="1:14" hidden="1" x14ac:dyDescent="0.25">
      <c r="A4380" s="19">
        <v>45962</v>
      </c>
      <c r="B4380" s="20" t="s">
        <v>142</v>
      </c>
      <c r="C4380" s="20">
        <v>75</v>
      </c>
      <c r="D4380" s="20" t="s">
        <v>253</v>
      </c>
      <c r="E4380" s="20" t="s">
        <v>2359</v>
      </c>
      <c r="F4380" s="20" t="s">
        <v>2531</v>
      </c>
      <c r="G4380" s="20" t="s">
        <v>82</v>
      </c>
      <c r="H4380" s="20" t="s">
        <v>149</v>
      </c>
      <c r="I4380" s="20"/>
      <c r="J4380" s="20" t="s">
        <v>201</v>
      </c>
      <c r="K4380" s="20" t="s">
        <v>255</v>
      </c>
      <c r="L4380" s="20">
        <v>5367</v>
      </c>
      <c r="M4380" s="20" t="s">
        <v>242</v>
      </c>
      <c r="N4380" s="20" t="s">
        <v>2708</v>
      </c>
    </row>
    <row r="4381" spans="1:14" hidden="1" x14ac:dyDescent="0.25">
      <c r="A4381" s="19">
        <v>45962</v>
      </c>
      <c r="B4381" s="20" t="s">
        <v>142</v>
      </c>
      <c r="C4381" s="20">
        <v>75</v>
      </c>
      <c r="D4381" s="20" t="s">
        <v>253</v>
      </c>
      <c r="E4381" s="20" t="s">
        <v>2359</v>
      </c>
      <c r="F4381" s="20" t="s">
        <v>2531</v>
      </c>
      <c r="G4381" s="20" t="s">
        <v>82</v>
      </c>
      <c r="H4381" s="20" t="s">
        <v>149</v>
      </c>
      <c r="I4381" s="20"/>
      <c r="J4381" s="20" t="s">
        <v>202</v>
      </c>
      <c r="K4381" s="20" t="s">
        <v>255</v>
      </c>
      <c r="L4381" s="20">
        <v>6250</v>
      </c>
      <c r="M4381" s="20" t="s">
        <v>242</v>
      </c>
      <c r="N4381" s="20" t="s">
        <v>2864</v>
      </c>
    </row>
    <row r="4382" spans="1:14" hidden="1" x14ac:dyDescent="0.25">
      <c r="A4382" s="19">
        <v>45962</v>
      </c>
      <c r="B4382" s="20" t="s">
        <v>142</v>
      </c>
      <c r="C4382" s="20">
        <v>75</v>
      </c>
      <c r="D4382" s="20" t="s">
        <v>253</v>
      </c>
      <c r="E4382" s="20" t="s">
        <v>2359</v>
      </c>
      <c r="F4382" s="20" t="s">
        <v>2531</v>
      </c>
      <c r="G4382" s="20" t="s">
        <v>82</v>
      </c>
      <c r="H4382" s="20" t="s">
        <v>149</v>
      </c>
      <c r="I4382" s="20"/>
      <c r="J4382" s="20" t="s">
        <v>203</v>
      </c>
      <c r="K4382" s="20" t="s">
        <v>255</v>
      </c>
      <c r="L4382" s="20">
        <v>6350</v>
      </c>
      <c r="M4382" s="20" t="s">
        <v>242</v>
      </c>
      <c r="N4382" s="20" t="s">
        <v>3022</v>
      </c>
    </row>
    <row r="4383" spans="1:14" hidden="1" x14ac:dyDescent="0.25">
      <c r="A4383" s="19">
        <v>45962</v>
      </c>
      <c r="B4383" s="20" t="s">
        <v>142</v>
      </c>
      <c r="C4383" s="20">
        <v>75</v>
      </c>
      <c r="D4383" s="20" t="s">
        <v>253</v>
      </c>
      <c r="E4383" s="20" t="s">
        <v>2359</v>
      </c>
      <c r="F4383" s="20" t="s">
        <v>2531</v>
      </c>
      <c r="G4383" s="20" t="s">
        <v>82</v>
      </c>
      <c r="H4383" s="20" t="s">
        <v>150</v>
      </c>
      <c r="I4383" s="20"/>
      <c r="J4383" s="20" t="s">
        <v>201</v>
      </c>
      <c r="K4383" s="20" t="s">
        <v>255</v>
      </c>
      <c r="L4383" s="20">
        <v>328</v>
      </c>
      <c r="M4383" s="20" t="s">
        <v>242</v>
      </c>
      <c r="N4383" s="20" t="s">
        <v>2709</v>
      </c>
    </row>
    <row r="4384" spans="1:14" hidden="1" x14ac:dyDescent="0.25">
      <c r="A4384" s="19">
        <v>45962</v>
      </c>
      <c r="B4384" s="20" t="s">
        <v>142</v>
      </c>
      <c r="C4384" s="20">
        <v>75</v>
      </c>
      <c r="D4384" s="20" t="s">
        <v>253</v>
      </c>
      <c r="E4384" s="20" t="s">
        <v>2359</v>
      </c>
      <c r="F4384" s="20" t="s">
        <v>2531</v>
      </c>
      <c r="G4384" s="20" t="s">
        <v>82</v>
      </c>
      <c r="H4384" s="20" t="s">
        <v>150</v>
      </c>
      <c r="I4384" s="20"/>
      <c r="J4384" s="20" t="s">
        <v>202</v>
      </c>
      <c r="K4384" s="20" t="s">
        <v>255</v>
      </c>
      <c r="L4384" s="20">
        <v>332</v>
      </c>
      <c r="M4384" s="20" t="s">
        <v>242</v>
      </c>
      <c r="N4384" s="20" t="s">
        <v>2865</v>
      </c>
    </row>
    <row r="4385" spans="1:14" hidden="1" x14ac:dyDescent="0.25">
      <c r="A4385" s="19">
        <v>45962</v>
      </c>
      <c r="B4385" s="20" t="s">
        <v>142</v>
      </c>
      <c r="C4385" s="20">
        <v>75</v>
      </c>
      <c r="D4385" s="20" t="s">
        <v>253</v>
      </c>
      <c r="E4385" s="20" t="s">
        <v>2359</v>
      </c>
      <c r="F4385" s="20" t="s">
        <v>2531</v>
      </c>
      <c r="G4385" s="20" t="s">
        <v>82</v>
      </c>
      <c r="H4385" s="20" t="s">
        <v>150</v>
      </c>
      <c r="I4385" s="20"/>
      <c r="J4385" s="20" t="s">
        <v>203</v>
      </c>
      <c r="K4385" s="20" t="s">
        <v>255</v>
      </c>
      <c r="L4385" s="20">
        <v>283</v>
      </c>
      <c r="M4385" s="20" t="s">
        <v>242</v>
      </c>
      <c r="N4385" s="20" t="s">
        <v>3023</v>
      </c>
    </row>
    <row r="4386" spans="1:14" hidden="1" x14ac:dyDescent="0.25">
      <c r="A4386" s="19">
        <v>45962</v>
      </c>
      <c r="B4386" s="20" t="s">
        <v>142</v>
      </c>
      <c r="C4386" s="20">
        <v>75</v>
      </c>
      <c r="D4386" s="20" t="s">
        <v>253</v>
      </c>
      <c r="E4386" s="20" t="s">
        <v>2359</v>
      </c>
      <c r="F4386" s="20" t="s">
        <v>2531</v>
      </c>
      <c r="G4386" s="20" t="s">
        <v>82</v>
      </c>
      <c r="H4386" s="20" t="s">
        <v>151</v>
      </c>
      <c r="I4386" s="20"/>
      <c r="J4386" s="20" t="s">
        <v>201</v>
      </c>
      <c r="K4386" s="20" t="s">
        <v>255</v>
      </c>
      <c r="L4386" s="20">
        <v>53</v>
      </c>
      <c r="M4386" s="20" t="s">
        <v>242</v>
      </c>
      <c r="N4386" s="20" t="s">
        <v>2710</v>
      </c>
    </row>
    <row r="4387" spans="1:14" hidden="1" x14ac:dyDescent="0.25">
      <c r="A4387" s="19">
        <v>45962</v>
      </c>
      <c r="B4387" s="20" t="s">
        <v>142</v>
      </c>
      <c r="C4387" s="20">
        <v>75</v>
      </c>
      <c r="D4387" s="20" t="s">
        <v>253</v>
      </c>
      <c r="E4387" s="20" t="s">
        <v>2359</v>
      </c>
      <c r="F4387" s="20" t="s">
        <v>2531</v>
      </c>
      <c r="G4387" s="20" t="s">
        <v>82</v>
      </c>
      <c r="H4387" s="20" t="s">
        <v>151</v>
      </c>
      <c r="I4387" s="20"/>
      <c r="J4387" s="20" t="s">
        <v>202</v>
      </c>
      <c r="K4387" s="20" t="s">
        <v>255</v>
      </c>
      <c r="L4387" s="20">
        <v>42</v>
      </c>
      <c r="M4387" s="20" t="s">
        <v>242</v>
      </c>
      <c r="N4387" s="20" t="s">
        <v>266</v>
      </c>
    </row>
    <row r="4388" spans="1:14" hidden="1" x14ac:dyDescent="0.25">
      <c r="A4388" s="19">
        <v>45962</v>
      </c>
      <c r="B4388" s="20" t="s">
        <v>142</v>
      </c>
      <c r="C4388" s="20">
        <v>75</v>
      </c>
      <c r="D4388" s="20" t="s">
        <v>253</v>
      </c>
      <c r="E4388" s="20" t="s">
        <v>2359</v>
      </c>
      <c r="F4388" s="20" t="s">
        <v>2531</v>
      </c>
      <c r="G4388" s="20" t="s">
        <v>82</v>
      </c>
      <c r="H4388" s="20" t="s">
        <v>151</v>
      </c>
      <c r="I4388" s="20"/>
      <c r="J4388" s="20" t="s">
        <v>203</v>
      </c>
      <c r="K4388" s="20" t="s">
        <v>255</v>
      </c>
      <c r="L4388" s="20">
        <v>37</v>
      </c>
      <c r="M4388" s="20" t="s">
        <v>242</v>
      </c>
      <c r="N4388" s="20" t="s">
        <v>1310</v>
      </c>
    </row>
    <row r="4389" spans="1:14" hidden="1" x14ac:dyDescent="0.25">
      <c r="A4389" s="19">
        <v>45962</v>
      </c>
      <c r="B4389" s="20" t="s">
        <v>142</v>
      </c>
      <c r="C4389" s="20">
        <v>76</v>
      </c>
      <c r="D4389" s="20" t="s">
        <v>253</v>
      </c>
      <c r="E4389" s="20" t="s">
        <v>2359</v>
      </c>
      <c r="F4389" s="20" t="s">
        <v>929</v>
      </c>
      <c r="G4389" s="20" t="s">
        <v>82</v>
      </c>
      <c r="H4389" s="20"/>
      <c r="I4389" s="20"/>
      <c r="J4389" s="20" t="s">
        <v>201</v>
      </c>
      <c r="K4389" s="20" t="s">
        <v>255</v>
      </c>
      <c r="L4389" s="20">
        <v>858000000</v>
      </c>
      <c r="M4389" s="20" t="s">
        <v>245</v>
      </c>
      <c r="N4389" s="20" t="s">
        <v>2711</v>
      </c>
    </row>
    <row r="4390" spans="1:14" hidden="1" x14ac:dyDescent="0.25">
      <c r="A4390" s="19">
        <v>45962</v>
      </c>
      <c r="B4390" s="20" t="s">
        <v>142</v>
      </c>
      <c r="C4390" s="20">
        <v>76</v>
      </c>
      <c r="D4390" s="20" t="s">
        <v>253</v>
      </c>
      <c r="E4390" s="20" t="s">
        <v>2359</v>
      </c>
      <c r="F4390" s="20" t="s">
        <v>929</v>
      </c>
      <c r="G4390" s="20" t="s">
        <v>82</v>
      </c>
      <c r="H4390" s="20"/>
      <c r="I4390" s="20"/>
      <c r="J4390" s="20" t="s">
        <v>202</v>
      </c>
      <c r="K4390" s="20" t="s">
        <v>255</v>
      </c>
      <c r="L4390" s="20">
        <v>872000000</v>
      </c>
      <c r="M4390" s="20" t="s">
        <v>245</v>
      </c>
      <c r="N4390" s="20" t="s">
        <v>2866</v>
      </c>
    </row>
    <row r="4391" spans="1:14" hidden="1" x14ac:dyDescent="0.25">
      <c r="A4391" s="19">
        <v>45962</v>
      </c>
      <c r="B4391" s="20" t="s">
        <v>142</v>
      </c>
      <c r="C4391" s="20">
        <v>76</v>
      </c>
      <c r="D4391" s="20" t="s">
        <v>253</v>
      </c>
      <c r="E4391" s="20" t="s">
        <v>2359</v>
      </c>
      <c r="F4391" s="20" t="s">
        <v>929</v>
      </c>
      <c r="G4391" s="20" t="s">
        <v>82</v>
      </c>
      <c r="H4391" s="20"/>
      <c r="I4391" s="20"/>
      <c r="J4391" s="20" t="s">
        <v>203</v>
      </c>
      <c r="K4391" s="20" t="s">
        <v>255</v>
      </c>
      <c r="L4391" s="20">
        <v>818000000</v>
      </c>
      <c r="M4391" s="20" t="s">
        <v>245</v>
      </c>
      <c r="N4391" s="20" t="s">
        <v>3024</v>
      </c>
    </row>
    <row r="4392" spans="1:14" hidden="1" x14ac:dyDescent="0.25">
      <c r="A4392" s="19">
        <v>45962</v>
      </c>
      <c r="B4392" s="20" t="s">
        <v>142</v>
      </c>
      <c r="C4392" s="20">
        <v>76</v>
      </c>
      <c r="D4392" s="20" t="s">
        <v>247</v>
      </c>
      <c r="E4392" s="20" t="s">
        <v>2554</v>
      </c>
      <c r="F4392" s="20" t="s">
        <v>2558</v>
      </c>
      <c r="G4392" s="20" t="s">
        <v>82</v>
      </c>
      <c r="H4392" s="20" t="s">
        <v>249</v>
      </c>
      <c r="I4392" s="20"/>
      <c r="J4392" s="20" t="s">
        <v>203</v>
      </c>
      <c r="K4392" s="20" t="s">
        <v>250</v>
      </c>
      <c r="L4392" s="20">
        <v>6.2</v>
      </c>
      <c r="M4392" s="20" t="s">
        <v>251</v>
      </c>
      <c r="N4392" s="20" t="s">
        <v>2953</v>
      </c>
    </row>
    <row r="4393" spans="1:14" hidden="1" x14ac:dyDescent="0.25">
      <c r="A4393" s="19">
        <v>45962</v>
      </c>
      <c r="B4393" s="20" t="s">
        <v>142</v>
      </c>
      <c r="C4393" s="20">
        <v>77</v>
      </c>
      <c r="D4393" s="20" t="s">
        <v>253</v>
      </c>
      <c r="E4393" s="20" t="s">
        <v>2359</v>
      </c>
      <c r="F4393" s="20" t="s">
        <v>2533</v>
      </c>
      <c r="G4393" s="20" t="s">
        <v>82</v>
      </c>
      <c r="H4393" s="20" t="s">
        <v>149</v>
      </c>
      <c r="I4393" s="20"/>
      <c r="J4393" s="20" t="s">
        <v>201</v>
      </c>
      <c r="K4393" s="20" t="s">
        <v>255</v>
      </c>
      <c r="L4393" s="20">
        <v>39800000</v>
      </c>
      <c r="M4393" s="20" t="s">
        <v>149</v>
      </c>
      <c r="N4393" s="20" t="s">
        <v>2712</v>
      </c>
    </row>
    <row r="4394" spans="1:14" hidden="1" x14ac:dyDescent="0.25">
      <c r="A4394" s="19">
        <v>45962</v>
      </c>
      <c r="B4394" s="20" t="s">
        <v>142</v>
      </c>
      <c r="C4394" s="20">
        <v>77</v>
      </c>
      <c r="D4394" s="20" t="s">
        <v>253</v>
      </c>
      <c r="E4394" s="20" t="s">
        <v>2359</v>
      </c>
      <c r="F4394" s="20" t="s">
        <v>2533</v>
      </c>
      <c r="G4394" s="20" t="s">
        <v>82</v>
      </c>
      <c r="H4394" s="20" t="s">
        <v>149</v>
      </c>
      <c r="I4394" s="20"/>
      <c r="J4394" s="20" t="s">
        <v>202</v>
      </c>
      <c r="K4394" s="20" t="s">
        <v>255</v>
      </c>
      <c r="L4394" s="20">
        <v>40600000</v>
      </c>
      <c r="M4394" s="20" t="s">
        <v>149</v>
      </c>
      <c r="N4394" s="20" t="s">
        <v>2867</v>
      </c>
    </row>
    <row r="4395" spans="1:14" hidden="1" x14ac:dyDescent="0.25">
      <c r="A4395" s="19">
        <v>45962</v>
      </c>
      <c r="B4395" s="20" t="s">
        <v>142</v>
      </c>
      <c r="C4395" s="20">
        <v>77</v>
      </c>
      <c r="D4395" s="20" t="s">
        <v>253</v>
      </c>
      <c r="E4395" s="20" t="s">
        <v>2359</v>
      </c>
      <c r="F4395" s="20" t="s">
        <v>2533</v>
      </c>
      <c r="G4395" s="20" t="s">
        <v>82</v>
      </c>
      <c r="H4395" s="20" t="s">
        <v>149</v>
      </c>
      <c r="I4395" s="20"/>
      <c r="J4395" s="20" t="s">
        <v>203</v>
      </c>
      <c r="K4395" s="20" t="s">
        <v>255</v>
      </c>
      <c r="L4395" s="20">
        <v>40200000</v>
      </c>
      <c r="M4395" s="20" t="s">
        <v>149</v>
      </c>
      <c r="N4395" s="20" t="s">
        <v>3025</v>
      </c>
    </row>
    <row r="4396" spans="1:14" hidden="1" x14ac:dyDescent="0.25">
      <c r="A4396" s="19">
        <v>45962</v>
      </c>
      <c r="B4396" s="20" t="s">
        <v>142</v>
      </c>
      <c r="C4396" s="20">
        <v>77</v>
      </c>
      <c r="D4396" s="20" t="s">
        <v>253</v>
      </c>
      <c r="E4396" s="20" t="s">
        <v>2359</v>
      </c>
      <c r="F4396" s="20" t="s">
        <v>2533</v>
      </c>
      <c r="G4396" s="20" t="s">
        <v>82</v>
      </c>
      <c r="H4396" s="20" t="s">
        <v>150</v>
      </c>
      <c r="I4396" s="20"/>
      <c r="J4396" s="20" t="s">
        <v>201</v>
      </c>
      <c r="K4396" s="20" t="s">
        <v>255</v>
      </c>
      <c r="L4396" s="20">
        <v>3120000</v>
      </c>
      <c r="M4396" s="20" t="s">
        <v>150</v>
      </c>
      <c r="N4396" s="20" t="s">
        <v>2713</v>
      </c>
    </row>
    <row r="4397" spans="1:14" hidden="1" x14ac:dyDescent="0.25">
      <c r="A4397" s="19">
        <v>45962</v>
      </c>
      <c r="B4397" s="20" t="s">
        <v>142</v>
      </c>
      <c r="C4397" s="20">
        <v>77</v>
      </c>
      <c r="D4397" s="20" t="s">
        <v>253</v>
      </c>
      <c r="E4397" s="20" t="s">
        <v>2359</v>
      </c>
      <c r="F4397" s="20" t="s">
        <v>2533</v>
      </c>
      <c r="G4397" s="20" t="s">
        <v>82</v>
      </c>
      <c r="H4397" s="20" t="s">
        <v>150</v>
      </c>
      <c r="I4397" s="20"/>
      <c r="J4397" s="20" t="s">
        <v>202</v>
      </c>
      <c r="K4397" s="20" t="s">
        <v>255</v>
      </c>
      <c r="L4397" s="20">
        <v>2800000</v>
      </c>
      <c r="M4397" s="20" t="s">
        <v>150</v>
      </c>
      <c r="N4397" s="20" t="s">
        <v>2868</v>
      </c>
    </row>
    <row r="4398" spans="1:14" hidden="1" x14ac:dyDescent="0.25">
      <c r="A4398" s="19">
        <v>45962</v>
      </c>
      <c r="B4398" s="20" t="s">
        <v>142</v>
      </c>
      <c r="C4398" s="20">
        <v>77</v>
      </c>
      <c r="D4398" s="20" t="s">
        <v>253</v>
      </c>
      <c r="E4398" s="20" t="s">
        <v>2359</v>
      </c>
      <c r="F4398" s="20" t="s">
        <v>2533</v>
      </c>
      <c r="G4398" s="20" t="s">
        <v>82</v>
      </c>
      <c r="H4398" s="20" t="s">
        <v>150</v>
      </c>
      <c r="I4398" s="20"/>
      <c r="J4398" s="20" t="s">
        <v>203</v>
      </c>
      <c r="K4398" s="20" t="s">
        <v>255</v>
      </c>
      <c r="L4398" s="20">
        <v>2650000</v>
      </c>
      <c r="M4398" s="20" t="s">
        <v>150</v>
      </c>
      <c r="N4398" s="20" t="s">
        <v>3026</v>
      </c>
    </row>
    <row r="4399" spans="1:14" hidden="1" x14ac:dyDescent="0.25">
      <c r="A4399" s="19">
        <v>45962</v>
      </c>
      <c r="B4399" s="20" t="s">
        <v>142</v>
      </c>
      <c r="C4399" s="20">
        <v>77</v>
      </c>
      <c r="D4399" s="20" t="s">
        <v>253</v>
      </c>
      <c r="E4399" s="20" t="s">
        <v>2359</v>
      </c>
      <c r="F4399" s="20" t="s">
        <v>2533</v>
      </c>
      <c r="G4399" s="20" t="s">
        <v>82</v>
      </c>
      <c r="H4399" s="20" t="s">
        <v>151</v>
      </c>
      <c r="I4399" s="20"/>
      <c r="J4399" s="20" t="s">
        <v>201</v>
      </c>
      <c r="K4399" s="20" t="s">
        <v>255</v>
      </c>
      <c r="L4399" s="20">
        <v>360000</v>
      </c>
      <c r="M4399" s="20" t="s">
        <v>151</v>
      </c>
      <c r="N4399" s="20" t="s">
        <v>2566</v>
      </c>
    </row>
    <row r="4400" spans="1:14" hidden="1" x14ac:dyDescent="0.25">
      <c r="A4400" s="19">
        <v>45962</v>
      </c>
      <c r="B4400" s="20" t="s">
        <v>142</v>
      </c>
      <c r="C4400" s="20">
        <v>77</v>
      </c>
      <c r="D4400" s="20" t="s">
        <v>253</v>
      </c>
      <c r="E4400" s="20" t="s">
        <v>2359</v>
      </c>
      <c r="F4400" s="20" t="s">
        <v>2533</v>
      </c>
      <c r="G4400" s="20" t="s">
        <v>82</v>
      </c>
      <c r="H4400" s="20" t="s">
        <v>151</v>
      </c>
      <c r="I4400" s="20"/>
      <c r="J4400" s="20" t="s">
        <v>202</v>
      </c>
      <c r="K4400" s="20" t="s">
        <v>255</v>
      </c>
      <c r="L4400" s="20">
        <v>390000</v>
      </c>
      <c r="M4400" s="20" t="s">
        <v>151</v>
      </c>
      <c r="N4400" s="20" t="s">
        <v>2869</v>
      </c>
    </row>
    <row r="4401" spans="1:14" hidden="1" x14ac:dyDescent="0.25">
      <c r="A4401" s="19">
        <v>45962</v>
      </c>
      <c r="B4401" s="20" t="s">
        <v>142</v>
      </c>
      <c r="C4401" s="20">
        <v>77</v>
      </c>
      <c r="D4401" s="20" t="s">
        <v>253</v>
      </c>
      <c r="E4401" s="20" t="s">
        <v>2359</v>
      </c>
      <c r="F4401" s="20" t="s">
        <v>2533</v>
      </c>
      <c r="G4401" s="20" t="s">
        <v>82</v>
      </c>
      <c r="H4401" s="20" t="s">
        <v>151</v>
      </c>
      <c r="I4401" s="20"/>
      <c r="J4401" s="20" t="s">
        <v>203</v>
      </c>
      <c r="K4401" s="20" t="s">
        <v>255</v>
      </c>
      <c r="L4401" s="20">
        <v>290000</v>
      </c>
      <c r="M4401" s="20" t="s">
        <v>151</v>
      </c>
      <c r="N4401" s="20" t="s">
        <v>3027</v>
      </c>
    </row>
    <row r="4402" spans="1:14" hidden="1" x14ac:dyDescent="0.25">
      <c r="A4402" s="19">
        <v>45962</v>
      </c>
      <c r="B4402" s="20" t="s">
        <v>156</v>
      </c>
      <c r="C4402" s="20">
        <v>79</v>
      </c>
      <c r="D4402" s="20" t="s">
        <v>238</v>
      </c>
      <c r="E4402" s="20" t="s">
        <v>2341</v>
      </c>
      <c r="F4402" s="20" t="s">
        <v>240</v>
      </c>
      <c r="G4402" s="20" t="s">
        <v>158</v>
      </c>
      <c r="H4402" s="20"/>
      <c r="I4402" s="20"/>
      <c r="J4402" s="20" t="s">
        <v>2891</v>
      </c>
      <c r="K4402" s="20" t="s">
        <v>241</v>
      </c>
      <c r="L4402" s="20">
        <v>5720000</v>
      </c>
      <c r="M4402" s="20" t="s">
        <v>242</v>
      </c>
      <c r="N4402" s="20" t="s">
        <v>424</v>
      </c>
    </row>
    <row r="4403" spans="1:14" hidden="1" x14ac:dyDescent="0.25">
      <c r="A4403" s="19">
        <v>45962</v>
      </c>
      <c r="B4403" s="20" t="s">
        <v>156</v>
      </c>
      <c r="C4403" s="20">
        <v>79</v>
      </c>
      <c r="D4403" s="20" t="s">
        <v>238</v>
      </c>
      <c r="E4403" s="20" t="s">
        <v>2341</v>
      </c>
      <c r="F4403" s="20" t="s">
        <v>244</v>
      </c>
      <c r="G4403" s="20" t="s">
        <v>158</v>
      </c>
      <c r="H4403" s="20"/>
      <c r="I4403" s="20"/>
      <c r="J4403" s="20" t="s">
        <v>2891</v>
      </c>
      <c r="K4403" s="20" t="s">
        <v>241</v>
      </c>
      <c r="L4403" s="20">
        <v>37110000000</v>
      </c>
      <c r="M4403" s="20" t="s">
        <v>245</v>
      </c>
      <c r="N4403" s="20" t="s">
        <v>3028</v>
      </c>
    </row>
    <row r="4404" spans="1:14" hidden="1" x14ac:dyDescent="0.25">
      <c r="A4404" s="19">
        <v>45962</v>
      </c>
      <c r="B4404" s="20" t="s">
        <v>156</v>
      </c>
      <c r="C4404" s="20">
        <v>80</v>
      </c>
      <c r="D4404" s="20" t="s">
        <v>253</v>
      </c>
      <c r="E4404" s="20" t="s">
        <v>2359</v>
      </c>
      <c r="F4404" s="20" t="s">
        <v>344</v>
      </c>
      <c r="G4404" s="20" t="s">
        <v>158</v>
      </c>
      <c r="H4404" s="20"/>
      <c r="I4404" s="20"/>
      <c r="J4404" s="20" t="s">
        <v>201</v>
      </c>
      <c r="K4404" s="20" t="s">
        <v>255</v>
      </c>
      <c r="L4404" s="20">
        <v>539000</v>
      </c>
      <c r="M4404" s="20" t="s">
        <v>242</v>
      </c>
      <c r="N4404" s="20" t="s">
        <v>2715</v>
      </c>
    </row>
    <row r="4405" spans="1:14" hidden="1" x14ac:dyDescent="0.25">
      <c r="A4405" s="19">
        <v>45962</v>
      </c>
      <c r="B4405" s="20" t="s">
        <v>156</v>
      </c>
      <c r="C4405" s="20">
        <v>80</v>
      </c>
      <c r="D4405" s="20" t="s">
        <v>253</v>
      </c>
      <c r="E4405" s="20" t="s">
        <v>2359</v>
      </c>
      <c r="F4405" s="20" t="s">
        <v>344</v>
      </c>
      <c r="G4405" s="20" t="s">
        <v>158</v>
      </c>
      <c r="H4405" s="20"/>
      <c r="I4405" s="20"/>
      <c r="J4405" s="20" t="s">
        <v>202</v>
      </c>
      <c r="K4405" s="20" t="s">
        <v>255</v>
      </c>
      <c r="L4405" s="20">
        <v>516000</v>
      </c>
      <c r="M4405" s="20" t="s">
        <v>242</v>
      </c>
      <c r="N4405" s="20" t="s">
        <v>2871</v>
      </c>
    </row>
    <row r="4406" spans="1:14" hidden="1" x14ac:dyDescent="0.25">
      <c r="A4406" s="19">
        <v>45962</v>
      </c>
      <c r="B4406" s="20" t="s">
        <v>156</v>
      </c>
      <c r="C4406" s="20">
        <v>80</v>
      </c>
      <c r="D4406" s="20" t="s">
        <v>253</v>
      </c>
      <c r="E4406" s="20" t="s">
        <v>2359</v>
      </c>
      <c r="F4406" s="20" t="s">
        <v>344</v>
      </c>
      <c r="G4406" s="20" t="s">
        <v>158</v>
      </c>
      <c r="H4406" s="20"/>
      <c r="I4406" s="20"/>
      <c r="J4406" s="20" t="s">
        <v>203</v>
      </c>
      <c r="K4406" s="20" t="s">
        <v>255</v>
      </c>
      <c r="L4406" s="20">
        <v>562000</v>
      </c>
      <c r="M4406" s="20" t="s">
        <v>242</v>
      </c>
      <c r="N4406" s="20" t="s">
        <v>2045</v>
      </c>
    </row>
    <row r="4407" spans="1:14" hidden="1" x14ac:dyDescent="0.25">
      <c r="A4407" s="19">
        <v>45962</v>
      </c>
      <c r="B4407" s="20" t="s">
        <v>156</v>
      </c>
      <c r="C4407" s="20">
        <v>80</v>
      </c>
      <c r="D4407" s="20" t="s">
        <v>247</v>
      </c>
      <c r="E4407" s="20" t="s">
        <v>2554</v>
      </c>
      <c r="F4407" s="20" t="s">
        <v>2716</v>
      </c>
      <c r="G4407" s="20" t="s">
        <v>158</v>
      </c>
      <c r="H4407" s="20" t="s">
        <v>286</v>
      </c>
      <c r="I4407" s="20"/>
      <c r="J4407" s="20" t="s">
        <v>203</v>
      </c>
      <c r="K4407" s="20" t="s">
        <v>250</v>
      </c>
      <c r="L4407" s="20">
        <v>9</v>
      </c>
      <c r="M4407" s="20" t="s">
        <v>251</v>
      </c>
      <c r="N4407" s="20" t="s">
        <v>3029</v>
      </c>
    </row>
    <row r="4408" spans="1:14" hidden="1" x14ac:dyDescent="0.25">
      <c r="A4408" s="19">
        <v>45962</v>
      </c>
      <c r="B4408" s="20" t="s">
        <v>156</v>
      </c>
      <c r="C4408" s="20">
        <v>81</v>
      </c>
      <c r="D4408" s="20" t="s">
        <v>253</v>
      </c>
      <c r="E4408" s="20" t="s">
        <v>2359</v>
      </c>
      <c r="F4408" s="20" t="s">
        <v>349</v>
      </c>
      <c r="G4408" s="20" t="s">
        <v>158</v>
      </c>
      <c r="H4408" s="20"/>
      <c r="I4408" s="20"/>
      <c r="J4408" s="20" t="s">
        <v>201</v>
      </c>
      <c r="K4408" s="20" t="s">
        <v>255</v>
      </c>
      <c r="L4408" s="20">
        <v>16000</v>
      </c>
      <c r="M4408" s="20" t="s">
        <v>242</v>
      </c>
      <c r="N4408" s="20" t="s">
        <v>2718</v>
      </c>
    </row>
    <row r="4409" spans="1:14" hidden="1" x14ac:dyDescent="0.25">
      <c r="A4409" s="19">
        <v>45962</v>
      </c>
      <c r="B4409" s="20" t="s">
        <v>156</v>
      </c>
      <c r="C4409" s="20">
        <v>81</v>
      </c>
      <c r="D4409" s="20" t="s">
        <v>253</v>
      </c>
      <c r="E4409" s="20" t="s">
        <v>2359</v>
      </c>
      <c r="F4409" s="20" t="s">
        <v>349</v>
      </c>
      <c r="G4409" s="20" t="s">
        <v>158</v>
      </c>
      <c r="H4409" s="20"/>
      <c r="I4409" s="20"/>
      <c r="J4409" s="20" t="s">
        <v>202</v>
      </c>
      <c r="K4409" s="20" t="s">
        <v>255</v>
      </c>
      <c r="L4409" s="20">
        <v>15100</v>
      </c>
      <c r="M4409" s="20" t="s">
        <v>242</v>
      </c>
      <c r="N4409" s="20" t="s">
        <v>2872</v>
      </c>
    </row>
    <row r="4410" spans="1:14" hidden="1" x14ac:dyDescent="0.25">
      <c r="A4410" s="19">
        <v>45962</v>
      </c>
      <c r="B4410" s="20" t="s">
        <v>156</v>
      </c>
      <c r="C4410" s="20">
        <v>81</v>
      </c>
      <c r="D4410" s="20" t="s">
        <v>253</v>
      </c>
      <c r="E4410" s="20" t="s">
        <v>2359</v>
      </c>
      <c r="F4410" s="20" t="s">
        <v>349</v>
      </c>
      <c r="G4410" s="20" t="s">
        <v>158</v>
      </c>
      <c r="H4410" s="20"/>
      <c r="I4410" s="20"/>
      <c r="J4410" s="20" t="s">
        <v>203</v>
      </c>
      <c r="K4410" s="20" t="s">
        <v>255</v>
      </c>
      <c r="L4410" s="20">
        <v>17900</v>
      </c>
      <c r="M4410" s="20" t="s">
        <v>242</v>
      </c>
      <c r="N4410" s="20" t="s">
        <v>3030</v>
      </c>
    </row>
    <row r="4411" spans="1:14" hidden="1" x14ac:dyDescent="0.25">
      <c r="A4411" s="19">
        <v>45962</v>
      </c>
      <c r="B4411" s="20" t="s">
        <v>156</v>
      </c>
      <c r="C4411" s="20">
        <v>82</v>
      </c>
      <c r="D4411" s="20" t="s">
        <v>253</v>
      </c>
      <c r="E4411" s="20" t="s">
        <v>2359</v>
      </c>
      <c r="F4411" s="20" t="s">
        <v>2546</v>
      </c>
      <c r="G4411" s="20" t="s">
        <v>158</v>
      </c>
      <c r="H4411" s="20"/>
      <c r="I4411" s="20"/>
      <c r="J4411" s="20" t="s">
        <v>201</v>
      </c>
      <c r="K4411" s="20" t="s">
        <v>255</v>
      </c>
      <c r="L4411" s="20">
        <v>3</v>
      </c>
      <c r="M4411" s="20" t="s">
        <v>251</v>
      </c>
      <c r="N4411" s="20" t="s">
        <v>2547</v>
      </c>
    </row>
    <row r="4412" spans="1:14" hidden="1" x14ac:dyDescent="0.25">
      <c r="A4412" s="19">
        <v>45962</v>
      </c>
      <c r="B4412" s="20" t="s">
        <v>156</v>
      </c>
      <c r="C4412" s="20">
        <v>82</v>
      </c>
      <c r="D4412" s="20" t="s">
        <v>253</v>
      </c>
      <c r="E4412" s="20" t="s">
        <v>2359</v>
      </c>
      <c r="F4412" s="20" t="s">
        <v>2546</v>
      </c>
      <c r="G4412" s="20" t="s">
        <v>158</v>
      </c>
      <c r="H4412" s="20"/>
      <c r="I4412" s="20"/>
      <c r="J4412" s="20" t="s">
        <v>202</v>
      </c>
      <c r="K4412" s="20" t="s">
        <v>255</v>
      </c>
      <c r="L4412" s="20">
        <v>2.9</v>
      </c>
      <c r="M4412" s="20" t="s">
        <v>251</v>
      </c>
      <c r="N4412" s="20" t="s">
        <v>616</v>
      </c>
    </row>
    <row r="4413" spans="1:14" hidden="1" x14ac:dyDescent="0.25">
      <c r="A4413" s="19">
        <v>45962</v>
      </c>
      <c r="B4413" s="20" t="s">
        <v>156</v>
      </c>
      <c r="C4413" s="20">
        <v>82</v>
      </c>
      <c r="D4413" s="20" t="s">
        <v>253</v>
      </c>
      <c r="E4413" s="20" t="s">
        <v>2359</v>
      </c>
      <c r="F4413" s="20" t="s">
        <v>2546</v>
      </c>
      <c r="G4413" s="20" t="s">
        <v>158</v>
      </c>
      <c r="H4413" s="20"/>
      <c r="I4413" s="20"/>
      <c r="J4413" s="20" t="s">
        <v>203</v>
      </c>
      <c r="K4413" s="20" t="s">
        <v>255</v>
      </c>
      <c r="L4413" s="20">
        <v>3.2</v>
      </c>
      <c r="M4413" s="20" t="s">
        <v>251</v>
      </c>
      <c r="N4413" s="20" t="s">
        <v>509</v>
      </c>
    </row>
    <row r="4414" spans="1:14" hidden="1" x14ac:dyDescent="0.25">
      <c r="A4414" s="19">
        <v>45962</v>
      </c>
      <c r="B4414" s="20" t="s">
        <v>156</v>
      </c>
      <c r="C4414" s="20">
        <v>83</v>
      </c>
      <c r="D4414" s="20" t="s">
        <v>291</v>
      </c>
      <c r="E4414" s="20" t="s">
        <v>2361</v>
      </c>
      <c r="F4414" s="20" t="s">
        <v>349</v>
      </c>
      <c r="G4414" s="20" t="s">
        <v>158</v>
      </c>
      <c r="H4414" s="20" t="s">
        <v>159</v>
      </c>
      <c r="I4414" s="20"/>
      <c r="J4414" s="20" t="s">
        <v>203</v>
      </c>
      <c r="K4414" s="20" t="s">
        <v>250</v>
      </c>
      <c r="L4414" s="20">
        <v>11728</v>
      </c>
      <c r="M4414" s="20" t="s">
        <v>242</v>
      </c>
      <c r="N4414" s="20" t="s">
        <v>3031</v>
      </c>
    </row>
    <row r="4415" spans="1:14" hidden="1" x14ac:dyDescent="0.25">
      <c r="A4415" s="19">
        <v>45962</v>
      </c>
      <c r="B4415" s="20" t="s">
        <v>156</v>
      </c>
      <c r="C4415" s="20">
        <v>83</v>
      </c>
      <c r="D4415" s="20" t="s">
        <v>291</v>
      </c>
      <c r="E4415" s="20" t="s">
        <v>2361</v>
      </c>
      <c r="F4415" s="20" t="s">
        <v>349</v>
      </c>
      <c r="G4415" s="20" t="s">
        <v>158</v>
      </c>
      <c r="H4415" s="20" t="s">
        <v>160</v>
      </c>
      <c r="I4415" s="20"/>
      <c r="J4415" s="20" t="s">
        <v>203</v>
      </c>
      <c r="K4415" s="20" t="s">
        <v>250</v>
      </c>
      <c r="L4415" s="20">
        <v>6157</v>
      </c>
      <c r="M4415" s="20" t="s">
        <v>242</v>
      </c>
      <c r="N4415" s="20" t="s">
        <v>3032</v>
      </c>
    </row>
    <row r="4416" spans="1:14" hidden="1" x14ac:dyDescent="0.25">
      <c r="A4416" s="19">
        <v>45962</v>
      </c>
      <c r="B4416" s="20" t="s">
        <v>156</v>
      </c>
      <c r="C4416" s="20">
        <v>84</v>
      </c>
      <c r="D4416" s="20" t="s">
        <v>253</v>
      </c>
      <c r="E4416" s="20" t="s">
        <v>2359</v>
      </c>
      <c r="F4416" s="20" t="s">
        <v>356</v>
      </c>
      <c r="G4416" s="20" t="s">
        <v>158</v>
      </c>
      <c r="H4416" s="20"/>
      <c r="I4416" s="20"/>
      <c r="J4416" s="20" t="s">
        <v>201</v>
      </c>
      <c r="K4416" s="20" t="s">
        <v>255</v>
      </c>
      <c r="L4416" s="20">
        <v>3440000000</v>
      </c>
      <c r="M4416" s="20" t="s">
        <v>245</v>
      </c>
      <c r="N4416" s="20" t="s">
        <v>2721</v>
      </c>
    </row>
    <row r="4417" spans="1:14" hidden="1" x14ac:dyDescent="0.25">
      <c r="A4417" s="19">
        <v>45962</v>
      </c>
      <c r="B4417" s="20" t="s">
        <v>156</v>
      </c>
      <c r="C4417" s="20">
        <v>84</v>
      </c>
      <c r="D4417" s="20" t="s">
        <v>253</v>
      </c>
      <c r="E4417" s="20" t="s">
        <v>2359</v>
      </c>
      <c r="F4417" s="20" t="s">
        <v>356</v>
      </c>
      <c r="G4417" s="20" t="s">
        <v>158</v>
      </c>
      <c r="H4417" s="20"/>
      <c r="I4417" s="20"/>
      <c r="J4417" s="20" t="s">
        <v>202</v>
      </c>
      <c r="K4417" s="20" t="s">
        <v>255</v>
      </c>
      <c r="L4417" s="20">
        <v>3660000000</v>
      </c>
      <c r="M4417" s="20" t="s">
        <v>245</v>
      </c>
      <c r="N4417" s="20" t="s">
        <v>2875</v>
      </c>
    </row>
    <row r="4418" spans="1:14" hidden="1" x14ac:dyDescent="0.25">
      <c r="A4418" s="19">
        <v>45962</v>
      </c>
      <c r="B4418" s="20" t="s">
        <v>156</v>
      </c>
      <c r="C4418" s="20">
        <v>84</v>
      </c>
      <c r="D4418" s="20" t="s">
        <v>253</v>
      </c>
      <c r="E4418" s="20" t="s">
        <v>2359</v>
      </c>
      <c r="F4418" s="20" t="s">
        <v>356</v>
      </c>
      <c r="G4418" s="20" t="s">
        <v>158</v>
      </c>
      <c r="H4418" s="20"/>
      <c r="I4418" s="20"/>
      <c r="J4418" s="20" t="s">
        <v>203</v>
      </c>
      <c r="K4418" s="20" t="s">
        <v>255</v>
      </c>
      <c r="L4418" s="20">
        <v>3300000000</v>
      </c>
      <c r="M4418" s="20" t="s">
        <v>245</v>
      </c>
      <c r="N4418" s="20" t="s">
        <v>3033</v>
      </c>
    </row>
    <row r="4419" spans="1:14" hidden="1" x14ac:dyDescent="0.25">
      <c r="A4419" s="19">
        <v>45962</v>
      </c>
      <c r="B4419" s="20" t="s">
        <v>156</v>
      </c>
      <c r="C4419" s="20">
        <v>84</v>
      </c>
      <c r="D4419" s="20" t="s">
        <v>247</v>
      </c>
      <c r="E4419" s="20" t="s">
        <v>2554</v>
      </c>
      <c r="F4419" s="20" t="s">
        <v>2722</v>
      </c>
      <c r="G4419" s="20" t="s">
        <v>158</v>
      </c>
      <c r="H4419" s="20" t="s">
        <v>249</v>
      </c>
      <c r="I4419" s="20"/>
      <c r="J4419" s="20" t="s">
        <v>203</v>
      </c>
      <c r="K4419" s="20" t="s">
        <v>250</v>
      </c>
      <c r="L4419" s="20">
        <v>9.9</v>
      </c>
      <c r="M4419" s="20" t="s">
        <v>251</v>
      </c>
      <c r="N4419" s="20" t="s">
        <v>3034</v>
      </c>
    </row>
    <row r="4420" spans="1:14" hidden="1" x14ac:dyDescent="0.25">
      <c r="A4420" s="19">
        <v>45962</v>
      </c>
      <c r="B4420" s="20" t="s">
        <v>156</v>
      </c>
      <c r="C4420" s="20">
        <v>85</v>
      </c>
      <c r="D4420" s="20" t="s">
        <v>253</v>
      </c>
      <c r="E4420" s="20" t="s">
        <v>2359</v>
      </c>
      <c r="F4420" s="20" t="s">
        <v>361</v>
      </c>
      <c r="G4420" s="20" t="s">
        <v>158</v>
      </c>
      <c r="H4420" s="20"/>
      <c r="I4420" s="20"/>
      <c r="J4420" s="20" t="s">
        <v>201</v>
      </c>
      <c r="K4420" s="20" t="s">
        <v>255</v>
      </c>
      <c r="L4420" s="20">
        <v>75000000</v>
      </c>
      <c r="M4420" s="20" t="s">
        <v>245</v>
      </c>
      <c r="N4420" s="20" t="s">
        <v>2725</v>
      </c>
    </row>
    <row r="4421" spans="1:14" hidden="1" x14ac:dyDescent="0.25">
      <c r="A4421" s="19">
        <v>45962</v>
      </c>
      <c r="B4421" s="20" t="s">
        <v>156</v>
      </c>
      <c r="C4421" s="20">
        <v>85</v>
      </c>
      <c r="D4421" s="20" t="s">
        <v>253</v>
      </c>
      <c r="E4421" s="20" t="s">
        <v>2359</v>
      </c>
      <c r="F4421" s="20" t="s">
        <v>361</v>
      </c>
      <c r="G4421" s="20" t="s">
        <v>158</v>
      </c>
      <c r="H4421" s="20"/>
      <c r="I4421" s="20"/>
      <c r="J4421" s="20" t="s">
        <v>202</v>
      </c>
      <c r="K4421" s="20" t="s">
        <v>255</v>
      </c>
      <c r="L4421" s="20">
        <v>80000000</v>
      </c>
      <c r="M4421" s="20" t="s">
        <v>245</v>
      </c>
      <c r="N4421" s="20" t="s">
        <v>2856</v>
      </c>
    </row>
    <row r="4422" spans="1:14" hidden="1" x14ac:dyDescent="0.25">
      <c r="A4422" s="19">
        <v>45962</v>
      </c>
      <c r="B4422" s="20" t="s">
        <v>156</v>
      </c>
      <c r="C4422" s="20">
        <v>85</v>
      </c>
      <c r="D4422" s="20" t="s">
        <v>253</v>
      </c>
      <c r="E4422" s="20" t="s">
        <v>2359</v>
      </c>
      <c r="F4422" s="20" t="s">
        <v>361</v>
      </c>
      <c r="G4422" s="20" t="s">
        <v>158</v>
      </c>
      <c r="H4422" s="20"/>
      <c r="I4422" s="20"/>
      <c r="J4422" s="20" t="s">
        <v>203</v>
      </c>
      <c r="K4422" s="20" t="s">
        <v>255</v>
      </c>
      <c r="L4422" s="20">
        <v>88000000</v>
      </c>
      <c r="M4422" s="20" t="s">
        <v>245</v>
      </c>
      <c r="N4422" s="20" t="s">
        <v>3035</v>
      </c>
    </row>
    <row r="4423" spans="1:14" hidden="1" x14ac:dyDescent="0.25">
      <c r="A4423" s="19">
        <v>45962</v>
      </c>
      <c r="B4423" s="20" t="s">
        <v>156</v>
      </c>
      <c r="C4423" s="20">
        <v>86</v>
      </c>
      <c r="D4423" s="20" t="s">
        <v>253</v>
      </c>
      <c r="E4423" s="20" t="s">
        <v>2359</v>
      </c>
      <c r="F4423" s="20" t="s">
        <v>2548</v>
      </c>
      <c r="G4423" s="20" t="s">
        <v>158</v>
      </c>
      <c r="H4423" s="20"/>
      <c r="I4423" s="20"/>
      <c r="J4423" s="20" t="s">
        <v>201</v>
      </c>
      <c r="K4423" s="20" t="s">
        <v>255</v>
      </c>
      <c r="L4423" s="20">
        <v>2.1800000000000002</v>
      </c>
      <c r="M4423" s="20" t="s">
        <v>251</v>
      </c>
      <c r="N4423" s="20" t="s">
        <v>2726</v>
      </c>
    </row>
    <row r="4424" spans="1:14" hidden="1" x14ac:dyDescent="0.25">
      <c r="A4424" s="19">
        <v>45962</v>
      </c>
      <c r="B4424" s="20" t="s">
        <v>156</v>
      </c>
      <c r="C4424" s="20">
        <v>86</v>
      </c>
      <c r="D4424" s="20" t="s">
        <v>253</v>
      </c>
      <c r="E4424" s="20" t="s">
        <v>2359</v>
      </c>
      <c r="F4424" s="20" t="s">
        <v>2548</v>
      </c>
      <c r="G4424" s="20" t="s">
        <v>158</v>
      </c>
      <c r="H4424" s="20"/>
      <c r="I4424" s="20"/>
      <c r="J4424" s="20" t="s">
        <v>202</v>
      </c>
      <c r="K4424" s="20" t="s">
        <v>255</v>
      </c>
      <c r="L4424" s="20">
        <v>2.1800000000000002</v>
      </c>
      <c r="M4424" s="20" t="s">
        <v>251</v>
      </c>
      <c r="N4424" s="20" t="s">
        <v>2726</v>
      </c>
    </row>
    <row r="4425" spans="1:14" hidden="1" x14ac:dyDescent="0.25">
      <c r="A4425" s="19">
        <v>45962</v>
      </c>
      <c r="B4425" s="20" t="s">
        <v>156</v>
      </c>
      <c r="C4425" s="20">
        <v>86</v>
      </c>
      <c r="D4425" s="20" t="s">
        <v>253</v>
      </c>
      <c r="E4425" s="20" t="s">
        <v>2359</v>
      </c>
      <c r="F4425" s="20" t="s">
        <v>2548</v>
      </c>
      <c r="G4425" s="20" t="s">
        <v>158</v>
      </c>
      <c r="H4425" s="20"/>
      <c r="I4425" s="20"/>
      <c r="J4425" s="20" t="s">
        <v>203</v>
      </c>
      <c r="K4425" s="20" t="s">
        <v>255</v>
      </c>
      <c r="L4425" s="20">
        <v>2.68</v>
      </c>
      <c r="M4425" s="20" t="s">
        <v>251</v>
      </c>
      <c r="N4425" s="20" t="s">
        <v>3036</v>
      </c>
    </row>
    <row r="4426" spans="1:14" hidden="1" x14ac:dyDescent="0.25">
      <c r="A4426" s="19">
        <v>45962</v>
      </c>
      <c r="B4426" s="20" t="s">
        <v>156</v>
      </c>
      <c r="C4426" s="20">
        <v>87</v>
      </c>
      <c r="D4426" s="20" t="s">
        <v>291</v>
      </c>
      <c r="E4426" s="20" t="s">
        <v>2361</v>
      </c>
      <c r="F4426" s="20" t="s">
        <v>361</v>
      </c>
      <c r="G4426" s="20" t="s">
        <v>158</v>
      </c>
      <c r="H4426" s="20" t="s">
        <v>159</v>
      </c>
      <c r="I4426" s="20"/>
      <c r="J4426" s="20" t="s">
        <v>203</v>
      </c>
      <c r="K4426" s="20" t="s">
        <v>250</v>
      </c>
      <c r="L4426" s="20">
        <v>49700000</v>
      </c>
      <c r="M4426" s="20" t="s">
        <v>245</v>
      </c>
      <c r="N4426" s="20" t="s">
        <v>3037</v>
      </c>
    </row>
    <row r="4427" spans="1:14" hidden="1" x14ac:dyDescent="0.25">
      <c r="A4427" s="19">
        <v>45962</v>
      </c>
      <c r="B4427" s="20" t="s">
        <v>156</v>
      </c>
      <c r="C4427" s="20">
        <v>87</v>
      </c>
      <c r="D4427" s="20" t="s">
        <v>291</v>
      </c>
      <c r="E4427" s="20" t="s">
        <v>2361</v>
      </c>
      <c r="F4427" s="20" t="s">
        <v>361</v>
      </c>
      <c r="G4427" s="20" t="s">
        <v>158</v>
      </c>
      <c r="H4427" s="20" t="s">
        <v>160</v>
      </c>
      <c r="I4427" s="20"/>
      <c r="J4427" s="20" t="s">
        <v>203</v>
      </c>
      <c r="K4427" s="20" t="s">
        <v>250</v>
      </c>
      <c r="L4427" s="20">
        <v>38700000</v>
      </c>
      <c r="M4427" s="20" t="s">
        <v>245</v>
      </c>
      <c r="N4427" s="20" t="s">
        <v>3038</v>
      </c>
    </row>
    <row r="4428" spans="1:14" hidden="1" x14ac:dyDescent="0.25">
      <c r="A4428" s="19">
        <v>45992</v>
      </c>
      <c r="B4428" s="20" t="s">
        <v>535</v>
      </c>
      <c r="C4428" s="20">
        <v>4</v>
      </c>
      <c r="D4428" s="20" t="s">
        <v>238</v>
      </c>
      <c r="E4428" s="20" t="s">
        <v>2341</v>
      </c>
      <c r="F4428" s="20" t="s">
        <v>285</v>
      </c>
      <c r="G4428" s="20" t="s">
        <v>63</v>
      </c>
      <c r="H4428" s="20"/>
      <c r="I4428" s="20"/>
      <c r="J4428" s="20" t="s">
        <v>204</v>
      </c>
      <c r="K4428" s="20" t="s">
        <v>250</v>
      </c>
      <c r="L4428" s="20">
        <v>2130000</v>
      </c>
      <c r="M4428" s="20" t="s">
        <v>242</v>
      </c>
      <c r="N4428" s="20" t="s">
        <v>3039</v>
      </c>
    </row>
    <row r="4429" spans="1:14" hidden="1" x14ac:dyDescent="0.25">
      <c r="A4429" s="19">
        <v>45992</v>
      </c>
      <c r="B4429" s="20" t="s">
        <v>535</v>
      </c>
      <c r="C4429" s="20">
        <v>4</v>
      </c>
      <c r="D4429" s="20" t="s">
        <v>238</v>
      </c>
      <c r="E4429" s="20" t="s">
        <v>2341</v>
      </c>
      <c r="F4429" s="20" t="s">
        <v>240</v>
      </c>
      <c r="G4429" s="20" t="s">
        <v>82</v>
      </c>
      <c r="H4429" s="20"/>
      <c r="I4429" s="20"/>
      <c r="J4429" s="20" t="s">
        <v>204</v>
      </c>
      <c r="K4429" s="20" t="s">
        <v>250</v>
      </c>
      <c r="L4429" s="20">
        <v>17670000</v>
      </c>
      <c r="M4429" s="20" t="s">
        <v>242</v>
      </c>
      <c r="N4429" s="20" t="s">
        <v>3040</v>
      </c>
    </row>
    <row r="4430" spans="1:14" hidden="1" x14ac:dyDescent="0.25">
      <c r="A4430" s="19">
        <v>45992</v>
      </c>
      <c r="B4430" s="20" t="s">
        <v>535</v>
      </c>
      <c r="C4430" s="20">
        <v>4</v>
      </c>
      <c r="D4430" s="20" t="s">
        <v>238</v>
      </c>
      <c r="E4430" s="20" t="s">
        <v>2341</v>
      </c>
      <c r="F4430" s="20" t="s">
        <v>244</v>
      </c>
      <c r="G4430" s="20" t="s">
        <v>82</v>
      </c>
      <c r="H4430" s="20"/>
      <c r="I4430" s="20"/>
      <c r="J4430" s="20" t="s">
        <v>204</v>
      </c>
      <c r="K4430" s="20" t="s">
        <v>250</v>
      </c>
      <c r="L4430" s="20">
        <v>1880000000</v>
      </c>
      <c r="M4430" s="20" t="s">
        <v>245</v>
      </c>
      <c r="N4430" s="20" t="s">
        <v>2344</v>
      </c>
    </row>
    <row r="4431" spans="1:14" hidden="1" x14ac:dyDescent="0.25">
      <c r="A4431" s="19">
        <v>45992</v>
      </c>
      <c r="B4431" s="20" t="s">
        <v>535</v>
      </c>
      <c r="C4431" s="20">
        <v>5</v>
      </c>
      <c r="D4431" s="20" t="s">
        <v>238</v>
      </c>
      <c r="E4431" s="20" t="s">
        <v>2341</v>
      </c>
      <c r="F4431" s="20" t="s">
        <v>285</v>
      </c>
      <c r="G4431" s="20" t="s">
        <v>63</v>
      </c>
      <c r="H4431" s="20"/>
      <c r="I4431" s="20"/>
      <c r="J4431" s="20" t="s">
        <v>204</v>
      </c>
      <c r="K4431" s="20" t="s">
        <v>250</v>
      </c>
      <c r="L4431" s="20">
        <v>2810000</v>
      </c>
      <c r="M4431" s="20" t="s">
        <v>242</v>
      </c>
      <c r="N4431" s="20" t="s">
        <v>3041</v>
      </c>
    </row>
    <row r="4432" spans="1:14" hidden="1" x14ac:dyDescent="0.25">
      <c r="A4432" s="19">
        <v>45992</v>
      </c>
      <c r="B4432" s="20" t="s">
        <v>535</v>
      </c>
      <c r="C4432" s="20">
        <v>5</v>
      </c>
      <c r="D4432" s="20" t="s">
        <v>238</v>
      </c>
      <c r="E4432" s="20" t="s">
        <v>2341</v>
      </c>
      <c r="F4432" s="20" t="s">
        <v>240</v>
      </c>
      <c r="G4432" s="20" t="s">
        <v>82</v>
      </c>
      <c r="H4432" s="20"/>
      <c r="I4432" s="20"/>
      <c r="J4432" s="20" t="s">
        <v>204</v>
      </c>
      <c r="K4432" s="20" t="s">
        <v>250</v>
      </c>
      <c r="L4432" s="20">
        <v>10930000</v>
      </c>
      <c r="M4432" s="20" t="s">
        <v>242</v>
      </c>
      <c r="N4432" s="20" t="s">
        <v>3042</v>
      </c>
    </row>
    <row r="4433" spans="1:14" hidden="1" x14ac:dyDescent="0.25">
      <c r="A4433" s="19">
        <v>45992</v>
      </c>
      <c r="B4433" s="20" t="s">
        <v>535</v>
      </c>
      <c r="C4433" s="20">
        <v>5</v>
      </c>
      <c r="D4433" s="20" t="s">
        <v>238</v>
      </c>
      <c r="E4433" s="20" t="s">
        <v>2341</v>
      </c>
      <c r="F4433" s="20" t="s">
        <v>244</v>
      </c>
      <c r="G4433" s="20" t="s">
        <v>82</v>
      </c>
      <c r="H4433" s="20"/>
      <c r="I4433" s="20"/>
      <c r="J4433" s="20" t="s">
        <v>204</v>
      </c>
      <c r="K4433" s="20" t="s">
        <v>250</v>
      </c>
      <c r="L4433" s="20">
        <v>566000000</v>
      </c>
      <c r="M4433" s="20" t="s">
        <v>245</v>
      </c>
      <c r="N4433" s="20" t="s">
        <v>3043</v>
      </c>
    </row>
    <row r="4434" spans="1:14" hidden="1" x14ac:dyDescent="0.25">
      <c r="A4434" s="19">
        <v>45992</v>
      </c>
      <c r="B4434" s="20" t="s">
        <v>535</v>
      </c>
      <c r="C4434" s="20">
        <v>6</v>
      </c>
      <c r="D4434" s="20" t="s">
        <v>238</v>
      </c>
      <c r="E4434" s="20" t="s">
        <v>2341</v>
      </c>
      <c r="F4434" s="20" t="s">
        <v>285</v>
      </c>
      <c r="G4434" s="20" t="s">
        <v>63</v>
      </c>
      <c r="H4434" s="20"/>
      <c r="I4434" s="20"/>
      <c r="J4434" s="20" t="s">
        <v>204</v>
      </c>
      <c r="K4434" s="20" t="s">
        <v>250</v>
      </c>
      <c r="L4434" s="20">
        <v>5040000</v>
      </c>
      <c r="M4434" s="20" t="s">
        <v>242</v>
      </c>
      <c r="N4434" s="20" t="s">
        <v>539</v>
      </c>
    </row>
    <row r="4435" spans="1:14" hidden="1" x14ac:dyDescent="0.25">
      <c r="A4435" s="19">
        <v>45992</v>
      </c>
      <c r="B4435" s="20" t="s">
        <v>535</v>
      </c>
      <c r="C4435" s="20">
        <v>6</v>
      </c>
      <c r="D4435" s="20" t="s">
        <v>238</v>
      </c>
      <c r="E4435" s="20" t="s">
        <v>2341</v>
      </c>
      <c r="F4435" s="20" t="s">
        <v>378</v>
      </c>
      <c r="G4435" s="20" t="s">
        <v>379</v>
      </c>
      <c r="H4435" s="20"/>
      <c r="I4435" s="20"/>
      <c r="J4435" s="20" t="s">
        <v>204</v>
      </c>
      <c r="K4435" s="20" t="s">
        <v>250</v>
      </c>
      <c r="L4435" s="20">
        <v>685</v>
      </c>
      <c r="M4435" s="20" t="s">
        <v>242</v>
      </c>
      <c r="N4435" s="20" t="s">
        <v>3044</v>
      </c>
    </row>
    <row r="4436" spans="1:14" hidden="1" x14ac:dyDescent="0.25">
      <c r="A4436" s="19">
        <v>45992</v>
      </c>
      <c r="B4436" s="20" t="s">
        <v>535</v>
      </c>
      <c r="C4436" s="20">
        <v>6</v>
      </c>
      <c r="D4436" s="20" t="s">
        <v>238</v>
      </c>
      <c r="E4436" s="20" t="s">
        <v>2341</v>
      </c>
      <c r="F4436" s="20" t="s">
        <v>381</v>
      </c>
      <c r="G4436" s="20" t="s">
        <v>382</v>
      </c>
      <c r="H4436" s="20"/>
      <c r="I4436" s="20"/>
      <c r="J4436" s="20" t="s">
        <v>204</v>
      </c>
      <c r="K4436" s="20" t="s">
        <v>250</v>
      </c>
      <c r="L4436" s="20">
        <v>2323</v>
      </c>
      <c r="M4436" s="20" t="s">
        <v>242</v>
      </c>
      <c r="N4436" s="20" t="s">
        <v>3045</v>
      </c>
    </row>
    <row r="4437" spans="1:14" hidden="1" x14ac:dyDescent="0.25">
      <c r="A4437" s="19">
        <v>45992</v>
      </c>
      <c r="B4437" s="20" t="s">
        <v>535</v>
      </c>
      <c r="C4437" s="20">
        <v>6</v>
      </c>
      <c r="D4437" s="20" t="s">
        <v>238</v>
      </c>
      <c r="E4437" s="20" t="s">
        <v>2341</v>
      </c>
      <c r="F4437" s="20" t="s">
        <v>240</v>
      </c>
      <c r="G4437" s="20" t="s">
        <v>82</v>
      </c>
      <c r="H4437" s="20"/>
      <c r="I4437" s="20"/>
      <c r="J4437" s="20" t="s">
        <v>204</v>
      </c>
      <c r="K4437" s="20" t="s">
        <v>250</v>
      </c>
      <c r="L4437" s="20">
        <v>7030000</v>
      </c>
      <c r="M4437" s="20" t="s">
        <v>242</v>
      </c>
      <c r="N4437" s="20" t="s">
        <v>3046</v>
      </c>
    </row>
    <row r="4438" spans="1:14" hidden="1" x14ac:dyDescent="0.25">
      <c r="A4438" s="19">
        <v>45992</v>
      </c>
      <c r="B4438" s="20" t="s">
        <v>535</v>
      </c>
      <c r="C4438" s="20">
        <v>6</v>
      </c>
      <c r="D4438" s="20" t="s">
        <v>238</v>
      </c>
      <c r="E4438" s="20" t="s">
        <v>2341</v>
      </c>
      <c r="F4438" s="20" t="s">
        <v>244</v>
      </c>
      <c r="G4438" s="20" t="s">
        <v>82</v>
      </c>
      <c r="H4438" s="20"/>
      <c r="I4438" s="20"/>
      <c r="J4438" s="20" t="s">
        <v>204</v>
      </c>
      <c r="K4438" s="20" t="s">
        <v>250</v>
      </c>
      <c r="L4438" s="20">
        <v>1600000000</v>
      </c>
      <c r="M4438" s="20" t="s">
        <v>245</v>
      </c>
      <c r="N4438" s="20" t="s">
        <v>2089</v>
      </c>
    </row>
    <row r="4439" spans="1:14" hidden="1" x14ac:dyDescent="0.25">
      <c r="A4439" s="19">
        <v>45992</v>
      </c>
      <c r="B4439" s="20" t="s">
        <v>535</v>
      </c>
      <c r="C4439" s="20">
        <v>7</v>
      </c>
      <c r="D4439" s="20" t="s">
        <v>238</v>
      </c>
      <c r="E4439" s="20" t="s">
        <v>2341</v>
      </c>
      <c r="F4439" s="20" t="s">
        <v>1194</v>
      </c>
      <c r="G4439" s="20" t="s">
        <v>82</v>
      </c>
      <c r="H4439" s="20"/>
      <c r="I4439" s="20"/>
      <c r="J4439" s="20" t="s">
        <v>204</v>
      </c>
      <c r="K4439" s="20" t="s">
        <v>250</v>
      </c>
      <c r="L4439" s="20">
        <v>1200000</v>
      </c>
      <c r="M4439" s="20" t="s">
        <v>242</v>
      </c>
      <c r="N4439" s="20" t="s">
        <v>2239</v>
      </c>
    </row>
    <row r="4440" spans="1:14" hidden="1" x14ac:dyDescent="0.25">
      <c r="A4440" s="19">
        <v>45992</v>
      </c>
      <c r="B4440" s="20" t="s">
        <v>535</v>
      </c>
      <c r="C4440" s="20">
        <v>7</v>
      </c>
      <c r="D4440" s="20" t="s">
        <v>238</v>
      </c>
      <c r="E4440" s="20" t="s">
        <v>2341</v>
      </c>
      <c r="F4440" s="20" t="s">
        <v>544</v>
      </c>
      <c r="G4440" s="20" t="s">
        <v>82</v>
      </c>
      <c r="H4440" s="20"/>
      <c r="I4440" s="20"/>
      <c r="J4440" s="20" t="s">
        <v>204</v>
      </c>
      <c r="K4440" s="20" t="s">
        <v>250</v>
      </c>
      <c r="L4440" s="20">
        <v>1190000</v>
      </c>
      <c r="M4440" s="20" t="s">
        <v>242</v>
      </c>
      <c r="N4440" s="20" t="s">
        <v>694</v>
      </c>
    </row>
    <row r="4441" spans="1:14" hidden="1" x14ac:dyDescent="0.25">
      <c r="A4441" s="19">
        <v>45992</v>
      </c>
      <c r="B4441" s="20" t="s">
        <v>535</v>
      </c>
      <c r="C4441" s="20">
        <v>7</v>
      </c>
      <c r="D4441" s="20" t="s">
        <v>238</v>
      </c>
      <c r="E4441" s="20" t="s">
        <v>2341</v>
      </c>
      <c r="F4441" s="20" t="s">
        <v>929</v>
      </c>
      <c r="G4441" s="20" t="s">
        <v>82</v>
      </c>
      <c r="H4441" s="20"/>
      <c r="I4441" s="20"/>
      <c r="J4441" s="20" t="s">
        <v>204</v>
      </c>
      <c r="K4441" s="20" t="s">
        <v>250</v>
      </c>
      <c r="L4441" s="20">
        <v>939000000</v>
      </c>
      <c r="M4441" s="20" t="s">
        <v>245</v>
      </c>
      <c r="N4441" s="20" t="s">
        <v>3047</v>
      </c>
    </row>
    <row r="4442" spans="1:14" hidden="1" x14ac:dyDescent="0.25">
      <c r="A4442" s="19">
        <v>45992</v>
      </c>
      <c r="B4442" s="20" t="s">
        <v>535</v>
      </c>
      <c r="C4442" s="20">
        <v>8</v>
      </c>
      <c r="D4442" s="20" t="s">
        <v>238</v>
      </c>
      <c r="E4442" s="20" t="s">
        <v>2341</v>
      </c>
      <c r="F4442" s="20" t="s">
        <v>548</v>
      </c>
      <c r="G4442" s="20" t="s">
        <v>158</v>
      </c>
      <c r="H4442" s="20"/>
      <c r="I4442" s="20"/>
      <c r="J4442" s="20" t="s">
        <v>204</v>
      </c>
      <c r="K4442" s="20" t="s">
        <v>250</v>
      </c>
      <c r="L4442" s="20">
        <v>570000</v>
      </c>
      <c r="M4442" s="20" t="s">
        <v>242</v>
      </c>
      <c r="N4442" s="20" t="s">
        <v>3048</v>
      </c>
    </row>
    <row r="4443" spans="1:14" hidden="1" x14ac:dyDescent="0.25">
      <c r="A4443" s="19">
        <v>45992</v>
      </c>
      <c r="B4443" s="20" t="s">
        <v>535</v>
      </c>
      <c r="C4443" s="20">
        <v>8</v>
      </c>
      <c r="D4443" s="20" t="s">
        <v>238</v>
      </c>
      <c r="E4443" s="20" t="s">
        <v>2341</v>
      </c>
      <c r="F4443" s="20" t="s">
        <v>349</v>
      </c>
      <c r="G4443" s="20" t="s">
        <v>158</v>
      </c>
      <c r="H4443" s="20"/>
      <c r="I4443" s="20"/>
      <c r="J4443" s="20" t="s">
        <v>204</v>
      </c>
      <c r="K4443" s="20" t="s">
        <v>250</v>
      </c>
      <c r="L4443" s="20">
        <v>17700</v>
      </c>
      <c r="M4443" s="20" t="s">
        <v>242</v>
      </c>
      <c r="N4443" s="20" t="s">
        <v>3049</v>
      </c>
    </row>
    <row r="4444" spans="1:14" hidden="1" x14ac:dyDescent="0.25">
      <c r="A4444" s="19">
        <v>45992</v>
      </c>
      <c r="B4444" s="20" t="s">
        <v>535</v>
      </c>
      <c r="C4444" s="20">
        <v>8</v>
      </c>
      <c r="D4444" s="20" t="s">
        <v>238</v>
      </c>
      <c r="E4444" s="20" t="s">
        <v>2341</v>
      </c>
      <c r="F4444" s="20" t="s">
        <v>551</v>
      </c>
      <c r="G4444" s="20" t="s">
        <v>158</v>
      </c>
      <c r="H4444" s="20"/>
      <c r="I4444" s="20"/>
      <c r="J4444" s="20" t="s">
        <v>204</v>
      </c>
      <c r="K4444" s="20" t="s">
        <v>250</v>
      </c>
      <c r="L4444" s="20">
        <v>3850000000</v>
      </c>
      <c r="M4444" s="20" t="s">
        <v>245</v>
      </c>
      <c r="N4444" s="20" t="s">
        <v>3050</v>
      </c>
    </row>
    <row r="4445" spans="1:14" hidden="1" x14ac:dyDescent="0.25">
      <c r="A4445" s="19">
        <v>45992</v>
      </c>
      <c r="B4445" s="20" t="s">
        <v>535</v>
      </c>
      <c r="C4445" s="20">
        <v>8</v>
      </c>
      <c r="D4445" s="20" t="s">
        <v>238</v>
      </c>
      <c r="E4445" s="20" t="s">
        <v>2341</v>
      </c>
      <c r="F4445" s="20" t="s">
        <v>361</v>
      </c>
      <c r="G4445" s="20" t="s">
        <v>158</v>
      </c>
      <c r="H4445" s="20"/>
      <c r="I4445" s="20"/>
      <c r="J4445" s="20" t="s">
        <v>204</v>
      </c>
      <c r="K4445" s="20" t="s">
        <v>250</v>
      </c>
      <c r="L4445" s="20">
        <v>98000000</v>
      </c>
      <c r="M4445" s="20" t="s">
        <v>245</v>
      </c>
      <c r="N4445" s="20" t="s">
        <v>3051</v>
      </c>
    </row>
    <row r="4446" spans="1:14" hidden="1" x14ac:dyDescent="0.25">
      <c r="A4446" s="19">
        <v>45992</v>
      </c>
      <c r="B4446" s="20" t="s">
        <v>35</v>
      </c>
      <c r="C4446" s="20">
        <v>10</v>
      </c>
      <c r="D4446" s="20" t="s">
        <v>238</v>
      </c>
      <c r="E4446" s="20" t="s">
        <v>2341</v>
      </c>
      <c r="F4446" s="20" t="s">
        <v>240</v>
      </c>
      <c r="G4446" s="20" t="s">
        <v>82</v>
      </c>
      <c r="H4446" s="20"/>
      <c r="I4446" s="20"/>
      <c r="J4446" s="20" t="s">
        <v>3052</v>
      </c>
      <c r="K4446" s="20" t="s">
        <v>241</v>
      </c>
      <c r="L4446" s="20">
        <v>167920000</v>
      </c>
      <c r="M4446" s="20" t="s">
        <v>242</v>
      </c>
      <c r="N4446" s="20" t="s">
        <v>3053</v>
      </c>
    </row>
    <row r="4447" spans="1:14" hidden="1" x14ac:dyDescent="0.25">
      <c r="A4447" s="19">
        <v>45992</v>
      </c>
      <c r="B4447" s="20" t="s">
        <v>35</v>
      </c>
      <c r="C4447" s="20">
        <v>10</v>
      </c>
      <c r="D4447" s="20" t="s">
        <v>238</v>
      </c>
      <c r="E4447" s="20" t="s">
        <v>2341</v>
      </c>
      <c r="F4447" s="20" t="s">
        <v>244</v>
      </c>
      <c r="G4447" s="20" t="s">
        <v>82</v>
      </c>
      <c r="H4447" s="20"/>
      <c r="I4447" s="20"/>
      <c r="J4447" s="20" t="s">
        <v>3052</v>
      </c>
      <c r="K4447" s="20" t="s">
        <v>241</v>
      </c>
      <c r="L4447" s="20">
        <v>19970000000</v>
      </c>
      <c r="M4447" s="20" t="s">
        <v>245</v>
      </c>
      <c r="N4447" s="20" t="s">
        <v>3054</v>
      </c>
    </row>
    <row r="4448" spans="1:14" hidden="1" x14ac:dyDescent="0.25">
      <c r="A4448" s="19">
        <v>45992</v>
      </c>
      <c r="B4448" s="20" t="s">
        <v>35</v>
      </c>
      <c r="C4448" s="20">
        <v>11</v>
      </c>
      <c r="D4448" s="20" t="s">
        <v>253</v>
      </c>
      <c r="E4448" s="20" t="s">
        <v>2359</v>
      </c>
      <c r="F4448" s="20" t="s">
        <v>285</v>
      </c>
      <c r="G4448" s="20" t="s">
        <v>63</v>
      </c>
      <c r="H4448" s="20"/>
      <c r="I4448" s="20"/>
      <c r="J4448" s="20" t="s">
        <v>202</v>
      </c>
      <c r="K4448" s="20" t="s">
        <v>255</v>
      </c>
      <c r="L4448" s="20">
        <v>2060000</v>
      </c>
      <c r="M4448" s="20" t="s">
        <v>242</v>
      </c>
      <c r="N4448" s="20" t="s">
        <v>2746</v>
      </c>
    </row>
    <row r="4449" spans="1:14" hidden="1" x14ac:dyDescent="0.25">
      <c r="A4449" s="19">
        <v>45992</v>
      </c>
      <c r="B4449" s="20" t="s">
        <v>35</v>
      </c>
      <c r="C4449" s="20">
        <v>11</v>
      </c>
      <c r="D4449" s="20" t="s">
        <v>253</v>
      </c>
      <c r="E4449" s="20" t="s">
        <v>2359</v>
      </c>
      <c r="F4449" s="20" t="s">
        <v>285</v>
      </c>
      <c r="G4449" s="20" t="s">
        <v>63</v>
      </c>
      <c r="H4449" s="20"/>
      <c r="I4449" s="20"/>
      <c r="J4449" s="20" t="s">
        <v>203</v>
      </c>
      <c r="K4449" s="20" t="s">
        <v>255</v>
      </c>
      <c r="L4449" s="20">
        <v>2090000</v>
      </c>
      <c r="M4449" s="20" t="s">
        <v>242</v>
      </c>
      <c r="N4449" s="20" t="s">
        <v>2894</v>
      </c>
    </row>
    <row r="4450" spans="1:14" hidden="1" x14ac:dyDescent="0.25">
      <c r="A4450" s="19">
        <v>45992</v>
      </c>
      <c r="B4450" s="20" t="s">
        <v>35</v>
      </c>
      <c r="C4450" s="20">
        <v>11</v>
      </c>
      <c r="D4450" s="20" t="s">
        <v>253</v>
      </c>
      <c r="E4450" s="20" t="s">
        <v>2359</v>
      </c>
      <c r="F4450" s="20" t="s">
        <v>285</v>
      </c>
      <c r="G4450" s="20" t="s">
        <v>63</v>
      </c>
      <c r="H4450" s="20"/>
      <c r="I4450" s="20"/>
      <c r="J4450" s="20" t="s">
        <v>204</v>
      </c>
      <c r="K4450" s="20" t="s">
        <v>255</v>
      </c>
      <c r="L4450" s="20">
        <v>2130000</v>
      </c>
      <c r="M4450" s="20" t="s">
        <v>242</v>
      </c>
      <c r="N4450" s="20" t="s">
        <v>3055</v>
      </c>
    </row>
    <row r="4451" spans="1:14" hidden="1" x14ac:dyDescent="0.25">
      <c r="A4451" s="19">
        <v>45992</v>
      </c>
      <c r="B4451" s="20" t="s">
        <v>35</v>
      </c>
      <c r="C4451" s="20">
        <v>11</v>
      </c>
      <c r="D4451" s="20" t="s">
        <v>247</v>
      </c>
      <c r="E4451" s="20" t="s">
        <v>2554</v>
      </c>
      <c r="F4451" s="20" t="s">
        <v>2555</v>
      </c>
      <c r="G4451" s="20" t="s">
        <v>63</v>
      </c>
      <c r="H4451" s="20" t="s">
        <v>286</v>
      </c>
      <c r="I4451" s="20"/>
      <c r="J4451" s="20" t="s">
        <v>204</v>
      </c>
      <c r="K4451" s="20" t="s">
        <v>250</v>
      </c>
      <c r="L4451" s="20">
        <v>1.5</v>
      </c>
      <c r="M4451" s="20" t="s">
        <v>251</v>
      </c>
      <c r="N4451" s="20" t="s">
        <v>446</v>
      </c>
    </row>
    <row r="4452" spans="1:14" hidden="1" x14ac:dyDescent="0.25">
      <c r="A4452" s="19">
        <v>45992</v>
      </c>
      <c r="B4452" s="20" t="s">
        <v>35</v>
      </c>
      <c r="C4452" s="20">
        <v>12</v>
      </c>
      <c r="D4452" s="20" t="s">
        <v>291</v>
      </c>
      <c r="E4452" s="20" t="s">
        <v>2361</v>
      </c>
      <c r="F4452" s="20" t="s">
        <v>2362</v>
      </c>
      <c r="G4452" s="20" t="s">
        <v>63</v>
      </c>
      <c r="H4452" s="20" t="s">
        <v>64</v>
      </c>
      <c r="I4452" s="20"/>
      <c r="J4452" s="20" t="s">
        <v>204</v>
      </c>
      <c r="K4452" s="20" t="s">
        <v>250</v>
      </c>
      <c r="L4452" s="20">
        <v>2040000</v>
      </c>
      <c r="M4452" s="20" t="s">
        <v>242</v>
      </c>
      <c r="N4452" s="20" t="s">
        <v>1645</v>
      </c>
    </row>
    <row r="4453" spans="1:14" hidden="1" x14ac:dyDescent="0.25">
      <c r="A4453" s="19">
        <v>45992</v>
      </c>
      <c r="B4453" s="20" t="s">
        <v>35</v>
      </c>
      <c r="C4453" s="20">
        <v>12</v>
      </c>
      <c r="D4453" s="20" t="s">
        <v>291</v>
      </c>
      <c r="E4453" s="20" t="s">
        <v>2361</v>
      </c>
      <c r="F4453" s="20" t="s">
        <v>2362</v>
      </c>
      <c r="G4453" s="20" t="s">
        <v>63</v>
      </c>
      <c r="H4453" s="20" t="s">
        <v>65</v>
      </c>
      <c r="I4453" s="20"/>
      <c r="J4453" s="20" t="s">
        <v>204</v>
      </c>
      <c r="K4453" s="20" t="s">
        <v>250</v>
      </c>
      <c r="L4453" s="20">
        <v>84000</v>
      </c>
      <c r="M4453" s="20" t="s">
        <v>242</v>
      </c>
      <c r="N4453" s="20" t="s">
        <v>3056</v>
      </c>
    </row>
    <row r="4454" spans="1:14" hidden="1" x14ac:dyDescent="0.25">
      <c r="A4454" s="19">
        <v>45992</v>
      </c>
      <c r="B4454" s="20" t="s">
        <v>35</v>
      </c>
      <c r="C4454" s="20">
        <v>13</v>
      </c>
      <c r="D4454" s="20" t="s">
        <v>291</v>
      </c>
      <c r="E4454" s="20" t="s">
        <v>2361</v>
      </c>
      <c r="F4454" s="20" t="s">
        <v>2362</v>
      </c>
      <c r="G4454" s="20" t="s">
        <v>63</v>
      </c>
      <c r="H4454" s="20" t="s">
        <v>2364</v>
      </c>
      <c r="I4454" s="20"/>
      <c r="J4454" s="20" t="s">
        <v>204</v>
      </c>
      <c r="K4454" s="20" t="s">
        <v>250</v>
      </c>
      <c r="L4454" s="20">
        <v>1300000</v>
      </c>
      <c r="M4454" s="20" t="s">
        <v>242</v>
      </c>
      <c r="N4454" s="20" t="s">
        <v>1430</v>
      </c>
    </row>
    <row r="4455" spans="1:14" hidden="1" x14ac:dyDescent="0.25">
      <c r="A4455" s="19">
        <v>45992</v>
      </c>
      <c r="B4455" s="20" t="s">
        <v>35</v>
      </c>
      <c r="C4455" s="20">
        <v>13</v>
      </c>
      <c r="D4455" s="20" t="s">
        <v>291</v>
      </c>
      <c r="E4455" s="20" t="s">
        <v>2361</v>
      </c>
      <c r="F4455" s="20" t="s">
        <v>2362</v>
      </c>
      <c r="G4455" s="20" t="s">
        <v>63</v>
      </c>
      <c r="H4455" s="20" t="s">
        <v>2366</v>
      </c>
      <c r="I4455" s="20"/>
      <c r="J4455" s="20" t="s">
        <v>204</v>
      </c>
      <c r="K4455" s="20" t="s">
        <v>250</v>
      </c>
      <c r="L4455" s="20">
        <v>760000</v>
      </c>
      <c r="M4455" s="20" t="s">
        <v>242</v>
      </c>
      <c r="N4455" s="20" t="s">
        <v>3057</v>
      </c>
    </row>
    <row r="4456" spans="1:14" x14ac:dyDescent="0.25">
      <c r="A4456" s="19">
        <v>45992</v>
      </c>
      <c r="B4456" s="20" t="s">
        <v>35</v>
      </c>
      <c r="C4456" s="20">
        <v>14</v>
      </c>
      <c r="D4456" s="20" t="s">
        <v>291</v>
      </c>
      <c r="E4456" s="20" t="s">
        <v>2361</v>
      </c>
      <c r="F4456" s="20" t="s">
        <v>285</v>
      </c>
      <c r="G4456" s="20" t="s">
        <v>63</v>
      </c>
      <c r="H4456" s="20" t="s">
        <v>77</v>
      </c>
      <c r="I4456" s="20"/>
      <c r="J4456" s="20" t="s">
        <v>204</v>
      </c>
      <c r="K4456" s="20" t="s">
        <v>250</v>
      </c>
      <c r="L4456" s="20">
        <v>10000</v>
      </c>
      <c r="M4456" s="20" t="s">
        <v>242</v>
      </c>
      <c r="N4456" s="20" t="s">
        <v>3058</v>
      </c>
    </row>
    <row r="4457" spans="1:14" x14ac:dyDescent="0.25">
      <c r="A4457" s="19">
        <v>45992</v>
      </c>
      <c r="B4457" s="20" t="s">
        <v>35</v>
      </c>
      <c r="C4457" s="20">
        <v>14</v>
      </c>
      <c r="D4457" s="20" t="s">
        <v>291</v>
      </c>
      <c r="E4457" s="20" t="s">
        <v>2361</v>
      </c>
      <c r="F4457" s="20" t="s">
        <v>285</v>
      </c>
      <c r="G4457" s="20" t="s">
        <v>63</v>
      </c>
      <c r="H4457" s="20" t="s">
        <v>70</v>
      </c>
      <c r="I4457" s="20"/>
      <c r="J4457" s="20" t="s">
        <v>204</v>
      </c>
      <c r="K4457" s="20" t="s">
        <v>250</v>
      </c>
      <c r="L4457" s="20">
        <v>775000</v>
      </c>
      <c r="M4457" s="20" t="s">
        <v>242</v>
      </c>
      <c r="N4457" s="20" t="s">
        <v>3059</v>
      </c>
    </row>
    <row r="4458" spans="1:14" x14ac:dyDescent="0.25">
      <c r="A4458" s="19">
        <v>45992</v>
      </c>
      <c r="B4458" s="20" t="s">
        <v>35</v>
      </c>
      <c r="C4458" s="20">
        <v>14</v>
      </c>
      <c r="D4458" s="20" t="s">
        <v>291</v>
      </c>
      <c r="E4458" s="20" t="s">
        <v>2361</v>
      </c>
      <c r="F4458" s="20" t="s">
        <v>285</v>
      </c>
      <c r="G4458" s="20" t="s">
        <v>63</v>
      </c>
      <c r="H4458" s="20" t="s">
        <v>71</v>
      </c>
      <c r="I4458" s="20"/>
      <c r="J4458" s="20" t="s">
        <v>204</v>
      </c>
      <c r="K4458" s="20" t="s">
        <v>250</v>
      </c>
      <c r="L4458" s="20">
        <v>542000</v>
      </c>
      <c r="M4458" s="20" t="s">
        <v>242</v>
      </c>
      <c r="N4458" s="20" t="s">
        <v>3060</v>
      </c>
    </row>
    <row r="4459" spans="1:14" x14ac:dyDescent="0.25">
      <c r="A4459" s="19">
        <v>45992</v>
      </c>
      <c r="B4459" s="20" t="s">
        <v>35</v>
      </c>
      <c r="C4459" s="20">
        <v>14</v>
      </c>
      <c r="D4459" s="20" t="s">
        <v>291</v>
      </c>
      <c r="E4459" s="20" t="s">
        <v>2361</v>
      </c>
      <c r="F4459" s="20" t="s">
        <v>285</v>
      </c>
      <c r="G4459" s="20" t="s">
        <v>63</v>
      </c>
      <c r="H4459" s="20" t="s">
        <v>72</v>
      </c>
      <c r="I4459" s="20"/>
      <c r="J4459" s="20" t="s">
        <v>204</v>
      </c>
      <c r="K4459" s="20" t="s">
        <v>250</v>
      </c>
      <c r="L4459" s="20">
        <v>375000</v>
      </c>
      <c r="M4459" s="20" t="s">
        <v>242</v>
      </c>
      <c r="N4459" s="20" t="s">
        <v>3061</v>
      </c>
    </row>
    <row r="4460" spans="1:14" x14ac:dyDescent="0.25">
      <c r="A4460" s="19">
        <v>45992</v>
      </c>
      <c r="B4460" s="20" t="s">
        <v>35</v>
      </c>
      <c r="C4460" s="20">
        <v>14</v>
      </c>
      <c r="D4460" s="20" t="s">
        <v>291</v>
      </c>
      <c r="E4460" s="20" t="s">
        <v>2361</v>
      </c>
      <c r="F4460" s="20" t="s">
        <v>285</v>
      </c>
      <c r="G4460" s="20" t="s">
        <v>63</v>
      </c>
      <c r="H4460" s="20" t="s">
        <v>73</v>
      </c>
      <c r="I4460" s="20"/>
      <c r="J4460" s="20" t="s">
        <v>204</v>
      </c>
      <c r="K4460" s="20" t="s">
        <v>250</v>
      </c>
      <c r="L4460" s="20">
        <v>232000</v>
      </c>
      <c r="M4460" s="20" t="s">
        <v>242</v>
      </c>
      <c r="N4460" s="20" t="s">
        <v>3062</v>
      </c>
    </row>
    <row r="4461" spans="1:14" x14ac:dyDescent="0.25">
      <c r="A4461" s="19">
        <v>45992</v>
      </c>
      <c r="B4461" s="20" t="s">
        <v>35</v>
      </c>
      <c r="C4461" s="20">
        <v>14</v>
      </c>
      <c r="D4461" s="20" t="s">
        <v>291</v>
      </c>
      <c r="E4461" s="20" t="s">
        <v>2361</v>
      </c>
      <c r="F4461" s="20" t="s">
        <v>285</v>
      </c>
      <c r="G4461" s="20" t="s">
        <v>63</v>
      </c>
      <c r="H4461" s="20" t="s">
        <v>74</v>
      </c>
      <c r="I4461" s="20"/>
      <c r="J4461" s="20" t="s">
        <v>204</v>
      </c>
      <c r="K4461" s="20" t="s">
        <v>250</v>
      </c>
      <c r="L4461" s="20">
        <v>107000</v>
      </c>
      <c r="M4461" s="20" t="s">
        <v>242</v>
      </c>
      <c r="N4461" s="20" t="s">
        <v>3063</v>
      </c>
    </row>
    <row r="4462" spans="1:14" x14ac:dyDescent="0.25">
      <c r="A4462" s="19">
        <v>45992</v>
      </c>
      <c r="B4462" s="20" t="s">
        <v>35</v>
      </c>
      <c r="C4462" s="20">
        <v>14</v>
      </c>
      <c r="D4462" s="20" t="s">
        <v>291</v>
      </c>
      <c r="E4462" s="20" t="s">
        <v>2361</v>
      </c>
      <c r="F4462" s="20" t="s">
        <v>285</v>
      </c>
      <c r="G4462" s="20" t="s">
        <v>63</v>
      </c>
      <c r="H4462" s="20" t="s">
        <v>75</v>
      </c>
      <c r="I4462" s="20"/>
      <c r="J4462" s="20" t="s">
        <v>204</v>
      </c>
      <c r="K4462" s="20" t="s">
        <v>250</v>
      </c>
      <c r="L4462" s="20">
        <v>29000</v>
      </c>
      <c r="M4462" s="20" t="s">
        <v>242</v>
      </c>
      <c r="N4462" s="20" t="s">
        <v>779</v>
      </c>
    </row>
    <row r="4463" spans="1:14" x14ac:dyDescent="0.25">
      <c r="A4463" s="19">
        <v>45992</v>
      </c>
      <c r="B4463" s="20" t="s">
        <v>35</v>
      </c>
      <c r="C4463" s="20">
        <v>14</v>
      </c>
      <c r="D4463" s="20" t="s">
        <v>291</v>
      </c>
      <c r="E4463" s="20" t="s">
        <v>2361</v>
      </c>
      <c r="F4463" s="20" t="s">
        <v>285</v>
      </c>
      <c r="G4463" s="20" t="s">
        <v>63</v>
      </c>
      <c r="H4463" s="20" t="s">
        <v>76</v>
      </c>
      <c r="I4463" s="20"/>
      <c r="J4463" s="20" t="s">
        <v>204</v>
      </c>
      <c r="K4463" s="20" t="s">
        <v>250</v>
      </c>
      <c r="L4463" s="20">
        <v>6000</v>
      </c>
      <c r="M4463" s="20" t="s">
        <v>242</v>
      </c>
      <c r="N4463" s="20" t="s">
        <v>2375</v>
      </c>
    </row>
    <row r="4464" spans="1:14" hidden="1" x14ac:dyDescent="0.25">
      <c r="A4464" s="19">
        <v>45992</v>
      </c>
      <c r="B4464" s="20" t="s">
        <v>35</v>
      </c>
      <c r="C4464" s="20">
        <v>15</v>
      </c>
      <c r="D4464" s="20" t="s">
        <v>291</v>
      </c>
      <c r="E4464" s="20" t="s">
        <v>2361</v>
      </c>
      <c r="F4464" s="20" t="s">
        <v>2362</v>
      </c>
      <c r="G4464" s="20" t="s">
        <v>63</v>
      </c>
      <c r="H4464" s="20" t="s">
        <v>79</v>
      </c>
      <c r="I4464" s="20"/>
      <c r="J4464" s="20" t="s">
        <v>204</v>
      </c>
      <c r="K4464" s="20" t="s">
        <v>250</v>
      </c>
      <c r="L4464" s="20">
        <v>2080000</v>
      </c>
      <c r="M4464" s="20" t="s">
        <v>242</v>
      </c>
      <c r="N4464" s="20" t="s">
        <v>848</v>
      </c>
    </row>
    <row r="4465" spans="1:14" hidden="1" x14ac:dyDescent="0.25">
      <c r="A4465" s="19">
        <v>45992</v>
      </c>
      <c r="B4465" s="20" t="s">
        <v>35</v>
      </c>
      <c r="C4465" s="20">
        <v>15</v>
      </c>
      <c r="D4465" s="20" t="s">
        <v>291</v>
      </c>
      <c r="E4465" s="20" t="s">
        <v>2361</v>
      </c>
      <c r="F4465" s="20" t="s">
        <v>2362</v>
      </c>
      <c r="G4465" s="20" t="s">
        <v>63</v>
      </c>
      <c r="H4465" s="20" t="s">
        <v>80</v>
      </c>
      <c r="I4465" s="20"/>
      <c r="J4465" s="20" t="s">
        <v>204</v>
      </c>
      <c r="K4465" s="20" t="s">
        <v>250</v>
      </c>
      <c r="L4465" s="20">
        <v>48300</v>
      </c>
      <c r="M4465" s="20" t="s">
        <v>242</v>
      </c>
      <c r="N4465" s="20" t="s">
        <v>3064</v>
      </c>
    </row>
    <row r="4466" spans="1:14" hidden="1" x14ac:dyDescent="0.25">
      <c r="A4466" s="19">
        <v>45992</v>
      </c>
      <c r="B4466" s="20" t="s">
        <v>35</v>
      </c>
      <c r="C4466" s="20">
        <v>16</v>
      </c>
      <c r="D4466" s="20" t="s">
        <v>253</v>
      </c>
      <c r="E4466" s="20" t="s">
        <v>2359</v>
      </c>
      <c r="F4466" s="20" t="s">
        <v>240</v>
      </c>
      <c r="G4466" s="20" t="s">
        <v>82</v>
      </c>
      <c r="H4466" s="20"/>
      <c r="I4466" s="20"/>
      <c r="J4466" s="20" t="s">
        <v>202</v>
      </c>
      <c r="K4466" s="20" t="s">
        <v>255</v>
      </c>
      <c r="L4466" s="20">
        <v>16590000</v>
      </c>
      <c r="M4466" s="20" t="s">
        <v>242</v>
      </c>
      <c r="N4466" s="20" t="s">
        <v>2755</v>
      </c>
    </row>
    <row r="4467" spans="1:14" hidden="1" x14ac:dyDescent="0.25">
      <c r="A4467" s="19">
        <v>45992</v>
      </c>
      <c r="B4467" s="20" t="s">
        <v>35</v>
      </c>
      <c r="C4467" s="20">
        <v>16</v>
      </c>
      <c r="D4467" s="20" t="s">
        <v>253</v>
      </c>
      <c r="E4467" s="20" t="s">
        <v>2359</v>
      </c>
      <c r="F4467" s="20" t="s">
        <v>240</v>
      </c>
      <c r="G4467" s="20" t="s">
        <v>82</v>
      </c>
      <c r="H4467" s="20"/>
      <c r="I4467" s="20"/>
      <c r="J4467" s="20" t="s">
        <v>203</v>
      </c>
      <c r="K4467" s="20" t="s">
        <v>255</v>
      </c>
      <c r="L4467" s="20">
        <v>16350000</v>
      </c>
      <c r="M4467" s="20" t="s">
        <v>242</v>
      </c>
      <c r="N4467" s="20" t="s">
        <v>2903</v>
      </c>
    </row>
    <row r="4468" spans="1:14" hidden="1" x14ac:dyDescent="0.25">
      <c r="A4468" s="19">
        <v>45992</v>
      </c>
      <c r="B4468" s="20" t="s">
        <v>35</v>
      </c>
      <c r="C4468" s="20">
        <v>16</v>
      </c>
      <c r="D4468" s="20" t="s">
        <v>253</v>
      </c>
      <c r="E4468" s="20" t="s">
        <v>2359</v>
      </c>
      <c r="F4468" s="20" t="s">
        <v>240</v>
      </c>
      <c r="G4468" s="20" t="s">
        <v>82</v>
      </c>
      <c r="H4468" s="20"/>
      <c r="I4468" s="20"/>
      <c r="J4468" s="20" t="s">
        <v>204</v>
      </c>
      <c r="K4468" s="20" t="s">
        <v>255</v>
      </c>
      <c r="L4468" s="20">
        <v>17670000</v>
      </c>
      <c r="M4468" s="20" t="s">
        <v>242</v>
      </c>
      <c r="N4468" s="20" t="s">
        <v>3065</v>
      </c>
    </row>
    <row r="4469" spans="1:14" hidden="1" x14ac:dyDescent="0.25">
      <c r="A4469" s="19">
        <v>45992</v>
      </c>
      <c r="B4469" s="20" t="s">
        <v>35</v>
      </c>
      <c r="C4469" s="20">
        <v>16</v>
      </c>
      <c r="D4469" s="20" t="s">
        <v>247</v>
      </c>
      <c r="E4469" s="20" t="s">
        <v>2554</v>
      </c>
      <c r="F4469" s="20" t="s">
        <v>2556</v>
      </c>
      <c r="G4469" s="20" t="s">
        <v>82</v>
      </c>
      <c r="H4469" s="20" t="s">
        <v>286</v>
      </c>
      <c r="I4469" s="20"/>
      <c r="J4469" s="20" t="s">
        <v>204</v>
      </c>
      <c r="K4469" s="20" t="s">
        <v>250</v>
      </c>
      <c r="L4469" s="20">
        <v>8.1</v>
      </c>
      <c r="M4469" s="20" t="s">
        <v>251</v>
      </c>
      <c r="N4469" s="20" t="s">
        <v>3066</v>
      </c>
    </row>
    <row r="4470" spans="1:14" hidden="1" x14ac:dyDescent="0.25">
      <c r="A4470" s="19">
        <v>45992</v>
      </c>
      <c r="B4470" s="20" t="s">
        <v>35</v>
      </c>
      <c r="C4470" s="20">
        <v>17</v>
      </c>
      <c r="D4470" s="20" t="s">
        <v>291</v>
      </c>
      <c r="E4470" s="20" t="s">
        <v>2361</v>
      </c>
      <c r="F4470" s="20" t="s">
        <v>240</v>
      </c>
      <c r="G4470" s="20" t="s">
        <v>82</v>
      </c>
      <c r="H4470" s="20" t="s">
        <v>83</v>
      </c>
      <c r="I4470" s="20"/>
      <c r="J4470" s="20" t="s">
        <v>204</v>
      </c>
      <c r="K4470" s="20" t="s">
        <v>250</v>
      </c>
      <c r="L4470" s="20">
        <v>14250000</v>
      </c>
      <c r="M4470" s="20" t="s">
        <v>242</v>
      </c>
      <c r="N4470" s="20" t="s">
        <v>1926</v>
      </c>
    </row>
    <row r="4471" spans="1:14" hidden="1" x14ac:dyDescent="0.25">
      <c r="A4471" s="19">
        <v>45992</v>
      </c>
      <c r="B4471" s="20" t="s">
        <v>35</v>
      </c>
      <c r="C4471" s="20">
        <v>17</v>
      </c>
      <c r="D4471" s="20" t="s">
        <v>291</v>
      </c>
      <c r="E4471" s="20" t="s">
        <v>2361</v>
      </c>
      <c r="F4471" s="20" t="s">
        <v>240</v>
      </c>
      <c r="G4471" s="20" t="s">
        <v>82</v>
      </c>
      <c r="H4471" s="20" t="s">
        <v>84</v>
      </c>
      <c r="I4471" s="20"/>
      <c r="J4471" s="20" t="s">
        <v>204</v>
      </c>
      <c r="K4471" s="20" t="s">
        <v>250</v>
      </c>
      <c r="L4471" s="20">
        <v>3420000</v>
      </c>
      <c r="M4471" s="20" t="s">
        <v>242</v>
      </c>
      <c r="N4471" s="20" t="s">
        <v>3067</v>
      </c>
    </row>
    <row r="4472" spans="1:14" hidden="1" x14ac:dyDescent="0.25">
      <c r="A4472" s="19">
        <v>45992</v>
      </c>
      <c r="B4472" s="20" t="s">
        <v>35</v>
      </c>
      <c r="C4472" s="20">
        <v>18</v>
      </c>
      <c r="D4472" s="20" t="s">
        <v>291</v>
      </c>
      <c r="E4472" s="20" t="s">
        <v>2361</v>
      </c>
      <c r="F4472" s="20" t="s">
        <v>240</v>
      </c>
      <c r="G4472" s="20" t="s">
        <v>82</v>
      </c>
      <c r="H4472" s="20" t="s">
        <v>83</v>
      </c>
      <c r="I4472" s="20" t="s">
        <v>315</v>
      </c>
      <c r="J4472" s="20" t="s">
        <v>204</v>
      </c>
      <c r="K4472" s="20" t="s">
        <v>250</v>
      </c>
      <c r="L4472" s="20"/>
      <c r="M4472" s="20" t="s">
        <v>251</v>
      </c>
      <c r="N4472" s="20" t="s">
        <v>2906</v>
      </c>
    </row>
    <row r="4473" spans="1:14" hidden="1" x14ac:dyDescent="0.25">
      <c r="A4473" s="19">
        <v>45992</v>
      </c>
      <c r="B4473" s="20" t="s">
        <v>35</v>
      </c>
      <c r="C4473" s="20">
        <v>18</v>
      </c>
      <c r="D4473" s="20" t="s">
        <v>291</v>
      </c>
      <c r="E4473" s="20" t="s">
        <v>2361</v>
      </c>
      <c r="F4473" s="20" t="s">
        <v>240</v>
      </c>
      <c r="G4473" s="20" t="s">
        <v>82</v>
      </c>
      <c r="H4473" s="20" t="s">
        <v>83</v>
      </c>
      <c r="I4473" s="20" t="s">
        <v>317</v>
      </c>
      <c r="J4473" s="20" t="s">
        <v>204</v>
      </c>
      <c r="K4473" s="20" t="s">
        <v>250</v>
      </c>
      <c r="L4473" s="20"/>
      <c r="M4473" s="20" t="s">
        <v>251</v>
      </c>
      <c r="N4473" s="20" t="s">
        <v>2907</v>
      </c>
    </row>
    <row r="4474" spans="1:14" hidden="1" x14ac:dyDescent="0.25">
      <c r="A4474" s="19">
        <v>45992</v>
      </c>
      <c r="B4474" s="20" t="s">
        <v>35</v>
      </c>
      <c r="C4474" s="20">
        <v>18</v>
      </c>
      <c r="D4474" s="20" t="s">
        <v>291</v>
      </c>
      <c r="E4474" s="20" t="s">
        <v>2361</v>
      </c>
      <c r="F4474" s="20" t="s">
        <v>240</v>
      </c>
      <c r="G4474" s="20" t="s">
        <v>82</v>
      </c>
      <c r="H4474" s="20" t="s">
        <v>83</v>
      </c>
      <c r="I4474" s="20" t="s">
        <v>313</v>
      </c>
      <c r="J4474" s="20" t="s">
        <v>204</v>
      </c>
      <c r="K4474" s="20" t="s">
        <v>250</v>
      </c>
      <c r="L4474" s="20"/>
      <c r="M4474" s="20" t="s">
        <v>251</v>
      </c>
      <c r="N4474" s="20" t="s">
        <v>2666</v>
      </c>
    </row>
    <row r="4475" spans="1:14" hidden="1" x14ac:dyDescent="0.25">
      <c r="A4475" s="19">
        <v>45992</v>
      </c>
      <c r="B4475" s="20" t="s">
        <v>35</v>
      </c>
      <c r="C4475" s="20">
        <v>18</v>
      </c>
      <c r="D4475" s="20" t="s">
        <v>291</v>
      </c>
      <c r="E4475" s="20" t="s">
        <v>2361</v>
      </c>
      <c r="F4475" s="20" t="s">
        <v>240</v>
      </c>
      <c r="G4475" s="20" t="s">
        <v>82</v>
      </c>
      <c r="H4475" s="20" t="s">
        <v>84</v>
      </c>
      <c r="I4475" s="20" t="s">
        <v>319</v>
      </c>
      <c r="J4475" s="20" t="s">
        <v>204</v>
      </c>
      <c r="K4475" s="20" t="s">
        <v>250</v>
      </c>
      <c r="L4475" s="20"/>
      <c r="M4475" s="20" t="s">
        <v>251</v>
      </c>
      <c r="N4475" s="20" t="s">
        <v>320</v>
      </c>
    </row>
    <row r="4476" spans="1:14" hidden="1" x14ac:dyDescent="0.25">
      <c r="A4476" s="19">
        <v>45992</v>
      </c>
      <c r="B4476" s="20" t="s">
        <v>35</v>
      </c>
      <c r="C4476" s="20">
        <v>18</v>
      </c>
      <c r="D4476" s="20" t="s">
        <v>291</v>
      </c>
      <c r="E4476" s="20" t="s">
        <v>2361</v>
      </c>
      <c r="F4476" s="20" t="s">
        <v>240</v>
      </c>
      <c r="G4476" s="20" t="s">
        <v>82</v>
      </c>
      <c r="H4476" s="20" t="s">
        <v>84</v>
      </c>
      <c r="I4476" s="20" t="s">
        <v>321</v>
      </c>
      <c r="J4476" s="20" t="s">
        <v>204</v>
      </c>
      <c r="K4476" s="20" t="s">
        <v>250</v>
      </c>
      <c r="L4476" s="20"/>
      <c r="M4476" s="20" t="s">
        <v>251</v>
      </c>
      <c r="N4476" s="20" t="s">
        <v>322</v>
      </c>
    </row>
    <row r="4477" spans="1:14" hidden="1" x14ac:dyDescent="0.25">
      <c r="A4477" s="19">
        <v>45992</v>
      </c>
      <c r="B4477" s="20" t="s">
        <v>35</v>
      </c>
      <c r="C4477" s="20">
        <v>19</v>
      </c>
      <c r="D4477" s="20" t="s">
        <v>253</v>
      </c>
      <c r="E4477" s="20" t="s">
        <v>2359</v>
      </c>
      <c r="F4477" s="20" t="s">
        <v>244</v>
      </c>
      <c r="G4477" s="20" t="s">
        <v>82</v>
      </c>
      <c r="H4477" s="20"/>
      <c r="I4477" s="20"/>
      <c r="J4477" s="20" t="s">
        <v>202</v>
      </c>
      <c r="K4477" s="20" t="s">
        <v>255</v>
      </c>
      <c r="L4477" s="20">
        <v>1860000000</v>
      </c>
      <c r="M4477" s="20" t="s">
        <v>245</v>
      </c>
      <c r="N4477" s="20" t="s">
        <v>2204</v>
      </c>
    </row>
    <row r="4478" spans="1:14" hidden="1" x14ac:dyDescent="0.25">
      <c r="A4478" s="19">
        <v>45992</v>
      </c>
      <c r="B4478" s="20" t="s">
        <v>35</v>
      </c>
      <c r="C4478" s="20">
        <v>19</v>
      </c>
      <c r="D4478" s="20" t="s">
        <v>253</v>
      </c>
      <c r="E4478" s="20" t="s">
        <v>2359</v>
      </c>
      <c r="F4478" s="20" t="s">
        <v>244</v>
      </c>
      <c r="G4478" s="20" t="s">
        <v>82</v>
      </c>
      <c r="H4478" s="20"/>
      <c r="I4478" s="20"/>
      <c r="J4478" s="20" t="s">
        <v>203</v>
      </c>
      <c r="K4478" s="20" t="s">
        <v>255</v>
      </c>
      <c r="L4478" s="20">
        <v>1730000000</v>
      </c>
      <c r="M4478" s="20" t="s">
        <v>245</v>
      </c>
      <c r="N4478" s="20" t="s">
        <v>2908</v>
      </c>
    </row>
    <row r="4479" spans="1:14" hidden="1" x14ac:dyDescent="0.25">
      <c r="A4479" s="19">
        <v>45992</v>
      </c>
      <c r="B4479" s="20" t="s">
        <v>35</v>
      </c>
      <c r="C4479" s="20">
        <v>19</v>
      </c>
      <c r="D4479" s="20" t="s">
        <v>253</v>
      </c>
      <c r="E4479" s="20" t="s">
        <v>2359</v>
      </c>
      <c r="F4479" s="20" t="s">
        <v>244</v>
      </c>
      <c r="G4479" s="20" t="s">
        <v>82</v>
      </c>
      <c r="H4479" s="20"/>
      <c r="I4479" s="20"/>
      <c r="J4479" s="20" t="s">
        <v>204</v>
      </c>
      <c r="K4479" s="20" t="s">
        <v>255</v>
      </c>
      <c r="L4479" s="20">
        <v>1880000000</v>
      </c>
      <c r="M4479" s="20" t="s">
        <v>245</v>
      </c>
      <c r="N4479" s="20" t="s">
        <v>2596</v>
      </c>
    </row>
    <row r="4480" spans="1:14" hidden="1" x14ac:dyDescent="0.25">
      <c r="A4480" s="19">
        <v>45992</v>
      </c>
      <c r="B4480" s="20" t="s">
        <v>35</v>
      </c>
      <c r="C4480" s="20">
        <v>19</v>
      </c>
      <c r="D4480" s="20" t="s">
        <v>247</v>
      </c>
      <c r="E4480" s="20" t="s">
        <v>2554</v>
      </c>
      <c r="F4480" s="20" t="s">
        <v>2557</v>
      </c>
      <c r="G4480" s="20" t="s">
        <v>82</v>
      </c>
      <c r="H4480" s="20" t="s">
        <v>286</v>
      </c>
      <c r="I4480" s="20"/>
      <c r="J4480" s="20" t="s">
        <v>204</v>
      </c>
      <c r="K4480" s="20" t="s">
        <v>250</v>
      </c>
      <c r="L4480" s="20">
        <v>8.8000000000000007</v>
      </c>
      <c r="M4480" s="20" t="s">
        <v>251</v>
      </c>
      <c r="N4480" s="20" t="s">
        <v>1766</v>
      </c>
    </row>
    <row r="4481" spans="1:14" hidden="1" x14ac:dyDescent="0.25">
      <c r="A4481" s="19">
        <v>45992</v>
      </c>
      <c r="B4481" s="20" t="s">
        <v>35</v>
      </c>
      <c r="C4481" s="20">
        <v>20</v>
      </c>
      <c r="D4481" s="20" t="s">
        <v>291</v>
      </c>
      <c r="E4481" s="20" t="s">
        <v>2361</v>
      </c>
      <c r="F4481" s="20" t="s">
        <v>244</v>
      </c>
      <c r="G4481" s="20" t="s">
        <v>82</v>
      </c>
      <c r="H4481" s="20" t="s">
        <v>83</v>
      </c>
      <c r="I4481" s="20"/>
      <c r="J4481" s="20" t="s">
        <v>204</v>
      </c>
      <c r="K4481" s="20" t="s">
        <v>250</v>
      </c>
      <c r="L4481" s="20">
        <v>1380000000</v>
      </c>
      <c r="M4481" s="20" t="s">
        <v>245</v>
      </c>
      <c r="N4481" s="20" t="s">
        <v>3068</v>
      </c>
    </row>
    <row r="4482" spans="1:14" hidden="1" x14ac:dyDescent="0.25">
      <c r="A4482" s="19">
        <v>45992</v>
      </c>
      <c r="B4482" s="20" t="s">
        <v>35</v>
      </c>
      <c r="C4482" s="20">
        <v>20</v>
      </c>
      <c r="D4482" s="20" t="s">
        <v>291</v>
      </c>
      <c r="E4482" s="20" t="s">
        <v>2361</v>
      </c>
      <c r="F4482" s="20" t="s">
        <v>244</v>
      </c>
      <c r="G4482" s="20" t="s">
        <v>82</v>
      </c>
      <c r="H4482" s="20" t="s">
        <v>84</v>
      </c>
      <c r="I4482" s="20"/>
      <c r="J4482" s="20" t="s">
        <v>204</v>
      </c>
      <c r="K4482" s="20" t="s">
        <v>250</v>
      </c>
      <c r="L4482" s="20">
        <v>498500000</v>
      </c>
      <c r="M4482" s="20" t="s">
        <v>245</v>
      </c>
      <c r="N4482" s="20" t="s">
        <v>3069</v>
      </c>
    </row>
    <row r="4483" spans="1:14" hidden="1" x14ac:dyDescent="0.25">
      <c r="A4483" s="19">
        <v>45992</v>
      </c>
      <c r="B4483" s="20" t="s">
        <v>35</v>
      </c>
      <c r="C4483" s="20">
        <v>21</v>
      </c>
      <c r="D4483" s="20" t="s">
        <v>291</v>
      </c>
      <c r="E4483" s="20" t="s">
        <v>2361</v>
      </c>
      <c r="F4483" s="20" t="s">
        <v>244</v>
      </c>
      <c r="G4483" s="20" t="s">
        <v>82</v>
      </c>
      <c r="H4483" s="20" t="s">
        <v>83</v>
      </c>
      <c r="I4483" s="20" t="s">
        <v>315</v>
      </c>
      <c r="J4483" s="20" t="s">
        <v>204</v>
      </c>
      <c r="K4483" s="20" t="s">
        <v>250</v>
      </c>
      <c r="L4483" s="20"/>
      <c r="M4483" s="20" t="s">
        <v>251</v>
      </c>
      <c r="N4483" s="20" t="s">
        <v>3070</v>
      </c>
    </row>
    <row r="4484" spans="1:14" hidden="1" x14ac:dyDescent="0.25">
      <c r="A4484" s="19">
        <v>45992</v>
      </c>
      <c r="B4484" s="20" t="s">
        <v>35</v>
      </c>
      <c r="C4484" s="20">
        <v>21</v>
      </c>
      <c r="D4484" s="20" t="s">
        <v>291</v>
      </c>
      <c r="E4484" s="20" t="s">
        <v>2361</v>
      </c>
      <c r="F4484" s="20" t="s">
        <v>244</v>
      </c>
      <c r="G4484" s="20" t="s">
        <v>82</v>
      </c>
      <c r="H4484" s="20" t="s">
        <v>83</v>
      </c>
      <c r="I4484" s="20" t="s">
        <v>317</v>
      </c>
      <c r="J4484" s="20" t="s">
        <v>204</v>
      </c>
      <c r="K4484" s="20" t="s">
        <v>250</v>
      </c>
      <c r="L4484" s="20"/>
      <c r="M4484" s="20" t="s">
        <v>251</v>
      </c>
      <c r="N4484" s="20" t="s">
        <v>3071</v>
      </c>
    </row>
    <row r="4485" spans="1:14" hidden="1" x14ac:dyDescent="0.25">
      <c r="A4485" s="19">
        <v>45992</v>
      </c>
      <c r="B4485" s="20" t="s">
        <v>35</v>
      </c>
      <c r="C4485" s="20">
        <v>21</v>
      </c>
      <c r="D4485" s="20" t="s">
        <v>291</v>
      </c>
      <c r="E4485" s="20" t="s">
        <v>2361</v>
      </c>
      <c r="F4485" s="20" t="s">
        <v>244</v>
      </c>
      <c r="G4485" s="20" t="s">
        <v>82</v>
      </c>
      <c r="H4485" s="20" t="s">
        <v>83</v>
      </c>
      <c r="I4485" s="20" t="s">
        <v>313</v>
      </c>
      <c r="J4485" s="20" t="s">
        <v>204</v>
      </c>
      <c r="K4485" s="20" t="s">
        <v>250</v>
      </c>
      <c r="L4485" s="20"/>
      <c r="M4485" s="20" t="s">
        <v>251</v>
      </c>
      <c r="N4485" s="20" t="s">
        <v>1145</v>
      </c>
    </row>
    <row r="4486" spans="1:14" hidden="1" x14ac:dyDescent="0.25">
      <c r="A4486" s="19">
        <v>45992</v>
      </c>
      <c r="B4486" s="20" t="s">
        <v>35</v>
      </c>
      <c r="C4486" s="20">
        <v>21</v>
      </c>
      <c r="D4486" s="20" t="s">
        <v>291</v>
      </c>
      <c r="E4486" s="20" t="s">
        <v>2361</v>
      </c>
      <c r="F4486" s="20" t="s">
        <v>244</v>
      </c>
      <c r="G4486" s="20" t="s">
        <v>82</v>
      </c>
      <c r="H4486" s="20" t="s">
        <v>84</v>
      </c>
      <c r="I4486" s="20" t="s">
        <v>2385</v>
      </c>
      <c r="J4486" s="20" t="s">
        <v>204</v>
      </c>
      <c r="K4486" s="20" t="s">
        <v>250</v>
      </c>
      <c r="L4486" s="20"/>
      <c r="M4486" s="20" t="s">
        <v>251</v>
      </c>
      <c r="N4486" s="20" t="s">
        <v>2913</v>
      </c>
    </row>
    <row r="4487" spans="1:14" hidden="1" x14ac:dyDescent="0.25">
      <c r="A4487" s="19">
        <v>45992</v>
      </c>
      <c r="B4487" s="20" t="s">
        <v>35</v>
      </c>
      <c r="C4487" s="20">
        <v>21</v>
      </c>
      <c r="D4487" s="20" t="s">
        <v>291</v>
      </c>
      <c r="E4487" s="20" t="s">
        <v>2361</v>
      </c>
      <c r="F4487" s="20" t="s">
        <v>244</v>
      </c>
      <c r="G4487" s="20" t="s">
        <v>82</v>
      </c>
      <c r="H4487" s="20" t="s">
        <v>84</v>
      </c>
      <c r="I4487" s="20" t="s">
        <v>321</v>
      </c>
      <c r="J4487" s="20" t="s">
        <v>204</v>
      </c>
      <c r="K4487" s="20" t="s">
        <v>250</v>
      </c>
      <c r="L4487" s="20"/>
      <c r="M4487" s="20" t="s">
        <v>251</v>
      </c>
      <c r="N4487" s="20" t="s">
        <v>2914</v>
      </c>
    </row>
    <row r="4488" spans="1:14" hidden="1" x14ac:dyDescent="0.25">
      <c r="A4488" s="19">
        <v>45992</v>
      </c>
      <c r="B4488" s="20" t="s">
        <v>35</v>
      </c>
      <c r="C4488" s="20">
        <v>22</v>
      </c>
      <c r="D4488" s="20" t="s">
        <v>253</v>
      </c>
      <c r="E4488" s="20" t="s">
        <v>2359</v>
      </c>
      <c r="F4488" s="20" t="s">
        <v>334</v>
      </c>
      <c r="G4488" s="20" t="s">
        <v>82</v>
      </c>
      <c r="H4488" s="20"/>
      <c r="I4488" s="20"/>
      <c r="J4488" s="20" t="s">
        <v>202</v>
      </c>
      <c r="K4488" s="20" t="s">
        <v>255</v>
      </c>
      <c r="L4488" s="20">
        <v>112</v>
      </c>
      <c r="M4488" s="20" t="s">
        <v>245</v>
      </c>
      <c r="N4488" s="20" t="s">
        <v>2762</v>
      </c>
    </row>
    <row r="4489" spans="1:14" hidden="1" x14ac:dyDescent="0.25">
      <c r="A4489" s="19">
        <v>45992</v>
      </c>
      <c r="B4489" s="20" t="s">
        <v>35</v>
      </c>
      <c r="C4489" s="20">
        <v>22</v>
      </c>
      <c r="D4489" s="20" t="s">
        <v>253</v>
      </c>
      <c r="E4489" s="20" t="s">
        <v>2359</v>
      </c>
      <c r="F4489" s="20" t="s">
        <v>334</v>
      </c>
      <c r="G4489" s="20" t="s">
        <v>82</v>
      </c>
      <c r="H4489" s="20"/>
      <c r="I4489" s="20"/>
      <c r="J4489" s="20" t="s">
        <v>203</v>
      </c>
      <c r="K4489" s="20" t="s">
        <v>255</v>
      </c>
      <c r="L4489" s="20">
        <v>106</v>
      </c>
      <c r="M4489" s="20" t="s">
        <v>245</v>
      </c>
      <c r="N4489" s="20" t="s">
        <v>2915</v>
      </c>
    </row>
    <row r="4490" spans="1:14" hidden="1" x14ac:dyDescent="0.25">
      <c r="A4490" s="19">
        <v>45992</v>
      </c>
      <c r="B4490" s="20" t="s">
        <v>35</v>
      </c>
      <c r="C4490" s="20">
        <v>22</v>
      </c>
      <c r="D4490" s="20" t="s">
        <v>253</v>
      </c>
      <c r="E4490" s="20" t="s">
        <v>2359</v>
      </c>
      <c r="F4490" s="20" t="s">
        <v>334</v>
      </c>
      <c r="G4490" s="20" t="s">
        <v>82</v>
      </c>
      <c r="H4490" s="20"/>
      <c r="I4490" s="20"/>
      <c r="J4490" s="20" t="s">
        <v>204</v>
      </c>
      <c r="K4490" s="20" t="s">
        <v>255</v>
      </c>
      <c r="L4490" s="20">
        <v>106</v>
      </c>
      <c r="M4490" s="20" t="s">
        <v>245</v>
      </c>
      <c r="N4490" s="20" t="s">
        <v>2915</v>
      </c>
    </row>
    <row r="4491" spans="1:14" hidden="1" x14ac:dyDescent="0.25">
      <c r="A4491" s="19">
        <v>45992</v>
      </c>
      <c r="B4491" s="20" t="s">
        <v>35</v>
      </c>
      <c r="C4491" s="20">
        <v>23</v>
      </c>
      <c r="D4491" s="20" t="s">
        <v>291</v>
      </c>
      <c r="E4491" s="20" t="s">
        <v>2361</v>
      </c>
      <c r="F4491" s="20" t="s">
        <v>428</v>
      </c>
      <c r="G4491" s="20" t="s">
        <v>82</v>
      </c>
      <c r="H4491" s="20" t="s">
        <v>95</v>
      </c>
      <c r="I4491" s="20"/>
      <c r="J4491" s="20" t="s">
        <v>204</v>
      </c>
      <c r="K4491" s="20" t="s">
        <v>250</v>
      </c>
      <c r="L4491" s="20">
        <v>2700000</v>
      </c>
      <c r="M4491" s="20" t="s">
        <v>242</v>
      </c>
      <c r="N4491" s="20" t="s">
        <v>2202</v>
      </c>
    </row>
    <row r="4492" spans="1:14" hidden="1" x14ac:dyDescent="0.25">
      <c r="A4492" s="19">
        <v>45992</v>
      </c>
      <c r="B4492" s="20" t="s">
        <v>35</v>
      </c>
      <c r="C4492" s="20">
        <v>23</v>
      </c>
      <c r="D4492" s="20" t="s">
        <v>291</v>
      </c>
      <c r="E4492" s="20" t="s">
        <v>2361</v>
      </c>
      <c r="F4492" s="20" t="s">
        <v>428</v>
      </c>
      <c r="G4492" s="20" t="s">
        <v>82</v>
      </c>
      <c r="H4492" s="20" t="s">
        <v>94</v>
      </c>
      <c r="I4492" s="20"/>
      <c r="J4492" s="20" t="s">
        <v>204</v>
      </c>
      <c r="K4492" s="20" t="s">
        <v>250</v>
      </c>
      <c r="L4492" s="20">
        <v>7260000</v>
      </c>
      <c r="M4492" s="20" t="s">
        <v>242</v>
      </c>
      <c r="N4492" s="20" t="s">
        <v>3072</v>
      </c>
    </row>
    <row r="4493" spans="1:14" hidden="1" x14ac:dyDescent="0.25">
      <c r="A4493" s="19">
        <v>45992</v>
      </c>
      <c r="B4493" s="20" t="s">
        <v>35</v>
      </c>
      <c r="C4493" s="20">
        <v>24</v>
      </c>
      <c r="D4493" s="20" t="s">
        <v>291</v>
      </c>
      <c r="E4493" s="20" t="s">
        <v>2361</v>
      </c>
      <c r="F4493" s="20" t="s">
        <v>445</v>
      </c>
      <c r="G4493" s="20" t="s">
        <v>82</v>
      </c>
      <c r="H4493" s="20" t="s">
        <v>95</v>
      </c>
      <c r="I4493" s="20"/>
      <c r="J4493" s="20" t="s">
        <v>204</v>
      </c>
      <c r="K4493" s="20" t="s">
        <v>250</v>
      </c>
      <c r="L4493" s="20">
        <v>255800000</v>
      </c>
      <c r="M4493" s="20" t="s">
        <v>245</v>
      </c>
      <c r="N4493" s="20" t="s">
        <v>3073</v>
      </c>
    </row>
    <row r="4494" spans="1:14" hidden="1" x14ac:dyDescent="0.25">
      <c r="A4494" s="19">
        <v>45992</v>
      </c>
      <c r="B4494" s="20" t="s">
        <v>35</v>
      </c>
      <c r="C4494" s="20">
        <v>24</v>
      </c>
      <c r="D4494" s="20" t="s">
        <v>291</v>
      </c>
      <c r="E4494" s="20" t="s">
        <v>2361</v>
      </c>
      <c r="F4494" s="20" t="s">
        <v>445</v>
      </c>
      <c r="G4494" s="20" t="s">
        <v>82</v>
      </c>
      <c r="H4494" s="20" t="s">
        <v>94</v>
      </c>
      <c r="I4494" s="20"/>
      <c r="J4494" s="20" t="s">
        <v>204</v>
      </c>
      <c r="K4494" s="20" t="s">
        <v>250</v>
      </c>
      <c r="L4494" s="20">
        <v>928200000</v>
      </c>
      <c r="M4494" s="20" t="s">
        <v>245</v>
      </c>
      <c r="N4494" s="20" t="s">
        <v>3074</v>
      </c>
    </row>
    <row r="4495" spans="1:14" hidden="1" x14ac:dyDescent="0.25">
      <c r="A4495" s="19">
        <v>45992</v>
      </c>
      <c r="B4495" s="20" t="s">
        <v>97</v>
      </c>
      <c r="C4495" s="20">
        <v>26</v>
      </c>
      <c r="D4495" s="20" t="s">
        <v>238</v>
      </c>
      <c r="E4495" s="20" t="s">
        <v>2341</v>
      </c>
      <c r="F4495" s="20" t="s">
        <v>240</v>
      </c>
      <c r="G4495" s="20" t="s">
        <v>82</v>
      </c>
      <c r="H4495" s="20"/>
      <c r="I4495" s="20"/>
      <c r="J4495" s="20" t="s">
        <v>3052</v>
      </c>
      <c r="K4495" s="20" t="s">
        <v>241</v>
      </c>
      <c r="L4495" s="20">
        <v>102040000</v>
      </c>
      <c r="M4495" s="20" t="s">
        <v>242</v>
      </c>
      <c r="N4495" s="20" t="s">
        <v>3075</v>
      </c>
    </row>
    <row r="4496" spans="1:14" hidden="1" x14ac:dyDescent="0.25">
      <c r="A4496" s="19">
        <v>45992</v>
      </c>
      <c r="B4496" s="20" t="s">
        <v>97</v>
      </c>
      <c r="C4496" s="20">
        <v>26</v>
      </c>
      <c r="D4496" s="20" t="s">
        <v>238</v>
      </c>
      <c r="E4496" s="20" t="s">
        <v>2341</v>
      </c>
      <c r="F4496" s="20" t="s">
        <v>244</v>
      </c>
      <c r="G4496" s="20" t="s">
        <v>82</v>
      </c>
      <c r="H4496" s="20"/>
      <c r="I4496" s="20"/>
      <c r="J4496" s="20" t="s">
        <v>3052</v>
      </c>
      <c r="K4496" s="20" t="s">
        <v>241</v>
      </c>
      <c r="L4496" s="20">
        <v>6340000000</v>
      </c>
      <c r="M4496" s="20" t="s">
        <v>245</v>
      </c>
      <c r="N4496" s="20" t="s">
        <v>3076</v>
      </c>
    </row>
    <row r="4497" spans="1:14" hidden="1" x14ac:dyDescent="0.25">
      <c r="A4497" s="19">
        <v>45992</v>
      </c>
      <c r="B4497" s="20" t="s">
        <v>97</v>
      </c>
      <c r="C4497" s="20">
        <v>27</v>
      </c>
      <c r="D4497" s="20" t="s">
        <v>253</v>
      </c>
      <c r="E4497" s="20" t="s">
        <v>2359</v>
      </c>
      <c r="F4497" s="20" t="s">
        <v>285</v>
      </c>
      <c r="G4497" s="20" t="s">
        <v>63</v>
      </c>
      <c r="H4497" s="20"/>
      <c r="I4497" s="20"/>
      <c r="J4497" s="20" t="s">
        <v>202</v>
      </c>
      <c r="K4497" s="20" t="s">
        <v>255</v>
      </c>
      <c r="L4497" s="20">
        <v>2740000</v>
      </c>
      <c r="M4497" s="20" t="s">
        <v>242</v>
      </c>
      <c r="N4497" s="20" t="s">
        <v>2767</v>
      </c>
    </row>
    <row r="4498" spans="1:14" hidden="1" x14ac:dyDescent="0.25">
      <c r="A4498" s="19">
        <v>45992</v>
      </c>
      <c r="B4498" s="20" t="s">
        <v>97</v>
      </c>
      <c r="C4498" s="20">
        <v>27</v>
      </c>
      <c r="D4498" s="20" t="s">
        <v>253</v>
      </c>
      <c r="E4498" s="20" t="s">
        <v>2359</v>
      </c>
      <c r="F4498" s="20" t="s">
        <v>285</v>
      </c>
      <c r="G4498" s="20" t="s">
        <v>63</v>
      </c>
      <c r="H4498" s="20"/>
      <c r="I4498" s="20"/>
      <c r="J4498" s="20" t="s">
        <v>203</v>
      </c>
      <c r="K4498" s="20" t="s">
        <v>255</v>
      </c>
      <c r="L4498" s="20">
        <v>2780000</v>
      </c>
      <c r="M4498" s="20" t="s">
        <v>242</v>
      </c>
      <c r="N4498" s="20" t="s">
        <v>2921</v>
      </c>
    </row>
    <row r="4499" spans="1:14" hidden="1" x14ac:dyDescent="0.25">
      <c r="A4499" s="19">
        <v>45992</v>
      </c>
      <c r="B4499" s="20" t="s">
        <v>97</v>
      </c>
      <c r="C4499" s="20">
        <v>27</v>
      </c>
      <c r="D4499" s="20" t="s">
        <v>253</v>
      </c>
      <c r="E4499" s="20" t="s">
        <v>2359</v>
      </c>
      <c r="F4499" s="20" t="s">
        <v>285</v>
      </c>
      <c r="G4499" s="20" t="s">
        <v>63</v>
      </c>
      <c r="H4499" s="20"/>
      <c r="I4499" s="20"/>
      <c r="J4499" s="20" t="s">
        <v>204</v>
      </c>
      <c r="K4499" s="20" t="s">
        <v>255</v>
      </c>
      <c r="L4499" s="20">
        <v>2810000</v>
      </c>
      <c r="M4499" s="20" t="s">
        <v>242</v>
      </c>
      <c r="N4499" s="20" t="s">
        <v>3077</v>
      </c>
    </row>
    <row r="4500" spans="1:14" hidden="1" x14ac:dyDescent="0.25">
      <c r="A4500" s="19">
        <v>45992</v>
      </c>
      <c r="B4500" s="20" t="s">
        <v>97</v>
      </c>
      <c r="C4500" s="20">
        <v>27</v>
      </c>
      <c r="D4500" s="20" t="s">
        <v>247</v>
      </c>
      <c r="E4500" s="20" t="s">
        <v>2554</v>
      </c>
      <c r="F4500" s="20" t="s">
        <v>2555</v>
      </c>
      <c r="G4500" s="20" t="s">
        <v>63</v>
      </c>
      <c r="H4500" s="20" t="s">
        <v>286</v>
      </c>
      <c r="I4500" s="20"/>
      <c r="J4500" s="20" t="s">
        <v>204</v>
      </c>
      <c r="K4500" s="20" t="s">
        <v>250</v>
      </c>
      <c r="L4500" s="20">
        <v>1.3</v>
      </c>
      <c r="M4500" s="20" t="s">
        <v>251</v>
      </c>
      <c r="N4500" s="20" t="s">
        <v>1230</v>
      </c>
    </row>
    <row r="4501" spans="1:14" hidden="1" x14ac:dyDescent="0.25">
      <c r="A4501" s="19">
        <v>45992</v>
      </c>
      <c r="B4501" s="20" t="s">
        <v>97</v>
      </c>
      <c r="C4501" s="20">
        <v>28</v>
      </c>
      <c r="D4501" s="20" t="s">
        <v>291</v>
      </c>
      <c r="E4501" s="20" t="s">
        <v>2361</v>
      </c>
      <c r="F4501" s="20" t="s">
        <v>2362</v>
      </c>
      <c r="G4501" s="20" t="s">
        <v>63</v>
      </c>
      <c r="H4501" s="20" t="s">
        <v>64</v>
      </c>
      <c r="I4501" s="20"/>
      <c r="J4501" s="20" t="s">
        <v>204</v>
      </c>
      <c r="K4501" s="20" t="s">
        <v>250</v>
      </c>
      <c r="L4501" s="20">
        <v>2470000</v>
      </c>
      <c r="M4501" s="20" t="s">
        <v>242</v>
      </c>
      <c r="N4501" s="20" t="s">
        <v>3078</v>
      </c>
    </row>
    <row r="4502" spans="1:14" hidden="1" x14ac:dyDescent="0.25">
      <c r="A4502" s="19">
        <v>45992</v>
      </c>
      <c r="B4502" s="20" t="s">
        <v>97</v>
      </c>
      <c r="C4502" s="20">
        <v>28</v>
      </c>
      <c r="D4502" s="20" t="s">
        <v>291</v>
      </c>
      <c r="E4502" s="20" t="s">
        <v>2361</v>
      </c>
      <c r="F4502" s="20" t="s">
        <v>2362</v>
      </c>
      <c r="G4502" s="20" t="s">
        <v>63</v>
      </c>
      <c r="H4502" s="20" t="s">
        <v>65</v>
      </c>
      <c r="I4502" s="20"/>
      <c r="J4502" s="20" t="s">
        <v>204</v>
      </c>
      <c r="K4502" s="20" t="s">
        <v>250</v>
      </c>
      <c r="L4502" s="20">
        <v>344200</v>
      </c>
      <c r="M4502" s="20" t="s">
        <v>242</v>
      </c>
      <c r="N4502" s="20" t="s">
        <v>3079</v>
      </c>
    </row>
    <row r="4503" spans="1:14" hidden="1" x14ac:dyDescent="0.25">
      <c r="A4503" s="19">
        <v>45992</v>
      </c>
      <c r="B4503" s="20" t="s">
        <v>97</v>
      </c>
      <c r="C4503" s="20">
        <v>29</v>
      </c>
      <c r="D4503" s="20" t="s">
        <v>291</v>
      </c>
      <c r="E4503" s="20" t="s">
        <v>2361</v>
      </c>
      <c r="F4503" s="20" t="s">
        <v>2362</v>
      </c>
      <c r="G4503" s="20" t="s">
        <v>63</v>
      </c>
      <c r="H4503" s="20" t="s">
        <v>2364</v>
      </c>
      <c r="I4503" s="20"/>
      <c r="J4503" s="20" t="s">
        <v>204</v>
      </c>
      <c r="K4503" s="20" t="s">
        <v>250</v>
      </c>
      <c r="L4503" s="20">
        <v>1490000</v>
      </c>
      <c r="M4503" s="20" t="s">
        <v>242</v>
      </c>
      <c r="N4503" s="20" t="s">
        <v>436</v>
      </c>
    </row>
    <row r="4504" spans="1:14" hidden="1" x14ac:dyDescent="0.25">
      <c r="A4504" s="19">
        <v>45992</v>
      </c>
      <c r="B4504" s="20" t="s">
        <v>97</v>
      </c>
      <c r="C4504" s="20">
        <v>29</v>
      </c>
      <c r="D4504" s="20" t="s">
        <v>291</v>
      </c>
      <c r="E4504" s="20" t="s">
        <v>2361</v>
      </c>
      <c r="F4504" s="20" t="s">
        <v>2362</v>
      </c>
      <c r="G4504" s="20" t="s">
        <v>63</v>
      </c>
      <c r="H4504" s="20" t="s">
        <v>2366</v>
      </c>
      <c r="I4504" s="20"/>
      <c r="J4504" s="20" t="s">
        <v>204</v>
      </c>
      <c r="K4504" s="20" t="s">
        <v>250</v>
      </c>
      <c r="L4504" s="20">
        <v>1320000</v>
      </c>
      <c r="M4504" s="20" t="s">
        <v>242</v>
      </c>
      <c r="N4504" s="20" t="s">
        <v>1779</v>
      </c>
    </row>
    <row r="4505" spans="1:14" hidden="1" x14ac:dyDescent="0.25">
      <c r="A4505" s="19">
        <v>45992</v>
      </c>
      <c r="B4505" s="20" t="s">
        <v>97</v>
      </c>
      <c r="C4505" s="20">
        <v>30</v>
      </c>
      <c r="D4505" s="20" t="s">
        <v>291</v>
      </c>
      <c r="E4505" s="20" t="s">
        <v>2361</v>
      </c>
      <c r="F4505" s="20" t="s">
        <v>285</v>
      </c>
      <c r="G4505" s="20" t="s">
        <v>63</v>
      </c>
      <c r="H4505" s="20" t="s">
        <v>77</v>
      </c>
      <c r="I4505" s="20"/>
      <c r="J4505" s="20" t="s">
        <v>204</v>
      </c>
      <c r="K4505" s="20" t="s">
        <v>250</v>
      </c>
      <c r="L4505" s="20">
        <v>1000</v>
      </c>
      <c r="M4505" s="20" t="s">
        <v>242</v>
      </c>
      <c r="N4505" s="20" t="s">
        <v>2394</v>
      </c>
    </row>
    <row r="4506" spans="1:14" hidden="1" x14ac:dyDescent="0.25">
      <c r="A4506" s="19">
        <v>45992</v>
      </c>
      <c r="B4506" s="20" t="s">
        <v>97</v>
      </c>
      <c r="C4506" s="20">
        <v>30</v>
      </c>
      <c r="D4506" s="20" t="s">
        <v>291</v>
      </c>
      <c r="E4506" s="20" t="s">
        <v>2361</v>
      </c>
      <c r="F4506" s="20" t="s">
        <v>285</v>
      </c>
      <c r="G4506" s="20" t="s">
        <v>63</v>
      </c>
      <c r="H4506" s="20" t="s">
        <v>70</v>
      </c>
      <c r="I4506" s="20"/>
      <c r="J4506" s="20" t="s">
        <v>204</v>
      </c>
      <c r="K4506" s="20" t="s">
        <v>250</v>
      </c>
      <c r="L4506" s="20">
        <v>1026000</v>
      </c>
      <c r="M4506" s="20" t="s">
        <v>242</v>
      </c>
      <c r="N4506" s="20" t="s">
        <v>3080</v>
      </c>
    </row>
    <row r="4507" spans="1:14" hidden="1" x14ac:dyDescent="0.25">
      <c r="A4507" s="19">
        <v>45992</v>
      </c>
      <c r="B4507" s="20" t="s">
        <v>97</v>
      </c>
      <c r="C4507" s="20">
        <v>30</v>
      </c>
      <c r="D4507" s="20" t="s">
        <v>291</v>
      </c>
      <c r="E4507" s="20" t="s">
        <v>2361</v>
      </c>
      <c r="F4507" s="20" t="s">
        <v>285</v>
      </c>
      <c r="G4507" s="20" t="s">
        <v>63</v>
      </c>
      <c r="H4507" s="20" t="s">
        <v>71</v>
      </c>
      <c r="I4507" s="20"/>
      <c r="J4507" s="20" t="s">
        <v>204</v>
      </c>
      <c r="K4507" s="20" t="s">
        <v>250</v>
      </c>
      <c r="L4507" s="20">
        <v>720000</v>
      </c>
      <c r="M4507" s="20" t="s">
        <v>242</v>
      </c>
      <c r="N4507" s="20" t="s">
        <v>3081</v>
      </c>
    </row>
    <row r="4508" spans="1:14" hidden="1" x14ac:dyDescent="0.25">
      <c r="A4508" s="19">
        <v>45992</v>
      </c>
      <c r="B4508" s="20" t="s">
        <v>97</v>
      </c>
      <c r="C4508" s="20">
        <v>30</v>
      </c>
      <c r="D4508" s="20" t="s">
        <v>291</v>
      </c>
      <c r="E4508" s="20" t="s">
        <v>2361</v>
      </c>
      <c r="F4508" s="20" t="s">
        <v>285</v>
      </c>
      <c r="G4508" s="20" t="s">
        <v>63</v>
      </c>
      <c r="H4508" s="20" t="s">
        <v>72</v>
      </c>
      <c r="I4508" s="20"/>
      <c r="J4508" s="20" t="s">
        <v>204</v>
      </c>
      <c r="K4508" s="20" t="s">
        <v>250</v>
      </c>
      <c r="L4508" s="20">
        <v>540000</v>
      </c>
      <c r="M4508" s="20" t="s">
        <v>242</v>
      </c>
      <c r="N4508" s="20" t="s">
        <v>3082</v>
      </c>
    </row>
    <row r="4509" spans="1:14" hidden="1" x14ac:dyDescent="0.25">
      <c r="A4509" s="19">
        <v>45992</v>
      </c>
      <c r="B4509" s="20" t="s">
        <v>97</v>
      </c>
      <c r="C4509" s="20">
        <v>30</v>
      </c>
      <c r="D4509" s="20" t="s">
        <v>291</v>
      </c>
      <c r="E4509" s="20" t="s">
        <v>2361</v>
      </c>
      <c r="F4509" s="20" t="s">
        <v>285</v>
      </c>
      <c r="G4509" s="20" t="s">
        <v>63</v>
      </c>
      <c r="H4509" s="20" t="s">
        <v>73</v>
      </c>
      <c r="I4509" s="20"/>
      <c r="J4509" s="20" t="s">
        <v>204</v>
      </c>
      <c r="K4509" s="20" t="s">
        <v>250</v>
      </c>
      <c r="L4509" s="20">
        <v>339000</v>
      </c>
      <c r="M4509" s="20" t="s">
        <v>242</v>
      </c>
      <c r="N4509" s="20" t="s">
        <v>3083</v>
      </c>
    </row>
    <row r="4510" spans="1:14" hidden="1" x14ac:dyDescent="0.25">
      <c r="A4510" s="19">
        <v>45992</v>
      </c>
      <c r="B4510" s="20" t="s">
        <v>97</v>
      </c>
      <c r="C4510" s="20">
        <v>30</v>
      </c>
      <c r="D4510" s="20" t="s">
        <v>291</v>
      </c>
      <c r="E4510" s="20" t="s">
        <v>2361</v>
      </c>
      <c r="F4510" s="20" t="s">
        <v>285</v>
      </c>
      <c r="G4510" s="20" t="s">
        <v>63</v>
      </c>
      <c r="H4510" s="20" t="s">
        <v>74</v>
      </c>
      <c r="I4510" s="20"/>
      <c r="J4510" s="20" t="s">
        <v>204</v>
      </c>
      <c r="K4510" s="20" t="s">
        <v>250</v>
      </c>
      <c r="L4510" s="20">
        <v>129000</v>
      </c>
      <c r="M4510" s="20" t="s">
        <v>242</v>
      </c>
      <c r="N4510" s="20" t="s">
        <v>2927</v>
      </c>
    </row>
    <row r="4511" spans="1:14" hidden="1" x14ac:dyDescent="0.25">
      <c r="A4511" s="19">
        <v>45992</v>
      </c>
      <c r="B4511" s="20" t="s">
        <v>97</v>
      </c>
      <c r="C4511" s="20">
        <v>30</v>
      </c>
      <c r="D4511" s="20" t="s">
        <v>291</v>
      </c>
      <c r="E4511" s="20" t="s">
        <v>2361</v>
      </c>
      <c r="F4511" s="20" t="s">
        <v>285</v>
      </c>
      <c r="G4511" s="20" t="s">
        <v>63</v>
      </c>
      <c r="H4511" s="20" t="s">
        <v>75</v>
      </c>
      <c r="I4511" s="20"/>
      <c r="J4511" s="20" t="s">
        <v>204</v>
      </c>
      <c r="K4511" s="20" t="s">
        <v>250</v>
      </c>
      <c r="L4511" s="20">
        <v>38000</v>
      </c>
      <c r="M4511" s="20" t="s">
        <v>242</v>
      </c>
      <c r="N4511" s="20" t="s">
        <v>3084</v>
      </c>
    </row>
    <row r="4512" spans="1:14" hidden="1" x14ac:dyDescent="0.25">
      <c r="A4512" s="19">
        <v>45992</v>
      </c>
      <c r="B4512" s="20" t="s">
        <v>97</v>
      </c>
      <c r="C4512" s="20">
        <v>30</v>
      </c>
      <c r="D4512" s="20" t="s">
        <v>291</v>
      </c>
      <c r="E4512" s="20" t="s">
        <v>2361</v>
      </c>
      <c r="F4512" s="20" t="s">
        <v>285</v>
      </c>
      <c r="G4512" s="20" t="s">
        <v>63</v>
      </c>
      <c r="H4512" s="20" t="s">
        <v>76</v>
      </c>
      <c r="I4512" s="20"/>
      <c r="J4512" s="20" t="s">
        <v>204</v>
      </c>
      <c r="K4512" s="20" t="s">
        <v>250</v>
      </c>
      <c r="L4512" s="20">
        <v>13000</v>
      </c>
      <c r="M4512" s="20" t="s">
        <v>242</v>
      </c>
      <c r="N4512" s="20" t="s">
        <v>932</v>
      </c>
    </row>
    <row r="4513" spans="1:14" hidden="1" x14ac:dyDescent="0.25">
      <c r="A4513" s="19">
        <v>45992</v>
      </c>
      <c r="B4513" s="20" t="s">
        <v>97</v>
      </c>
      <c r="C4513" s="20">
        <v>31</v>
      </c>
      <c r="D4513" s="20" t="s">
        <v>291</v>
      </c>
      <c r="E4513" s="20" t="s">
        <v>2361</v>
      </c>
      <c r="F4513" s="20" t="s">
        <v>2400</v>
      </c>
      <c r="G4513" s="20" t="s">
        <v>99</v>
      </c>
      <c r="H4513" s="20" t="s">
        <v>103</v>
      </c>
      <c r="I4513" s="20"/>
      <c r="J4513" s="20" t="s">
        <v>204</v>
      </c>
      <c r="K4513" s="20" t="s">
        <v>250</v>
      </c>
      <c r="L4513" s="20">
        <v>2800000</v>
      </c>
      <c r="M4513" s="20" t="s">
        <v>242</v>
      </c>
      <c r="N4513" s="20" t="s">
        <v>2868</v>
      </c>
    </row>
    <row r="4514" spans="1:14" hidden="1" x14ac:dyDescent="0.25">
      <c r="A4514" s="19">
        <v>45992</v>
      </c>
      <c r="B4514" s="20" t="s">
        <v>97</v>
      </c>
      <c r="C4514" s="20">
        <v>31</v>
      </c>
      <c r="D4514" s="20" t="s">
        <v>291</v>
      </c>
      <c r="E4514" s="20" t="s">
        <v>2361</v>
      </c>
      <c r="F4514" s="20" t="s">
        <v>477</v>
      </c>
      <c r="G4514" s="20" t="s">
        <v>99</v>
      </c>
      <c r="H4514" s="20" t="s">
        <v>104</v>
      </c>
      <c r="I4514" s="20"/>
      <c r="J4514" s="20" t="s">
        <v>204</v>
      </c>
      <c r="K4514" s="20" t="s">
        <v>250</v>
      </c>
      <c r="L4514" s="20">
        <v>3716</v>
      </c>
      <c r="M4514" s="20" t="s">
        <v>242</v>
      </c>
      <c r="N4514" s="20" t="s">
        <v>3085</v>
      </c>
    </row>
    <row r="4515" spans="1:14" hidden="1" x14ac:dyDescent="0.25">
      <c r="A4515" s="19">
        <v>45992</v>
      </c>
      <c r="B4515" s="20" t="s">
        <v>97</v>
      </c>
      <c r="C4515" s="20">
        <v>31</v>
      </c>
      <c r="D4515" s="20" t="s">
        <v>291</v>
      </c>
      <c r="E4515" s="20" t="s">
        <v>2361</v>
      </c>
      <c r="F4515" s="20" t="s">
        <v>477</v>
      </c>
      <c r="G4515" s="20" t="s">
        <v>99</v>
      </c>
      <c r="H4515" s="20" t="s">
        <v>101</v>
      </c>
      <c r="I4515" s="20"/>
      <c r="J4515" s="20" t="s">
        <v>204</v>
      </c>
      <c r="K4515" s="20" t="s">
        <v>250</v>
      </c>
      <c r="L4515" s="20">
        <v>1511</v>
      </c>
      <c r="M4515" s="20" t="s">
        <v>242</v>
      </c>
      <c r="N4515" s="20" t="s">
        <v>3086</v>
      </c>
    </row>
    <row r="4516" spans="1:14" hidden="1" x14ac:dyDescent="0.25">
      <c r="A4516" s="19">
        <v>45992</v>
      </c>
      <c r="B4516" s="20" t="s">
        <v>97</v>
      </c>
      <c r="C4516" s="20">
        <v>31</v>
      </c>
      <c r="D4516" s="20" t="s">
        <v>291</v>
      </c>
      <c r="E4516" s="20" t="s">
        <v>2361</v>
      </c>
      <c r="F4516" s="20" t="s">
        <v>477</v>
      </c>
      <c r="G4516" s="20" t="s">
        <v>99</v>
      </c>
      <c r="H4516" s="20" t="s">
        <v>100</v>
      </c>
      <c r="I4516" s="20"/>
      <c r="J4516" s="20" t="s">
        <v>204</v>
      </c>
      <c r="K4516" s="20" t="s">
        <v>250</v>
      </c>
      <c r="L4516" s="20">
        <v>1045</v>
      </c>
      <c r="M4516" s="20" t="s">
        <v>242</v>
      </c>
      <c r="N4516" s="20" t="s">
        <v>3087</v>
      </c>
    </row>
    <row r="4517" spans="1:14" hidden="1" x14ac:dyDescent="0.25">
      <c r="A4517" s="19">
        <v>45992</v>
      </c>
      <c r="B4517" s="20" t="s">
        <v>97</v>
      </c>
      <c r="C4517" s="20">
        <v>31</v>
      </c>
      <c r="D4517" s="20" t="s">
        <v>291</v>
      </c>
      <c r="E4517" s="20" t="s">
        <v>2361</v>
      </c>
      <c r="F4517" s="20" t="s">
        <v>477</v>
      </c>
      <c r="G4517" s="20" t="s">
        <v>99</v>
      </c>
      <c r="H4517" s="20" t="s">
        <v>102</v>
      </c>
      <c r="I4517" s="20"/>
      <c r="J4517" s="20" t="s">
        <v>204</v>
      </c>
      <c r="K4517" s="20" t="s">
        <v>250</v>
      </c>
      <c r="L4517" s="20">
        <v>8</v>
      </c>
      <c r="M4517" s="20" t="s">
        <v>242</v>
      </c>
      <c r="N4517" s="20" t="s">
        <v>480</v>
      </c>
    </row>
    <row r="4518" spans="1:14" hidden="1" x14ac:dyDescent="0.25">
      <c r="A4518" s="19">
        <v>45992</v>
      </c>
      <c r="B4518" s="20" t="s">
        <v>97</v>
      </c>
      <c r="C4518" s="20">
        <v>32</v>
      </c>
      <c r="D4518" s="20" t="s">
        <v>253</v>
      </c>
      <c r="E4518" s="20" t="s">
        <v>2359</v>
      </c>
      <c r="F4518" s="20" t="s">
        <v>240</v>
      </c>
      <c r="G4518" s="20" t="s">
        <v>82</v>
      </c>
      <c r="H4518" s="20"/>
      <c r="I4518" s="20"/>
      <c r="J4518" s="20" t="s">
        <v>202</v>
      </c>
      <c r="K4518" s="20" t="s">
        <v>255</v>
      </c>
      <c r="L4518" s="20">
        <v>10130000</v>
      </c>
      <c r="M4518" s="20" t="s">
        <v>242</v>
      </c>
      <c r="N4518" s="20" t="s">
        <v>2778</v>
      </c>
    </row>
    <row r="4519" spans="1:14" hidden="1" x14ac:dyDescent="0.25">
      <c r="A4519" s="19">
        <v>45992</v>
      </c>
      <c r="B4519" s="20" t="s">
        <v>97</v>
      </c>
      <c r="C4519" s="20">
        <v>32</v>
      </c>
      <c r="D4519" s="20" t="s">
        <v>253</v>
      </c>
      <c r="E4519" s="20" t="s">
        <v>2359</v>
      </c>
      <c r="F4519" s="20" t="s">
        <v>240</v>
      </c>
      <c r="G4519" s="20" t="s">
        <v>82</v>
      </c>
      <c r="H4519" s="20"/>
      <c r="I4519" s="20"/>
      <c r="J4519" s="20" t="s">
        <v>203</v>
      </c>
      <c r="K4519" s="20" t="s">
        <v>255</v>
      </c>
      <c r="L4519" s="20">
        <v>10100000</v>
      </c>
      <c r="M4519" s="20" t="s">
        <v>242</v>
      </c>
      <c r="N4519" s="20" t="s">
        <v>2931</v>
      </c>
    </row>
    <row r="4520" spans="1:14" hidden="1" x14ac:dyDescent="0.25">
      <c r="A4520" s="19">
        <v>45992</v>
      </c>
      <c r="B4520" s="20" t="s">
        <v>97</v>
      </c>
      <c r="C4520" s="20">
        <v>32</v>
      </c>
      <c r="D4520" s="20" t="s">
        <v>253</v>
      </c>
      <c r="E4520" s="20" t="s">
        <v>2359</v>
      </c>
      <c r="F4520" s="20" t="s">
        <v>240</v>
      </c>
      <c r="G4520" s="20" t="s">
        <v>82</v>
      </c>
      <c r="H4520" s="20"/>
      <c r="I4520" s="20"/>
      <c r="J4520" s="20" t="s">
        <v>204</v>
      </c>
      <c r="K4520" s="20" t="s">
        <v>255</v>
      </c>
      <c r="L4520" s="20">
        <v>10930000</v>
      </c>
      <c r="M4520" s="20" t="s">
        <v>242</v>
      </c>
      <c r="N4520" s="20" t="s">
        <v>3088</v>
      </c>
    </row>
    <row r="4521" spans="1:14" hidden="1" x14ac:dyDescent="0.25">
      <c r="A4521" s="19">
        <v>45992</v>
      </c>
      <c r="B4521" s="20" t="s">
        <v>97</v>
      </c>
      <c r="C4521" s="20">
        <v>32</v>
      </c>
      <c r="D4521" s="20" t="s">
        <v>247</v>
      </c>
      <c r="E4521" s="20" t="s">
        <v>2554</v>
      </c>
      <c r="F4521" s="20" t="s">
        <v>2556</v>
      </c>
      <c r="G4521" s="20" t="s">
        <v>82</v>
      </c>
      <c r="H4521" s="20" t="s">
        <v>286</v>
      </c>
      <c r="I4521" s="20"/>
      <c r="J4521" s="20" t="s">
        <v>204</v>
      </c>
      <c r="K4521" s="20" t="s">
        <v>250</v>
      </c>
      <c r="L4521" s="20">
        <v>8.1999999999999993</v>
      </c>
      <c r="M4521" s="20" t="s">
        <v>251</v>
      </c>
      <c r="N4521" s="20" t="s">
        <v>649</v>
      </c>
    </row>
    <row r="4522" spans="1:14" hidden="1" x14ac:dyDescent="0.25">
      <c r="A4522" s="19">
        <v>45992</v>
      </c>
      <c r="B4522" s="20" t="s">
        <v>97</v>
      </c>
      <c r="C4522" s="20">
        <v>33</v>
      </c>
      <c r="D4522" s="20" t="s">
        <v>291</v>
      </c>
      <c r="E4522" s="20" t="s">
        <v>2361</v>
      </c>
      <c r="F4522" s="20" t="s">
        <v>240</v>
      </c>
      <c r="G4522" s="20" t="s">
        <v>82</v>
      </c>
      <c r="H4522" s="20" t="s">
        <v>83</v>
      </c>
      <c r="I4522" s="20"/>
      <c r="J4522" s="20" t="s">
        <v>204</v>
      </c>
      <c r="K4522" s="20" t="s">
        <v>250</v>
      </c>
      <c r="L4522" s="20">
        <v>9240000</v>
      </c>
      <c r="M4522" s="20" t="s">
        <v>242</v>
      </c>
      <c r="N4522" s="20" t="s">
        <v>3089</v>
      </c>
    </row>
    <row r="4523" spans="1:14" hidden="1" x14ac:dyDescent="0.25">
      <c r="A4523" s="19">
        <v>45992</v>
      </c>
      <c r="B4523" s="20" t="s">
        <v>97</v>
      </c>
      <c r="C4523" s="20">
        <v>33</v>
      </c>
      <c r="D4523" s="20" t="s">
        <v>291</v>
      </c>
      <c r="E4523" s="20" t="s">
        <v>2361</v>
      </c>
      <c r="F4523" s="20" t="s">
        <v>240</v>
      </c>
      <c r="G4523" s="20" t="s">
        <v>82</v>
      </c>
      <c r="H4523" s="20" t="s">
        <v>84</v>
      </c>
      <c r="I4523" s="20"/>
      <c r="J4523" s="20" t="s">
        <v>204</v>
      </c>
      <c r="K4523" s="20" t="s">
        <v>250</v>
      </c>
      <c r="L4523" s="20">
        <v>1590000</v>
      </c>
      <c r="M4523" s="20" t="s">
        <v>242</v>
      </c>
      <c r="N4523" s="20" t="s">
        <v>914</v>
      </c>
    </row>
    <row r="4524" spans="1:14" hidden="1" x14ac:dyDescent="0.25">
      <c r="A4524" s="19">
        <v>45992</v>
      </c>
      <c r="B4524" s="20" t="s">
        <v>97</v>
      </c>
      <c r="C4524" s="20">
        <v>33</v>
      </c>
      <c r="D4524" s="20" t="s">
        <v>291</v>
      </c>
      <c r="E4524" s="20" t="s">
        <v>2361</v>
      </c>
      <c r="F4524" s="20" t="s">
        <v>240</v>
      </c>
      <c r="G4524" s="20" t="s">
        <v>82</v>
      </c>
      <c r="H4524" s="20" t="s">
        <v>106</v>
      </c>
      <c r="I4524" s="20"/>
      <c r="J4524" s="20" t="s">
        <v>204</v>
      </c>
      <c r="K4524" s="20" t="s">
        <v>250</v>
      </c>
      <c r="L4524" s="20">
        <v>72390</v>
      </c>
      <c r="M4524" s="20" t="s">
        <v>242</v>
      </c>
      <c r="N4524" s="20" t="s">
        <v>3090</v>
      </c>
    </row>
    <row r="4525" spans="1:14" hidden="1" x14ac:dyDescent="0.25">
      <c r="A4525" s="19">
        <v>45992</v>
      </c>
      <c r="B4525" s="20" t="s">
        <v>97</v>
      </c>
      <c r="C4525" s="20">
        <v>33</v>
      </c>
      <c r="D4525" s="20" t="s">
        <v>291</v>
      </c>
      <c r="E4525" s="20" t="s">
        <v>2361</v>
      </c>
      <c r="F4525" s="20" t="s">
        <v>240</v>
      </c>
      <c r="G4525" s="20" t="s">
        <v>82</v>
      </c>
      <c r="H4525" s="20" t="s">
        <v>105</v>
      </c>
      <c r="I4525" s="20"/>
      <c r="J4525" s="20" t="s">
        <v>204</v>
      </c>
      <c r="K4525" s="20" t="s">
        <v>250</v>
      </c>
      <c r="L4525" s="20">
        <v>21300</v>
      </c>
      <c r="M4525" s="20" t="s">
        <v>242</v>
      </c>
      <c r="N4525" s="20" t="s">
        <v>2176</v>
      </c>
    </row>
    <row r="4526" spans="1:14" hidden="1" x14ac:dyDescent="0.25">
      <c r="A4526" s="19">
        <v>45992</v>
      </c>
      <c r="B4526" s="20" t="s">
        <v>97</v>
      </c>
      <c r="C4526" s="20">
        <v>34</v>
      </c>
      <c r="D4526" s="20" t="s">
        <v>291</v>
      </c>
      <c r="E4526" s="20" t="s">
        <v>2361</v>
      </c>
      <c r="F4526" s="20" t="s">
        <v>240</v>
      </c>
      <c r="G4526" s="20" t="s">
        <v>82</v>
      </c>
      <c r="H4526" s="20" t="s">
        <v>83</v>
      </c>
      <c r="I4526" s="20" t="s">
        <v>315</v>
      </c>
      <c r="J4526" s="20" t="s">
        <v>204</v>
      </c>
      <c r="K4526" s="20" t="s">
        <v>250</v>
      </c>
      <c r="L4526" s="20"/>
      <c r="M4526" s="20" t="s">
        <v>251</v>
      </c>
      <c r="N4526" s="20" t="s">
        <v>2935</v>
      </c>
    </row>
    <row r="4527" spans="1:14" hidden="1" x14ac:dyDescent="0.25">
      <c r="A4527" s="19">
        <v>45992</v>
      </c>
      <c r="B4527" s="20" t="s">
        <v>97</v>
      </c>
      <c r="C4527" s="20">
        <v>34</v>
      </c>
      <c r="D4527" s="20" t="s">
        <v>291</v>
      </c>
      <c r="E4527" s="20" t="s">
        <v>2361</v>
      </c>
      <c r="F4527" s="20" t="s">
        <v>240</v>
      </c>
      <c r="G4527" s="20" t="s">
        <v>82</v>
      </c>
      <c r="H4527" s="20" t="s">
        <v>83</v>
      </c>
      <c r="I4527" s="20" t="s">
        <v>317</v>
      </c>
      <c r="J4527" s="20" t="s">
        <v>204</v>
      </c>
      <c r="K4527" s="20" t="s">
        <v>250</v>
      </c>
      <c r="L4527" s="20"/>
      <c r="M4527" s="20" t="s">
        <v>251</v>
      </c>
      <c r="N4527" s="20" t="s">
        <v>3091</v>
      </c>
    </row>
    <row r="4528" spans="1:14" hidden="1" x14ac:dyDescent="0.25">
      <c r="A4528" s="19">
        <v>45992</v>
      </c>
      <c r="B4528" s="20" t="s">
        <v>97</v>
      </c>
      <c r="C4528" s="20">
        <v>34</v>
      </c>
      <c r="D4528" s="20" t="s">
        <v>291</v>
      </c>
      <c r="E4528" s="20" t="s">
        <v>2361</v>
      </c>
      <c r="F4528" s="20" t="s">
        <v>240</v>
      </c>
      <c r="G4528" s="20" t="s">
        <v>82</v>
      </c>
      <c r="H4528" s="20" t="s">
        <v>83</v>
      </c>
      <c r="I4528" s="20" t="s">
        <v>2785</v>
      </c>
      <c r="J4528" s="20" t="s">
        <v>204</v>
      </c>
      <c r="K4528" s="20" t="s">
        <v>250</v>
      </c>
      <c r="L4528" s="20"/>
      <c r="M4528" s="20" t="s">
        <v>251</v>
      </c>
      <c r="N4528" s="20" t="s">
        <v>3092</v>
      </c>
    </row>
    <row r="4529" spans="1:14" hidden="1" x14ac:dyDescent="0.25">
      <c r="A4529" s="19">
        <v>45992</v>
      </c>
      <c r="B4529" s="20" t="s">
        <v>97</v>
      </c>
      <c r="C4529" s="20">
        <v>34</v>
      </c>
      <c r="D4529" s="20" t="s">
        <v>291</v>
      </c>
      <c r="E4529" s="20" t="s">
        <v>2361</v>
      </c>
      <c r="F4529" s="20" t="s">
        <v>240</v>
      </c>
      <c r="G4529" s="20" t="s">
        <v>82</v>
      </c>
      <c r="H4529" s="20" t="s">
        <v>83</v>
      </c>
      <c r="I4529" s="20" t="s">
        <v>497</v>
      </c>
      <c r="J4529" s="20" t="s">
        <v>204</v>
      </c>
      <c r="K4529" s="20" t="s">
        <v>250</v>
      </c>
      <c r="L4529" s="20"/>
      <c r="M4529" s="20" t="s">
        <v>251</v>
      </c>
      <c r="N4529" s="20" t="s">
        <v>2315</v>
      </c>
    </row>
    <row r="4530" spans="1:14" hidden="1" x14ac:dyDescent="0.25">
      <c r="A4530" s="19">
        <v>45992</v>
      </c>
      <c r="B4530" s="20" t="s">
        <v>97</v>
      </c>
      <c r="C4530" s="20">
        <v>34</v>
      </c>
      <c r="D4530" s="20" t="s">
        <v>291</v>
      </c>
      <c r="E4530" s="20" t="s">
        <v>2361</v>
      </c>
      <c r="F4530" s="20" t="s">
        <v>240</v>
      </c>
      <c r="G4530" s="20" t="s">
        <v>82</v>
      </c>
      <c r="H4530" s="20" t="s">
        <v>83</v>
      </c>
      <c r="I4530" s="20" t="s">
        <v>503</v>
      </c>
      <c r="J4530" s="20" t="s">
        <v>204</v>
      </c>
      <c r="K4530" s="20" t="s">
        <v>250</v>
      </c>
      <c r="L4530" s="20"/>
      <c r="M4530" s="20" t="s">
        <v>251</v>
      </c>
      <c r="N4530" s="20" t="s">
        <v>3093</v>
      </c>
    </row>
    <row r="4531" spans="1:14" hidden="1" x14ac:dyDescent="0.25">
      <c r="A4531" s="19">
        <v>45992</v>
      </c>
      <c r="B4531" s="20" t="s">
        <v>97</v>
      </c>
      <c r="C4531" s="20">
        <v>34</v>
      </c>
      <c r="D4531" s="20" t="s">
        <v>291</v>
      </c>
      <c r="E4531" s="20" t="s">
        <v>2361</v>
      </c>
      <c r="F4531" s="20" t="s">
        <v>240</v>
      </c>
      <c r="G4531" s="20" t="s">
        <v>82</v>
      </c>
      <c r="H4531" s="20" t="s">
        <v>83</v>
      </c>
      <c r="I4531" s="20" t="s">
        <v>2413</v>
      </c>
      <c r="J4531" s="20" t="s">
        <v>204</v>
      </c>
      <c r="K4531" s="20" t="s">
        <v>250</v>
      </c>
      <c r="L4531" s="20"/>
      <c r="M4531" s="20" t="s">
        <v>251</v>
      </c>
      <c r="N4531" s="20" t="s">
        <v>2940</v>
      </c>
    </row>
    <row r="4532" spans="1:14" hidden="1" x14ac:dyDescent="0.25">
      <c r="A4532" s="19">
        <v>45992</v>
      </c>
      <c r="B4532" s="20" t="s">
        <v>97</v>
      </c>
      <c r="C4532" s="20">
        <v>34</v>
      </c>
      <c r="D4532" s="20" t="s">
        <v>291</v>
      </c>
      <c r="E4532" s="20" t="s">
        <v>2361</v>
      </c>
      <c r="F4532" s="20" t="s">
        <v>240</v>
      </c>
      <c r="G4532" s="20" t="s">
        <v>82</v>
      </c>
      <c r="H4532" s="20" t="s">
        <v>83</v>
      </c>
      <c r="I4532" s="20" t="s">
        <v>2414</v>
      </c>
      <c r="J4532" s="20" t="s">
        <v>204</v>
      </c>
      <c r="K4532" s="20" t="s">
        <v>250</v>
      </c>
      <c r="L4532" s="20"/>
      <c r="M4532" s="20" t="s">
        <v>251</v>
      </c>
      <c r="N4532" s="20" t="s">
        <v>975</v>
      </c>
    </row>
    <row r="4533" spans="1:14" hidden="1" x14ac:dyDescent="0.25">
      <c r="A4533" s="19">
        <v>45992</v>
      </c>
      <c r="B4533" s="20" t="s">
        <v>97</v>
      </c>
      <c r="C4533" s="20">
        <v>34</v>
      </c>
      <c r="D4533" s="20" t="s">
        <v>291</v>
      </c>
      <c r="E4533" s="20" t="s">
        <v>2361</v>
      </c>
      <c r="F4533" s="20" t="s">
        <v>240</v>
      </c>
      <c r="G4533" s="20" t="s">
        <v>82</v>
      </c>
      <c r="H4533" s="20" t="s">
        <v>84</v>
      </c>
      <c r="I4533" s="20" t="s">
        <v>319</v>
      </c>
      <c r="J4533" s="20" t="s">
        <v>204</v>
      </c>
      <c r="K4533" s="20" t="s">
        <v>250</v>
      </c>
      <c r="L4533" s="20"/>
      <c r="M4533" s="20" t="s">
        <v>251</v>
      </c>
      <c r="N4533" s="20" t="s">
        <v>3094</v>
      </c>
    </row>
    <row r="4534" spans="1:14" hidden="1" x14ac:dyDescent="0.25">
      <c r="A4534" s="19">
        <v>45992</v>
      </c>
      <c r="B4534" s="20" t="s">
        <v>97</v>
      </c>
      <c r="C4534" s="20">
        <v>34</v>
      </c>
      <c r="D4534" s="20" t="s">
        <v>291</v>
      </c>
      <c r="E4534" s="20" t="s">
        <v>2361</v>
      </c>
      <c r="F4534" s="20" t="s">
        <v>240</v>
      </c>
      <c r="G4534" s="20" t="s">
        <v>82</v>
      </c>
      <c r="H4534" s="20" t="s">
        <v>84</v>
      </c>
      <c r="I4534" s="20" t="s">
        <v>321</v>
      </c>
      <c r="J4534" s="20" t="s">
        <v>204</v>
      </c>
      <c r="K4534" s="20" t="s">
        <v>250</v>
      </c>
      <c r="L4534" s="20"/>
      <c r="M4534" s="20" t="s">
        <v>251</v>
      </c>
      <c r="N4534" s="20" t="s">
        <v>3095</v>
      </c>
    </row>
    <row r="4535" spans="1:14" hidden="1" x14ac:dyDescent="0.25">
      <c r="A4535" s="19">
        <v>45992</v>
      </c>
      <c r="B4535" s="20" t="s">
        <v>97</v>
      </c>
      <c r="C4535" s="20">
        <v>34</v>
      </c>
      <c r="D4535" s="20" t="s">
        <v>291</v>
      </c>
      <c r="E4535" s="20" t="s">
        <v>2361</v>
      </c>
      <c r="F4535" s="20" t="s">
        <v>240</v>
      </c>
      <c r="G4535" s="20" t="s">
        <v>82</v>
      </c>
      <c r="H4535" s="20" t="s">
        <v>106</v>
      </c>
      <c r="I4535" s="20" t="s">
        <v>493</v>
      </c>
      <c r="J4535" s="20" t="s">
        <v>204</v>
      </c>
      <c r="K4535" s="20" t="s">
        <v>250</v>
      </c>
      <c r="L4535" s="20"/>
      <c r="M4535" s="20" t="s">
        <v>251</v>
      </c>
      <c r="N4535" s="20" t="s">
        <v>3096</v>
      </c>
    </row>
    <row r="4536" spans="1:14" hidden="1" x14ac:dyDescent="0.25">
      <c r="A4536" s="19">
        <v>45992</v>
      </c>
      <c r="B4536" s="20" t="s">
        <v>97</v>
      </c>
      <c r="C4536" s="20">
        <v>34</v>
      </c>
      <c r="D4536" s="20" t="s">
        <v>291</v>
      </c>
      <c r="E4536" s="20" t="s">
        <v>2361</v>
      </c>
      <c r="F4536" s="20" t="s">
        <v>240</v>
      </c>
      <c r="G4536" s="20" t="s">
        <v>82</v>
      </c>
      <c r="H4536" s="20" t="s">
        <v>106</v>
      </c>
      <c r="I4536" s="20" t="s">
        <v>491</v>
      </c>
      <c r="J4536" s="20" t="s">
        <v>204</v>
      </c>
      <c r="K4536" s="20" t="s">
        <v>250</v>
      </c>
      <c r="L4536" s="20"/>
      <c r="M4536" s="20" t="s">
        <v>251</v>
      </c>
      <c r="N4536" s="20" t="s">
        <v>3097</v>
      </c>
    </row>
    <row r="4537" spans="1:14" hidden="1" x14ac:dyDescent="0.25">
      <c r="A4537" s="19">
        <v>45992</v>
      </c>
      <c r="B4537" s="20" t="s">
        <v>97</v>
      </c>
      <c r="C4537" s="20">
        <v>34</v>
      </c>
      <c r="D4537" s="20" t="s">
        <v>291</v>
      </c>
      <c r="E4537" s="20" t="s">
        <v>2361</v>
      </c>
      <c r="F4537" s="20" t="s">
        <v>240</v>
      </c>
      <c r="G4537" s="20" t="s">
        <v>82</v>
      </c>
      <c r="H4537" s="20" t="s">
        <v>105</v>
      </c>
      <c r="I4537" s="20" t="s">
        <v>493</v>
      </c>
      <c r="J4537" s="20" t="s">
        <v>204</v>
      </c>
      <c r="K4537" s="20" t="s">
        <v>250</v>
      </c>
      <c r="L4537" s="20"/>
      <c r="M4537" s="20" t="s">
        <v>251</v>
      </c>
      <c r="N4537" s="20" t="s">
        <v>2962</v>
      </c>
    </row>
    <row r="4538" spans="1:14" hidden="1" x14ac:dyDescent="0.25">
      <c r="A4538" s="19">
        <v>45992</v>
      </c>
      <c r="B4538" s="20" t="s">
        <v>97</v>
      </c>
      <c r="C4538" s="20">
        <v>34</v>
      </c>
      <c r="D4538" s="20" t="s">
        <v>291</v>
      </c>
      <c r="E4538" s="20" t="s">
        <v>2361</v>
      </c>
      <c r="F4538" s="20" t="s">
        <v>240</v>
      </c>
      <c r="G4538" s="20" t="s">
        <v>82</v>
      </c>
      <c r="H4538" s="20" t="s">
        <v>105</v>
      </c>
      <c r="I4538" s="20" t="s">
        <v>491</v>
      </c>
      <c r="J4538" s="20" t="s">
        <v>204</v>
      </c>
      <c r="K4538" s="20" t="s">
        <v>250</v>
      </c>
      <c r="L4538" s="20"/>
      <c r="M4538" s="20" t="s">
        <v>251</v>
      </c>
      <c r="N4538" s="20" t="s">
        <v>2963</v>
      </c>
    </row>
    <row r="4539" spans="1:14" hidden="1" x14ac:dyDescent="0.25">
      <c r="A4539" s="19">
        <v>45992</v>
      </c>
      <c r="B4539" s="20" t="s">
        <v>97</v>
      </c>
      <c r="C4539" s="20">
        <v>35</v>
      </c>
      <c r="D4539" s="20" t="s">
        <v>253</v>
      </c>
      <c r="E4539" s="20" t="s">
        <v>2359</v>
      </c>
      <c r="F4539" s="20" t="s">
        <v>244</v>
      </c>
      <c r="G4539" s="20" t="s">
        <v>82</v>
      </c>
      <c r="H4539" s="20"/>
      <c r="I4539" s="20"/>
      <c r="J4539" s="20" t="s">
        <v>202</v>
      </c>
      <c r="K4539" s="20" t="s">
        <v>255</v>
      </c>
      <c r="L4539" s="20">
        <v>555000000</v>
      </c>
      <c r="M4539" s="20" t="s">
        <v>245</v>
      </c>
      <c r="N4539" s="20" t="s">
        <v>2794</v>
      </c>
    </row>
    <row r="4540" spans="1:14" hidden="1" x14ac:dyDescent="0.25">
      <c r="A4540" s="19">
        <v>45992</v>
      </c>
      <c r="B4540" s="20" t="s">
        <v>97</v>
      </c>
      <c r="C4540" s="20">
        <v>35</v>
      </c>
      <c r="D4540" s="20" t="s">
        <v>253</v>
      </c>
      <c r="E4540" s="20" t="s">
        <v>2359</v>
      </c>
      <c r="F4540" s="20" t="s">
        <v>244</v>
      </c>
      <c r="G4540" s="20" t="s">
        <v>82</v>
      </c>
      <c r="H4540" s="20"/>
      <c r="I4540" s="20"/>
      <c r="J4540" s="20" t="s">
        <v>203</v>
      </c>
      <c r="K4540" s="20" t="s">
        <v>255</v>
      </c>
      <c r="L4540" s="20">
        <v>526000000</v>
      </c>
      <c r="M4540" s="20" t="s">
        <v>245</v>
      </c>
      <c r="N4540" s="20" t="s">
        <v>2947</v>
      </c>
    </row>
    <row r="4541" spans="1:14" hidden="1" x14ac:dyDescent="0.25">
      <c r="A4541" s="19">
        <v>45992</v>
      </c>
      <c r="B4541" s="20" t="s">
        <v>97</v>
      </c>
      <c r="C4541" s="20">
        <v>35</v>
      </c>
      <c r="D4541" s="20" t="s">
        <v>253</v>
      </c>
      <c r="E4541" s="20" t="s">
        <v>2359</v>
      </c>
      <c r="F4541" s="20" t="s">
        <v>244</v>
      </c>
      <c r="G4541" s="20" t="s">
        <v>82</v>
      </c>
      <c r="H4541" s="20"/>
      <c r="I4541" s="20"/>
      <c r="J4541" s="20" t="s">
        <v>204</v>
      </c>
      <c r="K4541" s="20" t="s">
        <v>255</v>
      </c>
      <c r="L4541" s="20">
        <v>566000000</v>
      </c>
      <c r="M4541" s="20" t="s">
        <v>245</v>
      </c>
      <c r="N4541" s="20" t="s">
        <v>3098</v>
      </c>
    </row>
    <row r="4542" spans="1:14" hidden="1" x14ac:dyDescent="0.25">
      <c r="A4542" s="19">
        <v>45992</v>
      </c>
      <c r="B4542" s="20" t="s">
        <v>97</v>
      </c>
      <c r="C4542" s="20">
        <v>35</v>
      </c>
      <c r="D4542" s="20" t="s">
        <v>247</v>
      </c>
      <c r="E4542" s="20" t="s">
        <v>2554</v>
      </c>
      <c r="F4542" s="20" t="s">
        <v>2557</v>
      </c>
      <c r="G4542" s="20" t="s">
        <v>82</v>
      </c>
      <c r="H4542" s="20" t="s">
        <v>286</v>
      </c>
      <c r="I4542" s="20"/>
      <c r="J4542" s="20" t="s">
        <v>204</v>
      </c>
      <c r="K4542" s="20" t="s">
        <v>250</v>
      </c>
      <c r="L4542" s="20">
        <v>7.5</v>
      </c>
      <c r="M4542" s="20" t="s">
        <v>251</v>
      </c>
      <c r="N4542" s="20" t="s">
        <v>3099</v>
      </c>
    </row>
    <row r="4543" spans="1:14" hidden="1" x14ac:dyDescent="0.25">
      <c r="A4543" s="19">
        <v>45992</v>
      </c>
      <c r="B4543" s="20" t="s">
        <v>97</v>
      </c>
      <c r="C4543" s="20">
        <v>36</v>
      </c>
      <c r="D4543" s="20" t="s">
        <v>291</v>
      </c>
      <c r="E4543" s="20" t="s">
        <v>2361</v>
      </c>
      <c r="F4543" s="20" t="s">
        <v>244</v>
      </c>
      <c r="G4543" s="20" t="s">
        <v>82</v>
      </c>
      <c r="H4543" s="20" t="s">
        <v>83</v>
      </c>
      <c r="I4543" s="20"/>
      <c r="J4543" s="20" t="s">
        <v>204</v>
      </c>
      <c r="K4543" s="20" t="s">
        <v>250</v>
      </c>
      <c r="L4543" s="20">
        <v>449560000</v>
      </c>
      <c r="M4543" s="20" t="s">
        <v>245</v>
      </c>
      <c r="N4543" s="20" t="s">
        <v>3100</v>
      </c>
    </row>
    <row r="4544" spans="1:14" hidden="1" x14ac:dyDescent="0.25">
      <c r="A4544" s="19">
        <v>45992</v>
      </c>
      <c r="B4544" s="20" t="s">
        <v>97</v>
      </c>
      <c r="C4544" s="20">
        <v>36</v>
      </c>
      <c r="D4544" s="20" t="s">
        <v>291</v>
      </c>
      <c r="E4544" s="20" t="s">
        <v>2361</v>
      </c>
      <c r="F4544" s="20" t="s">
        <v>244</v>
      </c>
      <c r="G4544" s="20" t="s">
        <v>82</v>
      </c>
      <c r="H4544" s="20" t="s">
        <v>84</v>
      </c>
      <c r="I4544" s="20"/>
      <c r="J4544" s="20" t="s">
        <v>204</v>
      </c>
      <c r="K4544" s="20" t="s">
        <v>250</v>
      </c>
      <c r="L4544" s="20">
        <v>101820000</v>
      </c>
      <c r="M4544" s="20" t="s">
        <v>245</v>
      </c>
      <c r="N4544" s="20" t="s">
        <v>3101</v>
      </c>
    </row>
    <row r="4545" spans="1:14" hidden="1" x14ac:dyDescent="0.25">
      <c r="A4545" s="19">
        <v>45992</v>
      </c>
      <c r="B4545" s="20" t="s">
        <v>97</v>
      </c>
      <c r="C4545" s="20">
        <v>36</v>
      </c>
      <c r="D4545" s="20" t="s">
        <v>291</v>
      </c>
      <c r="E4545" s="20" t="s">
        <v>2361</v>
      </c>
      <c r="F4545" s="20" t="s">
        <v>244</v>
      </c>
      <c r="G4545" s="20" t="s">
        <v>82</v>
      </c>
      <c r="H4545" s="20" t="s">
        <v>106</v>
      </c>
      <c r="I4545" s="20"/>
      <c r="J4545" s="20" t="s">
        <v>204</v>
      </c>
      <c r="K4545" s="20" t="s">
        <v>250</v>
      </c>
      <c r="L4545" s="20">
        <v>10520000</v>
      </c>
      <c r="M4545" s="20" t="s">
        <v>245</v>
      </c>
      <c r="N4545" s="20" t="s">
        <v>3102</v>
      </c>
    </row>
    <row r="4546" spans="1:14" hidden="1" x14ac:dyDescent="0.25">
      <c r="A4546" s="19">
        <v>45992</v>
      </c>
      <c r="B4546" s="20" t="s">
        <v>97</v>
      </c>
      <c r="C4546" s="20">
        <v>36</v>
      </c>
      <c r="D4546" s="20" t="s">
        <v>291</v>
      </c>
      <c r="E4546" s="20" t="s">
        <v>2361</v>
      </c>
      <c r="F4546" s="20" t="s">
        <v>244</v>
      </c>
      <c r="G4546" s="20" t="s">
        <v>82</v>
      </c>
      <c r="H4546" s="20" t="s">
        <v>105</v>
      </c>
      <c r="I4546" s="20"/>
      <c r="J4546" s="20" t="s">
        <v>204</v>
      </c>
      <c r="K4546" s="20" t="s">
        <v>250</v>
      </c>
      <c r="L4546" s="20">
        <v>3710000</v>
      </c>
      <c r="M4546" s="20" t="s">
        <v>245</v>
      </c>
      <c r="N4546" s="20" t="s">
        <v>338</v>
      </c>
    </row>
    <row r="4547" spans="1:14" hidden="1" x14ac:dyDescent="0.25">
      <c r="A4547" s="19">
        <v>45992</v>
      </c>
      <c r="B4547" s="20" t="s">
        <v>97</v>
      </c>
      <c r="C4547" s="20">
        <v>37</v>
      </c>
      <c r="D4547" s="20" t="s">
        <v>291</v>
      </c>
      <c r="E4547" s="20" t="s">
        <v>2361</v>
      </c>
      <c r="F4547" s="20" t="s">
        <v>244</v>
      </c>
      <c r="G4547" s="20" t="s">
        <v>82</v>
      </c>
      <c r="H4547" s="20" t="s">
        <v>83</v>
      </c>
      <c r="I4547" s="20" t="s">
        <v>315</v>
      </c>
      <c r="J4547" s="20" t="s">
        <v>204</v>
      </c>
      <c r="K4547" s="20" t="s">
        <v>250</v>
      </c>
      <c r="L4547" s="20"/>
      <c r="M4547" s="20" t="s">
        <v>251</v>
      </c>
      <c r="N4547" s="20" t="s">
        <v>3103</v>
      </c>
    </row>
    <row r="4548" spans="1:14" hidden="1" x14ac:dyDescent="0.25">
      <c r="A4548" s="19">
        <v>45992</v>
      </c>
      <c r="B4548" s="20" t="s">
        <v>97</v>
      </c>
      <c r="C4548" s="20">
        <v>37</v>
      </c>
      <c r="D4548" s="20" t="s">
        <v>291</v>
      </c>
      <c r="E4548" s="20" t="s">
        <v>2361</v>
      </c>
      <c r="F4548" s="20" t="s">
        <v>244</v>
      </c>
      <c r="G4548" s="20" t="s">
        <v>82</v>
      </c>
      <c r="H4548" s="20" t="s">
        <v>83</v>
      </c>
      <c r="I4548" s="20" t="s">
        <v>317</v>
      </c>
      <c r="J4548" s="20" t="s">
        <v>204</v>
      </c>
      <c r="K4548" s="20" t="s">
        <v>250</v>
      </c>
      <c r="L4548" s="20"/>
      <c r="M4548" s="20" t="s">
        <v>251</v>
      </c>
      <c r="N4548" s="20" t="s">
        <v>3104</v>
      </c>
    </row>
    <row r="4549" spans="1:14" hidden="1" x14ac:dyDescent="0.25">
      <c r="A4549" s="19">
        <v>45992</v>
      </c>
      <c r="B4549" s="20" t="s">
        <v>97</v>
      </c>
      <c r="C4549" s="20">
        <v>37</v>
      </c>
      <c r="D4549" s="20" t="s">
        <v>291</v>
      </c>
      <c r="E4549" s="20" t="s">
        <v>2361</v>
      </c>
      <c r="F4549" s="20" t="s">
        <v>244</v>
      </c>
      <c r="G4549" s="20" t="s">
        <v>82</v>
      </c>
      <c r="H4549" s="20" t="s">
        <v>83</v>
      </c>
      <c r="I4549" s="20" t="s">
        <v>2785</v>
      </c>
      <c r="J4549" s="20" t="s">
        <v>204</v>
      </c>
      <c r="K4549" s="20" t="s">
        <v>250</v>
      </c>
      <c r="L4549" s="20"/>
      <c r="M4549" s="20" t="s">
        <v>251</v>
      </c>
      <c r="N4549" s="20" t="s">
        <v>3105</v>
      </c>
    </row>
    <row r="4550" spans="1:14" hidden="1" x14ac:dyDescent="0.25">
      <c r="A4550" s="19">
        <v>45992</v>
      </c>
      <c r="B4550" s="20" t="s">
        <v>97</v>
      </c>
      <c r="C4550" s="20">
        <v>37</v>
      </c>
      <c r="D4550" s="20" t="s">
        <v>291</v>
      </c>
      <c r="E4550" s="20" t="s">
        <v>2361</v>
      </c>
      <c r="F4550" s="20" t="s">
        <v>244</v>
      </c>
      <c r="G4550" s="20" t="s">
        <v>82</v>
      </c>
      <c r="H4550" s="20" t="s">
        <v>83</v>
      </c>
      <c r="I4550" s="20" t="s">
        <v>497</v>
      </c>
      <c r="J4550" s="20" t="s">
        <v>204</v>
      </c>
      <c r="K4550" s="20" t="s">
        <v>250</v>
      </c>
      <c r="L4550" s="20"/>
      <c r="M4550" s="20" t="s">
        <v>251</v>
      </c>
      <c r="N4550" s="20" t="s">
        <v>912</v>
      </c>
    </row>
    <row r="4551" spans="1:14" hidden="1" x14ac:dyDescent="0.25">
      <c r="A4551" s="19">
        <v>45992</v>
      </c>
      <c r="B4551" s="20" t="s">
        <v>97</v>
      </c>
      <c r="C4551" s="20">
        <v>37</v>
      </c>
      <c r="D4551" s="20" t="s">
        <v>291</v>
      </c>
      <c r="E4551" s="20" t="s">
        <v>2361</v>
      </c>
      <c r="F4551" s="20" t="s">
        <v>244</v>
      </c>
      <c r="G4551" s="20" t="s">
        <v>82</v>
      </c>
      <c r="H4551" s="20" t="s">
        <v>83</v>
      </c>
      <c r="I4551" s="20" t="s">
        <v>503</v>
      </c>
      <c r="J4551" s="20" t="s">
        <v>204</v>
      </c>
      <c r="K4551" s="20" t="s">
        <v>250</v>
      </c>
      <c r="L4551" s="20"/>
      <c r="M4551" s="20" t="s">
        <v>251</v>
      </c>
      <c r="N4551" s="20" t="s">
        <v>3106</v>
      </c>
    </row>
    <row r="4552" spans="1:14" hidden="1" x14ac:dyDescent="0.25">
      <c r="A4552" s="19">
        <v>45992</v>
      </c>
      <c r="B4552" s="20" t="s">
        <v>97</v>
      </c>
      <c r="C4552" s="20">
        <v>37</v>
      </c>
      <c r="D4552" s="20" t="s">
        <v>291</v>
      </c>
      <c r="E4552" s="20" t="s">
        <v>2361</v>
      </c>
      <c r="F4552" s="20" t="s">
        <v>244</v>
      </c>
      <c r="G4552" s="20" t="s">
        <v>82</v>
      </c>
      <c r="H4552" s="20" t="s">
        <v>83</v>
      </c>
      <c r="I4552" s="20" t="s">
        <v>2413</v>
      </c>
      <c r="J4552" s="20" t="s">
        <v>204</v>
      </c>
      <c r="K4552" s="20" t="s">
        <v>250</v>
      </c>
      <c r="L4552" s="20"/>
      <c r="M4552" s="20" t="s">
        <v>251</v>
      </c>
      <c r="N4552" s="20" t="s">
        <v>1088</v>
      </c>
    </row>
    <row r="4553" spans="1:14" hidden="1" x14ac:dyDescent="0.25">
      <c r="A4553" s="19">
        <v>45992</v>
      </c>
      <c r="B4553" s="20" t="s">
        <v>97</v>
      </c>
      <c r="C4553" s="20">
        <v>37</v>
      </c>
      <c r="D4553" s="20" t="s">
        <v>291</v>
      </c>
      <c r="E4553" s="20" t="s">
        <v>2361</v>
      </c>
      <c r="F4553" s="20" t="s">
        <v>244</v>
      </c>
      <c r="G4553" s="20" t="s">
        <v>82</v>
      </c>
      <c r="H4553" s="20" t="s">
        <v>83</v>
      </c>
      <c r="I4553" s="20" t="s">
        <v>2414</v>
      </c>
      <c r="J4553" s="20" t="s">
        <v>204</v>
      </c>
      <c r="K4553" s="20" t="s">
        <v>250</v>
      </c>
      <c r="L4553" s="20"/>
      <c r="M4553" s="20" t="s">
        <v>251</v>
      </c>
      <c r="N4553" s="20" t="s">
        <v>2939</v>
      </c>
    </row>
    <row r="4554" spans="1:14" hidden="1" x14ac:dyDescent="0.25">
      <c r="A4554" s="19">
        <v>45992</v>
      </c>
      <c r="B4554" s="20" t="s">
        <v>97</v>
      </c>
      <c r="C4554" s="20">
        <v>37</v>
      </c>
      <c r="D4554" s="20" t="s">
        <v>291</v>
      </c>
      <c r="E4554" s="20" t="s">
        <v>2361</v>
      </c>
      <c r="F4554" s="20" t="s">
        <v>244</v>
      </c>
      <c r="G4554" s="20" t="s">
        <v>82</v>
      </c>
      <c r="H4554" s="20" t="s">
        <v>84</v>
      </c>
      <c r="I4554" s="20" t="s">
        <v>319</v>
      </c>
      <c r="J4554" s="20" t="s">
        <v>204</v>
      </c>
      <c r="K4554" s="20" t="s">
        <v>250</v>
      </c>
      <c r="L4554" s="20"/>
      <c r="M4554" s="20" t="s">
        <v>251</v>
      </c>
      <c r="N4554" s="20" t="s">
        <v>3107</v>
      </c>
    </row>
    <row r="4555" spans="1:14" hidden="1" x14ac:dyDescent="0.25">
      <c r="A4555" s="19">
        <v>45992</v>
      </c>
      <c r="B4555" s="20" t="s">
        <v>97</v>
      </c>
      <c r="C4555" s="20">
        <v>37</v>
      </c>
      <c r="D4555" s="20" t="s">
        <v>291</v>
      </c>
      <c r="E4555" s="20" t="s">
        <v>2361</v>
      </c>
      <c r="F4555" s="20" t="s">
        <v>244</v>
      </c>
      <c r="G4555" s="20" t="s">
        <v>82</v>
      </c>
      <c r="H4555" s="20" t="s">
        <v>84</v>
      </c>
      <c r="I4555" s="20" t="s">
        <v>321</v>
      </c>
      <c r="J4555" s="20" t="s">
        <v>204</v>
      </c>
      <c r="K4555" s="20" t="s">
        <v>250</v>
      </c>
      <c r="L4555" s="20"/>
      <c r="M4555" s="20" t="s">
        <v>251</v>
      </c>
      <c r="N4555" s="20" t="s">
        <v>3108</v>
      </c>
    </row>
    <row r="4556" spans="1:14" hidden="1" x14ac:dyDescent="0.25">
      <c r="A4556" s="19">
        <v>45992</v>
      </c>
      <c r="B4556" s="20" t="s">
        <v>97</v>
      </c>
      <c r="C4556" s="20">
        <v>37</v>
      </c>
      <c r="D4556" s="20" t="s">
        <v>291</v>
      </c>
      <c r="E4556" s="20" t="s">
        <v>2361</v>
      </c>
      <c r="F4556" s="20" t="s">
        <v>244</v>
      </c>
      <c r="G4556" s="20" t="s">
        <v>82</v>
      </c>
      <c r="H4556" s="20" t="s">
        <v>106</v>
      </c>
      <c r="I4556" s="20" t="s">
        <v>493</v>
      </c>
      <c r="J4556" s="20" t="s">
        <v>204</v>
      </c>
      <c r="K4556" s="20" t="s">
        <v>250</v>
      </c>
      <c r="L4556" s="20"/>
      <c r="M4556" s="20" t="s">
        <v>251</v>
      </c>
      <c r="N4556" s="20" t="s">
        <v>3109</v>
      </c>
    </row>
    <row r="4557" spans="1:14" hidden="1" x14ac:dyDescent="0.25">
      <c r="A4557" s="19">
        <v>45992</v>
      </c>
      <c r="B4557" s="20" t="s">
        <v>97</v>
      </c>
      <c r="C4557" s="20">
        <v>37</v>
      </c>
      <c r="D4557" s="20" t="s">
        <v>291</v>
      </c>
      <c r="E4557" s="20" t="s">
        <v>2361</v>
      </c>
      <c r="F4557" s="20" t="s">
        <v>244</v>
      </c>
      <c r="G4557" s="20" t="s">
        <v>82</v>
      </c>
      <c r="H4557" s="20" t="s">
        <v>106</v>
      </c>
      <c r="I4557" s="20" t="s">
        <v>491</v>
      </c>
      <c r="J4557" s="20" t="s">
        <v>204</v>
      </c>
      <c r="K4557" s="20" t="s">
        <v>250</v>
      </c>
      <c r="L4557" s="20"/>
      <c r="M4557" s="20" t="s">
        <v>251</v>
      </c>
      <c r="N4557" s="20" t="s">
        <v>3110</v>
      </c>
    </row>
    <row r="4558" spans="1:14" hidden="1" x14ac:dyDescent="0.25">
      <c r="A4558" s="19">
        <v>45992</v>
      </c>
      <c r="B4558" s="20" t="s">
        <v>97</v>
      </c>
      <c r="C4558" s="20">
        <v>37</v>
      </c>
      <c r="D4558" s="20" t="s">
        <v>291</v>
      </c>
      <c r="E4558" s="20" t="s">
        <v>2361</v>
      </c>
      <c r="F4558" s="20" t="s">
        <v>244</v>
      </c>
      <c r="G4558" s="20" t="s">
        <v>82</v>
      </c>
      <c r="H4558" s="20" t="s">
        <v>105</v>
      </c>
      <c r="I4558" s="20" t="s">
        <v>493</v>
      </c>
      <c r="J4558" s="20" t="s">
        <v>204</v>
      </c>
      <c r="K4558" s="20" t="s">
        <v>250</v>
      </c>
      <c r="L4558" s="20"/>
      <c r="M4558" s="20" t="s">
        <v>251</v>
      </c>
      <c r="N4558" s="20" t="s">
        <v>3111</v>
      </c>
    </row>
    <row r="4559" spans="1:14" hidden="1" x14ac:dyDescent="0.25">
      <c r="A4559" s="19">
        <v>45992</v>
      </c>
      <c r="B4559" s="20" t="s">
        <v>97</v>
      </c>
      <c r="C4559" s="20">
        <v>37</v>
      </c>
      <c r="D4559" s="20" t="s">
        <v>291</v>
      </c>
      <c r="E4559" s="20" t="s">
        <v>2361</v>
      </c>
      <c r="F4559" s="20" t="s">
        <v>244</v>
      </c>
      <c r="G4559" s="20" t="s">
        <v>82</v>
      </c>
      <c r="H4559" s="20" t="s">
        <v>105</v>
      </c>
      <c r="I4559" s="20" t="s">
        <v>491</v>
      </c>
      <c r="J4559" s="20" t="s">
        <v>204</v>
      </c>
      <c r="K4559" s="20" t="s">
        <v>250</v>
      </c>
      <c r="L4559" s="20"/>
      <c r="M4559" s="20" t="s">
        <v>251</v>
      </c>
      <c r="N4559" s="20" t="s">
        <v>1080</v>
      </c>
    </row>
    <row r="4560" spans="1:14" hidden="1" x14ac:dyDescent="0.25">
      <c r="A4560" s="19">
        <v>45992</v>
      </c>
      <c r="B4560" s="20" t="s">
        <v>97</v>
      </c>
      <c r="C4560" s="20">
        <v>38</v>
      </c>
      <c r="D4560" s="20" t="s">
        <v>253</v>
      </c>
      <c r="E4560" s="20" t="s">
        <v>2359</v>
      </c>
      <c r="F4560" s="20" t="s">
        <v>334</v>
      </c>
      <c r="G4560" s="20" t="s">
        <v>82</v>
      </c>
      <c r="H4560" s="20"/>
      <c r="I4560" s="20"/>
      <c r="J4560" s="20" t="s">
        <v>202</v>
      </c>
      <c r="K4560" s="20" t="s">
        <v>255</v>
      </c>
      <c r="L4560" s="20">
        <v>55</v>
      </c>
      <c r="M4560" s="20" t="s">
        <v>245</v>
      </c>
      <c r="N4560" s="20" t="s">
        <v>2809</v>
      </c>
    </row>
    <row r="4561" spans="1:14" hidden="1" x14ac:dyDescent="0.25">
      <c r="A4561" s="19">
        <v>45992</v>
      </c>
      <c r="B4561" s="20" t="s">
        <v>97</v>
      </c>
      <c r="C4561" s="20">
        <v>38</v>
      </c>
      <c r="D4561" s="20" t="s">
        <v>253</v>
      </c>
      <c r="E4561" s="20" t="s">
        <v>2359</v>
      </c>
      <c r="F4561" s="20" t="s">
        <v>334</v>
      </c>
      <c r="G4561" s="20" t="s">
        <v>82</v>
      </c>
      <c r="H4561" s="20"/>
      <c r="I4561" s="20"/>
      <c r="J4561" s="20" t="s">
        <v>203</v>
      </c>
      <c r="K4561" s="20" t="s">
        <v>255</v>
      </c>
      <c r="L4561" s="20">
        <v>52</v>
      </c>
      <c r="M4561" s="20" t="s">
        <v>245</v>
      </c>
      <c r="N4561" s="20" t="s">
        <v>2964</v>
      </c>
    </row>
    <row r="4562" spans="1:14" hidden="1" x14ac:dyDescent="0.25">
      <c r="A4562" s="19">
        <v>45992</v>
      </c>
      <c r="B4562" s="20" t="s">
        <v>97</v>
      </c>
      <c r="C4562" s="20">
        <v>38</v>
      </c>
      <c r="D4562" s="20" t="s">
        <v>253</v>
      </c>
      <c r="E4562" s="20" t="s">
        <v>2359</v>
      </c>
      <c r="F4562" s="20" t="s">
        <v>334</v>
      </c>
      <c r="G4562" s="20" t="s">
        <v>82</v>
      </c>
      <c r="H4562" s="20"/>
      <c r="I4562" s="20"/>
      <c r="J4562" s="20" t="s">
        <v>204</v>
      </c>
      <c r="K4562" s="20" t="s">
        <v>255</v>
      </c>
      <c r="L4562" s="20">
        <v>52</v>
      </c>
      <c r="M4562" s="20" t="s">
        <v>245</v>
      </c>
      <c r="N4562" s="20" t="s">
        <v>2964</v>
      </c>
    </row>
    <row r="4563" spans="1:14" hidden="1" x14ac:dyDescent="0.25">
      <c r="A4563" s="19">
        <v>45992</v>
      </c>
      <c r="B4563" s="20" t="s">
        <v>97</v>
      </c>
      <c r="C4563" s="20">
        <v>39</v>
      </c>
      <c r="D4563" s="20" t="s">
        <v>291</v>
      </c>
      <c r="E4563" s="20" t="s">
        <v>2361</v>
      </c>
      <c r="F4563" s="20" t="s">
        <v>428</v>
      </c>
      <c r="G4563" s="20" t="s">
        <v>82</v>
      </c>
      <c r="H4563" s="20" t="s">
        <v>95</v>
      </c>
      <c r="I4563" s="20"/>
      <c r="J4563" s="20" t="s">
        <v>204</v>
      </c>
      <c r="K4563" s="20" t="s">
        <v>250</v>
      </c>
      <c r="L4563" s="20">
        <v>3830000</v>
      </c>
      <c r="M4563" s="20" t="s">
        <v>242</v>
      </c>
      <c r="N4563" s="20" t="s">
        <v>3112</v>
      </c>
    </row>
    <row r="4564" spans="1:14" hidden="1" x14ac:dyDescent="0.25">
      <c r="A4564" s="19">
        <v>45992</v>
      </c>
      <c r="B4564" s="20" t="s">
        <v>97</v>
      </c>
      <c r="C4564" s="20">
        <v>39</v>
      </c>
      <c r="D4564" s="20" t="s">
        <v>291</v>
      </c>
      <c r="E4564" s="20" t="s">
        <v>2361</v>
      </c>
      <c r="F4564" s="20" t="s">
        <v>428</v>
      </c>
      <c r="G4564" s="20" t="s">
        <v>82</v>
      </c>
      <c r="H4564" s="20" t="s">
        <v>94</v>
      </c>
      <c r="I4564" s="20"/>
      <c r="J4564" s="20" t="s">
        <v>204</v>
      </c>
      <c r="K4564" s="20" t="s">
        <v>250</v>
      </c>
      <c r="L4564" s="20">
        <v>2460000</v>
      </c>
      <c r="M4564" s="20" t="s">
        <v>242</v>
      </c>
      <c r="N4564" s="20" t="s">
        <v>1820</v>
      </c>
    </row>
    <row r="4565" spans="1:14" hidden="1" x14ac:dyDescent="0.25">
      <c r="A4565" s="19">
        <v>45992</v>
      </c>
      <c r="B4565" s="20" t="s">
        <v>97</v>
      </c>
      <c r="C4565" s="20">
        <v>40</v>
      </c>
      <c r="D4565" s="20" t="s">
        <v>291</v>
      </c>
      <c r="E4565" s="20" t="s">
        <v>2361</v>
      </c>
      <c r="F4565" s="20" t="s">
        <v>445</v>
      </c>
      <c r="G4565" s="20" t="s">
        <v>82</v>
      </c>
      <c r="H4565" s="20" t="s">
        <v>95</v>
      </c>
      <c r="I4565" s="20"/>
      <c r="J4565" s="20" t="s">
        <v>204</v>
      </c>
      <c r="K4565" s="20" t="s">
        <v>250</v>
      </c>
      <c r="L4565" s="20">
        <v>117790000</v>
      </c>
      <c r="M4565" s="20" t="s">
        <v>245</v>
      </c>
      <c r="N4565" s="20" t="s">
        <v>3113</v>
      </c>
    </row>
    <row r="4566" spans="1:14" hidden="1" x14ac:dyDescent="0.25">
      <c r="A4566" s="19">
        <v>45992</v>
      </c>
      <c r="B4566" s="20" t="s">
        <v>97</v>
      </c>
      <c r="C4566" s="20">
        <v>40</v>
      </c>
      <c r="D4566" s="20" t="s">
        <v>291</v>
      </c>
      <c r="E4566" s="20" t="s">
        <v>2361</v>
      </c>
      <c r="F4566" s="20" t="s">
        <v>445</v>
      </c>
      <c r="G4566" s="20" t="s">
        <v>82</v>
      </c>
      <c r="H4566" s="20" t="s">
        <v>94</v>
      </c>
      <c r="I4566" s="20"/>
      <c r="J4566" s="20" t="s">
        <v>204</v>
      </c>
      <c r="K4566" s="20" t="s">
        <v>250</v>
      </c>
      <c r="L4566" s="20">
        <v>88860000</v>
      </c>
      <c r="M4566" s="20" t="s">
        <v>245</v>
      </c>
      <c r="N4566" s="20" t="s">
        <v>3114</v>
      </c>
    </row>
    <row r="4567" spans="1:14" hidden="1" x14ac:dyDescent="0.25">
      <c r="A4567" s="19">
        <v>45992</v>
      </c>
      <c r="B4567" s="20" t="s">
        <v>162</v>
      </c>
      <c r="C4567" s="20">
        <v>42</v>
      </c>
      <c r="D4567" s="20" t="s">
        <v>238</v>
      </c>
      <c r="E4567" s="20" t="s">
        <v>2341</v>
      </c>
      <c r="F4567" s="20" t="s">
        <v>240</v>
      </c>
      <c r="G4567" s="20" t="s">
        <v>82</v>
      </c>
      <c r="H4567" s="20"/>
      <c r="I4567" s="20"/>
      <c r="J4567" s="20" t="s">
        <v>3052</v>
      </c>
      <c r="K4567" s="20" t="s">
        <v>241</v>
      </c>
      <c r="L4567" s="20">
        <v>269960000</v>
      </c>
      <c r="M4567" s="20" t="s">
        <v>242</v>
      </c>
      <c r="N4567" s="20" t="s">
        <v>3115</v>
      </c>
    </row>
    <row r="4568" spans="1:14" hidden="1" x14ac:dyDescent="0.25">
      <c r="A4568" s="19">
        <v>45992</v>
      </c>
      <c r="B4568" s="20" t="s">
        <v>162</v>
      </c>
      <c r="C4568" s="20">
        <v>42</v>
      </c>
      <c r="D4568" s="20" t="s">
        <v>238</v>
      </c>
      <c r="E4568" s="20" t="s">
        <v>2341</v>
      </c>
      <c r="F4568" s="20" t="s">
        <v>244</v>
      </c>
      <c r="G4568" s="20" t="s">
        <v>82</v>
      </c>
      <c r="H4568" s="20"/>
      <c r="I4568" s="20"/>
      <c r="J4568" s="20" t="s">
        <v>3052</v>
      </c>
      <c r="K4568" s="20" t="s">
        <v>241</v>
      </c>
      <c r="L4568" s="20">
        <v>26310000000</v>
      </c>
      <c r="M4568" s="20" t="s">
        <v>245</v>
      </c>
      <c r="N4568" s="20" t="s">
        <v>3116</v>
      </c>
    </row>
    <row r="4569" spans="1:14" hidden="1" x14ac:dyDescent="0.25">
      <c r="A4569" s="19">
        <v>45992</v>
      </c>
      <c r="B4569" s="20" t="s">
        <v>162</v>
      </c>
      <c r="C4569" s="20">
        <v>43</v>
      </c>
      <c r="D4569" s="20" t="s">
        <v>253</v>
      </c>
      <c r="E4569" s="20" t="s">
        <v>2359</v>
      </c>
      <c r="F4569" s="20" t="s">
        <v>1194</v>
      </c>
      <c r="G4569" s="20" t="s">
        <v>82</v>
      </c>
      <c r="H4569" s="20"/>
      <c r="I4569" s="20"/>
      <c r="J4569" s="20" t="s">
        <v>202</v>
      </c>
      <c r="K4569" s="20" t="s">
        <v>255</v>
      </c>
      <c r="L4569" s="20">
        <v>26720000</v>
      </c>
      <c r="M4569" s="20" t="s">
        <v>242</v>
      </c>
      <c r="N4569" s="20" t="s">
        <v>2815</v>
      </c>
    </row>
    <row r="4570" spans="1:14" hidden="1" x14ac:dyDescent="0.25">
      <c r="A4570" s="19">
        <v>45992</v>
      </c>
      <c r="B4570" s="20" t="s">
        <v>162</v>
      </c>
      <c r="C4570" s="20">
        <v>43</v>
      </c>
      <c r="D4570" s="20" t="s">
        <v>253</v>
      </c>
      <c r="E4570" s="20" t="s">
        <v>2359</v>
      </c>
      <c r="F4570" s="20" t="s">
        <v>1194</v>
      </c>
      <c r="G4570" s="20" t="s">
        <v>82</v>
      </c>
      <c r="H4570" s="20"/>
      <c r="I4570" s="20"/>
      <c r="J4570" s="20" t="s">
        <v>203</v>
      </c>
      <c r="K4570" s="20" t="s">
        <v>255</v>
      </c>
      <c r="L4570" s="20">
        <v>26450000</v>
      </c>
      <c r="M4570" s="20" t="s">
        <v>242</v>
      </c>
      <c r="N4570" s="20" t="s">
        <v>2970</v>
      </c>
    </row>
    <row r="4571" spans="1:14" hidden="1" x14ac:dyDescent="0.25">
      <c r="A4571" s="19">
        <v>45992</v>
      </c>
      <c r="B4571" s="20" t="s">
        <v>162</v>
      </c>
      <c r="C4571" s="20">
        <v>43</v>
      </c>
      <c r="D4571" s="20" t="s">
        <v>253</v>
      </c>
      <c r="E4571" s="20" t="s">
        <v>2359</v>
      </c>
      <c r="F4571" s="20" t="s">
        <v>1194</v>
      </c>
      <c r="G4571" s="20" t="s">
        <v>82</v>
      </c>
      <c r="H4571" s="20"/>
      <c r="I4571" s="20"/>
      <c r="J4571" s="20" t="s">
        <v>204</v>
      </c>
      <c r="K4571" s="20" t="s">
        <v>255</v>
      </c>
      <c r="L4571" s="20">
        <v>28600000</v>
      </c>
      <c r="M4571" s="20" t="s">
        <v>242</v>
      </c>
      <c r="N4571" s="20" t="s">
        <v>3117</v>
      </c>
    </row>
    <row r="4572" spans="1:14" hidden="1" x14ac:dyDescent="0.25">
      <c r="A4572" s="19">
        <v>45992</v>
      </c>
      <c r="B4572" s="20" t="s">
        <v>162</v>
      </c>
      <c r="C4572" s="20">
        <v>43</v>
      </c>
      <c r="D4572" s="20" t="s">
        <v>247</v>
      </c>
      <c r="E4572" s="20" t="s">
        <v>2554</v>
      </c>
      <c r="F4572" s="20" t="s">
        <v>2556</v>
      </c>
      <c r="G4572" s="20" t="s">
        <v>82</v>
      </c>
      <c r="H4572" s="20" t="s">
        <v>286</v>
      </c>
      <c r="I4572" s="20"/>
      <c r="J4572" s="20" t="s">
        <v>204</v>
      </c>
      <c r="K4572" s="20" t="s">
        <v>250</v>
      </c>
      <c r="L4572" s="20">
        <v>8.1</v>
      </c>
      <c r="M4572" s="20" t="s">
        <v>251</v>
      </c>
      <c r="N4572" s="20" t="s">
        <v>3066</v>
      </c>
    </row>
    <row r="4573" spans="1:14" hidden="1" x14ac:dyDescent="0.25">
      <c r="A4573" s="19">
        <v>45992</v>
      </c>
      <c r="B4573" s="20" t="s">
        <v>162</v>
      </c>
      <c r="C4573" s="20">
        <v>44</v>
      </c>
      <c r="D4573" s="20" t="s">
        <v>291</v>
      </c>
      <c r="E4573" s="20" t="s">
        <v>2361</v>
      </c>
      <c r="F4573" s="20" t="s">
        <v>2445</v>
      </c>
      <c r="G4573" s="20" t="s">
        <v>82</v>
      </c>
      <c r="H4573" s="20" t="s">
        <v>2446</v>
      </c>
      <c r="I4573" s="20" t="s">
        <v>2447</v>
      </c>
      <c r="J4573" s="20" t="s">
        <v>204</v>
      </c>
      <c r="K4573" s="20" t="s">
        <v>250</v>
      </c>
      <c r="L4573" s="20">
        <v>12140000</v>
      </c>
      <c r="M4573" s="20" t="s">
        <v>242</v>
      </c>
      <c r="N4573" s="20" t="s">
        <v>3118</v>
      </c>
    </row>
    <row r="4574" spans="1:14" hidden="1" x14ac:dyDescent="0.25">
      <c r="A4574" s="19">
        <v>45992</v>
      </c>
      <c r="B4574" s="20" t="s">
        <v>162</v>
      </c>
      <c r="C4574" s="20">
        <v>44</v>
      </c>
      <c r="D4574" s="20" t="s">
        <v>291</v>
      </c>
      <c r="E4574" s="20" t="s">
        <v>2361</v>
      </c>
      <c r="F4574" s="20" t="s">
        <v>2445</v>
      </c>
      <c r="G4574" s="20" t="s">
        <v>82</v>
      </c>
      <c r="H4574" s="20" t="s">
        <v>2449</v>
      </c>
      <c r="I4574" s="20" t="s">
        <v>2447</v>
      </c>
      <c r="J4574" s="20" t="s">
        <v>204</v>
      </c>
      <c r="K4574" s="20" t="s">
        <v>250</v>
      </c>
      <c r="L4574" s="20">
        <v>3500000</v>
      </c>
      <c r="M4574" s="20" t="s">
        <v>242</v>
      </c>
      <c r="N4574" s="20" t="s">
        <v>1577</v>
      </c>
    </row>
    <row r="4575" spans="1:14" hidden="1" x14ac:dyDescent="0.25">
      <c r="A4575" s="19">
        <v>45992</v>
      </c>
      <c r="B4575" s="20" t="s">
        <v>162</v>
      </c>
      <c r="C4575" s="20">
        <v>44</v>
      </c>
      <c r="D4575" s="20" t="s">
        <v>291</v>
      </c>
      <c r="E4575" s="20" t="s">
        <v>2361</v>
      </c>
      <c r="F4575" s="20" t="s">
        <v>2445</v>
      </c>
      <c r="G4575" s="20" t="s">
        <v>82</v>
      </c>
      <c r="H4575" s="20" t="s">
        <v>2446</v>
      </c>
      <c r="I4575" s="20" t="s">
        <v>2451</v>
      </c>
      <c r="J4575" s="20" t="s">
        <v>204</v>
      </c>
      <c r="K4575" s="20" t="s">
        <v>250</v>
      </c>
      <c r="L4575" s="20">
        <v>5520000</v>
      </c>
      <c r="M4575" s="20" t="s">
        <v>242</v>
      </c>
      <c r="N4575" s="20" t="s">
        <v>3119</v>
      </c>
    </row>
    <row r="4576" spans="1:14" hidden="1" x14ac:dyDescent="0.25">
      <c r="A4576" s="19">
        <v>45992</v>
      </c>
      <c r="B4576" s="20" t="s">
        <v>162</v>
      </c>
      <c r="C4576" s="20">
        <v>44</v>
      </c>
      <c r="D4576" s="20" t="s">
        <v>291</v>
      </c>
      <c r="E4576" s="20" t="s">
        <v>2361</v>
      </c>
      <c r="F4576" s="20" t="s">
        <v>2445</v>
      </c>
      <c r="G4576" s="20" t="s">
        <v>82</v>
      </c>
      <c r="H4576" s="20" t="s">
        <v>2449</v>
      </c>
      <c r="I4576" s="20" t="s">
        <v>2451</v>
      </c>
      <c r="J4576" s="20" t="s">
        <v>204</v>
      </c>
      <c r="K4576" s="20" t="s">
        <v>250</v>
      </c>
      <c r="L4576" s="20">
        <v>7320000</v>
      </c>
      <c r="M4576" s="20" t="s">
        <v>242</v>
      </c>
      <c r="N4576" s="20" t="s">
        <v>3120</v>
      </c>
    </row>
    <row r="4577" spans="1:14" hidden="1" x14ac:dyDescent="0.25">
      <c r="A4577" s="19">
        <v>45992</v>
      </c>
      <c r="B4577" s="20" t="s">
        <v>162</v>
      </c>
      <c r="C4577" s="20">
        <v>44</v>
      </c>
      <c r="D4577" s="20" t="s">
        <v>291</v>
      </c>
      <c r="E4577" s="20" t="s">
        <v>2361</v>
      </c>
      <c r="F4577" s="20" t="s">
        <v>2445</v>
      </c>
      <c r="G4577" s="20" t="s">
        <v>82</v>
      </c>
      <c r="H4577" s="20" t="s">
        <v>2446</v>
      </c>
      <c r="I4577" s="20" t="s">
        <v>2454</v>
      </c>
      <c r="J4577" s="20" t="s">
        <v>204</v>
      </c>
      <c r="K4577" s="20" t="s">
        <v>250</v>
      </c>
      <c r="L4577" s="20">
        <v>10800</v>
      </c>
      <c r="M4577" s="20" t="s">
        <v>242</v>
      </c>
      <c r="N4577" s="20" t="s">
        <v>3121</v>
      </c>
    </row>
    <row r="4578" spans="1:14" hidden="1" x14ac:dyDescent="0.25">
      <c r="A4578" s="19">
        <v>45992</v>
      </c>
      <c r="B4578" s="20" t="s">
        <v>162</v>
      </c>
      <c r="C4578" s="20">
        <v>44</v>
      </c>
      <c r="D4578" s="20" t="s">
        <v>291</v>
      </c>
      <c r="E4578" s="20" t="s">
        <v>2361</v>
      </c>
      <c r="F4578" s="20" t="s">
        <v>2445</v>
      </c>
      <c r="G4578" s="20" t="s">
        <v>82</v>
      </c>
      <c r="H4578" s="20" t="s">
        <v>2449</v>
      </c>
      <c r="I4578" s="20" t="s">
        <v>2454</v>
      </c>
      <c r="J4578" s="20" t="s">
        <v>204</v>
      </c>
      <c r="K4578" s="20" t="s">
        <v>250</v>
      </c>
      <c r="L4578" s="20">
        <v>114720</v>
      </c>
      <c r="M4578" s="20" t="s">
        <v>242</v>
      </c>
      <c r="N4578" s="20" t="s">
        <v>3122</v>
      </c>
    </row>
    <row r="4579" spans="1:14" hidden="1" x14ac:dyDescent="0.25">
      <c r="A4579" s="19">
        <v>45992</v>
      </c>
      <c r="B4579" s="20" t="s">
        <v>162</v>
      </c>
      <c r="C4579" s="20">
        <v>45</v>
      </c>
      <c r="D4579" s="20" t="s">
        <v>253</v>
      </c>
      <c r="E4579" s="20" t="s">
        <v>2359</v>
      </c>
      <c r="F4579" s="20" t="s">
        <v>2457</v>
      </c>
      <c r="G4579" s="20" t="s">
        <v>82</v>
      </c>
      <c r="H4579" s="20"/>
      <c r="I4579" s="20"/>
      <c r="J4579" s="20" t="s">
        <v>202</v>
      </c>
      <c r="K4579" s="20" t="s">
        <v>255</v>
      </c>
      <c r="L4579" s="20">
        <v>21870000</v>
      </c>
      <c r="M4579" s="20" t="s">
        <v>242</v>
      </c>
      <c r="N4579" s="20" t="s">
        <v>2821</v>
      </c>
    </row>
    <row r="4580" spans="1:14" hidden="1" x14ac:dyDescent="0.25">
      <c r="A4580" s="19">
        <v>45992</v>
      </c>
      <c r="B4580" s="20" t="s">
        <v>162</v>
      </c>
      <c r="C4580" s="20">
        <v>45</v>
      </c>
      <c r="D4580" s="20" t="s">
        <v>253</v>
      </c>
      <c r="E4580" s="20" t="s">
        <v>2359</v>
      </c>
      <c r="F4580" s="20" t="s">
        <v>2457</v>
      </c>
      <c r="G4580" s="20" t="s">
        <v>82</v>
      </c>
      <c r="H4580" s="20"/>
      <c r="I4580" s="20"/>
      <c r="J4580" s="20" t="s">
        <v>203</v>
      </c>
      <c r="K4580" s="20" t="s">
        <v>255</v>
      </c>
      <c r="L4580" s="20">
        <v>21730000</v>
      </c>
      <c r="M4580" s="20" t="s">
        <v>242</v>
      </c>
      <c r="N4580" s="20" t="s">
        <v>2976</v>
      </c>
    </row>
    <row r="4581" spans="1:14" hidden="1" x14ac:dyDescent="0.25">
      <c r="A4581" s="19">
        <v>45992</v>
      </c>
      <c r="B4581" s="20" t="s">
        <v>162</v>
      </c>
      <c r="C4581" s="20">
        <v>45</v>
      </c>
      <c r="D4581" s="20" t="s">
        <v>253</v>
      </c>
      <c r="E4581" s="20" t="s">
        <v>2359</v>
      </c>
      <c r="F4581" s="20" t="s">
        <v>2457</v>
      </c>
      <c r="G4581" s="20" t="s">
        <v>82</v>
      </c>
      <c r="H4581" s="20"/>
      <c r="I4581" s="20"/>
      <c r="J4581" s="20" t="s">
        <v>204</v>
      </c>
      <c r="K4581" s="20" t="s">
        <v>255</v>
      </c>
      <c r="L4581" s="20">
        <v>23490000</v>
      </c>
      <c r="M4581" s="20" t="s">
        <v>242</v>
      </c>
      <c r="N4581" s="20" t="s">
        <v>3123</v>
      </c>
    </row>
    <row r="4582" spans="1:14" hidden="1" x14ac:dyDescent="0.25">
      <c r="A4582" s="19">
        <v>45992</v>
      </c>
      <c r="B4582" s="20" t="s">
        <v>162</v>
      </c>
      <c r="C4582" s="20">
        <v>45</v>
      </c>
      <c r="D4582" s="20" t="s">
        <v>247</v>
      </c>
      <c r="E4582" s="20" t="s">
        <v>2554</v>
      </c>
      <c r="F4582" s="20" t="s">
        <v>2556</v>
      </c>
      <c r="G4582" s="20" t="s">
        <v>82</v>
      </c>
      <c r="H4582" s="20" t="s">
        <v>286</v>
      </c>
      <c r="I4582" s="20"/>
      <c r="J4582" s="20" t="s">
        <v>204</v>
      </c>
      <c r="K4582" s="20" t="s">
        <v>250</v>
      </c>
      <c r="L4582" s="20">
        <v>8.1</v>
      </c>
      <c r="M4582" s="20" t="s">
        <v>251</v>
      </c>
      <c r="N4582" s="20" t="s">
        <v>3066</v>
      </c>
    </row>
    <row r="4583" spans="1:14" hidden="1" x14ac:dyDescent="0.25">
      <c r="A4583" s="19">
        <v>45992</v>
      </c>
      <c r="B4583" s="20" t="s">
        <v>162</v>
      </c>
      <c r="C4583" s="20">
        <v>46</v>
      </c>
      <c r="D4583" s="20" t="s">
        <v>291</v>
      </c>
      <c r="E4583" s="20" t="s">
        <v>2361</v>
      </c>
      <c r="F4583" s="20" t="s">
        <v>2457</v>
      </c>
      <c r="G4583" s="20" t="s">
        <v>82</v>
      </c>
      <c r="H4583" s="20" t="s">
        <v>95</v>
      </c>
      <c r="I4583" s="20"/>
      <c r="J4583" s="20" t="s">
        <v>204</v>
      </c>
      <c r="K4583" s="20" t="s">
        <v>250</v>
      </c>
      <c r="L4583" s="20">
        <v>6530000</v>
      </c>
      <c r="M4583" s="20" t="s">
        <v>242</v>
      </c>
      <c r="N4583" s="20" t="s">
        <v>2210</v>
      </c>
    </row>
    <row r="4584" spans="1:14" hidden="1" x14ac:dyDescent="0.25">
      <c r="A4584" s="19">
        <v>45992</v>
      </c>
      <c r="B4584" s="20" t="s">
        <v>162</v>
      </c>
      <c r="C4584" s="20">
        <v>46</v>
      </c>
      <c r="D4584" s="20" t="s">
        <v>291</v>
      </c>
      <c r="E4584" s="20" t="s">
        <v>2361</v>
      </c>
      <c r="F4584" s="20" t="s">
        <v>2457</v>
      </c>
      <c r="G4584" s="20" t="s">
        <v>82</v>
      </c>
      <c r="H4584" s="20" t="s">
        <v>94</v>
      </c>
      <c r="I4584" s="20"/>
      <c r="J4584" s="20" t="s">
        <v>204</v>
      </c>
      <c r="K4584" s="20" t="s">
        <v>250</v>
      </c>
      <c r="L4584" s="20">
        <v>16960000</v>
      </c>
      <c r="M4584" s="20" t="s">
        <v>242</v>
      </c>
      <c r="N4584" s="20" t="s">
        <v>3124</v>
      </c>
    </row>
    <row r="4585" spans="1:14" hidden="1" x14ac:dyDescent="0.25">
      <c r="A4585" s="19">
        <v>45992</v>
      </c>
      <c r="B4585" s="20" t="s">
        <v>162</v>
      </c>
      <c r="C4585" s="20">
        <v>47</v>
      </c>
      <c r="D4585" s="20" t="s">
        <v>291</v>
      </c>
      <c r="E4585" s="20" t="s">
        <v>2361</v>
      </c>
      <c r="F4585" s="20" t="s">
        <v>2460</v>
      </c>
      <c r="G4585" s="20" t="s">
        <v>82</v>
      </c>
      <c r="H4585" s="20" t="s">
        <v>174</v>
      </c>
      <c r="I4585" s="20"/>
      <c r="J4585" s="20" t="s">
        <v>204</v>
      </c>
      <c r="K4585" s="20" t="s">
        <v>250</v>
      </c>
      <c r="L4585" s="20">
        <v>2950000</v>
      </c>
      <c r="M4585" s="20" t="s">
        <v>242</v>
      </c>
      <c r="N4585" s="20" t="s">
        <v>3125</v>
      </c>
    </row>
    <row r="4586" spans="1:14" hidden="1" x14ac:dyDescent="0.25">
      <c r="A4586" s="19">
        <v>45992</v>
      </c>
      <c r="B4586" s="20" t="s">
        <v>162</v>
      </c>
      <c r="C4586" s="20">
        <v>47</v>
      </c>
      <c r="D4586" s="20" t="s">
        <v>291</v>
      </c>
      <c r="E4586" s="20" t="s">
        <v>2361</v>
      </c>
      <c r="F4586" s="20" t="s">
        <v>2460</v>
      </c>
      <c r="G4586" s="20" t="s">
        <v>82</v>
      </c>
      <c r="H4586" s="20" t="s">
        <v>173</v>
      </c>
      <c r="I4586" s="20"/>
      <c r="J4586" s="20" t="s">
        <v>204</v>
      </c>
      <c r="K4586" s="20" t="s">
        <v>250</v>
      </c>
      <c r="L4586" s="20">
        <v>4290000</v>
      </c>
      <c r="M4586" s="20" t="s">
        <v>242</v>
      </c>
      <c r="N4586" s="20" t="s">
        <v>3126</v>
      </c>
    </row>
    <row r="4587" spans="1:14" hidden="1" x14ac:dyDescent="0.25">
      <c r="A4587" s="19">
        <v>45992</v>
      </c>
      <c r="B4587" s="20" t="s">
        <v>162</v>
      </c>
      <c r="C4587" s="20">
        <v>48</v>
      </c>
      <c r="D4587" s="20" t="s">
        <v>253</v>
      </c>
      <c r="E4587" s="20" t="s">
        <v>2359</v>
      </c>
      <c r="F4587" s="20" t="s">
        <v>1196</v>
      </c>
      <c r="G4587" s="20" t="s">
        <v>82</v>
      </c>
      <c r="H4587" s="20"/>
      <c r="I4587" s="20"/>
      <c r="J4587" s="20" t="s">
        <v>202</v>
      </c>
      <c r="K4587" s="20" t="s">
        <v>255</v>
      </c>
      <c r="L4587" s="20">
        <v>2410000000</v>
      </c>
      <c r="M4587" s="20" t="s">
        <v>245</v>
      </c>
      <c r="N4587" s="20" t="s">
        <v>2824</v>
      </c>
    </row>
    <row r="4588" spans="1:14" hidden="1" x14ac:dyDescent="0.25">
      <c r="A4588" s="19">
        <v>45992</v>
      </c>
      <c r="B4588" s="20" t="s">
        <v>162</v>
      </c>
      <c r="C4588" s="20">
        <v>48</v>
      </c>
      <c r="D4588" s="20" t="s">
        <v>253</v>
      </c>
      <c r="E4588" s="20" t="s">
        <v>2359</v>
      </c>
      <c r="F4588" s="20" t="s">
        <v>1196</v>
      </c>
      <c r="G4588" s="20" t="s">
        <v>82</v>
      </c>
      <c r="H4588" s="20"/>
      <c r="I4588" s="20"/>
      <c r="J4588" s="20" t="s">
        <v>203</v>
      </c>
      <c r="K4588" s="20" t="s">
        <v>255</v>
      </c>
      <c r="L4588" s="20">
        <v>2250000000</v>
      </c>
      <c r="M4588" s="20" t="s">
        <v>245</v>
      </c>
      <c r="N4588" s="20" t="s">
        <v>2980</v>
      </c>
    </row>
    <row r="4589" spans="1:14" hidden="1" x14ac:dyDescent="0.25">
      <c r="A4589" s="19">
        <v>45992</v>
      </c>
      <c r="B4589" s="20" t="s">
        <v>162</v>
      </c>
      <c r="C4589" s="20">
        <v>48</v>
      </c>
      <c r="D4589" s="20" t="s">
        <v>253</v>
      </c>
      <c r="E4589" s="20" t="s">
        <v>2359</v>
      </c>
      <c r="F4589" s="20" t="s">
        <v>1196</v>
      </c>
      <c r="G4589" s="20" t="s">
        <v>82</v>
      </c>
      <c r="H4589" s="20"/>
      <c r="I4589" s="20"/>
      <c r="J4589" s="20" t="s">
        <v>204</v>
      </c>
      <c r="K4589" s="20" t="s">
        <v>255</v>
      </c>
      <c r="L4589" s="20">
        <v>2450000000</v>
      </c>
      <c r="M4589" s="20" t="s">
        <v>245</v>
      </c>
      <c r="N4589" s="20" t="s">
        <v>2273</v>
      </c>
    </row>
    <row r="4590" spans="1:14" hidden="1" x14ac:dyDescent="0.25">
      <c r="A4590" s="19">
        <v>45992</v>
      </c>
      <c r="B4590" s="20" t="s">
        <v>162</v>
      </c>
      <c r="C4590" s="20">
        <v>48</v>
      </c>
      <c r="D4590" s="20" t="s">
        <v>247</v>
      </c>
      <c r="E4590" s="20" t="s">
        <v>2554</v>
      </c>
      <c r="F4590" s="20" t="s">
        <v>2557</v>
      </c>
      <c r="G4590" s="20" t="s">
        <v>82</v>
      </c>
      <c r="H4590" s="20" t="s">
        <v>286</v>
      </c>
      <c r="I4590" s="20"/>
      <c r="J4590" s="20" t="s">
        <v>204</v>
      </c>
      <c r="K4590" s="20" t="s">
        <v>250</v>
      </c>
      <c r="L4590" s="20">
        <v>8.5</v>
      </c>
      <c r="M4590" s="20" t="s">
        <v>251</v>
      </c>
      <c r="N4590" s="20" t="s">
        <v>1172</v>
      </c>
    </row>
    <row r="4591" spans="1:14" hidden="1" x14ac:dyDescent="0.25">
      <c r="A4591" s="19">
        <v>45992</v>
      </c>
      <c r="B4591" s="20" t="s">
        <v>162</v>
      </c>
      <c r="C4591" s="20">
        <v>49</v>
      </c>
      <c r="D4591" s="20" t="s">
        <v>291</v>
      </c>
      <c r="E4591" s="20" t="s">
        <v>2361</v>
      </c>
      <c r="F4591" s="20" t="s">
        <v>2462</v>
      </c>
      <c r="G4591" s="20" t="s">
        <v>82</v>
      </c>
      <c r="H4591" s="20" t="s">
        <v>2446</v>
      </c>
      <c r="I4591" s="20" t="s">
        <v>2447</v>
      </c>
      <c r="J4591" s="20" t="s">
        <v>204</v>
      </c>
      <c r="K4591" s="20" t="s">
        <v>250</v>
      </c>
      <c r="L4591" s="20">
        <v>1600000000</v>
      </c>
      <c r="M4591" s="20" t="s">
        <v>245</v>
      </c>
      <c r="N4591" s="20" t="s">
        <v>2034</v>
      </c>
    </row>
    <row r="4592" spans="1:14" hidden="1" x14ac:dyDescent="0.25">
      <c r="A4592" s="19">
        <v>45992</v>
      </c>
      <c r="B4592" s="20" t="s">
        <v>162</v>
      </c>
      <c r="C4592" s="20">
        <v>49</v>
      </c>
      <c r="D4592" s="20" t="s">
        <v>291</v>
      </c>
      <c r="E4592" s="20" t="s">
        <v>2361</v>
      </c>
      <c r="F4592" s="20" t="s">
        <v>2462</v>
      </c>
      <c r="G4592" s="20" t="s">
        <v>82</v>
      </c>
      <c r="H4592" s="20" t="s">
        <v>2449</v>
      </c>
      <c r="I4592" s="20" t="s">
        <v>2447</v>
      </c>
      <c r="J4592" s="20" t="s">
        <v>204</v>
      </c>
      <c r="K4592" s="20" t="s">
        <v>250</v>
      </c>
      <c r="L4592" s="20">
        <v>298600000</v>
      </c>
      <c r="M4592" s="20" t="s">
        <v>245</v>
      </c>
      <c r="N4592" s="20" t="s">
        <v>3127</v>
      </c>
    </row>
    <row r="4593" spans="1:14" hidden="1" x14ac:dyDescent="0.25">
      <c r="A4593" s="19">
        <v>45992</v>
      </c>
      <c r="B4593" s="20" t="s">
        <v>162</v>
      </c>
      <c r="C4593" s="20">
        <v>49</v>
      </c>
      <c r="D4593" s="20" t="s">
        <v>291</v>
      </c>
      <c r="E4593" s="20" t="s">
        <v>2361</v>
      </c>
      <c r="F4593" s="20" t="s">
        <v>2462</v>
      </c>
      <c r="G4593" s="20" t="s">
        <v>82</v>
      </c>
      <c r="H4593" s="20" t="s">
        <v>2446</v>
      </c>
      <c r="I4593" s="20" t="s">
        <v>2451</v>
      </c>
      <c r="J4593" s="20" t="s">
        <v>204</v>
      </c>
      <c r="K4593" s="20" t="s">
        <v>250</v>
      </c>
      <c r="L4593" s="20">
        <v>278200000</v>
      </c>
      <c r="M4593" s="20" t="s">
        <v>245</v>
      </c>
      <c r="N4593" s="20" t="s">
        <v>3128</v>
      </c>
    </row>
    <row r="4594" spans="1:14" hidden="1" x14ac:dyDescent="0.25">
      <c r="A4594" s="19">
        <v>45992</v>
      </c>
      <c r="B4594" s="20" t="s">
        <v>162</v>
      </c>
      <c r="C4594" s="20">
        <v>49</v>
      </c>
      <c r="D4594" s="20" t="s">
        <v>291</v>
      </c>
      <c r="E4594" s="20" t="s">
        <v>2361</v>
      </c>
      <c r="F4594" s="20" t="s">
        <v>2462</v>
      </c>
      <c r="G4594" s="20" t="s">
        <v>82</v>
      </c>
      <c r="H4594" s="20" t="s">
        <v>2449</v>
      </c>
      <c r="I4594" s="20" t="s">
        <v>2451</v>
      </c>
      <c r="J4594" s="20" t="s">
        <v>204</v>
      </c>
      <c r="K4594" s="20" t="s">
        <v>250</v>
      </c>
      <c r="L4594" s="20">
        <v>265700000</v>
      </c>
      <c r="M4594" s="20" t="s">
        <v>245</v>
      </c>
      <c r="N4594" s="20" t="s">
        <v>3129</v>
      </c>
    </row>
    <row r="4595" spans="1:14" hidden="1" x14ac:dyDescent="0.25">
      <c r="A4595" s="19">
        <v>45992</v>
      </c>
      <c r="B4595" s="20" t="s">
        <v>162</v>
      </c>
      <c r="C4595" s="20">
        <v>49</v>
      </c>
      <c r="D4595" s="20" t="s">
        <v>291</v>
      </c>
      <c r="E4595" s="20" t="s">
        <v>2361</v>
      </c>
      <c r="F4595" s="20" t="s">
        <v>2462</v>
      </c>
      <c r="G4595" s="20" t="s">
        <v>82</v>
      </c>
      <c r="H4595" s="20" t="s">
        <v>2446</v>
      </c>
      <c r="I4595" s="20" t="s">
        <v>2454</v>
      </c>
      <c r="J4595" s="20" t="s">
        <v>204</v>
      </c>
      <c r="K4595" s="20" t="s">
        <v>250</v>
      </c>
      <c r="L4595" s="20">
        <v>128000</v>
      </c>
      <c r="M4595" s="20" t="s">
        <v>245</v>
      </c>
      <c r="N4595" s="20" t="s">
        <v>3130</v>
      </c>
    </row>
    <row r="4596" spans="1:14" hidden="1" x14ac:dyDescent="0.25">
      <c r="A4596" s="19">
        <v>45992</v>
      </c>
      <c r="B4596" s="20" t="s">
        <v>162</v>
      </c>
      <c r="C4596" s="20">
        <v>49</v>
      </c>
      <c r="D4596" s="20" t="s">
        <v>291</v>
      </c>
      <c r="E4596" s="20" t="s">
        <v>2361</v>
      </c>
      <c r="F4596" s="20" t="s">
        <v>2462</v>
      </c>
      <c r="G4596" s="20" t="s">
        <v>82</v>
      </c>
      <c r="H4596" s="20" t="s">
        <v>2449</v>
      </c>
      <c r="I4596" s="20" t="s">
        <v>2454</v>
      </c>
      <c r="J4596" s="20" t="s">
        <v>204</v>
      </c>
      <c r="K4596" s="20" t="s">
        <v>250</v>
      </c>
      <c r="L4596" s="20">
        <v>1100000</v>
      </c>
      <c r="M4596" s="20" t="s">
        <v>245</v>
      </c>
      <c r="N4596" s="20" t="s">
        <v>2111</v>
      </c>
    </row>
    <row r="4597" spans="1:14" hidden="1" x14ac:dyDescent="0.25">
      <c r="A4597" s="19">
        <v>45992</v>
      </c>
      <c r="B4597" s="20" t="s">
        <v>162</v>
      </c>
      <c r="C4597" s="20">
        <v>50</v>
      </c>
      <c r="D4597" s="20" t="s">
        <v>253</v>
      </c>
      <c r="E4597" s="20" t="s">
        <v>2359</v>
      </c>
      <c r="F4597" s="20" t="s">
        <v>2468</v>
      </c>
      <c r="G4597" s="20" t="s">
        <v>82</v>
      </c>
      <c r="H4597" s="20"/>
      <c r="I4597" s="20"/>
      <c r="J4597" s="20" t="s">
        <v>202</v>
      </c>
      <c r="K4597" s="20" t="s">
        <v>255</v>
      </c>
      <c r="L4597" s="20">
        <v>1800000000</v>
      </c>
      <c r="M4597" s="20" t="s">
        <v>245</v>
      </c>
      <c r="N4597" s="20" t="s">
        <v>1229</v>
      </c>
    </row>
    <row r="4598" spans="1:14" hidden="1" x14ac:dyDescent="0.25">
      <c r="A4598" s="19">
        <v>45992</v>
      </c>
      <c r="B4598" s="20" t="s">
        <v>162</v>
      </c>
      <c r="C4598" s="20">
        <v>50</v>
      </c>
      <c r="D4598" s="20" t="s">
        <v>253</v>
      </c>
      <c r="E4598" s="20" t="s">
        <v>2359</v>
      </c>
      <c r="F4598" s="20" t="s">
        <v>2468</v>
      </c>
      <c r="G4598" s="20" t="s">
        <v>82</v>
      </c>
      <c r="H4598" s="20"/>
      <c r="I4598" s="20"/>
      <c r="J4598" s="20" t="s">
        <v>203</v>
      </c>
      <c r="K4598" s="20" t="s">
        <v>255</v>
      </c>
      <c r="L4598" s="20">
        <v>1690000000</v>
      </c>
      <c r="M4598" s="20" t="s">
        <v>245</v>
      </c>
      <c r="N4598" s="20" t="s">
        <v>673</v>
      </c>
    </row>
    <row r="4599" spans="1:14" hidden="1" x14ac:dyDescent="0.25">
      <c r="A4599" s="19">
        <v>45992</v>
      </c>
      <c r="B4599" s="20" t="s">
        <v>162</v>
      </c>
      <c r="C4599" s="20">
        <v>50</v>
      </c>
      <c r="D4599" s="20" t="s">
        <v>253</v>
      </c>
      <c r="E4599" s="20" t="s">
        <v>2359</v>
      </c>
      <c r="F4599" s="20" t="s">
        <v>2468</v>
      </c>
      <c r="G4599" s="20" t="s">
        <v>82</v>
      </c>
      <c r="H4599" s="20"/>
      <c r="I4599" s="20"/>
      <c r="J4599" s="20" t="s">
        <v>204</v>
      </c>
      <c r="K4599" s="20" t="s">
        <v>255</v>
      </c>
      <c r="L4599" s="20">
        <v>1830000000</v>
      </c>
      <c r="M4599" s="20" t="s">
        <v>245</v>
      </c>
      <c r="N4599" s="20" t="s">
        <v>1037</v>
      </c>
    </row>
    <row r="4600" spans="1:14" hidden="1" x14ac:dyDescent="0.25">
      <c r="A4600" s="19">
        <v>45992</v>
      </c>
      <c r="B4600" s="20" t="s">
        <v>162</v>
      </c>
      <c r="C4600" s="20">
        <v>50</v>
      </c>
      <c r="D4600" s="20" t="s">
        <v>247</v>
      </c>
      <c r="E4600" s="20" t="s">
        <v>2554</v>
      </c>
      <c r="F4600" s="20" t="s">
        <v>2557</v>
      </c>
      <c r="G4600" s="20" t="s">
        <v>82</v>
      </c>
      <c r="H4600" s="20" t="s">
        <v>286</v>
      </c>
      <c r="I4600" s="20"/>
      <c r="J4600" s="20" t="s">
        <v>204</v>
      </c>
      <c r="K4600" s="20" t="s">
        <v>250</v>
      </c>
      <c r="L4600" s="20">
        <v>8.5</v>
      </c>
      <c r="M4600" s="20" t="s">
        <v>251</v>
      </c>
      <c r="N4600" s="20" t="s">
        <v>1172</v>
      </c>
    </row>
    <row r="4601" spans="1:14" hidden="1" x14ac:dyDescent="0.25">
      <c r="A4601" s="19">
        <v>45992</v>
      </c>
      <c r="B4601" s="20" t="s">
        <v>162</v>
      </c>
      <c r="C4601" s="20">
        <v>51</v>
      </c>
      <c r="D4601" s="20" t="s">
        <v>291</v>
      </c>
      <c r="E4601" s="20" t="s">
        <v>2361</v>
      </c>
      <c r="F4601" s="20" t="s">
        <v>2468</v>
      </c>
      <c r="G4601" s="20" t="s">
        <v>82</v>
      </c>
      <c r="H4601" s="20" t="s">
        <v>95</v>
      </c>
      <c r="I4601" s="20"/>
      <c r="J4601" s="20" t="s">
        <v>204</v>
      </c>
      <c r="K4601" s="20" t="s">
        <v>250</v>
      </c>
      <c r="L4601" s="20">
        <v>373600000</v>
      </c>
      <c r="M4601" s="20" t="s">
        <v>245</v>
      </c>
      <c r="N4601" s="20" t="s">
        <v>3131</v>
      </c>
    </row>
    <row r="4602" spans="1:14" hidden="1" x14ac:dyDescent="0.25">
      <c r="A4602" s="19">
        <v>45992</v>
      </c>
      <c r="B4602" s="20" t="s">
        <v>162</v>
      </c>
      <c r="C4602" s="20">
        <v>51</v>
      </c>
      <c r="D4602" s="20" t="s">
        <v>291</v>
      </c>
      <c r="E4602" s="20" t="s">
        <v>2361</v>
      </c>
      <c r="F4602" s="20" t="s">
        <v>2468</v>
      </c>
      <c r="G4602" s="20" t="s">
        <v>82</v>
      </c>
      <c r="H4602" s="20" t="s">
        <v>94</v>
      </c>
      <c r="I4602" s="20"/>
      <c r="J4602" s="20" t="s">
        <v>204</v>
      </c>
      <c r="K4602" s="20" t="s">
        <v>250</v>
      </c>
      <c r="L4602" s="20">
        <v>1460000000</v>
      </c>
      <c r="M4602" s="20" t="s">
        <v>245</v>
      </c>
      <c r="N4602" s="20" t="s">
        <v>3132</v>
      </c>
    </row>
    <row r="4603" spans="1:14" hidden="1" x14ac:dyDescent="0.25">
      <c r="A4603" s="19">
        <v>45992</v>
      </c>
      <c r="B4603" s="20" t="s">
        <v>162</v>
      </c>
      <c r="C4603" s="20">
        <v>52</v>
      </c>
      <c r="D4603" s="20" t="s">
        <v>291</v>
      </c>
      <c r="E4603" s="20" t="s">
        <v>2361</v>
      </c>
      <c r="F4603" s="20" t="s">
        <v>2472</v>
      </c>
      <c r="G4603" s="20" t="s">
        <v>82</v>
      </c>
      <c r="H4603" s="20" t="s">
        <v>174</v>
      </c>
      <c r="I4603" s="20"/>
      <c r="J4603" s="20" t="s">
        <v>204</v>
      </c>
      <c r="K4603" s="20" t="s">
        <v>250</v>
      </c>
      <c r="L4603" s="20">
        <v>242900000</v>
      </c>
      <c r="M4603" s="20" t="s">
        <v>245</v>
      </c>
      <c r="N4603" s="20" t="s">
        <v>3133</v>
      </c>
    </row>
    <row r="4604" spans="1:14" hidden="1" x14ac:dyDescent="0.25">
      <c r="A4604" s="19">
        <v>45992</v>
      </c>
      <c r="B4604" s="20" t="s">
        <v>162</v>
      </c>
      <c r="C4604" s="20">
        <v>52</v>
      </c>
      <c r="D4604" s="20" t="s">
        <v>291</v>
      </c>
      <c r="E4604" s="20" t="s">
        <v>2361</v>
      </c>
      <c r="F4604" s="20" t="s">
        <v>2472</v>
      </c>
      <c r="G4604" s="20" t="s">
        <v>82</v>
      </c>
      <c r="H4604" s="20" t="s">
        <v>173</v>
      </c>
      <c r="I4604" s="20"/>
      <c r="J4604" s="20" t="s">
        <v>204</v>
      </c>
      <c r="K4604" s="20" t="s">
        <v>250</v>
      </c>
      <c r="L4604" s="20">
        <v>197700000</v>
      </c>
      <c r="M4604" s="20" t="s">
        <v>245</v>
      </c>
      <c r="N4604" s="20" t="s">
        <v>3134</v>
      </c>
    </row>
    <row r="4605" spans="1:14" hidden="1" x14ac:dyDescent="0.25">
      <c r="A4605" s="19">
        <v>45992</v>
      </c>
      <c r="B4605" s="20" t="s">
        <v>162</v>
      </c>
      <c r="C4605" s="20">
        <v>53</v>
      </c>
      <c r="D4605" s="20" t="s">
        <v>238</v>
      </c>
      <c r="E4605" s="20" t="s">
        <v>2341</v>
      </c>
      <c r="F4605" s="20" t="s">
        <v>334</v>
      </c>
      <c r="G4605" s="20" t="s">
        <v>82</v>
      </c>
      <c r="H4605" s="20" t="s">
        <v>179</v>
      </c>
      <c r="I4605" s="20"/>
      <c r="J4605" s="20" t="s">
        <v>204</v>
      </c>
      <c r="K4605" s="20" t="s">
        <v>250</v>
      </c>
      <c r="L4605" s="20">
        <v>10</v>
      </c>
      <c r="M4605" s="20" t="s">
        <v>245</v>
      </c>
      <c r="N4605" s="20" t="s">
        <v>2988</v>
      </c>
    </row>
    <row r="4606" spans="1:14" hidden="1" x14ac:dyDescent="0.25">
      <c r="A4606" s="19">
        <v>45992</v>
      </c>
      <c r="B4606" s="20" t="s">
        <v>162</v>
      </c>
      <c r="C4606" s="20">
        <v>53</v>
      </c>
      <c r="D4606" s="20" t="s">
        <v>238</v>
      </c>
      <c r="E4606" s="20" t="s">
        <v>2341</v>
      </c>
      <c r="F4606" s="20" t="s">
        <v>334</v>
      </c>
      <c r="G4606" s="20" t="s">
        <v>82</v>
      </c>
      <c r="H4606" s="20" t="s">
        <v>170</v>
      </c>
      <c r="I4606" s="20"/>
      <c r="J4606" s="20" t="s">
        <v>204</v>
      </c>
      <c r="K4606" s="20" t="s">
        <v>250</v>
      </c>
      <c r="L4606" s="20">
        <v>12</v>
      </c>
      <c r="M4606" s="20" t="s">
        <v>245</v>
      </c>
      <c r="N4606" s="20" t="s">
        <v>1773</v>
      </c>
    </row>
    <row r="4607" spans="1:14" hidden="1" x14ac:dyDescent="0.25">
      <c r="A4607" s="19">
        <v>45992</v>
      </c>
      <c r="B4607" s="20" t="s">
        <v>162</v>
      </c>
      <c r="C4607" s="20">
        <v>53</v>
      </c>
      <c r="D4607" s="20" t="s">
        <v>238</v>
      </c>
      <c r="E4607" s="20" t="s">
        <v>2341</v>
      </c>
      <c r="F4607" s="20" t="s">
        <v>334</v>
      </c>
      <c r="G4607" s="20" t="s">
        <v>82</v>
      </c>
      <c r="H4607" s="20" t="s">
        <v>178</v>
      </c>
      <c r="I4607" s="20"/>
      <c r="J4607" s="20" t="s">
        <v>204</v>
      </c>
      <c r="K4607" s="20" t="s">
        <v>250</v>
      </c>
      <c r="L4607" s="20">
        <v>36</v>
      </c>
      <c r="M4607" s="20" t="s">
        <v>245</v>
      </c>
      <c r="N4607" s="20" t="s">
        <v>3135</v>
      </c>
    </row>
    <row r="4608" spans="1:14" hidden="1" x14ac:dyDescent="0.25">
      <c r="A4608" s="19">
        <v>45992</v>
      </c>
      <c r="B4608" s="20" t="s">
        <v>162</v>
      </c>
      <c r="C4608" s="20">
        <v>53</v>
      </c>
      <c r="D4608" s="20" t="s">
        <v>238</v>
      </c>
      <c r="E4608" s="20" t="s">
        <v>2341</v>
      </c>
      <c r="F4608" s="20" t="s">
        <v>334</v>
      </c>
      <c r="G4608" s="20" t="s">
        <v>82</v>
      </c>
      <c r="H4608" s="20" t="s">
        <v>173</v>
      </c>
      <c r="I4608" s="20"/>
      <c r="J4608" s="20" t="s">
        <v>204</v>
      </c>
      <c r="K4608" s="20" t="s">
        <v>250</v>
      </c>
      <c r="L4608" s="20">
        <v>50</v>
      </c>
      <c r="M4608" s="20" t="s">
        <v>245</v>
      </c>
      <c r="N4608" s="20" t="s">
        <v>3136</v>
      </c>
    </row>
    <row r="4609" spans="1:14" hidden="1" x14ac:dyDescent="0.25">
      <c r="A4609" s="19">
        <v>45992</v>
      </c>
      <c r="B4609" s="20" t="s">
        <v>162</v>
      </c>
      <c r="C4609" s="20">
        <v>53</v>
      </c>
      <c r="D4609" s="20" t="s">
        <v>238</v>
      </c>
      <c r="E4609" s="20" t="s">
        <v>2341</v>
      </c>
      <c r="F4609" s="20" t="s">
        <v>334</v>
      </c>
      <c r="G4609" s="20" t="s">
        <v>82</v>
      </c>
      <c r="H4609" s="20" t="s">
        <v>174</v>
      </c>
      <c r="I4609" s="20"/>
      <c r="J4609" s="20" t="s">
        <v>204</v>
      </c>
      <c r="K4609" s="20" t="s">
        <v>250</v>
      </c>
      <c r="L4609" s="20">
        <v>85</v>
      </c>
      <c r="M4609" s="20" t="s">
        <v>245</v>
      </c>
      <c r="N4609" s="20" t="s">
        <v>2992</v>
      </c>
    </row>
    <row r="4610" spans="1:14" hidden="1" x14ac:dyDescent="0.25">
      <c r="A4610" s="19">
        <v>45992</v>
      </c>
      <c r="B4610" s="20" t="s">
        <v>162</v>
      </c>
      <c r="C4610" s="20">
        <v>53</v>
      </c>
      <c r="D4610" s="20" t="s">
        <v>238</v>
      </c>
      <c r="E4610" s="20" t="s">
        <v>2341</v>
      </c>
      <c r="F4610" s="20" t="s">
        <v>334</v>
      </c>
      <c r="G4610" s="20" t="s">
        <v>82</v>
      </c>
      <c r="H4610" s="20" t="s">
        <v>164</v>
      </c>
      <c r="I4610" s="20"/>
      <c r="J4610" s="20" t="s">
        <v>204</v>
      </c>
      <c r="K4610" s="20" t="s">
        <v>250</v>
      </c>
      <c r="L4610" s="20">
        <v>132</v>
      </c>
      <c r="M4610" s="20" t="s">
        <v>245</v>
      </c>
      <c r="N4610" s="20" t="s">
        <v>3137</v>
      </c>
    </row>
    <row r="4611" spans="1:14" hidden="1" x14ac:dyDescent="0.25">
      <c r="A4611" s="19">
        <v>45992</v>
      </c>
      <c r="B4611" s="20" t="s">
        <v>162</v>
      </c>
      <c r="C4611" s="20">
        <v>53</v>
      </c>
      <c r="D4611" s="20" t="s">
        <v>238</v>
      </c>
      <c r="E4611" s="20" t="s">
        <v>2341</v>
      </c>
      <c r="F4611" s="20" t="s">
        <v>455</v>
      </c>
      <c r="G4611" s="20" t="s">
        <v>82</v>
      </c>
      <c r="H4611" s="20"/>
      <c r="I4611" s="20"/>
      <c r="J4611" s="20" t="s">
        <v>204</v>
      </c>
      <c r="K4611" s="20" t="s">
        <v>250</v>
      </c>
      <c r="L4611" s="20">
        <v>86</v>
      </c>
      <c r="M4611" s="20" t="s">
        <v>245</v>
      </c>
      <c r="N4611" s="20" t="s">
        <v>2991</v>
      </c>
    </row>
    <row r="4612" spans="1:14" hidden="1" x14ac:dyDescent="0.25">
      <c r="A4612" s="19">
        <v>45992</v>
      </c>
      <c r="B4612" s="20" t="s">
        <v>1192</v>
      </c>
      <c r="C4612" s="20">
        <v>55</v>
      </c>
      <c r="D4612" s="20" t="s">
        <v>238</v>
      </c>
      <c r="E4612" s="20" t="s">
        <v>2341</v>
      </c>
      <c r="F4612" s="20" t="s">
        <v>240</v>
      </c>
      <c r="G4612" s="20" t="s">
        <v>82</v>
      </c>
      <c r="H4612" s="20"/>
      <c r="I4612" s="20"/>
      <c r="J4612" s="20" t="s">
        <v>3052</v>
      </c>
      <c r="K4612" s="20" t="s">
        <v>241</v>
      </c>
      <c r="L4612" s="20">
        <v>269960000</v>
      </c>
      <c r="M4612" s="20" t="s">
        <v>242</v>
      </c>
      <c r="N4612" s="20" t="s">
        <v>3115</v>
      </c>
    </row>
    <row r="4613" spans="1:14" hidden="1" x14ac:dyDescent="0.25">
      <c r="A4613" s="19">
        <v>45992</v>
      </c>
      <c r="B4613" s="20" t="s">
        <v>2481</v>
      </c>
      <c r="C4613" s="20">
        <v>55</v>
      </c>
      <c r="D4613" s="20" t="s">
        <v>238</v>
      </c>
      <c r="E4613" s="20" t="s">
        <v>2341</v>
      </c>
      <c r="F4613" s="20" t="s">
        <v>244</v>
      </c>
      <c r="G4613" s="20" t="s">
        <v>82</v>
      </c>
      <c r="H4613" s="20"/>
      <c r="I4613" s="20"/>
      <c r="J4613" s="20" t="s">
        <v>3052</v>
      </c>
      <c r="K4613" s="20" t="s">
        <v>241</v>
      </c>
      <c r="L4613" s="20">
        <v>26310000000</v>
      </c>
      <c r="M4613" s="20" t="s">
        <v>245</v>
      </c>
      <c r="N4613" s="20" t="s">
        <v>3116</v>
      </c>
    </row>
    <row r="4614" spans="1:14" hidden="1" x14ac:dyDescent="0.25">
      <c r="A4614" s="19">
        <v>45992</v>
      </c>
      <c r="B4614" s="20" t="s">
        <v>1192</v>
      </c>
      <c r="C4614" s="20">
        <v>55</v>
      </c>
      <c r="D4614" s="20" t="s">
        <v>238</v>
      </c>
      <c r="E4614" s="20" t="s">
        <v>2341</v>
      </c>
      <c r="F4614" s="20" t="s">
        <v>240</v>
      </c>
      <c r="G4614" s="20" t="s">
        <v>82</v>
      </c>
      <c r="H4614" s="20" t="s">
        <v>184</v>
      </c>
      <c r="I4614" s="20"/>
      <c r="J4614" s="20" t="s">
        <v>3052</v>
      </c>
      <c r="K4614" s="20" t="s">
        <v>241</v>
      </c>
      <c r="L4614" s="20">
        <v>167920000</v>
      </c>
      <c r="M4614" s="20" t="s">
        <v>242</v>
      </c>
      <c r="N4614" s="20" t="s">
        <v>3053</v>
      </c>
    </row>
    <row r="4615" spans="1:14" hidden="1" x14ac:dyDescent="0.25">
      <c r="A4615" s="19">
        <v>45992</v>
      </c>
      <c r="B4615" s="20" t="s">
        <v>1192</v>
      </c>
      <c r="C4615" s="20">
        <v>55</v>
      </c>
      <c r="D4615" s="20" t="s">
        <v>238</v>
      </c>
      <c r="E4615" s="20" t="s">
        <v>2341</v>
      </c>
      <c r="F4615" s="20" t="s">
        <v>240</v>
      </c>
      <c r="G4615" s="20" t="s">
        <v>82</v>
      </c>
      <c r="H4615" s="20" t="s">
        <v>185</v>
      </c>
      <c r="I4615" s="20"/>
      <c r="J4615" s="20" t="s">
        <v>3052</v>
      </c>
      <c r="K4615" s="20" t="s">
        <v>241</v>
      </c>
      <c r="L4615" s="20">
        <v>102040000</v>
      </c>
      <c r="M4615" s="20" t="s">
        <v>242</v>
      </c>
      <c r="N4615" s="20" t="s">
        <v>3075</v>
      </c>
    </row>
    <row r="4616" spans="1:14" hidden="1" x14ac:dyDescent="0.25">
      <c r="A4616" s="19">
        <v>45992</v>
      </c>
      <c r="B4616" s="20" t="s">
        <v>2481</v>
      </c>
      <c r="C4616" s="20">
        <v>55</v>
      </c>
      <c r="D4616" s="20" t="s">
        <v>238</v>
      </c>
      <c r="E4616" s="20" t="s">
        <v>2341</v>
      </c>
      <c r="F4616" s="20" t="s">
        <v>244</v>
      </c>
      <c r="G4616" s="20" t="s">
        <v>82</v>
      </c>
      <c r="H4616" s="20" t="s">
        <v>184</v>
      </c>
      <c r="I4616" s="20"/>
      <c r="J4616" s="20" t="s">
        <v>3052</v>
      </c>
      <c r="K4616" s="20" t="s">
        <v>241</v>
      </c>
      <c r="L4616" s="20">
        <v>19970000000</v>
      </c>
      <c r="M4616" s="20" t="s">
        <v>245</v>
      </c>
      <c r="N4616" s="20" t="s">
        <v>3054</v>
      </c>
    </row>
    <row r="4617" spans="1:14" hidden="1" x14ac:dyDescent="0.25">
      <c r="A4617" s="19">
        <v>45992</v>
      </c>
      <c r="B4617" s="20" t="s">
        <v>2481</v>
      </c>
      <c r="C4617" s="20">
        <v>55</v>
      </c>
      <c r="D4617" s="20" t="s">
        <v>238</v>
      </c>
      <c r="E4617" s="20" t="s">
        <v>2341</v>
      </c>
      <c r="F4617" s="20" t="s">
        <v>244</v>
      </c>
      <c r="G4617" s="20" t="s">
        <v>82</v>
      </c>
      <c r="H4617" s="20" t="s">
        <v>185</v>
      </c>
      <c r="I4617" s="20"/>
      <c r="J4617" s="20" t="s">
        <v>3052</v>
      </c>
      <c r="K4617" s="20" t="s">
        <v>241</v>
      </c>
      <c r="L4617" s="20">
        <v>6340000000</v>
      </c>
      <c r="M4617" s="20" t="s">
        <v>245</v>
      </c>
      <c r="N4617" s="20" t="s">
        <v>3076</v>
      </c>
    </row>
    <row r="4618" spans="1:14" hidden="1" x14ac:dyDescent="0.25">
      <c r="A4618" s="19">
        <v>45992</v>
      </c>
      <c r="B4618" s="20" t="s">
        <v>2481</v>
      </c>
      <c r="C4618" s="20">
        <v>56</v>
      </c>
      <c r="D4618" s="20" t="s">
        <v>238</v>
      </c>
      <c r="E4618" s="20" t="s">
        <v>2341</v>
      </c>
      <c r="F4618" s="20" t="s">
        <v>285</v>
      </c>
      <c r="G4618" s="20" t="s">
        <v>63</v>
      </c>
      <c r="H4618" s="20" t="s">
        <v>1202</v>
      </c>
      <c r="I4618" s="20"/>
      <c r="J4618" s="20" t="s">
        <v>3052</v>
      </c>
      <c r="K4618" s="20" t="s">
        <v>241</v>
      </c>
      <c r="L4618" s="20">
        <v>1060000</v>
      </c>
      <c r="M4618" s="20" t="s">
        <v>242</v>
      </c>
      <c r="N4618" s="20" t="s">
        <v>750</v>
      </c>
    </row>
    <row r="4619" spans="1:14" hidden="1" x14ac:dyDescent="0.25">
      <c r="A4619" s="19">
        <v>45992</v>
      </c>
      <c r="B4619" s="20" t="s">
        <v>2481</v>
      </c>
      <c r="C4619" s="20">
        <v>56</v>
      </c>
      <c r="D4619" s="20" t="s">
        <v>238</v>
      </c>
      <c r="E4619" s="20" t="s">
        <v>2341</v>
      </c>
      <c r="F4619" s="20" t="s">
        <v>285</v>
      </c>
      <c r="G4619" s="20" t="s">
        <v>63</v>
      </c>
      <c r="H4619" s="20" t="s">
        <v>1204</v>
      </c>
      <c r="I4619" s="20"/>
      <c r="J4619" s="20" t="s">
        <v>3052</v>
      </c>
      <c r="K4619" s="20" t="s">
        <v>241</v>
      </c>
      <c r="L4619" s="20">
        <v>1750000</v>
      </c>
      <c r="M4619" s="20" t="s">
        <v>242</v>
      </c>
      <c r="N4619" s="20" t="s">
        <v>1100</v>
      </c>
    </row>
    <row r="4620" spans="1:14" hidden="1" x14ac:dyDescent="0.25">
      <c r="A4620" s="19">
        <v>45992</v>
      </c>
      <c r="B4620" s="20" t="s">
        <v>2481</v>
      </c>
      <c r="C4620" s="20">
        <v>56</v>
      </c>
      <c r="D4620" s="20" t="s">
        <v>238</v>
      </c>
      <c r="E4620" s="20" t="s">
        <v>2341</v>
      </c>
      <c r="F4620" s="20" t="s">
        <v>285</v>
      </c>
      <c r="G4620" s="20" t="s">
        <v>63</v>
      </c>
      <c r="H4620" s="20" t="s">
        <v>1200</v>
      </c>
      <c r="I4620" s="20"/>
      <c r="J4620" s="20" t="s">
        <v>3052</v>
      </c>
      <c r="K4620" s="20" t="s">
        <v>241</v>
      </c>
      <c r="L4620" s="20">
        <v>1070000</v>
      </c>
      <c r="M4620" s="20" t="s">
        <v>242</v>
      </c>
      <c r="N4620" s="20" t="s">
        <v>3138</v>
      </c>
    </row>
    <row r="4621" spans="1:14" hidden="1" x14ac:dyDescent="0.25">
      <c r="A4621" s="19">
        <v>45992</v>
      </c>
      <c r="B4621" s="20" t="s">
        <v>2481</v>
      </c>
      <c r="C4621" s="20">
        <v>56</v>
      </c>
      <c r="D4621" s="20" t="s">
        <v>238</v>
      </c>
      <c r="E4621" s="20" t="s">
        <v>2341</v>
      </c>
      <c r="F4621" s="20" t="s">
        <v>285</v>
      </c>
      <c r="G4621" s="20" t="s">
        <v>63</v>
      </c>
      <c r="H4621" s="20"/>
      <c r="I4621" s="20"/>
      <c r="J4621" s="20" t="s">
        <v>3052</v>
      </c>
      <c r="K4621" s="20" t="s">
        <v>241</v>
      </c>
      <c r="L4621" s="20">
        <v>3930000</v>
      </c>
      <c r="M4621" s="20" t="s">
        <v>242</v>
      </c>
      <c r="N4621" s="20" t="s">
        <v>3139</v>
      </c>
    </row>
    <row r="4622" spans="1:14" hidden="1" x14ac:dyDescent="0.25">
      <c r="A4622" s="19">
        <v>45992</v>
      </c>
      <c r="B4622" s="20" t="s">
        <v>2481</v>
      </c>
      <c r="C4622" s="20">
        <v>57</v>
      </c>
      <c r="D4622" s="20" t="s">
        <v>238</v>
      </c>
      <c r="E4622" s="20" t="s">
        <v>2341</v>
      </c>
      <c r="F4622" s="20" t="s">
        <v>1194</v>
      </c>
      <c r="G4622" s="20" t="s">
        <v>82</v>
      </c>
      <c r="H4622" s="20"/>
      <c r="I4622" s="20"/>
      <c r="J4622" s="20" t="s">
        <v>204</v>
      </c>
      <c r="K4622" s="20" t="s">
        <v>250</v>
      </c>
      <c r="L4622" s="20">
        <v>28600000</v>
      </c>
      <c r="M4622" s="20" t="s">
        <v>242</v>
      </c>
      <c r="N4622" s="20" t="s">
        <v>3140</v>
      </c>
    </row>
    <row r="4623" spans="1:14" hidden="1" x14ac:dyDescent="0.25">
      <c r="A4623" s="19">
        <v>45992</v>
      </c>
      <c r="B4623" s="20" t="s">
        <v>2481</v>
      </c>
      <c r="C4623" s="20">
        <v>57</v>
      </c>
      <c r="D4623" s="20" t="s">
        <v>238</v>
      </c>
      <c r="E4623" s="20" t="s">
        <v>2341</v>
      </c>
      <c r="F4623" s="20" t="s">
        <v>2487</v>
      </c>
      <c r="G4623" s="20" t="s">
        <v>82</v>
      </c>
      <c r="H4623" s="20" t="s">
        <v>184</v>
      </c>
      <c r="I4623" s="20"/>
      <c r="J4623" s="20" t="s">
        <v>204</v>
      </c>
      <c r="K4623" s="20" t="s">
        <v>250</v>
      </c>
      <c r="L4623" s="20">
        <v>17670000</v>
      </c>
      <c r="M4623" s="20" t="s">
        <v>242</v>
      </c>
      <c r="N4623" s="20" t="s">
        <v>3040</v>
      </c>
    </row>
    <row r="4624" spans="1:14" hidden="1" x14ac:dyDescent="0.25">
      <c r="A4624" s="19">
        <v>45992</v>
      </c>
      <c r="B4624" s="20" t="s">
        <v>2481</v>
      </c>
      <c r="C4624" s="20">
        <v>57</v>
      </c>
      <c r="D4624" s="20" t="s">
        <v>238</v>
      </c>
      <c r="E4624" s="20" t="s">
        <v>2341</v>
      </c>
      <c r="F4624" s="20" t="s">
        <v>2488</v>
      </c>
      <c r="G4624" s="20" t="s">
        <v>82</v>
      </c>
      <c r="H4624" s="20" t="s">
        <v>185</v>
      </c>
      <c r="I4624" s="20"/>
      <c r="J4624" s="20" t="s">
        <v>204</v>
      </c>
      <c r="K4624" s="20" t="s">
        <v>250</v>
      </c>
      <c r="L4624" s="20">
        <v>10930000</v>
      </c>
      <c r="M4624" s="20" t="s">
        <v>242</v>
      </c>
      <c r="N4624" s="20" t="s">
        <v>3042</v>
      </c>
    </row>
    <row r="4625" spans="1:14" hidden="1" x14ac:dyDescent="0.25">
      <c r="A4625" s="19">
        <v>45992</v>
      </c>
      <c r="B4625" s="20" t="s">
        <v>2481</v>
      </c>
      <c r="C4625" s="20">
        <v>58</v>
      </c>
      <c r="D4625" s="20" t="s">
        <v>238</v>
      </c>
      <c r="E4625" s="20" t="s">
        <v>2341</v>
      </c>
      <c r="F4625" s="20" t="s">
        <v>1196</v>
      </c>
      <c r="G4625" s="20" t="s">
        <v>82</v>
      </c>
      <c r="H4625" s="20"/>
      <c r="I4625" s="20"/>
      <c r="J4625" s="20" t="s">
        <v>204</v>
      </c>
      <c r="K4625" s="20" t="s">
        <v>250</v>
      </c>
      <c r="L4625" s="20">
        <v>2440000000</v>
      </c>
      <c r="M4625" s="20" t="s">
        <v>245</v>
      </c>
      <c r="N4625" s="20" t="s">
        <v>3141</v>
      </c>
    </row>
    <row r="4626" spans="1:14" hidden="1" x14ac:dyDescent="0.25">
      <c r="A4626" s="19">
        <v>45992</v>
      </c>
      <c r="B4626" s="20" t="s">
        <v>2481</v>
      </c>
      <c r="C4626" s="20">
        <v>58</v>
      </c>
      <c r="D4626" s="20" t="s">
        <v>238</v>
      </c>
      <c r="E4626" s="20" t="s">
        <v>2341</v>
      </c>
      <c r="F4626" s="20" t="s">
        <v>2489</v>
      </c>
      <c r="G4626" s="20" t="s">
        <v>82</v>
      </c>
      <c r="H4626" s="20" t="s">
        <v>184</v>
      </c>
      <c r="I4626" s="20"/>
      <c r="J4626" s="20" t="s">
        <v>204</v>
      </c>
      <c r="K4626" s="20" t="s">
        <v>250</v>
      </c>
      <c r="L4626" s="20">
        <v>1880000000</v>
      </c>
      <c r="M4626" s="20" t="s">
        <v>245</v>
      </c>
      <c r="N4626" s="20" t="s">
        <v>2344</v>
      </c>
    </row>
    <row r="4627" spans="1:14" hidden="1" x14ac:dyDescent="0.25">
      <c r="A4627" s="19">
        <v>45992</v>
      </c>
      <c r="B4627" s="20" t="s">
        <v>2481</v>
      </c>
      <c r="C4627" s="20">
        <v>58</v>
      </c>
      <c r="D4627" s="20" t="s">
        <v>238</v>
      </c>
      <c r="E4627" s="20" t="s">
        <v>2341</v>
      </c>
      <c r="F4627" s="20" t="s">
        <v>2490</v>
      </c>
      <c r="G4627" s="20" t="s">
        <v>82</v>
      </c>
      <c r="H4627" s="20" t="s">
        <v>185</v>
      </c>
      <c r="I4627" s="20"/>
      <c r="J4627" s="20" t="s">
        <v>204</v>
      </c>
      <c r="K4627" s="20" t="s">
        <v>250</v>
      </c>
      <c r="L4627" s="20">
        <v>570000000</v>
      </c>
      <c r="M4627" s="20" t="s">
        <v>245</v>
      </c>
      <c r="N4627" s="20" t="s">
        <v>2491</v>
      </c>
    </row>
    <row r="4628" spans="1:14" hidden="1" x14ac:dyDescent="0.25">
      <c r="A4628" s="19">
        <v>45992</v>
      </c>
      <c r="B4628" s="20" t="s">
        <v>2481</v>
      </c>
      <c r="C4628" s="20">
        <v>59</v>
      </c>
      <c r="D4628" s="20" t="s">
        <v>238</v>
      </c>
      <c r="E4628" s="20" t="s">
        <v>2341</v>
      </c>
      <c r="F4628" s="20" t="s">
        <v>1213</v>
      </c>
      <c r="G4628" s="20" t="s">
        <v>82</v>
      </c>
      <c r="H4628" s="20"/>
      <c r="I4628" s="20"/>
      <c r="J4628" s="20" t="s">
        <v>204</v>
      </c>
      <c r="K4628" s="20" t="s">
        <v>250</v>
      </c>
      <c r="L4628" s="20">
        <v>85.5</v>
      </c>
      <c r="M4628" s="20" t="s">
        <v>245</v>
      </c>
      <c r="N4628" s="20" t="s">
        <v>3142</v>
      </c>
    </row>
    <row r="4629" spans="1:14" hidden="1" x14ac:dyDescent="0.25">
      <c r="A4629" s="19">
        <v>45992</v>
      </c>
      <c r="B4629" s="20" t="s">
        <v>2481</v>
      </c>
      <c r="C4629" s="20">
        <v>59</v>
      </c>
      <c r="D4629" s="20" t="s">
        <v>238</v>
      </c>
      <c r="E4629" s="20" t="s">
        <v>2341</v>
      </c>
      <c r="F4629" s="20" t="s">
        <v>2493</v>
      </c>
      <c r="G4629" s="20" t="s">
        <v>82</v>
      </c>
      <c r="H4629" s="20" t="s">
        <v>184</v>
      </c>
      <c r="I4629" s="20"/>
      <c r="J4629" s="20" t="s">
        <v>204</v>
      </c>
      <c r="K4629" s="20" t="s">
        <v>250</v>
      </c>
      <c r="L4629" s="20">
        <v>106.4</v>
      </c>
      <c r="M4629" s="20" t="s">
        <v>245</v>
      </c>
      <c r="N4629" s="20" t="s">
        <v>3143</v>
      </c>
    </row>
    <row r="4630" spans="1:14" hidden="1" x14ac:dyDescent="0.25">
      <c r="A4630" s="19">
        <v>45992</v>
      </c>
      <c r="B4630" s="20" t="s">
        <v>2481</v>
      </c>
      <c r="C4630" s="20">
        <v>59</v>
      </c>
      <c r="D4630" s="20" t="s">
        <v>238</v>
      </c>
      <c r="E4630" s="20" t="s">
        <v>2341</v>
      </c>
      <c r="F4630" s="20" t="s">
        <v>2495</v>
      </c>
      <c r="G4630" s="20" t="s">
        <v>82</v>
      </c>
      <c r="H4630" s="20" t="s">
        <v>185</v>
      </c>
      <c r="I4630" s="20"/>
      <c r="J4630" s="20" t="s">
        <v>204</v>
      </c>
      <c r="K4630" s="20" t="s">
        <v>250</v>
      </c>
      <c r="L4630" s="20">
        <v>51.8</v>
      </c>
      <c r="M4630" s="20" t="s">
        <v>245</v>
      </c>
      <c r="N4630" s="20" t="s">
        <v>3144</v>
      </c>
    </row>
    <row r="4631" spans="1:14" hidden="1" x14ac:dyDescent="0.25">
      <c r="A4631" s="19">
        <v>45992</v>
      </c>
      <c r="B4631" s="20" t="s">
        <v>120</v>
      </c>
      <c r="C4631" s="20">
        <v>61</v>
      </c>
      <c r="D4631" s="20" t="s">
        <v>238</v>
      </c>
      <c r="E4631" s="20" t="s">
        <v>2341</v>
      </c>
      <c r="F4631" s="20" t="s">
        <v>240</v>
      </c>
      <c r="G4631" s="20" t="s">
        <v>82</v>
      </c>
      <c r="H4631" s="20"/>
      <c r="I4631" s="20"/>
      <c r="J4631" s="20" t="s">
        <v>3052</v>
      </c>
      <c r="K4631" s="20" t="s">
        <v>241</v>
      </c>
      <c r="L4631" s="20">
        <v>75430000</v>
      </c>
      <c r="M4631" s="20" t="s">
        <v>242</v>
      </c>
      <c r="N4631" s="20" t="s">
        <v>3145</v>
      </c>
    </row>
    <row r="4632" spans="1:14" hidden="1" x14ac:dyDescent="0.25">
      <c r="A4632" s="19">
        <v>45992</v>
      </c>
      <c r="B4632" s="20" t="s">
        <v>120</v>
      </c>
      <c r="C4632" s="20">
        <v>61</v>
      </c>
      <c r="D4632" s="20" t="s">
        <v>238</v>
      </c>
      <c r="E4632" s="20" t="s">
        <v>2341</v>
      </c>
      <c r="F4632" s="20" t="s">
        <v>244</v>
      </c>
      <c r="G4632" s="20" t="s">
        <v>82</v>
      </c>
      <c r="H4632" s="20"/>
      <c r="I4632" s="20"/>
      <c r="J4632" s="20" t="s">
        <v>3052</v>
      </c>
      <c r="K4632" s="20" t="s">
        <v>241</v>
      </c>
      <c r="L4632" s="20">
        <v>15990000000</v>
      </c>
      <c r="M4632" s="20" t="s">
        <v>245</v>
      </c>
      <c r="N4632" s="20" t="s">
        <v>3146</v>
      </c>
    </row>
    <row r="4633" spans="1:14" hidden="1" x14ac:dyDescent="0.25">
      <c r="A4633" s="19">
        <v>45992</v>
      </c>
      <c r="B4633" s="20" t="s">
        <v>120</v>
      </c>
      <c r="C4633" s="20">
        <v>62</v>
      </c>
      <c r="D4633" s="20" t="s">
        <v>253</v>
      </c>
      <c r="E4633" s="20" t="s">
        <v>2359</v>
      </c>
      <c r="F4633" s="20" t="s">
        <v>285</v>
      </c>
      <c r="G4633" s="20" t="s">
        <v>63</v>
      </c>
      <c r="H4633" s="20"/>
      <c r="I4633" s="20"/>
      <c r="J4633" s="20" t="s">
        <v>202</v>
      </c>
      <c r="K4633" s="20" t="s">
        <v>255</v>
      </c>
      <c r="L4633" s="20">
        <v>4950000</v>
      </c>
      <c r="M4633" s="20" t="s">
        <v>242</v>
      </c>
      <c r="N4633" s="20" t="s">
        <v>2843</v>
      </c>
    </row>
    <row r="4634" spans="1:14" hidden="1" x14ac:dyDescent="0.25">
      <c r="A4634" s="19">
        <v>45992</v>
      </c>
      <c r="B4634" s="20" t="s">
        <v>120</v>
      </c>
      <c r="C4634" s="20">
        <v>62</v>
      </c>
      <c r="D4634" s="20" t="s">
        <v>253</v>
      </c>
      <c r="E4634" s="20" t="s">
        <v>2359</v>
      </c>
      <c r="F4634" s="20" t="s">
        <v>285</v>
      </c>
      <c r="G4634" s="20" t="s">
        <v>63</v>
      </c>
      <c r="H4634" s="20"/>
      <c r="I4634" s="20"/>
      <c r="J4634" s="20" t="s">
        <v>203</v>
      </c>
      <c r="K4634" s="20" t="s">
        <v>255</v>
      </c>
      <c r="L4634" s="20">
        <v>5000000</v>
      </c>
      <c r="M4634" s="20" t="s">
        <v>242</v>
      </c>
      <c r="N4634" s="20" t="s">
        <v>3003</v>
      </c>
    </row>
    <row r="4635" spans="1:14" hidden="1" x14ac:dyDescent="0.25">
      <c r="A4635" s="19">
        <v>45992</v>
      </c>
      <c r="B4635" s="20" t="s">
        <v>120</v>
      </c>
      <c r="C4635" s="20">
        <v>62</v>
      </c>
      <c r="D4635" s="20" t="s">
        <v>253</v>
      </c>
      <c r="E4635" s="20" t="s">
        <v>2359</v>
      </c>
      <c r="F4635" s="20" t="s">
        <v>285</v>
      </c>
      <c r="G4635" s="20" t="s">
        <v>63</v>
      </c>
      <c r="H4635" s="20"/>
      <c r="I4635" s="20"/>
      <c r="J4635" s="20" t="s">
        <v>204</v>
      </c>
      <c r="K4635" s="20" t="s">
        <v>255</v>
      </c>
      <c r="L4635" s="20">
        <v>5040000</v>
      </c>
      <c r="M4635" s="20" t="s">
        <v>242</v>
      </c>
      <c r="N4635" s="20" t="s">
        <v>486</v>
      </c>
    </row>
    <row r="4636" spans="1:14" hidden="1" x14ac:dyDescent="0.25">
      <c r="A4636" s="19">
        <v>45992</v>
      </c>
      <c r="B4636" s="20" t="s">
        <v>120</v>
      </c>
      <c r="C4636" s="20">
        <v>62</v>
      </c>
      <c r="D4636" s="20" t="s">
        <v>247</v>
      </c>
      <c r="E4636" s="20" t="s">
        <v>2554</v>
      </c>
      <c r="F4636" s="20" t="s">
        <v>2555</v>
      </c>
      <c r="G4636" s="20" t="s">
        <v>63</v>
      </c>
      <c r="H4636" s="20" t="s">
        <v>286</v>
      </c>
      <c r="I4636" s="20"/>
      <c r="J4636" s="20" t="s">
        <v>204</v>
      </c>
      <c r="K4636" s="20" t="s">
        <v>250</v>
      </c>
      <c r="L4636" s="20">
        <v>0.9</v>
      </c>
      <c r="M4636" s="20" t="s">
        <v>251</v>
      </c>
      <c r="N4636" s="20" t="s">
        <v>845</v>
      </c>
    </row>
    <row r="4637" spans="1:14" hidden="1" x14ac:dyDescent="0.25">
      <c r="A4637" s="19">
        <v>45992</v>
      </c>
      <c r="B4637" s="20" t="s">
        <v>120</v>
      </c>
      <c r="C4637" s="20">
        <v>63</v>
      </c>
      <c r="D4637" s="20" t="s">
        <v>291</v>
      </c>
      <c r="E4637" s="20" t="s">
        <v>2361</v>
      </c>
      <c r="F4637" s="20" t="s">
        <v>285</v>
      </c>
      <c r="G4637" s="20" t="s">
        <v>63</v>
      </c>
      <c r="H4637" s="20" t="s">
        <v>122</v>
      </c>
      <c r="I4637" s="20"/>
      <c r="J4637" s="20" t="s">
        <v>204</v>
      </c>
      <c r="K4637" s="20" t="s">
        <v>250</v>
      </c>
      <c r="L4637" s="20">
        <v>5000000</v>
      </c>
      <c r="M4637" s="20" t="s">
        <v>242</v>
      </c>
      <c r="N4637" s="20" t="s">
        <v>2845</v>
      </c>
    </row>
    <row r="4638" spans="1:14" hidden="1" x14ac:dyDescent="0.25">
      <c r="A4638" s="19">
        <v>45992</v>
      </c>
      <c r="B4638" s="20" t="s">
        <v>120</v>
      </c>
      <c r="C4638" s="20">
        <v>63</v>
      </c>
      <c r="D4638" s="20" t="s">
        <v>291</v>
      </c>
      <c r="E4638" s="20" t="s">
        <v>2361</v>
      </c>
      <c r="F4638" s="20" t="s">
        <v>285</v>
      </c>
      <c r="G4638" s="20" t="s">
        <v>63</v>
      </c>
      <c r="H4638" s="20" t="s">
        <v>123</v>
      </c>
      <c r="I4638" s="20"/>
      <c r="J4638" s="20" t="s">
        <v>204</v>
      </c>
      <c r="K4638" s="20" t="s">
        <v>250</v>
      </c>
      <c r="L4638" s="20">
        <v>44300</v>
      </c>
      <c r="M4638" s="20" t="s">
        <v>242</v>
      </c>
      <c r="N4638" s="20" t="s">
        <v>3147</v>
      </c>
    </row>
    <row r="4639" spans="1:14" hidden="1" x14ac:dyDescent="0.25">
      <c r="A4639" s="19">
        <v>45992</v>
      </c>
      <c r="B4639" s="20" t="s">
        <v>120</v>
      </c>
      <c r="C4639" s="20">
        <v>63</v>
      </c>
      <c r="D4639" s="20" t="s">
        <v>238</v>
      </c>
      <c r="E4639" s="20" t="s">
        <v>2341</v>
      </c>
      <c r="F4639" s="20" t="s">
        <v>376</v>
      </c>
      <c r="G4639" s="20" t="s">
        <v>63</v>
      </c>
      <c r="H4639" s="20"/>
      <c r="I4639" s="20"/>
      <c r="J4639" s="20" t="s">
        <v>204</v>
      </c>
      <c r="K4639" s="20" t="s">
        <v>250</v>
      </c>
      <c r="L4639" s="20">
        <v>5040000</v>
      </c>
      <c r="M4639" s="20" t="s">
        <v>242</v>
      </c>
      <c r="N4639" s="20" t="s">
        <v>539</v>
      </c>
    </row>
    <row r="4640" spans="1:14" hidden="1" x14ac:dyDescent="0.25">
      <c r="A4640" s="19">
        <v>45992</v>
      </c>
      <c r="B4640" s="20" t="s">
        <v>120</v>
      </c>
      <c r="C4640" s="20">
        <v>64</v>
      </c>
      <c r="D4640" s="20" t="s">
        <v>238</v>
      </c>
      <c r="E4640" s="20" t="s">
        <v>2341</v>
      </c>
      <c r="F4640" s="20" t="s">
        <v>378</v>
      </c>
      <c r="G4640" s="20" t="s">
        <v>379</v>
      </c>
      <c r="H4640" s="20"/>
      <c r="I4640" s="20"/>
      <c r="J4640" s="20" t="s">
        <v>204</v>
      </c>
      <c r="K4640" s="20" t="s">
        <v>250</v>
      </c>
      <c r="L4640" s="20">
        <v>685</v>
      </c>
      <c r="M4640" s="20" t="s">
        <v>242</v>
      </c>
      <c r="N4640" s="20" t="s">
        <v>3044</v>
      </c>
    </row>
    <row r="4641" spans="1:14" hidden="1" x14ac:dyDescent="0.25">
      <c r="A4641" s="19">
        <v>45992</v>
      </c>
      <c r="B4641" s="20" t="s">
        <v>120</v>
      </c>
      <c r="C4641" s="20">
        <v>64</v>
      </c>
      <c r="D4641" s="20" t="s">
        <v>238</v>
      </c>
      <c r="E4641" s="20" t="s">
        <v>2341</v>
      </c>
      <c r="F4641" s="20" t="s">
        <v>381</v>
      </c>
      <c r="G4641" s="20" t="s">
        <v>382</v>
      </c>
      <c r="H4641" s="20"/>
      <c r="I4641" s="20"/>
      <c r="J4641" s="20" t="s">
        <v>204</v>
      </c>
      <c r="K4641" s="20" t="s">
        <v>250</v>
      </c>
      <c r="L4641" s="20">
        <v>2323</v>
      </c>
      <c r="M4641" s="20" t="s">
        <v>242</v>
      </c>
      <c r="N4641" s="20" t="s">
        <v>3045</v>
      </c>
    </row>
    <row r="4642" spans="1:14" hidden="1" x14ac:dyDescent="0.25">
      <c r="A4642" s="19">
        <v>45992</v>
      </c>
      <c r="B4642" s="20" t="s">
        <v>120</v>
      </c>
      <c r="C4642" s="20">
        <v>65</v>
      </c>
      <c r="D4642" s="20" t="s">
        <v>253</v>
      </c>
      <c r="E4642" s="20" t="s">
        <v>2359</v>
      </c>
      <c r="F4642" s="20" t="s">
        <v>240</v>
      </c>
      <c r="G4642" s="20" t="s">
        <v>82</v>
      </c>
      <c r="H4642" s="20"/>
      <c r="I4642" s="20"/>
      <c r="J4642" s="20" t="s">
        <v>202</v>
      </c>
      <c r="K4642" s="20" t="s">
        <v>255</v>
      </c>
      <c r="L4642" s="20">
        <v>6690000</v>
      </c>
      <c r="M4642" s="20" t="s">
        <v>242</v>
      </c>
      <c r="N4642" s="20" t="s">
        <v>2846</v>
      </c>
    </row>
    <row r="4643" spans="1:14" hidden="1" x14ac:dyDescent="0.25">
      <c r="A4643" s="19">
        <v>45992</v>
      </c>
      <c r="B4643" s="20" t="s">
        <v>120</v>
      </c>
      <c r="C4643" s="20">
        <v>65</v>
      </c>
      <c r="D4643" s="20" t="s">
        <v>253</v>
      </c>
      <c r="E4643" s="20" t="s">
        <v>2359</v>
      </c>
      <c r="F4643" s="20" t="s">
        <v>240</v>
      </c>
      <c r="G4643" s="20" t="s">
        <v>82</v>
      </c>
      <c r="H4643" s="20"/>
      <c r="I4643" s="20"/>
      <c r="J4643" s="20" t="s">
        <v>203</v>
      </c>
      <c r="K4643" s="20" t="s">
        <v>255</v>
      </c>
      <c r="L4643" s="20">
        <v>6520000</v>
      </c>
      <c r="M4643" s="20" t="s">
        <v>242</v>
      </c>
      <c r="N4643" s="20" t="s">
        <v>3005</v>
      </c>
    </row>
    <row r="4644" spans="1:14" hidden="1" x14ac:dyDescent="0.25">
      <c r="A4644" s="19">
        <v>45992</v>
      </c>
      <c r="B4644" s="20" t="s">
        <v>120</v>
      </c>
      <c r="C4644" s="20">
        <v>65</v>
      </c>
      <c r="D4644" s="20" t="s">
        <v>253</v>
      </c>
      <c r="E4644" s="20" t="s">
        <v>2359</v>
      </c>
      <c r="F4644" s="20" t="s">
        <v>240</v>
      </c>
      <c r="G4644" s="20" t="s">
        <v>82</v>
      </c>
      <c r="H4644" s="20"/>
      <c r="I4644" s="20"/>
      <c r="J4644" s="20" t="s">
        <v>204</v>
      </c>
      <c r="K4644" s="20" t="s">
        <v>255</v>
      </c>
      <c r="L4644" s="20">
        <v>7030000</v>
      </c>
      <c r="M4644" s="20" t="s">
        <v>242</v>
      </c>
      <c r="N4644" s="20" t="s">
        <v>3148</v>
      </c>
    </row>
    <row r="4645" spans="1:14" hidden="1" x14ac:dyDescent="0.25">
      <c r="A4645" s="19">
        <v>45992</v>
      </c>
      <c r="B4645" s="20" t="s">
        <v>120</v>
      </c>
      <c r="C4645" s="20">
        <v>65</v>
      </c>
      <c r="D4645" s="20" t="s">
        <v>247</v>
      </c>
      <c r="E4645" s="20" t="s">
        <v>2554</v>
      </c>
      <c r="F4645" s="20" t="s">
        <v>2556</v>
      </c>
      <c r="G4645" s="20" t="s">
        <v>82</v>
      </c>
      <c r="H4645" s="20" t="s">
        <v>286</v>
      </c>
      <c r="I4645" s="20"/>
      <c r="J4645" s="20" t="s">
        <v>204</v>
      </c>
      <c r="K4645" s="20" t="s">
        <v>250</v>
      </c>
      <c r="L4645" s="20">
        <v>7.8</v>
      </c>
      <c r="M4645" s="20" t="s">
        <v>251</v>
      </c>
      <c r="N4645" s="20" t="s">
        <v>1489</v>
      </c>
    </row>
    <row r="4646" spans="1:14" hidden="1" x14ac:dyDescent="0.25">
      <c r="A4646" s="19">
        <v>45992</v>
      </c>
      <c r="B4646" s="20" t="s">
        <v>120</v>
      </c>
      <c r="C4646" s="20">
        <v>66</v>
      </c>
      <c r="D4646" s="20" t="s">
        <v>291</v>
      </c>
      <c r="E4646" s="20" t="s">
        <v>2361</v>
      </c>
      <c r="F4646" s="20" t="s">
        <v>2502</v>
      </c>
      <c r="G4646" s="20" t="s">
        <v>82</v>
      </c>
      <c r="H4646" s="20" t="s">
        <v>131</v>
      </c>
      <c r="I4646" s="20"/>
      <c r="J4646" s="20" t="s">
        <v>204</v>
      </c>
      <c r="K4646" s="20" t="s">
        <v>250</v>
      </c>
      <c r="L4646" s="20">
        <v>32000</v>
      </c>
      <c r="M4646" s="20" t="s">
        <v>242</v>
      </c>
      <c r="N4646" s="20" t="s">
        <v>3149</v>
      </c>
    </row>
    <row r="4647" spans="1:14" hidden="1" x14ac:dyDescent="0.25">
      <c r="A4647" s="19">
        <v>45992</v>
      </c>
      <c r="B4647" s="20" t="s">
        <v>120</v>
      </c>
      <c r="C4647" s="20">
        <v>66</v>
      </c>
      <c r="D4647" s="20" t="s">
        <v>291</v>
      </c>
      <c r="E4647" s="20" t="s">
        <v>2361</v>
      </c>
      <c r="F4647" s="20" t="s">
        <v>2502</v>
      </c>
      <c r="G4647" s="20" t="s">
        <v>82</v>
      </c>
      <c r="H4647" s="20" t="s">
        <v>128</v>
      </c>
      <c r="I4647" s="20"/>
      <c r="J4647" s="20" t="s">
        <v>204</v>
      </c>
      <c r="K4647" s="20" t="s">
        <v>250</v>
      </c>
      <c r="L4647" s="20">
        <v>38000</v>
      </c>
      <c r="M4647" s="20" t="s">
        <v>242</v>
      </c>
      <c r="N4647" s="20" t="s">
        <v>3084</v>
      </c>
    </row>
    <row r="4648" spans="1:14" hidden="1" x14ac:dyDescent="0.25">
      <c r="A4648" s="19">
        <v>45992</v>
      </c>
      <c r="B4648" s="20" t="s">
        <v>120</v>
      </c>
      <c r="C4648" s="20">
        <v>66</v>
      </c>
      <c r="D4648" s="20" t="s">
        <v>291</v>
      </c>
      <c r="E4648" s="20" t="s">
        <v>2361</v>
      </c>
      <c r="F4648" s="20" t="s">
        <v>2502</v>
      </c>
      <c r="G4648" s="20" t="s">
        <v>82</v>
      </c>
      <c r="H4648" s="20" t="s">
        <v>125</v>
      </c>
      <c r="I4648" s="20"/>
      <c r="J4648" s="20" t="s">
        <v>204</v>
      </c>
      <c r="K4648" s="20" t="s">
        <v>250</v>
      </c>
      <c r="L4648" s="20">
        <v>43000</v>
      </c>
      <c r="M4648" s="20" t="s">
        <v>242</v>
      </c>
      <c r="N4648" s="20" t="s">
        <v>3006</v>
      </c>
    </row>
    <row r="4649" spans="1:14" hidden="1" x14ac:dyDescent="0.25">
      <c r="A4649" s="19">
        <v>45992</v>
      </c>
      <c r="B4649" s="20" t="s">
        <v>120</v>
      </c>
      <c r="C4649" s="20">
        <v>66</v>
      </c>
      <c r="D4649" s="20" t="s">
        <v>291</v>
      </c>
      <c r="E4649" s="20" t="s">
        <v>2361</v>
      </c>
      <c r="F4649" s="20" t="s">
        <v>2502</v>
      </c>
      <c r="G4649" s="20" t="s">
        <v>82</v>
      </c>
      <c r="H4649" s="20" t="s">
        <v>132</v>
      </c>
      <c r="I4649" s="20"/>
      <c r="J4649" s="20" t="s">
        <v>204</v>
      </c>
      <c r="K4649" s="20" t="s">
        <v>250</v>
      </c>
      <c r="L4649" s="20">
        <v>60000</v>
      </c>
      <c r="M4649" s="20" t="s">
        <v>242</v>
      </c>
      <c r="N4649" s="20" t="s">
        <v>3007</v>
      </c>
    </row>
    <row r="4650" spans="1:14" hidden="1" x14ac:dyDescent="0.25">
      <c r="A4650" s="19">
        <v>45992</v>
      </c>
      <c r="B4650" s="20" t="s">
        <v>120</v>
      </c>
      <c r="C4650" s="20">
        <v>66</v>
      </c>
      <c r="D4650" s="20" t="s">
        <v>291</v>
      </c>
      <c r="E4650" s="20" t="s">
        <v>2361</v>
      </c>
      <c r="F4650" s="20" t="s">
        <v>2502</v>
      </c>
      <c r="G4650" s="20" t="s">
        <v>82</v>
      </c>
      <c r="H4650" s="20" t="s">
        <v>126</v>
      </c>
      <c r="I4650" s="20"/>
      <c r="J4650" s="20" t="s">
        <v>204</v>
      </c>
      <c r="K4650" s="20" t="s">
        <v>250</v>
      </c>
      <c r="L4650" s="20">
        <v>156000</v>
      </c>
      <c r="M4650" s="20" t="s">
        <v>242</v>
      </c>
      <c r="N4650" s="20" t="s">
        <v>3150</v>
      </c>
    </row>
    <row r="4651" spans="1:14" hidden="1" x14ac:dyDescent="0.25">
      <c r="A4651" s="19">
        <v>45992</v>
      </c>
      <c r="B4651" s="20" t="s">
        <v>120</v>
      </c>
      <c r="C4651" s="20">
        <v>66</v>
      </c>
      <c r="D4651" s="20" t="s">
        <v>291</v>
      </c>
      <c r="E4651" s="20" t="s">
        <v>2361</v>
      </c>
      <c r="F4651" s="20" t="s">
        <v>2502</v>
      </c>
      <c r="G4651" s="20" t="s">
        <v>82</v>
      </c>
      <c r="H4651" s="20" t="s">
        <v>127</v>
      </c>
      <c r="I4651" s="20"/>
      <c r="J4651" s="20" t="s">
        <v>204</v>
      </c>
      <c r="K4651" s="20" t="s">
        <v>250</v>
      </c>
      <c r="L4651" s="20">
        <v>316000</v>
      </c>
      <c r="M4651" s="20" t="s">
        <v>242</v>
      </c>
      <c r="N4651" s="20" t="s">
        <v>3151</v>
      </c>
    </row>
    <row r="4652" spans="1:14" hidden="1" x14ac:dyDescent="0.25">
      <c r="A4652" s="19">
        <v>45992</v>
      </c>
      <c r="B4652" s="20" t="s">
        <v>120</v>
      </c>
      <c r="C4652" s="20">
        <v>66</v>
      </c>
      <c r="D4652" s="20" t="s">
        <v>291</v>
      </c>
      <c r="E4652" s="20" t="s">
        <v>2361</v>
      </c>
      <c r="F4652" s="20" t="s">
        <v>2502</v>
      </c>
      <c r="G4652" s="20" t="s">
        <v>82</v>
      </c>
      <c r="H4652" s="20" t="s">
        <v>133</v>
      </c>
      <c r="I4652" s="20"/>
      <c r="J4652" s="20" t="s">
        <v>204</v>
      </c>
      <c r="K4652" s="20" t="s">
        <v>250</v>
      </c>
      <c r="L4652" s="20">
        <v>592000</v>
      </c>
      <c r="M4652" s="20" t="s">
        <v>242</v>
      </c>
      <c r="N4652" s="20" t="s">
        <v>3152</v>
      </c>
    </row>
    <row r="4653" spans="1:14" hidden="1" x14ac:dyDescent="0.25">
      <c r="A4653" s="19">
        <v>45992</v>
      </c>
      <c r="B4653" s="20" t="s">
        <v>120</v>
      </c>
      <c r="C4653" s="20">
        <v>66</v>
      </c>
      <c r="D4653" s="20" t="s">
        <v>291</v>
      </c>
      <c r="E4653" s="20" t="s">
        <v>2361</v>
      </c>
      <c r="F4653" s="20" t="s">
        <v>2502</v>
      </c>
      <c r="G4653" s="20" t="s">
        <v>82</v>
      </c>
      <c r="H4653" s="20" t="s">
        <v>129</v>
      </c>
      <c r="I4653" s="20"/>
      <c r="J4653" s="20" t="s">
        <v>204</v>
      </c>
      <c r="K4653" s="20" t="s">
        <v>250</v>
      </c>
      <c r="L4653" s="20">
        <v>1540000</v>
      </c>
      <c r="M4653" s="20" t="s">
        <v>242</v>
      </c>
      <c r="N4653" s="20" t="s">
        <v>576</v>
      </c>
    </row>
    <row r="4654" spans="1:14" hidden="1" x14ac:dyDescent="0.25">
      <c r="A4654" s="19">
        <v>45992</v>
      </c>
      <c r="B4654" s="20" t="s">
        <v>120</v>
      </c>
      <c r="C4654" s="20">
        <v>66</v>
      </c>
      <c r="D4654" s="20" t="s">
        <v>291</v>
      </c>
      <c r="E4654" s="20" t="s">
        <v>2361</v>
      </c>
      <c r="F4654" s="20" t="s">
        <v>2502</v>
      </c>
      <c r="G4654" s="20" t="s">
        <v>82</v>
      </c>
      <c r="H4654" s="20" t="s">
        <v>134</v>
      </c>
      <c r="I4654" s="20"/>
      <c r="J4654" s="20" t="s">
        <v>204</v>
      </c>
      <c r="K4654" s="20" t="s">
        <v>250</v>
      </c>
      <c r="L4654" s="20">
        <v>1990000</v>
      </c>
      <c r="M4654" s="20" t="s">
        <v>242</v>
      </c>
      <c r="N4654" s="20" t="s">
        <v>3153</v>
      </c>
    </row>
    <row r="4655" spans="1:14" hidden="1" x14ac:dyDescent="0.25">
      <c r="A4655" s="19">
        <v>45992</v>
      </c>
      <c r="B4655" s="20" t="s">
        <v>120</v>
      </c>
      <c r="C4655" s="20">
        <v>66</v>
      </c>
      <c r="D4655" s="20" t="s">
        <v>291</v>
      </c>
      <c r="E4655" s="20" t="s">
        <v>2361</v>
      </c>
      <c r="F4655" s="20" t="s">
        <v>2502</v>
      </c>
      <c r="G4655" s="20" t="s">
        <v>82</v>
      </c>
      <c r="H4655" s="20" t="s">
        <v>130</v>
      </c>
      <c r="I4655" s="20"/>
      <c r="J4655" s="20" t="s">
        <v>204</v>
      </c>
      <c r="K4655" s="20" t="s">
        <v>250</v>
      </c>
      <c r="L4655" s="20">
        <v>2180000</v>
      </c>
      <c r="M4655" s="20" t="s">
        <v>242</v>
      </c>
      <c r="N4655" s="20" t="s">
        <v>1752</v>
      </c>
    </row>
    <row r="4656" spans="1:14" hidden="1" x14ac:dyDescent="0.25">
      <c r="A4656" s="19">
        <v>45992</v>
      </c>
      <c r="B4656" s="20" t="s">
        <v>120</v>
      </c>
      <c r="C4656" s="20">
        <v>67</v>
      </c>
      <c r="D4656" s="20" t="s">
        <v>291</v>
      </c>
      <c r="E4656" s="20" t="s">
        <v>2361</v>
      </c>
      <c r="F4656" s="20" t="s">
        <v>2510</v>
      </c>
      <c r="G4656" s="20" t="s">
        <v>82</v>
      </c>
      <c r="H4656" s="20" t="s">
        <v>138</v>
      </c>
      <c r="I4656" s="20"/>
      <c r="J4656" s="20" t="s">
        <v>204</v>
      </c>
      <c r="K4656" s="20" t="s">
        <v>250</v>
      </c>
      <c r="L4656" s="20">
        <v>5650000</v>
      </c>
      <c r="M4656" s="20" t="s">
        <v>242</v>
      </c>
      <c r="N4656" s="20" t="s">
        <v>3154</v>
      </c>
    </row>
    <row r="4657" spans="1:14" hidden="1" x14ac:dyDescent="0.25">
      <c r="A4657" s="19">
        <v>45992</v>
      </c>
      <c r="B4657" s="20" t="s">
        <v>120</v>
      </c>
      <c r="C4657" s="20">
        <v>67</v>
      </c>
      <c r="D4657" s="20" t="s">
        <v>291</v>
      </c>
      <c r="E4657" s="20" t="s">
        <v>2361</v>
      </c>
      <c r="F4657" s="20" t="s">
        <v>2510</v>
      </c>
      <c r="G4657" s="20" t="s">
        <v>82</v>
      </c>
      <c r="H4657" s="20" t="s">
        <v>137</v>
      </c>
      <c r="I4657" s="20"/>
      <c r="J4657" s="20" t="s">
        <v>204</v>
      </c>
      <c r="K4657" s="20" t="s">
        <v>250</v>
      </c>
      <c r="L4657" s="20">
        <v>1380000</v>
      </c>
      <c r="M4657" s="20" t="s">
        <v>242</v>
      </c>
      <c r="N4657" s="20" t="s">
        <v>2393</v>
      </c>
    </row>
    <row r="4658" spans="1:14" hidden="1" x14ac:dyDescent="0.25">
      <c r="A4658" s="19">
        <v>45992</v>
      </c>
      <c r="B4658" s="20" t="s">
        <v>120</v>
      </c>
      <c r="C4658" s="20">
        <v>68</v>
      </c>
      <c r="D4658" s="20" t="s">
        <v>253</v>
      </c>
      <c r="E4658" s="20" t="s">
        <v>2359</v>
      </c>
      <c r="F4658" s="20" t="s">
        <v>244</v>
      </c>
      <c r="G4658" s="20" t="s">
        <v>82</v>
      </c>
      <c r="H4658" s="20"/>
      <c r="I4658" s="20"/>
      <c r="J4658" s="20" t="s">
        <v>202</v>
      </c>
      <c r="K4658" s="20" t="s">
        <v>255</v>
      </c>
      <c r="L4658" s="20">
        <v>1420000000</v>
      </c>
      <c r="M4658" s="20" t="s">
        <v>245</v>
      </c>
      <c r="N4658" s="20" t="s">
        <v>2851</v>
      </c>
    </row>
    <row r="4659" spans="1:14" hidden="1" x14ac:dyDescent="0.25">
      <c r="A4659" s="19">
        <v>45992</v>
      </c>
      <c r="B4659" s="20" t="s">
        <v>120</v>
      </c>
      <c r="C4659" s="20">
        <v>68</v>
      </c>
      <c r="D4659" s="20" t="s">
        <v>253</v>
      </c>
      <c r="E4659" s="20" t="s">
        <v>2359</v>
      </c>
      <c r="F4659" s="20" t="s">
        <v>244</v>
      </c>
      <c r="G4659" s="20" t="s">
        <v>82</v>
      </c>
      <c r="H4659" s="20"/>
      <c r="I4659" s="20"/>
      <c r="J4659" s="20" t="s">
        <v>203</v>
      </c>
      <c r="K4659" s="20" t="s">
        <v>255</v>
      </c>
      <c r="L4659" s="20">
        <v>1410000000</v>
      </c>
      <c r="M4659" s="20" t="s">
        <v>245</v>
      </c>
      <c r="N4659" s="20" t="s">
        <v>1417</v>
      </c>
    </row>
    <row r="4660" spans="1:14" hidden="1" x14ac:dyDescent="0.25">
      <c r="A4660" s="19">
        <v>45992</v>
      </c>
      <c r="B4660" s="20" t="s">
        <v>120</v>
      </c>
      <c r="C4660" s="20">
        <v>68</v>
      </c>
      <c r="D4660" s="20" t="s">
        <v>253</v>
      </c>
      <c r="E4660" s="20" t="s">
        <v>2359</v>
      </c>
      <c r="F4660" s="20" t="s">
        <v>244</v>
      </c>
      <c r="G4660" s="20" t="s">
        <v>82</v>
      </c>
      <c r="H4660" s="20"/>
      <c r="I4660" s="20"/>
      <c r="J4660" s="20" t="s">
        <v>204</v>
      </c>
      <c r="K4660" s="20" t="s">
        <v>255</v>
      </c>
      <c r="L4660" s="20">
        <v>1600000000</v>
      </c>
      <c r="M4660" s="20" t="s">
        <v>245</v>
      </c>
      <c r="N4660" s="20" t="s">
        <v>438</v>
      </c>
    </row>
    <row r="4661" spans="1:14" hidden="1" x14ac:dyDescent="0.25">
      <c r="A4661" s="19">
        <v>45992</v>
      </c>
      <c r="B4661" s="20" t="s">
        <v>120</v>
      </c>
      <c r="C4661" s="20">
        <v>68</v>
      </c>
      <c r="D4661" s="20" t="s">
        <v>247</v>
      </c>
      <c r="E4661" s="20" t="s">
        <v>2554</v>
      </c>
      <c r="F4661" s="20" t="s">
        <v>2557</v>
      </c>
      <c r="G4661" s="20" t="s">
        <v>82</v>
      </c>
      <c r="H4661" s="20" t="s">
        <v>286</v>
      </c>
      <c r="I4661" s="20"/>
      <c r="J4661" s="20" t="s">
        <v>204</v>
      </c>
      <c r="K4661" s="20" t="s">
        <v>250</v>
      </c>
      <c r="L4661" s="20">
        <v>13.7</v>
      </c>
      <c r="M4661" s="20" t="s">
        <v>251</v>
      </c>
      <c r="N4661" s="20" t="s">
        <v>3155</v>
      </c>
    </row>
    <row r="4662" spans="1:14" hidden="1" x14ac:dyDescent="0.25">
      <c r="A4662" s="19">
        <v>45992</v>
      </c>
      <c r="B4662" s="20" t="s">
        <v>120</v>
      </c>
      <c r="C4662" s="20">
        <v>69</v>
      </c>
      <c r="D4662" s="20" t="s">
        <v>291</v>
      </c>
      <c r="E4662" s="20" t="s">
        <v>2361</v>
      </c>
      <c r="F4662" s="20" t="s">
        <v>2514</v>
      </c>
      <c r="G4662" s="20" t="s">
        <v>82</v>
      </c>
      <c r="H4662" s="20" t="s">
        <v>132</v>
      </c>
      <c r="I4662" s="20"/>
      <c r="J4662" s="20" t="s">
        <v>204</v>
      </c>
      <c r="K4662" s="20" t="s">
        <v>250</v>
      </c>
      <c r="L4662" s="20">
        <v>7000000</v>
      </c>
      <c r="M4662" s="20" t="s">
        <v>245</v>
      </c>
      <c r="N4662" s="20" t="s">
        <v>2515</v>
      </c>
    </row>
    <row r="4663" spans="1:14" hidden="1" x14ac:dyDescent="0.25">
      <c r="A4663" s="19">
        <v>45992</v>
      </c>
      <c r="B4663" s="20" t="s">
        <v>120</v>
      </c>
      <c r="C4663" s="20">
        <v>69</v>
      </c>
      <c r="D4663" s="20" t="s">
        <v>291</v>
      </c>
      <c r="E4663" s="20" t="s">
        <v>2361</v>
      </c>
      <c r="F4663" s="20" t="s">
        <v>2514</v>
      </c>
      <c r="G4663" s="20" t="s">
        <v>82</v>
      </c>
      <c r="H4663" s="20" t="s">
        <v>131</v>
      </c>
      <c r="I4663" s="20"/>
      <c r="J4663" s="20" t="s">
        <v>204</v>
      </c>
      <c r="K4663" s="20" t="s">
        <v>250</v>
      </c>
      <c r="L4663" s="20">
        <v>13000000</v>
      </c>
      <c r="M4663" s="20" t="s">
        <v>245</v>
      </c>
      <c r="N4663" s="20" t="s">
        <v>2517</v>
      </c>
    </row>
    <row r="4664" spans="1:14" hidden="1" x14ac:dyDescent="0.25">
      <c r="A4664" s="19">
        <v>45992</v>
      </c>
      <c r="B4664" s="20" t="s">
        <v>120</v>
      </c>
      <c r="C4664" s="20">
        <v>69</v>
      </c>
      <c r="D4664" s="20" t="s">
        <v>291</v>
      </c>
      <c r="E4664" s="20" t="s">
        <v>2361</v>
      </c>
      <c r="F4664" s="20" t="s">
        <v>2514</v>
      </c>
      <c r="G4664" s="20" t="s">
        <v>82</v>
      </c>
      <c r="H4664" s="20" t="s">
        <v>128</v>
      </c>
      <c r="I4664" s="20"/>
      <c r="J4664" s="20" t="s">
        <v>204</v>
      </c>
      <c r="K4664" s="20" t="s">
        <v>250</v>
      </c>
      <c r="L4664" s="20">
        <v>16000000</v>
      </c>
      <c r="M4664" s="20" t="s">
        <v>245</v>
      </c>
      <c r="N4664" s="20" t="s">
        <v>3156</v>
      </c>
    </row>
    <row r="4665" spans="1:14" hidden="1" x14ac:dyDescent="0.25">
      <c r="A4665" s="19">
        <v>45992</v>
      </c>
      <c r="B4665" s="20" t="s">
        <v>120</v>
      </c>
      <c r="C4665" s="20">
        <v>69</v>
      </c>
      <c r="D4665" s="20" t="s">
        <v>291</v>
      </c>
      <c r="E4665" s="20" t="s">
        <v>2361</v>
      </c>
      <c r="F4665" s="20" t="s">
        <v>2514</v>
      </c>
      <c r="G4665" s="20" t="s">
        <v>82</v>
      </c>
      <c r="H4665" s="20" t="s">
        <v>140</v>
      </c>
      <c r="I4665" s="20"/>
      <c r="J4665" s="20" t="s">
        <v>204</v>
      </c>
      <c r="K4665" s="20" t="s">
        <v>250</v>
      </c>
      <c r="L4665" s="20">
        <v>17000000</v>
      </c>
      <c r="M4665" s="20" t="s">
        <v>245</v>
      </c>
      <c r="N4665" s="20" t="s">
        <v>2696</v>
      </c>
    </row>
    <row r="4666" spans="1:14" hidden="1" x14ac:dyDescent="0.25">
      <c r="A4666" s="19">
        <v>45992</v>
      </c>
      <c r="B4666" s="20" t="s">
        <v>120</v>
      </c>
      <c r="C4666" s="20">
        <v>69</v>
      </c>
      <c r="D4666" s="20" t="s">
        <v>291</v>
      </c>
      <c r="E4666" s="20" t="s">
        <v>2361</v>
      </c>
      <c r="F4666" s="20" t="s">
        <v>2514</v>
      </c>
      <c r="G4666" s="20" t="s">
        <v>82</v>
      </c>
      <c r="H4666" s="20" t="s">
        <v>130</v>
      </c>
      <c r="I4666" s="20"/>
      <c r="J4666" s="20" t="s">
        <v>204</v>
      </c>
      <c r="K4666" s="20" t="s">
        <v>250</v>
      </c>
      <c r="L4666" s="20">
        <v>36000000</v>
      </c>
      <c r="M4666" s="20" t="s">
        <v>245</v>
      </c>
      <c r="N4666" s="20" t="s">
        <v>3157</v>
      </c>
    </row>
    <row r="4667" spans="1:14" hidden="1" x14ac:dyDescent="0.25">
      <c r="A4667" s="19">
        <v>45992</v>
      </c>
      <c r="B4667" s="20" t="s">
        <v>120</v>
      </c>
      <c r="C4667" s="20">
        <v>69</v>
      </c>
      <c r="D4667" s="20" t="s">
        <v>291</v>
      </c>
      <c r="E4667" s="20" t="s">
        <v>2361</v>
      </c>
      <c r="F4667" s="20" t="s">
        <v>2514</v>
      </c>
      <c r="G4667" s="20" t="s">
        <v>82</v>
      </c>
      <c r="H4667" s="20" t="s">
        <v>126</v>
      </c>
      <c r="I4667" s="20"/>
      <c r="J4667" s="20" t="s">
        <v>204</v>
      </c>
      <c r="K4667" s="20" t="s">
        <v>250</v>
      </c>
      <c r="L4667" s="20">
        <v>43000000</v>
      </c>
      <c r="M4667" s="20" t="s">
        <v>245</v>
      </c>
      <c r="N4667" s="20" t="s">
        <v>3158</v>
      </c>
    </row>
    <row r="4668" spans="1:14" hidden="1" x14ac:dyDescent="0.25">
      <c r="A4668" s="19">
        <v>45992</v>
      </c>
      <c r="B4668" s="20" t="s">
        <v>120</v>
      </c>
      <c r="C4668" s="20">
        <v>69</v>
      </c>
      <c r="D4668" s="20" t="s">
        <v>291</v>
      </c>
      <c r="E4668" s="20" t="s">
        <v>2361</v>
      </c>
      <c r="F4668" s="20" t="s">
        <v>2514</v>
      </c>
      <c r="G4668" s="20" t="s">
        <v>82</v>
      </c>
      <c r="H4668" s="20" t="s">
        <v>127</v>
      </c>
      <c r="I4668" s="20"/>
      <c r="J4668" s="20" t="s">
        <v>204</v>
      </c>
      <c r="K4668" s="20" t="s">
        <v>250</v>
      </c>
      <c r="L4668" s="20">
        <v>58000000</v>
      </c>
      <c r="M4668" s="20" t="s">
        <v>245</v>
      </c>
      <c r="N4668" s="20" t="s">
        <v>2855</v>
      </c>
    </row>
    <row r="4669" spans="1:14" hidden="1" x14ac:dyDescent="0.25">
      <c r="A4669" s="19">
        <v>45992</v>
      </c>
      <c r="B4669" s="20" t="s">
        <v>120</v>
      </c>
      <c r="C4669" s="20">
        <v>69</v>
      </c>
      <c r="D4669" s="20" t="s">
        <v>291</v>
      </c>
      <c r="E4669" s="20" t="s">
        <v>2361</v>
      </c>
      <c r="F4669" s="20" t="s">
        <v>2514</v>
      </c>
      <c r="G4669" s="20" t="s">
        <v>82</v>
      </c>
      <c r="H4669" s="20" t="s">
        <v>134</v>
      </c>
      <c r="I4669" s="20"/>
      <c r="J4669" s="20" t="s">
        <v>204</v>
      </c>
      <c r="K4669" s="20" t="s">
        <v>250</v>
      </c>
      <c r="L4669" s="20">
        <v>77000000</v>
      </c>
      <c r="M4669" s="20" t="s">
        <v>245</v>
      </c>
      <c r="N4669" s="20" t="s">
        <v>3159</v>
      </c>
    </row>
    <row r="4670" spans="1:14" hidden="1" x14ac:dyDescent="0.25">
      <c r="A4670" s="19">
        <v>45992</v>
      </c>
      <c r="B4670" s="20" t="s">
        <v>120</v>
      </c>
      <c r="C4670" s="20">
        <v>69</v>
      </c>
      <c r="D4670" s="20" t="s">
        <v>291</v>
      </c>
      <c r="E4670" s="20" t="s">
        <v>2361</v>
      </c>
      <c r="F4670" s="20" t="s">
        <v>2514</v>
      </c>
      <c r="G4670" s="20" t="s">
        <v>82</v>
      </c>
      <c r="H4670" s="20" t="s">
        <v>133</v>
      </c>
      <c r="I4670" s="20"/>
      <c r="J4670" s="20" t="s">
        <v>204</v>
      </c>
      <c r="K4670" s="20" t="s">
        <v>250</v>
      </c>
      <c r="L4670" s="20">
        <v>422000000</v>
      </c>
      <c r="M4670" s="20" t="s">
        <v>245</v>
      </c>
      <c r="N4670" s="20" t="s">
        <v>3160</v>
      </c>
    </row>
    <row r="4671" spans="1:14" hidden="1" x14ac:dyDescent="0.25">
      <c r="A4671" s="19">
        <v>45992</v>
      </c>
      <c r="B4671" s="20" t="s">
        <v>120</v>
      </c>
      <c r="C4671" s="20">
        <v>69</v>
      </c>
      <c r="D4671" s="20" t="s">
        <v>291</v>
      </c>
      <c r="E4671" s="20" t="s">
        <v>2361</v>
      </c>
      <c r="F4671" s="20" t="s">
        <v>2514</v>
      </c>
      <c r="G4671" s="20" t="s">
        <v>82</v>
      </c>
      <c r="H4671" s="20" t="s">
        <v>129</v>
      </c>
      <c r="I4671" s="20"/>
      <c r="J4671" s="20" t="s">
        <v>204</v>
      </c>
      <c r="K4671" s="20" t="s">
        <v>250</v>
      </c>
      <c r="L4671" s="20">
        <v>899000000</v>
      </c>
      <c r="M4671" s="20" t="s">
        <v>245</v>
      </c>
      <c r="N4671" s="20" t="s">
        <v>3161</v>
      </c>
    </row>
    <row r="4672" spans="1:14" hidden="1" x14ac:dyDescent="0.25">
      <c r="A4672" s="19">
        <v>45992</v>
      </c>
      <c r="B4672" s="20" t="s">
        <v>120</v>
      </c>
      <c r="C4672" s="20">
        <v>70</v>
      </c>
      <c r="D4672" s="20" t="s">
        <v>291</v>
      </c>
      <c r="E4672" s="20" t="s">
        <v>2361</v>
      </c>
      <c r="F4672" s="20" t="s">
        <v>2510</v>
      </c>
      <c r="G4672" s="20" t="s">
        <v>82</v>
      </c>
      <c r="H4672" s="20" t="s">
        <v>138</v>
      </c>
      <c r="I4672" s="20"/>
      <c r="J4672" s="20" t="s">
        <v>204</v>
      </c>
      <c r="K4672" s="20" t="s">
        <v>250</v>
      </c>
      <c r="L4672" s="20">
        <v>1170000000</v>
      </c>
      <c r="M4672" s="20" t="s">
        <v>245</v>
      </c>
      <c r="N4672" s="20" t="s">
        <v>3162</v>
      </c>
    </row>
    <row r="4673" spans="1:14" hidden="1" x14ac:dyDescent="0.25">
      <c r="A4673" s="19">
        <v>45992</v>
      </c>
      <c r="B4673" s="20" t="s">
        <v>120</v>
      </c>
      <c r="C4673" s="20">
        <v>70</v>
      </c>
      <c r="D4673" s="20" t="s">
        <v>291</v>
      </c>
      <c r="E4673" s="20" t="s">
        <v>2361</v>
      </c>
      <c r="F4673" s="20" t="s">
        <v>2510</v>
      </c>
      <c r="G4673" s="20" t="s">
        <v>82</v>
      </c>
      <c r="H4673" s="20" t="s">
        <v>137</v>
      </c>
      <c r="I4673" s="20"/>
      <c r="J4673" s="20" t="s">
        <v>204</v>
      </c>
      <c r="K4673" s="20" t="s">
        <v>250</v>
      </c>
      <c r="L4673" s="20">
        <v>425600000</v>
      </c>
      <c r="M4673" s="20" t="s">
        <v>245</v>
      </c>
      <c r="N4673" s="20" t="s">
        <v>3163</v>
      </c>
    </row>
    <row r="4674" spans="1:14" hidden="1" x14ac:dyDescent="0.25">
      <c r="A4674" s="19">
        <v>45992</v>
      </c>
      <c r="B4674" s="20" t="s">
        <v>120</v>
      </c>
      <c r="C4674" s="20">
        <v>71</v>
      </c>
      <c r="D4674" s="20" t="s">
        <v>253</v>
      </c>
      <c r="E4674" s="20" t="s">
        <v>2359</v>
      </c>
      <c r="F4674" s="20" t="s">
        <v>334</v>
      </c>
      <c r="G4674" s="20" t="s">
        <v>82</v>
      </c>
      <c r="H4674" s="20"/>
      <c r="I4674" s="20"/>
      <c r="J4674" s="20" t="s">
        <v>202</v>
      </c>
      <c r="K4674" s="20" t="s">
        <v>255</v>
      </c>
      <c r="L4674" s="20">
        <v>212</v>
      </c>
      <c r="M4674" s="20" t="s">
        <v>245</v>
      </c>
      <c r="N4674" s="20" t="s">
        <v>2246</v>
      </c>
    </row>
    <row r="4675" spans="1:14" hidden="1" x14ac:dyDescent="0.25">
      <c r="A4675" s="19">
        <v>45992</v>
      </c>
      <c r="B4675" s="20" t="s">
        <v>120</v>
      </c>
      <c r="C4675" s="20">
        <v>71</v>
      </c>
      <c r="D4675" s="20" t="s">
        <v>253</v>
      </c>
      <c r="E4675" s="20" t="s">
        <v>2359</v>
      </c>
      <c r="F4675" s="20" t="s">
        <v>334</v>
      </c>
      <c r="G4675" s="20" t="s">
        <v>82</v>
      </c>
      <c r="H4675" s="20"/>
      <c r="I4675" s="20"/>
      <c r="J4675" s="20" t="s">
        <v>203</v>
      </c>
      <c r="K4675" s="20" t="s">
        <v>255</v>
      </c>
      <c r="L4675" s="20">
        <v>216</v>
      </c>
      <c r="M4675" s="20" t="s">
        <v>245</v>
      </c>
      <c r="N4675" s="20" t="s">
        <v>3019</v>
      </c>
    </row>
    <row r="4676" spans="1:14" hidden="1" x14ac:dyDescent="0.25">
      <c r="A4676" s="19">
        <v>45992</v>
      </c>
      <c r="B4676" s="20" t="s">
        <v>120</v>
      </c>
      <c r="C4676" s="20">
        <v>71</v>
      </c>
      <c r="D4676" s="20" t="s">
        <v>253</v>
      </c>
      <c r="E4676" s="20" t="s">
        <v>2359</v>
      </c>
      <c r="F4676" s="20" t="s">
        <v>334</v>
      </c>
      <c r="G4676" s="20" t="s">
        <v>82</v>
      </c>
      <c r="H4676" s="20"/>
      <c r="I4676" s="20"/>
      <c r="J4676" s="20" t="s">
        <v>204</v>
      </c>
      <c r="K4676" s="20" t="s">
        <v>255</v>
      </c>
      <c r="L4676" s="20">
        <v>228</v>
      </c>
      <c r="M4676" s="20" t="s">
        <v>245</v>
      </c>
      <c r="N4676" s="20" t="s">
        <v>3164</v>
      </c>
    </row>
    <row r="4677" spans="1:14" hidden="1" x14ac:dyDescent="0.25">
      <c r="A4677" s="19">
        <v>45992</v>
      </c>
      <c r="B4677" s="20" t="s">
        <v>142</v>
      </c>
      <c r="C4677" s="20">
        <v>73</v>
      </c>
      <c r="D4677" s="20" t="s">
        <v>238</v>
      </c>
      <c r="E4677" s="20" t="s">
        <v>2341</v>
      </c>
      <c r="F4677" s="20" t="s">
        <v>240</v>
      </c>
      <c r="G4677" s="20" t="s">
        <v>82</v>
      </c>
      <c r="H4677" s="20"/>
      <c r="I4677" s="20"/>
      <c r="J4677" s="20" t="s">
        <v>3052</v>
      </c>
      <c r="K4677" s="20" t="s">
        <v>241</v>
      </c>
      <c r="L4677" s="20">
        <v>12160000</v>
      </c>
      <c r="M4677" s="20" t="s">
        <v>242</v>
      </c>
      <c r="N4677" s="20" t="s">
        <v>3165</v>
      </c>
    </row>
    <row r="4678" spans="1:14" hidden="1" x14ac:dyDescent="0.25">
      <c r="A4678" s="19">
        <v>45992</v>
      </c>
      <c r="B4678" s="20" t="s">
        <v>142</v>
      </c>
      <c r="C4678" s="20">
        <v>73</v>
      </c>
      <c r="D4678" s="20" t="s">
        <v>238</v>
      </c>
      <c r="E4678" s="20" t="s">
        <v>2341</v>
      </c>
      <c r="F4678" s="20" t="s">
        <v>244</v>
      </c>
      <c r="G4678" s="20" t="s">
        <v>82</v>
      </c>
      <c r="H4678" s="20"/>
      <c r="I4678" s="20"/>
      <c r="J4678" s="20" t="s">
        <v>3052</v>
      </c>
      <c r="K4678" s="20" t="s">
        <v>241</v>
      </c>
      <c r="L4678" s="20">
        <v>10010000000</v>
      </c>
      <c r="M4678" s="20" t="s">
        <v>245</v>
      </c>
      <c r="N4678" s="20" t="s">
        <v>3166</v>
      </c>
    </row>
    <row r="4679" spans="1:14" hidden="1" x14ac:dyDescent="0.25">
      <c r="A4679" s="19">
        <v>45992</v>
      </c>
      <c r="B4679" s="20" t="s">
        <v>142</v>
      </c>
      <c r="C4679" s="20">
        <v>74</v>
      </c>
      <c r="D4679" s="20" t="s">
        <v>253</v>
      </c>
      <c r="E4679" s="20" t="s">
        <v>2359</v>
      </c>
      <c r="F4679" s="20" t="s">
        <v>544</v>
      </c>
      <c r="G4679" s="20" t="s">
        <v>82</v>
      </c>
      <c r="H4679" s="20"/>
      <c r="I4679" s="20"/>
      <c r="J4679" s="20" t="s">
        <v>202</v>
      </c>
      <c r="K4679" s="20" t="s">
        <v>255</v>
      </c>
      <c r="L4679" s="20">
        <v>1040000</v>
      </c>
      <c r="M4679" s="20" t="s">
        <v>242</v>
      </c>
      <c r="N4679" s="20" t="s">
        <v>2863</v>
      </c>
    </row>
    <row r="4680" spans="1:14" hidden="1" x14ac:dyDescent="0.25">
      <c r="A4680" s="19">
        <v>45992</v>
      </c>
      <c r="B4680" s="20" t="s">
        <v>142</v>
      </c>
      <c r="C4680" s="20">
        <v>74</v>
      </c>
      <c r="D4680" s="20" t="s">
        <v>253</v>
      </c>
      <c r="E4680" s="20" t="s">
        <v>2359</v>
      </c>
      <c r="F4680" s="20" t="s">
        <v>544</v>
      </c>
      <c r="G4680" s="20" t="s">
        <v>82</v>
      </c>
      <c r="H4680" s="20"/>
      <c r="I4680" s="20"/>
      <c r="J4680" s="20" t="s">
        <v>203</v>
      </c>
      <c r="K4680" s="20" t="s">
        <v>255</v>
      </c>
      <c r="L4680" s="20">
        <v>1020000</v>
      </c>
      <c r="M4680" s="20" t="s">
        <v>242</v>
      </c>
      <c r="N4680" s="20" t="s">
        <v>937</v>
      </c>
    </row>
    <row r="4681" spans="1:14" hidden="1" x14ac:dyDescent="0.25">
      <c r="A4681" s="19">
        <v>45992</v>
      </c>
      <c r="B4681" s="20" t="s">
        <v>142</v>
      </c>
      <c r="C4681" s="20">
        <v>74</v>
      </c>
      <c r="D4681" s="20" t="s">
        <v>253</v>
      </c>
      <c r="E4681" s="20" t="s">
        <v>2359</v>
      </c>
      <c r="F4681" s="20" t="s">
        <v>544</v>
      </c>
      <c r="G4681" s="20" t="s">
        <v>82</v>
      </c>
      <c r="H4681" s="20"/>
      <c r="I4681" s="20"/>
      <c r="J4681" s="20" t="s">
        <v>204</v>
      </c>
      <c r="K4681" s="20" t="s">
        <v>255</v>
      </c>
      <c r="L4681" s="20">
        <v>1190000</v>
      </c>
      <c r="M4681" s="20" t="s">
        <v>242</v>
      </c>
      <c r="N4681" s="20" t="s">
        <v>3167</v>
      </c>
    </row>
    <row r="4682" spans="1:14" hidden="1" x14ac:dyDescent="0.25">
      <c r="A4682" s="19">
        <v>45992</v>
      </c>
      <c r="B4682" s="20" t="s">
        <v>142</v>
      </c>
      <c r="C4682" s="20">
        <v>74</v>
      </c>
      <c r="D4682" s="20" t="s">
        <v>247</v>
      </c>
      <c r="E4682" s="20" t="s">
        <v>2554</v>
      </c>
      <c r="F4682" s="20" t="s">
        <v>2556</v>
      </c>
      <c r="G4682" s="20" t="s">
        <v>82</v>
      </c>
      <c r="H4682" s="20" t="s">
        <v>286</v>
      </c>
      <c r="I4682" s="20"/>
      <c r="J4682" s="20" t="s">
        <v>204</v>
      </c>
      <c r="K4682" s="20" t="s">
        <v>250</v>
      </c>
      <c r="L4682" s="20">
        <v>16.399999999999999</v>
      </c>
      <c r="M4682" s="20" t="s">
        <v>251</v>
      </c>
      <c r="N4682" s="20" t="s">
        <v>3168</v>
      </c>
    </row>
    <row r="4683" spans="1:14" hidden="1" x14ac:dyDescent="0.25">
      <c r="A4683" s="19">
        <v>45992</v>
      </c>
      <c r="B4683" s="20" t="s">
        <v>142</v>
      </c>
      <c r="C4683" s="20">
        <v>75</v>
      </c>
      <c r="D4683" s="20" t="s">
        <v>253</v>
      </c>
      <c r="E4683" s="20" t="s">
        <v>2359</v>
      </c>
      <c r="F4683" s="20" t="s">
        <v>2531</v>
      </c>
      <c r="G4683" s="20" t="s">
        <v>82</v>
      </c>
      <c r="H4683" s="20" t="s">
        <v>149</v>
      </c>
      <c r="I4683" s="20"/>
      <c r="J4683" s="20" t="s">
        <v>202</v>
      </c>
      <c r="K4683" s="20" t="s">
        <v>255</v>
      </c>
      <c r="L4683" s="20">
        <v>6250</v>
      </c>
      <c r="M4683" s="20" t="s">
        <v>242</v>
      </c>
      <c r="N4683" s="20" t="s">
        <v>2864</v>
      </c>
    </row>
    <row r="4684" spans="1:14" hidden="1" x14ac:dyDescent="0.25">
      <c r="A4684" s="19">
        <v>45992</v>
      </c>
      <c r="B4684" s="20" t="s">
        <v>142</v>
      </c>
      <c r="C4684" s="20">
        <v>75</v>
      </c>
      <c r="D4684" s="20" t="s">
        <v>253</v>
      </c>
      <c r="E4684" s="20" t="s">
        <v>2359</v>
      </c>
      <c r="F4684" s="20" t="s">
        <v>2531</v>
      </c>
      <c r="G4684" s="20" t="s">
        <v>82</v>
      </c>
      <c r="H4684" s="20" t="s">
        <v>149</v>
      </c>
      <c r="I4684" s="20"/>
      <c r="J4684" s="20" t="s">
        <v>203</v>
      </c>
      <c r="K4684" s="20" t="s">
        <v>255</v>
      </c>
      <c r="L4684" s="20">
        <v>6350</v>
      </c>
      <c r="M4684" s="20" t="s">
        <v>242</v>
      </c>
      <c r="N4684" s="20" t="s">
        <v>3022</v>
      </c>
    </row>
    <row r="4685" spans="1:14" hidden="1" x14ac:dyDescent="0.25">
      <c r="A4685" s="19">
        <v>45992</v>
      </c>
      <c r="B4685" s="20" t="s">
        <v>142</v>
      </c>
      <c r="C4685" s="20">
        <v>75</v>
      </c>
      <c r="D4685" s="20" t="s">
        <v>253</v>
      </c>
      <c r="E4685" s="20" t="s">
        <v>2359</v>
      </c>
      <c r="F4685" s="20" t="s">
        <v>2531</v>
      </c>
      <c r="G4685" s="20" t="s">
        <v>82</v>
      </c>
      <c r="H4685" s="20" t="s">
        <v>149</v>
      </c>
      <c r="I4685" s="20"/>
      <c r="J4685" s="20" t="s">
        <v>204</v>
      </c>
      <c r="K4685" s="20" t="s">
        <v>255</v>
      </c>
      <c r="L4685" s="20">
        <v>6297</v>
      </c>
      <c r="M4685" s="20" t="s">
        <v>242</v>
      </c>
      <c r="N4685" s="20" t="s">
        <v>3169</v>
      </c>
    </row>
    <row r="4686" spans="1:14" hidden="1" x14ac:dyDescent="0.25">
      <c r="A4686" s="19">
        <v>45992</v>
      </c>
      <c r="B4686" s="20" t="s">
        <v>142</v>
      </c>
      <c r="C4686" s="20">
        <v>75</v>
      </c>
      <c r="D4686" s="20" t="s">
        <v>253</v>
      </c>
      <c r="E4686" s="20" t="s">
        <v>2359</v>
      </c>
      <c r="F4686" s="20" t="s">
        <v>2531</v>
      </c>
      <c r="G4686" s="20" t="s">
        <v>82</v>
      </c>
      <c r="H4686" s="20" t="s">
        <v>150</v>
      </c>
      <c r="I4686" s="20"/>
      <c r="J4686" s="20" t="s">
        <v>202</v>
      </c>
      <c r="K4686" s="20" t="s">
        <v>255</v>
      </c>
      <c r="L4686" s="20">
        <v>332</v>
      </c>
      <c r="M4686" s="20" t="s">
        <v>242</v>
      </c>
      <c r="N4686" s="20" t="s">
        <v>2865</v>
      </c>
    </row>
    <row r="4687" spans="1:14" hidden="1" x14ac:dyDescent="0.25">
      <c r="A4687" s="19">
        <v>45992</v>
      </c>
      <c r="B4687" s="20" t="s">
        <v>142</v>
      </c>
      <c r="C4687" s="20">
        <v>75</v>
      </c>
      <c r="D4687" s="20" t="s">
        <v>253</v>
      </c>
      <c r="E4687" s="20" t="s">
        <v>2359</v>
      </c>
      <c r="F4687" s="20" t="s">
        <v>2531</v>
      </c>
      <c r="G4687" s="20" t="s">
        <v>82</v>
      </c>
      <c r="H4687" s="20" t="s">
        <v>150</v>
      </c>
      <c r="I4687" s="20"/>
      <c r="J4687" s="20" t="s">
        <v>203</v>
      </c>
      <c r="K4687" s="20" t="s">
        <v>255</v>
      </c>
      <c r="L4687" s="20">
        <v>283</v>
      </c>
      <c r="M4687" s="20" t="s">
        <v>242</v>
      </c>
      <c r="N4687" s="20" t="s">
        <v>3023</v>
      </c>
    </row>
    <row r="4688" spans="1:14" hidden="1" x14ac:dyDescent="0.25">
      <c r="A4688" s="19">
        <v>45992</v>
      </c>
      <c r="B4688" s="20" t="s">
        <v>142</v>
      </c>
      <c r="C4688" s="20">
        <v>75</v>
      </c>
      <c r="D4688" s="20" t="s">
        <v>253</v>
      </c>
      <c r="E4688" s="20" t="s">
        <v>2359</v>
      </c>
      <c r="F4688" s="20" t="s">
        <v>2531</v>
      </c>
      <c r="G4688" s="20" t="s">
        <v>82</v>
      </c>
      <c r="H4688" s="20" t="s">
        <v>150</v>
      </c>
      <c r="I4688" s="20"/>
      <c r="J4688" s="20" t="s">
        <v>204</v>
      </c>
      <c r="K4688" s="20" t="s">
        <v>255</v>
      </c>
      <c r="L4688" s="20">
        <v>307</v>
      </c>
      <c r="M4688" s="20" t="s">
        <v>242</v>
      </c>
      <c r="N4688" s="20" t="s">
        <v>3170</v>
      </c>
    </row>
    <row r="4689" spans="1:14" hidden="1" x14ac:dyDescent="0.25">
      <c r="A4689" s="19">
        <v>45992</v>
      </c>
      <c r="B4689" s="20" t="s">
        <v>142</v>
      </c>
      <c r="C4689" s="20">
        <v>75</v>
      </c>
      <c r="D4689" s="20" t="s">
        <v>253</v>
      </c>
      <c r="E4689" s="20" t="s">
        <v>2359</v>
      </c>
      <c r="F4689" s="20" t="s">
        <v>2531</v>
      </c>
      <c r="G4689" s="20" t="s">
        <v>82</v>
      </c>
      <c r="H4689" s="20" t="s">
        <v>151</v>
      </c>
      <c r="I4689" s="20"/>
      <c r="J4689" s="20" t="s">
        <v>202</v>
      </c>
      <c r="K4689" s="20" t="s">
        <v>255</v>
      </c>
      <c r="L4689" s="20">
        <v>42</v>
      </c>
      <c r="M4689" s="20" t="s">
        <v>242</v>
      </c>
      <c r="N4689" s="20" t="s">
        <v>266</v>
      </c>
    </row>
    <row r="4690" spans="1:14" hidden="1" x14ac:dyDescent="0.25">
      <c r="A4690" s="19">
        <v>45992</v>
      </c>
      <c r="B4690" s="20" t="s">
        <v>142</v>
      </c>
      <c r="C4690" s="20">
        <v>75</v>
      </c>
      <c r="D4690" s="20" t="s">
        <v>253</v>
      </c>
      <c r="E4690" s="20" t="s">
        <v>2359</v>
      </c>
      <c r="F4690" s="20" t="s">
        <v>2531</v>
      </c>
      <c r="G4690" s="20" t="s">
        <v>82</v>
      </c>
      <c r="H4690" s="20" t="s">
        <v>151</v>
      </c>
      <c r="I4690" s="20"/>
      <c r="J4690" s="20" t="s">
        <v>203</v>
      </c>
      <c r="K4690" s="20" t="s">
        <v>255</v>
      </c>
      <c r="L4690" s="20">
        <v>37</v>
      </c>
      <c r="M4690" s="20" t="s">
        <v>242</v>
      </c>
      <c r="N4690" s="20" t="s">
        <v>1310</v>
      </c>
    </row>
    <row r="4691" spans="1:14" hidden="1" x14ac:dyDescent="0.25">
      <c r="A4691" s="19">
        <v>45992</v>
      </c>
      <c r="B4691" s="20" t="s">
        <v>142</v>
      </c>
      <c r="C4691" s="20">
        <v>75</v>
      </c>
      <c r="D4691" s="20" t="s">
        <v>253</v>
      </c>
      <c r="E4691" s="20" t="s">
        <v>2359</v>
      </c>
      <c r="F4691" s="20" t="s">
        <v>2531</v>
      </c>
      <c r="G4691" s="20" t="s">
        <v>82</v>
      </c>
      <c r="H4691" s="20" t="s">
        <v>151</v>
      </c>
      <c r="I4691" s="20"/>
      <c r="J4691" s="20" t="s">
        <v>204</v>
      </c>
      <c r="K4691" s="20" t="s">
        <v>255</v>
      </c>
      <c r="L4691" s="20">
        <v>41</v>
      </c>
      <c r="M4691" s="20" t="s">
        <v>242</v>
      </c>
      <c r="N4691" s="20" t="s">
        <v>3171</v>
      </c>
    </row>
    <row r="4692" spans="1:14" hidden="1" x14ac:dyDescent="0.25">
      <c r="A4692" s="19">
        <v>45992</v>
      </c>
      <c r="B4692" s="20" t="s">
        <v>142</v>
      </c>
      <c r="C4692" s="20">
        <v>76</v>
      </c>
      <c r="D4692" s="20" t="s">
        <v>253</v>
      </c>
      <c r="E4692" s="20" t="s">
        <v>2359</v>
      </c>
      <c r="F4692" s="20" t="s">
        <v>929</v>
      </c>
      <c r="G4692" s="20" t="s">
        <v>82</v>
      </c>
      <c r="H4692" s="20"/>
      <c r="I4692" s="20"/>
      <c r="J4692" s="20" t="s">
        <v>202</v>
      </c>
      <c r="K4692" s="20" t="s">
        <v>255</v>
      </c>
      <c r="L4692" s="20">
        <v>872000000</v>
      </c>
      <c r="M4692" s="20" t="s">
        <v>245</v>
      </c>
      <c r="N4692" s="20" t="s">
        <v>2866</v>
      </c>
    </row>
    <row r="4693" spans="1:14" hidden="1" x14ac:dyDescent="0.25">
      <c r="A4693" s="19">
        <v>45992</v>
      </c>
      <c r="B4693" s="20" t="s">
        <v>142</v>
      </c>
      <c r="C4693" s="20">
        <v>76</v>
      </c>
      <c r="D4693" s="20" t="s">
        <v>253</v>
      </c>
      <c r="E4693" s="20" t="s">
        <v>2359</v>
      </c>
      <c r="F4693" s="20" t="s">
        <v>929</v>
      </c>
      <c r="G4693" s="20" t="s">
        <v>82</v>
      </c>
      <c r="H4693" s="20"/>
      <c r="I4693" s="20"/>
      <c r="J4693" s="20" t="s">
        <v>203</v>
      </c>
      <c r="K4693" s="20" t="s">
        <v>255</v>
      </c>
      <c r="L4693" s="20">
        <v>818000000</v>
      </c>
      <c r="M4693" s="20" t="s">
        <v>245</v>
      </c>
      <c r="N4693" s="20" t="s">
        <v>3024</v>
      </c>
    </row>
    <row r="4694" spans="1:14" hidden="1" x14ac:dyDescent="0.25">
      <c r="A4694" s="19">
        <v>45992</v>
      </c>
      <c r="B4694" s="20" t="s">
        <v>142</v>
      </c>
      <c r="C4694" s="20">
        <v>76</v>
      </c>
      <c r="D4694" s="20" t="s">
        <v>253</v>
      </c>
      <c r="E4694" s="20" t="s">
        <v>2359</v>
      </c>
      <c r="F4694" s="20" t="s">
        <v>929</v>
      </c>
      <c r="G4694" s="20" t="s">
        <v>82</v>
      </c>
      <c r="H4694" s="20"/>
      <c r="I4694" s="20"/>
      <c r="J4694" s="20" t="s">
        <v>204</v>
      </c>
      <c r="K4694" s="20" t="s">
        <v>255</v>
      </c>
      <c r="L4694" s="20">
        <v>939000000</v>
      </c>
      <c r="M4694" s="20" t="s">
        <v>245</v>
      </c>
      <c r="N4694" s="20" t="s">
        <v>3172</v>
      </c>
    </row>
    <row r="4695" spans="1:14" hidden="1" x14ac:dyDescent="0.25">
      <c r="A4695" s="19">
        <v>45992</v>
      </c>
      <c r="B4695" s="20" t="s">
        <v>142</v>
      </c>
      <c r="C4695" s="20">
        <v>76</v>
      </c>
      <c r="D4695" s="20" t="s">
        <v>247</v>
      </c>
      <c r="E4695" s="20" t="s">
        <v>2554</v>
      </c>
      <c r="F4695" s="20" t="s">
        <v>2557</v>
      </c>
      <c r="G4695" s="20" t="s">
        <v>82</v>
      </c>
      <c r="H4695" s="20" t="s">
        <v>286</v>
      </c>
      <c r="I4695" s="20"/>
      <c r="J4695" s="20" t="s">
        <v>204</v>
      </c>
      <c r="K4695" s="20" t="s">
        <v>250</v>
      </c>
      <c r="L4695" s="20">
        <v>14.8</v>
      </c>
      <c r="M4695" s="20" t="s">
        <v>251</v>
      </c>
      <c r="N4695" s="20" t="s">
        <v>3173</v>
      </c>
    </row>
    <row r="4696" spans="1:14" hidden="1" x14ac:dyDescent="0.25">
      <c r="A4696" s="19">
        <v>45992</v>
      </c>
      <c r="B4696" s="20" t="s">
        <v>142</v>
      </c>
      <c r="C4696" s="20">
        <v>77</v>
      </c>
      <c r="D4696" s="20" t="s">
        <v>253</v>
      </c>
      <c r="E4696" s="20" t="s">
        <v>2359</v>
      </c>
      <c r="F4696" s="20" t="s">
        <v>2533</v>
      </c>
      <c r="G4696" s="20" t="s">
        <v>82</v>
      </c>
      <c r="H4696" s="20" t="s">
        <v>149</v>
      </c>
      <c r="I4696" s="20"/>
      <c r="J4696" s="20" t="s">
        <v>202</v>
      </c>
      <c r="K4696" s="20" t="s">
        <v>255</v>
      </c>
      <c r="L4696" s="20">
        <v>40600000</v>
      </c>
      <c r="M4696" s="20" t="s">
        <v>149</v>
      </c>
      <c r="N4696" s="20" t="s">
        <v>2867</v>
      </c>
    </row>
    <row r="4697" spans="1:14" hidden="1" x14ac:dyDescent="0.25">
      <c r="A4697" s="19">
        <v>45992</v>
      </c>
      <c r="B4697" s="20" t="s">
        <v>142</v>
      </c>
      <c r="C4697" s="20">
        <v>77</v>
      </c>
      <c r="D4697" s="20" t="s">
        <v>253</v>
      </c>
      <c r="E4697" s="20" t="s">
        <v>2359</v>
      </c>
      <c r="F4697" s="20" t="s">
        <v>2533</v>
      </c>
      <c r="G4697" s="20" t="s">
        <v>82</v>
      </c>
      <c r="H4697" s="20" t="s">
        <v>149</v>
      </c>
      <c r="I4697" s="20"/>
      <c r="J4697" s="20" t="s">
        <v>203</v>
      </c>
      <c r="K4697" s="20" t="s">
        <v>255</v>
      </c>
      <c r="L4697" s="20">
        <v>40200000</v>
      </c>
      <c r="M4697" s="20" t="s">
        <v>149</v>
      </c>
      <c r="N4697" s="20" t="s">
        <v>3025</v>
      </c>
    </row>
    <row r="4698" spans="1:14" hidden="1" x14ac:dyDescent="0.25">
      <c r="A4698" s="19">
        <v>45992</v>
      </c>
      <c r="B4698" s="20" t="s">
        <v>142</v>
      </c>
      <c r="C4698" s="20">
        <v>77</v>
      </c>
      <c r="D4698" s="20" t="s">
        <v>253</v>
      </c>
      <c r="E4698" s="20" t="s">
        <v>2359</v>
      </c>
      <c r="F4698" s="20" t="s">
        <v>2533</v>
      </c>
      <c r="G4698" s="20" t="s">
        <v>82</v>
      </c>
      <c r="H4698" s="20" t="s">
        <v>149</v>
      </c>
      <c r="I4698" s="20"/>
      <c r="J4698" s="20" t="s">
        <v>204</v>
      </c>
      <c r="K4698" s="20" t="s">
        <v>255</v>
      </c>
      <c r="L4698" s="20">
        <v>41200000</v>
      </c>
      <c r="M4698" s="20" t="s">
        <v>149</v>
      </c>
      <c r="N4698" s="20" t="s">
        <v>3174</v>
      </c>
    </row>
    <row r="4699" spans="1:14" hidden="1" x14ac:dyDescent="0.25">
      <c r="A4699" s="19">
        <v>45992</v>
      </c>
      <c r="B4699" s="20" t="s">
        <v>142</v>
      </c>
      <c r="C4699" s="20">
        <v>77</v>
      </c>
      <c r="D4699" s="20" t="s">
        <v>253</v>
      </c>
      <c r="E4699" s="20" t="s">
        <v>2359</v>
      </c>
      <c r="F4699" s="20" t="s">
        <v>2533</v>
      </c>
      <c r="G4699" s="20" t="s">
        <v>82</v>
      </c>
      <c r="H4699" s="20" t="s">
        <v>150</v>
      </c>
      <c r="I4699" s="20"/>
      <c r="J4699" s="20" t="s">
        <v>202</v>
      </c>
      <c r="K4699" s="20" t="s">
        <v>255</v>
      </c>
      <c r="L4699" s="20">
        <v>2800000</v>
      </c>
      <c r="M4699" s="20" t="s">
        <v>150</v>
      </c>
      <c r="N4699" s="20" t="s">
        <v>2868</v>
      </c>
    </row>
    <row r="4700" spans="1:14" hidden="1" x14ac:dyDescent="0.25">
      <c r="A4700" s="19">
        <v>45992</v>
      </c>
      <c r="B4700" s="20" t="s">
        <v>142</v>
      </c>
      <c r="C4700" s="20">
        <v>77</v>
      </c>
      <c r="D4700" s="20" t="s">
        <v>253</v>
      </c>
      <c r="E4700" s="20" t="s">
        <v>2359</v>
      </c>
      <c r="F4700" s="20" t="s">
        <v>2533</v>
      </c>
      <c r="G4700" s="20" t="s">
        <v>82</v>
      </c>
      <c r="H4700" s="20" t="s">
        <v>150</v>
      </c>
      <c r="I4700" s="20"/>
      <c r="J4700" s="20" t="s">
        <v>203</v>
      </c>
      <c r="K4700" s="20" t="s">
        <v>255</v>
      </c>
      <c r="L4700" s="20">
        <v>2650000</v>
      </c>
      <c r="M4700" s="20" t="s">
        <v>150</v>
      </c>
      <c r="N4700" s="20" t="s">
        <v>3026</v>
      </c>
    </row>
    <row r="4701" spans="1:14" hidden="1" x14ac:dyDescent="0.25">
      <c r="A4701" s="19">
        <v>45992</v>
      </c>
      <c r="B4701" s="20" t="s">
        <v>142</v>
      </c>
      <c r="C4701" s="20">
        <v>77</v>
      </c>
      <c r="D4701" s="20" t="s">
        <v>253</v>
      </c>
      <c r="E4701" s="20" t="s">
        <v>2359</v>
      </c>
      <c r="F4701" s="20" t="s">
        <v>2533</v>
      </c>
      <c r="G4701" s="20" t="s">
        <v>82</v>
      </c>
      <c r="H4701" s="20" t="s">
        <v>150</v>
      </c>
      <c r="I4701" s="20"/>
      <c r="J4701" s="20" t="s">
        <v>204</v>
      </c>
      <c r="K4701" s="20" t="s">
        <v>255</v>
      </c>
      <c r="L4701" s="20">
        <v>2510000</v>
      </c>
      <c r="M4701" s="20" t="s">
        <v>150</v>
      </c>
      <c r="N4701" s="20" t="s">
        <v>2102</v>
      </c>
    </row>
    <row r="4702" spans="1:14" hidden="1" x14ac:dyDescent="0.25">
      <c r="A4702" s="19">
        <v>45992</v>
      </c>
      <c r="B4702" s="20" t="s">
        <v>142</v>
      </c>
      <c r="C4702" s="20">
        <v>77</v>
      </c>
      <c r="D4702" s="20" t="s">
        <v>253</v>
      </c>
      <c r="E4702" s="20" t="s">
        <v>2359</v>
      </c>
      <c r="F4702" s="20" t="s">
        <v>2533</v>
      </c>
      <c r="G4702" s="20" t="s">
        <v>82</v>
      </c>
      <c r="H4702" s="20" t="s">
        <v>151</v>
      </c>
      <c r="I4702" s="20"/>
      <c r="J4702" s="20" t="s">
        <v>202</v>
      </c>
      <c r="K4702" s="20" t="s">
        <v>255</v>
      </c>
      <c r="L4702" s="20">
        <v>390000</v>
      </c>
      <c r="M4702" s="20" t="s">
        <v>151</v>
      </c>
      <c r="N4702" s="20" t="s">
        <v>2869</v>
      </c>
    </row>
    <row r="4703" spans="1:14" hidden="1" x14ac:dyDescent="0.25">
      <c r="A4703" s="19">
        <v>45992</v>
      </c>
      <c r="B4703" s="20" t="s">
        <v>142</v>
      </c>
      <c r="C4703" s="20">
        <v>77</v>
      </c>
      <c r="D4703" s="20" t="s">
        <v>253</v>
      </c>
      <c r="E4703" s="20" t="s">
        <v>2359</v>
      </c>
      <c r="F4703" s="20" t="s">
        <v>2533</v>
      </c>
      <c r="G4703" s="20" t="s">
        <v>82</v>
      </c>
      <c r="H4703" s="20" t="s">
        <v>151</v>
      </c>
      <c r="I4703" s="20"/>
      <c r="J4703" s="20" t="s">
        <v>203</v>
      </c>
      <c r="K4703" s="20" t="s">
        <v>255</v>
      </c>
      <c r="L4703" s="20">
        <v>290000</v>
      </c>
      <c r="M4703" s="20" t="s">
        <v>151</v>
      </c>
      <c r="N4703" s="20" t="s">
        <v>3027</v>
      </c>
    </row>
    <row r="4704" spans="1:14" hidden="1" x14ac:dyDescent="0.25">
      <c r="A4704" s="19">
        <v>45992</v>
      </c>
      <c r="B4704" s="20" t="s">
        <v>142</v>
      </c>
      <c r="C4704" s="20">
        <v>77</v>
      </c>
      <c r="D4704" s="20" t="s">
        <v>253</v>
      </c>
      <c r="E4704" s="20" t="s">
        <v>2359</v>
      </c>
      <c r="F4704" s="20" t="s">
        <v>2533</v>
      </c>
      <c r="G4704" s="20" t="s">
        <v>82</v>
      </c>
      <c r="H4704" s="20" t="s">
        <v>151</v>
      </c>
      <c r="I4704" s="20"/>
      <c r="J4704" s="20" t="s">
        <v>204</v>
      </c>
      <c r="K4704" s="20" t="s">
        <v>255</v>
      </c>
      <c r="L4704" s="20">
        <v>330000</v>
      </c>
      <c r="M4704" s="20" t="s">
        <v>151</v>
      </c>
      <c r="N4704" s="20" t="s">
        <v>3175</v>
      </c>
    </row>
    <row r="4705" spans="1:14" hidden="1" x14ac:dyDescent="0.25">
      <c r="A4705" s="19">
        <v>45992</v>
      </c>
      <c r="B4705" s="20" t="s">
        <v>156</v>
      </c>
      <c r="C4705" s="20">
        <v>79</v>
      </c>
      <c r="D4705" s="20" t="s">
        <v>238</v>
      </c>
      <c r="E4705" s="20" t="s">
        <v>2341</v>
      </c>
      <c r="F4705" s="20" t="s">
        <v>240</v>
      </c>
      <c r="G4705" s="20" t="s">
        <v>158</v>
      </c>
      <c r="H4705" s="20"/>
      <c r="I4705" s="20"/>
      <c r="J4705" s="20" t="s">
        <v>3052</v>
      </c>
      <c r="K4705" s="20" t="s">
        <v>241</v>
      </c>
      <c r="L4705" s="20">
        <v>6290000</v>
      </c>
      <c r="M4705" s="20" t="s">
        <v>242</v>
      </c>
      <c r="N4705" s="20" t="s">
        <v>3176</v>
      </c>
    </row>
    <row r="4706" spans="1:14" hidden="1" x14ac:dyDescent="0.25">
      <c r="A4706" s="19">
        <v>45992</v>
      </c>
      <c r="B4706" s="20" t="s">
        <v>156</v>
      </c>
      <c r="C4706" s="20">
        <v>79</v>
      </c>
      <c r="D4706" s="20" t="s">
        <v>238</v>
      </c>
      <c r="E4706" s="20" t="s">
        <v>2341</v>
      </c>
      <c r="F4706" s="20" t="s">
        <v>244</v>
      </c>
      <c r="G4706" s="20" t="s">
        <v>158</v>
      </c>
      <c r="H4706" s="20"/>
      <c r="I4706" s="20"/>
      <c r="J4706" s="20" t="s">
        <v>3052</v>
      </c>
      <c r="K4706" s="20" t="s">
        <v>241</v>
      </c>
      <c r="L4706" s="20">
        <v>40960000000</v>
      </c>
      <c r="M4706" s="20" t="s">
        <v>245</v>
      </c>
      <c r="N4706" s="20" t="s">
        <v>3177</v>
      </c>
    </row>
    <row r="4707" spans="1:14" hidden="1" x14ac:dyDescent="0.25">
      <c r="A4707" s="19">
        <v>45992</v>
      </c>
      <c r="B4707" s="20" t="s">
        <v>156</v>
      </c>
      <c r="C4707" s="20">
        <v>80</v>
      </c>
      <c r="D4707" s="20" t="s">
        <v>253</v>
      </c>
      <c r="E4707" s="20" t="s">
        <v>2359</v>
      </c>
      <c r="F4707" s="20" t="s">
        <v>344</v>
      </c>
      <c r="G4707" s="20" t="s">
        <v>158</v>
      </c>
      <c r="H4707" s="20"/>
      <c r="I4707" s="20"/>
      <c r="J4707" s="20" t="s">
        <v>202</v>
      </c>
      <c r="K4707" s="20" t="s">
        <v>255</v>
      </c>
      <c r="L4707" s="20">
        <v>516000</v>
      </c>
      <c r="M4707" s="20" t="s">
        <v>242</v>
      </c>
      <c r="N4707" s="20" t="s">
        <v>2871</v>
      </c>
    </row>
    <row r="4708" spans="1:14" hidden="1" x14ac:dyDescent="0.25">
      <c r="A4708" s="19">
        <v>45992</v>
      </c>
      <c r="B4708" s="20" t="s">
        <v>156</v>
      </c>
      <c r="C4708" s="20">
        <v>80</v>
      </c>
      <c r="D4708" s="20" t="s">
        <v>253</v>
      </c>
      <c r="E4708" s="20" t="s">
        <v>2359</v>
      </c>
      <c r="F4708" s="20" t="s">
        <v>344</v>
      </c>
      <c r="G4708" s="20" t="s">
        <v>158</v>
      </c>
      <c r="H4708" s="20"/>
      <c r="I4708" s="20"/>
      <c r="J4708" s="20" t="s">
        <v>203</v>
      </c>
      <c r="K4708" s="20" t="s">
        <v>255</v>
      </c>
      <c r="L4708" s="20">
        <v>562000</v>
      </c>
      <c r="M4708" s="20" t="s">
        <v>242</v>
      </c>
      <c r="N4708" s="20" t="s">
        <v>2045</v>
      </c>
    </row>
    <row r="4709" spans="1:14" hidden="1" x14ac:dyDescent="0.25">
      <c r="A4709" s="19">
        <v>45992</v>
      </c>
      <c r="B4709" s="20" t="s">
        <v>156</v>
      </c>
      <c r="C4709" s="20">
        <v>80</v>
      </c>
      <c r="D4709" s="20" t="s">
        <v>253</v>
      </c>
      <c r="E4709" s="20" t="s">
        <v>2359</v>
      </c>
      <c r="F4709" s="20" t="s">
        <v>344</v>
      </c>
      <c r="G4709" s="20" t="s">
        <v>158</v>
      </c>
      <c r="H4709" s="20"/>
      <c r="I4709" s="20"/>
      <c r="J4709" s="20" t="s">
        <v>204</v>
      </c>
      <c r="K4709" s="20" t="s">
        <v>255</v>
      </c>
      <c r="L4709" s="20">
        <v>570000</v>
      </c>
      <c r="M4709" s="20" t="s">
        <v>242</v>
      </c>
      <c r="N4709" s="20" t="s">
        <v>3178</v>
      </c>
    </row>
    <row r="4710" spans="1:14" hidden="1" x14ac:dyDescent="0.25">
      <c r="A4710" s="19">
        <v>45992</v>
      </c>
      <c r="B4710" s="20" t="s">
        <v>156</v>
      </c>
      <c r="C4710" s="20">
        <v>80</v>
      </c>
      <c r="D4710" s="20" t="s">
        <v>247</v>
      </c>
      <c r="E4710" s="20" t="s">
        <v>2554</v>
      </c>
      <c r="F4710" s="20" t="s">
        <v>2716</v>
      </c>
      <c r="G4710" s="20" t="s">
        <v>158</v>
      </c>
      <c r="H4710" s="20" t="s">
        <v>286</v>
      </c>
      <c r="I4710" s="20"/>
      <c r="J4710" s="20" t="s">
        <v>204</v>
      </c>
      <c r="K4710" s="20" t="s">
        <v>250</v>
      </c>
      <c r="L4710" s="20">
        <v>1.5</v>
      </c>
      <c r="M4710" s="20" t="s">
        <v>251</v>
      </c>
      <c r="N4710" s="20" t="s">
        <v>446</v>
      </c>
    </row>
    <row r="4711" spans="1:14" hidden="1" x14ac:dyDescent="0.25">
      <c r="A4711" s="19">
        <v>45992</v>
      </c>
      <c r="B4711" s="20" t="s">
        <v>156</v>
      </c>
      <c r="C4711" s="20">
        <v>81</v>
      </c>
      <c r="D4711" s="20" t="s">
        <v>253</v>
      </c>
      <c r="E4711" s="20" t="s">
        <v>2359</v>
      </c>
      <c r="F4711" s="20" t="s">
        <v>349</v>
      </c>
      <c r="G4711" s="20" t="s">
        <v>158</v>
      </c>
      <c r="H4711" s="20"/>
      <c r="I4711" s="20"/>
      <c r="J4711" s="20" t="s">
        <v>202</v>
      </c>
      <c r="K4711" s="20" t="s">
        <v>255</v>
      </c>
      <c r="L4711" s="20">
        <v>15100</v>
      </c>
      <c r="M4711" s="20" t="s">
        <v>242</v>
      </c>
      <c r="N4711" s="20" t="s">
        <v>2872</v>
      </c>
    </row>
    <row r="4712" spans="1:14" hidden="1" x14ac:dyDescent="0.25">
      <c r="A4712" s="19">
        <v>45992</v>
      </c>
      <c r="B4712" s="20" t="s">
        <v>156</v>
      </c>
      <c r="C4712" s="20">
        <v>81</v>
      </c>
      <c r="D4712" s="20" t="s">
        <v>253</v>
      </c>
      <c r="E4712" s="20" t="s">
        <v>2359</v>
      </c>
      <c r="F4712" s="20" t="s">
        <v>349</v>
      </c>
      <c r="G4712" s="20" t="s">
        <v>158</v>
      </c>
      <c r="H4712" s="20"/>
      <c r="I4712" s="20"/>
      <c r="J4712" s="20" t="s">
        <v>203</v>
      </c>
      <c r="K4712" s="20" t="s">
        <v>255</v>
      </c>
      <c r="L4712" s="20">
        <v>17900</v>
      </c>
      <c r="M4712" s="20" t="s">
        <v>242</v>
      </c>
      <c r="N4712" s="20" t="s">
        <v>3030</v>
      </c>
    </row>
    <row r="4713" spans="1:14" hidden="1" x14ac:dyDescent="0.25">
      <c r="A4713" s="19">
        <v>45992</v>
      </c>
      <c r="B4713" s="20" t="s">
        <v>156</v>
      </c>
      <c r="C4713" s="20">
        <v>81</v>
      </c>
      <c r="D4713" s="20" t="s">
        <v>253</v>
      </c>
      <c r="E4713" s="20" t="s">
        <v>2359</v>
      </c>
      <c r="F4713" s="20" t="s">
        <v>349</v>
      </c>
      <c r="G4713" s="20" t="s">
        <v>158</v>
      </c>
      <c r="H4713" s="20"/>
      <c r="I4713" s="20"/>
      <c r="J4713" s="20" t="s">
        <v>204</v>
      </c>
      <c r="K4713" s="20" t="s">
        <v>255</v>
      </c>
      <c r="L4713" s="20">
        <v>17700</v>
      </c>
      <c r="M4713" s="20" t="s">
        <v>242</v>
      </c>
      <c r="N4713" s="20" t="s">
        <v>3179</v>
      </c>
    </row>
    <row r="4714" spans="1:14" hidden="1" x14ac:dyDescent="0.25">
      <c r="A4714" s="19">
        <v>45992</v>
      </c>
      <c r="B4714" s="20" t="s">
        <v>156</v>
      </c>
      <c r="C4714" s="20">
        <v>82</v>
      </c>
      <c r="D4714" s="20" t="s">
        <v>253</v>
      </c>
      <c r="E4714" s="20" t="s">
        <v>2359</v>
      </c>
      <c r="F4714" s="20" t="s">
        <v>2546</v>
      </c>
      <c r="G4714" s="20" t="s">
        <v>158</v>
      </c>
      <c r="H4714" s="20"/>
      <c r="I4714" s="20"/>
      <c r="J4714" s="20" t="s">
        <v>202</v>
      </c>
      <c r="K4714" s="20" t="s">
        <v>255</v>
      </c>
      <c r="L4714" s="20">
        <v>2.9</v>
      </c>
      <c r="M4714" s="20" t="s">
        <v>251</v>
      </c>
      <c r="N4714" s="20" t="s">
        <v>616</v>
      </c>
    </row>
    <row r="4715" spans="1:14" hidden="1" x14ac:dyDescent="0.25">
      <c r="A4715" s="19">
        <v>45992</v>
      </c>
      <c r="B4715" s="20" t="s">
        <v>156</v>
      </c>
      <c r="C4715" s="20">
        <v>82</v>
      </c>
      <c r="D4715" s="20" t="s">
        <v>253</v>
      </c>
      <c r="E4715" s="20" t="s">
        <v>2359</v>
      </c>
      <c r="F4715" s="20" t="s">
        <v>2546</v>
      </c>
      <c r="G4715" s="20" t="s">
        <v>158</v>
      </c>
      <c r="H4715" s="20"/>
      <c r="I4715" s="20"/>
      <c r="J4715" s="20" t="s">
        <v>203</v>
      </c>
      <c r="K4715" s="20" t="s">
        <v>255</v>
      </c>
      <c r="L4715" s="20">
        <v>3.2</v>
      </c>
      <c r="M4715" s="20" t="s">
        <v>251</v>
      </c>
      <c r="N4715" s="20" t="s">
        <v>509</v>
      </c>
    </row>
    <row r="4716" spans="1:14" hidden="1" x14ac:dyDescent="0.25">
      <c r="A4716" s="19">
        <v>45992</v>
      </c>
      <c r="B4716" s="20" t="s">
        <v>156</v>
      </c>
      <c r="C4716" s="20">
        <v>82</v>
      </c>
      <c r="D4716" s="20" t="s">
        <v>253</v>
      </c>
      <c r="E4716" s="20" t="s">
        <v>2359</v>
      </c>
      <c r="F4716" s="20" t="s">
        <v>2546</v>
      </c>
      <c r="G4716" s="20" t="s">
        <v>158</v>
      </c>
      <c r="H4716" s="20"/>
      <c r="I4716" s="20"/>
      <c r="J4716" s="20" t="s">
        <v>204</v>
      </c>
      <c r="K4716" s="20" t="s">
        <v>255</v>
      </c>
      <c r="L4716" s="20">
        <v>3.1</v>
      </c>
      <c r="M4716" s="20" t="s">
        <v>251</v>
      </c>
      <c r="N4716" s="20" t="s">
        <v>1525</v>
      </c>
    </row>
    <row r="4717" spans="1:14" hidden="1" x14ac:dyDescent="0.25">
      <c r="A4717" s="19">
        <v>45992</v>
      </c>
      <c r="B4717" s="20" t="s">
        <v>156</v>
      </c>
      <c r="C4717" s="20">
        <v>83</v>
      </c>
      <c r="D4717" s="20" t="s">
        <v>291</v>
      </c>
      <c r="E4717" s="20" t="s">
        <v>2361</v>
      </c>
      <c r="F4717" s="20" t="s">
        <v>349</v>
      </c>
      <c r="G4717" s="20" t="s">
        <v>158</v>
      </c>
      <c r="H4717" s="20" t="s">
        <v>159</v>
      </c>
      <c r="I4717" s="20"/>
      <c r="J4717" s="20" t="s">
        <v>204</v>
      </c>
      <c r="K4717" s="20" t="s">
        <v>250</v>
      </c>
      <c r="L4717" s="20">
        <v>11698</v>
      </c>
      <c r="M4717" s="20" t="s">
        <v>242</v>
      </c>
      <c r="N4717" s="20" t="s">
        <v>3180</v>
      </c>
    </row>
    <row r="4718" spans="1:14" hidden="1" x14ac:dyDescent="0.25">
      <c r="A4718" s="19">
        <v>45992</v>
      </c>
      <c r="B4718" s="20" t="s">
        <v>156</v>
      </c>
      <c r="C4718" s="20">
        <v>83</v>
      </c>
      <c r="D4718" s="20" t="s">
        <v>291</v>
      </c>
      <c r="E4718" s="20" t="s">
        <v>2361</v>
      </c>
      <c r="F4718" s="20" t="s">
        <v>349</v>
      </c>
      <c r="G4718" s="20" t="s">
        <v>158</v>
      </c>
      <c r="H4718" s="20" t="s">
        <v>160</v>
      </c>
      <c r="I4718" s="20"/>
      <c r="J4718" s="20" t="s">
        <v>204</v>
      </c>
      <c r="K4718" s="20" t="s">
        <v>250</v>
      </c>
      <c r="L4718" s="20">
        <v>6019</v>
      </c>
      <c r="M4718" s="20" t="s">
        <v>242</v>
      </c>
      <c r="N4718" s="20" t="s">
        <v>3181</v>
      </c>
    </row>
    <row r="4719" spans="1:14" hidden="1" x14ac:dyDescent="0.25">
      <c r="A4719" s="19">
        <v>45992</v>
      </c>
      <c r="B4719" s="20" t="s">
        <v>156</v>
      </c>
      <c r="C4719" s="20">
        <v>84</v>
      </c>
      <c r="D4719" s="20" t="s">
        <v>253</v>
      </c>
      <c r="E4719" s="20" t="s">
        <v>2359</v>
      </c>
      <c r="F4719" s="20" t="s">
        <v>356</v>
      </c>
      <c r="G4719" s="20" t="s">
        <v>158</v>
      </c>
      <c r="H4719" s="20"/>
      <c r="I4719" s="20"/>
      <c r="J4719" s="20" t="s">
        <v>202</v>
      </c>
      <c r="K4719" s="20" t="s">
        <v>255</v>
      </c>
      <c r="L4719" s="20">
        <v>3660000000</v>
      </c>
      <c r="M4719" s="20" t="s">
        <v>245</v>
      </c>
      <c r="N4719" s="20" t="s">
        <v>2875</v>
      </c>
    </row>
    <row r="4720" spans="1:14" hidden="1" x14ac:dyDescent="0.25">
      <c r="A4720" s="19">
        <v>45992</v>
      </c>
      <c r="B4720" s="20" t="s">
        <v>156</v>
      </c>
      <c r="C4720" s="20">
        <v>84</v>
      </c>
      <c r="D4720" s="20" t="s">
        <v>253</v>
      </c>
      <c r="E4720" s="20" t="s">
        <v>2359</v>
      </c>
      <c r="F4720" s="20" t="s">
        <v>356</v>
      </c>
      <c r="G4720" s="20" t="s">
        <v>158</v>
      </c>
      <c r="H4720" s="20"/>
      <c r="I4720" s="20"/>
      <c r="J4720" s="20" t="s">
        <v>203</v>
      </c>
      <c r="K4720" s="20" t="s">
        <v>255</v>
      </c>
      <c r="L4720" s="20">
        <v>3300000000</v>
      </c>
      <c r="M4720" s="20" t="s">
        <v>245</v>
      </c>
      <c r="N4720" s="20" t="s">
        <v>3033</v>
      </c>
    </row>
    <row r="4721" spans="1:14" hidden="1" x14ac:dyDescent="0.25">
      <c r="A4721" s="19">
        <v>45992</v>
      </c>
      <c r="B4721" s="20" t="s">
        <v>156</v>
      </c>
      <c r="C4721" s="20">
        <v>84</v>
      </c>
      <c r="D4721" s="20" t="s">
        <v>253</v>
      </c>
      <c r="E4721" s="20" t="s">
        <v>2359</v>
      </c>
      <c r="F4721" s="20" t="s">
        <v>356</v>
      </c>
      <c r="G4721" s="20" t="s">
        <v>158</v>
      </c>
      <c r="H4721" s="20"/>
      <c r="I4721" s="20"/>
      <c r="J4721" s="20" t="s">
        <v>204</v>
      </c>
      <c r="K4721" s="20" t="s">
        <v>255</v>
      </c>
      <c r="L4721" s="20">
        <v>3850000000</v>
      </c>
      <c r="M4721" s="20" t="s">
        <v>245</v>
      </c>
      <c r="N4721" s="20" t="s">
        <v>3182</v>
      </c>
    </row>
    <row r="4722" spans="1:14" hidden="1" x14ac:dyDescent="0.25">
      <c r="A4722" s="19">
        <v>45992</v>
      </c>
      <c r="B4722" s="20" t="s">
        <v>156</v>
      </c>
      <c r="C4722" s="20">
        <v>84</v>
      </c>
      <c r="D4722" s="20" t="s">
        <v>247</v>
      </c>
      <c r="E4722" s="20" t="s">
        <v>2554</v>
      </c>
      <c r="F4722" s="20" t="s">
        <v>2561</v>
      </c>
      <c r="G4722" s="20" t="s">
        <v>158</v>
      </c>
      <c r="H4722" s="20" t="s">
        <v>286</v>
      </c>
      <c r="I4722" s="20"/>
      <c r="J4722" s="20" t="s">
        <v>204</v>
      </c>
      <c r="K4722" s="20" t="s">
        <v>250</v>
      </c>
      <c r="L4722" s="20">
        <v>16.8</v>
      </c>
      <c r="M4722" s="20" t="s">
        <v>251</v>
      </c>
      <c r="N4722" s="20" t="s">
        <v>3183</v>
      </c>
    </row>
    <row r="4723" spans="1:14" hidden="1" x14ac:dyDescent="0.25">
      <c r="A4723" s="19">
        <v>45992</v>
      </c>
      <c r="B4723" s="20" t="s">
        <v>156</v>
      </c>
      <c r="C4723" s="20">
        <v>85</v>
      </c>
      <c r="D4723" s="20" t="s">
        <v>253</v>
      </c>
      <c r="E4723" s="20" t="s">
        <v>2359</v>
      </c>
      <c r="F4723" s="20" t="s">
        <v>361</v>
      </c>
      <c r="G4723" s="20" t="s">
        <v>158</v>
      </c>
      <c r="H4723" s="20"/>
      <c r="I4723" s="20"/>
      <c r="J4723" s="20" t="s">
        <v>202</v>
      </c>
      <c r="K4723" s="20" t="s">
        <v>255</v>
      </c>
      <c r="L4723" s="20">
        <v>80000000</v>
      </c>
      <c r="M4723" s="20" t="s">
        <v>245</v>
      </c>
      <c r="N4723" s="20" t="s">
        <v>2856</v>
      </c>
    </row>
    <row r="4724" spans="1:14" hidden="1" x14ac:dyDescent="0.25">
      <c r="A4724" s="19">
        <v>45992</v>
      </c>
      <c r="B4724" s="20" t="s">
        <v>156</v>
      </c>
      <c r="C4724" s="20">
        <v>85</v>
      </c>
      <c r="D4724" s="20" t="s">
        <v>253</v>
      </c>
      <c r="E4724" s="20" t="s">
        <v>2359</v>
      </c>
      <c r="F4724" s="20" t="s">
        <v>361</v>
      </c>
      <c r="G4724" s="20" t="s">
        <v>158</v>
      </c>
      <c r="H4724" s="20"/>
      <c r="I4724" s="20"/>
      <c r="J4724" s="20" t="s">
        <v>203</v>
      </c>
      <c r="K4724" s="20" t="s">
        <v>255</v>
      </c>
      <c r="L4724" s="20">
        <v>88000000</v>
      </c>
      <c r="M4724" s="20" t="s">
        <v>245</v>
      </c>
      <c r="N4724" s="20" t="s">
        <v>3035</v>
      </c>
    </row>
    <row r="4725" spans="1:14" hidden="1" x14ac:dyDescent="0.25">
      <c r="A4725" s="19">
        <v>45992</v>
      </c>
      <c r="B4725" s="20" t="s">
        <v>156</v>
      </c>
      <c r="C4725" s="20">
        <v>85</v>
      </c>
      <c r="D4725" s="20" t="s">
        <v>253</v>
      </c>
      <c r="E4725" s="20" t="s">
        <v>2359</v>
      </c>
      <c r="F4725" s="20" t="s">
        <v>361</v>
      </c>
      <c r="G4725" s="20" t="s">
        <v>158</v>
      </c>
      <c r="H4725" s="20"/>
      <c r="I4725" s="20"/>
      <c r="J4725" s="20" t="s">
        <v>204</v>
      </c>
      <c r="K4725" s="20" t="s">
        <v>255</v>
      </c>
      <c r="L4725" s="20">
        <v>98000000</v>
      </c>
      <c r="M4725" s="20" t="s">
        <v>245</v>
      </c>
      <c r="N4725" s="20" t="s">
        <v>3184</v>
      </c>
    </row>
    <row r="4726" spans="1:14" hidden="1" x14ac:dyDescent="0.25">
      <c r="A4726" s="19">
        <v>45992</v>
      </c>
      <c r="B4726" s="20" t="s">
        <v>156</v>
      </c>
      <c r="C4726" s="20">
        <v>86</v>
      </c>
      <c r="D4726" s="20" t="s">
        <v>253</v>
      </c>
      <c r="E4726" s="20" t="s">
        <v>2359</v>
      </c>
      <c r="F4726" s="20" t="s">
        <v>2548</v>
      </c>
      <c r="G4726" s="20" t="s">
        <v>158</v>
      </c>
      <c r="H4726" s="20"/>
      <c r="I4726" s="20"/>
      <c r="J4726" s="20" t="s">
        <v>202</v>
      </c>
      <c r="K4726" s="20" t="s">
        <v>255</v>
      </c>
      <c r="L4726" s="20">
        <v>2.1800000000000002</v>
      </c>
      <c r="M4726" s="20" t="s">
        <v>251</v>
      </c>
      <c r="N4726" s="20" t="s">
        <v>2726</v>
      </c>
    </row>
    <row r="4727" spans="1:14" hidden="1" x14ac:dyDescent="0.25">
      <c r="A4727" s="19">
        <v>45992</v>
      </c>
      <c r="B4727" s="20" t="s">
        <v>156</v>
      </c>
      <c r="C4727" s="20">
        <v>86</v>
      </c>
      <c r="D4727" s="20" t="s">
        <v>253</v>
      </c>
      <c r="E4727" s="20" t="s">
        <v>2359</v>
      </c>
      <c r="F4727" s="20" t="s">
        <v>2548</v>
      </c>
      <c r="G4727" s="20" t="s">
        <v>158</v>
      </c>
      <c r="H4727" s="20"/>
      <c r="I4727" s="20"/>
      <c r="J4727" s="20" t="s">
        <v>203</v>
      </c>
      <c r="K4727" s="20" t="s">
        <v>255</v>
      </c>
      <c r="L4727" s="20">
        <v>2.68</v>
      </c>
      <c r="M4727" s="20" t="s">
        <v>251</v>
      </c>
      <c r="N4727" s="20" t="s">
        <v>3036</v>
      </c>
    </row>
    <row r="4728" spans="1:14" hidden="1" x14ac:dyDescent="0.25">
      <c r="A4728" s="19">
        <v>45992</v>
      </c>
      <c r="B4728" s="20" t="s">
        <v>156</v>
      </c>
      <c r="C4728" s="20">
        <v>86</v>
      </c>
      <c r="D4728" s="20" t="s">
        <v>253</v>
      </c>
      <c r="E4728" s="20" t="s">
        <v>2359</v>
      </c>
      <c r="F4728" s="20" t="s">
        <v>2548</v>
      </c>
      <c r="G4728" s="20" t="s">
        <v>158</v>
      </c>
      <c r="H4728" s="20"/>
      <c r="I4728" s="20"/>
      <c r="J4728" s="20" t="s">
        <v>204</v>
      </c>
      <c r="K4728" s="20" t="s">
        <v>255</v>
      </c>
      <c r="L4728" s="20">
        <v>2.54</v>
      </c>
      <c r="M4728" s="20" t="s">
        <v>251</v>
      </c>
      <c r="N4728" s="20" t="s">
        <v>1093</v>
      </c>
    </row>
    <row r="4729" spans="1:14" hidden="1" x14ac:dyDescent="0.25">
      <c r="A4729" s="19">
        <v>45992</v>
      </c>
      <c r="B4729" s="20" t="s">
        <v>156</v>
      </c>
      <c r="C4729" s="20">
        <v>87</v>
      </c>
      <c r="D4729" s="20" t="s">
        <v>291</v>
      </c>
      <c r="E4729" s="20" t="s">
        <v>2361</v>
      </c>
      <c r="F4729" s="20" t="s">
        <v>361</v>
      </c>
      <c r="G4729" s="20" t="s">
        <v>158</v>
      </c>
      <c r="H4729" s="20" t="s">
        <v>159</v>
      </c>
      <c r="I4729" s="20"/>
      <c r="J4729" s="20" t="s">
        <v>204</v>
      </c>
      <c r="K4729" s="20" t="s">
        <v>250</v>
      </c>
      <c r="L4729" s="20">
        <v>64000000</v>
      </c>
      <c r="M4729" s="20" t="s">
        <v>245</v>
      </c>
      <c r="N4729" s="20" t="s">
        <v>3185</v>
      </c>
    </row>
    <row r="4730" spans="1:14" hidden="1" x14ac:dyDescent="0.25">
      <c r="A4730" s="19">
        <v>45992</v>
      </c>
      <c r="B4730" s="20" t="s">
        <v>156</v>
      </c>
      <c r="C4730" s="20">
        <v>87</v>
      </c>
      <c r="D4730" s="20" t="s">
        <v>291</v>
      </c>
      <c r="E4730" s="20" t="s">
        <v>2361</v>
      </c>
      <c r="F4730" s="20" t="s">
        <v>361</v>
      </c>
      <c r="G4730" s="20" t="s">
        <v>158</v>
      </c>
      <c r="H4730" s="20" t="s">
        <v>160</v>
      </c>
      <c r="I4730" s="20"/>
      <c r="J4730" s="20" t="s">
        <v>204</v>
      </c>
      <c r="K4730" s="20" t="s">
        <v>250</v>
      </c>
      <c r="L4730" s="20">
        <v>33800000</v>
      </c>
      <c r="M4730" s="20" t="s">
        <v>245</v>
      </c>
      <c r="N4730" s="20" t="s">
        <v>3186</v>
      </c>
    </row>
    <row r="4731" spans="1:14" hidden="1" x14ac:dyDescent="0.25">
      <c r="A4731" s="19">
        <v>46023</v>
      </c>
      <c r="B4731" s="20" t="s">
        <v>535</v>
      </c>
      <c r="C4731" s="20">
        <v>4</v>
      </c>
      <c r="D4731" s="20" t="s">
        <v>238</v>
      </c>
      <c r="E4731" s="20" t="s">
        <v>2341</v>
      </c>
      <c r="F4731" s="20" t="s">
        <v>285</v>
      </c>
      <c r="G4731" s="20" t="s">
        <v>63</v>
      </c>
      <c r="H4731" s="20"/>
      <c r="I4731" s="20"/>
      <c r="J4731" s="20" t="s">
        <v>205</v>
      </c>
      <c r="K4731" s="20" t="s">
        <v>250</v>
      </c>
      <c r="L4731" s="20">
        <v>2160000</v>
      </c>
      <c r="M4731" s="20" t="s">
        <v>242</v>
      </c>
      <c r="N4731" s="20" t="s">
        <v>425</v>
      </c>
    </row>
    <row r="4732" spans="1:14" hidden="1" x14ac:dyDescent="0.25">
      <c r="A4732" s="19">
        <v>46023</v>
      </c>
      <c r="B4732" s="20" t="s">
        <v>535</v>
      </c>
      <c r="C4732" s="20">
        <v>4</v>
      </c>
      <c r="D4732" s="20" t="s">
        <v>238</v>
      </c>
      <c r="E4732" s="20" t="s">
        <v>2341</v>
      </c>
      <c r="F4732" s="20" t="s">
        <v>240</v>
      </c>
      <c r="G4732" s="20" t="s">
        <v>82</v>
      </c>
      <c r="H4732" s="20"/>
      <c r="I4732" s="20"/>
      <c r="J4732" s="20" t="s">
        <v>205</v>
      </c>
      <c r="K4732" s="20" t="s">
        <v>250</v>
      </c>
      <c r="L4732" s="20">
        <v>17700000</v>
      </c>
      <c r="M4732" s="20" t="s">
        <v>242</v>
      </c>
      <c r="N4732" s="20" t="s">
        <v>3187</v>
      </c>
    </row>
    <row r="4733" spans="1:14" hidden="1" x14ac:dyDescent="0.25">
      <c r="A4733" s="19">
        <v>46023</v>
      </c>
      <c r="B4733" s="20" t="s">
        <v>535</v>
      </c>
      <c r="C4733" s="20">
        <v>4</v>
      </c>
      <c r="D4733" s="20" t="s">
        <v>238</v>
      </c>
      <c r="E4733" s="20" t="s">
        <v>2341</v>
      </c>
      <c r="F4733" s="20" t="s">
        <v>244</v>
      </c>
      <c r="G4733" s="20" t="s">
        <v>82</v>
      </c>
      <c r="H4733" s="20"/>
      <c r="I4733" s="20"/>
      <c r="J4733" s="20" t="s">
        <v>205</v>
      </c>
      <c r="K4733" s="20" t="s">
        <v>250</v>
      </c>
      <c r="L4733" s="20">
        <v>1900000000</v>
      </c>
      <c r="M4733" s="20" t="s">
        <v>245</v>
      </c>
      <c r="N4733" s="20" t="s">
        <v>3188</v>
      </c>
    </row>
    <row r="4734" spans="1:14" hidden="1" x14ac:dyDescent="0.25">
      <c r="A4734" s="19">
        <v>46023</v>
      </c>
      <c r="B4734" s="20" t="s">
        <v>535</v>
      </c>
      <c r="C4734" s="20">
        <v>5</v>
      </c>
      <c r="D4734" s="20" t="s">
        <v>238</v>
      </c>
      <c r="E4734" s="20" t="s">
        <v>2341</v>
      </c>
      <c r="F4734" s="20" t="s">
        <v>285</v>
      </c>
      <c r="G4734" s="20" t="s">
        <v>63</v>
      </c>
      <c r="H4734" s="20"/>
      <c r="I4734" s="20"/>
      <c r="J4734" s="20" t="s">
        <v>205</v>
      </c>
      <c r="K4734" s="20" t="s">
        <v>250</v>
      </c>
      <c r="L4734" s="20">
        <v>2850000</v>
      </c>
      <c r="M4734" s="20" t="s">
        <v>242</v>
      </c>
      <c r="N4734" s="20" t="s">
        <v>434</v>
      </c>
    </row>
    <row r="4735" spans="1:14" hidden="1" x14ac:dyDescent="0.25">
      <c r="A4735" s="19">
        <v>46023</v>
      </c>
      <c r="B4735" s="20" t="s">
        <v>535</v>
      </c>
      <c r="C4735" s="20">
        <v>5</v>
      </c>
      <c r="D4735" s="20" t="s">
        <v>238</v>
      </c>
      <c r="E4735" s="20" t="s">
        <v>2341</v>
      </c>
      <c r="F4735" s="20" t="s">
        <v>240</v>
      </c>
      <c r="G4735" s="20" t="s">
        <v>82</v>
      </c>
      <c r="H4735" s="20"/>
      <c r="I4735" s="20"/>
      <c r="J4735" s="20" t="s">
        <v>205</v>
      </c>
      <c r="K4735" s="20" t="s">
        <v>250</v>
      </c>
      <c r="L4735" s="20">
        <v>11830000</v>
      </c>
      <c r="M4735" s="20" t="s">
        <v>242</v>
      </c>
      <c r="N4735" s="20" t="s">
        <v>3189</v>
      </c>
    </row>
    <row r="4736" spans="1:14" hidden="1" x14ac:dyDescent="0.25">
      <c r="A4736" s="19">
        <v>46023</v>
      </c>
      <c r="B4736" s="20" t="s">
        <v>535</v>
      </c>
      <c r="C4736" s="20">
        <v>5</v>
      </c>
      <c r="D4736" s="20" t="s">
        <v>238</v>
      </c>
      <c r="E4736" s="20" t="s">
        <v>2341</v>
      </c>
      <c r="F4736" s="20" t="s">
        <v>244</v>
      </c>
      <c r="G4736" s="20" t="s">
        <v>82</v>
      </c>
      <c r="H4736" s="20"/>
      <c r="I4736" s="20"/>
      <c r="J4736" s="20" t="s">
        <v>205</v>
      </c>
      <c r="K4736" s="20" t="s">
        <v>250</v>
      </c>
      <c r="L4736" s="20">
        <v>580000000</v>
      </c>
      <c r="M4736" s="20" t="s">
        <v>245</v>
      </c>
      <c r="N4736" s="20" t="s">
        <v>3190</v>
      </c>
    </row>
    <row r="4737" spans="1:14" hidden="1" x14ac:dyDescent="0.25">
      <c r="A4737" s="19">
        <v>46023</v>
      </c>
      <c r="B4737" s="20" t="s">
        <v>535</v>
      </c>
      <c r="C4737" s="20">
        <v>6</v>
      </c>
      <c r="D4737" s="20" t="s">
        <v>238</v>
      </c>
      <c r="E4737" s="20" t="s">
        <v>2341</v>
      </c>
      <c r="F4737" s="20" t="s">
        <v>285</v>
      </c>
      <c r="G4737" s="20" t="s">
        <v>63</v>
      </c>
      <c r="H4737" s="20"/>
      <c r="I4737" s="20"/>
      <c r="J4737" s="20" t="s">
        <v>205</v>
      </c>
      <c r="K4737" s="20" t="s">
        <v>250</v>
      </c>
      <c r="L4737" s="20">
        <v>5090000</v>
      </c>
      <c r="M4737" s="20" t="s">
        <v>242</v>
      </c>
      <c r="N4737" s="20" t="s">
        <v>883</v>
      </c>
    </row>
    <row r="4738" spans="1:14" hidden="1" x14ac:dyDescent="0.25">
      <c r="A4738" s="19">
        <v>46023</v>
      </c>
      <c r="B4738" s="20" t="s">
        <v>535</v>
      </c>
      <c r="C4738" s="20">
        <v>6</v>
      </c>
      <c r="D4738" s="20" t="s">
        <v>238</v>
      </c>
      <c r="E4738" s="20" t="s">
        <v>2341</v>
      </c>
      <c r="F4738" s="20" t="s">
        <v>378</v>
      </c>
      <c r="G4738" s="20" t="s">
        <v>379</v>
      </c>
      <c r="H4738" s="20"/>
      <c r="I4738" s="20"/>
      <c r="J4738" s="20" t="s">
        <v>205</v>
      </c>
      <c r="K4738" s="20" t="s">
        <v>250</v>
      </c>
      <c r="L4738" s="20">
        <v>686</v>
      </c>
      <c r="M4738" s="20" t="s">
        <v>242</v>
      </c>
      <c r="N4738" s="20" t="s">
        <v>3191</v>
      </c>
    </row>
    <row r="4739" spans="1:14" hidden="1" x14ac:dyDescent="0.25">
      <c r="A4739" s="19">
        <v>46023</v>
      </c>
      <c r="B4739" s="20" t="s">
        <v>535</v>
      </c>
      <c r="C4739" s="20">
        <v>6</v>
      </c>
      <c r="D4739" s="20" t="s">
        <v>238</v>
      </c>
      <c r="E4739" s="20" t="s">
        <v>2341</v>
      </c>
      <c r="F4739" s="20" t="s">
        <v>381</v>
      </c>
      <c r="G4739" s="20" t="s">
        <v>382</v>
      </c>
      <c r="H4739" s="20"/>
      <c r="I4739" s="20"/>
      <c r="J4739" s="20" t="s">
        <v>205</v>
      </c>
      <c r="K4739" s="20" t="s">
        <v>250</v>
      </c>
      <c r="L4739" s="20">
        <v>2346</v>
      </c>
      <c r="M4739" s="20" t="s">
        <v>242</v>
      </c>
      <c r="N4739" s="20" t="s">
        <v>3192</v>
      </c>
    </row>
    <row r="4740" spans="1:14" hidden="1" x14ac:dyDescent="0.25">
      <c r="A4740" s="19">
        <v>46023</v>
      </c>
      <c r="B4740" s="20" t="s">
        <v>535</v>
      </c>
      <c r="C4740" s="20">
        <v>6</v>
      </c>
      <c r="D4740" s="20" t="s">
        <v>238</v>
      </c>
      <c r="E4740" s="20" t="s">
        <v>2341</v>
      </c>
      <c r="F4740" s="20" t="s">
        <v>240</v>
      </c>
      <c r="G4740" s="20" t="s">
        <v>82</v>
      </c>
      <c r="H4740" s="20"/>
      <c r="I4740" s="20"/>
      <c r="J4740" s="20" t="s">
        <v>205</v>
      </c>
      <c r="K4740" s="20" t="s">
        <v>250</v>
      </c>
      <c r="L4740" s="20">
        <v>6530000</v>
      </c>
      <c r="M4740" s="20" t="s">
        <v>242</v>
      </c>
      <c r="N4740" s="20" t="s">
        <v>2210</v>
      </c>
    </row>
    <row r="4741" spans="1:14" hidden="1" x14ac:dyDescent="0.25">
      <c r="A4741" s="19">
        <v>46023</v>
      </c>
      <c r="B4741" s="20" t="s">
        <v>535</v>
      </c>
      <c r="C4741" s="20">
        <v>6</v>
      </c>
      <c r="D4741" s="20" t="s">
        <v>238</v>
      </c>
      <c r="E4741" s="20" t="s">
        <v>2341</v>
      </c>
      <c r="F4741" s="20" t="s">
        <v>244</v>
      </c>
      <c r="G4741" s="20" t="s">
        <v>82</v>
      </c>
      <c r="H4741" s="20"/>
      <c r="I4741" s="20"/>
      <c r="J4741" s="20" t="s">
        <v>205</v>
      </c>
      <c r="K4741" s="20" t="s">
        <v>250</v>
      </c>
      <c r="L4741" s="20">
        <v>1390000000</v>
      </c>
      <c r="M4741" s="20" t="s">
        <v>245</v>
      </c>
      <c r="N4741" s="20" t="s">
        <v>3193</v>
      </c>
    </row>
    <row r="4742" spans="1:14" hidden="1" x14ac:dyDescent="0.25">
      <c r="A4742" s="19">
        <v>46023</v>
      </c>
      <c r="B4742" s="20" t="s">
        <v>535</v>
      </c>
      <c r="C4742" s="20">
        <v>7</v>
      </c>
      <c r="D4742" s="20" t="s">
        <v>238</v>
      </c>
      <c r="E4742" s="20" t="s">
        <v>2341</v>
      </c>
      <c r="F4742" s="20" t="s">
        <v>1194</v>
      </c>
      <c r="G4742" s="20" t="s">
        <v>82</v>
      </c>
      <c r="H4742" s="20"/>
      <c r="I4742" s="20"/>
      <c r="J4742" s="20" t="s">
        <v>205</v>
      </c>
      <c r="K4742" s="20" t="s">
        <v>250</v>
      </c>
      <c r="L4742" s="20">
        <v>1040000</v>
      </c>
      <c r="M4742" s="20" t="s">
        <v>242</v>
      </c>
      <c r="N4742" s="20" t="s">
        <v>952</v>
      </c>
    </row>
    <row r="4743" spans="1:14" hidden="1" x14ac:dyDescent="0.25">
      <c r="A4743" s="19">
        <v>46023</v>
      </c>
      <c r="B4743" s="20" t="s">
        <v>535</v>
      </c>
      <c r="C4743" s="20">
        <v>7</v>
      </c>
      <c r="D4743" s="20" t="s">
        <v>238</v>
      </c>
      <c r="E4743" s="20" t="s">
        <v>2341</v>
      </c>
      <c r="F4743" s="20" t="s">
        <v>544</v>
      </c>
      <c r="G4743" s="20" t="s">
        <v>82</v>
      </c>
      <c r="H4743" s="20"/>
      <c r="I4743" s="20"/>
      <c r="J4743" s="20" t="s">
        <v>205</v>
      </c>
      <c r="K4743" s="20" t="s">
        <v>250</v>
      </c>
      <c r="L4743" s="20">
        <v>1030000</v>
      </c>
      <c r="M4743" s="20" t="s">
        <v>242</v>
      </c>
      <c r="N4743" s="20" t="s">
        <v>826</v>
      </c>
    </row>
    <row r="4744" spans="1:14" hidden="1" x14ac:dyDescent="0.25">
      <c r="A4744" s="19">
        <v>46023</v>
      </c>
      <c r="B4744" s="20" t="s">
        <v>535</v>
      </c>
      <c r="C4744" s="20">
        <v>7</v>
      </c>
      <c r="D4744" s="20" t="s">
        <v>238</v>
      </c>
      <c r="E4744" s="20" t="s">
        <v>2341</v>
      </c>
      <c r="F4744" s="20" t="s">
        <v>929</v>
      </c>
      <c r="G4744" s="20" t="s">
        <v>82</v>
      </c>
      <c r="H4744" s="20"/>
      <c r="I4744" s="20"/>
      <c r="J4744" s="20" t="s">
        <v>205</v>
      </c>
      <c r="K4744" s="20" t="s">
        <v>250</v>
      </c>
      <c r="L4744" s="20">
        <v>862000000</v>
      </c>
      <c r="M4744" s="20" t="s">
        <v>245</v>
      </c>
      <c r="N4744" s="20" t="s">
        <v>3194</v>
      </c>
    </row>
    <row r="4745" spans="1:14" hidden="1" x14ac:dyDescent="0.25">
      <c r="A4745" s="19">
        <v>46023</v>
      </c>
      <c r="B4745" s="20" t="s">
        <v>535</v>
      </c>
      <c r="C4745" s="20">
        <v>8</v>
      </c>
      <c r="D4745" s="20" t="s">
        <v>238</v>
      </c>
      <c r="E4745" s="20" t="s">
        <v>2341</v>
      </c>
      <c r="F4745" s="20" t="s">
        <v>548</v>
      </c>
      <c r="G4745" s="20" t="s">
        <v>158</v>
      </c>
      <c r="H4745" s="20"/>
      <c r="I4745" s="20"/>
      <c r="J4745" s="20" t="s">
        <v>205</v>
      </c>
      <c r="K4745" s="20" t="s">
        <v>250</v>
      </c>
      <c r="L4745" s="20">
        <v>407000</v>
      </c>
      <c r="M4745" s="20" t="s">
        <v>242</v>
      </c>
      <c r="N4745" s="20" t="s">
        <v>3195</v>
      </c>
    </row>
    <row r="4746" spans="1:14" hidden="1" x14ac:dyDescent="0.25">
      <c r="A4746" s="19">
        <v>46023</v>
      </c>
      <c r="B4746" s="20" t="s">
        <v>535</v>
      </c>
      <c r="C4746" s="20">
        <v>8</v>
      </c>
      <c r="D4746" s="20" t="s">
        <v>238</v>
      </c>
      <c r="E4746" s="20" t="s">
        <v>2341</v>
      </c>
      <c r="F4746" s="20" t="s">
        <v>349</v>
      </c>
      <c r="G4746" s="20" t="s">
        <v>158</v>
      </c>
      <c r="H4746" s="20"/>
      <c r="I4746" s="20"/>
      <c r="J4746" s="20" t="s">
        <v>205</v>
      </c>
      <c r="K4746" s="20" t="s">
        <v>250</v>
      </c>
      <c r="L4746" s="20">
        <v>11400</v>
      </c>
      <c r="M4746" s="20" t="s">
        <v>242</v>
      </c>
      <c r="N4746" s="20" t="s">
        <v>3196</v>
      </c>
    </row>
    <row r="4747" spans="1:14" hidden="1" x14ac:dyDescent="0.25">
      <c r="A4747" s="19">
        <v>46023</v>
      </c>
      <c r="B4747" s="20" t="s">
        <v>535</v>
      </c>
      <c r="C4747" s="20">
        <v>8</v>
      </c>
      <c r="D4747" s="20" t="s">
        <v>238</v>
      </c>
      <c r="E4747" s="20" t="s">
        <v>2341</v>
      </c>
      <c r="F4747" s="20" t="s">
        <v>551</v>
      </c>
      <c r="G4747" s="20" t="s">
        <v>158</v>
      </c>
      <c r="H4747" s="20"/>
      <c r="I4747" s="20"/>
      <c r="J4747" s="20" t="s">
        <v>205</v>
      </c>
      <c r="K4747" s="20" t="s">
        <v>250</v>
      </c>
      <c r="L4747" s="20">
        <v>3070000000</v>
      </c>
      <c r="M4747" s="20" t="s">
        <v>245</v>
      </c>
      <c r="N4747" s="20" t="s">
        <v>3197</v>
      </c>
    </row>
    <row r="4748" spans="1:14" hidden="1" x14ac:dyDescent="0.25">
      <c r="A4748" s="19">
        <v>46023</v>
      </c>
      <c r="B4748" s="20" t="s">
        <v>535</v>
      </c>
      <c r="C4748" s="20">
        <v>8</v>
      </c>
      <c r="D4748" s="20" t="s">
        <v>238</v>
      </c>
      <c r="E4748" s="20" t="s">
        <v>2341</v>
      </c>
      <c r="F4748" s="20" t="s">
        <v>361</v>
      </c>
      <c r="G4748" s="20" t="s">
        <v>158</v>
      </c>
      <c r="H4748" s="20"/>
      <c r="I4748" s="20"/>
      <c r="J4748" s="20" t="s">
        <v>205</v>
      </c>
      <c r="K4748" s="20" t="s">
        <v>250</v>
      </c>
      <c r="L4748" s="20">
        <v>65900000</v>
      </c>
      <c r="M4748" s="20" t="s">
        <v>245</v>
      </c>
      <c r="N4748" s="20" t="s">
        <v>3198</v>
      </c>
    </row>
    <row r="4749" spans="1:14" hidden="1" x14ac:dyDescent="0.25">
      <c r="A4749" s="19">
        <v>46023</v>
      </c>
      <c r="B4749" s="20" t="s">
        <v>35</v>
      </c>
      <c r="C4749" s="20">
        <v>10</v>
      </c>
      <c r="D4749" s="20" t="s">
        <v>238</v>
      </c>
      <c r="E4749" s="20" t="s">
        <v>2341</v>
      </c>
      <c r="F4749" s="20" t="s">
        <v>240</v>
      </c>
      <c r="G4749" s="20" t="s">
        <v>82</v>
      </c>
      <c r="H4749" s="20"/>
      <c r="I4749" s="20"/>
      <c r="J4749" s="20" t="s">
        <v>3199</v>
      </c>
      <c r="K4749" s="20" t="s">
        <v>241</v>
      </c>
      <c r="L4749" s="20">
        <v>17700000</v>
      </c>
      <c r="M4749" s="20" t="s">
        <v>242</v>
      </c>
      <c r="N4749" s="20" t="s">
        <v>3187</v>
      </c>
    </row>
    <row r="4750" spans="1:14" hidden="1" x14ac:dyDescent="0.25">
      <c r="A4750" s="19">
        <v>46023</v>
      </c>
      <c r="B4750" s="20" t="s">
        <v>35</v>
      </c>
      <c r="C4750" s="20">
        <v>10</v>
      </c>
      <c r="D4750" s="20" t="s">
        <v>238</v>
      </c>
      <c r="E4750" s="20" t="s">
        <v>2341</v>
      </c>
      <c r="F4750" s="20" t="s">
        <v>244</v>
      </c>
      <c r="G4750" s="20" t="s">
        <v>82</v>
      </c>
      <c r="H4750" s="20"/>
      <c r="I4750" s="20"/>
      <c r="J4750" s="20" t="s">
        <v>3199</v>
      </c>
      <c r="K4750" s="20" t="s">
        <v>241</v>
      </c>
      <c r="L4750" s="20">
        <v>1900000000</v>
      </c>
      <c r="M4750" s="20" t="s">
        <v>245</v>
      </c>
      <c r="N4750" s="20" t="s">
        <v>3200</v>
      </c>
    </row>
    <row r="4751" spans="1:14" hidden="1" x14ac:dyDescent="0.25">
      <c r="A4751" s="19">
        <v>46023</v>
      </c>
      <c r="B4751" s="20" t="s">
        <v>35</v>
      </c>
      <c r="C4751" s="20">
        <v>11</v>
      </c>
      <c r="D4751" s="20" t="s">
        <v>253</v>
      </c>
      <c r="E4751" s="20" t="s">
        <v>2359</v>
      </c>
      <c r="F4751" s="20" t="s">
        <v>285</v>
      </c>
      <c r="G4751" s="20" t="s">
        <v>63</v>
      </c>
      <c r="H4751" s="20"/>
      <c r="I4751" s="20"/>
      <c r="J4751" s="20" t="s">
        <v>203</v>
      </c>
      <c r="K4751" s="20" t="s">
        <v>255</v>
      </c>
      <c r="L4751" s="20">
        <v>2090000</v>
      </c>
      <c r="M4751" s="20" t="s">
        <v>242</v>
      </c>
      <c r="N4751" s="20" t="s">
        <v>2894</v>
      </c>
    </row>
    <row r="4752" spans="1:14" hidden="1" x14ac:dyDescent="0.25">
      <c r="A4752" s="19">
        <v>46023</v>
      </c>
      <c r="B4752" s="20" t="s">
        <v>35</v>
      </c>
      <c r="C4752" s="20">
        <v>11</v>
      </c>
      <c r="D4752" s="20" t="s">
        <v>253</v>
      </c>
      <c r="E4752" s="20" t="s">
        <v>2359</v>
      </c>
      <c r="F4752" s="20" t="s">
        <v>285</v>
      </c>
      <c r="G4752" s="20" t="s">
        <v>63</v>
      </c>
      <c r="H4752" s="20"/>
      <c r="I4752" s="20"/>
      <c r="J4752" s="20" t="s">
        <v>204</v>
      </c>
      <c r="K4752" s="20" t="s">
        <v>255</v>
      </c>
      <c r="L4752" s="20">
        <v>2130000</v>
      </c>
      <c r="M4752" s="20" t="s">
        <v>242</v>
      </c>
      <c r="N4752" s="20" t="s">
        <v>3055</v>
      </c>
    </row>
    <row r="4753" spans="1:14" hidden="1" x14ac:dyDescent="0.25">
      <c r="A4753" s="19">
        <v>46023</v>
      </c>
      <c r="B4753" s="20" t="s">
        <v>35</v>
      </c>
      <c r="C4753" s="20">
        <v>11</v>
      </c>
      <c r="D4753" s="20" t="s">
        <v>253</v>
      </c>
      <c r="E4753" s="20" t="s">
        <v>2359</v>
      </c>
      <c r="F4753" s="20" t="s">
        <v>285</v>
      </c>
      <c r="G4753" s="20" t="s">
        <v>63</v>
      </c>
      <c r="H4753" s="20"/>
      <c r="I4753" s="20"/>
      <c r="J4753" s="20" t="s">
        <v>205</v>
      </c>
      <c r="K4753" s="20" t="s">
        <v>255</v>
      </c>
      <c r="L4753" s="20">
        <v>2160000</v>
      </c>
      <c r="M4753" s="20" t="s">
        <v>242</v>
      </c>
      <c r="N4753" s="20" t="s">
        <v>3201</v>
      </c>
    </row>
    <row r="4754" spans="1:14" hidden="1" x14ac:dyDescent="0.25">
      <c r="A4754" s="19">
        <v>46023</v>
      </c>
      <c r="B4754" s="20" t="s">
        <v>35</v>
      </c>
      <c r="C4754" s="20">
        <v>11</v>
      </c>
      <c r="D4754" s="20" t="s">
        <v>247</v>
      </c>
      <c r="E4754" s="20" t="s">
        <v>2554</v>
      </c>
      <c r="F4754" s="20" t="s">
        <v>2555</v>
      </c>
      <c r="G4754" s="20" t="s">
        <v>63</v>
      </c>
      <c r="H4754" s="20" t="s">
        <v>286</v>
      </c>
      <c r="I4754" s="20"/>
      <c r="J4754" s="20" t="s">
        <v>205</v>
      </c>
      <c r="K4754" s="20" t="s">
        <v>250</v>
      </c>
      <c r="L4754" s="20">
        <v>1.6</v>
      </c>
      <c r="M4754" s="20" t="s">
        <v>251</v>
      </c>
      <c r="N4754" s="20" t="s">
        <v>437</v>
      </c>
    </row>
    <row r="4755" spans="1:14" hidden="1" x14ac:dyDescent="0.25">
      <c r="A4755" s="19">
        <v>46023</v>
      </c>
      <c r="B4755" s="20" t="s">
        <v>35</v>
      </c>
      <c r="C4755" s="20">
        <v>12</v>
      </c>
      <c r="D4755" s="20" t="s">
        <v>291</v>
      </c>
      <c r="E4755" s="20" t="s">
        <v>2361</v>
      </c>
      <c r="F4755" s="20" t="s">
        <v>2362</v>
      </c>
      <c r="G4755" s="20" t="s">
        <v>63</v>
      </c>
      <c r="H4755" s="20" t="s">
        <v>64</v>
      </c>
      <c r="I4755" s="20"/>
      <c r="J4755" s="20" t="s">
        <v>205</v>
      </c>
      <c r="K4755" s="20" t="s">
        <v>250</v>
      </c>
      <c r="L4755" s="20">
        <v>2070000</v>
      </c>
      <c r="M4755" s="20" t="s">
        <v>242</v>
      </c>
      <c r="N4755" s="20" t="s">
        <v>2041</v>
      </c>
    </row>
    <row r="4756" spans="1:14" hidden="1" x14ac:dyDescent="0.25">
      <c r="A4756" s="19">
        <v>46023</v>
      </c>
      <c r="B4756" s="20" t="s">
        <v>35</v>
      </c>
      <c r="C4756" s="20">
        <v>12</v>
      </c>
      <c r="D4756" s="20" t="s">
        <v>291</v>
      </c>
      <c r="E4756" s="20" t="s">
        <v>2361</v>
      </c>
      <c r="F4756" s="20" t="s">
        <v>2362</v>
      </c>
      <c r="G4756" s="20" t="s">
        <v>63</v>
      </c>
      <c r="H4756" s="20" t="s">
        <v>65</v>
      </c>
      <c r="I4756" s="20"/>
      <c r="J4756" s="20" t="s">
        <v>205</v>
      </c>
      <c r="K4756" s="20" t="s">
        <v>250</v>
      </c>
      <c r="L4756" s="20">
        <v>85600</v>
      </c>
      <c r="M4756" s="20" t="s">
        <v>242</v>
      </c>
      <c r="N4756" s="20" t="s">
        <v>3202</v>
      </c>
    </row>
    <row r="4757" spans="1:14" hidden="1" x14ac:dyDescent="0.25">
      <c r="A4757" s="19">
        <v>46023</v>
      </c>
      <c r="B4757" s="20" t="s">
        <v>35</v>
      </c>
      <c r="C4757" s="20">
        <v>13</v>
      </c>
      <c r="D4757" s="20" t="s">
        <v>291</v>
      </c>
      <c r="E4757" s="20" t="s">
        <v>2361</v>
      </c>
      <c r="F4757" s="20" t="s">
        <v>2362</v>
      </c>
      <c r="G4757" s="20" t="s">
        <v>63</v>
      </c>
      <c r="H4757" s="20" t="s">
        <v>2364</v>
      </c>
      <c r="I4757" s="20"/>
      <c r="J4757" s="20" t="s">
        <v>205</v>
      </c>
      <c r="K4757" s="20" t="s">
        <v>250</v>
      </c>
      <c r="L4757" s="20">
        <v>1320000</v>
      </c>
      <c r="M4757" s="20" t="s">
        <v>242</v>
      </c>
      <c r="N4757" s="20" t="s">
        <v>1779</v>
      </c>
    </row>
    <row r="4758" spans="1:14" hidden="1" x14ac:dyDescent="0.25">
      <c r="A4758" s="19">
        <v>46023</v>
      </c>
      <c r="B4758" s="20" t="s">
        <v>35</v>
      </c>
      <c r="C4758" s="20">
        <v>13</v>
      </c>
      <c r="D4758" s="20" t="s">
        <v>291</v>
      </c>
      <c r="E4758" s="20" t="s">
        <v>2361</v>
      </c>
      <c r="F4758" s="20" t="s">
        <v>2362</v>
      </c>
      <c r="G4758" s="20" t="s">
        <v>63</v>
      </c>
      <c r="H4758" s="20" t="s">
        <v>2366</v>
      </c>
      <c r="I4758" s="20"/>
      <c r="J4758" s="20" t="s">
        <v>205</v>
      </c>
      <c r="K4758" s="20" t="s">
        <v>250</v>
      </c>
      <c r="L4758" s="20">
        <v>780000</v>
      </c>
      <c r="M4758" s="20" t="s">
        <v>242</v>
      </c>
      <c r="N4758" s="20" t="s">
        <v>3203</v>
      </c>
    </row>
    <row r="4759" spans="1:14" x14ac:dyDescent="0.25">
      <c r="A4759" s="19">
        <v>46023</v>
      </c>
      <c r="B4759" s="20" t="s">
        <v>35</v>
      </c>
      <c r="C4759" s="20">
        <v>14</v>
      </c>
      <c r="D4759" s="20" t="s">
        <v>291</v>
      </c>
      <c r="E4759" s="20" t="s">
        <v>2361</v>
      </c>
      <c r="F4759" s="20" t="s">
        <v>285</v>
      </c>
      <c r="G4759" s="20" t="s">
        <v>63</v>
      </c>
      <c r="H4759" s="20" t="s">
        <v>77</v>
      </c>
      <c r="I4759" s="20"/>
      <c r="J4759" s="20" t="s">
        <v>205</v>
      </c>
      <c r="K4759" s="20" t="s">
        <v>250</v>
      </c>
      <c r="L4759" s="20">
        <v>10000</v>
      </c>
      <c r="M4759" s="20" t="s">
        <v>242</v>
      </c>
      <c r="N4759" s="20" t="s">
        <v>3058</v>
      </c>
    </row>
    <row r="4760" spans="1:14" x14ac:dyDescent="0.25">
      <c r="A4760" s="19">
        <v>46023</v>
      </c>
      <c r="B4760" s="20" t="s">
        <v>35</v>
      </c>
      <c r="C4760" s="20">
        <v>14</v>
      </c>
      <c r="D4760" s="20" t="s">
        <v>291</v>
      </c>
      <c r="E4760" s="20" t="s">
        <v>2361</v>
      </c>
      <c r="F4760" s="20" t="s">
        <v>285</v>
      </c>
      <c r="G4760" s="20" t="s">
        <v>63</v>
      </c>
      <c r="H4760" s="20" t="s">
        <v>70</v>
      </c>
      <c r="I4760" s="20"/>
      <c r="J4760" s="20" t="s">
        <v>205</v>
      </c>
      <c r="K4760" s="20" t="s">
        <v>250</v>
      </c>
      <c r="L4760" s="20">
        <v>785000</v>
      </c>
      <c r="M4760" s="20" t="s">
        <v>242</v>
      </c>
      <c r="N4760" s="20" t="s">
        <v>3204</v>
      </c>
    </row>
    <row r="4761" spans="1:14" x14ac:dyDescent="0.25">
      <c r="A4761" s="19">
        <v>46023</v>
      </c>
      <c r="B4761" s="20" t="s">
        <v>35</v>
      </c>
      <c r="C4761" s="20">
        <v>14</v>
      </c>
      <c r="D4761" s="20" t="s">
        <v>291</v>
      </c>
      <c r="E4761" s="20" t="s">
        <v>2361</v>
      </c>
      <c r="F4761" s="20" t="s">
        <v>285</v>
      </c>
      <c r="G4761" s="20" t="s">
        <v>63</v>
      </c>
      <c r="H4761" s="20" t="s">
        <v>71</v>
      </c>
      <c r="I4761" s="20"/>
      <c r="J4761" s="20" t="s">
        <v>205</v>
      </c>
      <c r="K4761" s="20" t="s">
        <v>250</v>
      </c>
      <c r="L4761" s="20">
        <v>550000</v>
      </c>
      <c r="M4761" s="20" t="s">
        <v>242</v>
      </c>
      <c r="N4761" s="20" t="s">
        <v>3205</v>
      </c>
    </row>
    <row r="4762" spans="1:14" x14ac:dyDescent="0.25">
      <c r="A4762" s="19">
        <v>46023</v>
      </c>
      <c r="B4762" s="20" t="s">
        <v>35</v>
      </c>
      <c r="C4762" s="20">
        <v>14</v>
      </c>
      <c r="D4762" s="20" t="s">
        <v>291</v>
      </c>
      <c r="E4762" s="20" t="s">
        <v>2361</v>
      </c>
      <c r="F4762" s="20" t="s">
        <v>285</v>
      </c>
      <c r="G4762" s="20" t="s">
        <v>63</v>
      </c>
      <c r="H4762" s="20" t="s">
        <v>72</v>
      </c>
      <c r="I4762" s="20"/>
      <c r="J4762" s="20" t="s">
        <v>205</v>
      </c>
      <c r="K4762" s="20" t="s">
        <v>250</v>
      </c>
      <c r="L4762" s="20">
        <v>382000</v>
      </c>
      <c r="M4762" s="20" t="s">
        <v>242</v>
      </c>
      <c r="N4762" s="20" t="s">
        <v>3206</v>
      </c>
    </row>
    <row r="4763" spans="1:14" x14ac:dyDescent="0.25">
      <c r="A4763" s="19">
        <v>46023</v>
      </c>
      <c r="B4763" s="20" t="s">
        <v>35</v>
      </c>
      <c r="C4763" s="20">
        <v>14</v>
      </c>
      <c r="D4763" s="20" t="s">
        <v>291</v>
      </c>
      <c r="E4763" s="20" t="s">
        <v>2361</v>
      </c>
      <c r="F4763" s="20" t="s">
        <v>285</v>
      </c>
      <c r="G4763" s="20" t="s">
        <v>63</v>
      </c>
      <c r="H4763" s="20" t="s">
        <v>73</v>
      </c>
      <c r="I4763" s="20"/>
      <c r="J4763" s="20" t="s">
        <v>205</v>
      </c>
      <c r="K4763" s="20" t="s">
        <v>250</v>
      </c>
      <c r="L4763" s="20">
        <v>237000</v>
      </c>
      <c r="M4763" s="20" t="s">
        <v>242</v>
      </c>
      <c r="N4763" s="20" t="s">
        <v>3207</v>
      </c>
    </row>
    <row r="4764" spans="1:14" x14ac:dyDescent="0.25">
      <c r="A4764" s="19">
        <v>46023</v>
      </c>
      <c r="B4764" s="20" t="s">
        <v>35</v>
      </c>
      <c r="C4764" s="20">
        <v>14</v>
      </c>
      <c r="D4764" s="20" t="s">
        <v>291</v>
      </c>
      <c r="E4764" s="20" t="s">
        <v>2361</v>
      </c>
      <c r="F4764" s="20" t="s">
        <v>285</v>
      </c>
      <c r="G4764" s="20" t="s">
        <v>63</v>
      </c>
      <c r="H4764" s="20" t="s">
        <v>74</v>
      </c>
      <c r="I4764" s="20"/>
      <c r="J4764" s="20" t="s">
        <v>205</v>
      </c>
      <c r="K4764" s="20" t="s">
        <v>250</v>
      </c>
      <c r="L4764" s="20">
        <v>110000</v>
      </c>
      <c r="M4764" s="20" t="s">
        <v>242</v>
      </c>
      <c r="N4764" s="20" t="s">
        <v>3208</v>
      </c>
    </row>
    <row r="4765" spans="1:14" x14ac:dyDescent="0.25">
      <c r="A4765" s="19">
        <v>46023</v>
      </c>
      <c r="B4765" s="20" t="s">
        <v>35</v>
      </c>
      <c r="C4765" s="20">
        <v>14</v>
      </c>
      <c r="D4765" s="20" t="s">
        <v>291</v>
      </c>
      <c r="E4765" s="20" t="s">
        <v>2361</v>
      </c>
      <c r="F4765" s="20" t="s">
        <v>285</v>
      </c>
      <c r="G4765" s="20" t="s">
        <v>63</v>
      </c>
      <c r="H4765" s="20" t="s">
        <v>75</v>
      </c>
      <c r="I4765" s="20"/>
      <c r="J4765" s="20" t="s">
        <v>205</v>
      </c>
      <c r="K4765" s="20" t="s">
        <v>250</v>
      </c>
      <c r="L4765" s="20">
        <v>30000</v>
      </c>
      <c r="M4765" s="20" t="s">
        <v>242</v>
      </c>
      <c r="N4765" s="20" t="s">
        <v>3209</v>
      </c>
    </row>
    <row r="4766" spans="1:14" x14ac:dyDescent="0.25">
      <c r="A4766" s="19">
        <v>46023</v>
      </c>
      <c r="B4766" s="20" t="s">
        <v>35</v>
      </c>
      <c r="C4766" s="20">
        <v>14</v>
      </c>
      <c r="D4766" s="20" t="s">
        <v>291</v>
      </c>
      <c r="E4766" s="20" t="s">
        <v>2361</v>
      </c>
      <c r="F4766" s="20" t="s">
        <v>285</v>
      </c>
      <c r="G4766" s="20" t="s">
        <v>63</v>
      </c>
      <c r="H4766" s="20" t="s">
        <v>76</v>
      </c>
      <c r="I4766" s="20"/>
      <c r="J4766" s="20" t="s">
        <v>205</v>
      </c>
      <c r="K4766" s="20" t="s">
        <v>250</v>
      </c>
      <c r="L4766" s="20">
        <v>7000</v>
      </c>
      <c r="M4766" s="20" t="s">
        <v>242</v>
      </c>
      <c r="N4766" s="20" t="s">
        <v>3210</v>
      </c>
    </row>
    <row r="4767" spans="1:14" hidden="1" x14ac:dyDescent="0.25">
      <c r="A4767" s="19">
        <v>46023</v>
      </c>
      <c r="B4767" s="20" t="s">
        <v>35</v>
      </c>
      <c r="C4767" s="20">
        <v>15</v>
      </c>
      <c r="D4767" s="20" t="s">
        <v>291</v>
      </c>
      <c r="E4767" s="20" t="s">
        <v>2361</v>
      </c>
      <c r="F4767" s="20" t="s">
        <v>2362</v>
      </c>
      <c r="G4767" s="20" t="s">
        <v>63</v>
      </c>
      <c r="H4767" s="20" t="s">
        <v>79</v>
      </c>
      <c r="I4767" s="20"/>
      <c r="J4767" s="20" t="s">
        <v>205</v>
      </c>
      <c r="K4767" s="20" t="s">
        <v>250</v>
      </c>
      <c r="L4767" s="20">
        <v>2110000</v>
      </c>
      <c r="M4767" s="20" t="s">
        <v>242</v>
      </c>
      <c r="N4767" s="20" t="s">
        <v>3211</v>
      </c>
    </row>
    <row r="4768" spans="1:14" hidden="1" x14ac:dyDescent="0.25">
      <c r="A4768" s="19">
        <v>46023</v>
      </c>
      <c r="B4768" s="20" t="s">
        <v>35</v>
      </c>
      <c r="C4768" s="20">
        <v>15</v>
      </c>
      <c r="D4768" s="20" t="s">
        <v>291</v>
      </c>
      <c r="E4768" s="20" t="s">
        <v>2361</v>
      </c>
      <c r="F4768" s="20" t="s">
        <v>2362</v>
      </c>
      <c r="G4768" s="20" t="s">
        <v>63</v>
      </c>
      <c r="H4768" s="20" t="s">
        <v>80</v>
      </c>
      <c r="I4768" s="20"/>
      <c r="J4768" s="20" t="s">
        <v>205</v>
      </c>
      <c r="K4768" s="20" t="s">
        <v>250</v>
      </c>
      <c r="L4768" s="20">
        <v>49400</v>
      </c>
      <c r="M4768" s="20" t="s">
        <v>242</v>
      </c>
      <c r="N4768" s="20" t="s">
        <v>3212</v>
      </c>
    </row>
    <row r="4769" spans="1:14" hidden="1" x14ac:dyDescent="0.25">
      <c r="A4769" s="19">
        <v>46023</v>
      </c>
      <c r="B4769" s="20" t="s">
        <v>35</v>
      </c>
      <c r="C4769" s="20">
        <v>16</v>
      </c>
      <c r="D4769" s="20" t="s">
        <v>253</v>
      </c>
      <c r="E4769" s="20" t="s">
        <v>2359</v>
      </c>
      <c r="F4769" s="20" t="s">
        <v>240</v>
      </c>
      <c r="G4769" s="20" t="s">
        <v>82</v>
      </c>
      <c r="H4769" s="20"/>
      <c r="I4769" s="20"/>
      <c r="J4769" s="20" t="s">
        <v>203</v>
      </c>
      <c r="K4769" s="20" t="s">
        <v>255</v>
      </c>
      <c r="L4769" s="20">
        <v>16350000</v>
      </c>
      <c r="M4769" s="20" t="s">
        <v>242</v>
      </c>
      <c r="N4769" s="20" t="s">
        <v>2903</v>
      </c>
    </row>
    <row r="4770" spans="1:14" hidden="1" x14ac:dyDescent="0.25">
      <c r="A4770" s="19">
        <v>46023</v>
      </c>
      <c r="B4770" s="20" t="s">
        <v>35</v>
      </c>
      <c r="C4770" s="20">
        <v>16</v>
      </c>
      <c r="D4770" s="20" t="s">
        <v>253</v>
      </c>
      <c r="E4770" s="20" t="s">
        <v>2359</v>
      </c>
      <c r="F4770" s="20" t="s">
        <v>240</v>
      </c>
      <c r="G4770" s="20" t="s">
        <v>82</v>
      </c>
      <c r="H4770" s="20"/>
      <c r="I4770" s="20"/>
      <c r="J4770" s="20" t="s">
        <v>204</v>
      </c>
      <c r="K4770" s="20" t="s">
        <v>255</v>
      </c>
      <c r="L4770" s="20">
        <v>17670000</v>
      </c>
      <c r="M4770" s="20" t="s">
        <v>242</v>
      </c>
      <c r="N4770" s="20" t="s">
        <v>3065</v>
      </c>
    </row>
    <row r="4771" spans="1:14" hidden="1" x14ac:dyDescent="0.25">
      <c r="A4771" s="19">
        <v>46023</v>
      </c>
      <c r="B4771" s="20" t="s">
        <v>35</v>
      </c>
      <c r="C4771" s="20">
        <v>16</v>
      </c>
      <c r="D4771" s="20" t="s">
        <v>253</v>
      </c>
      <c r="E4771" s="20" t="s">
        <v>2359</v>
      </c>
      <c r="F4771" s="20" t="s">
        <v>240</v>
      </c>
      <c r="G4771" s="20" t="s">
        <v>82</v>
      </c>
      <c r="H4771" s="20"/>
      <c r="I4771" s="20"/>
      <c r="J4771" s="20" t="s">
        <v>205</v>
      </c>
      <c r="K4771" s="20" t="s">
        <v>255</v>
      </c>
      <c r="L4771" s="20">
        <v>17700000</v>
      </c>
      <c r="M4771" s="20" t="s">
        <v>242</v>
      </c>
      <c r="N4771" s="20" t="s">
        <v>3213</v>
      </c>
    </row>
    <row r="4772" spans="1:14" hidden="1" x14ac:dyDescent="0.25">
      <c r="A4772" s="19">
        <v>46023</v>
      </c>
      <c r="B4772" s="20" t="s">
        <v>35</v>
      </c>
      <c r="C4772" s="20">
        <v>16</v>
      </c>
      <c r="D4772" s="20" t="s">
        <v>247</v>
      </c>
      <c r="E4772" s="20" t="s">
        <v>2554</v>
      </c>
      <c r="F4772" s="20" t="s">
        <v>2556</v>
      </c>
      <c r="G4772" s="20" t="s">
        <v>82</v>
      </c>
      <c r="H4772" s="20" t="s">
        <v>286</v>
      </c>
      <c r="I4772" s="20"/>
      <c r="J4772" s="20" t="s">
        <v>205</v>
      </c>
      <c r="K4772" s="20" t="s">
        <v>250</v>
      </c>
      <c r="L4772" s="20">
        <v>0.2</v>
      </c>
      <c r="M4772" s="20" t="s">
        <v>251</v>
      </c>
      <c r="N4772" s="20" t="s">
        <v>307</v>
      </c>
    </row>
    <row r="4773" spans="1:14" hidden="1" x14ac:dyDescent="0.25">
      <c r="A4773" s="19">
        <v>46023</v>
      </c>
      <c r="B4773" s="20" t="s">
        <v>35</v>
      </c>
      <c r="C4773" s="20">
        <v>17</v>
      </c>
      <c r="D4773" s="20" t="s">
        <v>291</v>
      </c>
      <c r="E4773" s="20" t="s">
        <v>2361</v>
      </c>
      <c r="F4773" s="20" t="s">
        <v>240</v>
      </c>
      <c r="G4773" s="20" t="s">
        <v>82</v>
      </c>
      <c r="H4773" s="20" t="s">
        <v>83</v>
      </c>
      <c r="I4773" s="20"/>
      <c r="J4773" s="20" t="s">
        <v>205</v>
      </c>
      <c r="K4773" s="20" t="s">
        <v>250</v>
      </c>
      <c r="L4773" s="20">
        <v>14290000</v>
      </c>
      <c r="M4773" s="20" t="s">
        <v>242</v>
      </c>
      <c r="N4773" s="20" t="s">
        <v>3214</v>
      </c>
    </row>
    <row r="4774" spans="1:14" hidden="1" x14ac:dyDescent="0.25">
      <c r="A4774" s="19">
        <v>46023</v>
      </c>
      <c r="B4774" s="20" t="s">
        <v>35</v>
      </c>
      <c r="C4774" s="20">
        <v>17</v>
      </c>
      <c r="D4774" s="20" t="s">
        <v>291</v>
      </c>
      <c r="E4774" s="20" t="s">
        <v>2361</v>
      </c>
      <c r="F4774" s="20" t="s">
        <v>240</v>
      </c>
      <c r="G4774" s="20" t="s">
        <v>82</v>
      </c>
      <c r="H4774" s="20" t="s">
        <v>84</v>
      </c>
      <c r="I4774" s="20"/>
      <c r="J4774" s="20" t="s">
        <v>205</v>
      </c>
      <c r="K4774" s="20" t="s">
        <v>250</v>
      </c>
      <c r="L4774" s="20">
        <v>3410000</v>
      </c>
      <c r="M4774" s="20" t="s">
        <v>242</v>
      </c>
      <c r="N4774" s="20" t="s">
        <v>3215</v>
      </c>
    </row>
    <row r="4775" spans="1:14" hidden="1" x14ac:dyDescent="0.25">
      <c r="A4775" s="19">
        <v>46023</v>
      </c>
      <c r="B4775" s="20" t="s">
        <v>35</v>
      </c>
      <c r="C4775" s="20">
        <v>18</v>
      </c>
      <c r="D4775" s="20" t="s">
        <v>291</v>
      </c>
      <c r="E4775" s="20" t="s">
        <v>2361</v>
      </c>
      <c r="F4775" s="20" t="s">
        <v>240</v>
      </c>
      <c r="G4775" s="20" t="s">
        <v>82</v>
      </c>
      <c r="H4775" s="20" t="s">
        <v>83</v>
      </c>
      <c r="I4775" s="20" t="s">
        <v>315</v>
      </c>
      <c r="J4775" s="20" t="s">
        <v>205</v>
      </c>
      <c r="K4775" s="20" t="s">
        <v>250</v>
      </c>
      <c r="L4775" s="20"/>
      <c r="M4775" s="20" t="s">
        <v>251</v>
      </c>
      <c r="N4775" s="20" t="s">
        <v>2906</v>
      </c>
    </row>
    <row r="4776" spans="1:14" hidden="1" x14ac:dyDescent="0.25">
      <c r="A4776" s="19">
        <v>46023</v>
      </c>
      <c r="B4776" s="20" t="s">
        <v>35</v>
      </c>
      <c r="C4776" s="20">
        <v>18</v>
      </c>
      <c r="D4776" s="20" t="s">
        <v>291</v>
      </c>
      <c r="E4776" s="20" t="s">
        <v>2361</v>
      </c>
      <c r="F4776" s="20" t="s">
        <v>240</v>
      </c>
      <c r="G4776" s="20" t="s">
        <v>82</v>
      </c>
      <c r="H4776" s="20" t="s">
        <v>83</v>
      </c>
      <c r="I4776" s="20" t="s">
        <v>317</v>
      </c>
      <c r="J4776" s="20" t="s">
        <v>205</v>
      </c>
      <c r="K4776" s="20" t="s">
        <v>250</v>
      </c>
      <c r="L4776" s="20"/>
      <c r="M4776" s="20" t="s">
        <v>251</v>
      </c>
      <c r="N4776" s="20" t="s">
        <v>2907</v>
      </c>
    </row>
    <row r="4777" spans="1:14" hidden="1" x14ac:dyDescent="0.25">
      <c r="A4777" s="19">
        <v>46023</v>
      </c>
      <c r="B4777" s="20" t="s">
        <v>35</v>
      </c>
      <c r="C4777" s="20">
        <v>18</v>
      </c>
      <c r="D4777" s="20" t="s">
        <v>291</v>
      </c>
      <c r="E4777" s="20" t="s">
        <v>2361</v>
      </c>
      <c r="F4777" s="20" t="s">
        <v>240</v>
      </c>
      <c r="G4777" s="20" t="s">
        <v>82</v>
      </c>
      <c r="H4777" s="20" t="s">
        <v>83</v>
      </c>
      <c r="I4777" s="20" t="s">
        <v>313</v>
      </c>
      <c r="J4777" s="20" t="s">
        <v>205</v>
      </c>
      <c r="K4777" s="20" t="s">
        <v>250</v>
      </c>
      <c r="L4777" s="20"/>
      <c r="M4777" s="20" t="s">
        <v>251</v>
      </c>
      <c r="N4777" s="20" t="s">
        <v>2666</v>
      </c>
    </row>
    <row r="4778" spans="1:14" hidden="1" x14ac:dyDescent="0.25">
      <c r="A4778" s="19">
        <v>46023</v>
      </c>
      <c r="B4778" s="20" t="s">
        <v>35</v>
      </c>
      <c r="C4778" s="20">
        <v>18</v>
      </c>
      <c r="D4778" s="20" t="s">
        <v>291</v>
      </c>
      <c r="E4778" s="20" t="s">
        <v>2361</v>
      </c>
      <c r="F4778" s="20" t="s">
        <v>240</v>
      </c>
      <c r="G4778" s="20" t="s">
        <v>82</v>
      </c>
      <c r="H4778" s="20" t="s">
        <v>84</v>
      </c>
      <c r="I4778" s="20" t="s">
        <v>319</v>
      </c>
      <c r="J4778" s="20" t="s">
        <v>205</v>
      </c>
      <c r="K4778" s="20" t="s">
        <v>250</v>
      </c>
      <c r="L4778" s="20"/>
      <c r="M4778" s="20" t="s">
        <v>251</v>
      </c>
      <c r="N4778" s="20" t="s">
        <v>320</v>
      </c>
    </row>
    <row r="4779" spans="1:14" hidden="1" x14ac:dyDescent="0.25">
      <c r="A4779" s="19">
        <v>46023</v>
      </c>
      <c r="B4779" s="20" t="s">
        <v>35</v>
      </c>
      <c r="C4779" s="20">
        <v>18</v>
      </c>
      <c r="D4779" s="20" t="s">
        <v>291</v>
      </c>
      <c r="E4779" s="20" t="s">
        <v>2361</v>
      </c>
      <c r="F4779" s="20" t="s">
        <v>240</v>
      </c>
      <c r="G4779" s="20" t="s">
        <v>82</v>
      </c>
      <c r="H4779" s="20" t="s">
        <v>84</v>
      </c>
      <c r="I4779" s="20" t="s">
        <v>321</v>
      </c>
      <c r="J4779" s="20" t="s">
        <v>205</v>
      </c>
      <c r="K4779" s="20" t="s">
        <v>250</v>
      </c>
      <c r="L4779" s="20"/>
      <c r="M4779" s="20" t="s">
        <v>251</v>
      </c>
      <c r="N4779" s="20" t="s">
        <v>322</v>
      </c>
    </row>
    <row r="4780" spans="1:14" hidden="1" x14ac:dyDescent="0.25">
      <c r="A4780" s="19">
        <v>46023</v>
      </c>
      <c r="B4780" s="20" t="s">
        <v>35</v>
      </c>
      <c r="C4780" s="20">
        <v>19</v>
      </c>
      <c r="D4780" s="20" t="s">
        <v>253</v>
      </c>
      <c r="E4780" s="20" t="s">
        <v>2359</v>
      </c>
      <c r="F4780" s="20" t="s">
        <v>244</v>
      </c>
      <c r="G4780" s="20" t="s">
        <v>82</v>
      </c>
      <c r="H4780" s="20"/>
      <c r="I4780" s="20"/>
      <c r="J4780" s="20" t="s">
        <v>203</v>
      </c>
      <c r="K4780" s="20" t="s">
        <v>255</v>
      </c>
      <c r="L4780" s="20">
        <v>1730000000</v>
      </c>
      <c r="M4780" s="20" t="s">
        <v>245</v>
      </c>
      <c r="N4780" s="20" t="s">
        <v>2908</v>
      </c>
    </row>
    <row r="4781" spans="1:14" hidden="1" x14ac:dyDescent="0.25">
      <c r="A4781" s="19">
        <v>46023</v>
      </c>
      <c r="B4781" s="20" t="s">
        <v>35</v>
      </c>
      <c r="C4781" s="20">
        <v>19</v>
      </c>
      <c r="D4781" s="20" t="s">
        <v>253</v>
      </c>
      <c r="E4781" s="20" t="s">
        <v>2359</v>
      </c>
      <c r="F4781" s="20" t="s">
        <v>244</v>
      </c>
      <c r="G4781" s="20" t="s">
        <v>82</v>
      </c>
      <c r="H4781" s="20"/>
      <c r="I4781" s="20"/>
      <c r="J4781" s="20" t="s">
        <v>204</v>
      </c>
      <c r="K4781" s="20" t="s">
        <v>255</v>
      </c>
      <c r="L4781" s="20">
        <v>1880000000</v>
      </c>
      <c r="M4781" s="20" t="s">
        <v>245</v>
      </c>
      <c r="N4781" s="20" t="s">
        <v>2596</v>
      </c>
    </row>
    <row r="4782" spans="1:14" hidden="1" x14ac:dyDescent="0.25">
      <c r="A4782" s="19">
        <v>46023</v>
      </c>
      <c r="B4782" s="20" t="s">
        <v>35</v>
      </c>
      <c r="C4782" s="20">
        <v>19</v>
      </c>
      <c r="D4782" s="20" t="s">
        <v>253</v>
      </c>
      <c r="E4782" s="20" t="s">
        <v>2359</v>
      </c>
      <c r="F4782" s="20" t="s">
        <v>244</v>
      </c>
      <c r="G4782" s="20" t="s">
        <v>82</v>
      </c>
      <c r="H4782" s="20"/>
      <c r="I4782" s="20"/>
      <c r="J4782" s="20" t="s">
        <v>205</v>
      </c>
      <c r="K4782" s="20" t="s">
        <v>255</v>
      </c>
      <c r="L4782" s="20">
        <v>1900000000</v>
      </c>
      <c r="M4782" s="20" t="s">
        <v>245</v>
      </c>
      <c r="N4782" s="20" t="s">
        <v>3200</v>
      </c>
    </row>
    <row r="4783" spans="1:14" hidden="1" x14ac:dyDescent="0.25">
      <c r="A4783" s="19">
        <v>46023</v>
      </c>
      <c r="B4783" s="20" t="s">
        <v>35</v>
      </c>
      <c r="C4783" s="20">
        <v>19</v>
      </c>
      <c r="D4783" s="20" t="s">
        <v>247</v>
      </c>
      <c r="E4783" s="20" t="s">
        <v>2554</v>
      </c>
      <c r="F4783" s="20" t="s">
        <v>2557</v>
      </c>
      <c r="G4783" s="20" t="s">
        <v>82</v>
      </c>
      <c r="H4783" s="20" t="s">
        <v>286</v>
      </c>
      <c r="I4783" s="20"/>
      <c r="J4783" s="20" t="s">
        <v>205</v>
      </c>
      <c r="K4783" s="20" t="s">
        <v>250</v>
      </c>
      <c r="L4783" s="20">
        <v>1</v>
      </c>
      <c r="M4783" s="20" t="s">
        <v>251</v>
      </c>
      <c r="N4783" s="20" t="s">
        <v>3216</v>
      </c>
    </row>
    <row r="4784" spans="1:14" hidden="1" x14ac:dyDescent="0.25">
      <c r="A4784" s="19">
        <v>46023</v>
      </c>
      <c r="B4784" s="20" t="s">
        <v>35</v>
      </c>
      <c r="C4784" s="20">
        <v>20</v>
      </c>
      <c r="D4784" s="20" t="s">
        <v>291</v>
      </c>
      <c r="E4784" s="20" t="s">
        <v>2361</v>
      </c>
      <c r="F4784" s="20" t="s">
        <v>244</v>
      </c>
      <c r="G4784" s="20" t="s">
        <v>82</v>
      </c>
      <c r="H4784" s="20" t="s">
        <v>83</v>
      </c>
      <c r="I4784" s="20"/>
      <c r="J4784" s="20" t="s">
        <v>205</v>
      </c>
      <c r="K4784" s="20" t="s">
        <v>250</v>
      </c>
      <c r="L4784" s="20">
        <v>1390000000</v>
      </c>
      <c r="M4784" s="20" t="s">
        <v>245</v>
      </c>
      <c r="N4784" s="20" t="s">
        <v>1932</v>
      </c>
    </row>
    <row r="4785" spans="1:14" hidden="1" x14ac:dyDescent="0.25">
      <c r="A4785" s="19">
        <v>46023</v>
      </c>
      <c r="B4785" s="20" t="s">
        <v>35</v>
      </c>
      <c r="C4785" s="20">
        <v>20</v>
      </c>
      <c r="D4785" s="20" t="s">
        <v>291</v>
      </c>
      <c r="E4785" s="20" t="s">
        <v>2361</v>
      </c>
      <c r="F4785" s="20" t="s">
        <v>244</v>
      </c>
      <c r="G4785" s="20" t="s">
        <v>82</v>
      </c>
      <c r="H4785" s="20" t="s">
        <v>84</v>
      </c>
      <c r="I4785" s="20"/>
      <c r="J4785" s="20" t="s">
        <v>205</v>
      </c>
      <c r="K4785" s="20" t="s">
        <v>250</v>
      </c>
      <c r="L4785" s="20">
        <v>505100000</v>
      </c>
      <c r="M4785" s="20" t="s">
        <v>245</v>
      </c>
      <c r="N4785" s="20" t="s">
        <v>3217</v>
      </c>
    </row>
    <row r="4786" spans="1:14" hidden="1" x14ac:dyDescent="0.25">
      <c r="A4786" s="19">
        <v>46023</v>
      </c>
      <c r="B4786" s="20" t="s">
        <v>35</v>
      </c>
      <c r="C4786" s="20">
        <v>21</v>
      </c>
      <c r="D4786" s="20" t="s">
        <v>291</v>
      </c>
      <c r="E4786" s="20" t="s">
        <v>2361</v>
      </c>
      <c r="F4786" s="20" t="s">
        <v>244</v>
      </c>
      <c r="G4786" s="20" t="s">
        <v>82</v>
      </c>
      <c r="H4786" s="20" t="s">
        <v>83</v>
      </c>
      <c r="I4786" s="20" t="s">
        <v>315</v>
      </c>
      <c r="J4786" s="20" t="s">
        <v>205</v>
      </c>
      <c r="K4786" s="20" t="s">
        <v>250</v>
      </c>
      <c r="L4786" s="20"/>
      <c r="M4786" s="20" t="s">
        <v>251</v>
      </c>
      <c r="N4786" s="20" t="s">
        <v>3070</v>
      </c>
    </row>
    <row r="4787" spans="1:14" hidden="1" x14ac:dyDescent="0.25">
      <c r="A4787" s="19">
        <v>46023</v>
      </c>
      <c r="B4787" s="20" t="s">
        <v>35</v>
      </c>
      <c r="C4787" s="20">
        <v>21</v>
      </c>
      <c r="D4787" s="20" t="s">
        <v>291</v>
      </c>
      <c r="E4787" s="20" t="s">
        <v>2361</v>
      </c>
      <c r="F4787" s="20" t="s">
        <v>244</v>
      </c>
      <c r="G4787" s="20" t="s">
        <v>82</v>
      </c>
      <c r="H4787" s="20" t="s">
        <v>83</v>
      </c>
      <c r="I4787" s="20" t="s">
        <v>317</v>
      </c>
      <c r="J4787" s="20" t="s">
        <v>205</v>
      </c>
      <c r="K4787" s="20" t="s">
        <v>250</v>
      </c>
      <c r="L4787" s="20"/>
      <c r="M4787" s="20" t="s">
        <v>251</v>
      </c>
      <c r="N4787" s="20" t="s">
        <v>3218</v>
      </c>
    </row>
    <row r="4788" spans="1:14" hidden="1" x14ac:dyDescent="0.25">
      <c r="A4788" s="19">
        <v>46023</v>
      </c>
      <c r="B4788" s="20" t="s">
        <v>35</v>
      </c>
      <c r="C4788" s="20">
        <v>21</v>
      </c>
      <c r="D4788" s="20" t="s">
        <v>291</v>
      </c>
      <c r="E4788" s="20" t="s">
        <v>2361</v>
      </c>
      <c r="F4788" s="20" t="s">
        <v>244</v>
      </c>
      <c r="G4788" s="20" t="s">
        <v>82</v>
      </c>
      <c r="H4788" s="20" t="s">
        <v>83</v>
      </c>
      <c r="I4788" s="20" t="s">
        <v>313</v>
      </c>
      <c r="J4788" s="20" t="s">
        <v>205</v>
      </c>
      <c r="K4788" s="20" t="s">
        <v>250</v>
      </c>
      <c r="L4788" s="20"/>
      <c r="M4788" s="20" t="s">
        <v>251</v>
      </c>
      <c r="N4788" s="20" t="s">
        <v>1690</v>
      </c>
    </row>
    <row r="4789" spans="1:14" hidden="1" x14ac:dyDescent="0.25">
      <c r="A4789" s="19">
        <v>46023</v>
      </c>
      <c r="B4789" s="20" t="s">
        <v>35</v>
      </c>
      <c r="C4789" s="20">
        <v>21</v>
      </c>
      <c r="D4789" s="20" t="s">
        <v>291</v>
      </c>
      <c r="E4789" s="20" t="s">
        <v>2361</v>
      </c>
      <c r="F4789" s="20" t="s">
        <v>244</v>
      </c>
      <c r="G4789" s="20" t="s">
        <v>82</v>
      </c>
      <c r="H4789" s="20" t="s">
        <v>84</v>
      </c>
      <c r="I4789" s="20" t="s">
        <v>2385</v>
      </c>
      <c r="J4789" s="20" t="s">
        <v>205</v>
      </c>
      <c r="K4789" s="20" t="s">
        <v>250</v>
      </c>
      <c r="L4789" s="20"/>
      <c r="M4789" s="20" t="s">
        <v>251</v>
      </c>
      <c r="N4789" s="20" t="s">
        <v>2913</v>
      </c>
    </row>
    <row r="4790" spans="1:14" hidden="1" x14ac:dyDescent="0.25">
      <c r="A4790" s="19">
        <v>46023</v>
      </c>
      <c r="B4790" s="20" t="s">
        <v>35</v>
      </c>
      <c r="C4790" s="20">
        <v>21</v>
      </c>
      <c r="D4790" s="20" t="s">
        <v>291</v>
      </c>
      <c r="E4790" s="20" t="s">
        <v>2361</v>
      </c>
      <c r="F4790" s="20" t="s">
        <v>244</v>
      </c>
      <c r="G4790" s="20" t="s">
        <v>82</v>
      </c>
      <c r="H4790" s="20" t="s">
        <v>84</v>
      </c>
      <c r="I4790" s="20" t="s">
        <v>321</v>
      </c>
      <c r="J4790" s="20" t="s">
        <v>205</v>
      </c>
      <c r="K4790" s="20" t="s">
        <v>250</v>
      </c>
      <c r="L4790" s="20"/>
      <c r="M4790" s="20" t="s">
        <v>251</v>
      </c>
      <c r="N4790" s="20" t="s">
        <v>2914</v>
      </c>
    </row>
    <row r="4791" spans="1:14" hidden="1" x14ac:dyDescent="0.25">
      <c r="A4791" s="19">
        <v>46023</v>
      </c>
      <c r="B4791" s="20" t="s">
        <v>35</v>
      </c>
      <c r="C4791" s="20">
        <v>22</v>
      </c>
      <c r="D4791" s="20" t="s">
        <v>253</v>
      </c>
      <c r="E4791" s="20" t="s">
        <v>2359</v>
      </c>
      <c r="F4791" s="20" t="s">
        <v>334</v>
      </c>
      <c r="G4791" s="20" t="s">
        <v>82</v>
      </c>
      <c r="H4791" s="20"/>
      <c r="I4791" s="20"/>
      <c r="J4791" s="20" t="s">
        <v>203</v>
      </c>
      <c r="K4791" s="20" t="s">
        <v>255</v>
      </c>
      <c r="L4791" s="20">
        <v>106</v>
      </c>
      <c r="M4791" s="20" t="s">
        <v>245</v>
      </c>
      <c r="N4791" s="20" t="s">
        <v>2915</v>
      </c>
    </row>
    <row r="4792" spans="1:14" hidden="1" x14ac:dyDescent="0.25">
      <c r="A4792" s="19">
        <v>46023</v>
      </c>
      <c r="B4792" s="20" t="s">
        <v>35</v>
      </c>
      <c r="C4792" s="20">
        <v>22</v>
      </c>
      <c r="D4792" s="20" t="s">
        <v>253</v>
      </c>
      <c r="E4792" s="20" t="s">
        <v>2359</v>
      </c>
      <c r="F4792" s="20" t="s">
        <v>334</v>
      </c>
      <c r="G4792" s="20" t="s">
        <v>82</v>
      </c>
      <c r="H4792" s="20"/>
      <c r="I4792" s="20"/>
      <c r="J4792" s="20" t="s">
        <v>204</v>
      </c>
      <c r="K4792" s="20" t="s">
        <v>255</v>
      </c>
      <c r="L4792" s="20">
        <v>106</v>
      </c>
      <c r="M4792" s="20" t="s">
        <v>245</v>
      </c>
      <c r="N4792" s="20" t="s">
        <v>2915</v>
      </c>
    </row>
    <row r="4793" spans="1:14" hidden="1" x14ac:dyDescent="0.25">
      <c r="A4793" s="19">
        <v>46023</v>
      </c>
      <c r="B4793" s="20" t="s">
        <v>35</v>
      </c>
      <c r="C4793" s="20">
        <v>22</v>
      </c>
      <c r="D4793" s="20" t="s">
        <v>253</v>
      </c>
      <c r="E4793" s="20" t="s">
        <v>2359</v>
      </c>
      <c r="F4793" s="20" t="s">
        <v>334</v>
      </c>
      <c r="G4793" s="20" t="s">
        <v>82</v>
      </c>
      <c r="H4793" s="20"/>
      <c r="I4793" s="20"/>
      <c r="J4793" s="20" t="s">
        <v>205</v>
      </c>
      <c r="K4793" s="20" t="s">
        <v>255</v>
      </c>
      <c r="L4793" s="20">
        <v>107</v>
      </c>
      <c r="M4793" s="20" t="s">
        <v>245</v>
      </c>
      <c r="N4793" s="20" t="s">
        <v>3219</v>
      </c>
    </row>
    <row r="4794" spans="1:14" hidden="1" x14ac:dyDescent="0.25">
      <c r="A4794" s="19">
        <v>46023</v>
      </c>
      <c r="B4794" s="20" t="s">
        <v>35</v>
      </c>
      <c r="C4794" s="20">
        <v>23</v>
      </c>
      <c r="D4794" s="20" t="s">
        <v>291</v>
      </c>
      <c r="E4794" s="20" t="s">
        <v>2361</v>
      </c>
      <c r="F4794" s="20" t="s">
        <v>428</v>
      </c>
      <c r="G4794" s="20" t="s">
        <v>82</v>
      </c>
      <c r="H4794" s="20" t="s">
        <v>95</v>
      </c>
      <c r="I4794" s="20"/>
      <c r="J4794" s="20" t="s">
        <v>205</v>
      </c>
      <c r="K4794" s="20" t="s">
        <v>250</v>
      </c>
      <c r="L4794" s="20">
        <v>2690000</v>
      </c>
      <c r="M4794" s="20" t="s">
        <v>242</v>
      </c>
      <c r="N4794" s="20" t="s">
        <v>3220</v>
      </c>
    </row>
    <row r="4795" spans="1:14" hidden="1" x14ac:dyDescent="0.25">
      <c r="A4795" s="19">
        <v>46023</v>
      </c>
      <c r="B4795" s="20" t="s">
        <v>35</v>
      </c>
      <c r="C4795" s="20">
        <v>23</v>
      </c>
      <c r="D4795" s="20" t="s">
        <v>291</v>
      </c>
      <c r="E4795" s="20" t="s">
        <v>2361</v>
      </c>
      <c r="F4795" s="20" t="s">
        <v>428</v>
      </c>
      <c r="G4795" s="20" t="s">
        <v>82</v>
      </c>
      <c r="H4795" s="20" t="s">
        <v>94</v>
      </c>
      <c r="I4795" s="20"/>
      <c r="J4795" s="20" t="s">
        <v>205</v>
      </c>
      <c r="K4795" s="20" t="s">
        <v>250</v>
      </c>
      <c r="L4795" s="20">
        <v>7260000</v>
      </c>
      <c r="M4795" s="20" t="s">
        <v>242</v>
      </c>
      <c r="N4795" s="20" t="s">
        <v>3072</v>
      </c>
    </row>
    <row r="4796" spans="1:14" hidden="1" x14ac:dyDescent="0.25">
      <c r="A4796" s="19">
        <v>46023</v>
      </c>
      <c r="B4796" s="20" t="s">
        <v>35</v>
      </c>
      <c r="C4796" s="20">
        <v>24</v>
      </c>
      <c r="D4796" s="20" t="s">
        <v>291</v>
      </c>
      <c r="E4796" s="20" t="s">
        <v>2361</v>
      </c>
      <c r="F4796" s="20" t="s">
        <v>445</v>
      </c>
      <c r="G4796" s="20" t="s">
        <v>82</v>
      </c>
      <c r="H4796" s="20" t="s">
        <v>95</v>
      </c>
      <c r="I4796" s="20"/>
      <c r="J4796" s="20" t="s">
        <v>205</v>
      </c>
      <c r="K4796" s="20" t="s">
        <v>250</v>
      </c>
      <c r="L4796" s="20">
        <v>260200000</v>
      </c>
      <c r="M4796" s="20" t="s">
        <v>245</v>
      </c>
      <c r="N4796" s="20" t="s">
        <v>3221</v>
      </c>
    </row>
    <row r="4797" spans="1:14" hidden="1" x14ac:dyDescent="0.25">
      <c r="A4797" s="19">
        <v>46023</v>
      </c>
      <c r="B4797" s="20" t="s">
        <v>35</v>
      </c>
      <c r="C4797" s="20">
        <v>24</v>
      </c>
      <c r="D4797" s="20" t="s">
        <v>291</v>
      </c>
      <c r="E4797" s="20" t="s">
        <v>2361</v>
      </c>
      <c r="F4797" s="20" t="s">
        <v>445</v>
      </c>
      <c r="G4797" s="20" t="s">
        <v>82</v>
      </c>
      <c r="H4797" s="20" t="s">
        <v>94</v>
      </c>
      <c r="I4797" s="20"/>
      <c r="J4797" s="20" t="s">
        <v>205</v>
      </c>
      <c r="K4797" s="20" t="s">
        <v>250</v>
      </c>
      <c r="L4797" s="20">
        <v>938400000</v>
      </c>
      <c r="M4797" s="20" t="s">
        <v>245</v>
      </c>
      <c r="N4797" s="20" t="s">
        <v>3222</v>
      </c>
    </row>
    <row r="4798" spans="1:14" hidden="1" x14ac:dyDescent="0.25">
      <c r="A4798" s="19">
        <v>46023</v>
      </c>
      <c r="B4798" s="20" t="s">
        <v>97</v>
      </c>
      <c r="C4798" s="20">
        <v>26</v>
      </c>
      <c r="D4798" s="20" t="s">
        <v>238</v>
      </c>
      <c r="E4798" s="20" t="s">
        <v>2341</v>
      </c>
      <c r="F4798" s="20" t="s">
        <v>240</v>
      </c>
      <c r="G4798" s="20" t="s">
        <v>82</v>
      </c>
      <c r="H4798" s="20"/>
      <c r="I4798" s="20"/>
      <c r="J4798" s="20" t="s">
        <v>3199</v>
      </c>
      <c r="K4798" s="20" t="s">
        <v>241</v>
      </c>
      <c r="L4798" s="20">
        <v>11830000</v>
      </c>
      <c r="M4798" s="20" t="s">
        <v>242</v>
      </c>
      <c r="N4798" s="20" t="s">
        <v>3189</v>
      </c>
    </row>
    <row r="4799" spans="1:14" hidden="1" x14ac:dyDescent="0.25">
      <c r="A4799" s="19">
        <v>46023</v>
      </c>
      <c r="B4799" s="20" t="s">
        <v>97</v>
      </c>
      <c r="C4799" s="20">
        <v>26</v>
      </c>
      <c r="D4799" s="20" t="s">
        <v>238</v>
      </c>
      <c r="E4799" s="20" t="s">
        <v>2341</v>
      </c>
      <c r="F4799" s="20" t="s">
        <v>244</v>
      </c>
      <c r="G4799" s="20" t="s">
        <v>82</v>
      </c>
      <c r="H4799" s="20"/>
      <c r="I4799" s="20"/>
      <c r="J4799" s="20" t="s">
        <v>3199</v>
      </c>
      <c r="K4799" s="20" t="s">
        <v>241</v>
      </c>
      <c r="L4799" s="20">
        <v>580000000</v>
      </c>
      <c r="M4799" s="20" t="s">
        <v>245</v>
      </c>
      <c r="N4799" s="20" t="s">
        <v>3223</v>
      </c>
    </row>
    <row r="4800" spans="1:14" hidden="1" x14ac:dyDescent="0.25">
      <c r="A4800" s="19">
        <v>46023</v>
      </c>
      <c r="B4800" s="20" t="s">
        <v>97</v>
      </c>
      <c r="C4800" s="20">
        <v>27</v>
      </c>
      <c r="D4800" s="20" t="s">
        <v>253</v>
      </c>
      <c r="E4800" s="20" t="s">
        <v>2359</v>
      </c>
      <c r="F4800" s="20" t="s">
        <v>285</v>
      </c>
      <c r="G4800" s="20" t="s">
        <v>63</v>
      </c>
      <c r="H4800" s="20"/>
      <c r="I4800" s="20"/>
      <c r="J4800" s="20" t="s">
        <v>203</v>
      </c>
      <c r="K4800" s="20" t="s">
        <v>255</v>
      </c>
      <c r="L4800" s="20">
        <v>2780000</v>
      </c>
      <c r="M4800" s="20" t="s">
        <v>242</v>
      </c>
      <c r="N4800" s="20" t="s">
        <v>2921</v>
      </c>
    </row>
    <row r="4801" spans="1:14" hidden="1" x14ac:dyDescent="0.25">
      <c r="A4801" s="19">
        <v>46023</v>
      </c>
      <c r="B4801" s="20" t="s">
        <v>97</v>
      </c>
      <c r="C4801" s="20">
        <v>27</v>
      </c>
      <c r="D4801" s="20" t="s">
        <v>253</v>
      </c>
      <c r="E4801" s="20" t="s">
        <v>2359</v>
      </c>
      <c r="F4801" s="20" t="s">
        <v>285</v>
      </c>
      <c r="G4801" s="20" t="s">
        <v>63</v>
      </c>
      <c r="H4801" s="20"/>
      <c r="I4801" s="20"/>
      <c r="J4801" s="20" t="s">
        <v>204</v>
      </c>
      <c r="K4801" s="20" t="s">
        <v>255</v>
      </c>
      <c r="L4801" s="20">
        <v>2810000</v>
      </c>
      <c r="M4801" s="20" t="s">
        <v>242</v>
      </c>
      <c r="N4801" s="20" t="s">
        <v>3077</v>
      </c>
    </row>
    <row r="4802" spans="1:14" hidden="1" x14ac:dyDescent="0.25">
      <c r="A4802" s="19">
        <v>46023</v>
      </c>
      <c r="B4802" s="20" t="s">
        <v>97</v>
      </c>
      <c r="C4802" s="20">
        <v>27</v>
      </c>
      <c r="D4802" s="20" t="s">
        <v>253</v>
      </c>
      <c r="E4802" s="20" t="s">
        <v>2359</v>
      </c>
      <c r="F4802" s="20" t="s">
        <v>285</v>
      </c>
      <c r="G4802" s="20" t="s">
        <v>63</v>
      </c>
      <c r="H4802" s="20"/>
      <c r="I4802" s="20"/>
      <c r="J4802" s="20" t="s">
        <v>205</v>
      </c>
      <c r="K4802" s="20" t="s">
        <v>255</v>
      </c>
      <c r="L4802" s="20">
        <v>2850000</v>
      </c>
      <c r="M4802" s="20" t="s">
        <v>242</v>
      </c>
      <c r="N4802" s="20" t="s">
        <v>3224</v>
      </c>
    </row>
    <row r="4803" spans="1:14" hidden="1" x14ac:dyDescent="0.25">
      <c r="A4803" s="19">
        <v>46023</v>
      </c>
      <c r="B4803" s="20" t="s">
        <v>97</v>
      </c>
      <c r="C4803" s="20">
        <v>27</v>
      </c>
      <c r="D4803" s="20" t="s">
        <v>247</v>
      </c>
      <c r="E4803" s="20" t="s">
        <v>2554</v>
      </c>
      <c r="F4803" s="20" t="s">
        <v>2555</v>
      </c>
      <c r="G4803" s="20" t="s">
        <v>63</v>
      </c>
      <c r="H4803" s="20" t="s">
        <v>286</v>
      </c>
      <c r="I4803" s="20"/>
      <c r="J4803" s="20" t="s">
        <v>205</v>
      </c>
      <c r="K4803" s="20" t="s">
        <v>250</v>
      </c>
      <c r="L4803" s="20">
        <v>1.2</v>
      </c>
      <c r="M4803" s="20" t="s">
        <v>251</v>
      </c>
      <c r="N4803" s="20" t="s">
        <v>1427</v>
      </c>
    </row>
    <row r="4804" spans="1:14" hidden="1" x14ac:dyDescent="0.25">
      <c r="A4804" s="19">
        <v>46023</v>
      </c>
      <c r="B4804" s="20" t="s">
        <v>97</v>
      </c>
      <c r="C4804" s="20">
        <v>28</v>
      </c>
      <c r="D4804" s="20" t="s">
        <v>291</v>
      </c>
      <c r="E4804" s="20" t="s">
        <v>2361</v>
      </c>
      <c r="F4804" s="20" t="s">
        <v>2362</v>
      </c>
      <c r="G4804" s="20" t="s">
        <v>63</v>
      </c>
      <c r="H4804" s="20" t="s">
        <v>64</v>
      </c>
      <c r="I4804" s="20"/>
      <c r="J4804" s="20" t="s">
        <v>205</v>
      </c>
      <c r="K4804" s="20" t="s">
        <v>250</v>
      </c>
      <c r="L4804" s="20">
        <v>2500000</v>
      </c>
      <c r="M4804" s="20" t="s">
        <v>242</v>
      </c>
      <c r="N4804" s="20" t="s">
        <v>1646</v>
      </c>
    </row>
    <row r="4805" spans="1:14" hidden="1" x14ac:dyDescent="0.25">
      <c r="A4805" s="19">
        <v>46023</v>
      </c>
      <c r="B4805" s="20" t="s">
        <v>97</v>
      </c>
      <c r="C4805" s="20">
        <v>28</v>
      </c>
      <c r="D4805" s="20" t="s">
        <v>291</v>
      </c>
      <c r="E4805" s="20" t="s">
        <v>2361</v>
      </c>
      <c r="F4805" s="20" t="s">
        <v>2362</v>
      </c>
      <c r="G4805" s="20" t="s">
        <v>63</v>
      </c>
      <c r="H4805" s="20" t="s">
        <v>65</v>
      </c>
      <c r="I4805" s="20"/>
      <c r="J4805" s="20" t="s">
        <v>205</v>
      </c>
      <c r="K4805" s="20" t="s">
        <v>250</v>
      </c>
      <c r="L4805" s="20">
        <v>348500</v>
      </c>
      <c r="M4805" s="20" t="s">
        <v>242</v>
      </c>
      <c r="N4805" s="20" t="s">
        <v>3225</v>
      </c>
    </row>
    <row r="4806" spans="1:14" hidden="1" x14ac:dyDescent="0.25">
      <c r="A4806" s="19">
        <v>46023</v>
      </c>
      <c r="B4806" s="20" t="s">
        <v>97</v>
      </c>
      <c r="C4806" s="20">
        <v>29</v>
      </c>
      <c r="D4806" s="20" t="s">
        <v>291</v>
      </c>
      <c r="E4806" s="20" t="s">
        <v>2361</v>
      </c>
      <c r="F4806" s="20" t="s">
        <v>2362</v>
      </c>
      <c r="G4806" s="20" t="s">
        <v>63</v>
      </c>
      <c r="H4806" s="20" t="s">
        <v>2364</v>
      </c>
      <c r="I4806" s="20"/>
      <c r="J4806" s="20" t="s">
        <v>205</v>
      </c>
      <c r="K4806" s="20" t="s">
        <v>250</v>
      </c>
      <c r="L4806" s="20">
        <v>1510000</v>
      </c>
      <c r="M4806" s="20" t="s">
        <v>242</v>
      </c>
      <c r="N4806" s="20" t="s">
        <v>426</v>
      </c>
    </row>
    <row r="4807" spans="1:14" hidden="1" x14ac:dyDescent="0.25">
      <c r="A4807" s="19">
        <v>46023</v>
      </c>
      <c r="B4807" s="20" t="s">
        <v>97</v>
      </c>
      <c r="C4807" s="20">
        <v>29</v>
      </c>
      <c r="D4807" s="20" t="s">
        <v>291</v>
      </c>
      <c r="E4807" s="20" t="s">
        <v>2361</v>
      </c>
      <c r="F4807" s="20" t="s">
        <v>2362</v>
      </c>
      <c r="G4807" s="20" t="s">
        <v>63</v>
      </c>
      <c r="H4807" s="20" t="s">
        <v>2366</v>
      </c>
      <c r="I4807" s="20"/>
      <c r="J4807" s="20" t="s">
        <v>205</v>
      </c>
      <c r="K4807" s="20" t="s">
        <v>250</v>
      </c>
      <c r="L4807" s="20">
        <v>1330000</v>
      </c>
      <c r="M4807" s="20" t="s">
        <v>242</v>
      </c>
      <c r="N4807" s="20" t="s">
        <v>3226</v>
      </c>
    </row>
    <row r="4808" spans="1:14" hidden="1" x14ac:dyDescent="0.25">
      <c r="A4808" s="19">
        <v>46023</v>
      </c>
      <c r="B4808" s="20" t="s">
        <v>97</v>
      </c>
      <c r="C4808" s="20">
        <v>30</v>
      </c>
      <c r="D4808" s="20" t="s">
        <v>291</v>
      </c>
      <c r="E4808" s="20" t="s">
        <v>2361</v>
      </c>
      <c r="F4808" s="20" t="s">
        <v>285</v>
      </c>
      <c r="G4808" s="20" t="s">
        <v>63</v>
      </c>
      <c r="H4808" s="20" t="s">
        <v>77</v>
      </c>
      <c r="I4808" s="20"/>
      <c r="J4808" s="20" t="s">
        <v>205</v>
      </c>
      <c r="K4808" s="20" t="s">
        <v>250</v>
      </c>
      <c r="L4808" s="20">
        <v>1000</v>
      </c>
      <c r="M4808" s="20" t="s">
        <v>242</v>
      </c>
      <c r="N4808" s="20" t="s">
        <v>2394</v>
      </c>
    </row>
    <row r="4809" spans="1:14" hidden="1" x14ac:dyDescent="0.25">
      <c r="A4809" s="19">
        <v>46023</v>
      </c>
      <c r="B4809" s="20" t="s">
        <v>97</v>
      </c>
      <c r="C4809" s="20">
        <v>30</v>
      </c>
      <c r="D4809" s="20" t="s">
        <v>291</v>
      </c>
      <c r="E4809" s="20" t="s">
        <v>2361</v>
      </c>
      <c r="F4809" s="20" t="s">
        <v>285</v>
      </c>
      <c r="G4809" s="20" t="s">
        <v>63</v>
      </c>
      <c r="H4809" s="20" t="s">
        <v>70</v>
      </c>
      <c r="I4809" s="20"/>
      <c r="J4809" s="20" t="s">
        <v>205</v>
      </c>
      <c r="K4809" s="20" t="s">
        <v>250</v>
      </c>
      <c r="L4809" s="20">
        <v>1039000</v>
      </c>
      <c r="M4809" s="20" t="s">
        <v>242</v>
      </c>
      <c r="N4809" s="20" t="s">
        <v>3227</v>
      </c>
    </row>
    <row r="4810" spans="1:14" hidden="1" x14ac:dyDescent="0.25">
      <c r="A4810" s="19">
        <v>46023</v>
      </c>
      <c r="B4810" s="20" t="s">
        <v>97</v>
      </c>
      <c r="C4810" s="20">
        <v>30</v>
      </c>
      <c r="D4810" s="20" t="s">
        <v>291</v>
      </c>
      <c r="E4810" s="20" t="s">
        <v>2361</v>
      </c>
      <c r="F4810" s="20" t="s">
        <v>285</v>
      </c>
      <c r="G4810" s="20" t="s">
        <v>63</v>
      </c>
      <c r="H4810" s="20" t="s">
        <v>71</v>
      </c>
      <c r="I4810" s="20"/>
      <c r="J4810" s="20" t="s">
        <v>205</v>
      </c>
      <c r="K4810" s="20" t="s">
        <v>250</v>
      </c>
      <c r="L4810" s="20">
        <v>728000</v>
      </c>
      <c r="M4810" s="20" t="s">
        <v>242</v>
      </c>
      <c r="N4810" s="20" t="s">
        <v>3228</v>
      </c>
    </row>
    <row r="4811" spans="1:14" hidden="1" x14ac:dyDescent="0.25">
      <c r="A4811" s="19">
        <v>46023</v>
      </c>
      <c r="B4811" s="20" t="s">
        <v>97</v>
      </c>
      <c r="C4811" s="20">
        <v>30</v>
      </c>
      <c r="D4811" s="20" t="s">
        <v>291</v>
      </c>
      <c r="E4811" s="20" t="s">
        <v>2361</v>
      </c>
      <c r="F4811" s="20" t="s">
        <v>285</v>
      </c>
      <c r="G4811" s="20" t="s">
        <v>63</v>
      </c>
      <c r="H4811" s="20" t="s">
        <v>72</v>
      </c>
      <c r="I4811" s="20"/>
      <c r="J4811" s="20" t="s">
        <v>205</v>
      </c>
      <c r="K4811" s="20" t="s">
        <v>250</v>
      </c>
      <c r="L4811" s="20">
        <v>546000</v>
      </c>
      <c r="M4811" s="20" t="s">
        <v>242</v>
      </c>
      <c r="N4811" s="20" t="s">
        <v>3229</v>
      </c>
    </row>
    <row r="4812" spans="1:14" hidden="1" x14ac:dyDescent="0.25">
      <c r="A4812" s="19">
        <v>46023</v>
      </c>
      <c r="B4812" s="20" t="s">
        <v>97</v>
      </c>
      <c r="C4812" s="20">
        <v>30</v>
      </c>
      <c r="D4812" s="20" t="s">
        <v>291</v>
      </c>
      <c r="E4812" s="20" t="s">
        <v>2361</v>
      </c>
      <c r="F4812" s="20" t="s">
        <v>285</v>
      </c>
      <c r="G4812" s="20" t="s">
        <v>63</v>
      </c>
      <c r="H4812" s="20" t="s">
        <v>73</v>
      </c>
      <c r="I4812" s="20"/>
      <c r="J4812" s="20" t="s">
        <v>205</v>
      </c>
      <c r="K4812" s="20" t="s">
        <v>250</v>
      </c>
      <c r="L4812" s="20">
        <v>343000</v>
      </c>
      <c r="M4812" s="20" t="s">
        <v>242</v>
      </c>
      <c r="N4812" s="20" t="s">
        <v>3230</v>
      </c>
    </row>
    <row r="4813" spans="1:14" hidden="1" x14ac:dyDescent="0.25">
      <c r="A4813" s="19">
        <v>46023</v>
      </c>
      <c r="B4813" s="20" t="s">
        <v>97</v>
      </c>
      <c r="C4813" s="20">
        <v>30</v>
      </c>
      <c r="D4813" s="20" t="s">
        <v>291</v>
      </c>
      <c r="E4813" s="20" t="s">
        <v>2361</v>
      </c>
      <c r="F4813" s="20" t="s">
        <v>285</v>
      </c>
      <c r="G4813" s="20" t="s">
        <v>63</v>
      </c>
      <c r="H4813" s="20" t="s">
        <v>74</v>
      </c>
      <c r="I4813" s="20"/>
      <c r="J4813" s="20" t="s">
        <v>205</v>
      </c>
      <c r="K4813" s="20" t="s">
        <v>250</v>
      </c>
      <c r="L4813" s="20">
        <v>132000</v>
      </c>
      <c r="M4813" s="20" t="s">
        <v>242</v>
      </c>
      <c r="N4813" s="20" t="s">
        <v>3231</v>
      </c>
    </row>
    <row r="4814" spans="1:14" hidden="1" x14ac:dyDescent="0.25">
      <c r="A4814" s="19">
        <v>46023</v>
      </c>
      <c r="B4814" s="20" t="s">
        <v>97</v>
      </c>
      <c r="C4814" s="20">
        <v>30</v>
      </c>
      <c r="D4814" s="20" t="s">
        <v>291</v>
      </c>
      <c r="E4814" s="20" t="s">
        <v>2361</v>
      </c>
      <c r="F4814" s="20" t="s">
        <v>285</v>
      </c>
      <c r="G4814" s="20" t="s">
        <v>63</v>
      </c>
      <c r="H4814" s="20" t="s">
        <v>75</v>
      </c>
      <c r="I4814" s="20"/>
      <c r="J4814" s="20" t="s">
        <v>205</v>
      </c>
      <c r="K4814" s="20" t="s">
        <v>250</v>
      </c>
      <c r="L4814" s="20">
        <v>38000</v>
      </c>
      <c r="M4814" s="20" t="s">
        <v>242</v>
      </c>
      <c r="N4814" s="20" t="s">
        <v>3084</v>
      </c>
    </row>
    <row r="4815" spans="1:14" hidden="1" x14ac:dyDescent="0.25">
      <c r="A4815" s="19">
        <v>46023</v>
      </c>
      <c r="B4815" s="20" t="s">
        <v>97</v>
      </c>
      <c r="C4815" s="20">
        <v>30</v>
      </c>
      <c r="D4815" s="20" t="s">
        <v>291</v>
      </c>
      <c r="E4815" s="20" t="s">
        <v>2361</v>
      </c>
      <c r="F4815" s="20" t="s">
        <v>285</v>
      </c>
      <c r="G4815" s="20" t="s">
        <v>63</v>
      </c>
      <c r="H4815" s="20" t="s">
        <v>76</v>
      </c>
      <c r="I4815" s="20"/>
      <c r="J4815" s="20" t="s">
        <v>205</v>
      </c>
      <c r="K4815" s="20" t="s">
        <v>250</v>
      </c>
      <c r="L4815" s="20">
        <v>13000</v>
      </c>
      <c r="M4815" s="20" t="s">
        <v>242</v>
      </c>
      <c r="N4815" s="20" t="s">
        <v>932</v>
      </c>
    </row>
    <row r="4816" spans="1:14" hidden="1" x14ac:dyDescent="0.25">
      <c r="A4816" s="19">
        <v>46023</v>
      </c>
      <c r="B4816" s="20" t="s">
        <v>97</v>
      </c>
      <c r="C4816" s="20">
        <v>31</v>
      </c>
      <c r="D4816" s="20" t="s">
        <v>291</v>
      </c>
      <c r="E4816" s="20" t="s">
        <v>2361</v>
      </c>
      <c r="F4816" s="20" t="s">
        <v>2400</v>
      </c>
      <c r="G4816" s="20" t="s">
        <v>99</v>
      </c>
      <c r="H4816" s="20" t="s">
        <v>103</v>
      </c>
      <c r="I4816" s="20"/>
      <c r="J4816" s="20" t="s">
        <v>205</v>
      </c>
      <c r="K4816" s="20" t="s">
        <v>250</v>
      </c>
      <c r="L4816" s="20">
        <v>2800000</v>
      </c>
      <c r="M4816" s="20" t="s">
        <v>242</v>
      </c>
      <c r="N4816" s="20" t="s">
        <v>2868</v>
      </c>
    </row>
    <row r="4817" spans="1:14" hidden="1" x14ac:dyDescent="0.25">
      <c r="A4817" s="19">
        <v>46023</v>
      </c>
      <c r="B4817" s="20" t="s">
        <v>97</v>
      </c>
      <c r="C4817" s="20">
        <v>31</v>
      </c>
      <c r="D4817" s="20" t="s">
        <v>291</v>
      </c>
      <c r="E4817" s="20" t="s">
        <v>2361</v>
      </c>
      <c r="F4817" s="20" t="s">
        <v>477</v>
      </c>
      <c r="G4817" s="20" t="s">
        <v>99</v>
      </c>
      <c r="H4817" s="20" t="s">
        <v>104</v>
      </c>
      <c r="I4817" s="20"/>
      <c r="J4817" s="20" t="s">
        <v>205</v>
      </c>
      <c r="K4817" s="20" t="s">
        <v>250</v>
      </c>
      <c r="L4817" s="20">
        <v>3799</v>
      </c>
      <c r="M4817" s="20" t="s">
        <v>242</v>
      </c>
      <c r="N4817" s="20" t="s">
        <v>3232</v>
      </c>
    </row>
    <row r="4818" spans="1:14" hidden="1" x14ac:dyDescent="0.25">
      <c r="A4818" s="19">
        <v>46023</v>
      </c>
      <c r="B4818" s="20" t="s">
        <v>97</v>
      </c>
      <c r="C4818" s="20">
        <v>31</v>
      </c>
      <c r="D4818" s="20" t="s">
        <v>291</v>
      </c>
      <c r="E4818" s="20" t="s">
        <v>2361</v>
      </c>
      <c r="F4818" s="20" t="s">
        <v>477</v>
      </c>
      <c r="G4818" s="20" t="s">
        <v>99</v>
      </c>
      <c r="H4818" s="20" t="s">
        <v>101</v>
      </c>
      <c r="I4818" s="20"/>
      <c r="J4818" s="20" t="s">
        <v>205</v>
      </c>
      <c r="K4818" s="20" t="s">
        <v>250</v>
      </c>
      <c r="L4818" s="20">
        <v>1577</v>
      </c>
      <c r="M4818" s="20" t="s">
        <v>242</v>
      </c>
      <c r="N4818" s="20" t="s">
        <v>3233</v>
      </c>
    </row>
    <row r="4819" spans="1:14" hidden="1" x14ac:dyDescent="0.25">
      <c r="A4819" s="19">
        <v>46023</v>
      </c>
      <c r="B4819" s="20" t="s">
        <v>97</v>
      </c>
      <c r="C4819" s="20">
        <v>31</v>
      </c>
      <c r="D4819" s="20" t="s">
        <v>291</v>
      </c>
      <c r="E4819" s="20" t="s">
        <v>2361</v>
      </c>
      <c r="F4819" s="20" t="s">
        <v>477</v>
      </c>
      <c r="G4819" s="20" t="s">
        <v>99</v>
      </c>
      <c r="H4819" s="20" t="s">
        <v>100</v>
      </c>
      <c r="I4819" s="20"/>
      <c r="J4819" s="20" t="s">
        <v>205</v>
      </c>
      <c r="K4819" s="20" t="s">
        <v>250</v>
      </c>
      <c r="L4819" s="20">
        <v>1052</v>
      </c>
      <c r="M4819" s="20" t="s">
        <v>242</v>
      </c>
      <c r="N4819" s="20" t="s">
        <v>3234</v>
      </c>
    </row>
    <row r="4820" spans="1:14" hidden="1" x14ac:dyDescent="0.25">
      <c r="A4820" s="19">
        <v>46023</v>
      </c>
      <c r="B4820" s="20" t="s">
        <v>97</v>
      </c>
      <c r="C4820" s="20">
        <v>31</v>
      </c>
      <c r="D4820" s="20" t="s">
        <v>291</v>
      </c>
      <c r="E4820" s="20" t="s">
        <v>2361</v>
      </c>
      <c r="F4820" s="20" t="s">
        <v>477</v>
      </c>
      <c r="G4820" s="20" t="s">
        <v>99</v>
      </c>
      <c r="H4820" s="20" t="s">
        <v>102</v>
      </c>
      <c r="I4820" s="20"/>
      <c r="J4820" s="20" t="s">
        <v>205</v>
      </c>
      <c r="K4820" s="20" t="s">
        <v>250</v>
      </c>
      <c r="L4820" s="20">
        <v>8</v>
      </c>
      <c r="M4820" s="20" t="s">
        <v>242</v>
      </c>
      <c r="N4820" s="20" t="s">
        <v>480</v>
      </c>
    </row>
    <row r="4821" spans="1:14" hidden="1" x14ac:dyDescent="0.25">
      <c r="A4821" s="19">
        <v>46023</v>
      </c>
      <c r="B4821" s="20" t="s">
        <v>97</v>
      </c>
      <c r="C4821" s="20">
        <v>32</v>
      </c>
      <c r="D4821" s="20" t="s">
        <v>253</v>
      </c>
      <c r="E4821" s="20" t="s">
        <v>2359</v>
      </c>
      <c r="F4821" s="20" t="s">
        <v>240</v>
      </c>
      <c r="G4821" s="20" t="s">
        <v>82</v>
      </c>
      <c r="H4821" s="20"/>
      <c r="I4821" s="20"/>
      <c r="J4821" s="20" t="s">
        <v>203</v>
      </c>
      <c r="K4821" s="20" t="s">
        <v>255</v>
      </c>
      <c r="L4821" s="20">
        <v>10100000</v>
      </c>
      <c r="M4821" s="20" t="s">
        <v>242</v>
      </c>
      <c r="N4821" s="20" t="s">
        <v>2931</v>
      </c>
    </row>
    <row r="4822" spans="1:14" hidden="1" x14ac:dyDescent="0.25">
      <c r="A4822" s="19">
        <v>46023</v>
      </c>
      <c r="B4822" s="20" t="s">
        <v>97</v>
      </c>
      <c r="C4822" s="20">
        <v>32</v>
      </c>
      <c r="D4822" s="20" t="s">
        <v>253</v>
      </c>
      <c r="E4822" s="20" t="s">
        <v>2359</v>
      </c>
      <c r="F4822" s="20" t="s">
        <v>240</v>
      </c>
      <c r="G4822" s="20" t="s">
        <v>82</v>
      </c>
      <c r="H4822" s="20"/>
      <c r="I4822" s="20"/>
      <c r="J4822" s="20" t="s">
        <v>204</v>
      </c>
      <c r="K4822" s="20" t="s">
        <v>255</v>
      </c>
      <c r="L4822" s="20">
        <v>10930000</v>
      </c>
      <c r="M4822" s="20" t="s">
        <v>242</v>
      </c>
      <c r="N4822" s="20" t="s">
        <v>3088</v>
      </c>
    </row>
    <row r="4823" spans="1:14" hidden="1" x14ac:dyDescent="0.25">
      <c r="A4823" s="19">
        <v>46023</v>
      </c>
      <c r="B4823" s="20" t="s">
        <v>97</v>
      </c>
      <c r="C4823" s="20">
        <v>32</v>
      </c>
      <c r="D4823" s="20" t="s">
        <v>253</v>
      </c>
      <c r="E4823" s="20" t="s">
        <v>2359</v>
      </c>
      <c r="F4823" s="20" t="s">
        <v>240</v>
      </c>
      <c r="G4823" s="20" t="s">
        <v>82</v>
      </c>
      <c r="H4823" s="20"/>
      <c r="I4823" s="20"/>
      <c r="J4823" s="20" t="s">
        <v>205</v>
      </c>
      <c r="K4823" s="20" t="s">
        <v>255</v>
      </c>
      <c r="L4823" s="20">
        <v>11830000</v>
      </c>
      <c r="M4823" s="20" t="s">
        <v>242</v>
      </c>
      <c r="N4823" s="20" t="s">
        <v>3235</v>
      </c>
    </row>
    <row r="4824" spans="1:14" hidden="1" x14ac:dyDescent="0.25">
      <c r="A4824" s="19">
        <v>46023</v>
      </c>
      <c r="B4824" s="20" t="s">
        <v>97</v>
      </c>
      <c r="C4824" s="20">
        <v>32</v>
      </c>
      <c r="D4824" s="20" t="s">
        <v>247</v>
      </c>
      <c r="E4824" s="20" t="s">
        <v>2554</v>
      </c>
      <c r="F4824" s="20" t="s">
        <v>2556</v>
      </c>
      <c r="G4824" s="20" t="s">
        <v>82</v>
      </c>
      <c r="H4824" s="20" t="s">
        <v>286</v>
      </c>
      <c r="I4824" s="20"/>
      <c r="J4824" s="20" t="s">
        <v>205</v>
      </c>
      <c r="K4824" s="20" t="s">
        <v>250</v>
      </c>
      <c r="L4824" s="20">
        <v>8.3000000000000007</v>
      </c>
      <c r="M4824" s="20" t="s">
        <v>251</v>
      </c>
      <c r="N4824" s="20" t="s">
        <v>3236</v>
      </c>
    </row>
    <row r="4825" spans="1:14" hidden="1" x14ac:dyDescent="0.25">
      <c r="A4825" s="19">
        <v>46023</v>
      </c>
      <c r="B4825" s="20" t="s">
        <v>97</v>
      </c>
      <c r="C4825" s="20">
        <v>33</v>
      </c>
      <c r="D4825" s="20" t="s">
        <v>291</v>
      </c>
      <c r="E4825" s="20" t="s">
        <v>2361</v>
      </c>
      <c r="F4825" s="20" t="s">
        <v>240</v>
      </c>
      <c r="G4825" s="20" t="s">
        <v>82</v>
      </c>
      <c r="H4825" s="20" t="s">
        <v>83</v>
      </c>
      <c r="I4825" s="20"/>
      <c r="J4825" s="20" t="s">
        <v>205</v>
      </c>
      <c r="K4825" s="20" t="s">
        <v>250</v>
      </c>
      <c r="L4825" s="20">
        <v>10010000</v>
      </c>
      <c r="M4825" s="20" t="s">
        <v>242</v>
      </c>
      <c r="N4825" s="20" t="s">
        <v>3237</v>
      </c>
    </row>
    <row r="4826" spans="1:14" hidden="1" x14ac:dyDescent="0.25">
      <c r="A4826" s="19">
        <v>46023</v>
      </c>
      <c r="B4826" s="20" t="s">
        <v>97</v>
      </c>
      <c r="C4826" s="20">
        <v>33</v>
      </c>
      <c r="D4826" s="20" t="s">
        <v>291</v>
      </c>
      <c r="E4826" s="20" t="s">
        <v>2361</v>
      </c>
      <c r="F4826" s="20" t="s">
        <v>240</v>
      </c>
      <c r="G4826" s="20" t="s">
        <v>82</v>
      </c>
      <c r="H4826" s="20" t="s">
        <v>84</v>
      </c>
      <c r="I4826" s="20"/>
      <c r="J4826" s="20" t="s">
        <v>205</v>
      </c>
      <c r="K4826" s="20" t="s">
        <v>250</v>
      </c>
      <c r="L4826" s="20">
        <v>1730000</v>
      </c>
      <c r="M4826" s="20" t="s">
        <v>242</v>
      </c>
      <c r="N4826" s="20" t="s">
        <v>2993</v>
      </c>
    </row>
    <row r="4827" spans="1:14" hidden="1" x14ac:dyDescent="0.25">
      <c r="A4827" s="19">
        <v>46023</v>
      </c>
      <c r="B4827" s="20" t="s">
        <v>97</v>
      </c>
      <c r="C4827" s="20">
        <v>33</v>
      </c>
      <c r="D4827" s="20" t="s">
        <v>291</v>
      </c>
      <c r="E4827" s="20" t="s">
        <v>2361</v>
      </c>
      <c r="F4827" s="20" t="s">
        <v>240</v>
      </c>
      <c r="G4827" s="20" t="s">
        <v>82</v>
      </c>
      <c r="H4827" s="20" t="s">
        <v>106</v>
      </c>
      <c r="I4827" s="20"/>
      <c r="J4827" s="20" t="s">
        <v>205</v>
      </c>
      <c r="K4827" s="20" t="s">
        <v>250</v>
      </c>
      <c r="L4827" s="20">
        <v>71550</v>
      </c>
      <c r="M4827" s="20" t="s">
        <v>242</v>
      </c>
      <c r="N4827" s="20" t="s">
        <v>3238</v>
      </c>
    </row>
    <row r="4828" spans="1:14" hidden="1" x14ac:dyDescent="0.25">
      <c r="A4828" s="19">
        <v>46023</v>
      </c>
      <c r="B4828" s="20" t="s">
        <v>97</v>
      </c>
      <c r="C4828" s="20">
        <v>33</v>
      </c>
      <c r="D4828" s="20" t="s">
        <v>291</v>
      </c>
      <c r="E4828" s="20" t="s">
        <v>2361</v>
      </c>
      <c r="F4828" s="20" t="s">
        <v>240</v>
      </c>
      <c r="G4828" s="20" t="s">
        <v>82</v>
      </c>
      <c r="H4828" s="20" t="s">
        <v>105</v>
      </c>
      <c r="I4828" s="20"/>
      <c r="J4828" s="20" t="s">
        <v>205</v>
      </c>
      <c r="K4828" s="20" t="s">
        <v>250</v>
      </c>
      <c r="L4828" s="20">
        <v>21250</v>
      </c>
      <c r="M4828" s="20" t="s">
        <v>242</v>
      </c>
      <c r="N4828" s="20" t="s">
        <v>3239</v>
      </c>
    </row>
    <row r="4829" spans="1:14" hidden="1" x14ac:dyDescent="0.25">
      <c r="A4829" s="19">
        <v>46023</v>
      </c>
      <c r="B4829" s="20" t="s">
        <v>97</v>
      </c>
      <c r="C4829" s="20">
        <v>34</v>
      </c>
      <c r="D4829" s="20" t="s">
        <v>291</v>
      </c>
      <c r="E4829" s="20" t="s">
        <v>2361</v>
      </c>
      <c r="F4829" s="20" t="s">
        <v>240</v>
      </c>
      <c r="G4829" s="20" t="s">
        <v>82</v>
      </c>
      <c r="H4829" s="20" t="s">
        <v>83</v>
      </c>
      <c r="I4829" s="20" t="s">
        <v>315</v>
      </c>
      <c r="J4829" s="20" t="s">
        <v>205</v>
      </c>
      <c r="K4829" s="20" t="s">
        <v>250</v>
      </c>
      <c r="L4829" s="20"/>
      <c r="M4829" s="20" t="s">
        <v>251</v>
      </c>
      <c r="N4829" s="20" t="s">
        <v>3240</v>
      </c>
    </row>
    <row r="4830" spans="1:14" hidden="1" x14ac:dyDescent="0.25">
      <c r="A4830" s="19">
        <v>46023</v>
      </c>
      <c r="B4830" s="20" t="s">
        <v>97</v>
      </c>
      <c r="C4830" s="20">
        <v>34</v>
      </c>
      <c r="D4830" s="20" t="s">
        <v>291</v>
      </c>
      <c r="E4830" s="20" t="s">
        <v>2361</v>
      </c>
      <c r="F4830" s="20" t="s">
        <v>240</v>
      </c>
      <c r="G4830" s="20" t="s">
        <v>82</v>
      </c>
      <c r="H4830" s="20" t="s">
        <v>83</v>
      </c>
      <c r="I4830" s="20" t="s">
        <v>317</v>
      </c>
      <c r="J4830" s="20" t="s">
        <v>205</v>
      </c>
      <c r="K4830" s="20" t="s">
        <v>250</v>
      </c>
      <c r="L4830" s="20"/>
      <c r="M4830" s="20" t="s">
        <v>251</v>
      </c>
      <c r="N4830" s="20" t="s">
        <v>3241</v>
      </c>
    </row>
    <row r="4831" spans="1:14" hidden="1" x14ac:dyDescent="0.25">
      <c r="A4831" s="19">
        <v>46023</v>
      </c>
      <c r="B4831" s="20" t="s">
        <v>97</v>
      </c>
      <c r="C4831" s="20">
        <v>34</v>
      </c>
      <c r="D4831" s="20" t="s">
        <v>291</v>
      </c>
      <c r="E4831" s="20" t="s">
        <v>2361</v>
      </c>
      <c r="F4831" s="20" t="s">
        <v>240</v>
      </c>
      <c r="G4831" s="20" t="s">
        <v>82</v>
      </c>
      <c r="H4831" s="20" t="s">
        <v>83</v>
      </c>
      <c r="I4831" s="20" t="s">
        <v>2785</v>
      </c>
      <c r="J4831" s="20" t="s">
        <v>205</v>
      </c>
      <c r="K4831" s="20" t="s">
        <v>250</v>
      </c>
      <c r="L4831" s="20"/>
      <c r="M4831" s="20" t="s">
        <v>251</v>
      </c>
      <c r="N4831" s="20" t="s">
        <v>3242</v>
      </c>
    </row>
    <row r="4832" spans="1:14" hidden="1" x14ac:dyDescent="0.25">
      <c r="A4832" s="19">
        <v>46023</v>
      </c>
      <c r="B4832" s="20" t="s">
        <v>97</v>
      </c>
      <c r="C4832" s="20">
        <v>34</v>
      </c>
      <c r="D4832" s="20" t="s">
        <v>291</v>
      </c>
      <c r="E4832" s="20" t="s">
        <v>2361</v>
      </c>
      <c r="F4832" s="20" t="s">
        <v>240</v>
      </c>
      <c r="G4832" s="20" t="s">
        <v>82</v>
      </c>
      <c r="H4832" s="20" t="s">
        <v>83</v>
      </c>
      <c r="I4832" s="20" t="s">
        <v>497</v>
      </c>
      <c r="J4832" s="20" t="s">
        <v>205</v>
      </c>
      <c r="K4832" s="20" t="s">
        <v>250</v>
      </c>
      <c r="L4832" s="20"/>
      <c r="M4832" s="20" t="s">
        <v>251</v>
      </c>
      <c r="N4832" s="20" t="s">
        <v>3243</v>
      </c>
    </row>
    <row r="4833" spans="1:14" hidden="1" x14ac:dyDescent="0.25">
      <c r="A4833" s="19">
        <v>46023</v>
      </c>
      <c r="B4833" s="20" t="s">
        <v>97</v>
      </c>
      <c r="C4833" s="20">
        <v>34</v>
      </c>
      <c r="D4833" s="20" t="s">
        <v>291</v>
      </c>
      <c r="E4833" s="20" t="s">
        <v>2361</v>
      </c>
      <c r="F4833" s="20" t="s">
        <v>240</v>
      </c>
      <c r="G4833" s="20" t="s">
        <v>82</v>
      </c>
      <c r="H4833" s="20" t="s">
        <v>83</v>
      </c>
      <c r="I4833" s="20" t="s">
        <v>503</v>
      </c>
      <c r="J4833" s="20" t="s">
        <v>205</v>
      </c>
      <c r="K4833" s="20" t="s">
        <v>250</v>
      </c>
      <c r="L4833" s="20"/>
      <c r="M4833" s="20" t="s">
        <v>251</v>
      </c>
      <c r="N4833" s="20" t="s">
        <v>2157</v>
      </c>
    </row>
    <row r="4834" spans="1:14" hidden="1" x14ac:dyDescent="0.25">
      <c r="A4834" s="19">
        <v>46023</v>
      </c>
      <c r="B4834" s="20" t="s">
        <v>97</v>
      </c>
      <c r="C4834" s="20">
        <v>34</v>
      </c>
      <c r="D4834" s="20" t="s">
        <v>291</v>
      </c>
      <c r="E4834" s="20" t="s">
        <v>2361</v>
      </c>
      <c r="F4834" s="20" t="s">
        <v>240</v>
      </c>
      <c r="G4834" s="20" t="s">
        <v>82</v>
      </c>
      <c r="H4834" s="20" t="s">
        <v>83</v>
      </c>
      <c r="I4834" s="20" t="s">
        <v>2413</v>
      </c>
      <c r="J4834" s="20" t="s">
        <v>205</v>
      </c>
      <c r="K4834" s="20" t="s">
        <v>250</v>
      </c>
      <c r="L4834" s="20"/>
      <c r="M4834" s="20" t="s">
        <v>251</v>
      </c>
      <c r="N4834" s="20" t="s">
        <v>2308</v>
      </c>
    </row>
    <row r="4835" spans="1:14" hidden="1" x14ac:dyDescent="0.25">
      <c r="A4835" s="19">
        <v>46023</v>
      </c>
      <c r="B4835" s="20" t="s">
        <v>97</v>
      </c>
      <c r="C4835" s="20">
        <v>34</v>
      </c>
      <c r="D4835" s="20" t="s">
        <v>291</v>
      </c>
      <c r="E4835" s="20" t="s">
        <v>2361</v>
      </c>
      <c r="F4835" s="20" t="s">
        <v>240</v>
      </c>
      <c r="G4835" s="20" t="s">
        <v>82</v>
      </c>
      <c r="H4835" s="20" t="s">
        <v>83</v>
      </c>
      <c r="I4835" s="20" t="s">
        <v>2414</v>
      </c>
      <c r="J4835" s="20" t="s">
        <v>205</v>
      </c>
      <c r="K4835" s="20" t="s">
        <v>250</v>
      </c>
      <c r="L4835" s="20"/>
      <c r="M4835" s="20" t="s">
        <v>251</v>
      </c>
      <c r="N4835" s="20" t="s">
        <v>603</v>
      </c>
    </row>
    <row r="4836" spans="1:14" hidden="1" x14ac:dyDescent="0.25">
      <c r="A4836" s="19">
        <v>46023</v>
      </c>
      <c r="B4836" s="20" t="s">
        <v>97</v>
      </c>
      <c r="C4836" s="20">
        <v>34</v>
      </c>
      <c r="D4836" s="20" t="s">
        <v>291</v>
      </c>
      <c r="E4836" s="20" t="s">
        <v>2361</v>
      </c>
      <c r="F4836" s="20" t="s">
        <v>240</v>
      </c>
      <c r="G4836" s="20" t="s">
        <v>82</v>
      </c>
      <c r="H4836" s="20" t="s">
        <v>84</v>
      </c>
      <c r="I4836" s="20" t="s">
        <v>319</v>
      </c>
      <c r="J4836" s="20" t="s">
        <v>205</v>
      </c>
      <c r="K4836" s="20" t="s">
        <v>250</v>
      </c>
      <c r="L4836" s="20"/>
      <c r="M4836" s="20" t="s">
        <v>251</v>
      </c>
      <c r="N4836" s="20" t="s">
        <v>1274</v>
      </c>
    </row>
    <row r="4837" spans="1:14" hidden="1" x14ac:dyDescent="0.25">
      <c r="A4837" s="19">
        <v>46023</v>
      </c>
      <c r="B4837" s="20" t="s">
        <v>97</v>
      </c>
      <c r="C4837" s="20">
        <v>34</v>
      </c>
      <c r="D4837" s="20" t="s">
        <v>291</v>
      </c>
      <c r="E4837" s="20" t="s">
        <v>2361</v>
      </c>
      <c r="F4837" s="20" t="s">
        <v>240</v>
      </c>
      <c r="G4837" s="20" t="s">
        <v>82</v>
      </c>
      <c r="H4837" s="20" t="s">
        <v>84</v>
      </c>
      <c r="I4837" s="20" t="s">
        <v>321</v>
      </c>
      <c r="J4837" s="20" t="s">
        <v>205</v>
      </c>
      <c r="K4837" s="20" t="s">
        <v>250</v>
      </c>
      <c r="L4837" s="20"/>
      <c r="M4837" s="20" t="s">
        <v>251</v>
      </c>
      <c r="N4837" s="20" t="s">
        <v>3244</v>
      </c>
    </row>
    <row r="4838" spans="1:14" hidden="1" x14ac:dyDescent="0.25">
      <c r="A4838" s="19">
        <v>46023</v>
      </c>
      <c r="B4838" s="20" t="s">
        <v>97</v>
      </c>
      <c r="C4838" s="20">
        <v>34</v>
      </c>
      <c r="D4838" s="20" t="s">
        <v>291</v>
      </c>
      <c r="E4838" s="20" t="s">
        <v>2361</v>
      </c>
      <c r="F4838" s="20" t="s">
        <v>240</v>
      </c>
      <c r="G4838" s="20" t="s">
        <v>82</v>
      </c>
      <c r="H4838" s="20" t="s">
        <v>106</v>
      </c>
      <c r="I4838" s="20" t="s">
        <v>493</v>
      </c>
      <c r="J4838" s="20" t="s">
        <v>205</v>
      </c>
      <c r="K4838" s="20" t="s">
        <v>250</v>
      </c>
      <c r="L4838" s="20"/>
      <c r="M4838" s="20" t="s">
        <v>251</v>
      </c>
      <c r="N4838" s="20" t="s">
        <v>3245</v>
      </c>
    </row>
    <row r="4839" spans="1:14" hidden="1" x14ac:dyDescent="0.25">
      <c r="A4839" s="19">
        <v>46023</v>
      </c>
      <c r="B4839" s="20" t="s">
        <v>97</v>
      </c>
      <c r="C4839" s="20">
        <v>34</v>
      </c>
      <c r="D4839" s="20" t="s">
        <v>291</v>
      </c>
      <c r="E4839" s="20" t="s">
        <v>2361</v>
      </c>
      <c r="F4839" s="20" t="s">
        <v>240</v>
      </c>
      <c r="G4839" s="20" t="s">
        <v>82</v>
      </c>
      <c r="H4839" s="20" t="s">
        <v>106</v>
      </c>
      <c r="I4839" s="20" t="s">
        <v>491</v>
      </c>
      <c r="J4839" s="20" t="s">
        <v>205</v>
      </c>
      <c r="K4839" s="20" t="s">
        <v>250</v>
      </c>
      <c r="L4839" s="20"/>
      <c r="M4839" s="20" t="s">
        <v>251</v>
      </c>
      <c r="N4839" s="20" t="s">
        <v>3246</v>
      </c>
    </row>
    <row r="4840" spans="1:14" hidden="1" x14ac:dyDescent="0.25">
      <c r="A4840" s="19">
        <v>46023</v>
      </c>
      <c r="B4840" s="20" t="s">
        <v>97</v>
      </c>
      <c r="C4840" s="20">
        <v>34</v>
      </c>
      <c r="D4840" s="20" t="s">
        <v>291</v>
      </c>
      <c r="E4840" s="20" t="s">
        <v>2361</v>
      </c>
      <c r="F4840" s="20" t="s">
        <v>240</v>
      </c>
      <c r="G4840" s="20" t="s">
        <v>82</v>
      </c>
      <c r="H4840" s="20" t="s">
        <v>105</v>
      </c>
      <c r="I4840" s="20" t="s">
        <v>493</v>
      </c>
      <c r="J4840" s="20" t="s">
        <v>205</v>
      </c>
      <c r="K4840" s="20" t="s">
        <v>250</v>
      </c>
      <c r="L4840" s="20"/>
      <c r="M4840" s="20" t="s">
        <v>251</v>
      </c>
      <c r="N4840" s="20" t="s">
        <v>3247</v>
      </c>
    </row>
    <row r="4841" spans="1:14" hidden="1" x14ac:dyDescent="0.25">
      <c r="A4841" s="19">
        <v>46023</v>
      </c>
      <c r="B4841" s="20" t="s">
        <v>97</v>
      </c>
      <c r="C4841" s="20">
        <v>34</v>
      </c>
      <c r="D4841" s="20" t="s">
        <v>291</v>
      </c>
      <c r="E4841" s="20" t="s">
        <v>2361</v>
      </c>
      <c r="F4841" s="20" t="s">
        <v>240</v>
      </c>
      <c r="G4841" s="20" t="s">
        <v>82</v>
      </c>
      <c r="H4841" s="20" t="s">
        <v>105</v>
      </c>
      <c r="I4841" s="20" t="s">
        <v>491</v>
      </c>
      <c r="J4841" s="20" t="s">
        <v>205</v>
      </c>
      <c r="K4841" s="20" t="s">
        <v>250</v>
      </c>
      <c r="L4841" s="20"/>
      <c r="M4841" s="20" t="s">
        <v>251</v>
      </c>
      <c r="N4841" s="20" t="s">
        <v>3248</v>
      </c>
    </row>
    <row r="4842" spans="1:14" hidden="1" x14ac:dyDescent="0.25">
      <c r="A4842" s="19">
        <v>46023</v>
      </c>
      <c r="B4842" s="20" t="s">
        <v>97</v>
      </c>
      <c r="C4842" s="20">
        <v>35</v>
      </c>
      <c r="D4842" s="20" t="s">
        <v>253</v>
      </c>
      <c r="E4842" s="20" t="s">
        <v>2359</v>
      </c>
      <c r="F4842" s="20" t="s">
        <v>244</v>
      </c>
      <c r="G4842" s="20" t="s">
        <v>82</v>
      </c>
      <c r="H4842" s="20"/>
      <c r="I4842" s="20"/>
      <c r="J4842" s="20" t="s">
        <v>203</v>
      </c>
      <c r="K4842" s="20" t="s">
        <v>255</v>
      </c>
      <c r="L4842" s="20">
        <v>526000000</v>
      </c>
      <c r="M4842" s="20" t="s">
        <v>245</v>
      </c>
      <c r="N4842" s="20" t="s">
        <v>2947</v>
      </c>
    </row>
    <row r="4843" spans="1:14" hidden="1" x14ac:dyDescent="0.25">
      <c r="A4843" s="19">
        <v>46023</v>
      </c>
      <c r="B4843" s="20" t="s">
        <v>97</v>
      </c>
      <c r="C4843" s="20">
        <v>35</v>
      </c>
      <c r="D4843" s="20" t="s">
        <v>253</v>
      </c>
      <c r="E4843" s="20" t="s">
        <v>2359</v>
      </c>
      <c r="F4843" s="20" t="s">
        <v>244</v>
      </c>
      <c r="G4843" s="20" t="s">
        <v>82</v>
      </c>
      <c r="H4843" s="20"/>
      <c r="I4843" s="20"/>
      <c r="J4843" s="20" t="s">
        <v>204</v>
      </c>
      <c r="K4843" s="20" t="s">
        <v>255</v>
      </c>
      <c r="L4843" s="20">
        <v>566000000</v>
      </c>
      <c r="M4843" s="20" t="s">
        <v>245</v>
      </c>
      <c r="N4843" s="20" t="s">
        <v>3098</v>
      </c>
    </row>
    <row r="4844" spans="1:14" hidden="1" x14ac:dyDescent="0.25">
      <c r="A4844" s="19">
        <v>46023</v>
      </c>
      <c r="B4844" s="20" t="s">
        <v>97</v>
      </c>
      <c r="C4844" s="20">
        <v>35</v>
      </c>
      <c r="D4844" s="20" t="s">
        <v>253</v>
      </c>
      <c r="E4844" s="20" t="s">
        <v>2359</v>
      </c>
      <c r="F4844" s="20" t="s">
        <v>244</v>
      </c>
      <c r="G4844" s="20" t="s">
        <v>82</v>
      </c>
      <c r="H4844" s="20"/>
      <c r="I4844" s="20"/>
      <c r="J4844" s="20" t="s">
        <v>205</v>
      </c>
      <c r="K4844" s="20" t="s">
        <v>255</v>
      </c>
      <c r="L4844" s="20">
        <v>584000000</v>
      </c>
      <c r="M4844" s="20" t="s">
        <v>245</v>
      </c>
      <c r="N4844" s="20" t="s">
        <v>3249</v>
      </c>
    </row>
    <row r="4845" spans="1:14" hidden="1" x14ac:dyDescent="0.25">
      <c r="A4845" s="19">
        <v>46023</v>
      </c>
      <c r="B4845" s="20" t="s">
        <v>97</v>
      </c>
      <c r="C4845" s="20">
        <v>35</v>
      </c>
      <c r="D4845" s="20" t="s">
        <v>247</v>
      </c>
      <c r="E4845" s="20" t="s">
        <v>2554</v>
      </c>
      <c r="F4845" s="20" t="s">
        <v>2557</v>
      </c>
      <c r="G4845" s="20" t="s">
        <v>82</v>
      </c>
      <c r="H4845" s="20" t="s">
        <v>286</v>
      </c>
      <c r="I4845" s="20"/>
      <c r="J4845" s="20" t="s">
        <v>205</v>
      </c>
      <c r="K4845" s="20" t="s">
        <v>250</v>
      </c>
      <c r="L4845" s="20">
        <v>3.3</v>
      </c>
      <c r="M4845" s="20" t="s">
        <v>251</v>
      </c>
      <c r="N4845" s="20" t="s">
        <v>1527</v>
      </c>
    </row>
    <row r="4846" spans="1:14" hidden="1" x14ac:dyDescent="0.25">
      <c r="A4846" s="19">
        <v>46023</v>
      </c>
      <c r="B4846" s="20" t="s">
        <v>97</v>
      </c>
      <c r="C4846" s="20">
        <v>36</v>
      </c>
      <c r="D4846" s="20" t="s">
        <v>291</v>
      </c>
      <c r="E4846" s="20" t="s">
        <v>2361</v>
      </c>
      <c r="F4846" s="20" t="s">
        <v>244</v>
      </c>
      <c r="G4846" s="20" t="s">
        <v>82</v>
      </c>
      <c r="H4846" s="20" t="s">
        <v>83</v>
      </c>
      <c r="I4846" s="20"/>
      <c r="J4846" s="20" t="s">
        <v>205</v>
      </c>
      <c r="K4846" s="20" t="s">
        <v>250</v>
      </c>
      <c r="L4846" s="20">
        <v>460720000</v>
      </c>
      <c r="M4846" s="20" t="s">
        <v>245</v>
      </c>
      <c r="N4846" s="20" t="s">
        <v>3250</v>
      </c>
    </row>
    <row r="4847" spans="1:14" hidden="1" x14ac:dyDescent="0.25">
      <c r="A4847" s="19">
        <v>46023</v>
      </c>
      <c r="B4847" s="20" t="s">
        <v>97</v>
      </c>
      <c r="C4847" s="20">
        <v>36</v>
      </c>
      <c r="D4847" s="20" t="s">
        <v>291</v>
      </c>
      <c r="E4847" s="20" t="s">
        <v>2361</v>
      </c>
      <c r="F4847" s="20" t="s">
        <v>244</v>
      </c>
      <c r="G4847" s="20" t="s">
        <v>82</v>
      </c>
      <c r="H4847" s="20" t="s">
        <v>84</v>
      </c>
      <c r="I4847" s="20"/>
      <c r="J4847" s="20" t="s">
        <v>205</v>
      </c>
      <c r="K4847" s="20" t="s">
        <v>250</v>
      </c>
      <c r="L4847" s="20">
        <v>109610000</v>
      </c>
      <c r="M4847" s="20" t="s">
        <v>245</v>
      </c>
      <c r="N4847" s="20" t="s">
        <v>3251</v>
      </c>
    </row>
    <row r="4848" spans="1:14" hidden="1" x14ac:dyDescent="0.25">
      <c r="A4848" s="19">
        <v>46023</v>
      </c>
      <c r="B4848" s="20" t="s">
        <v>97</v>
      </c>
      <c r="C4848" s="20">
        <v>36</v>
      </c>
      <c r="D4848" s="20" t="s">
        <v>291</v>
      </c>
      <c r="E4848" s="20" t="s">
        <v>2361</v>
      </c>
      <c r="F4848" s="20" t="s">
        <v>244</v>
      </c>
      <c r="G4848" s="20" t="s">
        <v>82</v>
      </c>
      <c r="H4848" s="20" t="s">
        <v>106</v>
      </c>
      <c r="I4848" s="20"/>
      <c r="J4848" s="20" t="s">
        <v>205</v>
      </c>
      <c r="K4848" s="20" t="s">
        <v>250</v>
      </c>
      <c r="L4848" s="20">
        <v>10100000</v>
      </c>
      <c r="M4848" s="20" t="s">
        <v>245</v>
      </c>
      <c r="N4848" s="20" t="s">
        <v>2881</v>
      </c>
    </row>
    <row r="4849" spans="1:14" hidden="1" x14ac:dyDescent="0.25">
      <c r="A4849" s="19">
        <v>46023</v>
      </c>
      <c r="B4849" s="20" t="s">
        <v>97</v>
      </c>
      <c r="C4849" s="20">
        <v>36</v>
      </c>
      <c r="D4849" s="20" t="s">
        <v>291</v>
      </c>
      <c r="E4849" s="20" t="s">
        <v>2361</v>
      </c>
      <c r="F4849" s="20" t="s">
        <v>244</v>
      </c>
      <c r="G4849" s="20" t="s">
        <v>82</v>
      </c>
      <c r="H4849" s="20" t="s">
        <v>105</v>
      </c>
      <c r="I4849" s="20"/>
      <c r="J4849" s="20" t="s">
        <v>205</v>
      </c>
      <c r="K4849" s="20" t="s">
        <v>250</v>
      </c>
      <c r="L4849" s="20">
        <v>3750000</v>
      </c>
      <c r="M4849" s="20" t="s">
        <v>245</v>
      </c>
      <c r="N4849" s="20" t="s">
        <v>3252</v>
      </c>
    </row>
    <row r="4850" spans="1:14" hidden="1" x14ac:dyDescent="0.25">
      <c r="A4850" s="19">
        <v>46023</v>
      </c>
      <c r="B4850" s="20" t="s">
        <v>97</v>
      </c>
      <c r="C4850" s="20">
        <v>37</v>
      </c>
      <c r="D4850" s="20" t="s">
        <v>291</v>
      </c>
      <c r="E4850" s="20" t="s">
        <v>2361</v>
      </c>
      <c r="F4850" s="20" t="s">
        <v>244</v>
      </c>
      <c r="G4850" s="20" t="s">
        <v>82</v>
      </c>
      <c r="H4850" s="20" t="s">
        <v>83</v>
      </c>
      <c r="I4850" s="20" t="s">
        <v>315</v>
      </c>
      <c r="J4850" s="20" t="s">
        <v>205</v>
      </c>
      <c r="K4850" s="20" t="s">
        <v>250</v>
      </c>
      <c r="L4850" s="20"/>
      <c r="M4850" s="20" t="s">
        <v>251</v>
      </c>
      <c r="N4850" s="20" t="s">
        <v>3253</v>
      </c>
    </row>
    <row r="4851" spans="1:14" hidden="1" x14ac:dyDescent="0.25">
      <c r="A4851" s="19">
        <v>46023</v>
      </c>
      <c r="B4851" s="20" t="s">
        <v>97</v>
      </c>
      <c r="C4851" s="20">
        <v>37</v>
      </c>
      <c r="D4851" s="20" t="s">
        <v>291</v>
      </c>
      <c r="E4851" s="20" t="s">
        <v>2361</v>
      </c>
      <c r="F4851" s="20" t="s">
        <v>244</v>
      </c>
      <c r="G4851" s="20" t="s">
        <v>82</v>
      </c>
      <c r="H4851" s="20" t="s">
        <v>83</v>
      </c>
      <c r="I4851" s="20" t="s">
        <v>317</v>
      </c>
      <c r="J4851" s="20" t="s">
        <v>205</v>
      </c>
      <c r="K4851" s="20" t="s">
        <v>250</v>
      </c>
      <c r="L4851" s="20"/>
      <c r="M4851" s="20" t="s">
        <v>251</v>
      </c>
      <c r="N4851" s="20" t="s">
        <v>3254</v>
      </c>
    </row>
    <row r="4852" spans="1:14" hidden="1" x14ac:dyDescent="0.25">
      <c r="A4852" s="19">
        <v>46023</v>
      </c>
      <c r="B4852" s="20" t="s">
        <v>97</v>
      </c>
      <c r="C4852" s="20">
        <v>37</v>
      </c>
      <c r="D4852" s="20" t="s">
        <v>291</v>
      </c>
      <c r="E4852" s="20" t="s">
        <v>2361</v>
      </c>
      <c r="F4852" s="20" t="s">
        <v>244</v>
      </c>
      <c r="G4852" s="20" t="s">
        <v>82</v>
      </c>
      <c r="H4852" s="20" t="s">
        <v>83</v>
      </c>
      <c r="I4852" s="20" t="s">
        <v>2785</v>
      </c>
      <c r="J4852" s="20" t="s">
        <v>205</v>
      </c>
      <c r="K4852" s="20" t="s">
        <v>250</v>
      </c>
      <c r="L4852" s="20"/>
      <c r="M4852" s="20" t="s">
        <v>251</v>
      </c>
      <c r="N4852" s="20" t="s">
        <v>3255</v>
      </c>
    </row>
    <row r="4853" spans="1:14" hidden="1" x14ac:dyDescent="0.25">
      <c r="A4853" s="19">
        <v>46023</v>
      </c>
      <c r="B4853" s="20" t="s">
        <v>97</v>
      </c>
      <c r="C4853" s="20">
        <v>37</v>
      </c>
      <c r="D4853" s="20" t="s">
        <v>291</v>
      </c>
      <c r="E4853" s="20" t="s">
        <v>2361</v>
      </c>
      <c r="F4853" s="20" t="s">
        <v>244</v>
      </c>
      <c r="G4853" s="20" t="s">
        <v>82</v>
      </c>
      <c r="H4853" s="20" t="s">
        <v>83</v>
      </c>
      <c r="I4853" s="20" t="s">
        <v>497</v>
      </c>
      <c r="J4853" s="20" t="s">
        <v>205</v>
      </c>
      <c r="K4853" s="20" t="s">
        <v>250</v>
      </c>
      <c r="L4853" s="20"/>
      <c r="M4853" s="20" t="s">
        <v>251</v>
      </c>
      <c r="N4853" s="20" t="s">
        <v>3256</v>
      </c>
    </row>
    <row r="4854" spans="1:14" hidden="1" x14ac:dyDescent="0.25">
      <c r="A4854" s="19">
        <v>46023</v>
      </c>
      <c r="B4854" s="20" t="s">
        <v>97</v>
      </c>
      <c r="C4854" s="20">
        <v>37</v>
      </c>
      <c r="D4854" s="20" t="s">
        <v>291</v>
      </c>
      <c r="E4854" s="20" t="s">
        <v>2361</v>
      </c>
      <c r="F4854" s="20" t="s">
        <v>244</v>
      </c>
      <c r="G4854" s="20" t="s">
        <v>82</v>
      </c>
      <c r="H4854" s="20" t="s">
        <v>83</v>
      </c>
      <c r="I4854" s="20" t="s">
        <v>503</v>
      </c>
      <c r="J4854" s="20" t="s">
        <v>205</v>
      </c>
      <c r="K4854" s="20" t="s">
        <v>250</v>
      </c>
      <c r="L4854" s="20"/>
      <c r="M4854" s="20" t="s">
        <v>251</v>
      </c>
      <c r="N4854" s="20" t="s">
        <v>3257</v>
      </c>
    </row>
    <row r="4855" spans="1:14" hidden="1" x14ac:dyDescent="0.25">
      <c r="A4855" s="19">
        <v>46023</v>
      </c>
      <c r="B4855" s="20" t="s">
        <v>97</v>
      </c>
      <c r="C4855" s="20">
        <v>37</v>
      </c>
      <c r="D4855" s="20" t="s">
        <v>291</v>
      </c>
      <c r="E4855" s="20" t="s">
        <v>2361</v>
      </c>
      <c r="F4855" s="20" t="s">
        <v>244</v>
      </c>
      <c r="G4855" s="20" t="s">
        <v>82</v>
      </c>
      <c r="H4855" s="20" t="s">
        <v>83</v>
      </c>
      <c r="I4855" s="20" t="s">
        <v>2413</v>
      </c>
      <c r="J4855" s="20" t="s">
        <v>205</v>
      </c>
      <c r="K4855" s="20" t="s">
        <v>250</v>
      </c>
      <c r="L4855" s="20"/>
      <c r="M4855" s="20" t="s">
        <v>251</v>
      </c>
      <c r="N4855" s="20" t="s">
        <v>3258</v>
      </c>
    </row>
    <row r="4856" spans="1:14" hidden="1" x14ac:dyDescent="0.25">
      <c r="A4856" s="19">
        <v>46023</v>
      </c>
      <c r="B4856" s="20" t="s">
        <v>97</v>
      </c>
      <c r="C4856" s="20">
        <v>37</v>
      </c>
      <c r="D4856" s="20" t="s">
        <v>291</v>
      </c>
      <c r="E4856" s="20" t="s">
        <v>2361</v>
      </c>
      <c r="F4856" s="20" t="s">
        <v>244</v>
      </c>
      <c r="G4856" s="20" t="s">
        <v>82</v>
      </c>
      <c r="H4856" s="20" t="s">
        <v>83</v>
      </c>
      <c r="I4856" s="20" t="s">
        <v>2414</v>
      </c>
      <c r="J4856" s="20" t="s">
        <v>205</v>
      </c>
      <c r="K4856" s="20" t="s">
        <v>250</v>
      </c>
      <c r="L4856" s="20"/>
      <c r="M4856" s="20" t="s">
        <v>251</v>
      </c>
      <c r="N4856" s="20" t="s">
        <v>3259</v>
      </c>
    </row>
    <row r="4857" spans="1:14" hidden="1" x14ac:dyDescent="0.25">
      <c r="A4857" s="19">
        <v>46023</v>
      </c>
      <c r="B4857" s="20" t="s">
        <v>97</v>
      </c>
      <c r="C4857" s="20">
        <v>37</v>
      </c>
      <c r="D4857" s="20" t="s">
        <v>291</v>
      </c>
      <c r="E4857" s="20" t="s">
        <v>2361</v>
      </c>
      <c r="F4857" s="20" t="s">
        <v>244</v>
      </c>
      <c r="G4857" s="20" t="s">
        <v>82</v>
      </c>
      <c r="H4857" s="20" t="s">
        <v>84</v>
      </c>
      <c r="I4857" s="20" t="s">
        <v>319</v>
      </c>
      <c r="J4857" s="20" t="s">
        <v>205</v>
      </c>
      <c r="K4857" s="20" t="s">
        <v>250</v>
      </c>
      <c r="L4857" s="20"/>
      <c r="M4857" s="20" t="s">
        <v>251</v>
      </c>
      <c r="N4857" s="20" t="s">
        <v>3260</v>
      </c>
    </row>
    <row r="4858" spans="1:14" hidden="1" x14ac:dyDescent="0.25">
      <c r="A4858" s="19">
        <v>46023</v>
      </c>
      <c r="B4858" s="20" t="s">
        <v>97</v>
      </c>
      <c r="C4858" s="20">
        <v>37</v>
      </c>
      <c r="D4858" s="20" t="s">
        <v>291</v>
      </c>
      <c r="E4858" s="20" t="s">
        <v>2361</v>
      </c>
      <c r="F4858" s="20" t="s">
        <v>244</v>
      </c>
      <c r="G4858" s="20" t="s">
        <v>82</v>
      </c>
      <c r="H4858" s="20" t="s">
        <v>84</v>
      </c>
      <c r="I4858" s="20" t="s">
        <v>321</v>
      </c>
      <c r="J4858" s="20" t="s">
        <v>205</v>
      </c>
      <c r="K4858" s="20" t="s">
        <v>250</v>
      </c>
      <c r="L4858" s="20"/>
      <c r="M4858" s="20" t="s">
        <v>251</v>
      </c>
      <c r="N4858" s="20" t="s">
        <v>3261</v>
      </c>
    </row>
    <row r="4859" spans="1:14" hidden="1" x14ac:dyDescent="0.25">
      <c r="A4859" s="19">
        <v>46023</v>
      </c>
      <c r="B4859" s="20" t="s">
        <v>97</v>
      </c>
      <c r="C4859" s="20">
        <v>37</v>
      </c>
      <c r="D4859" s="20" t="s">
        <v>291</v>
      </c>
      <c r="E4859" s="20" t="s">
        <v>2361</v>
      </c>
      <c r="F4859" s="20" t="s">
        <v>244</v>
      </c>
      <c r="G4859" s="20" t="s">
        <v>82</v>
      </c>
      <c r="H4859" s="20" t="s">
        <v>106</v>
      </c>
      <c r="I4859" s="20" t="s">
        <v>493</v>
      </c>
      <c r="J4859" s="20" t="s">
        <v>205</v>
      </c>
      <c r="K4859" s="20" t="s">
        <v>250</v>
      </c>
      <c r="L4859" s="20"/>
      <c r="M4859" s="20" t="s">
        <v>251</v>
      </c>
      <c r="N4859" s="20" t="s">
        <v>3262</v>
      </c>
    </row>
    <row r="4860" spans="1:14" hidden="1" x14ac:dyDescent="0.25">
      <c r="A4860" s="19">
        <v>46023</v>
      </c>
      <c r="B4860" s="20" t="s">
        <v>97</v>
      </c>
      <c r="C4860" s="20">
        <v>37</v>
      </c>
      <c r="D4860" s="20" t="s">
        <v>291</v>
      </c>
      <c r="E4860" s="20" t="s">
        <v>2361</v>
      </c>
      <c r="F4860" s="20" t="s">
        <v>244</v>
      </c>
      <c r="G4860" s="20" t="s">
        <v>82</v>
      </c>
      <c r="H4860" s="20" t="s">
        <v>106</v>
      </c>
      <c r="I4860" s="20" t="s">
        <v>491</v>
      </c>
      <c r="J4860" s="20" t="s">
        <v>205</v>
      </c>
      <c r="K4860" s="20" t="s">
        <v>250</v>
      </c>
      <c r="L4860" s="20"/>
      <c r="M4860" s="20" t="s">
        <v>251</v>
      </c>
      <c r="N4860" s="20" t="s">
        <v>3263</v>
      </c>
    </row>
    <row r="4861" spans="1:14" hidden="1" x14ac:dyDescent="0.25">
      <c r="A4861" s="19">
        <v>46023</v>
      </c>
      <c r="B4861" s="20" t="s">
        <v>97</v>
      </c>
      <c r="C4861" s="20">
        <v>37</v>
      </c>
      <c r="D4861" s="20" t="s">
        <v>291</v>
      </c>
      <c r="E4861" s="20" t="s">
        <v>2361</v>
      </c>
      <c r="F4861" s="20" t="s">
        <v>244</v>
      </c>
      <c r="G4861" s="20" t="s">
        <v>82</v>
      </c>
      <c r="H4861" s="20" t="s">
        <v>105</v>
      </c>
      <c r="I4861" s="20" t="s">
        <v>493</v>
      </c>
      <c r="J4861" s="20" t="s">
        <v>205</v>
      </c>
      <c r="K4861" s="20" t="s">
        <v>250</v>
      </c>
      <c r="L4861" s="20"/>
      <c r="M4861" s="20" t="s">
        <v>251</v>
      </c>
      <c r="N4861" s="20" t="s">
        <v>3264</v>
      </c>
    </row>
    <row r="4862" spans="1:14" hidden="1" x14ac:dyDescent="0.25">
      <c r="A4862" s="19">
        <v>46023</v>
      </c>
      <c r="B4862" s="20" t="s">
        <v>97</v>
      </c>
      <c r="C4862" s="20">
        <v>37</v>
      </c>
      <c r="D4862" s="20" t="s">
        <v>291</v>
      </c>
      <c r="E4862" s="20" t="s">
        <v>2361</v>
      </c>
      <c r="F4862" s="20" t="s">
        <v>244</v>
      </c>
      <c r="G4862" s="20" t="s">
        <v>82</v>
      </c>
      <c r="H4862" s="20" t="s">
        <v>105</v>
      </c>
      <c r="I4862" s="20" t="s">
        <v>491</v>
      </c>
      <c r="J4862" s="20" t="s">
        <v>205</v>
      </c>
      <c r="K4862" s="20" t="s">
        <v>250</v>
      </c>
      <c r="L4862" s="20"/>
      <c r="M4862" s="20" t="s">
        <v>251</v>
      </c>
      <c r="N4862" s="20" t="s">
        <v>3265</v>
      </c>
    </row>
    <row r="4863" spans="1:14" hidden="1" x14ac:dyDescent="0.25">
      <c r="A4863" s="19">
        <v>46023</v>
      </c>
      <c r="B4863" s="20" t="s">
        <v>97</v>
      </c>
      <c r="C4863" s="20">
        <v>38</v>
      </c>
      <c r="D4863" s="20" t="s">
        <v>253</v>
      </c>
      <c r="E4863" s="20" t="s">
        <v>2359</v>
      </c>
      <c r="F4863" s="20" t="s">
        <v>334</v>
      </c>
      <c r="G4863" s="20" t="s">
        <v>82</v>
      </c>
      <c r="H4863" s="20"/>
      <c r="I4863" s="20"/>
      <c r="J4863" s="20" t="s">
        <v>203</v>
      </c>
      <c r="K4863" s="20" t="s">
        <v>255</v>
      </c>
      <c r="L4863" s="20">
        <v>52</v>
      </c>
      <c r="M4863" s="20" t="s">
        <v>245</v>
      </c>
      <c r="N4863" s="20" t="s">
        <v>2964</v>
      </c>
    </row>
    <row r="4864" spans="1:14" hidden="1" x14ac:dyDescent="0.25">
      <c r="A4864" s="19">
        <v>46023</v>
      </c>
      <c r="B4864" s="20" t="s">
        <v>97</v>
      </c>
      <c r="C4864" s="20">
        <v>38</v>
      </c>
      <c r="D4864" s="20" t="s">
        <v>253</v>
      </c>
      <c r="E4864" s="20" t="s">
        <v>2359</v>
      </c>
      <c r="F4864" s="20" t="s">
        <v>334</v>
      </c>
      <c r="G4864" s="20" t="s">
        <v>82</v>
      </c>
      <c r="H4864" s="20"/>
      <c r="I4864" s="20"/>
      <c r="J4864" s="20" t="s">
        <v>204</v>
      </c>
      <c r="K4864" s="20" t="s">
        <v>255</v>
      </c>
      <c r="L4864" s="20">
        <v>52</v>
      </c>
      <c r="M4864" s="20" t="s">
        <v>245</v>
      </c>
      <c r="N4864" s="20" t="s">
        <v>2964</v>
      </c>
    </row>
    <row r="4865" spans="1:14" hidden="1" x14ac:dyDescent="0.25">
      <c r="A4865" s="19">
        <v>46023</v>
      </c>
      <c r="B4865" s="20" t="s">
        <v>97</v>
      </c>
      <c r="C4865" s="20">
        <v>38</v>
      </c>
      <c r="D4865" s="20" t="s">
        <v>253</v>
      </c>
      <c r="E4865" s="20" t="s">
        <v>2359</v>
      </c>
      <c r="F4865" s="20" t="s">
        <v>334</v>
      </c>
      <c r="G4865" s="20" t="s">
        <v>82</v>
      </c>
      <c r="H4865" s="20"/>
      <c r="I4865" s="20"/>
      <c r="J4865" s="20" t="s">
        <v>205</v>
      </c>
      <c r="K4865" s="20" t="s">
        <v>255</v>
      </c>
      <c r="L4865" s="20">
        <v>49</v>
      </c>
      <c r="M4865" s="20" t="s">
        <v>245</v>
      </c>
      <c r="N4865" s="20" t="s">
        <v>3266</v>
      </c>
    </row>
    <row r="4866" spans="1:14" hidden="1" x14ac:dyDescent="0.25">
      <c r="A4866" s="19">
        <v>46023</v>
      </c>
      <c r="B4866" s="20" t="s">
        <v>97</v>
      </c>
      <c r="C4866" s="20">
        <v>39</v>
      </c>
      <c r="D4866" s="20" t="s">
        <v>291</v>
      </c>
      <c r="E4866" s="20" t="s">
        <v>2361</v>
      </c>
      <c r="F4866" s="20" t="s">
        <v>428</v>
      </c>
      <c r="G4866" s="20" t="s">
        <v>82</v>
      </c>
      <c r="H4866" s="20" t="s">
        <v>95</v>
      </c>
      <c r="I4866" s="20"/>
      <c r="J4866" s="20" t="s">
        <v>205</v>
      </c>
      <c r="K4866" s="20" t="s">
        <v>250</v>
      </c>
      <c r="L4866" s="20">
        <v>4470000</v>
      </c>
      <c r="M4866" s="20" t="s">
        <v>242</v>
      </c>
      <c r="N4866" s="20" t="s">
        <v>632</v>
      </c>
    </row>
    <row r="4867" spans="1:14" hidden="1" x14ac:dyDescent="0.25">
      <c r="A4867" s="19">
        <v>46023</v>
      </c>
      <c r="B4867" s="20" t="s">
        <v>97</v>
      </c>
      <c r="C4867" s="20">
        <v>39</v>
      </c>
      <c r="D4867" s="20" t="s">
        <v>291</v>
      </c>
      <c r="E4867" s="20" t="s">
        <v>2361</v>
      </c>
      <c r="F4867" s="20" t="s">
        <v>428</v>
      </c>
      <c r="G4867" s="20" t="s">
        <v>82</v>
      </c>
      <c r="H4867" s="20" t="s">
        <v>94</v>
      </c>
      <c r="I4867" s="20"/>
      <c r="J4867" s="20" t="s">
        <v>205</v>
      </c>
      <c r="K4867" s="20" t="s">
        <v>250</v>
      </c>
      <c r="L4867" s="20">
        <v>2540000</v>
      </c>
      <c r="M4867" s="20" t="s">
        <v>242</v>
      </c>
      <c r="N4867" s="20" t="s">
        <v>3267</v>
      </c>
    </row>
    <row r="4868" spans="1:14" hidden="1" x14ac:dyDescent="0.25">
      <c r="A4868" s="19">
        <v>46023</v>
      </c>
      <c r="B4868" s="20" t="s">
        <v>97</v>
      </c>
      <c r="C4868" s="20">
        <v>40</v>
      </c>
      <c r="D4868" s="20" t="s">
        <v>291</v>
      </c>
      <c r="E4868" s="20" t="s">
        <v>2361</v>
      </c>
      <c r="F4868" s="20" t="s">
        <v>445</v>
      </c>
      <c r="G4868" s="20" t="s">
        <v>82</v>
      </c>
      <c r="H4868" s="20" t="s">
        <v>95</v>
      </c>
      <c r="I4868" s="20"/>
      <c r="J4868" s="20" t="s">
        <v>205</v>
      </c>
      <c r="K4868" s="20" t="s">
        <v>250</v>
      </c>
      <c r="L4868" s="20">
        <v>131420000</v>
      </c>
      <c r="M4868" s="20" t="s">
        <v>245</v>
      </c>
      <c r="N4868" s="20" t="s">
        <v>3268</v>
      </c>
    </row>
    <row r="4869" spans="1:14" hidden="1" x14ac:dyDescent="0.25">
      <c r="A4869" s="19">
        <v>46023</v>
      </c>
      <c r="B4869" s="20" t="s">
        <v>97</v>
      </c>
      <c r="C4869" s="20">
        <v>40</v>
      </c>
      <c r="D4869" s="20" t="s">
        <v>291</v>
      </c>
      <c r="E4869" s="20" t="s">
        <v>2361</v>
      </c>
      <c r="F4869" s="20" t="s">
        <v>445</v>
      </c>
      <c r="G4869" s="20" t="s">
        <v>82</v>
      </c>
      <c r="H4869" s="20" t="s">
        <v>94</v>
      </c>
      <c r="I4869" s="20"/>
      <c r="J4869" s="20" t="s">
        <v>205</v>
      </c>
      <c r="K4869" s="20" t="s">
        <v>250</v>
      </c>
      <c r="L4869" s="20">
        <v>91320000</v>
      </c>
      <c r="M4869" s="20" t="s">
        <v>245</v>
      </c>
      <c r="N4869" s="20" t="s">
        <v>3269</v>
      </c>
    </row>
    <row r="4870" spans="1:14" hidden="1" x14ac:dyDescent="0.25">
      <c r="A4870" s="19">
        <v>46023</v>
      </c>
      <c r="B4870" s="20" t="s">
        <v>162</v>
      </c>
      <c r="C4870" s="20">
        <v>42</v>
      </c>
      <c r="D4870" s="20" t="s">
        <v>238</v>
      </c>
      <c r="E4870" s="20" t="s">
        <v>2341</v>
      </c>
      <c r="F4870" s="20" t="s">
        <v>240</v>
      </c>
      <c r="G4870" s="20" t="s">
        <v>82</v>
      </c>
      <c r="H4870" s="20"/>
      <c r="I4870" s="20"/>
      <c r="J4870" s="20" t="s">
        <v>3199</v>
      </c>
      <c r="K4870" s="20" t="s">
        <v>241</v>
      </c>
      <c r="L4870" s="20">
        <v>29530000</v>
      </c>
      <c r="M4870" s="20" t="s">
        <v>242</v>
      </c>
      <c r="N4870" s="20" t="s">
        <v>3270</v>
      </c>
    </row>
    <row r="4871" spans="1:14" hidden="1" x14ac:dyDescent="0.25">
      <c r="A4871" s="19">
        <v>46023</v>
      </c>
      <c r="B4871" s="20" t="s">
        <v>162</v>
      </c>
      <c r="C4871" s="20">
        <v>42</v>
      </c>
      <c r="D4871" s="20" t="s">
        <v>238</v>
      </c>
      <c r="E4871" s="20" t="s">
        <v>2341</v>
      </c>
      <c r="F4871" s="20" t="s">
        <v>244</v>
      </c>
      <c r="G4871" s="20" t="s">
        <v>82</v>
      </c>
      <c r="H4871" s="20"/>
      <c r="I4871" s="20"/>
      <c r="J4871" s="20" t="s">
        <v>3199</v>
      </c>
      <c r="K4871" s="20" t="s">
        <v>241</v>
      </c>
      <c r="L4871" s="20">
        <v>2480000000</v>
      </c>
      <c r="M4871" s="20" t="s">
        <v>245</v>
      </c>
      <c r="N4871" s="20" t="s">
        <v>3271</v>
      </c>
    </row>
    <row r="4872" spans="1:14" hidden="1" x14ac:dyDescent="0.25">
      <c r="A4872" s="19">
        <v>46023</v>
      </c>
      <c r="B4872" s="20" t="s">
        <v>162</v>
      </c>
      <c r="C4872" s="20">
        <v>43</v>
      </c>
      <c r="D4872" s="20" t="s">
        <v>253</v>
      </c>
      <c r="E4872" s="20" t="s">
        <v>2359</v>
      </c>
      <c r="F4872" s="20" t="s">
        <v>1194</v>
      </c>
      <c r="G4872" s="20" t="s">
        <v>82</v>
      </c>
      <c r="H4872" s="20"/>
      <c r="I4872" s="20"/>
      <c r="J4872" s="20" t="s">
        <v>203</v>
      </c>
      <c r="K4872" s="20" t="s">
        <v>255</v>
      </c>
      <c r="L4872" s="20">
        <v>26450000</v>
      </c>
      <c r="M4872" s="20" t="s">
        <v>242</v>
      </c>
      <c r="N4872" s="20" t="s">
        <v>2970</v>
      </c>
    </row>
    <row r="4873" spans="1:14" hidden="1" x14ac:dyDescent="0.25">
      <c r="A4873" s="19">
        <v>46023</v>
      </c>
      <c r="B4873" s="20" t="s">
        <v>162</v>
      </c>
      <c r="C4873" s="20">
        <v>43</v>
      </c>
      <c r="D4873" s="20" t="s">
        <v>253</v>
      </c>
      <c r="E4873" s="20" t="s">
        <v>2359</v>
      </c>
      <c r="F4873" s="20" t="s">
        <v>1194</v>
      </c>
      <c r="G4873" s="20" t="s">
        <v>82</v>
      </c>
      <c r="H4873" s="20"/>
      <c r="I4873" s="20"/>
      <c r="J4873" s="20" t="s">
        <v>204</v>
      </c>
      <c r="K4873" s="20" t="s">
        <v>255</v>
      </c>
      <c r="L4873" s="20">
        <v>28600000</v>
      </c>
      <c r="M4873" s="20" t="s">
        <v>242</v>
      </c>
      <c r="N4873" s="20" t="s">
        <v>3117</v>
      </c>
    </row>
    <row r="4874" spans="1:14" hidden="1" x14ac:dyDescent="0.25">
      <c r="A4874" s="19">
        <v>46023</v>
      </c>
      <c r="B4874" s="20" t="s">
        <v>162</v>
      </c>
      <c r="C4874" s="20">
        <v>43</v>
      </c>
      <c r="D4874" s="20" t="s">
        <v>253</v>
      </c>
      <c r="E4874" s="20" t="s">
        <v>2359</v>
      </c>
      <c r="F4874" s="20" t="s">
        <v>1194</v>
      </c>
      <c r="G4874" s="20" t="s">
        <v>82</v>
      </c>
      <c r="H4874" s="20"/>
      <c r="I4874" s="20"/>
      <c r="J4874" s="20" t="s">
        <v>205</v>
      </c>
      <c r="K4874" s="20" t="s">
        <v>255</v>
      </c>
      <c r="L4874" s="20">
        <v>29530000</v>
      </c>
      <c r="M4874" s="20" t="s">
        <v>242</v>
      </c>
      <c r="N4874" s="20" t="s">
        <v>3272</v>
      </c>
    </row>
    <row r="4875" spans="1:14" hidden="1" x14ac:dyDescent="0.25">
      <c r="A4875" s="19">
        <v>46023</v>
      </c>
      <c r="B4875" s="20" t="s">
        <v>162</v>
      </c>
      <c r="C4875" s="20">
        <v>43</v>
      </c>
      <c r="D4875" s="20" t="s">
        <v>247</v>
      </c>
      <c r="E4875" s="20" t="s">
        <v>2554</v>
      </c>
      <c r="F4875" s="20" t="s">
        <v>2556</v>
      </c>
      <c r="G4875" s="20" t="s">
        <v>82</v>
      </c>
      <c r="H4875" s="20" t="s">
        <v>286</v>
      </c>
      <c r="I4875" s="20"/>
      <c r="J4875" s="20" t="s">
        <v>205</v>
      </c>
      <c r="K4875" s="20" t="s">
        <v>250</v>
      </c>
      <c r="L4875" s="20">
        <v>3.2</v>
      </c>
      <c r="M4875" s="20" t="s">
        <v>251</v>
      </c>
      <c r="N4875" s="20" t="s">
        <v>509</v>
      </c>
    </row>
    <row r="4876" spans="1:14" hidden="1" x14ac:dyDescent="0.25">
      <c r="A4876" s="19">
        <v>46023</v>
      </c>
      <c r="B4876" s="20" t="s">
        <v>162</v>
      </c>
      <c r="C4876" s="20">
        <v>44</v>
      </c>
      <c r="D4876" s="20" t="s">
        <v>291</v>
      </c>
      <c r="E4876" s="20" t="s">
        <v>2361</v>
      </c>
      <c r="F4876" s="20" t="s">
        <v>2445</v>
      </c>
      <c r="G4876" s="20" t="s">
        <v>82</v>
      </c>
      <c r="H4876" s="20" t="s">
        <v>2446</v>
      </c>
      <c r="I4876" s="20" t="s">
        <v>2447</v>
      </c>
      <c r="J4876" s="20" t="s">
        <v>205</v>
      </c>
      <c r="K4876" s="20" t="s">
        <v>250</v>
      </c>
      <c r="L4876" s="20">
        <v>12100000</v>
      </c>
      <c r="M4876" s="20" t="s">
        <v>242</v>
      </c>
      <c r="N4876" s="20" t="s">
        <v>3273</v>
      </c>
    </row>
    <row r="4877" spans="1:14" hidden="1" x14ac:dyDescent="0.25">
      <c r="A4877" s="19">
        <v>46023</v>
      </c>
      <c r="B4877" s="20" t="s">
        <v>162</v>
      </c>
      <c r="C4877" s="20">
        <v>44</v>
      </c>
      <c r="D4877" s="20" t="s">
        <v>291</v>
      </c>
      <c r="E4877" s="20" t="s">
        <v>2361</v>
      </c>
      <c r="F4877" s="20" t="s">
        <v>2445</v>
      </c>
      <c r="G4877" s="20" t="s">
        <v>82</v>
      </c>
      <c r="H4877" s="20" t="s">
        <v>2449</v>
      </c>
      <c r="I4877" s="20" t="s">
        <v>2447</v>
      </c>
      <c r="J4877" s="20" t="s">
        <v>205</v>
      </c>
      <c r="K4877" s="20" t="s">
        <v>250</v>
      </c>
      <c r="L4877" s="20">
        <v>3550000</v>
      </c>
      <c r="M4877" s="20" t="s">
        <v>242</v>
      </c>
      <c r="N4877" s="20" t="s">
        <v>3274</v>
      </c>
    </row>
    <row r="4878" spans="1:14" hidden="1" x14ac:dyDescent="0.25">
      <c r="A4878" s="19">
        <v>46023</v>
      </c>
      <c r="B4878" s="20" t="s">
        <v>162</v>
      </c>
      <c r="C4878" s="20">
        <v>44</v>
      </c>
      <c r="D4878" s="20" t="s">
        <v>291</v>
      </c>
      <c r="E4878" s="20" t="s">
        <v>2361</v>
      </c>
      <c r="F4878" s="20" t="s">
        <v>2445</v>
      </c>
      <c r="G4878" s="20" t="s">
        <v>82</v>
      </c>
      <c r="H4878" s="20" t="s">
        <v>2446</v>
      </c>
      <c r="I4878" s="20" t="s">
        <v>2451</v>
      </c>
      <c r="J4878" s="20" t="s">
        <v>205</v>
      </c>
      <c r="K4878" s="20" t="s">
        <v>250</v>
      </c>
      <c r="L4878" s="20">
        <v>5590000</v>
      </c>
      <c r="M4878" s="20" t="s">
        <v>242</v>
      </c>
      <c r="N4878" s="20" t="s">
        <v>745</v>
      </c>
    </row>
    <row r="4879" spans="1:14" hidden="1" x14ac:dyDescent="0.25">
      <c r="A4879" s="19">
        <v>46023</v>
      </c>
      <c r="B4879" s="20" t="s">
        <v>162</v>
      </c>
      <c r="C4879" s="20">
        <v>44</v>
      </c>
      <c r="D4879" s="20" t="s">
        <v>291</v>
      </c>
      <c r="E4879" s="20" t="s">
        <v>2361</v>
      </c>
      <c r="F4879" s="20" t="s">
        <v>2445</v>
      </c>
      <c r="G4879" s="20" t="s">
        <v>82</v>
      </c>
      <c r="H4879" s="20" t="s">
        <v>2449</v>
      </c>
      <c r="I4879" s="20" t="s">
        <v>2451</v>
      </c>
      <c r="J4879" s="20" t="s">
        <v>205</v>
      </c>
      <c r="K4879" s="20" t="s">
        <v>250</v>
      </c>
      <c r="L4879" s="20">
        <v>8150000</v>
      </c>
      <c r="M4879" s="20" t="s">
        <v>242</v>
      </c>
      <c r="N4879" s="20" t="s">
        <v>1749</v>
      </c>
    </row>
    <row r="4880" spans="1:14" hidden="1" x14ac:dyDescent="0.25">
      <c r="A4880" s="19">
        <v>46023</v>
      </c>
      <c r="B4880" s="20" t="s">
        <v>162</v>
      </c>
      <c r="C4880" s="20">
        <v>44</v>
      </c>
      <c r="D4880" s="20" t="s">
        <v>291</v>
      </c>
      <c r="E4880" s="20" t="s">
        <v>2361</v>
      </c>
      <c r="F4880" s="20" t="s">
        <v>2445</v>
      </c>
      <c r="G4880" s="20" t="s">
        <v>82</v>
      </c>
      <c r="H4880" s="20" t="s">
        <v>2446</v>
      </c>
      <c r="I4880" s="20" t="s">
        <v>2454</v>
      </c>
      <c r="J4880" s="20" t="s">
        <v>205</v>
      </c>
      <c r="K4880" s="20" t="s">
        <v>250</v>
      </c>
      <c r="L4880" s="20">
        <v>11950</v>
      </c>
      <c r="M4880" s="20" t="s">
        <v>242</v>
      </c>
      <c r="N4880" s="20" t="s">
        <v>3275</v>
      </c>
    </row>
    <row r="4881" spans="1:14" hidden="1" x14ac:dyDescent="0.25">
      <c r="A4881" s="19">
        <v>46023</v>
      </c>
      <c r="B4881" s="20" t="s">
        <v>162</v>
      </c>
      <c r="C4881" s="20">
        <v>44</v>
      </c>
      <c r="D4881" s="20" t="s">
        <v>291</v>
      </c>
      <c r="E4881" s="20" t="s">
        <v>2361</v>
      </c>
      <c r="F4881" s="20" t="s">
        <v>2445</v>
      </c>
      <c r="G4881" s="20" t="s">
        <v>82</v>
      </c>
      <c r="H4881" s="20" t="s">
        <v>2449</v>
      </c>
      <c r="I4881" s="20" t="s">
        <v>2454</v>
      </c>
      <c r="J4881" s="20" t="s">
        <v>205</v>
      </c>
      <c r="K4881" s="20" t="s">
        <v>250</v>
      </c>
      <c r="L4881" s="20">
        <v>136110</v>
      </c>
      <c r="M4881" s="20" t="s">
        <v>242</v>
      </c>
      <c r="N4881" s="20" t="s">
        <v>3276</v>
      </c>
    </row>
    <row r="4882" spans="1:14" hidden="1" x14ac:dyDescent="0.25">
      <c r="A4882" s="19">
        <v>46023</v>
      </c>
      <c r="B4882" s="20" t="s">
        <v>162</v>
      </c>
      <c r="C4882" s="20">
        <v>45</v>
      </c>
      <c r="D4882" s="20" t="s">
        <v>253</v>
      </c>
      <c r="E4882" s="20" t="s">
        <v>2359</v>
      </c>
      <c r="F4882" s="20" t="s">
        <v>2457</v>
      </c>
      <c r="G4882" s="20" t="s">
        <v>82</v>
      </c>
      <c r="H4882" s="20"/>
      <c r="I4882" s="20"/>
      <c r="J4882" s="20" t="s">
        <v>203</v>
      </c>
      <c r="K4882" s="20" t="s">
        <v>255</v>
      </c>
      <c r="L4882" s="20">
        <v>21730000</v>
      </c>
      <c r="M4882" s="20" t="s">
        <v>242</v>
      </c>
      <c r="N4882" s="20" t="s">
        <v>2976</v>
      </c>
    </row>
    <row r="4883" spans="1:14" hidden="1" x14ac:dyDescent="0.25">
      <c r="A4883" s="19">
        <v>46023</v>
      </c>
      <c r="B4883" s="20" t="s">
        <v>162</v>
      </c>
      <c r="C4883" s="20">
        <v>45</v>
      </c>
      <c r="D4883" s="20" t="s">
        <v>253</v>
      </c>
      <c r="E4883" s="20" t="s">
        <v>2359</v>
      </c>
      <c r="F4883" s="20" t="s">
        <v>2457</v>
      </c>
      <c r="G4883" s="20" t="s">
        <v>82</v>
      </c>
      <c r="H4883" s="20"/>
      <c r="I4883" s="20"/>
      <c r="J4883" s="20" t="s">
        <v>204</v>
      </c>
      <c r="K4883" s="20" t="s">
        <v>255</v>
      </c>
      <c r="L4883" s="20">
        <v>23490000</v>
      </c>
      <c r="M4883" s="20" t="s">
        <v>242</v>
      </c>
      <c r="N4883" s="20" t="s">
        <v>3123</v>
      </c>
    </row>
    <row r="4884" spans="1:14" hidden="1" x14ac:dyDescent="0.25">
      <c r="A4884" s="19">
        <v>46023</v>
      </c>
      <c r="B4884" s="20" t="s">
        <v>162</v>
      </c>
      <c r="C4884" s="20">
        <v>45</v>
      </c>
      <c r="D4884" s="20" t="s">
        <v>253</v>
      </c>
      <c r="E4884" s="20" t="s">
        <v>2359</v>
      </c>
      <c r="F4884" s="20" t="s">
        <v>2457</v>
      </c>
      <c r="G4884" s="20" t="s">
        <v>82</v>
      </c>
      <c r="H4884" s="20"/>
      <c r="I4884" s="20"/>
      <c r="J4884" s="20" t="s">
        <v>205</v>
      </c>
      <c r="K4884" s="20" t="s">
        <v>255</v>
      </c>
      <c r="L4884" s="20">
        <v>24300000</v>
      </c>
      <c r="M4884" s="20" t="s">
        <v>242</v>
      </c>
      <c r="N4884" s="20" t="s">
        <v>3277</v>
      </c>
    </row>
    <row r="4885" spans="1:14" hidden="1" x14ac:dyDescent="0.25">
      <c r="A4885" s="19">
        <v>46023</v>
      </c>
      <c r="B4885" s="20" t="s">
        <v>162</v>
      </c>
      <c r="C4885" s="20">
        <v>45</v>
      </c>
      <c r="D4885" s="20" t="s">
        <v>247</v>
      </c>
      <c r="E4885" s="20" t="s">
        <v>2554</v>
      </c>
      <c r="F4885" s="20" t="s">
        <v>2556</v>
      </c>
      <c r="G4885" s="20" t="s">
        <v>82</v>
      </c>
      <c r="H4885" s="20" t="s">
        <v>286</v>
      </c>
      <c r="I4885" s="20"/>
      <c r="J4885" s="20" t="s">
        <v>205</v>
      </c>
      <c r="K4885" s="20" t="s">
        <v>250</v>
      </c>
      <c r="L4885" s="20">
        <v>3.4</v>
      </c>
      <c r="M4885" s="20" t="s">
        <v>251</v>
      </c>
      <c r="N4885" s="20" t="s">
        <v>314</v>
      </c>
    </row>
    <row r="4886" spans="1:14" hidden="1" x14ac:dyDescent="0.25">
      <c r="A4886" s="19">
        <v>46023</v>
      </c>
      <c r="B4886" s="20" t="s">
        <v>162</v>
      </c>
      <c r="C4886" s="20">
        <v>46</v>
      </c>
      <c r="D4886" s="20" t="s">
        <v>291</v>
      </c>
      <c r="E4886" s="20" t="s">
        <v>2361</v>
      </c>
      <c r="F4886" s="20" t="s">
        <v>2457</v>
      </c>
      <c r="G4886" s="20" t="s">
        <v>82</v>
      </c>
      <c r="H4886" s="20" t="s">
        <v>95</v>
      </c>
      <c r="I4886" s="20"/>
      <c r="J4886" s="20" t="s">
        <v>205</v>
      </c>
      <c r="K4886" s="20" t="s">
        <v>250</v>
      </c>
      <c r="L4886" s="20">
        <v>7160000</v>
      </c>
      <c r="M4886" s="20" t="s">
        <v>242</v>
      </c>
      <c r="N4886" s="20" t="s">
        <v>3278</v>
      </c>
    </row>
    <row r="4887" spans="1:14" hidden="1" x14ac:dyDescent="0.25">
      <c r="A4887" s="19">
        <v>46023</v>
      </c>
      <c r="B4887" s="20" t="s">
        <v>162</v>
      </c>
      <c r="C4887" s="20">
        <v>46</v>
      </c>
      <c r="D4887" s="20" t="s">
        <v>291</v>
      </c>
      <c r="E4887" s="20" t="s">
        <v>2361</v>
      </c>
      <c r="F4887" s="20" t="s">
        <v>2457</v>
      </c>
      <c r="G4887" s="20" t="s">
        <v>82</v>
      </c>
      <c r="H4887" s="20" t="s">
        <v>94</v>
      </c>
      <c r="I4887" s="20"/>
      <c r="J4887" s="20" t="s">
        <v>205</v>
      </c>
      <c r="K4887" s="20" t="s">
        <v>250</v>
      </c>
      <c r="L4887" s="20">
        <v>17140000</v>
      </c>
      <c r="M4887" s="20" t="s">
        <v>242</v>
      </c>
      <c r="N4887" s="20" t="s">
        <v>3279</v>
      </c>
    </row>
    <row r="4888" spans="1:14" hidden="1" x14ac:dyDescent="0.25">
      <c r="A4888" s="19">
        <v>46023</v>
      </c>
      <c r="B4888" s="20" t="s">
        <v>162</v>
      </c>
      <c r="C4888" s="20">
        <v>47</v>
      </c>
      <c r="D4888" s="20" t="s">
        <v>291</v>
      </c>
      <c r="E4888" s="20" t="s">
        <v>2361</v>
      </c>
      <c r="F4888" s="20" t="s">
        <v>2460</v>
      </c>
      <c r="G4888" s="20" t="s">
        <v>82</v>
      </c>
      <c r="H4888" s="20" t="s">
        <v>174</v>
      </c>
      <c r="I4888" s="20"/>
      <c r="J4888" s="20" t="s">
        <v>205</v>
      </c>
      <c r="K4888" s="20" t="s">
        <v>250</v>
      </c>
      <c r="L4888" s="20">
        <v>2990000</v>
      </c>
      <c r="M4888" s="20" t="s">
        <v>242</v>
      </c>
      <c r="N4888" s="20" t="s">
        <v>3280</v>
      </c>
    </row>
    <row r="4889" spans="1:14" hidden="1" x14ac:dyDescent="0.25">
      <c r="A4889" s="19">
        <v>46023</v>
      </c>
      <c r="B4889" s="20" t="s">
        <v>162</v>
      </c>
      <c r="C4889" s="20">
        <v>47</v>
      </c>
      <c r="D4889" s="20" t="s">
        <v>291</v>
      </c>
      <c r="E4889" s="20" t="s">
        <v>2361</v>
      </c>
      <c r="F4889" s="20" t="s">
        <v>2460</v>
      </c>
      <c r="G4889" s="20" t="s">
        <v>82</v>
      </c>
      <c r="H4889" s="20" t="s">
        <v>173</v>
      </c>
      <c r="I4889" s="20"/>
      <c r="J4889" s="20" t="s">
        <v>205</v>
      </c>
      <c r="K4889" s="20" t="s">
        <v>250</v>
      </c>
      <c r="L4889" s="20">
        <v>4340000</v>
      </c>
      <c r="M4889" s="20" t="s">
        <v>242</v>
      </c>
      <c r="N4889" s="20" t="s">
        <v>3281</v>
      </c>
    </row>
    <row r="4890" spans="1:14" hidden="1" x14ac:dyDescent="0.25">
      <c r="A4890" s="19">
        <v>46023</v>
      </c>
      <c r="B4890" s="20" t="s">
        <v>162</v>
      </c>
      <c r="C4890" s="20">
        <v>48</v>
      </c>
      <c r="D4890" s="20" t="s">
        <v>253</v>
      </c>
      <c r="E4890" s="20" t="s">
        <v>2359</v>
      </c>
      <c r="F4890" s="20" t="s">
        <v>1196</v>
      </c>
      <c r="G4890" s="20" t="s">
        <v>82</v>
      </c>
      <c r="H4890" s="20"/>
      <c r="I4890" s="20"/>
      <c r="J4890" s="20" t="s">
        <v>203</v>
      </c>
      <c r="K4890" s="20" t="s">
        <v>255</v>
      </c>
      <c r="L4890" s="20">
        <v>2250000000</v>
      </c>
      <c r="M4890" s="20" t="s">
        <v>245</v>
      </c>
      <c r="N4890" s="20" t="s">
        <v>2980</v>
      </c>
    </row>
    <row r="4891" spans="1:14" hidden="1" x14ac:dyDescent="0.25">
      <c r="A4891" s="19">
        <v>46023</v>
      </c>
      <c r="B4891" s="20" t="s">
        <v>162</v>
      </c>
      <c r="C4891" s="20">
        <v>48</v>
      </c>
      <c r="D4891" s="20" t="s">
        <v>253</v>
      </c>
      <c r="E4891" s="20" t="s">
        <v>2359</v>
      </c>
      <c r="F4891" s="20" t="s">
        <v>1196</v>
      </c>
      <c r="G4891" s="20" t="s">
        <v>82</v>
      </c>
      <c r="H4891" s="20"/>
      <c r="I4891" s="20"/>
      <c r="J4891" s="20" t="s">
        <v>204</v>
      </c>
      <c r="K4891" s="20" t="s">
        <v>255</v>
      </c>
      <c r="L4891" s="20">
        <v>2450000000</v>
      </c>
      <c r="M4891" s="20" t="s">
        <v>245</v>
      </c>
      <c r="N4891" s="20" t="s">
        <v>2273</v>
      </c>
    </row>
    <row r="4892" spans="1:14" hidden="1" x14ac:dyDescent="0.25">
      <c r="A4892" s="19">
        <v>46023</v>
      </c>
      <c r="B4892" s="20" t="s">
        <v>162</v>
      </c>
      <c r="C4892" s="20">
        <v>48</v>
      </c>
      <c r="D4892" s="20" t="s">
        <v>253</v>
      </c>
      <c r="E4892" s="20" t="s">
        <v>2359</v>
      </c>
      <c r="F4892" s="20" t="s">
        <v>1196</v>
      </c>
      <c r="G4892" s="20" t="s">
        <v>82</v>
      </c>
      <c r="H4892" s="20"/>
      <c r="I4892" s="20"/>
      <c r="J4892" s="20" t="s">
        <v>205</v>
      </c>
      <c r="K4892" s="20" t="s">
        <v>255</v>
      </c>
      <c r="L4892" s="20">
        <v>2480000000</v>
      </c>
      <c r="M4892" s="20" t="s">
        <v>245</v>
      </c>
      <c r="N4892" s="20" t="s">
        <v>3282</v>
      </c>
    </row>
    <row r="4893" spans="1:14" hidden="1" x14ac:dyDescent="0.25">
      <c r="A4893" s="19">
        <v>46023</v>
      </c>
      <c r="B4893" s="20" t="s">
        <v>162</v>
      </c>
      <c r="C4893" s="20">
        <v>48</v>
      </c>
      <c r="D4893" s="20" t="s">
        <v>247</v>
      </c>
      <c r="E4893" s="20" t="s">
        <v>2554</v>
      </c>
      <c r="F4893" s="20" t="s">
        <v>2557</v>
      </c>
      <c r="G4893" s="20" t="s">
        <v>82</v>
      </c>
      <c r="H4893" s="20" t="s">
        <v>286</v>
      </c>
      <c r="I4893" s="20"/>
      <c r="J4893" s="20" t="s">
        <v>205</v>
      </c>
      <c r="K4893" s="20" t="s">
        <v>250</v>
      </c>
      <c r="L4893" s="20">
        <v>1.5</v>
      </c>
      <c r="M4893" s="20" t="s">
        <v>251</v>
      </c>
      <c r="N4893" s="20" t="s">
        <v>446</v>
      </c>
    </row>
    <row r="4894" spans="1:14" hidden="1" x14ac:dyDescent="0.25">
      <c r="A4894" s="19">
        <v>46023</v>
      </c>
      <c r="B4894" s="20" t="s">
        <v>162</v>
      </c>
      <c r="C4894" s="20">
        <v>49</v>
      </c>
      <c r="D4894" s="20" t="s">
        <v>291</v>
      </c>
      <c r="E4894" s="20" t="s">
        <v>2361</v>
      </c>
      <c r="F4894" s="20" t="s">
        <v>2462</v>
      </c>
      <c r="G4894" s="20" t="s">
        <v>82</v>
      </c>
      <c r="H4894" s="20" t="s">
        <v>2446</v>
      </c>
      <c r="I4894" s="20" t="s">
        <v>2447</v>
      </c>
      <c r="J4894" s="20" t="s">
        <v>205</v>
      </c>
      <c r="K4894" s="20" t="s">
        <v>250</v>
      </c>
      <c r="L4894" s="20">
        <v>1620000000</v>
      </c>
      <c r="M4894" s="20" t="s">
        <v>245</v>
      </c>
      <c r="N4894" s="20" t="s">
        <v>3283</v>
      </c>
    </row>
    <row r="4895" spans="1:14" hidden="1" x14ac:dyDescent="0.25">
      <c r="A4895" s="19">
        <v>46023</v>
      </c>
      <c r="B4895" s="20" t="s">
        <v>162</v>
      </c>
      <c r="C4895" s="20">
        <v>49</v>
      </c>
      <c r="D4895" s="20" t="s">
        <v>291</v>
      </c>
      <c r="E4895" s="20" t="s">
        <v>2361</v>
      </c>
      <c r="F4895" s="20" t="s">
        <v>2462</v>
      </c>
      <c r="G4895" s="20" t="s">
        <v>82</v>
      </c>
      <c r="H4895" s="20" t="s">
        <v>2449</v>
      </c>
      <c r="I4895" s="20" t="s">
        <v>2447</v>
      </c>
      <c r="J4895" s="20" t="s">
        <v>205</v>
      </c>
      <c r="K4895" s="20" t="s">
        <v>250</v>
      </c>
      <c r="L4895" s="20">
        <v>297100000</v>
      </c>
      <c r="M4895" s="20" t="s">
        <v>245</v>
      </c>
      <c r="N4895" s="20" t="s">
        <v>3284</v>
      </c>
    </row>
    <row r="4896" spans="1:14" hidden="1" x14ac:dyDescent="0.25">
      <c r="A4896" s="19">
        <v>46023</v>
      </c>
      <c r="B4896" s="20" t="s">
        <v>162</v>
      </c>
      <c r="C4896" s="20">
        <v>49</v>
      </c>
      <c r="D4896" s="20" t="s">
        <v>291</v>
      </c>
      <c r="E4896" s="20" t="s">
        <v>2361</v>
      </c>
      <c r="F4896" s="20" t="s">
        <v>2462</v>
      </c>
      <c r="G4896" s="20" t="s">
        <v>82</v>
      </c>
      <c r="H4896" s="20" t="s">
        <v>2446</v>
      </c>
      <c r="I4896" s="20" t="s">
        <v>2451</v>
      </c>
      <c r="J4896" s="20" t="s">
        <v>205</v>
      </c>
      <c r="K4896" s="20" t="s">
        <v>250</v>
      </c>
      <c r="L4896" s="20">
        <v>274700000</v>
      </c>
      <c r="M4896" s="20" t="s">
        <v>245</v>
      </c>
      <c r="N4896" s="20" t="s">
        <v>2827</v>
      </c>
    </row>
    <row r="4897" spans="1:14" hidden="1" x14ac:dyDescent="0.25">
      <c r="A4897" s="19">
        <v>46023</v>
      </c>
      <c r="B4897" s="20" t="s">
        <v>162</v>
      </c>
      <c r="C4897" s="20">
        <v>49</v>
      </c>
      <c r="D4897" s="20" t="s">
        <v>291</v>
      </c>
      <c r="E4897" s="20" t="s">
        <v>2361</v>
      </c>
      <c r="F4897" s="20" t="s">
        <v>2462</v>
      </c>
      <c r="G4897" s="20" t="s">
        <v>82</v>
      </c>
      <c r="H4897" s="20" t="s">
        <v>2449</v>
      </c>
      <c r="I4897" s="20" t="s">
        <v>2451</v>
      </c>
      <c r="J4897" s="20" t="s">
        <v>205</v>
      </c>
      <c r="K4897" s="20" t="s">
        <v>250</v>
      </c>
      <c r="L4897" s="20">
        <v>285600000</v>
      </c>
      <c r="M4897" s="20" t="s">
        <v>245</v>
      </c>
      <c r="N4897" s="20" t="s">
        <v>3285</v>
      </c>
    </row>
    <row r="4898" spans="1:14" hidden="1" x14ac:dyDescent="0.25">
      <c r="A4898" s="19">
        <v>46023</v>
      </c>
      <c r="B4898" s="20" t="s">
        <v>162</v>
      </c>
      <c r="C4898" s="20">
        <v>49</v>
      </c>
      <c r="D4898" s="20" t="s">
        <v>291</v>
      </c>
      <c r="E4898" s="20" t="s">
        <v>2361</v>
      </c>
      <c r="F4898" s="20" t="s">
        <v>2462</v>
      </c>
      <c r="G4898" s="20" t="s">
        <v>82</v>
      </c>
      <c r="H4898" s="20" t="s">
        <v>2446</v>
      </c>
      <c r="I4898" s="20" t="s">
        <v>2454</v>
      </c>
      <c r="J4898" s="20" t="s">
        <v>205</v>
      </c>
      <c r="K4898" s="20" t="s">
        <v>250</v>
      </c>
      <c r="L4898" s="20">
        <v>143000</v>
      </c>
      <c r="M4898" s="20" t="s">
        <v>245</v>
      </c>
      <c r="N4898" s="20" t="s">
        <v>3286</v>
      </c>
    </row>
    <row r="4899" spans="1:14" hidden="1" x14ac:dyDescent="0.25">
      <c r="A4899" s="19">
        <v>46023</v>
      </c>
      <c r="B4899" s="20" t="s">
        <v>162</v>
      </c>
      <c r="C4899" s="20">
        <v>49</v>
      </c>
      <c r="D4899" s="20" t="s">
        <v>291</v>
      </c>
      <c r="E4899" s="20" t="s">
        <v>2361</v>
      </c>
      <c r="F4899" s="20" t="s">
        <v>2462</v>
      </c>
      <c r="G4899" s="20" t="s">
        <v>82</v>
      </c>
      <c r="H4899" s="20" t="s">
        <v>2449</v>
      </c>
      <c r="I4899" s="20" t="s">
        <v>2454</v>
      </c>
      <c r="J4899" s="20" t="s">
        <v>205</v>
      </c>
      <c r="K4899" s="20" t="s">
        <v>250</v>
      </c>
      <c r="L4899" s="20">
        <v>1300000</v>
      </c>
      <c r="M4899" s="20" t="s">
        <v>245</v>
      </c>
      <c r="N4899" s="20" t="s">
        <v>1430</v>
      </c>
    </row>
    <row r="4900" spans="1:14" hidden="1" x14ac:dyDescent="0.25">
      <c r="A4900" s="19">
        <v>46023</v>
      </c>
      <c r="B4900" s="20" t="s">
        <v>162</v>
      </c>
      <c r="C4900" s="20">
        <v>50</v>
      </c>
      <c r="D4900" s="20" t="s">
        <v>253</v>
      </c>
      <c r="E4900" s="20" t="s">
        <v>2359</v>
      </c>
      <c r="F4900" s="20" t="s">
        <v>2468</v>
      </c>
      <c r="G4900" s="20" t="s">
        <v>82</v>
      </c>
      <c r="H4900" s="20"/>
      <c r="I4900" s="20"/>
      <c r="J4900" s="20" t="s">
        <v>203</v>
      </c>
      <c r="K4900" s="20" t="s">
        <v>255</v>
      </c>
      <c r="L4900" s="20">
        <v>1690000000</v>
      </c>
      <c r="M4900" s="20" t="s">
        <v>245</v>
      </c>
      <c r="N4900" s="20" t="s">
        <v>673</v>
      </c>
    </row>
    <row r="4901" spans="1:14" hidden="1" x14ac:dyDescent="0.25">
      <c r="A4901" s="19">
        <v>46023</v>
      </c>
      <c r="B4901" s="20" t="s">
        <v>162</v>
      </c>
      <c r="C4901" s="20">
        <v>50</v>
      </c>
      <c r="D4901" s="20" t="s">
        <v>253</v>
      </c>
      <c r="E4901" s="20" t="s">
        <v>2359</v>
      </c>
      <c r="F4901" s="20" t="s">
        <v>2468</v>
      </c>
      <c r="G4901" s="20" t="s">
        <v>82</v>
      </c>
      <c r="H4901" s="20"/>
      <c r="I4901" s="20"/>
      <c r="J4901" s="20" t="s">
        <v>204</v>
      </c>
      <c r="K4901" s="20" t="s">
        <v>255</v>
      </c>
      <c r="L4901" s="20">
        <v>1830000000</v>
      </c>
      <c r="M4901" s="20" t="s">
        <v>245</v>
      </c>
      <c r="N4901" s="20" t="s">
        <v>1037</v>
      </c>
    </row>
    <row r="4902" spans="1:14" hidden="1" x14ac:dyDescent="0.25">
      <c r="A4902" s="19">
        <v>46023</v>
      </c>
      <c r="B4902" s="20" t="s">
        <v>162</v>
      </c>
      <c r="C4902" s="20">
        <v>50</v>
      </c>
      <c r="D4902" s="20" t="s">
        <v>253</v>
      </c>
      <c r="E4902" s="20" t="s">
        <v>2359</v>
      </c>
      <c r="F4902" s="20" t="s">
        <v>2468</v>
      </c>
      <c r="G4902" s="20" t="s">
        <v>82</v>
      </c>
      <c r="H4902" s="20"/>
      <c r="I4902" s="20"/>
      <c r="J4902" s="20" t="s">
        <v>205</v>
      </c>
      <c r="K4902" s="20" t="s">
        <v>255</v>
      </c>
      <c r="L4902" s="20">
        <v>1850000000</v>
      </c>
      <c r="M4902" s="20" t="s">
        <v>245</v>
      </c>
      <c r="N4902" s="20" t="s">
        <v>3287</v>
      </c>
    </row>
    <row r="4903" spans="1:14" hidden="1" x14ac:dyDescent="0.25">
      <c r="A4903" s="19">
        <v>46023</v>
      </c>
      <c r="B4903" s="20" t="s">
        <v>162</v>
      </c>
      <c r="C4903" s="20">
        <v>50</v>
      </c>
      <c r="D4903" s="20" t="s">
        <v>247</v>
      </c>
      <c r="E4903" s="20" t="s">
        <v>2554</v>
      </c>
      <c r="F4903" s="20" t="s">
        <v>2557</v>
      </c>
      <c r="G4903" s="20" t="s">
        <v>82</v>
      </c>
      <c r="H4903" s="20" t="s">
        <v>286</v>
      </c>
      <c r="I4903" s="20"/>
      <c r="J4903" s="20" t="s">
        <v>205</v>
      </c>
      <c r="K4903" s="20" t="s">
        <v>250</v>
      </c>
      <c r="L4903" s="20">
        <v>1.5</v>
      </c>
      <c r="M4903" s="20" t="s">
        <v>251</v>
      </c>
      <c r="N4903" s="20" t="s">
        <v>446</v>
      </c>
    </row>
    <row r="4904" spans="1:14" hidden="1" x14ac:dyDescent="0.25">
      <c r="A4904" s="19">
        <v>46023</v>
      </c>
      <c r="B4904" s="20" t="s">
        <v>162</v>
      </c>
      <c r="C4904" s="20">
        <v>51</v>
      </c>
      <c r="D4904" s="20" t="s">
        <v>291</v>
      </c>
      <c r="E4904" s="20" t="s">
        <v>2361</v>
      </c>
      <c r="F4904" s="20" t="s">
        <v>2468</v>
      </c>
      <c r="G4904" s="20" t="s">
        <v>82</v>
      </c>
      <c r="H4904" s="20" t="s">
        <v>95</v>
      </c>
      <c r="I4904" s="20"/>
      <c r="J4904" s="20" t="s">
        <v>205</v>
      </c>
      <c r="K4904" s="20" t="s">
        <v>250</v>
      </c>
      <c r="L4904" s="20">
        <v>391600000</v>
      </c>
      <c r="M4904" s="20" t="s">
        <v>245</v>
      </c>
      <c r="N4904" s="20" t="s">
        <v>3288</v>
      </c>
    </row>
    <row r="4905" spans="1:14" hidden="1" x14ac:dyDescent="0.25">
      <c r="A4905" s="19">
        <v>46023</v>
      </c>
      <c r="B4905" s="20" t="s">
        <v>162</v>
      </c>
      <c r="C4905" s="20">
        <v>51</v>
      </c>
      <c r="D4905" s="20" t="s">
        <v>291</v>
      </c>
      <c r="E4905" s="20" t="s">
        <v>2361</v>
      </c>
      <c r="F4905" s="20" t="s">
        <v>2468</v>
      </c>
      <c r="G4905" s="20" t="s">
        <v>82</v>
      </c>
      <c r="H4905" s="20" t="s">
        <v>94</v>
      </c>
      <c r="I4905" s="20"/>
      <c r="J4905" s="20" t="s">
        <v>205</v>
      </c>
      <c r="K4905" s="20" t="s">
        <v>250</v>
      </c>
      <c r="L4905" s="20">
        <v>1460000000</v>
      </c>
      <c r="M4905" s="20" t="s">
        <v>245</v>
      </c>
      <c r="N4905" s="20" t="s">
        <v>3132</v>
      </c>
    </row>
    <row r="4906" spans="1:14" hidden="1" x14ac:dyDescent="0.25">
      <c r="A4906" s="19">
        <v>46023</v>
      </c>
      <c r="B4906" s="20" t="s">
        <v>162</v>
      </c>
      <c r="C4906" s="20">
        <v>52</v>
      </c>
      <c r="D4906" s="20" t="s">
        <v>291</v>
      </c>
      <c r="E4906" s="20" t="s">
        <v>2361</v>
      </c>
      <c r="F4906" s="20" t="s">
        <v>2472</v>
      </c>
      <c r="G4906" s="20" t="s">
        <v>82</v>
      </c>
      <c r="H4906" s="20" t="s">
        <v>174</v>
      </c>
      <c r="I4906" s="20"/>
      <c r="J4906" s="20" t="s">
        <v>205</v>
      </c>
      <c r="K4906" s="20" t="s">
        <v>250</v>
      </c>
      <c r="L4906" s="20">
        <v>238000000</v>
      </c>
      <c r="M4906" s="20" t="s">
        <v>245</v>
      </c>
      <c r="N4906" s="20" t="s">
        <v>3289</v>
      </c>
    </row>
    <row r="4907" spans="1:14" hidden="1" x14ac:dyDescent="0.25">
      <c r="A4907" s="19">
        <v>46023</v>
      </c>
      <c r="B4907" s="20" t="s">
        <v>162</v>
      </c>
      <c r="C4907" s="20">
        <v>52</v>
      </c>
      <c r="D4907" s="20" t="s">
        <v>291</v>
      </c>
      <c r="E4907" s="20" t="s">
        <v>2361</v>
      </c>
      <c r="F4907" s="20" t="s">
        <v>2472</v>
      </c>
      <c r="G4907" s="20" t="s">
        <v>82</v>
      </c>
      <c r="H4907" s="20" t="s">
        <v>173</v>
      </c>
      <c r="I4907" s="20"/>
      <c r="J4907" s="20" t="s">
        <v>205</v>
      </c>
      <c r="K4907" s="20" t="s">
        <v>250</v>
      </c>
      <c r="L4907" s="20">
        <v>194500000</v>
      </c>
      <c r="M4907" s="20" t="s">
        <v>245</v>
      </c>
      <c r="N4907" s="20" t="s">
        <v>3290</v>
      </c>
    </row>
    <row r="4908" spans="1:14" hidden="1" x14ac:dyDescent="0.25">
      <c r="A4908" s="19">
        <v>46023</v>
      </c>
      <c r="B4908" s="20" t="s">
        <v>162</v>
      </c>
      <c r="C4908" s="20">
        <v>53</v>
      </c>
      <c r="D4908" s="20" t="s">
        <v>238</v>
      </c>
      <c r="E4908" s="20" t="s">
        <v>2341</v>
      </c>
      <c r="F4908" s="20" t="s">
        <v>334</v>
      </c>
      <c r="G4908" s="20" t="s">
        <v>82</v>
      </c>
      <c r="H4908" s="20" t="s">
        <v>179</v>
      </c>
      <c r="I4908" s="20"/>
      <c r="J4908" s="20" t="s">
        <v>205</v>
      </c>
      <c r="K4908" s="20" t="s">
        <v>250</v>
      </c>
      <c r="L4908" s="20">
        <v>10</v>
      </c>
      <c r="M4908" s="20" t="s">
        <v>245</v>
      </c>
      <c r="N4908" s="20" t="s">
        <v>2988</v>
      </c>
    </row>
    <row r="4909" spans="1:14" hidden="1" x14ac:dyDescent="0.25">
      <c r="A4909" s="19">
        <v>46023</v>
      </c>
      <c r="B4909" s="20" t="s">
        <v>162</v>
      </c>
      <c r="C4909" s="20">
        <v>53</v>
      </c>
      <c r="D4909" s="20" t="s">
        <v>238</v>
      </c>
      <c r="E4909" s="20" t="s">
        <v>2341</v>
      </c>
      <c r="F4909" s="20" t="s">
        <v>334</v>
      </c>
      <c r="G4909" s="20" t="s">
        <v>82</v>
      </c>
      <c r="H4909" s="20" t="s">
        <v>170</v>
      </c>
      <c r="I4909" s="20"/>
      <c r="J4909" s="20" t="s">
        <v>205</v>
      </c>
      <c r="K4909" s="20" t="s">
        <v>250</v>
      </c>
      <c r="L4909" s="20">
        <v>12</v>
      </c>
      <c r="M4909" s="20" t="s">
        <v>245</v>
      </c>
      <c r="N4909" s="20" t="s">
        <v>1773</v>
      </c>
    </row>
    <row r="4910" spans="1:14" hidden="1" x14ac:dyDescent="0.25">
      <c r="A4910" s="19">
        <v>46023</v>
      </c>
      <c r="B4910" s="20" t="s">
        <v>162</v>
      </c>
      <c r="C4910" s="20">
        <v>53</v>
      </c>
      <c r="D4910" s="20" t="s">
        <v>238</v>
      </c>
      <c r="E4910" s="20" t="s">
        <v>2341</v>
      </c>
      <c r="F4910" s="20" t="s">
        <v>334</v>
      </c>
      <c r="G4910" s="20" t="s">
        <v>82</v>
      </c>
      <c r="H4910" s="20" t="s">
        <v>178</v>
      </c>
      <c r="I4910" s="20"/>
      <c r="J4910" s="20" t="s">
        <v>205</v>
      </c>
      <c r="K4910" s="20" t="s">
        <v>250</v>
      </c>
      <c r="L4910" s="20">
        <v>35</v>
      </c>
      <c r="M4910" s="20" t="s">
        <v>245</v>
      </c>
      <c r="N4910" s="20" t="s">
        <v>3291</v>
      </c>
    </row>
    <row r="4911" spans="1:14" hidden="1" x14ac:dyDescent="0.25">
      <c r="A4911" s="19">
        <v>46023</v>
      </c>
      <c r="B4911" s="20" t="s">
        <v>162</v>
      </c>
      <c r="C4911" s="20">
        <v>53</v>
      </c>
      <c r="D4911" s="20" t="s">
        <v>238</v>
      </c>
      <c r="E4911" s="20" t="s">
        <v>2341</v>
      </c>
      <c r="F4911" s="20" t="s">
        <v>334</v>
      </c>
      <c r="G4911" s="20" t="s">
        <v>82</v>
      </c>
      <c r="H4911" s="20" t="s">
        <v>173</v>
      </c>
      <c r="I4911" s="20"/>
      <c r="J4911" s="20" t="s">
        <v>205</v>
      </c>
      <c r="K4911" s="20" t="s">
        <v>250</v>
      </c>
      <c r="L4911" s="20">
        <v>49</v>
      </c>
      <c r="M4911" s="20" t="s">
        <v>245</v>
      </c>
      <c r="N4911" s="20" t="s">
        <v>3292</v>
      </c>
    </row>
    <row r="4912" spans="1:14" hidden="1" x14ac:dyDescent="0.25">
      <c r="A4912" s="19">
        <v>46023</v>
      </c>
      <c r="B4912" s="20" t="s">
        <v>162</v>
      </c>
      <c r="C4912" s="20">
        <v>53</v>
      </c>
      <c r="D4912" s="20" t="s">
        <v>238</v>
      </c>
      <c r="E4912" s="20" t="s">
        <v>2341</v>
      </c>
      <c r="F4912" s="20" t="s">
        <v>334</v>
      </c>
      <c r="G4912" s="20" t="s">
        <v>82</v>
      </c>
      <c r="H4912" s="20" t="s">
        <v>174</v>
      </c>
      <c r="I4912" s="20"/>
      <c r="J4912" s="20" t="s">
        <v>205</v>
      </c>
      <c r="K4912" s="20" t="s">
        <v>250</v>
      </c>
      <c r="L4912" s="20">
        <v>84</v>
      </c>
      <c r="M4912" s="20" t="s">
        <v>245</v>
      </c>
      <c r="N4912" s="20" t="s">
        <v>3293</v>
      </c>
    </row>
    <row r="4913" spans="1:14" hidden="1" x14ac:dyDescent="0.25">
      <c r="A4913" s="19">
        <v>46023</v>
      </c>
      <c r="B4913" s="20" t="s">
        <v>162</v>
      </c>
      <c r="C4913" s="20">
        <v>53</v>
      </c>
      <c r="D4913" s="20" t="s">
        <v>238</v>
      </c>
      <c r="E4913" s="20" t="s">
        <v>2341</v>
      </c>
      <c r="F4913" s="20" t="s">
        <v>334</v>
      </c>
      <c r="G4913" s="20" t="s">
        <v>82</v>
      </c>
      <c r="H4913" s="20" t="s">
        <v>164</v>
      </c>
      <c r="I4913" s="20"/>
      <c r="J4913" s="20" t="s">
        <v>205</v>
      </c>
      <c r="K4913" s="20" t="s">
        <v>250</v>
      </c>
      <c r="L4913" s="20">
        <v>134</v>
      </c>
      <c r="M4913" s="20" t="s">
        <v>245</v>
      </c>
      <c r="N4913" s="20" t="s">
        <v>3294</v>
      </c>
    </row>
    <row r="4914" spans="1:14" hidden="1" x14ac:dyDescent="0.25">
      <c r="A4914" s="19">
        <v>46023</v>
      </c>
      <c r="B4914" s="20" t="s">
        <v>162</v>
      </c>
      <c r="C4914" s="20">
        <v>53</v>
      </c>
      <c r="D4914" s="20" t="s">
        <v>238</v>
      </c>
      <c r="E4914" s="20" t="s">
        <v>2341</v>
      </c>
      <c r="F4914" s="20" t="s">
        <v>455</v>
      </c>
      <c r="G4914" s="20" t="s">
        <v>82</v>
      </c>
      <c r="H4914" s="20"/>
      <c r="I4914" s="20"/>
      <c r="J4914" s="20" t="s">
        <v>205</v>
      </c>
      <c r="K4914" s="20" t="s">
        <v>250</v>
      </c>
      <c r="L4914" s="20">
        <v>86</v>
      </c>
      <c r="M4914" s="20" t="s">
        <v>245</v>
      </c>
      <c r="N4914" s="20" t="s">
        <v>2991</v>
      </c>
    </row>
    <row r="4915" spans="1:14" hidden="1" x14ac:dyDescent="0.25">
      <c r="A4915" s="19">
        <v>46023</v>
      </c>
      <c r="B4915" s="20" t="s">
        <v>1192</v>
      </c>
      <c r="C4915" s="20">
        <v>55</v>
      </c>
      <c r="D4915" s="20" t="s">
        <v>238</v>
      </c>
      <c r="E4915" s="20" t="s">
        <v>2341</v>
      </c>
      <c r="F4915" s="20" t="s">
        <v>240</v>
      </c>
      <c r="G4915" s="20" t="s">
        <v>82</v>
      </c>
      <c r="H4915" s="20"/>
      <c r="I4915" s="20"/>
      <c r="J4915" s="20" t="s">
        <v>3199</v>
      </c>
      <c r="K4915" s="20" t="s">
        <v>241</v>
      </c>
      <c r="L4915" s="20">
        <v>29530000</v>
      </c>
      <c r="M4915" s="20" t="s">
        <v>242</v>
      </c>
      <c r="N4915" s="20" t="s">
        <v>3270</v>
      </c>
    </row>
    <row r="4916" spans="1:14" hidden="1" x14ac:dyDescent="0.25">
      <c r="A4916" s="19">
        <v>46023</v>
      </c>
      <c r="B4916" s="20" t="s">
        <v>2481</v>
      </c>
      <c r="C4916" s="20">
        <v>55</v>
      </c>
      <c r="D4916" s="20" t="s">
        <v>238</v>
      </c>
      <c r="E4916" s="20" t="s">
        <v>2341</v>
      </c>
      <c r="F4916" s="20" t="s">
        <v>244</v>
      </c>
      <c r="G4916" s="20" t="s">
        <v>82</v>
      </c>
      <c r="H4916" s="20"/>
      <c r="I4916" s="20"/>
      <c r="J4916" s="20" t="s">
        <v>3199</v>
      </c>
      <c r="K4916" s="20" t="s">
        <v>241</v>
      </c>
      <c r="L4916" s="20">
        <v>2480000000</v>
      </c>
      <c r="M4916" s="20" t="s">
        <v>245</v>
      </c>
      <c r="N4916" s="20" t="s">
        <v>3271</v>
      </c>
    </row>
    <row r="4917" spans="1:14" hidden="1" x14ac:dyDescent="0.25">
      <c r="A4917" s="19">
        <v>46023</v>
      </c>
      <c r="B4917" s="20" t="s">
        <v>1192</v>
      </c>
      <c r="C4917" s="20">
        <v>55</v>
      </c>
      <c r="D4917" s="20" t="s">
        <v>238</v>
      </c>
      <c r="E4917" s="20" t="s">
        <v>2341</v>
      </c>
      <c r="F4917" s="20" t="s">
        <v>240</v>
      </c>
      <c r="G4917" s="20" t="s">
        <v>82</v>
      </c>
      <c r="H4917" s="20" t="s">
        <v>184</v>
      </c>
      <c r="I4917" s="20"/>
      <c r="J4917" s="20" t="s">
        <v>3199</v>
      </c>
      <c r="K4917" s="20" t="s">
        <v>241</v>
      </c>
      <c r="L4917" s="20">
        <v>17700000</v>
      </c>
      <c r="M4917" s="20" t="s">
        <v>242</v>
      </c>
      <c r="N4917" s="20" t="s">
        <v>3187</v>
      </c>
    </row>
    <row r="4918" spans="1:14" hidden="1" x14ac:dyDescent="0.25">
      <c r="A4918" s="19">
        <v>46023</v>
      </c>
      <c r="B4918" s="20" t="s">
        <v>1192</v>
      </c>
      <c r="C4918" s="20">
        <v>55</v>
      </c>
      <c r="D4918" s="20" t="s">
        <v>238</v>
      </c>
      <c r="E4918" s="20" t="s">
        <v>2341</v>
      </c>
      <c r="F4918" s="20" t="s">
        <v>240</v>
      </c>
      <c r="G4918" s="20" t="s">
        <v>82</v>
      </c>
      <c r="H4918" s="20" t="s">
        <v>185</v>
      </c>
      <c r="I4918" s="20"/>
      <c r="J4918" s="20" t="s">
        <v>3199</v>
      </c>
      <c r="K4918" s="20" t="s">
        <v>241</v>
      </c>
      <c r="L4918" s="20">
        <v>11830000</v>
      </c>
      <c r="M4918" s="20" t="s">
        <v>242</v>
      </c>
      <c r="N4918" s="20" t="s">
        <v>3189</v>
      </c>
    </row>
    <row r="4919" spans="1:14" hidden="1" x14ac:dyDescent="0.25">
      <c r="A4919" s="19">
        <v>46023</v>
      </c>
      <c r="B4919" s="20" t="s">
        <v>2481</v>
      </c>
      <c r="C4919" s="20">
        <v>55</v>
      </c>
      <c r="D4919" s="20" t="s">
        <v>238</v>
      </c>
      <c r="E4919" s="20" t="s">
        <v>2341</v>
      </c>
      <c r="F4919" s="20" t="s">
        <v>244</v>
      </c>
      <c r="G4919" s="20" t="s">
        <v>82</v>
      </c>
      <c r="H4919" s="20" t="s">
        <v>184</v>
      </c>
      <c r="I4919" s="20"/>
      <c r="J4919" s="20" t="s">
        <v>3199</v>
      </c>
      <c r="K4919" s="20" t="s">
        <v>241</v>
      </c>
      <c r="L4919" s="20">
        <v>1900000000</v>
      </c>
      <c r="M4919" s="20" t="s">
        <v>245</v>
      </c>
      <c r="N4919" s="20" t="s">
        <v>3200</v>
      </c>
    </row>
    <row r="4920" spans="1:14" hidden="1" x14ac:dyDescent="0.25">
      <c r="A4920" s="19">
        <v>46023</v>
      </c>
      <c r="B4920" s="20" t="s">
        <v>2481</v>
      </c>
      <c r="C4920" s="20">
        <v>55</v>
      </c>
      <c r="D4920" s="20" t="s">
        <v>238</v>
      </c>
      <c r="E4920" s="20" t="s">
        <v>2341</v>
      </c>
      <c r="F4920" s="20" t="s">
        <v>244</v>
      </c>
      <c r="G4920" s="20" t="s">
        <v>82</v>
      </c>
      <c r="H4920" s="20" t="s">
        <v>185</v>
      </c>
      <c r="I4920" s="20"/>
      <c r="J4920" s="20" t="s">
        <v>3199</v>
      </c>
      <c r="K4920" s="20" t="s">
        <v>241</v>
      </c>
      <c r="L4920" s="20">
        <v>580000000</v>
      </c>
      <c r="M4920" s="20" t="s">
        <v>245</v>
      </c>
      <c r="N4920" s="20" t="s">
        <v>3223</v>
      </c>
    </row>
    <row r="4921" spans="1:14" hidden="1" x14ac:dyDescent="0.25">
      <c r="A4921" s="19">
        <v>46023</v>
      </c>
      <c r="B4921" s="20" t="s">
        <v>2481</v>
      </c>
      <c r="C4921" s="20">
        <v>56</v>
      </c>
      <c r="D4921" s="20" t="s">
        <v>238</v>
      </c>
      <c r="E4921" s="20" t="s">
        <v>2341</v>
      </c>
      <c r="F4921" s="20" t="s">
        <v>285</v>
      </c>
      <c r="G4921" s="20" t="s">
        <v>63</v>
      </c>
      <c r="H4921" s="20" t="s">
        <v>1202</v>
      </c>
      <c r="I4921" s="20"/>
      <c r="J4921" s="20" t="s">
        <v>3199</v>
      </c>
      <c r="K4921" s="20" t="s">
        <v>241</v>
      </c>
      <c r="L4921" s="20">
        <v>1070000</v>
      </c>
      <c r="M4921" s="20" t="s">
        <v>242</v>
      </c>
      <c r="N4921" s="20" t="s">
        <v>3138</v>
      </c>
    </row>
    <row r="4922" spans="1:14" hidden="1" x14ac:dyDescent="0.25">
      <c r="A4922" s="19">
        <v>46023</v>
      </c>
      <c r="B4922" s="20" t="s">
        <v>2481</v>
      </c>
      <c r="C4922" s="20">
        <v>56</v>
      </c>
      <c r="D4922" s="20" t="s">
        <v>238</v>
      </c>
      <c r="E4922" s="20" t="s">
        <v>2341</v>
      </c>
      <c r="F4922" s="20" t="s">
        <v>285</v>
      </c>
      <c r="G4922" s="20" t="s">
        <v>63</v>
      </c>
      <c r="H4922" s="20" t="s">
        <v>1204</v>
      </c>
      <c r="I4922" s="20"/>
      <c r="J4922" s="20" t="s">
        <v>3199</v>
      </c>
      <c r="K4922" s="20" t="s">
        <v>241</v>
      </c>
      <c r="L4922" s="20">
        <v>1760000</v>
      </c>
      <c r="M4922" s="20" t="s">
        <v>242</v>
      </c>
      <c r="N4922" s="20" t="s">
        <v>3295</v>
      </c>
    </row>
    <row r="4923" spans="1:14" hidden="1" x14ac:dyDescent="0.25">
      <c r="A4923" s="19">
        <v>46023</v>
      </c>
      <c r="B4923" s="20" t="s">
        <v>2481</v>
      </c>
      <c r="C4923" s="20">
        <v>56</v>
      </c>
      <c r="D4923" s="20" t="s">
        <v>238</v>
      </c>
      <c r="E4923" s="20" t="s">
        <v>2341</v>
      </c>
      <c r="F4923" s="20" t="s">
        <v>285</v>
      </c>
      <c r="G4923" s="20" t="s">
        <v>63</v>
      </c>
      <c r="H4923" s="20" t="s">
        <v>1200</v>
      </c>
      <c r="I4923" s="20"/>
      <c r="J4923" s="20" t="s">
        <v>3199</v>
      </c>
      <c r="K4923" s="20" t="s">
        <v>241</v>
      </c>
      <c r="L4923" s="20">
        <v>1090000</v>
      </c>
      <c r="M4923" s="20" t="s">
        <v>242</v>
      </c>
      <c r="N4923" s="20" t="s">
        <v>312</v>
      </c>
    </row>
    <row r="4924" spans="1:14" hidden="1" x14ac:dyDescent="0.25">
      <c r="A4924" s="19">
        <v>46023</v>
      </c>
      <c r="B4924" s="20" t="s">
        <v>2481</v>
      </c>
      <c r="C4924" s="20">
        <v>56</v>
      </c>
      <c r="D4924" s="20" t="s">
        <v>238</v>
      </c>
      <c r="E4924" s="20" t="s">
        <v>2341</v>
      </c>
      <c r="F4924" s="20" t="s">
        <v>285</v>
      </c>
      <c r="G4924" s="20" t="s">
        <v>63</v>
      </c>
      <c r="H4924" s="20"/>
      <c r="I4924" s="20"/>
      <c r="J4924" s="20" t="s">
        <v>3199</v>
      </c>
      <c r="K4924" s="20" t="s">
        <v>241</v>
      </c>
      <c r="L4924" s="20">
        <v>3970000</v>
      </c>
      <c r="M4924" s="20" t="s">
        <v>242</v>
      </c>
      <c r="N4924" s="20" t="s">
        <v>1403</v>
      </c>
    </row>
    <row r="4925" spans="1:14" hidden="1" x14ac:dyDescent="0.25">
      <c r="A4925" s="19">
        <v>46023</v>
      </c>
      <c r="B4925" s="20" t="s">
        <v>2481</v>
      </c>
      <c r="C4925" s="20">
        <v>57</v>
      </c>
      <c r="D4925" s="20" t="s">
        <v>238</v>
      </c>
      <c r="E4925" s="20" t="s">
        <v>2341</v>
      </c>
      <c r="F4925" s="20" t="s">
        <v>1194</v>
      </c>
      <c r="G4925" s="20" t="s">
        <v>82</v>
      </c>
      <c r="H4925" s="20"/>
      <c r="I4925" s="20"/>
      <c r="J4925" s="20" t="s">
        <v>205</v>
      </c>
      <c r="K4925" s="20" t="s">
        <v>250</v>
      </c>
      <c r="L4925" s="20">
        <v>29530000</v>
      </c>
      <c r="M4925" s="20" t="s">
        <v>242</v>
      </c>
      <c r="N4925" s="20" t="s">
        <v>3270</v>
      </c>
    </row>
    <row r="4926" spans="1:14" hidden="1" x14ac:dyDescent="0.25">
      <c r="A4926" s="19">
        <v>46023</v>
      </c>
      <c r="B4926" s="20" t="s">
        <v>2481</v>
      </c>
      <c r="C4926" s="20">
        <v>57</v>
      </c>
      <c r="D4926" s="20" t="s">
        <v>238</v>
      </c>
      <c r="E4926" s="20" t="s">
        <v>2341</v>
      </c>
      <c r="F4926" s="20" t="s">
        <v>2487</v>
      </c>
      <c r="G4926" s="20" t="s">
        <v>82</v>
      </c>
      <c r="H4926" s="20" t="s">
        <v>184</v>
      </c>
      <c r="I4926" s="20"/>
      <c r="J4926" s="20" t="s">
        <v>205</v>
      </c>
      <c r="K4926" s="20" t="s">
        <v>250</v>
      </c>
      <c r="L4926" s="20">
        <v>17700000</v>
      </c>
      <c r="M4926" s="20" t="s">
        <v>242</v>
      </c>
      <c r="N4926" s="20" t="s">
        <v>3187</v>
      </c>
    </row>
    <row r="4927" spans="1:14" hidden="1" x14ac:dyDescent="0.25">
      <c r="A4927" s="19">
        <v>46023</v>
      </c>
      <c r="B4927" s="20" t="s">
        <v>2481</v>
      </c>
      <c r="C4927" s="20">
        <v>57</v>
      </c>
      <c r="D4927" s="20" t="s">
        <v>238</v>
      </c>
      <c r="E4927" s="20" t="s">
        <v>2341</v>
      </c>
      <c r="F4927" s="20" t="s">
        <v>2488</v>
      </c>
      <c r="G4927" s="20" t="s">
        <v>82</v>
      </c>
      <c r="H4927" s="20" t="s">
        <v>185</v>
      </c>
      <c r="I4927" s="20"/>
      <c r="J4927" s="20" t="s">
        <v>205</v>
      </c>
      <c r="K4927" s="20" t="s">
        <v>250</v>
      </c>
      <c r="L4927" s="20">
        <v>11830000</v>
      </c>
      <c r="M4927" s="20" t="s">
        <v>242</v>
      </c>
      <c r="N4927" s="20" t="s">
        <v>3189</v>
      </c>
    </row>
    <row r="4928" spans="1:14" hidden="1" x14ac:dyDescent="0.25">
      <c r="A4928" s="19">
        <v>46023</v>
      </c>
      <c r="B4928" s="20" t="s">
        <v>2481</v>
      </c>
      <c r="C4928" s="20">
        <v>58</v>
      </c>
      <c r="D4928" s="20" t="s">
        <v>238</v>
      </c>
      <c r="E4928" s="20" t="s">
        <v>2341</v>
      </c>
      <c r="F4928" s="20" t="s">
        <v>1196</v>
      </c>
      <c r="G4928" s="20" t="s">
        <v>82</v>
      </c>
      <c r="H4928" s="20"/>
      <c r="I4928" s="20"/>
      <c r="J4928" s="20" t="s">
        <v>205</v>
      </c>
      <c r="K4928" s="20" t="s">
        <v>250</v>
      </c>
      <c r="L4928" s="20">
        <v>2480000000</v>
      </c>
      <c r="M4928" s="20" t="s">
        <v>245</v>
      </c>
      <c r="N4928" s="20" t="s">
        <v>3296</v>
      </c>
    </row>
    <row r="4929" spans="1:14" hidden="1" x14ac:dyDescent="0.25">
      <c r="A4929" s="19">
        <v>46023</v>
      </c>
      <c r="B4929" s="20" t="s">
        <v>2481</v>
      </c>
      <c r="C4929" s="20">
        <v>58</v>
      </c>
      <c r="D4929" s="20" t="s">
        <v>238</v>
      </c>
      <c r="E4929" s="20" t="s">
        <v>2341</v>
      </c>
      <c r="F4929" s="20" t="s">
        <v>2489</v>
      </c>
      <c r="G4929" s="20" t="s">
        <v>82</v>
      </c>
      <c r="H4929" s="20" t="s">
        <v>184</v>
      </c>
      <c r="I4929" s="20"/>
      <c r="J4929" s="20" t="s">
        <v>205</v>
      </c>
      <c r="K4929" s="20" t="s">
        <v>250</v>
      </c>
      <c r="L4929" s="20">
        <v>1900000000</v>
      </c>
      <c r="M4929" s="20" t="s">
        <v>245</v>
      </c>
      <c r="N4929" s="20" t="s">
        <v>3188</v>
      </c>
    </row>
    <row r="4930" spans="1:14" hidden="1" x14ac:dyDescent="0.25">
      <c r="A4930" s="19">
        <v>46023</v>
      </c>
      <c r="B4930" s="20" t="s">
        <v>2481</v>
      </c>
      <c r="C4930" s="20">
        <v>58</v>
      </c>
      <c r="D4930" s="20" t="s">
        <v>238</v>
      </c>
      <c r="E4930" s="20" t="s">
        <v>2341</v>
      </c>
      <c r="F4930" s="20" t="s">
        <v>2490</v>
      </c>
      <c r="G4930" s="20" t="s">
        <v>82</v>
      </c>
      <c r="H4930" s="20" t="s">
        <v>185</v>
      </c>
      <c r="I4930" s="20"/>
      <c r="J4930" s="20" t="s">
        <v>205</v>
      </c>
      <c r="K4930" s="20" t="s">
        <v>250</v>
      </c>
      <c r="L4930" s="20">
        <v>580000000</v>
      </c>
      <c r="M4930" s="20" t="s">
        <v>245</v>
      </c>
      <c r="N4930" s="20" t="s">
        <v>3190</v>
      </c>
    </row>
    <row r="4931" spans="1:14" hidden="1" x14ac:dyDescent="0.25">
      <c r="A4931" s="19">
        <v>46023</v>
      </c>
      <c r="B4931" s="20" t="s">
        <v>2481</v>
      </c>
      <c r="C4931" s="20">
        <v>59</v>
      </c>
      <c r="D4931" s="20" t="s">
        <v>238</v>
      </c>
      <c r="E4931" s="20" t="s">
        <v>2341</v>
      </c>
      <c r="F4931" s="20" t="s">
        <v>1213</v>
      </c>
      <c r="G4931" s="20" t="s">
        <v>82</v>
      </c>
      <c r="H4931" s="20"/>
      <c r="I4931" s="20"/>
      <c r="J4931" s="20" t="s">
        <v>205</v>
      </c>
      <c r="K4931" s="20" t="s">
        <v>250</v>
      </c>
      <c r="L4931" s="20">
        <v>84.1</v>
      </c>
      <c r="M4931" s="20" t="s">
        <v>245</v>
      </c>
      <c r="N4931" s="20" t="s">
        <v>3297</v>
      </c>
    </row>
    <row r="4932" spans="1:14" hidden="1" x14ac:dyDescent="0.25">
      <c r="A4932" s="19">
        <v>46023</v>
      </c>
      <c r="B4932" s="20" t="s">
        <v>2481</v>
      </c>
      <c r="C4932" s="20">
        <v>59</v>
      </c>
      <c r="D4932" s="20" t="s">
        <v>238</v>
      </c>
      <c r="E4932" s="20" t="s">
        <v>2341</v>
      </c>
      <c r="F4932" s="20" t="s">
        <v>2493</v>
      </c>
      <c r="G4932" s="20" t="s">
        <v>82</v>
      </c>
      <c r="H4932" s="20" t="s">
        <v>184</v>
      </c>
      <c r="I4932" s="20"/>
      <c r="J4932" s="20" t="s">
        <v>205</v>
      </c>
      <c r="K4932" s="20" t="s">
        <v>250</v>
      </c>
      <c r="L4932" s="20">
        <v>107.2</v>
      </c>
      <c r="M4932" s="20" t="s">
        <v>245</v>
      </c>
      <c r="N4932" s="20" t="s">
        <v>3298</v>
      </c>
    </row>
    <row r="4933" spans="1:14" hidden="1" x14ac:dyDescent="0.25">
      <c r="A4933" s="19">
        <v>46023</v>
      </c>
      <c r="B4933" s="20" t="s">
        <v>2481</v>
      </c>
      <c r="C4933" s="20">
        <v>59</v>
      </c>
      <c r="D4933" s="20" t="s">
        <v>238</v>
      </c>
      <c r="E4933" s="20" t="s">
        <v>2341</v>
      </c>
      <c r="F4933" s="20" t="s">
        <v>2495</v>
      </c>
      <c r="G4933" s="20" t="s">
        <v>82</v>
      </c>
      <c r="H4933" s="20" t="s">
        <v>185</v>
      </c>
      <c r="I4933" s="20"/>
      <c r="J4933" s="20" t="s">
        <v>205</v>
      </c>
      <c r="K4933" s="20" t="s">
        <v>250</v>
      </c>
      <c r="L4933" s="20">
        <v>49.4</v>
      </c>
      <c r="M4933" s="20" t="s">
        <v>245</v>
      </c>
      <c r="N4933" s="20" t="s">
        <v>3299</v>
      </c>
    </row>
    <row r="4934" spans="1:14" hidden="1" x14ac:dyDescent="0.25">
      <c r="A4934" s="19">
        <v>46023</v>
      </c>
      <c r="B4934" s="20" t="s">
        <v>120</v>
      </c>
      <c r="C4934" s="20">
        <v>61</v>
      </c>
      <c r="D4934" s="20" t="s">
        <v>238</v>
      </c>
      <c r="E4934" s="20" t="s">
        <v>2341</v>
      </c>
      <c r="F4934" s="20" t="s">
        <v>240</v>
      </c>
      <c r="G4934" s="20" t="s">
        <v>82</v>
      </c>
      <c r="H4934" s="20"/>
      <c r="I4934" s="20"/>
      <c r="J4934" s="20" t="s">
        <v>3199</v>
      </c>
      <c r="K4934" s="20" t="s">
        <v>241</v>
      </c>
      <c r="L4934" s="20">
        <v>6530000</v>
      </c>
      <c r="M4934" s="20" t="s">
        <v>242</v>
      </c>
      <c r="N4934" s="20" t="s">
        <v>2210</v>
      </c>
    </row>
    <row r="4935" spans="1:14" hidden="1" x14ac:dyDescent="0.25">
      <c r="A4935" s="19">
        <v>46023</v>
      </c>
      <c r="B4935" s="20" t="s">
        <v>120</v>
      </c>
      <c r="C4935" s="20">
        <v>61</v>
      </c>
      <c r="D4935" s="20" t="s">
        <v>238</v>
      </c>
      <c r="E4935" s="20" t="s">
        <v>2341</v>
      </c>
      <c r="F4935" s="20" t="s">
        <v>244</v>
      </c>
      <c r="G4935" s="20" t="s">
        <v>82</v>
      </c>
      <c r="H4935" s="20"/>
      <c r="I4935" s="20"/>
      <c r="J4935" s="20" t="s">
        <v>3199</v>
      </c>
      <c r="K4935" s="20" t="s">
        <v>241</v>
      </c>
      <c r="L4935" s="20">
        <v>1390000000</v>
      </c>
      <c r="M4935" s="20" t="s">
        <v>245</v>
      </c>
      <c r="N4935" s="20" t="s">
        <v>1932</v>
      </c>
    </row>
    <row r="4936" spans="1:14" hidden="1" x14ac:dyDescent="0.25">
      <c r="A4936" s="19">
        <v>46023</v>
      </c>
      <c r="B4936" s="20" t="s">
        <v>120</v>
      </c>
      <c r="C4936" s="20">
        <v>62</v>
      </c>
      <c r="D4936" s="20" t="s">
        <v>253</v>
      </c>
      <c r="E4936" s="20" t="s">
        <v>2359</v>
      </c>
      <c r="F4936" s="20" t="s">
        <v>285</v>
      </c>
      <c r="G4936" s="20" t="s">
        <v>63</v>
      </c>
      <c r="H4936" s="20"/>
      <c r="I4936" s="20"/>
      <c r="J4936" s="20" t="s">
        <v>203</v>
      </c>
      <c r="K4936" s="20" t="s">
        <v>255</v>
      </c>
      <c r="L4936" s="20">
        <v>5000000</v>
      </c>
      <c r="M4936" s="20" t="s">
        <v>242</v>
      </c>
      <c r="N4936" s="20" t="s">
        <v>3003</v>
      </c>
    </row>
    <row r="4937" spans="1:14" hidden="1" x14ac:dyDescent="0.25">
      <c r="A4937" s="19">
        <v>46023</v>
      </c>
      <c r="B4937" s="20" t="s">
        <v>120</v>
      </c>
      <c r="C4937" s="20">
        <v>62</v>
      </c>
      <c r="D4937" s="20" t="s">
        <v>253</v>
      </c>
      <c r="E4937" s="20" t="s">
        <v>2359</v>
      </c>
      <c r="F4937" s="20" t="s">
        <v>285</v>
      </c>
      <c r="G4937" s="20" t="s">
        <v>63</v>
      </c>
      <c r="H4937" s="20"/>
      <c r="I4937" s="20"/>
      <c r="J4937" s="20" t="s">
        <v>204</v>
      </c>
      <c r="K4937" s="20" t="s">
        <v>255</v>
      </c>
      <c r="L4937" s="20">
        <v>5040000</v>
      </c>
      <c r="M4937" s="20" t="s">
        <v>242</v>
      </c>
      <c r="N4937" s="20" t="s">
        <v>486</v>
      </c>
    </row>
    <row r="4938" spans="1:14" hidden="1" x14ac:dyDescent="0.25">
      <c r="A4938" s="19">
        <v>46023</v>
      </c>
      <c r="B4938" s="20" t="s">
        <v>120</v>
      </c>
      <c r="C4938" s="20">
        <v>62</v>
      </c>
      <c r="D4938" s="20" t="s">
        <v>253</v>
      </c>
      <c r="E4938" s="20" t="s">
        <v>2359</v>
      </c>
      <c r="F4938" s="20" t="s">
        <v>285</v>
      </c>
      <c r="G4938" s="20" t="s">
        <v>63</v>
      </c>
      <c r="H4938" s="20"/>
      <c r="I4938" s="20"/>
      <c r="J4938" s="20" t="s">
        <v>205</v>
      </c>
      <c r="K4938" s="20" t="s">
        <v>255</v>
      </c>
      <c r="L4938" s="20">
        <v>5090000</v>
      </c>
      <c r="M4938" s="20" t="s">
        <v>242</v>
      </c>
      <c r="N4938" s="20" t="s">
        <v>3300</v>
      </c>
    </row>
    <row r="4939" spans="1:14" hidden="1" x14ac:dyDescent="0.25">
      <c r="A4939" s="19">
        <v>46023</v>
      </c>
      <c r="B4939" s="20" t="s">
        <v>120</v>
      </c>
      <c r="C4939" s="20">
        <v>62</v>
      </c>
      <c r="D4939" s="20" t="s">
        <v>247</v>
      </c>
      <c r="E4939" s="20" t="s">
        <v>2554</v>
      </c>
      <c r="F4939" s="20" t="s">
        <v>2555</v>
      </c>
      <c r="G4939" s="20" t="s">
        <v>63</v>
      </c>
      <c r="H4939" s="20" t="s">
        <v>286</v>
      </c>
      <c r="I4939" s="20"/>
      <c r="J4939" s="20" t="s">
        <v>205</v>
      </c>
      <c r="K4939" s="20" t="s">
        <v>250</v>
      </c>
      <c r="L4939" s="20">
        <v>0.9</v>
      </c>
      <c r="M4939" s="20" t="s">
        <v>251</v>
      </c>
      <c r="N4939" s="20" t="s">
        <v>845</v>
      </c>
    </row>
    <row r="4940" spans="1:14" hidden="1" x14ac:dyDescent="0.25">
      <c r="A4940" s="19">
        <v>46023</v>
      </c>
      <c r="B4940" s="20" t="s">
        <v>120</v>
      </c>
      <c r="C4940" s="20">
        <v>63</v>
      </c>
      <c r="D4940" s="20" t="s">
        <v>291</v>
      </c>
      <c r="E4940" s="20" t="s">
        <v>2361</v>
      </c>
      <c r="F4940" s="20" t="s">
        <v>285</v>
      </c>
      <c r="G4940" s="20" t="s">
        <v>63</v>
      </c>
      <c r="H4940" s="20" t="s">
        <v>122</v>
      </c>
      <c r="I4940" s="20"/>
      <c r="J4940" s="20" t="s">
        <v>205</v>
      </c>
      <c r="K4940" s="20" t="s">
        <v>250</v>
      </c>
      <c r="L4940" s="20">
        <v>5040000</v>
      </c>
      <c r="M4940" s="20" t="s">
        <v>242</v>
      </c>
      <c r="N4940" s="20" t="s">
        <v>539</v>
      </c>
    </row>
    <row r="4941" spans="1:14" hidden="1" x14ac:dyDescent="0.25">
      <c r="A4941" s="19">
        <v>46023</v>
      </c>
      <c r="B4941" s="20" t="s">
        <v>120</v>
      </c>
      <c r="C4941" s="20">
        <v>63</v>
      </c>
      <c r="D4941" s="20" t="s">
        <v>291</v>
      </c>
      <c r="E4941" s="20" t="s">
        <v>2361</v>
      </c>
      <c r="F4941" s="20" t="s">
        <v>285</v>
      </c>
      <c r="G4941" s="20" t="s">
        <v>63</v>
      </c>
      <c r="H4941" s="20" t="s">
        <v>123</v>
      </c>
      <c r="I4941" s="20"/>
      <c r="J4941" s="20" t="s">
        <v>205</v>
      </c>
      <c r="K4941" s="20" t="s">
        <v>250</v>
      </c>
      <c r="L4941" s="20">
        <v>46200</v>
      </c>
      <c r="M4941" s="20" t="s">
        <v>242</v>
      </c>
      <c r="N4941" s="20" t="s">
        <v>3301</v>
      </c>
    </row>
    <row r="4942" spans="1:14" hidden="1" x14ac:dyDescent="0.25">
      <c r="A4942" s="19">
        <v>46023</v>
      </c>
      <c r="B4942" s="20" t="s">
        <v>120</v>
      </c>
      <c r="C4942" s="20">
        <v>63</v>
      </c>
      <c r="D4942" s="20" t="s">
        <v>238</v>
      </c>
      <c r="E4942" s="20" t="s">
        <v>2341</v>
      </c>
      <c r="F4942" s="20" t="s">
        <v>376</v>
      </c>
      <c r="G4942" s="20" t="s">
        <v>63</v>
      </c>
      <c r="H4942" s="20"/>
      <c r="I4942" s="20"/>
      <c r="J4942" s="20" t="s">
        <v>205</v>
      </c>
      <c r="K4942" s="20" t="s">
        <v>250</v>
      </c>
      <c r="L4942" s="20">
        <v>5090000</v>
      </c>
      <c r="M4942" s="20" t="s">
        <v>242</v>
      </c>
      <c r="N4942" s="20" t="s">
        <v>883</v>
      </c>
    </row>
    <row r="4943" spans="1:14" hidden="1" x14ac:dyDescent="0.25">
      <c r="A4943" s="19">
        <v>46023</v>
      </c>
      <c r="B4943" s="20" t="s">
        <v>120</v>
      </c>
      <c r="C4943" s="20">
        <v>64</v>
      </c>
      <c r="D4943" s="20" t="s">
        <v>238</v>
      </c>
      <c r="E4943" s="20" t="s">
        <v>2341</v>
      </c>
      <c r="F4943" s="20" t="s">
        <v>378</v>
      </c>
      <c r="G4943" s="20" t="s">
        <v>379</v>
      </c>
      <c r="H4943" s="20"/>
      <c r="I4943" s="20"/>
      <c r="J4943" s="20" t="s">
        <v>205</v>
      </c>
      <c r="K4943" s="20" t="s">
        <v>250</v>
      </c>
      <c r="L4943" s="20">
        <v>686</v>
      </c>
      <c r="M4943" s="20" t="s">
        <v>242</v>
      </c>
      <c r="N4943" s="20" t="s">
        <v>3191</v>
      </c>
    </row>
    <row r="4944" spans="1:14" hidden="1" x14ac:dyDescent="0.25">
      <c r="A4944" s="19">
        <v>46023</v>
      </c>
      <c r="B4944" s="20" t="s">
        <v>120</v>
      </c>
      <c r="C4944" s="20">
        <v>64</v>
      </c>
      <c r="D4944" s="20" t="s">
        <v>238</v>
      </c>
      <c r="E4944" s="20" t="s">
        <v>2341</v>
      </c>
      <c r="F4944" s="20" t="s">
        <v>381</v>
      </c>
      <c r="G4944" s="20" t="s">
        <v>382</v>
      </c>
      <c r="H4944" s="20"/>
      <c r="I4944" s="20"/>
      <c r="J4944" s="20" t="s">
        <v>205</v>
      </c>
      <c r="K4944" s="20" t="s">
        <v>250</v>
      </c>
      <c r="L4944" s="20">
        <v>2346</v>
      </c>
      <c r="M4944" s="20" t="s">
        <v>242</v>
      </c>
      <c r="N4944" s="20" t="s">
        <v>3192</v>
      </c>
    </row>
    <row r="4945" spans="1:14" hidden="1" x14ac:dyDescent="0.25">
      <c r="A4945" s="19">
        <v>46023</v>
      </c>
      <c r="B4945" s="20" t="s">
        <v>120</v>
      </c>
      <c r="C4945" s="20">
        <v>65</v>
      </c>
      <c r="D4945" s="20" t="s">
        <v>253</v>
      </c>
      <c r="E4945" s="20" t="s">
        <v>2359</v>
      </c>
      <c r="F4945" s="20" t="s">
        <v>240</v>
      </c>
      <c r="G4945" s="20" t="s">
        <v>82</v>
      </c>
      <c r="H4945" s="20"/>
      <c r="I4945" s="20"/>
      <c r="J4945" s="20" t="s">
        <v>203</v>
      </c>
      <c r="K4945" s="20" t="s">
        <v>255</v>
      </c>
      <c r="L4945" s="20">
        <v>6520000</v>
      </c>
      <c r="M4945" s="20" t="s">
        <v>242</v>
      </c>
      <c r="N4945" s="20" t="s">
        <v>3005</v>
      </c>
    </row>
    <row r="4946" spans="1:14" hidden="1" x14ac:dyDescent="0.25">
      <c r="A4946" s="19">
        <v>46023</v>
      </c>
      <c r="B4946" s="20" t="s">
        <v>120</v>
      </c>
      <c r="C4946" s="20">
        <v>65</v>
      </c>
      <c r="D4946" s="20" t="s">
        <v>253</v>
      </c>
      <c r="E4946" s="20" t="s">
        <v>2359</v>
      </c>
      <c r="F4946" s="20" t="s">
        <v>240</v>
      </c>
      <c r="G4946" s="20" t="s">
        <v>82</v>
      </c>
      <c r="H4946" s="20"/>
      <c r="I4946" s="20"/>
      <c r="J4946" s="20" t="s">
        <v>204</v>
      </c>
      <c r="K4946" s="20" t="s">
        <v>255</v>
      </c>
      <c r="L4946" s="20">
        <v>7030000</v>
      </c>
      <c r="M4946" s="20" t="s">
        <v>242</v>
      </c>
      <c r="N4946" s="20" t="s">
        <v>3148</v>
      </c>
    </row>
    <row r="4947" spans="1:14" hidden="1" x14ac:dyDescent="0.25">
      <c r="A4947" s="19">
        <v>46023</v>
      </c>
      <c r="B4947" s="20" t="s">
        <v>120</v>
      </c>
      <c r="C4947" s="20">
        <v>65</v>
      </c>
      <c r="D4947" s="20" t="s">
        <v>253</v>
      </c>
      <c r="E4947" s="20" t="s">
        <v>2359</v>
      </c>
      <c r="F4947" s="20" t="s">
        <v>240</v>
      </c>
      <c r="G4947" s="20" t="s">
        <v>82</v>
      </c>
      <c r="H4947" s="20"/>
      <c r="I4947" s="20"/>
      <c r="J4947" s="20" t="s">
        <v>205</v>
      </c>
      <c r="K4947" s="20" t="s">
        <v>255</v>
      </c>
      <c r="L4947" s="20">
        <v>6530000</v>
      </c>
      <c r="M4947" s="20" t="s">
        <v>242</v>
      </c>
      <c r="N4947" s="20" t="s">
        <v>3302</v>
      </c>
    </row>
    <row r="4948" spans="1:14" hidden="1" x14ac:dyDescent="0.25">
      <c r="A4948" s="19">
        <v>46023</v>
      </c>
      <c r="B4948" s="20" t="s">
        <v>120</v>
      </c>
      <c r="C4948" s="20">
        <v>65</v>
      </c>
      <c r="D4948" s="20" t="s">
        <v>247</v>
      </c>
      <c r="E4948" s="20" t="s">
        <v>2554</v>
      </c>
      <c r="F4948" s="20" t="s">
        <v>2559</v>
      </c>
      <c r="G4948" s="20" t="s">
        <v>82</v>
      </c>
      <c r="H4948" s="20" t="s">
        <v>249</v>
      </c>
      <c r="I4948" s="20"/>
      <c r="J4948" s="20" t="s">
        <v>205</v>
      </c>
      <c r="K4948" s="20" t="s">
        <v>250</v>
      </c>
      <c r="L4948" s="20">
        <v>7</v>
      </c>
      <c r="M4948" s="20" t="s">
        <v>251</v>
      </c>
      <c r="N4948" s="20" t="s">
        <v>1760</v>
      </c>
    </row>
    <row r="4949" spans="1:14" hidden="1" x14ac:dyDescent="0.25">
      <c r="A4949" s="19">
        <v>46023</v>
      </c>
      <c r="B4949" s="20" t="s">
        <v>120</v>
      </c>
      <c r="C4949" s="20">
        <v>66</v>
      </c>
      <c r="D4949" s="20" t="s">
        <v>291</v>
      </c>
      <c r="E4949" s="20" t="s">
        <v>2361</v>
      </c>
      <c r="F4949" s="20" t="s">
        <v>2502</v>
      </c>
      <c r="G4949" s="20" t="s">
        <v>82</v>
      </c>
      <c r="H4949" s="20" t="s">
        <v>131</v>
      </c>
      <c r="I4949" s="20"/>
      <c r="J4949" s="20" t="s">
        <v>205</v>
      </c>
      <c r="K4949" s="20" t="s">
        <v>250</v>
      </c>
      <c r="L4949" s="20">
        <v>27000</v>
      </c>
      <c r="M4949" s="20" t="s">
        <v>242</v>
      </c>
      <c r="N4949" s="20" t="s">
        <v>2590</v>
      </c>
    </row>
    <row r="4950" spans="1:14" hidden="1" x14ac:dyDescent="0.25">
      <c r="A4950" s="19">
        <v>46023</v>
      </c>
      <c r="B4950" s="20" t="s">
        <v>120</v>
      </c>
      <c r="C4950" s="20">
        <v>66</v>
      </c>
      <c r="D4950" s="20" t="s">
        <v>291</v>
      </c>
      <c r="E4950" s="20" t="s">
        <v>2361</v>
      </c>
      <c r="F4950" s="20" t="s">
        <v>2502</v>
      </c>
      <c r="G4950" s="20" t="s">
        <v>82</v>
      </c>
      <c r="H4950" s="20" t="s">
        <v>128</v>
      </c>
      <c r="I4950" s="20"/>
      <c r="J4950" s="20" t="s">
        <v>205</v>
      </c>
      <c r="K4950" s="20" t="s">
        <v>250</v>
      </c>
      <c r="L4950" s="20">
        <v>36000</v>
      </c>
      <c r="M4950" s="20" t="s">
        <v>242</v>
      </c>
      <c r="N4950" s="20" t="s">
        <v>1854</v>
      </c>
    </row>
    <row r="4951" spans="1:14" hidden="1" x14ac:dyDescent="0.25">
      <c r="A4951" s="19">
        <v>46023</v>
      </c>
      <c r="B4951" s="20" t="s">
        <v>120</v>
      </c>
      <c r="C4951" s="20">
        <v>66</v>
      </c>
      <c r="D4951" s="20" t="s">
        <v>291</v>
      </c>
      <c r="E4951" s="20" t="s">
        <v>2361</v>
      </c>
      <c r="F4951" s="20" t="s">
        <v>2502</v>
      </c>
      <c r="G4951" s="20" t="s">
        <v>82</v>
      </c>
      <c r="H4951" s="20" t="s">
        <v>132</v>
      </c>
      <c r="I4951" s="20"/>
      <c r="J4951" s="20" t="s">
        <v>205</v>
      </c>
      <c r="K4951" s="20" t="s">
        <v>250</v>
      </c>
      <c r="L4951" s="20">
        <v>50000</v>
      </c>
      <c r="M4951" s="20" t="s">
        <v>242</v>
      </c>
      <c r="N4951" s="20" t="s">
        <v>3303</v>
      </c>
    </row>
    <row r="4952" spans="1:14" hidden="1" x14ac:dyDescent="0.25">
      <c r="A4952" s="19">
        <v>46023</v>
      </c>
      <c r="B4952" s="20" t="s">
        <v>120</v>
      </c>
      <c r="C4952" s="20">
        <v>66</v>
      </c>
      <c r="D4952" s="20" t="s">
        <v>291</v>
      </c>
      <c r="E4952" s="20" t="s">
        <v>2361</v>
      </c>
      <c r="F4952" s="20" t="s">
        <v>2502</v>
      </c>
      <c r="G4952" s="20" t="s">
        <v>82</v>
      </c>
      <c r="H4952" s="20" t="s">
        <v>125</v>
      </c>
      <c r="I4952" s="20"/>
      <c r="J4952" s="20" t="s">
        <v>205</v>
      </c>
      <c r="K4952" s="20" t="s">
        <v>250</v>
      </c>
      <c r="L4952" s="20">
        <v>64000</v>
      </c>
      <c r="M4952" s="20" t="s">
        <v>242</v>
      </c>
      <c r="N4952" s="20" t="s">
        <v>3304</v>
      </c>
    </row>
    <row r="4953" spans="1:14" hidden="1" x14ac:dyDescent="0.25">
      <c r="A4953" s="19">
        <v>46023</v>
      </c>
      <c r="B4953" s="20" t="s">
        <v>120</v>
      </c>
      <c r="C4953" s="20">
        <v>66</v>
      </c>
      <c r="D4953" s="20" t="s">
        <v>291</v>
      </c>
      <c r="E4953" s="20" t="s">
        <v>2361</v>
      </c>
      <c r="F4953" s="20" t="s">
        <v>2502</v>
      </c>
      <c r="G4953" s="20" t="s">
        <v>82</v>
      </c>
      <c r="H4953" s="20" t="s">
        <v>126</v>
      </c>
      <c r="I4953" s="20"/>
      <c r="J4953" s="20" t="s">
        <v>205</v>
      </c>
      <c r="K4953" s="20" t="s">
        <v>250</v>
      </c>
      <c r="L4953" s="20">
        <v>132000</v>
      </c>
      <c r="M4953" s="20" t="s">
        <v>242</v>
      </c>
      <c r="N4953" s="20" t="s">
        <v>3231</v>
      </c>
    </row>
    <row r="4954" spans="1:14" hidden="1" x14ac:dyDescent="0.25">
      <c r="A4954" s="19">
        <v>46023</v>
      </c>
      <c r="B4954" s="20" t="s">
        <v>120</v>
      </c>
      <c r="C4954" s="20">
        <v>66</v>
      </c>
      <c r="D4954" s="20" t="s">
        <v>291</v>
      </c>
      <c r="E4954" s="20" t="s">
        <v>2361</v>
      </c>
      <c r="F4954" s="20" t="s">
        <v>2502</v>
      </c>
      <c r="G4954" s="20" t="s">
        <v>82</v>
      </c>
      <c r="H4954" s="20" t="s">
        <v>127</v>
      </c>
      <c r="I4954" s="20"/>
      <c r="J4954" s="20" t="s">
        <v>205</v>
      </c>
      <c r="K4954" s="20" t="s">
        <v>250</v>
      </c>
      <c r="L4954" s="20">
        <v>290000</v>
      </c>
      <c r="M4954" s="20" t="s">
        <v>242</v>
      </c>
      <c r="N4954" s="20" t="s">
        <v>3305</v>
      </c>
    </row>
    <row r="4955" spans="1:14" hidden="1" x14ac:dyDescent="0.25">
      <c r="A4955" s="19">
        <v>46023</v>
      </c>
      <c r="B4955" s="20" t="s">
        <v>120</v>
      </c>
      <c r="C4955" s="20">
        <v>66</v>
      </c>
      <c r="D4955" s="20" t="s">
        <v>291</v>
      </c>
      <c r="E4955" s="20" t="s">
        <v>2361</v>
      </c>
      <c r="F4955" s="20" t="s">
        <v>2502</v>
      </c>
      <c r="G4955" s="20" t="s">
        <v>82</v>
      </c>
      <c r="H4955" s="20" t="s">
        <v>133</v>
      </c>
      <c r="I4955" s="20"/>
      <c r="J4955" s="20" t="s">
        <v>205</v>
      </c>
      <c r="K4955" s="20" t="s">
        <v>250</v>
      </c>
      <c r="L4955" s="20">
        <v>509000</v>
      </c>
      <c r="M4955" s="20" t="s">
        <v>242</v>
      </c>
      <c r="N4955" s="20" t="s">
        <v>2370</v>
      </c>
    </row>
    <row r="4956" spans="1:14" hidden="1" x14ac:dyDescent="0.25">
      <c r="A4956" s="19">
        <v>46023</v>
      </c>
      <c r="B4956" s="20" t="s">
        <v>120</v>
      </c>
      <c r="C4956" s="20">
        <v>66</v>
      </c>
      <c r="D4956" s="20" t="s">
        <v>291</v>
      </c>
      <c r="E4956" s="20" t="s">
        <v>2361</v>
      </c>
      <c r="F4956" s="20" t="s">
        <v>2502</v>
      </c>
      <c r="G4956" s="20" t="s">
        <v>82</v>
      </c>
      <c r="H4956" s="20" t="s">
        <v>129</v>
      </c>
      <c r="I4956" s="20"/>
      <c r="J4956" s="20" t="s">
        <v>205</v>
      </c>
      <c r="K4956" s="20" t="s">
        <v>250</v>
      </c>
      <c r="L4956" s="20">
        <v>1610000</v>
      </c>
      <c r="M4956" s="20" t="s">
        <v>242</v>
      </c>
      <c r="N4956" s="20" t="s">
        <v>949</v>
      </c>
    </row>
    <row r="4957" spans="1:14" hidden="1" x14ac:dyDescent="0.25">
      <c r="A4957" s="19">
        <v>46023</v>
      </c>
      <c r="B4957" s="20" t="s">
        <v>120</v>
      </c>
      <c r="C4957" s="20">
        <v>66</v>
      </c>
      <c r="D4957" s="20" t="s">
        <v>291</v>
      </c>
      <c r="E4957" s="20" t="s">
        <v>2361</v>
      </c>
      <c r="F4957" s="20" t="s">
        <v>2502</v>
      </c>
      <c r="G4957" s="20" t="s">
        <v>82</v>
      </c>
      <c r="H4957" s="20" t="s">
        <v>134</v>
      </c>
      <c r="I4957" s="20"/>
      <c r="J4957" s="20" t="s">
        <v>205</v>
      </c>
      <c r="K4957" s="20" t="s">
        <v>250</v>
      </c>
      <c r="L4957" s="20">
        <v>1760000</v>
      </c>
      <c r="M4957" s="20" t="s">
        <v>242</v>
      </c>
      <c r="N4957" s="20" t="s">
        <v>3295</v>
      </c>
    </row>
    <row r="4958" spans="1:14" hidden="1" x14ac:dyDescent="0.25">
      <c r="A4958" s="19">
        <v>46023</v>
      </c>
      <c r="B4958" s="20" t="s">
        <v>120</v>
      </c>
      <c r="C4958" s="20">
        <v>66</v>
      </c>
      <c r="D4958" s="20" t="s">
        <v>291</v>
      </c>
      <c r="E4958" s="20" t="s">
        <v>2361</v>
      </c>
      <c r="F4958" s="20" t="s">
        <v>2502</v>
      </c>
      <c r="G4958" s="20" t="s">
        <v>82</v>
      </c>
      <c r="H4958" s="20" t="s">
        <v>130</v>
      </c>
      <c r="I4958" s="20"/>
      <c r="J4958" s="20" t="s">
        <v>205</v>
      </c>
      <c r="K4958" s="20" t="s">
        <v>250</v>
      </c>
      <c r="L4958" s="20">
        <v>1980000</v>
      </c>
      <c r="M4958" s="20" t="s">
        <v>242</v>
      </c>
      <c r="N4958" s="20" t="s">
        <v>2747</v>
      </c>
    </row>
    <row r="4959" spans="1:14" hidden="1" x14ac:dyDescent="0.25">
      <c r="A4959" s="19">
        <v>46023</v>
      </c>
      <c r="B4959" s="20" t="s">
        <v>120</v>
      </c>
      <c r="C4959" s="20">
        <v>67</v>
      </c>
      <c r="D4959" s="20" t="s">
        <v>291</v>
      </c>
      <c r="E4959" s="20" t="s">
        <v>2361</v>
      </c>
      <c r="F4959" s="20" t="s">
        <v>2510</v>
      </c>
      <c r="G4959" s="20" t="s">
        <v>82</v>
      </c>
      <c r="H4959" s="20" t="s">
        <v>138</v>
      </c>
      <c r="I4959" s="20"/>
      <c r="J4959" s="20" t="s">
        <v>205</v>
      </c>
      <c r="K4959" s="20" t="s">
        <v>250</v>
      </c>
      <c r="L4959" s="20">
        <v>5280000</v>
      </c>
      <c r="M4959" s="20" t="s">
        <v>242</v>
      </c>
      <c r="N4959" s="20" t="s">
        <v>3306</v>
      </c>
    </row>
    <row r="4960" spans="1:14" hidden="1" x14ac:dyDescent="0.25">
      <c r="A4960" s="19">
        <v>46023</v>
      </c>
      <c r="B4960" s="20" t="s">
        <v>120</v>
      </c>
      <c r="C4960" s="20">
        <v>67</v>
      </c>
      <c r="D4960" s="20" t="s">
        <v>291</v>
      </c>
      <c r="E4960" s="20" t="s">
        <v>2361</v>
      </c>
      <c r="F4960" s="20" t="s">
        <v>2510</v>
      </c>
      <c r="G4960" s="20" t="s">
        <v>82</v>
      </c>
      <c r="H4960" s="20" t="s">
        <v>137</v>
      </c>
      <c r="I4960" s="20"/>
      <c r="J4960" s="20" t="s">
        <v>205</v>
      </c>
      <c r="K4960" s="20" t="s">
        <v>250</v>
      </c>
      <c r="L4960" s="20">
        <v>1250000</v>
      </c>
      <c r="M4960" s="20" t="s">
        <v>242</v>
      </c>
      <c r="N4960" s="20" t="s">
        <v>3307</v>
      </c>
    </row>
    <row r="4961" spans="1:14" hidden="1" x14ac:dyDescent="0.25">
      <c r="A4961" s="19">
        <v>46023</v>
      </c>
      <c r="B4961" s="20" t="s">
        <v>120</v>
      </c>
      <c r="C4961" s="20">
        <v>68</v>
      </c>
      <c r="D4961" s="20" t="s">
        <v>253</v>
      </c>
      <c r="E4961" s="20" t="s">
        <v>2359</v>
      </c>
      <c r="F4961" s="20" t="s">
        <v>244</v>
      </c>
      <c r="G4961" s="20" t="s">
        <v>82</v>
      </c>
      <c r="H4961" s="20"/>
      <c r="I4961" s="20"/>
      <c r="J4961" s="20" t="s">
        <v>203</v>
      </c>
      <c r="K4961" s="20" t="s">
        <v>255</v>
      </c>
      <c r="L4961" s="20">
        <v>1410000000</v>
      </c>
      <c r="M4961" s="20" t="s">
        <v>245</v>
      </c>
      <c r="N4961" s="20" t="s">
        <v>1417</v>
      </c>
    </row>
    <row r="4962" spans="1:14" hidden="1" x14ac:dyDescent="0.25">
      <c r="A4962" s="19">
        <v>46023</v>
      </c>
      <c r="B4962" s="20" t="s">
        <v>120</v>
      </c>
      <c r="C4962" s="20">
        <v>68</v>
      </c>
      <c r="D4962" s="20" t="s">
        <v>253</v>
      </c>
      <c r="E4962" s="20" t="s">
        <v>2359</v>
      </c>
      <c r="F4962" s="20" t="s">
        <v>244</v>
      </c>
      <c r="G4962" s="20" t="s">
        <v>82</v>
      </c>
      <c r="H4962" s="20"/>
      <c r="I4962" s="20"/>
      <c r="J4962" s="20" t="s">
        <v>204</v>
      </c>
      <c r="K4962" s="20" t="s">
        <v>255</v>
      </c>
      <c r="L4962" s="20">
        <v>1600000000</v>
      </c>
      <c r="M4962" s="20" t="s">
        <v>245</v>
      </c>
      <c r="N4962" s="20" t="s">
        <v>438</v>
      </c>
    </row>
    <row r="4963" spans="1:14" hidden="1" x14ac:dyDescent="0.25">
      <c r="A4963" s="19">
        <v>46023</v>
      </c>
      <c r="B4963" s="20" t="s">
        <v>120</v>
      </c>
      <c r="C4963" s="20">
        <v>68</v>
      </c>
      <c r="D4963" s="20" t="s">
        <v>253</v>
      </c>
      <c r="E4963" s="20" t="s">
        <v>2359</v>
      </c>
      <c r="F4963" s="20" t="s">
        <v>244</v>
      </c>
      <c r="G4963" s="20" t="s">
        <v>82</v>
      </c>
      <c r="H4963" s="20"/>
      <c r="I4963" s="20"/>
      <c r="J4963" s="20" t="s">
        <v>205</v>
      </c>
      <c r="K4963" s="20" t="s">
        <v>255</v>
      </c>
      <c r="L4963" s="20">
        <v>1390000000</v>
      </c>
      <c r="M4963" s="20" t="s">
        <v>245</v>
      </c>
      <c r="N4963" s="20" t="s">
        <v>678</v>
      </c>
    </row>
    <row r="4964" spans="1:14" hidden="1" x14ac:dyDescent="0.25">
      <c r="A4964" s="19">
        <v>46023</v>
      </c>
      <c r="B4964" s="20" t="s">
        <v>120</v>
      </c>
      <c r="C4964" s="20">
        <v>68</v>
      </c>
      <c r="D4964" s="20" t="s">
        <v>247</v>
      </c>
      <c r="E4964" s="20" t="s">
        <v>2554</v>
      </c>
      <c r="F4964" s="20" t="s">
        <v>2558</v>
      </c>
      <c r="G4964" s="20" t="s">
        <v>82</v>
      </c>
      <c r="H4964" s="20" t="s">
        <v>249</v>
      </c>
      <c r="I4964" s="20"/>
      <c r="J4964" s="20" t="s">
        <v>205</v>
      </c>
      <c r="K4964" s="20" t="s">
        <v>250</v>
      </c>
      <c r="L4964" s="20">
        <v>12.8</v>
      </c>
      <c r="M4964" s="20" t="s">
        <v>251</v>
      </c>
      <c r="N4964" s="20" t="s">
        <v>1044</v>
      </c>
    </row>
    <row r="4965" spans="1:14" hidden="1" x14ac:dyDescent="0.25">
      <c r="A4965" s="19">
        <v>46023</v>
      </c>
      <c r="B4965" s="20" t="s">
        <v>120</v>
      </c>
      <c r="C4965" s="20">
        <v>69</v>
      </c>
      <c r="D4965" s="20" t="s">
        <v>291</v>
      </c>
      <c r="E4965" s="20" t="s">
        <v>2361</v>
      </c>
      <c r="F4965" s="20" t="s">
        <v>2514</v>
      </c>
      <c r="G4965" s="20" t="s">
        <v>82</v>
      </c>
      <c r="H4965" s="20" t="s">
        <v>125</v>
      </c>
      <c r="I4965" s="20"/>
      <c r="J4965" s="20" t="s">
        <v>205</v>
      </c>
      <c r="K4965" s="20" t="s">
        <v>250</v>
      </c>
      <c r="L4965" s="20">
        <v>7000000</v>
      </c>
      <c r="M4965" s="20" t="s">
        <v>245</v>
      </c>
      <c r="N4965" s="20" t="s">
        <v>2515</v>
      </c>
    </row>
    <row r="4966" spans="1:14" hidden="1" x14ac:dyDescent="0.25">
      <c r="A4966" s="19">
        <v>46023</v>
      </c>
      <c r="B4966" s="20" t="s">
        <v>120</v>
      </c>
      <c r="C4966" s="20">
        <v>69</v>
      </c>
      <c r="D4966" s="20" t="s">
        <v>291</v>
      </c>
      <c r="E4966" s="20" t="s">
        <v>2361</v>
      </c>
      <c r="F4966" s="20" t="s">
        <v>2514</v>
      </c>
      <c r="G4966" s="20" t="s">
        <v>82</v>
      </c>
      <c r="H4966" s="20" t="s">
        <v>131</v>
      </c>
      <c r="I4966" s="20"/>
      <c r="J4966" s="20" t="s">
        <v>205</v>
      </c>
      <c r="K4966" s="20" t="s">
        <v>250</v>
      </c>
      <c r="L4966" s="20">
        <v>14000000</v>
      </c>
      <c r="M4966" s="20" t="s">
        <v>245</v>
      </c>
      <c r="N4966" s="20" t="s">
        <v>2516</v>
      </c>
    </row>
    <row r="4967" spans="1:14" hidden="1" x14ac:dyDescent="0.25">
      <c r="A4967" s="19">
        <v>46023</v>
      </c>
      <c r="B4967" s="20" t="s">
        <v>120</v>
      </c>
      <c r="C4967" s="20">
        <v>69</v>
      </c>
      <c r="D4967" s="20" t="s">
        <v>291</v>
      </c>
      <c r="E4967" s="20" t="s">
        <v>2361</v>
      </c>
      <c r="F4967" s="20" t="s">
        <v>2514</v>
      </c>
      <c r="G4967" s="20" t="s">
        <v>82</v>
      </c>
      <c r="H4967" s="20" t="s">
        <v>140</v>
      </c>
      <c r="I4967" s="20"/>
      <c r="J4967" s="20" t="s">
        <v>205</v>
      </c>
      <c r="K4967" s="20" t="s">
        <v>250</v>
      </c>
      <c r="L4967" s="20">
        <v>16000000</v>
      </c>
      <c r="M4967" s="20" t="s">
        <v>245</v>
      </c>
      <c r="N4967" s="20" t="s">
        <v>3156</v>
      </c>
    </row>
    <row r="4968" spans="1:14" hidden="1" x14ac:dyDescent="0.25">
      <c r="A4968" s="19">
        <v>46023</v>
      </c>
      <c r="B4968" s="20" t="s">
        <v>120</v>
      </c>
      <c r="C4968" s="20">
        <v>69</v>
      </c>
      <c r="D4968" s="20" t="s">
        <v>291</v>
      </c>
      <c r="E4968" s="20" t="s">
        <v>2361</v>
      </c>
      <c r="F4968" s="20" t="s">
        <v>2514</v>
      </c>
      <c r="G4968" s="20" t="s">
        <v>82</v>
      </c>
      <c r="H4968" s="20" t="s">
        <v>128</v>
      </c>
      <c r="I4968" s="20"/>
      <c r="J4968" s="20" t="s">
        <v>205</v>
      </c>
      <c r="K4968" s="20" t="s">
        <v>250</v>
      </c>
      <c r="L4968" s="20">
        <v>16000000</v>
      </c>
      <c r="M4968" s="20" t="s">
        <v>245</v>
      </c>
      <c r="N4968" s="20" t="s">
        <v>3156</v>
      </c>
    </row>
    <row r="4969" spans="1:14" hidden="1" x14ac:dyDescent="0.25">
      <c r="A4969" s="19">
        <v>46023</v>
      </c>
      <c r="B4969" s="20" t="s">
        <v>120</v>
      </c>
      <c r="C4969" s="20">
        <v>69</v>
      </c>
      <c r="D4969" s="20" t="s">
        <v>291</v>
      </c>
      <c r="E4969" s="20" t="s">
        <v>2361</v>
      </c>
      <c r="F4969" s="20" t="s">
        <v>2514</v>
      </c>
      <c r="G4969" s="20" t="s">
        <v>82</v>
      </c>
      <c r="H4969" s="20" t="s">
        <v>130</v>
      </c>
      <c r="I4969" s="20"/>
      <c r="J4969" s="20" t="s">
        <v>205</v>
      </c>
      <c r="K4969" s="20" t="s">
        <v>250</v>
      </c>
      <c r="L4969" s="20">
        <v>33000000</v>
      </c>
      <c r="M4969" s="20" t="s">
        <v>245</v>
      </c>
      <c r="N4969" s="20" t="s">
        <v>2697</v>
      </c>
    </row>
    <row r="4970" spans="1:14" hidden="1" x14ac:dyDescent="0.25">
      <c r="A4970" s="19">
        <v>46023</v>
      </c>
      <c r="B4970" s="20" t="s">
        <v>120</v>
      </c>
      <c r="C4970" s="20">
        <v>69</v>
      </c>
      <c r="D4970" s="20" t="s">
        <v>291</v>
      </c>
      <c r="E4970" s="20" t="s">
        <v>2361</v>
      </c>
      <c r="F4970" s="20" t="s">
        <v>2514</v>
      </c>
      <c r="G4970" s="20" t="s">
        <v>82</v>
      </c>
      <c r="H4970" s="20" t="s">
        <v>126</v>
      </c>
      <c r="I4970" s="20"/>
      <c r="J4970" s="20" t="s">
        <v>205</v>
      </c>
      <c r="K4970" s="20" t="s">
        <v>250</v>
      </c>
      <c r="L4970" s="20">
        <v>39000000</v>
      </c>
      <c r="M4970" s="20" t="s">
        <v>245</v>
      </c>
      <c r="N4970" s="20" t="s">
        <v>3308</v>
      </c>
    </row>
    <row r="4971" spans="1:14" hidden="1" x14ac:dyDescent="0.25">
      <c r="A4971" s="19">
        <v>46023</v>
      </c>
      <c r="B4971" s="20" t="s">
        <v>120</v>
      </c>
      <c r="C4971" s="20">
        <v>69</v>
      </c>
      <c r="D4971" s="20" t="s">
        <v>291</v>
      </c>
      <c r="E4971" s="20" t="s">
        <v>2361</v>
      </c>
      <c r="F4971" s="20" t="s">
        <v>2514</v>
      </c>
      <c r="G4971" s="20" t="s">
        <v>82</v>
      </c>
      <c r="H4971" s="20" t="s">
        <v>127</v>
      </c>
      <c r="I4971" s="20"/>
      <c r="J4971" s="20" t="s">
        <v>205</v>
      </c>
      <c r="K4971" s="20" t="s">
        <v>250</v>
      </c>
      <c r="L4971" s="20">
        <v>58000000</v>
      </c>
      <c r="M4971" s="20" t="s">
        <v>245</v>
      </c>
      <c r="N4971" s="20" t="s">
        <v>2855</v>
      </c>
    </row>
    <row r="4972" spans="1:14" hidden="1" x14ac:dyDescent="0.25">
      <c r="A4972" s="19">
        <v>46023</v>
      </c>
      <c r="B4972" s="20" t="s">
        <v>120</v>
      </c>
      <c r="C4972" s="20">
        <v>69</v>
      </c>
      <c r="D4972" s="20" t="s">
        <v>291</v>
      </c>
      <c r="E4972" s="20" t="s">
        <v>2361</v>
      </c>
      <c r="F4972" s="20" t="s">
        <v>2514</v>
      </c>
      <c r="G4972" s="20" t="s">
        <v>82</v>
      </c>
      <c r="H4972" s="20" t="s">
        <v>134</v>
      </c>
      <c r="I4972" s="20"/>
      <c r="J4972" s="20" t="s">
        <v>205</v>
      </c>
      <c r="K4972" s="20" t="s">
        <v>250</v>
      </c>
      <c r="L4972" s="20">
        <v>77000000</v>
      </c>
      <c r="M4972" s="20" t="s">
        <v>245</v>
      </c>
      <c r="N4972" s="20" t="s">
        <v>3159</v>
      </c>
    </row>
    <row r="4973" spans="1:14" hidden="1" x14ac:dyDescent="0.25">
      <c r="A4973" s="19">
        <v>46023</v>
      </c>
      <c r="B4973" s="20" t="s">
        <v>120</v>
      </c>
      <c r="C4973" s="20">
        <v>69</v>
      </c>
      <c r="D4973" s="20" t="s">
        <v>291</v>
      </c>
      <c r="E4973" s="20" t="s">
        <v>2361</v>
      </c>
      <c r="F4973" s="20" t="s">
        <v>2514</v>
      </c>
      <c r="G4973" s="20" t="s">
        <v>82</v>
      </c>
      <c r="H4973" s="20" t="s">
        <v>133</v>
      </c>
      <c r="I4973" s="20"/>
      <c r="J4973" s="20" t="s">
        <v>205</v>
      </c>
      <c r="K4973" s="20" t="s">
        <v>250</v>
      </c>
      <c r="L4973" s="20">
        <v>219000000</v>
      </c>
      <c r="M4973" s="20" t="s">
        <v>245</v>
      </c>
      <c r="N4973" s="20" t="s">
        <v>3309</v>
      </c>
    </row>
    <row r="4974" spans="1:14" hidden="1" x14ac:dyDescent="0.25">
      <c r="A4974" s="19">
        <v>46023</v>
      </c>
      <c r="B4974" s="20" t="s">
        <v>120</v>
      </c>
      <c r="C4974" s="20">
        <v>69</v>
      </c>
      <c r="D4974" s="20" t="s">
        <v>291</v>
      </c>
      <c r="E4974" s="20" t="s">
        <v>2361</v>
      </c>
      <c r="F4974" s="20" t="s">
        <v>2514</v>
      </c>
      <c r="G4974" s="20" t="s">
        <v>82</v>
      </c>
      <c r="H4974" s="20" t="s">
        <v>129</v>
      </c>
      <c r="I4974" s="20"/>
      <c r="J4974" s="20" t="s">
        <v>205</v>
      </c>
      <c r="K4974" s="20" t="s">
        <v>250</v>
      </c>
      <c r="L4974" s="20">
        <v>904000000</v>
      </c>
      <c r="M4974" s="20" t="s">
        <v>245</v>
      </c>
      <c r="N4974" s="20" t="s">
        <v>3310</v>
      </c>
    </row>
    <row r="4975" spans="1:14" hidden="1" x14ac:dyDescent="0.25">
      <c r="A4975" s="19">
        <v>46023</v>
      </c>
      <c r="B4975" s="20" t="s">
        <v>120</v>
      </c>
      <c r="C4975" s="20">
        <v>70</v>
      </c>
      <c r="D4975" s="20" t="s">
        <v>291</v>
      </c>
      <c r="E4975" s="20" t="s">
        <v>2361</v>
      </c>
      <c r="F4975" s="20" t="s">
        <v>2510</v>
      </c>
      <c r="G4975" s="20" t="s">
        <v>82</v>
      </c>
      <c r="H4975" s="20" t="s">
        <v>138</v>
      </c>
      <c r="I4975" s="20"/>
      <c r="J4975" s="20" t="s">
        <v>205</v>
      </c>
      <c r="K4975" s="20" t="s">
        <v>250</v>
      </c>
      <c r="L4975" s="20">
        <v>1150000000</v>
      </c>
      <c r="M4975" s="20" t="s">
        <v>245</v>
      </c>
      <c r="N4975" s="20" t="s">
        <v>3311</v>
      </c>
    </row>
    <row r="4976" spans="1:14" hidden="1" x14ac:dyDescent="0.25">
      <c r="A4976" s="19">
        <v>46023</v>
      </c>
      <c r="B4976" s="20" t="s">
        <v>120</v>
      </c>
      <c r="C4976" s="20">
        <v>70</v>
      </c>
      <c r="D4976" s="20" t="s">
        <v>291</v>
      </c>
      <c r="E4976" s="20" t="s">
        <v>2361</v>
      </c>
      <c r="F4976" s="20" t="s">
        <v>2510</v>
      </c>
      <c r="G4976" s="20" t="s">
        <v>82</v>
      </c>
      <c r="H4976" s="20" t="s">
        <v>137</v>
      </c>
      <c r="I4976" s="20"/>
      <c r="J4976" s="20" t="s">
        <v>205</v>
      </c>
      <c r="K4976" s="20" t="s">
        <v>250</v>
      </c>
      <c r="L4976" s="20">
        <v>240000000</v>
      </c>
      <c r="M4976" s="20" t="s">
        <v>245</v>
      </c>
      <c r="N4976" s="20" t="s">
        <v>3312</v>
      </c>
    </row>
    <row r="4977" spans="1:14" hidden="1" x14ac:dyDescent="0.25">
      <c r="A4977" s="19">
        <v>46023</v>
      </c>
      <c r="B4977" s="20" t="s">
        <v>120</v>
      </c>
      <c r="C4977" s="20">
        <v>71</v>
      </c>
      <c r="D4977" s="20" t="s">
        <v>253</v>
      </c>
      <c r="E4977" s="20" t="s">
        <v>2359</v>
      </c>
      <c r="F4977" s="20" t="s">
        <v>334</v>
      </c>
      <c r="G4977" s="20" t="s">
        <v>82</v>
      </c>
      <c r="H4977" s="20"/>
      <c r="I4977" s="20"/>
      <c r="J4977" s="20" t="s">
        <v>203</v>
      </c>
      <c r="K4977" s="20" t="s">
        <v>255</v>
      </c>
      <c r="L4977" s="20">
        <v>216</v>
      </c>
      <c r="M4977" s="20" t="s">
        <v>245</v>
      </c>
      <c r="N4977" s="20" t="s">
        <v>3019</v>
      </c>
    </row>
    <row r="4978" spans="1:14" hidden="1" x14ac:dyDescent="0.25">
      <c r="A4978" s="19">
        <v>46023</v>
      </c>
      <c r="B4978" s="20" t="s">
        <v>120</v>
      </c>
      <c r="C4978" s="20">
        <v>71</v>
      </c>
      <c r="D4978" s="20" t="s">
        <v>253</v>
      </c>
      <c r="E4978" s="20" t="s">
        <v>2359</v>
      </c>
      <c r="F4978" s="20" t="s">
        <v>334</v>
      </c>
      <c r="G4978" s="20" t="s">
        <v>82</v>
      </c>
      <c r="H4978" s="20"/>
      <c r="I4978" s="20"/>
      <c r="J4978" s="20" t="s">
        <v>204</v>
      </c>
      <c r="K4978" s="20" t="s">
        <v>255</v>
      </c>
      <c r="L4978" s="20">
        <v>228</v>
      </c>
      <c r="M4978" s="20" t="s">
        <v>245</v>
      </c>
      <c r="N4978" s="20" t="s">
        <v>3164</v>
      </c>
    </row>
    <row r="4979" spans="1:14" hidden="1" x14ac:dyDescent="0.25">
      <c r="A4979" s="19">
        <v>46023</v>
      </c>
      <c r="B4979" s="20" t="s">
        <v>120</v>
      </c>
      <c r="C4979" s="20">
        <v>71</v>
      </c>
      <c r="D4979" s="20" t="s">
        <v>253</v>
      </c>
      <c r="E4979" s="20" t="s">
        <v>2359</v>
      </c>
      <c r="F4979" s="20" t="s">
        <v>334</v>
      </c>
      <c r="G4979" s="20" t="s">
        <v>82</v>
      </c>
      <c r="H4979" s="20"/>
      <c r="I4979" s="20"/>
      <c r="J4979" s="20" t="s">
        <v>205</v>
      </c>
      <c r="K4979" s="20" t="s">
        <v>255</v>
      </c>
      <c r="L4979" s="20">
        <v>213</v>
      </c>
      <c r="M4979" s="20" t="s">
        <v>245</v>
      </c>
      <c r="N4979" s="20" t="s">
        <v>3313</v>
      </c>
    </row>
    <row r="4980" spans="1:14" hidden="1" x14ac:dyDescent="0.25">
      <c r="A4980" s="19">
        <v>46023</v>
      </c>
      <c r="B4980" s="20" t="s">
        <v>142</v>
      </c>
      <c r="C4980" s="20">
        <v>73</v>
      </c>
      <c r="D4980" s="20" t="s">
        <v>238</v>
      </c>
      <c r="E4980" s="20" t="s">
        <v>2341</v>
      </c>
      <c r="F4980" s="20" t="s">
        <v>240</v>
      </c>
      <c r="G4980" s="20" t="s">
        <v>82</v>
      </c>
      <c r="H4980" s="20"/>
      <c r="I4980" s="20"/>
      <c r="J4980" s="20" t="s">
        <v>3199</v>
      </c>
      <c r="K4980" s="20" t="s">
        <v>241</v>
      </c>
      <c r="L4980" s="20">
        <v>1040000</v>
      </c>
      <c r="M4980" s="20" t="s">
        <v>242</v>
      </c>
      <c r="N4980" s="20" t="s">
        <v>952</v>
      </c>
    </row>
    <row r="4981" spans="1:14" hidden="1" x14ac:dyDescent="0.25">
      <c r="A4981" s="19">
        <v>46023</v>
      </c>
      <c r="B4981" s="20" t="s">
        <v>142</v>
      </c>
      <c r="C4981" s="20">
        <v>73</v>
      </c>
      <c r="D4981" s="20" t="s">
        <v>238</v>
      </c>
      <c r="E4981" s="20" t="s">
        <v>2341</v>
      </c>
      <c r="F4981" s="20" t="s">
        <v>244</v>
      </c>
      <c r="G4981" s="20" t="s">
        <v>82</v>
      </c>
      <c r="H4981" s="20"/>
      <c r="I4981" s="20"/>
      <c r="J4981" s="20" t="s">
        <v>3199</v>
      </c>
      <c r="K4981" s="20" t="s">
        <v>241</v>
      </c>
      <c r="L4981" s="20">
        <v>860000000</v>
      </c>
      <c r="M4981" s="20" t="s">
        <v>245</v>
      </c>
      <c r="N4981" s="20" t="s">
        <v>3314</v>
      </c>
    </row>
    <row r="4982" spans="1:14" hidden="1" x14ac:dyDescent="0.25">
      <c r="A4982" s="19">
        <v>46023</v>
      </c>
      <c r="B4982" s="20" t="s">
        <v>142</v>
      </c>
      <c r="C4982" s="20">
        <v>74</v>
      </c>
      <c r="D4982" s="20" t="s">
        <v>253</v>
      </c>
      <c r="E4982" s="20" t="s">
        <v>2359</v>
      </c>
      <c r="F4982" s="20" t="s">
        <v>544</v>
      </c>
      <c r="G4982" s="20" t="s">
        <v>82</v>
      </c>
      <c r="H4982" s="20"/>
      <c r="I4982" s="20"/>
      <c r="J4982" s="20" t="s">
        <v>203</v>
      </c>
      <c r="K4982" s="20" t="s">
        <v>255</v>
      </c>
      <c r="L4982" s="20">
        <v>1020000</v>
      </c>
      <c r="M4982" s="20" t="s">
        <v>242</v>
      </c>
      <c r="N4982" s="20" t="s">
        <v>937</v>
      </c>
    </row>
    <row r="4983" spans="1:14" hidden="1" x14ac:dyDescent="0.25">
      <c r="A4983" s="19">
        <v>46023</v>
      </c>
      <c r="B4983" s="20" t="s">
        <v>142</v>
      </c>
      <c r="C4983" s="20">
        <v>74</v>
      </c>
      <c r="D4983" s="20" t="s">
        <v>253</v>
      </c>
      <c r="E4983" s="20" t="s">
        <v>2359</v>
      </c>
      <c r="F4983" s="20" t="s">
        <v>544</v>
      </c>
      <c r="G4983" s="20" t="s">
        <v>82</v>
      </c>
      <c r="H4983" s="20"/>
      <c r="I4983" s="20"/>
      <c r="J4983" s="20" t="s">
        <v>204</v>
      </c>
      <c r="K4983" s="20" t="s">
        <v>255</v>
      </c>
      <c r="L4983" s="20">
        <v>1190000</v>
      </c>
      <c r="M4983" s="20" t="s">
        <v>242</v>
      </c>
      <c r="N4983" s="20" t="s">
        <v>3167</v>
      </c>
    </row>
    <row r="4984" spans="1:14" hidden="1" x14ac:dyDescent="0.25">
      <c r="A4984" s="19">
        <v>46023</v>
      </c>
      <c r="B4984" s="20" t="s">
        <v>142</v>
      </c>
      <c r="C4984" s="20">
        <v>74</v>
      </c>
      <c r="D4984" s="20" t="s">
        <v>253</v>
      </c>
      <c r="E4984" s="20" t="s">
        <v>2359</v>
      </c>
      <c r="F4984" s="20" t="s">
        <v>544</v>
      </c>
      <c r="G4984" s="20" t="s">
        <v>82</v>
      </c>
      <c r="H4984" s="20"/>
      <c r="I4984" s="20"/>
      <c r="J4984" s="20" t="s">
        <v>205</v>
      </c>
      <c r="K4984" s="20" t="s">
        <v>255</v>
      </c>
      <c r="L4984" s="20">
        <v>1030000</v>
      </c>
      <c r="M4984" s="20" t="s">
        <v>242</v>
      </c>
      <c r="N4984" s="20" t="s">
        <v>3315</v>
      </c>
    </row>
    <row r="4985" spans="1:14" hidden="1" x14ac:dyDescent="0.25">
      <c r="A4985" s="19">
        <v>46023</v>
      </c>
      <c r="B4985" s="20" t="s">
        <v>142</v>
      </c>
      <c r="C4985" s="20">
        <v>74</v>
      </c>
      <c r="D4985" s="20" t="s">
        <v>247</v>
      </c>
      <c r="E4985" s="20" t="s">
        <v>2554</v>
      </c>
      <c r="F4985" s="20" t="s">
        <v>2559</v>
      </c>
      <c r="G4985" s="20" t="s">
        <v>82</v>
      </c>
      <c r="H4985" s="20" t="s">
        <v>249</v>
      </c>
      <c r="I4985" s="20"/>
      <c r="J4985" s="20" t="s">
        <v>205</v>
      </c>
      <c r="K4985" s="20" t="s">
        <v>250</v>
      </c>
      <c r="L4985" s="20">
        <v>13.4</v>
      </c>
      <c r="M4985" s="20" t="s">
        <v>251</v>
      </c>
      <c r="N4985" s="20" t="s">
        <v>3316</v>
      </c>
    </row>
    <row r="4986" spans="1:14" hidden="1" x14ac:dyDescent="0.25">
      <c r="A4986" s="19">
        <v>46023</v>
      </c>
      <c r="B4986" s="20" t="s">
        <v>142</v>
      </c>
      <c r="C4986" s="20">
        <v>75</v>
      </c>
      <c r="D4986" s="20" t="s">
        <v>253</v>
      </c>
      <c r="E4986" s="20" t="s">
        <v>2359</v>
      </c>
      <c r="F4986" s="20" t="s">
        <v>2531</v>
      </c>
      <c r="G4986" s="20" t="s">
        <v>82</v>
      </c>
      <c r="H4986" s="20" t="s">
        <v>149</v>
      </c>
      <c r="I4986" s="20"/>
      <c r="J4986" s="20" t="s">
        <v>203</v>
      </c>
      <c r="K4986" s="20" t="s">
        <v>255</v>
      </c>
      <c r="L4986" s="20">
        <v>6350</v>
      </c>
      <c r="M4986" s="20" t="s">
        <v>242</v>
      </c>
      <c r="N4986" s="20" t="s">
        <v>3022</v>
      </c>
    </row>
    <row r="4987" spans="1:14" hidden="1" x14ac:dyDescent="0.25">
      <c r="A4987" s="19">
        <v>46023</v>
      </c>
      <c r="B4987" s="20" t="s">
        <v>142</v>
      </c>
      <c r="C4987" s="20">
        <v>75</v>
      </c>
      <c r="D4987" s="20" t="s">
        <v>253</v>
      </c>
      <c r="E4987" s="20" t="s">
        <v>2359</v>
      </c>
      <c r="F4987" s="20" t="s">
        <v>2531</v>
      </c>
      <c r="G4987" s="20" t="s">
        <v>82</v>
      </c>
      <c r="H4987" s="20" t="s">
        <v>149</v>
      </c>
      <c r="I4987" s="20"/>
      <c r="J4987" s="20" t="s">
        <v>204</v>
      </c>
      <c r="K4987" s="20" t="s">
        <v>255</v>
      </c>
      <c r="L4987" s="20">
        <v>6297</v>
      </c>
      <c r="M4987" s="20" t="s">
        <v>242</v>
      </c>
      <c r="N4987" s="20" t="s">
        <v>3169</v>
      </c>
    </row>
    <row r="4988" spans="1:14" hidden="1" x14ac:dyDescent="0.25">
      <c r="A4988" s="19">
        <v>46023</v>
      </c>
      <c r="B4988" s="20" t="s">
        <v>142</v>
      </c>
      <c r="C4988" s="20">
        <v>75</v>
      </c>
      <c r="D4988" s="20" t="s">
        <v>253</v>
      </c>
      <c r="E4988" s="20" t="s">
        <v>2359</v>
      </c>
      <c r="F4988" s="20" t="s">
        <v>2531</v>
      </c>
      <c r="G4988" s="20" t="s">
        <v>82</v>
      </c>
      <c r="H4988" s="20" t="s">
        <v>149</v>
      </c>
      <c r="I4988" s="20"/>
      <c r="J4988" s="20" t="s">
        <v>205</v>
      </c>
      <c r="K4988" s="20" t="s">
        <v>255</v>
      </c>
      <c r="L4988" s="20">
        <v>5923</v>
      </c>
      <c r="M4988" s="20" t="s">
        <v>242</v>
      </c>
      <c r="N4988" s="20" t="s">
        <v>3317</v>
      </c>
    </row>
    <row r="4989" spans="1:14" hidden="1" x14ac:dyDescent="0.25">
      <c r="A4989" s="19">
        <v>46023</v>
      </c>
      <c r="B4989" s="20" t="s">
        <v>142</v>
      </c>
      <c r="C4989" s="20">
        <v>75</v>
      </c>
      <c r="D4989" s="20" t="s">
        <v>253</v>
      </c>
      <c r="E4989" s="20" t="s">
        <v>2359</v>
      </c>
      <c r="F4989" s="20" t="s">
        <v>2531</v>
      </c>
      <c r="G4989" s="20" t="s">
        <v>82</v>
      </c>
      <c r="H4989" s="20" t="s">
        <v>150</v>
      </c>
      <c r="I4989" s="20"/>
      <c r="J4989" s="20" t="s">
        <v>203</v>
      </c>
      <c r="K4989" s="20" t="s">
        <v>255</v>
      </c>
      <c r="L4989" s="20">
        <v>283</v>
      </c>
      <c r="M4989" s="20" t="s">
        <v>242</v>
      </c>
      <c r="N4989" s="20" t="s">
        <v>3023</v>
      </c>
    </row>
    <row r="4990" spans="1:14" hidden="1" x14ac:dyDescent="0.25">
      <c r="A4990" s="19">
        <v>46023</v>
      </c>
      <c r="B4990" s="20" t="s">
        <v>142</v>
      </c>
      <c r="C4990" s="20">
        <v>75</v>
      </c>
      <c r="D4990" s="20" t="s">
        <v>253</v>
      </c>
      <c r="E4990" s="20" t="s">
        <v>2359</v>
      </c>
      <c r="F4990" s="20" t="s">
        <v>2531</v>
      </c>
      <c r="G4990" s="20" t="s">
        <v>82</v>
      </c>
      <c r="H4990" s="20" t="s">
        <v>150</v>
      </c>
      <c r="I4990" s="20"/>
      <c r="J4990" s="20" t="s">
        <v>204</v>
      </c>
      <c r="K4990" s="20" t="s">
        <v>255</v>
      </c>
      <c r="L4990" s="20">
        <v>307</v>
      </c>
      <c r="M4990" s="20" t="s">
        <v>242</v>
      </c>
      <c r="N4990" s="20" t="s">
        <v>3170</v>
      </c>
    </row>
    <row r="4991" spans="1:14" hidden="1" x14ac:dyDescent="0.25">
      <c r="A4991" s="19">
        <v>46023</v>
      </c>
      <c r="B4991" s="20" t="s">
        <v>142</v>
      </c>
      <c r="C4991" s="20">
        <v>75</v>
      </c>
      <c r="D4991" s="20" t="s">
        <v>253</v>
      </c>
      <c r="E4991" s="20" t="s">
        <v>2359</v>
      </c>
      <c r="F4991" s="20" t="s">
        <v>2531</v>
      </c>
      <c r="G4991" s="20" t="s">
        <v>82</v>
      </c>
      <c r="H4991" s="20" t="s">
        <v>150</v>
      </c>
      <c r="I4991" s="20"/>
      <c r="J4991" s="20" t="s">
        <v>205</v>
      </c>
      <c r="K4991" s="20" t="s">
        <v>255</v>
      </c>
      <c r="L4991" s="20">
        <v>264</v>
      </c>
      <c r="M4991" s="20" t="s">
        <v>242</v>
      </c>
      <c r="N4991" s="20" t="s">
        <v>3318</v>
      </c>
    </row>
    <row r="4992" spans="1:14" hidden="1" x14ac:dyDescent="0.25">
      <c r="A4992" s="19">
        <v>46023</v>
      </c>
      <c r="B4992" s="20" t="s">
        <v>142</v>
      </c>
      <c r="C4992" s="20">
        <v>75</v>
      </c>
      <c r="D4992" s="20" t="s">
        <v>253</v>
      </c>
      <c r="E4992" s="20" t="s">
        <v>2359</v>
      </c>
      <c r="F4992" s="20" t="s">
        <v>2531</v>
      </c>
      <c r="G4992" s="20" t="s">
        <v>82</v>
      </c>
      <c r="H4992" s="20" t="s">
        <v>151</v>
      </c>
      <c r="I4992" s="20"/>
      <c r="J4992" s="20" t="s">
        <v>203</v>
      </c>
      <c r="K4992" s="20" t="s">
        <v>255</v>
      </c>
      <c r="L4992" s="20">
        <v>37</v>
      </c>
      <c r="M4992" s="20" t="s">
        <v>242</v>
      </c>
      <c r="N4992" s="20" t="s">
        <v>1310</v>
      </c>
    </row>
    <row r="4993" spans="1:14" hidden="1" x14ac:dyDescent="0.25">
      <c r="A4993" s="19">
        <v>46023</v>
      </c>
      <c r="B4993" s="20" t="s">
        <v>142</v>
      </c>
      <c r="C4993" s="20">
        <v>75</v>
      </c>
      <c r="D4993" s="20" t="s">
        <v>253</v>
      </c>
      <c r="E4993" s="20" t="s">
        <v>2359</v>
      </c>
      <c r="F4993" s="20" t="s">
        <v>2531</v>
      </c>
      <c r="G4993" s="20" t="s">
        <v>82</v>
      </c>
      <c r="H4993" s="20" t="s">
        <v>151</v>
      </c>
      <c r="I4993" s="20"/>
      <c r="J4993" s="20" t="s">
        <v>204</v>
      </c>
      <c r="K4993" s="20" t="s">
        <v>255</v>
      </c>
      <c r="L4993" s="20">
        <v>41</v>
      </c>
      <c r="M4993" s="20" t="s">
        <v>242</v>
      </c>
      <c r="N4993" s="20" t="s">
        <v>3171</v>
      </c>
    </row>
    <row r="4994" spans="1:14" hidden="1" x14ac:dyDescent="0.25">
      <c r="A4994" s="19">
        <v>46023</v>
      </c>
      <c r="B4994" s="20" t="s">
        <v>142</v>
      </c>
      <c r="C4994" s="20">
        <v>75</v>
      </c>
      <c r="D4994" s="20" t="s">
        <v>253</v>
      </c>
      <c r="E4994" s="20" t="s">
        <v>2359</v>
      </c>
      <c r="F4994" s="20" t="s">
        <v>2531</v>
      </c>
      <c r="G4994" s="20" t="s">
        <v>82</v>
      </c>
      <c r="H4994" s="20" t="s">
        <v>151</v>
      </c>
      <c r="I4994" s="20"/>
      <c r="J4994" s="20" t="s">
        <v>205</v>
      </c>
      <c r="K4994" s="20" t="s">
        <v>255</v>
      </c>
      <c r="L4994" s="20">
        <v>28</v>
      </c>
      <c r="M4994" s="20" t="s">
        <v>242</v>
      </c>
      <c r="N4994" s="20" t="s">
        <v>3319</v>
      </c>
    </row>
    <row r="4995" spans="1:14" hidden="1" x14ac:dyDescent="0.25">
      <c r="A4995" s="19">
        <v>46023</v>
      </c>
      <c r="B4995" s="20" t="s">
        <v>142</v>
      </c>
      <c r="C4995" s="20">
        <v>76</v>
      </c>
      <c r="D4995" s="20" t="s">
        <v>253</v>
      </c>
      <c r="E4995" s="20" t="s">
        <v>2359</v>
      </c>
      <c r="F4995" s="20" t="s">
        <v>929</v>
      </c>
      <c r="G4995" s="20" t="s">
        <v>82</v>
      </c>
      <c r="H4995" s="20"/>
      <c r="I4995" s="20"/>
      <c r="J4995" s="20" t="s">
        <v>203</v>
      </c>
      <c r="K4995" s="20" t="s">
        <v>255</v>
      </c>
      <c r="L4995" s="20">
        <v>818000000</v>
      </c>
      <c r="M4995" s="20" t="s">
        <v>245</v>
      </c>
      <c r="N4995" s="20" t="s">
        <v>3024</v>
      </c>
    </row>
    <row r="4996" spans="1:14" hidden="1" x14ac:dyDescent="0.25">
      <c r="A4996" s="19">
        <v>46023</v>
      </c>
      <c r="B4996" s="20" t="s">
        <v>142</v>
      </c>
      <c r="C4996" s="20">
        <v>76</v>
      </c>
      <c r="D4996" s="20" t="s">
        <v>253</v>
      </c>
      <c r="E4996" s="20" t="s">
        <v>2359</v>
      </c>
      <c r="F4996" s="20" t="s">
        <v>929</v>
      </c>
      <c r="G4996" s="20" t="s">
        <v>82</v>
      </c>
      <c r="H4996" s="20"/>
      <c r="I4996" s="20"/>
      <c r="J4996" s="20" t="s">
        <v>204</v>
      </c>
      <c r="K4996" s="20" t="s">
        <v>255</v>
      </c>
      <c r="L4996" s="20">
        <v>939000000</v>
      </c>
      <c r="M4996" s="20" t="s">
        <v>245</v>
      </c>
      <c r="N4996" s="20" t="s">
        <v>3172</v>
      </c>
    </row>
    <row r="4997" spans="1:14" hidden="1" x14ac:dyDescent="0.25">
      <c r="A4997" s="19">
        <v>46023</v>
      </c>
      <c r="B4997" s="20" t="s">
        <v>142</v>
      </c>
      <c r="C4997" s="20">
        <v>76</v>
      </c>
      <c r="D4997" s="20" t="s">
        <v>253</v>
      </c>
      <c r="E4997" s="20" t="s">
        <v>2359</v>
      </c>
      <c r="F4997" s="20" t="s">
        <v>929</v>
      </c>
      <c r="G4997" s="20" t="s">
        <v>82</v>
      </c>
      <c r="H4997" s="20"/>
      <c r="I4997" s="20"/>
      <c r="J4997" s="20" t="s">
        <v>205</v>
      </c>
      <c r="K4997" s="20" t="s">
        <v>255</v>
      </c>
      <c r="L4997" s="20">
        <v>862000000</v>
      </c>
      <c r="M4997" s="20" t="s">
        <v>245</v>
      </c>
      <c r="N4997" s="20" t="s">
        <v>3320</v>
      </c>
    </row>
    <row r="4998" spans="1:14" hidden="1" x14ac:dyDescent="0.25">
      <c r="A4998" s="19">
        <v>46023</v>
      </c>
      <c r="B4998" s="20" t="s">
        <v>142</v>
      </c>
      <c r="C4998" s="20">
        <v>76</v>
      </c>
      <c r="D4998" s="20" t="s">
        <v>247</v>
      </c>
      <c r="E4998" s="20" t="s">
        <v>2554</v>
      </c>
      <c r="F4998" s="20" t="s">
        <v>2558</v>
      </c>
      <c r="G4998" s="20" t="s">
        <v>82</v>
      </c>
      <c r="H4998" s="20" t="s">
        <v>249</v>
      </c>
      <c r="I4998" s="20"/>
      <c r="J4998" s="20" t="s">
        <v>205</v>
      </c>
      <c r="K4998" s="20" t="s">
        <v>250</v>
      </c>
      <c r="L4998" s="20">
        <v>8.1999999999999993</v>
      </c>
      <c r="M4998" s="20" t="s">
        <v>251</v>
      </c>
      <c r="N4998" s="20" t="s">
        <v>649</v>
      </c>
    </row>
    <row r="4999" spans="1:14" hidden="1" x14ac:dyDescent="0.25">
      <c r="A4999" s="19">
        <v>46023</v>
      </c>
      <c r="B4999" s="20" t="s">
        <v>142</v>
      </c>
      <c r="C4999" s="20">
        <v>77</v>
      </c>
      <c r="D4999" s="20" t="s">
        <v>253</v>
      </c>
      <c r="E4999" s="20" t="s">
        <v>2359</v>
      </c>
      <c r="F4999" s="20" t="s">
        <v>2533</v>
      </c>
      <c r="G4999" s="20" t="s">
        <v>82</v>
      </c>
      <c r="H4999" s="20" t="s">
        <v>149</v>
      </c>
      <c r="I4999" s="20"/>
      <c r="J4999" s="20" t="s">
        <v>203</v>
      </c>
      <c r="K4999" s="20" t="s">
        <v>255</v>
      </c>
      <c r="L4999" s="20">
        <v>40200000</v>
      </c>
      <c r="M4999" s="20" t="s">
        <v>149</v>
      </c>
      <c r="N4999" s="20" t="s">
        <v>3025</v>
      </c>
    </row>
    <row r="5000" spans="1:14" hidden="1" x14ac:dyDescent="0.25">
      <c r="A5000" s="19">
        <v>46023</v>
      </c>
      <c r="B5000" s="20" t="s">
        <v>142</v>
      </c>
      <c r="C5000" s="20">
        <v>77</v>
      </c>
      <c r="D5000" s="20" t="s">
        <v>253</v>
      </c>
      <c r="E5000" s="20" t="s">
        <v>2359</v>
      </c>
      <c r="F5000" s="20" t="s">
        <v>2533</v>
      </c>
      <c r="G5000" s="20" t="s">
        <v>82</v>
      </c>
      <c r="H5000" s="20" t="s">
        <v>149</v>
      </c>
      <c r="I5000" s="20"/>
      <c r="J5000" s="20" t="s">
        <v>204</v>
      </c>
      <c r="K5000" s="20" t="s">
        <v>255</v>
      </c>
      <c r="L5000" s="20">
        <v>41200000</v>
      </c>
      <c r="M5000" s="20" t="s">
        <v>149</v>
      </c>
      <c r="N5000" s="20" t="s">
        <v>3174</v>
      </c>
    </row>
    <row r="5001" spans="1:14" hidden="1" x14ac:dyDescent="0.25">
      <c r="A5001" s="19">
        <v>46023</v>
      </c>
      <c r="B5001" s="20" t="s">
        <v>142</v>
      </c>
      <c r="C5001" s="20">
        <v>77</v>
      </c>
      <c r="D5001" s="20" t="s">
        <v>253</v>
      </c>
      <c r="E5001" s="20" t="s">
        <v>2359</v>
      </c>
      <c r="F5001" s="20" t="s">
        <v>2533</v>
      </c>
      <c r="G5001" s="20" t="s">
        <v>82</v>
      </c>
      <c r="H5001" s="20" t="s">
        <v>149</v>
      </c>
      <c r="I5001" s="20"/>
      <c r="J5001" s="20" t="s">
        <v>205</v>
      </c>
      <c r="K5001" s="20" t="s">
        <v>255</v>
      </c>
      <c r="L5001" s="20">
        <v>38800000</v>
      </c>
      <c r="M5001" s="20" t="s">
        <v>149</v>
      </c>
      <c r="N5001" s="20" t="s">
        <v>3321</v>
      </c>
    </row>
    <row r="5002" spans="1:14" hidden="1" x14ac:dyDescent="0.25">
      <c r="A5002" s="19">
        <v>46023</v>
      </c>
      <c r="B5002" s="20" t="s">
        <v>142</v>
      </c>
      <c r="C5002" s="20">
        <v>77</v>
      </c>
      <c r="D5002" s="20" t="s">
        <v>253</v>
      </c>
      <c r="E5002" s="20" t="s">
        <v>2359</v>
      </c>
      <c r="F5002" s="20" t="s">
        <v>2533</v>
      </c>
      <c r="G5002" s="20" t="s">
        <v>82</v>
      </c>
      <c r="H5002" s="20" t="s">
        <v>150</v>
      </c>
      <c r="I5002" s="20"/>
      <c r="J5002" s="20" t="s">
        <v>203</v>
      </c>
      <c r="K5002" s="20" t="s">
        <v>255</v>
      </c>
      <c r="L5002" s="20">
        <v>2650000</v>
      </c>
      <c r="M5002" s="20" t="s">
        <v>150</v>
      </c>
      <c r="N5002" s="20" t="s">
        <v>3026</v>
      </c>
    </row>
    <row r="5003" spans="1:14" hidden="1" x14ac:dyDescent="0.25">
      <c r="A5003" s="19">
        <v>46023</v>
      </c>
      <c r="B5003" s="20" t="s">
        <v>142</v>
      </c>
      <c r="C5003" s="20">
        <v>77</v>
      </c>
      <c r="D5003" s="20" t="s">
        <v>253</v>
      </c>
      <c r="E5003" s="20" t="s">
        <v>2359</v>
      </c>
      <c r="F5003" s="20" t="s">
        <v>2533</v>
      </c>
      <c r="G5003" s="20" t="s">
        <v>82</v>
      </c>
      <c r="H5003" s="20" t="s">
        <v>150</v>
      </c>
      <c r="I5003" s="20"/>
      <c r="J5003" s="20" t="s">
        <v>204</v>
      </c>
      <c r="K5003" s="20" t="s">
        <v>255</v>
      </c>
      <c r="L5003" s="20">
        <v>2510000</v>
      </c>
      <c r="M5003" s="20" t="s">
        <v>150</v>
      </c>
      <c r="N5003" s="20" t="s">
        <v>2102</v>
      </c>
    </row>
    <row r="5004" spans="1:14" hidden="1" x14ac:dyDescent="0.25">
      <c r="A5004" s="19">
        <v>46023</v>
      </c>
      <c r="B5004" s="20" t="s">
        <v>142</v>
      </c>
      <c r="C5004" s="20">
        <v>77</v>
      </c>
      <c r="D5004" s="20" t="s">
        <v>253</v>
      </c>
      <c r="E5004" s="20" t="s">
        <v>2359</v>
      </c>
      <c r="F5004" s="20" t="s">
        <v>2533</v>
      </c>
      <c r="G5004" s="20" t="s">
        <v>82</v>
      </c>
      <c r="H5004" s="20" t="s">
        <v>150</v>
      </c>
      <c r="I5004" s="20"/>
      <c r="J5004" s="20" t="s">
        <v>205</v>
      </c>
      <c r="K5004" s="20" t="s">
        <v>255</v>
      </c>
      <c r="L5004" s="20">
        <v>2470000</v>
      </c>
      <c r="M5004" s="20" t="s">
        <v>150</v>
      </c>
      <c r="N5004" s="20" t="s">
        <v>3078</v>
      </c>
    </row>
    <row r="5005" spans="1:14" hidden="1" x14ac:dyDescent="0.25">
      <c r="A5005" s="19">
        <v>46023</v>
      </c>
      <c r="B5005" s="20" t="s">
        <v>142</v>
      </c>
      <c r="C5005" s="20">
        <v>77</v>
      </c>
      <c r="D5005" s="20" t="s">
        <v>253</v>
      </c>
      <c r="E5005" s="20" t="s">
        <v>2359</v>
      </c>
      <c r="F5005" s="20" t="s">
        <v>2533</v>
      </c>
      <c r="G5005" s="20" t="s">
        <v>82</v>
      </c>
      <c r="H5005" s="20" t="s">
        <v>151</v>
      </c>
      <c r="I5005" s="20"/>
      <c r="J5005" s="20" t="s">
        <v>203</v>
      </c>
      <c r="K5005" s="20" t="s">
        <v>255</v>
      </c>
      <c r="L5005" s="20">
        <v>290000</v>
      </c>
      <c r="M5005" s="20" t="s">
        <v>151</v>
      </c>
      <c r="N5005" s="20" t="s">
        <v>3027</v>
      </c>
    </row>
    <row r="5006" spans="1:14" hidden="1" x14ac:dyDescent="0.25">
      <c r="A5006" s="19">
        <v>46023</v>
      </c>
      <c r="B5006" s="20" t="s">
        <v>142</v>
      </c>
      <c r="C5006" s="20">
        <v>77</v>
      </c>
      <c r="D5006" s="20" t="s">
        <v>253</v>
      </c>
      <c r="E5006" s="20" t="s">
        <v>2359</v>
      </c>
      <c r="F5006" s="20" t="s">
        <v>2533</v>
      </c>
      <c r="G5006" s="20" t="s">
        <v>82</v>
      </c>
      <c r="H5006" s="20" t="s">
        <v>151</v>
      </c>
      <c r="I5006" s="20"/>
      <c r="J5006" s="20" t="s">
        <v>204</v>
      </c>
      <c r="K5006" s="20" t="s">
        <v>255</v>
      </c>
      <c r="L5006" s="20">
        <v>330000</v>
      </c>
      <c r="M5006" s="20" t="s">
        <v>151</v>
      </c>
      <c r="N5006" s="20" t="s">
        <v>3175</v>
      </c>
    </row>
    <row r="5007" spans="1:14" hidden="1" x14ac:dyDescent="0.25">
      <c r="A5007" s="19">
        <v>46023</v>
      </c>
      <c r="B5007" s="20" t="s">
        <v>142</v>
      </c>
      <c r="C5007" s="20">
        <v>77</v>
      </c>
      <c r="D5007" s="20" t="s">
        <v>253</v>
      </c>
      <c r="E5007" s="20" t="s">
        <v>2359</v>
      </c>
      <c r="F5007" s="20" t="s">
        <v>2533</v>
      </c>
      <c r="G5007" s="20" t="s">
        <v>82</v>
      </c>
      <c r="H5007" s="20" t="s">
        <v>151</v>
      </c>
      <c r="I5007" s="20"/>
      <c r="J5007" s="20" t="s">
        <v>205</v>
      </c>
      <c r="K5007" s="20" t="s">
        <v>255</v>
      </c>
      <c r="L5007" s="20">
        <v>240000</v>
      </c>
      <c r="M5007" s="20" t="s">
        <v>151</v>
      </c>
      <c r="N5007" s="20" t="s">
        <v>3322</v>
      </c>
    </row>
    <row r="5008" spans="1:14" hidden="1" x14ac:dyDescent="0.25">
      <c r="A5008" s="19">
        <v>46023</v>
      </c>
      <c r="B5008" s="20" t="s">
        <v>156</v>
      </c>
      <c r="C5008" s="20">
        <v>79</v>
      </c>
      <c r="D5008" s="20" t="s">
        <v>238</v>
      </c>
      <c r="E5008" s="20" t="s">
        <v>2341</v>
      </c>
      <c r="F5008" s="20" t="s">
        <v>240</v>
      </c>
      <c r="G5008" s="20" t="s">
        <v>158</v>
      </c>
      <c r="H5008" s="20"/>
      <c r="I5008" s="20"/>
      <c r="J5008" s="20" t="s">
        <v>3199</v>
      </c>
      <c r="K5008" s="20" t="s">
        <v>241</v>
      </c>
      <c r="L5008" s="20">
        <v>407500</v>
      </c>
      <c r="M5008" s="20" t="s">
        <v>242</v>
      </c>
      <c r="N5008" s="20" t="s">
        <v>3323</v>
      </c>
    </row>
    <row r="5009" spans="1:14" hidden="1" x14ac:dyDescent="0.25">
      <c r="A5009" s="19">
        <v>46023</v>
      </c>
      <c r="B5009" s="20" t="s">
        <v>156</v>
      </c>
      <c r="C5009" s="20">
        <v>79</v>
      </c>
      <c r="D5009" s="20" t="s">
        <v>238</v>
      </c>
      <c r="E5009" s="20" t="s">
        <v>2341</v>
      </c>
      <c r="F5009" s="20" t="s">
        <v>244</v>
      </c>
      <c r="G5009" s="20" t="s">
        <v>158</v>
      </c>
      <c r="H5009" s="20"/>
      <c r="I5009" s="20"/>
      <c r="J5009" s="20" t="s">
        <v>3199</v>
      </c>
      <c r="K5009" s="20" t="s">
        <v>241</v>
      </c>
      <c r="L5009" s="20">
        <v>3070000000</v>
      </c>
      <c r="M5009" s="20" t="s">
        <v>245</v>
      </c>
      <c r="N5009" s="20" t="s">
        <v>3324</v>
      </c>
    </row>
    <row r="5010" spans="1:14" hidden="1" x14ac:dyDescent="0.25">
      <c r="A5010" s="19">
        <v>46023</v>
      </c>
      <c r="B5010" s="20" t="s">
        <v>156</v>
      </c>
      <c r="C5010" s="20">
        <v>80</v>
      </c>
      <c r="D5010" s="20" t="s">
        <v>253</v>
      </c>
      <c r="E5010" s="20" t="s">
        <v>2359</v>
      </c>
      <c r="F5010" s="20" t="s">
        <v>344</v>
      </c>
      <c r="G5010" s="20" t="s">
        <v>158</v>
      </c>
      <c r="H5010" s="20"/>
      <c r="I5010" s="20"/>
      <c r="J5010" s="20" t="s">
        <v>203</v>
      </c>
      <c r="K5010" s="20" t="s">
        <v>255</v>
      </c>
      <c r="L5010" s="20">
        <v>562000</v>
      </c>
      <c r="M5010" s="20" t="s">
        <v>242</v>
      </c>
      <c r="N5010" s="20" t="s">
        <v>2045</v>
      </c>
    </row>
    <row r="5011" spans="1:14" hidden="1" x14ac:dyDescent="0.25">
      <c r="A5011" s="19">
        <v>46023</v>
      </c>
      <c r="B5011" s="20" t="s">
        <v>156</v>
      </c>
      <c r="C5011" s="20">
        <v>80</v>
      </c>
      <c r="D5011" s="20" t="s">
        <v>253</v>
      </c>
      <c r="E5011" s="20" t="s">
        <v>2359</v>
      </c>
      <c r="F5011" s="20" t="s">
        <v>344</v>
      </c>
      <c r="G5011" s="20" t="s">
        <v>158</v>
      </c>
      <c r="H5011" s="20"/>
      <c r="I5011" s="20"/>
      <c r="J5011" s="20" t="s">
        <v>204</v>
      </c>
      <c r="K5011" s="20" t="s">
        <v>255</v>
      </c>
      <c r="L5011" s="20">
        <v>570000</v>
      </c>
      <c r="M5011" s="20" t="s">
        <v>242</v>
      </c>
      <c r="N5011" s="20" t="s">
        <v>3178</v>
      </c>
    </row>
    <row r="5012" spans="1:14" hidden="1" x14ac:dyDescent="0.25">
      <c r="A5012" s="19">
        <v>46023</v>
      </c>
      <c r="B5012" s="20" t="s">
        <v>156</v>
      </c>
      <c r="C5012" s="20">
        <v>80</v>
      </c>
      <c r="D5012" s="20" t="s">
        <v>253</v>
      </c>
      <c r="E5012" s="20" t="s">
        <v>2359</v>
      </c>
      <c r="F5012" s="20" t="s">
        <v>344</v>
      </c>
      <c r="G5012" s="20" t="s">
        <v>158</v>
      </c>
      <c r="H5012" s="20"/>
      <c r="I5012" s="20"/>
      <c r="J5012" s="20" t="s">
        <v>205</v>
      </c>
      <c r="K5012" s="20" t="s">
        <v>255</v>
      </c>
      <c r="L5012" s="20">
        <v>408000</v>
      </c>
      <c r="M5012" s="20" t="s">
        <v>242</v>
      </c>
      <c r="N5012" s="20" t="s">
        <v>3325</v>
      </c>
    </row>
    <row r="5013" spans="1:14" hidden="1" x14ac:dyDescent="0.25">
      <c r="A5013" s="19">
        <v>46023</v>
      </c>
      <c r="B5013" s="20" t="s">
        <v>156</v>
      </c>
      <c r="C5013" s="20">
        <v>80</v>
      </c>
      <c r="D5013" s="20" t="s">
        <v>247</v>
      </c>
      <c r="E5013" s="20" t="s">
        <v>2554</v>
      </c>
      <c r="F5013" s="20" t="s">
        <v>2560</v>
      </c>
      <c r="G5013" s="20" t="s">
        <v>158</v>
      </c>
      <c r="H5013" s="20" t="s">
        <v>249</v>
      </c>
      <c r="I5013" s="20"/>
      <c r="J5013" s="20" t="s">
        <v>205</v>
      </c>
      <c r="K5013" s="20" t="s">
        <v>250</v>
      </c>
      <c r="L5013" s="20">
        <v>28.5</v>
      </c>
      <c r="M5013" s="20" t="s">
        <v>251</v>
      </c>
      <c r="N5013" s="20" t="s">
        <v>3326</v>
      </c>
    </row>
    <row r="5014" spans="1:14" hidden="1" x14ac:dyDescent="0.25">
      <c r="A5014" s="19">
        <v>46023</v>
      </c>
      <c r="B5014" s="20" t="s">
        <v>156</v>
      </c>
      <c r="C5014" s="20">
        <v>81</v>
      </c>
      <c r="D5014" s="20" t="s">
        <v>253</v>
      </c>
      <c r="E5014" s="20" t="s">
        <v>2359</v>
      </c>
      <c r="F5014" s="20" t="s">
        <v>349</v>
      </c>
      <c r="G5014" s="20" t="s">
        <v>158</v>
      </c>
      <c r="H5014" s="20"/>
      <c r="I5014" s="20"/>
      <c r="J5014" s="20" t="s">
        <v>203</v>
      </c>
      <c r="K5014" s="20" t="s">
        <v>255</v>
      </c>
      <c r="L5014" s="20">
        <v>17900</v>
      </c>
      <c r="M5014" s="20" t="s">
        <v>242</v>
      </c>
      <c r="N5014" s="20" t="s">
        <v>3030</v>
      </c>
    </row>
    <row r="5015" spans="1:14" hidden="1" x14ac:dyDescent="0.25">
      <c r="A5015" s="19">
        <v>46023</v>
      </c>
      <c r="B5015" s="20" t="s">
        <v>156</v>
      </c>
      <c r="C5015" s="20">
        <v>81</v>
      </c>
      <c r="D5015" s="20" t="s">
        <v>253</v>
      </c>
      <c r="E5015" s="20" t="s">
        <v>2359</v>
      </c>
      <c r="F5015" s="20" t="s">
        <v>349</v>
      </c>
      <c r="G5015" s="20" t="s">
        <v>158</v>
      </c>
      <c r="H5015" s="20"/>
      <c r="I5015" s="20"/>
      <c r="J5015" s="20" t="s">
        <v>204</v>
      </c>
      <c r="K5015" s="20" t="s">
        <v>255</v>
      </c>
      <c r="L5015" s="20">
        <v>17700</v>
      </c>
      <c r="M5015" s="20" t="s">
        <v>242</v>
      </c>
      <c r="N5015" s="20" t="s">
        <v>3179</v>
      </c>
    </row>
    <row r="5016" spans="1:14" hidden="1" x14ac:dyDescent="0.25">
      <c r="A5016" s="19">
        <v>46023</v>
      </c>
      <c r="B5016" s="20" t="s">
        <v>156</v>
      </c>
      <c r="C5016" s="20">
        <v>81</v>
      </c>
      <c r="D5016" s="20" t="s">
        <v>253</v>
      </c>
      <c r="E5016" s="20" t="s">
        <v>2359</v>
      </c>
      <c r="F5016" s="20" t="s">
        <v>349</v>
      </c>
      <c r="G5016" s="20" t="s">
        <v>158</v>
      </c>
      <c r="H5016" s="20"/>
      <c r="I5016" s="20"/>
      <c r="J5016" s="20" t="s">
        <v>205</v>
      </c>
      <c r="K5016" s="20" t="s">
        <v>255</v>
      </c>
      <c r="L5016" s="20">
        <v>11400</v>
      </c>
      <c r="M5016" s="20" t="s">
        <v>242</v>
      </c>
      <c r="N5016" s="20" t="s">
        <v>3327</v>
      </c>
    </row>
    <row r="5017" spans="1:14" hidden="1" x14ac:dyDescent="0.25">
      <c r="A5017" s="19">
        <v>46023</v>
      </c>
      <c r="B5017" s="20" t="s">
        <v>156</v>
      </c>
      <c r="C5017" s="20">
        <v>82</v>
      </c>
      <c r="D5017" s="20" t="s">
        <v>253</v>
      </c>
      <c r="E5017" s="20" t="s">
        <v>2359</v>
      </c>
      <c r="F5017" s="20" t="s">
        <v>2546</v>
      </c>
      <c r="G5017" s="20" t="s">
        <v>158</v>
      </c>
      <c r="H5017" s="20"/>
      <c r="I5017" s="20"/>
      <c r="J5017" s="20" t="s">
        <v>203</v>
      </c>
      <c r="K5017" s="20" t="s">
        <v>255</v>
      </c>
      <c r="L5017" s="20">
        <v>3.2</v>
      </c>
      <c r="M5017" s="20" t="s">
        <v>251</v>
      </c>
      <c r="N5017" s="20" t="s">
        <v>509</v>
      </c>
    </row>
    <row r="5018" spans="1:14" hidden="1" x14ac:dyDescent="0.25">
      <c r="A5018" s="19">
        <v>46023</v>
      </c>
      <c r="B5018" s="20" t="s">
        <v>156</v>
      </c>
      <c r="C5018" s="20">
        <v>82</v>
      </c>
      <c r="D5018" s="20" t="s">
        <v>253</v>
      </c>
      <c r="E5018" s="20" t="s">
        <v>2359</v>
      </c>
      <c r="F5018" s="20" t="s">
        <v>2546</v>
      </c>
      <c r="G5018" s="20" t="s">
        <v>158</v>
      </c>
      <c r="H5018" s="20"/>
      <c r="I5018" s="20"/>
      <c r="J5018" s="20" t="s">
        <v>204</v>
      </c>
      <c r="K5018" s="20" t="s">
        <v>255</v>
      </c>
      <c r="L5018" s="20">
        <v>3.1</v>
      </c>
      <c r="M5018" s="20" t="s">
        <v>251</v>
      </c>
      <c r="N5018" s="20" t="s">
        <v>1525</v>
      </c>
    </row>
    <row r="5019" spans="1:14" hidden="1" x14ac:dyDescent="0.25">
      <c r="A5019" s="19">
        <v>46023</v>
      </c>
      <c r="B5019" s="20" t="s">
        <v>156</v>
      </c>
      <c r="C5019" s="20">
        <v>82</v>
      </c>
      <c r="D5019" s="20" t="s">
        <v>253</v>
      </c>
      <c r="E5019" s="20" t="s">
        <v>2359</v>
      </c>
      <c r="F5019" s="20" t="s">
        <v>2546</v>
      </c>
      <c r="G5019" s="20" t="s">
        <v>158</v>
      </c>
      <c r="H5019" s="20"/>
      <c r="I5019" s="20"/>
      <c r="J5019" s="20" t="s">
        <v>205</v>
      </c>
      <c r="K5019" s="20" t="s">
        <v>255</v>
      </c>
      <c r="L5019" s="20">
        <v>2.8</v>
      </c>
      <c r="M5019" s="20" t="s">
        <v>251</v>
      </c>
      <c r="N5019" s="20" t="s">
        <v>1346</v>
      </c>
    </row>
    <row r="5020" spans="1:14" hidden="1" x14ac:dyDescent="0.25">
      <c r="A5020" s="19">
        <v>46023</v>
      </c>
      <c r="B5020" s="20" t="s">
        <v>156</v>
      </c>
      <c r="C5020" s="20">
        <v>83</v>
      </c>
      <c r="D5020" s="20" t="s">
        <v>291</v>
      </c>
      <c r="E5020" s="20" t="s">
        <v>2361</v>
      </c>
      <c r="F5020" s="20" t="s">
        <v>349</v>
      </c>
      <c r="G5020" s="20" t="s">
        <v>158</v>
      </c>
      <c r="H5020" s="20" t="s">
        <v>159</v>
      </c>
      <c r="I5020" s="20"/>
      <c r="J5020" s="20" t="s">
        <v>205</v>
      </c>
      <c r="K5020" s="20" t="s">
        <v>250</v>
      </c>
      <c r="L5020" s="20">
        <v>7284</v>
      </c>
      <c r="M5020" s="20" t="s">
        <v>242</v>
      </c>
      <c r="N5020" s="20" t="s">
        <v>3328</v>
      </c>
    </row>
    <row r="5021" spans="1:14" hidden="1" x14ac:dyDescent="0.25">
      <c r="A5021" s="19">
        <v>46023</v>
      </c>
      <c r="B5021" s="20" t="s">
        <v>156</v>
      </c>
      <c r="C5021" s="20">
        <v>83</v>
      </c>
      <c r="D5021" s="20" t="s">
        <v>291</v>
      </c>
      <c r="E5021" s="20" t="s">
        <v>2361</v>
      </c>
      <c r="F5021" s="20" t="s">
        <v>349</v>
      </c>
      <c r="G5021" s="20" t="s">
        <v>158</v>
      </c>
      <c r="H5021" s="20" t="s">
        <v>160</v>
      </c>
      <c r="I5021" s="20"/>
      <c r="J5021" s="20" t="s">
        <v>205</v>
      </c>
      <c r="K5021" s="20" t="s">
        <v>250</v>
      </c>
      <c r="L5021" s="20">
        <v>4136</v>
      </c>
      <c r="M5021" s="20" t="s">
        <v>242</v>
      </c>
      <c r="N5021" s="20" t="s">
        <v>3329</v>
      </c>
    </row>
    <row r="5022" spans="1:14" hidden="1" x14ac:dyDescent="0.25">
      <c r="A5022" s="19">
        <v>46023</v>
      </c>
      <c r="B5022" s="20" t="s">
        <v>156</v>
      </c>
      <c r="C5022" s="20">
        <v>84</v>
      </c>
      <c r="D5022" s="20" t="s">
        <v>253</v>
      </c>
      <c r="E5022" s="20" t="s">
        <v>2359</v>
      </c>
      <c r="F5022" s="20" t="s">
        <v>356</v>
      </c>
      <c r="G5022" s="20" t="s">
        <v>158</v>
      </c>
      <c r="H5022" s="20"/>
      <c r="I5022" s="20"/>
      <c r="J5022" s="20" t="s">
        <v>203</v>
      </c>
      <c r="K5022" s="20" t="s">
        <v>255</v>
      </c>
      <c r="L5022" s="20">
        <v>3300000000</v>
      </c>
      <c r="M5022" s="20" t="s">
        <v>245</v>
      </c>
      <c r="N5022" s="20" t="s">
        <v>3033</v>
      </c>
    </row>
    <row r="5023" spans="1:14" hidden="1" x14ac:dyDescent="0.25">
      <c r="A5023" s="19">
        <v>46023</v>
      </c>
      <c r="B5023" s="20" t="s">
        <v>156</v>
      </c>
      <c r="C5023" s="20">
        <v>84</v>
      </c>
      <c r="D5023" s="20" t="s">
        <v>253</v>
      </c>
      <c r="E5023" s="20" t="s">
        <v>2359</v>
      </c>
      <c r="F5023" s="20" t="s">
        <v>356</v>
      </c>
      <c r="G5023" s="20" t="s">
        <v>158</v>
      </c>
      <c r="H5023" s="20"/>
      <c r="I5023" s="20"/>
      <c r="J5023" s="20" t="s">
        <v>204</v>
      </c>
      <c r="K5023" s="20" t="s">
        <v>255</v>
      </c>
      <c r="L5023" s="20">
        <v>3850000000</v>
      </c>
      <c r="M5023" s="20" t="s">
        <v>245</v>
      </c>
      <c r="N5023" s="20" t="s">
        <v>3182</v>
      </c>
    </row>
    <row r="5024" spans="1:14" hidden="1" x14ac:dyDescent="0.25">
      <c r="A5024" s="19">
        <v>46023</v>
      </c>
      <c r="B5024" s="20" t="s">
        <v>156</v>
      </c>
      <c r="C5024" s="20">
        <v>84</v>
      </c>
      <c r="D5024" s="20" t="s">
        <v>253</v>
      </c>
      <c r="E5024" s="20" t="s">
        <v>2359</v>
      </c>
      <c r="F5024" s="20" t="s">
        <v>356</v>
      </c>
      <c r="G5024" s="20" t="s">
        <v>158</v>
      </c>
      <c r="H5024" s="20"/>
      <c r="I5024" s="20"/>
      <c r="J5024" s="20" t="s">
        <v>205</v>
      </c>
      <c r="K5024" s="20" t="s">
        <v>255</v>
      </c>
      <c r="L5024" s="20">
        <v>3070000000</v>
      </c>
      <c r="M5024" s="20" t="s">
        <v>245</v>
      </c>
      <c r="N5024" s="20" t="s">
        <v>3324</v>
      </c>
    </row>
    <row r="5025" spans="1:14" hidden="1" x14ac:dyDescent="0.25">
      <c r="A5025" s="19">
        <v>46023</v>
      </c>
      <c r="B5025" s="20" t="s">
        <v>156</v>
      </c>
      <c r="C5025" s="20">
        <v>84</v>
      </c>
      <c r="D5025" s="20" t="s">
        <v>247</v>
      </c>
      <c r="E5025" s="20" t="s">
        <v>2554</v>
      </c>
      <c r="F5025" s="20" t="s">
        <v>2722</v>
      </c>
      <c r="G5025" s="20" t="s">
        <v>158</v>
      </c>
      <c r="H5025" s="20" t="s">
        <v>249</v>
      </c>
      <c r="I5025" s="20"/>
      <c r="J5025" s="20" t="s">
        <v>205</v>
      </c>
      <c r="K5025" s="20" t="s">
        <v>250</v>
      </c>
      <c r="L5025" s="20">
        <v>20.3</v>
      </c>
      <c r="M5025" s="20" t="s">
        <v>251</v>
      </c>
      <c r="N5025" s="20" t="s">
        <v>556</v>
      </c>
    </row>
    <row r="5026" spans="1:14" hidden="1" x14ac:dyDescent="0.25">
      <c r="A5026" s="19">
        <v>46023</v>
      </c>
      <c r="B5026" s="20" t="s">
        <v>156</v>
      </c>
      <c r="C5026" s="20">
        <v>85</v>
      </c>
      <c r="D5026" s="20" t="s">
        <v>253</v>
      </c>
      <c r="E5026" s="20" t="s">
        <v>2359</v>
      </c>
      <c r="F5026" s="20" t="s">
        <v>361</v>
      </c>
      <c r="G5026" s="20" t="s">
        <v>158</v>
      </c>
      <c r="H5026" s="20"/>
      <c r="I5026" s="20"/>
      <c r="J5026" s="20" t="s">
        <v>203</v>
      </c>
      <c r="K5026" s="20" t="s">
        <v>255</v>
      </c>
      <c r="L5026" s="20">
        <v>88000000</v>
      </c>
      <c r="M5026" s="20" t="s">
        <v>245</v>
      </c>
      <c r="N5026" s="20" t="s">
        <v>3035</v>
      </c>
    </row>
    <row r="5027" spans="1:14" hidden="1" x14ac:dyDescent="0.25">
      <c r="A5027" s="19">
        <v>46023</v>
      </c>
      <c r="B5027" s="20" t="s">
        <v>156</v>
      </c>
      <c r="C5027" s="20">
        <v>85</v>
      </c>
      <c r="D5027" s="20" t="s">
        <v>253</v>
      </c>
      <c r="E5027" s="20" t="s">
        <v>2359</v>
      </c>
      <c r="F5027" s="20" t="s">
        <v>361</v>
      </c>
      <c r="G5027" s="20" t="s">
        <v>158</v>
      </c>
      <c r="H5027" s="20"/>
      <c r="I5027" s="20"/>
      <c r="J5027" s="20" t="s">
        <v>204</v>
      </c>
      <c r="K5027" s="20" t="s">
        <v>255</v>
      </c>
      <c r="L5027" s="20">
        <v>98000000</v>
      </c>
      <c r="M5027" s="20" t="s">
        <v>245</v>
      </c>
      <c r="N5027" s="20" t="s">
        <v>3184</v>
      </c>
    </row>
    <row r="5028" spans="1:14" hidden="1" x14ac:dyDescent="0.25">
      <c r="A5028" s="19">
        <v>46023</v>
      </c>
      <c r="B5028" s="20" t="s">
        <v>156</v>
      </c>
      <c r="C5028" s="20">
        <v>85</v>
      </c>
      <c r="D5028" s="20" t="s">
        <v>253</v>
      </c>
      <c r="E5028" s="20" t="s">
        <v>2359</v>
      </c>
      <c r="F5028" s="20" t="s">
        <v>361</v>
      </c>
      <c r="G5028" s="20" t="s">
        <v>158</v>
      </c>
      <c r="H5028" s="20"/>
      <c r="I5028" s="20"/>
      <c r="J5028" s="20" t="s">
        <v>205</v>
      </c>
      <c r="K5028" s="20" t="s">
        <v>255</v>
      </c>
      <c r="L5028" s="20">
        <v>66000000</v>
      </c>
      <c r="M5028" s="20" t="s">
        <v>245</v>
      </c>
      <c r="N5028" s="20" t="s">
        <v>3330</v>
      </c>
    </row>
    <row r="5029" spans="1:14" hidden="1" x14ac:dyDescent="0.25">
      <c r="A5029" s="19">
        <v>46023</v>
      </c>
      <c r="B5029" s="20" t="s">
        <v>156</v>
      </c>
      <c r="C5029" s="20">
        <v>86</v>
      </c>
      <c r="D5029" s="20" t="s">
        <v>253</v>
      </c>
      <c r="E5029" s="20" t="s">
        <v>2359</v>
      </c>
      <c r="F5029" s="20" t="s">
        <v>2548</v>
      </c>
      <c r="G5029" s="20" t="s">
        <v>158</v>
      </c>
      <c r="H5029" s="20"/>
      <c r="I5029" s="20"/>
      <c r="J5029" s="20" t="s">
        <v>203</v>
      </c>
      <c r="K5029" s="20" t="s">
        <v>255</v>
      </c>
      <c r="L5029" s="20">
        <v>2.68</v>
      </c>
      <c r="M5029" s="20" t="s">
        <v>251</v>
      </c>
      <c r="N5029" s="20" t="s">
        <v>3036</v>
      </c>
    </row>
    <row r="5030" spans="1:14" hidden="1" x14ac:dyDescent="0.25">
      <c r="A5030" s="19">
        <v>46023</v>
      </c>
      <c r="B5030" s="20" t="s">
        <v>156</v>
      </c>
      <c r="C5030" s="20">
        <v>86</v>
      </c>
      <c r="D5030" s="20" t="s">
        <v>253</v>
      </c>
      <c r="E5030" s="20" t="s">
        <v>2359</v>
      </c>
      <c r="F5030" s="20" t="s">
        <v>2548</v>
      </c>
      <c r="G5030" s="20" t="s">
        <v>158</v>
      </c>
      <c r="H5030" s="20"/>
      <c r="I5030" s="20"/>
      <c r="J5030" s="20" t="s">
        <v>204</v>
      </c>
      <c r="K5030" s="20" t="s">
        <v>255</v>
      </c>
      <c r="L5030" s="20">
        <v>2.54</v>
      </c>
      <c r="M5030" s="20" t="s">
        <v>251</v>
      </c>
      <c r="N5030" s="20" t="s">
        <v>1093</v>
      </c>
    </row>
    <row r="5031" spans="1:14" hidden="1" x14ac:dyDescent="0.25">
      <c r="A5031" s="19">
        <v>46023</v>
      </c>
      <c r="B5031" s="20" t="s">
        <v>156</v>
      </c>
      <c r="C5031" s="20">
        <v>86</v>
      </c>
      <c r="D5031" s="20" t="s">
        <v>253</v>
      </c>
      <c r="E5031" s="20" t="s">
        <v>2359</v>
      </c>
      <c r="F5031" s="20" t="s">
        <v>2548</v>
      </c>
      <c r="G5031" s="20" t="s">
        <v>158</v>
      </c>
      <c r="H5031" s="20"/>
      <c r="I5031" s="20"/>
      <c r="J5031" s="20" t="s">
        <v>205</v>
      </c>
      <c r="K5031" s="20" t="s">
        <v>255</v>
      </c>
      <c r="L5031" s="20">
        <v>2.14</v>
      </c>
      <c r="M5031" s="20" t="s">
        <v>251</v>
      </c>
      <c r="N5031" s="20" t="s">
        <v>889</v>
      </c>
    </row>
    <row r="5032" spans="1:14" hidden="1" x14ac:dyDescent="0.25">
      <c r="A5032" s="19">
        <v>46023</v>
      </c>
      <c r="B5032" s="20" t="s">
        <v>156</v>
      </c>
      <c r="C5032" s="20">
        <v>87</v>
      </c>
      <c r="D5032" s="20" t="s">
        <v>291</v>
      </c>
      <c r="E5032" s="20" t="s">
        <v>2361</v>
      </c>
      <c r="F5032" s="20" t="s">
        <v>361</v>
      </c>
      <c r="G5032" s="20" t="s">
        <v>158</v>
      </c>
      <c r="H5032" s="20" t="s">
        <v>159</v>
      </c>
      <c r="I5032" s="20"/>
      <c r="J5032" s="20" t="s">
        <v>205</v>
      </c>
      <c r="K5032" s="20" t="s">
        <v>250</v>
      </c>
      <c r="L5032" s="20">
        <v>37300000</v>
      </c>
      <c r="M5032" s="20" t="s">
        <v>245</v>
      </c>
      <c r="N5032" s="20" t="s">
        <v>3331</v>
      </c>
    </row>
    <row r="5033" spans="1:14" hidden="1" x14ac:dyDescent="0.25">
      <c r="A5033" s="19">
        <v>46023</v>
      </c>
      <c r="B5033" s="20" t="s">
        <v>156</v>
      </c>
      <c r="C5033" s="20">
        <v>87</v>
      </c>
      <c r="D5033" s="20" t="s">
        <v>291</v>
      </c>
      <c r="E5033" s="20" t="s">
        <v>2361</v>
      </c>
      <c r="F5033" s="20" t="s">
        <v>361</v>
      </c>
      <c r="G5033" s="20" t="s">
        <v>158</v>
      </c>
      <c r="H5033" s="20" t="s">
        <v>160</v>
      </c>
      <c r="I5033" s="20"/>
      <c r="J5033" s="20" t="s">
        <v>205</v>
      </c>
      <c r="K5033" s="20" t="s">
        <v>250</v>
      </c>
      <c r="L5033" s="20">
        <v>28600000</v>
      </c>
      <c r="M5033" s="20" t="s">
        <v>245</v>
      </c>
      <c r="N5033" s="20" t="s">
        <v>3140</v>
      </c>
    </row>
    <row r="5034" spans="1:14" hidden="1" x14ac:dyDescent="0.25">
      <c r="A5034" s="19">
        <v>46054</v>
      </c>
      <c r="B5034" s="20" t="s">
        <v>535</v>
      </c>
      <c r="C5034" s="20">
        <v>4</v>
      </c>
      <c r="D5034" s="20" t="s">
        <v>238</v>
      </c>
      <c r="E5034" s="20" t="s">
        <v>2341</v>
      </c>
      <c r="F5034" s="20" t="s">
        <v>285</v>
      </c>
      <c r="G5034" s="20" t="s">
        <v>63</v>
      </c>
      <c r="H5034" s="20"/>
      <c r="I5034" s="20"/>
      <c r="J5034" s="20" t="s">
        <v>206</v>
      </c>
      <c r="K5034" s="20" t="s">
        <v>250</v>
      </c>
      <c r="L5034" s="20">
        <v>2200000</v>
      </c>
      <c r="M5034" s="20" t="s">
        <v>242</v>
      </c>
      <c r="N5034" s="20" t="s">
        <v>3332</v>
      </c>
    </row>
    <row r="5035" spans="1:14" hidden="1" x14ac:dyDescent="0.25">
      <c r="A5035" s="19">
        <v>46054</v>
      </c>
      <c r="B5035" s="20" t="s">
        <v>535</v>
      </c>
      <c r="C5035" s="20">
        <v>4</v>
      </c>
      <c r="D5035" s="20" t="s">
        <v>238</v>
      </c>
      <c r="E5035" s="20" t="s">
        <v>2341</v>
      </c>
      <c r="F5035" s="20" t="s">
        <v>240</v>
      </c>
      <c r="G5035" s="20" t="s">
        <v>82</v>
      </c>
      <c r="H5035" s="20"/>
      <c r="I5035" s="20"/>
      <c r="J5035" s="20" t="s">
        <v>206</v>
      </c>
      <c r="K5035" s="20" t="s">
        <v>250</v>
      </c>
      <c r="L5035" s="20">
        <v>16580000</v>
      </c>
      <c r="M5035" s="20" t="s">
        <v>242</v>
      </c>
      <c r="N5035" s="20" t="s">
        <v>3333</v>
      </c>
    </row>
    <row r="5036" spans="1:14" hidden="1" x14ac:dyDescent="0.25">
      <c r="A5036" s="19">
        <v>46054</v>
      </c>
      <c r="B5036" s="20" t="s">
        <v>535</v>
      </c>
      <c r="C5036" s="20">
        <v>4</v>
      </c>
      <c r="D5036" s="20" t="s">
        <v>238</v>
      </c>
      <c r="E5036" s="20" t="s">
        <v>2341</v>
      </c>
      <c r="F5036" s="20" t="s">
        <v>244</v>
      </c>
      <c r="G5036" s="20" t="s">
        <v>82</v>
      </c>
      <c r="H5036" s="20"/>
      <c r="I5036" s="20"/>
      <c r="J5036" s="20" t="s">
        <v>206</v>
      </c>
      <c r="K5036" s="20" t="s">
        <v>250</v>
      </c>
      <c r="L5036" s="20">
        <v>1790000000</v>
      </c>
      <c r="M5036" s="20" t="s">
        <v>245</v>
      </c>
      <c r="N5036" s="20" t="s">
        <v>3334</v>
      </c>
    </row>
    <row r="5037" spans="1:14" hidden="1" x14ac:dyDescent="0.25">
      <c r="A5037" s="19">
        <v>46054</v>
      </c>
      <c r="B5037" s="20" t="s">
        <v>535</v>
      </c>
      <c r="C5037" s="20">
        <v>5</v>
      </c>
      <c r="D5037" s="20" t="s">
        <v>238</v>
      </c>
      <c r="E5037" s="20" t="s">
        <v>2341</v>
      </c>
      <c r="F5037" s="20" t="s">
        <v>285</v>
      </c>
      <c r="G5037" s="20" t="s">
        <v>63</v>
      </c>
      <c r="H5037" s="20"/>
      <c r="I5037" s="20"/>
      <c r="J5037" s="20" t="s">
        <v>206</v>
      </c>
      <c r="K5037" s="20" t="s">
        <v>250</v>
      </c>
      <c r="L5037" s="20">
        <v>2880000</v>
      </c>
      <c r="M5037" s="20" t="s">
        <v>242</v>
      </c>
      <c r="N5037" s="20" t="s">
        <v>3335</v>
      </c>
    </row>
    <row r="5038" spans="1:14" hidden="1" x14ac:dyDescent="0.25">
      <c r="A5038" s="19">
        <v>46054</v>
      </c>
      <c r="B5038" s="20" t="s">
        <v>535</v>
      </c>
      <c r="C5038" s="20">
        <v>5</v>
      </c>
      <c r="D5038" s="20" t="s">
        <v>238</v>
      </c>
      <c r="E5038" s="20" t="s">
        <v>2341</v>
      </c>
      <c r="F5038" s="20" t="s">
        <v>240</v>
      </c>
      <c r="G5038" s="20" t="s">
        <v>82</v>
      </c>
      <c r="H5038" s="20"/>
      <c r="I5038" s="20"/>
      <c r="J5038" s="20" t="s">
        <v>206</v>
      </c>
      <c r="K5038" s="20" t="s">
        <v>250</v>
      </c>
      <c r="L5038" s="20">
        <v>10840000</v>
      </c>
      <c r="M5038" s="20" t="s">
        <v>242</v>
      </c>
      <c r="N5038" s="20" t="s">
        <v>3336</v>
      </c>
    </row>
    <row r="5039" spans="1:14" hidden="1" x14ac:dyDescent="0.25">
      <c r="A5039" s="19">
        <v>46054</v>
      </c>
      <c r="B5039" s="20" t="s">
        <v>535</v>
      </c>
      <c r="C5039" s="20">
        <v>5</v>
      </c>
      <c r="D5039" s="20" t="s">
        <v>238</v>
      </c>
      <c r="E5039" s="20" t="s">
        <v>2341</v>
      </c>
      <c r="F5039" s="20" t="s">
        <v>244</v>
      </c>
      <c r="G5039" s="20" t="s">
        <v>82</v>
      </c>
      <c r="H5039" s="20"/>
      <c r="I5039" s="20"/>
      <c r="J5039" s="20" t="s">
        <v>206</v>
      </c>
      <c r="K5039" s="20" t="s">
        <v>250</v>
      </c>
      <c r="L5039" s="20">
        <v>550000000</v>
      </c>
      <c r="M5039" s="20" t="s">
        <v>245</v>
      </c>
      <c r="N5039" s="20" t="s">
        <v>3337</v>
      </c>
    </row>
    <row r="5040" spans="1:14" hidden="1" x14ac:dyDescent="0.25">
      <c r="A5040" s="19">
        <v>46054</v>
      </c>
      <c r="B5040" s="20" t="s">
        <v>535</v>
      </c>
      <c r="C5040" s="20">
        <v>6</v>
      </c>
      <c r="D5040" s="20" t="s">
        <v>238</v>
      </c>
      <c r="E5040" s="20" t="s">
        <v>2341</v>
      </c>
      <c r="F5040" s="20" t="s">
        <v>285</v>
      </c>
      <c r="G5040" s="20" t="s">
        <v>63</v>
      </c>
      <c r="H5040" s="20"/>
      <c r="I5040" s="20"/>
      <c r="J5040" s="20" t="s">
        <v>206</v>
      </c>
      <c r="K5040" s="20" t="s">
        <v>250</v>
      </c>
      <c r="L5040" s="20">
        <v>5130000</v>
      </c>
      <c r="M5040" s="20" t="s">
        <v>242</v>
      </c>
      <c r="N5040" s="20" t="s">
        <v>2817</v>
      </c>
    </row>
    <row r="5041" spans="1:14" hidden="1" x14ac:dyDescent="0.25">
      <c r="A5041" s="19">
        <v>46054</v>
      </c>
      <c r="B5041" s="20" t="s">
        <v>535</v>
      </c>
      <c r="C5041" s="20">
        <v>6</v>
      </c>
      <c r="D5041" s="20" t="s">
        <v>238</v>
      </c>
      <c r="E5041" s="20" t="s">
        <v>2341</v>
      </c>
      <c r="F5041" s="20" t="s">
        <v>378</v>
      </c>
      <c r="G5041" s="20" t="s">
        <v>379</v>
      </c>
      <c r="H5041" s="20"/>
      <c r="I5041" s="20"/>
      <c r="J5041" s="20" t="s">
        <v>206</v>
      </c>
      <c r="K5041" s="20" t="s">
        <v>250</v>
      </c>
      <c r="L5041" s="20">
        <v>698</v>
      </c>
      <c r="M5041" s="20" t="s">
        <v>242</v>
      </c>
      <c r="N5041" s="20" t="s">
        <v>3338</v>
      </c>
    </row>
    <row r="5042" spans="1:14" hidden="1" x14ac:dyDescent="0.25">
      <c r="A5042" s="19">
        <v>46054</v>
      </c>
      <c r="B5042" s="20" t="s">
        <v>535</v>
      </c>
      <c r="C5042" s="20">
        <v>6</v>
      </c>
      <c r="D5042" s="20" t="s">
        <v>238</v>
      </c>
      <c r="E5042" s="20" t="s">
        <v>2341</v>
      </c>
      <c r="F5042" s="20" t="s">
        <v>381</v>
      </c>
      <c r="G5042" s="20" t="s">
        <v>382</v>
      </c>
      <c r="H5042" s="20"/>
      <c r="I5042" s="20"/>
      <c r="J5042" s="20" t="s">
        <v>206</v>
      </c>
      <c r="K5042" s="20" t="s">
        <v>250</v>
      </c>
      <c r="L5042" s="20">
        <v>2388</v>
      </c>
      <c r="M5042" s="20" t="s">
        <v>242</v>
      </c>
      <c r="N5042" s="20" t="s">
        <v>3339</v>
      </c>
    </row>
    <row r="5043" spans="1:14" hidden="1" x14ac:dyDescent="0.25">
      <c r="A5043" s="19">
        <v>46054</v>
      </c>
      <c r="B5043" s="20" t="s">
        <v>535</v>
      </c>
      <c r="C5043" s="20">
        <v>6</v>
      </c>
      <c r="D5043" s="20" t="s">
        <v>238</v>
      </c>
      <c r="E5043" s="20" t="s">
        <v>2341</v>
      </c>
      <c r="F5043" s="20" t="s">
        <v>240</v>
      </c>
      <c r="G5043" s="20" t="s">
        <v>82</v>
      </c>
      <c r="H5043" s="20"/>
      <c r="I5043" s="20"/>
      <c r="J5043" s="20" t="s">
        <v>206</v>
      </c>
      <c r="K5043" s="20" t="s">
        <v>250</v>
      </c>
      <c r="L5043" s="20">
        <v>6580000</v>
      </c>
      <c r="M5043" s="20" t="s">
        <v>242</v>
      </c>
      <c r="N5043" s="20" t="s">
        <v>2334</v>
      </c>
    </row>
    <row r="5044" spans="1:14" hidden="1" x14ac:dyDescent="0.25">
      <c r="A5044" s="19">
        <v>46054</v>
      </c>
      <c r="B5044" s="20" t="s">
        <v>535</v>
      </c>
      <c r="C5044" s="20">
        <v>6</v>
      </c>
      <c r="D5044" s="20" t="s">
        <v>238</v>
      </c>
      <c r="E5044" s="20" t="s">
        <v>2341</v>
      </c>
      <c r="F5044" s="20" t="s">
        <v>244</v>
      </c>
      <c r="G5044" s="20" t="s">
        <v>82</v>
      </c>
      <c r="H5044" s="20"/>
      <c r="I5044" s="20"/>
      <c r="J5044" s="20" t="s">
        <v>206</v>
      </c>
      <c r="K5044" s="20" t="s">
        <v>250</v>
      </c>
      <c r="L5044" s="20">
        <v>1240000000</v>
      </c>
      <c r="M5044" s="20" t="s">
        <v>245</v>
      </c>
      <c r="N5044" s="20" t="s">
        <v>3340</v>
      </c>
    </row>
    <row r="5045" spans="1:14" hidden="1" x14ac:dyDescent="0.25">
      <c r="A5045" s="19">
        <v>46054</v>
      </c>
      <c r="B5045" s="20" t="s">
        <v>535</v>
      </c>
      <c r="C5045" s="20">
        <v>7</v>
      </c>
      <c r="D5045" s="20" t="s">
        <v>238</v>
      </c>
      <c r="E5045" s="20" t="s">
        <v>2341</v>
      </c>
      <c r="F5045" s="20" t="s">
        <v>1194</v>
      </c>
      <c r="G5045" s="20" t="s">
        <v>82</v>
      </c>
      <c r="H5045" s="20"/>
      <c r="I5045" s="20"/>
      <c r="J5045" s="20" t="s">
        <v>206</v>
      </c>
      <c r="K5045" s="20" t="s">
        <v>250</v>
      </c>
      <c r="L5045" s="20">
        <v>1080000</v>
      </c>
      <c r="M5045" s="20" t="s">
        <v>242</v>
      </c>
      <c r="N5045" s="20" t="s">
        <v>1322</v>
      </c>
    </row>
    <row r="5046" spans="1:14" hidden="1" x14ac:dyDescent="0.25">
      <c r="A5046" s="19">
        <v>46054</v>
      </c>
      <c r="B5046" s="20" t="s">
        <v>535</v>
      </c>
      <c r="C5046" s="20">
        <v>7</v>
      </c>
      <c r="D5046" s="20" t="s">
        <v>238</v>
      </c>
      <c r="E5046" s="20" t="s">
        <v>2341</v>
      </c>
      <c r="F5046" s="20" t="s">
        <v>544</v>
      </c>
      <c r="G5046" s="20" t="s">
        <v>82</v>
      </c>
      <c r="H5046" s="20"/>
      <c r="I5046" s="20"/>
      <c r="J5046" s="20" t="s">
        <v>206</v>
      </c>
      <c r="K5046" s="20" t="s">
        <v>250</v>
      </c>
      <c r="L5046" s="20">
        <v>1080000</v>
      </c>
      <c r="M5046" s="20" t="s">
        <v>242</v>
      </c>
      <c r="N5046" s="20" t="s">
        <v>1322</v>
      </c>
    </row>
    <row r="5047" spans="1:14" hidden="1" x14ac:dyDescent="0.25">
      <c r="A5047" s="19">
        <v>46054</v>
      </c>
      <c r="B5047" s="20" t="s">
        <v>535</v>
      </c>
      <c r="C5047" s="20">
        <v>7</v>
      </c>
      <c r="D5047" s="20" t="s">
        <v>238</v>
      </c>
      <c r="E5047" s="20" t="s">
        <v>2341</v>
      </c>
      <c r="F5047" s="20" t="s">
        <v>929</v>
      </c>
      <c r="G5047" s="20" t="s">
        <v>82</v>
      </c>
      <c r="H5047" s="20"/>
      <c r="I5047" s="20"/>
      <c r="J5047" s="20" t="s">
        <v>206</v>
      </c>
      <c r="K5047" s="20" t="s">
        <v>250</v>
      </c>
      <c r="L5047" s="20">
        <v>886000000</v>
      </c>
      <c r="M5047" s="20" t="s">
        <v>245</v>
      </c>
      <c r="N5047" s="20" t="s">
        <v>3341</v>
      </c>
    </row>
    <row r="5048" spans="1:14" hidden="1" x14ac:dyDescent="0.25">
      <c r="A5048" s="19">
        <v>46054</v>
      </c>
      <c r="B5048" s="20" t="s">
        <v>535</v>
      </c>
      <c r="C5048" s="20">
        <v>8</v>
      </c>
      <c r="D5048" s="20" t="s">
        <v>238</v>
      </c>
      <c r="E5048" s="20" t="s">
        <v>2341</v>
      </c>
      <c r="F5048" s="20" t="s">
        <v>548</v>
      </c>
      <c r="G5048" s="20" t="s">
        <v>158</v>
      </c>
      <c r="H5048" s="20"/>
      <c r="I5048" s="20"/>
      <c r="J5048" s="20" t="s">
        <v>206</v>
      </c>
      <c r="K5048" s="20" t="s">
        <v>250</v>
      </c>
      <c r="L5048" s="20">
        <v>479000</v>
      </c>
      <c r="M5048" s="20" t="s">
        <v>242</v>
      </c>
      <c r="N5048" s="20" t="s">
        <v>3342</v>
      </c>
    </row>
    <row r="5049" spans="1:14" hidden="1" x14ac:dyDescent="0.25">
      <c r="A5049" s="19">
        <v>46054</v>
      </c>
      <c r="B5049" s="20" t="s">
        <v>535</v>
      </c>
      <c r="C5049" s="20">
        <v>8</v>
      </c>
      <c r="D5049" s="20" t="s">
        <v>238</v>
      </c>
      <c r="E5049" s="20" t="s">
        <v>2341</v>
      </c>
      <c r="F5049" s="20" t="s">
        <v>349</v>
      </c>
      <c r="G5049" s="20" t="s">
        <v>158</v>
      </c>
      <c r="H5049" s="20"/>
      <c r="I5049" s="20"/>
      <c r="J5049" s="20" t="s">
        <v>206</v>
      </c>
      <c r="K5049" s="20" t="s">
        <v>250</v>
      </c>
      <c r="L5049" s="20">
        <v>14300</v>
      </c>
      <c r="M5049" s="20" t="s">
        <v>242</v>
      </c>
      <c r="N5049" s="20" t="s">
        <v>3343</v>
      </c>
    </row>
    <row r="5050" spans="1:14" hidden="1" x14ac:dyDescent="0.25">
      <c r="A5050" s="19">
        <v>46054</v>
      </c>
      <c r="B5050" s="20" t="s">
        <v>535</v>
      </c>
      <c r="C5050" s="20">
        <v>8</v>
      </c>
      <c r="D5050" s="20" t="s">
        <v>238</v>
      </c>
      <c r="E5050" s="20" t="s">
        <v>2341</v>
      </c>
      <c r="F5050" s="20" t="s">
        <v>551</v>
      </c>
      <c r="G5050" s="20" t="s">
        <v>158</v>
      </c>
      <c r="H5050" s="20"/>
      <c r="I5050" s="20"/>
      <c r="J5050" s="20" t="s">
        <v>206</v>
      </c>
      <c r="K5050" s="20" t="s">
        <v>250</v>
      </c>
      <c r="L5050" s="20">
        <v>3230000000</v>
      </c>
      <c r="M5050" s="20" t="s">
        <v>245</v>
      </c>
      <c r="N5050" s="20" t="s">
        <v>3344</v>
      </c>
    </row>
    <row r="5051" spans="1:14" hidden="1" x14ac:dyDescent="0.25">
      <c r="A5051" s="19">
        <v>46054</v>
      </c>
      <c r="B5051" s="20" t="s">
        <v>535</v>
      </c>
      <c r="C5051" s="20">
        <v>8</v>
      </c>
      <c r="D5051" s="20" t="s">
        <v>238</v>
      </c>
      <c r="E5051" s="20" t="s">
        <v>2341</v>
      </c>
      <c r="F5051" s="20" t="s">
        <v>361</v>
      </c>
      <c r="G5051" s="20" t="s">
        <v>158</v>
      </c>
      <c r="H5051" s="20"/>
      <c r="I5051" s="20"/>
      <c r="J5051" s="20" t="s">
        <v>206</v>
      </c>
      <c r="K5051" s="20" t="s">
        <v>250</v>
      </c>
      <c r="L5051" s="20">
        <v>75300000</v>
      </c>
      <c r="M5051" s="20" t="s">
        <v>245</v>
      </c>
      <c r="N5051" s="20" t="s">
        <v>3345</v>
      </c>
    </row>
    <row r="5052" spans="1:14" hidden="1" x14ac:dyDescent="0.25">
      <c r="A5052" s="19">
        <v>46054</v>
      </c>
      <c r="B5052" s="20" t="s">
        <v>35</v>
      </c>
      <c r="C5052" s="20">
        <v>10</v>
      </c>
      <c r="D5052" s="20" t="s">
        <v>238</v>
      </c>
      <c r="E5052" s="20" t="s">
        <v>2341</v>
      </c>
      <c r="F5052" s="20" t="s">
        <v>240</v>
      </c>
      <c r="G5052" s="20" t="s">
        <v>82</v>
      </c>
      <c r="H5052" s="20"/>
      <c r="I5052" s="20"/>
      <c r="J5052" s="20" t="s">
        <v>3346</v>
      </c>
      <c r="K5052" s="20" t="s">
        <v>241</v>
      </c>
      <c r="L5052" s="20">
        <v>34280000</v>
      </c>
      <c r="M5052" s="20" t="s">
        <v>242</v>
      </c>
      <c r="N5052" s="20" t="s">
        <v>3347</v>
      </c>
    </row>
    <row r="5053" spans="1:14" hidden="1" x14ac:dyDescent="0.25">
      <c r="A5053" s="19">
        <v>46054</v>
      </c>
      <c r="B5053" s="20" t="s">
        <v>35</v>
      </c>
      <c r="C5053" s="20">
        <v>10</v>
      </c>
      <c r="D5053" s="20" t="s">
        <v>238</v>
      </c>
      <c r="E5053" s="20" t="s">
        <v>2341</v>
      </c>
      <c r="F5053" s="20" t="s">
        <v>244</v>
      </c>
      <c r="G5053" s="20" t="s">
        <v>82</v>
      </c>
      <c r="H5053" s="20"/>
      <c r="I5053" s="20"/>
      <c r="J5053" s="20" t="s">
        <v>3346</v>
      </c>
      <c r="K5053" s="20" t="s">
        <v>241</v>
      </c>
      <c r="L5053" s="20">
        <v>3690000000</v>
      </c>
      <c r="M5053" s="20" t="s">
        <v>245</v>
      </c>
      <c r="N5053" s="20" t="s">
        <v>3348</v>
      </c>
    </row>
    <row r="5054" spans="1:14" hidden="1" x14ac:dyDescent="0.25">
      <c r="A5054" s="19">
        <v>46054</v>
      </c>
      <c r="B5054" s="20" t="s">
        <v>35</v>
      </c>
      <c r="C5054" s="20">
        <v>11</v>
      </c>
      <c r="D5054" s="20" t="s">
        <v>253</v>
      </c>
      <c r="E5054" s="20" t="s">
        <v>2359</v>
      </c>
      <c r="F5054" s="20" t="s">
        <v>285</v>
      </c>
      <c r="G5054" s="20" t="s">
        <v>63</v>
      </c>
      <c r="H5054" s="20"/>
      <c r="I5054" s="20"/>
      <c r="J5054" s="20" t="s">
        <v>204</v>
      </c>
      <c r="K5054" s="20" t="s">
        <v>255</v>
      </c>
      <c r="L5054" s="20">
        <v>2130000</v>
      </c>
      <c r="M5054" s="20" t="s">
        <v>242</v>
      </c>
      <c r="N5054" s="20" t="s">
        <v>3055</v>
      </c>
    </row>
    <row r="5055" spans="1:14" hidden="1" x14ac:dyDescent="0.25">
      <c r="A5055" s="19">
        <v>46054</v>
      </c>
      <c r="B5055" s="20" t="s">
        <v>35</v>
      </c>
      <c r="C5055" s="20">
        <v>11</v>
      </c>
      <c r="D5055" s="20" t="s">
        <v>253</v>
      </c>
      <c r="E5055" s="20" t="s">
        <v>2359</v>
      </c>
      <c r="F5055" s="20" t="s">
        <v>285</v>
      </c>
      <c r="G5055" s="20" t="s">
        <v>63</v>
      </c>
      <c r="H5055" s="20"/>
      <c r="I5055" s="20"/>
      <c r="J5055" s="20" t="s">
        <v>205</v>
      </c>
      <c r="K5055" s="20" t="s">
        <v>255</v>
      </c>
      <c r="L5055" s="20">
        <v>2160000</v>
      </c>
      <c r="M5055" s="20" t="s">
        <v>242</v>
      </c>
      <c r="N5055" s="20" t="s">
        <v>3201</v>
      </c>
    </row>
    <row r="5056" spans="1:14" hidden="1" x14ac:dyDescent="0.25">
      <c r="A5056" s="19">
        <v>46054</v>
      </c>
      <c r="B5056" s="20" t="s">
        <v>35</v>
      </c>
      <c r="C5056" s="20">
        <v>11</v>
      </c>
      <c r="D5056" s="20" t="s">
        <v>253</v>
      </c>
      <c r="E5056" s="20" t="s">
        <v>2359</v>
      </c>
      <c r="F5056" s="20" t="s">
        <v>285</v>
      </c>
      <c r="G5056" s="20" t="s">
        <v>63</v>
      </c>
      <c r="H5056" s="20"/>
      <c r="I5056" s="20"/>
      <c r="J5056" s="20" t="s">
        <v>206</v>
      </c>
      <c r="K5056" s="20" t="s">
        <v>255</v>
      </c>
      <c r="L5056" s="20">
        <v>2200000</v>
      </c>
      <c r="M5056" s="20" t="s">
        <v>242</v>
      </c>
      <c r="N5056" s="20" t="s">
        <v>3349</v>
      </c>
    </row>
    <row r="5057" spans="1:14" hidden="1" x14ac:dyDescent="0.25">
      <c r="A5057" s="19">
        <v>46054</v>
      </c>
      <c r="B5057" s="20" t="s">
        <v>35</v>
      </c>
      <c r="C5057" s="20">
        <v>11</v>
      </c>
      <c r="D5057" s="20" t="s">
        <v>247</v>
      </c>
      <c r="E5057" s="20" t="s">
        <v>2554</v>
      </c>
      <c r="F5057" s="20" t="s">
        <v>2555</v>
      </c>
      <c r="G5057" s="20" t="s">
        <v>63</v>
      </c>
      <c r="H5057" s="20" t="s">
        <v>286</v>
      </c>
      <c r="I5057" s="20"/>
      <c r="J5057" s="20" t="s">
        <v>206</v>
      </c>
      <c r="K5057" s="20" t="s">
        <v>250</v>
      </c>
      <c r="L5057" s="20">
        <v>1.9</v>
      </c>
      <c r="M5057" s="20" t="s">
        <v>251</v>
      </c>
      <c r="N5057" s="20" t="s">
        <v>1846</v>
      </c>
    </row>
    <row r="5058" spans="1:14" hidden="1" x14ac:dyDescent="0.25">
      <c r="A5058" s="19">
        <v>46054</v>
      </c>
      <c r="B5058" s="20" t="s">
        <v>35</v>
      </c>
      <c r="C5058" s="20">
        <v>12</v>
      </c>
      <c r="D5058" s="20" t="s">
        <v>291</v>
      </c>
      <c r="E5058" s="20" t="s">
        <v>2361</v>
      </c>
      <c r="F5058" s="20" t="s">
        <v>2362</v>
      </c>
      <c r="G5058" s="20" t="s">
        <v>63</v>
      </c>
      <c r="H5058" s="20" t="s">
        <v>64</v>
      </c>
      <c r="I5058" s="20"/>
      <c r="J5058" s="20" t="s">
        <v>206</v>
      </c>
      <c r="K5058" s="20" t="s">
        <v>250</v>
      </c>
      <c r="L5058" s="20">
        <v>2110000</v>
      </c>
      <c r="M5058" s="20" t="s">
        <v>242</v>
      </c>
      <c r="N5058" s="20" t="s">
        <v>3211</v>
      </c>
    </row>
    <row r="5059" spans="1:14" hidden="1" x14ac:dyDescent="0.25">
      <c r="A5059" s="19">
        <v>46054</v>
      </c>
      <c r="B5059" s="20" t="s">
        <v>35</v>
      </c>
      <c r="C5059" s="20">
        <v>12</v>
      </c>
      <c r="D5059" s="20" t="s">
        <v>291</v>
      </c>
      <c r="E5059" s="20" t="s">
        <v>2361</v>
      </c>
      <c r="F5059" s="20" t="s">
        <v>2362</v>
      </c>
      <c r="G5059" s="20" t="s">
        <v>63</v>
      </c>
      <c r="H5059" s="20" t="s">
        <v>65</v>
      </c>
      <c r="I5059" s="20"/>
      <c r="J5059" s="20" t="s">
        <v>206</v>
      </c>
      <c r="K5059" s="20" t="s">
        <v>250</v>
      </c>
      <c r="L5059" s="20">
        <v>87900</v>
      </c>
      <c r="M5059" s="20" t="s">
        <v>242</v>
      </c>
      <c r="N5059" s="20" t="s">
        <v>3350</v>
      </c>
    </row>
    <row r="5060" spans="1:14" hidden="1" x14ac:dyDescent="0.25">
      <c r="A5060" s="19">
        <v>46054</v>
      </c>
      <c r="B5060" s="20" t="s">
        <v>35</v>
      </c>
      <c r="C5060" s="20">
        <v>13</v>
      </c>
      <c r="D5060" s="20" t="s">
        <v>291</v>
      </c>
      <c r="E5060" s="20" t="s">
        <v>2361</v>
      </c>
      <c r="F5060" s="20" t="s">
        <v>2362</v>
      </c>
      <c r="G5060" s="20" t="s">
        <v>63</v>
      </c>
      <c r="H5060" s="20" t="s">
        <v>2364</v>
      </c>
      <c r="I5060" s="20"/>
      <c r="J5060" s="20" t="s">
        <v>206</v>
      </c>
      <c r="K5060" s="20" t="s">
        <v>250</v>
      </c>
      <c r="L5060" s="20">
        <v>1340000</v>
      </c>
      <c r="M5060" s="20" t="s">
        <v>242</v>
      </c>
      <c r="N5060" s="20" t="s">
        <v>2850</v>
      </c>
    </row>
    <row r="5061" spans="1:14" hidden="1" x14ac:dyDescent="0.25">
      <c r="A5061" s="19">
        <v>46054</v>
      </c>
      <c r="B5061" s="20" t="s">
        <v>35</v>
      </c>
      <c r="C5061" s="20">
        <v>13</v>
      </c>
      <c r="D5061" s="20" t="s">
        <v>291</v>
      </c>
      <c r="E5061" s="20" t="s">
        <v>2361</v>
      </c>
      <c r="F5061" s="20" t="s">
        <v>2362</v>
      </c>
      <c r="G5061" s="20" t="s">
        <v>63</v>
      </c>
      <c r="H5061" s="20" t="s">
        <v>2366</v>
      </c>
      <c r="I5061" s="20"/>
      <c r="J5061" s="20" t="s">
        <v>206</v>
      </c>
      <c r="K5061" s="20" t="s">
        <v>250</v>
      </c>
      <c r="L5061" s="20">
        <v>800000</v>
      </c>
      <c r="M5061" s="20" t="s">
        <v>242</v>
      </c>
      <c r="N5061" s="20" t="s">
        <v>3351</v>
      </c>
    </row>
    <row r="5062" spans="1:14" x14ac:dyDescent="0.25">
      <c r="A5062" s="19">
        <v>46054</v>
      </c>
      <c r="B5062" s="20" t="s">
        <v>35</v>
      </c>
      <c r="C5062" s="20">
        <v>14</v>
      </c>
      <c r="D5062" s="20" t="s">
        <v>291</v>
      </c>
      <c r="E5062" s="20" t="s">
        <v>2361</v>
      </c>
      <c r="F5062" s="20" t="s">
        <v>285</v>
      </c>
      <c r="G5062" s="20" t="s">
        <v>63</v>
      </c>
      <c r="H5062" s="20" t="s">
        <v>77</v>
      </c>
      <c r="I5062" s="20"/>
      <c r="J5062" s="20" t="s">
        <v>206</v>
      </c>
      <c r="K5062" s="20" t="s">
        <v>250</v>
      </c>
      <c r="L5062" s="20">
        <v>10000</v>
      </c>
      <c r="M5062" s="20" t="s">
        <v>242</v>
      </c>
      <c r="N5062" s="20" t="s">
        <v>3058</v>
      </c>
    </row>
    <row r="5063" spans="1:14" x14ac:dyDescent="0.25">
      <c r="A5063" s="19">
        <v>46054</v>
      </c>
      <c r="B5063" s="20" t="s">
        <v>35</v>
      </c>
      <c r="C5063" s="20">
        <v>14</v>
      </c>
      <c r="D5063" s="20" t="s">
        <v>291</v>
      </c>
      <c r="E5063" s="20" t="s">
        <v>2361</v>
      </c>
      <c r="F5063" s="20" t="s">
        <v>285</v>
      </c>
      <c r="G5063" s="20" t="s">
        <v>63</v>
      </c>
      <c r="H5063" s="20" t="s">
        <v>70</v>
      </c>
      <c r="I5063" s="20"/>
      <c r="J5063" s="20" t="s">
        <v>206</v>
      </c>
      <c r="K5063" s="20" t="s">
        <v>250</v>
      </c>
      <c r="L5063" s="20">
        <v>791000</v>
      </c>
      <c r="M5063" s="20" t="s">
        <v>242</v>
      </c>
      <c r="N5063" s="20" t="s">
        <v>3352</v>
      </c>
    </row>
    <row r="5064" spans="1:14" x14ac:dyDescent="0.25">
      <c r="A5064" s="19">
        <v>46054</v>
      </c>
      <c r="B5064" s="20" t="s">
        <v>35</v>
      </c>
      <c r="C5064" s="20">
        <v>14</v>
      </c>
      <c r="D5064" s="20" t="s">
        <v>291</v>
      </c>
      <c r="E5064" s="20" t="s">
        <v>2361</v>
      </c>
      <c r="F5064" s="20" t="s">
        <v>285</v>
      </c>
      <c r="G5064" s="20" t="s">
        <v>63</v>
      </c>
      <c r="H5064" s="20" t="s">
        <v>71</v>
      </c>
      <c r="I5064" s="20"/>
      <c r="J5064" s="20" t="s">
        <v>206</v>
      </c>
      <c r="K5064" s="20" t="s">
        <v>250</v>
      </c>
      <c r="L5064" s="20">
        <v>562000</v>
      </c>
      <c r="M5064" s="20" t="s">
        <v>242</v>
      </c>
      <c r="N5064" s="20" t="s">
        <v>2175</v>
      </c>
    </row>
    <row r="5065" spans="1:14" x14ac:dyDescent="0.25">
      <c r="A5065" s="19">
        <v>46054</v>
      </c>
      <c r="B5065" s="20" t="s">
        <v>35</v>
      </c>
      <c r="C5065" s="20">
        <v>14</v>
      </c>
      <c r="D5065" s="20" t="s">
        <v>291</v>
      </c>
      <c r="E5065" s="20" t="s">
        <v>2361</v>
      </c>
      <c r="F5065" s="20" t="s">
        <v>285</v>
      </c>
      <c r="G5065" s="20" t="s">
        <v>63</v>
      </c>
      <c r="H5065" s="20" t="s">
        <v>72</v>
      </c>
      <c r="I5065" s="20"/>
      <c r="J5065" s="20" t="s">
        <v>206</v>
      </c>
      <c r="K5065" s="20" t="s">
        <v>250</v>
      </c>
      <c r="L5065" s="20">
        <v>392000</v>
      </c>
      <c r="M5065" s="20" t="s">
        <v>242</v>
      </c>
      <c r="N5065" s="20" t="s">
        <v>3353</v>
      </c>
    </row>
    <row r="5066" spans="1:14" x14ac:dyDescent="0.25">
      <c r="A5066" s="19">
        <v>46054</v>
      </c>
      <c r="B5066" s="20" t="s">
        <v>35</v>
      </c>
      <c r="C5066" s="20">
        <v>14</v>
      </c>
      <c r="D5066" s="20" t="s">
        <v>291</v>
      </c>
      <c r="E5066" s="20" t="s">
        <v>2361</v>
      </c>
      <c r="F5066" s="20" t="s">
        <v>285</v>
      </c>
      <c r="G5066" s="20" t="s">
        <v>63</v>
      </c>
      <c r="H5066" s="20" t="s">
        <v>73</v>
      </c>
      <c r="I5066" s="20"/>
      <c r="J5066" s="20" t="s">
        <v>206</v>
      </c>
      <c r="K5066" s="20" t="s">
        <v>250</v>
      </c>
      <c r="L5066" s="20">
        <v>243000</v>
      </c>
      <c r="M5066" s="20" t="s">
        <v>242</v>
      </c>
      <c r="N5066" s="20" t="s">
        <v>3354</v>
      </c>
    </row>
    <row r="5067" spans="1:14" x14ac:dyDescent="0.25">
      <c r="A5067" s="19">
        <v>46054</v>
      </c>
      <c r="B5067" s="20" t="s">
        <v>35</v>
      </c>
      <c r="C5067" s="20">
        <v>14</v>
      </c>
      <c r="D5067" s="20" t="s">
        <v>291</v>
      </c>
      <c r="E5067" s="20" t="s">
        <v>2361</v>
      </c>
      <c r="F5067" s="20" t="s">
        <v>285</v>
      </c>
      <c r="G5067" s="20" t="s">
        <v>63</v>
      </c>
      <c r="H5067" s="20" t="s">
        <v>74</v>
      </c>
      <c r="I5067" s="20"/>
      <c r="J5067" s="20" t="s">
        <v>206</v>
      </c>
      <c r="K5067" s="20" t="s">
        <v>250</v>
      </c>
      <c r="L5067" s="20">
        <v>113000</v>
      </c>
      <c r="M5067" s="20" t="s">
        <v>242</v>
      </c>
      <c r="N5067" s="20" t="s">
        <v>3355</v>
      </c>
    </row>
    <row r="5068" spans="1:14" x14ac:dyDescent="0.25">
      <c r="A5068" s="19">
        <v>46054</v>
      </c>
      <c r="B5068" s="20" t="s">
        <v>35</v>
      </c>
      <c r="C5068" s="20">
        <v>14</v>
      </c>
      <c r="D5068" s="20" t="s">
        <v>291</v>
      </c>
      <c r="E5068" s="20" t="s">
        <v>2361</v>
      </c>
      <c r="F5068" s="20" t="s">
        <v>285</v>
      </c>
      <c r="G5068" s="20" t="s">
        <v>63</v>
      </c>
      <c r="H5068" s="20" t="s">
        <v>75</v>
      </c>
      <c r="I5068" s="20"/>
      <c r="J5068" s="20" t="s">
        <v>206</v>
      </c>
      <c r="K5068" s="20" t="s">
        <v>250</v>
      </c>
      <c r="L5068" s="20">
        <v>31000</v>
      </c>
      <c r="M5068" s="20" t="s">
        <v>242</v>
      </c>
      <c r="N5068" s="20" t="s">
        <v>3356</v>
      </c>
    </row>
    <row r="5069" spans="1:14" x14ac:dyDescent="0.25">
      <c r="A5069" s="19">
        <v>46054</v>
      </c>
      <c r="B5069" s="20" t="s">
        <v>35</v>
      </c>
      <c r="C5069" s="20">
        <v>14</v>
      </c>
      <c r="D5069" s="20" t="s">
        <v>291</v>
      </c>
      <c r="E5069" s="20" t="s">
        <v>2361</v>
      </c>
      <c r="F5069" s="20" t="s">
        <v>285</v>
      </c>
      <c r="G5069" s="20" t="s">
        <v>63</v>
      </c>
      <c r="H5069" s="20" t="s">
        <v>76</v>
      </c>
      <c r="I5069" s="20"/>
      <c r="J5069" s="20" t="s">
        <v>206</v>
      </c>
      <c r="K5069" s="20" t="s">
        <v>250</v>
      </c>
      <c r="L5069" s="20">
        <v>7000</v>
      </c>
      <c r="M5069" s="20" t="s">
        <v>242</v>
      </c>
      <c r="N5069" s="20" t="s">
        <v>3210</v>
      </c>
    </row>
    <row r="5070" spans="1:14" hidden="1" x14ac:dyDescent="0.25">
      <c r="A5070" s="19">
        <v>46054</v>
      </c>
      <c r="B5070" s="20" t="s">
        <v>35</v>
      </c>
      <c r="C5070" s="20">
        <v>15</v>
      </c>
      <c r="D5070" s="20" t="s">
        <v>291</v>
      </c>
      <c r="E5070" s="20" t="s">
        <v>2361</v>
      </c>
      <c r="F5070" s="20" t="s">
        <v>2362</v>
      </c>
      <c r="G5070" s="20" t="s">
        <v>63</v>
      </c>
      <c r="H5070" s="20" t="s">
        <v>79</v>
      </c>
      <c r="I5070" s="20"/>
      <c r="J5070" s="20" t="s">
        <v>206</v>
      </c>
      <c r="K5070" s="20" t="s">
        <v>250</v>
      </c>
      <c r="L5070" s="20">
        <v>2150000</v>
      </c>
      <c r="M5070" s="20" t="s">
        <v>242</v>
      </c>
      <c r="N5070" s="20" t="s">
        <v>3357</v>
      </c>
    </row>
    <row r="5071" spans="1:14" hidden="1" x14ac:dyDescent="0.25">
      <c r="A5071" s="19">
        <v>46054</v>
      </c>
      <c r="B5071" s="20" t="s">
        <v>35</v>
      </c>
      <c r="C5071" s="20">
        <v>15</v>
      </c>
      <c r="D5071" s="20" t="s">
        <v>291</v>
      </c>
      <c r="E5071" s="20" t="s">
        <v>2361</v>
      </c>
      <c r="F5071" s="20" t="s">
        <v>2362</v>
      </c>
      <c r="G5071" s="20" t="s">
        <v>63</v>
      </c>
      <c r="H5071" s="20" t="s">
        <v>80</v>
      </c>
      <c r="I5071" s="20"/>
      <c r="J5071" s="20" t="s">
        <v>206</v>
      </c>
      <c r="K5071" s="20" t="s">
        <v>250</v>
      </c>
      <c r="L5071" s="20">
        <v>51000</v>
      </c>
      <c r="M5071" s="20" t="s">
        <v>242</v>
      </c>
      <c r="N5071" s="20" t="s">
        <v>3358</v>
      </c>
    </row>
    <row r="5072" spans="1:14" hidden="1" x14ac:dyDescent="0.25">
      <c r="A5072" s="19">
        <v>46054</v>
      </c>
      <c r="B5072" s="20" t="s">
        <v>35</v>
      </c>
      <c r="C5072" s="20">
        <v>16</v>
      </c>
      <c r="D5072" s="20" t="s">
        <v>253</v>
      </c>
      <c r="E5072" s="20" t="s">
        <v>2359</v>
      </c>
      <c r="F5072" s="20" t="s">
        <v>240</v>
      </c>
      <c r="G5072" s="20" t="s">
        <v>82</v>
      </c>
      <c r="H5072" s="20"/>
      <c r="I5072" s="20"/>
      <c r="J5072" s="20" t="s">
        <v>204</v>
      </c>
      <c r="K5072" s="20" t="s">
        <v>255</v>
      </c>
      <c r="L5072" s="20">
        <v>17670000</v>
      </c>
      <c r="M5072" s="20" t="s">
        <v>242</v>
      </c>
      <c r="N5072" s="20" t="s">
        <v>3065</v>
      </c>
    </row>
    <row r="5073" spans="1:14" hidden="1" x14ac:dyDescent="0.25">
      <c r="A5073" s="19">
        <v>46054</v>
      </c>
      <c r="B5073" s="20" t="s">
        <v>35</v>
      </c>
      <c r="C5073" s="20">
        <v>16</v>
      </c>
      <c r="D5073" s="20" t="s">
        <v>253</v>
      </c>
      <c r="E5073" s="20" t="s">
        <v>2359</v>
      </c>
      <c r="F5073" s="20" t="s">
        <v>240</v>
      </c>
      <c r="G5073" s="20" t="s">
        <v>82</v>
      </c>
      <c r="H5073" s="20"/>
      <c r="I5073" s="20"/>
      <c r="J5073" s="20" t="s">
        <v>205</v>
      </c>
      <c r="K5073" s="20" t="s">
        <v>255</v>
      </c>
      <c r="L5073" s="20">
        <v>17700000</v>
      </c>
      <c r="M5073" s="20" t="s">
        <v>242</v>
      </c>
      <c r="N5073" s="20" t="s">
        <v>3213</v>
      </c>
    </row>
    <row r="5074" spans="1:14" hidden="1" x14ac:dyDescent="0.25">
      <c r="A5074" s="19">
        <v>46054</v>
      </c>
      <c r="B5074" s="20" t="s">
        <v>35</v>
      </c>
      <c r="C5074" s="20">
        <v>16</v>
      </c>
      <c r="D5074" s="20" t="s">
        <v>253</v>
      </c>
      <c r="E5074" s="20" t="s">
        <v>2359</v>
      </c>
      <c r="F5074" s="20" t="s">
        <v>240</v>
      </c>
      <c r="G5074" s="20" t="s">
        <v>82</v>
      </c>
      <c r="H5074" s="20"/>
      <c r="I5074" s="20"/>
      <c r="J5074" s="20" t="s">
        <v>206</v>
      </c>
      <c r="K5074" s="20" t="s">
        <v>255</v>
      </c>
      <c r="L5074" s="20">
        <v>16580000</v>
      </c>
      <c r="M5074" s="20" t="s">
        <v>242</v>
      </c>
      <c r="N5074" s="20" t="s">
        <v>3359</v>
      </c>
    </row>
    <row r="5075" spans="1:14" hidden="1" x14ac:dyDescent="0.25">
      <c r="A5075" s="19">
        <v>46054</v>
      </c>
      <c r="B5075" s="20" t="s">
        <v>35</v>
      </c>
      <c r="C5075" s="20">
        <v>16</v>
      </c>
      <c r="D5075" s="20" t="s">
        <v>247</v>
      </c>
      <c r="E5075" s="20" t="s">
        <v>2554</v>
      </c>
      <c r="F5075" s="20" t="s">
        <v>2559</v>
      </c>
      <c r="G5075" s="20" t="s">
        <v>82</v>
      </c>
      <c r="H5075" s="20" t="s">
        <v>249</v>
      </c>
      <c r="I5075" s="20"/>
      <c r="J5075" s="20" t="s">
        <v>206</v>
      </c>
      <c r="K5075" s="20" t="s">
        <v>250</v>
      </c>
      <c r="L5075" s="20">
        <v>6.3</v>
      </c>
      <c r="M5075" s="20" t="s">
        <v>251</v>
      </c>
      <c r="N5075" s="20" t="s">
        <v>2063</v>
      </c>
    </row>
    <row r="5076" spans="1:14" hidden="1" x14ac:dyDescent="0.25">
      <c r="A5076" s="19">
        <v>46054</v>
      </c>
      <c r="B5076" s="20" t="s">
        <v>35</v>
      </c>
      <c r="C5076" s="20">
        <v>17</v>
      </c>
      <c r="D5076" s="20" t="s">
        <v>291</v>
      </c>
      <c r="E5076" s="20" t="s">
        <v>2361</v>
      </c>
      <c r="F5076" s="20" t="s">
        <v>240</v>
      </c>
      <c r="G5076" s="20" t="s">
        <v>82</v>
      </c>
      <c r="H5076" s="20" t="s">
        <v>83</v>
      </c>
      <c r="I5076" s="20"/>
      <c r="J5076" s="20" t="s">
        <v>206</v>
      </c>
      <c r="K5076" s="20" t="s">
        <v>250</v>
      </c>
      <c r="L5076" s="20">
        <v>13400000</v>
      </c>
      <c r="M5076" s="20" t="s">
        <v>242</v>
      </c>
      <c r="N5076" s="20" t="s">
        <v>3360</v>
      </c>
    </row>
    <row r="5077" spans="1:14" hidden="1" x14ac:dyDescent="0.25">
      <c r="A5077" s="19">
        <v>46054</v>
      </c>
      <c r="B5077" s="20" t="s">
        <v>35</v>
      </c>
      <c r="C5077" s="20">
        <v>17</v>
      </c>
      <c r="D5077" s="20" t="s">
        <v>291</v>
      </c>
      <c r="E5077" s="20" t="s">
        <v>2361</v>
      </c>
      <c r="F5077" s="20" t="s">
        <v>240</v>
      </c>
      <c r="G5077" s="20" t="s">
        <v>82</v>
      </c>
      <c r="H5077" s="20" t="s">
        <v>84</v>
      </c>
      <c r="I5077" s="20"/>
      <c r="J5077" s="20" t="s">
        <v>206</v>
      </c>
      <c r="K5077" s="20" t="s">
        <v>250</v>
      </c>
      <c r="L5077" s="20">
        <v>3180000</v>
      </c>
      <c r="M5077" s="20" t="s">
        <v>242</v>
      </c>
      <c r="N5077" s="20" t="s">
        <v>3361</v>
      </c>
    </row>
    <row r="5078" spans="1:14" hidden="1" x14ac:dyDescent="0.25">
      <c r="A5078" s="19">
        <v>46054</v>
      </c>
      <c r="B5078" s="20" t="s">
        <v>35</v>
      </c>
      <c r="C5078" s="20">
        <v>18</v>
      </c>
      <c r="D5078" s="20" t="s">
        <v>291</v>
      </c>
      <c r="E5078" s="20" t="s">
        <v>2361</v>
      </c>
      <c r="F5078" s="20" t="s">
        <v>240</v>
      </c>
      <c r="G5078" s="20" t="s">
        <v>82</v>
      </c>
      <c r="H5078" s="20" t="s">
        <v>83</v>
      </c>
      <c r="I5078" s="20" t="s">
        <v>315</v>
      </c>
      <c r="J5078" s="20" t="s">
        <v>206</v>
      </c>
      <c r="K5078" s="20" t="s">
        <v>250</v>
      </c>
      <c r="L5078" s="20"/>
      <c r="M5078" s="20" t="s">
        <v>251</v>
      </c>
      <c r="N5078" s="20" t="s">
        <v>2032</v>
      </c>
    </row>
    <row r="5079" spans="1:14" hidden="1" x14ac:dyDescent="0.25">
      <c r="A5079" s="19">
        <v>46054</v>
      </c>
      <c r="B5079" s="20" t="s">
        <v>35</v>
      </c>
      <c r="C5079" s="20">
        <v>18</v>
      </c>
      <c r="D5079" s="20" t="s">
        <v>291</v>
      </c>
      <c r="E5079" s="20" t="s">
        <v>2361</v>
      </c>
      <c r="F5079" s="20" t="s">
        <v>240</v>
      </c>
      <c r="G5079" s="20" t="s">
        <v>82</v>
      </c>
      <c r="H5079" s="20" t="s">
        <v>83</v>
      </c>
      <c r="I5079" s="20" t="s">
        <v>317</v>
      </c>
      <c r="J5079" s="20" t="s">
        <v>206</v>
      </c>
      <c r="K5079" s="20" t="s">
        <v>250</v>
      </c>
      <c r="L5079" s="20"/>
      <c r="M5079" s="20" t="s">
        <v>251</v>
      </c>
      <c r="N5079" s="20" t="s">
        <v>564</v>
      </c>
    </row>
    <row r="5080" spans="1:14" hidden="1" x14ac:dyDescent="0.25">
      <c r="A5080" s="19">
        <v>46054</v>
      </c>
      <c r="B5080" s="20" t="s">
        <v>35</v>
      </c>
      <c r="C5080" s="20">
        <v>18</v>
      </c>
      <c r="D5080" s="20" t="s">
        <v>291</v>
      </c>
      <c r="E5080" s="20" t="s">
        <v>2361</v>
      </c>
      <c r="F5080" s="20" t="s">
        <v>240</v>
      </c>
      <c r="G5080" s="20" t="s">
        <v>82</v>
      </c>
      <c r="H5080" s="20" t="s">
        <v>83</v>
      </c>
      <c r="I5080" s="20" t="s">
        <v>313</v>
      </c>
      <c r="J5080" s="20" t="s">
        <v>206</v>
      </c>
      <c r="K5080" s="20" t="s">
        <v>250</v>
      </c>
      <c r="L5080" s="20"/>
      <c r="M5080" s="20" t="s">
        <v>251</v>
      </c>
      <c r="N5080" s="20" t="s">
        <v>619</v>
      </c>
    </row>
    <row r="5081" spans="1:14" hidden="1" x14ac:dyDescent="0.25">
      <c r="A5081" s="19">
        <v>46054</v>
      </c>
      <c r="B5081" s="20" t="s">
        <v>35</v>
      </c>
      <c r="C5081" s="20">
        <v>18</v>
      </c>
      <c r="D5081" s="20" t="s">
        <v>291</v>
      </c>
      <c r="E5081" s="20" t="s">
        <v>2361</v>
      </c>
      <c r="F5081" s="20" t="s">
        <v>240</v>
      </c>
      <c r="G5081" s="20" t="s">
        <v>82</v>
      </c>
      <c r="H5081" s="20" t="s">
        <v>84</v>
      </c>
      <c r="I5081" s="20" t="s">
        <v>319</v>
      </c>
      <c r="J5081" s="20" t="s">
        <v>206</v>
      </c>
      <c r="K5081" s="20" t="s">
        <v>250</v>
      </c>
      <c r="L5081" s="20"/>
      <c r="M5081" s="20" t="s">
        <v>251</v>
      </c>
      <c r="N5081" s="20" t="s">
        <v>1333</v>
      </c>
    </row>
    <row r="5082" spans="1:14" hidden="1" x14ac:dyDescent="0.25">
      <c r="A5082" s="19">
        <v>46054</v>
      </c>
      <c r="B5082" s="20" t="s">
        <v>35</v>
      </c>
      <c r="C5082" s="20">
        <v>18</v>
      </c>
      <c r="D5082" s="20" t="s">
        <v>291</v>
      </c>
      <c r="E5082" s="20" t="s">
        <v>2361</v>
      </c>
      <c r="F5082" s="20" t="s">
        <v>240</v>
      </c>
      <c r="G5082" s="20" t="s">
        <v>82</v>
      </c>
      <c r="H5082" s="20" t="s">
        <v>84</v>
      </c>
      <c r="I5082" s="20" t="s">
        <v>321</v>
      </c>
      <c r="J5082" s="20" t="s">
        <v>206</v>
      </c>
      <c r="K5082" s="20" t="s">
        <v>250</v>
      </c>
      <c r="L5082" s="20"/>
      <c r="M5082" s="20" t="s">
        <v>251</v>
      </c>
      <c r="N5082" s="20" t="s">
        <v>483</v>
      </c>
    </row>
    <row r="5083" spans="1:14" hidden="1" x14ac:dyDescent="0.25">
      <c r="A5083" s="19">
        <v>46054</v>
      </c>
      <c r="B5083" s="20" t="s">
        <v>35</v>
      </c>
      <c r="C5083" s="20">
        <v>19</v>
      </c>
      <c r="D5083" s="20" t="s">
        <v>253</v>
      </c>
      <c r="E5083" s="20" t="s">
        <v>2359</v>
      </c>
      <c r="F5083" s="20" t="s">
        <v>244</v>
      </c>
      <c r="G5083" s="20" t="s">
        <v>82</v>
      </c>
      <c r="H5083" s="20"/>
      <c r="I5083" s="20"/>
      <c r="J5083" s="20" t="s">
        <v>204</v>
      </c>
      <c r="K5083" s="20" t="s">
        <v>255</v>
      </c>
      <c r="L5083" s="20">
        <v>1880000000</v>
      </c>
      <c r="M5083" s="20" t="s">
        <v>245</v>
      </c>
      <c r="N5083" s="20" t="s">
        <v>2596</v>
      </c>
    </row>
    <row r="5084" spans="1:14" hidden="1" x14ac:dyDescent="0.25">
      <c r="A5084" s="19">
        <v>46054</v>
      </c>
      <c r="B5084" s="20" t="s">
        <v>35</v>
      </c>
      <c r="C5084" s="20">
        <v>19</v>
      </c>
      <c r="D5084" s="20" t="s">
        <v>253</v>
      </c>
      <c r="E5084" s="20" t="s">
        <v>2359</v>
      </c>
      <c r="F5084" s="20" t="s">
        <v>244</v>
      </c>
      <c r="G5084" s="20" t="s">
        <v>82</v>
      </c>
      <c r="H5084" s="20"/>
      <c r="I5084" s="20"/>
      <c r="J5084" s="20" t="s">
        <v>205</v>
      </c>
      <c r="K5084" s="20" t="s">
        <v>255</v>
      </c>
      <c r="L5084" s="20">
        <v>1900000000</v>
      </c>
      <c r="M5084" s="20" t="s">
        <v>245</v>
      </c>
      <c r="N5084" s="20" t="s">
        <v>3200</v>
      </c>
    </row>
    <row r="5085" spans="1:14" hidden="1" x14ac:dyDescent="0.25">
      <c r="A5085" s="19">
        <v>46054</v>
      </c>
      <c r="B5085" s="20" t="s">
        <v>35</v>
      </c>
      <c r="C5085" s="20">
        <v>19</v>
      </c>
      <c r="D5085" s="20" t="s">
        <v>253</v>
      </c>
      <c r="E5085" s="20" t="s">
        <v>2359</v>
      </c>
      <c r="F5085" s="20" t="s">
        <v>244</v>
      </c>
      <c r="G5085" s="20" t="s">
        <v>82</v>
      </c>
      <c r="H5085" s="20"/>
      <c r="I5085" s="20"/>
      <c r="J5085" s="20" t="s">
        <v>206</v>
      </c>
      <c r="K5085" s="20" t="s">
        <v>255</v>
      </c>
      <c r="L5085" s="20">
        <v>1790000000</v>
      </c>
      <c r="M5085" s="20" t="s">
        <v>245</v>
      </c>
      <c r="N5085" s="20" t="s">
        <v>3362</v>
      </c>
    </row>
    <row r="5086" spans="1:14" hidden="1" x14ac:dyDescent="0.25">
      <c r="A5086" s="19">
        <v>46054</v>
      </c>
      <c r="B5086" s="20" t="s">
        <v>35</v>
      </c>
      <c r="C5086" s="20">
        <v>19</v>
      </c>
      <c r="D5086" s="20" t="s">
        <v>247</v>
      </c>
      <c r="E5086" s="20" t="s">
        <v>2554</v>
      </c>
      <c r="F5086" s="20" t="s">
        <v>2558</v>
      </c>
      <c r="G5086" s="20" t="s">
        <v>82</v>
      </c>
      <c r="H5086" s="20" t="s">
        <v>249</v>
      </c>
      <c r="I5086" s="20"/>
      <c r="J5086" s="20" t="s">
        <v>206</v>
      </c>
      <c r="K5086" s="20" t="s">
        <v>250</v>
      </c>
      <c r="L5086" s="20">
        <v>5.6</v>
      </c>
      <c r="M5086" s="20" t="s">
        <v>251</v>
      </c>
      <c r="N5086" s="20" t="s">
        <v>599</v>
      </c>
    </row>
    <row r="5087" spans="1:14" hidden="1" x14ac:dyDescent="0.25">
      <c r="A5087" s="19">
        <v>46054</v>
      </c>
      <c r="B5087" s="20" t="s">
        <v>35</v>
      </c>
      <c r="C5087" s="20">
        <v>20</v>
      </c>
      <c r="D5087" s="20" t="s">
        <v>291</v>
      </c>
      <c r="E5087" s="20" t="s">
        <v>2361</v>
      </c>
      <c r="F5087" s="20" t="s">
        <v>244</v>
      </c>
      <c r="G5087" s="20" t="s">
        <v>82</v>
      </c>
      <c r="H5087" s="20" t="s">
        <v>83</v>
      </c>
      <c r="I5087" s="20"/>
      <c r="J5087" s="20" t="s">
        <v>206</v>
      </c>
      <c r="K5087" s="20" t="s">
        <v>250</v>
      </c>
      <c r="L5087" s="20">
        <v>1330000000</v>
      </c>
      <c r="M5087" s="20" t="s">
        <v>245</v>
      </c>
      <c r="N5087" s="20" t="s">
        <v>967</v>
      </c>
    </row>
    <row r="5088" spans="1:14" hidden="1" x14ac:dyDescent="0.25">
      <c r="A5088" s="19">
        <v>46054</v>
      </c>
      <c r="B5088" s="20" t="s">
        <v>35</v>
      </c>
      <c r="C5088" s="20">
        <v>20</v>
      </c>
      <c r="D5088" s="20" t="s">
        <v>291</v>
      </c>
      <c r="E5088" s="20" t="s">
        <v>2361</v>
      </c>
      <c r="F5088" s="20" t="s">
        <v>244</v>
      </c>
      <c r="G5088" s="20" t="s">
        <v>82</v>
      </c>
      <c r="H5088" s="20" t="s">
        <v>84</v>
      </c>
      <c r="I5088" s="20"/>
      <c r="J5088" s="20" t="s">
        <v>206</v>
      </c>
      <c r="K5088" s="20" t="s">
        <v>250</v>
      </c>
      <c r="L5088" s="20">
        <v>464200000</v>
      </c>
      <c r="M5088" s="20" t="s">
        <v>245</v>
      </c>
      <c r="N5088" s="20" t="s">
        <v>3363</v>
      </c>
    </row>
    <row r="5089" spans="1:14" hidden="1" x14ac:dyDescent="0.25">
      <c r="A5089" s="19">
        <v>46054</v>
      </c>
      <c r="B5089" s="20" t="s">
        <v>35</v>
      </c>
      <c r="C5089" s="20">
        <v>21</v>
      </c>
      <c r="D5089" s="20" t="s">
        <v>291</v>
      </c>
      <c r="E5089" s="20" t="s">
        <v>2361</v>
      </c>
      <c r="F5089" s="20" t="s">
        <v>244</v>
      </c>
      <c r="G5089" s="20" t="s">
        <v>82</v>
      </c>
      <c r="H5089" s="20" t="s">
        <v>83</v>
      </c>
      <c r="I5089" s="20" t="s">
        <v>315</v>
      </c>
      <c r="J5089" s="20" t="s">
        <v>206</v>
      </c>
      <c r="K5089" s="20" t="s">
        <v>250</v>
      </c>
      <c r="L5089" s="20"/>
      <c r="M5089" s="20" t="s">
        <v>251</v>
      </c>
      <c r="N5089" s="20" t="s">
        <v>3364</v>
      </c>
    </row>
    <row r="5090" spans="1:14" hidden="1" x14ac:dyDescent="0.25">
      <c r="A5090" s="19">
        <v>46054</v>
      </c>
      <c r="B5090" s="20" t="s">
        <v>35</v>
      </c>
      <c r="C5090" s="20">
        <v>21</v>
      </c>
      <c r="D5090" s="20" t="s">
        <v>291</v>
      </c>
      <c r="E5090" s="20" t="s">
        <v>2361</v>
      </c>
      <c r="F5090" s="20" t="s">
        <v>244</v>
      </c>
      <c r="G5090" s="20" t="s">
        <v>82</v>
      </c>
      <c r="H5090" s="20" t="s">
        <v>83</v>
      </c>
      <c r="I5090" s="20" t="s">
        <v>317</v>
      </c>
      <c r="J5090" s="20" t="s">
        <v>206</v>
      </c>
      <c r="K5090" s="20" t="s">
        <v>250</v>
      </c>
      <c r="L5090" s="20"/>
      <c r="M5090" s="20" t="s">
        <v>251</v>
      </c>
      <c r="N5090" s="20" t="s">
        <v>3365</v>
      </c>
    </row>
    <row r="5091" spans="1:14" hidden="1" x14ac:dyDescent="0.25">
      <c r="A5091" s="19">
        <v>46054</v>
      </c>
      <c r="B5091" s="20" t="s">
        <v>35</v>
      </c>
      <c r="C5091" s="20">
        <v>21</v>
      </c>
      <c r="D5091" s="20" t="s">
        <v>291</v>
      </c>
      <c r="E5091" s="20" t="s">
        <v>2361</v>
      </c>
      <c r="F5091" s="20" t="s">
        <v>244</v>
      </c>
      <c r="G5091" s="20" t="s">
        <v>82</v>
      </c>
      <c r="H5091" s="20" t="s">
        <v>83</v>
      </c>
      <c r="I5091" s="20" t="s">
        <v>313</v>
      </c>
      <c r="J5091" s="20" t="s">
        <v>206</v>
      </c>
      <c r="K5091" s="20" t="s">
        <v>250</v>
      </c>
      <c r="L5091" s="20"/>
      <c r="M5091" s="20" t="s">
        <v>251</v>
      </c>
      <c r="N5091" s="20" t="s">
        <v>1690</v>
      </c>
    </row>
    <row r="5092" spans="1:14" hidden="1" x14ac:dyDescent="0.25">
      <c r="A5092" s="19">
        <v>46054</v>
      </c>
      <c r="B5092" s="20" t="s">
        <v>35</v>
      </c>
      <c r="C5092" s="20">
        <v>21</v>
      </c>
      <c r="D5092" s="20" t="s">
        <v>291</v>
      </c>
      <c r="E5092" s="20" t="s">
        <v>2361</v>
      </c>
      <c r="F5092" s="20" t="s">
        <v>244</v>
      </c>
      <c r="G5092" s="20" t="s">
        <v>82</v>
      </c>
      <c r="H5092" s="20" t="s">
        <v>84</v>
      </c>
      <c r="I5092" s="20" t="s">
        <v>2385</v>
      </c>
      <c r="J5092" s="20" t="s">
        <v>206</v>
      </c>
      <c r="K5092" s="20" t="s">
        <v>250</v>
      </c>
      <c r="L5092" s="20"/>
      <c r="M5092" s="20" t="s">
        <v>251</v>
      </c>
      <c r="N5092" s="20" t="s">
        <v>602</v>
      </c>
    </row>
    <row r="5093" spans="1:14" hidden="1" x14ac:dyDescent="0.25">
      <c r="A5093" s="19">
        <v>46054</v>
      </c>
      <c r="B5093" s="20" t="s">
        <v>35</v>
      </c>
      <c r="C5093" s="20">
        <v>21</v>
      </c>
      <c r="D5093" s="20" t="s">
        <v>291</v>
      </c>
      <c r="E5093" s="20" t="s">
        <v>2361</v>
      </c>
      <c r="F5093" s="20" t="s">
        <v>244</v>
      </c>
      <c r="G5093" s="20" t="s">
        <v>82</v>
      </c>
      <c r="H5093" s="20" t="s">
        <v>84</v>
      </c>
      <c r="I5093" s="20" t="s">
        <v>321</v>
      </c>
      <c r="J5093" s="20" t="s">
        <v>206</v>
      </c>
      <c r="K5093" s="20" t="s">
        <v>250</v>
      </c>
      <c r="L5093" s="20"/>
      <c r="M5093" s="20" t="s">
        <v>251</v>
      </c>
      <c r="N5093" s="20" t="s">
        <v>603</v>
      </c>
    </row>
    <row r="5094" spans="1:14" hidden="1" x14ac:dyDescent="0.25">
      <c r="A5094" s="19">
        <v>46054</v>
      </c>
      <c r="B5094" s="20" t="s">
        <v>35</v>
      </c>
      <c r="C5094" s="20">
        <v>22</v>
      </c>
      <c r="D5094" s="20" t="s">
        <v>253</v>
      </c>
      <c r="E5094" s="20" t="s">
        <v>2359</v>
      </c>
      <c r="F5094" s="20" t="s">
        <v>334</v>
      </c>
      <c r="G5094" s="20" t="s">
        <v>82</v>
      </c>
      <c r="H5094" s="20"/>
      <c r="I5094" s="20"/>
      <c r="J5094" s="20" t="s">
        <v>204</v>
      </c>
      <c r="K5094" s="20" t="s">
        <v>255</v>
      </c>
      <c r="L5094" s="20">
        <v>106</v>
      </c>
      <c r="M5094" s="20" t="s">
        <v>245</v>
      </c>
      <c r="N5094" s="20" t="s">
        <v>2915</v>
      </c>
    </row>
    <row r="5095" spans="1:14" hidden="1" x14ac:dyDescent="0.25">
      <c r="A5095" s="19">
        <v>46054</v>
      </c>
      <c r="B5095" s="20" t="s">
        <v>35</v>
      </c>
      <c r="C5095" s="20">
        <v>22</v>
      </c>
      <c r="D5095" s="20" t="s">
        <v>253</v>
      </c>
      <c r="E5095" s="20" t="s">
        <v>2359</v>
      </c>
      <c r="F5095" s="20" t="s">
        <v>334</v>
      </c>
      <c r="G5095" s="20" t="s">
        <v>82</v>
      </c>
      <c r="H5095" s="20"/>
      <c r="I5095" s="20"/>
      <c r="J5095" s="20" t="s">
        <v>205</v>
      </c>
      <c r="K5095" s="20" t="s">
        <v>255</v>
      </c>
      <c r="L5095" s="20">
        <v>107</v>
      </c>
      <c r="M5095" s="20" t="s">
        <v>245</v>
      </c>
      <c r="N5095" s="20" t="s">
        <v>3219</v>
      </c>
    </row>
    <row r="5096" spans="1:14" hidden="1" x14ac:dyDescent="0.25">
      <c r="A5096" s="19">
        <v>46054</v>
      </c>
      <c r="B5096" s="20" t="s">
        <v>35</v>
      </c>
      <c r="C5096" s="20">
        <v>22</v>
      </c>
      <c r="D5096" s="20" t="s">
        <v>253</v>
      </c>
      <c r="E5096" s="20" t="s">
        <v>2359</v>
      </c>
      <c r="F5096" s="20" t="s">
        <v>334</v>
      </c>
      <c r="G5096" s="20" t="s">
        <v>82</v>
      </c>
      <c r="H5096" s="20"/>
      <c r="I5096" s="20"/>
      <c r="J5096" s="20" t="s">
        <v>206</v>
      </c>
      <c r="K5096" s="20" t="s">
        <v>255</v>
      </c>
      <c r="L5096" s="20">
        <v>108</v>
      </c>
      <c r="M5096" s="20" t="s">
        <v>245</v>
      </c>
      <c r="N5096" s="20" t="s">
        <v>3366</v>
      </c>
    </row>
    <row r="5097" spans="1:14" hidden="1" x14ac:dyDescent="0.25">
      <c r="A5097" s="19">
        <v>46054</v>
      </c>
      <c r="B5097" s="20" t="s">
        <v>35</v>
      </c>
      <c r="C5097" s="20">
        <v>23</v>
      </c>
      <c r="D5097" s="20" t="s">
        <v>291</v>
      </c>
      <c r="E5097" s="20" t="s">
        <v>2361</v>
      </c>
      <c r="F5097" s="20" t="s">
        <v>428</v>
      </c>
      <c r="G5097" s="20" t="s">
        <v>82</v>
      </c>
      <c r="H5097" s="20" t="s">
        <v>95</v>
      </c>
      <c r="I5097" s="20"/>
      <c r="J5097" s="20" t="s">
        <v>206</v>
      </c>
      <c r="K5097" s="20" t="s">
        <v>250</v>
      </c>
      <c r="L5097" s="20">
        <v>2550000</v>
      </c>
      <c r="M5097" s="20" t="s">
        <v>242</v>
      </c>
      <c r="N5097" s="20" t="s">
        <v>1299</v>
      </c>
    </row>
    <row r="5098" spans="1:14" hidden="1" x14ac:dyDescent="0.25">
      <c r="A5098" s="19">
        <v>46054</v>
      </c>
      <c r="B5098" s="20" t="s">
        <v>35</v>
      </c>
      <c r="C5098" s="20">
        <v>23</v>
      </c>
      <c r="D5098" s="20" t="s">
        <v>291</v>
      </c>
      <c r="E5098" s="20" t="s">
        <v>2361</v>
      </c>
      <c r="F5098" s="20" t="s">
        <v>428</v>
      </c>
      <c r="G5098" s="20" t="s">
        <v>82</v>
      </c>
      <c r="H5098" s="20" t="s">
        <v>94</v>
      </c>
      <c r="I5098" s="20"/>
      <c r="J5098" s="20" t="s">
        <v>206</v>
      </c>
      <c r="K5098" s="20" t="s">
        <v>250</v>
      </c>
      <c r="L5098" s="20">
        <v>6830000</v>
      </c>
      <c r="M5098" s="20" t="s">
        <v>242</v>
      </c>
      <c r="N5098" s="20" t="s">
        <v>3367</v>
      </c>
    </row>
    <row r="5099" spans="1:14" hidden="1" x14ac:dyDescent="0.25">
      <c r="A5099" s="19">
        <v>46054</v>
      </c>
      <c r="B5099" s="20" t="s">
        <v>35</v>
      </c>
      <c r="C5099" s="20">
        <v>24</v>
      </c>
      <c r="D5099" s="20" t="s">
        <v>291</v>
      </c>
      <c r="E5099" s="20" t="s">
        <v>2361</v>
      </c>
      <c r="F5099" s="20" t="s">
        <v>445</v>
      </c>
      <c r="G5099" s="20" t="s">
        <v>82</v>
      </c>
      <c r="H5099" s="20" t="s">
        <v>95</v>
      </c>
      <c r="I5099" s="20"/>
      <c r="J5099" s="20" t="s">
        <v>206</v>
      </c>
      <c r="K5099" s="20" t="s">
        <v>250</v>
      </c>
      <c r="L5099" s="20">
        <v>246900000</v>
      </c>
      <c r="M5099" s="20" t="s">
        <v>245</v>
      </c>
      <c r="N5099" s="20" t="s">
        <v>3368</v>
      </c>
    </row>
    <row r="5100" spans="1:14" hidden="1" x14ac:dyDescent="0.25">
      <c r="A5100" s="19">
        <v>46054</v>
      </c>
      <c r="B5100" s="20" t="s">
        <v>35</v>
      </c>
      <c r="C5100" s="20">
        <v>24</v>
      </c>
      <c r="D5100" s="20" t="s">
        <v>291</v>
      </c>
      <c r="E5100" s="20" t="s">
        <v>2361</v>
      </c>
      <c r="F5100" s="20" t="s">
        <v>445</v>
      </c>
      <c r="G5100" s="20" t="s">
        <v>82</v>
      </c>
      <c r="H5100" s="20" t="s">
        <v>94</v>
      </c>
      <c r="I5100" s="20"/>
      <c r="J5100" s="20" t="s">
        <v>206</v>
      </c>
      <c r="K5100" s="20" t="s">
        <v>250</v>
      </c>
      <c r="L5100" s="20">
        <v>889500000</v>
      </c>
      <c r="M5100" s="20" t="s">
        <v>245</v>
      </c>
      <c r="N5100" s="20" t="s">
        <v>3369</v>
      </c>
    </row>
    <row r="5101" spans="1:14" hidden="1" x14ac:dyDescent="0.25">
      <c r="A5101" s="19">
        <v>46054</v>
      </c>
      <c r="B5101" s="20" t="s">
        <v>97</v>
      </c>
      <c r="C5101" s="20">
        <v>26</v>
      </c>
      <c r="D5101" s="20" t="s">
        <v>238</v>
      </c>
      <c r="E5101" s="20" t="s">
        <v>2341</v>
      </c>
      <c r="F5101" s="20" t="s">
        <v>240</v>
      </c>
      <c r="G5101" s="20" t="s">
        <v>82</v>
      </c>
      <c r="H5101" s="20"/>
      <c r="I5101" s="20"/>
      <c r="J5101" s="20" t="s">
        <v>3346</v>
      </c>
      <c r="K5101" s="20" t="s">
        <v>241</v>
      </c>
      <c r="L5101" s="20">
        <v>22670000</v>
      </c>
      <c r="M5101" s="20" t="s">
        <v>242</v>
      </c>
      <c r="N5101" s="20" t="s">
        <v>3370</v>
      </c>
    </row>
    <row r="5102" spans="1:14" hidden="1" x14ac:dyDescent="0.25">
      <c r="A5102" s="19">
        <v>46054</v>
      </c>
      <c r="B5102" s="20" t="s">
        <v>97</v>
      </c>
      <c r="C5102" s="20">
        <v>26</v>
      </c>
      <c r="D5102" s="20" t="s">
        <v>238</v>
      </c>
      <c r="E5102" s="20" t="s">
        <v>2341</v>
      </c>
      <c r="F5102" s="20" t="s">
        <v>244</v>
      </c>
      <c r="G5102" s="20" t="s">
        <v>82</v>
      </c>
      <c r="H5102" s="20"/>
      <c r="I5102" s="20"/>
      <c r="J5102" s="20" t="s">
        <v>3346</v>
      </c>
      <c r="K5102" s="20" t="s">
        <v>241</v>
      </c>
      <c r="L5102" s="20">
        <v>1140000000</v>
      </c>
      <c r="M5102" s="20" t="s">
        <v>245</v>
      </c>
      <c r="N5102" s="20" t="s">
        <v>326</v>
      </c>
    </row>
    <row r="5103" spans="1:14" hidden="1" x14ac:dyDescent="0.25">
      <c r="A5103" s="19">
        <v>46054</v>
      </c>
      <c r="B5103" s="20" t="s">
        <v>97</v>
      </c>
      <c r="C5103" s="20">
        <v>27</v>
      </c>
      <c r="D5103" s="20" t="s">
        <v>253</v>
      </c>
      <c r="E5103" s="20" t="s">
        <v>2359</v>
      </c>
      <c r="F5103" s="20" t="s">
        <v>285</v>
      </c>
      <c r="G5103" s="20" t="s">
        <v>63</v>
      </c>
      <c r="H5103" s="20"/>
      <c r="I5103" s="20"/>
      <c r="J5103" s="20" t="s">
        <v>204</v>
      </c>
      <c r="K5103" s="20" t="s">
        <v>255</v>
      </c>
      <c r="L5103" s="20">
        <v>2810000</v>
      </c>
      <c r="M5103" s="20" t="s">
        <v>242</v>
      </c>
      <c r="N5103" s="20" t="s">
        <v>3077</v>
      </c>
    </row>
    <row r="5104" spans="1:14" hidden="1" x14ac:dyDescent="0.25">
      <c r="A5104" s="19">
        <v>46054</v>
      </c>
      <c r="B5104" s="20" t="s">
        <v>97</v>
      </c>
      <c r="C5104" s="20">
        <v>27</v>
      </c>
      <c r="D5104" s="20" t="s">
        <v>253</v>
      </c>
      <c r="E5104" s="20" t="s">
        <v>2359</v>
      </c>
      <c r="F5104" s="20" t="s">
        <v>285</v>
      </c>
      <c r="G5104" s="20" t="s">
        <v>63</v>
      </c>
      <c r="H5104" s="20"/>
      <c r="I5104" s="20"/>
      <c r="J5104" s="20" t="s">
        <v>205</v>
      </c>
      <c r="K5104" s="20" t="s">
        <v>255</v>
      </c>
      <c r="L5104" s="20">
        <v>2850000</v>
      </c>
      <c r="M5104" s="20" t="s">
        <v>242</v>
      </c>
      <c r="N5104" s="20" t="s">
        <v>3224</v>
      </c>
    </row>
    <row r="5105" spans="1:14" hidden="1" x14ac:dyDescent="0.25">
      <c r="A5105" s="19">
        <v>46054</v>
      </c>
      <c r="B5105" s="20" t="s">
        <v>97</v>
      </c>
      <c r="C5105" s="20">
        <v>27</v>
      </c>
      <c r="D5105" s="20" t="s">
        <v>253</v>
      </c>
      <c r="E5105" s="20" t="s">
        <v>2359</v>
      </c>
      <c r="F5105" s="20" t="s">
        <v>285</v>
      </c>
      <c r="G5105" s="20" t="s">
        <v>63</v>
      </c>
      <c r="H5105" s="20"/>
      <c r="I5105" s="20"/>
      <c r="J5105" s="20" t="s">
        <v>206</v>
      </c>
      <c r="K5105" s="20" t="s">
        <v>255</v>
      </c>
      <c r="L5105" s="20">
        <v>2880000</v>
      </c>
      <c r="M5105" s="20" t="s">
        <v>242</v>
      </c>
      <c r="N5105" s="20" t="s">
        <v>3371</v>
      </c>
    </row>
    <row r="5106" spans="1:14" hidden="1" x14ac:dyDescent="0.25">
      <c r="A5106" s="19">
        <v>46054</v>
      </c>
      <c r="B5106" s="20" t="s">
        <v>97</v>
      </c>
      <c r="C5106" s="20">
        <v>27</v>
      </c>
      <c r="D5106" s="20" t="s">
        <v>247</v>
      </c>
      <c r="E5106" s="20" t="s">
        <v>2554</v>
      </c>
      <c r="F5106" s="20" t="s">
        <v>2555</v>
      </c>
      <c r="G5106" s="20" t="s">
        <v>63</v>
      </c>
      <c r="H5106" s="20" t="s">
        <v>286</v>
      </c>
      <c r="I5106" s="20"/>
      <c r="J5106" s="20" t="s">
        <v>206</v>
      </c>
      <c r="K5106" s="20" t="s">
        <v>250</v>
      </c>
      <c r="L5106" s="20">
        <v>1.3</v>
      </c>
      <c r="M5106" s="20" t="s">
        <v>251</v>
      </c>
      <c r="N5106" s="20" t="s">
        <v>1230</v>
      </c>
    </row>
    <row r="5107" spans="1:14" hidden="1" x14ac:dyDescent="0.25">
      <c r="A5107" s="19">
        <v>46054</v>
      </c>
      <c r="B5107" s="20" t="s">
        <v>97</v>
      </c>
      <c r="C5107" s="20">
        <v>28</v>
      </c>
      <c r="D5107" s="20" t="s">
        <v>291</v>
      </c>
      <c r="E5107" s="20" t="s">
        <v>2361</v>
      </c>
      <c r="F5107" s="20" t="s">
        <v>2362</v>
      </c>
      <c r="G5107" s="20" t="s">
        <v>63</v>
      </c>
      <c r="H5107" s="20" t="s">
        <v>64</v>
      </c>
      <c r="I5107" s="20"/>
      <c r="J5107" s="20" t="s">
        <v>206</v>
      </c>
      <c r="K5107" s="20" t="s">
        <v>250</v>
      </c>
      <c r="L5107" s="20">
        <v>2500000</v>
      </c>
      <c r="M5107" s="20" t="s">
        <v>242</v>
      </c>
      <c r="N5107" s="20" t="s">
        <v>1646</v>
      </c>
    </row>
    <row r="5108" spans="1:14" hidden="1" x14ac:dyDescent="0.25">
      <c r="A5108" s="19">
        <v>46054</v>
      </c>
      <c r="B5108" s="20" t="s">
        <v>97</v>
      </c>
      <c r="C5108" s="20">
        <v>28</v>
      </c>
      <c r="D5108" s="20" t="s">
        <v>291</v>
      </c>
      <c r="E5108" s="20" t="s">
        <v>2361</v>
      </c>
      <c r="F5108" s="20" t="s">
        <v>2362</v>
      </c>
      <c r="G5108" s="20" t="s">
        <v>63</v>
      </c>
      <c r="H5108" s="20" t="s">
        <v>65</v>
      </c>
      <c r="I5108" s="20"/>
      <c r="J5108" s="20" t="s">
        <v>206</v>
      </c>
      <c r="K5108" s="20" t="s">
        <v>250</v>
      </c>
      <c r="L5108" s="20">
        <v>353400</v>
      </c>
      <c r="M5108" s="20" t="s">
        <v>242</v>
      </c>
      <c r="N5108" s="20" t="s">
        <v>3372</v>
      </c>
    </row>
    <row r="5109" spans="1:14" hidden="1" x14ac:dyDescent="0.25">
      <c r="A5109" s="19">
        <v>46054</v>
      </c>
      <c r="B5109" s="20" t="s">
        <v>97</v>
      </c>
      <c r="C5109" s="20">
        <v>29</v>
      </c>
      <c r="D5109" s="20" t="s">
        <v>291</v>
      </c>
      <c r="E5109" s="20" t="s">
        <v>2361</v>
      </c>
      <c r="F5109" s="20" t="s">
        <v>2362</v>
      </c>
      <c r="G5109" s="20" t="s">
        <v>63</v>
      </c>
      <c r="H5109" s="20" t="s">
        <v>2364</v>
      </c>
      <c r="I5109" s="20"/>
      <c r="J5109" s="20" t="s">
        <v>206</v>
      </c>
      <c r="K5109" s="20" t="s">
        <v>250</v>
      </c>
      <c r="L5109" s="20">
        <v>1540000</v>
      </c>
      <c r="M5109" s="20" t="s">
        <v>242</v>
      </c>
      <c r="N5109" s="20" t="s">
        <v>576</v>
      </c>
    </row>
    <row r="5110" spans="1:14" hidden="1" x14ac:dyDescent="0.25">
      <c r="A5110" s="19">
        <v>46054</v>
      </c>
      <c r="B5110" s="20" t="s">
        <v>97</v>
      </c>
      <c r="C5110" s="20">
        <v>29</v>
      </c>
      <c r="D5110" s="20" t="s">
        <v>291</v>
      </c>
      <c r="E5110" s="20" t="s">
        <v>2361</v>
      </c>
      <c r="F5110" s="20" t="s">
        <v>2362</v>
      </c>
      <c r="G5110" s="20" t="s">
        <v>63</v>
      </c>
      <c r="H5110" s="20" t="s">
        <v>2366</v>
      </c>
      <c r="I5110" s="20"/>
      <c r="J5110" s="20" t="s">
        <v>206</v>
      </c>
      <c r="K5110" s="20" t="s">
        <v>250</v>
      </c>
      <c r="L5110" s="20">
        <v>1340000</v>
      </c>
      <c r="M5110" s="20" t="s">
        <v>242</v>
      </c>
      <c r="N5110" s="20" t="s">
        <v>2850</v>
      </c>
    </row>
    <row r="5111" spans="1:14" hidden="1" x14ac:dyDescent="0.25">
      <c r="A5111" s="19">
        <v>46054</v>
      </c>
      <c r="B5111" s="20" t="s">
        <v>97</v>
      </c>
      <c r="C5111" s="20">
        <v>30</v>
      </c>
      <c r="D5111" s="20" t="s">
        <v>291</v>
      </c>
      <c r="E5111" s="20" t="s">
        <v>2361</v>
      </c>
      <c r="F5111" s="20" t="s">
        <v>285</v>
      </c>
      <c r="G5111" s="20" t="s">
        <v>63</v>
      </c>
      <c r="H5111" s="20" t="s">
        <v>77</v>
      </c>
      <c r="I5111" s="20"/>
      <c r="J5111" s="20" t="s">
        <v>206</v>
      </c>
      <c r="K5111" s="20" t="s">
        <v>250</v>
      </c>
      <c r="L5111" s="20">
        <v>1000</v>
      </c>
      <c r="M5111" s="20" t="s">
        <v>242</v>
      </c>
      <c r="N5111" s="20" t="s">
        <v>2394</v>
      </c>
    </row>
    <row r="5112" spans="1:14" hidden="1" x14ac:dyDescent="0.25">
      <c r="A5112" s="19">
        <v>46054</v>
      </c>
      <c r="B5112" s="20" t="s">
        <v>97</v>
      </c>
      <c r="C5112" s="20">
        <v>30</v>
      </c>
      <c r="D5112" s="20" t="s">
        <v>291</v>
      </c>
      <c r="E5112" s="20" t="s">
        <v>2361</v>
      </c>
      <c r="F5112" s="20" t="s">
        <v>285</v>
      </c>
      <c r="G5112" s="20" t="s">
        <v>63</v>
      </c>
      <c r="H5112" s="20" t="s">
        <v>70</v>
      </c>
      <c r="I5112" s="20"/>
      <c r="J5112" s="20" t="s">
        <v>206</v>
      </c>
      <c r="K5112" s="20" t="s">
        <v>250</v>
      </c>
      <c r="L5112" s="20">
        <v>1040000</v>
      </c>
      <c r="M5112" s="20" t="s">
        <v>242</v>
      </c>
      <c r="N5112" s="20" t="s">
        <v>952</v>
      </c>
    </row>
    <row r="5113" spans="1:14" hidden="1" x14ac:dyDescent="0.25">
      <c r="A5113" s="19">
        <v>46054</v>
      </c>
      <c r="B5113" s="20" t="s">
        <v>97</v>
      </c>
      <c r="C5113" s="20">
        <v>30</v>
      </c>
      <c r="D5113" s="20" t="s">
        <v>291</v>
      </c>
      <c r="E5113" s="20" t="s">
        <v>2361</v>
      </c>
      <c r="F5113" s="20" t="s">
        <v>285</v>
      </c>
      <c r="G5113" s="20" t="s">
        <v>63</v>
      </c>
      <c r="H5113" s="20" t="s">
        <v>71</v>
      </c>
      <c r="I5113" s="20"/>
      <c r="J5113" s="20" t="s">
        <v>206</v>
      </c>
      <c r="K5113" s="20" t="s">
        <v>250</v>
      </c>
      <c r="L5113" s="20">
        <v>739000</v>
      </c>
      <c r="M5113" s="20" t="s">
        <v>242</v>
      </c>
      <c r="N5113" s="20" t="s">
        <v>3373</v>
      </c>
    </row>
    <row r="5114" spans="1:14" hidden="1" x14ac:dyDescent="0.25">
      <c r="A5114" s="19">
        <v>46054</v>
      </c>
      <c r="B5114" s="20" t="s">
        <v>97</v>
      </c>
      <c r="C5114" s="20">
        <v>30</v>
      </c>
      <c r="D5114" s="20" t="s">
        <v>291</v>
      </c>
      <c r="E5114" s="20" t="s">
        <v>2361</v>
      </c>
      <c r="F5114" s="20" t="s">
        <v>285</v>
      </c>
      <c r="G5114" s="20" t="s">
        <v>63</v>
      </c>
      <c r="H5114" s="20" t="s">
        <v>72</v>
      </c>
      <c r="I5114" s="20"/>
      <c r="J5114" s="20" t="s">
        <v>206</v>
      </c>
      <c r="K5114" s="20" t="s">
        <v>250</v>
      </c>
      <c r="L5114" s="20">
        <v>555000</v>
      </c>
      <c r="M5114" s="20" t="s">
        <v>242</v>
      </c>
      <c r="N5114" s="20" t="s">
        <v>3374</v>
      </c>
    </row>
    <row r="5115" spans="1:14" hidden="1" x14ac:dyDescent="0.25">
      <c r="A5115" s="19">
        <v>46054</v>
      </c>
      <c r="B5115" s="20" t="s">
        <v>97</v>
      </c>
      <c r="C5115" s="20">
        <v>30</v>
      </c>
      <c r="D5115" s="20" t="s">
        <v>291</v>
      </c>
      <c r="E5115" s="20" t="s">
        <v>2361</v>
      </c>
      <c r="F5115" s="20" t="s">
        <v>285</v>
      </c>
      <c r="G5115" s="20" t="s">
        <v>63</v>
      </c>
      <c r="H5115" s="20" t="s">
        <v>73</v>
      </c>
      <c r="I5115" s="20"/>
      <c r="J5115" s="20" t="s">
        <v>206</v>
      </c>
      <c r="K5115" s="20" t="s">
        <v>250</v>
      </c>
      <c r="L5115" s="20">
        <v>349000</v>
      </c>
      <c r="M5115" s="20" t="s">
        <v>242</v>
      </c>
      <c r="N5115" s="20" t="s">
        <v>3375</v>
      </c>
    </row>
    <row r="5116" spans="1:14" hidden="1" x14ac:dyDescent="0.25">
      <c r="A5116" s="19">
        <v>46054</v>
      </c>
      <c r="B5116" s="20" t="s">
        <v>97</v>
      </c>
      <c r="C5116" s="20">
        <v>30</v>
      </c>
      <c r="D5116" s="20" t="s">
        <v>291</v>
      </c>
      <c r="E5116" s="20" t="s">
        <v>2361</v>
      </c>
      <c r="F5116" s="20" t="s">
        <v>285</v>
      </c>
      <c r="G5116" s="20" t="s">
        <v>63</v>
      </c>
      <c r="H5116" s="20" t="s">
        <v>74</v>
      </c>
      <c r="I5116" s="20"/>
      <c r="J5116" s="20" t="s">
        <v>206</v>
      </c>
      <c r="K5116" s="20" t="s">
        <v>250</v>
      </c>
      <c r="L5116" s="20">
        <v>136000</v>
      </c>
      <c r="M5116" s="20" t="s">
        <v>242</v>
      </c>
      <c r="N5116" s="20" t="s">
        <v>3376</v>
      </c>
    </row>
    <row r="5117" spans="1:14" hidden="1" x14ac:dyDescent="0.25">
      <c r="A5117" s="19">
        <v>46054</v>
      </c>
      <c r="B5117" s="20" t="s">
        <v>97</v>
      </c>
      <c r="C5117" s="20">
        <v>30</v>
      </c>
      <c r="D5117" s="20" t="s">
        <v>291</v>
      </c>
      <c r="E5117" s="20" t="s">
        <v>2361</v>
      </c>
      <c r="F5117" s="20" t="s">
        <v>285</v>
      </c>
      <c r="G5117" s="20" t="s">
        <v>63</v>
      </c>
      <c r="H5117" s="20" t="s">
        <v>75</v>
      </c>
      <c r="I5117" s="20"/>
      <c r="J5117" s="20" t="s">
        <v>206</v>
      </c>
      <c r="K5117" s="20" t="s">
        <v>250</v>
      </c>
      <c r="L5117" s="20">
        <v>39000</v>
      </c>
      <c r="M5117" s="20" t="s">
        <v>242</v>
      </c>
      <c r="N5117" s="20" t="s">
        <v>2198</v>
      </c>
    </row>
    <row r="5118" spans="1:14" hidden="1" x14ac:dyDescent="0.25">
      <c r="A5118" s="19">
        <v>46054</v>
      </c>
      <c r="B5118" s="20" t="s">
        <v>97</v>
      </c>
      <c r="C5118" s="20">
        <v>30</v>
      </c>
      <c r="D5118" s="20" t="s">
        <v>291</v>
      </c>
      <c r="E5118" s="20" t="s">
        <v>2361</v>
      </c>
      <c r="F5118" s="20" t="s">
        <v>285</v>
      </c>
      <c r="G5118" s="20" t="s">
        <v>63</v>
      </c>
      <c r="H5118" s="20" t="s">
        <v>76</v>
      </c>
      <c r="I5118" s="20"/>
      <c r="J5118" s="20" t="s">
        <v>206</v>
      </c>
      <c r="K5118" s="20" t="s">
        <v>250</v>
      </c>
      <c r="L5118" s="20">
        <v>13000</v>
      </c>
      <c r="M5118" s="20" t="s">
        <v>242</v>
      </c>
      <c r="N5118" s="20" t="s">
        <v>932</v>
      </c>
    </row>
    <row r="5119" spans="1:14" hidden="1" x14ac:dyDescent="0.25">
      <c r="A5119" s="19">
        <v>46054</v>
      </c>
      <c r="B5119" s="20" t="s">
        <v>97</v>
      </c>
      <c r="C5119" s="20">
        <v>31</v>
      </c>
      <c r="D5119" s="20" t="s">
        <v>291</v>
      </c>
      <c r="E5119" s="20" t="s">
        <v>2361</v>
      </c>
      <c r="F5119" s="20" t="s">
        <v>2400</v>
      </c>
      <c r="G5119" s="20" t="s">
        <v>99</v>
      </c>
      <c r="H5119" s="20" t="s">
        <v>103</v>
      </c>
      <c r="I5119" s="20"/>
      <c r="J5119" s="20" t="s">
        <v>206</v>
      </c>
      <c r="K5119" s="20" t="s">
        <v>250</v>
      </c>
      <c r="L5119" s="20">
        <v>2900000</v>
      </c>
      <c r="M5119" s="20" t="s">
        <v>242</v>
      </c>
      <c r="N5119" s="20" t="s">
        <v>3377</v>
      </c>
    </row>
    <row r="5120" spans="1:14" hidden="1" x14ac:dyDescent="0.25">
      <c r="A5120" s="19">
        <v>46054</v>
      </c>
      <c r="B5120" s="20" t="s">
        <v>97</v>
      </c>
      <c r="C5120" s="20">
        <v>31</v>
      </c>
      <c r="D5120" s="20" t="s">
        <v>291</v>
      </c>
      <c r="E5120" s="20" t="s">
        <v>2361</v>
      </c>
      <c r="F5120" s="20" t="s">
        <v>477</v>
      </c>
      <c r="G5120" s="20" t="s">
        <v>99</v>
      </c>
      <c r="H5120" s="20" t="s">
        <v>104</v>
      </c>
      <c r="I5120" s="20"/>
      <c r="J5120" s="20" t="s">
        <v>206</v>
      </c>
      <c r="K5120" s="20" t="s">
        <v>250</v>
      </c>
      <c r="L5120" s="20">
        <v>3865</v>
      </c>
      <c r="M5120" s="20" t="s">
        <v>242</v>
      </c>
      <c r="N5120" s="20" t="s">
        <v>3378</v>
      </c>
    </row>
    <row r="5121" spans="1:14" hidden="1" x14ac:dyDescent="0.25">
      <c r="A5121" s="19">
        <v>46054</v>
      </c>
      <c r="B5121" s="20" t="s">
        <v>97</v>
      </c>
      <c r="C5121" s="20">
        <v>31</v>
      </c>
      <c r="D5121" s="20" t="s">
        <v>291</v>
      </c>
      <c r="E5121" s="20" t="s">
        <v>2361</v>
      </c>
      <c r="F5121" s="20" t="s">
        <v>477</v>
      </c>
      <c r="G5121" s="20" t="s">
        <v>99</v>
      </c>
      <c r="H5121" s="20" t="s">
        <v>101</v>
      </c>
      <c r="I5121" s="20"/>
      <c r="J5121" s="20" t="s">
        <v>206</v>
      </c>
      <c r="K5121" s="20" t="s">
        <v>250</v>
      </c>
      <c r="L5121" s="20">
        <v>1639</v>
      </c>
      <c r="M5121" s="20" t="s">
        <v>242</v>
      </c>
      <c r="N5121" s="20" t="s">
        <v>3379</v>
      </c>
    </row>
    <row r="5122" spans="1:14" hidden="1" x14ac:dyDescent="0.25">
      <c r="A5122" s="19">
        <v>46054</v>
      </c>
      <c r="B5122" s="20" t="s">
        <v>97</v>
      </c>
      <c r="C5122" s="20">
        <v>31</v>
      </c>
      <c r="D5122" s="20" t="s">
        <v>291</v>
      </c>
      <c r="E5122" s="20" t="s">
        <v>2361</v>
      </c>
      <c r="F5122" s="20" t="s">
        <v>477</v>
      </c>
      <c r="G5122" s="20" t="s">
        <v>99</v>
      </c>
      <c r="H5122" s="20" t="s">
        <v>100</v>
      </c>
      <c r="I5122" s="20"/>
      <c r="J5122" s="20" t="s">
        <v>206</v>
      </c>
      <c r="K5122" s="20" t="s">
        <v>250</v>
      </c>
      <c r="L5122" s="20">
        <v>1061</v>
      </c>
      <c r="M5122" s="20" t="s">
        <v>242</v>
      </c>
      <c r="N5122" s="20" t="s">
        <v>3380</v>
      </c>
    </row>
    <row r="5123" spans="1:14" hidden="1" x14ac:dyDescent="0.25">
      <c r="A5123" s="19">
        <v>46054</v>
      </c>
      <c r="B5123" s="20" t="s">
        <v>97</v>
      </c>
      <c r="C5123" s="20">
        <v>31</v>
      </c>
      <c r="D5123" s="20" t="s">
        <v>291</v>
      </c>
      <c r="E5123" s="20" t="s">
        <v>2361</v>
      </c>
      <c r="F5123" s="20" t="s">
        <v>477</v>
      </c>
      <c r="G5123" s="20" t="s">
        <v>99</v>
      </c>
      <c r="H5123" s="20" t="s">
        <v>102</v>
      </c>
      <c r="I5123" s="20"/>
      <c r="J5123" s="20" t="s">
        <v>206</v>
      </c>
      <c r="K5123" s="20" t="s">
        <v>250</v>
      </c>
      <c r="L5123" s="20">
        <v>8</v>
      </c>
      <c r="M5123" s="20" t="s">
        <v>242</v>
      </c>
      <c r="N5123" s="20" t="s">
        <v>480</v>
      </c>
    </row>
    <row r="5124" spans="1:14" hidden="1" x14ac:dyDescent="0.25">
      <c r="A5124" s="19">
        <v>46054</v>
      </c>
      <c r="B5124" s="20" t="s">
        <v>97</v>
      </c>
      <c r="C5124" s="20">
        <v>32</v>
      </c>
      <c r="D5124" s="20" t="s">
        <v>253</v>
      </c>
      <c r="E5124" s="20" t="s">
        <v>2359</v>
      </c>
      <c r="F5124" s="20" t="s">
        <v>240</v>
      </c>
      <c r="G5124" s="20" t="s">
        <v>82</v>
      </c>
      <c r="H5124" s="20"/>
      <c r="I5124" s="20"/>
      <c r="J5124" s="20" t="s">
        <v>204</v>
      </c>
      <c r="K5124" s="20" t="s">
        <v>255</v>
      </c>
      <c r="L5124" s="20">
        <v>10930000</v>
      </c>
      <c r="M5124" s="20" t="s">
        <v>242</v>
      </c>
      <c r="N5124" s="20" t="s">
        <v>3088</v>
      </c>
    </row>
    <row r="5125" spans="1:14" hidden="1" x14ac:dyDescent="0.25">
      <c r="A5125" s="19">
        <v>46054</v>
      </c>
      <c r="B5125" s="20" t="s">
        <v>97</v>
      </c>
      <c r="C5125" s="20">
        <v>32</v>
      </c>
      <c r="D5125" s="20" t="s">
        <v>253</v>
      </c>
      <c r="E5125" s="20" t="s">
        <v>2359</v>
      </c>
      <c r="F5125" s="20" t="s">
        <v>240</v>
      </c>
      <c r="G5125" s="20" t="s">
        <v>82</v>
      </c>
      <c r="H5125" s="20"/>
      <c r="I5125" s="20"/>
      <c r="J5125" s="20" t="s">
        <v>205</v>
      </c>
      <c r="K5125" s="20" t="s">
        <v>255</v>
      </c>
      <c r="L5125" s="20">
        <v>11830000</v>
      </c>
      <c r="M5125" s="20" t="s">
        <v>242</v>
      </c>
      <c r="N5125" s="20" t="s">
        <v>3235</v>
      </c>
    </row>
    <row r="5126" spans="1:14" hidden="1" x14ac:dyDescent="0.25">
      <c r="A5126" s="19">
        <v>46054</v>
      </c>
      <c r="B5126" s="20" t="s">
        <v>97</v>
      </c>
      <c r="C5126" s="20">
        <v>32</v>
      </c>
      <c r="D5126" s="20" t="s">
        <v>253</v>
      </c>
      <c r="E5126" s="20" t="s">
        <v>2359</v>
      </c>
      <c r="F5126" s="20" t="s">
        <v>240</v>
      </c>
      <c r="G5126" s="20" t="s">
        <v>82</v>
      </c>
      <c r="H5126" s="20"/>
      <c r="I5126" s="20"/>
      <c r="J5126" s="20" t="s">
        <v>206</v>
      </c>
      <c r="K5126" s="20" t="s">
        <v>255</v>
      </c>
      <c r="L5126" s="20">
        <v>10840000</v>
      </c>
      <c r="M5126" s="20" t="s">
        <v>242</v>
      </c>
      <c r="N5126" s="20" t="s">
        <v>3381</v>
      </c>
    </row>
    <row r="5127" spans="1:14" hidden="1" x14ac:dyDescent="0.25">
      <c r="A5127" s="19">
        <v>46054</v>
      </c>
      <c r="B5127" s="20" t="s">
        <v>97</v>
      </c>
      <c r="C5127" s="20">
        <v>32</v>
      </c>
      <c r="D5127" s="20" t="s">
        <v>247</v>
      </c>
      <c r="E5127" s="20" t="s">
        <v>2554</v>
      </c>
      <c r="F5127" s="20" t="s">
        <v>2559</v>
      </c>
      <c r="G5127" s="20" t="s">
        <v>82</v>
      </c>
      <c r="H5127" s="20" t="s">
        <v>249</v>
      </c>
      <c r="I5127" s="20"/>
      <c r="J5127" s="20" t="s">
        <v>206</v>
      </c>
      <c r="K5127" s="20" t="s">
        <v>250</v>
      </c>
      <c r="L5127" s="20">
        <v>8.4</v>
      </c>
      <c r="M5127" s="20" t="s">
        <v>251</v>
      </c>
      <c r="N5127" s="20" t="s">
        <v>1120</v>
      </c>
    </row>
    <row r="5128" spans="1:14" hidden="1" x14ac:dyDescent="0.25">
      <c r="A5128" s="19">
        <v>46054</v>
      </c>
      <c r="B5128" s="20" t="s">
        <v>97</v>
      </c>
      <c r="C5128" s="20">
        <v>33</v>
      </c>
      <c r="D5128" s="20" t="s">
        <v>291</v>
      </c>
      <c r="E5128" s="20" t="s">
        <v>2361</v>
      </c>
      <c r="F5128" s="20" t="s">
        <v>240</v>
      </c>
      <c r="G5128" s="20" t="s">
        <v>82</v>
      </c>
      <c r="H5128" s="20" t="s">
        <v>83</v>
      </c>
      <c r="I5128" s="20"/>
      <c r="J5128" s="20" t="s">
        <v>206</v>
      </c>
      <c r="K5128" s="20" t="s">
        <v>250</v>
      </c>
      <c r="L5128" s="20">
        <v>9160000</v>
      </c>
      <c r="M5128" s="20" t="s">
        <v>242</v>
      </c>
      <c r="N5128" s="20" t="s">
        <v>2099</v>
      </c>
    </row>
    <row r="5129" spans="1:14" hidden="1" x14ac:dyDescent="0.25">
      <c r="A5129" s="19">
        <v>46054</v>
      </c>
      <c r="B5129" s="20" t="s">
        <v>97</v>
      </c>
      <c r="C5129" s="20">
        <v>33</v>
      </c>
      <c r="D5129" s="20" t="s">
        <v>291</v>
      </c>
      <c r="E5129" s="20" t="s">
        <v>2361</v>
      </c>
      <c r="F5129" s="20" t="s">
        <v>240</v>
      </c>
      <c r="G5129" s="20" t="s">
        <v>82</v>
      </c>
      <c r="H5129" s="20" t="s">
        <v>84</v>
      </c>
      <c r="I5129" s="20"/>
      <c r="J5129" s="20" t="s">
        <v>206</v>
      </c>
      <c r="K5129" s="20" t="s">
        <v>250</v>
      </c>
      <c r="L5129" s="20">
        <v>1590000</v>
      </c>
      <c r="M5129" s="20" t="s">
        <v>242</v>
      </c>
      <c r="N5129" s="20" t="s">
        <v>914</v>
      </c>
    </row>
    <row r="5130" spans="1:14" hidden="1" x14ac:dyDescent="0.25">
      <c r="A5130" s="19">
        <v>46054</v>
      </c>
      <c r="B5130" s="20" t="s">
        <v>97</v>
      </c>
      <c r="C5130" s="20">
        <v>33</v>
      </c>
      <c r="D5130" s="20" t="s">
        <v>291</v>
      </c>
      <c r="E5130" s="20" t="s">
        <v>2361</v>
      </c>
      <c r="F5130" s="20" t="s">
        <v>240</v>
      </c>
      <c r="G5130" s="20" t="s">
        <v>82</v>
      </c>
      <c r="H5130" s="20" t="s">
        <v>106</v>
      </c>
      <c r="I5130" s="20"/>
      <c r="J5130" s="20" t="s">
        <v>206</v>
      </c>
      <c r="K5130" s="20" t="s">
        <v>250</v>
      </c>
      <c r="L5130" s="20">
        <v>69090</v>
      </c>
      <c r="M5130" s="20" t="s">
        <v>242</v>
      </c>
      <c r="N5130" s="20" t="s">
        <v>3382</v>
      </c>
    </row>
    <row r="5131" spans="1:14" hidden="1" x14ac:dyDescent="0.25">
      <c r="A5131" s="19">
        <v>46054</v>
      </c>
      <c r="B5131" s="20" t="s">
        <v>97</v>
      </c>
      <c r="C5131" s="20">
        <v>33</v>
      </c>
      <c r="D5131" s="20" t="s">
        <v>291</v>
      </c>
      <c r="E5131" s="20" t="s">
        <v>2361</v>
      </c>
      <c r="F5131" s="20" t="s">
        <v>240</v>
      </c>
      <c r="G5131" s="20" t="s">
        <v>82</v>
      </c>
      <c r="H5131" s="20" t="s">
        <v>105</v>
      </c>
      <c r="I5131" s="20"/>
      <c r="J5131" s="20" t="s">
        <v>206</v>
      </c>
      <c r="K5131" s="20" t="s">
        <v>250</v>
      </c>
      <c r="L5131" s="20">
        <v>19730</v>
      </c>
      <c r="M5131" s="20" t="s">
        <v>242</v>
      </c>
      <c r="N5131" s="20" t="s">
        <v>3383</v>
      </c>
    </row>
    <row r="5132" spans="1:14" hidden="1" x14ac:dyDescent="0.25">
      <c r="A5132" s="19">
        <v>46054</v>
      </c>
      <c r="B5132" s="20" t="s">
        <v>97</v>
      </c>
      <c r="C5132" s="20">
        <v>34</v>
      </c>
      <c r="D5132" s="20" t="s">
        <v>291</v>
      </c>
      <c r="E5132" s="20" t="s">
        <v>2361</v>
      </c>
      <c r="F5132" s="20" t="s">
        <v>240</v>
      </c>
      <c r="G5132" s="20" t="s">
        <v>82</v>
      </c>
      <c r="H5132" s="20" t="s">
        <v>83</v>
      </c>
      <c r="I5132" s="20" t="s">
        <v>315</v>
      </c>
      <c r="J5132" s="20" t="s">
        <v>206</v>
      </c>
      <c r="K5132" s="20" t="s">
        <v>250</v>
      </c>
      <c r="L5132" s="20"/>
      <c r="M5132" s="20" t="s">
        <v>251</v>
      </c>
      <c r="N5132" s="20" t="s">
        <v>3384</v>
      </c>
    </row>
    <row r="5133" spans="1:14" hidden="1" x14ac:dyDescent="0.25">
      <c r="A5133" s="19">
        <v>46054</v>
      </c>
      <c r="B5133" s="20" t="s">
        <v>97</v>
      </c>
      <c r="C5133" s="20">
        <v>34</v>
      </c>
      <c r="D5133" s="20" t="s">
        <v>291</v>
      </c>
      <c r="E5133" s="20" t="s">
        <v>2361</v>
      </c>
      <c r="F5133" s="20" t="s">
        <v>240</v>
      </c>
      <c r="G5133" s="20" t="s">
        <v>82</v>
      </c>
      <c r="H5133" s="20" t="s">
        <v>83</v>
      </c>
      <c r="I5133" s="20" t="s">
        <v>317</v>
      </c>
      <c r="J5133" s="20" t="s">
        <v>206</v>
      </c>
      <c r="K5133" s="20" t="s">
        <v>250</v>
      </c>
      <c r="L5133" s="20"/>
      <c r="M5133" s="20" t="s">
        <v>251</v>
      </c>
      <c r="N5133" s="20" t="s">
        <v>3385</v>
      </c>
    </row>
    <row r="5134" spans="1:14" hidden="1" x14ac:dyDescent="0.25">
      <c r="A5134" s="19">
        <v>46054</v>
      </c>
      <c r="B5134" s="20" t="s">
        <v>97</v>
      </c>
      <c r="C5134" s="20">
        <v>34</v>
      </c>
      <c r="D5134" s="20" t="s">
        <v>291</v>
      </c>
      <c r="E5134" s="20" t="s">
        <v>2361</v>
      </c>
      <c r="F5134" s="20" t="s">
        <v>240</v>
      </c>
      <c r="G5134" s="20" t="s">
        <v>82</v>
      </c>
      <c r="H5134" s="20" t="s">
        <v>83</v>
      </c>
      <c r="I5134" s="20" t="s">
        <v>2785</v>
      </c>
      <c r="J5134" s="20" t="s">
        <v>206</v>
      </c>
      <c r="K5134" s="20" t="s">
        <v>250</v>
      </c>
      <c r="L5134" s="20"/>
      <c r="M5134" s="20" t="s">
        <v>251</v>
      </c>
      <c r="N5134" s="20" t="s">
        <v>3386</v>
      </c>
    </row>
    <row r="5135" spans="1:14" hidden="1" x14ac:dyDescent="0.25">
      <c r="A5135" s="19">
        <v>46054</v>
      </c>
      <c r="B5135" s="20" t="s">
        <v>97</v>
      </c>
      <c r="C5135" s="20">
        <v>34</v>
      </c>
      <c r="D5135" s="20" t="s">
        <v>291</v>
      </c>
      <c r="E5135" s="20" t="s">
        <v>2361</v>
      </c>
      <c r="F5135" s="20" t="s">
        <v>240</v>
      </c>
      <c r="G5135" s="20" t="s">
        <v>82</v>
      </c>
      <c r="H5135" s="20" t="s">
        <v>83</v>
      </c>
      <c r="I5135" s="20" t="s">
        <v>497</v>
      </c>
      <c r="J5135" s="20" t="s">
        <v>206</v>
      </c>
      <c r="K5135" s="20" t="s">
        <v>250</v>
      </c>
      <c r="L5135" s="20"/>
      <c r="M5135" s="20" t="s">
        <v>251</v>
      </c>
      <c r="N5135" s="20" t="s">
        <v>517</v>
      </c>
    </row>
    <row r="5136" spans="1:14" hidden="1" x14ac:dyDescent="0.25">
      <c r="A5136" s="19">
        <v>46054</v>
      </c>
      <c r="B5136" s="20" t="s">
        <v>97</v>
      </c>
      <c r="C5136" s="20">
        <v>34</v>
      </c>
      <c r="D5136" s="20" t="s">
        <v>291</v>
      </c>
      <c r="E5136" s="20" t="s">
        <v>2361</v>
      </c>
      <c r="F5136" s="20" t="s">
        <v>240</v>
      </c>
      <c r="G5136" s="20" t="s">
        <v>82</v>
      </c>
      <c r="H5136" s="20" t="s">
        <v>83</v>
      </c>
      <c r="I5136" s="20" t="s">
        <v>503</v>
      </c>
      <c r="J5136" s="20" t="s">
        <v>206</v>
      </c>
      <c r="K5136" s="20" t="s">
        <v>250</v>
      </c>
      <c r="L5136" s="20"/>
      <c r="M5136" s="20" t="s">
        <v>251</v>
      </c>
      <c r="N5136" s="20" t="s">
        <v>2157</v>
      </c>
    </row>
    <row r="5137" spans="1:14" hidden="1" x14ac:dyDescent="0.25">
      <c r="A5137" s="19">
        <v>46054</v>
      </c>
      <c r="B5137" s="20" t="s">
        <v>97</v>
      </c>
      <c r="C5137" s="20">
        <v>34</v>
      </c>
      <c r="D5137" s="20" t="s">
        <v>291</v>
      </c>
      <c r="E5137" s="20" t="s">
        <v>2361</v>
      </c>
      <c r="F5137" s="20" t="s">
        <v>240</v>
      </c>
      <c r="G5137" s="20" t="s">
        <v>82</v>
      </c>
      <c r="H5137" s="20" t="s">
        <v>83</v>
      </c>
      <c r="I5137" s="20" t="s">
        <v>2413</v>
      </c>
      <c r="J5137" s="20" t="s">
        <v>206</v>
      </c>
      <c r="K5137" s="20" t="s">
        <v>250</v>
      </c>
      <c r="L5137" s="20"/>
      <c r="M5137" s="20" t="s">
        <v>251</v>
      </c>
      <c r="N5137" s="20" t="s">
        <v>2940</v>
      </c>
    </row>
    <row r="5138" spans="1:14" hidden="1" x14ac:dyDescent="0.25">
      <c r="A5138" s="19">
        <v>46054</v>
      </c>
      <c r="B5138" s="20" t="s">
        <v>97</v>
      </c>
      <c r="C5138" s="20">
        <v>34</v>
      </c>
      <c r="D5138" s="20" t="s">
        <v>291</v>
      </c>
      <c r="E5138" s="20" t="s">
        <v>2361</v>
      </c>
      <c r="F5138" s="20" t="s">
        <v>240</v>
      </c>
      <c r="G5138" s="20" t="s">
        <v>82</v>
      </c>
      <c r="H5138" s="20" t="s">
        <v>83</v>
      </c>
      <c r="I5138" s="20" t="s">
        <v>2414</v>
      </c>
      <c r="J5138" s="20" t="s">
        <v>206</v>
      </c>
      <c r="K5138" s="20" t="s">
        <v>250</v>
      </c>
      <c r="L5138" s="20"/>
      <c r="M5138" s="20" t="s">
        <v>251</v>
      </c>
      <c r="N5138" s="20" t="s">
        <v>603</v>
      </c>
    </row>
    <row r="5139" spans="1:14" hidden="1" x14ac:dyDescent="0.25">
      <c r="A5139" s="19">
        <v>46054</v>
      </c>
      <c r="B5139" s="20" t="s">
        <v>97</v>
      </c>
      <c r="C5139" s="20">
        <v>34</v>
      </c>
      <c r="D5139" s="20" t="s">
        <v>291</v>
      </c>
      <c r="E5139" s="20" t="s">
        <v>2361</v>
      </c>
      <c r="F5139" s="20" t="s">
        <v>240</v>
      </c>
      <c r="G5139" s="20" t="s">
        <v>82</v>
      </c>
      <c r="H5139" s="20" t="s">
        <v>84</v>
      </c>
      <c r="I5139" s="20" t="s">
        <v>319</v>
      </c>
      <c r="J5139" s="20" t="s">
        <v>206</v>
      </c>
      <c r="K5139" s="20" t="s">
        <v>250</v>
      </c>
      <c r="L5139" s="20"/>
      <c r="M5139" s="20" t="s">
        <v>251</v>
      </c>
      <c r="N5139" s="20" t="s">
        <v>3387</v>
      </c>
    </row>
    <row r="5140" spans="1:14" hidden="1" x14ac:dyDescent="0.25">
      <c r="A5140" s="19">
        <v>46054</v>
      </c>
      <c r="B5140" s="20" t="s">
        <v>97</v>
      </c>
      <c r="C5140" s="20">
        <v>34</v>
      </c>
      <c r="D5140" s="20" t="s">
        <v>291</v>
      </c>
      <c r="E5140" s="20" t="s">
        <v>2361</v>
      </c>
      <c r="F5140" s="20" t="s">
        <v>240</v>
      </c>
      <c r="G5140" s="20" t="s">
        <v>82</v>
      </c>
      <c r="H5140" s="20" t="s">
        <v>84</v>
      </c>
      <c r="I5140" s="20" t="s">
        <v>321</v>
      </c>
      <c r="J5140" s="20" t="s">
        <v>206</v>
      </c>
      <c r="K5140" s="20" t="s">
        <v>250</v>
      </c>
      <c r="L5140" s="20"/>
      <c r="M5140" s="20" t="s">
        <v>251</v>
      </c>
      <c r="N5140" s="20" t="s">
        <v>3388</v>
      </c>
    </row>
    <row r="5141" spans="1:14" hidden="1" x14ac:dyDescent="0.25">
      <c r="A5141" s="19">
        <v>46054</v>
      </c>
      <c r="B5141" s="20" t="s">
        <v>97</v>
      </c>
      <c r="C5141" s="20">
        <v>34</v>
      </c>
      <c r="D5141" s="20" t="s">
        <v>291</v>
      </c>
      <c r="E5141" s="20" t="s">
        <v>2361</v>
      </c>
      <c r="F5141" s="20" t="s">
        <v>240</v>
      </c>
      <c r="G5141" s="20" t="s">
        <v>82</v>
      </c>
      <c r="H5141" s="20" t="s">
        <v>106</v>
      </c>
      <c r="I5141" s="20" t="s">
        <v>493</v>
      </c>
      <c r="J5141" s="20" t="s">
        <v>206</v>
      </c>
      <c r="K5141" s="20" t="s">
        <v>250</v>
      </c>
      <c r="L5141" s="20"/>
      <c r="M5141" s="20" t="s">
        <v>251</v>
      </c>
      <c r="N5141" s="20" t="s">
        <v>3389</v>
      </c>
    </row>
    <row r="5142" spans="1:14" hidden="1" x14ac:dyDescent="0.25">
      <c r="A5142" s="19">
        <v>46054</v>
      </c>
      <c r="B5142" s="20" t="s">
        <v>97</v>
      </c>
      <c r="C5142" s="20">
        <v>34</v>
      </c>
      <c r="D5142" s="20" t="s">
        <v>291</v>
      </c>
      <c r="E5142" s="20" t="s">
        <v>2361</v>
      </c>
      <c r="F5142" s="20" t="s">
        <v>240</v>
      </c>
      <c r="G5142" s="20" t="s">
        <v>82</v>
      </c>
      <c r="H5142" s="20" t="s">
        <v>106</v>
      </c>
      <c r="I5142" s="20" t="s">
        <v>491</v>
      </c>
      <c r="J5142" s="20" t="s">
        <v>206</v>
      </c>
      <c r="K5142" s="20" t="s">
        <v>250</v>
      </c>
      <c r="L5142" s="20"/>
      <c r="M5142" s="20" t="s">
        <v>251</v>
      </c>
      <c r="N5142" s="20" t="s">
        <v>3390</v>
      </c>
    </row>
    <row r="5143" spans="1:14" hidden="1" x14ac:dyDescent="0.25">
      <c r="A5143" s="19">
        <v>46054</v>
      </c>
      <c r="B5143" s="20" t="s">
        <v>97</v>
      </c>
      <c r="C5143" s="20">
        <v>34</v>
      </c>
      <c r="D5143" s="20" t="s">
        <v>291</v>
      </c>
      <c r="E5143" s="20" t="s">
        <v>2361</v>
      </c>
      <c r="F5143" s="20" t="s">
        <v>240</v>
      </c>
      <c r="G5143" s="20" t="s">
        <v>82</v>
      </c>
      <c r="H5143" s="20" t="s">
        <v>105</v>
      </c>
      <c r="I5143" s="20" t="s">
        <v>493</v>
      </c>
      <c r="J5143" s="20" t="s">
        <v>206</v>
      </c>
      <c r="K5143" s="20" t="s">
        <v>250</v>
      </c>
      <c r="L5143" s="20"/>
      <c r="M5143" s="20" t="s">
        <v>251</v>
      </c>
      <c r="N5143" s="20" t="s">
        <v>3391</v>
      </c>
    </row>
    <row r="5144" spans="1:14" hidden="1" x14ac:dyDescent="0.25">
      <c r="A5144" s="19">
        <v>46054</v>
      </c>
      <c r="B5144" s="20" t="s">
        <v>97</v>
      </c>
      <c r="C5144" s="20">
        <v>34</v>
      </c>
      <c r="D5144" s="20" t="s">
        <v>291</v>
      </c>
      <c r="E5144" s="20" t="s">
        <v>2361</v>
      </c>
      <c r="F5144" s="20" t="s">
        <v>240</v>
      </c>
      <c r="G5144" s="20" t="s">
        <v>82</v>
      </c>
      <c r="H5144" s="20" t="s">
        <v>105</v>
      </c>
      <c r="I5144" s="20" t="s">
        <v>491</v>
      </c>
      <c r="J5144" s="20" t="s">
        <v>206</v>
      </c>
      <c r="K5144" s="20" t="s">
        <v>250</v>
      </c>
      <c r="L5144" s="20"/>
      <c r="M5144" s="20" t="s">
        <v>251</v>
      </c>
      <c r="N5144" s="20" t="s">
        <v>3392</v>
      </c>
    </row>
    <row r="5145" spans="1:14" hidden="1" x14ac:dyDescent="0.25">
      <c r="A5145" s="19">
        <v>46054</v>
      </c>
      <c r="B5145" s="20" t="s">
        <v>97</v>
      </c>
      <c r="C5145" s="20">
        <v>35</v>
      </c>
      <c r="D5145" s="20" t="s">
        <v>253</v>
      </c>
      <c r="E5145" s="20" t="s">
        <v>2359</v>
      </c>
      <c r="F5145" s="20" t="s">
        <v>244</v>
      </c>
      <c r="G5145" s="20" t="s">
        <v>82</v>
      </c>
      <c r="H5145" s="20"/>
      <c r="I5145" s="20"/>
      <c r="J5145" s="20" t="s">
        <v>204</v>
      </c>
      <c r="K5145" s="20" t="s">
        <v>255</v>
      </c>
      <c r="L5145" s="20">
        <v>566000000</v>
      </c>
      <c r="M5145" s="20" t="s">
        <v>245</v>
      </c>
      <c r="N5145" s="20" t="s">
        <v>3098</v>
      </c>
    </row>
    <row r="5146" spans="1:14" hidden="1" x14ac:dyDescent="0.25">
      <c r="A5146" s="19">
        <v>46054</v>
      </c>
      <c r="B5146" s="20" t="s">
        <v>97</v>
      </c>
      <c r="C5146" s="20">
        <v>35</v>
      </c>
      <c r="D5146" s="20" t="s">
        <v>253</v>
      </c>
      <c r="E5146" s="20" t="s">
        <v>2359</v>
      </c>
      <c r="F5146" s="20" t="s">
        <v>244</v>
      </c>
      <c r="G5146" s="20" t="s">
        <v>82</v>
      </c>
      <c r="H5146" s="20"/>
      <c r="I5146" s="20"/>
      <c r="J5146" s="20" t="s">
        <v>205</v>
      </c>
      <c r="K5146" s="20" t="s">
        <v>255</v>
      </c>
      <c r="L5146" s="20">
        <v>584000000</v>
      </c>
      <c r="M5146" s="20" t="s">
        <v>245</v>
      </c>
      <c r="N5146" s="20" t="s">
        <v>3249</v>
      </c>
    </row>
    <row r="5147" spans="1:14" hidden="1" x14ac:dyDescent="0.25">
      <c r="A5147" s="19">
        <v>46054</v>
      </c>
      <c r="B5147" s="20" t="s">
        <v>97</v>
      </c>
      <c r="C5147" s="20">
        <v>35</v>
      </c>
      <c r="D5147" s="20" t="s">
        <v>253</v>
      </c>
      <c r="E5147" s="20" t="s">
        <v>2359</v>
      </c>
      <c r="F5147" s="20" t="s">
        <v>244</v>
      </c>
      <c r="G5147" s="20" t="s">
        <v>82</v>
      </c>
      <c r="H5147" s="20"/>
      <c r="I5147" s="20"/>
      <c r="J5147" s="20" t="s">
        <v>206</v>
      </c>
      <c r="K5147" s="20" t="s">
        <v>255</v>
      </c>
      <c r="L5147" s="20">
        <v>553000000</v>
      </c>
      <c r="M5147" s="20" t="s">
        <v>245</v>
      </c>
      <c r="N5147" s="20" t="s">
        <v>3393</v>
      </c>
    </row>
    <row r="5148" spans="1:14" hidden="1" x14ac:dyDescent="0.25">
      <c r="A5148" s="19">
        <v>46054</v>
      </c>
      <c r="B5148" s="20" t="s">
        <v>97</v>
      </c>
      <c r="C5148" s="20">
        <v>35</v>
      </c>
      <c r="D5148" s="20" t="s">
        <v>247</v>
      </c>
      <c r="E5148" s="20" t="s">
        <v>2554</v>
      </c>
      <c r="F5148" s="20" t="s">
        <v>2558</v>
      </c>
      <c r="G5148" s="20" t="s">
        <v>82</v>
      </c>
      <c r="H5148" s="20" t="s">
        <v>249</v>
      </c>
      <c r="I5148" s="20"/>
      <c r="J5148" s="20" t="s">
        <v>206</v>
      </c>
      <c r="K5148" s="20" t="s">
        <v>250</v>
      </c>
      <c r="L5148" s="20">
        <v>5.3</v>
      </c>
      <c r="M5148" s="20" t="s">
        <v>251</v>
      </c>
      <c r="N5148" s="20" t="s">
        <v>329</v>
      </c>
    </row>
    <row r="5149" spans="1:14" hidden="1" x14ac:dyDescent="0.25">
      <c r="A5149" s="19">
        <v>46054</v>
      </c>
      <c r="B5149" s="20" t="s">
        <v>97</v>
      </c>
      <c r="C5149" s="20">
        <v>36</v>
      </c>
      <c r="D5149" s="20" t="s">
        <v>291</v>
      </c>
      <c r="E5149" s="20" t="s">
        <v>2361</v>
      </c>
      <c r="F5149" s="20" t="s">
        <v>244</v>
      </c>
      <c r="G5149" s="20" t="s">
        <v>82</v>
      </c>
      <c r="H5149" s="20" t="s">
        <v>83</v>
      </c>
      <c r="I5149" s="20"/>
      <c r="J5149" s="20" t="s">
        <v>206</v>
      </c>
      <c r="K5149" s="20" t="s">
        <v>250</v>
      </c>
      <c r="L5149" s="20">
        <v>437180000</v>
      </c>
      <c r="M5149" s="20" t="s">
        <v>245</v>
      </c>
      <c r="N5149" s="20" t="s">
        <v>3394</v>
      </c>
    </row>
    <row r="5150" spans="1:14" hidden="1" x14ac:dyDescent="0.25">
      <c r="A5150" s="19">
        <v>46054</v>
      </c>
      <c r="B5150" s="20" t="s">
        <v>97</v>
      </c>
      <c r="C5150" s="20">
        <v>36</v>
      </c>
      <c r="D5150" s="20" t="s">
        <v>291</v>
      </c>
      <c r="E5150" s="20" t="s">
        <v>2361</v>
      </c>
      <c r="F5150" s="20" t="s">
        <v>244</v>
      </c>
      <c r="G5150" s="20" t="s">
        <v>82</v>
      </c>
      <c r="H5150" s="20" t="s">
        <v>84</v>
      </c>
      <c r="I5150" s="20"/>
      <c r="J5150" s="20" t="s">
        <v>206</v>
      </c>
      <c r="K5150" s="20" t="s">
        <v>250</v>
      </c>
      <c r="L5150" s="20">
        <v>103030000</v>
      </c>
      <c r="M5150" s="20" t="s">
        <v>245</v>
      </c>
      <c r="N5150" s="20" t="s">
        <v>3395</v>
      </c>
    </row>
    <row r="5151" spans="1:14" hidden="1" x14ac:dyDescent="0.25">
      <c r="A5151" s="19">
        <v>46054</v>
      </c>
      <c r="B5151" s="20" t="s">
        <v>97</v>
      </c>
      <c r="C5151" s="20">
        <v>36</v>
      </c>
      <c r="D5151" s="20" t="s">
        <v>291</v>
      </c>
      <c r="E5151" s="20" t="s">
        <v>2361</v>
      </c>
      <c r="F5151" s="20" t="s">
        <v>244</v>
      </c>
      <c r="G5151" s="20" t="s">
        <v>82</v>
      </c>
      <c r="H5151" s="20" t="s">
        <v>106</v>
      </c>
      <c r="I5151" s="20"/>
      <c r="J5151" s="20" t="s">
        <v>206</v>
      </c>
      <c r="K5151" s="20" t="s">
        <v>250</v>
      </c>
      <c r="L5151" s="20">
        <v>9710000</v>
      </c>
      <c r="M5151" s="20" t="s">
        <v>245</v>
      </c>
      <c r="N5151" s="20" t="s">
        <v>3396</v>
      </c>
    </row>
    <row r="5152" spans="1:14" hidden="1" x14ac:dyDescent="0.25">
      <c r="A5152" s="19">
        <v>46054</v>
      </c>
      <c r="B5152" s="20" t="s">
        <v>97</v>
      </c>
      <c r="C5152" s="20">
        <v>36</v>
      </c>
      <c r="D5152" s="20" t="s">
        <v>291</v>
      </c>
      <c r="E5152" s="20" t="s">
        <v>2361</v>
      </c>
      <c r="F5152" s="20" t="s">
        <v>244</v>
      </c>
      <c r="G5152" s="20" t="s">
        <v>82</v>
      </c>
      <c r="H5152" s="20" t="s">
        <v>105</v>
      </c>
      <c r="I5152" s="20"/>
      <c r="J5152" s="20" t="s">
        <v>206</v>
      </c>
      <c r="K5152" s="20" t="s">
        <v>250</v>
      </c>
      <c r="L5152" s="20">
        <v>3480000</v>
      </c>
      <c r="M5152" s="20" t="s">
        <v>245</v>
      </c>
      <c r="N5152" s="20" t="s">
        <v>3397</v>
      </c>
    </row>
    <row r="5153" spans="1:14" hidden="1" x14ac:dyDescent="0.25">
      <c r="A5153" s="19">
        <v>46054</v>
      </c>
      <c r="B5153" s="20" t="s">
        <v>97</v>
      </c>
      <c r="C5153" s="20">
        <v>37</v>
      </c>
      <c r="D5153" s="20" t="s">
        <v>291</v>
      </c>
      <c r="E5153" s="20" t="s">
        <v>2361</v>
      </c>
      <c r="F5153" s="20" t="s">
        <v>244</v>
      </c>
      <c r="G5153" s="20" t="s">
        <v>82</v>
      </c>
      <c r="H5153" s="20" t="s">
        <v>83</v>
      </c>
      <c r="I5153" s="20" t="s">
        <v>315</v>
      </c>
      <c r="J5153" s="20" t="s">
        <v>206</v>
      </c>
      <c r="K5153" s="20" t="s">
        <v>250</v>
      </c>
      <c r="L5153" s="20"/>
      <c r="M5153" s="20" t="s">
        <v>251</v>
      </c>
      <c r="N5153" s="20" t="s">
        <v>3398</v>
      </c>
    </row>
    <row r="5154" spans="1:14" hidden="1" x14ac:dyDescent="0.25">
      <c r="A5154" s="19">
        <v>46054</v>
      </c>
      <c r="B5154" s="20" t="s">
        <v>97</v>
      </c>
      <c r="C5154" s="20">
        <v>37</v>
      </c>
      <c r="D5154" s="20" t="s">
        <v>291</v>
      </c>
      <c r="E5154" s="20" t="s">
        <v>2361</v>
      </c>
      <c r="F5154" s="20" t="s">
        <v>244</v>
      </c>
      <c r="G5154" s="20" t="s">
        <v>82</v>
      </c>
      <c r="H5154" s="20" t="s">
        <v>83</v>
      </c>
      <c r="I5154" s="20" t="s">
        <v>317</v>
      </c>
      <c r="J5154" s="20" t="s">
        <v>206</v>
      </c>
      <c r="K5154" s="20" t="s">
        <v>250</v>
      </c>
      <c r="L5154" s="20"/>
      <c r="M5154" s="20" t="s">
        <v>251</v>
      </c>
      <c r="N5154" s="20" t="s">
        <v>3399</v>
      </c>
    </row>
    <row r="5155" spans="1:14" hidden="1" x14ac:dyDescent="0.25">
      <c r="A5155" s="19">
        <v>46054</v>
      </c>
      <c r="B5155" s="20" t="s">
        <v>97</v>
      </c>
      <c r="C5155" s="20">
        <v>37</v>
      </c>
      <c r="D5155" s="20" t="s">
        <v>291</v>
      </c>
      <c r="E5155" s="20" t="s">
        <v>2361</v>
      </c>
      <c r="F5155" s="20" t="s">
        <v>244</v>
      </c>
      <c r="G5155" s="20" t="s">
        <v>82</v>
      </c>
      <c r="H5155" s="20" t="s">
        <v>83</v>
      </c>
      <c r="I5155" s="20" t="s">
        <v>2785</v>
      </c>
      <c r="J5155" s="20" t="s">
        <v>206</v>
      </c>
      <c r="K5155" s="20" t="s">
        <v>250</v>
      </c>
      <c r="L5155" s="20"/>
      <c r="M5155" s="20" t="s">
        <v>251</v>
      </c>
      <c r="N5155" s="20" t="s">
        <v>3400</v>
      </c>
    </row>
    <row r="5156" spans="1:14" hidden="1" x14ac:dyDescent="0.25">
      <c r="A5156" s="19">
        <v>46054</v>
      </c>
      <c r="B5156" s="20" t="s">
        <v>97</v>
      </c>
      <c r="C5156" s="20">
        <v>37</v>
      </c>
      <c r="D5156" s="20" t="s">
        <v>291</v>
      </c>
      <c r="E5156" s="20" t="s">
        <v>2361</v>
      </c>
      <c r="F5156" s="20" t="s">
        <v>244</v>
      </c>
      <c r="G5156" s="20" t="s">
        <v>82</v>
      </c>
      <c r="H5156" s="20" t="s">
        <v>83</v>
      </c>
      <c r="I5156" s="20" t="s">
        <v>497</v>
      </c>
      <c r="J5156" s="20" t="s">
        <v>206</v>
      </c>
      <c r="K5156" s="20" t="s">
        <v>250</v>
      </c>
      <c r="L5156" s="20"/>
      <c r="M5156" s="20" t="s">
        <v>251</v>
      </c>
      <c r="N5156" s="20" t="s">
        <v>3401</v>
      </c>
    </row>
    <row r="5157" spans="1:14" hidden="1" x14ac:dyDescent="0.25">
      <c r="A5157" s="19">
        <v>46054</v>
      </c>
      <c r="B5157" s="20" t="s">
        <v>97</v>
      </c>
      <c r="C5157" s="20">
        <v>37</v>
      </c>
      <c r="D5157" s="20" t="s">
        <v>291</v>
      </c>
      <c r="E5157" s="20" t="s">
        <v>2361</v>
      </c>
      <c r="F5157" s="20" t="s">
        <v>244</v>
      </c>
      <c r="G5157" s="20" t="s">
        <v>82</v>
      </c>
      <c r="H5157" s="20" t="s">
        <v>83</v>
      </c>
      <c r="I5157" s="20" t="s">
        <v>503</v>
      </c>
      <c r="J5157" s="20" t="s">
        <v>206</v>
      </c>
      <c r="K5157" s="20" t="s">
        <v>250</v>
      </c>
      <c r="L5157" s="20"/>
      <c r="M5157" s="20" t="s">
        <v>251</v>
      </c>
      <c r="N5157" s="20" t="s">
        <v>2623</v>
      </c>
    </row>
    <row r="5158" spans="1:14" hidden="1" x14ac:dyDescent="0.25">
      <c r="A5158" s="19">
        <v>46054</v>
      </c>
      <c r="B5158" s="20" t="s">
        <v>97</v>
      </c>
      <c r="C5158" s="20">
        <v>37</v>
      </c>
      <c r="D5158" s="20" t="s">
        <v>291</v>
      </c>
      <c r="E5158" s="20" t="s">
        <v>2361</v>
      </c>
      <c r="F5158" s="20" t="s">
        <v>244</v>
      </c>
      <c r="G5158" s="20" t="s">
        <v>82</v>
      </c>
      <c r="H5158" s="20" t="s">
        <v>83</v>
      </c>
      <c r="I5158" s="20" t="s">
        <v>2413</v>
      </c>
      <c r="J5158" s="20" t="s">
        <v>206</v>
      </c>
      <c r="K5158" s="20" t="s">
        <v>250</v>
      </c>
      <c r="L5158" s="20"/>
      <c r="M5158" s="20" t="s">
        <v>251</v>
      </c>
      <c r="N5158" s="20" t="s">
        <v>885</v>
      </c>
    </row>
    <row r="5159" spans="1:14" hidden="1" x14ac:dyDescent="0.25">
      <c r="A5159" s="19">
        <v>46054</v>
      </c>
      <c r="B5159" s="20" t="s">
        <v>97</v>
      </c>
      <c r="C5159" s="20">
        <v>37</v>
      </c>
      <c r="D5159" s="20" t="s">
        <v>291</v>
      </c>
      <c r="E5159" s="20" t="s">
        <v>2361</v>
      </c>
      <c r="F5159" s="20" t="s">
        <v>244</v>
      </c>
      <c r="G5159" s="20" t="s">
        <v>82</v>
      </c>
      <c r="H5159" s="20" t="s">
        <v>83</v>
      </c>
      <c r="I5159" s="20" t="s">
        <v>2414</v>
      </c>
      <c r="J5159" s="20" t="s">
        <v>206</v>
      </c>
      <c r="K5159" s="20" t="s">
        <v>250</v>
      </c>
      <c r="L5159" s="20"/>
      <c r="M5159" s="20" t="s">
        <v>251</v>
      </c>
      <c r="N5159" s="20" t="s">
        <v>2939</v>
      </c>
    </row>
    <row r="5160" spans="1:14" hidden="1" x14ac:dyDescent="0.25">
      <c r="A5160" s="19">
        <v>46054</v>
      </c>
      <c r="B5160" s="20" t="s">
        <v>97</v>
      </c>
      <c r="C5160" s="20">
        <v>37</v>
      </c>
      <c r="D5160" s="20" t="s">
        <v>291</v>
      </c>
      <c r="E5160" s="20" t="s">
        <v>2361</v>
      </c>
      <c r="F5160" s="20" t="s">
        <v>244</v>
      </c>
      <c r="G5160" s="20" t="s">
        <v>82</v>
      </c>
      <c r="H5160" s="20" t="s">
        <v>84</v>
      </c>
      <c r="I5160" s="20" t="s">
        <v>319</v>
      </c>
      <c r="J5160" s="20" t="s">
        <v>206</v>
      </c>
      <c r="K5160" s="20" t="s">
        <v>250</v>
      </c>
      <c r="L5160" s="20"/>
      <c r="M5160" s="20" t="s">
        <v>251</v>
      </c>
      <c r="N5160" s="20" t="s">
        <v>3402</v>
      </c>
    </row>
    <row r="5161" spans="1:14" hidden="1" x14ac:dyDescent="0.25">
      <c r="A5161" s="19">
        <v>46054</v>
      </c>
      <c r="B5161" s="20" t="s">
        <v>97</v>
      </c>
      <c r="C5161" s="20">
        <v>37</v>
      </c>
      <c r="D5161" s="20" t="s">
        <v>291</v>
      </c>
      <c r="E5161" s="20" t="s">
        <v>2361</v>
      </c>
      <c r="F5161" s="20" t="s">
        <v>244</v>
      </c>
      <c r="G5161" s="20" t="s">
        <v>82</v>
      </c>
      <c r="H5161" s="20" t="s">
        <v>84</v>
      </c>
      <c r="I5161" s="20" t="s">
        <v>321</v>
      </c>
      <c r="J5161" s="20" t="s">
        <v>206</v>
      </c>
      <c r="K5161" s="20" t="s">
        <v>250</v>
      </c>
      <c r="L5161" s="20"/>
      <c r="M5161" s="20" t="s">
        <v>251</v>
      </c>
      <c r="N5161" s="20" t="s">
        <v>3403</v>
      </c>
    </row>
    <row r="5162" spans="1:14" hidden="1" x14ac:dyDescent="0.25">
      <c r="A5162" s="19">
        <v>46054</v>
      </c>
      <c r="B5162" s="20" t="s">
        <v>97</v>
      </c>
      <c r="C5162" s="20">
        <v>37</v>
      </c>
      <c r="D5162" s="20" t="s">
        <v>291</v>
      </c>
      <c r="E5162" s="20" t="s">
        <v>2361</v>
      </c>
      <c r="F5162" s="20" t="s">
        <v>244</v>
      </c>
      <c r="G5162" s="20" t="s">
        <v>82</v>
      </c>
      <c r="H5162" s="20" t="s">
        <v>106</v>
      </c>
      <c r="I5162" s="20" t="s">
        <v>493</v>
      </c>
      <c r="J5162" s="20" t="s">
        <v>206</v>
      </c>
      <c r="K5162" s="20" t="s">
        <v>250</v>
      </c>
      <c r="L5162" s="20"/>
      <c r="M5162" s="20" t="s">
        <v>251</v>
      </c>
      <c r="N5162" s="20" t="s">
        <v>3404</v>
      </c>
    </row>
    <row r="5163" spans="1:14" hidden="1" x14ac:dyDescent="0.25">
      <c r="A5163" s="19">
        <v>46054</v>
      </c>
      <c r="B5163" s="20" t="s">
        <v>97</v>
      </c>
      <c r="C5163" s="20">
        <v>37</v>
      </c>
      <c r="D5163" s="20" t="s">
        <v>291</v>
      </c>
      <c r="E5163" s="20" t="s">
        <v>2361</v>
      </c>
      <c r="F5163" s="20" t="s">
        <v>244</v>
      </c>
      <c r="G5163" s="20" t="s">
        <v>82</v>
      </c>
      <c r="H5163" s="20" t="s">
        <v>106</v>
      </c>
      <c r="I5163" s="20" t="s">
        <v>491</v>
      </c>
      <c r="J5163" s="20" t="s">
        <v>206</v>
      </c>
      <c r="K5163" s="20" t="s">
        <v>250</v>
      </c>
      <c r="L5163" s="20"/>
      <c r="M5163" s="20" t="s">
        <v>251</v>
      </c>
      <c r="N5163" s="20" t="s">
        <v>3405</v>
      </c>
    </row>
    <row r="5164" spans="1:14" hidden="1" x14ac:dyDescent="0.25">
      <c r="A5164" s="19">
        <v>46054</v>
      </c>
      <c r="B5164" s="20" t="s">
        <v>97</v>
      </c>
      <c r="C5164" s="20">
        <v>37</v>
      </c>
      <c r="D5164" s="20" t="s">
        <v>291</v>
      </c>
      <c r="E5164" s="20" t="s">
        <v>2361</v>
      </c>
      <c r="F5164" s="20" t="s">
        <v>244</v>
      </c>
      <c r="G5164" s="20" t="s">
        <v>82</v>
      </c>
      <c r="H5164" s="20" t="s">
        <v>105</v>
      </c>
      <c r="I5164" s="20" t="s">
        <v>493</v>
      </c>
      <c r="J5164" s="20" t="s">
        <v>206</v>
      </c>
      <c r="K5164" s="20" t="s">
        <v>250</v>
      </c>
      <c r="L5164" s="20"/>
      <c r="M5164" s="20" t="s">
        <v>251</v>
      </c>
      <c r="N5164" s="20" t="s">
        <v>3406</v>
      </c>
    </row>
    <row r="5165" spans="1:14" hidden="1" x14ac:dyDescent="0.25">
      <c r="A5165" s="19">
        <v>46054</v>
      </c>
      <c r="B5165" s="20" t="s">
        <v>97</v>
      </c>
      <c r="C5165" s="20">
        <v>37</v>
      </c>
      <c r="D5165" s="20" t="s">
        <v>291</v>
      </c>
      <c r="E5165" s="20" t="s">
        <v>2361</v>
      </c>
      <c r="F5165" s="20" t="s">
        <v>244</v>
      </c>
      <c r="G5165" s="20" t="s">
        <v>82</v>
      </c>
      <c r="H5165" s="20" t="s">
        <v>105</v>
      </c>
      <c r="I5165" s="20" t="s">
        <v>491</v>
      </c>
      <c r="J5165" s="20" t="s">
        <v>206</v>
      </c>
      <c r="K5165" s="20" t="s">
        <v>250</v>
      </c>
      <c r="L5165" s="20"/>
      <c r="M5165" s="20" t="s">
        <v>251</v>
      </c>
      <c r="N5165" s="20" t="s">
        <v>3407</v>
      </c>
    </row>
    <row r="5166" spans="1:14" hidden="1" x14ac:dyDescent="0.25">
      <c r="A5166" s="19">
        <v>46054</v>
      </c>
      <c r="B5166" s="20" t="s">
        <v>97</v>
      </c>
      <c r="C5166" s="20">
        <v>38</v>
      </c>
      <c r="D5166" s="20" t="s">
        <v>253</v>
      </c>
      <c r="E5166" s="20" t="s">
        <v>2359</v>
      </c>
      <c r="F5166" s="20" t="s">
        <v>334</v>
      </c>
      <c r="G5166" s="20" t="s">
        <v>82</v>
      </c>
      <c r="H5166" s="20"/>
      <c r="I5166" s="20"/>
      <c r="J5166" s="20" t="s">
        <v>204</v>
      </c>
      <c r="K5166" s="20" t="s">
        <v>255</v>
      </c>
      <c r="L5166" s="20">
        <v>52</v>
      </c>
      <c r="M5166" s="20" t="s">
        <v>245</v>
      </c>
      <c r="N5166" s="20" t="s">
        <v>2964</v>
      </c>
    </row>
    <row r="5167" spans="1:14" hidden="1" x14ac:dyDescent="0.25">
      <c r="A5167" s="19">
        <v>46054</v>
      </c>
      <c r="B5167" s="20" t="s">
        <v>97</v>
      </c>
      <c r="C5167" s="20">
        <v>38</v>
      </c>
      <c r="D5167" s="20" t="s">
        <v>253</v>
      </c>
      <c r="E5167" s="20" t="s">
        <v>2359</v>
      </c>
      <c r="F5167" s="20" t="s">
        <v>334</v>
      </c>
      <c r="G5167" s="20" t="s">
        <v>82</v>
      </c>
      <c r="H5167" s="20"/>
      <c r="I5167" s="20"/>
      <c r="J5167" s="20" t="s">
        <v>205</v>
      </c>
      <c r="K5167" s="20" t="s">
        <v>255</v>
      </c>
      <c r="L5167" s="20">
        <v>49</v>
      </c>
      <c r="M5167" s="20" t="s">
        <v>245</v>
      </c>
      <c r="N5167" s="20" t="s">
        <v>3266</v>
      </c>
    </row>
    <row r="5168" spans="1:14" hidden="1" x14ac:dyDescent="0.25">
      <c r="A5168" s="19">
        <v>46054</v>
      </c>
      <c r="B5168" s="20" t="s">
        <v>97</v>
      </c>
      <c r="C5168" s="20">
        <v>38</v>
      </c>
      <c r="D5168" s="20" t="s">
        <v>253</v>
      </c>
      <c r="E5168" s="20" t="s">
        <v>2359</v>
      </c>
      <c r="F5168" s="20" t="s">
        <v>334</v>
      </c>
      <c r="G5168" s="20" t="s">
        <v>82</v>
      </c>
      <c r="H5168" s="20"/>
      <c r="I5168" s="20"/>
      <c r="J5168" s="20" t="s">
        <v>206</v>
      </c>
      <c r="K5168" s="20" t="s">
        <v>255</v>
      </c>
      <c r="L5168" s="20">
        <v>51</v>
      </c>
      <c r="M5168" s="20" t="s">
        <v>245</v>
      </c>
      <c r="N5168" s="20" t="s">
        <v>3408</v>
      </c>
    </row>
    <row r="5169" spans="1:14" hidden="1" x14ac:dyDescent="0.25">
      <c r="A5169" s="19">
        <v>46054</v>
      </c>
      <c r="B5169" s="20" t="s">
        <v>97</v>
      </c>
      <c r="C5169" s="20">
        <v>39</v>
      </c>
      <c r="D5169" s="20" t="s">
        <v>291</v>
      </c>
      <c r="E5169" s="20" t="s">
        <v>2361</v>
      </c>
      <c r="F5169" s="20" t="s">
        <v>428</v>
      </c>
      <c r="G5169" s="20" t="s">
        <v>82</v>
      </c>
      <c r="H5169" s="20" t="s">
        <v>95</v>
      </c>
      <c r="I5169" s="20"/>
      <c r="J5169" s="20" t="s">
        <v>206</v>
      </c>
      <c r="K5169" s="20" t="s">
        <v>250</v>
      </c>
      <c r="L5169" s="20">
        <v>4110000</v>
      </c>
      <c r="M5169" s="20" t="s">
        <v>242</v>
      </c>
      <c r="N5169" s="20" t="s">
        <v>3409</v>
      </c>
    </row>
    <row r="5170" spans="1:14" hidden="1" x14ac:dyDescent="0.25">
      <c r="A5170" s="19">
        <v>46054</v>
      </c>
      <c r="B5170" s="20" t="s">
        <v>97</v>
      </c>
      <c r="C5170" s="20">
        <v>39</v>
      </c>
      <c r="D5170" s="20" t="s">
        <v>291</v>
      </c>
      <c r="E5170" s="20" t="s">
        <v>2361</v>
      </c>
      <c r="F5170" s="20" t="s">
        <v>428</v>
      </c>
      <c r="G5170" s="20" t="s">
        <v>82</v>
      </c>
      <c r="H5170" s="20" t="s">
        <v>94</v>
      </c>
      <c r="I5170" s="20"/>
      <c r="J5170" s="20" t="s">
        <v>206</v>
      </c>
      <c r="K5170" s="20" t="s">
        <v>250</v>
      </c>
      <c r="L5170" s="20">
        <v>2310000</v>
      </c>
      <c r="M5170" s="20" t="s">
        <v>242</v>
      </c>
      <c r="N5170" s="20" t="s">
        <v>2290</v>
      </c>
    </row>
    <row r="5171" spans="1:14" hidden="1" x14ac:dyDescent="0.25">
      <c r="A5171" s="19">
        <v>46054</v>
      </c>
      <c r="B5171" s="20" t="s">
        <v>97</v>
      </c>
      <c r="C5171" s="20">
        <v>40</v>
      </c>
      <c r="D5171" s="20" t="s">
        <v>291</v>
      </c>
      <c r="E5171" s="20" t="s">
        <v>2361</v>
      </c>
      <c r="F5171" s="20" t="s">
        <v>445</v>
      </c>
      <c r="G5171" s="20" t="s">
        <v>82</v>
      </c>
      <c r="H5171" s="20" t="s">
        <v>95</v>
      </c>
      <c r="I5171" s="20"/>
      <c r="J5171" s="20" t="s">
        <v>206</v>
      </c>
      <c r="K5171" s="20" t="s">
        <v>250</v>
      </c>
      <c r="L5171" s="20">
        <v>127100000</v>
      </c>
      <c r="M5171" s="20" t="s">
        <v>245</v>
      </c>
      <c r="N5171" s="20" t="s">
        <v>3410</v>
      </c>
    </row>
    <row r="5172" spans="1:14" hidden="1" x14ac:dyDescent="0.25">
      <c r="A5172" s="19">
        <v>46054</v>
      </c>
      <c r="B5172" s="20" t="s">
        <v>97</v>
      </c>
      <c r="C5172" s="20">
        <v>40</v>
      </c>
      <c r="D5172" s="20" t="s">
        <v>291</v>
      </c>
      <c r="E5172" s="20" t="s">
        <v>2361</v>
      </c>
      <c r="F5172" s="20" t="s">
        <v>445</v>
      </c>
      <c r="G5172" s="20" t="s">
        <v>82</v>
      </c>
      <c r="H5172" s="20" t="s">
        <v>94</v>
      </c>
      <c r="I5172" s="20"/>
      <c r="J5172" s="20" t="s">
        <v>206</v>
      </c>
      <c r="K5172" s="20" t="s">
        <v>250</v>
      </c>
      <c r="L5172" s="20">
        <v>87600000</v>
      </c>
      <c r="M5172" s="20" t="s">
        <v>245</v>
      </c>
      <c r="N5172" s="20" t="s">
        <v>3411</v>
      </c>
    </row>
    <row r="5173" spans="1:14" hidden="1" x14ac:dyDescent="0.25">
      <c r="A5173" s="19">
        <v>46054</v>
      </c>
      <c r="B5173" s="20" t="s">
        <v>162</v>
      </c>
      <c r="C5173" s="20">
        <v>42</v>
      </c>
      <c r="D5173" s="20" t="s">
        <v>238</v>
      </c>
      <c r="E5173" s="20" t="s">
        <v>2341</v>
      </c>
      <c r="F5173" s="20" t="s">
        <v>240</v>
      </c>
      <c r="G5173" s="20" t="s">
        <v>82</v>
      </c>
      <c r="H5173" s="20"/>
      <c r="I5173" s="20"/>
      <c r="J5173" s="20" t="s">
        <v>3346</v>
      </c>
      <c r="K5173" s="20" t="s">
        <v>241</v>
      </c>
      <c r="L5173" s="20">
        <v>56950000</v>
      </c>
      <c r="M5173" s="20" t="s">
        <v>242</v>
      </c>
      <c r="N5173" s="20" t="s">
        <v>3412</v>
      </c>
    </row>
    <row r="5174" spans="1:14" hidden="1" x14ac:dyDescent="0.25">
      <c r="A5174" s="19">
        <v>46054</v>
      </c>
      <c r="B5174" s="20" t="s">
        <v>162</v>
      </c>
      <c r="C5174" s="20">
        <v>42</v>
      </c>
      <c r="D5174" s="20" t="s">
        <v>238</v>
      </c>
      <c r="E5174" s="20" t="s">
        <v>2341</v>
      </c>
      <c r="F5174" s="20" t="s">
        <v>244</v>
      </c>
      <c r="G5174" s="20" t="s">
        <v>82</v>
      </c>
      <c r="H5174" s="20"/>
      <c r="I5174" s="20"/>
      <c r="J5174" s="20" t="s">
        <v>3346</v>
      </c>
      <c r="K5174" s="20" t="s">
        <v>241</v>
      </c>
      <c r="L5174" s="20">
        <v>4830000000</v>
      </c>
      <c r="M5174" s="20" t="s">
        <v>245</v>
      </c>
      <c r="N5174" s="20" t="s">
        <v>3413</v>
      </c>
    </row>
    <row r="5175" spans="1:14" hidden="1" x14ac:dyDescent="0.25">
      <c r="A5175" s="19">
        <v>46054</v>
      </c>
      <c r="B5175" s="20" t="s">
        <v>162</v>
      </c>
      <c r="C5175" s="20">
        <v>43</v>
      </c>
      <c r="D5175" s="20" t="s">
        <v>253</v>
      </c>
      <c r="E5175" s="20" t="s">
        <v>2359</v>
      </c>
      <c r="F5175" s="20" t="s">
        <v>1194</v>
      </c>
      <c r="G5175" s="20" t="s">
        <v>82</v>
      </c>
      <c r="H5175" s="20"/>
      <c r="I5175" s="20"/>
      <c r="J5175" s="20" t="s">
        <v>204</v>
      </c>
      <c r="K5175" s="20" t="s">
        <v>255</v>
      </c>
      <c r="L5175" s="20">
        <v>28600000</v>
      </c>
      <c r="M5175" s="20" t="s">
        <v>242</v>
      </c>
      <c r="N5175" s="20" t="s">
        <v>3117</v>
      </c>
    </row>
    <row r="5176" spans="1:14" hidden="1" x14ac:dyDescent="0.25">
      <c r="A5176" s="19">
        <v>46054</v>
      </c>
      <c r="B5176" s="20" t="s">
        <v>162</v>
      </c>
      <c r="C5176" s="20">
        <v>43</v>
      </c>
      <c r="D5176" s="20" t="s">
        <v>253</v>
      </c>
      <c r="E5176" s="20" t="s">
        <v>2359</v>
      </c>
      <c r="F5176" s="20" t="s">
        <v>1194</v>
      </c>
      <c r="G5176" s="20" t="s">
        <v>82</v>
      </c>
      <c r="H5176" s="20"/>
      <c r="I5176" s="20"/>
      <c r="J5176" s="20" t="s">
        <v>205</v>
      </c>
      <c r="K5176" s="20" t="s">
        <v>255</v>
      </c>
      <c r="L5176" s="20">
        <v>29530000</v>
      </c>
      <c r="M5176" s="20" t="s">
        <v>242</v>
      </c>
      <c r="N5176" s="20" t="s">
        <v>3272</v>
      </c>
    </row>
    <row r="5177" spans="1:14" hidden="1" x14ac:dyDescent="0.25">
      <c r="A5177" s="19">
        <v>46054</v>
      </c>
      <c r="B5177" s="20" t="s">
        <v>162</v>
      </c>
      <c r="C5177" s="20">
        <v>43</v>
      </c>
      <c r="D5177" s="20" t="s">
        <v>253</v>
      </c>
      <c r="E5177" s="20" t="s">
        <v>2359</v>
      </c>
      <c r="F5177" s="20" t="s">
        <v>1194</v>
      </c>
      <c r="G5177" s="20" t="s">
        <v>82</v>
      </c>
      <c r="H5177" s="20"/>
      <c r="I5177" s="20"/>
      <c r="J5177" s="20" t="s">
        <v>206</v>
      </c>
      <c r="K5177" s="20" t="s">
        <v>255</v>
      </c>
      <c r="L5177" s="20">
        <v>27420000</v>
      </c>
      <c r="M5177" s="20" t="s">
        <v>242</v>
      </c>
      <c r="N5177" s="20" t="s">
        <v>3414</v>
      </c>
    </row>
    <row r="5178" spans="1:14" hidden="1" x14ac:dyDescent="0.25">
      <c r="A5178" s="19">
        <v>46054</v>
      </c>
      <c r="B5178" s="20" t="s">
        <v>162</v>
      </c>
      <c r="C5178" s="20">
        <v>43</v>
      </c>
      <c r="D5178" s="20" t="s">
        <v>247</v>
      </c>
      <c r="E5178" s="20" t="s">
        <v>2554</v>
      </c>
      <c r="F5178" s="20" t="s">
        <v>2559</v>
      </c>
      <c r="G5178" s="20" t="s">
        <v>82</v>
      </c>
      <c r="H5178" s="20" t="s">
        <v>249</v>
      </c>
      <c r="I5178" s="20"/>
      <c r="J5178" s="20" t="s">
        <v>206</v>
      </c>
      <c r="K5178" s="20" t="s">
        <v>250</v>
      </c>
      <c r="L5178" s="20">
        <v>7.1</v>
      </c>
      <c r="M5178" s="20" t="s">
        <v>251</v>
      </c>
      <c r="N5178" s="20" t="s">
        <v>3415</v>
      </c>
    </row>
    <row r="5179" spans="1:14" hidden="1" x14ac:dyDescent="0.25">
      <c r="A5179" s="19">
        <v>46054</v>
      </c>
      <c r="B5179" s="20" t="s">
        <v>162</v>
      </c>
      <c r="C5179" s="20">
        <v>44</v>
      </c>
      <c r="D5179" s="20" t="s">
        <v>291</v>
      </c>
      <c r="E5179" s="20" t="s">
        <v>2361</v>
      </c>
      <c r="F5179" s="20" t="s">
        <v>2445</v>
      </c>
      <c r="G5179" s="20" t="s">
        <v>82</v>
      </c>
      <c r="H5179" s="20" t="s">
        <v>2446</v>
      </c>
      <c r="I5179" s="20" t="s">
        <v>2447</v>
      </c>
      <c r="J5179" s="20" t="s">
        <v>206</v>
      </c>
      <c r="K5179" s="20" t="s">
        <v>250</v>
      </c>
      <c r="L5179" s="20">
        <v>11390000</v>
      </c>
      <c r="M5179" s="20" t="s">
        <v>242</v>
      </c>
      <c r="N5179" s="20" t="s">
        <v>3416</v>
      </c>
    </row>
    <row r="5180" spans="1:14" hidden="1" x14ac:dyDescent="0.25">
      <c r="A5180" s="19">
        <v>46054</v>
      </c>
      <c r="B5180" s="20" t="s">
        <v>162</v>
      </c>
      <c r="C5180" s="20">
        <v>44</v>
      </c>
      <c r="D5180" s="20" t="s">
        <v>291</v>
      </c>
      <c r="E5180" s="20" t="s">
        <v>2361</v>
      </c>
      <c r="F5180" s="20" t="s">
        <v>2445</v>
      </c>
      <c r="G5180" s="20" t="s">
        <v>82</v>
      </c>
      <c r="H5180" s="20" t="s">
        <v>2449</v>
      </c>
      <c r="I5180" s="20" t="s">
        <v>2447</v>
      </c>
      <c r="J5180" s="20" t="s">
        <v>206</v>
      </c>
      <c r="K5180" s="20" t="s">
        <v>250</v>
      </c>
      <c r="L5180" s="20">
        <v>3250000</v>
      </c>
      <c r="M5180" s="20" t="s">
        <v>242</v>
      </c>
      <c r="N5180" s="20" t="s">
        <v>2106</v>
      </c>
    </row>
    <row r="5181" spans="1:14" hidden="1" x14ac:dyDescent="0.25">
      <c r="A5181" s="19">
        <v>46054</v>
      </c>
      <c r="B5181" s="20" t="s">
        <v>162</v>
      </c>
      <c r="C5181" s="20">
        <v>44</v>
      </c>
      <c r="D5181" s="20" t="s">
        <v>291</v>
      </c>
      <c r="E5181" s="20" t="s">
        <v>2361</v>
      </c>
      <c r="F5181" s="20" t="s">
        <v>2445</v>
      </c>
      <c r="G5181" s="20" t="s">
        <v>82</v>
      </c>
      <c r="H5181" s="20" t="s">
        <v>2446</v>
      </c>
      <c r="I5181" s="20" t="s">
        <v>2451</v>
      </c>
      <c r="J5181" s="20" t="s">
        <v>206</v>
      </c>
      <c r="K5181" s="20" t="s">
        <v>250</v>
      </c>
      <c r="L5181" s="20">
        <v>5180000</v>
      </c>
      <c r="M5181" s="20" t="s">
        <v>242</v>
      </c>
      <c r="N5181" s="20" t="s">
        <v>3417</v>
      </c>
    </row>
    <row r="5182" spans="1:14" hidden="1" x14ac:dyDescent="0.25">
      <c r="A5182" s="19">
        <v>46054</v>
      </c>
      <c r="B5182" s="20" t="s">
        <v>162</v>
      </c>
      <c r="C5182" s="20">
        <v>44</v>
      </c>
      <c r="D5182" s="20" t="s">
        <v>291</v>
      </c>
      <c r="E5182" s="20" t="s">
        <v>2361</v>
      </c>
      <c r="F5182" s="20" t="s">
        <v>2445</v>
      </c>
      <c r="G5182" s="20" t="s">
        <v>82</v>
      </c>
      <c r="H5182" s="20" t="s">
        <v>2449</v>
      </c>
      <c r="I5182" s="20" t="s">
        <v>2451</v>
      </c>
      <c r="J5182" s="20" t="s">
        <v>206</v>
      </c>
      <c r="K5182" s="20" t="s">
        <v>250</v>
      </c>
      <c r="L5182" s="20">
        <v>7460000</v>
      </c>
      <c r="M5182" s="20" t="s">
        <v>242</v>
      </c>
      <c r="N5182" s="20" t="s">
        <v>3418</v>
      </c>
    </row>
    <row r="5183" spans="1:14" hidden="1" x14ac:dyDescent="0.25">
      <c r="A5183" s="19">
        <v>46054</v>
      </c>
      <c r="B5183" s="20" t="s">
        <v>162</v>
      </c>
      <c r="C5183" s="20">
        <v>44</v>
      </c>
      <c r="D5183" s="20" t="s">
        <v>291</v>
      </c>
      <c r="E5183" s="20" t="s">
        <v>2361</v>
      </c>
      <c r="F5183" s="20" t="s">
        <v>2445</v>
      </c>
      <c r="G5183" s="20" t="s">
        <v>82</v>
      </c>
      <c r="H5183" s="20" t="s">
        <v>2446</v>
      </c>
      <c r="I5183" s="20" t="s">
        <v>2454</v>
      </c>
      <c r="J5183" s="20" t="s">
        <v>206</v>
      </c>
      <c r="K5183" s="20" t="s">
        <v>250</v>
      </c>
      <c r="L5183" s="20">
        <v>11820</v>
      </c>
      <c r="M5183" s="20" t="s">
        <v>242</v>
      </c>
      <c r="N5183" s="20" t="s">
        <v>3419</v>
      </c>
    </row>
    <row r="5184" spans="1:14" hidden="1" x14ac:dyDescent="0.25">
      <c r="A5184" s="19">
        <v>46054</v>
      </c>
      <c r="B5184" s="20" t="s">
        <v>162</v>
      </c>
      <c r="C5184" s="20">
        <v>44</v>
      </c>
      <c r="D5184" s="20" t="s">
        <v>291</v>
      </c>
      <c r="E5184" s="20" t="s">
        <v>2361</v>
      </c>
      <c r="F5184" s="20" t="s">
        <v>2445</v>
      </c>
      <c r="G5184" s="20" t="s">
        <v>82</v>
      </c>
      <c r="H5184" s="20" t="s">
        <v>2449</v>
      </c>
      <c r="I5184" s="20" t="s">
        <v>2454</v>
      </c>
      <c r="J5184" s="20" t="s">
        <v>206</v>
      </c>
      <c r="K5184" s="20" t="s">
        <v>250</v>
      </c>
      <c r="L5184" s="20">
        <v>127340</v>
      </c>
      <c r="M5184" s="20" t="s">
        <v>242</v>
      </c>
      <c r="N5184" s="20" t="s">
        <v>3420</v>
      </c>
    </row>
    <row r="5185" spans="1:14" hidden="1" x14ac:dyDescent="0.25">
      <c r="A5185" s="19">
        <v>46054</v>
      </c>
      <c r="B5185" s="20" t="s">
        <v>162</v>
      </c>
      <c r="C5185" s="20">
        <v>45</v>
      </c>
      <c r="D5185" s="20" t="s">
        <v>253</v>
      </c>
      <c r="E5185" s="20" t="s">
        <v>2359</v>
      </c>
      <c r="F5185" s="20" t="s">
        <v>2457</v>
      </c>
      <c r="G5185" s="20" t="s">
        <v>82</v>
      </c>
      <c r="H5185" s="20"/>
      <c r="I5185" s="20"/>
      <c r="J5185" s="20" t="s">
        <v>204</v>
      </c>
      <c r="K5185" s="20" t="s">
        <v>255</v>
      </c>
      <c r="L5185" s="20">
        <v>23490000</v>
      </c>
      <c r="M5185" s="20" t="s">
        <v>242</v>
      </c>
      <c r="N5185" s="20" t="s">
        <v>3123</v>
      </c>
    </row>
    <row r="5186" spans="1:14" hidden="1" x14ac:dyDescent="0.25">
      <c r="A5186" s="19">
        <v>46054</v>
      </c>
      <c r="B5186" s="20" t="s">
        <v>162</v>
      </c>
      <c r="C5186" s="20">
        <v>45</v>
      </c>
      <c r="D5186" s="20" t="s">
        <v>253</v>
      </c>
      <c r="E5186" s="20" t="s">
        <v>2359</v>
      </c>
      <c r="F5186" s="20" t="s">
        <v>2457</v>
      </c>
      <c r="G5186" s="20" t="s">
        <v>82</v>
      </c>
      <c r="H5186" s="20"/>
      <c r="I5186" s="20"/>
      <c r="J5186" s="20" t="s">
        <v>205</v>
      </c>
      <c r="K5186" s="20" t="s">
        <v>255</v>
      </c>
      <c r="L5186" s="20">
        <v>24300000</v>
      </c>
      <c r="M5186" s="20" t="s">
        <v>242</v>
      </c>
      <c r="N5186" s="20" t="s">
        <v>3277</v>
      </c>
    </row>
    <row r="5187" spans="1:14" hidden="1" x14ac:dyDescent="0.25">
      <c r="A5187" s="19">
        <v>46054</v>
      </c>
      <c r="B5187" s="20" t="s">
        <v>162</v>
      </c>
      <c r="C5187" s="20">
        <v>45</v>
      </c>
      <c r="D5187" s="20" t="s">
        <v>253</v>
      </c>
      <c r="E5187" s="20" t="s">
        <v>2359</v>
      </c>
      <c r="F5187" s="20" t="s">
        <v>2457</v>
      </c>
      <c r="G5187" s="20" t="s">
        <v>82</v>
      </c>
      <c r="H5187" s="20"/>
      <c r="I5187" s="20"/>
      <c r="J5187" s="20" t="s">
        <v>206</v>
      </c>
      <c r="K5187" s="20" t="s">
        <v>255</v>
      </c>
      <c r="L5187" s="20">
        <v>22560000</v>
      </c>
      <c r="M5187" s="20" t="s">
        <v>242</v>
      </c>
      <c r="N5187" s="20" t="s">
        <v>3421</v>
      </c>
    </row>
    <row r="5188" spans="1:14" hidden="1" x14ac:dyDescent="0.25">
      <c r="A5188" s="19">
        <v>46054</v>
      </c>
      <c r="B5188" s="20" t="s">
        <v>162</v>
      </c>
      <c r="C5188" s="20">
        <v>45</v>
      </c>
      <c r="D5188" s="20" t="s">
        <v>247</v>
      </c>
      <c r="E5188" s="20" t="s">
        <v>2554</v>
      </c>
      <c r="F5188" s="20" t="s">
        <v>2559</v>
      </c>
      <c r="G5188" s="20" t="s">
        <v>82</v>
      </c>
      <c r="H5188" s="20" t="s">
        <v>249</v>
      </c>
      <c r="I5188" s="20"/>
      <c r="J5188" s="20" t="s">
        <v>206</v>
      </c>
      <c r="K5188" s="20" t="s">
        <v>250</v>
      </c>
      <c r="L5188" s="20">
        <v>7.1</v>
      </c>
      <c r="M5188" s="20" t="s">
        <v>251</v>
      </c>
      <c r="N5188" s="20" t="s">
        <v>3415</v>
      </c>
    </row>
    <row r="5189" spans="1:14" hidden="1" x14ac:dyDescent="0.25">
      <c r="A5189" s="19">
        <v>46054</v>
      </c>
      <c r="B5189" s="20" t="s">
        <v>162</v>
      </c>
      <c r="C5189" s="20">
        <v>46</v>
      </c>
      <c r="D5189" s="20" t="s">
        <v>291</v>
      </c>
      <c r="E5189" s="20" t="s">
        <v>2361</v>
      </c>
      <c r="F5189" s="20" t="s">
        <v>2457</v>
      </c>
      <c r="G5189" s="20" t="s">
        <v>82</v>
      </c>
      <c r="H5189" s="20" t="s">
        <v>95</v>
      </c>
      <c r="I5189" s="20"/>
      <c r="J5189" s="20" t="s">
        <v>206</v>
      </c>
      <c r="K5189" s="20" t="s">
        <v>250</v>
      </c>
      <c r="L5189" s="20">
        <v>6650000</v>
      </c>
      <c r="M5189" s="20" t="s">
        <v>242</v>
      </c>
      <c r="N5189" s="20" t="s">
        <v>3422</v>
      </c>
    </row>
    <row r="5190" spans="1:14" hidden="1" x14ac:dyDescent="0.25">
      <c r="A5190" s="19">
        <v>46054</v>
      </c>
      <c r="B5190" s="20" t="s">
        <v>162</v>
      </c>
      <c r="C5190" s="20">
        <v>46</v>
      </c>
      <c r="D5190" s="20" t="s">
        <v>291</v>
      </c>
      <c r="E5190" s="20" t="s">
        <v>2361</v>
      </c>
      <c r="F5190" s="20" t="s">
        <v>2457</v>
      </c>
      <c r="G5190" s="20" t="s">
        <v>82</v>
      </c>
      <c r="H5190" s="20" t="s">
        <v>94</v>
      </c>
      <c r="I5190" s="20"/>
      <c r="J5190" s="20" t="s">
        <v>206</v>
      </c>
      <c r="K5190" s="20" t="s">
        <v>250</v>
      </c>
      <c r="L5190" s="20">
        <v>15910000</v>
      </c>
      <c r="M5190" s="20" t="s">
        <v>242</v>
      </c>
      <c r="N5190" s="20" t="s">
        <v>3423</v>
      </c>
    </row>
    <row r="5191" spans="1:14" hidden="1" x14ac:dyDescent="0.25">
      <c r="A5191" s="19">
        <v>46054</v>
      </c>
      <c r="B5191" s="20" t="s">
        <v>162</v>
      </c>
      <c r="C5191" s="20">
        <v>47</v>
      </c>
      <c r="D5191" s="20" t="s">
        <v>291</v>
      </c>
      <c r="E5191" s="20" t="s">
        <v>2361</v>
      </c>
      <c r="F5191" s="20" t="s">
        <v>2460</v>
      </c>
      <c r="G5191" s="20" t="s">
        <v>82</v>
      </c>
      <c r="H5191" s="20" t="s">
        <v>174</v>
      </c>
      <c r="I5191" s="20"/>
      <c r="J5191" s="20" t="s">
        <v>206</v>
      </c>
      <c r="K5191" s="20" t="s">
        <v>250</v>
      </c>
      <c r="L5191" s="20">
        <v>2750000</v>
      </c>
      <c r="M5191" s="20" t="s">
        <v>242</v>
      </c>
      <c r="N5191" s="20" t="s">
        <v>3424</v>
      </c>
    </row>
    <row r="5192" spans="1:14" hidden="1" x14ac:dyDescent="0.25">
      <c r="A5192" s="19">
        <v>46054</v>
      </c>
      <c r="B5192" s="20" t="s">
        <v>162</v>
      </c>
      <c r="C5192" s="20">
        <v>47</v>
      </c>
      <c r="D5192" s="20" t="s">
        <v>291</v>
      </c>
      <c r="E5192" s="20" t="s">
        <v>2361</v>
      </c>
      <c r="F5192" s="20" t="s">
        <v>2460</v>
      </c>
      <c r="G5192" s="20" t="s">
        <v>82</v>
      </c>
      <c r="H5192" s="20" t="s">
        <v>173</v>
      </c>
      <c r="I5192" s="20"/>
      <c r="J5192" s="20" t="s">
        <v>206</v>
      </c>
      <c r="K5192" s="20" t="s">
        <v>250</v>
      </c>
      <c r="L5192" s="20">
        <v>4030000</v>
      </c>
      <c r="M5192" s="20" t="s">
        <v>242</v>
      </c>
      <c r="N5192" s="20" t="s">
        <v>3425</v>
      </c>
    </row>
    <row r="5193" spans="1:14" hidden="1" x14ac:dyDescent="0.25">
      <c r="A5193" s="19">
        <v>46054</v>
      </c>
      <c r="B5193" s="20" t="s">
        <v>162</v>
      </c>
      <c r="C5193" s="20">
        <v>48</v>
      </c>
      <c r="D5193" s="20" t="s">
        <v>253</v>
      </c>
      <c r="E5193" s="20" t="s">
        <v>2359</v>
      </c>
      <c r="F5193" s="20" t="s">
        <v>1196</v>
      </c>
      <c r="G5193" s="20" t="s">
        <v>82</v>
      </c>
      <c r="H5193" s="20"/>
      <c r="I5193" s="20"/>
      <c r="J5193" s="20" t="s">
        <v>204</v>
      </c>
      <c r="K5193" s="20" t="s">
        <v>255</v>
      </c>
      <c r="L5193" s="20">
        <v>2450000000</v>
      </c>
      <c r="M5193" s="20" t="s">
        <v>245</v>
      </c>
      <c r="N5193" s="20" t="s">
        <v>2273</v>
      </c>
    </row>
    <row r="5194" spans="1:14" hidden="1" x14ac:dyDescent="0.25">
      <c r="A5194" s="19">
        <v>46054</v>
      </c>
      <c r="B5194" s="20" t="s">
        <v>162</v>
      </c>
      <c r="C5194" s="20">
        <v>48</v>
      </c>
      <c r="D5194" s="20" t="s">
        <v>253</v>
      </c>
      <c r="E5194" s="20" t="s">
        <v>2359</v>
      </c>
      <c r="F5194" s="20" t="s">
        <v>1196</v>
      </c>
      <c r="G5194" s="20" t="s">
        <v>82</v>
      </c>
      <c r="H5194" s="20"/>
      <c r="I5194" s="20"/>
      <c r="J5194" s="20" t="s">
        <v>205</v>
      </c>
      <c r="K5194" s="20" t="s">
        <v>255</v>
      </c>
      <c r="L5194" s="20">
        <v>2480000000</v>
      </c>
      <c r="M5194" s="20" t="s">
        <v>245</v>
      </c>
      <c r="N5194" s="20" t="s">
        <v>3282</v>
      </c>
    </row>
    <row r="5195" spans="1:14" hidden="1" x14ac:dyDescent="0.25">
      <c r="A5195" s="19">
        <v>46054</v>
      </c>
      <c r="B5195" s="20" t="s">
        <v>162</v>
      </c>
      <c r="C5195" s="20">
        <v>48</v>
      </c>
      <c r="D5195" s="20" t="s">
        <v>253</v>
      </c>
      <c r="E5195" s="20" t="s">
        <v>2359</v>
      </c>
      <c r="F5195" s="20" t="s">
        <v>1196</v>
      </c>
      <c r="G5195" s="20" t="s">
        <v>82</v>
      </c>
      <c r="H5195" s="20"/>
      <c r="I5195" s="20"/>
      <c r="J5195" s="20" t="s">
        <v>206</v>
      </c>
      <c r="K5195" s="20" t="s">
        <v>255</v>
      </c>
      <c r="L5195" s="20">
        <v>2350000000</v>
      </c>
      <c r="M5195" s="20" t="s">
        <v>245</v>
      </c>
      <c r="N5195" s="20" t="s">
        <v>3426</v>
      </c>
    </row>
    <row r="5196" spans="1:14" hidden="1" x14ac:dyDescent="0.25">
      <c r="A5196" s="19">
        <v>46054</v>
      </c>
      <c r="B5196" s="20" t="s">
        <v>162</v>
      </c>
      <c r="C5196" s="20">
        <v>48</v>
      </c>
      <c r="D5196" s="20" t="s">
        <v>247</v>
      </c>
      <c r="E5196" s="20" t="s">
        <v>2554</v>
      </c>
      <c r="F5196" s="20" t="s">
        <v>2558</v>
      </c>
      <c r="G5196" s="20" t="s">
        <v>82</v>
      </c>
      <c r="H5196" s="20" t="s">
        <v>249</v>
      </c>
      <c r="I5196" s="20"/>
      <c r="J5196" s="20" t="s">
        <v>206</v>
      </c>
      <c r="K5196" s="20" t="s">
        <v>250</v>
      </c>
      <c r="L5196" s="20">
        <v>5.5</v>
      </c>
      <c r="M5196" s="20" t="s">
        <v>251</v>
      </c>
      <c r="N5196" s="20" t="s">
        <v>1690</v>
      </c>
    </row>
    <row r="5197" spans="1:14" hidden="1" x14ac:dyDescent="0.25">
      <c r="A5197" s="19">
        <v>46054</v>
      </c>
      <c r="B5197" s="20" t="s">
        <v>162</v>
      </c>
      <c r="C5197" s="20">
        <v>49</v>
      </c>
      <c r="D5197" s="20" t="s">
        <v>291</v>
      </c>
      <c r="E5197" s="20" t="s">
        <v>2361</v>
      </c>
      <c r="F5197" s="20" t="s">
        <v>2462</v>
      </c>
      <c r="G5197" s="20" t="s">
        <v>82</v>
      </c>
      <c r="H5197" s="20" t="s">
        <v>2446</v>
      </c>
      <c r="I5197" s="20" t="s">
        <v>2447</v>
      </c>
      <c r="J5197" s="20" t="s">
        <v>206</v>
      </c>
      <c r="K5197" s="20" t="s">
        <v>250</v>
      </c>
      <c r="L5197" s="20">
        <v>1520000000</v>
      </c>
      <c r="M5197" s="20" t="s">
        <v>245</v>
      </c>
      <c r="N5197" s="20" t="s">
        <v>3427</v>
      </c>
    </row>
    <row r="5198" spans="1:14" hidden="1" x14ac:dyDescent="0.25">
      <c r="A5198" s="19">
        <v>46054</v>
      </c>
      <c r="B5198" s="20" t="s">
        <v>162</v>
      </c>
      <c r="C5198" s="20">
        <v>49</v>
      </c>
      <c r="D5198" s="20" t="s">
        <v>291</v>
      </c>
      <c r="E5198" s="20" t="s">
        <v>2361</v>
      </c>
      <c r="F5198" s="20" t="s">
        <v>2462</v>
      </c>
      <c r="G5198" s="20" t="s">
        <v>82</v>
      </c>
      <c r="H5198" s="20" t="s">
        <v>2449</v>
      </c>
      <c r="I5198" s="20" t="s">
        <v>2447</v>
      </c>
      <c r="J5198" s="20" t="s">
        <v>206</v>
      </c>
      <c r="K5198" s="20" t="s">
        <v>250</v>
      </c>
      <c r="L5198" s="20">
        <v>277700000</v>
      </c>
      <c r="M5198" s="20" t="s">
        <v>245</v>
      </c>
      <c r="N5198" s="20" t="s">
        <v>3428</v>
      </c>
    </row>
    <row r="5199" spans="1:14" hidden="1" x14ac:dyDescent="0.25">
      <c r="A5199" s="19">
        <v>46054</v>
      </c>
      <c r="B5199" s="20" t="s">
        <v>162</v>
      </c>
      <c r="C5199" s="20">
        <v>49</v>
      </c>
      <c r="D5199" s="20" t="s">
        <v>291</v>
      </c>
      <c r="E5199" s="20" t="s">
        <v>2361</v>
      </c>
      <c r="F5199" s="20" t="s">
        <v>2462</v>
      </c>
      <c r="G5199" s="20" t="s">
        <v>82</v>
      </c>
      <c r="H5199" s="20" t="s">
        <v>2446</v>
      </c>
      <c r="I5199" s="20" t="s">
        <v>2451</v>
      </c>
      <c r="J5199" s="20" t="s">
        <v>206</v>
      </c>
      <c r="K5199" s="20" t="s">
        <v>250</v>
      </c>
      <c r="L5199" s="20">
        <v>269600000</v>
      </c>
      <c r="M5199" s="20" t="s">
        <v>245</v>
      </c>
      <c r="N5199" s="20" t="s">
        <v>3429</v>
      </c>
    </row>
    <row r="5200" spans="1:14" hidden="1" x14ac:dyDescent="0.25">
      <c r="A5200" s="19">
        <v>46054</v>
      </c>
      <c r="B5200" s="20" t="s">
        <v>162</v>
      </c>
      <c r="C5200" s="20">
        <v>49</v>
      </c>
      <c r="D5200" s="20" t="s">
        <v>291</v>
      </c>
      <c r="E5200" s="20" t="s">
        <v>2361</v>
      </c>
      <c r="F5200" s="20" t="s">
        <v>2462</v>
      </c>
      <c r="G5200" s="20" t="s">
        <v>82</v>
      </c>
      <c r="H5200" s="20" t="s">
        <v>2449</v>
      </c>
      <c r="I5200" s="20" t="s">
        <v>2451</v>
      </c>
      <c r="J5200" s="20" t="s">
        <v>206</v>
      </c>
      <c r="K5200" s="20" t="s">
        <v>250</v>
      </c>
      <c r="L5200" s="20">
        <v>274200000</v>
      </c>
      <c r="M5200" s="20" t="s">
        <v>245</v>
      </c>
      <c r="N5200" s="20" t="s">
        <v>3430</v>
      </c>
    </row>
    <row r="5201" spans="1:14" hidden="1" x14ac:dyDescent="0.25">
      <c r="A5201" s="19">
        <v>46054</v>
      </c>
      <c r="B5201" s="20" t="s">
        <v>162</v>
      </c>
      <c r="C5201" s="20">
        <v>49</v>
      </c>
      <c r="D5201" s="20" t="s">
        <v>291</v>
      </c>
      <c r="E5201" s="20" t="s">
        <v>2361</v>
      </c>
      <c r="F5201" s="20" t="s">
        <v>2462</v>
      </c>
      <c r="G5201" s="20" t="s">
        <v>82</v>
      </c>
      <c r="H5201" s="20" t="s">
        <v>2446</v>
      </c>
      <c r="I5201" s="20" t="s">
        <v>2454</v>
      </c>
      <c r="J5201" s="20" t="s">
        <v>206</v>
      </c>
      <c r="K5201" s="20" t="s">
        <v>250</v>
      </c>
      <c r="L5201" s="20">
        <v>147000</v>
      </c>
      <c r="M5201" s="20" t="s">
        <v>245</v>
      </c>
      <c r="N5201" s="20" t="s">
        <v>3431</v>
      </c>
    </row>
    <row r="5202" spans="1:14" hidden="1" x14ac:dyDescent="0.25">
      <c r="A5202" s="19">
        <v>46054</v>
      </c>
      <c r="B5202" s="20" t="s">
        <v>162</v>
      </c>
      <c r="C5202" s="20">
        <v>49</v>
      </c>
      <c r="D5202" s="20" t="s">
        <v>291</v>
      </c>
      <c r="E5202" s="20" t="s">
        <v>2361</v>
      </c>
      <c r="F5202" s="20" t="s">
        <v>2462</v>
      </c>
      <c r="G5202" s="20" t="s">
        <v>82</v>
      </c>
      <c r="H5202" s="20" t="s">
        <v>2449</v>
      </c>
      <c r="I5202" s="20" t="s">
        <v>2454</v>
      </c>
      <c r="J5202" s="20" t="s">
        <v>206</v>
      </c>
      <c r="K5202" s="20" t="s">
        <v>250</v>
      </c>
      <c r="L5202" s="20">
        <v>1300000</v>
      </c>
      <c r="M5202" s="20" t="s">
        <v>245</v>
      </c>
      <c r="N5202" s="20" t="s">
        <v>1430</v>
      </c>
    </row>
    <row r="5203" spans="1:14" hidden="1" x14ac:dyDescent="0.25">
      <c r="A5203" s="19">
        <v>46054</v>
      </c>
      <c r="B5203" s="20" t="s">
        <v>162</v>
      </c>
      <c r="C5203" s="20">
        <v>50</v>
      </c>
      <c r="D5203" s="20" t="s">
        <v>253</v>
      </c>
      <c r="E5203" s="20" t="s">
        <v>2359</v>
      </c>
      <c r="F5203" s="20" t="s">
        <v>2468</v>
      </c>
      <c r="G5203" s="20" t="s">
        <v>82</v>
      </c>
      <c r="H5203" s="20"/>
      <c r="I5203" s="20"/>
      <c r="J5203" s="20" t="s">
        <v>204</v>
      </c>
      <c r="K5203" s="20" t="s">
        <v>255</v>
      </c>
      <c r="L5203" s="20">
        <v>1830000000</v>
      </c>
      <c r="M5203" s="20" t="s">
        <v>245</v>
      </c>
      <c r="N5203" s="20" t="s">
        <v>1037</v>
      </c>
    </row>
    <row r="5204" spans="1:14" hidden="1" x14ac:dyDescent="0.25">
      <c r="A5204" s="19">
        <v>46054</v>
      </c>
      <c r="B5204" s="20" t="s">
        <v>162</v>
      </c>
      <c r="C5204" s="20">
        <v>50</v>
      </c>
      <c r="D5204" s="20" t="s">
        <v>253</v>
      </c>
      <c r="E5204" s="20" t="s">
        <v>2359</v>
      </c>
      <c r="F5204" s="20" t="s">
        <v>2468</v>
      </c>
      <c r="G5204" s="20" t="s">
        <v>82</v>
      </c>
      <c r="H5204" s="20"/>
      <c r="I5204" s="20"/>
      <c r="J5204" s="20" t="s">
        <v>205</v>
      </c>
      <c r="K5204" s="20" t="s">
        <v>255</v>
      </c>
      <c r="L5204" s="20">
        <v>1850000000</v>
      </c>
      <c r="M5204" s="20" t="s">
        <v>245</v>
      </c>
      <c r="N5204" s="20" t="s">
        <v>3287</v>
      </c>
    </row>
    <row r="5205" spans="1:14" hidden="1" x14ac:dyDescent="0.25">
      <c r="A5205" s="19">
        <v>46054</v>
      </c>
      <c r="B5205" s="20" t="s">
        <v>162</v>
      </c>
      <c r="C5205" s="20">
        <v>50</v>
      </c>
      <c r="D5205" s="20" t="s">
        <v>253</v>
      </c>
      <c r="E5205" s="20" t="s">
        <v>2359</v>
      </c>
      <c r="F5205" s="20" t="s">
        <v>2468</v>
      </c>
      <c r="G5205" s="20" t="s">
        <v>82</v>
      </c>
      <c r="H5205" s="20"/>
      <c r="I5205" s="20"/>
      <c r="J5205" s="20" t="s">
        <v>206</v>
      </c>
      <c r="K5205" s="20" t="s">
        <v>255</v>
      </c>
      <c r="L5205" s="20">
        <v>1770000000</v>
      </c>
      <c r="M5205" s="20" t="s">
        <v>245</v>
      </c>
      <c r="N5205" s="20" t="s">
        <v>3432</v>
      </c>
    </row>
    <row r="5206" spans="1:14" hidden="1" x14ac:dyDescent="0.25">
      <c r="A5206" s="19">
        <v>46054</v>
      </c>
      <c r="B5206" s="20" t="s">
        <v>162</v>
      </c>
      <c r="C5206" s="20">
        <v>50</v>
      </c>
      <c r="D5206" s="20" t="s">
        <v>247</v>
      </c>
      <c r="E5206" s="20" t="s">
        <v>2554</v>
      </c>
      <c r="F5206" s="20" t="s">
        <v>2558</v>
      </c>
      <c r="G5206" s="20" t="s">
        <v>82</v>
      </c>
      <c r="H5206" s="20" t="s">
        <v>249</v>
      </c>
      <c r="I5206" s="20"/>
      <c r="J5206" s="20" t="s">
        <v>206</v>
      </c>
      <c r="K5206" s="20" t="s">
        <v>250</v>
      </c>
      <c r="L5206" s="20">
        <v>4.8</v>
      </c>
      <c r="M5206" s="20" t="s">
        <v>251</v>
      </c>
      <c r="N5206" s="20" t="s">
        <v>3433</v>
      </c>
    </row>
    <row r="5207" spans="1:14" hidden="1" x14ac:dyDescent="0.25">
      <c r="A5207" s="19">
        <v>46054</v>
      </c>
      <c r="B5207" s="20" t="s">
        <v>162</v>
      </c>
      <c r="C5207" s="20">
        <v>51</v>
      </c>
      <c r="D5207" s="20" t="s">
        <v>291</v>
      </c>
      <c r="E5207" s="20" t="s">
        <v>2361</v>
      </c>
      <c r="F5207" s="20" t="s">
        <v>2468</v>
      </c>
      <c r="G5207" s="20" t="s">
        <v>82</v>
      </c>
      <c r="H5207" s="20" t="s">
        <v>95</v>
      </c>
      <c r="I5207" s="20"/>
      <c r="J5207" s="20" t="s">
        <v>206</v>
      </c>
      <c r="K5207" s="20" t="s">
        <v>250</v>
      </c>
      <c r="L5207" s="20">
        <v>374000000</v>
      </c>
      <c r="M5207" s="20" t="s">
        <v>245</v>
      </c>
      <c r="N5207" s="20" t="s">
        <v>3434</v>
      </c>
    </row>
    <row r="5208" spans="1:14" hidden="1" x14ac:dyDescent="0.25">
      <c r="A5208" s="19">
        <v>46054</v>
      </c>
      <c r="B5208" s="20" t="s">
        <v>162</v>
      </c>
      <c r="C5208" s="20">
        <v>51</v>
      </c>
      <c r="D5208" s="20" t="s">
        <v>291</v>
      </c>
      <c r="E5208" s="20" t="s">
        <v>2361</v>
      </c>
      <c r="F5208" s="20" t="s">
        <v>2468</v>
      </c>
      <c r="G5208" s="20" t="s">
        <v>82</v>
      </c>
      <c r="H5208" s="20" t="s">
        <v>94</v>
      </c>
      <c r="I5208" s="20"/>
      <c r="J5208" s="20" t="s">
        <v>206</v>
      </c>
      <c r="K5208" s="20" t="s">
        <v>250</v>
      </c>
      <c r="L5208" s="20">
        <v>1390000000</v>
      </c>
      <c r="M5208" s="20" t="s">
        <v>245</v>
      </c>
      <c r="N5208" s="20" t="s">
        <v>1932</v>
      </c>
    </row>
    <row r="5209" spans="1:14" hidden="1" x14ac:dyDescent="0.25">
      <c r="A5209" s="19">
        <v>46054</v>
      </c>
      <c r="B5209" s="20" t="s">
        <v>162</v>
      </c>
      <c r="C5209" s="20">
        <v>52</v>
      </c>
      <c r="D5209" s="20" t="s">
        <v>291</v>
      </c>
      <c r="E5209" s="20" t="s">
        <v>2361</v>
      </c>
      <c r="F5209" s="20" t="s">
        <v>2472</v>
      </c>
      <c r="G5209" s="20" t="s">
        <v>82</v>
      </c>
      <c r="H5209" s="20" t="s">
        <v>174</v>
      </c>
      <c r="I5209" s="20"/>
      <c r="J5209" s="20" t="s">
        <v>206</v>
      </c>
      <c r="K5209" s="20" t="s">
        <v>250</v>
      </c>
      <c r="L5209" s="20">
        <v>222600000</v>
      </c>
      <c r="M5209" s="20" t="s">
        <v>245</v>
      </c>
      <c r="N5209" s="20" t="s">
        <v>3435</v>
      </c>
    </row>
    <row r="5210" spans="1:14" hidden="1" x14ac:dyDescent="0.25">
      <c r="A5210" s="19">
        <v>46054</v>
      </c>
      <c r="B5210" s="20" t="s">
        <v>162</v>
      </c>
      <c r="C5210" s="20">
        <v>52</v>
      </c>
      <c r="D5210" s="20" t="s">
        <v>291</v>
      </c>
      <c r="E5210" s="20" t="s">
        <v>2361</v>
      </c>
      <c r="F5210" s="20" t="s">
        <v>2472</v>
      </c>
      <c r="G5210" s="20" t="s">
        <v>82</v>
      </c>
      <c r="H5210" s="20" t="s">
        <v>173</v>
      </c>
      <c r="I5210" s="20"/>
      <c r="J5210" s="20" t="s">
        <v>206</v>
      </c>
      <c r="K5210" s="20" t="s">
        <v>250</v>
      </c>
      <c r="L5210" s="20">
        <v>191700000</v>
      </c>
      <c r="M5210" s="20" t="s">
        <v>245</v>
      </c>
      <c r="N5210" s="20" t="s">
        <v>3436</v>
      </c>
    </row>
    <row r="5211" spans="1:14" hidden="1" x14ac:dyDescent="0.25">
      <c r="A5211" s="19">
        <v>46054</v>
      </c>
      <c r="B5211" s="20" t="s">
        <v>162</v>
      </c>
      <c r="C5211" s="20">
        <v>53</v>
      </c>
      <c r="D5211" s="20" t="s">
        <v>238</v>
      </c>
      <c r="E5211" s="20" t="s">
        <v>2341</v>
      </c>
      <c r="F5211" s="20" t="s">
        <v>334</v>
      </c>
      <c r="G5211" s="20" t="s">
        <v>82</v>
      </c>
      <c r="H5211" s="20" t="s">
        <v>179</v>
      </c>
      <c r="I5211" s="20"/>
      <c r="J5211" s="20" t="s">
        <v>206</v>
      </c>
      <c r="K5211" s="20" t="s">
        <v>250</v>
      </c>
      <c r="L5211" s="20">
        <v>10</v>
      </c>
      <c r="M5211" s="20" t="s">
        <v>245</v>
      </c>
      <c r="N5211" s="20" t="s">
        <v>2988</v>
      </c>
    </row>
    <row r="5212" spans="1:14" hidden="1" x14ac:dyDescent="0.25">
      <c r="A5212" s="19">
        <v>46054</v>
      </c>
      <c r="B5212" s="20" t="s">
        <v>162</v>
      </c>
      <c r="C5212" s="20">
        <v>53</v>
      </c>
      <c r="D5212" s="20" t="s">
        <v>238</v>
      </c>
      <c r="E5212" s="20" t="s">
        <v>2341</v>
      </c>
      <c r="F5212" s="20" t="s">
        <v>334</v>
      </c>
      <c r="G5212" s="20" t="s">
        <v>82</v>
      </c>
      <c r="H5212" s="20" t="s">
        <v>170</v>
      </c>
      <c r="I5212" s="20"/>
      <c r="J5212" s="20" t="s">
        <v>206</v>
      </c>
      <c r="K5212" s="20" t="s">
        <v>250</v>
      </c>
      <c r="L5212" s="20">
        <v>12</v>
      </c>
      <c r="M5212" s="20" t="s">
        <v>245</v>
      </c>
      <c r="N5212" s="20" t="s">
        <v>1773</v>
      </c>
    </row>
    <row r="5213" spans="1:14" hidden="1" x14ac:dyDescent="0.25">
      <c r="A5213" s="19">
        <v>46054</v>
      </c>
      <c r="B5213" s="20" t="s">
        <v>162</v>
      </c>
      <c r="C5213" s="20">
        <v>53</v>
      </c>
      <c r="D5213" s="20" t="s">
        <v>238</v>
      </c>
      <c r="E5213" s="20" t="s">
        <v>2341</v>
      </c>
      <c r="F5213" s="20" t="s">
        <v>334</v>
      </c>
      <c r="G5213" s="20" t="s">
        <v>82</v>
      </c>
      <c r="H5213" s="20" t="s">
        <v>178</v>
      </c>
      <c r="I5213" s="20"/>
      <c r="J5213" s="20" t="s">
        <v>206</v>
      </c>
      <c r="K5213" s="20" t="s">
        <v>250</v>
      </c>
      <c r="L5213" s="20">
        <v>37</v>
      </c>
      <c r="M5213" s="20" t="s">
        <v>245</v>
      </c>
      <c r="N5213" s="20" t="s">
        <v>2989</v>
      </c>
    </row>
    <row r="5214" spans="1:14" hidden="1" x14ac:dyDescent="0.25">
      <c r="A5214" s="19">
        <v>46054</v>
      </c>
      <c r="B5214" s="20" t="s">
        <v>162</v>
      </c>
      <c r="C5214" s="20">
        <v>53</v>
      </c>
      <c r="D5214" s="20" t="s">
        <v>238</v>
      </c>
      <c r="E5214" s="20" t="s">
        <v>2341</v>
      </c>
      <c r="F5214" s="20" t="s">
        <v>334</v>
      </c>
      <c r="G5214" s="20" t="s">
        <v>82</v>
      </c>
      <c r="H5214" s="20" t="s">
        <v>173</v>
      </c>
      <c r="I5214" s="20"/>
      <c r="J5214" s="20" t="s">
        <v>206</v>
      </c>
      <c r="K5214" s="20" t="s">
        <v>250</v>
      </c>
      <c r="L5214" s="20">
        <v>52</v>
      </c>
      <c r="M5214" s="20" t="s">
        <v>245</v>
      </c>
      <c r="N5214" s="20" t="s">
        <v>2990</v>
      </c>
    </row>
    <row r="5215" spans="1:14" hidden="1" x14ac:dyDescent="0.25">
      <c r="A5215" s="19">
        <v>46054</v>
      </c>
      <c r="B5215" s="20" t="s">
        <v>162</v>
      </c>
      <c r="C5215" s="20">
        <v>53</v>
      </c>
      <c r="D5215" s="20" t="s">
        <v>238</v>
      </c>
      <c r="E5215" s="20" t="s">
        <v>2341</v>
      </c>
      <c r="F5215" s="20" t="s">
        <v>334</v>
      </c>
      <c r="G5215" s="20" t="s">
        <v>82</v>
      </c>
      <c r="H5215" s="20" t="s">
        <v>174</v>
      </c>
      <c r="I5215" s="20"/>
      <c r="J5215" s="20" t="s">
        <v>206</v>
      </c>
      <c r="K5215" s="20" t="s">
        <v>250</v>
      </c>
      <c r="L5215" s="20">
        <v>85</v>
      </c>
      <c r="M5215" s="20" t="s">
        <v>245</v>
      </c>
      <c r="N5215" s="20" t="s">
        <v>2992</v>
      </c>
    </row>
    <row r="5216" spans="1:14" hidden="1" x14ac:dyDescent="0.25">
      <c r="A5216" s="19">
        <v>46054</v>
      </c>
      <c r="B5216" s="20" t="s">
        <v>162</v>
      </c>
      <c r="C5216" s="20">
        <v>53</v>
      </c>
      <c r="D5216" s="20" t="s">
        <v>238</v>
      </c>
      <c r="E5216" s="20" t="s">
        <v>2341</v>
      </c>
      <c r="F5216" s="20" t="s">
        <v>334</v>
      </c>
      <c r="G5216" s="20" t="s">
        <v>82</v>
      </c>
      <c r="H5216" s="20" t="s">
        <v>164</v>
      </c>
      <c r="I5216" s="20"/>
      <c r="J5216" s="20" t="s">
        <v>206</v>
      </c>
      <c r="K5216" s="20" t="s">
        <v>250</v>
      </c>
      <c r="L5216" s="20">
        <v>134</v>
      </c>
      <c r="M5216" s="20" t="s">
        <v>245</v>
      </c>
      <c r="N5216" s="20" t="s">
        <v>3294</v>
      </c>
    </row>
    <row r="5217" spans="1:14" hidden="1" x14ac:dyDescent="0.25">
      <c r="A5217" s="19">
        <v>46054</v>
      </c>
      <c r="B5217" s="20" t="s">
        <v>162</v>
      </c>
      <c r="C5217" s="20">
        <v>53</v>
      </c>
      <c r="D5217" s="20" t="s">
        <v>238</v>
      </c>
      <c r="E5217" s="20" t="s">
        <v>2341</v>
      </c>
      <c r="F5217" s="20" t="s">
        <v>455</v>
      </c>
      <c r="G5217" s="20" t="s">
        <v>82</v>
      </c>
      <c r="H5217" s="20"/>
      <c r="I5217" s="20"/>
      <c r="J5217" s="20" t="s">
        <v>206</v>
      </c>
      <c r="K5217" s="20" t="s">
        <v>250</v>
      </c>
      <c r="L5217" s="20">
        <v>86</v>
      </c>
      <c r="M5217" s="20" t="s">
        <v>245</v>
      </c>
      <c r="N5217" s="20" t="s">
        <v>2991</v>
      </c>
    </row>
    <row r="5218" spans="1:14" hidden="1" x14ac:dyDescent="0.25">
      <c r="A5218" s="19">
        <v>46054</v>
      </c>
      <c r="B5218" s="20" t="s">
        <v>1192</v>
      </c>
      <c r="C5218" s="20">
        <v>55</v>
      </c>
      <c r="D5218" s="20" t="s">
        <v>238</v>
      </c>
      <c r="E5218" s="20" t="s">
        <v>2341</v>
      </c>
      <c r="F5218" s="20" t="s">
        <v>240</v>
      </c>
      <c r="G5218" s="20" t="s">
        <v>82</v>
      </c>
      <c r="H5218" s="20"/>
      <c r="I5218" s="20"/>
      <c r="J5218" s="20" t="s">
        <v>3346</v>
      </c>
      <c r="K5218" s="20" t="s">
        <v>241</v>
      </c>
      <c r="L5218" s="20">
        <v>56950000</v>
      </c>
      <c r="M5218" s="20" t="s">
        <v>242</v>
      </c>
      <c r="N5218" s="20" t="s">
        <v>3412</v>
      </c>
    </row>
    <row r="5219" spans="1:14" hidden="1" x14ac:dyDescent="0.25">
      <c r="A5219" s="19">
        <v>46054</v>
      </c>
      <c r="B5219" s="20" t="s">
        <v>2481</v>
      </c>
      <c r="C5219" s="20">
        <v>55</v>
      </c>
      <c r="D5219" s="20" t="s">
        <v>238</v>
      </c>
      <c r="E5219" s="20" t="s">
        <v>2341</v>
      </c>
      <c r="F5219" s="20" t="s">
        <v>244</v>
      </c>
      <c r="G5219" s="20" t="s">
        <v>82</v>
      </c>
      <c r="H5219" s="20"/>
      <c r="I5219" s="20"/>
      <c r="J5219" s="20" t="s">
        <v>3346</v>
      </c>
      <c r="K5219" s="20" t="s">
        <v>241</v>
      </c>
      <c r="L5219" s="20">
        <v>4830000000</v>
      </c>
      <c r="M5219" s="20" t="s">
        <v>245</v>
      </c>
      <c r="N5219" s="20" t="s">
        <v>3413</v>
      </c>
    </row>
    <row r="5220" spans="1:14" hidden="1" x14ac:dyDescent="0.25">
      <c r="A5220" s="19">
        <v>46054</v>
      </c>
      <c r="B5220" s="20" t="s">
        <v>1192</v>
      </c>
      <c r="C5220" s="20">
        <v>55</v>
      </c>
      <c r="D5220" s="20" t="s">
        <v>238</v>
      </c>
      <c r="E5220" s="20" t="s">
        <v>2341</v>
      </c>
      <c r="F5220" s="20" t="s">
        <v>240</v>
      </c>
      <c r="G5220" s="20" t="s">
        <v>82</v>
      </c>
      <c r="H5220" s="20" t="s">
        <v>184</v>
      </c>
      <c r="I5220" s="20"/>
      <c r="J5220" s="20" t="s">
        <v>3346</v>
      </c>
      <c r="K5220" s="20" t="s">
        <v>241</v>
      </c>
      <c r="L5220" s="20">
        <v>34280000</v>
      </c>
      <c r="M5220" s="20" t="s">
        <v>242</v>
      </c>
      <c r="N5220" s="20" t="s">
        <v>3347</v>
      </c>
    </row>
    <row r="5221" spans="1:14" hidden="1" x14ac:dyDescent="0.25">
      <c r="A5221" s="19">
        <v>46054</v>
      </c>
      <c r="B5221" s="20" t="s">
        <v>1192</v>
      </c>
      <c r="C5221" s="20">
        <v>55</v>
      </c>
      <c r="D5221" s="20" t="s">
        <v>238</v>
      </c>
      <c r="E5221" s="20" t="s">
        <v>2341</v>
      </c>
      <c r="F5221" s="20" t="s">
        <v>240</v>
      </c>
      <c r="G5221" s="20" t="s">
        <v>82</v>
      </c>
      <c r="H5221" s="20" t="s">
        <v>185</v>
      </c>
      <c r="I5221" s="20"/>
      <c r="J5221" s="20" t="s">
        <v>3346</v>
      </c>
      <c r="K5221" s="20" t="s">
        <v>241</v>
      </c>
      <c r="L5221" s="20">
        <v>22670000</v>
      </c>
      <c r="M5221" s="20" t="s">
        <v>242</v>
      </c>
      <c r="N5221" s="20" t="s">
        <v>3370</v>
      </c>
    </row>
    <row r="5222" spans="1:14" hidden="1" x14ac:dyDescent="0.25">
      <c r="A5222" s="19">
        <v>46054</v>
      </c>
      <c r="B5222" s="20" t="s">
        <v>2481</v>
      </c>
      <c r="C5222" s="20">
        <v>55</v>
      </c>
      <c r="D5222" s="20" t="s">
        <v>238</v>
      </c>
      <c r="E5222" s="20" t="s">
        <v>2341</v>
      </c>
      <c r="F5222" s="20" t="s">
        <v>244</v>
      </c>
      <c r="G5222" s="20" t="s">
        <v>82</v>
      </c>
      <c r="H5222" s="20" t="s">
        <v>184</v>
      </c>
      <c r="I5222" s="20"/>
      <c r="J5222" s="20" t="s">
        <v>3346</v>
      </c>
      <c r="K5222" s="20" t="s">
        <v>241</v>
      </c>
      <c r="L5222" s="20">
        <v>3690000000</v>
      </c>
      <c r="M5222" s="20" t="s">
        <v>245</v>
      </c>
      <c r="N5222" s="20" t="s">
        <v>3348</v>
      </c>
    </row>
    <row r="5223" spans="1:14" hidden="1" x14ac:dyDescent="0.25">
      <c r="A5223" s="19">
        <v>46054</v>
      </c>
      <c r="B5223" s="20" t="s">
        <v>2481</v>
      </c>
      <c r="C5223" s="20">
        <v>55</v>
      </c>
      <c r="D5223" s="20" t="s">
        <v>238</v>
      </c>
      <c r="E5223" s="20" t="s">
        <v>2341</v>
      </c>
      <c r="F5223" s="20" t="s">
        <v>244</v>
      </c>
      <c r="G5223" s="20" t="s">
        <v>82</v>
      </c>
      <c r="H5223" s="20" t="s">
        <v>185</v>
      </c>
      <c r="I5223" s="20"/>
      <c r="J5223" s="20" t="s">
        <v>3346</v>
      </c>
      <c r="K5223" s="20" t="s">
        <v>241</v>
      </c>
      <c r="L5223" s="20">
        <v>1140000000</v>
      </c>
      <c r="M5223" s="20" t="s">
        <v>245</v>
      </c>
      <c r="N5223" s="20" t="s">
        <v>326</v>
      </c>
    </row>
    <row r="5224" spans="1:14" hidden="1" x14ac:dyDescent="0.25">
      <c r="A5224" s="19">
        <v>46054</v>
      </c>
      <c r="B5224" s="20" t="s">
        <v>2481</v>
      </c>
      <c r="C5224" s="20">
        <v>56</v>
      </c>
      <c r="D5224" s="20" t="s">
        <v>238</v>
      </c>
      <c r="E5224" s="20" t="s">
        <v>2341</v>
      </c>
      <c r="F5224" s="20" t="s">
        <v>285</v>
      </c>
      <c r="G5224" s="20" t="s">
        <v>63</v>
      </c>
      <c r="H5224" s="20" t="s">
        <v>1202</v>
      </c>
      <c r="I5224" s="20"/>
      <c r="J5224" s="20" t="s">
        <v>3346</v>
      </c>
      <c r="K5224" s="20" t="s">
        <v>241</v>
      </c>
      <c r="L5224" s="20">
        <v>1090000</v>
      </c>
      <c r="M5224" s="20" t="s">
        <v>242</v>
      </c>
      <c r="N5224" s="20" t="s">
        <v>312</v>
      </c>
    </row>
    <row r="5225" spans="1:14" hidden="1" x14ac:dyDescent="0.25">
      <c r="A5225" s="19">
        <v>46054</v>
      </c>
      <c r="B5225" s="20" t="s">
        <v>2481</v>
      </c>
      <c r="C5225" s="20">
        <v>56</v>
      </c>
      <c r="D5225" s="20" t="s">
        <v>238</v>
      </c>
      <c r="E5225" s="20" t="s">
        <v>2341</v>
      </c>
      <c r="F5225" s="20" t="s">
        <v>285</v>
      </c>
      <c r="G5225" s="20" t="s">
        <v>63</v>
      </c>
      <c r="H5225" s="20" t="s">
        <v>1204</v>
      </c>
      <c r="I5225" s="20"/>
      <c r="J5225" s="20" t="s">
        <v>3346</v>
      </c>
      <c r="K5225" s="20" t="s">
        <v>241</v>
      </c>
      <c r="L5225" s="20">
        <v>1770000</v>
      </c>
      <c r="M5225" s="20" t="s">
        <v>242</v>
      </c>
      <c r="N5225" s="20" t="s">
        <v>3437</v>
      </c>
    </row>
    <row r="5226" spans="1:14" hidden="1" x14ac:dyDescent="0.25">
      <c r="A5226" s="19">
        <v>46054</v>
      </c>
      <c r="B5226" s="20" t="s">
        <v>2481</v>
      </c>
      <c r="C5226" s="20">
        <v>56</v>
      </c>
      <c r="D5226" s="20" t="s">
        <v>238</v>
      </c>
      <c r="E5226" s="20" t="s">
        <v>2341</v>
      </c>
      <c r="F5226" s="20" t="s">
        <v>285</v>
      </c>
      <c r="G5226" s="20" t="s">
        <v>63</v>
      </c>
      <c r="H5226" s="20" t="s">
        <v>1200</v>
      </c>
      <c r="I5226" s="20"/>
      <c r="J5226" s="20" t="s">
        <v>3346</v>
      </c>
      <c r="K5226" s="20" t="s">
        <v>241</v>
      </c>
      <c r="L5226" s="20">
        <v>1110000</v>
      </c>
      <c r="M5226" s="20" t="s">
        <v>242</v>
      </c>
      <c r="N5226" s="20" t="s">
        <v>1501</v>
      </c>
    </row>
    <row r="5227" spans="1:14" hidden="1" x14ac:dyDescent="0.25">
      <c r="A5227" s="19">
        <v>46054</v>
      </c>
      <c r="B5227" s="20" t="s">
        <v>2481</v>
      </c>
      <c r="C5227" s="20">
        <v>56</v>
      </c>
      <c r="D5227" s="20" t="s">
        <v>238</v>
      </c>
      <c r="E5227" s="20" t="s">
        <v>2341</v>
      </c>
      <c r="F5227" s="20" t="s">
        <v>285</v>
      </c>
      <c r="G5227" s="20" t="s">
        <v>63</v>
      </c>
      <c r="H5227" s="20"/>
      <c r="I5227" s="20"/>
      <c r="J5227" s="20" t="s">
        <v>3346</v>
      </c>
      <c r="K5227" s="20" t="s">
        <v>241</v>
      </c>
      <c r="L5227" s="20">
        <v>4030000</v>
      </c>
      <c r="M5227" s="20" t="s">
        <v>242</v>
      </c>
      <c r="N5227" s="20" t="s">
        <v>3425</v>
      </c>
    </row>
    <row r="5228" spans="1:14" hidden="1" x14ac:dyDescent="0.25">
      <c r="A5228" s="19">
        <v>46054</v>
      </c>
      <c r="B5228" s="20" t="s">
        <v>2481</v>
      </c>
      <c r="C5228" s="20">
        <v>57</v>
      </c>
      <c r="D5228" s="20" t="s">
        <v>238</v>
      </c>
      <c r="E5228" s="20" t="s">
        <v>2341</v>
      </c>
      <c r="F5228" s="20" t="s">
        <v>1194</v>
      </c>
      <c r="G5228" s="20" t="s">
        <v>82</v>
      </c>
      <c r="H5228" s="20"/>
      <c r="I5228" s="20"/>
      <c r="J5228" s="20" t="s">
        <v>206</v>
      </c>
      <c r="K5228" s="20" t="s">
        <v>250</v>
      </c>
      <c r="L5228" s="20">
        <v>27420000</v>
      </c>
      <c r="M5228" s="20" t="s">
        <v>242</v>
      </c>
      <c r="N5228" s="20" t="s">
        <v>3438</v>
      </c>
    </row>
    <row r="5229" spans="1:14" hidden="1" x14ac:dyDescent="0.25">
      <c r="A5229" s="19">
        <v>46054</v>
      </c>
      <c r="B5229" s="20" t="s">
        <v>2481</v>
      </c>
      <c r="C5229" s="20">
        <v>57</v>
      </c>
      <c r="D5229" s="20" t="s">
        <v>238</v>
      </c>
      <c r="E5229" s="20" t="s">
        <v>2341</v>
      </c>
      <c r="F5229" s="20" t="s">
        <v>2487</v>
      </c>
      <c r="G5229" s="20" t="s">
        <v>82</v>
      </c>
      <c r="H5229" s="20" t="s">
        <v>184</v>
      </c>
      <c r="I5229" s="20"/>
      <c r="J5229" s="20" t="s">
        <v>206</v>
      </c>
      <c r="K5229" s="20" t="s">
        <v>250</v>
      </c>
      <c r="L5229" s="20">
        <v>16580000</v>
      </c>
      <c r="M5229" s="20" t="s">
        <v>242</v>
      </c>
      <c r="N5229" s="20" t="s">
        <v>3333</v>
      </c>
    </row>
    <row r="5230" spans="1:14" hidden="1" x14ac:dyDescent="0.25">
      <c r="A5230" s="19">
        <v>46054</v>
      </c>
      <c r="B5230" s="20" t="s">
        <v>2481</v>
      </c>
      <c r="C5230" s="20">
        <v>57</v>
      </c>
      <c r="D5230" s="20" t="s">
        <v>238</v>
      </c>
      <c r="E5230" s="20" t="s">
        <v>2341</v>
      </c>
      <c r="F5230" s="20" t="s">
        <v>2488</v>
      </c>
      <c r="G5230" s="20" t="s">
        <v>82</v>
      </c>
      <c r="H5230" s="20" t="s">
        <v>185</v>
      </c>
      <c r="I5230" s="20"/>
      <c r="J5230" s="20" t="s">
        <v>206</v>
      </c>
      <c r="K5230" s="20" t="s">
        <v>250</v>
      </c>
      <c r="L5230" s="20">
        <v>10840000</v>
      </c>
      <c r="M5230" s="20" t="s">
        <v>242</v>
      </c>
      <c r="N5230" s="20" t="s">
        <v>3336</v>
      </c>
    </row>
    <row r="5231" spans="1:14" hidden="1" x14ac:dyDescent="0.25">
      <c r="A5231" s="19">
        <v>46054</v>
      </c>
      <c r="B5231" s="20" t="s">
        <v>2481</v>
      </c>
      <c r="C5231" s="20">
        <v>58</v>
      </c>
      <c r="D5231" s="20" t="s">
        <v>238</v>
      </c>
      <c r="E5231" s="20" t="s">
        <v>2341</v>
      </c>
      <c r="F5231" s="20" t="s">
        <v>1196</v>
      </c>
      <c r="G5231" s="20" t="s">
        <v>82</v>
      </c>
      <c r="H5231" s="20"/>
      <c r="I5231" s="20"/>
      <c r="J5231" s="20" t="s">
        <v>206</v>
      </c>
      <c r="K5231" s="20" t="s">
        <v>250</v>
      </c>
      <c r="L5231" s="20">
        <v>2350000000</v>
      </c>
      <c r="M5231" s="20" t="s">
        <v>245</v>
      </c>
      <c r="N5231" s="20" t="s">
        <v>3439</v>
      </c>
    </row>
    <row r="5232" spans="1:14" hidden="1" x14ac:dyDescent="0.25">
      <c r="A5232" s="19">
        <v>46054</v>
      </c>
      <c r="B5232" s="20" t="s">
        <v>2481</v>
      </c>
      <c r="C5232" s="20">
        <v>58</v>
      </c>
      <c r="D5232" s="20" t="s">
        <v>238</v>
      </c>
      <c r="E5232" s="20" t="s">
        <v>2341</v>
      </c>
      <c r="F5232" s="20" t="s">
        <v>2489</v>
      </c>
      <c r="G5232" s="20" t="s">
        <v>82</v>
      </c>
      <c r="H5232" s="20" t="s">
        <v>184</v>
      </c>
      <c r="I5232" s="20"/>
      <c r="J5232" s="20" t="s">
        <v>206</v>
      </c>
      <c r="K5232" s="20" t="s">
        <v>250</v>
      </c>
      <c r="L5232" s="20">
        <v>1790000000</v>
      </c>
      <c r="M5232" s="20" t="s">
        <v>245</v>
      </c>
      <c r="N5232" s="20" t="s">
        <v>3334</v>
      </c>
    </row>
    <row r="5233" spans="1:14" hidden="1" x14ac:dyDescent="0.25">
      <c r="A5233" s="19">
        <v>46054</v>
      </c>
      <c r="B5233" s="20" t="s">
        <v>2481</v>
      </c>
      <c r="C5233" s="20">
        <v>58</v>
      </c>
      <c r="D5233" s="20" t="s">
        <v>238</v>
      </c>
      <c r="E5233" s="20" t="s">
        <v>2341</v>
      </c>
      <c r="F5233" s="20" t="s">
        <v>2490</v>
      </c>
      <c r="G5233" s="20" t="s">
        <v>82</v>
      </c>
      <c r="H5233" s="20" t="s">
        <v>185</v>
      </c>
      <c r="I5233" s="20"/>
      <c r="J5233" s="20" t="s">
        <v>206</v>
      </c>
      <c r="K5233" s="20" t="s">
        <v>250</v>
      </c>
      <c r="L5233" s="20">
        <v>550000000</v>
      </c>
      <c r="M5233" s="20" t="s">
        <v>245</v>
      </c>
      <c r="N5233" s="20" t="s">
        <v>3337</v>
      </c>
    </row>
    <row r="5234" spans="1:14" hidden="1" x14ac:dyDescent="0.25">
      <c r="A5234" s="19">
        <v>46054</v>
      </c>
      <c r="B5234" s="20" t="s">
        <v>2481</v>
      </c>
      <c r="C5234" s="20">
        <v>59</v>
      </c>
      <c r="D5234" s="20" t="s">
        <v>238</v>
      </c>
      <c r="E5234" s="20" t="s">
        <v>2341</v>
      </c>
      <c r="F5234" s="20" t="s">
        <v>1213</v>
      </c>
      <c r="G5234" s="20" t="s">
        <v>82</v>
      </c>
      <c r="H5234" s="20"/>
      <c r="I5234" s="20"/>
      <c r="J5234" s="20" t="s">
        <v>206</v>
      </c>
      <c r="K5234" s="20" t="s">
        <v>250</v>
      </c>
      <c r="L5234" s="20">
        <v>85.5</v>
      </c>
      <c r="M5234" s="20" t="s">
        <v>245</v>
      </c>
      <c r="N5234" s="20" t="s">
        <v>3142</v>
      </c>
    </row>
    <row r="5235" spans="1:14" hidden="1" x14ac:dyDescent="0.25">
      <c r="A5235" s="19">
        <v>46054</v>
      </c>
      <c r="B5235" s="20" t="s">
        <v>2481</v>
      </c>
      <c r="C5235" s="20">
        <v>59</v>
      </c>
      <c r="D5235" s="20" t="s">
        <v>238</v>
      </c>
      <c r="E5235" s="20" t="s">
        <v>2341</v>
      </c>
      <c r="F5235" s="20" t="s">
        <v>2493</v>
      </c>
      <c r="G5235" s="20" t="s">
        <v>82</v>
      </c>
      <c r="H5235" s="20" t="s">
        <v>184</v>
      </c>
      <c r="I5235" s="20"/>
      <c r="J5235" s="20" t="s">
        <v>206</v>
      </c>
      <c r="K5235" s="20" t="s">
        <v>250</v>
      </c>
      <c r="L5235" s="20">
        <v>108.1</v>
      </c>
      <c r="M5235" s="20" t="s">
        <v>245</v>
      </c>
      <c r="N5235" s="20" t="s">
        <v>3440</v>
      </c>
    </row>
    <row r="5236" spans="1:14" hidden="1" x14ac:dyDescent="0.25">
      <c r="A5236" s="19">
        <v>46054</v>
      </c>
      <c r="B5236" s="20" t="s">
        <v>2481</v>
      </c>
      <c r="C5236" s="20">
        <v>59</v>
      </c>
      <c r="D5236" s="20" t="s">
        <v>238</v>
      </c>
      <c r="E5236" s="20" t="s">
        <v>2341</v>
      </c>
      <c r="F5236" s="20" t="s">
        <v>2495</v>
      </c>
      <c r="G5236" s="20" t="s">
        <v>82</v>
      </c>
      <c r="H5236" s="20" t="s">
        <v>185</v>
      </c>
      <c r="I5236" s="20"/>
      <c r="J5236" s="20" t="s">
        <v>206</v>
      </c>
      <c r="K5236" s="20" t="s">
        <v>250</v>
      </c>
      <c r="L5236" s="20">
        <v>51.1</v>
      </c>
      <c r="M5236" s="20" t="s">
        <v>245</v>
      </c>
      <c r="N5236" s="20" t="s">
        <v>3441</v>
      </c>
    </row>
    <row r="5237" spans="1:14" hidden="1" x14ac:dyDescent="0.25">
      <c r="A5237" s="19">
        <v>46054</v>
      </c>
      <c r="B5237" s="20" t="s">
        <v>120</v>
      </c>
      <c r="C5237" s="20">
        <v>61</v>
      </c>
      <c r="D5237" s="20" t="s">
        <v>238</v>
      </c>
      <c r="E5237" s="20" t="s">
        <v>2341</v>
      </c>
      <c r="F5237" s="20" t="s">
        <v>240</v>
      </c>
      <c r="G5237" s="20" t="s">
        <v>82</v>
      </c>
      <c r="H5237" s="20"/>
      <c r="I5237" s="20"/>
      <c r="J5237" s="20" t="s">
        <v>3346</v>
      </c>
      <c r="K5237" s="20" t="s">
        <v>241</v>
      </c>
      <c r="L5237" s="20">
        <v>13110000</v>
      </c>
      <c r="M5237" s="20" t="s">
        <v>242</v>
      </c>
      <c r="N5237" s="20" t="s">
        <v>3442</v>
      </c>
    </row>
    <row r="5238" spans="1:14" hidden="1" x14ac:dyDescent="0.25">
      <c r="A5238" s="19">
        <v>46054</v>
      </c>
      <c r="B5238" s="20" t="s">
        <v>120</v>
      </c>
      <c r="C5238" s="20">
        <v>61</v>
      </c>
      <c r="D5238" s="20" t="s">
        <v>238</v>
      </c>
      <c r="E5238" s="20" t="s">
        <v>2341</v>
      </c>
      <c r="F5238" s="20" t="s">
        <v>244</v>
      </c>
      <c r="G5238" s="20" t="s">
        <v>82</v>
      </c>
      <c r="H5238" s="20"/>
      <c r="I5238" s="20"/>
      <c r="J5238" s="20" t="s">
        <v>3346</v>
      </c>
      <c r="K5238" s="20" t="s">
        <v>241</v>
      </c>
      <c r="L5238" s="20">
        <v>2630000000</v>
      </c>
      <c r="M5238" s="20" t="s">
        <v>245</v>
      </c>
      <c r="N5238" s="20" t="s">
        <v>3443</v>
      </c>
    </row>
    <row r="5239" spans="1:14" hidden="1" x14ac:dyDescent="0.25">
      <c r="A5239" s="19">
        <v>46054</v>
      </c>
      <c r="B5239" s="20" t="s">
        <v>120</v>
      </c>
      <c r="C5239" s="20">
        <v>62</v>
      </c>
      <c r="D5239" s="20" t="s">
        <v>253</v>
      </c>
      <c r="E5239" s="20" t="s">
        <v>2359</v>
      </c>
      <c r="F5239" s="20" t="s">
        <v>285</v>
      </c>
      <c r="G5239" s="20" t="s">
        <v>63</v>
      </c>
      <c r="H5239" s="20"/>
      <c r="I5239" s="20"/>
      <c r="J5239" s="20" t="s">
        <v>204</v>
      </c>
      <c r="K5239" s="20" t="s">
        <v>255</v>
      </c>
      <c r="L5239" s="20">
        <v>5040000</v>
      </c>
      <c r="M5239" s="20" t="s">
        <v>242</v>
      </c>
      <c r="N5239" s="20" t="s">
        <v>486</v>
      </c>
    </row>
    <row r="5240" spans="1:14" hidden="1" x14ac:dyDescent="0.25">
      <c r="A5240" s="19">
        <v>46054</v>
      </c>
      <c r="B5240" s="20" t="s">
        <v>120</v>
      </c>
      <c r="C5240" s="20">
        <v>62</v>
      </c>
      <c r="D5240" s="20" t="s">
        <v>253</v>
      </c>
      <c r="E5240" s="20" t="s">
        <v>2359</v>
      </c>
      <c r="F5240" s="20" t="s">
        <v>285</v>
      </c>
      <c r="G5240" s="20" t="s">
        <v>63</v>
      </c>
      <c r="H5240" s="20"/>
      <c r="I5240" s="20"/>
      <c r="J5240" s="20" t="s">
        <v>205</v>
      </c>
      <c r="K5240" s="20" t="s">
        <v>255</v>
      </c>
      <c r="L5240" s="20">
        <v>5090000</v>
      </c>
      <c r="M5240" s="20" t="s">
        <v>242</v>
      </c>
      <c r="N5240" s="20" t="s">
        <v>3300</v>
      </c>
    </row>
    <row r="5241" spans="1:14" hidden="1" x14ac:dyDescent="0.25">
      <c r="A5241" s="19">
        <v>46054</v>
      </c>
      <c r="B5241" s="20" t="s">
        <v>120</v>
      </c>
      <c r="C5241" s="20">
        <v>62</v>
      </c>
      <c r="D5241" s="20" t="s">
        <v>253</v>
      </c>
      <c r="E5241" s="20" t="s">
        <v>2359</v>
      </c>
      <c r="F5241" s="20" t="s">
        <v>285</v>
      </c>
      <c r="G5241" s="20" t="s">
        <v>63</v>
      </c>
      <c r="H5241" s="20"/>
      <c r="I5241" s="20"/>
      <c r="J5241" s="20" t="s">
        <v>206</v>
      </c>
      <c r="K5241" s="20" t="s">
        <v>255</v>
      </c>
      <c r="L5241" s="20">
        <v>5130000</v>
      </c>
      <c r="M5241" s="20" t="s">
        <v>242</v>
      </c>
      <c r="N5241" s="20" t="s">
        <v>484</v>
      </c>
    </row>
    <row r="5242" spans="1:14" hidden="1" x14ac:dyDescent="0.25">
      <c r="A5242" s="19">
        <v>46054</v>
      </c>
      <c r="B5242" s="20" t="s">
        <v>120</v>
      </c>
      <c r="C5242" s="20">
        <v>62</v>
      </c>
      <c r="D5242" s="20" t="s">
        <v>247</v>
      </c>
      <c r="E5242" s="20" t="s">
        <v>2554</v>
      </c>
      <c r="F5242" s="20" t="s">
        <v>2555</v>
      </c>
      <c r="G5242" s="20" t="s">
        <v>63</v>
      </c>
      <c r="H5242" s="20" t="s">
        <v>286</v>
      </c>
      <c r="I5242" s="20"/>
      <c r="J5242" s="20" t="s">
        <v>206</v>
      </c>
      <c r="K5242" s="20" t="s">
        <v>250</v>
      </c>
      <c r="L5242" s="20">
        <v>0.9</v>
      </c>
      <c r="M5242" s="20" t="s">
        <v>251</v>
      </c>
      <c r="N5242" s="20" t="s">
        <v>845</v>
      </c>
    </row>
    <row r="5243" spans="1:14" hidden="1" x14ac:dyDescent="0.25">
      <c r="A5243" s="19">
        <v>46054</v>
      </c>
      <c r="B5243" s="20" t="s">
        <v>120</v>
      </c>
      <c r="C5243" s="20">
        <v>63</v>
      </c>
      <c r="D5243" s="20" t="s">
        <v>291</v>
      </c>
      <c r="E5243" s="20" t="s">
        <v>2361</v>
      </c>
      <c r="F5243" s="20" t="s">
        <v>285</v>
      </c>
      <c r="G5243" s="20" t="s">
        <v>63</v>
      </c>
      <c r="H5243" s="20" t="s">
        <v>122</v>
      </c>
      <c r="I5243" s="20"/>
      <c r="J5243" s="20" t="s">
        <v>206</v>
      </c>
      <c r="K5243" s="20" t="s">
        <v>250</v>
      </c>
      <c r="L5243" s="20">
        <v>5090000</v>
      </c>
      <c r="M5243" s="20" t="s">
        <v>242</v>
      </c>
      <c r="N5243" s="20" t="s">
        <v>883</v>
      </c>
    </row>
    <row r="5244" spans="1:14" hidden="1" x14ac:dyDescent="0.25">
      <c r="A5244" s="19">
        <v>46054</v>
      </c>
      <c r="B5244" s="20" t="s">
        <v>120</v>
      </c>
      <c r="C5244" s="20">
        <v>63</v>
      </c>
      <c r="D5244" s="20" t="s">
        <v>291</v>
      </c>
      <c r="E5244" s="20" t="s">
        <v>2361</v>
      </c>
      <c r="F5244" s="20" t="s">
        <v>285</v>
      </c>
      <c r="G5244" s="20" t="s">
        <v>63</v>
      </c>
      <c r="H5244" s="20" t="s">
        <v>123</v>
      </c>
      <c r="I5244" s="20"/>
      <c r="J5244" s="20" t="s">
        <v>206</v>
      </c>
      <c r="K5244" s="20" t="s">
        <v>250</v>
      </c>
      <c r="L5244" s="20">
        <v>43500</v>
      </c>
      <c r="M5244" s="20" t="s">
        <v>242</v>
      </c>
      <c r="N5244" s="20" t="s">
        <v>3444</v>
      </c>
    </row>
    <row r="5245" spans="1:14" hidden="1" x14ac:dyDescent="0.25">
      <c r="A5245" s="19">
        <v>46054</v>
      </c>
      <c r="B5245" s="20" t="s">
        <v>120</v>
      </c>
      <c r="C5245" s="20">
        <v>63</v>
      </c>
      <c r="D5245" s="20" t="s">
        <v>238</v>
      </c>
      <c r="E5245" s="20" t="s">
        <v>2341</v>
      </c>
      <c r="F5245" s="20" t="s">
        <v>376</v>
      </c>
      <c r="G5245" s="20" t="s">
        <v>63</v>
      </c>
      <c r="H5245" s="20"/>
      <c r="I5245" s="20"/>
      <c r="J5245" s="20" t="s">
        <v>206</v>
      </c>
      <c r="K5245" s="20" t="s">
        <v>250</v>
      </c>
      <c r="L5245" s="20">
        <v>5130000</v>
      </c>
      <c r="M5245" s="20" t="s">
        <v>242</v>
      </c>
      <c r="N5245" s="20" t="s">
        <v>2817</v>
      </c>
    </row>
    <row r="5246" spans="1:14" hidden="1" x14ac:dyDescent="0.25">
      <c r="A5246" s="19">
        <v>46054</v>
      </c>
      <c r="B5246" s="20" t="s">
        <v>120</v>
      </c>
      <c r="C5246" s="20">
        <v>64</v>
      </c>
      <c r="D5246" s="20" t="s">
        <v>238</v>
      </c>
      <c r="E5246" s="20" t="s">
        <v>2341</v>
      </c>
      <c r="F5246" s="20" t="s">
        <v>378</v>
      </c>
      <c r="G5246" s="20" t="s">
        <v>379</v>
      </c>
      <c r="H5246" s="20"/>
      <c r="I5246" s="20"/>
      <c r="J5246" s="20" t="s">
        <v>206</v>
      </c>
      <c r="K5246" s="20" t="s">
        <v>250</v>
      </c>
      <c r="L5246" s="20">
        <v>698</v>
      </c>
      <c r="M5246" s="20" t="s">
        <v>242</v>
      </c>
      <c r="N5246" s="20" t="s">
        <v>3338</v>
      </c>
    </row>
    <row r="5247" spans="1:14" hidden="1" x14ac:dyDescent="0.25">
      <c r="A5247" s="19">
        <v>46054</v>
      </c>
      <c r="B5247" s="20" t="s">
        <v>120</v>
      </c>
      <c r="C5247" s="20">
        <v>64</v>
      </c>
      <c r="D5247" s="20" t="s">
        <v>238</v>
      </c>
      <c r="E5247" s="20" t="s">
        <v>2341</v>
      </c>
      <c r="F5247" s="20" t="s">
        <v>381</v>
      </c>
      <c r="G5247" s="20" t="s">
        <v>382</v>
      </c>
      <c r="H5247" s="20"/>
      <c r="I5247" s="20"/>
      <c r="J5247" s="20" t="s">
        <v>206</v>
      </c>
      <c r="K5247" s="20" t="s">
        <v>250</v>
      </c>
      <c r="L5247" s="20">
        <v>2388</v>
      </c>
      <c r="M5247" s="20" t="s">
        <v>242</v>
      </c>
      <c r="N5247" s="20" t="s">
        <v>3339</v>
      </c>
    </row>
    <row r="5248" spans="1:14" hidden="1" x14ac:dyDescent="0.25">
      <c r="A5248" s="19">
        <v>46054</v>
      </c>
      <c r="B5248" s="20" t="s">
        <v>120</v>
      </c>
      <c r="C5248" s="20">
        <v>65</v>
      </c>
      <c r="D5248" s="20" t="s">
        <v>253</v>
      </c>
      <c r="E5248" s="20" t="s">
        <v>2359</v>
      </c>
      <c r="F5248" s="20" t="s">
        <v>240</v>
      </c>
      <c r="G5248" s="20" t="s">
        <v>82</v>
      </c>
      <c r="H5248" s="20"/>
      <c r="I5248" s="20"/>
      <c r="J5248" s="20" t="s">
        <v>204</v>
      </c>
      <c r="K5248" s="20" t="s">
        <v>255</v>
      </c>
      <c r="L5248" s="20">
        <v>7030000</v>
      </c>
      <c r="M5248" s="20" t="s">
        <v>242</v>
      </c>
      <c r="N5248" s="20" t="s">
        <v>3148</v>
      </c>
    </row>
    <row r="5249" spans="1:14" hidden="1" x14ac:dyDescent="0.25">
      <c r="A5249" s="19">
        <v>46054</v>
      </c>
      <c r="B5249" s="20" t="s">
        <v>120</v>
      </c>
      <c r="C5249" s="20">
        <v>65</v>
      </c>
      <c r="D5249" s="20" t="s">
        <v>253</v>
      </c>
      <c r="E5249" s="20" t="s">
        <v>2359</v>
      </c>
      <c r="F5249" s="20" t="s">
        <v>240</v>
      </c>
      <c r="G5249" s="20" t="s">
        <v>82</v>
      </c>
      <c r="H5249" s="20"/>
      <c r="I5249" s="20"/>
      <c r="J5249" s="20" t="s">
        <v>205</v>
      </c>
      <c r="K5249" s="20" t="s">
        <v>255</v>
      </c>
      <c r="L5249" s="20">
        <v>6530000</v>
      </c>
      <c r="M5249" s="20" t="s">
        <v>242</v>
      </c>
      <c r="N5249" s="20" t="s">
        <v>3302</v>
      </c>
    </row>
    <row r="5250" spans="1:14" hidden="1" x14ac:dyDescent="0.25">
      <c r="A5250" s="19">
        <v>46054</v>
      </c>
      <c r="B5250" s="20" t="s">
        <v>120</v>
      </c>
      <c r="C5250" s="20">
        <v>65</v>
      </c>
      <c r="D5250" s="20" t="s">
        <v>253</v>
      </c>
      <c r="E5250" s="20" t="s">
        <v>2359</v>
      </c>
      <c r="F5250" s="20" t="s">
        <v>240</v>
      </c>
      <c r="G5250" s="20" t="s">
        <v>82</v>
      </c>
      <c r="H5250" s="20"/>
      <c r="I5250" s="20"/>
      <c r="J5250" s="20" t="s">
        <v>206</v>
      </c>
      <c r="K5250" s="20" t="s">
        <v>255</v>
      </c>
      <c r="L5250" s="20">
        <v>6580000</v>
      </c>
      <c r="M5250" s="20" t="s">
        <v>242</v>
      </c>
      <c r="N5250" s="20" t="s">
        <v>2232</v>
      </c>
    </row>
    <row r="5251" spans="1:14" hidden="1" x14ac:dyDescent="0.25">
      <c r="A5251" s="19">
        <v>46054</v>
      </c>
      <c r="B5251" s="20" t="s">
        <v>120</v>
      </c>
      <c r="C5251" s="20">
        <v>65</v>
      </c>
      <c r="D5251" s="20" t="s">
        <v>247</v>
      </c>
      <c r="E5251" s="20" t="s">
        <v>2554</v>
      </c>
      <c r="F5251" s="20" t="s">
        <v>2556</v>
      </c>
      <c r="G5251" s="20" t="s">
        <v>82</v>
      </c>
      <c r="H5251" s="20" t="s">
        <v>286</v>
      </c>
      <c r="I5251" s="20"/>
      <c r="J5251" s="20" t="s">
        <v>206</v>
      </c>
      <c r="K5251" s="20" t="s">
        <v>250</v>
      </c>
      <c r="L5251" s="20">
        <v>0.7</v>
      </c>
      <c r="M5251" s="20" t="s">
        <v>251</v>
      </c>
      <c r="N5251" s="20" t="s">
        <v>810</v>
      </c>
    </row>
    <row r="5252" spans="1:14" hidden="1" x14ac:dyDescent="0.25">
      <c r="A5252" s="19">
        <v>46054</v>
      </c>
      <c r="B5252" s="20" t="s">
        <v>120</v>
      </c>
      <c r="C5252" s="20">
        <v>66</v>
      </c>
      <c r="D5252" s="20" t="s">
        <v>291</v>
      </c>
      <c r="E5252" s="20" t="s">
        <v>2361</v>
      </c>
      <c r="F5252" s="20" t="s">
        <v>2502</v>
      </c>
      <c r="G5252" s="20" t="s">
        <v>82</v>
      </c>
      <c r="H5252" s="20" t="s">
        <v>131</v>
      </c>
      <c r="I5252" s="20"/>
      <c r="J5252" s="20" t="s">
        <v>206</v>
      </c>
      <c r="K5252" s="20" t="s">
        <v>250</v>
      </c>
      <c r="L5252" s="20">
        <v>26000</v>
      </c>
      <c r="M5252" s="20" t="s">
        <v>242</v>
      </c>
      <c r="N5252" s="20" t="s">
        <v>2374</v>
      </c>
    </row>
    <row r="5253" spans="1:14" hidden="1" x14ac:dyDescent="0.25">
      <c r="A5253" s="19">
        <v>46054</v>
      </c>
      <c r="B5253" s="20" t="s">
        <v>120</v>
      </c>
      <c r="C5253" s="20">
        <v>66</v>
      </c>
      <c r="D5253" s="20" t="s">
        <v>291</v>
      </c>
      <c r="E5253" s="20" t="s">
        <v>2361</v>
      </c>
      <c r="F5253" s="20" t="s">
        <v>2502</v>
      </c>
      <c r="G5253" s="20" t="s">
        <v>82</v>
      </c>
      <c r="H5253" s="20" t="s">
        <v>128</v>
      </c>
      <c r="I5253" s="20"/>
      <c r="J5253" s="20" t="s">
        <v>206</v>
      </c>
      <c r="K5253" s="20" t="s">
        <v>250</v>
      </c>
      <c r="L5253" s="20">
        <v>33000</v>
      </c>
      <c r="M5253" s="20" t="s">
        <v>242</v>
      </c>
      <c r="N5253" s="20" t="s">
        <v>2503</v>
      </c>
    </row>
    <row r="5254" spans="1:14" hidden="1" x14ac:dyDescent="0.25">
      <c r="A5254" s="19">
        <v>46054</v>
      </c>
      <c r="B5254" s="20" t="s">
        <v>120</v>
      </c>
      <c r="C5254" s="20">
        <v>66</v>
      </c>
      <c r="D5254" s="20" t="s">
        <v>291</v>
      </c>
      <c r="E5254" s="20" t="s">
        <v>2361</v>
      </c>
      <c r="F5254" s="20" t="s">
        <v>2502</v>
      </c>
      <c r="G5254" s="20" t="s">
        <v>82</v>
      </c>
      <c r="H5254" s="20" t="s">
        <v>125</v>
      </c>
      <c r="I5254" s="20"/>
      <c r="J5254" s="20" t="s">
        <v>206</v>
      </c>
      <c r="K5254" s="20" t="s">
        <v>250</v>
      </c>
      <c r="L5254" s="20">
        <v>48000</v>
      </c>
      <c r="M5254" s="20" t="s">
        <v>242</v>
      </c>
      <c r="N5254" s="20" t="s">
        <v>3445</v>
      </c>
    </row>
    <row r="5255" spans="1:14" hidden="1" x14ac:dyDescent="0.25">
      <c r="A5255" s="19">
        <v>46054</v>
      </c>
      <c r="B5255" s="20" t="s">
        <v>120</v>
      </c>
      <c r="C5255" s="20">
        <v>66</v>
      </c>
      <c r="D5255" s="20" t="s">
        <v>291</v>
      </c>
      <c r="E5255" s="20" t="s">
        <v>2361</v>
      </c>
      <c r="F5255" s="20" t="s">
        <v>2502</v>
      </c>
      <c r="G5255" s="20" t="s">
        <v>82</v>
      </c>
      <c r="H5255" s="20" t="s">
        <v>132</v>
      </c>
      <c r="I5255" s="20"/>
      <c r="J5255" s="20" t="s">
        <v>206</v>
      </c>
      <c r="K5255" s="20" t="s">
        <v>250</v>
      </c>
      <c r="L5255" s="20">
        <v>50000</v>
      </c>
      <c r="M5255" s="20" t="s">
        <v>242</v>
      </c>
      <c r="N5255" s="20" t="s">
        <v>3303</v>
      </c>
    </row>
    <row r="5256" spans="1:14" hidden="1" x14ac:dyDescent="0.25">
      <c r="A5256" s="19">
        <v>46054</v>
      </c>
      <c r="B5256" s="20" t="s">
        <v>120</v>
      </c>
      <c r="C5256" s="20">
        <v>66</v>
      </c>
      <c r="D5256" s="20" t="s">
        <v>291</v>
      </c>
      <c r="E5256" s="20" t="s">
        <v>2361</v>
      </c>
      <c r="F5256" s="20" t="s">
        <v>2502</v>
      </c>
      <c r="G5256" s="20" t="s">
        <v>82</v>
      </c>
      <c r="H5256" s="20" t="s">
        <v>126</v>
      </c>
      <c r="I5256" s="20"/>
      <c r="J5256" s="20" t="s">
        <v>206</v>
      </c>
      <c r="K5256" s="20" t="s">
        <v>250</v>
      </c>
      <c r="L5256" s="20">
        <v>244000</v>
      </c>
      <c r="M5256" s="20" t="s">
        <v>242</v>
      </c>
      <c r="N5256" s="20" t="s">
        <v>3446</v>
      </c>
    </row>
    <row r="5257" spans="1:14" hidden="1" x14ac:dyDescent="0.25">
      <c r="A5257" s="19">
        <v>46054</v>
      </c>
      <c r="B5257" s="20" t="s">
        <v>120</v>
      </c>
      <c r="C5257" s="20">
        <v>66</v>
      </c>
      <c r="D5257" s="20" t="s">
        <v>291</v>
      </c>
      <c r="E5257" s="20" t="s">
        <v>2361</v>
      </c>
      <c r="F5257" s="20" t="s">
        <v>2502</v>
      </c>
      <c r="G5257" s="20" t="s">
        <v>82</v>
      </c>
      <c r="H5257" s="20" t="s">
        <v>127</v>
      </c>
      <c r="I5257" s="20"/>
      <c r="J5257" s="20" t="s">
        <v>206</v>
      </c>
      <c r="K5257" s="20" t="s">
        <v>250</v>
      </c>
      <c r="L5257" s="20">
        <v>297000</v>
      </c>
      <c r="M5257" s="20" t="s">
        <v>242</v>
      </c>
      <c r="N5257" s="20" t="s">
        <v>3447</v>
      </c>
    </row>
    <row r="5258" spans="1:14" hidden="1" x14ac:dyDescent="0.25">
      <c r="A5258" s="19">
        <v>46054</v>
      </c>
      <c r="B5258" s="20" t="s">
        <v>120</v>
      </c>
      <c r="C5258" s="20">
        <v>66</v>
      </c>
      <c r="D5258" s="20" t="s">
        <v>291</v>
      </c>
      <c r="E5258" s="20" t="s">
        <v>2361</v>
      </c>
      <c r="F5258" s="20" t="s">
        <v>2502</v>
      </c>
      <c r="G5258" s="20" t="s">
        <v>82</v>
      </c>
      <c r="H5258" s="20" t="s">
        <v>133</v>
      </c>
      <c r="I5258" s="20"/>
      <c r="J5258" s="20" t="s">
        <v>206</v>
      </c>
      <c r="K5258" s="20" t="s">
        <v>250</v>
      </c>
      <c r="L5258" s="20">
        <v>540000</v>
      </c>
      <c r="M5258" s="20" t="s">
        <v>242</v>
      </c>
      <c r="N5258" s="20" t="s">
        <v>3082</v>
      </c>
    </row>
    <row r="5259" spans="1:14" hidden="1" x14ac:dyDescent="0.25">
      <c r="A5259" s="19">
        <v>46054</v>
      </c>
      <c r="B5259" s="20" t="s">
        <v>120</v>
      </c>
      <c r="C5259" s="20">
        <v>66</v>
      </c>
      <c r="D5259" s="20" t="s">
        <v>291</v>
      </c>
      <c r="E5259" s="20" t="s">
        <v>2361</v>
      </c>
      <c r="F5259" s="20" t="s">
        <v>2502</v>
      </c>
      <c r="G5259" s="20" t="s">
        <v>82</v>
      </c>
      <c r="H5259" s="20" t="s">
        <v>129</v>
      </c>
      <c r="I5259" s="20"/>
      <c r="J5259" s="20" t="s">
        <v>206</v>
      </c>
      <c r="K5259" s="20" t="s">
        <v>250</v>
      </c>
      <c r="L5259" s="20">
        <v>1520000</v>
      </c>
      <c r="M5259" s="20" t="s">
        <v>242</v>
      </c>
      <c r="N5259" s="20" t="s">
        <v>3448</v>
      </c>
    </row>
    <row r="5260" spans="1:14" hidden="1" x14ac:dyDescent="0.25">
      <c r="A5260" s="19">
        <v>46054</v>
      </c>
      <c r="B5260" s="20" t="s">
        <v>120</v>
      </c>
      <c r="C5260" s="20">
        <v>66</v>
      </c>
      <c r="D5260" s="20" t="s">
        <v>291</v>
      </c>
      <c r="E5260" s="20" t="s">
        <v>2361</v>
      </c>
      <c r="F5260" s="20" t="s">
        <v>2502</v>
      </c>
      <c r="G5260" s="20" t="s">
        <v>82</v>
      </c>
      <c r="H5260" s="20" t="s">
        <v>134</v>
      </c>
      <c r="I5260" s="20"/>
      <c r="J5260" s="20" t="s">
        <v>206</v>
      </c>
      <c r="K5260" s="20" t="s">
        <v>250</v>
      </c>
      <c r="L5260" s="20">
        <v>1780000</v>
      </c>
      <c r="M5260" s="20" t="s">
        <v>242</v>
      </c>
      <c r="N5260" s="20" t="s">
        <v>1650</v>
      </c>
    </row>
    <row r="5261" spans="1:14" hidden="1" x14ac:dyDescent="0.25">
      <c r="A5261" s="19">
        <v>46054</v>
      </c>
      <c r="B5261" s="20" t="s">
        <v>120</v>
      </c>
      <c r="C5261" s="20">
        <v>66</v>
      </c>
      <c r="D5261" s="20" t="s">
        <v>291</v>
      </c>
      <c r="E5261" s="20" t="s">
        <v>2361</v>
      </c>
      <c r="F5261" s="20" t="s">
        <v>2502</v>
      </c>
      <c r="G5261" s="20" t="s">
        <v>82</v>
      </c>
      <c r="H5261" s="20" t="s">
        <v>130</v>
      </c>
      <c r="I5261" s="20"/>
      <c r="J5261" s="20" t="s">
        <v>206</v>
      </c>
      <c r="K5261" s="20" t="s">
        <v>250</v>
      </c>
      <c r="L5261" s="20">
        <v>1950000</v>
      </c>
      <c r="M5261" s="20" t="s">
        <v>242</v>
      </c>
      <c r="N5261" s="20" t="s">
        <v>2591</v>
      </c>
    </row>
    <row r="5262" spans="1:14" hidden="1" x14ac:dyDescent="0.25">
      <c r="A5262" s="19">
        <v>46054</v>
      </c>
      <c r="B5262" s="20" t="s">
        <v>120</v>
      </c>
      <c r="C5262" s="20">
        <v>67</v>
      </c>
      <c r="D5262" s="20" t="s">
        <v>291</v>
      </c>
      <c r="E5262" s="20" t="s">
        <v>2361</v>
      </c>
      <c r="F5262" s="20" t="s">
        <v>2510</v>
      </c>
      <c r="G5262" s="20" t="s">
        <v>82</v>
      </c>
      <c r="H5262" s="20" t="s">
        <v>138</v>
      </c>
      <c r="I5262" s="20"/>
      <c r="J5262" s="20" t="s">
        <v>206</v>
      </c>
      <c r="K5262" s="20" t="s">
        <v>250</v>
      </c>
      <c r="L5262" s="20">
        <v>5330000</v>
      </c>
      <c r="M5262" s="20" t="s">
        <v>242</v>
      </c>
      <c r="N5262" s="20" t="s">
        <v>3449</v>
      </c>
    </row>
    <row r="5263" spans="1:14" hidden="1" x14ac:dyDescent="0.25">
      <c r="A5263" s="19">
        <v>46054</v>
      </c>
      <c r="B5263" s="20" t="s">
        <v>120</v>
      </c>
      <c r="C5263" s="20">
        <v>67</v>
      </c>
      <c r="D5263" s="20" t="s">
        <v>291</v>
      </c>
      <c r="E5263" s="20" t="s">
        <v>2361</v>
      </c>
      <c r="F5263" s="20" t="s">
        <v>2510</v>
      </c>
      <c r="G5263" s="20" t="s">
        <v>82</v>
      </c>
      <c r="H5263" s="20" t="s">
        <v>137</v>
      </c>
      <c r="I5263" s="20"/>
      <c r="J5263" s="20" t="s">
        <v>206</v>
      </c>
      <c r="K5263" s="20" t="s">
        <v>250</v>
      </c>
      <c r="L5263" s="20">
        <v>1250000</v>
      </c>
      <c r="M5263" s="20" t="s">
        <v>242</v>
      </c>
      <c r="N5263" s="20" t="s">
        <v>3307</v>
      </c>
    </row>
    <row r="5264" spans="1:14" hidden="1" x14ac:dyDescent="0.25">
      <c r="A5264" s="19">
        <v>46054</v>
      </c>
      <c r="B5264" s="20" t="s">
        <v>120</v>
      </c>
      <c r="C5264" s="20">
        <v>68</v>
      </c>
      <c r="D5264" s="20" t="s">
        <v>253</v>
      </c>
      <c r="E5264" s="20" t="s">
        <v>2359</v>
      </c>
      <c r="F5264" s="20" t="s">
        <v>244</v>
      </c>
      <c r="G5264" s="20" t="s">
        <v>82</v>
      </c>
      <c r="H5264" s="20"/>
      <c r="I5264" s="20"/>
      <c r="J5264" s="20" t="s">
        <v>204</v>
      </c>
      <c r="K5264" s="20" t="s">
        <v>255</v>
      </c>
      <c r="L5264" s="20">
        <v>1600000000</v>
      </c>
      <c r="M5264" s="20" t="s">
        <v>245</v>
      </c>
      <c r="N5264" s="20" t="s">
        <v>438</v>
      </c>
    </row>
    <row r="5265" spans="1:14" hidden="1" x14ac:dyDescent="0.25">
      <c r="A5265" s="19">
        <v>46054</v>
      </c>
      <c r="B5265" s="20" t="s">
        <v>120</v>
      </c>
      <c r="C5265" s="20">
        <v>68</v>
      </c>
      <c r="D5265" s="20" t="s">
        <v>253</v>
      </c>
      <c r="E5265" s="20" t="s">
        <v>2359</v>
      </c>
      <c r="F5265" s="20" t="s">
        <v>244</v>
      </c>
      <c r="G5265" s="20" t="s">
        <v>82</v>
      </c>
      <c r="H5265" s="20"/>
      <c r="I5265" s="20"/>
      <c r="J5265" s="20" t="s">
        <v>205</v>
      </c>
      <c r="K5265" s="20" t="s">
        <v>255</v>
      </c>
      <c r="L5265" s="20">
        <v>1390000000</v>
      </c>
      <c r="M5265" s="20" t="s">
        <v>245</v>
      </c>
      <c r="N5265" s="20" t="s">
        <v>678</v>
      </c>
    </row>
    <row r="5266" spans="1:14" hidden="1" x14ac:dyDescent="0.25">
      <c r="A5266" s="19">
        <v>46054</v>
      </c>
      <c r="B5266" s="20" t="s">
        <v>120</v>
      </c>
      <c r="C5266" s="20">
        <v>68</v>
      </c>
      <c r="D5266" s="20" t="s">
        <v>253</v>
      </c>
      <c r="E5266" s="20" t="s">
        <v>2359</v>
      </c>
      <c r="F5266" s="20" t="s">
        <v>244</v>
      </c>
      <c r="G5266" s="20" t="s">
        <v>82</v>
      </c>
      <c r="H5266" s="20"/>
      <c r="I5266" s="20"/>
      <c r="J5266" s="20" t="s">
        <v>206</v>
      </c>
      <c r="K5266" s="20" t="s">
        <v>255</v>
      </c>
      <c r="L5266" s="20">
        <v>1240000000</v>
      </c>
      <c r="M5266" s="20" t="s">
        <v>245</v>
      </c>
      <c r="N5266" s="20" t="s">
        <v>400</v>
      </c>
    </row>
    <row r="5267" spans="1:14" hidden="1" x14ac:dyDescent="0.25">
      <c r="A5267" s="19">
        <v>46054</v>
      </c>
      <c r="B5267" s="20" t="s">
        <v>120</v>
      </c>
      <c r="C5267" s="20">
        <v>68</v>
      </c>
      <c r="D5267" s="20" t="s">
        <v>247</v>
      </c>
      <c r="E5267" s="20" t="s">
        <v>2554</v>
      </c>
      <c r="F5267" s="20" t="s">
        <v>2558</v>
      </c>
      <c r="G5267" s="20" t="s">
        <v>82</v>
      </c>
      <c r="H5267" s="20" t="s">
        <v>249</v>
      </c>
      <c r="I5267" s="20"/>
      <c r="J5267" s="20" t="s">
        <v>206</v>
      </c>
      <c r="K5267" s="20" t="s">
        <v>250</v>
      </c>
      <c r="L5267" s="20">
        <v>11.2</v>
      </c>
      <c r="M5267" s="20" t="s">
        <v>251</v>
      </c>
      <c r="N5267" s="20" t="s">
        <v>961</v>
      </c>
    </row>
    <row r="5268" spans="1:14" hidden="1" x14ac:dyDescent="0.25">
      <c r="A5268" s="19">
        <v>46054</v>
      </c>
      <c r="B5268" s="20" t="s">
        <v>120</v>
      </c>
      <c r="C5268" s="20">
        <v>69</v>
      </c>
      <c r="D5268" s="20" t="s">
        <v>291</v>
      </c>
      <c r="E5268" s="20" t="s">
        <v>2361</v>
      </c>
      <c r="F5268" s="20" t="s">
        <v>2514</v>
      </c>
      <c r="G5268" s="20" t="s">
        <v>82</v>
      </c>
      <c r="H5268" s="20" t="s">
        <v>132</v>
      </c>
      <c r="I5268" s="20"/>
      <c r="J5268" s="20" t="s">
        <v>206</v>
      </c>
      <c r="K5268" s="20" t="s">
        <v>250</v>
      </c>
      <c r="L5268" s="20">
        <v>6000000</v>
      </c>
      <c r="M5268" s="20" t="s">
        <v>245</v>
      </c>
      <c r="N5268" s="20" t="s">
        <v>2695</v>
      </c>
    </row>
    <row r="5269" spans="1:14" hidden="1" x14ac:dyDescent="0.25">
      <c r="A5269" s="19">
        <v>46054</v>
      </c>
      <c r="B5269" s="20" t="s">
        <v>120</v>
      </c>
      <c r="C5269" s="20">
        <v>69</v>
      </c>
      <c r="D5269" s="20" t="s">
        <v>291</v>
      </c>
      <c r="E5269" s="20" t="s">
        <v>2361</v>
      </c>
      <c r="F5269" s="20" t="s">
        <v>2514</v>
      </c>
      <c r="G5269" s="20" t="s">
        <v>82</v>
      </c>
      <c r="H5269" s="20" t="s">
        <v>131</v>
      </c>
      <c r="I5269" s="20"/>
      <c r="J5269" s="20" t="s">
        <v>206</v>
      </c>
      <c r="K5269" s="20" t="s">
        <v>250</v>
      </c>
      <c r="L5269" s="20">
        <v>11000000</v>
      </c>
      <c r="M5269" s="20" t="s">
        <v>245</v>
      </c>
      <c r="N5269" s="20" t="s">
        <v>3450</v>
      </c>
    </row>
    <row r="5270" spans="1:14" hidden="1" x14ac:dyDescent="0.25">
      <c r="A5270" s="19">
        <v>46054</v>
      </c>
      <c r="B5270" s="20" t="s">
        <v>120</v>
      </c>
      <c r="C5270" s="20">
        <v>69</v>
      </c>
      <c r="D5270" s="20" t="s">
        <v>291</v>
      </c>
      <c r="E5270" s="20" t="s">
        <v>2361</v>
      </c>
      <c r="F5270" s="20" t="s">
        <v>2514</v>
      </c>
      <c r="G5270" s="20" t="s">
        <v>82</v>
      </c>
      <c r="H5270" s="20" t="s">
        <v>128</v>
      </c>
      <c r="I5270" s="20"/>
      <c r="J5270" s="20" t="s">
        <v>206</v>
      </c>
      <c r="K5270" s="20" t="s">
        <v>250</v>
      </c>
      <c r="L5270" s="20">
        <v>14000000</v>
      </c>
      <c r="M5270" s="20" t="s">
        <v>245</v>
      </c>
      <c r="N5270" s="20" t="s">
        <v>2516</v>
      </c>
    </row>
    <row r="5271" spans="1:14" hidden="1" x14ac:dyDescent="0.25">
      <c r="A5271" s="19">
        <v>46054</v>
      </c>
      <c r="B5271" s="20" t="s">
        <v>120</v>
      </c>
      <c r="C5271" s="20">
        <v>69</v>
      </c>
      <c r="D5271" s="20" t="s">
        <v>291</v>
      </c>
      <c r="E5271" s="20" t="s">
        <v>2361</v>
      </c>
      <c r="F5271" s="20" t="s">
        <v>2514</v>
      </c>
      <c r="G5271" s="20" t="s">
        <v>82</v>
      </c>
      <c r="H5271" s="20" t="s">
        <v>140</v>
      </c>
      <c r="I5271" s="20"/>
      <c r="J5271" s="20" t="s">
        <v>206</v>
      </c>
      <c r="K5271" s="20" t="s">
        <v>250</v>
      </c>
      <c r="L5271" s="20">
        <v>16000000</v>
      </c>
      <c r="M5271" s="20" t="s">
        <v>245</v>
      </c>
      <c r="N5271" s="20" t="s">
        <v>3156</v>
      </c>
    </row>
    <row r="5272" spans="1:14" hidden="1" x14ac:dyDescent="0.25">
      <c r="A5272" s="19">
        <v>46054</v>
      </c>
      <c r="B5272" s="20" t="s">
        <v>120</v>
      </c>
      <c r="C5272" s="20">
        <v>69</v>
      </c>
      <c r="D5272" s="20" t="s">
        <v>291</v>
      </c>
      <c r="E5272" s="20" t="s">
        <v>2361</v>
      </c>
      <c r="F5272" s="20" t="s">
        <v>2514</v>
      </c>
      <c r="G5272" s="20" t="s">
        <v>82</v>
      </c>
      <c r="H5272" s="20" t="s">
        <v>130</v>
      </c>
      <c r="I5272" s="20"/>
      <c r="J5272" s="20" t="s">
        <v>206</v>
      </c>
      <c r="K5272" s="20" t="s">
        <v>250</v>
      </c>
      <c r="L5272" s="20">
        <v>32000000</v>
      </c>
      <c r="M5272" s="20" t="s">
        <v>245</v>
      </c>
      <c r="N5272" s="20" t="s">
        <v>3451</v>
      </c>
    </row>
    <row r="5273" spans="1:14" hidden="1" x14ac:dyDescent="0.25">
      <c r="A5273" s="19">
        <v>46054</v>
      </c>
      <c r="B5273" s="20" t="s">
        <v>120</v>
      </c>
      <c r="C5273" s="20">
        <v>69</v>
      </c>
      <c r="D5273" s="20" t="s">
        <v>291</v>
      </c>
      <c r="E5273" s="20" t="s">
        <v>2361</v>
      </c>
      <c r="F5273" s="20" t="s">
        <v>2514</v>
      </c>
      <c r="G5273" s="20" t="s">
        <v>82</v>
      </c>
      <c r="H5273" s="20" t="s">
        <v>127</v>
      </c>
      <c r="I5273" s="20"/>
      <c r="J5273" s="20" t="s">
        <v>206</v>
      </c>
      <c r="K5273" s="20" t="s">
        <v>250</v>
      </c>
      <c r="L5273" s="20">
        <v>58000000</v>
      </c>
      <c r="M5273" s="20" t="s">
        <v>245</v>
      </c>
      <c r="N5273" s="20" t="s">
        <v>2855</v>
      </c>
    </row>
    <row r="5274" spans="1:14" hidden="1" x14ac:dyDescent="0.25">
      <c r="A5274" s="19">
        <v>46054</v>
      </c>
      <c r="B5274" s="20" t="s">
        <v>120</v>
      </c>
      <c r="C5274" s="20">
        <v>69</v>
      </c>
      <c r="D5274" s="20" t="s">
        <v>291</v>
      </c>
      <c r="E5274" s="20" t="s">
        <v>2361</v>
      </c>
      <c r="F5274" s="20" t="s">
        <v>2514</v>
      </c>
      <c r="G5274" s="20" t="s">
        <v>82</v>
      </c>
      <c r="H5274" s="20" t="s">
        <v>126</v>
      </c>
      <c r="I5274" s="20"/>
      <c r="J5274" s="20" t="s">
        <v>206</v>
      </c>
      <c r="K5274" s="20" t="s">
        <v>250</v>
      </c>
      <c r="L5274" s="20">
        <v>79000000</v>
      </c>
      <c r="M5274" s="20" t="s">
        <v>245</v>
      </c>
      <c r="N5274" s="20" t="s">
        <v>3452</v>
      </c>
    </row>
    <row r="5275" spans="1:14" hidden="1" x14ac:dyDescent="0.25">
      <c r="A5275" s="19">
        <v>46054</v>
      </c>
      <c r="B5275" s="20" t="s">
        <v>120</v>
      </c>
      <c r="C5275" s="20">
        <v>69</v>
      </c>
      <c r="D5275" s="20" t="s">
        <v>291</v>
      </c>
      <c r="E5275" s="20" t="s">
        <v>2361</v>
      </c>
      <c r="F5275" s="20" t="s">
        <v>2514</v>
      </c>
      <c r="G5275" s="20" t="s">
        <v>82</v>
      </c>
      <c r="H5275" s="20" t="s">
        <v>134</v>
      </c>
      <c r="I5275" s="20"/>
      <c r="J5275" s="20" t="s">
        <v>206</v>
      </c>
      <c r="K5275" s="20" t="s">
        <v>250</v>
      </c>
      <c r="L5275" s="20">
        <v>83000000</v>
      </c>
      <c r="M5275" s="20" t="s">
        <v>245</v>
      </c>
      <c r="N5275" s="20" t="s">
        <v>3453</v>
      </c>
    </row>
    <row r="5276" spans="1:14" hidden="1" x14ac:dyDescent="0.25">
      <c r="A5276" s="19">
        <v>46054</v>
      </c>
      <c r="B5276" s="20" t="s">
        <v>120</v>
      </c>
      <c r="C5276" s="20">
        <v>69</v>
      </c>
      <c r="D5276" s="20" t="s">
        <v>291</v>
      </c>
      <c r="E5276" s="20" t="s">
        <v>2361</v>
      </c>
      <c r="F5276" s="20" t="s">
        <v>2514</v>
      </c>
      <c r="G5276" s="20" t="s">
        <v>82</v>
      </c>
      <c r="H5276" s="20" t="s">
        <v>133</v>
      </c>
      <c r="I5276" s="20"/>
      <c r="J5276" s="20" t="s">
        <v>206</v>
      </c>
      <c r="K5276" s="20" t="s">
        <v>250</v>
      </c>
      <c r="L5276" s="20">
        <v>174000000</v>
      </c>
      <c r="M5276" s="20" t="s">
        <v>245</v>
      </c>
      <c r="N5276" s="20" t="s">
        <v>3454</v>
      </c>
    </row>
    <row r="5277" spans="1:14" hidden="1" x14ac:dyDescent="0.25">
      <c r="A5277" s="19">
        <v>46054</v>
      </c>
      <c r="B5277" s="20" t="s">
        <v>120</v>
      </c>
      <c r="C5277" s="20">
        <v>69</v>
      </c>
      <c r="D5277" s="20" t="s">
        <v>291</v>
      </c>
      <c r="E5277" s="20" t="s">
        <v>2361</v>
      </c>
      <c r="F5277" s="20" t="s">
        <v>2514</v>
      </c>
      <c r="G5277" s="20" t="s">
        <v>82</v>
      </c>
      <c r="H5277" s="20" t="s">
        <v>129</v>
      </c>
      <c r="I5277" s="20"/>
      <c r="J5277" s="20" t="s">
        <v>206</v>
      </c>
      <c r="K5277" s="20" t="s">
        <v>250</v>
      </c>
      <c r="L5277" s="20">
        <v>755000000</v>
      </c>
      <c r="M5277" s="20" t="s">
        <v>245</v>
      </c>
      <c r="N5277" s="20" t="s">
        <v>3455</v>
      </c>
    </row>
    <row r="5278" spans="1:14" hidden="1" x14ac:dyDescent="0.25">
      <c r="A5278" s="19">
        <v>46054</v>
      </c>
      <c r="B5278" s="20" t="s">
        <v>120</v>
      </c>
      <c r="C5278" s="20">
        <v>70</v>
      </c>
      <c r="D5278" s="20" t="s">
        <v>291</v>
      </c>
      <c r="E5278" s="20" t="s">
        <v>2361</v>
      </c>
      <c r="F5278" s="20" t="s">
        <v>2510</v>
      </c>
      <c r="G5278" s="20" t="s">
        <v>82</v>
      </c>
      <c r="H5278" s="20" t="s">
        <v>138</v>
      </c>
      <c r="I5278" s="20"/>
      <c r="J5278" s="20" t="s">
        <v>206</v>
      </c>
      <c r="K5278" s="20" t="s">
        <v>250</v>
      </c>
      <c r="L5278" s="20">
        <v>1070000000</v>
      </c>
      <c r="M5278" s="20" t="s">
        <v>245</v>
      </c>
      <c r="N5278" s="20" t="s">
        <v>3017</v>
      </c>
    </row>
    <row r="5279" spans="1:14" hidden="1" x14ac:dyDescent="0.25">
      <c r="A5279" s="19">
        <v>46054</v>
      </c>
      <c r="B5279" s="20" t="s">
        <v>120</v>
      </c>
      <c r="C5279" s="20">
        <v>70</v>
      </c>
      <c r="D5279" s="20" t="s">
        <v>291</v>
      </c>
      <c r="E5279" s="20" t="s">
        <v>2361</v>
      </c>
      <c r="F5279" s="20" t="s">
        <v>2510</v>
      </c>
      <c r="G5279" s="20" t="s">
        <v>82</v>
      </c>
      <c r="H5279" s="20" t="s">
        <v>137</v>
      </c>
      <c r="I5279" s="20"/>
      <c r="J5279" s="20" t="s">
        <v>206</v>
      </c>
      <c r="K5279" s="20" t="s">
        <v>250</v>
      </c>
      <c r="L5279" s="20">
        <v>170800000</v>
      </c>
      <c r="M5279" s="20" t="s">
        <v>245</v>
      </c>
      <c r="N5279" s="20" t="s">
        <v>3456</v>
      </c>
    </row>
    <row r="5280" spans="1:14" hidden="1" x14ac:dyDescent="0.25">
      <c r="A5280" s="19">
        <v>46054</v>
      </c>
      <c r="B5280" s="20" t="s">
        <v>120</v>
      </c>
      <c r="C5280" s="20">
        <v>71</v>
      </c>
      <c r="D5280" s="20" t="s">
        <v>253</v>
      </c>
      <c r="E5280" s="20" t="s">
        <v>2359</v>
      </c>
      <c r="F5280" s="20" t="s">
        <v>334</v>
      </c>
      <c r="G5280" s="20" t="s">
        <v>82</v>
      </c>
      <c r="H5280" s="20"/>
      <c r="I5280" s="20"/>
      <c r="J5280" s="20" t="s">
        <v>204</v>
      </c>
      <c r="K5280" s="20" t="s">
        <v>255</v>
      </c>
      <c r="L5280" s="20">
        <v>228</v>
      </c>
      <c r="M5280" s="20" t="s">
        <v>245</v>
      </c>
      <c r="N5280" s="20" t="s">
        <v>3164</v>
      </c>
    </row>
    <row r="5281" spans="1:14" hidden="1" x14ac:dyDescent="0.25">
      <c r="A5281" s="19">
        <v>46054</v>
      </c>
      <c r="B5281" s="20" t="s">
        <v>120</v>
      </c>
      <c r="C5281" s="20">
        <v>71</v>
      </c>
      <c r="D5281" s="20" t="s">
        <v>253</v>
      </c>
      <c r="E5281" s="20" t="s">
        <v>2359</v>
      </c>
      <c r="F5281" s="20" t="s">
        <v>334</v>
      </c>
      <c r="G5281" s="20" t="s">
        <v>82</v>
      </c>
      <c r="H5281" s="20"/>
      <c r="I5281" s="20"/>
      <c r="J5281" s="20" t="s">
        <v>205</v>
      </c>
      <c r="K5281" s="20" t="s">
        <v>255</v>
      </c>
      <c r="L5281" s="20">
        <v>213</v>
      </c>
      <c r="M5281" s="20" t="s">
        <v>245</v>
      </c>
      <c r="N5281" s="20" t="s">
        <v>3313</v>
      </c>
    </row>
    <row r="5282" spans="1:14" hidden="1" x14ac:dyDescent="0.25">
      <c r="A5282" s="19">
        <v>46054</v>
      </c>
      <c r="B5282" s="20" t="s">
        <v>120</v>
      </c>
      <c r="C5282" s="20">
        <v>71</v>
      </c>
      <c r="D5282" s="20" t="s">
        <v>253</v>
      </c>
      <c r="E5282" s="20" t="s">
        <v>2359</v>
      </c>
      <c r="F5282" s="20" t="s">
        <v>334</v>
      </c>
      <c r="G5282" s="20" t="s">
        <v>82</v>
      </c>
      <c r="H5282" s="20"/>
      <c r="I5282" s="20"/>
      <c r="J5282" s="20" t="s">
        <v>206</v>
      </c>
      <c r="K5282" s="20" t="s">
        <v>255</v>
      </c>
      <c r="L5282" s="20">
        <v>188</v>
      </c>
      <c r="M5282" s="20" t="s">
        <v>245</v>
      </c>
      <c r="N5282" s="20" t="s">
        <v>839</v>
      </c>
    </row>
    <row r="5283" spans="1:14" hidden="1" x14ac:dyDescent="0.25">
      <c r="A5283" s="19">
        <v>46054</v>
      </c>
      <c r="B5283" s="20" t="s">
        <v>142</v>
      </c>
      <c r="C5283" s="20">
        <v>73</v>
      </c>
      <c r="D5283" s="20" t="s">
        <v>238</v>
      </c>
      <c r="E5283" s="20" t="s">
        <v>2341</v>
      </c>
      <c r="F5283" s="20" t="s">
        <v>240</v>
      </c>
      <c r="G5283" s="20" t="s">
        <v>82</v>
      </c>
      <c r="H5283" s="20"/>
      <c r="I5283" s="20"/>
      <c r="J5283" s="20" t="s">
        <v>3346</v>
      </c>
      <c r="K5283" s="20" t="s">
        <v>241</v>
      </c>
      <c r="L5283" s="20">
        <v>2110000</v>
      </c>
      <c r="M5283" s="20" t="s">
        <v>242</v>
      </c>
      <c r="N5283" s="20" t="s">
        <v>3211</v>
      </c>
    </row>
    <row r="5284" spans="1:14" hidden="1" x14ac:dyDescent="0.25">
      <c r="A5284" s="19">
        <v>46054</v>
      </c>
      <c r="B5284" s="20" t="s">
        <v>142</v>
      </c>
      <c r="C5284" s="20">
        <v>73</v>
      </c>
      <c r="D5284" s="20" t="s">
        <v>238</v>
      </c>
      <c r="E5284" s="20" t="s">
        <v>2341</v>
      </c>
      <c r="F5284" s="20" t="s">
        <v>244</v>
      </c>
      <c r="G5284" s="20" t="s">
        <v>82</v>
      </c>
      <c r="H5284" s="20"/>
      <c r="I5284" s="20"/>
      <c r="J5284" s="20" t="s">
        <v>3346</v>
      </c>
      <c r="K5284" s="20" t="s">
        <v>241</v>
      </c>
      <c r="L5284" s="20">
        <v>1750000000</v>
      </c>
      <c r="M5284" s="20" t="s">
        <v>245</v>
      </c>
      <c r="N5284" s="20" t="s">
        <v>3457</v>
      </c>
    </row>
    <row r="5285" spans="1:14" hidden="1" x14ac:dyDescent="0.25">
      <c r="A5285" s="19">
        <v>46054</v>
      </c>
      <c r="B5285" s="20" t="s">
        <v>142</v>
      </c>
      <c r="C5285" s="20">
        <v>74</v>
      </c>
      <c r="D5285" s="20" t="s">
        <v>253</v>
      </c>
      <c r="E5285" s="20" t="s">
        <v>2359</v>
      </c>
      <c r="F5285" s="20" t="s">
        <v>544</v>
      </c>
      <c r="G5285" s="20" t="s">
        <v>82</v>
      </c>
      <c r="H5285" s="20"/>
      <c r="I5285" s="20"/>
      <c r="J5285" s="20" t="s">
        <v>204</v>
      </c>
      <c r="K5285" s="20" t="s">
        <v>255</v>
      </c>
      <c r="L5285" s="20">
        <v>1190000</v>
      </c>
      <c r="M5285" s="20" t="s">
        <v>242</v>
      </c>
      <c r="N5285" s="20" t="s">
        <v>3167</v>
      </c>
    </row>
    <row r="5286" spans="1:14" hidden="1" x14ac:dyDescent="0.25">
      <c r="A5286" s="19">
        <v>46054</v>
      </c>
      <c r="B5286" s="20" t="s">
        <v>142</v>
      </c>
      <c r="C5286" s="20">
        <v>74</v>
      </c>
      <c r="D5286" s="20" t="s">
        <v>253</v>
      </c>
      <c r="E5286" s="20" t="s">
        <v>2359</v>
      </c>
      <c r="F5286" s="20" t="s">
        <v>544</v>
      </c>
      <c r="G5286" s="20" t="s">
        <v>82</v>
      </c>
      <c r="H5286" s="20"/>
      <c r="I5286" s="20"/>
      <c r="J5286" s="20" t="s">
        <v>205</v>
      </c>
      <c r="K5286" s="20" t="s">
        <v>255</v>
      </c>
      <c r="L5286" s="20">
        <v>1030000</v>
      </c>
      <c r="M5286" s="20" t="s">
        <v>242</v>
      </c>
      <c r="N5286" s="20" t="s">
        <v>3315</v>
      </c>
    </row>
    <row r="5287" spans="1:14" hidden="1" x14ac:dyDescent="0.25">
      <c r="A5287" s="19">
        <v>46054</v>
      </c>
      <c r="B5287" s="20" t="s">
        <v>142</v>
      </c>
      <c r="C5287" s="20">
        <v>74</v>
      </c>
      <c r="D5287" s="20" t="s">
        <v>253</v>
      </c>
      <c r="E5287" s="20" t="s">
        <v>2359</v>
      </c>
      <c r="F5287" s="20" t="s">
        <v>544</v>
      </c>
      <c r="G5287" s="20" t="s">
        <v>82</v>
      </c>
      <c r="H5287" s="20"/>
      <c r="I5287" s="20"/>
      <c r="J5287" s="20" t="s">
        <v>206</v>
      </c>
      <c r="K5287" s="20" t="s">
        <v>255</v>
      </c>
      <c r="L5287" s="20">
        <v>1080000</v>
      </c>
      <c r="M5287" s="20" t="s">
        <v>242</v>
      </c>
      <c r="N5287" s="20" t="s">
        <v>3458</v>
      </c>
    </row>
    <row r="5288" spans="1:14" hidden="1" x14ac:dyDescent="0.25">
      <c r="A5288" s="19">
        <v>46054</v>
      </c>
      <c r="B5288" s="20" t="s">
        <v>142</v>
      </c>
      <c r="C5288" s="20">
        <v>74</v>
      </c>
      <c r="D5288" s="20" t="s">
        <v>247</v>
      </c>
      <c r="E5288" s="20" t="s">
        <v>2554</v>
      </c>
      <c r="F5288" s="20" t="s">
        <v>2556</v>
      </c>
      <c r="G5288" s="20" t="s">
        <v>82</v>
      </c>
      <c r="H5288" s="20" t="s">
        <v>286</v>
      </c>
      <c r="I5288" s="20"/>
      <c r="J5288" s="20" t="s">
        <v>206</v>
      </c>
      <c r="K5288" s="20" t="s">
        <v>250</v>
      </c>
      <c r="L5288" s="20">
        <v>4.3</v>
      </c>
      <c r="M5288" s="20" t="s">
        <v>251</v>
      </c>
      <c r="N5288" s="20" t="s">
        <v>252</v>
      </c>
    </row>
    <row r="5289" spans="1:14" hidden="1" x14ac:dyDescent="0.25">
      <c r="A5289" s="19">
        <v>46054</v>
      </c>
      <c r="B5289" s="20" t="s">
        <v>142</v>
      </c>
      <c r="C5289" s="20">
        <v>75</v>
      </c>
      <c r="D5289" s="20" t="s">
        <v>253</v>
      </c>
      <c r="E5289" s="20" t="s">
        <v>2359</v>
      </c>
      <c r="F5289" s="20" t="s">
        <v>2531</v>
      </c>
      <c r="G5289" s="20" t="s">
        <v>82</v>
      </c>
      <c r="H5289" s="20" t="s">
        <v>149</v>
      </c>
      <c r="I5289" s="20"/>
      <c r="J5289" s="20" t="s">
        <v>204</v>
      </c>
      <c r="K5289" s="20" t="s">
        <v>255</v>
      </c>
      <c r="L5289" s="20">
        <v>6297</v>
      </c>
      <c r="M5289" s="20" t="s">
        <v>242</v>
      </c>
      <c r="N5289" s="20" t="s">
        <v>3169</v>
      </c>
    </row>
    <row r="5290" spans="1:14" hidden="1" x14ac:dyDescent="0.25">
      <c r="A5290" s="19">
        <v>46054</v>
      </c>
      <c r="B5290" s="20" t="s">
        <v>142</v>
      </c>
      <c r="C5290" s="20">
        <v>75</v>
      </c>
      <c r="D5290" s="20" t="s">
        <v>253</v>
      </c>
      <c r="E5290" s="20" t="s">
        <v>2359</v>
      </c>
      <c r="F5290" s="20" t="s">
        <v>2531</v>
      </c>
      <c r="G5290" s="20" t="s">
        <v>82</v>
      </c>
      <c r="H5290" s="20" t="s">
        <v>149</v>
      </c>
      <c r="I5290" s="20"/>
      <c r="J5290" s="20" t="s">
        <v>205</v>
      </c>
      <c r="K5290" s="20" t="s">
        <v>255</v>
      </c>
      <c r="L5290" s="20">
        <v>5923</v>
      </c>
      <c r="M5290" s="20" t="s">
        <v>242</v>
      </c>
      <c r="N5290" s="20" t="s">
        <v>3317</v>
      </c>
    </row>
    <row r="5291" spans="1:14" hidden="1" x14ac:dyDescent="0.25">
      <c r="A5291" s="19">
        <v>46054</v>
      </c>
      <c r="B5291" s="20" t="s">
        <v>142</v>
      </c>
      <c r="C5291" s="20">
        <v>75</v>
      </c>
      <c r="D5291" s="20" t="s">
        <v>253</v>
      </c>
      <c r="E5291" s="20" t="s">
        <v>2359</v>
      </c>
      <c r="F5291" s="20" t="s">
        <v>2531</v>
      </c>
      <c r="G5291" s="20" t="s">
        <v>82</v>
      </c>
      <c r="H5291" s="20" t="s">
        <v>149</v>
      </c>
      <c r="I5291" s="20"/>
      <c r="J5291" s="20" t="s">
        <v>206</v>
      </c>
      <c r="K5291" s="20" t="s">
        <v>255</v>
      </c>
      <c r="L5291" s="20">
        <v>5442</v>
      </c>
      <c r="M5291" s="20" t="s">
        <v>242</v>
      </c>
      <c r="N5291" s="20" t="s">
        <v>3459</v>
      </c>
    </row>
    <row r="5292" spans="1:14" hidden="1" x14ac:dyDescent="0.25">
      <c r="A5292" s="19">
        <v>46054</v>
      </c>
      <c r="B5292" s="20" t="s">
        <v>142</v>
      </c>
      <c r="C5292" s="20">
        <v>75</v>
      </c>
      <c r="D5292" s="20" t="s">
        <v>253</v>
      </c>
      <c r="E5292" s="20" t="s">
        <v>2359</v>
      </c>
      <c r="F5292" s="20" t="s">
        <v>2531</v>
      </c>
      <c r="G5292" s="20" t="s">
        <v>82</v>
      </c>
      <c r="H5292" s="20" t="s">
        <v>150</v>
      </c>
      <c r="I5292" s="20"/>
      <c r="J5292" s="20" t="s">
        <v>204</v>
      </c>
      <c r="K5292" s="20" t="s">
        <v>255</v>
      </c>
      <c r="L5292" s="20">
        <v>307</v>
      </c>
      <c r="M5292" s="20" t="s">
        <v>242</v>
      </c>
      <c r="N5292" s="20" t="s">
        <v>3170</v>
      </c>
    </row>
    <row r="5293" spans="1:14" hidden="1" x14ac:dyDescent="0.25">
      <c r="A5293" s="19">
        <v>46054</v>
      </c>
      <c r="B5293" s="20" t="s">
        <v>142</v>
      </c>
      <c r="C5293" s="20">
        <v>75</v>
      </c>
      <c r="D5293" s="20" t="s">
        <v>253</v>
      </c>
      <c r="E5293" s="20" t="s">
        <v>2359</v>
      </c>
      <c r="F5293" s="20" t="s">
        <v>2531</v>
      </c>
      <c r="G5293" s="20" t="s">
        <v>82</v>
      </c>
      <c r="H5293" s="20" t="s">
        <v>150</v>
      </c>
      <c r="I5293" s="20"/>
      <c r="J5293" s="20" t="s">
        <v>205</v>
      </c>
      <c r="K5293" s="20" t="s">
        <v>255</v>
      </c>
      <c r="L5293" s="20">
        <v>264</v>
      </c>
      <c r="M5293" s="20" t="s">
        <v>242</v>
      </c>
      <c r="N5293" s="20" t="s">
        <v>3318</v>
      </c>
    </row>
    <row r="5294" spans="1:14" hidden="1" x14ac:dyDescent="0.25">
      <c r="A5294" s="19">
        <v>46054</v>
      </c>
      <c r="B5294" s="20" t="s">
        <v>142</v>
      </c>
      <c r="C5294" s="20">
        <v>75</v>
      </c>
      <c r="D5294" s="20" t="s">
        <v>253</v>
      </c>
      <c r="E5294" s="20" t="s">
        <v>2359</v>
      </c>
      <c r="F5294" s="20" t="s">
        <v>2531</v>
      </c>
      <c r="G5294" s="20" t="s">
        <v>82</v>
      </c>
      <c r="H5294" s="20" t="s">
        <v>150</v>
      </c>
      <c r="I5294" s="20"/>
      <c r="J5294" s="20" t="s">
        <v>206</v>
      </c>
      <c r="K5294" s="20" t="s">
        <v>255</v>
      </c>
      <c r="L5294" s="20">
        <v>292</v>
      </c>
      <c r="M5294" s="20" t="s">
        <v>242</v>
      </c>
      <c r="N5294" s="20" t="s">
        <v>1662</v>
      </c>
    </row>
    <row r="5295" spans="1:14" hidden="1" x14ac:dyDescent="0.25">
      <c r="A5295" s="19">
        <v>46054</v>
      </c>
      <c r="B5295" s="20" t="s">
        <v>142</v>
      </c>
      <c r="C5295" s="20">
        <v>75</v>
      </c>
      <c r="D5295" s="20" t="s">
        <v>253</v>
      </c>
      <c r="E5295" s="20" t="s">
        <v>2359</v>
      </c>
      <c r="F5295" s="20" t="s">
        <v>2531</v>
      </c>
      <c r="G5295" s="20" t="s">
        <v>82</v>
      </c>
      <c r="H5295" s="20" t="s">
        <v>151</v>
      </c>
      <c r="I5295" s="20"/>
      <c r="J5295" s="20" t="s">
        <v>204</v>
      </c>
      <c r="K5295" s="20" t="s">
        <v>255</v>
      </c>
      <c r="L5295" s="20">
        <v>41</v>
      </c>
      <c r="M5295" s="20" t="s">
        <v>242</v>
      </c>
      <c r="N5295" s="20" t="s">
        <v>3171</v>
      </c>
    </row>
    <row r="5296" spans="1:14" hidden="1" x14ac:dyDescent="0.25">
      <c r="A5296" s="19">
        <v>46054</v>
      </c>
      <c r="B5296" s="20" t="s">
        <v>142</v>
      </c>
      <c r="C5296" s="20">
        <v>75</v>
      </c>
      <c r="D5296" s="20" t="s">
        <v>253</v>
      </c>
      <c r="E5296" s="20" t="s">
        <v>2359</v>
      </c>
      <c r="F5296" s="20" t="s">
        <v>2531</v>
      </c>
      <c r="G5296" s="20" t="s">
        <v>82</v>
      </c>
      <c r="H5296" s="20" t="s">
        <v>151</v>
      </c>
      <c r="I5296" s="20"/>
      <c r="J5296" s="20" t="s">
        <v>205</v>
      </c>
      <c r="K5296" s="20" t="s">
        <v>255</v>
      </c>
      <c r="L5296" s="20">
        <v>28</v>
      </c>
      <c r="M5296" s="20" t="s">
        <v>242</v>
      </c>
      <c r="N5296" s="20" t="s">
        <v>3319</v>
      </c>
    </row>
    <row r="5297" spans="1:14" hidden="1" x14ac:dyDescent="0.25">
      <c r="A5297" s="19">
        <v>46054</v>
      </c>
      <c r="B5297" s="20" t="s">
        <v>142</v>
      </c>
      <c r="C5297" s="20">
        <v>75</v>
      </c>
      <c r="D5297" s="20" t="s">
        <v>253</v>
      </c>
      <c r="E5297" s="20" t="s">
        <v>2359</v>
      </c>
      <c r="F5297" s="20" t="s">
        <v>2531</v>
      </c>
      <c r="G5297" s="20" t="s">
        <v>82</v>
      </c>
      <c r="H5297" s="20" t="s">
        <v>151</v>
      </c>
      <c r="I5297" s="20"/>
      <c r="J5297" s="20" t="s">
        <v>206</v>
      </c>
      <c r="K5297" s="20" t="s">
        <v>255</v>
      </c>
      <c r="L5297" s="20">
        <v>31</v>
      </c>
      <c r="M5297" s="20" t="s">
        <v>242</v>
      </c>
      <c r="N5297" s="20" t="s">
        <v>3460</v>
      </c>
    </row>
    <row r="5298" spans="1:14" hidden="1" x14ac:dyDescent="0.25">
      <c r="A5298" s="19">
        <v>46054</v>
      </c>
      <c r="B5298" s="20" t="s">
        <v>142</v>
      </c>
      <c r="C5298" s="20">
        <v>76</v>
      </c>
      <c r="D5298" s="20" t="s">
        <v>253</v>
      </c>
      <c r="E5298" s="20" t="s">
        <v>2359</v>
      </c>
      <c r="F5298" s="20" t="s">
        <v>929</v>
      </c>
      <c r="G5298" s="20" t="s">
        <v>82</v>
      </c>
      <c r="H5298" s="20"/>
      <c r="I5298" s="20"/>
      <c r="J5298" s="20" t="s">
        <v>204</v>
      </c>
      <c r="K5298" s="20" t="s">
        <v>255</v>
      </c>
      <c r="L5298" s="20">
        <v>939000000</v>
      </c>
      <c r="M5298" s="20" t="s">
        <v>245</v>
      </c>
      <c r="N5298" s="20" t="s">
        <v>3172</v>
      </c>
    </row>
    <row r="5299" spans="1:14" hidden="1" x14ac:dyDescent="0.25">
      <c r="A5299" s="19">
        <v>46054</v>
      </c>
      <c r="B5299" s="20" t="s">
        <v>142</v>
      </c>
      <c r="C5299" s="20">
        <v>76</v>
      </c>
      <c r="D5299" s="20" t="s">
        <v>253</v>
      </c>
      <c r="E5299" s="20" t="s">
        <v>2359</v>
      </c>
      <c r="F5299" s="20" t="s">
        <v>929</v>
      </c>
      <c r="G5299" s="20" t="s">
        <v>82</v>
      </c>
      <c r="H5299" s="20"/>
      <c r="I5299" s="20"/>
      <c r="J5299" s="20" t="s">
        <v>205</v>
      </c>
      <c r="K5299" s="20" t="s">
        <v>255</v>
      </c>
      <c r="L5299" s="20">
        <v>862000000</v>
      </c>
      <c r="M5299" s="20" t="s">
        <v>245</v>
      </c>
      <c r="N5299" s="20" t="s">
        <v>3320</v>
      </c>
    </row>
    <row r="5300" spans="1:14" hidden="1" x14ac:dyDescent="0.25">
      <c r="A5300" s="19">
        <v>46054</v>
      </c>
      <c r="B5300" s="20" t="s">
        <v>142</v>
      </c>
      <c r="C5300" s="20">
        <v>76</v>
      </c>
      <c r="D5300" s="20" t="s">
        <v>253</v>
      </c>
      <c r="E5300" s="20" t="s">
        <v>2359</v>
      </c>
      <c r="F5300" s="20" t="s">
        <v>929</v>
      </c>
      <c r="G5300" s="20" t="s">
        <v>82</v>
      </c>
      <c r="H5300" s="20"/>
      <c r="I5300" s="20"/>
      <c r="J5300" s="20" t="s">
        <v>206</v>
      </c>
      <c r="K5300" s="20" t="s">
        <v>255</v>
      </c>
      <c r="L5300" s="20">
        <v>886000000</v>
      </c>
      <c r="M5300" s="20" t="s">
        <v>245</v>
      </c>
      <c r="N5300" s="20" t="s">
        <v>3461</v>
      </c>
    </row>
    <row r="5301" spans="1:14" hidden="1" x14ac:dyDescent="0.25">
      <c r="A5301" s="19">
        <v>46054</v>
      </c>
      <c r="B5301" s="20" t="s">
        <v>142</v>
      </c>
      <c r="C5301" s="20">
        <v>76</v>
      </c>
      <c r="D5301" s="20" t="s">
        <v>247</v>
      </c>
      <c r="E5301" s="20" t="s">
        <v>2554</v>
      </c>
      <c r="F5301" s="20" t="s">
        <v>2557</v>
      </c>
      <c r="G5301" s="20" t="s">
        <v>82</v>
      </c>
      <c r="H5301" s="20" t="s">
        <v>286</v>
      </c>
      <c r="I5301" s="20"/>
      <c r="J5301" s="20" t="s">
        <v>206</v>
      </c>
      <c r="K5301" s="20" t="s">
        <v>250</v>
      </c>
      <c r="L5301" s="20">
        <v>2.8</v>
      </c>
      <c r="M5301" s="20" t="s">
        <v>251</v>
      </c>
      <c r="N5301" s="20" t="s">
        <v>1346</v>
      </c>
    </row>
    <row r="5302" spans="1:14" hidden="1" x14ac:dyDescent="0.25">
      <c r="A5302" s="19">
        <v>46054</v>
      </c>
      <c r="B5302" s="20" t="s">
        <v>142</v>
      </c>
      <c r="C5302" s="20">
        <v>77</v>
      </c>
      <c r="D5302" s="20" t="s">
        <v>253</v>
      </c>
      <c r="E5302" s="20" t="s">
        <v>2359</v>
      </c>
      <c r="F5302" s="20" t="s">
        <v>2533</v>
      </c>
      <c r="G5302" s="20" t="s">
        <v>82</v>
      </c>
      <c r="H5302" s="20" t="s">
        <v>149</v>
      </c>
      <c r="I5302" s="20"/>
      <c r="J5302" s="20" t="s">
        <v>204</v>
      </c>
      <c r="K5302" s="20" t="s">
        <v>255</v>
      </c>
      <c r="L5302" s="20">
        <v>41200000</v>
      </c>
      <c r="M5302" s="20" t="s">
        <v>149</v>
      </c>
      <c r="N5302" s="20" t="s">
        <v>3174</v>
      </c>
    </row>
    <row r="5303" spans="1:14" hidden="1" x14ac:dyDescent="0.25">
      <c r="A5303" s="19">
        <v>46054</v>
      </c>
      <c r="B5303" s="20" t="s">
        <v>142</v>
      </c>
      <c r="C5303" s="20">
        <v>77</v>
      </c>
      <c r="D5303" s="20" t="s">
        <v>253</v>
      </c>
      <c r="E5303" s="20" t="s">
        <v>2359</v>
      </c>
      <c r="F5303" s="20" t="s">
        <v>2533</v>
      </c>
      <c r="G5303" s="20" t="s">
        <v>82</v>
      </c>
      <c r="H5303" s="20" t="s">
        <v>149</v>
      </c>
      <c r="I5303" s="20"/>
      <c r="J5303" s="20" t="s">
        <v>205</v>
      </c>
      <c r="K5303" s="20" t="s">
        <v>255</v>
      </c>
      <c r="L5303" s="20">
        <v>38800000</v>
      </c>
      <c r="M5303" s="20" t="s">
        <v>149</v>
      </c>
      <c r="N5303" s="20" t="s">
        <v>3321</v>
      </c>
    </row>
    <row r="5304" spans="1:14" hidden="1" x14ac:dyDescent="0.25">
      <c r="A5304" s="19">
        <v>46054</v>
      </c>
      <c r="B5304" s="20" t="s">
        <v>142</v>
      </c>
      <c r="C5304" s="20">
        <v>77</v>
      </c>
      <c r="D5304" s="20" t="s">
        <v>253</v>
      </c>
      <c r="E5304" s="20" t="s">
        <v>2359</v>
      </c>
      <c r="F5304" s="20" t="s">
        <v>2533</v>
      </c>
      <c r="G5304" s="20" t="s">
        <v>82</v>
      </c>
      <c r="H5304" s="20" t="s">
        <v>149</v>
      </c>
      <c r="I5304" s="20"/>
      <c r="J5304" s="20" t="s">
        <v>206</v>
      </c>
      <c r="K5304" s="20" t="s">
        <v>255</v>
      </c>
      <c r="L5304" s="20">
        <v>37900000</v>
      </c>
      <c r="M5304" s="20" t="s">
        <v>149</v>
      </c>
      <c r="N5304" s="20" t="s">
        <v>3462</v>
      </c>
    </row>
    <row r="5305" spans="1:14" hidden="1" x14ac:dyDescent="0.25">
      <c r="A5305" s="19">
        <v>46054</v>
      </c>
      <c r="B5305" s="20" t="s">
        <v>142</v>
      </c>
      <c r="C5305" s="20">
        <v>77</v>
      </c>
      <c r="D5305" s="20" t="s">
        <v>253</v>
      </c>
      <c r="E5305" s="20" t="s">
        <v>2359</v>
      </c>
      <c r="F5305" s="20" t="s">
        <v>2533</v>
      </c>
      <c r="G5305" s="20" t="s">
        <v>82</v>
      </c>
      <c r="H5305" s="20" t="s">
        <v>150</v>
      </c>
      <c r="I5305" s="20"/>
      <c r="J5305" s="20" t="s">
        <v>204</v>
      </c>
      <c r="K5305" s="20" t="s">
        <v>255</v>
      </c>
      <c r="L5305" s="20">
        <v>2510000</v>
      </c>
      <c r="M5305" s="20" t="s">
        <v>150</v>
      </c>
      <c r="N5305" s="20" t="s">
        <v>2102</v>
      </c>
    </row>
    <row r="5306" spans="1:14" hidden="1" x14ac:dyDescent="0.25">
      <c r="A5306" s="19">
        <v>46054</v>
      </c>
      <c r="B5306" s="20" t="s">
        <v>142</v>
      </c>
      <c r="C5306" s="20">
        <v>77</v>
      </c>
      <c r="D5306" s="20" t="s">
        <v>253</v>
      </c>
      <c r="E5306" s="20" t="s">
        <v>2359</v>
      </c>
      <c r="F5306" s="20" t="s">
        <v>2533</v>
      </c>
      <c r="G5306" s="20" t="s">
        <v>82</v>
      </c>
      <c r="H5306" s="20" t="s">
        <v>150</v>
      </c>
      <c r="I5306" s="20"/>
      <c r="J5306" s="20" t="s">
        <v>205</v>
      </c>
      <c r="K5306" s="20" t="s">
        <v>255</v>
      </c>
      <c r="L5306" s="20">
        <v>2470000</v>
      </c>
      <c r="M5306" s="20" t="s">
        <v>150</v>
      </c>
      <c r="N5306" s="20" t="s">
        <v>3078</v>
      </c>
    </row>
    <row r="5307" spans="1:14" hidden="1" x14ac:dyDescent="0.25">
      <c r="A5307" s="19">
        <v>46054</v>
      </c>
      <c r="B5307" s="20" t="s">
        <v>142</v>
      </c>
      <c r="C5307" s="20">
        <v>77</v>
      </c>
      <c r="D5307" s="20" t="s">
        <v>253</v>
      </c>
      <c r="E5307" s="20" t="s">
        <v>2359</v>
      </c>
      <c r="F5307" s="20" t="s">
        <v>2533</v>
      </c>
      <c r="G5307" s="20" t="s">
        <v>82</v>
      </c>
      <c r="H5307" s="20" t="s">
        <v>150</v>
      </c>
      <c r="I5307" s="20"/>
      <c r="J5307" s="20" t="s">
        <v>206</v>
      </c>
      <c r="K5307" s="20" t="s">
        <v>255</v>
      </c>
      <c r="L5307" s="20">
        <v>2810000</v>
      </c>
      <c r="M5307" s="20" t="s">
        <v>150</v>
      </c>
      <c r="N5307" s="20" t="s">
        <v>3041</v>
      </c>
    </row>
    <row r="5308" spans="1:14" hidden="1" x14ac:dyDescent="0.25">
      <c r="A5308" s="19">
        <v>46054</v>
      </c>
      <c r="B5308" s="20" t="s">
        <v>142</v>
      </c>
      <c r="C5308" s="20">
        <v>77</v>
      </c>
      <c r="D5308" s="20" t="s">
        <v>253</v>
      </c>
      <c r="E5308" s="20" t="s">
        <v>2359</v>
      </c>
      <c r="F5308" s="20" t="s">
        <v>2533</v>
      </c>
      <c r="G5308" s="20" t="s">
        <v>82</v>
      </c>
      <c r="H5308" s="20" t="s">
        <v>151</v>
      </c>
      <c r="I5308" s="20"/>
      <c r="J5308" s="20" t="s">
        <v>204</v>
      </c>
      <c r="K5308" s="20" t="s">
        <v>255</v>
      </c>
      <c r="L5308" s="20">
        <v>330000</v>
      </c>
      <c r="M5308" s="20" t="s">
        <v>151</v>
      </c>
      <c r="N5308" s="20" t="s">
        <v>3175</v>
      </c>
    </row>
    <row r="5309" spans="1:14" hidden="1" x14ac:dyDescent="0.25">
      <c r="A5309" s="19">
        <v>46054</v>
      </c>
      <c r="B5309" s="20" t="s">
        <v>142</v>
      </c>
      <c r="C5309" s="20">
        <v>77</v>
      </c>
      <c r="D5309" s="20" t="s">
        <v>253</v>
      </c>
      <c r="E5309" s="20" t="s">
        <v>2359</v>
      </c>
      <c r="F5309" s="20" t="s">
        <v>2533</v>
      </c>
      <c r="G5309" s="20" t="s">
        <v>82</v>
      </c>
      <c r="H5309" s="20" t="s">
        <v>151</v>
      </c>
      <c r="I5309" s="20"/>
      <c r="J5309" s="20" t="s">
        <v>205</v>
      </c>
      <c r="K5309" s="20" t="s">
        <v>255</v>
      </c>
      <c r="L5309" s="20">
        <v>240000</v>
      </c>
      <c r="M5309" s="20" t="s">
        <v>151</v>
      </c>
      <c r="N5309" s="20" t="s">
        <v>3322</v>
      </c>
    </row>
    <row r="5310" spans="1:14" hidden="1" x14ac:dyDescent="0.25">
      <c r="A5310" s="19">
        <v>46054</v>
      </c>
      <c r="B5310" s="20" t="s">
        <v>142</v>
      </c>
      <c r="C5310" s="20">
        <v>77</v>
      </c>
      <c r="D5310" s="20" t="s">
        <v>253</v>
      </c>
      <c r="E5310" s="20" t="s">
        <v>2359</v>
      </c>
      <c r="F5310" s="20" t="s">
        <v>2533</v>
      </c>
      <c r="G5310" s="20" t="s">
        <v>82</v>
      </c>
      <c r="H5310" s="20" t="s">
        <v>151</v>
      </c>
      <c r="I5310" s="20"/>
      <c r="J5310" s="20" t="s">
        <v>206</v>
      </c>
      <c r="K5310" s="20" t="s">
        <v>255</v>
      </c>
      <c r="L5310" s="20">
        <v>280000</v>
      </c>
      <c r="M5310" s="20" t="s">
        <v>151</v>
      </c>
      <c r="N5310" s="20" t="s">
        <v>2536</v>
      </c>
    </row>
    <row r="5311" spans="1:14" hidden="1" x14ac:dyDescent="0.25">
      <c r="A5311" s="19">
        <v>46054</v>
      </c>
      <c r="B5311" s="20" t="s">
        <v>156</v>
      </c>
      <c r="C5311" s="20">
        <v>79</v>
      </c>
      <c r="D5311" s="20" t="s">
        <v>238</v>
      </c>
      <c r="E5311" s="20" t="s">
        <v>2341</v>
      </c>
      <c r="F5311" s="20" t="s">
        <v>240</v>
      </c>
      <c r="G5311" s="20" t="s">
        <v>158</v>
      </c>
      <c r="H5311" s="20"/>
      <c r="I5311" s="20"/>
      <c r="J5311" s="20" t="s">
        <v>3346</v>
      </c>
      <c r="K5311" s="20" t="s">
        <v>241</v>
      </c>
      <c r="L5311" s="20">
        <v>886700</v>
      </c>
      <c r="M5311" s="20" t="s">
        <v>242</v>
      </c>
      <c r="N5311" s="20" t="s">
        <v>3463</v>
      </c>
    </row>
    <row r="5312" spans="1:14" hidden="1" x14ac:dyDescent="0.25">
      <c r="A5312" s="19">
        <v>46054</v>
      </c>
      <c r="B5312" s="20" t="s">
        <v>156</v>
      </c>
      <c r="C5312" s="20">
        <v>79</v>
      </c>
      <c r="D5312" s="20" t="s">
        <v>238</v>
      </c>
      <c r="E5312" s="20" t="s">
        <v>2341</v>
      </c>
      <c r="F5312" s="20" t="s">
        <v>244</v>
      </c>
      <c r="G5312" s="20" t="s">
        <v>158</v>
      </c>
      <c r="H5312" s="20"/>
      <c r="I5312" s="20"/>
      <c r="J5312" s="20" t="s">
        <v>3346</v>
      </c>
      <c r="K5312" s="20" t="s">
        <v>241</v>
      </c>
      <c r="L5312" s="20">
        <v>6310000000</v>
      </c>
      <c r="M5312" s="20" t="s">
        <v>245</v>
      </c>
      <c r="N5312" s="20" t="s">
        <v>3464</v>
      </c>
    </row>
    <row r="5313" spans="1:14" hidden="1" x14ac:dyDescent="0.25">
      <c r="A5313" s="19">
        <v>46054</v>
      </c>
      <c r="B5313" s="20" t="s">
        <v>156</v>
      </c>
      <c r="C5313" s="20">
        <v>80</v>
      </c>
      <c r="D5313" s="20" t="s">
        <v>253</v>
      </c>
      <c r="E5313" s="20" t="s">
        <v>2359</v>
      </c>
      <c r="F5313" s="20" t="s">
        <v>344</v>
      </c>
      <c r="G5313" s="20" t="s">
        <v>158</v>
      </c>
      <c r="H5313" s="20"/>
      <c r="I5313" s="20"/>
      <c r="J5313" s="20" t="s">
        <v>204</v>
      </c>
      <c r="K5313" s="20" t="s">
        <v>255</v>
      </c>
      <c r="L5313" s="20">
        <v>570000</v>
      </c>
      <c r="M5313" s="20" t="s">
        <v>242</v>
      </c>
      <c r="N5313" s="20" t="s">
        <v>3178</v>
      </c>
    </row>
    <row r="5314" spans="1:14" hidden="1" x14ac:dyDescent="0.25">
      <c r="A5314" s="19">
        <v>46054</v>
      </c>
      <c r="B5314" s="20" t="s">
        <v>156</v>
      </c>
      <c r="C5314" s="20">
        <v>80</v>
      </c>
      <c r="D5314" s="20" t="s">
        <v>253</v>
      </c>
      <c r="E5314" s="20" t="s">
        <v>2359</v>
      </c>
      <c r="F5314" s="20" t="s">
        <v>344</v>
      </c>
      <c r="G5314" s="20" t="s">
        <v>158</v>
      </c>
      <c r="H5314" s="20"/>
      <c r="I5314" s="20"/>
      <c r="J5314" s="20" t="s">
        <v>205</v>
      </c>
      <c r="K5314" s="20" t="s">
        <v>255</v>
      </c>
      <c r="L5314" s="20">
        <v>408000</v>
      </c>
      <c r="M5314" s="20" t="s">
        <v>242</v>
      </c>
      <c r="N5314" s="20" t="s">
        <v>3325</v>
      </c>
    </row>
    <row r="5315" spans="1:14" hidden="1" x14ac:dyDescent="0.25">
      <c r="A5315" s="19">
        <v>46054</v>
      </c>
      <c r="B5315" s="20" t="s">
        <v>156</v>
      </c>
      <c r="C5315" s="20">
        <v>80</v>
      </c>
      <c r="D5315" s="20" t="s">
        <v>253</v>
      </c>
      <c r="E5315" s="20" t="s">
        <v>2359</v>
      </c>
      <c r="F5315" s="20" t="s">
        <v>344</v>
      </c>
      <c r="G5315" s="20" t="s">
        <v>158</v>
      </c>
      <c r="H5315" s="20"/>
      <c r="I5315" s="20"/>
      <c r="J5315" s="20" t="s">
        <v>206</v>
      </c>
      <c r="K5315" s="20" t="s">
        <v>255</v>
      </c>
      <c r="L5315" s="20">
        <v>479000</v>
      </c>
      <c r="M5315" s="20" t="s">
        <v>242</v>
      </c>
      <c r="N5315" s="20" t="s">
        <v>3465</v>
      </c>
    </row>
    <row r="5316" spans="1:14" hidden="1" x14ac:dyDescent="0.25">
      <c r="A5316" s="19">
        <v>46054</v>
      </c>
      <c r="B5316" s="20" t="s">
        <v>156</v>
      </c>
      <c r="C5316" s="20">
        <v>80</v>
      </c>
      <c r="D5316" s="20" t="s">
        <v>247</v>
      </c>
      <c r="E5316" s="20" t="s">
        <v>2554</v>
      </c>
      <c r="F5316" s="20" t="s">
        <v>2716</v>
      </c>
      <c r="G5316" s="20" t="s">
        <v>158</v>
      </c>
      <c r="H5316" s="20" t="s">
        <v>286</v>
      </c>
      <c r="I5316" s="20"/>
      <c r="J5316" s="20" t="s">
        <v>206</v>
      </c>
      <c r="K5316" s="20" t="s">
        <v>250</v>
      </c>
      <c r="L5316" s="20">
        <v>17.600000000000001</v>
      </c>
      <c r="M5316" s="20" t="s">
        <v>251</v>
      </c>
      <c r="N5316" s="20" t="s">
        <v>3466</v>
      </c>
    </row>
    <row r="5317" spans="1:14" hidden="1" x14ac:dyDescent="0.25">
      <c r="A5317" s="19">
        <v>46054</v>
      </c>
      <c r="B5317" s="20" t="s">
        <v>156</v>
      </c>
      <c r="C5317" s="20">
        <v>81</v>
      </c>
      <c r="D5317" s="20" t="s">
        <v>253</v>
      </c>
      <c r="E5317" s="20" t="s">
        <v>2359</v>
      </c>
      <c r="F5317" s="20" t="s">
        <v>349</v>
      </c>
      <c r="G5317" s="20" t="s">
        <v>158</v>
      </c>
      <c r="H5317" s="20"/>
      <c r="I5317" s="20"/>
      <c r="J5317" s="20" t="s">
        <v>204</v>
      </c>
      <c r="K5317" s="20" t="s">
        <v>255</v>
      </c>
      <c r="L5317" s="20">
        <v>17700</v>
      </c>
      <c r="M5317" s="20" t="s">
        <v>242</v>
      </c>
      <c r="N5317" s="20" t="s">
        <v>3179</v>
      </c>
    </row>
    <row r="5318" spans="1:14" hidden="1" x14ac:dyDescent="0.25">
      <c r="A5318" s="19">
        <v>46054</v>
      </c>
      <c r="B5318" s="20" t="s">
        <v>156</v>
      </c>
      <c r="C5318" s="20">
        <v>81</v>
      </c>
      <c r="D5318" s="20" t="s">
        <v>253</v>
      </c>
      <c r="E5318" s="20" t="s">
        <v>2359</v>
      </c>
      <c r="F5318" s="20" t="s">
        <v>349</v>
      </c>
      <c r="G5318" s="20" t="s">
        <v>158</v>
      </c>
      <c r="H5318" s="20"/>
      <c r="I5318" s="20"/>
      <c r="J5318" s="20" t="s">
        <v>205</v>
      </c>
      <c r="K5318" s="20" t="s">
        <v>255</v>
      </c>
      <c r="L5318" s="20">
        <v>11400</v>
      </c>
      <c r="M5318" s="20" t="s">
        <v>242</v>
      </c>
      <c r="N5318" s="20" t="s">
        <v>3327</v>
      </c>
    </row>
    <row r="5319" spans="1:14" hidden="1" x14ac:dyDescent="0.25">
      <c r="A5319" s="19">
        <v>46054</v>
      </c>
      <c r="B5319" s="20" t="s">
        <v>156</v>
      </c>
      <c r="C5319" s="20">
        <v>81</v>
      </c>
      <c r="D5319" s="20" t="s">
        <v>253</v>
      </c>
      <c r="E5319" s="20" t="s">
        <v>2359</v>
      </c>
      <c r="F5319" s="20" t="s">
        <v>349</v>
      </c>
      <c r="G5319" s="20" t="s">
        <v>158</v>
      </c>
      <c r="H5319" s="20"/>
      <c r="I5319" s="20"/>
      <c r="J5319" s="20" t="s">
        <v>206</v>
      </c>
      <c r="K5319" s="20" t="s">
        <v>255</v>
      </c>
      <c r="L5319" s="20">
        <v>14300</v>
      </c>
      <c r="M5319" s="20" t="s">
        <v>242</v>
      </c>
      <c r="N5319" s="20" t="s">
        <v>3467</v>
      </c>
    </row>
    <row r="5320" spans="1:14" hidden="1" x14ac:dyDescent="0.25">
      <c r="A5320" s="19">
        <v>46054</v>
      </c>
      <c r="B5320" s="20" t="s">
        <v>156</v>
      </c>
      <c r="C5320" s="20">
        <v>82</v>
      </c>
      <c r="D5320" s="20" t="s">
        <v>253</v>
      </c>
      <c r="E5320" s="20" t="s">
        <v>2359</v>
      </c>
      <c r="F5320" s="20" t="s">
        <v>2546</v>
      </c>
      <c r="G5320" s="20" t="s">
        <v>158</v>
      </c>
      <c r="H5320" s="20"/>
      <c r="I5320" s="20"/>
      <c r="J5320" s="20" t="s">
        <v>204</v>
      </c>
      <c r="K5320" s="20" t="s">
        <v>255</v>
      </c>
      <c r="L5320" s="20">
        <v>3.1</v>
      </c>
      <c r="M5320" s="20" t="s">
        <v>251</v>
      </c>
      <c r="N5320" s="20" t="s">
        <v>1525</v>
      </c>
    </row>
    <row r="5321" spans="1:14" hidden="1" x14ac:dyDescent="0.25">
      <c r="A5321" s="19">
        <v>46054</v>
      </c>
      <c r="B5321" s="20" t="s">
        <v>156</v>
      </c>
      <c r="C5321" s="20">
        <v>82</v>
      </c>
      <c r="D5321" s="20" t="s">
        <v>253</v>
      </c>
      <c r="E5321" s="20" t="s">
        <v>2359</v>
      </c>
      <c r="F5321" s="20" t="s">
        <v>2546</v>
      </c>
      <c r="G5321" s="20" t="s">
        <v>158</v>
      </c>
      <c r="H5321" s="20"/>
      <c r="I5321" s="20"/>
      <c r="J5321" s="20" t="s">
        <v>205</v>
      </c>
      <c r="K5321" s="20" t="s">
        <v>255</v>
      </c>
      <c r="L5321" s="20">
        <v>2.8</v>
      </c>
      <c r="M5321" s="20" t="s">
        <v>251</v>
      </c>
      <c r="N5321" s="20" t="s">
        <v>1346</v>
      </c>
    </row>
    <row r="5322" spans="1:14" hidden="1" x14ac:dyDescent="0.25">
      <c r="A5322" s="19">
        <v>46054</v>
      </c>
      <c r="B5322" s="20" t="s">
        <v>156</v>
      </c>
      <c r="C5322" s="20">
        <v>82</v>
      </c>
      <c r="D5322" s="20" t="s">
        <v>253</v>
      </c>
      <c r="E5322" s="20" t="s">
        <v>2359</v>
      </c>
      <c r="F5322" s="20" t="s">
        <v>2546</v>
      </c>
      <c r="G5322" s="20" t="s">
        <v>158</v>
      </c>
      <c r="H5322" s="20"/>
      <c r="I5322" s="20"/>
      <c r="J5322" s="20" t="s">
        <v>206</v>
      </c>
      <c r="K5322" s="20" t="s">
        <v>255</v>
      </c>
      <c r="L5322" s="20">
        <v>3</v>
      </c>
      <c r="M5322" s="20" t="s">
        <v>251</v>
      </c>
      <c r="N5322" s="20" t="s">
        <v>2547</v>
      </c>
    </row>
    <row r="5323" spans="1:14" hidden="1" x14ac:dyDescent="0.25">
      <c r="A5323" s="19">
        <v>46054</v>
      </c>
      <c r="B5323" s="20" t="s">
        <v>156</v>
      </c>
      <c r="C5323" s="20">
        <v>83</v>
      </c>
      <c r="D5323" s="20" t="s">
        <v>291</v>
      </c>
      <c r="E5323" s="20" t="s">
        <v>2361</v>
      </c>
      <c r="F5323" s="20" t="s">
        <v>349</v>
      </c>
      <c r="G5323" s="20" t="s">
        <v>158</v>
      </c>
      <c r="H5323" s="20" t="s">
        <v>159</v>
      </c>
      <c r="I5323" s="20"/>
      <c r="J5323" s="20" t="s">
        <v>206</v>
      </c>
      <c r="K5323" s="20" t="s">
        <v>250</v>
      </c>
      <c r="L5323" s="20">
        <v>9062</v>
      </c>
      <c r="M5323" s="20" t="s">
        <v>242</v>
      </c>
      <c r="N5323" s="20" t="s">
        <v>3468</v>
      </c>
    </row>
    <row r="5324" spans="1:14" hidden="1" x14ac:dyDescent="0.25">
      <c r="A5324" s="19">
        <v>46054</v>
      </c>
      <c r="B5324" s="20" t="s">
        <v>156</v>
      </c>
      <c r="C5324" s="20">
        <v>83</v>
      </c>
      <c r="D5324" s="20" t="s">
        <v>291</v>
      </c>
      <c r="E5324" s="20" t="s">
        <v>2361</v>
      </c>
      <c r="F5324" s="20" t="s">
        <v>349</v>
      </c>
      <c r="G5324" s="20" t="s">
        <v>158</v>
      </c>
      <c r="H5324" s="20" t="s">
        <v>160</v>
      </c>
      <c r="I5324" s="20"/>
      <c r="J5324" s="20" t="s">
        <v>206</v>
      </c>
      <c r="K5324" s="20" t="s">
        <v>250</v>
      </c>
      <c r="L5324" s="20">
        <v>5276</v>
      </c>
      <c r="M5324" s="20" t="s">
        <v>242</v>
      </c>
      <c r="N5324" s="20" t="s">
        <v>3469</v>
      </c>
    </row>
    <row r="5325" spans="1:14" hidden="1" x14ac:dyDescent="0.25">
      <c r="A5325" s="19">
        <v>46054</v>
      </c>
      <c r="B5325" s="20" t="s">
        <v>156</v>
      </c>
      <c r="C5325" s="20">
        <v>84</v>
      </c>
      <c r="D5325" s="20" t="s">
        <v>253</v>
      </c>
      <c r="E5325" s="20" t="s">
        <v>2359</v>
      </c>
      <c r="F5325" s="20" t="s">
        <v>356</v>
      </c>
      <c r="G5325" s="20" t="s">
        <v>158</v>
      </c>
      <c r="H5325" s="20"/>
      <c r="I5325" s="20"/>
      <c r="J5325" s="20" t="s">
        <v>204</v>
      </c>
      <c r="K5325" s="20" t="s">
        <v>255</v>
      </c>
      <c r="L5325" s="20">
        <v>3850000000</v>
      </c>
      <c r="M5325" s="20" t="s">
        <v>245</v>
      </c>
      <c r="N5325" s="20" t="s">
        <v>3182</v>
      </c>
    </row>
    <row r="5326" spans="1:14" hidden="1" x14ac:dyDescent="0.25">
      <c r="A5326" s="19">
        <v>46054</v>
      </c>
      <c r="B5326" s="20" t="s">
        <v>156</v>
      </c>
      <c r="C5326" s="20">
        <v>84</v>
      </c>
      <c r="D5326" s="20" t="s">
        <v>253</v>
      </c>
      <c r="E5326" s="20" t="s">
        <v>2359</v>
      </c>
      <c r="F5326" s="20" t="s">
        <v>356</v>
      </c>
      <c r="G5326" s="20" t="s">
        <v>158</v>
      </c>
      <c r="H5326" s="20"/>
      <c r="I5326" s="20"/>
      <c r="J5326" s="20" t="s">
        <v>205</v>
      </c>
      <c r="K5326" s="20" t="s">
        <v>255</v>
      </c>
      <c r="L5326" s="20">
        <v>3070000000</v>
      </c>
      <c r="M5326" s="20" t="s">
        <v>245</v>
      </c>
      <c r="N5326" s="20" t="s">
        <v>3324</v>
      </c>
    </row>
    <row r="5327" spans="1:14" hidden="1" x14ac:dyDescent="0.25">
      <c r="A5327" s="19">
        <v>46054</v>
      </c>
      <c r="B5327" s="20" t="s">
        <v>156</v>
      </c>
      <c r="C5327" s="20">
        <v>84</v>
      </c>
      <c r="D5327" s="20" t="s">
        <v>253</v>
      </c>
      <c r="E5327" s="20" t="s">
        <v>2359</v>
      </c>
      <c r="F5327" s="20" t="s">
        <v>356</v>
      </c>
      <c r="G5327" s="20" t="s">
        <v>158</v>
      </c>
      <c r="H5327" s="20"/>
      <c r="I5327" s="20"/>
      <c r="J5327" s="20" t="s">
        <v>206</v>
      </c>
      <c r="K5327" s="20" t="s">
        <v>255</v>
      </c>
      <c r="L5327" s="20">
        <v>3230000000</v>
      </c>
      <c r="M5327" s="20" t="s">
        <v>245</v>
      </c>
      <c r="N5327" s="20" t="s">
        <v>3470</v>
      </c>
    </row>
    <row r="5328" spans="1:14" hidden="1" x14ac:dyDescent="0.25">
      <c r="A5328" s="19">
        <v>46054</v>
      </c>
      <c r="B5328" s="20" t="s">
        <v>156</v>
      </c>
      <c r="C5328" s="20">
        <v>84</v>
      </c>
      <c r="D5328" s="20" t="s">
        <v>247</v>
      </c>
      <c r="E5328" s="20" t="s">
        <v>2554</v>
      </c>
      <c r="F5328" s="20" t="s">
        <v>2561</v>
      </c>
      <c r="G5328" s="20" t="s">
        <v>158</v>
      </c>
      <c r="H5328" s="20" t="s">
        <v>286</v>
      </c>
      <c r="I5328" s="20"/>
      <c r="J5328" s="20" t="s">
        <v>206</v>
      </c>
      <c r="K5328" s="20" t="s">
        <v>250</v>
      </c>
      <c r="L5328" s="20">
        <v>5.3</v>
      </c>
      <c r="M5328" s="20" t="s">
        <v>251</v>
      </c>
      <c r="N5328" s="20" t="s">
        <v>329</v>
      </c>
    </row>
    <row r="5329" spans="1:14" hidden="1" x14ac:dyDescent="0.25">
      <c r="A5329" s="19">
        <v>46054</v>
      </c>
      <c r="B5329" s="20" t="s">
        <v>156</v>
      </c>
      <c r="C5329" s="20">
        <v>85</v>
      </c>
      <c r="D5329" s="20" t="s">
        <v>253</v>
      </c>
      <c r="E5329" s="20" t="s">
        <v>2359</v>
      </c>
      <c r="F5329" s="20" t="s">
        <v>361</v>
      </c>
      <c r="G5329" s="20" t="s">
        <v>158</v>
      </c>
      <c r="H5329" s="20"/>
      <c r="I5329" s="20"/>
      <c r="J5329" s="20" t="s">
        <v>204</v>
      </c>
      <c r="K5329" s="20" t="s">
        <v>255</v>
      </c>
      <c r="L5329" s="20">
        <v>97800000</v>
      </c>
      <c r="M5329" s="20" t="s">
        <v>245</v>
      </c>
      <c r="N5329" s="20" t="s">
        <v>3471</v>
      </c>
    </row>
    <row r="5330" spans="1:14" hidden="1" x14ac:dyDescent="0.25">
      <c r="A5330" s="19">
        <v>46054</v>
      </c>
      <c r="B5330" s="20" t="s">
        <v>156</v>
      </c>
      <c r="C5330" s="20">
        <v>85</v>
      </c>
      <c r="D5330" s="20" t="s">
        <v>253</v>
      </c>
      <c r="E5330" s="20" t="s">
        <v>2359</v>
      </c>
      <c r="F5330" s="20" t="s">
        <v>361</v>
      </c>
      <c r="G5330" s="20" t="s">
        <v>158</v>
      </c>
      <c r="H5330" s="20"/>
      <c r="I5330" s="20"/>
      <c r="J5330" s="20" t="s">
        <v>205</v>
      </c>
      <c r="K5330" s="20" t="s">
        <v>255</v>
      </c>
      <c r="L5330" s="20">
        <v>65900000</v>
      </c>
      <c r="M5330" s="20" t="s">
        <v>245</v>
      </c>
      <c r="N5330" s="20" t="s">
        <v>3472</v>
      </c>
    </row>
    <row r="5331" spans="1:14" hidden="1" x14ac:dyDescent="0.25">
      <c r="A5331" s="19">
        <v>46054</v>
      </c>
      <c r="B5331" s="20" t="s">
        <v>156</v>
      </c>
      <c r="C5331" s="20">
        <v>85</v>
      </c>
      <c r="D5331" s="20" t="s">
        <v>253</v>
      </c>
      <c r="E5331" s="20" t="s">
        <v>2359</v>
      </c>
      <c r="F5331" s="20" t="s">
        <v>361</v>
      </c>
      <c r="G5331" s="20" t="s">
        <v>158</v>
      </c>
      <c r="H5331" s="20"/>
      <c r="I5331" s="20"/>
      <c r="J5331" s="20" t="s">
        <v>206</v>
      </c>
      <c r="K5331" s="20" t="s">
        <v>255</v>
      </c>
      <c r="L5331" s="20">
        <v>75300000</v>
      </c>
      <c r="M5331" s="20" t="s">
        <v>245</v>
      </c>
      <c r="N5331" s="20" t="s">
        <v>3473</v>
      </c>
    </row>
    <row r="5332" spans="1:14" hidden="1" x14ac:dyDescent="0.25">
      <c r="A5332" s="19">
        <v>46054</v>
      </c>
      <c r="B5332" s="20" t="s">
        <v>156</v>
      </c>
      <c r="C5332" s="20">
        <v>86</v>
      </c>
      <c r="D5332" s="20" t="s">
        <v>253</v>
      </c>
      <c r="E5332" s="20" t="s">
        <v>2359</v>
      </c>
      <c r="F5332" s="20" t="s">
        <v>2548</v>
      </c>
      <c r="G5332" s="20" t="s">
        <v>158</v>
      </c>
      <c r="H5332" s="20"/>
      <c r="I5332" s="20"/>
      <c r="J5332" s="20" t="s">
        <v>204</v>
      </c>
      <c r="K5332" s="20" t="s">
        <v>255</v>
      </c>
      <c r="L5332" s="20">
        <v>2.54</v>
      </c>
      <c r="M5332" s="20" t="s">
        <v>251</v>
      </c>
      <c r="N5332" s="20" t="s">
        <v>1093</v>
      </c>
    </row>
    <row r="5333" spans="1:14" hidden="1" x14ac:dyDescent="0.25">
      <c r="A5333" s="19">
        <v>46054</v>
      </c>
      <c r="B5333" s="20" t="s">
        <v>156</v>
      </c>
      <c r="C5333" s="20">
        <v>86</v>
      </c>
      <c r="D5333" s="20" t="s">
        <v>253</v>
      </c>
      <c r="E5333" s="20" t="s">
        <v>2359</v>
      </c>
      <c r="F5333" s="20" t="s">
        <v>2548</v>
      </c>
      <c r="G5333" s="20" t="s">
        <v>158</v>
      </c>
      <c r="H5333" s="20"/>
      <c r="I5333" s="20"/>
      <c r="J5333" s="20" t="s">
        <v>205</v>
      </c>
      <c r="K5333" s="20" t="s">
        <v>255</v>
      </c>
      <c r="L5333" s="20">
        <v>2.14</v>
      </c>
      <c r="M5333" s="20" t="s">
        <v>251</v>
      </c>
      <c r="N5333" s="20" t="s">
        <v>889</v>
      </c>
    </row>
    <row r="5334" spans="1:14" hidden="1" x14ac:dyDescent="0.25">
      <c r="A5334" s="19">
        <v>46054</v>
      </c>
      <c r="B5334" s="20" t="s">
        <v>156</v>
      </c>
      <c r="C5334" s="20">
        <v>86</v>
      </c>
      <c r="D5334" s="20" t="s">
        <v>253</v>
      </c>
      <c r="E5334" s="20" t="s">
        <v>2359</v>
      </c>
      <c r="F5334" s="20" t="s">
        <v>2548</v>
      </c>
      <c r="G5334" s="20" t="s">
        <v>158</v>
      </c>
      <c r="H5334" s="20"/>
      <c r="I5334" s="20"/>
      <c r="J5334" s="20" t="s">
        <v>206</v>
      </c>
      <c r="K5334" s="20" t="s">
        <v>255</v>
      </c>
      <c r="L5334" s="20">
        <v>2.33</v>
      </c>
      <c r="M5334" s="20" t="s">
        <v>251</v>
      </c>
      <c r="N5334" s="20" t="s">
        <v>3474</v>
      </c>
    </row>
    <row r="5335" spans="1:14" hidden="1" x14ac:dyDescent="0.25">
      <c r="A5335" s="19">
        <v>46054</v>
      </c>
      <c r="B5335" s="20" t="s">
        <v>156</v>
      </c>
      <c r="C5335" s="20">
        <v>87</v>
      </c>
      <c r="D5335" s="20" t="s">
        <v>291</v>
      </c>
      <c r="E5335" s="20" t="s">
        <v>2361</v>
      </c>
      <c r="F5335" s="20" t="s">
        <v>361</v>
      </c>
      <c r="G5335" s="20" t="s">
        <v>158</v>
      </c>
      <c r="H5335" s="20" t="s">
        <v>159</v>
      </c>
      <c r="I5335" s="20"/>
      <c r="J5335" s="20" t="s">
        <v>206</v>
      </c>
      <c r="K5335" s="20" t="s">
        <v>250</v>
      </c>
      <c r="L5335" s="20">
        <v>43500000</v>
      </c>
      <c r="M5335" s="20" t="s">
        <v>245</v>
      </c>
      <c r="N5335" s="20" t="s">
        <v>3475</v>
      </c>
    </row>
    <row r="5336" spans="1:14" hidden="1" x14ac:dyDescent="0.25">
      <c r="A5336" s="19">
        <v>46054</v>
      </c>
      <c r="B5336" s="20" t="s">
        <v>156</v>
      </c>
      <c r="C5336" s="20">
        <v>87</v>
      </c>
      <c r="D5336" s="20" t="s">
        <v>291</v>
      </c>
      <c r="E5336" s="20" t="s">
        <v>2361</v>
      </c>
      <c r="F5336" s="20" t="s">
        <v>361</v>
      </c>
      <c r="G5336" s="20" t="s">
        <v>158</v>
      </c>
      <c r="H5336" s="20" t="s">
        <v>160</v>
      </c>
      <c r="I5336" s="20"/>
      <c r="J5336" s="20" t="s">
        <v>206</v>
      </c>
      <c r="K5336" s="20" t="s">
        <v>250</v>
      </c>
      <c r="L5336" s="20">
        <v>31800000</v>
      </c>
      <c r="M5336" s="20" t="s">
        <v>245</v>
      </c>
      <c r="N5336" s="20" t="s">
        <v>3476</v>
      </c>
    </row>
    <row r="5337" spans="1:14" hidden="1" x14ac:dyDescent="0.25">
      <c r="A5337" s="19">
        <v>46082</v>
      </c>
      <c r="B5337" s="20" t="s">
        <v>535</v>
      </c>
      <c r="C5337" s="20">
        <v>4</v>
      </c>
      <c r="D5337" s="20" t="s">
        <v>238</v>
      </c>
      <c r="E5337" s="20" t="s">
        <v>2341</v>
      </c>
      <c r="F5337" s="20" t="s">
        <v>285</v>
      </c>
      <c r="G5337" s="20" t="s">
        <v>63</v>
      </c>
      <c r="H5337" s="20"/>
      <c r="I5337" s="20"/>
      <c r="J5337" s="20" t="s">
        <v>207</v>
      </c>
      <c r="K5337" s="20" t="s">
        <v>250</v>
      </c>
      <c r="L5337" s="20">
        <v>2220000</v>
      </c>
      <c r="M5337" s="20" t="s">
        <v>242</v>
      </c>
      <c r="N5337" s="20" t="s">
        <v>1990</v>
      </c>
    </row>
    <row r="5338" spans="1:14" hidden="1" x14ac:dyDescent="0.25">
      <c r="A5338" s="19">
        <v>46082</v>
      </c>
      <c r="B5338" s="20" t="s">
        <v>535</v>
      </c>
      <c r="C5338" s="20">
        <v>4</v>
      </c>
      <c r="D5338" s="20" t="s">
        <v>238</v>
      </c>
      <c r="E5338" s="20" t="s">
        <v>2341</v>
      </c>
      <c r="F5338" s="20" t="s">
        <v>240</v>
      </c>
      <c r="G5338" s="20" t="s">
        <v>82</v>
      </c>
      <c r="H5338" s="20"/>
      <c r="I5338" s="20"/>
      <c r="J5338" s="20" t="s">
        <v>207</v>
      </c>
      <c r="K5338" s="20" t="s">
        <v>250</v>
      </c>
      <c r="L5338" s="20">
        <v>19010000</v>
      </c>
      <c r="M5338" s="20" t="s">
        <v>242</v>
      </c>
      <c r="N5338" s="20" t="s">
        <v>3477</v>
      </c>
    </row>
    <row r="5339" spans="1:14" hidden="1" x14ac:dyDescent="0.25">
      <c r="A5339" s="19">
        <v>46082</v>
      </c>
      <c r="B5339" s="20" t="s">
        <v>535</v>
      </c>
      <c r="C5339" s="20">
        <v>4</v>
      </c>
      <c r="D5339" s="20" t="s">
        <v>238</v>
      </c>
      <c r="E5339" s="20" t="s">
        <v>2341</v>
      </c>
      <c r="F5339" s="20" t="s">
        <v>244</v>
      </c>
      <c r="G5339" s="20" t="s">
        <v>82</v>
      </c>
      <c r="H5339" s="20"/>
      <c r="I5339" s="20"/>
      <c r="J5339" s="20" t="s">
        <v>207</v>
      </c>
      <c r="K5339" s="20" t="s">
        <v>250</v>
      </c>
      <c r="L5339" s="20">
        <v>2020000000</v>
      </c>
      <c r="M5339" s="20" t="s">
        <v>245</v>
      </c>
      <c r="N5339" s="20" t="s">
        <v>3478</v>
      </c>
    </row>
    <row r="5340" spans="1:14" hidden="1" x14ac:dyDescent="0.25">
      <c r="A5340" s="19">
        <v>46082</v>
      </c>
      <c r="B5340" s="20" t="s">
        <v>535</v>
      </c>
      <c r="C5340" s="20">
        <v>5</v>
      </c>
      <c r="D5340" s="20" t="s">
        <v>238</v>
      </c>
      <c r="E5340" s="20" t="s">
        <v>2341</v>
      </c>
      <c r="F5340" s="20" t="s">
        <v>285</v>
      </c>
      <c r="G5340" s="20" t="s">
        <v>63</v>
      </c>
      <c r="H5340" s="20"/>
      <c r="I5340" s="20"/>
      <c r="J5340" s="20" t="s">
        <v>207</v>
      </c>
      <c r="K5340" s="20" t="s">
        <v>250</v>
      </c>
      <c r="L5340" s="20">
        <v>2910000</v>
      </c>
      <c r="M5340" s="20" t="s">
        <v>242</v>
      </c>
      <c r="N5340" s="20" t="s">
        <v>3479</v>
      </c>
    </row>
    <row r="5341" spans="1:14" hidden="1" x14ac:dyDescent="0.25">
      <c r="A5341" s="19">
        <v>46082</v>
      </c>
      <c r="B5341" s="20" t="s">
        <v>535</v>
      </c>
      <c r="C5341" s="20">
        <v>5</v>
      </c>
      <c r="D5341" s="20" t="s">
        <v>238</v>
      </c>
      <c r="E5341" s="20" t="s">
        <v>2341</v>
      </c>
      <c r="F5341" s="20" t="s">
        <v>240</v>
      </c>
      <c r="G5341" s="20" t="s">
        <v>82</v>
      </c>
      <c r="H5341" s="20"/>
      <c r="I5341" s="20"/>
      <c r="J5341" s="20" t="s">
        <v>207</v>
      </c>
      <c r="K5341" s="20" t="s">
        <v>250</v>
      </c>
      <c r="L5341" s="20">
        <v>12760000</v>
      </c>
      <c r="M5341" s="20" t="s">
        <v>242</v>
      </c>
      <c r="N5341" s="20" t="s">
        <v>3480</v>
      </c>
    </row>
    <row r="5342" spans="1:14" hidden="1" x14ac:dyDescent="0.25">
      <c r="A5342" s="19">
        <v>46082</v>
      </c>
      <c r="B5342" s="20" t="s">
        <v>535</v>
      </c>
      <c r="C5342" s="20">
        <v>5</v>
      </c>
      <c r="D5342" s="20" t="s">
        <v>238</v>
      </c>
      <c r="E5342" s="20" t="s">
        <v>2341</v>
      </c>
      <c r="F5342" s="20" t="s">
        <v>244</v>
      </c>
      <c r="G5342" s="20" t="s">
        <v>82</v>
      </c>
      <c r="H5342" s="20"/>
      <c r="I5342" s="20"/>
      <c r="J5342" s="20" t="s">
        <v>207</v>
      </c>
      <c r="K5342" s="20" t="s">
        <v>250</v>
      </c>
      <c r="L5342" s="20">
        <v>652000000</v>
      </c>
      <c r="M5342" s="20" t="s">
        <v>245</v>
      </c>
      <c r="N5342" s="20" t="s">
        <v>3481</v>
      </c>
    </row>
    <row r="5343" spans="1:14" hidden="1" x14ac:dyDescent="0.25">
      <c r="A5343" s="19">
        <v>46082</v>
      </c>
      <c r="B5343" s="20" t="s">
        <v>535</v>
      </c>
      <c r="C5343" s="20">
        <v>6</v>
      </c>
      <c r="D5343" s="20" t="s">
        <v>238</v>
      </c>
      <c r="E5343" s="20" t="s">
        <v>2341</v>
      </c>
      <c r="F5343" s="20" t="s">
        <v>285</v>
      </c>
      <c r="G5343" s="20" t="s">
        <v>63</v>
      </c>
      <c r="H5343" s="20"/>
      <c r="I5343" s="20"/>
      <c r="J5343" s="20" t="s">
        <v>207</v>
      </c>
      <c r="K5343" s="20" t="s">
        <v>250</v>
      </c>
      <c r="L5343" s="20">
        <v>5170000</v>
      </c>
      <c r="M5343" s="20" t="s">
        <v>242</v>
      </c>
      <c r="N5343" s="20" t="s">
        <v>3482</v>
      </c>
    </row>
    <row r="5344" spans="1:14" hidden="1" x14ac:dyDescent="0.25">
      <c r="A5344" s="19">
        <v>46082</v>
      </c>
      <c r="B5344" s="20" t="s">
        <v>535</v>
      </c>
      <c r="C5344" s="20">
        <v>6</v>
      </c>
      <c r="D5344" s="20" t="s">
        <v>238</v>
      </c>
      <c r="E5344" s="20" t="s">
        <v>2341</v>
      </c>
      <c r="F5344" s="20" t="s">
        <v>378</v>
      </c>
      <c r="G5344" s="20" t="s">
        <v>379</v>
      </c>
      <c r="H5344" s="20"/>
      <c r="I5344" s="20"/>
      <c r="J5344" s="20" t="s">
        <v>207</v>
      </c>
      <c r="K5344" s="20" t="s">
        <v>250</v>
      </c>
      <c r="L5344" s="20">
        <v>707</v>
      </c>
      <c r="M5344" s="20" t="s">
        <v>242</v>
      </c>
      <c r="N5344" s="20" t="s">
        <v>3483</v>
      </c>
    </row>
    <row r="5345" spans="1:14" hidden="1" x14ac:dyDescent="0.25">
      <c r="A5345" s="19">
        <v>46082</v>
      </c>
      <c r="B5345" s="20" t="s">
        <v>535</v>
      </c>
      <c r="C5345" s="20">
        <v>6</v>
      </c>
      <c r="D5345" s="20" t="s">
        <v>238</v>
      </c>
      <c r="E5345" s="20" t="s">
        <v>2341</v>
      </c>
      <c r="F5345" s="20" t="s">
        <v>381</v>
      </c>
      <c r="G5345" s="20" t="s">
        <v>382</v>
      </c>
      <c r="H5345" s="20"/>
      <c r="I5345" s="20"/>
      <c r="J5345" s="20" t="s">
        <v>207</v>
      </c>
      <c r="K5345" s="20" t="s">
        <v>250</v>
      </c>
      <c r="L5345" s="20">
        <v>2429</v>
      </c>
      <c r="M5345" s="20" t="s">
        <v>242</v>
      </c>
      <c r="N5345" s="20" t="s">
        <v>3484</v>
      </c>
    </row>
    <row r="5346" spans="1:14" hidden="1" x14ac:dyDescent="0.25">
      <c r="A5346" s="19">
        <v>46082</v>
      </c>
      <c r="B5346" s="20" t="s">
        <v>535</v>
      </c>
      <c r="C5346" s="20">
        <v>6</v>
      </c>
      <c r="D5346" s="20" t="s">
        <v>238</v>
      </c>
      <c r="E5346" s="20" t="s">
        <v>2341</v>
      </c>
      <c r="F5346" s="20" t="s">
        <v>240</v>
      </c>
      <c r="G5346" s="20" t="s">
        <v>82</v>
      </c>
      <c r="H5346" s="20"/>
      <c r="I5346" s="20"/>
      <c r="J5346" s="20" t="s">
        <v>207</v>
      </c>
      <c r="K5346" s="20" t="s">
        <v>250</v>
      </c>
      <c r="L5346" s="20">
        <v>7360000</v>
      </c>
      <c r="M5346" s="20" t="s">
        <v>242</v>
      </c>
      <c r="N5346" s="20" t="s">
        <v>3485</v>
      </c>
    </row>
    <row r="5347" spans="1:14" hidden="1" x14ac:dyDescent="0.25">
      <c r="A5347" s="19">
        <v>46082</v>
      </c>
      <c r="B5347" s="20" t="s">
        <v>535</v>
      </c>
      <c r="C5347" s="20">
        <v>6</v>
      </c>
      <c r="D5347" s="20" t="s">
        <v>238</v>
      </c>
      <c r="E5347" s="20" t="s">
        <v>2341</v>
      </c>
      <c r="F5347" s="20" t="s">
        <v>244</v>
      </c>
      <c r="G5347" s="20" t="s">
        <v>82</v>
      </c>
      <c r="H5347" s="20"/>
      <c r="I5347" s="20"/>
      <c r="J5347" s="20" t="s">
        <v>207</v>
      </c>
      <c r="K5347" s="20" t="s">
        <v>250</v>
      </c>
      <c r="L5347" s="20">
        <v>1260000000</v>
      </c>
      <c r="M5347" s="20" t="s">
        <v>245</v>
      </c>
      <c r="N5347" s="20" t="s">
        <v>1514</v>
      </c>
    </row>
    <row r="5348" spans="1:14" hidden="1" x14ac:dyDescent="0.25">
      <c r="A5348" s="19">
        <v>46082</v>
      </c>
      <c r="B5348" s="20" t="s">
        <v>535</v>
      </c>
      <c r="C5348" s="20">
        <v>7</v>
      </c>
      <c r="D5348" s="20" t="s">
        <v>238</v>
      </c>
      <c r="E5348" s="20" t="s">
        <v>2341</v>
      </c>
      <c r="F5348" s="20" t="s">
        <v>1194</v>
      </c>
      <c r="G5348" s="20" t="s">
        <v>82</v>
      </c>
      <c r="H5348" s="20"/>
      <c r="I5348" s="20"/>
      <c r="J5348" s="20" t="s">
        <v>207</v>
      </c>
      <c r="K5348" s="20" t="s">
        <v>250</v>
      </c>
      <c r="L5348" s="20">
        <v>1130000</v>
      </c>
      <c r="M5348" s="20" t="s">
        <v>242</v>
      </c>
      <c r="N5348" s="20" t="s">
        <v>1675</v>
      </c>
    </row>
    <row r="5349" spans="1:14" hidden="1" x14ac:dyDescent="0.25">
      <c r="A5349" s="19">
        <v>46082</v>
      </c>
      <c r="B5349" s="20" t="s">
        <v>535</v>
      </c>
      <c r="C5349" s="20">
        <v>7</v>
      </c>
      <c r="D5349" s="20" t="s">
        <v>238</v>
      </c>
      <c r="E5349" s="20" t="s">
        <v>2341</v>
      </c>
      <c r="F5349" s="20" t="s">
        <v>544</v>
      </c>
      <c r="G5349" s="20" t="s">
        <v>82</v>
      </c>
      <c r="H5349" s="20"/>
      <c r="I5349" s="20"/>
      <c r="J5349" s="20" t="s">
        <v>207</v>
      </c>
      <c r="K5349" s="20" t="s">
        <v>250</v>
      </c>
      <c r="L5349" s="20">
        <v>1120000</v>
      </c>
      <c r="M5349" s="20" t="s">
        <v>242</v>
      </c>
      <c r="N5349" s="20" t="s">
        <v>3486</v>
      </c>
    </row>
    <row r="5350" spans="1:14" hidden="1" x14ac:dyDescent="0.25">
      <c r="A5350" s="19">
        <v>46082</v>
      </c>
      <c r="B5350" s="20" t="s">
        <v>535</v>
      </c>
      <c r="C5350" s="20">
        <v>7</v>
      </c>
      <c r="D5350" s="20" t="s">
        <v>238</v>
      </c>
      <c r="E5350" s="20" t="s">
        <v>2341</v>
      </c>
      <c r="F5350" s="20" t="s">
        <v>929</v>
      </c>
      <c r="G5350" s="20" t="s">
        <v>82</v>
      </c>
      <c r="H5350" s="20"/>
      <c r="I5350" s="20"/>
      <c r="J5350" s="20" t="s">
        <v>207</v>
      </c>
      <c r="K5350" s="20" t="s">
        <v>250</v>
      </c>
      <c r="L5350" s="20">
        <v>937000000</v>
      </c>
      <c r="M5350" s="20" t="s">
        <v>245</v>
      </c>
      <c r="N5350" s="20" t="s">
        <v>3487</v>
      </c>
    </row>
    <row r="5351" spans="1:14" hidden="1" x14ac:dyDescent="0.25">
      <c r="A5351" s="19">
        <v>46082</v>
      </c>
      <c r="B5351" s="20" t="s">
        <v>535</v>
      </c>
      <c r="C5351" s="20">
        <v>8</v>
      </c>
      <c r="D5351" s="20" t="s">
        <v>238</v>
      </c>
      <c r="E5351" s="20" t="s">
        <v>2341</v>
      </c>
      <c r="F5351" s="20" t="s">
        <v>548</v>
      </c>
      <c r="G5351" s="20" t="s">
        <v>158</v>
      </c>
      <c r="H5351" s="20"/>
      <c r="I5351" s="20"/>
      <c r="J5351" s="20" t="s">
        <v>207</v>
      </c>
      <c r="K5351" s="20" t="s">
        <v>250</v>
      </c>
      <c r="L5351" s="20">
        <v>567000</v>
      </c>
      <c r="M5351" s="20" t="s">
        <v>242</v>
      </c>
      <c r="N5351" s="20" t="s">
        <v>3488</v>
      </c>
    </row>
    <row r="5352" spans="1:14" hidden="1" x14ac:dyDescent="0.25">
      <c r="A5352" s="19">
        <v>46082</v>
      </c>
      <c r="B5352" s="20" t="s">
        <v>535</v>
      </c>
      <c r="C5352" s="20">
        <v>8</v>
      </c>
      <c r="D5352" s="20" t="s">
        <v>238</v>
      </c>
      <c r="E5352" s="20" t="s">
        <v>2341</v>
      </c>
      <c r="F5352" s="20" t="s">
        <v>349</v>
      </c>
      <c r="G5352" s="20" t="s">
        <v>158</v>
      </c>
      <c r="H5352" s="20"/>
      <c r="I5352" s="20"/>
      <c r="J5352" s="20" t="s">
        <v>207</v>
      </c>
      <c r="K5352" s="20" t="s">
        <v>250</v>
      </c>
      <c r="L5352" s="20">
        <v>20100</v>
      </c>
      <c r="M5352" s="20" t="s">
        <v>242</v>
      </c>
      <c r="N5352" s="20" t="s">
        <v>3489</v>
      </c>
    </row>
    <row r="5353" spans="1:14" hidden="1" x14ac:dyDescent="0.25">
      <c r="A5353" s="19">
        <v>46082</v>
      </c>
      <c r="B5353" s="20" t="s">
        <v>535</v>
      </c>
      <c r="C5353" s="20">
        <v>8</v>
      </c>
      <c r="D5353" s="20" t="s">
        <v>238</v>
      </c>
      <c r="E5353" s="20" t="s">
        <v>2341</v>
      </c>
      <c r="F5353" s="20" t="s">
        <v>551</v>
      </c>
      <c r="G5353" s="20" t="s">
        <v>158</v>
      </c>
      <c r="H5353" s="20"/>
      <c r="I5353" s="20"/>
      <c r="J5353" s="20" t="s">
        <v>207</v>
      </c>
      <c r="K5353" s="20" t="s">
        <v>250</v>
      </c>
      <c r="L5353" s="20">
        <v>3430000000</v>
      </c>
      <c r="M5353" s="20" t="s">
        <v>245</v>
      </c>
      <c r="N5353" s="20" t="s">
        <v>3490</v>
      </c>
    </row>
    <row r="5354" spans="1:14" hidden="1" x14ac:dyDescent="0.25">
      <c r="A5354" s="19">
        <v>46082</v>
      </c>
      <c r="B5354" s="20" t="s">
        <v>535</v>
      </c>
      <c r="C5354" s="20">
        <v>8</v>
      </c>
      <c r="D5354" s="20" t="s">
        <v>238</v>
      </c>
      <c r="E5354" s="20" t="s">
        <v>2341</v>
      </c>
      <c r="F5354" s="20" t="s">
        <v>361</v>
      </c>
      <c r="G5354" s="20" t="s">
        <v>158</v>
      </c>
      <c r="H5354" s="20"/>
      <c r="I5354" s="20"/>
      <c r="J5354" s="20" t="s">
        <v>207</v>
      </c>
      <c r="K5354" s="20" t="s">
        <v>250</v>
      </c>
      <c r="L5354" s="20">
        <v>119600000</v>
      </c>
      <c r="M5354" s="20" t="s">
        <v>245</v>
      </c>
      <c r="N5354" s="20" t="s">
        <v>1648</v>
      </c>
    </row>
    <row r="5355" spans="1:14" hidden="1" x14ac:dyDescent="0.25">
      <c r="A5355" s="19">
        <v>46082</v>
      </c>
      <c r="B5355" s="20" t="s">
        <v>35</v>
      </c>
      <c r="C5355" s="20">
        <v>10</v>
      </c>
      <c r="D5355" s="20" t="s">
        <v>238</v>
      </c>
      <c r="E5355" s="20" t="s">
        <v>2341</v>
      </c>
      <c r="F5355" s="20" t="s">
        <v>240</v>
      </c>
      <c r="G5355" s="20" t="s">
        <v>82</v>
      </c>
      <c r="H5355" s="20"/>
      <c r="I5355" s="20"/>
      <c r="J5355" s="20" t="s">
        <v>3491</v>
      </c>
      <c r="K5355" s="20" t="s">
        <v>241</v>
      </c>
      <c r="L5355" s="20">
        <v>53290000</v>
      </c>
      <c r="M5355" s="20" t="s">
        <v>242</v>
      </c>
      <c r="N5355" s="20" t="s">
        <v>3492</v>
      </c>
    </row>
    <row r="5356" spans="1:14" hidden="1" x14ac:dyDescent="0.25">
      <c r="A5356" s="19">
        <v>46082</v>
      </c>
      <c r="B5356" s="20" t="s">
        <v>35</v>
      </c>
      <c r="C5356" s="20">
        <v>10</v>
      </c>
      <c r="D5356" s="20" t="s">
        <v>238</v>
      </c>
      <c r="E5356" s="20" t="s">
        <v>2341</v>
      </c>
      <c r="F5356" s="20" t="s">
        <v>244</v>
      </c>
      <c r="G5356" s="20" t="s">
        <v>82</v>
      </c>
      <c r="H5356" s="20"/>
      <c r="I5356" s="20"/>
      <c r="J5356" s="20" t="s">
        <v>3491</v>
      </c>
      <c r="K5356" s="20" t="s">
        <v>241</v>
      </c>
      <c r="L5356" s="20">
        <v>5710000000</v>
      </c>
      <c r="M5356" s="20" t="s">
        <v>245</v>
      </c>
      <c r="N5356" s="20" t="s">
        <v>3493</v>
      </c>
    </row>
    <row r="5357" spans="1:14" hidden="1" x14ac:dyDescent="0.25">
      <c r="A5357" s="19">
        <v>46082</v>
      </c>
      <c r="B5357" s="20" t="s">
        <v>35</v>
      </c>
      <c r="C5357" s="20">
        <v>11</v>
      </c>
      <c r="D5357" s="20" t="s">
        <v>253</v>
      </c>
      <c r="E5357" s="20" t="s">
        <v>2359</v>
      </c>
      <c r="F5357" s="20" t="s">
        <v>285</v>
      </c>
      <c r="G5357" s="20" t="s">
        <v>63</v>
      </c>
      <c r="H5357" s="20"/>
      <c r="I5357" s="20"/>
      <c r="J5357" s="20" t="s">
        <v>205</v>
      </c>
      <c r="K5357" s="20" t="s">
        <v>255</v>
      </c>
      <c r="L5357" s="20">
        <v>2160000</v>
      </c>
      <c r="M5357" s="20" t="s">
        <v>242</v>
      </c>
      <c r="N5357" s="20" t="s">
        <v>3201</v>
      </c>
    </row>
    <row r="5358" spans="1:14" hidden="1" x14ac:dyDescent="0.25">
      <c r="A5358" s="19">
        <v>46082</v>
      </c>
      <c r="B5358" s="20" t="s">
        <v>35</v>
      </c>
      <c r="C5358" s="20">
        <v>11</v>
      </c>
      <c r="D5358" s="20" t="s">
        <v>253</v>
      </c>
      <c r="E5358" s="20" t="s">
        <v>2359</v>
      </c>
      <c r="F5358" s="20" t="s">
        <v>285</v>
      </c>
      <c r="G5358" s="20" t="s">
        <v>63</v>
      </c>
      <c r="H5358" s="20"/>
      <c r="I5358" s="20"/>
      <c r="J5358" s="20" t="s">
        <v>206</v>
      </c>
      <c r="K5358" s="20" t="s">
        <v>255</v>
      </c>
      <c r="L5358" s="20">
        <v>2200000</v>
      </c>
      <c r="M5358" s="20" t="s">
        <v>242</v>
      </c>
      <c r="N5358" s="20" t="s">
        <v>3349</v>
      </c>
    </row>
    <row r="5359" spans="1:14" hidden="1" x14ac:dyDescent="0.25">
      <c r="A5359" s="19">
        <v>46082</v>
      </c>
      <c r="B5359" s="20" t="s">
        <v>35</v>
      </c>
      <c r="C5359" s="20">
        <v>11</v>
      </c>
      <c r="D5359" s="20" t="s">
        <v>253</v>
      </c>
      <c r="E5359" s="20" t="s">
        <v>2359</v>
      </c>
      <c r="F5359" s="20" t="s">
        <v>285</v>
      </c>
      <c r="G5359" s="20" t="s">
        <v>63</v>
      </c>
      <c r="H5359" s="20"/>
      <c r="I5359" s="20"/>
      <c r="J5359" s="20" t="s">
        <v>207</v>
      </c>
      <c r="K5359" s="20" t="s">
        <v>255</v>
      </c>
      <c r="L5359" s="20">
        <v>2220000</v>
      </c>
      <c r="M5359" s="20" t="s">
        <v>242</v>
      </c>
      <c r="N5359" s="20" t="s">
        <v>3494</v>
      </c>
    </row>
    <row r="5360" spans="1:14" hidden="1" x14ac:dyDescent="0.25">
      <c r="A5360" s="19">
        <v>46082</v>
      </c>
      <c r="B5360" s="20" t="s">
        <v>35</v>
      </c>
      <c r="C5360" s="20">
        <v>11</v>
      </c>
      <c r="D5360" s="20" t="s">
        <v>247</v>
      </c>
      <c r="E5360" s="20" t="s">
        <v>2554</v>
      </c>
      <c r="F5360" s="20" t="s">
        <v>2555</v>
      </c>
      <c r="G5360" s="20" t="s">
        <v>63</v>
      </c>
      <c r="H5360" s="20" t="s">
        <v>286</v>
      </c>
      <c r="I5360" s="20"/>
      <c r="J5360" s="20" t="s">
        <v>207</v>
      </c>
      <c r="K5360" s="20" t="s">
        <v>250</v>
      </c>
      <c r="L5360" s="20">
        <v>1</v>
      </c>
      <c r="M5360" s="20" t="s">
        <v>251</v>
      </c>
      <c r="N5360" s="20" t="s">
        <v>323</v>
      </c>
    </row>
    <row r="5361" spans="1:14" hidden="1" x14ac:dyDescent="0.25">
      <c r="A5361" s="19">
        <v>46082</v>
      </c>
      <c r="B5361" s="20" t="s">
        <v>35</v>
      </c>
      <c r="C5361" s="20">
        <v>12</v>
      </c>
      <c r="D5361" s="20" t="s">
        <v>291</v>
      </c>
      <c r="E5361" s="20" t="s">
        <v>2361</v>
      </c>
      <c r="F5361" s="20" t="s">
        <v>2362</v>
      </c>
      <c r="G5361" s="20" t="s">
        <v>63</v>
      </c>
      <c r="H5361" s="20" t="s">
        <v>64</v>
      </c>
      <c r="I5361" s="20"/>
      <c r="J5361" s="20" t="s">
        <v>207</v>
      </c>
      <c r="K5361" s="20" t="s">
        <v>250</v>
      </c>
      <c r="L5361" s="20">
        <v>2130000</v>
      </c>
      <c r="M5361" s="20" t="s">
        <v>242</v>
      </c>
      <c r="N5361" s="20" t="s">
        <v>3039</v>
      </c>
    </row>
    <row r="5362" spans="1:14" hidden="1" x14ac:dyDescent="0.25">
      <c r="A5362" s="19">
        <v>46082</v>
      </c>
      <c r="B5362" s="20" t="s">
        <v>35</v>
      </c>
      <c r="C5362" s="20">
        <v>12</v>
      </c>
      <c r="D5362" s="20" t="s">
        <v>291</v>
      </c>
      <c r="E5362" s="20" t="s">
        <v>2361</v>
      </c>
      <c r="F5362" s="20" t="s">
        <v>2362</v>
      </c>
      <c r="G5362" s="20" t="s">
        <v>63</v>
      </c>
      <c r="H5362" s="20" t="s">
        <v>65</v>
      </c>
      <c r="I5362" s="20"/>
      <c r="J5362" s="20" t="s">
        <v>207</v>
      </c>
      <c r="K5362" s="20" t="s">
        <v>250</v>
      </c>
      <c r="L5362" s="20">
        <v>89200</v>
      </c>
      <c r="M5362" s="20" t="s">
        <v>242</v>
      </c>
      <c r="N5362" s="20" t="s">
        <v>3495</v>
      </c>
    </row>
    <row r="5363" spans="1:14" hidden="1" x14ac:dyDescent="0.25">
      <c r="A5363" s="19">
        <v>46082</v>
      </c>
      <c r="B5363" s="20" t="s">
        <v>35</v>
      </c>
      <c r="C5363" s="20">
        <v>13</v>
      </c>
      <c r="D5363" s="20" t="s">
        <v>291</v>
      </c>
      <c r="E5363" s="20" t="s">
        <v>2361</v>
      </c>
      <c r="F5363" s="20" t="s">
        <v>2362</v>
      </c>
      <c r="G5363" s="20" t="s">
        <v>63</v>
      </c>
      <c r="H5363" s="20" t="s">
        <v>2364</v>
      </c>
      <c r="I5363" s="20"/>
      <c r="J5363" s="20" t="s">
        <v>207</v>
      </c>
      <c r="K5363" s="20" t="s">
        <v>250</v>
      </c>
      <c r="L5363" s="20">
        <v>1350000</v>
      </c>
      <c r="M5363" s="20" t="s">
        <v>242</v>
      </c>
      <c r="N5363" s="20" t="s">
        <v>1950</v>
      </c>
    </row>
    <row r="5364" spans="1:14" hidden="1" x14ac:dyDescent="0.25">
      <c r="A5364" s="19">
        <v>46082</v>
      </c>
      <c r="B5364" s="20" t="s">
        <v>35</v>
      </c>
      <c r="C5364" s="20">
        <v>13</v>
      </c>
      <c r="D5364" s="20" t="s">
        <v>291</v>
      </c>
      <c r="E5364" s="20" t="s">
        <v>2361</v>
      </c>
      <c r="F5364" s="20" t="s">
        <v>2362</v>
      </c>
      <c r="G5364" s="20" t="s">
        <v>63</v>
      </c>
      <c r="H5364" s="20" t="s">
        <v>2366</v>
      </c>
      <c r="I5364" s="20"/>
      <c r="J5364" s="20" t="s">
        <v>207</v>
      </c>
      <c r="K5364" s="20" t="s">
        <v>250</v>
      </c>
      <c r="L5364" s="20">
        <v>800000</v>
      </c>
      <c r="M5364" s="20" t="s">
        <v>242</v>
      </c>
      <c r="N5364" s="20" t="s">
        <v>3351</v>
      </c>
    </row>
    <row r="5365" spans="1:14" x14ac:dyDescent="0.25">
      <c r="A5365" s="19">
        <v>46082</v>
      </c>
      <c r="B5365" s="20" t="s">
        <v>35</v>
      </c>
      <c r="C5365" s="20">
        <v>14</v>
      </c>
      <c r="D5365" s="20" t="s">
        <v>291</v>
      </c>
      <c r="E5365" s="20" t="s">
        <v>2361</v>
      </c>
      <c r="F5365" s="20" t="s">
        <v>285</v>
      </c>
      <c r="G5365" s="20" t="s">
        <v>63</v>
      </c>
      <c r="H5365" s="20" t="s">
        <v>77</v>
      </c>
      <c r="I5365" s="20"/>
      <c r="J5365" s="20" t="s">
        <v>207</v>
      </c>
      <c r="K5365" s="20" t="s">
        <v>250</v>
      </c>
      <c r="L5365" s="20">
        <v>10000</v>
      </c>
      <c r="M5365" s="20" t="s">
        <v>242</v>
      </c>
      <c r="N5365" s="20" t="s">
        <v>3058</v>
      </c>
    </row>
    <row r="5366" spans="1:14" x14ac:dyDescent="0.25">
      <c r="A5366" s="19">
        <v>46082</v>
      </c>
      <c r="B5366" s="20" t="s">
        <v>35</v>
      </c>
      <c r="C5366" s="20">
        <v>14</v>
      </c>
      <c r="D5366" s="20" t="s">
        <v>291</v>
      </c>
      <c r="E5366" s="20" t="s">
        <v>2361</v>
      </c>
      <c r="F5366" s="20" t="s">
        <v>285</v>
      </c>
      <c r="G5366" s="20" t="s">
        <v>63</v>
      </c>
      <c r="H5366" s="20" t="s">
        <v>70</v>
      </c>
      <c r="I5366" s="20"/>
      <c r="J5366" s="20" t="s">
        <v>207</v>
      </c>
      <c r="K5366" s="20" t="s">
        <v>250</v>
      </c>
      <c r="L5366" s="20">
        <v>795000</v>
      </c>
      <c r="M5366" s="20" t="s">
        <v>242</v>
      </c>
      <c r="N5366" s="20" t="s">
        <v>3496</v>
      </c>
    </row>
    <row r="5367" spans="1:14" x14ac:dyDescent="0.25">
      <c r="A5367" s="19">
        <v>46082</v>
      </c>
      <c r="B5367" s="20" t="s">
        <v>35</v>
      </c>
      <c r="C5367" s="20">
        <v>14</v>
      </c>
      <c r="D5367" s="20" t="s">
        <v>291</v>
      </c>
      <c r="E5367" s="20" t="s">
        <v>2361</v>
      </c>
      <c r="F5367" s="20" t="s">
        <v>285</v>
      </c>
      <c r="G5367" s="20" t="s">
        <v>63</v>
      </c>
      <c r="H5367" s="20" t="s">
        <v>71</v>
      </c>
      <c r="I5367" s="20"/>
      <c r="J5367" s="20" t="s">
        <v>207</v>
      </c>
      <c r="K5367" s="20" t="s">
        <v>250</v>
      </c>
      <c r="L5367" s="20">
        <v>567000</v>
      </c>
      <c r="M5367" s="20" t="s">
        <v>242</v>
      </c>
      <c r="N5367" s="20" t="s">
        <v>3488</v>
      </c>
    </row>
    <row r="5368" spans="1:14" x14ac:dyDescent="0.25">
      <c r="A5368" s="19">
        <v>46082</v>
      </c>
      <c r="B5368" s="20" t="s">
        <v>35</v>
      </c>
      <c r="C5368" s="20">
        <v>14</v>
      </c>
      <c r="D5368" s="20" t="s">
        <v>291</v>
      </c>
      <c r="E5368" s="20" t="s">
        <v>2361</v>
      </c>
      <c r="F5368" s="20" t="s">
        <v>285</v>
      </c>
      <c r="G5368" s="20" t="s">
        <v>63</v>
      </c>
      <c r="H5368" s="20" t="s">
        <v>72</v>
      </c>
      <c r="I5368" s="20"/>
      <c r="J5368" s="20" t="s">
        <v>207</v>
      </c>
      <c r="K5368" s="20" t="s">
        <v>250</v>
      </c>
      <c r="L5368" s="20">
        <v>397000</v>
      </c>
      <c r="M5368" s="20" t="s">
        <v>242</v>
      </c>
      <c r="N5368" s="20" t="s">
        <v>3497</v>
      </c>
    </row>
    <row r="5369" spans="1:14" x14ac:dyDescent="0.25">
      <c r="A5369" s="19">
        <v>46082</v>
      </c>
      <c r="B5369" s="20" t="s">
        <v>35</v>
      </c>
      <c r="C5369" s="20">
        <v>14</v>
      </c>
      <c r="D5369" s="20" t="s">
        <v>291</v>
      </c>
      <c r="E5369" s="20" t="s">
        <v>2361</v>
      </c>
      <c r="F5369" s="20" t="s">
        <v>285</v>
      </c>
      <c r="G5369" s="20" t="s">
        <v>63</v>
      </c>
      <c r="H5369" s="20" t="s">
        <v>73</v>
      </c>
      <c r="I5369" s="20"/>
      <c r="J5369" s="20" t="s">
        <v>207</v>
      </c>
      <c r="K5369" s="20" t="s">
        <v>250</v>
      </c>
      <c r="L5369" s="20">
        <v>246000</v>
      </c>
      <c r="M5369" s="20" t="s">
        <v>242</v>
      </c>
      <c r="N5369" s="20" t="s">
        <v>3498</v>
      </c>
    </row>
    <row r="5370" spans="1:14" x14ac:dyDescent="0.25">
      <c r="A5370" s="19">
        <v>46082</v>
      </c>
      <c r="B5370" s="20" t="s">
        <v>35</v>
      </c>
      <c r="C5370" s="20">
        <v>14</v>
      </c>
      <c r="D5370" s="20" t="s">
        <v>291</v>
      </c>
      <c r="E5370" s="20" t="s">
        <v>2361</v>
      </c>
      <c r="F5370" s="20" t="s">
        <v>285</v>
      </c>
      <c r="G5370" s="20" t="s">
        <v>63</v>
      </c>
      <c r="H5370" s="20" t="s">
        <v>74</v>
      </c>
      <c r="I5370" s="20"/>
      <c r="J5370" s="20" t="s">
        <v>207</v>
      </c>
      <c r="K5370" s="20" t="s">
        <v>250</v>
      </c>
      <c r="L5370" s="20">
        <v>115000</v>
      </c>
      <c r="M5370" s="20" t="s">
        <v>242</v>
      </c>
      <c r="N5370" s="20" t="s">
        <v>3499</v>
      </c>
    </row>
    <row r="5371" spans="1:14" x14ac:dyDescent="0.25">
      <c r="A5371" s="19">
        <v>46082</v>
      </c>
      <c r="B5371" s="20" t="s">
        <v>35</v>
      </c>
      <c r="C5371" s="20">
        <v>14</v>
      </c>
      <c r="D5371" s="20" t="s">
        <v>291</v>
      </c>
      <c r="E5371" s="20" t="s">
        <v>2361</v>
      </c>
      <c r="F5371" s="20" t="s">
        <v>285</v>
      </c>
      <c r="G5371" s="20" t="s">
        <v>63</v>
      </c>
      <c r="H5371" s="20" t="s">
        <v>75</v>
      </c>
      <c r="I5371" s="20"/>
      <c r="J5371" s="20" t="s">
        <v>207</v>
      </c>
      <c r="K5371" s="20" t="s">
        <v>250</v>
      </c>
      <c r="L5371" s="20">
        <v>32000</v>
      </c>
      <c r="M5371" s="20" t="s">
        <v>242</v>
      </c>
      <c r="N5371" s="20" t="s">
        <v>3149</v>
      </c>
    </row>
    <row r="5372" spans="1:14" x14ac:dyDescent="0.25">
      <c r="A5372" s="19">
        <v>46082</v>
      </c>
      <c r="B5372" s="20" t="s">
        <v>35</v>
      </c>
      <c r="C5372" s="20">
        <v>14</v>
      </c>
      <c r="D5372" s="20" t="s">
        <v>291</v>
      </c>
      <c r="E5372" s="20" t="s">
        <v>2361</v>
      </c>
      <c r="F5372" s="20" t="s">
        <v>285</v>
      </c>
      <c r="G5372" s="20" t="s">
        <v>63</v>
      </c>
      <c r="H5372" s="20" t="s">
        <v>76</v>
      </c>
      <c r="I5372" s="20"/>
      <c r="J5372" s="20" t="s">
        <v>207</v>
      </c>
      <c r="K5372" s="20" t="s">
        <v>250</v>
      </c>
      <c r="L5372" s="20">
        <v>7000</v>
      </c>
      <c r="M5372" s="20" t="s">
        <v>242</v>
      </c>
      <c r="N5372" s="20" t="s">
        <v>3210</v>
      </c>
    </row>
    <row r="5373" spans="1:14" hidden="1" x14ac:dyDescent="0.25">
      <c r="A5373" s="19">
        <v>46082</v>
      </c>
      <c r="B5373" s="20" t="s">
        <v>35</v>
      </c>
      <c r="C5373" s="20">
        <v>15</v>
      </c>
      <c r="D5373" s="20" t="s">
        <v>291</v>
      </c>
      <c r="E5373" s="20" t="s">
        <v>2361</v>
      </c>
      <c r="F5373" s="20" t="s">
        <v>2362</v>
      </c>
      <c r="G5373" s="20" t="s">
        <v>63</v>
      </c>
      <c r="H5373" s="20" t="s">
        <v>79</v>
      </c>
      <c r="I5373" s="20"/>
      <c r="J5373" s="20" t="s">
        <v>207</v>
      </c>
      <c r="K5373" s="20" t="s">
        <v>250</v>
      </c>
      <c r="L5373" s="20">
        <v>2170000</v>
      </c>
      <c r="M5373" s="20" t="s">
        <v>242</v>
      </c>
      <c r="N5373" s="20" t="s">
        <v>1296</v>
      </c>
    </row>
    <row r="5374" spans="1:14" hidden="1" x14ac:dyDescent="0.25">
      <c r="A5374" s="19">
        <v>46082</v>
      </c>
      <c r="B5374" s="20" t="s">
        <v>35</v>
      </c>
      <c r="C5374" s="20">
        <v>15</v>
      </c>
      <c r="D5374" s="20" t="s">
        <v>291</v>
      </c>
      <c r="E5374" s="20" t="s">
        <v>2361</v>
      </c>
      <c r="F5374" s="20" t="s">
        <v>2362</v>
      </c>
      <c r="G5374" s="20" t="s">
        <v>63</v>
      </c>
      <c r="H5374" s="20" t="s">
        <v>80</v>
      </c>
      <c r="I5374" s="20"/>
      <c r="J5374" s="20" t="s">
        <v>207</v>
      </c>
      <c r="K5374" s="20" t="s">
        <v>250</v>
      </c>
      <c r="L5374" s="20">
        <v>52100</v>
      </c>
      <c r="M5374" s="20" t="s">
        <v>242</v>
      </c>
      <c r="N5374" s="20" t="s">
        <v>3500</v>
      </c>
    </row>
    <row r="5375" spans="1:14" hidden="1" x14ac:dyDescent="0.25">
      <c r="A5375" s="19">
        <v>46082</v>
      </c>
      <c r="B5375" s="20" t="s">
        <v>35</v>
      </c>
      <c r="C5375" s="20">
        <v>16</v>
      </c>
      <c r="D5375" s="20" t="s">
        <v>253</v>
      </c>
      <c r="E5375" s="20" t="s">
        <v>2359</v>
      </c>
      <c r="F5375" s="20" t="s">
        <v>240</v>
      </c>
      <c r="G5375" s="20" t="s">
        <v>82</v>
      </c>
      <c r="H5375" s="20"/>
      <c r="I5375" s="20"/>
      <c r="J5375" s="20" t="s">
        <v>205</v>
      </c>
      <c r="K5375" s="20" t="s">
        <v>255</v>
      </c>
      <c r="L5375" s="20">
        <v>17700000</v>
      </c>
      <c r="M5375" s="20" t="s">
        <v>242</v>
      </c>
      <c r="N5375" s="20" t="s">
        <v>3213</v>
      </c>
    </row>
    <row r="5376" spans="1:14" hidden="1" x14ac:dyDescent="0.25">
      <c r="A5376" s="19">
        <v>46082</v>
      </c>
      <c r="B5376" s="20" t="s">
        <v>35</v>
      </c>
      <c r="C5376" s="20">
        <v>16</v>
      </c>
      <c r="D5376" s="20" t="s">
        <v>253</v>
      </c>
      <c r="E5376" s="20" t="s">
        <v>2359</v>
      </c>
      <c r="F5376" s="20" t="s">
        <v>240</v>
      </c>
      <c r="G5376" s="20" t="s">
        <v>82</v>
      </c>
      <c r="H5376" s="20"/>
      <c r="I5376" s="20"/>
      <c r="J5376" s="20" t="s">
        <v>206</v>
      </c>
      <c r="K5376" s="20" t="s">
        <v>255</v>
      </c>
      <c r="L5376" s="20">
        <v>16580000</v>
      </c>
      <c r="M5376" s="20" t="s">
        <v>242</v>
      </c>
      <c r="N5376" s="20" t="s">
        <v>3359</v>
      </c>
    </row>
    <row r="5377" spans="1:14" hidden="1" x14ac:dyDescent="0.25">
      <c r="A5377" s="19">
        <v>46082</v>
      </c>
      <c r="B5377" s="20" t="s">
        <v>35</v>
      </c>
      <c r="C5377" s="20">
        <v>16</v>
      </c>
      <c r="D5377" s="20" t="s">
        <v>253</v>
      </c>
      <c r="E5377" s="20" t="s">
        <v>2359</v>
      </c>
      <c r="F5377" s="20" t="s">
        <v>240</v>
      </c>
      <c r="G5377" s="20" t="s">
        <v>82</v>
      </c>
      <c r="H5377" s="20"/>
      <c r="I5377" s="20"/>
      <c r="J5377" s="20" t="s">
        <v>207</v>
      </c>
      <c r="K5377" s="20" t="s">
        <v>255</v>
      </c>
      <c r="L5377" s="20">
        <v>19010000</v>
      </c>
      <c r="M5377" s="20" t="s">
        <v>242</v>
      </c>
      <c r="N5377" s="20" t="s">
        <v>3501</v>
      </c>
    </row>
    <row r="5378" spans="1:14" hidden="1" x14ac:dyDescent="0.25">
      <c r="A5378" s="19">
        <v>46082</v>
      </c>
      <c r="B5378" s="20" t="s">
        <v>35</v>
      </c>
      <c r="C5378" s="20">
        <v>16</v>
      </c>
      <c r="D5378" s="20" t="s">
        <v>247</v>
      </c>
      <c r="E5378" s="20" t="s">
        <v>2554</v>
      </c>
      <c r="F5378" s="20" t="s">
        <v>2556</v>
      </c>
      <c r="G5378" s="20" t="s">
        <v>82</v>
      </c>
      <c r="H5378" s="20" t="s">
        <v>286</v>
      </c>
      <c r="I5378" s="20"/>
      <c r="J5378" s="20" t="s">
        <v>207</v>
      </c>
      <c r="K5378" s="20" t="s">
        <v>250</v>
      </c>
      <c r="L5378" s="20">
        <v>14.6</v>
      </c>
      <c r="M5378" s="20" t="s">
        <v>251</v>
      </c>
      <c r="N5378" s="20" t="s">
        <v>2297</v>
      </c>
    </row>
    <row r="5379" spans="1:14" hidden="1" x14ac:dyDescent="0.25">
      <c r="A5379" s="19">
        <v>46082</v>
      </c>
      <c r="B5379" s="20" t="s">
        <v>35</v>
      </c>
      <c r="C5379" s="20">
        <v>17</v>
      </c>
      <c r="D5379" s="20" t="s">
        <v>291</v>
      </c>
      <c r="E5379" s="20" t="s">
        <v>2361</v>
      </c>
      <c r="F5379" s="20" t="s">
        <v>240</v>
      </c>
      <c r="G5379" s="20" t="s">
        <v>82</v>
      </c>
      <c r="H5379" s="20" t="s">
        <v>83</v>
      </c>
      <c r="I5379" s="20"/>
      <c r="J5379" s="20" t="s">
        <v>207</v>
      </c>
      <c r="K5379" s="20" t="s">
        <v>250</v>
      </c>
      <c r="L5379" s="20">
        <v>15480000</v>
      </c>
      <c r="M5379" s="20" t="s">
        <v>242</v>
      </c>
      <c r="N5379" s="20" t="s">
        <v>3502</v>
      </c>
    </row>
    <row r="5380" spans="1:14" hidden="1" x14ac:dyDescent="0.25">
      <c r="A5380" s="19">
        <v>46082</v>
      </c>
      <c r="B5380" s="20" t="s">
        <v>35</v>
      </c>
      <c r="C5380" s="20">
        <v>17</v>
      </c>
      <c r="D5380" s="20" t="s">
        <v>291</v>
      </c>
      <c r="E5380" s="20" t="s">
        <v>2361</v>
      </c>
      <c r="F5380" s="20" t="s">
        <v>240</v>
      </c>
      <c r="G5380" s="20" t="s">
        <v>82</v>
      </c>
      <c r="H5380" s="20" t="s">
        <v>84</v>
      </c>
      <c r="I5380" s="20"/>
      <c r="J5380" s="20" t="s">
        <v>207</v>
      </c>
      <c r="K5380" s="20" t="s">
        <v>250</v>
      </c>
      <c r="L5380" s="20">
        <v>3530000</v>
      </c>
      <c r="M5380" s="20" t="s">
        <v>242</v>
      </c>
      <c r="N5380" s="20" t="s">
        <v>3503</v>
      </c>
    </row>
    <row r="5381" spans="1:14" hidden="1" x14ac:dyDescent="0.25">
      <c r="A5381" s="19">
        <v>46082</v>
      </c>
      <c r="B5381" s="20" t="s">
        <v>35</v>
      </c>
      <c r="C5381" s="20">
        <v>18</v>
      </c>
      <c r="D5381" s="20" t="s">
        <v>291</v>
      </c>
      <c r="E5381" s="20" t="s">
        <v>2361</v>
      </c>
      <c r="F5381" s="20" t="s">
        <v>240</v>
      </c>
      <c r="G5381" s="20" t="s">
        <v>82</v>
      </c>
      <c r="H5381" s="20" t="s">
        <v>83</v>
      </c>
      <c r="I5381" s="20" t="s">
        <v>315</v>
      </c>
      <c r="J5381" s="20" t="s">
        <v>207</v>
      </c>
      <c r="K5381" s="20" t="s">
        <v>250</v>
      </c>
      <c r="L5381" s="20"/>
      <c r="M5381" s="20" t="s">
        <v>251</v>
      </c>
      <c r="N5381" s="20" t="s">
        <v>2032</v>
      </c>
    </row>
    <row r="5382" spans="1:14" hidden="1" x14ac:dyDescent="0.25">
      <c r="A5382" s="19">
        <v>46082</v>
      </c>
      <c r="B5382" s="20" t="s">
        <v>35</v>
      </c>
      <c r="C5382" s="20">
        <v>18</v>
      </c>
      <c r="D5382" s="20" t="s">
        <v>291</v>
      </c>
      <c r="E5382" s="20" t="s">
        <v>2361</v>
      </c>
      <c r="F5382" s="20" t="s">
        <v>240</v>
      </c>
      <c r="G5382" s="20" t="s">
        <v>82</v>
      </c>
      <c r="H5382" s="20" t="s">
        <v>83</v>
      </c>
      <c r="I5382" s="20" t="s">
        <v>317</v>
      </c>
      <c r="J5382" s="20" t="s">
        <v>207</v>
      </c>
      <c r="K5382" s="20" t="s">
        <v>250</v>
      </c>
      <c r="L5382" s="20"/>
      <c r="M5382" s="20" t="s">
        <v>251</v>
      </c>
      <c r="N5382" s="20" t="s">
        <v>564</v>
      </c>
    </row>
    <row r="5383" spans="1:14" hidden="1" x14ac:dyDescent="0.25">
      <c r="A5383" s="19">
        <v>46082</v>
      </c>
      <c r="B5383" s="20" t="s">
        <v>35</v>
      </c>
      <c r="C5383" s="20">
        <v>18</v>
      </c>
      <c r="D5383" s="20" t="s">
        <v>291</v>
      </c>
      <c r="E5383" s="20" t="s">
        <v>2361</v>
      </c>
      <c r="F5383" s="20" t="s">
        <v>240</v>
      </c>
      <c r="G5383" s="20" t="s">
        <v>82</v>
      </c>
      <c r="H5383" s="20" t="s">
        <v>83</v>
      </c>
      <c r="I5383" s="20" t="s">
        <v>313</v>
      </c>
      <c r="J5383" s="20" t="s">
        <v>207</v>
      </c>
      <c r="K5383" s="20" t="s">
        <v>250</v>
      </c>
      <c r="L5383" s="20"/>
      <c r="M5383" s="20" t="s">
        <v>251</v>
      </c>
      <c r="N5383" s="20" t="s">
        <v>2666</v>
      </c>
    </row>
    <row r="5384" spans="1:14" hidden="1" x14ac:dyDescent="0.25">
      <c r="A5384" s="19">
        <v>46082</v>
      </c>
      <c r="B5384" s="20" t="s">
        <v>35</v>
      </c>
      <c r="C5384" s="20">
        <v>18</v>
      </c>
      <c r="D5384" s="20" t="s">
        <v>291</v>
      </c>
      <c r="E5384" s="20" t="s">
        <v>2361</v>
      </c>
      <c r="F5384" s="20" t="s">
        <v>240</v>
      </c>
      <c r="G5384" s="20" t="s">
        <v>82</v>
      </c>
      <c r="H5384" s="20" t="s">
        <v>84</v>
      </c>
      <c r="I5384" s="20" t="s">
        <v>319</v>
      </c>
      <c r="J5384" s="20" t="s">
        <v>207</v>
      </c>
      <c r="K5384" s="20" t="s">
        <v>250</v>
      </c>
      <c r="L5384" s="20"/>
      <c r="M5384" s="20" t="s">
        <v>251</v>
      </c>
      <c r="N5384" s="20" t="s">
        <v>1333</v>
      </c>
    </row>
    <row r="5385" spans="1:14" hidden="1" x14ac:dyDescent="0.25">
      <c r="A5385" s="19">
        <v>46082</v>
      </c>
      <c r="B5385" s="20" t="s">
        <v>35</v>
      </c>
      <c r="C5385" s="20">
        <v>18</v>
      </c>
      <c r="D5385" s="20" t="s">
        <v>291</v>
      </c>
      <c r="E5385" s="20" t="s">
        <v>2361</v>
      </c>
      <c r="F5385" s="20" t="s">
        <v>240</v>
      </c>
      <c r="G5385" s="20" t="s">
        <v>82</v>
      </c>
      <c r="H5385" s="20" t="s">
        <v>84</v>
      </c>
      <c r="I5385" s="20" t="s">
        <v>321</v>
      </c>
      <c r="J5385" s="20" t="s">
        <v>207</v>
      </c>
      <c r="K5385" s="20" t="s">
        <v>250</v>
      </c>
      <c r="L5385" s="20"/>
      <c r="M5385" s="20" t="s">
        <v>251</v>
      </c>
      <c r="N5385" s="20" t="s">
        <v>483</v>
      </c>
    </row>
    <row r="5386" spans="1:14" hidden="1" x14ac:dyDescent="0.25">
      <c r="A5386" s="19">
        <v>46082</v>
      </c>
      <c r="B5386" s="20" t="s">
        <v>35</v>
      </c>
      <c r="C5386" s="20">
        <v>19</v>
      </c>
      <c r="D5386" s="20" t="s">
        <v>253</v>
      </c>
      <c r="E5386" s="20" t="s">
        <v>2359</v>
      </c>
      <c r="F5386" s="20" t="s">
        <v>244</v>
      </c>
      <c r="G5386" s="20" t="s">
        <v>82</v>
      </c>
      <c r="H5386" s="20"/>
      <c r="I5386" s="20"/>
      <c r="J5386" s="20" t="s">
        <v>205</v>
      </c>
      <c r="K5386" s="20" t="s">
        <v>255</v>
      </c>
      <c r="L5386" s="20">
        <v>1900000000</v>
      </c>
      <c r="M5386" s="20" t="s">
        <v>245</v>
      </c>
      <c r="N5386" s="20" t="s">
        <v>3200</v>
      </c>
    </row>
    <row r="5387" spans="1:14" hidden="1" x14ac:dyDescent="0.25">
      <c r="A5387" s="19">
        <v>46082</v>
      </c>
      <c r="B5387" s="20" t="s">
        <v>35</v>
      </c>
      <c r="C5387" s="20">
        <v>19</v>
      </c>
      <c r="D5387" s="20" t="s">
        <v>253</v>
      </c>
      <c r="E5387" s="20" t="s">
        <v>2359</v>
      </c>
      <c r="F5387" s="20" t="s">
        <v>244</v>
      </c>
      <c r="G5387" s="20" t="s">
        <v>82</v>
      </c>
      <c r="H5387" s="20"/>
      <c r="I5387" s="20"/>
      <c r="J5387" s="20" t="s">
        <v>206</v>
      </c>
      <c r="K5387" s="20" t="s">
        <v>255</v>
      </c>
      <c r="L5387" s="20">
        <v>1790000000</v>
      </c>
      <c r="M5387" s="20" t="s">
        <v>245</v>
      </c>
      <c r="N5387" s="20" t="s">
        <v>3362</v>
      </c>
    </row>
    <row r="5388" spans="1:14" hidden="1" x14ac:dyDescent="0.25">
      <c r="A5388" s="19">
        <v>46082</v>
      </c>
      <c r="B5388" s="20" t="s">
        <v>35</v>
      </c>
      <c r="C5388" s="20">
        <v>19</v>
      </c>
      <c r="D5388" s="20" t="s">
        <v>253</v>
      </c>
      <c r="E5388" s="20" t="s">
        <v>2359</v>
      </c>
      <c r="F5388" s="20" t="s">
        <v>244</v>
      </c>
      <c r="G5388" s="20" t="s">
        <v>82</v>
      </c>
      <c r="H5388" s="20"/>
      <c r="I5388" s="20"/>
      <c r="J5388" s="20" t="s">
        <v>207</v>
      </c>
      <c r="K5388" s="20" t="s">
        <v>255</v>
      </c>
      <c r="L5388" s="20">
        <v>2020000000</v>
      </c>
      <c r="M5388" s="20" t="s">
        <v>245</v>
      </c>
      <c r="N5388" s="20" t="s">
        <v>3504</v>
      </c>
    </row>
    <row r="5389" spans="1:14" hidden="1" x14ac:dyDescent="0.25">
      <c r="A5389" s="19">
        <v>46082</v>
      </c>
      <c r="B5389" s="20" t="s">
        <v>35</v>
      </c>
      <c r="C5389" s="20">
        <v>19</v>
      </c>
      <c r="D5389" s="20" t="s">
        <v>247</v>
      </c>
      <c r="E5389" s="20" t="s">
        <v>2554</v>
      </c>
      <c r="F5389" s="20" t="s">
        <v>2557</v>
      </c>
      <c r="G5389" s="20" t="s">
        <v>82</v>
      </c>
      <c r="H5389" s="20" t="s">
        <v>286</v>
      </c>
      <c r="I5389" s="20"/>
      <c r="J5389" s="20" t="s">
        <v>207</v>
      </c>
      <c r="K5389" s="20" t="s">
        <v>250</v>
      </c>
      <c r="L5389" s="20">
        <v>12.8</v>
      </c>
      <c r="M5389" s="20" t="s">
        <v>251</v>
      </c>
      <c r="N5389" s="20" t="s">
        <v>1044</v>
      </c>
    </row>
    <row r="5390" spans="1:14" hidden="1" x14ac:dyDescent="0.25">
      <c r="A5390" s="19">
        <v>46082</v>
      </c>
      <c r="B5390" s="20" t="s">
        <v>35</v>
      </c>
      <c r="C5390" s="20">
        <v>20</v>
      </c>
      <c r="D5390" s="20" t="s">
        <v>291</v>
      </c>
      <c r="E5390" s="20" t="s">
        <v>2361</v>
      </c>
      <c r="F5390" s="20" t="s">
        <v>244</v>
      </c>
      <c r="G5390" s="20" t="s">
        <v>82</v>
      </c>
      <c r="H5390" s="20" t="s">
        <v>83</v>
      </c>
      <c r="I5390" s="20"/>
      <c r="J5390" s="20" t="s">
        <v>207</v>
      </c>
      <c r="K5390" s="20" t="s">
        <v>250</v>
      </c>
      <c r="L5390" s="20">
        <v>1510000000</v>
      </c>
      <c r="M5390" s="20" t="s">
        <v>245</v>
      </c>
      <c r="N5390" s="20" t="s">
        <v>3505</v>
      </c>
    </row>
    <row r="5391" spans="1:14" hidden="1" x14ac:dyDescent="0.25">
      <c r="A5391" s="19">
        <v>46082</v>
      </c>
      <c r="B5391" s="20" t="s">
        <v>35</v>
      </c>
      <c r="C5391" s="20">
        <v>20</v>
      </c>
      <c r="D5391" s="20" t="s">
        <v>291</v>
      </c>
      <c r="E5391" s="20" t="s">
        <v>2361</v>
      </c>
      <c r="F5391" s="20" t="s">
        <v>244</v>
      </c>
      <c r="G5391" s="20" t="s">
        <v>82</v>
      </c>
      <c r="H5391" s="20" t="s">
        <v>84</v>
      </c>
      <c r="I5391" s="20"/>
      <c r="J5391" s="20" t="s">
        <v>207</v>
      </c>
      <c r="K5391" s="20" t="s">
        <v>250</v>
      </c>
      <c r="L5391" s="20">
        <v>510700000</v>
      </c>
      <c r="M5391" s="20" t="s">
        <v>245</v>
      </c>
      <c r="N5391" s="20" t="s">
        <v>3506</v>
      </c>
    </row>
    <row r="5392" spans="1:14" hidden="1" x14ac:dyDescent="0.25">
      <c r="A5392" s="19">
        <v>46082</v>
      </c>
      <c r="B5392" s="20" t="s">
        <v>35</v>
      </c>
      <c r="C5392" s="20">
        <v>21</v>
      </c>
      <c r="D5392" s="20" t="s">
        <v>291</v>
      </c>
      <c r="E5392" s="20" t="s">
        <v>2361</v>
      </c>
      <c r="F5392" s="20" t="s">
        <v>244</v>
      </c>
      <c r="G5392" s="20" t="s">
        <v>82</v>
      </c>
      <c r="H5392" s="20" t="s">
        <v>83</v>
      </c>
      <c r="I5392" s="20" t="s">
        <v>315</v>
      </c>
      <c r="J5392" s="20" t="s">
        <v>207</v>
      </c>
      <c r="K5392" s="20" t="s">
        <v>250</v>
      </c>
      <c r="L5392" s="20"/>
      <c r="M5392" s="20" t="s">
        <v>251</v>
      </c>
      <c r="N5392" s="20" t="s">
        <v>2760</v>
      </c>
    </row>
    <row r="5393" spans="1:14" hidden="1" x14ac:dyDescent="0.25">
      <c r="A5393" s="19">
        <v>46082</v>
      </c>
      <c r="B5393" s="20" t="s">
        <v>35</v>
      </c>
      <c r="C5393" s="20">
        <v>21</v>
      </c>
      <c r="D5393" s="20" t="s">
        <v>291</v>
      </c>
      <c r="E5393" s="20" t="s">
        <v>2361</v>
      </c>
      <c r="F5393" s="20" t="s">
        <v>244</v>
      </c>
      <c r="G5393" s="20" t="s">
        <v>82</v>
      </c>
      <c r="H5393" s="20" t="s">
        <v>83</v>
      </c>
      <c r="I5393" s="20" t="s">
        <v>317</v>
      </c>
      <c r="J5393" s="20" t="s">
        <v>207</v>
      </c>
      <c r="K5393" s="20" t="s">
        <v>250</v>
      </c>
      <c r="L5393" s="20"/>
      <c r="M5393" s="20" t="s">
        <v>251</v>
      </c>
      <c r="N5393" s="20" t="s">
        <v>3507</v>
      </c>
    </row>
    <row r="5394" spans="1:14" hidden="1" x14ac:dyDescent="0.25">
      <c r="A5394" s="19">
        <v>46082</v>
      </c>
      <c r="B5394" s="20" t="s">
        <v>35</v>
      </c>
      <c r="C5394" s="20">
        <v>21</v>
      </c>
      <c r="D5394" s="20" t="s">
        <v>291</v>
      </c>
      <c r="E5394" s="20" t="s">
        <v>2361</v>
      </c>
      <c r="F5394" s="20" t="s">
        <v>244</v>
      </c>
      <c r="G5394" s="20" t="s">
        <v>82</v>
      </c>
      <c r="H5394" s="20" t="s">
        <v>83</v>
      </c>
      <c r="I5394" s="20" t="s">
        <v>313</v>
      </c>
      <c r="J5394" s="20" t="s">
        <v>207</v>
      </c>
      <c r="K5394" s="20" t="s">
        <v>250</v>
      </c>
      <c r="L5394" s="20"/>
      <c r="M5394" s="20" t="s">
        <v>251</v>
      </c>
      <c r="N5394" s="20" t="s">
        <v>1145</v>
      </c>
    </row>
    <row r="5395" spans="1:14" hidden="1" x14ac:dyDescent="0.25">
      <c r="A5395" s="19">
        <v>46082</v>
      </c>
      <c r="B5395" s="20" t="s">
        <v>35</v>
      </c>
      <c r="C5395" s="20">
        <v>21</v>
      </c>
      <c r="D5395" s="20" t="s">
        <v>291</v>
      </c>
      <c r="E5395" s="20" t="s">
        <v>2361</v>
      </c>
      <c r="F5395" s="20" t="s">
        <v>244</v>
      </c>
      <c r="G5395" s="20" t="s">
        <v>82</v>
      </c>
      <c r="H5395" s="20" t="s">
        <v>84</v>
      </c>
      <c r="I5395" s="20" t="s">
        <v>2385</v>
      </c>
      <c r="J5395" s="20" t="s">
        <v>207</v>
      </c>
      <c r="K5395" s="20" t="s">
        <v>250</v>
      </c>
      <c r="L5395" s="20"/>
      <c r="M5395" s="20" t="s">
        <v>251</v>
      </c>
      <c r="N5395" s="20" t="s">
        <v>602</v>
      </c>
    </row>
    <row r="5396" spans="1:14" hidden="1" x14ac:dyDescent="0.25">
      <c r="A5396" s="19">
        <v>46082</v>
      </c>
      <c r="B5396" s="20" t="s">
        <v>35</v>
      </c>
      <c r="C5396" s="20">
        <v>21</v>
      </c>
      <c r="D5396" s="20" t="s">
        <v>291</v>
      </c>
      <c r="E5396" s="20" t="s">
        <v>2361</v>
      </c>
      <c r="F5396" s="20" t="s">
        <v>244</v>
      </c>
      <c r="G5396" s="20" t="s">
        <v>82</v>
      </c>
      <c r="H5396" s="20" t="s">
        <v>84</v>
      </c>
      <c r="I5396" s="20" t="s">
        <v>321</v>
      </c>
      <c r="J5396" s="20" t="s">
        <v>207</v>
      </c>
      <c r="K5396" s="20" t="s">
        <v>250</v>
      </c>
      <c r="L5396" s="20"/>
      <c r="M5396" s="20" t="s">
        <v>251</v>
      </c>
      <c r="N5396" s="20" t="s">
        <v>603</v>
      </c>
    </row>
    <row r="5397" spans="1:14" hidden="1" x14ac:dyDescent="0.25">
      <c r="A5397" s="19">
        <v>46082</v>
      </c>
      <c r="B5397" s="20" t="s">
        <v>35</v>
      </c>
      <c r="C5397" s="20">
        <v>22</v>
      </c>
      <c r="D5397" s="20" t="s">
        <v>253</v>
      </c>
      <c r="E5397" s="20" t="s">
        <v>2359</v>
      </c>
      <c r="F5397" s="20" t="s">
        <v>334</v>
      </c>
      <c r="G5397" s="20" t="s">
        <v>82</v>
      </c>
      <c r="H5397" s="20"/>
      <c r="I5397" s="20"/>
      <c r="J5397" s="20" t="s">
        <v>205</v>
      </c>
      <c r="K5397" s="20" t="s">
        <v>255</v>
      </c>
      <c r="L5397" s="20">
        <v>107</v>
      </c>
      <c r="M5397" s="20" t="s">
        <v>245</v>
      </c>
      <c r="N5397" s="20" t="s">
        <v>3219</v>
      </c>
    </row>
    <row r="5398" spans="1:14" hidden="1" x14ac:dyDescent="0.25">
      <c r="A5398" s="19">
        <v>46082</v>
      </c>
      <c r="B5398" s="20" t="s">
        <v>35</v>
      </c>
      <c r="C5398" s="20">
        <v>22</v>
      </c>
      <c r="D5398" s="20" t="s">
        <v>253</v>
      </c>
      <c r="E5398" s="20" t="s">
        <v>2359</v>
      </c>
      <c r="F5398" s="20" t="s">
        <v>334</v>
      </c>
      <c r="G5398" s="20" t="s">
        <v>82</v>
      </c>
      <c r="H5398" s="20"/>
      <c r="I5398" s="20"/>
      <c r="J5398" s="20" t="s">
        <v>206</v>
      </c>
      <c r="K5398" s="20" t="s">
        <v>255</v>
      </c>
      <c r="L5398" s="20">
        <v>108</v>
      </c>
      <c r="M5398" s="20" t="s">
        <v>245</v>
      </c>
      <c r="N5398" s="20" t="s">
        <v>3366</v>
      </c>
    </row>
    <row r="5399" spans="1:14" hidden="1" x14ac:dyDescent="0.25">
      <c r="A5399" s="19">
        <v>46082</v>
      </c>
      <c r="B5399" s="20" t="s">
        <v>35</v>
      </c>
      <c r="C5399" s="20">
        <v>22</v>
      </c>
      <c r="D5399" s="20" t="s">
        <v>253</v>
      </c>
      <c r="E5399" s="20" t="s">
        <v>2359</v>
      </c>
      <c r="F5399" s="20" t="s">
        <v>334</v>
      </c>
      <c r="G5399" s="20" t="s">
        <v>82</v>
      </c>
      <c r="H5399" s="20"/>
      <c r="I5399" s="20"/>
      <c r="J5399" s="20" t="s">
        <v>207</v>
      </c>
      <c r="K5399" s="20" t="s">
        <v>255</v>
      </c>
      <c r="L5399" s="20">
        <v>106</v>
      </c>
      <c r="M5399" s="20" t="s">
        <v>245</v>
      </c>
      <c r="N5399" s="20" t="s">
        <v>2915</v>
      </c>
    </row>
    <row r="5400" spans="1:14" hidden="1" x14ac:dyDescent="0.25">
      <c r="A5400" s="19">
        <v>46082</v>
      </c>
      <c r="B5400" s="20" t="s">
        <v>35</v>
      </c>
      <c r="C5400" s="20">
        <v>23</v>
      </c>
      <c r="D5400" s="20" t="s">
        <v>291</v>
      </c>
      <c r="E5400" s="20" t="s">
        <v>2361</v>
      </c>
      <c r="F5400" s="20" t="s">
        <v>428</v>
      </c>
      <c r="G5400" s="20" t="s">
        <v>82</v>
      </c>
      <c r="H5400" s="20" t="s">
        <v>95</v>
      </c>
      <c r="I5400" s="20"/>
      <c r="J5400" s="20" t="s">
        <v>207</v>
      </c>
      <c r="K5400" s="20" t="s">
        <v>250</v>
      </c>
      <c r="L5400" s="20">
        <v>2930000</v>
      </c>
      <c r="M5400" s="20" t="s">
        <v>242</v>
      </c>
      <c r="N5400" s="20" t="s">
        <v>1220</v>
      </c>
    </row>
    <row r="5401" spans="1:14" hidden="1" x14ac:dyDescent="0.25">
      <c r="A5401" s="19">
        <v>46082</v>
      </c>
      <c r="B5401" s="20" t="s">
        <v>35</v>
      </c>
      <c r="C5401" s="20">
        <v>23</v>
      </c>
      <c r="D5401" s="20" t="s">
        <v>291</v>
      </c>
      <c r="E5401" s="20" t="s">
        <v>2361</v>
      </c>
      <c r="F5401" s="20" t="s">
        <v>428</v>
      </c>
      <c r="G5401" s="20" t="s">
        <v>82</v>
      </c>
      <c r="H5401" s="20" t="s">
        <v>94</v>
      </c>
      <c r="I5401" s="20"/>
      <c r="J5401" s="20" t="s">
        <v>207</v>
      </c>
      <c r="K5401" s="20" t="s">
        <v>250</v>
      </c>
      <c r="L5401" s="20">
        <v>7820000</v>
      </c>
      <c r="M5401" s="20" t="s">
        <v>242</v>
      </c>
      <c r="N5401" s="20" t="s">
        <v>3508</v>
      </c>
    </row>
    <row r="5402" spans="1:14" hidden="1" x14ac:dyDescent="0.25">
      <c r="A5402" s="19">
        <v>46082</v>
      </c>
      <c r="B5402" s="20" t="s">
        <v>35</v>
      </c>
      <c r="C5402" s="20">
        <v>24</v>
      </c>
      <c r="D5402" s="20" t="s">
        <v>291</v>
      </c>
      <c r="E5402" s="20" t="s">
        <v>2361</v>
      </c>
      <c r="F5402" s="20" t="s">
        <v>445</v>
      </c>
      <c r="G5402" s="20" t="s">
        <v>82</v>
      </c>
      <c r="H5402" s="20" t="s">
        <v>95</v>
      </c>
      <c r="I5402" s="20"/>
      <c r="J5402" s="20" t="s">
        <v>207</v>
      </c>
      <c r="K5402" s="20" t="s">
        <v>250</v>
      </c>
      <c r="L5402" s="20">
        <v>279100000</v>
      </c>
      <c r="M5402" s="20" t="s">
        <v>245</v>
      </c>
      <c r="N5402" s="20" t="s">
        <v>3509</v>
      </c>
    </row>
    <row r="5403" spans="1:14" hidden="1" x14ac:dyDescent="0.25">
      <c r="A5403" s="19">
        <v>46082</v>
      </c>
      <c r="B5403" s="20" t="s">
        <v>35</v>
      </c>
      <c r="C5403" s="20">
        <v>24</v>
      </c>
      <c r="D5403" s="20" t="s">
        <v>291</v>
      </c>
      <c r="E5403" s="20" t="s">
        <v>2361</v>
      </c>
      <c r="F5403" s="20" t="s">
        <v>445</v>
      </c>
      <c r="G5403" s="20" t="s">
        <v>82</v>
      </c>
      <c r="H5403" s="20" t="s">
        <v>94</v>
      </c>
      <c r="I5403" s="20"/>
      <c r="J5403" s="20" t="s">
        <v>207</v>
      </c>
      <c r="K5403" s="20" t="s">
        <v>250</v>
      </c>
      <c r="L5403" s="20">
        <v>1010000000</v>
      </c>
      <c r="M5403" s="20" t="s">
        <v>245</v>
      </c>
      <c r="N5403" s="20" t="s">
        <v>2524</v>
      </c>
    </row>
    <row r="5404" spans="1:14" hidden="1" x14ac:dyDescent="0.25">
      <c r="A5404" s="19">
        <v>46082</v>
      </c>
      <c r="B5404" s="20" t="s">
        <v>97</v>
      </c>
      <c r="C5404" s="20">
        <v>26</v>
      </c>
      <c r="D5404" s="20" t="s">
        <v>238</v>
      </c>
      <c r="E5404" s="20" t="s">
        <v>2341</v>
      </c>
      <c r="F5404" s="20" t="s">
        <v>240</v>
      </c>
      <c r="G5404" s="20" t="s">
        <v>82</v>
      </c>
      <c r="H5404" s="20"/>
      <c r="I5404" s="20"/>
      <c r="J5404" s="20" t="s">
        <v>3491</v>
      </c>
      <c r="K5404" s="20" t="s">
        <v>241</v>
      </c>
      <c r="L5404" s="20">
        <v>35430000</v>
      </c>
      <c r="M5404" s="20" t="s">
        <v>242</v>
      </c>
      <c r="N5404" s="20" t="s">
        <v>3510</v>
      </c>
    </row>
    <row r="5405" spans="1:14" hidden="1" x14ac:dyDescent="0.25">
      <c r="A5405" s="19">
        <v>46082</v>
      </c>
      <c r="B5405" s="20" t="s">
        <v>97</v>
      </c>
      <c r="C5405" s="20">
        <v>26</v>
      </c>
      <c r="D5405" s="20" t="s">
        <v>238</v>
      </c>
      <c r="E5405" s="20" t="s">
        <v>2341</v>
      </c>
      <c r="F5405" s="20" t="s">
        <v>244</v>
      </c>
      <c r="G5405" s="20" t="s">
        <v>82</v>
      </c>
      <c r="H5405" s="20"/>
      <c r="I5405" s="20"/>
      <c r="J5405" s="20" t="s">
        <v>3491</v>
      </c>
      <c r="K5405" s="20" t="s">
        <v>241</v>
      </c>
      <c r="L5405" s="20">
        <v>1790000000</v>
      </c>
      <c r="M5405" s="20" t="s">
        <v>245</v>
      </c>
      <c r="N5405" s="20" t="s">
        <v>3362</v>
      </c>
    </row>
    <row r="5406" spans="1:14" hidden="1" x14ac:dyDescent="0.25">
      <c r="A5406" s="19">
        <v>46082</v>
      </c>
      <c r="B5406" s="20" t="s">
        <v>97</v>
      </c>
      <c r="C5406" s="20">
        <v>27</v>
      </c>
      <c r="D5406" s="20" t="s">
        <v>253</v>
      </c>
      <c r="E5406" s="20" t="s">
        <v>2359</v>
      </c>
      <c r="F5406" s="20" t="s">
        <v>285</v>
      </c>
      <c r="G5406" s="20" t="s">
        <v>63</v>
      </c>
      <c r="H5406" s="20"/>
      <c r="I5406" s="20"/>
      <c r="J5406" s="20" t="s">
        <v>205</v>
      </c>
      <c r="K5406" s="20" t="s">
        <v>255</v>
      </c>
      <c r="L5406" s="20">
        <v>2850000</v>
      </c>
      <c r="M5406" s="20" t="s">
        <v>242</v>
      </c>
      <c r="N5406" s="20" t="s">
        <v>3224</v>
      </c>
    </row>
    <row r="5407" spans="1:14" hidden="1" x14ac:dyDescent="0.25">
      <c r="A5407" s="19">
        <v>46082</v>
      </c>
      <c r="B5407" s="20" t="s">
        <v>97</v>
      </c>
      <c r="C5407" s="20">
        <v>27</v>
      </c>
      <c r="D5407" s="20" t="s">
        <v>253</v>
      </c>
      <c r="E5407" s="20" t="s">
        <v>2359</v>
      </c>
      <c r="F5407" s="20" t="s">
        <v>285</v>
      </c>
      <c r="G5407" s="20" t="s">
        <v>63</v>
      </c>
      <c r="H5407" s="20"/>
      <c r="I5407" s="20"/>
      <c r="J5407" s="20" t="s">
        <v>206</v>
      </c>
      <c r="K5407" s="20" t="s">
        <v>255</v>
      </c>
      <c r="L5407" s="20">
        <v>2880000</v>
      </c>
      <c r="M5407" s="20" t="s">
        <v>242</v>
      </c>
      <c r="N5407" s="20" t="s">
        <v>3371</v>
      </c>
    </row>
    <row r="5408" spans="1:14" hidden="1" x14ac:dyDescent="0.25">
      <c r="A5408" s="19">
        <v>46082</v>
      </c>
      <c r="B5408" s="20" t="s">
        <v>97</v>
      </c>
      <c r="C5408" s="20">
        <v>27</v>
      </c>
      <c r="D5408" s="20" t="s">
        <v>253</v>
      </c>
      <c r="E5408" s="20" t="s">
        <v>2359</v>
      </c>
      <c r="F5408" s="20" t="s">
        <v>285</v>
      </c>
      <c r="G5408" s="20" t="s">
        <v>63</v>
      </c>
      <c r="H5408" s="20"/>
      <c r="I5408" s="20"/>
      <c r="J5408" s="20" t="s">
        <v>207</v>
      </c>
      <c r="K5408" s="20" t="s">
        <v>255</v>
      </c>
      <c r="L5408" s="20">
        <v>2910000</v>
      </c>
      <c r="M5408" s="20" t="s">
        <v>242</v>
      </c>
      <c r="N5408" s="20" t="s">
        <v>3511</v>
      </c>
    </row>
    <row r="5409" spans="1:14" hidden="1" x14ac:dyDescent="0.25">
      <c r="A5409" s="19">
        <v>46082</v>
      </c>
      <c r="B5409" s="20" t="s">
        <v>97</v>
      </c>
      <c r="C5409" s="20">
        <v>27</v>
      </c>
      <c r="D5409" s="20" t="s">
        <v>247</v>
      </c>
      <c r="E5409" s="20" t="s">
        <v>2554</v>
      </c>
      <c r="F5409" s="20" t="s">
        <v>2555</v>
      </c>
      <c r="G5409" s="20" t="s">
        <v>63</v>
      </c>
      <c r="H5409" s="20" t="s">
        <v>286</v>
      </c>
      <c r="I5409" s="20"/>
      <c r="J5409" s="20" t="s">
        <v>207</v>
      </c>
      <c r="K5409" s="20" t="s">
        <v>250</v>
      </c>
      <c r="L5409" s="20">
        <v>0.9</v>
      </c>
      <c r="M5409" s="20" t="s">
        <v>251</v>
      </c>
      <c r="N5409" s="20" t="s">
        <v>845</v>
      </c>
    </row>
    <row r="5410" spans="1:14" hidden="1" x14ac:dyDescent="0.25">
      <c r="A5410" s="19">
        <v>46082</v>
      </c>
      <c r="B5410" s="20" t="s">
        <v>97</v>
      </c>
      <c r="C5410" s="20">
        <v>28</v>
      </c>
      <c r="D5410" s="20" t="s">
        <v>291</v>
      </c>
      <c r="E5410" s="20" t="s">
        <v>2361</v>
      </c>
      <c r="F5410" s="20" t="s">
        <v>2362</v>
      </c>
      <c r="G5410" s="20" t="s">
        <v>63</v>
      </c>
      <c r="H5410" s="20" t="s">
        <v>64</v>
      </c>
      <c r="I5410" s="20"/>
      <c r="J5410" s="20" t="s">
        <v>207</v>
      </c>
      <c r="K5410" s="20" t="s">
        <v>250</v>
      </c>
      <c r="L5410" s="20">
        <v>2550000</v>
      </c>
      <c r="M5410" s="20" t="s">
        <v>242</v>
      </c>
      <c r="N5410" s="20" t="s">
        <v>1299</v>
      </c>
    </row>
    <row r="5411" spans="1:14" hidden="1" x14ac:dyDescent="0.25">
      <c r="A5411" s="19">
        <v>46082</v>
      </c>
      <c r="B5411" s="20" t="s">
        <v>97</v>
      </c>
      <c r="C5411" s="20">
        <v>28</v>
      </c>
      <c r="D5411" s="20" t="s">
        <v>291</v>
      </c>
      <c r="E5411" s="20" t="s">
        <v>2361</v>
      </c>
      <c r="F5411" s="20" t="s">
        <v>2362</v>
      </c>
      <c r="G5411" s="20" t="s">
        <v>63</v>
      </c>
      <c r="H5411" s="20" t="s">
        <v>65</v>
      </c>
      <c r="I5411" s="20"/>
      <c r="J5411" s="20" t="s">
        <v>207</v>
      </c>
      <c r="K5411" s="20" t="s">
        <v>250</v>
      </c>
      <c r="L5411" s="20">
        <v>356600</v>
      </c>
      <c r="M5411" s="20" t="s">
        <v>242</v>
      </c>
      <c r="N5411" s="20" t="s">
        <v>3512</v>
      </c>
    </row>
    <row r="5412" spans="1:14" hidden="1" x14ac:dyDescent="0.25">
      <c r="A5412" s="19">
        <v>46082</v>
      </c>
      <c r="B5412" s="20" t="s">
        <v>97</v>
      </c>
      <c r="C5412" s="20">
        <v>29</v>
      </c>
      <c r="D5412" s="20" t="s">
        <v>291</v>
      </c>
      <c r="E5412" s="20" t="s">
        <v>2361</v>
      </c>
      <c r="F5412" s="20" t="s">
        <v>2362</v>
      </c>
      <c r="G5412" s="20" t="s">
        <v>63</v>
      </c>
      <c r="H5412" s="20" t="s">
        <v>2364</v>
      </c>
      <c r="I5412" s="20"/>
      <c r="J5412" s="20" t="s">
        <v>207</v>
      </c>
      <c r="K5412" s="20" t="s">
        <v>250</v>
      </c>
      <c r="L5412" s="20">
        <v>1550000</v>
      </c>
      <c r="M5412" s="20" t="s">
        <v>242</v>
      </c>
      <c r="N5412" s="20" t="s">
        <v>3513</v>
      </c>
    </row>
    <row r="5413" spans="1:14" hidden="1" x14ac:dyDescent="0.25">
      <c r="A5413" s="19">
        <v>46082</v>
      </c>
      <c r="B5413" s="20" t="s">
        <v>97</v>
      </c>
      <c r="C5413" s="20">
        <v>29</v>
      </c>
      <c r="D5413" s="20" t="s">
        <v>291</v>
      </c>
      <c r="E5413" s="20" t="s">
        <v>2361</v>
      </c>
      <c r="F5413" s="20" t="s">
        <v>2362</v>
      </c>
      <c r="G5413" s="20" t="s">
        <v>63</v>
      </c>
      <c r="H5413" s="20" t="s">
        <v>2366</v>
      </c>
      <c r="I5413" s="20"/>
      <c r="J5413" s="20" t="s">
        <v>207</v>
      </c>
      <c r="K5413" s="20" t="s">
        <v>250</v>
      </c>
      <c r="L5413" s="20">
        <v>1340000</v>
      </c>
      <c r="M5413" s="20" t="s">
        <v>242</v>
      </c>
      <c r="N5413" s="20" t="s">
        <v>2850</v>
      </c>
    </row>
    <row r="5414" spans="1:14" hidden="1" x14ac:dyDescent="0.25">
      <c r="A5414" s="19">
        <v>46082</v>
      </c>
      <c r="B5414" s="20" t="s">
        <v>97</v>
      </c>
      <c r="C5414" s="20">
        <v>30</v>
      </c>
      <c r="D5414" s="20" t="s">
        <v>291</v>
      </c>
      <c r="E5414" s="20" t="s">
        <v>2361</v>
      </c>
      <c r="F5414" s="20" t="s">
        <v>285</v>
      </c>
      <c r="G5414" s="20" t="s">
        <v>63</v>
      </c>
      <c r="H5414" s="20" t="s">
        <v>77</v>
      </c>
      <c r="I5414" s="20"/>
      <c r="J5414" s="20" t="s">
        <v>207</v>
      </c>
      <c r="K5414" s="20" t="s">
        <v>250</v>
      </c>
      <c r="L5414" s="20">
        <v>1000</v>
      </c>
      <c r="M5414" s="20" t="s">
        <v>242</v>
      </c>
      <c r="N5414" s="20" t="s">
        <v>2394</v>
      </c>
    </row>
    <row r="5415" spans="1:14" hidden="1" x14ac:dyDescent="0.25">
      <c r="A5415" s="19">
        <v>46082</v>
      </c>
      <c r="B5415" s="20" t="s">
        <v>97</v>
      </c>
      <c r="C5415" s="20">
        <v>30</v>
      </c>
      <c r="D5415" s="20" t="s">
        <v>291</v>
      </c>
      <c r="E5415" s="20" t="s">
        <v>2361</v>
      </c>
      <c r="F5415" s="20" t="s">
        <v>285</v>
      </c>
      <c r="G5415" s="20" t="s">
        <v>63</v>
      </c>
      <c r="H5415" s="20" t="s">
        <v>70</v>
      </c>
      <c r="I5415" s="20"/>
      <c r="J5415" s="20" t="s">
        <v>207</v>
      </c>
      <c r="K5415" s="20" t="s">
        <v>250</v>
      </c>
      <c r="L5415" s="20">
        <v>1050000</v>
      </c>
      <c r="M5415" s="20" t="s">
        <v>242</v>
      </c>
      <c r="N5415" s="20" t="s">
        <v>2335</v>
      </c>
    </row>
    <row r="5416" spans="1:14" hidden="1" x14ac:dyDescent="0.25">
      <c r="A5416" s="19">
        <v>46082</v>
      </c>
      <c r="B5416" s="20" t="s">
        <v>97</v>
      </c>
      <c r="C5416" s="20">
        <v>30</v>
      </c>
      <c r="D5416" s="20" t="s">
        <v>291</v>
      </c>
      <c r="E5416" s="20" t="s">
        <v>2361</v>
      </c>
      <c r="F5416" s="20" t="s">
        <v>285</v>
      </c>
      <c r="G5416" s="20" t="s">
        <v>63</v>
      </c>
      <c r="H5416" s="20" t="s">
        <v>71</v>
      </c>
      <c r="I5416" s="20"/>
      <c r="J5416" s="20" t="s">
        <v>207</v>
      </c>
      <c r="K5416" s="20" t="s">
        <v>250</v>
      </c>
      <c r="L5416" s="20">
        <v>746000</v>
      </c>
      <c r="M5416" s="20" t="s">
        <v>242</v>
      </c>
      <c r="N5416" s="20" t="s">
        <v>3514</v>
      </c>
    </row>
    <row r="5417" spans="1:14" hidden="1" x14ac:dyDescent="0.25">
      <c r="A5417" s="19">
        <v>46082</v>
      </c>
      <c r="B5417" s="20" t="s">
        <v>97</v>
      </c>
      <c r="C5417" s="20">
        <v>30</v>
      </c>
      <c r="D5417" s="20" t="s">
        <v>291</v>
      </c>
      <c r="E5417" s="20" t="s">
        <v>2361</v>
      </c>
      <c r="F5417" s="20" t="s">
        <v>285</v>
      </c>
      <c r="G5417" s="20" t="s">
        <v>63</v>
      </c>
      <c r="H5417" s="20" t="s">
        <v>72</v>
      </c>
      <c r="I5417" s="20"/>
      <c r="J5417" s="20" t="s">
        <v>207</v>
      </c>
      <c r="K5417" s="20" t="s">
        <v>250</v>
      </c>
      <c r="L5417" s="20">
        <v>560000</v>
      </c>
      <c r="M5417" s="20" t="s">
        <v>242</v>
      </c>
      <c r="N5417" s="20" t="s">
        <v>3515</v>
      </c>
    </row>
    <row r="5418" spans="1:14" hidden="1" x14ac:dyDescent="0.25">
      <c r="A5418" s="19">
        <v>46082</v>
      </c>
      <c r="B5418" s="20" t="s">
        <v>97</v>
      </c>
      <c r="C5418" s="20">
        <v>30</v>
      </c>
      <c r="D5418" s="20" t="s">
        <v>291</v>
      </c>
      <c r="E5418" s="20" t="s">
        <v>2361</v>
      </c>
      <c r="F5418" s="20" t="s">
        <v>285</v>
      </c>
      <c r="G5418" s="20" t="s">
        <v>63</v>
      </c>
      <c r="H5418" s="20" t="s">
        <v>73</v>
      </c>
      <c r="I5418" s="20"/>
      <c r="J5418" s="20" t="s">
        <v>207</v>
      </c>
      <c r="K5418" s="20" t="s">
        <v>250</v>
      </c>
      <c r="L5418" s="20">
        <v>352000</v>
      </c>
      <c r="M5418" s="20" t="s">
        <v>242</v>
      </c>
      <c r="N5418" s="20" t="s">
        <v>3516</v>
      </c>
    </row>
    <row r="5419" spans="1:14" hidden="1" x14ac:dyDescent="0.25">
      <c r="A5419" s="19">
        <v>46082</v>
      </c>
      <c r="B5419" s="20" t="s">
        <v>97</v>
      </c>
      <c r="C5419" s="20">
        <v>30</v>
      </c>
      <c r="D5419" s="20" t="s">
        <v>291</v>
      </c>
      <c r="E5419" s="20" t="s">
        <v>2361</v>
      </c>
      <c r="F5419" s="20" t="s">
        <v>285</v>
      </c>
      <c r="G5419" s="20" t="s">
        <v>63</v>
      </c>
      <c r="H5419" s="20" t="s">
        <v>74</v>
      </c>
      <c r="I5419" s="20"/>
      <c r="J5419" s="20" t="s">
        <v>207</v>
      </c>
      <c r="K5419" s="20" t="s">
        <v>250</v>
      </c>
      <c r="L5419" s="20">
        <v>138000</v>
      </c>
      <c r="M5419" s="20" t="s">
        <v>242</v>
      </c>
      <c r="N5419" s="20" t="s">
        <v>3517</v>
      </c>
    </row>
    <row r="5420" spans="1:14" hidden="1" x14ac:dyDescent="0.25">
      <c r="A5420" s="19">
        <v>46082</v>
      </c>
      <c r="B5420" s="20" t="s">
        <v>97</v>
      </c>
      <c r="C5420" s="20">
        <v>30</v>
      </c>
      <c r="D5420" s="20" t="s">
        <v>291</v>
      </c>
      <c r="E5420" s="20" t="s">
        <v>2361</v>
      </c>
      <c r="F5420" s="20" t="s">
        <v>285</v>
      </c>
      <c r="G5420" s="20" t="s">
        <v>63</v>
      </c>
      <c r="H5420" s="20" t="s">
        <v>75</v>
      </c>
      <c r="I5420" s="20"/>
      <c r="J5420" s="20" t="s">
        <v>207</v>
      </c>
      <c r="K5420" s="20" t="s">
        <v>250</v>
      </c>
      <c r="L5420" s="20">
        <v>40000</v>
      </c>
      <c r="M5420" s="20" t="s">
        <v>242</v>
      </c>
      <c r="N5420" s="20" t="s">
        <v>3518</v>
      </c>
    </row>
    <row r="5421" spans="1:14" hidden="1" x14ac:dyDescent="0.25">
      <c r="A5421" s="19">
        <v>46082</v>
      </c>
      <c r="B5421" s="20" t="s">
        <v>97</v>
      </c>
      <c r="C5421" s="20">
        <v>30</v>
      </c>
      <c r="D5421" s="20" t="s">
        <v>291</v>
      </c>
      <c r="E5421" s="20" t="s">
        <v>2361</v>
      </c>
      <c r="F5421" s="20" t="s">
        <v>285</v>
      </c>
      <c r="G5421" s="20" t="s">
        <v>63</v>
      </c>
      <c r="H5421" s="20" t="s">
        <v>76</v>
      </c>
      <c r="I5421" s="20"/>
      <c r="J5421" s="20" t="s">
        <v>207</v>
      </c>
      <c r="K5421" s="20" t="s">
        <v>250</v>
      </c>
      <c r="L5421" s="20">
        <v>13000</v>
      </c>
      <c r="M5421" s="20" t="s">
        <v>242</v>
      </c>
      <c r="N5421" s="20" t="s">
        <v>932</v>
      </c>
    </row>
    <row r="5422" spans="1:14" hidden="1" x14ac:dyDescent="0.25">
      <c r="A5422" s="19">
        <v>46082</v>
      </c>
      <c r="B5422" s="20" t="s">
        <v>97</v>
      </c>
      <c r="C5422" s="20">
        <v>31</v>
      </c>
      <c r="D5422" s="20" t="s">
        <v>291</v>
      </c>
      <c r="E5422" s="20" t="s">
        <v>2361</v>
      </c>
      <c r="F5422" s="20" t="s">
        <v>2400</v>
      </c>
      <c r="G5422" s="20" t="s">
        <v>99</v>
      </c>
      <c r="H5422" s="20" t="s">
        <v>103</v>
      </c>
      <c r="I5422" s="20"/>
      <c r="J5422" s="20" t="s">
        <v>207</v>
      </c>
      <c r="K5422" s="20" t="s">
        <v>250</v>
      </c>
      <c r="L5422" s="20">
        <v>2900000</v>
      </c>
      <c r="M5422" s="20" t="s">
        <v>242</v>
      </c>
      <c r="N5422" s="20" t="s">
        <v>3377</v>
      </c>
    </row>
    <row r="5423" spans="1:14" hidden="1" x14ac:dyDescent="0.25">
      <c r="A5423" s="19">
        <v>46082</v>
      </c>
      <c r="B5423" s="20" t="s">
        <v>97</v>
      </c>
      <c r="C5423" s="20">
        <v>31</v>
      </c>
      <c r="D5423" s="20" t="s">
        <v>291</v>
      </c>
      <c r="E5423" s="20" t="s">
        <v>2361</v>
      </c>
      <c r="F5423" s="20" t="s">
        <v>477</v>
      </c>
      <c r="G5423" s="20" t="s">
        <v>99</v>
      </c>
      <c r="H5423" s="20" t="s">
        <v>104</v>
      </c>
      <c r="I5423" s="20"/>
      <c r="J5423" s="20" t="s">
        <v>207</v>
      </c>
      <c r="K5423" s="20" t="s">
        <v>250</v>
      </c>
      <c r="L5423" s="20">
        <v>4020</v>
      </c>
      <c r="M5423" s="20" t="s">
        <v>242</v>
      </c>
      <c r="N5423" s="20" t="s">
        <v>3519</v>
      </c>
    </row>
    <row r="5424" spans="1:14" hidden="1" x14ac:dyDescent="0.25">
      <c r="A5424" s="19">
        <v>46082</v>
      </c>
      <c r="B5424" s="20" t="s">
        <v>97</v>
      </c>
      <c r="C5424" s="20">
        <v>31</v>
      </c>
      <c r="D5424" s="20" t="s">
        <v>291</v>
      </c>
      <c r="E5424" s="20" t="s">
        <v>2361</v>
      </c>
      <c r="F5424" s="20" t="s">
        <v>477</v>
      </c>
      <c r="G5424" s="20" t="s">
        <v>99</v>
      </c>
      <c r="H5424" s="20" t="s">
        <v>101</v>
      </c>
      <c r="I5424" s="20"/>
      <c r="J5424" s="20" t="s">
        <v>207</v>
      </c>
      <c r="K5424" s="20" t="s">
        <v>250</v>
      </c>
      <c r="L5424" s="20">
        <v>1662</v>
      </c>
      <c r="M5424" s="20" t="s">
        <v>242</v>
      </c>
      <c r="N5424" s="20" t="s">
        <v>3520</v>
      </c>
    </row>
    <row r="5425" spans="1:14" hidden="1" x14ac:dyDescent="0.25">
      <c r="A5425" s="19">
        <v>46082</v>
      </c>
      <c r="B5425" s="20" t="s">
        <v>97</v>
      </c>
      <c r="C5425" s="20">
        <v>31</v>
      </c>
      <c r="D5425" s="20" t="s">
        <v>291</v>
      </c>
      <c r="E5425" s="20" t="s">
        <v>2361</v>
      </c>
      <c r="F5425" s="20" t="s">
        <v>477</v>
      </c>
      <c r="G5425" s="20" t="s">
        <v>99</v>
      </c>
      <c r="H5425" s="20" t="s">
        <v>100</v>
      </c>
      <c r="I5425" s="20"/>
      <c r="J5425" s="20" t="s">
        <v>207</v>
      </c>
      <c r="K5425" s="20" t="s">
        <v>250</v>
      </c>
      <c r="L5425" s="20">
        <v>1064</v>
      </c>
      <c r="M5425" s="20" t="s">
        <v>242</v>
      </c>
      <c r="N5425" s="20" t="s">
        <v>3521</v>
      </c>
    </row>
    <row r="5426" spans="1:14" hidden="1" x14ac:dyDescent="0.25">
      <c r="A5426" s="19">
        <v>46082</v>
      </c>
      <c r="B5426" s="20" t="s">
        <v>97</v>
      </c>
      <c r="C5426" s="20">
        <v>31</v>
      </c>
      <c r="D5426" s="20" t="s">
        <v>291</v>
      </c>
      <c r="E5426" s="20" t="s">
        <v>2361</v>
      </c>
      <c r="F5426" s="20" t="s">
        <v>477</v>
      </c>
      <c r="G5426" s="20" t="s">
        <v>99</v>
      </c>
      <c r="H5426" s="20" t="s">
        <v>102</v>
      </c>
      <c r="I5426" s="20"/>
      <c r="J5426" s="20" t="s">
        <v>207</v>
      </c>
      <c r="K5426" s="20" t="s">
        <v>250</v>
      </c>
      <c r="L5426" s="20">
        <v>8</v>
      </c>
      <c r="M5426" s="20" t="s">
        <v>242</v>
      </c>
      <c r="N5426" s="20" t="s">
        <v>480</v>
      </c>
    </row>
    <row r="5427" spans="1:14" hidden="1" x14ac:dyDescent="0.25">
      <c r="A5427" s="19">
        <v>46082</v>
      </c>
      <c r="B5427" s="20" t="s">
        <v>97</v>
      </c>
      <c r="C5427" s="20">
        <v>32</v>
      </c>
      <c r="D5427" s="20" t="s">
        <v>253</v>
      </c>
      <c r="E5427" s="20" t="s">
        <v>2359</v>
      </c>
      <c r="F5427" s="20" t="s">
        <v>240</v>
      </c>
      <c r="G5427" s="20" t="s">
        <v>82</v>
      </c>
      <c r="H5427" s="20"/>
      <c r="I5427" s="20"/>
      <c r="J5427" s="20" t="s">
        <v>205</v>
      </c>
      <c r="K5427" s="20" t="s">
        <v>255</v>
      </c>
      <c r="L5427" s="20">
        <v>11830000</v>
      </c>
      <c r="M5427" s="20" t="s">
        <v>242</v>
      </c>
      <c r="N5427" s="20" t="s">
        <v>3235</v>
      </c>
    </row>
    <row r="5428" spans="1:14" hidden="1" x14ac:dyDescent="0.25">
      <c r="A5428" s="19">
        <v>46082</v>
      </c>
      <c r="B5428" s="20" t="s">
        <v>97</v>
      </c>
      <c r="C5428" s="20">
        <v>32</v>
      </c>
      <c r="D5428" s="20" t="s">
        <v>253</v>
      </c>
      <c r="E5428" s="20" t="s">
        <v>2359</v>
      </c>
      <c r="F5428" s="20" t="s">
        <v>240</v>
      </c>
      <c r="G5428" s="20" t="s">
        <v>82</v>
      </c>
      <c r="H5428" s="20"/>
      <c r="I5428" s="20"/>
      <c r="J5428" s="20" t="s">
        <v>206</v>
      </c>
      <c r="K5428" s="20" t="s">
        <v>255</v>
      </c>
      <c r="L5428" s="20">
        <v>10840000</v>
      </c>
      <c r="M5428" s="20" t="s">
        <v>242</v>
      </c>
      <c r="N5428" s="20" t="s">
        <v>3381</v>
      </c>
    </row>
    <row r="5429" spans="1:14" hidden="1" x14ac:dyDescent="0.25">
      <c r="A5429" s="19">
        <v>46082</v>
      </c>
      <c r="B5429" s="20" t="s">
        <v>97</v>
      </c>
      <c r="C5429" s="20">
        <v>32</v>
      </c>
      <c r="D5429" s="20" t="s">
        <v>253</v>
      </c>
      <c r="E5429" s="20" t="s">
        <v>2359</v>
      </c>
      <c r="F5429" s="20" t="s">
        <v>240</v>
      </c>
      <c r="G5429" s="20" t="s">
        <v>82</v>
      </c>
      <c r="H5429" s="20"/>
      <c r="I5429" s="20"/>
      <c r="J5429" s="20" t="s">
        <v>207</v>
      </c>
      <c r="K5429" s="20" t="s">
        <v>255</v>
      </c>
      <c r="L5429" s="20">
        <v>12760000</v>
      </c>
      <c r="M5429" s="20" t="s">
        <v>242</v>
      </c>
      <c r="N5429" s="20" t="s">
        <v>3522</v>
      </c>
    </row>
    <row r="5430" spans="1:14" hidden="1" x14ac:dyDescent="0.25">
      <c r="A5430" s="19">
        <v>46082</v>
      </c>
      <c r="B5430" s="20" t="s">
        <v>97</v>
      </c>
      <c r="C5430" s="20">
        <v>32</v>
      </c>
      <c r="D5430" s="20" t="s">
        <v>247</v>
      </c>
      <c r="E5430" s="20" t="s">
        <v>2554</v>
      </c>
      <c r="F5430" s="20" t="s">
        <v>2556</v>
      </c>
      <c r="G5430" s="20" t="s">
        <v>82</v>
      </c>
      <c r="H5430" s="20" t="s">
        <v>286</v>
      </c>
      <c r="I5430" s="20"/>
      <c r="J5430" s="20" t="s">
        <v>207</v>
      </c>
      <c r="K5430" s="20" t="s">
        <v>250</v>
      </c>
      <c r="L5430" s="20">
        <v>17.7</v>
      </c>
      <c r="M5430" s="20" t="s">
        <v>251</v>
      </c>
      <c r="N5430" s="20" t="s">
        <v>3523</v>
      </c>
    </row>
    <row r="5431" spans="1:14" hidden="1" x14ac:dyDescent="0.25">
      <c r="A5431" s="19">
        <v>46082</v>
      </c>
      <c r="B5431" s="20" t="s">
        <v>97</v>
      </c>
      <c r="C5431" s="20">
        <v>33</v>
      </c>
      <c r="D5431" s="20" t="s">
        <v>291</v>
      </c>
      <c r="E5431" s="20" t="s">
        <v>2361</v>
      </c>
      <c r="F5431" s="20" t="s">
        <v>240</v>
      </c>
      <c r="G5431" s="20" t="s">
        <v>82</v>
      </c>
      <c r="H5431" s="20" t="s">
        <v>83</v>
      </c>
      <c r="I5431" s="20"/>
      <c r="J5431" s="20" t="s">
        <v>207</v>
      </c>
      <c r="K5431" s="20" t="s">
        <v>250</v>
      </c>
      <c r="L5431" s="20">
        <v>10780000</v>
      </c>
      <c r="M5431" s="20" t="s">
        <v>242</v>
      </c>
      <c r="N5431" s="20" t="s">
        <v>3524</v>
      </c>
    </row>
    <row r="5432" spans="1:14" hidden="1" x14ac:dyDescent="0.25">
      <c r="A5432" s="19">
        <v>46082</v>
      </c>
      <c r="B5432" s="20" t="s">
        <v>97</v>
      </c>
      <c r="C5432" s="20">
        <v>33</v>
      </c>
      <c r="D5432" s="20" t="s">
        <v>291</v>
      </c>
      <c r="E5432" s="20" t="s">
        <v>2361</v>
      </c>
      <c r="F5432" s="20" t="s">
        <v>240</v>
      </c>
      <c r="G5432" s="20" t="s">
        <v>82</v>
      </c>
      <c r="H5432" s="20" t="s">
        <v>84</v>
      </c>
      <c r="I5432" s="20"/>
      <c r="J5432" s="20" t="s">
        <v>207</v>
      </c>
      <c r="K5432" s="20" t="s">
        <v>250</v>
      </c>
      <c r="L5432" s="20">
        <v>1890000</v>
      </c>
      <c r="M5432" s="20" t="s">
        <v>242</v>
      </c>
      <c r="N5432" s="20" t="s">
        <v>3525</v>
      </c>
    </row>
    <row r="5433" spans="1:14" hidden="1" x14ac:dyDescent="0.25">
      <c r="A5433" s="19">
        <v>46082</v>
      </c>
      <c r="B5433" s="20" t="s">
        <v>97</v>
      </c>
      <c r="C5433" s="20">
        <v>33</v>
      </c>
      <c r="D5433" s="20" t="s">
        <v>291</v>
      </c>
      <c r="E5433" s="20" t="s">
        <v>2361</v>
      </c>
      <c r="F5433" s="20" t="s">
        <v>240</v>
      </c>
      <c r="G5433" s="20" t="s">
        <v>82</v>
      </c>
      <c r="H5433" s="20" t="s">
        <v>106</v>
      </c>
      <c r="I5433" s="20"/>
      <c r="J5433" s="20" t="s">
        <v>207</v>
      </c>
      <c r="K5433" s="20" t="s">
        <v>250</v>
      </c>
      <c r="L5433" s="20">
        <v>73870</v>
      </c>
      <c r="M5433" s="20" t="s">
        <v>242</v>
      </c>
      <c r="N5433" s="20" t="s">
        <v>3526</v>
      </c>
    </row>
    <row r="5434" spans="1:14" hidden="1" x14ac:dyDescent="0.25">
      <c r="A5434" s="19">
        <v>46082</v>
      </c>
      <c r="B5434" s="20" t="s">
        <v>97</v>
      </c>
      <c r="C5434" s="20">
        <v>33</v>
      </c>
      <c r="D5434" s="20" t="s">
        <v>291</v>
      </c>
      <c r="E5434" s="20" t="s">
        <v>2361</v>
      </c>
      <c r="F5434" s="20" t="s">
        <v>240</v>
      </c>
      <c r="G5434" s="20" t="s">
        <v>82</v>
      </c>
      <c r="H5434" s="20" t="s">
        <v>105</v>
      </c>
      <c r="I5434" s="20"/>
      <c r="J5434" s="20" t="s">
        <v>207</v>
      </c>
      <c r="K5434" s="20" t="s">
        <v>250</v>
      </c>
      <c r="L5434" s="20">
        <v>20790</v>
      </c>
      <c r="M5434" s="20" t="s">
        <v>242</v>
      </c>
      <c r="N5434" s="20" t="s">
        <v>3527</v>
      </c>
    </row>
    <row r="5435" spans="1:14" hidden="1" x14ac:dyDescent="0.25">
      <c r="A5435" s="19">
        <v>46082</v>
      </c>
      <c r="B5435" s="20" t="s">
        <v>97</v>
      </c>
      <c r="C5435" s="20">
        <v>34</v>
      </c>
      <c r="D5435" s="20" t="s">
        <v>291</v>
      </c>
      <c r="E5435" s="20" t="s">
        <v>2361</v>
      </c>
      <c r="F5435" s="20" t="s">
        <v>240</v>
      </c>
      <c r="G5435" s="20" t="s">
        <v>82</v>
      </c>
      <c r="H5435" s="20" t="s">
        <v>83</v>
      </c>
      <c r="I5435" s="20" t="s">
        <v>315</v>
      </c>
      <c r="J5435" s="20" t="s">
        <v>207</v>
      </c>
      <c r="K5435" s="20" t="s">
        <v>250</v>
      </c>
      <c r="L5435" s="20"/>
      <c r="M5435" s="20" t="s">
        <v>251</v>
      </c>
      <c r="N5435" s="20" t="s">
        <v>3528</v>
      </c>
    </row>
    <row r="5436" spans="1:14" hidden="1" x14ac:dyDescent="0.25">
      <c r="A5436" s="19">
        <v>46082</v>
      </c>
      <c r="B5436" s="20" t="s">
        <v>97</v>
      </c>
      <c r="C5436" s="20">
        <v>34</v>
      </c>
      <c r="D5436" s="20" t="s">
        <v>291</v>
      </c>
      <c r="E5436" s="20" t="s">
        <v>2361</v>
      </c>
      <c r="F5436" s="20" t="s">
        <v>240</v>
      </c>
      <c r="G5436" s="20" t="s">
        <v>82</v>
      </c>
      <c r="H5436" s="20" t="s">
        <v>83</v>
      </c>
      <c r="I5436" s="20" t="s">
        <v>317</v>
      </c>
      <c r="J5436" s="20" t="s">
        <v>207</v>
      </c>
      <c r="K5436" s="20" t="s">
        <v>250</v>
      </c>
      <c r="L5436" s="20"/>
      <c r="M5436" s="20" t="s">
        <v>251</v>
      </c>
      <c r="N5436" s="20" t="s">
        <v>3529</v>
      </c>
    </row>
    <row r="5437" spans="1:14" hidden="1" x14ac:dyDescent="0.25">
      <c r="A5437" s="19">
        <v>46082</v>
      </c>
      <c r="B5437" s="20" t="s">
        <v>97</v>
      </c>
      <c r="C5437" s="20">
        <v>34</v>
      </c>
      <c r="D5437" s="20" t="s">
        <v>291</v>
      </c>
      <c r="E5437" s="20" t="s">
        <v>2361</v>
      </c>
      <c r="F5437" s="20" t="s">
        <v>240</v>
      </c>
      <c r="G5437" s="20" t="s">
        <v>82</v>
      </c>
      <c r="H5437" s="20" t="s">
        <v>83</v>
      </c>
      <c r="I5437" s="20" t="s">
        <v>2785</v>
      </c>
      <c r="J5437" s="20" t="s">
        <v>207</v>
      </c>
      <c r="K5437" s="20" t="s">
        <v>250</v>
      </c>
      <c r="L5437" s="20"/>
      <c r="M5437" s="20" t="s">
        <v>251</v>
      </c>
      <c r="N5437" s="20" t="s">
        <v>3530</v>
      </c>
    </row>
    <row r="5438" spans="1:14" hidden="1" x14ac:dyDescent="0.25">
      <c r="A5438" s="19">
        <v>46082</v>
      </c>
      <c r="B5438" s="20" t="s">
        <v>97</v>
      </c>
      <c r="C5438" s="20">
        <v>34</v>
      </c>
      <c r="D5438" s="20" t="s">
        <v>291</v>
      </c>
      <c r="E5438" s="20" t="s">
        <v>2361</v>
      </c>
      <c r="F5438" s="20" t="s">
        <v>240</v>
      </c>
      <c r="G5438" s="20" t="s">
        <v>82</v>
      </c>
      <c r="H5438" s="20" t="s">
        <v>83</v>
      </c>
      <c r="I5438" s="20" t="s">
        <v>497</v>
      </c>
      <c r="J5438" s="20" t="s">
        <v>207</v>
      </c>
      <c r="K5438" s="20" t="s">
        <v>250</v>
      </c>
      <c r="L5438" s="20"/>
      <c r="M5438" s="20" t="s">
        <v>251</v>
      </c>
      <c r="N5438" s="20" t="s">
        <v>3531</v>
      </c>
    </row>
    <row r="5439" spans="1:14" hidden="1" x14ac:dyDescent="0.25">
      <c r="A5439" s="19">
        <v>46082</v>
      </c>
      <c r="B5439" s="20" t="s">
        <v>97</v>
      </c>
      <c r="C5439" s="20">
        <v>34</v>
      </c>
      <c r="D5439" s="20" t="s">
        <v>291</v>
      </c>
      <c r="E5439" s="20" t="s">
        <v>2361</v>
      </c>
      <c r="F5439" s="20" t="s">
        <v>240</v>
      </c>
      <c r="G5439" s="20" t="s">
        <v>82</v>
      </c>
      <c r="H5439" s="20" t="s">
        <v>83</v>
      </c>
      <c r="I5439" s="20" t="s">
        <v>503</v>
      </c>
      <c r="J5439" s="20" t="s">
        <v>207</v>
      </c>
      <c r="K5439" s="20" t="s">
        <v>250</v>
      </c>
      <c r="L5439" s="20"/>
      <c r="M5439" s="20" t="s">
        <v>251</v>
      </c>
      <c r="N5439" s="20" t="s">
        <v>3532</v>
      </c>
    </row>
    <row r="5440" spans="1:14" hidden="1" x14ac:dyDescent="0.25">
      <c r="A5440" s="19">
        <v>46082</v>
      </c>
      <c r="B5440" s="20" t="s">
        <v>97</v>
      </c>
      <c r="C5440" s="20">
        <v>34</v>
      </c>
      <c r="D5440" s="20" t="s">
        <v>291</v>
      </c>
      <c r="E5440" s="20" t="s">
        <v>2361</v>
      </c>
      <c r="F5440" s="20" t="s">
        <v>240</v>
      </c>
      <c r="G5440" s="20" t="s">
        <v>82</v>
      </c>
      <c r="H5440" s="20" t="s">
        <v>83</v>
      </c>
      <c r="I5440" s="20" t="s">
        <v>2413</v>
      </c>
      <c r="J5440" s="20" t="s">
        <v>207</v>
      </c>
      <c r="K5440" s="20" t="s">
        <v>250</v>
      </c>
      <c r="L5440" s="20"/>
      <c r="M5440" s="20" t="s">
        <v>251</v>
      </c>
      <c r="N5440" s="20" t="s">
        <v>2038</v>
      </c>
    </row>
    <row r="5441" spans="1:14" hidden="1" x14ac:dyDescent="0.25">
      <c r="A5441" s="19">
        <v>46082</v>
      </c>
      <c r="B5441" s="20" t="s">
        <v>97</v>
      </c>
      <c r="C5441" s="20">
        <v>34</v>
      </c>
      <c r="D5441" s="20" t="s">
        <v>291</v>
      </c>
      <c r="E5441" s="20" t="s">
        <v>2361</v>
      </c>
      <c r="F5441" s="20" t="s">
        <v>240</v>
      </c>
      <c r="G5441" s="20" t="s">
        <v>82</v>
      </c>
      <c r="H5441" s="20" t="s">
        <v>83</v>
      </c>
      <c r="I5441" s="20" t="s">
        <v>2414</v>
      </c>
      <c r="J5441" s="20" t="s">
        <v>207</v>
      </c>
      <c r="K5441" s="20" t="s">
        <v>250</v>
      </c>
      <c r="L5441" s="20"/>
      <c r="M5441" s="20" t="s">
        <v>251</v>
      </c>
      <c r="N5441" s="20" t="s">
        <v>731</v>
      </c>
    </row>
    <row r="5442" spans="1:14" hidden="1" x14ac:dyDescent="0.25">
      <c r="A5442" s="19">
        <v>46082</v>
      </c>
      <c r="B5442" s="20" t="s">
        <v>97</v>
      </c>
      <c r="C5442" s="20">
        <v>34</v>
      </c>
      <c r="D5442" s="20" t="s">
        <v>291</v>
      </c>
      <c r="E5442" s="20" t="s">
        <v>2361</v>
      </c>
      <c r="F5442" s="20" t="s">
        <v>240</v>
      </c>
      <c r="G5442" s="20" t="s">
        <v>82</v>
      </c>
      <c r="H5442" s="20" t="s">
        <v>84</v>
      </c>
      <c r="I5442" s="20" t="s">
        <v>319</v>
      </c>
      <c r="J5442" s="20" t="s">
        <v>207</v>
      </c>
      <c r="K5442" s="20" t="s">
        <v>250</v>
      </c>
      <c r="L5442" s="20"/>
      <c r="M5442" s="20" t="s">
        <v>251</v>
      </c>
      <c r="N5442" s="20" t="s">
        <v>3533</v>
      </c>
    </row>
    <row r="5443" spans="1:14" hidden="1" x14ac:dyDescent="0.25">
      <c r="A5443" s="19">
        <v>46082</v>
      </c>
      <c r="B5443" s="20" t="s">
        <v>97</v>
      </c>
      <c r="C5443" s="20">
        <v>34</v>
      </c>
      <c r="D5443" s="20" t="s">
        <v>291</v>
      </c>
      <c r="E5443" s="20" t="s">
        <v>2361</v>
      </c>
      <c r="F5443" s="20" t="s">
        <v>240</v>
      </c>
      <c r="G5443" s="20" t="s">
        <v>82</v>
      </c>
      <c r="H5443" s="20" t="s">
        <v>84</v>
      </c>
      <c r="I5443" s="20" t="s">
        <v>321</v>
      </c>
      <c r="J5443" s="20" t="s">
        <v>207</v>
      </c>
      <c r="K5443" s="20" t="s">
        <v>250</v>
      </c>
      <c r="L5443" s="20"/>
      <c r="M5443" s="20" t="s">
        <v>251</v>
      </c>
      <c r="N5443" s="20" t="s">
        <v>3534</v>
      </c>
    </row>
    <row r="5444" spans="1:14" hidden="1" x14ac:dyDescent="0.25">
      <c r="A5444" s="19">
        <v>46082</v>
      </c>
      <c r="B5444" s="20" t="s">
        <v>97</v>
      </c>
      <c r="C5444" s="20">
        <v>34</v>
      </c>
      <c r="D5444" s="20" t="s">
        <v>291</v>
      </c>
      <c r="E5444" s="20" t="s">
        <v>2361</v>
      </c>
      <c r="F5444" s="20" t="s">
        <v>240</v>
      </c>
      <c r="G5444" s="20" t="s">
        <v>82</v>
      </c>
      <c r="H5444" s="20" t="s">
        <v>106</v>
      </c>
      <c r="I5444" s="20" t="s">
        <v>493</v>
      </c>
      <c r="J5444" s="20" t="s">
        <v>207</v>
      </c>
      <c r="K5444" s="20" t="s">
        <v>250</v>
      </c>
      <c r="L5444" s="20"/>
      <c r="M5444" s="20" t="s">
        <v>251</v>
      </c>
      <c r="N5444" s="20" t="s">
        <v>3535</v>
      </c>
    </row>
    <row r="5445" spans="1:14" hidden="1" x14ac:dyDescent="0.25">
      <c r="A5445" s="19">
        <v>46082</v>
      </c>
      <c r="B5445" s="20" t="s">
        <v>97</v>
      </c>
      <c r="C5445" s="20">
        <v>34</v>
      </c>
      <c r="D5445" s="20" t="s">
        <v>291</v>
      </c>
      <c r="E5445" s="20" t="s">
        <v>2361</v>
      </c>
      <c r="F5445" s="20" t="s">
        <v>240</v>
      </c>
      <c r="G5445" s="20" t="s">
        <v>82</v>
      </c>
      <c r="H5445" s="20" t="s">
        <v>106</v>
      </c>
      <c r="I5445" s="20" t="s">
        <v>491</v>
      </c>
      <c r="J5445" s="20" t="s">
        <v>207</v>
      </c>
      <c r="K5445" s="20" t="s">
        <v>250</v>
      </c>
      <c r="L5445" s="20"/>
      <c r="M5445" s="20" t="s">
        <v>251</v>
      </c>
      <c r="N5445" s="20" t="s">
        <v>3536</v>
      </c>
    </row>
    <row r="5446" spans="1:14" hidden="1" x14ac:dyDescent="0.25">
      <c r="A5446" s="19">
        <v>46082</v>
      </c>
      <c r="B5446" s="20" t="s">
        <v>97</v>
      </c>
      <c r="C5446" s="20">
        <v>34</v>
      </c>
      <c r="D5446" s="20" t="s">
        <v>291</v>
      </c>
      <c r="E5446" s="20" t="s">
        <v>2361</v>
      </c>
      <c r="F5446" s="20" t="s">
        <v>240</v>
      </c>
      <c r="G5446" s="20" t="s">
        <v>82</v>
      </c>
      <c r="H5446" s="20" t="s">
        <v>105</v>
      </c>
      <c r="I5446" s="20" t="s">
        <v>493</v>
      </c>
      <c r="J5446" s="20" t="s">
        <v>207</v>
      </c>
      <c r="K5446" s="20" t="s">
        <v>250</v>
      </c>
      <c r="L5446" s="20"/>
      <c r="M5446" s="20" t="s">
        <v>251</v>
      </c>
      <c r="N5446" s="20" t="s">
        <v>3537</v>
      </c>
    </row>
    <row r="5447" spans="1:14" hidden="1" x14ac:dyDescent="0.25">
      <c r="A5447" s="19">
        <v>46082</v>
      </c>
      <c r="B5447" s="20" t="s">
        <v>97</v>
      </c>
      <c r="C5447" s="20">
        <v>34</v>
      </c>
      <c r="D5447" s="20" t="s">
        <v>291</v>
      </c>
      <c r="E5447" s="20" t="s">
        <v>2361</v>
      </c>
      <c r="F5447" s="20" t="s">
        <v>240</v>
      </c>
      <c r="G5447" s="20" t="s">
        <v>82</v>
      </c>
      <c r="H5447" s="20" t="s">
        <v>105</v>
      </c>
      <c r="I5447" s="20" t="s">
        <v>491</v>
      </c>
      <c r="J5447" s="20" t="s">
        <v>207</v>
      </c>
      <c r="K5447" s="20" t="s">
        <v>250</v>
      </c>
      <c r="L5447" s="20"/>
      <c r="M5447" s="20" t="s">
        <v>251</v>
      </c>
      <c r="N5447" s="20" t="s">
        <v>3538</v>
      </c>
    </row>
    <row r="5448" spans="1:14" hidden="1" x14ac:dyDescent="0.25">
      <c r="A5448" s="19">
        <v>46082</v>
      </c>
      <c r="B5448" s="20" t="s">
        <v>97</v>
      </c>
      <c r="C5448" s="20">
        <v>35</v>
      </c>
      <c r="D5448" s="20" t="s">
        <v>253</v>
      </c>
      <c r="E5448" s="20" t="s">
        <v>2359</v>
      </c>
      <c r="F5448" s="20" t="s">
        <v>244</v>
      </c>
      <c r="G5448" s="20" t="s">
        <v>82</v>
      </c>
      <c r="H5448" s="20"/>
      <c r="I5448" s="20"/>
      <c r="J5448" s="20" t="s">
        <v>205</v>
      </c>
      <c r="K5448" s="20" t="s">
        <v>255</v>
      </c>
      <c r="L5448" s="20">
        <v>584000000</v>
      </c>
      <c r="M5448" s="20" t="s">
        <v>245</v>
      </c>
      <c r="N5448" s="20" t="s">
        <v>3249</v>
      </c>
    </row>
    <row r="5449" spans="1:14" hidden="1" x14ac:dyDescent="0.25">
      <c r="A5449" s="19">
        <v>46082</v>
      </c>
      <c r="B5449" s="20" t="s">
        <v>97</v>
      </c>
      <c r="C5449" s="20">
        <v>35</v>
      </c>
      <c r="D5449" s="20" t="s">
        <v>253</v>
      </c>
      <c r="E5449" s="20" t="s">
        <v>2359</v>
      </c>
      <c r="F5449" s="20" t="s">
        <v>244</v>
      </c>
      <c r="G5449" s="20" t="s">
        <v>82</v>
      </c>
      <c r="H5449" s="20"/>
      <c r="I5449" s="20"/>
      <c r="J5449" s="20" t="s">
        <v>206</v>
      </c>
      <c r="K5449" s="20" t="s">
        <v>255</v>
      </c>
      <c r="L5449" s="20">
        <v>553000000</v>
      </c>
      <c r="M5449" s="20" t="s">
        <v>245</v>
      </c>
      <c r="N5449" s="20" t="s">
        <v>3393</v>
      </c>
    </row>
    <row r="5450" spans="1:14" hidden="1" x14ac:dyDescent="0.25">
      <c r="A5450" s="19">
        <v>46082</v>
      </c>
      <c r="B5450" s="20" t="s">
        <v>97</v>
      </c>
      <c r="C5450" s="20">
        <v>35</v>
      </c>
      <c r="D5450" s="20" t="s">
        <v>253</v>
      </c>
      <c r="E5450" s="20" t="s">
        <v>2359</v>
      </c>
      <c r="F5450" s="20" t="s">
        <v>244</v>
      </c>
      <c r="G5450" s="20" t="s">
        <v>82</v>
      </c>
      <c r="H5450" s="20"/>
      <c r="I5450" s="20"/>
      <c r="J5450" s="20" t="s">
        <v>207</v>
      </c>
      <c r="K5450" s="20" t="s">
        <v>255</v>
      </c>
      <c r="L5450" s="20">
        <v>652000000</v>
      </c>
      <c r="M5450" s="20" t="s">
        <v>245</v>
      </c>
      <c r="N5450" s="20" t="s">
        <v>3539</v>
      </c>
    </row>
    <row r="5451" spans="1:14" hidden="1" x14ac:dyDescent="0.25">
      <c r="A5451" s="19">
        <v>46082</v>
      </c>
      <c r="B5451" s="20" t="s">
        <v>97</v>
      </c>
      <c r="C5451" s="20">
        <v>35</v>
      </c>
      <c r="D5451" s="20" t="s">
        <v>247</v>
      </c>
      <c r="E5451" s="20" t="s">
        <v>2554</v>
      </c>
      <c r="F5451" s="20" t="s">
        <v>2557</v>
      </c>
      <c r="G5451" s="20" t="s">
        <v>82</v>
      </c>
      <c r="H5451" s="20" t="s">
        <v>286</v>
      </c>
      <c r="I5451" s="20"/>
      <c r="J5451" s="20" t="s">
        <v>207</v>
      </c>
      <c r="K5451" s="20" t="s">
        <v>250</v>
      </c>
      <c r="L5451" s="20">
        <v>17.8</v>
      </c>
      <c r="M5451" s="20" t="s">
        <v>251</v>
      </c>
      <c r="N5451" s="20" t="s">
        <v>3540</v>
      </c>
    </row>
    <row r="5452" spans="1:14" hidden="1" x14ac:dyDescent="0.25">
      <c r="A5452" s="19">
        <v>46082</v>
      </c>
      <c r="B5452" s="20" t="s">
        <v>97</v>
      </c>
      <c r="C5452" s="20">
        <v>36</v>
      </c>
      <c r="D5452" s="20" t="s">
        <v>291</v>
      </c>
      <c r="E5452" s="20" t="s">
        <v>2361</v>
      </c>
      <c r="F5452" s="20" t="s">
        <v>244</v>
      </c>
      <c r="G5452" s="20" t="s">
        <v>82</v>
      </c>
      <c r="H5452" s="20" t="s">
        <v>83</v>
      </c>
      <c r="I5452" s="20"/>
      <c r="J5452" s="20" t="s">
        <v>207</v>
      </c>
      <c r="K5452" s="20" t="s">
        <v>250</v>
      </c>
      <c r="L5452" s="20">
        <v>502750000</v>
      </c>
      <c r="M5452" s="20" t="s">
        <v>245</v>
      </c>
      <c r="N5452" s="20" t="s">
        <v>3541</v>
      </c>
    </row>
    <row r="5453" spans="1:14" hidden="1" x14ac:dyDescent="0.25">
      <c r="A5453" s="19">
        <v>46082</v>
      </c>
      <c r="B5453" s="20" t="s">
        <v>97</v>
      </c>
      <c r="C5453" s="20">
        <v>36</v>
      </c>
      <c r="D5453" s="20" t="s">
        <v>291</v>
      </c>
      <c r="E5453" s="20" t="s">
        <v>2361</v>
      </c>
      <c r="F5453" s="20" t="s">
        <v>244</v>
      </c>
      <c r="G5453" s="20" t="s">
        <v>82</v>
      </c>
      <c r="H5453" s="20" t="s">
        <v>84</v>
      </c>
      <c r="I5453" s="20"/>
      <c r="J5453" s="20" t="s">
        <v>207</v>
      </c>
      <c r="K5453" s="20" t="s">
        <v>250</v>
      </c>
      <c r="L5453" s="20">
        <v>134840000</v>
      </c>
      <c r="M5453" s="20" t="s">
        <v>245</v>
      </c>
      <c r="N5453" s="20" t="s">
        <v>3542</v>
      </c>
    </row>
    <row r="5454" spans="1:14" hidden="1" x14ac:dyDescent="0.25">
      <c r="A5454" s="19">
        <v>46082</v>
      </c>
      <c r="B5454" s="20" t="s">
        <v>97</v>
      </c>
      <c r="C5454" s="20">
        <v>36</v>
      </c>
      <c r="D5454" s="20" t="s">
        <v>291</v>
      </c>
      <c r="E5454" s="20" t="s">
        <v>2361</v>
      </c>
      <c r="F5454" s="20" t="s">
        <v>244</v>
      </c>
      <c r="G5454" s="20" t="s">
        <v>82</v>
      </c>
      <c r="H5454" s="20" t="s">
        <v>106</v>
      </c>
      <c r="I5454" s="20"/>
      <c r="J5454" s="20" t="s">
        <v>207</v>
      </c>
      <c r="K5454" s="20" t="s">
        <v>250</v>
      </c>
      <c r="L5454" s="20">
        <v>10460000</v>
      </c>
      <c r="M5454" s="20" t="s">
        <v>245</v>
      </c>
      <c r="N5454" s="20" t="s">
        <v>3543</v>
      </c>
    </row>
    <row r="5455" spans="1:14" hidden="1" x14ac:dyDescent="0.25">
      <c r="A5455" s="19">
        <v>46082</v>
      </c>
      <c r="B5455" s="20" t="s">
        <v>97</v>
      </c>
      <c r="C5455" s="20">
        <v>36</v>
      </c>
      <c r="D5455" s="20" t="s">
        <v>291</v>
      </c>
      <c r="E5455" s="20" t="s">
        <v>2361</v>
      </c>
      <c r="F5455" s="20" t="s">
        <v>244</v>
      </c>
      <c r="G5455" s="20" t="s">
        <v>82</v>
      </c>
      <c r="H5455" s="20" t="s">
        <v>105</v>
      </c>
      <c r="I5455" s="20"/>
      <c r="J5455" s="20" t="s">
        <v>207</v>
      </c>
      <c r="K5455" s="20" t="s">
        <v>250</v>
      </c>
      <c r="L5455" s="20">
        <v>3810000</v>
      </c>
      <c r="M5455" s="20" t="s">
        <v>245</v>
      </c>
      <c r="N5455" s="20" t="s">
        <v>3544</v>
      </c>
    </row>
    <row r="5456" spans="1:14" hidden="1" x14ac:dyDescent="0.25">
      <c r="A5456" s="19">
        <v>46082</v>
      </c>
      <c r="B5456" s="20" t="s">
        <v>97</v>
      </c>
      <c r="C5456" s="20">
        <v>37</v>
      </c>
      <c r="D5456" s="20" t="s">
        <v>291</v>
      </c>
      <c r="E5456" s="20" t="s">
        <v>2361</v>
      </c>
      <c r="F5456" s="20" t="s">
        <v>244</v>
      </c>
      <c r="G5456" s="20" t="s">
        <v>82</v>
      </c>
      <c r="H5456" s="20" t="s">
        <v>83</v>
      </c>
      <c r="I5456" s="20" t="s">
        <v>315</v>
      </c>
      <c r="J5456" s="20" t="s">
        <v>207</v>
      </c>
      <c r="K5456" s="20" t="s">
        <v>250</v>
      </c>
      <c r="L5456" s="20"/>
      <c r="M5456" s="20" t="s">
        <v>251</v>
      </c>
      <c r="N5456" s="20" t="s">
        <v>3545</v>
      </c>
    </row>
    <row r="5457" spans="1:14" hidden="1" x14ac:dyDescent="0.25">
      <c r="A5457" s="19">
        <v>46082</v>
      </c>
      <c r="B5457" s="20" t="s">
        <v>97</v>
      </c>
      <c r="C5457" s="20">
        <v>37</v>
      </c>
      <c r="D5457" s="20" t="s">
        <v>291</v>
      </c>
      <c r="E5457" s="20" t="s">
        <v>2361</v>
      </c>
      <c r="F5457" s="20" t="s">
        <v>244</v>
      </c>
      <c r="G5457" s="20" t="s">
        <v>82</v>
      </c>
      <c r="H5457" s="20" t="s">
        <v>83</v>
      </c>
      <c r="I5457" s="20" t="s">
        <v>317</v>
      </c>
      <c r="J5457" s="20" t="s">
        <v>207</v>
      </c>
      <c r="K5457" s="20" t="s">
        <v>250</v>
      </c>
      <c r="L5457" s="20"/>
      <c r="M5457" s="20" t="s">
        <v>251</v>
      </c>
      <c r="N5457" s="20" t="s">
        <v>3546</v>
      </c>
    </row>
    <row r="5458" spans="1:14" hidden="1" x14ac:dyDescent="0.25">
      <c r="A5458" s="19">
        <v>46082</v>
      </c>
      <c r="B5458" s="20" t="s">
        <v>97</v>
      </c>
      <c r="C5458" s="20">
        <v>37</v>
      </c>
      <c r="D5458" s="20" t="s">
        <v>291</v>
      </c>
      <c r="E5458" s="20" t="s">
        <v>2361</v>
      </c>
      <c r="F5458" s="20" t="s">
        <v>244</v>
      </c>
      <c r="G5458" s="20" t="s">
        <v>82</v>
      </c>
      <c r="H5458" s="20" t="s">
        <v>83</v>
      </c>
      <c r="I5458" s="20" t="s">
        <v>2785</v>
      </c>
      <c r="J5458" s="20" t="s">
        <v>207</v>
      </c>
      <c r="K5458" s="20" t="s">
        <v>250</v>
      </c>
      <c r="L5458" s="20"/>
      <c r="M5458" s="20" t="s">
        <v>251</v>
      </c>
      <c r="N5458" s="20" t="s">
        <v>3547</v>
      </c>
    </row>
    <row r="5459" spans="1:14" hidden="1" x14ac:dyDescent="0.25">
      <c r="A5459" s="19">
        <v>46082</v>
      </c>
      <c r="B5459" s="20" t="s">
        <v>97</v>
      </c>
      <c r="C5459" s="20">
        <v>37</v>
      </c>
      <c r="D5459" s="20" t="s">
        <v>291</v>
      </c>
      <c r="E5459" s="20" t="s">
        <v>2361</v>
      </c>
      <c r="F5459" s="20" t="s">
        <v>244</v>
      </c>
      <c r="G5459" s="20" t="s">
        <v>82</v>
      </c>
      <c r="H5459" s="20" t="s">
        <v>83</v>
      </c>
      <c r="I5459" s="20" t="s">
        <v>497</v>
      </c>
      <c r="J5459" s="20" t="s">
        <v>207</v>
      </c>
      <c r="K5459" s="20" t="s">
        <v>250</v>
      </c>
      <c r="L5459" s="20"/>
      <c r="M5459" s="20" t="s">
        <v>251</v>
      </c>
      <c r="N5459" s="20" t="s">
        <v>3548</v>
      </c>
    </row>
    <row r="5460" spans="1:14" hidden="1" x14ac:dyDescent="0.25">
      <c r="A5460" s="19">
        <v>46082</v>
      </c>
      <c r="B5460" s="20" t="s">
        <v>97</v>
      </c>
      <c r="C5460" s="20">
        <v>37</v>
      </c>
      <c r="D5460" s="20" t="s">
        <v>291</v>
      </c>
      <c r="E5460" s="20" t="s">
        <v>2361</v>
      </c>
      <c r="F5460" s="20" t="s">
        <v>244</v>
      </c>
      <c r="G5460" s="20" t="s">
        <v>82</v>
      </c>
      <c r="H5460" s="20" t="s">
        <v>83</v>
      </c>
      <c r="I5460" s="20" t="s">
        <v>503</v>
      </c>
      <c r="J5460" s="20" t="s">
        <v>207</v>
      </c>
      <c r="K5460" s="20" t="s">
        <v>250</v>
      </c>
      <c r="L5460" s="20"/>
      <c r="M5460" s="20" t="s">
        <v>251</v>
      </c>
      <c r="N5460" s="20" t="s">
        <v>3549</v>
      </c>
    </row>
    <row r="5461" spans="1:14" hidden="1" x14ac:dyDescent="0.25">
      <c r="A5461" s="19">
        <v>46082</v>
      </c>
      <c r="B5461" s="20" t="s">
        <v>97</v>
      </c>
      <c r="C5461" s="20">
        <v>37</v>
      </c>
      <c r="D5461" s="20" t="s">
        <v>291</v>
      </c>
      <c r="E5461" s="20" t="s">
        <v>2361</v>
      </c>
      <c r="F5461" s="20" t="s">
        <v>244</v>
      </c>
      <c r="G5461" s="20" t="s">
        <v>82</v>
      </c>
      <c r="H5461" s="20" t="s">
        <v>83</v>
      </c>
      <c r="I5461" s="20" t="s">
        <v>2413</v>
      </c>
      <c r="J5461" s="20" t="s">
        <v>207</v>
      </c>
      <c r="K5461" s="20" t="s">
        <v>250</v>
      </c>
      <c r="L5461" s="20"/>
      <c r="M5461" s="20" t="s">
        <v>251</v>
      </c>
      <c r="N5461" s="20" t="s">
        <v>3550</v>
      </c>
    </row>
    <row r="5462" spans="1:14" hidden="1" x14ac:dyDescent="0.25">
      <c r="A5462" s="19">
        <v>46082</v>
      </c>
      <c r="B5462" s="20" t="s">
        <v>97</v>
      </c>
      <c r="C5462" s="20">
        <v>37</v>
      </c>
      <c r="D5462" s="20" t="s">
        <v>291</v>
      </c>
      <c r="E5462" s="20" t="s">
        <v>2361</v>
      </c>
      <c r="F5462" s="20" t="s">
        <v>244</v>
      </c>
      <c r="G5462" s="20" t="s">
        <v>82</v>
      </c>
      <c r="H5462" s="20" t="s">
        <v>83</v>
      </c>
      <c r="I5462" s="20" t="s">
        <v>2414</v>
      </c>
      <c r="J5462" s="20" t="s">
        <v>207</v>
      </c>
      <c r="K5462" s="20" t="s">
        <v>250</v>
      </c>
      <c r="L5462" s="20"/>
      <c r="M5462" s="20" t="s">
        <v>251</v>
      </c>
      <c r="N5462" s="20" t="s">
        <v>3551</v>
      </c>
    </row>
    <row r="5463" spans="1:14" hidden="1" x14ac:dyDescent="0.25">
      <c r="A5463" s="19">
        <v>46082</v>
      </c>
      <c r="B5463" s="20" t="s">
        <v>97</v>
      </c>
      <c r="C5463" s="20">
        <v>37</v>
      </c>
      <c r="D5463" s="20" t="s">
        <v>291</v>
      </c>
      <c r="E5463" s="20" t="s">
        <v>2361</v>
      </c>
      <c r="F5463" s="20" t="s">
        <v>244</v>
      </c>
      <c r="G5463" s="20" t="s">
        <v>82</v>
      </c>
      <c r="H5463" s="20" t="s">
        <v>84</v>
      </c>
      <c r="I5463" s="20" t="s">
        <v>319</v>
      </c>
      <c r="J5463" s="20" t="s">
        <v>207</v>
      </c>
      <c r="K5463" s="20" t="s">
        <v>250</v>
      </c>
      <c r="L5463" s="20"/>
      <c r="M5463" s="20" t="s">
        <v>251</v>
      </c>
      <c r="N5463" s="20" t="s">
        <v>3552</v>
      </c>
    </row>
    <row r="5464" spans="1:14" hidden="1" x14ac:dyDescent="0.25">
      <c r="A5464" s="19">
        <v>46082</v>
      </c>
      <c r="B5464" s="20" t="s">
        <v>97</v>
      </c>
      <c r="C5464" s="20">
        <v>37</v>
      </c>
      <c r="D5464" s="20" t="s">
        <v>291</v>
      </c>
      <c r="E5464" s="20" t="s">
        <v>2361</v>
      </c>
      <c r="F5464" s="20" t="s">
        <v>244</v>
      </c>
      <c r="G5464" s="20" t="s">
        <v>82</v>
      </c>
      <c r="H5464" s="20" t="s">
        <v>84</v>
      </c>
      <c r="I5464" s="20" t="s">
        <v>321</v>
      </c>
      <c r="J5464" s="20" t="s">
        <v>207</v>
      </c>
      <c r="K5464" s="20" t="s">
        <v>250</v>
      </c>
      <c r="L5464" s="20"/>
      <c r="M5464" s="20" t="s">
        <v>251</v>
      </c>
      <c r="N5464" s="20" t="s">
        <v>3553</v>
      </c>
    </row>
    <row r="5465" spans="1:14" hidden="1" x14ac:dyDescent="0.25">
      <c r="A5465" s="19">
        <v>46082</v>
      </c>
      <c r="B5465" s="20" t="s">
        <v>97</v>
      </c>
      <c r="C5465" s="20">
        <v>37</v>
      </c>
      <c r="D5465" s="20" t="s">
        <v>291</v>
      </c>
      <c r="E5465" s="20" t="s">
        <v>2361</v>
      </c>
      <c r="F5465" s="20" t="s">
        <v>244</v>
      </c>
      <c r="G5465" s="20" t="s">
        <v>82</v>
      </c>
      <c r="H5465" s="20" t="s">
        <v>106</v>
      </c>
      <c r="I5465" s="20" t="s">
        <v>493</v>
      </c>
      <c r="J5465" s="20" t="s">
        <v>207</v>
      </c>
      <c r="K5465" s="20" t="s">
        <v>250</v>
      </c>
      <c r="L5465" s="20"/>
      <c r="M5465" s="20" t="s">
        <v>251</v>
      </c>
      <c r="N5465" s="20" t="s">
        <v>3554</v>
      </c>
    </row>
    <row r="5466" spans="1:14" hidden="1" x14ac:dyDescent="0.25">
      <c r="A5466" s="19">
        <v>46082</v>
      </c>
      <c r="B5466" s="20" t="s">
        <v>97</v>
      </c>
      <c r="C5466" s="20">
        <v>37</v>
      </c>
      <c r="D5466" s="20" t="s">
        <v>291</v>
      </c>
      <c r="E5466" s="20" t="s">
        <v>2361</v>
      </c>
      <c r="F5466" s="20" t="s">
        <v>244</v>
      </c>
      <c r="G5466" s="20" t="s">
        <v>82</v>
      </c>
      <c r="H5466" s="20" t="s">
        <v>106</v>
      </c>
      <c r="I5466" s="20" t="s">
        <v>491</v>
      </c>
      <c r="J5466" s="20" t="s">
        <v>207</v>
      </c>
      <c r="K5466" s="20" t="s">
        <v>250</v>
      </c>
      <c r="L5466" s="20"/>
      <c r="M5466" s="20" t="s">
        <v>251</v>
      </c>
      <c r="N5466" s="20" t="s">
        <v>3555</v>
      </c>
    </row>
    <row r="5467" spans="1:14" hidden="1" x14ac:dyDescent="0.25">
      <c r="A5467" s="19">
        <v>46082</v>
      </c>
      <c r="B5467" s="20" t="s">
        <v>97</v>
      </c>
      <c r="C5467" s="20">
        <v>37</v>
      </c>
      <c r="D5467" s="20" t="s">
        <v>291</v>
      </c>
      <c r="E5467" s="20" t="s">
        <v>2361</v>
      </c>
      <c r="F5467" s="20" t="s">
        <v>244</v>
      </c>
      <c r="G5467" s="20" t="s">
        <v>82</v>
      </c>
      <c r="H5467" s="20" t="s">
        <v>105</v>
      </c>
      <c r="I5467" s="20" t="s">
        <v>493</v>
      </c>
      <c r="J5467" s="20" t="s">
        <v>207</v>
      </c>
      <c r="K5467" s="20" t="s">
        <v>250</v>
      </c>
      <c r="L5467" s="20"/>
      <c r="M5467" s="20" t="s">
        <v>251</v>
      </c>
      <c r="N5467" s="20" t="s">
        <v>3556</v>
      </c>
    </row>
    <row r="5468" spans="1:14" hidden="1" x14ac:dyDescent="0.25">
      <c r="A5468" s="19">
        <v>46082</v>
      </c>
      <c r="B5468" s="20" t="s">
        <v>97</v>
      </c>
      <c r="C5468" s="20">
        <v>37</v>
      </c>
      <c r="D5468" s="20" t="s">
        <v>291</v>
      </c>
      <c r="E5468" s="20" t="s">
        <v>2361</v>
      </c>
      <c r="F5468" s="20" t="s">
        <v>244</v>
      </c>
      <c r="G5468" s="20" t="s">
        <v>82</v>
      </c>
      <c r="H5468" s="20" t="s">
        <v>105</v>
      </c>
      <c r="I5468" s="20" t="s">
        <v>491</v>
      </c>
      <c r="J5468" s="20" t="s">
        <v>207</v>
      </c>
      <c r="K5468" s="20" t="s">
        <v>250</v>
      </c>
      <c r="L5468" s="20"/>
      <c r="M5468" s="20" t="s">
        <v>251</v>
      </c>
      <c r="N5468" s="20" t="s">
        <v>3557</v>
      </c>
    </row>
    <row r="5469" spans="1:14" hidden="1" x14ac:dyDescent="0.25">
      <c r="A5469" s="19">
        <v>46082</v>
      </c>
      <c r="B5469" s="20" t="s">
        <v>97</v>
      </c>
      <c r="C5469" s="20">
        <v>38</v>
      </c>
      <c r="D5469" s="20" t="s">
        <v>253</v>
      </c>
      <c r="E5469" s="20" t="s">
        <v>2359</v>
      </c>
      <c r="F5469" s="20" t="s">
        <v>334</v>
      </c>
      <c r="G5469" s="20" t="s">
        <v>82</v>
      </c>
      <c r="H5469" s="20"/>
      <c r="I5469" s="20"/>
      <c r="J5469" s="20" t="s">
        <v>205</v>
      </c>
      <c r="K5469" s="20" t="s">
        <v>255</v>
      </c>
      <c r="L5469" s="20">
        <v>49</v>
      </c>
      <c r="M5469" s="20" t="s">
        <v>245</v>
      </c>
      <c r="N5469" s="20" t="s">
        <v>3266</v>
      </c>
    </row>
    <row r="5470" spans="1:14" hidden="1" x14ac:dyDescent="0.25">
      <c r="A5470" s="19">
        <v>46082</v>
      </c>
      <c r="B5470" s="20" t="s">
        <v>97</v>
      </c>
      <c r="C5470" s="20">
        <v>38</v>
      </c>
      <c r="D5470" s="20" t="s">
        <v>253</v>
      </c>
      <c r="E5470" s="20" t="s">
        <v>2359</v>
      </c>
      <c r="F5470" s="20" t="s">
        <v>334</v>
      </c>
      <c r="G5470" s="20" t="s">
        <v>82</v>
      </c>
      <c r="H5470" s="20"/>
      <c r="I5470" s="20"/>
      <c r="J5470" s="20" t="s">
        <v>206</v>
      </c>
      <c r="K5470" s="20" t="s">
        <v>255</v>
      </c>
      <c r="L5470" s="20">
        <v>51</v>
      </c>
      <c r="M5470" s="20" t="s">
        <v>245</v>
      </c>
      <c r="N5470" s="20" t="s">
        <v>3408</v>
      </c>
    </row>
    <row r="5471" spans="1:14" hidden="1" x14ac:dyDescent="0.25">
      <c r="A5471" s="19">
        <v>46082</v>
      </c>
      <c r="B5471" s="20" t="s">
        <v>97</v>
      </c>
      <c r="C5471" s="20">
        <v>38</v>
      </c>
      <c r="D5471" s="20" t="s">
        <v>253</v>
      </c>
      <c r="E5471" s="20" t="s">
        <v>2359</v>
      </c>
      <c r="F5471" s="20" t="s">
        <v>334</v>
      </c>
      <c r="G5471" s="20" t="s">
        <v>82</v>
      </c>
      <c r="H5471" s="20"/>
      <c r="I5471" s="20"/>
      <c r="J5471" s="20" t="s">
        <v>207</v>
      </c>
      <c r="K5471" s="20" t="s">
        <v>255</v>
      </c>
      <c r="L5471" s="20">
        <v>51</v>
      </c>
      <c r="M5471" s="20" t="s">
        <v>245</v>
      </c>
      <c r="N5471" s="20" t="s">
        <v>3408</v>
      </c>
    </row>
    <row r="5472" spans="1:14" hidden="1" x14ac:dyDescent="0.25">
      <c r="A5472" s="19">
        <v>46082</v>
      </c>
      <c r="B5472" s="20" t="s">
        <v>97</v>
      </c>
      <c r="C5472" s="20">
        <v>39</v>
      </c>
      <c r="D5472" s="20" t="s">
        <v>291</v>
      </c>
      <c r="E5472" s="20" t="s">
        <v>2361</v>
      </c>
      <c r="F5472" s="20" t="s">
        <v>428</v>
      </c>
      <c r="G5472" s="20" t="s">
        <v>82</v>
      </c>
      <c r="H5472" s="20" t="s">
        <v>95</v>
      </c>
      <c r="I5472" s="20"/>
      <c r="J5472" s="20" t="s">
        <v>207</v>
      </c>
      <c r="K5472" s="20" t="s">
        <v>250</v>
      </c>
      <c r="L5472" s="20">
        <v>4900000</v>
      </c>
      <c r="M5472" s="20" t="s">
        <v>242</v>
      </c>
      <c r="N5472" s="20" t="s">
        <v>2572</v>
      </c>
    </row>
    <row r="5473" spans="1:14" hidden="1" x14ac:dyDescent="0.25">
      <c r="A5473" s="19">
        <v>46082</v>
      </c>
      <c r="B5473" s="20" t="s">
        <v>97</v>
      </c>
      <c r="C5473" s="20">
        <v>39</v>
      </c>
      <c r="D5473" s="20" t="s">
        <v>291</v>
      </c>
      <c r="E5473" s="20" t="s">
        <v>2361</v>
      </c>
      <c r="F5473" s="20" t="s">
        <v>428</v>
      </c>
      <c r="G5473" s="20" t="s">
        <v>82</v>
      </c>
      <c r="H5473" s="20" t="s">
        <v>94</v>
      </c>
      <c r="I5473" s="20"/>
      <c r="J5473" s="20" t="s">
        <v>207</v>
      </c>
      <c r="K5473" s="20" t="s">
        <v>250</v>
      </c>
      <c r="L5473" s="20">
        <v>2700000</v>
      </c>
      <c r="M5473" s="20" t="s">
        <v>242</v>
      </c>
      <c r="N5473" s="20" t="s">
        <v>2202</v>
      </c>
    </row>
    <row r="5474" spans="1:14" hidden="1" x14ac:dyDescent="0.25">
      <c r="A5474" s="19">
        <v>46082</v>
      </c>
      <c r="B5474" s="20" t="s">
        <v>97</v>
      </c>
      <c r="C5474" s="20">
        <v>40</v>
      </c>
      <c r="D5474" s="20" t="s">
        <v>291</v>
      </c>
      <c r="E5474" s="20" t="s">
        <v>2361</v>
      </c>
      <c r="F5474" s="20" t="s">
        <v>445</v>
      </c>
      <c r="G5474" s="20" t="s">
        <v>82</v>
      </c>
      <c r="H5474" s="20" t="s">
        <v>95</v>
      </c>
      <c r="I5474" s="20"/>
      <c r="J5474" s="20" t="s">
        <v>207</v>
      </c>
      <c r="K5474" s="20" t="s">
        <v>250</v>
      </c>
      <c r="L5474" s="20">
        <v>143590000</v>
      </c>
      <c r="M5474" s="20" t="s">
        <v>245</v>
      </c>
      <c r="N5474" s="20" t="s">
        <v>3558</v>
      </c>
    </row>
    <row r="5475" spans="1:14" hidden="1" x14ac:dyDescent="0.25">
      <c r="A5475" s="19">
        <v>46082</v>
      </c>
      <c r="B5475" s="20" t="s">
        <v>97</v>
      </c>
      <c r="C5475" s="20">
        <v>40</v>
      </c>
      <c r="D5475" s="20" t="s">
        <v>291</v>
      </c>
      <c r="E5475" s="20" t="s">
        <v>2361</v>
      </c>
      <c r="F5475" s="20" t="s">
        <v>445</v>
      </c>
      <c r="G5475" s="20" t="s">
        <v>82</v>
      </c>
      <c r="H5475" s="20" t="s">
        <v>94</v>
      </c>
      <c r="I5475" s="20"/>
      <c r="J5475" s="20" t="s">
        <v>207</v>
      </c>
      <c r="K5475" s="20" t="s">
        <v>250</v>
      </c>
      <c r="L5475" s="20">
        <v>98960000</v>
      </c>
      <c r="M5475" s="20" t="s">
        <v>245</v>
      </c>
      <c r="N5475" s="20" t="s">
        <v>3559</v>
      </c>
    </row>
    <row r="5476" spans="1:14" hidden="1" x14ac:dyDescent="0.25">
      <c r="A5476" s="19">
        <v>46082</v>
      </c>
      <c r="B5476" s="20" t="s">
        <v>162</v>
      </c>
      <c r="C5476" s="20">
        <v>42</v>
      </c>
      <c r="D5476" s="20" t="s">
        <v>238</v>
      </c>
      <c r="E5476" s="20" t="s">
        <v>2341</v>
      </c>
      <c r="F5476" s="20" t="s">
        <v>240</v>
      </c>
      <c r="G5476" s="20" t="s">
        <v>82</v>
      </c>
      <c r="H5476" s="20"/>
      <c r="I5476" s="20"/>
      <c r="J5476" s="20" t="s">
        <v>3491</v>
      </c>
      <c r="K5476" s="20" t="s">
        <v>241</v>
      </c>
      <c r="L5476" s="20">
        <v>88720000</v>
      </c>
      <c r="M5476" s="20" t="s">
        <v>242</v>
      </c>
      <c r="N5476" s="20" t="s">
        <v>3560</v>
      </c>
    </row>
    <row r="5477" spans="1:14" hidden="1" x14ac:dyDescent="0.25">
      <c r="A5477" s="19">
        <v>46082</v>
      </c>
      <c r="B5477" s="20" t="s">
        <v>162</v>
      </c>
      <c r="C5477" s="20">
        <v>42</v>
      </c>
      <c r="D5477" s="20" t="s">
        <v>238</v>
      </c>
      <c r="E5477" s="20" t="s">
        <v>2341</v>
      </c>
      <c r="F5477" s="20" t="s">
        <v>244</v>
      </c>
      <c r="G5477" s="20" t="s">
        <v>82</v>
      </c>
      <c r="H5477" s="20"/>
      <c r="I5477" s="20"/>
      <c r="J5477" s="20" t="s">
        <v>3491</v>
      </c>
      <c r="K5477" s="20" t="s">
        <v>241</v>
      </c>
      <c r="L5477" s="20">
        <v>7500000000</v>
      </c>
      <c r="M5477" s="20" t="s">
        <v>245</v>
      </c>
      <c r="N5477" s="20" t="s">
        <v>3561</v>
      </c>
    </row>
    <row r="5478" spans="1:14" hidden="1" x14ac:dyDescent="0.25">
      <c r="A5478" s="19">
        <v>46082</v>
      </c>
      <c r="B5478" s="20" t="s">
        <v>162</v>
      </c>
      <c r="C5478" s="20">
        <v>43</v>
      </c>
      <c r="D5478" s="20" t="s">
        <v>253</v>
      </c>
      <c r="E5478" s="20" t="s">
        <v>2359</v>
      </c>
      <c r="F5478" s="20" t="s">
        <v>1194</v>
      </c>
      <c r="G5478" s="20" t="s">
        <v>82</v>
      </c>
      <c r="H5478" s="20"/>
      <c r="I5478" s="20"/>
      <c r="J5478" s="20" t="s">
        <v>205</v>
      </c>
      <c r="K5478" s="20" t="s">
        <v>255</v>
      </c>
      <c r="L5478" s="20">
        <v>29530000</v>
      </c>
      <c r="M5478" s="20" t="s">
        <v>242</v>
      </c>
      <c r="N5478" s="20" t="s">
        <v>3272</v>
      </c>
    </row>
    <row r="5479" spans="1:14" hidden="1" x14ac:dyDescent="0.25">
      <c r="A5479" s="19">
        <v>46082</v>
      </c>
      <c r="B5479" s="20" t="s">
        <v>162</v>
      </c>
      <c r="C5479" s="20">
        <v>43</v>
      </c>
      <c r="D5479" s="20" t="s">
        <v>253</v>
      </c>
      <c r="E5479" s="20" t="s">
        <v>2359</v>
      </c>
      <c r="F5479" s="20" t="s">
        <v>1194</v>
      </c>
      <c r="G5479" s="20" t="s">
        <v>82</v>
      </c>
      <c r="H5479" s="20"/>
      <c r="I5479" s="20"/>
      <c r="J5479" s="20" t="s">
        <v>206</v>
      </c>
      <c r="K5479" s="20" t="s">
        <v>255</v>
      </c>
      <c r="L5479" s="20">
        <v>27420000</v>
      </c>
      <c r="M5479" s="20" t="s">
        <v>242</v>
      </c>
      <c r="N5479" s="20" t="s">
        <v>3414</v>
      </c>
    </row>
    <row r="5480" spans="1:14" hidden="1" x14ac:dyDescent="0.25">
      <c r="A5480" s="19">
        <v>46082</v>
      </c>
      <c r="B5480" s="20" t="s">
        <v>162</v>
      </c>
      <c r="C5480" s="20">
        <v>43</v>
      </c>
      <c r="D5480" s="20" t="s">
        <v>253</v>
      </c>
      <c r="E5480" s="20" t="s">
        <v>2359</v>
      </c>
      <c r="F5480" s="20" t="s">
        <v>1194</v>
      </c>
      <c r="G5480" s="20" t="s">
        <v>82</v>
      </c>
      <c r="H5480" s="20"/>
      <c r="I5480" s="20"/>
      <c r="J5480" s="20" t="s">
        <v>207</v>
      </c>
      <c r="K5480" s="20" t="s">
        <v>255</v>
      </c>
      <c r="L5480" s="20">
        <v>31770000</v>
      </c>
      <c r="M5480" s="20" t="s">
        <v>242</v>
      </c>
      <c r="N5480" s="20" t="s">
        <v>3562</v>
      </c>
    </row>
    <row r="5481" spans="1:14" hidden="1" x14ac:dyDescent="0.25">
      <c r="A5481" s="19">
        <v>46082</v>
      </c>
      <c r="B5481" s="20" t="s">
        <v>162</v>
      </c>
      <c r="C5481" s="20">
        <v>43</v>
      </c>
      <c r="D5481" s="20" t="s">
        <v>247</v>
      </c>
      <c r="E5481" s="20" t="s">
        <v>2554</v>
      </c>
      <c r="F5481" s="20" t="s">
        <v>2556</v>
      </c>
      <c r="G5481" s="20" t="s">
        <v>82</v>
      </c>
      <c r="H5481" s="20" t="s">
        <v>286</v>
      </c>
      <c r="I5481" s="20"/>
      <c r="J5481" s="20" t="s">
        <v>207</v>
      </c>
      <c r="K5481" s="20" t="s">
        <v>250</v>
      </c>
      <c r="L5481" s="20">
        <v>15.9</v>
      </c>
      <c r="M5481" s="20" t="s">
        <v>251</v>
      </c>
      <c r="N5481" s="20" t="s">
        <v>758</v>
      </c>
    </row>
    <row r="5482" spans="1:14" hidden="1" x14ac:dyDescent="0.25">
      <c r="A5482" s="19">
        <v>46082</v>
      </c>
      <c r="B5482" s="20" t="s">
        <v>162</v>
      </c>
      <c r="C5482" s="20">
        <v>44</v>
      </c>
      <c r="D5482" s="20" t="s">
        <v>291</v>
      </c>
      <c r="E5482" s="20" t="s">
        <v>2361</v>
      </c>
      <c r="F5482" s="20" t="s">
        <v>2445</v>
      </c>
      <c r="G5482" s="20" t="s">
        <v>82</v>
      </c>
      <c r="H5482" s="20" t="s">
        <v>2446</v>
      </c>
      <c r="I5482" s="20" t="s">
        <v>2447</v>
      </c>
      <c r="J5482" s="20" t="s">
        <v>207</v>
      </c>
      <c r="K5482" s="20" t="s">
        <v>250</v>
      </c>
      <c r="L5482" s="20">
        <v>12960000</v>
      </c>
      <c r="M5482" s="20" t="s">
        <v>242</v>
      </c>
      <c r="N5482" s="20" t="s">
        <v>3563</v>
      </c>
    </row>
    <row r="5483" spans="1:14" hidden="1" x14ac:dyDescent="0.25">
      <c r="A5483" s="19">
        <v>46082</v>
      </c>
      <c r="B5483" s="20" t="s">
        <v>162</v>
      </c>
      <c r="C5483" s="20">
        <v>44</v>
      </c>
      <c r="D5483" s="20" t="s">
        <v>291</v>
      </c>
      <c r="E5483" s="20" t="s">
        <v>2361</v>
      </c>
      <c r="F5483" s="20" t="s">
        <v>2445</v>
      </c>
      <c r="G5483" s="20" t="s">
        <v>82</v>
      </c>
      <c r="H5483" s="20" t="s">
        <v>2449</v>
      </c>
      <c r="I5483" s="20" t="s">
        <v>2447</v>
      </c>
      <c r="J5483" s="20" t="s">
        <v>207</v>
      </c>
      <c r="K5483" s="20" t="s">
        <v>250</v>
      </c>
      <c r="L5483" s="20">
        <v>3760000</v>
      </c>
      <c r="M5483" s="20" t="s">
        <v>242</v>
      </c>
      <c r="N5483" s="20" t="s">
        <v>2676</v>
      </c>
    </row>
    <row r="5484" spans="1:14" hidden="1" x14ac:dyDescent="0.25">
      <c r="A5484" s="19">
        <v>46082</v>
      </c>
      <c r="B5484" s="20" t="s">
        <v>162</v>
      </c>
      <c r="C5484" s="20">
        <v>44</v>
      </c>
      <c r="D5484" s="20" t="s">
        <v>291</v>
      </c>
      <c r="E5484" s="20" t="s">
        <v>2361</v>
      </c>
      <c r="F5484" s="20" t="s">
        <v>2445</v>
      </c>
      <c r="G5484" s="20" t="s">
        <v>82</v>
      </c>
      <c r="H5484" s="20" t="s">
        <v>2446</v>
      </c>
      <c r="I5484" s="20" t="s">
        <v>2451</v>
      </c>
      <c r="J5484" s="20" t="s">
        <v>207</v>
      </c>
      <c r="K5484" s="20" t="s">
        <v>250</v>
      </c>
      <c r="L5484" s="20">
        <v>6030000</v>
      </c>
      <c r="M5484" s="20" t="s">
        <v>242</v>
      </c>
      <c r="N5484" s="20" t="s">
        <v>3564</v>
      </c>
    </row>
    <row r="5485" spans="1:14" hidden="1" x14ac:dyDescent="0.25">
      <c r="A5485" s="19">
        <v>46082</v>
      </c>
      <c r="B5485" s="20" t="s">
        <v>162</v>
      </c>
      <c r="C5485" s="20">
        <v>44</v>
      </c>
      <c r="D5485" s="20" t="s">
        <v>291</v>
      </c>
      <c r="E5485" s="20" t="s">
        <v>2361</v>
      </c>
      <c r="F5485" s="20" t="s">
        <v>2445</v>
      </c>
      <c r="G5485" s="20" t="s">
        <v>82</v>
      </c>
      <c r="H5485" s="20" t="s">
        <v>2449</v>
      </c>
      <c r="I5485" s="20" t="s">
        <v>2451</v>
      </c>
      <c r="J5485" s="20" t="s">
        <v>207</v>
      </c>
      <c r="K5485" s="20" t="s">
        <v>250</v>
      </c>
      <c r="L5485" s="20">
        <v>8840000</v>
      </c>
      <c r="M5485" s="20" t="s">
        <v>242</v>
      </c>
      <c r="N5485" s="20" t="s">
        <v>3565</v>
      </c>
    </row>
    <row r="5486" spans="1:14" hidden="1" x14ac:dyDescent="0.25">
      <c r="A5486" s="19">
        <v>46082</v>
      </c>
      <c r="B5486" s="20" t="s">
        <v>162</v>
      </c>
      <c r="C5486" s="20">
        <v>44</v>
      </c>
      <c r="D5486" s="20" t="s">
        <v>291</v>
      </c>
      <c r="E5486" s="20" t="s">
        <v>2361</v>
      </c>
      <c r="F5486" s="20" t="s">
        <v>2445</v>
      </c>
      <c r="G5486" s="20" t="s">
        <v>82</v>
      </c>
      <c r="H5486" s="20" t="s">
        <v>2446</v>
      </c>
      <c r="I5486" s="20" t="s">
        <v>2454</v>
      </c>
      <c r="J5486" s="20" t="s">
        <v>207</v>
      </c>
      <c r="K5486" s="20" t="s">
        <v>250</v>
      </c>
      <c r="L5486" s="20">
        <v>13110</v>
      </c>
      <c r="M5486" s="20" t="s">
        <v>242</v>
      </c>
      <c r="N5486" s="20" t="s">
        <v>3566</v>
      </c>
    </row>
    <row r="5487" spans="1:14" hidden="1" x14ac:dyDescent="0.25">
      <c r="A5487" s="19">
        <v>46082</v>
      </c>
      <c r="B5487" s="20" t="s">
        <v>162</v>
      </c>
      <c r="C5487" s="20">
        <v>44</v>
      </c>
      <c r="D5487" s="20" t="s">
        <v>291</v>
      </c>
      <c r="E5487" s="20" t="s">
        <v>2361</v>
      </c>
      <c r="F5487" s="20" t="s">
        <v>2445</v>
      </c>
      <c r="G5487" s="20" t="s">
        <v>82</v>
      </c>
      <c r="H5487" s="20" t="s">
        <v>2449</v>
      </c>
      <c r="I5487" s="20" t="s">
        <v>2454</v>
      </c>
      <c r="J5487" s="20" t="s">
        <v>207</v>
      </c>
      <c r="K5487" s="20" t="s">
        <v>250</v>
      </c>
      <c r="L5487" s="20">
        <v>155860</v>
      </c>
      <c r="M5487" s="20" t="s">
        <v>242</v>
      </c>
      <c r="N5487" s="20" t="s">
        <v>3567</v>
      </c>
    </row>
    <row r="5488" spans="1:14" hidden="1" x14ac:dyDescent="0.25">
      <c r="A5488" s="19">
        <v>46082</v>
      </c>
      <c r="B5488" s="20" t="s">
        <v>162</v>
      </c>
      <c r="C5488" s="20">
        <v>45</v>
      </c>
      <c r="D5488" s="20" t="s">
        <v>253</v>
      </c>
      <c r="E5488" s="20" t="s">
        <v>2359</v>
      </c>
      <c r="F5488" s="20" t="s">
        <v>2457</v>
      </c>
      <c r="G5488" s="20" t="s">
        <v>82</v>
      </c>
      <c r="H5488" s="20"/>
      <c r="I5488" s="20"/>
      <c r="J5488" s="20" t="s">
        <v>205</v>
      </c>
      <c r="K5488" s="20" t="s">
        <v>255</v>
      </c>
      <c r="L5488" s="20">
        <v>24300000</v>
      </c>
      <c r="M5488" s="20" t="s">
        <v>242</v>
      </c>
      <c r="N5488" s="20" t="s">
        <v>3277</v>
      </c>
    </row>
    <row r="5489" spans="1:14" hidden="1" x14ac:dyDescent="0.25">
      <c r="A5489" s="19">
        <v>46082</v>
      </c>
      <c r="B5489" s="20" t="s">
        <v>162</v>
      </c>
      <c r="C5489" s="20">
        <v>45</v>
      </c>
      <c r="D5489" s="20" t="s">
        <v>253</v>
      </c>
      <c r="E5489" s="20" t="s">
        <v>2359</v>
      </c>
      <c r="F5489" s="20" t="s">
        <v>2457</v>
      </c>
      <c r="G5489" s="20" t="s">
        <v>82</v>
      </c>
      <c r="H5489" s="20"/>
      <c r="I5489" s="20"/>
      <c r="J5489" s="20" t="s">
        <v>206</v>
      </c>
      <c r="K5489" s="20" t="s">
        <v>255</v>
      </c>
      <c r="L5489" s="20">
        <v>22560000</v>
      </c>
      <c r="M5489" s="20" t="s">
        <v>242</v>
      </c>
      <c r="N5489" s="20" t="s">
        <v>3421</v>
      </c>
    </row>
    <row r="5490" spans="1:14" hidden="1" x14ac:dyDescent="0.25">
      <c r="A5490" s="19">
        <v>46082</v>
      </c>
      <c r="B5490" s="20" t="s">
        <v>162</v>
      </c>
      <c r="C5490" s="20">
        <v>45</v>
      </c>
      <c r="D5490" s="20" t="s">
        <v>253</v>
      </c>
      <c r="E5490" s="20" t="s">
        <v>2359</v>
      </c>
      <c r="F5490" s="20" t="s">
        <v>2457</v>
      </c>
      <c r="G5490" s="20" t="s">
        <v>82</v>
      </c>
      <c r="H5490" s="20"/>
      <c r="I5490" s="20"/>
      <c r="J5490" s="20" t="s">
        <v>207</v>
      </c>
      <c r="K5490" s="20" t="s">
        <v>255</v>
      </c>
      <c r="L5490" s="20">
        <v>26260000</v>
      </c>
      <c r="M5490" s="20" t="s">
        <v>242</v>
      </c>
      <c r="N5490" s="20" t="s">
        <v>3568</v>
      </c>
    </row>
    <row r="5491" spans="1:14" hidden="1" x14ac:dyDescent="0.25">
      <c r="A5491" s="19">
        <v>46082</v>
      </c>
      <c r="B5491" s="20" t="s">
        <v>162</v>
      </c>
      <c r="C5491" s="20">
        <v>45</v>
      </c>
      <c r="D5491" s="20" t="s">
        <v>247</v>
      </c>
      <c r="E5491" s="20" t="s">
        <v>2554</v>
      </c>
      <c r="F5491" s="20" t="s">
        <v>2556</v>
      </c>
      <c r="G5491" s="20" t="s">
        <v>82</v>
      </c>
      <c r="H5491" s="20" t="s">
        <v>286</v>
      </c>
      <c r="I5491" s="20"/>
      <c r="J5491" s="20" t="s">
        <v>207</v>
      </c>
      <c r="K5491" s="20" t="s">
        <v>250</v>
      </c>
      <c r="L5491" s="20">
        <v>16.399999999999999</v>
      </c>
      <c r="M5491" s="20" t="s">
        <v>251</v>
      </c>
      <c r="N5491" s="20" t="s">
        <v>3168</v>
      </c>
    </row>
    <row r="5492" spans="1:14" hidden="1" x14ac:dyDescent="0.25">
      <c r="A5492" s="19">
        <v>46082</v>
      </c>
      <c r="B5492" s="20" t="s">
        <v>162</v>
      </c>
      <c r="C5492" s="20">
        <v>46</v>
      </c>
      <c r="D5492" s="20" t="s">
        <v>291</v>
      </c>
      <c r="E5492" s="20" t="s">
        <v>2361</v>
      </c>
      <c r="F5492" s="20" t="s">
        <v>2457</v>
      </c>
      <c r="G5492" s="20" t="s">
        <v>82</v>
      </c>
      <c r="H5492" s="20" t="s">
        <v>95</v>
      </c>
      <c r="I5492" s="20"/>
      <c r="J5492" s="20" t="s">
        <v>207</v>
      </c>
      <c r="K5492" s="20" t="s">
        <v>250</v>
      </c>
      <c r="L5492" s="20">
        <v>7820000</v>
      </c>
      <c r="M5492" s="20" t="s">
        <v>242</v>
      </c>
      <c r="N5492" s="20" t="s">
        <v>3508</v>
      </c>
    </row>
    <row r="5493" spans="1:14" hidden="1" x14ac:dyDescent="0.25">
      <c r="A5493" s="19">
        <v>46082</v>
      </c>
      <c r="B5493" s="20" t="s">
        <v>162</v>
      </c>
      <c r="C5493" s="20">
        <v>46</v>
      </c>
      <c r="D5493" s="20" t="s">
        <v>291</v>
      </c>
      <c r="E5493" s="20" t="s">
        <v>2361</v>
      </c>
      <c r="F5493" s="20" t="s">
        <v>2457</v>
      </c>
      <c r="G5493" s="20" t="s">
        <v>82</v>
      </c>
      <c r="H5493" s="20" t="s">
        <v>94</v>
      </c>
      <c r="I5493" s="20"/>
      <c r="J5493" s="20" t="s">
        <v>207</v>
      </c>
      <c r="K5493" s="20" t="s">
        <v>250</v>
      </c>
      <c r="L5493" s="20">
        <v>18440000</v>
      </c>
      <c r="M5493" s="20" t="s">
        <v>242</v>
      </c>
      <c r="N5493" s="20" t="s">
        <v>3569</v>
      </c>
    </row>
    <row r="5494" spans="1:14" hidden="1" x14ac:dyDescent="0.25">
      <c r="A5494" s="19">
        <v>46082</v>
      </c>
      <c r="B5494" s="20" t="s">
        <v>162</v>
      </c>
      <c r="C5494" s="20">
        <v>47</v>
      </c>
      <c r="D5494" s="20" t="s">
        <v>291</v>
      </c>
      <c r="E5494" s="20" t="s">
        <v>2361</v>
      </c>
      <c r="F5494" s="20" t="s">
        <v>2460</v>
      </c>
      <c r="G5494" s="20" t="s">
        <v>82</v>
      </c>
      <c r="H5494" s="20" t="s">
        <v>174</v>
      </c>
      <c r="I5494" s="20"/>
      <c r="J5494" s="20" t="s">
        <v>207</v>
      </c>
      <c r="K5494" s="20" t="s">
        <v>250</v>
      </c>
      <c r="L5494" s="20">
        <v>3180000</v>
      </c>
      <c r="M5494" s="20" t="s">
        <v>242</v>
      </c>
      <c r="N5494" s="20" t="s">
        <v>3361</v>
      </c>
    </row>
    <row r="5495" spans="1:14" hidden="1" x14ac:dyDescent="0.25">
      <c r="A5495" s="19">
        <v>46082</v>
      </c>
      <c r="B5495" s="20" t="s">
        <v>162</v>
      </c>
      <c r="C5495" s="20">
        <v>47</v>
      </c>
      <c r="D5495" s="20" t="s">
        <v>291</v>
      </c>
      <c r="E5495" s="20" t="s">
        <v>2361</v>
      </c>
      <c r="F5495" s="20" t="s">
        <v>2460</v>
      </c>
      <c r="G5495" s="20" t="s">
        <v>82</v>
      </c>
      <c r="H5495" s="20" t="s">
        <v>173</v>
      </c>
      <c r="I5495" s="20"/>
      <c r="J5495" s="20" t="s">
        <v>207</v>
      </c>
      <c r="K5495" s="20" t="s">
        <v>250</v>
      </c>
      <c r="L5495" s="20">
        <v>4730000</v>
      </c>
      <c r="M5495" s="20" t="s">
        <v>242</v>
      </c>
      <c r="N5495" s="20" t="s">
        <v>1885</v>
      </c>
    </row>
    <row r="5496" spans="1:14" hidden="1" x14ac:dyDescent="0.25">
      <c r="A5496" s="19">
        <v>46082</v>
      </c>
      <c r="B5496" s="20" t="s">
        <v>162</v>
      </c>
      <c r="C5496" s="20">
        <v>48</v>
      </c>
      <c r="D5496" s="20" t="s">
        <v>253</v>
      </c>
      <c r="E5496" s="20" t="s">
        <v>2359</v>
      </c>
      <c r="F5496" s="20" t="s">
        <v>1196</v>
      </c>
      <c r="G5496" s="20" t="s">
        <v>82</v>
      </c>
      <c r="H5496" s="20"/>
      <c r="I5496" s="20"/>
      <c r="J5496" s="20" t="s">
        <v>205</v>
      </c>
      <c r="K5496" s="20" t="s">
        <v>255</v>
      </c>
      <c r="L5496" s="20">
        <v>2480000000</v>
      </c>
      <c r="M5496" s="20" t="s">
        <v>245</v>
      </c>
      <c r="N5496" s="20" t="s">
        <v>3282</v>
      </c>
    </row>
    <row r="5497" spans="1:14" hidden="1" x14ac:dyDescent="0.25">
      <c r="A5497" s="19">
        <v>46082</v>
      </c>
      <c r="B5497" s="20" t="s">
        <v>162</v>
      </c>
      <c r="C5497" s="20">
        <v>48</v>
      </c>
      <c r="D5497" s="20" t="s">
        <v>253</v>
      </c>
      <c r="E5497" s="20" t="s">
        <v>2359</v>
      </c>
      <c r="F5497" s="20" t="s">
        <v>1196</v>
      </c>
      <c r="G5497" s="20" t="s">
        <v>82</v>
      </c>
      <c r="H5497" s="20"/>
      <c r="I5497" s="20"/>
      <c r="J5497" s="20" t="s">
        <v>206</v>
      </c>
      <c r="K5497" s="20" t="s">
        <v>255</v>
      </c>
      <c r="L5497" s="20">
        <v>2350000000</v>
      </c>
      <c r="M5497" s="20" t="s">
        <v>245</v>
      </c>
      <c r="N5497" s="20" t="s">
        <v>3426</v>
      </c>
    </row>
    <row r="5498" spans="1:14" hidden="1" x14ac:dyDescent="0.25">
      <c r="A5498" s="19">
        <v>46082</v>
      </c>
      <c r="B5498" s="20" t="s">
        <v>162</v>
      </c>
      <c r="C5498" s="20">
        <v>48</v>
      </c>
      <c r="D5498" s="20" t="s">
        <v>253</v>
      </c>
      <c r="E5498" s="20" t="s">
        <v>2359</v>
      </c>
      <c r="F5498" s="20" t="s">
        <v>1196</v>
      </c>
      <c r="G5498" s="20" t="s">
        <v>82</v>
      </c>
      <c r="H5498" s="20"/>
      <c r="I5498" s="20"/>
      <c r="J5498" s="20" t="s">
        <v>207</v>
      </c>
      <c r="K5498" s="20" t="s">
        <v>255</v>
      </c>
      <c r="L5498" s="20">
        <v>2670000000</v>
      </c>
      <c r="M5498" s="20" t="s">
        <v>245</v>
      </c>
      <c r="N5498" s="20" t="s">
        <v>3570</v>
      </c>
    </row>
    <row r="5499" spans="1:14" hidden="1" x14ac:dyDescent="0.25">
      <c r="A5499" s="19">
        <v>46082</v>
      </c>
      <c r="B5499" s="20" t="s">
        <v>162</v>
      </c>
      <c r="C5499" s="20">
        <v>48</v>
      </c>
      <c r="D5499" s="20" t="s">
        <v>247</v>
      </c>
      <c r="E5499" s="20" t="s">
        <v>2554</v>
      </c>
      <c r="F5499" s="20" t="s">
        <v>2557</v>
      </c>
      <c r="G5499" s="20" t="s">
        <v>82</v>
      </c>
      <c r="H5499" s="20" t="s">
        <v>286</v>
      </c>
      <c r="I5499" s="20"/>
      <c r="J5499" s="20" t="s">
        <v>207</v>
      </c>
      <c r="K5499" s="20" t="s">
        <v>250</v>
      </c>
      <c r="L5499" s="20">
        <v>14</v>
      </c>
      <c r="M5499" s="20" t="s">
        <v>251</v>
      </c>
      <c r="N5499" s="20" t="s">
        <v>526</v>
      </c>
    </row>
    <row r="5500" spans="1:14" hidden="1" x14ac:dyDescent="0.25">
      <c r="A5500" s="19">
        <v>46082</v>
      </c>
      <c r="B5500" s="20" t="s">
        <v>162</v>
      </c>
      <c r="C5500" s="20">
        <v>49</v>
      </c>
      <c r="D5500" s="20" t="s">
        <v>291</v>
      </c>
      <c r="E5500" s="20" t="s">
        <v>2361</v>
      </c>
      <c r="F5500" s="20" t="s">
        <v>2462</v>
      </c>
      <c r="G5500" s="20" t="s">
        <v>82</v>
      </c>
      <c r="H5500" s="20" t="s">
        <v>2446</v>
      </c>
      <c r="I5500" s="20" t="s">
        <v>2447</v>
      </c>
      <c r="J5500" s="20" t="s">
        <v>207</v>
      </c>
      <c r="K5500" s="20" t="s">
        <v>250</v>
      </c>
      <c r="L5500" s="20">
        <v>1720000000</v>
      </c>
      <c r="M5500" s="20" t="s">
        <v>245</v>
      </c>
      <c r="N5500" s="20" t="s">
        <v>3571</v>
      </c>
    </row>
    <row r="5501" spans="1:14" hidden="1" x14ac:dyDescent="0.25">
      <c r="A5501" s="19">
        <v>46082</v>
      </c>
      <c r="B5501" s="20" t="s">
        <v>162</v>
      </c>
      <c r="C5501" s="20">
        <v>49</v>
      </c>
      <c r="D5501" s="20" t="s">
        <v>291</v>
      </c>
      <c r="E5501" s="20" t="s">
        <v>2361</v>
      </c>
      <c r="F5501" s="20" t="s">
        <v>2462</v>
      </c>
      <c r="G5501" s="20" t="s">
        <v>82</v>
      </c>
      <c r="H5501" s="20" t="s">
        <v>2449</v>
      </c>
      <c r="I5501" s="20" t="s">
        <v>2447</v>
      </c>
      <c r="J5501" s="20" t="s">
        <v>207</v>
      </c>
      <c r="K5501" s="20" t="s">
        <v>250</v>
      </c>
      <c r="L5501" s="20">
        <v>328300000</v>
      </c>
      <c r="M5501" s="20" t="s">
        <v>245</v>
      </c>
      <c r="N5501" s="20" t="s">
        <v>3572</v>
      </c>
    </row>
    <row r="5502" spans="1:14" hidden="1" x14ac:dyDescent="0.25">
      <c r="A5502" s="19">
        <v>46082</v>
      </c>
      <c r="B5502" s="20" t="s">
        <v>162</v>
      </c>
      <c r="C5502" s="20">
        <v>49</v>
      </c>
      <c r="D5502" s="20" t="s">
        <v>291</v>
      </c>
      <c r="E5502" s="20" t="s">
        <v>2361</v>
      </c>
      <c r="F5502" s="20" t="s">
        <v>2462</v>
      </c>
      <c r="G5502" s="20" t="s">
        <v>82</v>
      </c>
      <c r="H5502" s="20" t="s">
        <v>2446</v>
      </c>
      <c r="I5502" s="20" t="s">
        <v>2451</v>
      </c>
      <c r="J5502" s="20" t="s">
        <v>207</v>
      </c>
      <c r="K5502" s="20" t="s">
        <v>250</v>
      </c>
      <c r="L5502" s="20">
        <v>301700000</v>
      </c>
      <c r="M5502" s="20" t="s">
        <v>245</v>
      </c>
      <c r="N5502" s="20" t="s">
        <v>3573</v>
      </c>
    </row>
    <row r="5503" spans="1:14" hidden="1" x14ac:dyDescent="0.25">
      <c r="A5503" s="19">
        <v>46082</v>
      </c>
      <c r="B5503" s="20" t="s">
        <v>162</v>
      </c>
      <c r="C5503" s="20">
        <v>49</v>
      </c>
      <c r="D5503" s="20" t="s">
        <v>291</v>
      </c>
      <c r="E5503" s="20" t="s">
        <v>2361</v>
      </c>
      <c r="F5503" s="20" t="s">
        <v>2462</v>
      </c>
      <c r="G5503" s="20" t="s">
        <v>82</v>
      </c>
      <c r="H5503" s="20" t="s">
        <v>2449</v>
      </c>
      <c r="I5503" s="20" t="s">
        <v>2451</v>
      </c>
      <c r="J5503" s="20" t="s">
        <v>207</v>
      </c>
      <c r="K5503" s="20" t="s">
        <v>250</v>
      </c>
      <c r="L5503" s="20">
        <v>321700000</v>
      </c>
      <c r="M5503" s="20" t="s">
        <v>245</v>
      </c>
      <c r="N5503" s="20" t="s">
        <v>3574</v>
      </c>
    </row>
    <row r="5504" spans="1:14" hidden="1" x14ac:dyDescent="0.25">
      <c r="A5504" s="19">
        <v>46082</v>
      </c>
      <c r="B5504" s="20" t="s">
        <v>162</v>
      </c>
      <c r="C5504" s="20">
        <v>49</v>
      </c>
      <c r="D5504" s="20" t="s">
        <v>291</v>
      </c>
      <c r="E5504" s="20" t="s">
        <v>2361</v>
      </c>
      <c r="F5504" s="20" t="s">
        <v>2462</v>
      </c>
      <c r="G5504" s="20" t="s">
        <v>82</v>
      </c>
      <c r="H5504" s="20" t="s">
        <v>2446</v>
      </c>
      <c r="I5504" s="20" t="s">
        <v>2454</v>
      </c>
      <c r="J5504" s="20" t="s">
        <v>207</v>
      </c>
      <c r="K5504" s="20" t="s">
        <v>250</v>
      </c>
      <c r="L5504" s="20">
        <v>178000</v>
      </c>
      <c r="M5504" s="20" t="s">
        <v>245</v>
      </c>
      <c r="N5504" s="20" t="s">
        <v>3575</v>
      </c>
    </row>
    <row r="5505" spans="1:14" hidden="1" x14ac:dyDescent="0.25">
      <c r="A5505" s="19">
        <v>46082</v>
      </c>
      <c r="B5505" s="20" t="s">
        <v>162</v>
      </c>
      <c r="C5505" s="20">
        <v>49</v>
      </c>
      <c r="D5505" s="20" t="s">
        <v>291</v>
      </c>
      <c r="E5505" s="20" t="s">
        <v>2361</v>
      </c>
      <c r="F5505" s="20" t="s">
        <v>2462</v>
      </c>
      <c r="G5505" s="20" t="s">
        <v>82</v>
      </c>
      <c r="H5505" s="20" t="s">
        <v>2449</v>
      </c>
      <c r="I5505" s="20" t="s">
        <v>2454</v>
      </c>
      <c r="J5505" s="20" t="s">
        <v>207</v>
      </c>
      <c r="K5505" s="20" t="s">
        <v>250</v>
      </c>
      <c r="L5505" s="20">
        <v>1600000</v>
      </c>
      <c r="M5505" s="20" t="s">
        <v>245</v>
      </c>
      <c r="N5505" s="20" t="s">
        <v>532</v>
      </c>
    </row>
    <row r="5506" spans="1:14" hidden="1" x14ac:dyDescent="0.25">
      <c r="A5506" s="19">
        <v>46082</v>
      </c>
      <c r="B5506" s="20" t="s">
        <v>162</v>
      </c>
      <c r="C5506" s="20">
        <v>50</v>
      </c>
      <c r="D5506" s="20" t="s">
        <v>253</v>
      </c>
      <c r="E5506" s="20" t="s">
        <v>2359</v>
      </c>
      <c r="F5506" s="20" t="s">
        <v>2468</v>
      </c>
      <c r="G5506" s="20" t="s">
        <v>82</v>
      </c>
      <c r="H5506" s="20"/>
      <c r="I5506" s="20"/>
      <c r="J5506" s="20" t="s">
        <v>205</v>
      </c>
      <c r="K5506" s="20" t="s">
        <v>255</v>
      </c>
      <c r="L5506" s="20">
        <v>1850000000</v>
      </c>
      <c r="M5506" s="20" t="s">
        <v>245</v>
      </c>
      <c r="N5506" s="20" t="s">
        <v>3287</v>
      </c>
    </row>
    <row r="5507" spans="1:14" hidden="1" x14ac:dyDescent="0.25">
      <c r="A5507" s="19">
        <v>46082</v>
      </c>
      <c r="B5507" s="20" t="s">
        <v>162</v>
      </c>
      <c r="C5507" s="20">
        <v>50</v>
      </c>
      <c r="D5507" s="20" t="s">
        <v>253</v>
      </c>
      <c r="E5507" s="20" t="s">
        <v>2359</v>
      </c>
      <c r="F5507" s="20" t="s">
        <v>2468</v>
      </c>
      <c r="G5507" s="20" t="s">
        <v>82</v>
      </c>
      <c r="H5507" s="20"/>
      <c r="I5507" s="20"/>
      <c r="J5507" s="20" t="s">
        <v>206</v>
      </c>
      <c r="K5507" s="20" t="s">
        <v>255</v>
      </c>
      <c r="L5507" s="20">
        <v>1770000000</v>
      </c>
      <c r="M5507" s="20" t="s">
        <v>245</v>
      </c>
      <c r="N5507" s="20" t="s">
        <v>3432</v>
      </c>
    </row>
    <row r="5508" spans="1:14" hidden="1" x14ac:dyDescent="0.25">
      <c r="A5508" s="19">
        <v>46082</v>
      </c>
      <c r="B5508" s="20" t="s">
        <v>162</v>
      </c>
      <c r="C5508" s="20">
        <v>50</v>
      </c>
      <c r="D5508" s="20" t="s">
        <v>253</v>
      </c>
      <c r="E5508" s="20" t="s">
        <v>2359</v>
      </c>
      <c r="F5508" s="20" t="s">
        <v>2468</v>
      </c>
      <c r="G5508" s="20" t="s">
        <v>82</v>
      </c>
      <c r="H5508" s="20"/>
      <c r="I5508" s="20"/>
      <c r="J5508" s="20" t="s">
        <v>207</v>
      </c>
      <c r="K5508" s="20" t="s">
        <v>255</v>
      </c>
      <c r="L5508" s="20">
        <v>2010000000</v>
      </c>
      <c r="M5508" s="20" t="s">
        <v>245</v>
      </c>
      <c r="N5508" s="20" t="s">
        <v>3576</v>
      </c>
    </row>
    <row r="5509" spans="1:14" hidden="1" x14ac:dyDescent="0.25">
      <c r="A5509" s="19">
        <v>46082</v>
      </c>
      <c r="B5509" s="20" t="s">
        <v>162</v>
      </c>
      <c r="C5509" s="20">
        <v>50</v>
      </c>
      <c r="D5509" s="20" t="s">
        <v>247</v>
      </c>
      <c r="E5509" s="20" t="s">
        <v>2554</v>
      </c>
      <c r="F5509" s="20" t="s">
        <v>2557</v>
      </c>
      <c r="G5509" s="20" t="s">
        <v>82</v>
      </c>
      <c r="H5509" s="20" t="s">
        <v>286</v>
      </c>
      <c r="I5509" s="20"/>
      <c r="J5509" s="20" t="s">
        <v>207</v>
      </c>
      <c r="K5509" s="20" t="s">
        <v>250</v>
      </c>
      <c r="L5509" s="20">
        <v>14.1</v>
      </c>
      <c r="M5509" s="20" t="s">
        <v>251</v>
      </c>
      <c r="N5509" s="20" t="s">
        <v>816</v>
      </c>
    </row>
    <row r="5510" spans="1:14" hidden="1" x14ac:dyDescent="0.25">
      <c r="A5510" s="19">
        <v>46082</v>
      </c>
      <c r="B5510" s="20" t="s">
        <v>162</v>
      </c>
      <c r="C5510" s="20">
        <v>51</v>
      </c>
      <c r="D5510" s="20" t="s">
        <v>291</v>
      </c>
      <c r="E5510" s="20" t="s">
        <v>2361</v>
      </c>
      <c r="F5510" s="20" t="s">
        <v>2468</v>
      </c>
      <c r="G5510" s="20" t="s">
        <v>82</v>
      </c>
      <c r="H5510" s="20" t="s">
        <v>95</v>
      </c>
      <c r="I5510" s="20"/>
      <c r="J5510" s="20" t="s">
        <v>207</v>
      </c>
      <c r="K5510" s="20" t="s">
        <v>250</v>
      </c>
      <c r="L5510" s="20">
        <v>422700000</v>
      </c>
      <c r="M5510" s="20" t="s">
        <v>245</v>
      </c>
      <c r="N5510" s="20" t="s">
        <v>3577</v>
      </c>
    </row>
    <row r="5511" spans="1:14" hidden="1" x14ac:dyDescent="0.25">
      <c r="A5511" s="19">
        <v>46082</v>
      </c>
      <c r="B5511" s="20" t="s">
        <v>162</v>
      </c>
      <c r="C5511" s="20">
        <v>51</v>
      </c>
      <c r="D5511" s="20" t="s">
        <v>291</v>
      </c>
      <c r="E5511" s="20" t="s">
        <v>2361</v>
      </c>
      <c r="F5511" s="20" t="s">
        <v>2468</v>
      </c>
      <c r="G5511" s="20" t="s">
        <v>82</v>
      </c>
      <c r="H5511" s="20" t="s">
        <v>94</v>
      </c>
      <c r="I5511" s="20"/>
      <c r="J5511" s="20" t="s">
        <v>207</v>
      </c>
      <c r="K5511" s="20" t="s">
        <v>250</v>
      </c>
      <c r="L5511" s="20">
        <v>1590000000</v>
      </c>
      <c r="M5511" s="20" t="s">
        <v>245</v>
      </c>
      <c r="N5511" s="20" t="s">
        <v>2276</v>
      </c>
    </row>
    <row r="5512" spans="1:14" hidden="1" x14ac:dyDescent="0.25">
      <c r="A5512" s="19">
        <v>46082</v>
      </c>
      <c r="B5512" s="20" t="s">
        <v>162</v>
      </c>
      <c r="C5512" s="20">
        <v>52</v>
      </c>
      <c r="D5512" s="20" t="s">
        <v>291</v>
      </c>
      <c r="E5512" s="20" t="s">
        <v>2361</v>
      </c>
      <c r="F5512" s="20" t="s">
        <v>2472</v>
      </c>
      <c r="G5512" s="20" t="s">
        <v>82</v>
      </c>
      <c r="H5512" s="20" t="s">
        <v>174</v>
      </c>
      <c r="I5512" s="20"/>
      <c r="J5512" s="20" t="s">
        <v>207</v>
      </c>
      <c r="K5512" s="20" t="s">
        <v>250</v>
      </c>
      <c r="L5512" s="20">
        <v>260200000</v>
      </c>
      <c r="M5512" s="20" t="s">
        <v>245</v>
      </c>
      <c r="N5512" s="20" t="s">
        <v>3221</v>
      </c>
    </row>
    <row r="5513" spans="1:14" hidden="1" x14ac:dyDescent="0.25">
      <c r="A5513" s="19">
        <v>46082</v>
      </c>
      <c r="B5513" s="20" t="s">
        <v>162</v>
      </c>
      <c r="C5513" s="20">
        <v>52</v>
      </c>
      <c r="D5513" s="20" t="s">
        <v>291</v>
      </c>
      <c r="E5513" s="20" t="s">
        <v>2361</v>
      </c>
      <c r="F5513" s="20" t="s">
        <v>2472</v>
      </c>
      <c r="G5513" s="20" t="s">
        <v>82</v>
      </c>
      <c r="H5513" s="20" t="s">
        <v>173</v>
      </c>
      <c r="I5513" s="20"/>
      <c r="J5513" s="20" t="s">
        <v>207</v>
      </c>
      <c r="K5513" s="20" t="s">
        <v>250</v>
      </c>
      <c r="L5513" s="20">
        <v>219400000</v>
      </c>
      <c r="M5513" s="20" t="s">
        <v>245</v>
      </c>
      <c r="N5513" s="20" t="s">
        <v>3578</v>
      </c>
    </row>
    <row r="5514" spans="1:14" hidden="1" x14ac:dyDescent="0.25">
      <c r="A5514" s="19">
        <v>46082</v>
      </c>
      <c r="B5514" s="20" t="s">
        <v>162</v>
      </c>
      <c r="C5514" s="20">
        <v>53</v>
      </c>
      <c r="D5514" s="20" t="s">
        <v>238</v>
      </c>
      <c r="E5514" s="20" t="s">
        <v>2341</v>
      </c>
      <c r="F5514" s="20" t="s">
        <v>334</v>
      </c>
      <c r="G5514" s="20" t="s">
        <v>82</v>
      </c>
      <c r="H5514" s="20" t="s">
        <v>179</v>
      </c>
      <c r="I5514" s="20"/>
      <c r="J5514" s="20" t="s">
        <v>207</v>
      </c>
      <c r="K5514" s="20" t="s">
        <v>250</v>
      </c>
      <c r="L5514" s="20">
        <v>11</v>
      </c>
      <c r="M5514" s="20" t="s">
        <v>245</v>
      </c>
      <c r="N5514" s="20" t="s">
        <v>1945</v>
      </c>
    </row>
    <row r="5515" spans="1:14" hidden="1" x14ac:dyDescent="0.25">
      <c r="A5515" s="19">
        <v>46082</v>
      </c>
      <c r="B5515" s="20" t="s">
        <v>162</v>
      </c>
      <c r="C5515" s="20">
        <v>53</v>
      </c>
      <c r="D5515" s="20" t="s">
        <v>238</v>
      </c>
      <c r="E5515" s="20" t="s">
        <v>2341</v>
      </c>
      <c r="F5515" s="20" t="s">
        <v>334</v>
      </c>
      <c r="G5515" s="20" t="s">
        <v>82</v>
      </c>
      <c r="H5515" s="20" t="s">
        <v>170</v>
      </c>
      <c r="I5515" s="20"/>
      <c r="J5515" s="20" t="s">
        <v>207</v>
      </c>
      <c r="K5515" s="20" t="s">
        <v>250</v>
      </c>
      <c r="L5515" s="20">
        <v>14</v>
      </c>
      <c r="M5515" s="20" t="s">
        <v>245</v>
      </c>
      <c r="N5515" s="20" t="s">
        <v>1421</v>
      </c>
    </row>
    <row r="5516" spans="1:14" hidden="1" x14ac:dyDescent="0.25">
      <c r="A5516" s="19">
        <v>46082</v>
      </c>
      <c r="B5516" s="20" t="s">
        <v>162</v>
      </c>
      <c r="C5516" s="20">
        <v>53</v>
      </c>
      <c r="D5516" s="20" t="s">
        <v>238</v>
      </c>
      <c r="E5516" s="20" t="s">
        <v>2341</v>
      </c>
      <c r="F5516" s="20" t="s">
        <v>334</v>
      </c>
      <c r="G5516" s="20" t="s">
        <v>82</v>
      </c>
      <c r="H5516" s="20" t="s">
        <v>178</v>
      </c>
      <c r="I5516" s="20"/>
      <c r="J5516" s="20" t="s">
        <v>207</v>
      </c>
      <c r="K5516" s="20" t="s">
        <v>250</v>
      </c>
      <c r="L5516" s="20">
        <v>36</v>
      </c>
      <c r="M5516" s="20" t="s">
        <v>245</v>
      </c>
      <c r="N5516" s="20" t="s">
        <v>3135</v>
      </c>
    </row>
    <row r="5517" spans="1:14" hidden="1" x14ac:dyDescent="0.25">
      <c r="A5517" s="19">
        <v>46082</v>
      </c>
      <c r="B5517" s="20" t="s">
        <v>162</v>
      </c>
      <c r="C5517" s="20">
        <v>53</v>
      </c>
      <c r="D5517" s="20" t="s">
        <v>238</v>
      </c>
      <c r="E5517" s="20" t="s">
        <v>2341</v>
      </c>
      <c r="F5517" s="20" t="s">
        <v>334</v>
      </c>
      <c r="G5517" s="20" t="s">
        <v>82</v>
      </c>
      <c r="H5517" s="20" t="s">
        <v>173</v>
      </c>
      <c r="I5517" s="20"/>
      <c r="J5517" s="20" t="s">
        <v>207</v>
      </c>
      <c r="K5517" s="20" t="s">
        <v>250</v>
      </c>
      <c r="L5517" s="20">
        <v>50</v>
      </c>
      <c r="M5517" s="20" t="s">
        <v>245</v>
      </c>
      <c r="N5517" s="20" t="s">
        <v>3136</v>
      </c>
    </row>
    <row r="5518" spans="1:14" hidden="1" x14ac:dyDescent="0.25">
      <c r="A5518" s="19">
        <v>46082</v>
      </c>
      <c r="B5518" s="20" t="s">
        <v>162</v>
      </c>
      <c r="C5518" s="20">
        <v>53</v>
      </c>
      <c r="D5518" s="20" t="s">
        <v>238</v>
      </c>
      <c r="E5518" s="20" t="s">
        <v>2341</v>
      </c>
      <c r="F5518" s="20" t="s">
        <v>334</v>
      </c>
      <c r="G5518" s="20" t="s">
        <v>82</v>
      </c>
      <c r="H5518" s="20" t="s">
        <v>174</v>
      </c>
      <c r="I5518" s="20"/>
      <c r="J5518" s="20" t="s">
        <v>207</v>
      </c>
      <c r="K5518" s="20" t="s">
        <v>250</v>
      </c>
      <c r="L5518" s="20">
        <v>87</v>
      </c>
      <c r="M5518" s="20" t="s">
        <v>245</v>
      </c>
      <c r="N5518" s="20" t="s">
        <v>3579</v>
      </c>
    </row>
    <row r="5519" spans="1:14" hidden="1" x14ac:dyDescent="0.25">
      <c r="A5519" s="19">
        <v>46082</v>
      </c>
      <c r="B5519" s="20" t="s">
        <v>162</v>
      </c>
      <c r="C5519" s="20">
        <v>53</v>
      </c>
      <c r="D5519" s="20" t="s">
        <v>238</v>
      </c>
      <c r="E5519" s="20" t="s">
        <v>2341</v>
      </c>
      <c r="F5519" s="20" t="s">
        <v>334</v>
      </c>
      <c r="G5519" s="20" t="s">
        <v>82</v>
      </c>
      <c r="H5519" s="20" t="s">
        <v>164</v>
      </c>
      <c r="I5519" s="20"/>
      <c r="J5519" s="20" t="s">
        <v>207</v>
      </c>
      <c r="K5519" s="20" t="s">
        <v>250</v>
      </c>
      <c r="L5519" s="20">
        <v>133</v>
      </c>
      <c r="M5519" s="20" t="s">
        <v>245</v>
      </c>
      <c r="N5519" s="20" t="s">
        <v>3580</v>
      </c>
    </row>
    <row r="5520" spans="1:14" hidden="1" x14ac:dyDescent="0.25">
      <c r="A5520" s="19">
        <v>46082</v>
      </c>
      <c r="B5520" s="20" t="s">
        <v>162</v>
      </c>
      <c r="C5520" s="20">
        <v>53</v>
      </c>
      <c r="D5520" s="20" t="s">
        <v>238</v>
      </c>
      <c r="E5520" s="20" t="s">
        <v>2341</v>
      </c>
      <c r="F5520" s="20" t="s">
        <v>455</v>
      </c>
      <c r="G5520" s="20" t="s">
        <v>82</v>
      </c>
      <c r="H5520" s="20"/>
      <c r="I5520" s="20"/>
      <c r="J5520" s="20" t="s">
        <v>207</v>
      </c>
      <c r="K5520" s="20" t="s">
        <v>250</v>
      </c>
      <c r="L5520" s="20">
        <v>84</v>
      </c>
      <c r="M5520" s="20" t="s">
        <v>245</v>
      </c>
      <c r="N5520" s="20" t="s">
        <v>3293</v>
      </c>
    </row>
    <row r="5521" spans="1:14" hidden="1" x14ac:dyDescent="0.25">
      <c r="A5521" s="19">
        <v>46082</v>
      </c>
      <c r="B5521" s="20" t="s">
        <v>1192</v>
      </c>
      <c r="C5521" s="20">
        <v>55</v>
      </c>
      <c r="D5521" s="20" t="s">
        <v>238</v>
      </c>
      <c r="E5521" s="20" t="s">
        <v>2341</v>
      </c>
      <c r="F5521" s="20" t="s">
        <v>240</v>
      </c>
      <c r="G5521" s="20" t="s">
        <v>82</v>
      </c>
      <c r="H5521" s="20"/>
      <c r="I5521" s="20"/>
      <c r="J5521" s="20" t="s">
        <v>3491</v>
      </c>
      <c r="K5521" s="20" t="s">
        <v>241</v>
      </c>
      <c r="L5521" s="20">
        <v>88720000</v>
      </c>
      <c r="M5521" s="20" t="s">
        <v>242</v>
      </c>
      <c r="N5521" s="20" t="s">
        <v>3560</v>
      </c>
    </row>
    <row r="5522" spans="1:14" hidden="1" x14ac:dyDescent="0.25">
      <c r="A5522" s="19">
        <v>46082</v>
      </c>
      <c r="B5522" s="20" t="s">
        <v>2481</v>
      </c>
      <c r="C5522" s="20">
        <v>55</v>
      </c>
      <c r="D5522" s="20" t="s">
        <v>238</v>
      </c>
      <c r="E5522" s="20" t="s">
        <v>2341</v>
      </c>
      <c r="F5522" s="20" t="s">
        <v>244</v>
      </c>
      <c r="G5522" s="20" t="s">
        <v>82</v>
      </c>
      <c r="H5522" s="20"/>
      <c r="I5522" s="20"/>
      <c r="J5522" s="20" t="s">
        <v>3491</v>
      </c>
      <c r="K5522" s="20" t="s">
        <v>241</v>
      </c>
      <c r="L5522" s="20">
        <v>7500000000</v>
      </c>
      <c r="M5522" s="20" t="s">
        <v>245</v>
      </c>
      <c r="N5522" s="20" t="s">
        <v>3561</v>
      </c>
    </row>
    <row r="5523" spans="1:14" hidden="1" x14ac:dyDescent="0.25">
      <c r="A5523" s="19">
        <v>46082</v>
      </c>
      <c r="B5523" s="20" t="s">
        <v>1192</v>
      </c>
      <c r="C5523" s="20">
        <v>55</v>
      </c>
      <c r="D5523" s="20" t="s">
        <v>238</v>
      </c>
      <c r="E5523" s="20" t="s">
        <v>2341</v>
      </c>
      <c r="F5523" s="20" t="s">
        <v>240</v>
      </c>
      <c r="G5523" s="20" t="s">
        <v>82</v>
      </c>
      <c r="H5523" s="20" t="s">
        <v>184</v>
      </c>
      <c r="I5523" s="20"/>
      <c r="J5523" s="20" t="s">
        <v>3491</v>
      </c>
      <c r="K5523" s="20" t="s">
        <v>241</v>
      </c>
      <c r="L5523" s="20">
        <v>53290000</v>
      </c>
      <c r="M5523" s="20" t="s">
        <v>242</v>
      </c>
      <c r="N5523" s="20" t="s">
        <v>3492</v>
      </c>
    </row>
    <row r="5524" spans="1:14" hidden="1" x14ac:dyDescent="0.25">
      <c r="A5524" s="19">
        <v>46082</v>
      </c>
      <c r="B5524" s="20" t="s">
        <v>1192</v>
      </c>
      <c r="C5524" s="20">
        <v>55</v>
      </c>
      <c r="D5524" s="20" t="s">
        <v>238</v>
      </c>
      <c r="E5524" s="20" t="s">
        <v>2341</v>
      </c>
      <c r="F5524" s="20" t="s">
        <v>240</v>
      </c>
      <c r="G5524" s="20" t="s">
        <v>82</v>
      </c>
      <c r="H5524" s="20" t="s">
        <v>185</v>
      </c>
      <c r="I5524" s="20"/>
      <c r="J5524" s="20" t="s">
        <v>3491</v>
      </c>
      <c r="K5524" s="20" t="s">
        <v>241</v>
      </c>
      <c r="L5524" s="20">
        <v>35430000</v>
      </c>
      <c r="M5524" s="20" t="s">
        <v>242</v>
      </c>
      <c r="N5524" s="20" t="s">
        <v>3510</v>
      </c>
    </row>
    <row r="5525" spans="1:14" hidden="1" x14ac:dyDescent="0.25">
      <c r="A5525" s="19">
        <v>46082</v>
      </c>
      <c r="B5525" s="20" t="s">
        <v>2481</v>
      </c>
      <c r="C5525" s="20">
        <v>55</v>
      </c>
      <c r="D5525" s="20" t="s">
        <v>238</v>
      </c>
      <c r="E5525" s="20" t="s">
        <v>2341</v>
      </c>
      <c r="F5525" s="20" t="s">
        <v>244</v>
      </c>
      <c r="G5525" s="20" t="s">
        <v>82</v>
      </c>
      <c r="H5525" s="20" t="s">
        <v>184</v>
      </c>
      <c r="I5525" s="20"/>
      <c r="J5525" s="20" t="s">
        <v>3491</v>
      </c>
      <c r="K5525" s="20" t="s">
        <v>241</v>
      </c>
      <c r="L5525" s="20">
        <v>5710000000</v>
      </c>
      <c r="M5525" s="20" t="s">
        <v>245</v>
      </c>
      <c r="N5525" s="20" t="s">
        <v>3493</v>
      </c>
    </row>
    <row r="5526" spans="1:14" hidden="1" x14ac:dyDescent="0.25">
      <c r="A5526" s="19">
        <v>46082</v>
      </c>
      <c r="B5526" s="20" t="s">
        <v>2481</v>
      </c>
      <c r="C5526" s="20">
        <v>55</v>
      </c>
      <c r="D5526" s="20" t="s">
        <v>238</v>
      </c>
      <c r="E5526" s="20" t="s">
        <v>2341</v>
      </c>
      <c r="F5526" s="20" t="s">
        <v>244</v>
      </c>
      <c r="G5526" s="20" t="s">
        <v>82</v>
      </c>
      <c r="H5526" s="20" t="s">
        <v>185</v>
      </c>
      <c r="I5526" s="20"/>
      <c r="J5526" s="20" t="s">
        <v>3491</v>
      </c>
      <c r="K5526" s="20" t="s">
        <v>241</v>
      </c>
      <c r="L5526" s="20">
        <v>1790000000</v>
      </c>
      <c r="M5526" s="20" t="s">
        <v>245</v>
      </c>
      <c r="N5526" s="20" t="s">
        <v>3362</v>
      </c>
    </row>
    <row r="5527" spans="1:14" hidden="1" x14ac:dyDescent="0.25">
      <c r="A5527" s="19">
        <v>46082</v>
      </c>
      <c r="B5527" s="20" t="s">
        <v>2481</v>
      </c>
      <c r="C5527" s="20">
        <v>56</v>
      </c>
      <c r="D5527" s="20" t="s">
        <v>238</v>
      </c>
      <c r="E5527" s="20" t="s">
        <v>2341</v>
      </c>
      <c r="F5527" s="20" t="s">
        <v>285</v>
      </c>
      <c r="G5527" s="20" t="s">
        <v>63</v>
      </c>
      <c r="H5527" s="20" t="s">
        <v>1202</v>
      </c>
      <c r="I5527" s="20"/>
      <c r="J5527" s="20" t="s">
        <v>3491</v>
      </c>
      <c r="K5527" s="20" t="s">
        <v>241</v>
      </c>
      <c r="L5527" s="20">
        <v>1100000</v>
      </c>
      <c r="M5527" s="20" t="s">
        <v>242</v>
      </c>
      <c r="N5527" s="20" t="s">
        <v>2111</v>
      </c>
    </row>
    <row r="5528" spans="1:14" hidden="1" x14ac:dyDescent="0.25">
      <c r="A5528" s="19">
        <v>46082</v>
      </c>
      <c r="B5528" s="20" t="s">
        <v>2481</v>
      </c>
      <c r="C5528" s="20">
        <v>56</v>
      </c>
      <c r="D5528" s="20" t="s">
        <v>238</v>
      </c>
      <c r="E5528" s="20" t="s">
        <v>2341</v>
      </c>
      <c r="F5528" s="20" t="s">
        <v>285</v>
      </c>
      <c r="G5528" s="20" t="s">
        <v>63</v>
      </c>
      <c r="H5528" s="20" t="s">
        <v>1204</v>
      </c>
      <c r="I5528" s="20"/>
      <c r="J5528" s="20" t="s">
        <v>3491</v>
      </c>
      <c r="K5528" s="20" t="s">
        <v>241</v>
      </c>
      <c r="L5528" s="20">
        <v>1780000</v>
      </c>
      <c r="M5528" s="20" t="s">
        <v>242</v>
      </c>
      <c r="N5528" s="20" t="s">
        <v>1650</v>
      </c>
    </row>
    <row r="5529" spans="1:14" hidden="1" x14ac:dyDescent="0.25">
      <c r="A5529" s="19">
        <v>46082</v>
      </c>
      <c r="B5529" s="20" t="s">
        <v>2481</v>
      </c>
      <c r="C5529" s="20">
        <v>56</v>
      </c>
      <c r="D5529" s="20" t="s">
        <v>238</v>
      </c>
      <c r="E5529" s="20" t="s">
        <v>2341</v>
      </c>
      <c r="F5529" s="20" t="s">
        <v>285</v>
      </c>
      <c r="G5529" s="20" t="s">
        <v>63</v>
      </c>
      <c r="H5529" s="20" t="s">
        <v>1200</v>
      </c>
      <c r="I5529" s="20"/>
      <c r="J5529" s="20" t="s">
        <v>3491</v>
      </c>
      <c r="K5529" s="20" t="s">
        <v>241</v>
      </c>
      <c r="L5529" s="20">
        <v>1130000</v>
      </c>
      <c r="M5529" s="20" t="s">
        <v>242</v>
      </c>
      <c r="N5529" s="20" t="s">
        <v>1675</v>
      </c>
    </row>
    <row r="5530" spans="1:14" hidden="1" x14ac:dyDescent="0.25">
      <c r="A5530" s="19">
        <v>46082</v>
      </c>
      <c r="B5530" s="20" t="s">
        <v>2481</v>
      </c>
      <c r="C5530" s="20">
        <v>56</v>
      </c>
      <c r="D5530" s="20" t="s">
        <v>238</v>
      </c>
      <c r="E5530" s="20" t="s">
        <v>2341</v>
      </c>
      <c r="F5530" s="20" t="s">
        <v>285</v>
      </c>
      <c r="G5530" s="20" t="s">
        <v>63</v>
      </c>
      <c r="H5530" s="20"/>
      <c r="I5530" s="20"/>
      <c r="J5530" s="20" t="s">
        <v>3491</v>
      </c>
      <c r="K5530" s="20" t="s">
        <v>241</v>
      </c>
      <c r="L5530" s="20">
        <v>4060000</v>
      </c>
      <c r="M5530" s="20" t="s">
        <v>242</v>
      </c>
      <c r="N5530" s="20" t="s">
        <v>1921</v>
      </c>
    </row>
    <row r="5531" spans="1:14" hidden="1" x14ac:dyDescent="0.25">
      <c r="A5531" s="19">
        <v>46082</v>
      </c>
      <c r="B5531" s="20" t="s">
        <v>2481</v>
      </c>
      <c r="C5531" s="20">
        <v>57</v>
      </c>
      <c r="D5531" s="20" t="s">
        <v>238</v>
      </c>
      <c r="E5531" s="20" t="s">
        <v>2341</v>
      </c>
      <c r="F5531" s="20" t="s">
        <v>1194</v>
      </c>
      <c r="G5531" s="20" t="s">
        <v>82</v>
      </c>
      <c r="H5531" s="20"/>
      <c r="I5531" s="20"/>
      <c r="J5531" s="20" t="s">
        <v>207</v>
      </c>
      <c r="K5531" s="20" t="s">
        <v>250</v>
      </c>
      <c r="L5531" s="20">
        <v>31770000</v>
      </c>
      <c r="M5531" s="20" t="s">
        <v>242</v>
      </c>
      <c r="N5531" s="20" t="s">
        <v>3581</v>
      </c>
    </row>
    <row r="5532" spans="1:14" hidden="1" x14ac:dyDescent="0.25">
      <c r="A5532" s="19">
        <v>46082</v>
      </c>
      <c r="B5532" s="20" t="s">
        <v>2481</v>
      </c>
      <c r="C5532" s="20">
        <v>57</v>
      </c>
      <c r="D5532" s="20" t="s">
        <v>238</v>
      </c>
      <c r="E5532" s="20" t="s">
        <v>2341</v>
      </c>
      <c r="F5532" s="20" t="s">
        <v>2487</v>
      </c>
      <c r="G5532" s="20" t="s">
        <v>82</v>
      </c>
      <c r="H5532" s="20" t="s">
        <v>184</v>
      </c>
      <c r="I5532" s="20"/>
      <c r="J5532" s="20" t="s">
        <v>207</v>
      </c>
      <c r="K5532" s="20" t="s">
        <v>250</v>
      </c>
      <c r="L5532" s="20">
        <v>19010000</v>
      </c>
      <c r="M5532" s="20" t="s">
        <v>242</v>
      </c>
      <c r="N5532" s="20" t="s">
        <v>3477</v>
      </c>
    </row>
    <row r="5533" spans="1:14" hidden="1" x14ac:dyDescent="0.25">
      <c r="A5533" s="19">
        <v>46082</v>
      </c>
      <c r="B5533" s="20" t="s">
        <v>2481</v>
      </c>
      <c r="C5533" s="20">
        <v>57</v>
      </c>
      <c r="D5533" s="20" t="s">
        <v>238</v>
      </c>
      <c r="E5533" s="20" t="s">
        <v>2341</v>
      </c>
      <c r="F5533" s="20" t="s">
        <v>2488</v>
      </c>
      <c r="G5533" s="20" t="s">
        <v>82</v>
      </c>
      <c r="H5533" s="20" t="s">
        <v>185</v>
      </c>
      <c r="I5533" s="20"/>
      <c r="J5533" s="20" t="s">
        <v>207</v>
      </c>
      <c r="K5533" s="20" t="s">
        <v>250</v>
      </c>
      <c r="L5533" s="20">
        <v>12760000</v>
      </c>
      <c r="M5533" s="20" t="s">
        <v>242</v>
      </c>
      <c r="N5533" s="20" t="s">
        <v>3480</v>
      </c>
    </row>
    <row r="5534" spans="1:14" hidden="1" x14ac:dyDescent="0.25">
      <c r="A5534" s="19">
        <v>46082</v>
      </c>
      <c r="B5534" s="20" t="s">
        <v>2481</v>
      </c>
      <c r="C5534" s="20">
        <v>58</v>
      </c>
      <c r="D5534" s="20" t="s">
        <v>238</v>
      </c>
      <c r="E5534" s="20" t="s">
        <v>2341</v>
      </c>
      <c r="F5534" s="20" t="s">
        <v>1196</v>
      </c>
      <c r="G5534" s="20" t="s">
        <v>82</v>
      </c>
      <c r="H5534" s="20"/>
      <c r="I5534" s="20"/>
      <c r="J5534" s="20" t="s">
        <v>207</v>
      </c>
      <c r="K5534" s="20" t="s">
        <v>250</v>
      </c>
      <c r="L5534" s="20">
        <v>2670000000</v>
      </c>
      <c r="M5534" s="20" t="s">
        <v>245</v>
      </c>
      <c r="N5534" s="20" t="s">
        <v>3582</v>
      </c>
    </row>
    <row r="5535" spans="1:14" hidden="1" x14ac:dyDescent="0.25">
      <c r="A5535" s="19">
        <v>46082</v>
      </c>
      <c r="B5535" s="20" t="s">
        <v>2481</v>
      </c>
      <c r="C5535" s="20">
        <v>58</v>
      </c>
      <c r="D5535" s="20" t="s">
        <v>238</v>
      </c>
      <c r="E5535" s="20" t="s">
        <v>2341</v>
      </c>
      <c r="F5535" s="20" t="s">
        <v>2489</v>
      </c>
      <c r="G5535" s="20" t="s">
        <v>82</v>
      </c>
      <c r="H5535" s="20" t="s">
        <v>184</v>
      </c>
      <c r="I5535" s="20"/>
      <c r="J5535" s="20" t="s">
        <v>207</v>
      </c>
      <c r="K5535" s="20" t="s">
        <v>250</v>
      </c>
      <c r="L5535" s="20">
        <v>2020000000</v>
      </c>
      <c r="M5535" s="20" t="s">
        <v>245</v>
      </c>
      <c r="N5535" s="20" t="s">
        <v>3478</v>
      </c>
    </row>
    <row r="5536" spans="1:14" hidden="1" x14ac:dyDescent="0.25">
      <c r="A5536" s="19">
        <v>46082</v>
      </c>
      <c r="B5536" s="20" t="s">
        <v>2481</v>
      </c>
      <c r="C5536" s="20">
        <v>58</v>
      </c>
      <c r="D5536" s="20" t="s">
        <v>238</v>
      </c>
      <c r="E5536" s="20" t="s">
        <v>2341</v>
      </c>
      <c r="F5536" s="20" t="s">
        <v>2490</v>
      </c>
      <c r="G5536" s="20" t="s">
        <v>82</v>
      </c>
      <c r="H5536" s="20" t="s">
        <v>185</v>
      </c>
      <c r="I5536" s="20"/>
      <c r="J5536" s="20" t="s">
        <v>207</v>
      </c>
      <c r="K5536" s="20" t="s">
        <v>250</v>
      </c>
      <c r="L5536" s="20">
        <v>650000000</v>
      </c>
      <c r="M5536" s="20" t="s">
        <v>245</v>
      </c>
      <c r="N5536" s="20" t="s">
        <v>3583</v>
      </c>
    </row>
    <row r="5537" spans="1:14" hidden="1" x14ac:dyDescent="0.25">
      <c r="A5537" s="19">
        <v>46082</v>
      </c>
      <c r="B5537" s="20" t="s">
        <v>2481</v>
      </c>
      <c r="C5537" s="20">
        <v>59</v>
      </c>
      <c r="D5537" s="20" t="s">
        <v>238</v>
      </c>
      <c r="E5537" s="20" t="s">
        <v>2341</v>
      </c>
      <c r="F5537" s="20" t="s">
        <v>1213</v>
      </c>
      <c r="G5537" s="20" t="s">
        <v>82</v>
      </c>
      <c r="H5537" s="20"/>
      <c r="I5537" s="20"/>
      <c r="J5537" s="20" t="s">
        <v>207</v>
      </c>
      <c r="K5537" s="20" t="s">
        <v>250</v>
      </c>
      <c r="L5537" s="20">
        <v>84.2</v>
      </c>
      <c r="M5537" s="20" t="s">
        <v>245</v>
      </c>
      <c r="N5537" s="20" t="s">
        <v>3584</v>
      </c>
    </row>
    <row r="5538" spans="1:14" hidden="1" x14ac:dyDescent="0.25">
      <c r="A5538" s="19">
        <v>46082</v>
      </c>
      <c r="B5538" s="20" t="s">
        <v>2481</v>
      </c>
      <c r="C5538" s="20">
        <v>59</v>
      </c>
      <c r="D5538" s="20" t="s">
        <v>238</v>
      </c>
      <c r="E5538" s="20" t="s">
        <v>2341</v>
      </c>
      <c r="F5538" s="20" t="s">
        <v>2493</v>
      </c>
      <c r="G5538" s="20" t="s">
        <v>82</v>
      </c>
      <c r="H5538" s="20" t="s">
        <v>184</v>
      </c>
      <c r="I5538" s="20"/>
      <c r="J5538" s="20" t="s">
        <v>207</v>
      </c>
      <c r="K5538" s="20" t="s">
        <v>250</v>
      </c>
      <c r="L5538" s="20">
        <v>106.4</v>
      </c>
      <c r="M5538" s="20" t="s">
        <v>245</v>
      </c>
      <c r="N5538" s="20" t="s">
        <v>3143</v>
      </c>
    </row>
    <row r="5539" spans="1:14" hidden="1" x14ac:dyDescent="0.25">
      <c r="A5539" s="19">
        <v>46082</v>
      </c>
      <c r="B5539" s="20" t="s">
        <v>2481</v>
      </c>
      <c r="C5539" s="20">
        <v>59</v>
      </c>
      <c r="D5539" s="20" t="s">
        <v>238</v>
      </c>
      <c r="E5539" s="20" t="s">
        <v>2341</v>
      </c>
      <c r="F5539" s="20" t="s">
        <v>2495</v>
      </c>
      <c r="G5539" s="20" t="s">
        <v>82</v>
      </c>
      <c r="H5539" s="20" t="s">
        <v>185</v>
      </c>
      <c r="I5539" s="20"/>
      <c r="J5539" s="20" t="s">
        <v>207</v>
      </c>
      <c r="K5539" s="20" t="s">
        <v>250</v>
      </c>
      <c r="L5539" s="20">
        <v>51.1</v>
      </c>
      <c r="M5539" s="20" t="s">
        <v>245</v>
      </c>
      <c r="N5539" s="20" t="s">
        <v>3441</v>
      </c>
    </row>
    <row r="5540" spans="1:14" hidden="1" x14ac:dyDescent="0.25">
      <c r="A5540" s="19">
        <v>46082</v>
      </c>
      <c r="B5540" s="20" t="s">
        <v>120</v>
      </c>
      <c r="C5540" s="20">
        <v>61</v>
      </c>
      <c r="D5540" s="20" t="s">
        <v>238</v>
      </c>
      <c r="E5540" s="20" t="s">
        <v>2341</v>
      </c>
      <c r="F5540" s="20" t="s">
        <v>240</v>
      </c>
      <c r="G5540" s="20" t="s">
        <v>82</v>
      </c>
      <c r="H5540" s="20"/>
      <c r="I5540" s="20"/>
      <c r="J5540" s="20" t="s">
        <v>3491</v>
      </c>
      <c r="K5540" s="20" t="s">
        <v>241</v>
      </c>
      <c r="L5540" s="20">
        <v>20470000</v>
      </c>
      <c r="M5540" s="20" t="s">
        <v>242</v>
      </c>
      <c r="N5540" s="20" t="s">
        <v>3585</v>
      </c>
    </row>
    <row r="5541" spans="1:14" hidden="1" x14ac:dyDescent="0.25">
      <c r="A5541" s="19">
        <v>46082</v>
      </c>
      <c r="B5541" s="20" t="s">
        <v>120</v>
      </c>
      <c r="C5541" s="20">
        <v>61</v>
      </c>
      <c r="D5541" s="20" t="s">
        <v>238</v>
      </c>
      <c r="E5541" s="20" t="s">
        <v>2341</v>
      </c>
      <c r="F5541" s="20" t="s">
        <v>244</v>
      </c>
      <c r="G5541" s="20" t="s">
        <v>82</v>
      </c>
      <c r="H5541" s="20"/>
      <c r="I5541" s="20"/>
      <c r="J5541" s="20" t="s">
        <v>3491</v>
      </c>
      <c r="K5541" s="20" t="s">
        <v>241</v>
      </c>
      <c r="L5541" s="20">
        <v>3890000000</v>
      </c>
      <c r="M5541" s="20" t="s">
        <v>245</v>
      </c>
      <c r="N5541" s="20" t="s">
        <v>3586</v>
      </c>
    </row>
    <row r="5542" spans="1:14" hidden="1" x14ac:dyDescent="0.25">
      <c r="A5542" s="19">
        <v>46082</v>
      </c>
      <c r="B5542" s="20" t="s">
        <v>120</v>
      </c>
      <c r="C5542" s="20">
        <v>62</v>
      </c>
      <c r="D5542" s="20" t="s">
        <v>253</v>
      </c>
      <c r="E5542" s="20" t="s">
        <v>2359</v>
      </c>
      <c r="F5542" s="20" t="s">
        <v>285</v>
      </c>
      <c r="G5542" s="20" t="s">
        <v>63</v>
      </c>
      <c r="H5542" s="20"/>
      <c r="I5542" s="20"/>
      <c r="J5542" s="20" t="s">
        <v>205</v>
      </c>
      <c r="K5542" s="20" t="s">
        <v>255</v>
      </c>
      <c r="L5542" s="20">
        <v>5090000</v>
      </c>
      <c r="M5542" s="20" t="s">
        <v>242</v>
      </c>
      <c r="N5542" s="20" t="s">
        <v>3300</v>
      </c>
    </row>
    <row r="5543" spans="1:14" hidden="1" x14ac:dyDescent="0.25">
      <c r="A5543" s="19">
        <v>46082</v>
      </c>
      <c r="B5543" s="20" t="s">
        <v>120</v>
      </c>
      <c r="C5543" s="20">
        <v>62</v>
      </c>
      <c r="D5543" s="20" t="s">
        <v>253</v>
      </c>
      <c r="E5543" s="20" t="s">
        <v>2359</v>
      </c>
      <c r="F5543" s="20" t="s">
        <v>285</v>
      </c>
      <c r="G5543" s="20" t="s">
        <v>63</v>
      </c>
      <c r="H5543" s="20"/>
      <c r="I5543" s="20"/>
      <c r="J5543" s="20" t="s">
        <v>206</v>
      </c>
      <c r="K5543" s="20" t="s">
        <v>255</v>
      </c>
      <c r="L5543" s="20">
        <v>5130000</v>
      </c>
      <c r="M5543" s="20" t="s">
        <v>242</v>
      </c>
      <c r="N5543" s="20" t="s">
        <v>484</v>
      </c>
    </row>
    <row r="5544" spans="1:14" hidden="1" x14ac:dyDescent="0.25">
      <c r="A5544" s="19">
        <v>46082</v>
      </c>
      <c r="B5544" s="20" t="s">
        <v>120</v>
      </c>
      <c r="C5544" s="20">
        <v>62</v>
      </c>
      <c r="D5544" s="20" t="s">
        <v>253</v>
      </c>
      <c r="E5544" s="20" t="s">
        <v>2359</v>
      </c>
      <c r="F5544" s="20" t="s">
        <v>285</v>
      </c>
      <c r="G5544" s="20" t="s">
        <v>63</v>
      </c>
      <c r="H5544" s="20"/>
      <c r="I5544" s="20"/>
      <c r="J5544" s="20" t="s">
        <v>207</v>
      </c>
      <c r="K5544" s="20" t="s">
        <v>255</v>
      </c>
      <c r="L5544" s="20">
        <v>5170000</v>
      </c>
      <c r="M5544" s="20" t="s">
        <v>242</v>
      </c>
      <c r="N5544" s="20" t="s">
        <v>3587</v>
      </c>
    </row>
    <row r="5545" spans="1:14" hidden="1" x14ac:dyDescent="0.25">
      <c r="A5545" s="19">
        <v>46082</v>
      </c>
      <c r="B5545" s="20" t="s">
        <v>120</v>
      </c>
      <c r="C5545" s="20">
        <v>62</v>
      </c>
      <c r="D5545" s="20" t="s">
        <v>247</v>
      </c>
      <c r="E5545" s="20" t="s">
        <v>2554</v>
      </c>
      <c r="F5545" s="20" t="s">
        <v>2555</v>
      </c>
      <c r="G5545" s="20" t="s">
        <v>63</v>
      </c>
      <c r="H5545" s="20" t="s">
        <v>286</v>
      </c>
      <c r="I5545" s="20"/>
      <c r="J5545" s="20" t="s">
        <v>207</v>
      </c>
      <c r="K5545" s="20" t="s">
        <v>250</v>
      </c>
      <c r="L5545" s="20">
        <v>0.8</v>
      </c>
      <c r="M5545" s="20" t="s">
        <v>251</v>
      </c>
      <c r="N5545" s="20" t="s">
        <v>370</v>
      </c>
    </row>
    <row r="5546" spans="1:14" hidden="1" x14ac:dyDescent="0.25">
      <c r="A5546" s="19">
        <v>46082</v>
      </c>
      <c r="B5546" s="20" t="s">
        <v>120</v>
      </c>
      <c r="C5546" s="20">
        <v>63</v>
      </c>
      <c r="D5546" s="20" t="s">
        <v>291</v>
      </c>
      <c r="E5546" s="20" t="s">
        <v>2361</v>
      </c>
      <c r="F5546" s="20" t="s">
        <v>285</v>
      </c>
      <c r="G5546" s="20" t="s">
        <v>63</v>
      </c>
      <c r="H5546" s="20" t="s">
        <v>122</v>
      </c>
      <c r="I5546" s="20"/>
      <c r="J5546" s="20" t="s">
        <v>207</v>
      </c>
      <c r="K5546" s="20" t="s">
        <v>250</v>
      </c>
      <c r="L5546" s="20">
        <v>5130000</v>
      </c>
      <c r="M5546" s="20" t="s">
        <v>242</v>
      </c>
      <c r="N5546" s="20" t="s">
        <v>2817</v>
      </c>
    </row>
    <row r="5547" spans="1:14" hidden="1" x14ac:dyDescent="0.25">
      <c r="A5547" s="19">
        <v>46082</v>
      </c>
      <c r="B5547" s="20" t="s">
        <v>120</v>
      </c>
      <c r="C5547" s="20">
        <v>63</v>
      </c>
      <c r="D5547" s="20" t="s">
        <v>291</v>
      </c>
      <c r="E5547" s="20" t="s">
        <v>2361</v>
      </c>
      <c r="F5547" s="20" t="s">
        <v>285</v>
      </c>
      <c r="G5547" s="20" t="s">
        <v>63</v>
      </c>
      <c r="H5547" s="20" t="s">
        <v>123</v>
      </c>
      <c r="I5547" s="20"/>
      <c r="J5547" s="20" t="s">
        <v>207</v>
      </c>
      <c r="K5547" s="20" t="s">
        <v>250</v>
      </c>
      <c r="L5547" s="20">
        <v>41800</v>
      </c>
      <c r="M5547" s="20" t="s">
        <v>242</v>
      </c>
      <c r="N5547" s="20" t="s">
        <v>3588</v>
      </c>
    </row>
    <row r="5548" spans="1:14" hidden="1" x14ac:dyDescent="0.25">
      <c r="A5548" s="19">
        <v>46082</v>
      </c>
      <c r="B5548" s="20" t="s">
        <v>120</v>
      </c>
      <c r="C5548" s="20">
        <v>63</v>
      </c>
      <c r="D5548" s="20" t="s">
        <v>238</v>
      </c>
      <c r="E5548" s="20" t="s">
        <v>2341</v>
      </c>
      <c r="F5548" s="20" t="s">
        <v>376</v>
      </c>
      <c r="G5548" s="20" t="s">
        <v>63</v>
      </c>
      <c r="H5548" s="20"/>
      <c r="I5548" s="20"/>
      <c r="J5548" s="20" t="s">
        <v>207</v>
      </c>
      <c r="K5548" s="20" t="s">
        <v>250</v>
      </c>
      <c r="L5548" s="20">
        <v>5170000</v>
      </c>
      <c r="M5548" s="20" t="s">
        <v>242</v>
      </c>
      <c r="N5548" s="20" t="s">
        <v>3482</v>
      </c>
    </row>
    <row r="5549" spans="1:14" hidden="1" x14ac:dyDescent="0.25">
      <c r="A5549" s="19">
        <v>46082</v>
      </c>
      <c r="B5549" s="20" t="s">
        <v>120</v>
      </c>
      <c r="C5549" s="20">
        <v>64</v>
      </c>
      <c r="D5549" s="20" t="s">
        <v>238</v>
      </c>
      <c r="E5549" s="20" t="s">
        <v>2341</v>
      </c>
      <c r="F5549" s="20" t="s">
        <v>378</v>
      </c>
      <c r="G5549" s="20" t="s">
        <v>379</v>
      </c>
      <c r="H5549" s="20"/>
      <c r="I5549" s="20"/>
      <c r="J5549" s="20" t="s">
        <v>207</v>
      </c>
      <c r="K5549" s="20" t="s">
        <v>250</v>
      </c>
      <c r="L5549" s="20">
        <v>707</v>
      </c>
      <c r="M5549" s="20" t="s">
        <v>242</v>
      </c>
      <c r="N5549" s="20" t="s">
        <v>3483</v>
      </c>
    </row>
    <row r="5550" spans="1:14" hidden="1" x14ac:dyDescent="0.25">
      <c r="A5550" s="19">
        <v>46082</v>
      </c>
      <c r="B5550" s="20" t="s">
        <v>120</v>
      </c>
      <c r="C5550" s="20">
        <v>64</v>
      </c>
      <c r="D5550" s="20" t="s">
        <v>238</v>
      </c>
      <c r="E5550" s="20" t="s">
        <v>2341</v>
      </c>
      <c r="F5550" s="20" t="s">
        <v>381</v>
      </c>
      <c r="G5550" s="20" t="s">
        <v>382</v>
      </c>
      <c r="H5550" s="20"/>
      <c r="I5550" s="20"/>
      <c r="J5550" s="20" t="s">
        <v>207</v>
      </c>
      <c r="K5550" s="20" t="s">
        <v>250</v>
      </c>
      <c r="L5550" s="20">
        <v>2429</v>
      </c>
      <c r="M5550" s="20" t="s">
        <v>242</v>
      </c>
      <c r="N5550" s="20" t="s">
        <v>3484</v>
      </c>
    </row>
    <row r="5551" spans="1:14" hidden="1" x14ac:dyDescent="0.25">
      <c r="A5551" s="19">
        <v>46082</v>
      </c>
      <c r="B5551" s="20" t="s">
        <v>120</v>
      </c>
      <c r="C5551" s="20">
        <v>65</v>
      </c>
      <c r="D5551" s="20" t="s">
        <v>253</v>
      </c>
      <c r="E5551" s="20" t="s">
        <v>2359</v>
      </c>
      <c r="F5551" s="20" t="s">
        <v>240</v>
      </c>
      <c r="G5551" s="20" t="s">
        <v>82</v>
      </c>
      <c r="H5551" s="20"/>
      <c r="I5551" s="20"/>
      <c r="J5551" s="20" t="s">
        <v>205</v>
      </c>
      <c r="K5551" s="20" t="s">
        <v>255</v>
      </c>
      <c r="L5551" s="20">
        <v>6530000</v>
      </c>
      <c r="M5551" s="20" t="s">
        <v>242</v>
      </c>
      <c r="N5551" s="20" t="s">
        <v>3302</v>
      </c>
    </row>
    <row r="5552" spans="1:14" hidden="1" x14ac:dyDescent="0.25">
      <c r="A5552" s="19">
        <v>46082</v>
      </c>
      <c r="B5552" s="20" t="s">
        <v>120</v>
      </c>
      <c r="C5552" s="20">
        <v>65</v>
      </c>
      <c r="D5552" s="20" t="s">
        <v>253</v>
      </c>
      <c r="E5552" s="20" t="s">
        <v>2359</v>
      </c>
      <c r="F5552" s="20" t="s">
        <v>240</v>
      </c>
      <c r="G5552" s="20" t="s">
        <v>82</v>
      </c>
      <c r="H5552" s="20"/>
      <c r="I5552" s="20"/>
      <c r="J5552" s="20" t="s">
        <v>206</v>
      </c>
      <c r="K5552" s="20" t="s">
        <v>255</v>
      </c>
      <c r="L5552" s="20">
        <v>6580000</v>
      </c>
      <c r="M5552" s="20" t="s">
        <v>242</v>
      </c>
      <c r="N5552" s="20" t="s">
        <v>2232</v>
      </c>
    </row>
    <row r="5553" spans="1:14" hidden="1" x14ac:dyDescent="0.25">
      <c r="A5553" s="19">
        <v>46082</v>
      </c>
      <c r="B5553" s="20" t="s">
        <v>120</v>
      </c>
      <c r="C5553" s="20">
        <v>65</v>
      </c>
      <c r="D5553" s="20" t="s">
        <v>253</v>
      </c>
      <c r="E5553" s="20" t="s">
        <v>2359</v>
      </c>
      <c r="F5553" s="20" t="s">
        <v>240</v>
      </c>
      <c r="G5553" s="20" t="s">
        <v>82</v>
      </c>
      <c r="H5553" s="20"/>
      <c r="I5553" s="20"/>
      <c r="J5553" s="20" t="s">
        <v>207</v>
      </c>
      <c r="K5553" s="20" t="s">
        <v>255</v>
      </c>
      <c r="L5553" s="20">
        <v>7360000</v>
      </c>
      <c r="M5553" s="20" t="s">
        <v>242</v>
      </c>
      <c r="N5553" s="20" t="s">
        <v>3589</v>
      </c>
    </row>
    <row r="5554" spans="1:14" hidden="1" x14ac:dyDescent="0.25">
      <c r="A5554" s="19">
        <v>46082</v>
      </c>
      <c r="B5554" s="20" t="s">
        <v>120</v>
      </c>
      <c r="C5554" s="20">
        <v>65</v>
      </c>
      <c r="D5554" s="20" t="s">
        <v>247</v>
      </c>
      <c r="E5554" s="20" t="s">
        <v>2554</v>
      </c>
      <c r="F5554" s="20" t="s">
        <v>2556</v>
      </c>
      <c r="G5554" s="20" t="s">
        <v>82</v>
      </c>
      <c r="H5554" s="20" t="s">
        <v>286</v>
      </c>
      <c r="I5554" s="20"/>
      <c r="J5554" s="20" t="s">
        <v>207</v>
      </c>
      <c r="K5554" s="20" t="s">
        <v>250</v>
      </c>
      <c r="L5554" s="20">
        <v>11.8</v>
      </c>
      <c r="M5554" s="20" t="s">
        <v>251</v>
      </c>
      <c r="N5554" s="20" t="s">
        <v>362</v>
      </c>
    </row>
    <row r="5555" spans="1:14" hidden="1" x14ac:dyDescent="0.25">
      <c r="A5555" s="19">
        <v>46082</v>
      </c>
      <c r="B5555" s="20" t="s">
        <v>120</v>
      </c>
      <c r="C5555" s="20">
        <v>66</v>
      </c>
      <c r="D5555" s="20" t="s">
        <v>291</v>
      </c>
      <c r="E5555" s="20" t="s">
        <v>2361</v>
      </c>
      <c r="F5555" s="20" t="s">
        <v>2502</v>
      </c>
      <c r="G5555" s="20" t="s">
        <v>82</v>
      </c>
      <c r="H5555" s="20" t="s">
        <v>128</v>
      </c>
      <c r="I5555" s="20"/>
      <c r="J5555" s="20" t="s">
        <v>207</v>
      </c>
      <c r="K5555" s="20" t="s">
        <v>250</v>
      </c>
      <c r="L5555" s="20">
        <v>42000</v>
      </c>
      <c r="M5555" s="20" t="s">
        <v>242</v>
      </c>
      <c r="N5555" s="20" t="s">
        <v>3590</v>
      </c>
    </row>
    <row r="5556" spans="1:14" hidden="1" x14ac:dyDescent="0.25">
      <c r="A5556" s="19">
        <v>46082</v>
      </c>
      <c r="B5556" s="20" t="s">
        <v>120</v>
      </c>
      <c r="C5556" s="20">
        <v>66</v>
      </c>
      <c r="D5556" s="20" t="s">
        <v>291</v>
      </c>
      <c r="E5556" s="20" t="s">
        <v>2361</v>
      </c>
      <c r="F5556" s="20" t="s">
        <v>2502</v>
      </c>
      <c r="G5556" s="20" t="s">
        <v>82</v>
      </c>
      <c r="H5556" s="20" t="s">
        <v>135</v>
      </c>
      <c r="I5556" s="20"/>
      <c r="J5556" s="20" t="s">
        <v>207</v>
      </c>
      <c r="K5556" s="20" t="s">
        <v>250</v>
      </c>
      <c r="L5556" s="20">
        <v>43000</v>
      </c>
      <c r="M5556" s="20" t="s">
        <v>242</v>
      </c>
      <c r="N5556" s="20" t="s">
        <v>3006</v>
      </c>
    </row>
    <row r="5557" spans="1:14" hidden="1" x14ac:dyDescent="0.25">
      <c r="A5557" s="19">
        <v>46082</v>
      </c>
      <c r="B5557" s="20" t="s">
        <v>120</v>
      </c>
      <c r="C5557" s="20">
        <v>66</v>
      </c>
      <c r="D5557" s="20" t="s">
        <v>291</v>
      </c>
      <c r="E5557" s="20" t="s">
        <v>2361</v>
      </c>
      <c r="F5557" s="20" t="s">
        <v>2502</v>
      </c>
      <c r="G5557" s="20" t="s">
        <v>82</v>
      </c>
      <c r="H5557" s="20" t="s">
        <v>125</v>
      </c>
      <c r="I5557" s="20"/>
      <c r="J5557" s="20" t="s">
        <v>207</v>
      </c>
      <c r="K5557" s="20" t="s">
        <v>250</v>
      </c>
      <c r="L5557" s="20">
        <v>44000</v>
      </c>
      <c r="M5557" s="20" t="s">
        <v>242</v>
      </c>
      <c r="N5557" s="20" t="s">
        <v>3591</v>
      </c>
    </row>
    <row r="5558" spans="1:14" hidden="1" x14ac:dyDescent="0.25">
      <c r="A5558" s="19">
        <v>46082</v>
      </c>
      <c r="B5558" s="20" t="s">
        <v>120</v>
      </c>
      <c r="C5558" s="20">
        <v>66</v>
      </c>
      <c r="D5558" s="20" t="s">
        <v>291</v>
      </c>
      <c r="E5558" s="20" t="s">
        <v>2361</v>
      </c>
      <c r="F5558" s="20" t="s">
        <v>2502</v>
      </c>
      <c r="G5558" s="20" t="s">
        <v>82</v>
      </c>
      <c r="H5558" s="20" t="s">
        <v>132</v>
      </c>
      <c r="I5558" s="20"/>
      <c r="J5558" s="20" t="s">
        <v>207</v>
      </c>
      <c r="K5558" s="20" t="s">
        <v>250</v>
      </c>
      <c r="L5558" s="20">
        <v>57000</v>
      </c>
      <c r="M5558" s="20" t="s">
        <v>242</v>
      </c>
      <c r="N5558" s="20" t="s">
        <v>577</v>
      </c>
    </row>
    <row r="5559" spans="1:14" hidden="1" x14ac:dyDescent="0.25">
      <c r="A5559" s="19">
        <v>46082</v>
      </c>
      <c r="B5559" s="20" t="s">
        <v>120</v>
      </c>
      <c r="C5559" s="20">
        <v>66</v>
      </c>
      <c r="D5559" s="20" t="s">
        <v>291</v>
      </c>
      <c r="E5559" s="20" t="s">
        <v>2361</v>
      </c>
      <c r="F5559" s="20" t="s">
        <v>2502</v>
      </c>
      <c r="G5559" s="20" t="s">
        <v>82</v>
      </c>
      <c r="H5559" s="20" t="s">
        <v>126</v>
      </c>
      <c r="I5559" s="20"/>
      <c r="J5559" s="20" t="s">
        <v>207</v>
      </c>
      <c r="K5559" s="20" t="s">
        <v>250</v>
      </c>
      <c r="L5559" s="20">
        <v>95000</v>
      </c>
      <c r="M5559" s="20" t="s">
        <v>242</v>
      </c>
      <c r="N5559" s="20" t="s">
        <v>3592</v>
      </c>
    </row>
    <row r="5560" spans="1:14" hidden="1" x14ac:dyDescent="0.25">
      <c r="A5560" s="19">
        <v>46082</v>
      </c>
      <c r="B5560" s="20" t="s">
        <v>120</v>
      </c>
      <c r="C5560" s="20">
        <v>66</v>
      </c>
      <c r="D5560" s="20" t="s">
        <v>291</v>
      </c>
      <c r="E5560" s="20" t="s">
        <v>2361</v>
      </c>
      <c r="F5560" s="20" t="s">
        <v>2502</v>
      </c>
      <c r="G5560" s="20" t="s">
        <v>82</v>
      </c>
      <c r="H5560" s="20" t="s">
        <v>127</v>
      </c>
      <c r="I5560" s="20"/>
      <c r="J5560" s="20" t="s">
        <v>207</v>
      </c>
      <c r="K5560" s="20" t="s">
        <v>250</v>
      </c>
      <c r="L5560" s="20">
        <v>359000</v>
      </c>
      <c r="M5560" s="20" t="s">
        <v>242</v>
      </c>
      <c r="N5560" s="20" t="s">
        <v>3593</v>
      </c>
    </row>
    <row r="5561" spans="1:14" hidden="1" x14ac:dyDescent="0.25">
      <c r="A5561" s="19">
        <v>46082</v>
      </c>
      <c r="B5561" s="20" t="s">
        <v>120</v>
      </c>
      <c r="C5561" s="20">
        <v>66</v>
      </c>
      <c r="D5561" s="20" t="s">
        <v>291</v>
      </c>
      <c r="E5561" s="20" t="s">
        <v>2361</v>
      </c>
      <c r="F5561" s="20" t="s">
        <v>2502</v>
      </c>
      <c r="G5561" s="20" t="s">
        <v>82</v>
      </c>
      <c r="H5561" s="20" t="s">
        <v>133</v>
      </c>
      <c r="I5561" s="20"/>
      <c r="J5561" s="20" t="s">
        <v>207</v>
      </c>
      <c r="K5561" s="20" t="s">
        <v>250</v>
      </c>
      <c r="L5561" s="20">
        <v>631000</v>
      </c>
      <c r="M5561" s="20" t="s">
        <v>242</v>
      </c>
      <c r="N5561" s="20" t="s">
        <v>3594</v>
      </c>
    </row>
    <row r="5562" spans="1:14" hidden="1" x14ac:dyDescent="0.25">
      <c r="A5562" s="19">
        <v>46082</v>
      </c>
      <c r="B5562" s="20" t="s">
        <v>120</v>
      </c>
      <c r="C5562" s="20">
        <v>66</v>
      </c>
      <c r="D5562" s="20" t="s">
        <v>291</v>
      </c>
      <c r="E5562" s="20" t="s">
        <v>2361</v>
      </c>
      <c r="F5562" s="20" t="s">
        <v>2502</v>
      </c>
      <c r="G5562" s="20" t="s">
        <v>82</v>
      </c>
      <c r="H5562" s="20" t="s">
        <v>129</v>
      </c>
      <c r="I5562" s="20"/>
      <c r="J5562" s="20" t="s">
        <v>207</v>
      </c>
      <c r="K5562" s="20" t="s">
        <v>250</v>
      </c>
      <c r="L5562" s="20">
        <v>1460000</v>
      </c>
      <c r="M5562" s="20" t="s">
        <v>242</v>
      </c>
      <c r="N5562" s="20" t="s">
        <v>793</v>
      </c>
    </row>
    <row r="5563" spans="1:14" hidden="1" x14ac:dyDescent="0.25">
      <c r="A5563" s="19">
        <v>46082</v>
      </c>
      <c r="B5563" s="20" t="s">
        <v>120</v>
      </c>
      <c r="C5563" s="20">
        <v>66</v>
      </c>
      <c r="D5563" s="20" t="s">
        <v>291</v>
      </c>
      <c r="E5563" s="20" t="s">
        <v>2361</v>
      </c>
      <c r="F5563" s="20" t="s">
        <v>2502</v>
      </c>
      <c r="G5563" s="20" t="s">
        <v>82</v>
      </c>
      <c r="H5563" s="20" t="s">
        <v>134</v>
      </c>
      <c r="I5563" s="20"/>
      <c r="J5563" s="20" t="s">
        <v>207</v>
      </c>
      <c r="K5563" s="20" t="s">
        <v>250</v>
      </c>
      <c r="L5563" s="20">
        <v>2140000</v>
      </c>
      <c r="M5563" s="20" t="s">
        <v>242</v>
      </c>
      <c r="N5563" s="20" t="s">
        <v>1758</v>
      </c>
    </row>
    <row r="5564" spans="1:14" hidden="1" x14ac:dyDescent="0.25">
      <c r="A5564" s="19">
        <v>46082</v>
      </c>
      <c r="B5564" s="20" t="s">
        <v>120</v>
      </c>
      <c r="C5564" s="20">
        <v>66</v>
      </c>
      <c r="D5564" s="20" t="s">
        <v>291</v>
      </c>
      <c r="E5564" s="20" t="s">
        <v>2361</v>
      </c>
      <c r="F5564" s="20" t="s">
        <v>2502</v>
      </c>
      <c r="G5564" s="20" t="s">
        <v>82</v>
      </c>
      <c r="H5564" s="20" t="s">
        <v>130</v>
      </c>
      <c r="I5564" s="20"/>
      <c r="J5564" s="20" t="s">
        <v>207</v>
      </c>
      <c r="K5564" s="20" t="s">
        <v>250</v>
      </c>
      <c r="L5564" s="20">
        <v>2390000</v>
      </c>
      <c r="M5564" s="20" t="s">
        <v>242</v>
      </c>
      <c r="N5564" s="20" t="s">
        <v>3595</v>
      </c>
    </row>
    <row r="5565" spans="1:14" hidden="1" x14ac:dyDescent="0.25">
      <c r="A5565" s="19">
        <v>46082</v>
      </c>
      <c r="B5565" s="20" t="s">
        <v>120</v>
      </c>
      <c r="C5565" s="20">
        <v>67</v>
      </c>
      <c r="D5565" s="20" t="s">
        <v>291</v>
      </c>
      <c r="E5565" s="20" t="s">
        <v>2361</v>
      </c>
      <c r="F5565" s="20" t="s">
        <v>2510</v>
      </c>
      <c r="G5565" s="20" t="s">
        <v>82</v>
      </c>
      <c r="H5565" s="20" t="s">
        <v>138</v>
      </c>
      <c r="I5565" s="20"/>
      <c r="J5565" s="20" t="s">
        <v>207</v>
      </c>
      <c r="K5565" s="20" t="s">
        <v>250</v>
      </c>
      <c r="L5565" s="20">
        <v>6120000</v>
      </c>
      <c r="M5565" s="20" t="s">
        <v>242</v>
      </c>
      <c r="N5565" s="20" t="s">
        <v>3596</v>
      </c>
    </row>
    <row r="5566" spans="1:14" hidden="1" x14ac:dyDescent="0.25">
      <c r="A5566" s="19">
        <v>46082</v>
      </c>
      <c r="B5566" s="20" t="s">
        <v>120</v>
      </c>
      <c r="C5566" s="20">
        <v>67</v>
      </c>
      <c r="D5566" s="20" t="s">
        <v>291</v>
      </c>
      <c r="E5566" s="20" t="s">
        <v>2361</v>
      </c>
      <c r="F5566" s="20" t="s">
        <v>2510</v>
      </c>
      <c r="G5566" s="20" t="s">
        <v>82</v>
      </c>
      <c r="H5566" s="20" t="s">
        <v>137</v>
      </c>
      <c r="I5566" s="20"/>
      <c r="J5566" s="20" t="s">
        <v>207</v>
      </c>
      <c r="K5566" s="20" t="s">
        <v>250</v>
      </c>
      <c r="L5566" s="20">
        <v>1240000</v>
      </c>
      <c r="M5566" s="20" t="s">
        <v>242</v>
      </c>
      <c r="N5566" s="20" t="s">
        <v>591</v>
      </c>
    </row>
    <row r="5567" spans="1:14" hidden="1" x14ac:dyDescent="0.25">
      <c r="A5567" s="19">
        <v>46082</v>
      </c>
      <c r="B5567" s="20" t="s">
        <v>120</v>
      </c>
      <c r="C5567" s="20">
        <v>68</v>
      </c>
      <c r="D5567" s="20" t="s">
        <v>253</v>
      </c>
      <c r="E5567" s="20" t="s">
        <v>2359</v>
      </c>
      <c r="F5567" s="20" t="s">
        <v>244</v>
      </c>
      <c r="G5567" s="20" t="s">
        <v>82</v>
      </c>
      <c r="H5567" s="20"/>
      <c r="I5567" s="20"/>
      <c r="J5567" s="20" t="s">
        <v>205</v>
      </c>
      <c r="K5567" s="20" t="s">
        <v>255</v>
      </c>
      <c r="L5567" s="20">
        <v>1390000000</v>
      </c>
      <c r="M5567" s="20" t="s">
        <v>245</v>
      </c>
      <c r="N5567" s="20" t="s">
        <v>678</v>
      </c>
    </row>
    <row r="5568" spans="1:14" hidden="1" x14ac:dyDescent="0.25">
      <c r="A5568" s="19">
        <v>46082</v>
      </c>
      <c r="B5568" s="20" t="s">
        <v>120</v>
      </c>
      <c r="C5568" s="20">
        <v>68</v>
      </c>
      <c r="D5568" s="20" t="s">
        <v>253</v>
      </c>
      <c r="E5568" s="20" t="s">
        <v>2359</v>
      </c>
      <c r="F5568" s="20" t="s">
        <v>244</v>
      </c>
      <c r="G5568" s="20" t="s">
        <v>82</v>
      </c>
      <c r="H5568" s="20"/>
      <c r="I5568" s="20"/>
      <c r="J5568" s="20" t="s">
        <v>206</v>
      </c>
      <c r="K5568" s="20" t="s">
        <v>255</v>
      </c>
      <c r="L5568" s="20">
        <v>1240000000</v>
      </c>
      <c r="M5568" s="20" t="s">
        <v>245</v>
      </c>
      <c r="N5568" s="20" t="s">
        <v>400</v>
      </c>
    </row>
    <row r="5569" spans="1:14" hidden="1" x14ac:dyDescent="0.25">
      <c r="A5569" s="19">
        <v>46082</v>
      </c>
      <c r="B5569" s="20" t="s">
        <v>120</v>
      </c>
      <c r="C5569" s="20">
        <v>68</v>
      </c>
      <c r="D5569" s="20" t="s">
        <v>253</v>
      </c>
      <c r="E5569" s="20" t="s">
        <v>2359</v>
      </c>
      <c r="F5569" s="20" t="s">
        <v>244</v>
      </c>
      <c r="G5569" s="20" t="s">
        <v>82</v>
      </c>
      <c r="H5569" s="20"/>
      <c r="I5569" s="20"/>
      <c r="J5569" s="20" t="s">
        <v>207</v>
      </c>
      <c r="K5569" s="20" t="s">
        <v>255</v>
      </c>
      <c r="L5569" s="20">
        <v>1260000000</v>
      </c>
      <c r="M5569" s="20" t="s">
        <v>245</v>
      </c>
      <c r="N5569" s="20" t="s">
        <v>3597</v>
      </c>
    </row>
    <row r="5570" spans="1:14" hidden="1" x14ac:dyDescent="0.25">
      <c r="A5570" s="19">
        <v>46082</v>
      </c>
      <c r="B5570" s="20" t="s">
        <v>120</v>
      </c>
      <c r="C5570" s="20">
        <v>68</v>
      </c>
      <c r="D5570" s="20" t="s">
        <v>247</v>
      </c>
      <c r="E5570" s="20" t="s">
        <v>2554</v>
      </c>
      <c r="F5570" s="20" t="s">
        <v>2557</v>
      </c>
      <c r="G5570" s="20" t="s">
        <v>82</v>
      </c>
      <c r="H5570" s="20" t="s">
        <v>286</v>
      </c>
      <c r="I5570" s="20"/>
      <c r="J5570" s="20" t="s">
        <v>207</v>
      </c>
      <c r="K5570" s="20" t="s">
        <v>250</v>
      </c>
      <c r="L5570" s="20">
        <v>1.5</v>
      </c>
      <c r="M5570" s="20" t="s">
        <v>251</v>
      </c>
      <c r="N5570" s="20" t="s">
        <v>446</v>
      </c>
    </row>
    <row r="5571" spans="1:14" hidden="1" x14ac:dyDescent="0.25">
      <c r="A5571" s="19">
        <v>46082</v>
      </c>
      <c r="B5571" s="20" t="s">
        <v>120</v>
      </c>
      <c r="C5571" s="20">
        <v>69</v>
      </c>
      <c r="D5571" s="20" t="s">
        <v>291</v>
      </c>
      <c r="E5571" s="20" t="s">
        <v>2361</v>
      </c>
      <c r="F5571" s="20" t="s">
        <v>2514</v>
      </c>
      <c r="G5571" s="20" t="s">
        <v>82</v>
      </c>
      <c r="H5571" s="20" t="s">
        <v>132</v>
      </c>
      <c r="I5571" s="20"/>
      <c r="J5571" s="20" t="s">
        <v>207</v>
      </c>
      <c r="K5571" s="20" t="s">
        <v>250</v>
      </c>
      <c r="L5571" s="20">
        <v>7000000</v>
      </c>
      <c r="M5571" s="20" t="s">
        <v>245</v>
      </c>
      <c r="N5571" s="20" t="s">
        <v>2515</v>
      </c>
    </row>
    <row r="5572" spans="1:14" hidden="1" x14ac:dyDescent="0.25">
      <c r="A5572" s="19">
        <v>46082</v>
      </c>
      <c r="B5572" s="20" t="s">
        <v>120</v>
      </c>
      <c r="C5572" s="20">
        <v>69</v>
      </c>
      <c r="D5572" s="20" t="s">
        <v>291</v>
      </c>
      <c r="E5572" s="20" t="s">
        <v>2361</v>
      </c>
      <c r="F5572" s="20" t="s">
        <v>2514</v>
      </c>
      <c r="G5572" s="20" t="s">
        <v>82</v>
      </c>
      <c r="H5572" s="20" t="s">
        <v>131</v>
      </c>
      <c r="I5572" s="20"/>
      <c r="J5572" s="20" t="s">
        <v>207</v>
      </c>
      <c r="K5572" s="20" t="s">
        <v>250</v>
      </c>
      <c r="L5572" s="20">
        <v>12000000</v>
      </c>
      <c r="M5572" s="20" t="s">
        <v>245</v>
      </c>
      <c r="N5572" s="20" t="s">
        <v>1755</v>
      </c>
    </row>
    <row r="5573" spans="1:14" hidden="1" x14ac:dyDescent="0.25">
      <c r="A5573" s="19">
        <v>46082</v>
      </c>
      <c r="B5573" s="20" t="s">
        <v>120</v>
      </c>
      <c r="C5573" s="20">
        <v>69</v>
      </c>
      <c r="D5573" s="20" t="s">
        <v>291</v>
      </c>
      <c r="E5573" s="20" t="s">
        <v>2361</v>
      </c>
      <c r="F5573" s="20" t="s">
        <v>2514</v>
      </c>
      <c r="G5573" s="20" t="s">
        <v>82</v>
      </c>
      <c r="H5573" s="20" t="s">
        <v>126</v>
      </c>
      <c r="I5573" s="20"/>
      <c r="J5573" s="20" t="s">
        <v>207</v>
      </c>
      <c r="K5573" s="20" t="s">
        <v>250</v>
      </c>
      <c r="L5573" s="20">
        <v>17000000</v>
      </c>
      <c r="M5573" s="20" t="s">
        <v>245</v>
      </c>
      <c r="N5573" s="20" t="s">
        <v>2696</v>
      </c>
    </row>
    <row r="5574" spans="1:14" hidden="1" x14ac:dyDescent="0.25">
      <c r="A5574" s="19">
        <v>46082</v>
      </c>
      <c r="B5574" s="20" t="s">
        <v>120</v>
      </c>
      <c r="C5574" s="20">
        <v>69</v>
      </c>
      <c r="D5574" s="20" t="s">
        <v>291</v>
      </c>
      <c r="E5574" s="20" t="s">
        <v>2361</v>
      </c>
      <c r="F5574" s="20" t="s">
        <v>2514</v>
      </c>
      <c r="G5574" s="20" t="s">
        <v>82</v>
      </c>
      <c r="H5574" s="20" t="s">
        <v>128</v>
      </c>
      <c r="I5574" s="20"/>
      <c r="J5574" s="20" t="s">
        <v>207</v>
      </c>
      <c r="K5574" s="20" t="s">
        <v>250</v>
      </c>
      <c r="L5574" s="20">
        <v>19000000</v>
      </c>
      <c r="M5574" s="20" t="s">
        <v>245</v>
      </c>
      <c r="N5574" s="20" t="s">
        <v>3598</v>
      </c>
    </row>
    <row r="5575" spans="1:14" hidden="1" x14ac:dyDescent="0.25">
      <c r="A5575" s="19">
        <v>46082</v>
      </c>
      <c r="B5575" s="20" t="s">
        <v>120</v>
      </c>
      <c r="C5575" s="20">
        <v>69</v>
      </c>
      <c r="D5575" s="20" t="s">
        <v>291</v>
      </c>
      <c r="E5575" s="20" t="s">
        <v>2361</v>
      </c>
      <c r="F5575" s="20" t="s">
        <v>2514</v>
      </c>
      <c r="G5575" s="20" t="s">
        <v>82</v>
      </c>
      <c r="H5575" s="20" t="s">
        <v>140</v>
      </c>
      <c r="I5575" s="20"/>
      <c r="J5575" s="20" t="s">
        <v>207</v>
      </c>
      <c r="K5575" s="20" t="s">
        <v>250</v>
      </c>
      <c r="L5575" s="20">
        <v>20000000</v>
      </c>
      <c r="M5575" s="20" t="s">
        <v>245</v>
      </c>
      <c r="N5575" s="20" t="s">
        <v>3599</v>
      </c>
    </row>
    <row r="5576" spans="1:14" hidden="1" x14ac:dyDescent="0.25">
      <c r="A5576" s="19">
        <v>46082</v>
      </c>
      <c r="B5576" s="20" t="s">
        <v>120</v>
      </c>
      <c r="C5576" s="20">
        <v>69</v>
      </c>
      <c r="D5576" s="20" t="s">
        <v>291</v>
      </c>
      <c r="E5576" s="20" t="s">
        <v>2361</v>
      </c>
      <c r="F5576" s="20" t="s">
        <v>2514</v>
      </c>
      <c r="G5576" s="20" t="s">
        <v>82</v>
      </c>
      <c r="H5576" s="20" t="s">
        <v>130</v>
      </c>
      <c r="I5576" s="20"/>
      <c r="J5576" s="20" t="s">
        <v>207</v>
      </c>
      <c r="K5576" s="20" t="s">
        <v>250</v>
      </c>
      <c r="L5576" s="20">
        <v>39000000</v>
      </c>
      <c r="M5576" s="20" t="s">
        <v>245</v>
      </c>
      <c r="N5576" s="20" t="s">
        <v>3308</v>
      </c>
    </row>
    <row r="5577" spans="1:14" hidden="1" x14ac:dyDescent="0.25">
      <c r="A5577" s="19">
        <v>46082</v>
      </c>
      <c r="B5577" s="20" t="s">
        <v>120</v>
      </c>
      <c r="C5577" s="20">
        <v>69</v>
      </c>
      <c r="D5577" s="20" t="s">
        <v>291</v>
      </c>
      <c r="E5577" s="20" t="s">
        <v>2361</v>
      </c>
      <c r="F5577" s="20" t="s">
        <v>2514</v>
      </c>
      <c r="G5577" s="20" t="s">
        <v>82</v>
      </c>
      <c r="H5577" s="20" t="s">
        <v>127</v>
      </c>
      <c r="I5577" s="20"/>
      <c r="J5577" s="20" t="s">
        <v>207</v>
      </c>
      <c r="K5577" s="20" t="s">
        <v>250</v>
      </c>
      <c r="L5577" s="20">
        <v>72000000</v>
      </c>
      <c r="M5577" s="20" t="s">
        <v>245</v>
      </c>
      <c r="N5577" s="20" t="s">
        <v>3600</v>
      </c>
    </row>
    <row r="5578" spans="1:14" hidden="1" x14ac:dyDescent="0.25">
      <c r="A5578" s="19">
        <v>46082</v>
      </c>
      <c r="B5578" s="20" t="s">
        <v>120</v>
      </c>
      <c r="C5578" s="20">
        <v>69</v>
      </c>
      <c r="D5578" s="20" t="s">
        <v>291</v>
      </c>
      <c r="E5578" s="20" t="s">
        <v>2361</v>
      </c>
      <c r="F5578" s="20" t="s">
        <v>2514</v>
      </c>
      <c r="G5578" s="20" t="s">
        <v>82</v>
      </c>
      <c r="H5578" s="20" t="s">
        <v>134</v>
      </c>
      <c r="I5578" s="20"/>
      <c r="J5578" s="20" t="s">
        <v>207</v>
      </c>
      <c r="K5578" s="20" t="s">
        <v>250</v>
      </c>
      <c r="L5578" s="20">
        <v>90000000</v>
      </c>
      <c r="M5578" s="20" t="s">
        <v>245</v>
      </c>
      <c r="N5578" s="20" t="s">
        <v>2521</v>
      </c>
    </row>
    <row r="5579" spans="1:14" hidden="1" x14ac:dyDescent="0.25">
      <c r="A5579" s="19">
        <v>46082</v>
      </c>
      <c r="B5579" s="20" t="s">
        <v>120</v>
      </c>
      <c r="C5579" s="20">
        <v>69</v>
      </c>
      <c r="D5579" s="20" t="s">
        <v>291</v>
      </c>
      <c r="E5579" s="20" t="s">
        <v>2361</v>
      </c>
      <c r="F5579" s="20" t="s">
        <v>2514</v>
      </c>
      <c r="G5579" s="20" t="s">
        <v>82</v>
      </c>
      <c r="H5579" s="20" t="s">
        <v>133</v>
      </c>
      <c r="I5579" s="20"/>
      <c r="J5579" s="20" t="s">
        <v>207</v>
      </c>
      <c r="K5579" s="20" t="s">
        <v>250</v>
      </c>
      <c r="L5579" s="20">
        <v>173000000</v>
      </c>
      <c r="M5579" s="20" t="s">
        <v>245</v>
      </c>
      <c r="N5579" s="20" t="s">
        <v>3601</v>
      </c>
    </row>
    <row r="5580" spans="1:14" hidden="1" x14ac:dyDescent="0.25">
      <c r="A5580" s="19">
        <v>46082</v>
      </c>
      <c r="B5580" s="20" t="s">
        <v>120</v>
      </c>
      <c r="C5580" s="20">
        <v>69</v>
      </c>
      <c r="D5580" s="20" t="s">
        <v>291</v>
      </c>
      <c r="E5580" s="20" t="s">
        <v>2361</v>
      </c>
      <c r="F5580" s="20" t="s">
        <v>2514</v>
      </c>
      <c r="G5580" s="20" t="s">
        <v>82</v>
      </c>
      <c r="H5580" s="20" t="s">
        <v>129</v>
      </c>
      <c r="I5580" s="20"/>
      <c r="J5580" s="20" t="s">
        <v>207</v>
      </c>
      <c r="K5580" s="20" t="s">
        <v>250</v>
      </c>
      <c r="L5580" s="20">
        <v>797000000</v>
      </c>
      <c r="M5580" s="20" t="s">
        <v>245</v>
      </c>
      <c r="N5580" s="20" t="s">
        <v>3602</v>
      </c>
    </row>
    <row r="5581" spans="1:14" hidden="1" x14ac:dyDescent="0.25">
      <c r="A5581" s="19">
        <v>46082</v>
      </c>
      <c r="B5581" s="20" t="s">
        <v>120</v>
      </c>
      <c r="C5581" s="20">
        <v>70</v>
      </c>
      <c r="D5581" s="20" t="s">
        <v>291</v>
      </c>
      <c r="E5581" s="20" t="s">
        <v>2361</v>
      </c>
      <c r="F5581" s="20" t="s">
        <v>2510</v>
      </c>
      <c r="G5581" s="20" t="s">
        <v>82</v>
      </c>
      <c r="H5581" s="20" t="s">
        <v>138</v>
      </c>
      <c r="I5581" s="20"/>
      <c r="J5581" s="20" t="s">
        <v>207</v>
      </c>
      <c r="K5581" s="20" t="s">
        <v>250</v>
      </c>
      <c r="L5581" s="20">
        <v>1100000000</v>
      </c>
      <c r="M5581" s="20" t="s">
        <v>245</v>
      </c>
      <c r="N5581" s="20" t="s">
        <v>3603</v>
      </c>
    </row>
    <row r="5582" spans="1:14" hidden="1" x14ac:dyDescent="0.25">
      <c r="A5582" s="19">
        <v>46082</v>
      </c>
      <c r="B5582" s="20" t="s">
        <v>120</v>
      </c>
      <c r="C5582" s="20">
        <v>70</v>
      </c>
      <c r="D5582" s="20" t="s">
        <v>291</v>
      </c>
      <c r="E5582" s="20" t="s">
        <v>2361</v>
      </c>
      <c r="F5582" s="20" t="s">
        <v>2510</v>
      </c>
      <c r="G5582" s="20" t="s">
        <v>82</v>
      </c>
      <c r="H5582" s="20" t="s">
        <v>137</v>
      </c>
      <c r="I5582" s="20"/>
      <c r="J5582" s="20" t="s">
        <v>207</v>
      </c>
      <c r="K5582" s="20" t="s">
        <v>250</v>
      </c>
      <c r="L5582" s="20">
        <v>157100000</v>
      </c>
      <c r="M5582" s="20" t="s">
        <v>245</v>
      </c>
      <c r="N5582" s="20" t="s">
        <v>3604</v>
      </c>
    </row>
    <row r="5583" spans="1:14" hidden="1" x14ac:dyDescent="0.25">
      <c r="A5583" s="19">
        <v>46082</v>
      </c>
      <c r="B5583" s="20" t="s">
        <v>120</v>
      </c>
      <c r="C5583" s="20">
        <v>71</v>
      </c>
      <c r="D5583" s="20" t="s">
        <v>253</v>
      </c>
      <c r="E5583" s="20" t="s">
        <v>2359</v>
      </c>
      <c r="F5583" s="20" t="s">
        <v>334</v>
      </c>
      <c r="G5583" s="20" t="s">
        <v>82</v>
      </c>
      <c r="H5583" s="20"/>
      <c r="I5583" s="20"/>
      <c r="J5583" s="20" t="s">
        <v>205</v>
      </c>
      <c r="K5583" s="20" t="s">
        <v>255</v>
      </c>
      <c r="L5583" s="20">
        <v>213</v>
      </c>
      <c r="M5583" s="20" t="s">
        <v>245</v>
      </c>
      <c r="N5583" s="20" t="s">
        <v>3313</v>
      </c>
    </row>
    <row r="5584" spans="1:14" hidden="1" x14ac:dyDescent="0.25">
      <c r="A5584" s="19">
        <v>46082</v>
      </c>
      <c r="B5584" s="20" t="s">
        <v>120</v>
      </c>
      <c r="C5584" s="20">
        <v>71</v>
      </c>
      <c r="D5584" s="20" t="s">
        <v>253</v>
      </c>
      <c r="E5584" s="20" t="s">
        <v>2359</v>
      </c>
      <c r="F5584" s="20" t="s">
        <v>334</v>
      </c>
      <c r="G5584" s="20" t="s">
        <v>82</v>
      </c>
      <c r="H5584" s="20"/>
      <c r="I5584" s="20"/>
      <c r="J5584" s="20" t="s">
        <v>206</v>
      </c>
      <c r="K5584" s="20" t="s">
        <v>255</v>
      </c>
      <c r="L5584" s="20">
        <v>188</v>
      </c>
      <c r="M5584" s="20" t="s">
        <v>245</v>
      </c>
      <c r="N5584" s="20" t="s">
        <v>839</v>
      </c>
    </row>
    <row r="5585" spans="1:14" hidden="1" x14ac:dyDescent="0.25">
      <c r="A5585" s="19">
        <v>46082</v>
      </c>
      <c r="B5585" s="20" t="s">
        <v>120</v>
      </c>
      <c r="C5585" s="20">
        <v>71</v>
      </c>
      <c r="D5585" s="20" t="s">
        <v>253</v>
      </c>
      <c r="E5585" s="20" t="s">
        <v>2359</v>
      </c>
      <c r="F5585" s="20" t="s">
        <v>334</v>
      </c>
      <c r="G5585" s="20" t="s">
        <v>82</v>
      </c>
      <c r="H5585" s="20"/>
      <c r="I5585" s="20"/>
      <c r="J5585" s="20" t="s">
        <v>207</v>
      </c>
      <c r="K5585" s="20" t="s">
        <v>255</v>
      </c>
      <c r="L5585" s="20">
        <v>171</v>
      </c>
      <c r="M5585" s="20" t="s">
        <v>245</v>
      </c>
      <c r="N5585" s="20" t="s">
        <v>3605</v>
      </c>
    </row>
    <row r="5586" spans="1:14" hidden="1" x14ac:dyDescent="0.25">
      <c r="A5586" s="19">
        <v>46082</v>
      </c>
      <c r="B5586" s="20" t="s">
        <v>142</v>
      </c>
      <c r="C5586" s="20">
        <v>73</v>
      </c>
      <c r="D5586" s="20" t="s">
        <v>238</v>
      </c>
      <c r="E5586" s="20" t="s">
        <v>2341</v>
      </c>
      <c r="F5586" s="20" t="s">
        <v>240</v>
      </c>
      <c r="G5586" s="20" t="s">
        <v>82</v>
      </c>
      <c r="H5586" s="20"/>
      <c r="I5586" s="20"/>
      <c r="J5586" s="20" t="s">
        <v>3491</v>
      </c>
      <c r="K5586" s="20" t="s">
        <v>241</v>
      </c>
      <c r="L5586" s="20">
        <v>3240000</v>
      </c>
      <c r="M5586" s="20" t="s">
        <v>242</v>
      </c>
      <c r="N5586" s="20" t="s">
        <v>3606</v>
      </c>
    </row>
    <row r="5587" spans="1:14" hidden="1" x14ac:dyDescent="0.25">
      <c r="A5587" s="19">
        <v>46082</v>
      </c>
      <c r="B5587" s="20" t="s">
        <v>142</v>
      </c>
      <c r="C5587" s="20">
        <v>73</v>
      </c>
      <c r="D5587" s="20" t="s">
        <v>238</v>
      </c>
      <c r="E5587" s="20" t="s">
        <v>2341</v>
      </c>
      <c r="F5587" s="20" t="s">
        <v>244</v>
      </c>
      <c r="G5587" s="20" t="s">
        <v>82</v>
      </c>
      <c r="H5587" s="20"/>
      <c r="I5587" s="20"/>
      <c r="J5587" s="20" t="s">
        <v>3491</v>
      </c>
      <c r="K5587" s="20" t="s">
        <v>241</v>
      </c>
      <c r="L5587" s="20">
        <v>2690000000</v>
      </c>
      <c r="M5587" s="20" t="s">
        <v>245</v>
      </c>
      <c r="N5587" s="20" t="s">
        <v>3607</v>
      </c>
    </row>
    <row r="5588" spans="1:14" hidden="1" x14ac:dyDescent="0.25">
      <c r="A5588" s="19">
        <v>46082</v>
      </c>
      <c r="B5588" s="20" t="s">
        <v>142</v>
      </c>
      <c r="C5588" s="20">
        <v>74</v>
      </c>
      <c r="D5588" s="20" t="s">
        <v>253</v>
      </c>
      <c r="E5588" s="20" t="s">
        <v>2359</v>
      </c>
      <c r="F5588" s="20" t="s">
        <v>544</v>
      </c>
      <c r="G5588" s="20" t="s">
        <v>82</v>
      </c>
      <c r="H5588" s="20"/>
      <c r="I5588" s="20"/>
      <c r="J5588" s="20" t="s">
        <v>205</v>
      </c>
      <c r="K5588" s="20" t="s">
        <v>255</v>
      </c>
      <c r="L5588" s="20">
        <v>1030000</v>
      </c>
      <c r="M5588" s="20" t="s">
        <v>242</v>
      </c>
      <c r="N5588" s="20" t="s">
        <v>3315</v>
      </c>
    </row>
    <row r="5589" spans="1:14" hidden="1" x14ac:dyDescent="0.25">
      <c r="A5589" s="19">
        <v>46082</v>
      </c>
      <c r="B5589" s="20" t="s">
        <v>142</v>
      </c>
      <c r="C5589" s="20">
        <v>74</v>
      </c>
      <c r="D5589" s="20" t="s">
        <v>253</v>
      </c>
      <c r="E5589" s="20" t="s">
        <v>2359</v>
      </c>
      <c r="F5589" s="20" t="s">
        <v>544</v>
      </c>
      <c r="G5589" s="20" t="s">
        <v>82</v>
      </c>
      <c r="H5589" s="20"/>
      <c r="I5589" s="20"/>
      <c r="J5589" s="20" t="s">
        <v>206</v>
      </c>
      <c r="K5589" s="20" t="s">
        <v>255</v>
      </c>
      <c r="L5589" s="20">
        <v>1080000</v>
      </c>
      <c r="M5589" s="20" t="s">
        <v>242</v>
      </c>
      <c r="N5589" s="20" t="s">
        <v>3458</v>
      </c>
    </row>
    <row r="5590" spans="1:14" hidden="1" x14ac:dyDescent="0.25">
      <c r="A5590" s="19">
        <v>46082</v>
      </c>
      <c r="B5590" s="20" t="s">
        <v>142</v>
      </c>
      <c r="C5590" s="20">
        <v>74</v>
      </c>
      <c r="D5590" s="20" t="s">
        <v>253</v>
      </c>
      <c r="E5590" s="20" t="s">
        <v>2359</v>
      </c>
      <c r="F5590" s="20" t="s">
        <v>544</v>
      </c>
      <c r="G5590" s="20" t="s">
        <v>82</v>
      </c>
      <c r="H5590" s="20"/>
      <c r="I5590" s="20"/>
      <c r="J5590" s="20" t="s">
        <v>207</v>
      </c>
      <c r="K5590" s="20" t="s">
        <v>255</v>
      </c>
      <c r="L5590" s="20">
        <v>1120000</v>
      </c>
      <c r="M5590" s="20" t="s">
        <v>242</v>
      </c>
      <c r="N5590" s="20" t="s">
        <v>3608</v>
      </c>
    </row>
    <row r="5591" spans="1:14" hidden="1" x14ac:dyDescent="0.25">
      <c r="A5591" s="19">
        <v>46082</v>
      </c>
      <c r="B5591" s="20" t="s">
        <v>142</v>
      </c>
      <c r="C5591" s="20">
        <v>74</v>
      </c>
      <c r="D5591" s="20" t="s">
        <v>247</v>
      </c>
      <c r="E5591" s="20" t="s">
        <v>2554</v>
      </c>
      <c r="F5591" s="20" t="s">
        <v>2556</v>
      </c>
      <c r="G5591" s="20" t="s">
        <v>82</v>
      </c>
      <c r="H5591" s="20" t="s">
        <v>286</v>
      </c>
      <c r="I5591" s="20"/>
      <c r="J5591" s="20" t="s">
        <v>207</v>
      </c>
      <c r="K5591" s="20" t="s">
        <v>250</v>
      </c>
      <c r="L5591" s="20">
        <v>4.3</v>
      </c>
      <c r="M5591" s="20" t="s">
        <v>251</v>
      </c>
      <c r="N5591" s="20" t="s">
        <v>252</v>
      </c>
    </row>
    <row r="5592" spans="1:14" hidden="1" x14ac:dyDescent="0.25">
      <c r="A5592" s="19">
        <v>46082</v>
      </c>
      <c r="B5592" s="20" t="s">
        <v>142</v>
      </c>
      <c r="C5592" s="20">
        <v>75</v>
      </c>
      <c r="D5592" s="20" t="s">
        <v>253</v>
      </c>
      <c r="E5592" s="20" t="s">
        <v>2359</v>
      </c>
      <c r="F5592" s="20" t="s">
        <v>2531</v>
      </c>
      <c r="G5592" s="20" t="s">
        <v>82</v>
      </c>
      <c r="H5592" s="20" t="s">
        <v>149</v>
      </c>
      <c r="I5592" s="20"/>
      <c r="J5592" s="20" t="s">
        <v>205</v>
      </c>
      <c r="K5592" s="20" t="s">
        <v>255</v>
      </c>
      <c r="L5592" s="20">
        <v>5923</v>
      </c>
      <c r="M5592" s="20" t="s">
        <v>242</v>
      </c>
      <c r="N5592" s="20" t="s">
        <v>3317</v>
      </c>
    </row>
    <row r="5593" spans="1:14" hidden="1" x14ac:dyDescent="0.25">
      <c r="A5593" s="19">
        <v>46082</v>
      </c>
      <c r="B5593" s="20" t="s">
        <v>142</v>
      </c>
      <c r="C5593" s="20">
        <v>75</v>
      </c>
      <c r="D5593" s="20" t="s">
        <v>253</v>
      </c>
      <c r="E5593" s="20" t="s">
        <v>2359</v>
      </c>
      <c r="F5593" s="20" t="s">
        <v>2531</v>
      </c>
      <c r="G5593" s="20" t="s">
        <v>82</v>
      </c>
      <c r="H5593" s="20" t="s">
        <v>149</v>
      </c>
      <c r="I5593" s="20"/>
      <c r="J5593" s="20" t="s">
        <v>206</v>
      </c>
      <c r="K5593" s="20" t="s">
        <v>255</v>
      </c>
      <c r="L5593" s="20">
        <v>5442</v>
      </c>
      <c r="M5593" s="20" t="s">
        <v>242</v>
      </c>
      <c r="N5593" s="20" t="s">
        <v>3459</v>
      </c>
    </row>
    <row r="5594" spans="1:14" hidden="1" x14ac:dyDescent="0.25">
      <c r="A5594" s="19">
        <v>46082</v>
      </c>
      <c r="B5594" s="20" t="s">
        <v>142</v>
      </c>
      <c r="C5594" s="20">
        <v>75</v>
      </c>
      <c r="D5594" s="20" t="s">
        <v>253</v>
      </c>
      <c r="E5594" s="20" t="s">
        <v>2359</v>
      </c>
      <c r="F5594" s="20" t="s">
        <v>2531</v>
      </c>
      <c r="G5594" s="20" t="s">
        <v>82</v>
      </c>
      <c r="H5594" s="20" t="s">
        <v>149</v>
      </c>
      <c r="I5594" s="20"/>
      <c r="J5594" s="20" t="s">
        <v>207</v>
      </c>
      <c r="K5594" s="20" t="s">
        <v>255</v>
      </c>
      <c r="L5594" s="20">
        <v>5518</v>
      </c>
      <c r="M5594" s="20" t="s">
        <v>242</v>
      </c>
      <c r="N5594" s="20" t="s">
        <v>3609</v>
      </c>
    </row>
    <row r="5595" spans="1:14" hidden="1" x14ac:dyDescent="0.25">
      <c r="A5595" s="19">
        <v>46082</v>
      </c>
      <c r="B5595" s="20" t="s">
        <v>142</v>
      </c>
      <c r="C5595" s="20">
        <v>75</v>
      </c>
      <c r="D5595" s="20" t="s">
        <v>253</v>
      </c>
      <c r="E5595" s="20" t="s">
        <v>2359</v>
      </c>
      <c r="F5595" s="20" t="s">
        <v>2531</v>
      </c>
      <c r="G5595" s="20" t="s">
        <v>82</v>
      </c>
      <c r="H5595" s="20" t="s">
        <v>150</v>
      </c>
      <c r="I5595" s="20"/>
      <c r="J5595" s="20" t="s">
        <v>205</v>
      </c>
      <c r="K5595" s="20" t="s">
        <v>255</v>
      </c>
      <c r="L5595" s="20">
        <v>264</v>
      </c>
      <c r="M5595" s="20" t="s">
        <v>242</v>
      </c>
      <c r="N5595" s="20" t="s">
        <v>3318</v>
      </c>
    </row>
    <row r="5596" spans="1:14" hidden="1" x14ac:dyDescent="0.25">
      <c r="A5596" s="19">
        <v>46082</v>
      </c>
      <c r="B5596" s="20" t="s">
        <v>142</v>
      </c>
      <c r="C5596" s="20">
        <v>75</v>
      </c>
      <c r="D5596" s="20" t="s">
        <v>253</v>
      </c>
      <c r="E5596" s="20" t="s">
        <v>2359</v>
      </c>
      <c r="F5596" s="20" t="s">
        <v>2531</v>
      </c>
      <c r="G5596" s="20" t="s">
        <v>82</v>
      </c>
      <c r="H5596" s="20" t="s">
        <v>150</v>
      </c>
      <c r="I5596" s="20"/>
      <c r="J5596" s="20" t="s">
        <v>206</v>
      </c>
      <c r="K5596" s="20" t="s">
        <v>255</v>
      </c>
      <c r="L5596" s="20">
        <v>292</v>
      </c>
      <c r="M5596" s="20" t="s">
        <v>242</v>
      </c>
      <c r="N5596" s="20" t="s">
        <v>1662</v>
      </c>
    </row>
    <row r="5597" spans="1:14" hidden="1" x14ac:dyDescent="0.25">
      <c r="A5597" s="19">
        <v>46082</v>
      </c>
      <c r="B5597" s="20" t="s">
        <v>142</v>
      </c>
      <c r="C5597" s="20">
        <v>75</v>
      </c>
      <c r="D5597" s="20" t="s">
        <v>253</v>
      </c>
      <c r="E5597" s="20" t="s">
        <v>2359</v>
      </c>
      <c r="F5597" s="20" t="s">
        <v>2531</v>
      </c>
      <c r="G5597" s="20" t="s">
        <v>82</v>
      </c>
      <c r="H5597" s="20" t="s">
        <v>150</v>
      </c>
      <c r="I5597" s="20"/>
      <c r="J5597" s="20" t="s">
        <v>207</v>
      </c>
      <c r="K5597" s="20" t="s">
        <v>255</v>
      </c>
      <c r="L5597" s="20">
        <v>272</v>
      </c>
      <c r="M5597" s="20" t="s">
        <v>242</v>
      </c>
      <c r="N5597" s="20" t="s">
        <v>3610</v>
      </c>
    </row>
    <row r="5598" spans="1:14" hidden="1" x14ac:dyDescent="0.25">
      <c r="A5598" s="19">
        <v>46082</v>
      </c>
      <c r="B5598" s="20" t="s">
        <v>142</v>
      </c>
      <c r="C5598" s="20">
        <v>75</v>
      </c>
      <c r="D5598" s="20" t="s">
        <v>253</v>
      </c>
      <c r="E5598" s="20" t="s">
        <v>2359</v>
      </c>
      <c r="F5598" s="20" t="s">
        <v>2531</v>
      </c>
      <c r="G5598" s="20" t="s">
        <v>82</v>
      </c>
      <c r="H5598" s="20" t="s">
        <v>151</v>
      </c>
      <c r="I5598" s="20"/>
      <c r="J5598" s="20" t="s">
        <v>205</v>
      </c>
      <c r="K5598" s="20" t="s">
        <v>255</v>
      </c>
      <c r="L5598" s="20">
        <v>28</v>
      </c>
      <c r="M5598" s="20" t="s">
        <v>242</v>
      </c>
      <c r="N5598" s="20" t="s">
        <v>3319</v>
      </c>
    </row>
    <row r="5599" spans="1:14" hidden="1" x14ac:dyDescent="0.25">
      <c r="A5599" s="19">
        <v>46082</v>
      </c>
      <c r="B5599" s="20" t="s">
        <v>142</v>
      </c>
      <c r="C5599" s="20">
        <v>75</v>
      </c>
      <c r="D5599" s="20" t="s">
        <v>253</v>
      </c>
      <c r="E5599" s="20" t="s">
        <v>2359</v>
      </c>
      <c r="F5599" s="20" t="s">
        <v>2531</v>
      </c>
      <c r="G5599" s="20" t="s">
        <v>82</v>
      </c>
      <c r="H5599" s="20" t="s">
        <v>151</v>
      </c>
      <c r="I5599" s="20"/>
      <c r="J5599" s="20" t="s">
        <v>206</v>
      </c>
      <c r="K5599" s="20" t="s">
        <v>255</v>
      </c>
      <c r="L5599" s="20">
        <v>31</v>
      </c>
      <c r="M5599" s="20" t="s">
        <v>242</v>
      </c>
      <c r="N5599" s="20" t="s">
        <v>3460</v>
      </c>
    </row>
    <row r="5600" spans="1:14" hidden="1" x14ac:dyDescent="0.25">
      <c r="A5600" s="19">
        <v>46082</v>
      </c>
      <c r="B5600" s="20" t="s">
        <v>142</v>
      </c>
      <c r="C5600" s="20">
        <v>75</v>
      </c>
      <c r="D5600" s="20" t="s">
        <v>253</v>
      </c>
      <c r="E5600" s="20" t="s">
        <v>2359</v>
      </c>
      <c r="F5600" s="20" t="s">
        <v>2531</v>
      </c>
      <c r="G5600" s="20" t="s">
        <v>82</v>
      </c>
      <c r="H5600" s="20" t="s">
        <v>151</v>
      </c>
      <c r="I5600" s="20"/>
      <c r="J5600" s="20" t="s">
        <v>207</v>
      </c>
      <c r="K5600" s="20" t="s">
        <v>255</v>
      </c>
      <c r="L5600" s="20">
        <v>44</v>
      </c>
      <c r="M5600" s="20" t="s">
        <v>242</v>
      </c>
      <c r="N5600" s="20" t="s">
        <v>3611</v>
      </c>
    </row>
    <row r="5601" spans="1:14" hidden="1" x14ac:dyDescent="0.25">
      <c r="A5601" s="19">
        <v>46082</v>
      </c>
      <c r="B5601" s="20" t="s">
        <v>142</v>
      </c>
      <c r="C5601" s="20">
        <v>76</v>
      </c>
      <c r="D5601" s="20" t="s">
        <v>253</v>
      </c>
      <c r="E5601" s="20" t="s">
        <v>2359</v>
      </c>
      <c r="F5601" s="20" t="s">
        <v>929</v>
      </c>
      <c r="G5601" s="20" t="s">
        <v>82</v>
      </c>
      <c r="H5601" s="20"/>
      <c r="I5601" s="20"/>
      <c r="J5601" s="20" t="s">
        <v>205</v>
      </c>
      <c r="K5601" s="20" t="s">
        <v>255</v>
      </c>
      <c r="L5601" s="20">
        <v>862000000</v>
      </c>
      <c r="M5601" s="20" t="s">
        <v>245</v>
      </c>
      <c r="N5601" s="20" t="s">
        <v>3320</v>
      </c>
    </row>
    <row r="5602" spans="1:14" hidden="1" x14ac:dyDescent="0.25">
      <c r="A5602" s="19">
        <v>46082</v>
      </c>
      <c r="B5602" s="20" t="s">
        <v>142</v>
      </c>
      <c r="C5602" s="20">
        <v>76</v>
      </c>
      <c r="D5602" s="20" t="s">
        <v>253</v>
      </c>
      <c r="E5602" s="20" t="s">
        <v>2359</v>
      </c>
      <c r="F5602" s="20" t="s">
        <v>929</v>
      </c>
      <c r="G5602" s="20" t="s">
        <v>82</v>
      </c>
      <c r="H5602" s="20"/>
      <c r="I5602" s="20"/>
      <c r="J5602" s="20" t="s">
        <v>206</v>
      </c>
      <c r="K5602" s="20" t="s">
        <v>255</v>
      </c>
      <c r="L5602" s="20">
        <v>886000000</v>
      </c>
      <c r="M5602" s="20" t="s">
        <v>245</v>
      </c>
      <c r="N5602" s="20" t="s">
        <v>3461</v>
      </c>
    </row>
    <row r="5603" spans="1:14" hidden="1" x14ac:dyDescent="0.25">
      <c r="A5603" s="19">
        <v>46082</v>
      </c>
      <c r="B5603" s="20" t="s">
        <v>142</v>
      </c>
      <c r="C5603" s="20">
        <v>76</v>
      </c>
      <c r="D5603" s="20" t="s">
        <v>253</v>
      </c>
      <c r="E5603" s="20" t="s">
        <v>2359</v>
      </c>
      <c r="F5603" s="20" t="s">
        <v>929</v>
      </c>
      <c r="G5603" s="20" t="s">
        <v>82</v>
      </c>
      <c r="H5603" s="20"/>
      <c r="I5603" s="20"/>
      <c r="J5603" s="20" t="s">
        <v>207</v>
      </c>
      <c r="K5603" s="20" t="s">
        <v>255</v>
      </c>
      <c r="L5603" s="20">
        <v>937000000</v>
      </c>
      <c r="M5603" s="20" t="s">
        <v>245</v>
      </c>
      <c r="N5603" s="20" t="s">
        <v>3612</v>
      </c>
    </row>
    <row r="5604" spans="1:14" hidden="1" x14ac:dyDescent="0.25">
      <c r="A5604" s="19">
        <v>46082</v>
      </c>
      <c r="B5604" s="20" t="s">
        <v>142</v>
      </c>
      <c r="C5604" s="20">
        <v>76</v>
      </c>
      <c r="D5604" s="20" t="s">
        <v>247</v>
      </c>
      <c r="E5604" s="20" t="s">
        <v>2554</v>
      </c>
      <c r="F5604" s="20" t="s">
        <v>2557</v>
      </c>
      <c r="G5604" s="20" t="s">
        <v>82</v>
      </c>
      <c r="H5604" s="20" t="s">
        <v>286</v>
      </c>
      <c r="I5604" s="20"/>
      <c r="J5604" s="20" t="s">
        <v>207</v>
      </c>
      <c r="K5604" s="20" t="s">
        <v>250</v>
      </c>
      <c r="L5604" s="20">
        <v>5.7</v>
      </c>
      <c r="M5604" s="20" t="s">
        <v>251</v>
      </c>
      <c r="N5604" s="20" t="s">
        <v>1145</v>
      </c>
    </row>
    <row r="5605" spans="1:14" hidden="1" x14ac:dyDescent="0.25">
      <c r="A5605" s="19">
        <v>46082</v>
      </c>
      <c r="B5605" s="20" t="s">
        <v>142</v>
      </c>
      <c r="C5605" s="20">
        <v>77</v>
      </c>
      <c r="D5605" s="20" t="s">
        <v>253</v>
      </c>
      <c r="E5605" s="20" t="s">
        <v>2359</v>
      </c>
      <c r="F5605" s="20" t="s">
        <v>2533</v>
      </c>
      <c r="G5605" s="20" t="s">
        <v>82</v>
      </c>
      <c r="H5605" s="20" t="s">
        <v>149</v>
      </c>
      <c r="I5605" s="20"/>
      <c r="J5605" s="20" t="s">
        <v>205</v>
      </c>
      <c r="K5605" s="20" t="s">
        <v>255</v>
      </c>
      <c r="L5605" s="20">
        <v>38800000</v>
      </c>
      <c r="M5605" s="20" t="s">
        <v>149</v>
      </c>
      <c r="N5605" s="20" t="s">
        <v>3321</v>
      </c>
    </row>
    <row r="5606" spans="1:14" hidden="1" x14ac:dyDescent="0.25">
      <c r="A5606" s="19">
        <v>46082</v>
      </c>
      <c r="B5606" s="20" t="s">
        <v>142</v>
      </c>
      <c r="C5606" s="20">
        <v>77</v>
      </c>
      <c r="D5606" s="20" t="s">
        <v>253</v>
      </c>
      <c r="E5606" s="20" t="s">
        <v>2359</v>
      </c>
      <c r="F5606" s="20" t="s">
        <v>2533</v>
      </c>
      <c r="G5606" s="20" t="s">
        <v>82</v>
      </c>
      <c r="H5606" s="20" t="s">
        <v>149</v>
      </c>
      <c r="I5606" s="20"/>
      <c r="J5606" s="20" t="s">
        <v>206</v>
      </c>
      <c r="K5606" s="20" t="s">
        <v>255</v>
      </c>
      <c r="L5606" s="20">
        <v>37900000</v>
      </c>
      <c r="M5606" s="20" t="s">
        <v>149</v>
      </c>
      <c r="N5606" s="20" t="s">
        <v>3462</v>
      </c>
    </row>
    <row r="5607" spans="1:14" hidden="1" x14ac:dyDescent="0.25">
      <c r="A5607" s="19">
        <v>46082</v>
      </c>
      <c r="B5607" s="20" t="s">
        <v>142</v>
      </c>
      <c r="C5607" s="20">
        <v>77</v>
      </c>
      <c r="D5607" s="20" t="s">
        <v>253</v>
      </c>
      <c r="E5607" s="20" t="s">
        <v>2359</v>
      </c>
      <c r="F5607" s="20" t="s">
        <v>2533</v>
      </c>
      <c r="G5607" s="20" t="s">
        <v>82</v>
      </c>
      <c r="H5607" s="20" t="s">
        <v>149</v>
      </c>
      <c r="I5607" s="20"/>
      <c r="J5607" s="20" t="s">
        <v>207</v>
      </c>
      <c r="K5607" s="20" t="s">
        <v>255</v>
      </c>
      <c r="L5607" s="20">
        <v>35700000</v>
      </c>
      <c r="M5607" s="20" t="s">
        <v>149</v>
      </c>
      <c r="N5607" s="20" t="s">
        <v>3613</v>
      </c>
    </row>
    <row r="5608" spans="1:14" hidden="1" x14ac:dyDescent="0.25">
      <c r="A5608" s="19">
        <v>46082</v>
      </c>
      <c r="B5608" s="20" t="s">
        <v>142</v>
      </c>
      <c r="C5608" s="20">
        <v>77</v>
      </c>
      <c r="D5608" s="20" t="s">
        <v>253</v>
      </c>
      <c r="E5608" s="20" t="s">
        <v>2359</v>
      </c>
      <c r="F5608" s="20" t="s">
        <v>2533</v>
      </c>
      <c r="G5608" s="20" t="s">
        <v>82</v>
      </c>
      <c r="H5608" s="20" t="s">
        <v>150</v>
      </c>
      <c r="I5608" s="20"/>
      <c r="J5608" s="20" t="s">
        <v>205</v>
      </c>
      <c r="K5608" s="20" t="s">
        <v>255</v>
      </c>
      <c r="L5608" s="20">
        <v>2470000</v>
      </c>
      <c r="M5608" s="20" t="s">
        <v>150</v>
      </c>
      <c r="N5608" s="20" t="s">
        <v>3078</v>
      </c>
    </row>
    <row r="5609" spans="1:14" hidden="1" x14ac:dyDescent="0.25">
      <c r="A5609" s="19">
        <v>46082</v>
      </c>
      <c r="B5609" s="20" t="s">
        <v>142</v>
      </c>
      <c r="C5609" s="20">
        <v>77</v>
      </c>
      <c r="D5609" s="20" t="s">
        <v>253</v>
      </c>
      <c r="E5609" s="20" t="s">
        <v>2359</v>
      </c>
      <c r="F5609" s="20" t="s">
        <v>2533</v>
      </c>
      <c r="G5609" s="20" t="s">
        <v>82</v>
      </c>
      <c r="H5609" s="20" t="s">
        <v>150</v>
      </c>
      <c r="I5609" s="20"/>
      <c r="J5609" s="20" t="s">
        <v>206</v>
      </c>
      <c r="K5609" s="20" t="s">
        <v>255</v>
      </c>
      <c r="L5609" s="20">
        <v>2810000</v>
      </c>
      <c r="M5609" s="20" t="s">
        <v>150</v>
      </c>
      <c r="N5609" s="20" t="s">
        <v>3041</v>
      </c>
    </row>
    <row r="5610" spans="1:14" hidden="1" x14ac:dyDescent="0.25">
      <c r="A5610" s="19">
        <v>46082</v>
      </c>
      <c r="B5610" s="20" t="s">
        <v>142</v>
      </c>
      <c r="C5610" s="20">
        <v>77</v>
      </c>
      <c r="D5610" s="20" t="s">
        <v>253</v>
      </c>
      <c r="E5610" s="20" t="s">
        <v>2359</v>
      </c>
      <c r="F5610" s="20" t="s">
        <v>2533</v>
      </c>
      <c r="G5610" s="20" t="s">
        <v>82</v>
      </c>
      <c r="H5610" s="20" t="s">
        <v>150</v>
      </c>
      <c r="I5610" s="20"/>
      <c r="J5610" s="20" t="s">
        <v>207</v>
      </c>
      <c r="K5610" s="20" t="s">
        <v>255</v>
      </c>
      <c r="L5610" s="20">
        <v>2480000</v>
      </c>
      <c r="M5610" s="20" t="s">
        <v>150</v>
      </c>
      <c r="N5610" s="20" t="s">
        <v>3614</v>
      </c>
    </row>
    <row r="5611" spans="1:14" hidden="1" x14ac:dyDescent="0.25">
      <c r="A5611" s="19">
        <v>46082</v>
      </c>
      <c r="B5611" s="20" t="s">
        <v>142</v>
      </c>
      <c r="C5611" s="20">
        <v>77</v>
      </c>
      <c r="D5611" s="20" t="s">
        <v>253</v>
      </c>
      <c r="E5611" s="20" t="s">
        <v>2359</v>
      </c>
      <c r="F5611" s="20" t="s">
        <v>2533</v>
      </c>
      <c r="G5611" s="20" t="s">
        <v>82</v>
      </c>
      <c r="H5611" s="20" t="s">
        <v>151</v>
      </c>
      <c r="I5611" s="20"/>
      <c r="J5611" s="20" t="s">
        <v>205</v>
      </c>
      <c r="K5611" s="20" t="s">
        <v>255</v>
      </c>
      <c r="L5611" s="20">
        <v>240000</v>
      </c>
      <c r="M5611" s="20" t="s">
        <v>151</v>
      </c>
      <c r="N5611" s="20" t="s">
        <v>3322</v>
      </c>
    </row>
    <row r="5612" spans="1:14" hidden="1" x14ac:dyDescent="0.25">
      <c r="A5612" s="19">
        <v>46082</v>
      </c>
      <c r="B5612" s="20" t="s">
        <v>142</v>
      </c>
      <c r="C5612" s="20">
        <v>77</v>
      </c>
      <c r="D5612" s="20" t="s">
        <v>253</v>
      </c>
      <c r="E5612" s="20" t="s">
        <v>2359</v>
      </c>
      <c r="F5612" s="20" t="s">
        <v>2533</v>
      </c>
      <c r="G5612" s="20" t="s">
        <v>82</v>
      </c>
      <c r="H5612" s="20" t="s">
        <v>151</v>
      </c>
      <c r="I5612" s="20"/>
      <c r="J5612" s="20" t="s">
        <v>206</v>
      </c>
      <c r="K5612" s="20" t="s">
        <v>255</v>
      </c>
      <c r="L5612" s="20">
        <v>280000</v>
      </c>
      <c r="M5612" s="20" t="s">
        <v>151</v>
      </c>
      <c r="N5612" s="20" t="s">
        <v>2536</v>
      </c>
    </row>
    <row r="5613" spans="1:14" hidden="1" x14ac:dyDescent="0.25">
      <c r="A5613" s="19">
        <v>46082</v>
      </c>
      <c r="B5613" s="20" t="s">
        <v>142</v>
      </c>
      <c r="C5613" s="20">
        <v>77</v>
      </c>
      <c r="D5613" s="20" t="s">
        <v>253</v>
      </c>
      <c r="E5613" s="20" t="s">
        <v>2359</v>
      </c>
      <c r="F5613" s="20" t="s">
        <v>2533</v>
      </c>
      <c r="G5613" s="20" t="s">
        <v>82</v>
      </c>
      <c r="H5613" s="20" t="s">
        <v>151</v>
      </c>
      <c r="I5613" s="20"/>
      <c r="J5613" s="20" t="s">
        <v>207</v>
      </c>
      <c r="K5613" s="20" t="s">
        <v>255</v>
      </c>
      <c r="L5613" s="20">
        <v>320000</v>
      </c>
      <c r="M5613" s="20" t="s">
        <v>151</v>
      </c>
      <c r="N5613" s="20" t="s">
        <v>3615</v>
      </c>
    </row>
    <row r="5614" spans="1:14" hidden="1" x14ac:dyDescent="0.25">
      <c r="A5614" s="19">
        <v>46082</v>
      </c>
      <c r="B5614" s="20" t="s">
        <v>156</v>
      </c>
      <c r="C5614" s="20">
        <v>79</v>
      </c>
      <c r="D5614" s="20" t="s">
        <v>238</v>
      </c>
      <c r="E5614" s="20" t="s">
        <v>2341</v>
      </c>
      <c r="F5614" s="20" t="s">
        <v>240</v>
      </c>
      <c r="G5614" s="20" t="s">
        <v>158</v>
      </c>
      <c r="H5614" s="20"/>
      <c r="I5614" s="20"/>
      <c r="J5614" s="20" t="s">
        <v>3491</v>
      </c>
      <c r="K5614" s="20" t="s">
        <v>241</v>
      </c>
      <c r="L5614" s="20">
        <v>1450000</v>
      </c>
      <c r="M5614" s="20" t="s">
        <v>242</v>
      </c>
      <c r="N5614" s="20" t="s">
        <v>1332</v>
      </c>
    </row>
    <row r="5615" spans="1:14" hidden="1" x14ac:dyDescent="0.25">
      <c r="A5615" s="19">
        <v>46082</v>
      </c>
      <c r="B5615" s="20" t="s">
        <v>156</v>
      </c>
      <c r="C5615" s="20">
        <v>79</v>
      </c>
      <c r="D5615" s="20" t="s">
        <v>238</v>
      </c>
      <c r="E5615" s="20" t="s">
        <v>2341</v>
      </c>
      <c r="F5615" s="20" t="s">
        <v>244</v>
      </c>
      <c r="G5615" s="20" t="s">
        <v>158</v>
      </c>
      <c r="H5615" s="20"/>
      <c r="I5615" s="20"/>
      <c r="J5615" s="20" t="s">
        <v>3491</v>
      </c>
      <c r="K5615" s="20" t="s">
        <v>241</v>
      </c>
      <c r="L5615" s="20">
        <v>9740000000</v>
      </c>
      <c r="M5615" s="20" t="s">
        <v>245</v>
      </c>
      <c r="N5615" s="20" t="s">
        <v>3616</v>
      </c>
    </row>
    <row r="5616" spans="1:14" hidden="1" x14ac:dyDescent="0.25">
      <c r="A5616" s="19">
        <v>46082</v>
      </c>
      <c r="B5616" s="20" t="s">
        <v>156</v>
      </c>
      <c r="C5616" s="20">
        <v>80</v>
      </c>
      <c r="D5616" s="20" t="s">
        <v>253</v>
      </c>
      <c r="E5616" s="20" t="s">
        <v>2359</v>
      </c>
      <c r="F5616" s="20" t="s">
        <v>344</v>
      </c>
      <c r="G5616" s="20" t="s">
        <v>158</v>
      </c>
      <c r="H5616" s="20"/>
      <c r="I5616" s="20"/>
      <c r="J5616" s="20" t="s">
        <v>205</v>
      </c>
      <c r="K5616" s="20" t="s">
        <v>255</v>
      </c>
      <c r="L5616" s="20">
        <v>408000</v>
      </c>
      <c r="M5616" s="20" t="s">
        <v>242</v>
      </c>
      <c r="N5616" s="20" t="s">
        <v>3325</v>
      </c>
    </row>
    <row r="5617" spans="1:14" hidden="1" x14ac:dyDescent="0.25">
      <c r="A5617" s="19">
        <v>46082</v>
      </c>
      <c r="B5617" s="20" t="s">
        <v>156</v>
      </c>
      <c r="C5617" s="20">
        <v>80</v>
      </c>
      <c r="D5617" s="20" t="s">
        <v>253</v>
      </c>
      <c r="E5617" s="20" t="s">
        <v>2359</v>
      </c>
      <c r="F5617" s="20" t="s">
        <v>344</v>
      </c>
      <c r="G5617" s="20" t="s">
        <v>158</v>
      </c>
      <c r="H5617" s="20"/>
      <c r="I5617" s="20"/>
      <c r="J5617" s="20" t="s">
        <v>206</v>
      </c>
      <c r="K5617" s="20" t="s">
        <v>255</v>
      </c>
      <c r="L5617" s="20">
        <v>479000</v>
      </c>
      <c r="M5617" s="20" t="s">
        <v>242</v>
      </c>
      <c r="N5617" s="20" t="s">
        <v>3465</v>
      </c>
    </row>
    <row r="5618" spans="1:14" hidden="1" x14ac:dyDescent="0.25">
      <c r="A5618" s="19">
        <v>46082</v>
      </c>
      <c r="B5618" s="20" t="s">
        <v>156</v>
      </c>
      <c r="C5618" s="20">
        <v>80</v>
      </c>
      <c r="D5618" s="20" t="s">
        <v>253</v>
      </c>
      <c r="E5618" s="20" t="s">
        <v>2359</v>
      </c>
      <c r="F5618" s="20" t="s">
        <v>344</v>
      </c>
      <c r="G5618" s="20" t="s">
        <v>158</v>
      </c>
      <c r="H5618" s="20"/>
      <c r="I5618" s="20"/>
      <c r="J5618" s="20" t="s">
        <v>207</v>
      </c>
      <c r="K5618" s="20" t="s">
        <v>255</v>
      </c>
      <c r="L5618" s="20">
        <v>567000</v>
      </c>
      <c r="M5618" s="20" t="s">
        <v>242</v>
      </c>
      <c r="N5618" s="20" t="s">
        <v>3617</v>
      </c>
    </row>
    <row r="5619" spans="1:14" hidden="1" x14ac:dyDescent="0.25">
      <c r="A5619" s="19">
        <v>46082</v>
      </c>
      <c r="B5619" s="20" t="s">
        <v>156</v>
      </c>
      <c r="C5619" s="20">
        <v>80</v>
      </c>
      <c r="D5619" s="20" t="s">
        <v>247</v>
      </c>
      <c r="E5619" s="20" t="s">
        <v>2554</v>
      </c>
      <c r="F5619" s="20" t="s">
        <v>2716</v>
      </c>
      <c r="G5619" s="20" t="s">
        <v>158</v>
      </c>
      <c r="H5619" s="20" t="s">
        <v>286</v>
      </c>
      <c r="I5619" s="20"/>
      <c r="J5619" s="20" t="s">
        <v>207</v>
      </c>
      <c r="K5619" s="20" t="s">
        <v>250</v>
      </c>
      <c r="L5619" s="20">
        <v>18.399999999999999</v>
      </c>
      <c r="M5619" s="20" t="s">
        <v>251</v>
      </c>
      <c r="N5619" s="20" t="s">
        <v>1925</v>
      </c>
    </row>
    <row r="5620" spans="1:14" hidden="1" x14ac:dyDescent="0.25">
      <c r="A5620" s="19">
        <v>46082</v>
      </c>
      <c r="B5620" s="20" t="s">
        <v>156</v>
      </c>
      <c r="C5620" s="20">
        <v>81</v>
      </c>
      <c r="D5620" s="20" t="s">
        <v>253</v>
      </c>
      <c r="E5620" s="20" t="s">
        <v>2359</v>
      </c>
      <c r="F5620" s="20" t="s">
        <v>349</v>
      </c>
      <c r="G5620" s="20" t="s">
        <v>158</v>
      </c>
      <c r="H5620" s="20"/>
      <c r="I5620" s="20"/>
      <c r="J5620" s="20" t="s">
        <v>205</v>
      </c>
      <c r="K5620" s="20" t="s">
        <v>255</v>
      </c>
      <c r="L5620" s="20">
        <v>11400</v>
      </c>
      <c r="M5620" s="20" t="s">
        <v>242</v>
      </c>
      <c r="N5620" s="20" t="s">
        <v>3327</v>
      </c>
    </row>
    <row r="5621" spans="1:14" hidden="1" x14ac:dyDescent="0.25">
      <c r="A5621" s="19">
        <v>46082</v>
      </c>
      <c r="B5621" s="20" t="s">
        <v>156</v>
      </c>
      <c r="C5621" s="20">
        <v>81</v>
      </c>
      <c r="D5621" s="20" t="s">
        <v>253</v>
      </c>
      <c r="E5621" s="20" t="s">
        <v>2359</v>
      </c>
      <c r="F5621" s="20" t="s">
        <v>349</v>
      </c>
      <c r="G5621" s="20" t="s">
        <v>158</v>
      </c>
      <c r="H5621" s="20"/>
      <c r="I5621" s="20"/>
      <c r="J5621" s="20" t="s">
        <v>206</v>
      </c>
      <c r="K5621" s="20" t="s">
        <v>255</v>
      </c>
      <c r="L5621" s="20">
        <v>14300</v>
      </c>
      <c r="M5621" s="20" t="s">
        <v>242</v>
      </c>
      <c r="N5621" s="20" t="s">
        <v>3467</v>
      </c>
    </row>
    <row r="5622" spans="1:14" hidden="1" x14ac:dyDescent="0.25">
      <c r="A5622" s="19">
        <v>46082</v>
      </c>
      <c r="B5622" s="20" t="s">
        <v>156</v>
      </c>
      <c r="C5622" s="20">
        <v>81</v>
      </c>
      <c r="D5622" s="20" t="s">
        <v>253</v>
      </c>
      <c r="E5622" s="20" t="s">
        <v>2359</v>
      </c>
      <c r="F5622" s="20" t="s">
        <v>349</v>
      </c>
      <c r="G5622" s="20" t="s">
        <v>158</v>
      </c>
      <c r="H5622" s="20"/>
      <c r="I5622" s="20"/>
      <c r="J5622" s="20" t="s">
        <v>207</v>
      </c>
      <c r="K5622" s="20" t="s">
        <v>255</v>
      </c>
      <c r="L5622" s="20">
        <v>20100</v>
      </c>
      <c r="M5622" s="20" t="s">
        <v>242</v>
      </c>
      <c r="N5622" s="20" t="s">
        <v>3618</v>
      </c>
    </row>
    <row r="5623" spans="1:14" hidden="1" x14ac:dyDescent="0.25">
      <c r="A5623" s="19">
        <v>46082</v>
      </c>
      <c r="B5623" s="20" t="s">
        <v>156</v>
      </c>
      <c r="C5623" s="20">
        <v>82</v>
      </c>
      <c r="D5623" s="20" t="s">
        <v>253</v>
      </c>
      <c r="E5623" s="20" t="s">
        <v>2359</v>
      </c>
      <c r="F5623" s="20" t="s">
        <v>2546</v>
      </c>
      <c r="G5623" s="20" t="s">
        <v>158</v>
      </c>
      <c r="H5623" s="20"/>
      <c r="I5623" s="20"/>
      <c r="J5623" s="20" t="s">
        <v>205</v>
      </c>
      <c r="K5623" s="20" t="s">
        <v>255</v>
      </c>
      <c r="L5623" s="20">
        <v>2.8</v>
      </c>
      <c r="M5623" s="20" t="s">
        <v>251</v>
      </c>
      <c r="N5623" s="20" t="s">
        <v>1346</v>
      </c>
    </row>
    <row r="5624" spans="1:14" hidden="1" x14ac:dyDescent="0.25">
      <c r="A5624" s="19">
        <v>46082</v>
      </c>
      <c r="B5624" s="20" t="s">
        <v>156</v>
      </c>
      <c r="C5624" s="20">
        <v>82</v>
      </c>
      <c r="D5624" s="20" t="s">
        <v>253</v>
      </c>
      <c r="E5624" s="20" t="s">
        <v>2359</v>
      </c>
      <c r="F5624" s="20" t="s">
        <v>2546</v>
      </c>
      <c r="G5624" s="20" t="s">
        <v>158</v>
      </c>
      <c r="H5624" s="20"/>
      <c r="I5624" s="20"/>
      <c r="J5624" s="20" t="s">
        <v>206</v>
      </c>
      <c r="K5624" s="20" t="s">
        <v>255</v>
      </c>
      <c r="L5624" s="20">
        <v>3</v>
      </c>
      <c r="M5624" s="20" t="s">
        <v>251</v>
      </c>
      <c r="N5624" s="20" t="s">
        <v>2547</v>
      </c>
    </row>
    <row r="5625" spans="1:14" hidden="1" x14ac:dyDescent="0.25">
      <c r="A5625" s="19">
        <v>46082</v>
      </c>
      <c r="B5625" s="20" t="s">
        <v>156</v>
      </c>
      <c r="C5625" s="20">
        <v>82</v>
      </c>
      <c r="D5625" s="20" t="s">
        <v>253</v>
      </c>
      <c r="E5625" s="20" t="s">
        <v>2359</v>
      </c>
      <c r="F5625" s="20" t="s">
        <v>2546</v>
      </c>
      <c r="G5625" s="20" t="s">
        <v>158</v>
      </c>
      <c r="H5625" s="20"/>
      <c r="I5625" s="20"/>
      <c r="J5625" s="20" t="s">
        <v>207</v>
      </c>
      <c r="K5625" s="20" t="s">
        <v>255</v>
      </c>
      <c r="L5625" s="20">
        <v>3.5</v>
      </c>
      <c r="M5625" s="20" t="s">
        <v>251</v>
      </c>
      <c r="N5625" s="20" t="s">
        <v>1141</v>
      </c>
    </row>
    <row r="5626" spans="1:14" hidden="1" x14ac:dyDescent="0.25">
      <c r="A5626" s="19">
        <v>46082</v>
      </c>
      <c r="B5626" s="20" t="s">
        <v>156</v>
      </c>
      <c r="C5626" s="20">
        <v>83</v>
      </c>
      <c r="D5626" s="20" t="s">
        <v>291</v>
      </c>
      <c r="E5626" s="20" t="s">
        <v>2361</v>
      </c>
      <c r="F5626" s="20" t="s">
        <v>349</v>
      </c>
      <c r="G5626" s="20" t="s">
        <v>158</v>
      </c>
      <c r="H5626" s="20" t="s">
        <v>159</v>
      </c>
      <c r="I5626" s="20"/>
      <c r="J5626" s="20" t="s">
        <v>207</v>
      </c>
      <c r="K5626" s="20" t="s">
        <v>250</v>
      </c>
      <c r="L5626" s="20">
        <v>13778</v>
      </c>
      <c r="M5626" s="20" t="s">
        <v>242</v>
      </c>
      <c r="N5626" s="20" t="s">
        <v>3619</v>
      </c>
    </row>
    <row r="5627" spans="1:14" hidden="1" x14ac:dyDescent="0.25">
      <c r="A5627" s="19">
        <v>46082</v>
      </c>
      <c r="B5627" s="20" t="s">
        <v>156</v>
      </c>
      <c r="C5627" s="20">
        <v>83</v>
      </c>
      <c r="D5627" s="20" t="s">
        <v>291</v>
      </c>
      <c r="E5627" s="20" t="s">
        <v>2361</v>
      </c>
      <c r="F5627" s="20" t="s">
        <v>349</v>
      </c>
      <c r="G5627" s="20" t="s">
        <v>158</v>
      </c>
      <c r="H5627" s="20" t="s">
        <v>160</v>
      </c>
      <c r="I5627" s="20"/>
      <c r="J5627" s="20" t="s">
        <v>207</v>
      </c>
      <c r="K5627" s="20" t="s">
        <v>250</v>
      </c>
      <c r="L5627" s="20">
        <v>6273</v>
      </c>
      <c r="M5627" s="20" t="s">
        <v>242</v>
      </c>
      <c r="N5627" s="20" t="s">
        <v>3620</v>
      </c>
    </row>
    <row r="5628" spans="1:14" hidden="1" x14ac:dyDescent="0.25">
      <c r="A5628" s="19">
        <v>46082</v>
      </c>
      <c r="B5628" s="20" t="s">
        <v>156</v>
      </c>
      <c r="C5628" s="20">
        <v>84</v>
      </c>
      <c r="D5628" s="20" t="s">
        <v>253</v>
      </c>
      <c r="E5628" s="20" t="s">
        <v>2359</v>
      </c>
      <c r="F5628" s="20" t="s">
        <v>356</v>
      </c>
      <c r="G5628" s="20" t="s">
        <v>158</v>
      </c>
      <c r="H5628" s="20"/>
      <c r="I5628" s="20"/>
      <c r="J5628" s="20" t="s">
        <v>205</v>
      </c>
      <c r="K5628" s="20" t="s">
        <v>255</v>
      </c>
      <c r="L5628" s="20">
        <v>3070000000</v>
      </c>
      <c r="M5628" s="20" t="s">
        <v>245</v>
      </c>
      <c r="N5628" s="20" t="s">
        <v>3324</v>
      </c>
    </row>
    <row r="5629" spans="1:14" hidden="1" x14ac:dyDescent="0.25">
      <c r="A5629" s="19">
        <v>46082</v>
      </c>
      <c r="B5629" s="20" t="s">
        <v>156</v>
      </c>
      <c r="C5629" s="20">
        <v>84</v>
      </c>
      <c r="D5629" s="20" t="s">
        <v>253</v>
      </c>
      <c r="E5629" s="20" t="s">
        <v>2359</v>
      </c>
      <c r="F5629" s="20" t="s">
        <v>356</v>
      </c>
      <c r="G5629" s="20" t="s">
        <v>158</v>
      </c>
      <c r="H5629" s="20"/>
      <c r="I5629" s="20"/>
      <c r="J5629" s="20" t="s">
        <v>206</v>
      </c>
      <c r="K5629" s="20" t="s">
        <v>255</v>
      </c>
      <c r="L5629" s="20">
        <v>3230000000</v>
      </c>
      <c r="M5629" s="20" t="s">
        <v>245</v>
      </c>
      <c r="N5629" s="20" t="s">
        <v>3470</v>
      </c>
    </row>
    <row r="5630" spans="1:14" hidden="1" x14ac:dyDescent="0.25">
      <c r="A5630" s="19">
        <v>46082</v>
      </c>
      <c r="B5630" s="20" t="s">
        <v>156</v>
      </c>
      <c r="C5630" s="20">
        <v>84</v>
      </c>
      <c r="D5630" s="20" t="s">
        <v>253</v>
      </c>
      <c r="E5630" s="20" t="s">
        <v>2359</v>
      </c>
      <c r="F5630" s="20" t="s">
        <v>356</v>
      </c>
      <c r="G5630" s="20" t="s">
        <v>158</v>
      </c>
      <c r="H5630" s="20"/>
      <c r="I5630" s="20"/>
      <c r="J5630" s="20" t="s">
        <v>207</v>
      </c>
      <c r="K5630" s="20" t="s">
        <v>255</v>
      </c>
      <c r="L5630" s="20">
        <v>3430000000</v>
      </c>
      <c r="M5630" s="20" t="s">
        <v>245</v>
      </c>
      <c r="N5630" s="20" t="s">
        <v>3621</v>
      </c>
    </row>
    <row r="5631" spans="1:14" hidden="1" x14ac:dyDescent="0.25">
      <c r="A5631" s="19">
        <v>46082</v>
      </c>
      <c r="B5631" s="20" t="s">
        <v>156</v>
      </c>
      <c r="C5631" s="20">
        <v>84</v>
      </c>
      <c r="D5631" s="20" t="s">
        <v>247</v>
      </c>
      <c r="E5631" s="20" t="s">
        <v>2554</v>
      </c>
      <c r="F5631" s="20" t="s">
        <v>2561</v>
      </c>
      <c r="G5631" s="20" t="s">
        <v>158</v>
      </c>
      <c r="H5631" s="20" t="s">
        <v>286</v>
      </c>
      <c r="I5631" s="20"/>
      <c r="J5631" s="20" t="s">
        <v>207</v>
      </c>
      <c r="K5631" s="20" t="s">
        <v>250</v>
      </c>
      <c r="L5631" s="20">
        <v>6.1</v>
      </c>
      <c r="M5631" s="20" t="s">
        <v>251</v>
      </c>
      <c r="N5631" s="20" t="s">
        <v>3622</v>
      </c>
    </row>
    <row r="5632" spans="1:14" hidden="1" x14ac:dyDescent="0.25">
      <c r="A5632" s="19">
        <v>46082</v>
      </c>
      <c r="B5632" s="20" t="s">
        <v>156</v>
      </c>
      <c r="C5632" s="20">
        <v>85</v>
      </c>
      <c r="D5632" s="20" t="s">
        <v>253</v>
      </c>
      <c r="E5632" s="20" t="s">
        <v>2359</v>
      </c>
      <c r="F5632" s="20" t="s">
        <v>361</v>
      </c>
      <c r="G5632" s="20" t="s">
        <v>158</v>
      </c>
      <c r="H5632" s="20"/>
      <c r="I5632" s="20"/>
      <c r="J5632" s="20" t="s">
        <v>205</v>
      </c>
      <c r="K5632" s="20" t="s">
        <v>255</v>
      </c>
      <c r="L5632" s="20">
        <v>65900000</v>
      </c>
      <c r="M5632" s="20" t="s">
        <v>245</v>
      </c>
      <c r="N5632" s="20" t="s">
        <v>3472</v>
      </c>
    </row>
    <row r="5633" spans="1:14" hidden="1" x14ac:dyDescent="0.25">
      <c r="A5633" s="19">
        <v>46082</v>
      </c>
      <c r="B5633" s="20" t="s">
        <v>156</v>
      </c>
      <c r="C5633" s="20">
        <v>85</v>
      </c>
      <c r="D5633" s="20" t="s">
        <v>253</v>
      </c>
      <c r="E5633" s="20" t="s">
        <v>2359</v>
      </c>
      <c r="F5633" s="20" t="s">
        <v>361</v>
      </c>
      <c r="G5633" s="20" t="s">
        <v>158</v>
      </c>
      <c r="H5633" s="20"/>
      <c r="I5633" s="20"/>
      <c r="J5633" s="20" t="s">
        <v>206</v>
      </c>
      <c r="K5633" s="20" t="s">
        <v>255</v>
      </c>
      <c r="L5633" s="20">
        <v>75300000</v>
      </c>
      <c r="M5633" s="20" t="s">
        <v>245</v>
      </c>
      <c r="N5633" s="20" t="s">
        <v>3473</v>
      </c>
    </row>
    <row r="5634" spans="1:14" hidden="1" x14ac:dyDescent="0.25">
      <c r="A5634" s="19">
        <v>46082</v>
      </c>
      <c r="B5634" s="20" t="s">
        <v>156</v>
      </c>
      <c r="C5634" s="20">
        <v>85</v>
      </c>
      <c r="D5634" s="20" t="s">
        <v>253</v>
      </c>
      <c r="E5634" s="20" t="s">
        <v>2359</v>
      </c>
      <c r="F5634" s="20" t="s">
        <v>361</v>
      </c>
      <c r="G5634" s="20" t="s">
        <v>158</v>
      </c>
      <c r="H5634" s="20"/>
      <c r="I5634" s="20"/>
      <c r="J5634" s="20" t="s">
        <v>207</v>
      </c>
      <c r="K5634" s="20" t="s">
        <v>255</v>
      </c>
      <c r="L5634" s="20">
        <v>119600000</v>
      </c>
      <c r="M5634" s="20" t="s">
        <v>245</v>
      </c>
      <c r="N5634" s="20" t="s">
        <v>3623</v>
      </c>
    </row>
    <row r="5635" spans="1:14" hidden="1" x14ac:dyDescent="0.25">
      <c r="A5635" s="19">
        <v>46082</v>
      </c>
      <c r="B5635" s="20" t="s">
        <v>156</v>
      </c>
      <c r="C5635" s="20">
        <v>86</v>
      </c>
      <c r="D5635" s="20" t="s">
        <v>253</v>
      </c>
      <c r="E5635" s="20" t="s">
        <v>2359</v>
      </c>
      <c r="F5635" s="20" t="s">
        <v>2548</v>
      </c>
      <c r="G5635" s="20" t="s">
        <v>158</v>
      </c>
      <c r="H5635" s="20"/>
      <c r="I5635" s="20"/>
      <c r="J5635" s="20" t="s">
        <v>205</v>
      </c>
      <c r="K5635" s="20" t="s">
        <v>255</v>
      </c>
      <c r="L5635" s="20">
        <v>2.14</v>
      </c>
      <c r="M5635" s="20" t="s">
        <v>251</v>
      </c>
      <c r="N5635" s="20" t="s">
        <v>889</v>
      </c>
    </row>
    <row r="5636" spans="1:14" hidden="1" x14ac:dyDescent="0.25">
      <c r="A5636" s="19">
        <v>46082</v>
      </c>
      <c r="B5636" s="20" t="s">
        <v>156</v>
      </c>
      <c r="C5636" s="20">
        <v>86</v>
      </c>
      <c r="D5636" s="20" t="s">
        <v>253</v>
      </c>
      <c r="E5636" s="20" t="s">
        <v>2359</v>
      </c>
      <c r="F5636" s="20" t="s">
        <v>2548</v>
      </c>
      <c r="G5636" s="20" t="s">
        <v>158</v>
      </c>
      <c r="H5636" s="20"/>
      <c r="I5636" s="20"/>
      <c r="J5636" s="20" t="s">
        <v>206</v>
      </c>
      <c r="K5636" s="20" t="s">
        <v>255</v>
      </c>
      <c r="L5636" s="20">
        <v>2.33</v>
      </c>
      <c r="M5636" s="20" t="s">
        <v>251</v>
      </c>
      <c r="N5636" s="20" t="s">
        <v>3474</v>
      </c>
    </row>
    <row r="5637" spans="1:14" hidden="1" x14ac:dyDescent="0.25">
      <c r="A5637" s="19">
        <v>46082</v>
      </c>
      <c r="B5637" s="20" t="s">
        <v>156</v>
      </c>
      <c r="C5637" s="20">
        <v>86</v>
      </c>
      <c r="D5637" s="20" t="s">
        <v>253</v>
      </c>
      <c r="E5637" s="20" t="s">
        <v>2359</v>
      </c>
      <c r="F5637" s="20" t="s">
        <v>2548</v>
      </c>
      <c r="G5637" s="20" t="s">
        <v>158</v>
      </c>
      <c r="H5637" s="20"/>
      <c r="I5637" s="20"/>
      <c r="J5637" s="20" t="s">
        <v>207</v>
      </c>
      <c r="K5637" s="20" t="s">
        <v>255</v>
      </c>
      <c r="L5637" s="20">
        <v>3.48</v>
      </c>
      <c r="M5637" s="20" t="s">
        <v>251</v>
      </c>
      <c r="N5637" s="20" t="s">
        <v>3624</v>
      </c>
    </row>
    <row r="5638" spans="1:14" hidden="1" x14ac:dyDescent="0.25">
      <c r="A5638" s="19">
        <v>46082</v>
      </c>
      <c r="B5638" s="20" t="s">
        <v>156</v>
      </c>
      <c r="C5638" s="20">
        <v>87</v>
      </c>
      <c r="D5638" s="20" t="s">
        <v>291</v>
      </c>
      <c r="E5638" s="20" t="s">
        <v>2361</v>
      </c>
      <c r="F5638" s="20" t="s">
        <v>361</v>
      </c>
      <c r="G5638" s="20" t="s">
        <v>158</v>
      </c>
      <c r="H5638" s="20" t="s">
        <v>159</v>
      </c>
      <c r="I5638" s="20"/>
      <c r="J5638" s="20" t="s">
        <v>207</v>
      </c>
      <c r="K5638" s="20" t="s">
        <v>250</v>
      </c>
      <c r="L5638" s="20">
        <v>76000000</v>
      </c>
      <c r="M5638" s="20" t="s">
        <v>245</v>
      </c>
      <c r="N5638" s="20" t="s">
        <v>3625</v>
      </c>
    </row>
    <row r="5639" spans="1:14" hidden="1" x14ac:dyDescent="0.25">
      <c r="A5639" s="19">
        <v>46082</v>
      </c>
      <c r="B5639" s="20" t="s">
        <v>156</v>
      </c>
      <c r="C5639" s="20">
        <v>87</v>
      </c>
      <c r="D5639" s="20" t="s">
        <v>291</v>
      </c>
      <c r="E5639" s="20" t="s">
        <v>2361</v>
      </c>
      <c r="F5639" s="20" t="s">
        <v>361</v>
      </c>
      <c r="G5639" s="20" t="s">
        <v>158</v>
      </c>
      <c r="H5639" s="20" t="s">
        <v>160</v>
      </c>
      <c r="I5639" s="20"/>
      <c r="J5639" s="20" t="s">
        <v>207</v>
      </c>
      <c r="K5639" s="20" t="s">
        <v>250</v>
      </c>
      <c r="L5639" s="20">
        <v>43500000</v>
      </c>
      <c r="M5639" s="20" t="s">
        <v>245</v>
      </c>
      <c r="N5639" s="20" t="s">
        <v>3475</v>
      </c>
    </row>
    <row r="5640" spans="1:14" hidden="1" x14ac:dyDescent="0.25">
      <c r="A5640" s="19">
        <v>46113</v>
      </c>
      <c r="B5640" s="20" t="s">
        <v>535</v>
      </c>
      <c r="C5640" s="20">
        <v>4</v>
      </c>
      <c r="D5640" s="20" t="s">
        <v>238</v>
      </c>
      <c r="E5640" s="20" t="s">
        <v>2341</v>
      </c>
      <c r="F5640" s="20" t="s">
        <v>285</v>
      </c>
      <c r="G5640" s="20" t="s">
        <v>63</v>
      </c>
      <c r="H5640" s="20"/>
      <c r="I5640" s="20"/>
      <c r="J5640" s="20" t="s">
        <v>208</v>
      </c>
      <c r="K5640" s="20" t="s">
        <v>250</v>
      </c>
      <c r="L5640" s="20">
        <v>2250000</v>
      </c>
      <c r="M5640" s="20" t="s">
        <v>242</v>
      </c>
      <c r="N5640" s="20" t="s">
        <v>2327</v>
      </c>
    </row>
    <row r="5641" spans="1:14" hidden="1" x14ac:dyDescent="0.25">
      <c r="A5641" s="19">
        <v>46113</v>
      </c>
      <c r="B5641" s="20" t="s">
        <v>535</v>
      </c>
      <c r="C5641" s="20">
        <v>4</v>
      </c>
      <c r="D5641" s="20" t="s">
        <v>238</v>
      </c>
      <c r="E5641" s="20" t="s">
        <v>2341</v>
      </c>
      <c r="F5641" s="20" t="s">
        <v>240</v>
      </c>
      <c r="G5641" s="20" t="s">
        <v>82</v>
      </c>
      <c r="H5641" s="20"/>
      <c r="I5641" s="20"/>
      <c r="J5641" s="20" t="s">
        <v>208</v>
      </c>
      <c r="K5641" s="20" t="s">
        <v>250</v>
      </c>
      <c r="L5641" s="20">
        <v>19330000</v>
      </c>
      <c r="M5641" s="20" t="s">
        <v>242</v>
      </c>
      <c r="N5641" s="20" t="s">
        <v>3626</v>
      </c>
    </row>
    <row r="5642" spans="1:14" hidden="1" x14ac:dyDescent="0.25">
      <c r="A5642" s="19">
        <v>46113</v>
      </c>
      <c r="B5642" s="20" t="s">
        <v>535</v>
      </c>
      <c r="C5642" s="20">
        <v>4</v>
      </c>
      <c r="D5642" s="20" t="s">
        <v>238</v>
      </c>
      <c r="E5642" s="20" t="s">
        <v>2341</v>
      </c>
      <c r="F5642" s="20" t="s">
        <v>244</v>
      </c>
      <c r="G5642" s="20" t="s">
        <v>82</v>
      </c>
      <c r="H5642" s="20"/>
      <c r="I5642" s="20"/>
      <c r="J5642" s="20" t="s">
        <v>208</v>
      </c>
      <c r="K5642" s="20" t="s">
        <v>250</v>
      </c>
      <c r="L5642" s="20">
        <v>1890000000</v>
      </c>
      <c r="M5642" s="20" t="s">
        <v>245</v>
      </c>
      <c r="N5642" s="20" t="s">
        <v>3627</v>
      </c>
    </row>
    <row r="5643" spans="1:14" hidden="1" x14ac:dyDescent="0.25">
      <c r="A5643" s="19">
        <v>46113</v>
      </c>
      <c r="B5643" s="20" t="s">
        <v>535</v>
      </c>
      <c r="C5643" s="20">
        <v>5</v>
      </c>
      <c r="D5643" s="20" t="s">
        <v>238</v>
      </c>
      <c r="E5643" s="20" t="s">
        <v>2341</v>
      </c>
      <c r="F5643" s="20" t="s">
        <v>285</v>
      </c>
      <c r="G5643" s="20" t="s">
        <v>63</v>
      </c>
      <c r="H5643" s="20"/>
      <c r="I5643" s="20"/>
      <c r="J5643" s="20" t="s">
        <v>208</v>
      </c>
      <c r="K5643" s="20" t="s">
        <v>250</v>
      </c>
      <c r="L5643" s="20">
        <v>2930000</v>
      </c>
      <c r="M5643" s="20" t="s">
        <v>242</v>
      </c>
      <c r="N5643" s="20" t="s">
        <v>1220</v>
      </c>
    </row>
    <row r="5644" spans="1:14" hidden="1" x14ac:dyDescent="0.25">
      <c r="A5644" s="19">
        <v>46113</v>
      </c>
      <c r="B5644" s="20" t="s">
        <v>535</v>
      </c>
      <c r="C5644" s="20">
        <v>5</v>
      </c>
      <c r="D5644" s="20" t="s">
        <v>238</v>
      </c>
      <c r="E5644" s="20" t="s">
        <v>2341</v>
      </c>
      <c r="F5644" s="20" t="s">
        <v>240</v>
      </c>
      <c r="G5644" s="20" t="s">
        <v>82</v>
      </c>
      <c r="H5644" s="20"/>
      <c r="I5644" s="20"/>
      <c r="J5644" s="20" t="s">
        <v>208</v>
      </c>
      <c r="K5644" s="20" t="s">
        <v>250</v>
      </c>
      <c r="L5644" s="20">
        <v>13290000</v>
      </c>
      <c r="M5644" s="20" t="s">
        <v>242</v>
      </c>
      <c r="N5644" s="20" t="s">
        <v>3628</v>
      </c>
    </row>
    <row r="5645" spans="1:14" hidden="1" x14ac:dyDescent="0.25">
      <c r="A5645" s="19">
        <v>46113</v>
      </c>
      <c r="B5645" s="20" t="s">
        <v>535</v>
      </c>
      <c r="C5645" s="20">
        <v>5</v>
      </c>
      <c r="D5645" s="20" t="s">
        <v>238</v>
      </c>
      <c r="E5645" s="20" t="s">
        <v>2341</v>
      </c>
      <c r="F5645" s="20" t="s">
        <v>244</v>
      </c>
      <c r="G5645" s="20" t="s">
        <v>82</v>
      </c>
      <c r="H5645" s="20"/>
      <c r="I5645" s="20"/>
      <c r="J5645" s="20" t="s">
        <v>208</v>
      </c>
      <c r="K5645" s="20" t="s">
        <v>250</v>
      </c>
      <c r="L5645" s="20">
        <v>601000000</v>
      </c>
      <c r="M5645" s="20" t="s">
        <v>245</v>
      </c>
      <c r="N5645" s="20" t="s">
        <v>3629</v>
      </c>
    </row>
    <row r="5646" spans="1:14" hidden="1" x14ac:dyDescent="0.25">
      <c r="A5646" s="19">
        <v>46113</v>
      </c>
      <c r="B5646" s="20" t="s">
        <v>535</v>
      </c>
      <c r="C5646" s="20">
        <v>6</v>
      </c>
      <c r="D5646" s="20" t="s">
        <v>238</v>
      </c>
      <c r="E5646" s="20" t="s">
        <v>2341</v>
      </c>
      <c r="F5646" s="20" t="s">
        <v>285</v>
      </c>
      <c r="G5646" s="20" t="s">
        <v>63</v>
      </c>
      <c r="H5646" s="20"/>
      <c r="I5646" s="20"/>
      <c r="J5646" s="20" t="s">
        <v>208</v>
      </c>
      <c r="K5646" s="20" t="s">
        <v>250</v>
      </c>
      <c r="L5646" s="20">
        <v>5210000</v>
      </c>
      <c r="M5646" s="20" t="s">
        <v>242</v>
      </c>
      <c r="N5646" s="20" t="s">
        <v>3630</v>
      </c>
    </row>
    <row r="5647" spans="1:14" hidden="1" x14ac:dyDescent="0.25">
      <c r="A5647" s="19">
        <v>46113</v>
      </c>
      <c r="B5647" s="20" t="s">
        <v>535</v>
      </c>
      <c r="C5647" s="20">
        <v>6</v>
      </c>
      <c r="D5647" s="20" t="s">
        <v>238</v>
      </c>
      <c r="E5647" s="20" t="s">
        <v>2341</v>
      </c>
      <c r="F5647" s="20" t="s">
        <v>378</v>
      </c>
      <c r="G5647" s="20" t="s">
        <v>379</v>
      </c>
      <c r="H5647" s="20"/>
      <c r="I5647" s="20"/>
      <c r="J5647" s="20" t="s">
        <v>208</v>
      </c>
      <c r="K5647" s="20" t="s">
        <v>250</v>
      </c>
      <c r="L5647" s="20">
        <v>716</v>
      </c>
      <c r="M5647" s="20" t="s">
        <v>242</v>
      </c>
      <c r="N5647" s="20" t="s">
        <v>3631</v>
      </c>
    </row>
    <row r="5648" spans="1:14" hidden="1" x14ac:dyDescent="0.25">
      <c r="A5648" s="19">
        <v>46113</v>
      </c>
      <c r="B5648" s="20" t="s">
        <v>535</v>
      </c>
      <c r="C5648" s="20">
        <v>6</v>
      </c>
      <c r="D5648" s="20" t="s">
        <v>238</v>
      </c>
      <c r="E5648" s="20" t="s">
        <v>2341</v>
      </c>
      <c r="F5648" s="20" t="s">
        <v>381</v>
      </c>
      <c r="G5648" s="20" t="s">
        <v>382</v>
      </c>
      <c r="H5648" s="20"/>
      <c r="I5648" s="20"/>
      <c r="J5648" s="20" t="s">
        <v>208</v>
      </c>
      <c r="K5648" s="20" t="s">
        <v>250</v>
      </c>
      <c r="L5648" s="20">
        <v>2507</v>
      </c>
      <c r="M5648" s="20" t="s">
        <v>242</v>
      </c>
      <c r="N5648" s="20" t="s">
        <v>3632</v>
      </c>
    </row>
    <row r="5649" spans="1:14" hidden="1" x14ac:dyDescent="0.25">
      <c r="A5649" s="19">
        <v>46113</v>
      </c>
      <c r="B5649" s="20" t="s">
        <v>535</v>
      </c>
      <c r="C5649" s="20">
        <v>6</v>
      </c>
      <c r="D5649" s="20" t="s">
        <v>238</v>
      </c>
      <c r="E5649" s="20" t="s">
        <v>2341</v>
      </c>
      <c r="F5649" s="20" t="s">
        <v>240</v>
      </c>
      <c r="G5649" s="20" t="s">
        <v>82</v>
      </c>
      <c r="H5649" s="20"/>
      <c r="I5649" s="20"/>
      <c r="J5649" s="20" t="s">
        <v>208</v>
      </c>
      <c r="K5649" s="20" t="s">
        <v>250</v>
      </c>
      <c r="L5649" s="20">
        <v>6600000</v>
      </c>
      <c r="M5649" s="20" t="s">
        <v>242</v>
      </c>
      <c r="N5649" s="20" t="s">
        <v>3633</v>
      </c>
    </row>
    <row r="5650" spans="1:14" hidden="1" x14ac:dyDescent="0.25">
      <c r="A5650" s="19">
        <v>46113</v>
      </c>
      <c r="B5650" s="20" t="s">
        <v>535</v>
      </c>
      <c r="C5650" s="20">
        <v>6</v>
      </c>
      <c r="D5650" s="20" t="s">
        <v>238</v>
      </c>
      <c r="E5650" s="20" t="s">
        <v>2341</v>
      </c>
      <c r="F5650" s="20" t="s">
        <v>244</v>
      </c>
      <c r="G5650" s="20" t="s">
        <v>82</v>
      </c>
      <c r="H5650" s="20"/>
      <c r="I5650" s="20"/>
      <c r="J5650" s="20" t="s">
        <v>208</v>
      </c>
      <c r="K5650" s="20" t="s">
        <v>250</v>
      </c>
      <c r="L5650" s="20">
        <v>1430000000</v>
      </c>
      <c r="M5650" s="20" t="s">
        <v>245</v>
      </c>
      <c r="N5650" s="20" t="s">
        <v>1938</v>
      </c>
    </row>
    <row r="5651" spans="1:14" hidden="1" x14ac:dyDescent="0.25">
      <c r="A5651" s="19">
        <v>46113</v>
      </c>
      <c r="B5651" s="20" t="s">
        <v>535</v>
      </c>
      <c r="C5651" s="20">
        <v>7</v>
      </c>
      <c r="D5651" s="20" t="s">
        <v>238</v>
      </c>
      <c r="E5651" s="20" t="s">
        <v>2341</v>
      </c>
      <c r="F5651" s="20" t="s">
        <v>1194</v>
      </c>
      <c r="G5651" s="20" t="s">
        <v>82</v>
      </c>
      <c r="H5651" s="20"/>
      <c r="I5651" s="20"/>
      <c r="J5651" s="20" t="s">
        <v>208</v>
      </c>
      <c r="K5651" s="20" t="s">
        <v>250</v>
      </c>
      <c r="L5651" s="20">
        <v>1070000</v>
      </c>
      <c r="M5651" s="20" t="s">
        <v>242</v>
      </c>
      <c r="N5651" s="20" t="s">
        <v>3138</v>
      </c>
    </row>
    <row r="5652" spans="1:14" hidden="1" x14ac:dyDescent="0.25">
      <c r="A5652" s="19">
        <v>46113</v>
      </c>
      <c r="B5652" s="20" t="s">
        <v>535</v>
      </c>
      <c r="C5652" s="20">
        <v>7</v>
      </c>
      <c r="D5652" s="20" t="s">
        <v>238</v>
      </c>
      <c r="E5652" s="20" t="s">
        <v>2341</v>
      </c>
      <c r="F5652" s="20" t="s">
        <v>544</v>
      </c>
      <c r="G5652" s="20" t="s">
        <v>82</v>
      </c>
      <c r="H5652" s="20"/>
      <c r="I5652" s="20"/>
      <c r="J5652" s="20" t="s">
        <v>208</v>
      </c>
      <c r="K5652" s="20" t="s">
        <v>250</v>
      </c>
      <c r="L5652" s="20">
        <v>1070000</v>
      </c>
      <c r="M5652" s="20" t="s">
        <v>242</v>
      </c>
      <c r="N5652" s="20" t="s">
        <v>3138</v>
      </c>
    </row>
    <row r="5653" spans="1:14" hidden="1" x14ac:dyDescent="0.25">
      <c r="A5653" s="19">
        <v>46113</v>
      </c>
      <c r="B5653" s="20" t="s">
        <v>535</v>
      </c>
      <c r="C5653" s="20">
        <v>7</v>
      </c>
      <c r="D5653" s="20" t="s">
        <v>238</v>
      </c>
      <c r="E5653" s="20" t="s">
        <v>2341</v>
      </c>
      <c r="F5653" s="20" t="s">
        <v>929</v>
      </c>
      <c r="G5653" s="20" t="s">
        <v>82</v>
      </c>
      <c r="H5653" s="20"/>
      <c r="I5653" s="20"/>
      <c r="J5653" s="20" t="s">
        <v>208</v>
      </c>
      <c r="K5653" s="20" t="s">
        <v>250</v>
      </c>
      <c r="L5653" s="20">
        <v>896000000</v>
      </c>
      <c r="M5653" s="20" t="s">
        <v>245</v>
      </c>
      <c r="N5653" s="20" t="s">
        <v>3634</v>
      </c>
    </row>
    <row r="5654" spans="1:14" hidden="1" x14ac:dyDescent="0.25">
      <c r="A5654" s="19">
        <v>46113</v>
      </c>
      <c r="B5654" s="20" t="s">
        <v>535</v>
      </c>
      <c r="C5654" s="20">
        <v>8</v>
      </c>
      <c r="D5654" s="20" t="s">
        <v>238</v>
      </c>
      <c r="E5654" s="20" t="s">
        <v>2341</v>
      </c>
      <c r="F5654" s="20" t="s">
        <v>548</v>
      </c>
      <c r="G5654" s="20" t="s">
        <v>158</v>
      </c>
      <c r="H5654" s="20"/>
      <c r="I5654" s="20"/>
      <c r="J5654" s="20" t="s">
        <v>208</v>
      </c>
      <c r="K5654" s="20" t="s">
        <v>250</v>
      </c>
      <c r="L5654" s="20">
        <v>438000</v>
      </c>
      <c r="M5654" s="20" t="s">
        <v>242</v>
      </c>
      <c r="N5654" s="20" t="s">
        <v>3635</v>
      </c>
    </row>
    <row r="5655" spans="1:14" hidden="1" x14ac:dyDescent="0.25">
      <c r="A5655" s="19">
        <v>46113</v>
      </c>
      <c r="B5655" s="20" t="s">
        <v>535</v>
      </c>
      <c r="C5655" s="20">
        <v>8</v>
      </c>
      <c r="D5655" s="20" t="s">
        <v>238</v>
      </c>
      <c r="E5655" s="20" t="s">
        <v>2341</v>
      </c>
      <c r="F5655" s="20" t="s">
        <v>349</v>
      </c>
      <c r="G5655" s="20" t="s">
        <v>158</v>
      </c>
      <c r="H5655" s="20"/>
      <c r="I5655" s="20"/>
      <c r="J5655" s="20" t="s">
        <v>208</v>
      </c>
      <c r="K5655" s="20" t="s">
        <v>250</v>
      </c>
      <c r="L5655" s="20">
        <v>12400</v>
      </c>
      <c r="M5655" s="20" t="s">
        <v>242</v>
      </c>
      <c r="N5655" s="20" t="s">
        <v>3636</v>
      </c>
    </row>
    <row r="5656" spans="1:14" hidden="1" x14ac:dyDescent="0.25">
      <c r="A5656" s="19">
        <v>46113</v>
      </c>
      <c r="B5656" s="20" t="s">
        <v>535</v>
      </c>
      <c r="C5656" s="20">
        <v>8</v>
      </c>
      <c r="D5656" s="20" t="s">
        <v>238</v>
      </c>
      <c r="E5656" s="20" t="s">
        <v>2341</v>
      </c>
      <c r="F5656" s="20" t="s">
        <v>551</v>
      </c>
      <c r="G5656" s="20" t="s">
        <v>158</v>
      </c>
      <c r="H5656" s="20"/>
      <c r="I5656" s="20"/>
      <c r="J5656" s="20" t="s">
        <v>208</v>
      </c>
      <c r="K5656" s="20" t="s">
        <v>250</v>
      </c>
      <c r="L5656" s="20">
        <v>3180000000</v>
      </c>
      <c r="M5656" s="20" t="s">
        <v>245</v>
      </c>
      <c r="N5656" s="20" t="s">
        <v>3637</v>
      </c>
    </row>
    <row r="5657" spans="1:14" hidden="1" x14ac:dyDescent="0.25">
      <c r="A5657" s="19">
        <v>46113</v>
      </c>
      <c r="B5657" s="20" t="s">
        <v>535</v>
      </c>
      <c r="C5657" s="20">
        <v>8</v>
      </c>
      <c r="D5657" s="20" t="s">
        <v>238</v>
      </c>
      <c r="E5657" s="20" t="s">
        <v>2341</v>
      </c>
      <c r="F5657" s="20" t="s">
        <v>361</v>
      </c>
      <c r="G5657" s="20" t="s">
        <v>158</v>
      </c>
      <c r="H5657" s="20"/>
      <c r="I5657" s="20"/>
      <c r="J5657" s="20" t="s">
        <v>208</v>
      </c>
      <c r="K5657" s="20" t="s">
        <v>250</v>
      </c>
      <c r="L5657" s="20">
        <v>72400000</v>
      </c>
      <c r="M5657" s="20" t="s">
        <v>245</v>
      </c>
      <c r="N5657" s="20" t="s">
        <v>3638</v>
      </c>
    </row>
    <row r="5658" spans="1:14" hidden="1" x14ac:dyDescent="0.25">
      <c r="A5658" s="19">
        <v>46113</v>
      </c>
      <c r="B5658" s="20" t="s">
        <v>35</v>
      </c>
      <c r="C5658" s="20">
        <v>10</v>
      </c>
      <c r="D5658" s="20" t="s">
        <v>238</v>
      </c>
      <c r="E5658" s="20" t="s">
        <v>2341</v>
      </c>
      <c r="F5658" s="20" t="s">
        <v>240</v>
      </c>
      <c r="G5658" s="20" t="s">
        <v>82</v>
      </c>
      <c r="H5658" s="20"/>
      <c r="I5658" s="20"/>
      <c r="J5658" s="20" t="s">
        <v>3639</v>
      </c>
      <c r="K5658" s="20" t="s">
        <v>241</v>
      </c>
      <c r="L5658" s="20">
        <v>72620000</v>
      </c>
      <c r="M5658" s="20" t="s">
        <v>242</v>
      </c>
      <c r="N5658" s="20" t="s">
        <v>3640</v>
      </c>
    </row>
    <row r="5659" spans="1:14" hidden="1" x14ac:dyDescent="0.25">
      <c r="A5659" s="19">
        <v>46113</v>
      </c>
      <c r="B5659" s="20" t="s">
        <v>35</v>
      </c>
      <c r="C5659" s="20">
        <v>10</v>
      </c>
      <c r="D5659" s="20" t="s">
        <v>238</v>
      </c>
      <c r="E5659" s="20" t="s">
        <v>2341</v>
      </c>
      <c r="F5659" s="20" t="s">
        <v>244</v>
      </c>
      <c r="G5659" s="20" t="s">
        <v>82</v>
      </c>
      <c r="H5659" s="20"/>
      <c r="I5659" s="20"/>
      <c r="J5659" s="20" t="s">
        <v>3639</v>
      </c>
      <c r="K5659" s="20" t="s">
        <v>241</v>
      </c>
      <c r="L5659" s="20">
        <v>7600000000</v>
      </c>
      <c r="M5659" s="20" t="s">
        <v>245</v>
      </c>
      <c r="N5659" s="20" t="s">
        <v>3641</v>
      </c>
    </row>
    <row r="5660" spans="1:14" hidden="1" x14ac:dyDescent="0.25">
      <c r="A5660" s="19">
        <v>46113</v>
      </c>
      <c r="B5660" s="20" t="s">
        <v>35</v>
      </c>
      <c r="C5660" s="20">
        <v>11</v>
      </c>
      <c r="D5660" s="20" t="s">
        <v>253</v>
      </c>
      <c r="E5660" s="20" t="s">
        <v>2359</v>
      </c>
      <c r="F5660" s="20" t="s">
        <v>285</v>
      </c>
      <c r="G5660" s="20" t="s">
        <v>63</v>
      </c>
      <c r="H5660" s="20"/>
      <c r="I5660" s="20"/>
      <c r="J5660" s="20" t="s">
        <v>206</v>
      </c>
      <c r="K5660" s="20" t="s">
        <v>255</v>
      </c>
      <c r="L5660" s="20">
        <v>2200000</v>
      </c>
      <c r="M5660" s="20" t="s">
        <v>242</v>
      </c>
      <c r="N5660" s="20" t="s">
        <v>3349</v>
      </c>
    </row>
    <row r="5661" spans="1:14" hidden="1" x14ac:dyDescent="0.25">
      <c r="A5661" s="19">
        <v>46113</v>
      </c>
      <c r="B5661" s="20" t="s">
        <v>35</v>
      </c>
      <c r="C5661" s="20">
        <v>11</v>
      </c>
      <c r="D5661" s="20" t="s">
        <v>253</v>
      </c>
      <c r="E5661" s="20" t="s">
        <v>2359</v>
      </c>
      <c r="F5661" s="20" t="s">
        <v>285</v>
      </c>
      <c r="G5661" s="20" t="s">
        <v>63</v>
      </c>
      <c r="H5661" s="20"/>
      <c r="I5661" s="20"/>
      <c r="J5661" s="20" t="s">
        <v>207</v>
      </c>
      <c r="K5661" s="20" t="s">
        <v>255</v>
      </c>
      <c r="L5661" s="20">
        <v>2220000</v>
      </c>
      <c r="M5661" s="20" t="s">
        <v>242</v>
      </c>
      <c r="N5661" s="20" t="s">
        <v>3494</v>
      </c>
    </row>
    <row r="5662" spans="1:14" hidden="1" x14ac:dyDescent="0.25">
      <c r="A5662" s="19">
        <v>46113</v>
      </c>
      <c r="B5662" s="20" t="s">
        <v>35</v>
      </c>
      <c r="C5662" s="20">
        <v>11</v>
      </c>
      <c r="D5662" s="20" t="s">
        <v>253</v>
      </c>
      <c r="E5662" s="20" t="s">
        <v>2359</v>
      </c>
      <c r="F5662" s="20" t="s">
        <v>285</v>
      </c>
      <c r="G5662" s="20" t="s">
        <v>63</v>
      </c>
      <c r="H5662" s="20"/>
      <c r="I5662" s="20"/>
      <c r="J5662" s="20" t="s">
        <v>208</v>
      </c>
      <c r="K5662" s="20" t="s">
        <v>255</v>
      </c>
      <c r="L5662" s="20">
        <v>2250000</v>
      </c>
      <c r="M5662" s="20" t="s">
        <v>242</v>
      </c>
      <c r="N5662" s="20" t="s">
        <v>3642</v>
      </c>
    </row>
    <row r="5663" spans="1:14" hidden="1" x14ac:dyDescent="0.25">
      <c r="A5663" s="19">
        <v>46113</v>
      </c>
      <c r="B5663" s="20" t="s">
        <v>35</v>
      </c>
      <c r="C5663" s="20">
        <v>11</v>
      </c>
      <c r="D5663" s="20" t="s">
        <v>247</v>
      </c>
      <c r="E5663" s="20" t="s">
        <v>2554</v>
      </c>
      <c r="F5663" s="20" t="s">
        <v>2555</v>
      </c>
      <c r="G5663" s="20" t="s">
        <v>63</v>
      </c>
      <c r="H5663" s="20" t="s">
        <v>286</v>
      </c>
      <c r="I5663" s="20"/>
      <c r="J5663" s="20" t="s">
        <v>208</v>
      </c>
      <c r="K5663" s="20" t="s">
        <v>250</v>
      </c>
      <c r="L5663" s="20">
        <v>1.4</v>
      </c>
      <c r="M5663" s="20" t="s">
        <v>251</v>
      </c>
      <c r="N5663" s="20" t="s">
        <v>271</v>
      </c>
    </row>
    <row r="5664" spans="1:14" hidden="1" x14ac:dyDescent="0.25">
      <c r="A5664" s="19">
        <v>46113</v>
      </c>
      <c r="B5664" s="20" t="s">
        <v>35</v>
      </c>
      <c r="C5664" s="20">
        <v>12</v>
      </c>
      <c r="D5664" s="20" t="s">
        <v>291</v>
      </c>
      <c r="E5664" s="20" t="s">
        <v>2361</v>
      </c>
      <c r="F5664" s="20" t="s">
        <v>2362</v>
      </c>
      <c r="G5664" s="20" t="s">
        <v>63</v>
      </c>
      <c r="H5664" s="20" t="s">
        <v>64</v>
      </c>
      <c r="I5664" s="20"/>
      <c r="J5664" s="20" t="s">
        <v>208</v>
      </c>
      <c r="K5664" s="20" t="s">
        <v>250</v>
      </c>
      <c r="L5664" s="20">
        <v>2160000</v>
      </c>
      <c r="M5664" s="20" t="s">
        <v>242</v>
      </c>
      <c r="N5664" s="20" t="s">
        <v>425</v>
      </c>
    </row>
    <row r="5665" spans="1:14" hidden="1" x14ac:dyDescent="0.25">
      <c r="A5665" s="19">
        <v>46113</v>
      </c>
      <c r="B5665" s="20" t="s">
        <v>35</v>
      </c>
      <c r="C5665" s="20">
        <v>12</v>
      </c>
      <c r="D5665" s="20" t="s">
        <v>291</v>
      </c>
      <c r="E5665" s="20" t="s">
        <v>2361</v>
      </c>
      <c r="F5665" s="20" t="s">
        <v>2362</v>
      </c>
      <c r="G5665" s="20" t="s">
        <v>63</v>
      </c>
      <c r="H5665" s="20" t="s">
        <v>65</v>
      </c>
      <c r="I5665" s="20"/>
      <c r="J5665" s="20" t="s">
        <v>208</v>
      </c>
      <c r="K5665" s="20" t="s">
        <v>250</v>
      </c>
      <c r="L5665" s="20">
        <v>90900</v>
      </c>
      <c r="M5665" s="20" t="s">
        <v>242</v>
      </c>
      <c r="N5665" s="20" t="s">
        <v>3643</v>
      </c>
    </row>
    <row r="5666" spans="1:14" hidden="1" x14ac:dyDescent="0.25">
      <c r="A5666" s="19">
        <v>46113</v>
      </c>
      <c r="B5666" s="20" t="s">
        <v>35</v>
      </c>
      <c r="C5666" s="20">
        <v>13</v>
      </c>
      <c r="D5666" s="20" t="s">
        <v>291</v>
      </c>
      <c r="E5666" s="20" t="s">
        <v>2361</v>
      </c>
      <c r="F5666" s="20" t="s">
        <v>2362</v>
      </c>
      <c r="G5666" s="20" t="s">
        <v>63</v>
      </c>
      <c r="H5666" s="20" t="s">
        <v>2364</v>
      </c>
      <c r="I5666" s="20"/>
      <c r="J5666" s="20" t="s">
        <v>208</v>
      </c>
      <c r="K5666" s="20" t="s">
        <v>250</v>
      </c>
      <c r="L5666" s="20">
        <v>1370000</v>
      </c>
      <c r="M5666" s="20" t="s">
        <v>242</v>
      </c>
      <c r="N5666" s="20" t="s">
        <v>3010</v>
      </c>
    </row>
    <row r="5667" spans="1:14" hidden="1" x14ac:dyDescent="0.25">
      <c r="A5667" s="19">
        <v>46113</v>
      </c>
      <c r="B5667" s="20" t="s">
        <v>35</v>
      </c>
      <c r="C5667" s="20">
        <v>13</v>
      </c>
      <c r="D5667" s="20" t="s">
        <v>291</v>
      </c>
      <c r="E5667" s="20" t="s">
        <v>2361</v>
      </c>
      <c r="F5667" s="20" t="s">
        <v>2362</v>
      </c>
      <c r="G5667" s="20" t="s">
        <v>63</v>
      </c>
      <c r="H5667" s="20" t="s">
        <v>2366</v>
      </c>
      <c r="I5667" s="20"/>
      <c r="J5667" s="20" t="s">
        <v>208</v>
      </c>
      <c r="K5667" s="20" t="s">
        <v>250</v>
      </c>
      <c r="L5667" s="20">
        <v>820000</v>
      </c>
      <c r="M5667" s="20" t="s">
        <v>242</v>
      </c>
      <c r="N5667" s="20" t="s">
        <v>3644</v>
      </c>
    </row>
    <row r="5668" spans="1:14" x14ac:dyDescent="0.25">
      <c r="A5668" s="19">
        <v>46113</v>
      </c>
      <c r="B5668" s="20" t="s">
        <v>35</v>
      </c>
      <c r="C5668" s="20">
        <v>14</v>
      </c>
      <c r="D5668" s="20" t="s">
        <v>291</v>
      </c>
      <c r="E5668" s="20" t="s">
        <v>2361</v>
      </c>
      <c r="F5668" s="20" t="s">
        <v>285</v>
      </c>
      <c r="G5668" s="20" t="s">
        <v>63</v>
      </c>
      <c r="H5668" s="20" t="s">
        <v>77</v>
      </c>
      <c r="I5668" s="20"/>
      <c r="J5668" s="20" t="s">
        <v>208</v>
      </c>
      <c r="K5668" s="20" t="s">
        <v>250</v>
      </c>
      <c r="L5668" s="20">
        <v>11000</v>
      </c>
      <c r="M5668" s="20" t="s">
        <v>242</v>
      </c>
      <c r="N5668" s="20" t="s">
        <v>3645</v>
      </c>
    </row>
    <row r="5669" spans="1:14" x14ac:dyDescent="0.25">
      <c r="A5669" s="19">
        <v>46113</v>
      </c>
      <c r="B5669" s="20" t="s">
        <v>35</v>
      </c>
      <c r="C5669" s="20">
        <v>14</v>
      </c>
      <c r="D5669" s="20" t="s">
        <v>291</v>
      </c>
      <c r="E5669" s="20" t="s">
        <v>2361</v>
      </c>
      <c r="F5669" s="20" t="s">
        <v>285</v>
      </c>
      <c r="G5669" s="20" t="s">
        <v>63</v>
      </c>
      <c r="H5669" s="20" t="s">
        <v>70</v>
      </c>
      <c r="I5669" s="20"/>
      <c r="J5669" s="20" t="s">
        <v>208</v>
      </c>
      <c r="K5669" s="20" t="s">
        <v>250</v>
      </c>
      <c r="L5669" s="20">
        <v>804000</v>
      </c>
      <c r="M5669" s="20" t="s">
        <v>242</v>
      </c>
      <c r="N5669" s="20" t="s">
        <v>3646</v>
      </c>
    </row>
    <row r="5670" spans="1:14" x14ac:dyDescent="0.25">
      <c r="A5670" s="19">
        <v>46113</v>
      </c>
      <c r="B5670" s="20" t="s">
        <v>35</v>
      </c>
      <c r="C5670" s="20">
        <v>14</v>
      </c>
      <c r="D5670" s="20" t="s">
        <v>291</v>
      </c>
      <c r="E5670" s="20" t="s">
        <v>2361</v>
      </c>
      <c r="F5670" s="20" t="s">
        <v>285</v>
      </c>
      <c r="G5670" s="20" t="s">
        <v>63</v>
      </c>
      <c r="H5670" s="20" t="s">
        <v>71</v>
      </c>
      <c r="I5670" s="20"/>
      <c r="J5670" s="20" t="s">
        <v>208</v>
      </c>
      <c r="K5670" s="20" t="s">
        <v>250</v>
      </c>
      <c r="L5670" s="20">
        <v>574000</v>
      </c>
      <c r="M5670" s="20" t="s">
        <v>242</v>
      </c>
      <c r="N5670" s="20" t="s">
        <v>3647</v>
      </c>
    </row>
    <row r="5671" spans="1:14" x14ac:dyDescent="0.25">
      <c r="A5671" s="19">
        <v>46113</v>
      </c>
      <c r="B5671" s="20" t="s">
        <v>35</v>
      </c>
      <c r="C5671" s="20">
        <v>14</v>
      </c>
      <c r="D5671" s="20" t="s">
        <v>291</v>
      </c>
      <c r="E5671" s="20" t="s">
        <v>2361</v>
      </c>
      <c r="F5671" s="20" t="s">
        <v>285</v>
      </c>
      <c r="G5671" s="20" t="s">
        <v>63</v>
      </c>
      <c r="H5671" s="20" t="s">
        <v>72</v>
      </c>
      <c r="I5671" s="20"/>
      <c r="J5671" s="20" t="s">
        <v>208</v>
      </c>
      <c r="K5671" s="20" t="s">
        <v>250</v>
      </c>
      <c r="L5671" s="20">
        <v>403000</v>
      </c>
      <c r="M5671" s="20" t="s">
        <v>242</v>
      </c>
      <c r="N5671" s="20" t="s">
        <v>3648</v>
      </c>
    </row>
    <row r="5672" spans="1:14" x14ac:dyDescent="0.25">
      <c r="A5672" s="19">
        <v>46113</v>
      </c>
      <c r="B5672" s="20" t="s">
        <v>35</v>
      </c>
      <c r="C5672" s="20">
        <v>14</v>
      </c>
      <c r="D5672" s="20" t="s">
        <v>291</v>
      </c>
      <c r="E5672" s="20" t="s">
        <v>2361</v>
      </c>
      <c r="F5672" s="20" t="s">
        <v>285</v>
      </c>
      <c r="G5672" s="20" t="s">
        <v>63</v>
      </c>
      <c r="H5672" s="20" t="s">
        <v>73</v>
      </c>
      <c r="I5672" s="20"/>
      <c r="J5672" s="20" t="s">
        <v>208</v>
      </c>
      <c r="K5672" s="20" t="s">
        <v>250</v>
      </c>
      <c r="L5672" s="20">
        <v>250000</v>
      </c>
      <c r="M5672" s="20" t="s">
        <v>242</v>
      </c>
      <c r="N5672" s="20" t="s">
        <v>3649</v>
      </c>
    </row>
    <row r="5673" spans="1:14" x14ac:dyDescent="0.25">
      <c r="A5673" s="19">
        <v>46113</v>
      </c>
      <c r="B5673" s="20" t="s">
        <v>35</v>
      </c>
      <c r="C5673" s="20">
        <v>14</v>
      </c>
      <c r="D5673" s="20" t="s">
        <v>291</v>
      </c>
      <c r="E5673" s="20" t="s">
        <v>2361</v>
      </c>
      <c r="F5673" s="20" t="s">
        <v>285</v>
      </c>
      <c r="G5673" s="20" t="s">
        <v>63</v>
      </c>
      <c r="H5673" s="20" t="s">
        <v>74</v>
      </c>
      <c r="I5673" s="20"/>
      <c r="J5673" s="20" t="s">
        <v>208</v>
      </c>
      <c r="K5673" s="20" t="s">
        <v>250</v>
      </c>
      <c r="L5673" s="20">
        <v>118000</v>
      </c>
      <c r="M5673" s="20" t="s">
        <v>242</v>
      </c>
      <c r="N5673" s="20" t="s">
        <v>3650</v>
      </c>
    </row>
    <row r="5674" spans="1:14" x14ac:dyDescent="0.25">
      <c r="A5674" s="19">
        <v>46113</v>
      </c>
      <c r="B5674" s="20" t="s">
        <v>35</v>
      </c>
      <c r="C5674" s="20">
        <v>14</v>
      </c>
      <c r="D5674" s="20" t="s">
        <v>291</v>
      </c>
      <c r="E5674" s="20" t="s">
        <v>2361</v>
      </c>
      <c r="F5674" s="20" t="s">
        <v>285</v>
      </c>
      <c r="G5674" s="20" t="s">
        <v>63</v>
      </c>
      <c r="H5674" s="20" t="s">
        <v>75</v>
      </c>
      <c r="I5674" s="20"/>
      <c r="J5674" s="20" t="s">
        <v>208</v>
      </c>
      <c r="K5674" s="20" t="s">
        <v>250</v>
      </c>
      <c r="L5674" s="20">
        <v>32000</v>
      </c>
      <c r="M5674" s="20" t="s">
        <v>242</v>
      </c>
      <c r="N5674" s="20" t="s">
        <v>3149</v>
      </c>
    </row>
    <row r="5675" spans="1:14" x14ac:dyDescent="0.25">
      <c r="A5675" s="19">
        <v>46113</v>
      </c>
      <c r="B5675" s="20" t="s">
        <v>35</v>
      </c>
      <c r="C5675" s="20">
        <v>14</v>
      </c>
      <c r="D5675" s="20" t="s">
        <v>291</v>
      </c>
      <c r="E5675" s="20" t="s">
        <v>2361</v>
      </c>
      <c r="F5675" s="20" t="s">
        <v>285</v>
      </c>
      <c r="G5675" s="20" t="s">
        <v>63</v>
      </c>
      <c r="H5675" s="20" t="s">
        <v>76</v>
      </c>
      <c r="I5675" s="20"/>
      <c r="J5675" s="20" t="s">
        <v>208</v>
      </c>
      <c r="K5675" s="20" t="s">
        <v>250</v>
      </c>
      <c r="L5675" s="20">
        <v>7000</v>
      </c>
      <c r="M5675" s="20" t="s">
        <v>242</v>
      </c>
      <c r="N5675" s="20" t="s">
        <v>3210</v>
      </c>
    </row>
    <row r="5676" spans="1:14" hidden="1" x14ac:dyDescent="0.25">
      <c r="A5676" s="19">
        <v>46113</v>
      </c>
      <c r="B5676" s="20" t="s">
        <v>35</v>
      </c>
      <c r="C5676" s="20">
        <v>15</v>
      </c>
      <c r="D5676" s="20" t="s">
        <v>291</v>
      </c>
      <c r="E5676" s="20" t="s">
        <v>2361</v>
      </c>
      <c r="F5676" s="20" t="s">
        <v>2362</v>
      </c>
      <c r="G5676" s="20" t="s">
        <v>63</v>
      </c>
      <c r="H5676" s="20" t="s">
        <v>79</v>
      </c>
      <c r="I5676" s="20"/>
      <c r="J5676" s="20" t="s">
        <v>208</v>
      </c>
      <c r="K5676" s="20" t="s">
        <v>250</v>
      </c>
      <c r="L5676" s="20">
        <v>2200000</v>
      </c>
      <c r="M5676" s="20" t="s">
        <v>242</v>
      </c>
      <c r="N5676" s="20" t="s">
        <v>3332</v>
      </c>
    </row>
    <row r="5677" spans="1:14" hidden="1" x14ac:dyDescent="0.25">
      <c r="A5677" s="19">
        <v>46113</v>
      </c>
      <c r="B5677" s="20" t="s">
        <v>35</v>
      </c>
      <c r="C5677" s="20">
        <v>15</v>
      </c>
      <c r="D5677" s="20" t="s">
        <v>291</v>
      </c>
      <c r="E5677" s="20" t="s">
        <v>2361</v>
      </c>
      <c r="F5677" s="20" t="s">
        <v>2362</v>
      </c>
      <c r="G5677" s="20" t="s">
        <v>63</v>
      </c>
      <c r="H5677" s="20" t="s">
        <v>80</v>
      </c>
      <c r="I5677" s="20"/>
      <c r="J5677" s="20" t="s">
        <v>208</v>
      </c>
      <c r="K5677" s="20" t="s">
        <v>250</v>
      </c>
      <c r="L5677" s="20">
        <v>53400</v>
      </c>
      <c r="M5677" s="20" t="s">
        <v>242</v>
      </c>
      <c r="N5677" s="20" t="s">
        <v>3651</v>
      </c>
    </row>
    <row r="5678" spans="1:14" hidden="1" x14ac:dyDescent="0.25">
      <c r="A5678" s="19">
        <v>46113</v>
      </c>
      <c r="B5678" s="20" t="s">
        <v>35</v>
      </c>
      <c r="C5678" s="20">
        <v>16</v>
      </c>
      <c r="D5678" s="20" t="s">
        <v>253</v>
      </c>
      <c r="E5678" s="20" t="s">
        <v>2359</v>
      </c>
      <c r="F5678" s="20" t="s">
        <v>240</v>
      </c>
      <c r="G5678" s="20" t="s">
        <v>82</v>
      </c>
      <c r="H5678" s="20"/>
      <c r="I5678" s="20"/>
      <c r="J5678" s="20" t="s">
        <v>206</v>
      </c>
      <c r="K5678" s="20" t="s">
        <v>255</v>
      </c>
      <c r="L5678" s="20">
        <v>16580000</v>
      </c>
      <c r="M5678" s="20" t="s">
        <v>242</v>
      </c>
      <c r="N5678" s="20" t="s">
        <v>3359</v>
      </c>
    </row>
    <row r="5679" spans="1:14" hidden="1" x14ac:dyDescent="0.25">
      <c r="A5679" s="19">
        <v>46113</v>
      </c>
      <c r="B5679" s="20" t="s">
        <v>35</v>
      </c>
      <c r="C5679" s="20">
        <v>16</v>
      </c>
      <c r="D5679" s="20" t="s">
        <v>253</v>
      </c>
      <c r="E5679" s="20" t="s">
        <v>2359</v>
      </c>
      <c r="F5679" s="20" t="s">
        <v>240</v>
      </c>
      <c r="G5679" s="20" t="s">
        <v>82</v>
      </c>
      <c r="H5679" s="20"/>
      <c r="I5679" s="20"/>
      <c r="J5679" s="20" t="s">
        <v>207</v>
      </c>
      <c r="K5679" s="20" t="s">
        <v>255</v>
      </c>
      <c r="L5679" s="20">
        <v>19010000</v>
      </c>
      <c r="M5679" s="20" t="s">
        <v>242</v>
      </c>
      <c r="N5679" s="20" t="s">
        <v>3501</v>
      </c>
    </row>
    <row r="5680" spans="1:14" hidden="1" x14ac:dyDescent="0.25">
      <c r="A5680" s="19">
        <v>46113</v>
      </c>
      <c r="B5680" s="20" t="s">
        <v>35</v>
      </c>
      <c r="C5680" s="20">
        <v>16</v>
      </c>
      <c r="D5680" s="20" t="s">
        <v>253</v>
      </c>
      <c r="E5680" s="20" t="s">
        <v>2359</v>
      </c>
      <c r="F5680" s="20" t="s">
        <v>240</v>
      </c>
      <c r="G5680" s="20" t="s">
        <v>82</v>
      </c>
      <c r="H5680" s="20"/>
      <c r="I5680" s="20"/>
      <c r="J5680" s="20" t="s">
        <v>208</v>
      </c>
      <c r="K5680" s="20" t="s">
        <v>255</v>
      </c>
      <c r="L5680" s="20">
        <v>19330000</v>
      </c>
      <c r="M5680" s="20" t="s">
        <v>242</v>
      </c>
      <c r="N5680" s="20" t="s">
        <v>3652</v>
      </c>
    </row>
    <row r="5681" spans="1:14" hidden="1" x14ac:dyDescent="0.25">
      <c r="A5681" s="19">
        <v>46113</v>
      </c>
      <c r="B5681" s="20" t="s">
        <v>35</v>
      </c>
      <c r="C5681" s="20">
        <v>16</v>
      </c>
      <c r="D5681" s="20" t="s">
        <v>247</v>
      </c>
      <c r="E5681" s="20" t="s">
        <v>2554</v>
      </c>
      <c r="F5681" s="20" t="s">
        <v>2556</v>
      </c>
      <c r="G5681" s="20" t="s">
        <v>82</v>
      </c>
      <c r="H5681" s="20" t="s">
        <v>286</v>
      </c>
      <c r="I5681" s="20"/>
      <c r="J5681" s="20" t="s">
        <v>208</v>
      </c>
      <c r="K5681" s="20" t="s">
        <v>250</v>
      </c>
      <c r="L5681" s="20">
        <v>1.7</v>
      </c>
      <c r="M5681" s="20" t="s">
        <v>251</v>
      </c>
      <c r="N5681" s="20" t="s">
        <v>635</v>
      </c>
    </row>
    <row r="5682" spans="1:14" hidden="1" x14ac:dyDescent="0.25">
      <c r="A5682" s="19">
        <v>46113</v>
      </c>
      <c r="B5682" s="20" t="s">
        <v>35</v>
      </c>
      <c r="C5682" s="20">
        <v>17</v>
      </c>
      <c r="D5682" s="20" t="s">
        <v>291</v>
      </c>
      <c r="E5682" s="20" t="s">
        <v>2361</v>
      </c>
      <c r="F5682" s="20" t="s">
        <v>240</v>
      </c>
      <c r="G5682" s="20" t="s">
        <v>82</v>
      </c>
      <c r="H5682" s="20" t="s">
        <v>83</v>
      </c>
      <c r="I5682" s="20"/>
      <c r="J5682" s="20" t="s">
        <v>208</v>
      </c>
      <c r="K5682" s="20" t="s">
        <v>250</v>
      </c>
      <c r="L5682" s="20">
        <v>15560000</v>
      </c>
      <c r="M5682" s="20" t="s">
        <v>242</v>
      </c>
      <c r="N5682" s="20" t="s">
        <v>3653</v>
      </c>
    </row>
    <row r="5683" spans="1:14" hidden="1" x14ac:dyDescent="0.25">
      <c r="A5683" s="19">
        <v>46113</v>
      </c>
      <c r="B5683" s="20" t="s">
        <v>35</v>
      </c>
      <c r="C5683" s="20">
        <v>17</v>
      </c>
      <c r="D5683" s="20" t="s">
        <v>291</v>
      </c>
      <c r="E5683" s="20" t="s">
        <v>2361</v>
      </c>
      <c r="F5683" s="20" t="s">
        <v>240</v>
      </c>
      <c r="G5683" s="20" t="s">
        <v>82</v>
      </c>
      <c r="H5683" s="20" t="s">
        <v>84</v>
      </c>
      <c r="I5683" s="20"/>
      <c r="J5683" s="20" t="s">
        <v>208</v>
      </c>
      <c r="K5683" s="20" t="s">
        <v>250</v>
      </c>
      <c r="L5683" s="20">
        <v>3770000</v>
      </c>
      <c r="M5683" s="20" t="s">
        <v>242</v>
      </c>
      <c r="N5683" s="20" t="s">
        <v>3654</v>
      </c>
    </row>
    <row r="5684" spans="1:14" hidden="1" x14ac:dyDescent="0.25">
      <c r="A5684" s="19">
        <v>46113</v>
      </c>
      <c r="B5684" s="20" t="s">
        <v>35</v>
      </c>
      <c r="C5684" s="20">
        <v>18</v>
      </c>
      <c r="D5684" s="20" t="s">
        <v>291</v>
      </c>
      <c r="E5684" s="20" t="s">
        <v>2361</v>
      </c>
      <c r="F5684" s="20" t="s">
        <v>240</v>
      </c>
      <c r="G5684" s="20" t="s">
        <v>82</v>
      </c>
      <c r="H5684" s="20" t="s">
        <v>83</v>
      </c>
      <c r="I5684" s="20" t="s">
        <v>315</v>
      </c>
      <c r="J5684" s="20" t="s">
        <v>208</v>
      </c>
      <c r="K5684" s="20" t="s">
        <v>250</v>
      </c>
      <c r="L5684" s="20"/>
      <c r="M5684" s="20" t="s">
        <v>251</v>
      </c>
      <c r="N5684" s="20" t="s">
        <v>3655</v>
      </c>
    </row>
    <row r="5685" spans="1:14" hidden="1" x14ac:dyDescent="0.25">
      <c r="A5685" s="19">
        <v>46113</v>
      </c>
      <c r="B5685" s="20" t="s">
        <v>35</v>
      </c>
      <c r="C5685" s="20">
        <v>18</v>
      </c>
      <c r="D5685" s="20" t="s">
        <v>291</v>
      </c>
      <c r="E5685" s="20" t="s">
        <v>2361</v>
      </c>
      <c r="F5685" s="20" t="s">
        <v>240</v>
      </c>
      <c r="G5685" s="20" t="s">
        <v>82</v>
      </c>
      <c r="H5685" s="20" t="s">
        <v>83</v>
      </c>
      <c r="I5685" s="20" t="s">
        <v>317</v>
      </c>
      <c r="J5685" s="20" t="s">
        <v>208</v>
      </c>
      <c r="K5685" s="20" t="s">
        <v>250</v>
      </c>
      <c r="L5685" s="20"/>
      <c r="M5685" s="20" t="s">
        <v>251</v>
      </c>
      <c r="N5685" s="20" t="s">
        <v>3656</v>
      </c>
    </row>
    <row r="5686" spans="1:14" hidden="1" x14ac:dyDescent="0.25">
      <c r="A5686" s="19">
        <v>46113</v>
      </c>
      <c r="B5686" s="20" t="s">
        <v>35</v>
      </c>
      <c r="C5686" s="20">
        <v>18</v>
      </c>
      <c r="D5686" s="20" t="s">
        <v>291</v>
      </c>
      <c r="E5686" s="20" t="s">
        <v>2361</v>
      </c>
      <c r="F5686" s="20" t="s">
        <v>240</v>
      </c>
      <c r="G5686" s="20" t="s">
        <v>82</v>
      </c>
      <c r="H5686" s="20" t="s">
        <v>83</v>
      </c>
      <c r="I5686" s="20" t="s">
        <v>313</v>
      </c>
      <c r="J5686" s="20" t="s">
        <v>208</v>
      </c>
      <c r="K5686" s="20" t="s">
        <v>250</v>
      </c>
      <c r="L5686" s="20"/>
      <c r="M5686" s="20" t="s">
        <v>251</v>
      </c>
      <c r="N5686" s="20" t="s">
        <v>769</v>
      </c>
    </row>
    <row r="5687" spans="1:14" hidden="1" x14ac:dyDescent="0.25">
      <c r="A5687" s="19">
        <v>46113</v>
      </c>
      <c r="B5687" s="20" t="s">
        <v>35</v>
      </c>
      <c r="C5687" s="20">
        <v>18</v>
      </c>
      <c r="D5687" s="20" t="s">
        <v>291</v>
      </c>
      <c r="E5687" s="20" t="s">
        <v>2361</v>
      </c>
      <c r="F5687" s="20" t="s">
        <v>240</v>
      </c>
      <c r="G5687" s="20" t="s">
        <v>82</v>
      </c>
      <c r="H5687" s="20" t="s">
        <v>84</v>
      </c>
      <c r="I5687" s="20" t="s">
        <v>319</v>
      </c>
      <c r="J5687" s="20" t="s">
        <v>208</v>
      </c>
      <c r="K5687" s="20" t="s">
        <v>250</v>
      </c>
      <c r="L5687" s="20"/>
      <c r="M5687" s="20" t="s">
        <v>251</v>
      </c>
      <c r="N5687" s="20" t="s">
        <v>1333</v>
      </c>
    </row>
    <row r="5688" spans="1:14" hidden="1" x14ac:dyDescent="0.25">
      <c r="A5688" s="19">
        <v>46113</v>
      </c>
      <c r="B5688" s="20" t="s">
        <v>35</v>
      </c>
      <c r="C5688" s="20">
        <v>18</v>
      </c>
      <c r="D5688" s="20" t="s">
        <v>291</v>
      </c>
      <c r="E5688" s="20" t="s">
        <v>2361</v>
      </c>
      <c r="F5688" s="20" t="s">
        <v>240</v>
      </c>
      <c r="G5688" s="20" t="s">
        <v>82</v>
      </c>
      <c r="H5688" s="20" t="s">
        <v>84</v>
      </c>
      <c r="I5688" s="20" t="s">
        <v>321</v>
      </c>
      <c r="J5688" s="20" t="s">
        <v>208</v>
      </c>
      <c r="K5688" s="20" t="s">
        <v>250</v>
      </c>
      <c r="L5688" s="20"/>
      <c r="M5688" s="20" t="s">
        <v>251</v>
      </c>
      <c r="N5688" s="20" t="s">
        <v>483</v>
      </c>
    </row>
    <row r="5689" spans="1:14" hidden="1" x14ac:dyDescent="0.25">
      <c r="A5689" s="19">
        <v>46113</v>
      </c>
      <c r="B5689" s="20" t="s">
        <v>35</v>
      </c>
      <c r="C5689" s="20">
        <v>19</v>
      </c>
      <c r="D5689" s="20" t="s">
        <v>253</v>
      </c>
      <c r="E5689" s="20" t="s">
        <v>2359</v>
      </c>
      <c r="F5689" s="20" t="s">
        <v>244</v>
      </c>
      <c r="G5689" s="20" t="s">
        <v>82</v>
      </c>
      <c r="H5689" s="20"/>
      <c r="I5689" s="20"/>
      <c r="J5689" s="20" t="s">
        <v>206</v>
      </c>
      <c r="K5689" s="20" t="s">
        <v>255</v>
      </c>
      <c r="L5689" s="20">
        <v>1790000000</v>
      </c>
      <c r="M5689" s="20" t="s">
        <v>245</v>
      </c>
      <c r="N5689" s="20" t="s">
        <v>3362</v>
      </c>
    </row>
    <row r="5690" spans="1:14" hidden="1" x14ac:dyDescent="0.25">
      <c r="A5690" s="19">
        <v>46113</v>
      </c>
      <c r="B5690" s="20" t="s">
        <v>35</v>
      </c>
      <c r="C5690" s="20">
        <v>19</v>
      </c>
      <c r="D5690" s="20" t="s">
        <v>253</v>
      </c>
      <c r="E5690" s="20" t="s">
        <v>2359</v>
      </c>
      <c r="F5690" s="20" t="s">
        <v>244</v>
      </c>
      <c r="G5690" s="20" t="s">
        <v>82</v>
      </c>
      <c r="H5690" s="20"/>
      <c r="I5690" s="20"/>
      <c r="J5690" s="20" t="s">
        <v>207</v>
      </c>
      <c r="K5690" s="20" t="s">
        <v>255</v>
      </c>
      <c r="L5690" s="20">
        <v>2020000000</v>
      </c>
      <c r="M5690" s="20" t="s">
        <v>245</v>
      </c>
      <c r="N5690" s="20" t="s">
        <v>3504</v>
      </c>
    </row>
    <row r="5691" spans="1:14" hidden="1" x14ac:dyDescent="0.25">
      <c r="A5691" s="19">
        <v>46113</v>
      </c>
      <c r="B5691" s="20" t="s">
        <v>35</v>
      </c>
      <c r="C5691" s="20">
        <v>19</v>
      </c>
      <c r="D5691" s="20" t="s">
        <v>253</v>
      </c>
      <c r="E5691" s="20" t="s">
        <v>2359</v>
      </c>
      <c r="F5691" s="20" t="s">
        <v>244</v>
      </c>
      <c r="G5691" s="20" t="s">
        <v>82</v>
      </c>
      <c r="H5691" s="20"/>
      <c r="I5691" s="20"/>
      <c r="J5691" s="20" t="s">
        <v>208</v>
      </c>
      <c r="K5691" s="20" t="s">
        <v>255</v>
      </c>
      <c r="L5691" s="20">
        <v>1890000000</v>
      </c>
      <c r="M5691" s="20" t="s">
        <v>245</v>
      </c>
      <c r="N5691" s="20" t="s">
        <v>3657</v>
      </c>
    </row>
    <row r="5692" spans="1:14" hidden="1" x14ac:dyDescent="0.25">
      <c r="A5692" s="19">
        <v>46113</v>
      </c>
      <c r="B5692" s="20" t="s">
        <v>35</v>
      </c>
      <c r="C5692" s="20">
        <v>19</v>
      </c>
      <c r="D5692" s="20" t="s">
        <v>247</v>
      </c>
      <c r="E5692" s="20" t="s">
        <v>2554</v>
      </c>
      <c r="F5692" s="20" t="s">
        <v>2558</v>
      </c>
      <c r="G5692" s="20" t="s">
        <v>82</v>
      </c>
      <c r="H5692" s="20" t="s">
        <v>249</v>
      </c>
      <c r="I5692" s="20"/>
      <c r="J5692" s="20" t="s">
        <v>208</v>
      </c>
      <c r="K5692" s="20" t="s">
        <v>250</v>
      </c>
      <c r="L5692" s="20">
        <v>6.7</v>
      </c>
      <c r="M5692" s="20" t="s">
        <v>251</v>
      </c>
      <c r="N5692" s="20" t="s">
        <v>611</v>
      </c>
    </row>
    <row r="5693" spans="1:14" hidden="1" x14ac:dyDescent="0.25">
      <c r="A5693" s="19">
        <v>46113</v>
      </c>
      <c r="B5693" s="20" t="s">
        <v>35</v>
      </c>
      <c r="C5693" s="20">
        <v>20</v>
      </c>
      <c r="D5693" s="20" t="s">
        <v>291</v>
      </c>
      <c r="E5693" s="20" t="s">
        <v>2361</v>
      </c>
      <c r="F5693" s="20" t="s">
        <v>244</v>
      </c>
      <c r="G5693" s="20" t="s">
        <v>82</v>
      </c>
      <c r="H5693" s="20" t="s">
        <v>83</v>
      </c>
      <c r="I5693" s="20"/>
      <c r="J5693" s="20" t="s">
        <v>208</v>
      </c>
      <c r="K5693" s="20" t="s">
        <v>250</v>
      </c>
      <c r="L5693" s="20">
        <v>1380000000</v>
      </c>
      <c r="M5693" s="20" t="s">
        <v>245</v>
      </c>
      <c r="N5693" s="20" t="s">
        <v>3068</v>
      </c>
    </row>
    <row r="5694" spans="1:14" hidden="1" x14ac:dyDescent="0.25">
      <c r="A5694" s="19">
        <v>46113</v>
      </c>
      <c r="B5694" s="20" t="s">
        <v>35</v>
      </c>
      <c r="C5694" s="20">
        <v>20</v>
      </c>
      <c r="D5694" s="20" t="s">
        <v>291</v>
      </c>
      <c r="E5694" s="20" t="s">
        <v>2361</v>
      </c>
      <c r="F5694" s="20" t="s">
        <v>244</v>
      </c>
      <c r="G5694" s="20" t="s">
        <v>82</v>
      </c>
      <c r="H5694" s="20" t="s">
        <v>84</v>
      </c>
      <c r="I5694" s="20"/>
      <c r="J5694" s="20" t="s">
        <v>208</v>
      </c>
      <c r="K5694" s="20" t="s">
        <v>250</v>
      </c>
      <c r="L5694" s="20">
        <v>504900000</v>
      </c>
      <c r="M5694" s="20" t="s">
        <v>245</v>
      </c>
      <c r="N5694" s="20" t="s">
        <v>3658</v>
      </c>
    </row>
    <row r="5695" spans="1:14" hidden="1" x14ac:dyDescent="0.25">
      <c r="A5695" s="19">
        <v>46113</v>
      </c>
      <c r="B5695" s="20" t="s">
        <v>35</v>
      </c>
      <c r="C5695" s="20">
        <v>21</v>
      </c>
      <c r="D5695" s="20" t="s">
        <v>291</v>
      </c>
      <c r="E5695" s="20" t="s">
        <v>2361</v>
      </c>
      <c r="F5695" s="20" t="s">
        <v>244</v>
      </c>
      <c r="G5695" s="20" t="s">
        <v>82</v>
      </c>
      <c r="H5695" s="20" t="s">
        <v>83</v>
      </c>
      <c r="I5695" s="20" t="s">
        <v>315</v>
      </c>
      <c r="J5695" s="20" t="s">
        <v>208</v>
      </c>
      <c r="K5695" s="20" t="s">
        <v>250</v>
      </c>
      <c r="L5695" s="20"/>
      <c r="M5695" s="20" t="s">
        <v>251</v>
      </c>
      <c r="N5695" s="20" t="s">
        <v>1146</v>
      </c>
    </row>
    <row r="5696" spans="1:14" hidden="1" x14ac:dyDescent="0.25">
      <c r="A5696" s="19">
        <v>46113</v>
      </c>
      <c r="B5696" s="20" t="s">
        <v>35</v>
      </c>
      <c r="C5696" s="20">
        <v>21</v>
      </c>
      <c r="D5696" s="20" t="s">
        <v>291</v>
      </c>
      <c r="E5696" s="20" t="s">
        <v>2361</v>
      </c>
      <c r="F5696" s="20" t="s">
        <v>244</v>
      </c>
      <c r="G5696" s="20" t="s">
        <v>82</v>
      </c>
      <c r="H5696" s="20" t="s">
        <v>83</v>
      </c>
      <c r="I5696" s="20" t="s">
        <v>317</v>
      </c>
      <c r="J5696" s="20" t="s">
        <v>208</v>
      </c>
      <c r="K5696" s="20" t="s">
        <v>250</v>
      </c>
      <c r="L5696" s="20"/>
      <c r="M5696" s="20" t="s">
        <v>251</v>
      </c>
      <c r="N5696" s="20" t="s">
        <v>1510</v>
      </c>
    </row>
    <row r="5697" spans="1:14" hidden="1" x14ac:dyDescent="0.25">
      <c r="A5697" s="19">
        <v>46113</v>
      </c>
      <c r="B5697" s="20" t="s">
        <v>35</v>
      </c>
      <c r="C5697" s="20">
        <v>21</v>
      </c>
      <c r="D5697" s="20" t="s">
        <v>291</v>
      </c>
      <c r="E5697" s="20" t="s">
        <v>2361</v>
      </c>
      <c r="F5697" s="20" t="s">
        <v>244</v>
      </c>
      <c r="G5697" s="20" t="s">
        <v>82</v>
      </c>
      <c r="H5697" s="20" t="s">
        <v>83</v>
      </c>
      <c r="I5697" s="20" t="s">
        <v>313</v>
      </c>
      <c r="J5697" s="20" t="s">
        <v>208</v>
      </c>
      <c r="K5697" s="20" t="s">
        <v>250</v>
      </c>
      <c r="L5697" s="20"/>
      <c r="M5697" s="20" t="s">
        <v>251</v>
      </c>
      <c r="N5697" s="20" t="s">
        <v>1690</v>
      </c>
    </row>
    <row r="5698" spans="1:14" hidden="1" x14ac:dyDescent="0.25">
      <c r="A5698" s="19">
        <v>46113</v>
      </c>
      <c r="B5698" s="20" t="s">
        <v>35</v>
      </c>
      <c r="C5698" s="20">
        <v>21</v>
      </c>
      <c r="D5698" s="20" t="s">
        <v>291</v>
      </c>
      <c r="E5698" s="20" t="s">
        <v>2361</v>
      </c>
      <c r="F5698" s="20" t="s">
        <v>244</v>
      </c>
      <c r="G5698" s="20" t="s">
        <v>82</v>
      </c>
      <c r="H5698" s="20" t="s">
        <v>84</v>
      </c>
      <c r="I5698" s="20" t="s">
        <v>2385</v>
      </c>
      <c r="J5698" s="20" t="s">
        <v>208</v>
      </c>
      <c r="K5698" s="20" t="s">
        <v>250</v>
      </c>
      <c r="L5698" s="20"/>
      <c r="M5698" s="20" t="s">
        <v>251</v>
      </c>
      <c r="N5698" s="20" t="s">
        <v>602</v>
      </c>
    </row>
    <row r="5699" spans="1:14" hidden="1" x14ac:dyDescent="0.25">
      <c r="A5699" s="19">
        <v>46113</v>
      </c>
      <c r="B5699" s="20" t="s">
        <v>35</v>
      </c>
      <c r="C5699" s="20">
        <v>21</v>
      </c>
      <c r="D5699" s="20" t="s">
        <v>291</v>
      </c>
      <c r="E5699" s="20" t="s">
        <v>2361</v>
      </c>
      <c r="F5699" s="20" t="s">
        <v>244</v>
      </c>
      <c r="G5699" s="20" t="s">
        <v>82</v>
      </c>
      <c r="H5699" s="20" t="s">
        <v>84</v>
      </c>
      <c r="I5699" s="20" t="s">
        <v>321</v>
      </c>
      <c r="J5699" s="20" t="s">
        <v>208</v>
      </c>
      <c r="K5699" s="20" t="s">
        <v>250</v>
      </c>
      <c r="L5699" s="20"/>
      <c r="M5699" s="20" t="s">
        <v>251</v>
      </c>
      <c r="N5699" s="20" t="s">
        <v>603</v>
      </c>
    </row>
    <row r="5700" spans="1:14" hidden="1" x14ac:dyDescent="0.25">
      <c r="A5700" s="19">
        <v>46113</v>
      </c>
      <c r="B5700" s="20" t="s">
        <v>35</v>
      </c>
      <c r="C5700" s="20">
        <v>22</v>
      </c>
      <c r="D5700" s="20" t="s">
        <v>253</v>
      </c>
      <c r="E5700" s="20" t="s">
        <v>2359</v>
      </c>
      <c r="F5700" s="20" t="s">
        <v>334</v>
      </c>
      <c r="G5700" s="20" t="s">
        <v>82</v>
      </c>
      <c r="H5700" s="20"/>
      <c r="I5700" s="20"/>
      <c r="J5700" s="20" t="s">
        <v>206</v>
      </c>
      <c r="K5700" s="20" t="s">
        <v>255</v>
      </c>
      <c r="L5700" s="20">
        <v>108</v>
      </c>
      <c r="M5700" s="20" t="s">
        <v>245</v>
      </c>
      <c r="N5700" s="20" t="s">
        <v>3366</v>
      </c>
    </row>
    <row r="5701" spans="1:14" hidden="1" x14ac:dyDescent="0.25">
      <c r="A5701" s="19">
        <v>46113</v>
      </c>
      <c r="B5701" s="20" t="s">
        <v>35</v>
      </c>
      <c r="C5701" s="20">
        <v>22</v>
      </c>
      <c r="D5701" s="20" t="s">
        <v>253</v>
      </c>
      <c r="E5701" s="20" t="s">
        <v>2359</v>
      </c>
      <c r="F5701" s="20" t="s">
        <v>334</v>
      </c>
      <c r="G5701" s="20" t="s">
        <v>82</v>
      </c>
      <c r="H5701" s="20"/>
      <c r="I5701" s="20"/>
      <c r="J5701" s="20" t="s">
        <v>207</v>
      </c>
      <c r="K5701" s="20" t="s">
        <v>255</v>
      </c>
      <c r="L5701" s="20">
        <v>106</v>
      </c>
      <c r="M5701" s="20" t="s">
        <v>245</v>
      </c>
      <c r="N5701" s="20" t="s">
        <v>2915</v>
      </c>
    </row>
    <row r="5702" spans="1:14" hidden="1" x14ac:dyDescent="0.25">
      <c r="A5702" s="19">
        <v>46113</v>
      </c>
      <c r="B5702" s="20" t="s">
        <v>35</v>
      </c>
      <c r="C5702" s="20">
        <v>22</v>
      </c>
      <c r="D5702" s="20" t="s">
        <v>253</v>
      </c>
      <c r="E5702" s="20" t="s">
        <v>2359</v>
      </c>
      <c r="F5702" s="20" t="s">
        <v>334</v>
      </c>
      <c r="G5702" s="20" t="s">
        <v>82</v>
      </c>
      <c r="H5702" s="20"/>
      <c r="I5702" s="20"/>
      <c r="J5702" s="20" t="s">
        <v>208</v>
      </c>
      <c r="K5702" s="20" t="s">
        <v>255</v>
      </c>
      <c r="L5702" s="20">
        <v>98</v>
      </c>
      <c r="M5702" s="20" t="s">
        <v>245</v>
      </c>
      <c r="N5702" s="20" t="s">
        <v>3659</v>
      </c>
    </row>
    <row r="5703" spans="1:14" hidden="1" x14ac:dyDescent="0.25">
      <c r="A5703" s="19">
        <v>46113</v>
      </c>
      <c r="B5703" s="20" t="s">
        <v>35</v>
      </c>
      <c r="C5703" s="20">
        <v>23</v>
      </c>
      <c r="D5703" s="20" t="s">
        <v>291</v>
      </c>
      <c r="E5703" s="20" t="s">
        <v>2361</v>
      </c>
      <c r="F5703" s="20" t="s">
        <v>428</v>
      </c>
      <c r="G5703" s="20" t="s">
        <v>82</v>
      </c>
      <c r="H5703" s="20" t="s">
        <v>95</v>
      </c>
      <c r="I5703" s="20"/>
      <c r="J5703" s="20" t="s">
        <v>208</v>
      </c>
      <c r="K5703" s="20" t="s">
        <v>250</v>
      </c>
      <c r="L5703" s="20">
        <v>2930000</v>
      </c>
      <c r="M5703" s="20" t="s">
        <v>242</v>
      </c>
      <c r="N5703" s="20" t="s">
        <v>1220</v>
      </c>
    </row>
    <row r="5704" spans="1:14" hidden="1" x14ac:dyDescent="0.25">
      <c r="A5704" s="19">
        <v>46113</v>
      </c>
      <c r="B5704" s="20" t="s">
        <v>35</v>
      </c>
      <c r="C5704" s="20">
        <v>23</v>
      </c>
      <c r="D5704" s="20" t="s">
        <v>291</v>
      </c>
      <c r="E5704" s="20" t="s">
        <v>2361</v>
      </c>
      <c r="F5704" s="20" t="s">
        <v>428</v>
      </c>
      <c r="G5704" s="20" t="s">
        <v>82</v>
      </c>
      <c r="H5704" s="20" t="s">
        <v>94</v>
      </c>
      <c r="I5704" s="20"/>
      <c r="J5704" s="20" t="s">
        <v>208</v>
      </c>
      <c r="K5704" s="20" t="s">
        <v>250</v>
      </c>
      <c r="L5704" s="20">
        <v>7790000</v>
      </c>
      <c r="M5704" s="20" t="s">
        <v>242</v>
      </c>
      <c r="N5704" s="20" t="s">
        <v>3660</v>
      </c>
    </row>
    <row r="5705" spans="1:14" hidden="1" x14ac:dyDescent="0.25">
      <c r="A5705" s="19">
        <v>46113</v>
      </c>
      <c r="B5705" s="20" t="s">
        <v>35</v>
      </c>
      <c r="C5705" s="20">
        <v>24</v>
      </c>
      <c r="D5705" s="20" t="s">
        <v>291</v>
      </c>
      <c r="E5705" s="20" t="s">
        <v>2361</v>
      </c>
      <c r="F5705" s="20" t="s">
        <v>445</v>
      </c>
      <c r="G5705" s="20" t="s">
        <v>82</v>
      </c>
      <c r="H5705" s="20" t="s">
        <v>95</v>
      </c>
      <c r="I5705" s="20"/>
      <c r="J5705" s="20" t="s">
        <v>208</v>
      </c>
      <c r="K5705" s="20" t="s">
        <v>250</v>
      </c>
      <c r="L5705" s="20">
        <v>257100000</v>
      </c>
      <c r="M5705" s="20" t="s">
        <v>245</v>
      </c>
      <c r="N5705" s="20" t="s">
        <v>3661</v>
      </c>
    </row>
    <row r="5706" spans="1:14" hidden="1" x14ac:dyDescent="0.25">
      <c r="A5706" s="19">
        <v>46113</v>
      </c>
      <c r="B5706" s="20" t="s">
        <v>35</v>
      </c>
      <c r="C5706" s="20">
        <v>24</v>
      </c>
      <c r="D5706" s="20" t="s">
        <v>291</v>
      </c>
      <c r="E5706" s="20" t="s">
        <v>2361</v>
      </c>
      <c r="F5706" s="20" t="s">
        <v>445</v>
      </c>
      <c r="G5706" s="20" t="s">
        <v>82</v>
      </c>
      <c r="H5706" s="20" t="s">
        <v>94</v>
      </c>
      <c r="I5706" s="20"/>
      <c r="J5706" s="20" t="s">
        <v>208</v>
      </c>
      <c r="K5706" s="20" t="s">
        <v>250</v>
      </c>
      <c r="L5706" s="20">
        <v>920000000</v>
      </c>
      <c r="M5706" s="20" t="s">
        <v>245</v>
      </c>
      <c r="N5706" s="20" t="s">
        <v>3662</v>
      </c>
    </row>
    <row r="5707" spans="1:14" hidden="1" x14ac:dyDescent="0.25">
      <c r="A5707" s="19">
        <v>46113</v>
      </c>
      <c r="B5707" s="20" t="s">
        <v>97</v>
      </c>
      <c r="C5707" s="20">
        <v>26</v>
      </c>
      <c r="D5707" s="20" t="s">
        <v>238</v>
      </c>
      <c r="E5707" s="20" t="s">
        <v>2341</v>
      </c>
      <c r="F5707" s="20" t="s">
        <v>240</v>
      </c>
      <c r="G5707" s="20" t="s">
        <v>82</v>
      </c>
      <c r="H5707" s="20"/>
      <c r="I5707" s="20"/>
      <c r="J5707" s="20" t="s">
        <v>3639</v>
      </c>
      <c r="K5707" s="20" t="s">
        <v>241</v>
      </c>
      <c r="L5707" s="20">
        <v>48730000</v>
      </c>
      <c r="M5707" s="20" t="s">
        <v>242</v>
      </c>
      <c r="N5707" s="20" t="s">
        <v>2497</v>
      </c>
    </row>
    <row r="5708" spans="1:14" hidden="1" x14ac:dyDescent="0.25">
      <c r="A5708" s="19">
        <v>46113</v>
      </c>
      <c r="B5708" s="20" t="s">
        <v>97</v>
      </c>
      <c r="C5708" s="20">
        <v>26</v>
      </c>
      <c r="D5708" s="20" t="s">
        <v>238</v>
      </c>
      <c r="E5708" s="20" t="s">
        <v>2341</v>
      </c>
      <c r="F5708" s="20" t="s">
        <v>244</v>
      </c>
      <c r="G5708" s="20" t="s">
        <v>82</v>
      </c>
      <c r="H5708" s="20"/>
      <c r="I5708" s="20"/>
      <c r="J5708" s="20" t="s">
        <v>3639</v>
      </c>
      <c r="K5708" s="20" t="s">
        <v>241</v>
      </c>
      <c r="L5708" s="20">
        <v>2390000000</v>
      </c>
      <c r="M5708" s="20" t="s">
        <v>245</v>
      </c>
      <c r="N5708" s="20" t="s">
        <v>3663</v>
      </c>
    </row>
    <row r="5709" spans="1:14" hidden="1" x14ac:dyDescent="0.25">
      <c r="A5709" s="19">
        <v>46113</v>
      </c>
      <c r="B5709" s="20" t="s">
        <v>97</v>
      </c>
      <c r="C5709" s="20">
        <v>27</v>
      </c>
      <c r="D5709" s="20" t="s">
        <v>253</v>
      </c>
      <c r="E5709" s="20" t="s">
        <v>2359</v>
      </c>
      <c r="F5709" s="20" t="s">
        <v>285</v>
      </c>
      <c r="G5709" s="20" t="s">
        <v>63</v>
      </c>
      <c r="H5709" s="20"/>
      <c r="I5709" s="20"/>
      <c r="J5709" s="20" t="s">
        <v>206</v>
      </c>
      <c r="K5709" s="20" t="s">
        <v>255</v>
      </c>
      <c r="L5709" s="20">
        <v>2880000</v>
      </c>
      <c r="M5709" s="20" t="s">
        <v>242</v>
      </c>
      <c r="N5709" s="20" t="s">
        <v>3371</v>
      </c>
    </row>
    <row r="5710" spans="1:14" hidden="1" x14ac:dyDescent="0.25">
      <c r="A5710" s="19">
        <v>46113</v>
      </c>
      <c r="B5710" s="20" t="s">
        <v>97</v>
      </c>
      <c r="C5710" s="20">
        <v>27</v>
      </c>
      <c r="D5710" s="20" t="s">
        <v>253</v>
      </c>
      <c r="E5710" s="20" t="s">
        <v>2359</v>
      </c>
      <c r="F5710" s="20" t="s">
        <v>285</v>
      </c>
      <c r="G5710" s="20" t="s">
        <v>63</v>
      </c>
      <c r="H5710" s="20"/>
      <c r="I5710" s="20"/>
      <c r="J5710" s="20" t="s">
        <v>207</v>
      </c>
      <c r="K5710" s="20" t="s">
        <v>255</v>
      </c>
      <c r="L5710" s="20">
        <v>2910000</v>
      </c>
      <c r="M5710" s="20" t="s">
        <v>242</v>
      </c>
      <c r="N5710" s="20" t="s">
        <v>3511</v>
      </c>
    </row>
    <row r="5711" spans="1:14" hidden="1" x14ac:dyDescent="0.25">
      <c r="A5711" s="19">
        <v>46113</v>
      </c>
      <c r="B5711" s="20" t="s">
        <v>97</v>
      </c>
      <c r="C5711" s="20">
        <v>27</v>
      </c>
      <c r="D5711" s="20" t="s">
        <v>253</v>
      </c>
      <c r="E5711" s="20" t="s">
        <v>2359</v>
      </c>
      <c r="F5711" s="20" t="s">
        <v>285</v>
      </c>
      <c r="G5711" s="20" t="s">
        <v>63</v>
      </c>
      <c r="H5711" s="20"/>
      <c r="I5711" s="20"/>
      <c r="J5711" s="20" t="s">
        <v>208</v>
      </c>
      <c r="K5711" s="20" t="s">
        <v>255</v>
      </c>
      <c r="L5711" s="20">
        <v>2930000</v>
      </c>
      <c r="M5711" s="20" t="s">
        <v>242</v>
      </c>
      <c r="N5711" s="20" t="s">
        <v>3664</v>
      </c>
    </row>
    <row r="5712" spans="1:14" hidden="1" x14ac:dyDescent="0.25">
      <c r="A5712" s="19">
        <v>46113</v>
      </c>
      <c r="B5712" s="20" t="s">
        <v>97</v>
      </c>
      <c r="C5712" s="20">
        <v>27</v>
      </c>
      <c r="D5712" s="20" t="s">
        <v>247</v>
      </c>
      <c r="E5712" s="20" t="s">
        <v>2554</v>
      </c>
      <c r="F5712" s="20" t="s">
        <v>2555</v>
      </c>
      <c r="G5712" s="20" t="s">
        <v>63</v>
      </c>
      <c r="H5712" s="20" t="s">
        <v>286</v>
      </c>
      <c r="I5712" s="20"/>
      <c r="J5712" s="20" t="s">
        <v>208</v>
      </c>
      <c r="K5712" s="20" t="s">
        <v>250</v>
      </c>
      <c r="L5712" s="20">
        <v>0.8</v>
      </c>
      <c r="M5712" s="20" t="s">
        <v>251</v>
      </c>
      <c r="N5712" s="20" t="s">
        <v>370</v>
      </c>
    </row>
    <row r="5713" spans="1:14" hidden="1" x14ac:dyDescent="0.25">
      <c r="A5713" s="19">
        <v>46113</v>
      </c>
      <c r="B5713" s="20" t="s">
        <v>97</v>
      </c>
      <c r="C5713" s="20">
        <v>28</v>
      </c>
      <c r="D5713" s="20" t="s">
        <v>291</v>
      </c>
      <c r="E5713" s="20" t="s">
        <v>2361</v>
      </c>
      <c r="F5713" s="20" t="s">
        <v>2362</v>
      </c>
      <c r="G5713" s="20" t="s">
        <v>63</v>
      </c>
      <c r="H5713" s="20" t="s">
        <v>64</v>
      </c>
      <c r="I5713" s="20"/>
      <c r="J5713" s="20" t="s">
        <v>208</v>
      </c>
      <c r="K5713" s="20" t="s">
        <v>250</v>
      </c>
      <c r="L5713" s="20">
        <v>2570000</v>
      </c>
      <c r="M5713" s="20" t="s">
        <v>242</v>
      </c>
      <c r="N5713" s="20" t="s">
        <v>3665</v>
      </c>
    </row>
    <row r="5714" spans="1:14" hidden="1" x14ac:dyDescent="0.25">
      <c r="A5714" s="19">
        <v>46113</v>
      </c>
      <c r="B5714" s="20" t="s">
        <v>97</v>
      </c>
      <c r="C5714" s="20">
        <v>28</v>
      </c>
      <c r="D5714" s="20" t="s">
        <v>291</v>
      </c>
      <c r="E5714" s="20" t="s">
        <v>2361</v>
      </c>
      <c r="F5714" s="20" t="s">
        <v>2362</v>
      </c>
      <c r="G5714" s="20" t="s">
        <v>63</v>
      </c>
      <c r="H5714" s="20" t="s">
        <v>65</v>
      </c>
      <c r="I5714" s="20"/>
      <c r="J5714" s="20" t="s">
        <v>208</v>
      </c>
      <c r="K5714" s="20" t="s">
        <v>250</v>
      </c>
      <c r="L5714" s="20">
        <v>361200</v>
      </c>
      <c r="M5714" s="20" t="s">
        <v>242</v>
      </c>
      <c r="N5714" s="20" t="s">
        <v>3666</v>
      </c>
    </row>
    <row r="5715" spans="1:14" hidden="1" x14ac:dyDescent="0.25">
      <c r="A5715" s="19">
        <v>46113</v>
      </c>
      <c r="B5715" s="20" t="s">
        <v>97</v>
      </c>
      <c r="C5715" s="20">
        <v>29</v>
      </c>
      <c r="D5715" s="20" t="s">
        <v>291</v>
      </c>
      <c r="E5715" s="20" t="s">
        <v>2361</v>
      </c>
      <c r="F5715" s="20" t="s">
        <v>2362</v>
      </c>
      <c r="G5715" s="20" t="s">
        <v>63</v>
      </c>
      <c r="H5715" s="20" t="s">
        <v>2364</v>
      </c>
      <c r="I5715" s="20"/>
      <c r="J5715" s="20" t="s">
        <v>208</v>
      </c>
      <c r="K5715" s="20" t="s">
        <v>250</v>
      </c>
      <c r="L5715" s="20">
        <v>1570000</v>
      </c>
      <c r="M5715" s="20" t="s">
        <v>242</v>
      </c>
      <c r="N5715" s="20" t="s">
        <v>586</v>
      </c>
    </row>
    <row r="5716" spans="1:14" hidden="1" x14ac:dyDescent="0.25">
      <c r="A5716" s="19">
        <v>46113</v>
      </c>
      <c r="B5716" s="20" t="s">
        <v>97</v>
      </c>
      <c r="C5716" s="20">
        <v>29</v>
      </c>
      <c r="D5716" s="20" t="s">
        <v>291</v>
      </c>
      <c r="E5716" s="20" t="s">
        <v>2361</v>
      </c>
      <c r="F5716" s="20" t="s">
        <v>2362</v>
      </c>
      <c r="G5716" s="20" t="s">
        <v>63</v>
      </c>
      <c r="H5716" s="20" t="s">
        <v>2366</v>
      </c>
      <c r="I5716" s="20"/>
      <c r="J5716" s="20" t="s">
        <v>208</v>
      </c>
      <c r="K5716" s="20" t="s">
        <v>250</v>
      </c>
      <c r="L5716" s="20">
        <v>1350000</v>
      </c>
      <c r="M5716" s="20" t="s">
        <v>242</v>
      </c>
      <c r="N5716" s="20" t="s">
        <v>1950</v>
      </c>
    </row>
    <row r="5717" spans="1:14" hidden="1" x14ac:dyDescent="0.25">
      <c r="A5717" s="19">
        <v>46113</v>
      </c>
      <c r="B5717" s="20" t="s">
        <v>97</v>
      </c>
      <c r="C5717" s="20">
        <v>30</v>
      </c>
      <c r="D5717" s="20" t="s">
        <v>291</v>
      </c>
      <c r="E5717" s="20" t="s">
        <v>2361</v>
      </c>
      <c r="F5717" s="20" t="s">
        <v>285</v>
      </c>
      <c r="G5717" s="20" t="s">
        <v>63</v>
      </c>
      <c r="H5717" s="20" t="s">
        <v>77</v>
      </c>
      <c r="I5717" s="20"/>
      <c r="J5717" s="20" t="s">
        <v>208</v>
      </c>
      <c r="K5717" s="20" t="s">
        <v>250</v>
      </c>
      <c r="L5717" s="20">
        <v>1000</v>
      </c>
      <c r="M5717" s="20" t="s">
        <v>242</v>
      </c>
      <c r="N5717" s="20" t="s">
        <v>2394</v>
      </c>
    </row>
    <row r="5718" spans="1:14" hidden="1" x14ac:dyDescent="0.25">
      <c r="A5718" s="19">
        <v>46113</v>
      </c>
      <c r="B5718" s="20" t="s">
        <v>97</v>
      </c>
      <c r="C5718" s="20">
        <v>30</v>
      </c>
      <c r="D5718" s="20" t="s">
        <v>291</v>
      </c>
      <c r="E5718" s="20" t="s">
        <v>2361</v>
      </c>
      <c r="F5718" s="20" t="s">
        <v>285</v>
      </c>
      <c r="G5718" s="20" t="s">
        <v>63</v>
      </c>
      <c r="H5718" s="20" t="s">
        <v>70</v>
      </c>
      <c r="I5718" s="20"/>
      <c r="J5718" s="20" t="s">
        <v>208</v>
      </c>
      <c r="K5718" s="20" t="s">
        <v>250</v>
      </c>
      <c r="L5718" s="20">
        <v>1060000</v>
      </c>
      <c r="M5718" s="20" t="s">
        <v>242</v>
      </c>
      <c r="N5718" s="20" t="s">
        <v>750</v>
      </c>
    </row>
    <row r="5719" spans="1:14" hidden="1" x14ac:dyDescent="0.25">
      <c r="A5719" s="19">
        <v>46113</v>
      </c>
      <c r="B5719" s="20" t="s">
        <v>97</v>
      </c>
      <c r="C5719" s="20">
        <v>30</v>
      </c>
      <c r="D5719" s="20" t="s">
        <v>291</v>
      </c>
      <c r="E5719" s="20" t="s">
        <v>2361</v>
      </c>
      <c r="F5719" s="20" t="s">
        <v>285</v>
      </c>
      <c r="G5719" s="20" t="s">
        <v>63</v>
      </c>
      <c r="H5719" s="20" t="s">
        <v>71</v>
      </c>
      <c r="I5719" s="20"/>
      <c r="J5719" s="20" t="s">
        <v>208</v>
      </c>
      <c r="K5719" s="20" t="s">
        <v>250</v>
      </c>
      <c r="L5719" s="20">
        <v>753000</v>
      </c>
      <c r="M5719" s="20" t="s">
        <v>242</v>
      </c>
      <c r="N5719" s="20" t="s">
        <v>3667</v>
      </c>
    </row>
    <row r="5720" spans="1:14" hidden="1" x14ac:dyDescent="0.25">
      <c r="A5720" s="19">
        <v>46113</v>
      </c>
      <c r="B5720" s="20" t="s">
        <v>97</v>
      </c>
      <c r="C5720" s="20">
        <v>30</v>
      </c>
      <c r="D5720" s="20" t="s">
        <v>291</v>
      </c>
      <c r="E5720" s="20" t="s">
        <v>2361</v>
      </c>
      <c r="F5720" s="20" t="s">
        <v>285</v>
      </c>
      <c r="G5720" s="20" t="s">
        <v>63</v>
      </c>
      <c r="H5720" s="20" t="s">
        <v>72</v>
      </c>
      <c r="I5720" s="20"/>
      <c r="J5720" s="20" t="s">
        <v>208</v>
      </c>
      <c r="K5720" s="20" t="s">
        <v>250</v>
      </c>
      <c r="L5720" s="20">
        <v>565000</v>
      </c>
      <c r="M5720" s="20" t="s">
        <v>242</v>
      </c>
      <c r="N5720" s="20" t="s">
        <v>3668</v>
      </c>
    </row>
    <row r="5721" spans="1:14" hidden="1" x14ac:dyDescent="0.25">
      <c r="A5721" s="19">
        <v>46113</v>
      </c>
      <c r="B5721" s="20" t="s">
        <v>97</v>
      </c>
      <c r="C5721" s="20">
        <v>30</v>
      </c>
      <c r="D5721" s="20" t="s">
        <v>291</v>
      </c>
      <c r="E5721" s="20" t="s">
        <v>2361</v>
      </c>
      <c r="F5721" s="20" t="s">
        <v>285</v>
      </c>
      <c r="G5721" s="20" t="s">
        <v>63</v>
      </c>
      <c r="H5721" s="20" t="s">
        <v>73</v>
      </c>
      <c r="I5721" s="20"/>
      <c r="J5721" s="20" t="s">
        <v>208</v>
      </c>
      <c r="K5721" s="20" t="s">
        <v>250</v>
      </c>
      <c r="L5721" s="20">
        <v>356000</v>
      </c>
      <c r="M5721" s="20" t="s">
        <v>242</v>
      </c>
      <c r="N5721" s="20" t="s">
        <v>3669</v>
      </c>
    </row>
    <row r="5722" spans="1:14" hidden="1" x14ac:dyDescent="0.25">
      <c r="A5722" s="19">
        <v>46113</v>
      </c>
      <c r="B5722" s="20" t="s">
        <v>97</v>
      </c>
      <c r="C5722" s="20">
        <v>30</v>
      </c>
      <c r="D5722" s="20" t="s">
        <v>291</v>
      </c>
      <c r="E5722" s="20" t="s">
        <v>2361</v>
      </c>
      <c r="F5722" s="20" t="s">
        <v>285</v>
      </c>
      <c r="G5722" s="20" t="s">
        <v>63</v>
      </c>
      <c r="H5722" s="20" t="s">
        <v>74</v>
      </c>
      <c r="I5722" s="20"/>
      <c r="J5722" s="20" t="s">
        <v>208</v>
      </c>
      <c r="K5722" s="20" t="s">
        <v>250</v>
      </c>
      <c r="L5722" s="20">
        <v>140000</v>
      </c>
      <c r="M5722" s="20" t="s">
        <v>242</v>
      </c>
      <c r="N5722" s="20" t="s">
        <v>3670</v>
      </c>
    </row>
    <row r="5723" spans="1:14" hidden="1" x14ac:dyDescent="0.25">
      <c r="A5723" s="19">
        <v>46113</v>
      </c>
      <c r="B5723" s="20" t="s">
        <v>97</v>
      </c>
      <c r="C5723" s="20">
        <v>30</v>
      </c>
      <c r="D5723" s="20" t="s">
        <v>291</v>
      </c>
      <c r="E5723" s="20" t="s">
        <v>2361</v>
      </c>
      <c r="F5723" s="20" t="s">
        <v>285</v>
      </c>
      <c r="G5723" s="20" t="s">
        <v>63</v>
      </c>
      <c r="H5723" s="20" t="s">
        <v>75</v>
      </c>
      <c r="I5723" s="20"/>
      <c r="J5723" s="20" t="s">
        <v>208</v>
      </c>
      <c r="K5723" s="20" t="s">
        <v>250</v>
      </c>
      <c r="L5723" s="20">
        <v>40000</v>
      </c>
      <c r="M5723" s="20" t="s">
        <v>242</v>
      </c>
      <c r="N5723" s="20" t="s">
        <v>3518</v>
      </c>
    </row>
    <row r="5724" spans="1:14" hidden="1" x14ac:dyDescent="0.25">
      <c r="A5724" s="19">
        <v>46113</v>
      </c>
      <c r="B5724" s="20" t="s">
        <v>97</v>
      </c>
      <c r="C5724" s="20">
        <v>30</v>
      </c>
      <c r="D5724" s="20" t="s">
        <v>291</v>
      </c>
      <c r="E5724" s="20" t="s">
        <v>2361</v>
      </c>
      <c r="F5724" s="20" t="s">
        <v>285</v>
      </c>
      <c r="G5724" s="20" t="s">
        <v>63</v>
      </c>
      <c r="H5724" s="20" t="s">
        <v>76</v>
      </c>
      <c r="I5724" s="20"/>
      <c r="J5724" s="20" t="s">
        <v>208</v>
      </c>
      <c r="K5724" s="20" t="s">
        <v>250</v>
      </c>
      <c r="L5724" s="20">
        <v>13000</v>
      </c>
      <c r="M5724" s="20" t="s">
        <v>242</v>
      </c>
      <c r="N5724" s="20" t="s">
        <v>932</v>
      </c>
    </row>
    <row r="5725" spans="1:14" hidden="1" x14ac:dyDescent="0.25">
      <c r="A5725" s="19">
        <v>46113</v>
      </c>
      <c r="B5725" s="20" t="s">
        <v>97</v>
      </c>
      <c r="C5725" s="20">
        <v>31</v>
      </c>
      <c r="D5725" s="20" t="s">
        <v>291</v>
      </c>
      <c r="E5725" s="20" t="s">
        <v>2361</v>
      </c>
      <c r="F5725" s="20" t="s">
        <v>2400</v>
      </c>
      <c r="G5725" s="20" t="s">
        <v>99</v>
      </c>
      <c r="H5725" s="20" t="s">
        <v>103</v>
      </c>
      <c r="I5725" s="20"/>
      <c r="J5725" s="20" t="s">
        <v>208</v>
      </c>
      <c r="K5725" s="20" t="s">
        <v>250</v>
      </c>
      <c r="L5725" s="20">
        <v>2900000</v>
      </c>
      <c r="M5725" s="20" t="s">
        <v>242</v>
      </c>
      <c r="N5725" s="20" t="s">
        <v>3377</v>
      </c>
    </row>
    <row r="5726" spans="1:14" hidden="1" x14ac:dyDescent="0.25">
      <c r="A5726" s="19">
        <v>46113</v>
      </c>
      <c r="B5726" s="20" t="s">
        <v>97</v>
      </c>
      <c r="C5726" s="20">
        <v>31</v>
      </c>
      <c r="D5726" s="20" t="s">
        <v>291</v>
      </c>
      <c r="E5726" s="20" t="s">
        <v>2361</v>
      </c>
      <c r="F5726" s="20" t="s">
        <v>477</v>
      </c>
      <c r="G5726" s="20" t="s">
        <v>99</v>
      </c>
      <c r="H5726" s="20" t="s">
        <v>104</v>
      </c>
      <c r="I5726" s="20"/>
      <c r="J5726" s="20" t="s">
        <v>208</v>
      </c>
      <c r="K5726" s="20" t="s">
        <v>250</v>
      </c>
      <c r="L5726" s="20">
        <v>4208</v>
      </c>
      <c r="M5726" s="20" t="s">
        <v>242</v>
      </c>
      <c r="N5726" s="20" t="s">
        <v>3671</v>
      </c>
    </row>
    <row r="5727" spans="1:14" hidden="1" x14ac:dyDescent="0.25">
      <c r="A5727" s="19">
        <v>46113</v>
      </c>
      <c r="B5727" s="20" t="s">
        <v>97</v>
      </c>
      <c r="C5727" s="20">
        <v>31</v>
      </c>
      <c r="D5727" s="20" t="s">
        <v>291</v>
      </c>
      <c r="E5727" s="20" t="s">
        <v>2361</v>
      </c>
      <c r="F5727" s="20" t="s">
        <v>477</v>
      </c>
      <c r="G5727" s="20" t="s">
        <v>99</v>
      </c>
      <c r="H5727" s="20" t="s">
        <v>101</v>
      </c>
      <c r="I5727" s="20"/>
      <c r="J5727" s="20" t="s">
        <v>208</v>
      </c>
      <c r="K5727" s="20" t="s">
        <v>250</v>
      </c>
      <c r="L5727" s="20">
        <v>1753</v>
      </c>
      <c r="M5727" s="20" t="s">
        <v>242</v>
      </c>
      <c r="N5727" s="20" t="s">
        <v>3672</v>
      </c>
    </row>
    <row r="5728" spans="1:14" hidden="1" x14ac:dyDescent="0.25">
      <c r="A5728" s="19">
        <v>46113</v>
      </c>
      <c r="B5728" s="20" t="s">
        <v>97</v>
      </c>
      <c r="C5728" s="20">
        <v>31</v>
      </c>
      <c r="D5728" s="20" t="s">
        <v>291</v>
      </c>
      <c r="E5728" s="20" t="s">
        <v>2361</v>
      </c>
      <c r="F5728" s="20" t="s">
        <v>477</v>
      </c>
      <c r="G5728" s="20" t="s">
        <v>99</v>
      </c>
      <c r="H5728" s="20" t="s">
        <v>100</v>
      </c>
      <c r="I5728" s="20"/>
      <c r="J5728" s="20" t="s">
        <v>208</v>
      </c>
      <c r="K5728" s="20" t="s">
        <v>250</v>
      </c>
      <c r="L5728" s="20">
        <v>1072</v>
      </c>
      <c r="M5728" s="20" t="s">
        <v>242</v>
      </c>
      <c r="N5728" s="20" t="s">
        <v>3673</v>
      </c>
    </row>
    <row r="5729" spans="1:14" hidden="1" x14ac:dyDescent="0.25">
      <c r="A5729" s="19">
        <v>46113</v>
      </c>
      <c r="B5729" s="20" t="s">
        <v>97</v>
      </c>
      <c r="C5729" s="20">
        <v>31</v>
      </c>
      <c r="D5729" s="20" t="s">
        <v>291</v>
      </c>
      <c r="E5729" s="20" t="s">
        <v>2361</v>
      </c>
      <c r="F5729" s="20" t="s">
        <v>477</v>
      </c>
      <c r="G5729" s="20" t="s">
        <v>99</v>
      </c>
      <c r="H5729" s="20" t="s">
        <v>102</v>
      </c>
      <c r="I5729" s="20"/>
      <c r="J5729" s="20" t="s">
        <v>208</v>
      </c>
      <c r="K5729" s="20" t="s">
        <v>250</v>
      </c>
      <c r="L5729" s="20">
        <v>8</v>
      </c>
      <c r="M5729" s="20" t="s">
        <v>242</v>
      </c>
      <c r="N5729" s="20" t="s">
        <v>480</v>
      </c>
    </row>
    <row r="5730" spans="1:14" hidden="1" x14ac:dyDescent="0.25">
      <c r="A5730" s="19">
        <v>46113</v>
      </c>
      <c r="B5730" s="20" t="s">
        <v>97</v>
      </c>
      <c r="C5730" s="20">
        <v>32</v>
      </c>
      <c r="D5730" s="20" t="s">
        <v>253</v>
      </c>
      <c r="E5730" s="20" t="s">
        <v>2359</v>
      </c>
      <c r="F5730" s="20" t="s">
        <v>240</v>
      </c>
      <c r="G5730" s="20" t="s">
        <v>82</v>
      </c>
      <c r="H5730" s="20"/>
      <c r="I5730" s="20"/>
      <c r="J5730" s="20" t="s">
        <v>206</v>
      </c>
      <c r="K5730" s="20" t="s">
        <v>255</v>
      </c>
      <c r="L5730" s="20">
        <v>10840000</v>
      </c>
      <c r="M5730" s="20" t="s">
        <v>242</v>
      </c>
      <c r="N5730" s="20" t="s">
        <v>3381</v>
      </c>
    </row>
    <row r="5731" spans="1:14" hidden="1" x14ac:dyDescent="0.25">
      <c r="A5731" s="19">
        <v>46113</v>
      </c>
      <c r="B5731" s="20" t="s">
        <v>97</v>
      </c>
      <c r="C5731" s="20">
        <v>32</v>
      </c>
      <c r="D5731" s="20" t="s">
        <v>253</v>
      </c>
      <c r="E5731" s="20" t="s">
        <v>2359</v>
      </c>
      <c r="F5731" s="20" t="s">
        <v>240</v>
      </c>
      <c r="G5731" s="20" t="s">
        <v>82</v>
      </c>
      <c r="H5731" s="20"/>
      <c r="I5731" s="20"/>
      <c r="J5731" s="20" t="s">
        <v>207</v>
      </c>
      <c r="K5731" s="20" t="s">
        <v>255</v>
      </c>
      <c r="L5731" s="20">
        <v>12760000</v>
      </c>
      <c r="M5731" s="20" t="s">
        <v>242</v>
      </c>
      <c r="N5731" s="20" t="s">
        <v>3522</v>
      </c>
    </row>
    <row r="5732" spans="1:14" hidden="1" x14ac:dyDescent="0.25">
      <c r="A5732" s="19">
        <v>46113</v>
      </c>
      <c r="B5732" s="20" t="s">
        <v>97</v>
      </c>
      <c r="C5732" s="20">
        <v>32</v>
      </c>
      <c r="D5732" s="20" t="s">
        <v>253</v>
      </c>
      <c r="E5732" s="20" t="s">
        <v>2359</v>
      </c>
      <c r="F5732" s="20" t="s">
        <v>240</v>
      </c>
      <c r="G5732" s="20" t="s">
        <v>82</v>
      </c>
      <c r="H5732" s="20"/>
      <c r="I5732" s="20"/>
      <c r="J5732" s="20" t="s">
        <v>208</v>
      </c>
      <c r="K5732" s="20" t="s">
        <v>255</v>
      </c>
      <c r="L5732" s="20">
        <v>13290000</v>
      </c>
      <c r="M5732" s="20" t="s">
        <v>242</v>
      </c>
      <c r="N5732" s="20" t="s">
        <v>3674</v>
      </c>
    </row>
    <row r="5733" spans="1:14" hidden="1" x14ac:dyDescent="0.25">
      <c r="A5733" s="19">
        <v>46113</v>
      </c>
      <c r="B5733" s="20" t="s">
        <v>97</v>
      </c>
      <c r="C5733" s="20">
        <v>32</v>
      </c>
      <c r="D5733" s="20" t="s">
        <v>247</v>
      </c>
      <c r="E5733" s="20" t="s">
        <v>2554</v>
      </c>
      <c r="F5733" s="20" t="s">
        <v>2556</v>
      </c>
      <c r="G5733" s="20" t="s">
        <v>82</v>
      </c>
      <c r="H5733" s="20" t="s">
        <v>286</v>
      </c>
      <c r="I5733" s="20"/>
      <c r="J5733" s="20" t="s">
        <v>208</v>
      </c>
      <c r="K5733" s="20" t="s">
        <v>250</v>
      </c>
      <c r="L5733" s="20">
        <v>4.0999999999999996</v>
      </c>
      <c r="M5733" s="20" t="s">
        <v>251</v>
      </c>
      <c r="N5733" s="20" t="s">
        <v>1789</v>
      </c>
    </row>
    <row r="5734" spans="1:14" hidden="1" x14ac:dyDescent="0.25">
      <c r="A5734" s="19">
        <v>46113</v>
      </c>
      <c r="B5734" s="20" t="s">
        <v>97</v>
      </c>
      <c r="C5734" s="20">
        <v>33</v>
      </c>
      <c r="D5734" s="20" t="s">
        <v>291</v>
      </c>
      <c r="E5734" s="20" t="s">
        <v>2361</v>
      </c>
      <c r="F5734" s="20" t="s">
        <v>240</v>
      </c>
      <c r="G5734" s="20" t="s">
        <v>82</v>
      </c>
      <c r="H5734" s="20" t="s">
        <v>83</v>
      </c>
      <c r="I5734" s="20"/>
      <c r="J5734" s="20" t="s">
        <v>208</v>
      </c>
      <c r="K5734" s="20" t="s">
        <v>250</v>
      </c>
      <c r="L5734" s="20">
        <v>11250000</v>
      </c>
      <c r="M5734" s="20" t="s">
        <v>242</v>
      </c>
      <c r="N5734" s="20" t="s">
        <v>3675</v>
      </c>
    </row>
    <row r="5735" spans="1:14" hidden="1" x14ac:dyDescent="0.25">
      <c r="A5735" s="19">
        <v>46113</v>
      </c>
      <c r="B5735" s="20" t="s">
        <v>97</v>
      </c>
      <c r="C5735" s="20">
        <v>33</v>
      </c>
      <c r="D5735" s="20" t="s">
        <v>291</v>
      </c>
      <c r="E5735" s="20" t="s">
        <v>2361</v>
      </c>
      <c r="F5735" s="20" t="s">
        <v>240</v>
      </c>
      <c r="G5735" s="20" t="s">
        <v>82</v>
      </c>
      <c r="H5735" s="20" t="s">
        <v>84</v>
      </c>
      <c r="I5735" s="20"/>
      <c r="J5735" s="20" t="s">
        <v>208</v>
      </c>
      <c r="K5735" s="20" t="s">
        <v>250</v>
      </c>
      <c r="L5735" s="20">
        <v>1960000</v>
      </c>
      <c r="M5735" s="20" t="s">
        <v>242</v>
      </c>
      <c r="N5735" s="20" t="s">
        <v>2342</v>
      </c>
    </row>
    <row r="5736" spans="1:14" hidden="1" x14ac:dyDescent="0.25">
      <c r="A5736" s="19">
        <v>46113</v>
      </c>
      <c r="B5736" s="20" t="s">
        <v>97</v>
      </c>
      <c r="C5736" s="20">
        <v>33</v>
      </c>
      <c r="D5736" s="20" t="s">
        <v>291</v>
      </c>
      <c r="E5736" s="20" t="s">
        <v>2361</v>
      </c>
      <c r="F5736" s="20" t="s">
        <v>240</v>
      </c>
      <c r="G5736" s="20" t="s">
        <v>82</v>
      </c>
      <c r="H5736" s="20" t="s">
        <v>106</v>
      </c>
      <c r="I5736" s="20"/>
      <c r="J5736" s="20" t="s">
        <v>208</v>
      </c>
      <c r="K5736" s="20" t="s">
        <v>250</v>
      </c>
      <c r="L5736" s="20">
        <v>63480</v>
      </c>
      <c r="M5736" s="20" t="s">
        <v>242</v>
      </c>
      <c r="N5736" s="20" t="s">
        <v>3676</v>
      </c>
    </row>
    <row r="5737" spans="1:14" hidden="1" x14ac:dyDescent="0.25">
      <c r="A5737" s="19">
        <v>46113</v>
      </c>
      <c r="B5737" s="20" t="s">
        <v>97</v>
      </c>
      <c r="C5737" s="20">
        <v>33</v>
      </c>
      <c r="D5737" s="20" t="s">
        <v>291</v>
      </c>
      <c r="E5737" s="20" t="s">
        <v>2361</v>
      </c>
      <c r="F5737" s="20" t="s">
        <v>240</v>
      </c>
      <c r="G5737" s="20" t="s">
        <v>82</v>
      </c>
      <c r="H5737" s="20" t="s">
        <v>105</v>
      </c>
      <c r="I5737" s="20"/>
      <c r="J5737" s="20" t="s">
        <v>208</v>
      </c>
      <c r="K5737" s="20" t="s">
        <v>250</v>
      </c>
      <c r="L5737" s="20">
        <v>20410</v>
      </c>
      <c r="M5737" s="20" t="s">
        <v>242</v>
      </c>
      <c r="N5737" s="20" t="s">
        <v>3677</v>
      </c>
    </row>
    <row r="5738" spans="1:14" hidden="1" x14ac:dyDescent="0.25">
      <c r="A5738" s="19">
        <v>46113</v>
      </c>
      <c r="B5738" s="20" t="s">
        <v>97</v>
      </c>
      <c r="C5738" s="20">
        <v>34</v>
      </c>
      <c r="D5738" s="20" t="s">
        <v>291</v>
      </c>
      <c r="E5738" s="20" t="s">
        <v>2361</v>
      </c>
      <c r="F5738" s="20" t="s">
        <v>240</v>
      </c>
      <c r="G5738" s="20" t="s">
        <v>82</v>
      </c>
      <c r="H5738" s="20" t="s">
        <v>83</v>
      </c>
      <c r="I5738" s="20" t="s">
        <v>315</v>
      </c>
      <c r="J5738" s="20" t="s">
        <v>208</v>
      </c>
      <c r="K5738" s="20" t="s">
        <v>250</v>
      </c>
      <c r="L5738" s="20"/>
      <c r="M5738" s="20" t="s">
        <v>251</v>
      </c>
      <c r="N5738" s="20" t="s">
        <v>3678</v>
      </c>
    </row>
    <row r="5739" spans="1:14" hidden="1" x14ac:dyDescent="0.25">
      <c r="A5739" s="19">
        <v>46113</v>
      </c>
      <c r="B5739" s="20" t="s">
        <v>97</v>
      </c>
      <c r="C5739" s="20">
        <v>34</v>
      </c>
      <c r="D5739" s="20" t="s">
        <v>291</v>
      </c>
      <c r="E5739" s="20" t="s">
        <v>2361</v>
      </c>
      <c r="F5739" s="20" t="s">
        <v>240</v>
      </c>
      <c r="G5739" s="20" t="s">
        <v>82</v>
      </c>
      <c r="H5739" s="20" t="s">
        <v>83</v>
      </c>
      <c r="I5739" s="20" t="s">
        <v>317</v>
      </c>
      <c r="J5739" s="20" t="s">
        <v>208</v>
      </c>
      <c r="K5739" s="20" t="s">
        <v>250</v>
      </c>
      <c r="L5739" s="20"/>
      <c r="M5739" s="20" t="s">
        <v>251</v>
      </c>
      <c r="N5739" s="20" t="s">
        <v>3679</v>
      </c>
    </row>
    <row r="5740" spans="1:14" hidden="1" x14ac:dyDescent="0.25">
      <c r="A5740" s="19">
        <v>46113</v>
      </c>
      <c r="B5740" s="20" t="s">
        <v>97</v>
      </c>
      <c r="C5740" s="20">
        <v>34</v>
      </c>
      <c r="D5740" s="20" t="s">
        <v>291</v>
      </c>
      <c r="E5740" s="20" t="s">
        <v>2361</v>
      </c>
      <c r="F5740" s="20" t="s">
        <v>240</v>
      </c>
      <c r="G5740" s="20" t="s">
        <v>82</v>
      </c>
      <c r="H5740" s="20" t="s">
        <v>83</v>
      </c>
      <c r="I5740" s="20" t="s">
        <v>2785</v>
      </c>
      <c r="J5740" s="20" t="s">
        <v>208</v>
      </c>
      <c r="K5740" s="20" t="s">
        <v>250</v>
      </c>
      <c r="L5740" s="20"/>
      <c r="M5740" s="20" t="s">
        <v>251</v>
      </c>
      <c r="N5740" s="20" t="s">
        <v>3530</v>
      </c>
    </row>
    <row r="5741" spans="1:14" hidden="1" x14ac:dyDescent="0.25">
      <c r="A5741" s="19">
        <v>46113</v>
      </c>
      <c r="B5741" s="20" t="s">
        <v>97</v>
      </c>
      <c r="C5741" s="20">
        <v>34</v>
      </c>
      <c r="D5741" s="20" t="s">
        <v>291</v>
      </c>
      <c r="E5741" s="20" t="s">
        <v>2361</v>
      </c>
      <c r="F5741" s="20" t="s">
        <v>240</v>
      </c>
      <c r="G5741" s="20" t="s">
        <v>82</v>
      </c>
      <c r="H5741" s="20" t="s">
        <v>83</v>
      </c>
      <c r="I5741" s="20" t="s">
        <v>497</v>
      </c>
      <c r="J5741" s="20" t="s">
        <v>208</v>
      </c>
      <c r="K5741" s="20" t="s">
        <v>250</v>
      </c>
      <c r="L5741" s="20"/>
      <c r="M5741" s="20" t="s">
        <v>251</v>
      </c>
      <c r="N5741" s="20" t="s">
        <v>3680</v>
      </c>
    </row>
    <row r="5742" spans="1:14" hidden="1" x14ac:dyDescent="0.25">
      <c r="A5742" s="19">
        <v>46113</v>
      </c>
      <c r="B5742" s="20" t="s">
        <v>97</v>
      </c>
      <c r="C5742" s="20">
        <v>34</v>
      </c>
      <c r="D5742" s="20" t="s">
        <v>291</v>
      </c>
      <c r="E5742" s="20" t="s">
        <v>2361</v>
      </c>
      <c r="F5742" s="20" t="s">
        <v>240</v>
      </c>
      <c r="G5742" s="20" t="s">
        <v>82</v>
      </c>
      <c r="H5742" s="20" t="s">
        <v>83</v>
      </c>
      <c r="I5742" s="20" t="s">
        <v>503</v>
      </c>
      <c r="J5742" s="20" t="s">
        <v>208</v>
      </c>
      <c r="K5742" s="20" t="s">
        <v>250</v>
      </c>
      <c r="L5742" s="20"/>
      <c r="M5742" s="20" t="s">
        <v>251</v>
      </c>
      <c r="N5742" s="20" t="s">
        <v>3681</v>
      </c>
    </row>
    <row r="5743" spans="1:14" hidden="1" x14ac:dyDescent="0.25">
      <c r="A5743" s="19">
        <v>46113</v>
      </c>
      <c r="B5743" s="20" t="s">
        <v>97</v>
      </c>
      <c r="C5743" s="20">
        <v>34</v>
      </c>
      <c r="D5743" s="20" t="s">
        <v>291</v>
      </c>
      <c r="E5743" s="20" t="s">
        <v>2361</v>
      </c>
      <c r="F5743" s="20" t="s">
        <v>240</v>
      </c>
      <c r="G5743" s="20" t="s">
        <v>82</v>
      </c>
      <c r="H5743" s="20" t="s">
        <v>83</v>
      </c>
      <c r="I5743" s="20" t="s">
        <v>2413</v>
      </c>
      <c r="J5743" s="20" t="s">
        <v>208</v>
      </c>
      <c r="K5743" s="20" t="s">
        <v>250</v>
      </c>
      <c r="L5743" s="20"/>
      <c r="M5743" s="20" t="s">
        <v>251</v>
      </c>
      <c r="N5743" s="20" t="s">
        <v>2308</v>
      </c>
    </row>
    <row r="5744" spans="1:14" hidden="1" x14ac:dyDescent="0.25">
      <c r="A5744" s="19">
        <v>46113</v>
      </c>
      <c r="B5744" s="20" t="s">
        <v>97</v>
      </c>
      <c r="C5744" s="20">
        <v>34</v>
      </c>
      <c r="D5744" s="20" t="s">
        <v>291</v>
      </c>
      <c r="E5744" s="20" t="s">
        <v>2361</v>
      </c>
      <c r="F5744" s="20" t="s">
        <v>240</v>
      </c>
      <c r="G5744" s="20" t="s">
        <v>82</v>
      </c>
      <c r="H5744" s="20" t="s">
        <v>83</v>
      </c>
      <c r="I5744" s="20" t="s">
        <v>2414</v>
      </c>
      <c r="J5744" s="20" t="s">
        <v>208</v>
      </c>
      <c r="K5744" s="20" t="s">
        <v>250</v>
      </c>
      <c r="L5744" s="20"/>
      <c r="M5744" s="20" t="s">
        <v>251</v>
      </c>
      <c r="N5744" s="20" t="s">
        <v>1271</v>
      </c>
    </row>
    <row r="5745" spans="1:14" hidden="1" x14ac:dyDescent="0.25">
      <c r="A5745" s="19">
        <v>46113</v>
      </c>
      <c r="B5745" s="20" t="s">
        <v>97</v>
      </c>
      <c r="C5745" s="20">
        <v>34</v>
      </c>
      <c r="D5745" s="20" t="s">
        <v>291</v>
      </c>
      <c r="E5745" s="20" t="s">
        <v>2361</v>
      </c>
      <c r="F5745" s="20" t="s">
        <v>240</v>
      </c>
      <c r="G5745" s="20" t="s">
        <v>82</v>
      </c>
      <c r="H5745" s="20" t="s">
        <v>84</v>
      </c>
      <c r="I5745" s="20" t="s">
        <v>319</v>
      </c>
      <c r="J5745" s="20" t="s">
        <v>208</v>
      </c>
      <c r="K5745" s="20" t="s">
        <v>250</v>
      </c>
      <c r="L5745" s="20"/>
      <c r="M5745" s="20" t="s">
        <v>251</v>
      </c>
      <c r="N5745" s="20" t="s">
        <v>3682</v>
      </c>
    </row>
    <row r="5746" spans="1:14" hidden="1" x14ac:dyDescent="0.25">
      <c r="A5746" s="19">
        <v>46113</v>
      </c>
      <c r="B5746" s="20" t="s">
        <v>97</v>
      </c>
      <c r="C5746" s="20">
        <v>34</v>
      </c>
      <c r="D5746" s="20" t="s">
        <v>291</v>
      </c>
      <c r="E5746" s="20" t="s">
        <v>2361</v>
      </c>
      <c r="F5746" s="20" t="s">
        <v>240</v>
      </c>
      <c r="G5746" s="20" t="s">
        <v>82</v>
      </c>
      <c r="H5746" s="20" t="s">
        <v>84</v>
      </c>
      <c r="I5746" s="20" t="s">
        <v>321</v>
      </c>
      <c r="J5746" s="20" t="s">
        <v>208</v>
      </c>
      <c r="K5746" s="20" t="s">
        <v>250</v>
      </c>
      <c r="L5746" s="20"/>
      <c r="M5746" s="20" t="s">
        <v>251</v>
      </c>
      <c r="N5746" s="20" t="s">
        <v>3683</v>
      </c>
    </row>
    <row r="5747" spans="1:14" hidden="1" x14ac:dyDescent="0.25">
      <c r="A5747" s="19">
        <v>46113</v>
      </c>
      <c r="B5747" s="20" t="s">
        <v>97</v>
      </c>
      <c r="C5747" s="20">
        <v>34</v>
      </c>
      <c r="D5747" s="20" t="s">
        <v>291</v>
      </c>
      <c r="E5747" s="20" t="s">
        <v>2361</v>
      </c>
      <c r="F5747" s="20" t="s">
        <v>240</v>
      </c>
      <c r="G5747" s="20" t="s">
        <v>82</v>
      </c>
      <c r="H5747" s="20" t="s">
        <v>106</v>
      </c>
      <c r="I5747" s="20" t="s">
        <v>493</v>
      </c>
      <c r="J5747" s="20" t="s">
        <v>208</v>
      </c>
      <c r="K5747" s="20" t="s">
        <v>250</v>
      </c>
      <c r="L5747" s="20"/>
      <c r="M5747" s="20" t="s">
        <v>251</v>
      </c>
      <c r="N5747" s="20" t="s">
        <v>3684</v>
      </c>
    </row>
    <row r="5748" spans="1:14" hidden="1" x14ac:dyDescent="0.25">
      <c r="A5748" s="19">
        <v>46113</v>
      </c>
      <c r="B5748" s="20" t="s">
        <v>97</v>
      </c>
      <c r="C5748" s="20">
        <v>34</v>
      </c>
      <c r="D5748" s="20" t="s">
        <v>291</v>
      </c>
      <c r="E5748" s="20" t="s">
        <v>2361</v>
      </c>
      <c r="F5748" s="20" t="s">
        <v>240</v>
      </c>
      <c r="G5748" s="20" t="s">
        <v>82</v>
      </c>
      <c r="H5748" s="20" t="s">
        <v>106</v>
      </c>
      <c r="I5748" s="20" t="s">
        <v>491</v>
      </c>
      <c r="J5748" s="20" t="s">
        <v>208</v>
      </c>
      <c r="K5748" s="20" t="s">
        <v>250</v>
      </c>
      <c r="L5748" s="20"/>
      <c r="M5748" s="20" t="s">
        <v>251</v>
      </c>
      <c r="N5748" s="20" t="s">
        <v>3685</v>
      </c>
    </row>
    <row r="5749" spans="1:14" hidden="1" x14ac:dyDescent="0.25">
      <c r="A5749" s="19">
        <v>46113</v>
      </c>
      <c r="B5749" s="20" t="s">
        <v>97</v>
      </c>
      <c r="C5749" s="20">
        <v>34</v>
      </c>
      <c r="D5749" s="20" t="s">
        <v>291</v>
      </c>
      <c r="E5749" s="20" t="s">
        <v>2361</v>
      </c>
      <c r="F5749" s="20" t="s">
        <v>240</v>
      </c>
      <c r="G5749" s="20" t="s">
        <v>82</v>
      </c>
      <c r="H5749" s="20" t="s">
        <v>105</v>
      </c>
      <c r="I5749" s="20" t="s">
        <v>493</v>
      </c>
      <c r="J5749" s="20" t="s">
        <v>208</v>
      </c>
      <c r="K5749" s="20" t="s">
        <v>250</v>
      </c>
      <c r="L5749" s="20"/>
      <c r="M5749" s="20" t="s">
        <v>251</v>
      </c>
      <c r="N5749" s="20" t="s">
        <v>3686</v>
      </c>
    </row>
    <row r="5750" spans="1:14" hidden="1" x14ac:dyDescent="0.25">
      <c r="A5750" s="19">
        <v>46113</v>
      </c>
      <c r="B5750" s="20" t="s">
        <v>97</v>
      </c>
      <c r="C5750" s="20">
        <v>34</v>
      </c>
      <c r="D5750" s="20" t="s">
        <v>291</v>
      </c>
      <c r="E5750" s="20" t="s">
        <v>2361</v>
      </c>
      <c r="F5750" s="20" t="s">
        <v>240</v>
      </c>
      <c r="G5750" s="20" t="s">
        <v>82</v>
      </c>
      <c r="H5750" s="20" t="s">
        <v>105</v>
      </c>
      <c r="I5750" s="20" t="s">
        <v>491</v>
      </c>
      <c r="J5750" s="20" t="s">
        <v>208</v>
      </c>
      <c r="K5750" s="20" t="s">
        <v>250</v>
      </c>
      <c r="L5750" s="20"/>
      <c r="M5750" s="20" t="s">
        <v>251</v>
      </c>
      <c r="N5750" s="20" t="s">
        <v>3687</v>
      </c>
    </row>
    <row r="5751" spans="1:14" hidden="1" x14ac:dyDescent="0.25">
      <c r="A5751" s="19">
        <v>46113</v>
      </c>
      <c r="B5751" s="20" t="s">
        <v>97</v>
      </c>
      <c r="C5751" s="20">
        <v>35</v>
      </c>
      <c r="D5751" s="20" t="s">
        <v>253</v>
      </c>
      <c r="E5751" s="20" t="s">
        <v>2359</v>
      </c>
      <c r="F5751" s="20" t="s">
        <v>244</v>
      </c>
      <c r="G5751" s="20" t="s">
        <v>82</v>
      </c>
      <c r="H5751" s="20"/>
      <c r="I5751" s="20"/>
      <c r="J5751" s="20" t="s">
        <v>206</v>
      </c>
      <c r="K5751" s="20" t="s">
        <v>255</v>
      </c>
      <c r="L5751" s="20">
        <v>553000000</v>
      </c>
      <c r="M5751" s="20" t="s">
        <v>245</v>
      </c>
      <c r="N5751" s="20" t="s">
        <v>3393</v>
      </c>
    </row>
    <row r="5752" spans="1:14" hidden="1" x14ac:dyDescent="0.25">
      <c r="A5752" s="19">
        <v>46113</v>
      </c>
      <c r="B5752" s="20" t="s">
        <v>97</v>
      </c>
      <c r="C5752" s="20">
        <v>35</v>
      </c>
      <c r="D5752" s="20" t="s">
        <v>253</v>
      </c>
      <c r="E5752" s="20" t="s">
        <v>2359</v>
      </c>
      <c r="F5752" s="20" t="s">
        <v>244</v>
      </c>
      <c r="G5752" s="20" t="s">
        <v>82</v>
      </c>
      <c r="H5752" s="20"/>
      <c r="I5752" s="20"/>
      <c r="J5752" s="20" t="s">
        <v>207</v>
      </c>
      <c r="K5752" s="20" t="s">
        <v>255</v>
      </c>
      <c r="L5752" s="20">
        <v>652000000</v>
      </c>
      <c r="M5752" s="20" t="s">
        <v>245</v>
      </c>
      <c r="N5752" s="20" t="s">
        <v>3539</v>
      </c>
    </row>
    <row r="5753" spans="1:14" hidden="1" x14ac:dyDescent="0.25">
      <c r="A5753" s="19">
        <v>46113</v>
      </c>
      <c r="B5753" s="20" t="s">
        <v>97</v>
      </c>
      <c r="C5753" s="20">
        <v>35</v>
      </c>
      <c r="D5753" s="20" t="s">
        <v>253</v>
      </c>
      <c r="E5753" s="20" t="s">
        <v>2359</v>
      </c>
      <c r="F5753" s="20" t="s">
        <v>244</v>
      </c>
      <c r="G5753" s="20" t="s">
        <v>82</v>
      </c>
      <c r="H5753" s="20"/>
      <c r="I5753" s="20"/>
      <c r="J5753" s="20" t="s">
        <v>208</v>
      </c>
      <c r="K5753" s="20" t="s">
        <v>255</v>
      </c>
      <c r="L5753" s="20">
        <v>601000000</v>
      </c>
      <c r="M5753" s="20" t="s">
        <v>245</v>
      </c>
      <c r="N5753" s="20" t="s">
        <v>3688</v>
      </c>
    </row>
    <row r="5754" spans="1:14" hidden="1" x14ac:dyDescent="0.25">
      <c r="A5754" s="19">
        <v>46113</v>
      </c>
      <c r="B5754" s="20" t="s">
        <v>97</v>
      </c>
      <c r="C5754" s="20">
        <v>35</v>
      </c>
      <c r="D5754" s="20" t="s">
        <v>247</v>
      </c>
      <c r="E5754" s="20" t="s">
        <v>2554</v>
      </c>
      <c r="F5754" s="20" t="s">
        <v>2558</v>
      </c>
      <c r="G5754" s="20" t="s">
        <v>82</v>
      </c>
      <c r="H5754" s="20" t="s">
        <v>249</v>
      </c>
      <c r="I5754" s="20"/>
      <c r="J5754" s="20" t="s">
        <v>208</v>
      </c>
      <c r="K5754" s="20" t="s">
        <v>250</v>
      </c>
      <c r="L5754" s="20">
        <v>7.8</v>
      </c>
      <c r="M5754" s="20" t="s">
        <v>251</v>
      </c>
      <c r="N5754" s="20" t="s">
        <v>1489</v>
      </c>
    </row>
    <row r="5755" spans="1:14" hidden="1" x14ac:dyDescent="0.25">
      <c r="A5755" s="19">
        <v>46113</v>
      </c>
      <c r="B5755" s="20" t="s">
        <v>97</v>
      </c>
      <c r="C5755" s="20">
        <v>36</v>
      </c>
      <c r="D5755" s="20" t="s">
        <v>291</v>
      </c>
      <c r="E5755" s="20" t="s">
        <v>2361</v>
      </c>
      <c r="F5755" s="20" t="s">
        <v>244</v>
      </c>
      <c r="G5755" s="20" t="s">
        <v>82</v>
      </c>
      <c r="H5755" s="20" t="s">
        <v>83</v>
      </c>
      <c r="I5755" s="20"/>
      <c r="J5755" s="20" t="s">
        <v>208</v>
      </c>
      <c r="K5755" s="20" t="s">
        <v>250</v>
      </c>
      <c r="L5755" s="20">
        <v>468440000</v>
      </c>
      <c r="M5755" s="20" t="s">
        <v>245</v>
      </c>
      <c r="N5755" s="20" t="s">
        <v>3689</v>
      </c>
    </row>
    <row r="5756" spans="1:14" hidden="1" x14ac:dyDescent="0.25">
      <c r="A5756" s="19">
        <v>46113</v>
      </c>
      <c r="B5756" s="20" t="s">
        <v>97</v>
      </c>
      <c r="C5756" s="20">
        <v>36</v>
      </c>
      <c r="D5756" s="20" t="s">
        <v>291</v>
      </c>
      <c r="E5756" s="20" t="s">
        <v>2361</v>
      </c>
      <c r="F5756" s="20" t="s">
        <v>244</v>
      </c>
      <c r="G5756" s="20" t="s">
        <v>82</v>
      </c>
      <c r="H5756" s="20" t="s">
        <v>84</v>
      </c>
      <c r="I5756" s="20"/>
      <c r="J5756" s="20" t="s">
        <v>208</v>
      </c>
      <c r="K5756" s="20" t="s">
        <v>250</v>
      </c>
      <c r="L5756" s="20">
        <v>119920000</v>
      </c>
      <c r="M5756" s="20" t="s">
        <v>245</v>
      </c>
      <c r="N5756" s="20" t="s">
        <v>3690</v>
      </c>
    </row>
    <row r="5757" spans="1:14" hidden="1" x14ac:dyDescent="0.25">
      <c r="A5757" s="19">
        <v>46113</v>
      </c>
      <c r="B5757" s="20" t="s">
        <v>97</v>
      </c>
      <c r="C5757" s="20">
        <v>36</v>
      </c>
      <c r="D5757" s="20" t="s">
        <v>291</v>
      </c>
      <c r="E5757" s="20" t="s">
        <v>2361</v>
      </c>
      <c r="F5757" s="20" t="s">
        <v>244</v>
      </c>
      <c r="G5757" s="20" t="s">
        <v>82</v>
      </c>
      <c r="H5757" s="20" t="s">
        <v>106</v>
      </c>
      <c r="I5757" s="20"/>
      <c r="J5757" s="20" t="s">
        <v>208</v>
      </c>
      <c r="K5757" s="20" t="s">
        <v>250</v>
      </c>
      <c r="L5757" s="20">
        <v>8960000</v>
      </c>
      <c r="M5757" s="20" t="s">
        <v>245</v>
      </c>
      <c r="N5757" s="20" t="s">
        <v>3691</v>
      </c>
    </row>
    <row r="5758" spans="1:14" hidden="1" x14ac:dyDescent="0.25">
      <c r="A5758" s="19">
        <v>46113</v>
      </c>
      <c r="B5758" s="20" t="s">
        <v>97</v>
      </c>
      <c r="C5758" s="20">
        <v>36</v>
      </c>
      <c r="D5758" s="20" t="s">
        <v>291</v>
      </c>
      <c r="E5758" s="20" t="s">
        <v>2361</v>
      </c>
      <c r="F5758" s="20" t="s">
        <v>244</v>
      </c>
      <c r="G5758" s="20" t="s">
        <v>82</v>
      </c>
      <c r="H5758" s="20" t="s">
        <v>105</v>
      </c>
      <c r="I5758" s="20"/>
      <c r="J5758" s="20" t="s">
        <v>208</v>
      </c>
      <c r="K5758" s="20" t="s">
        <v>250</v>
      </c>
      <c r="L5758" s="20">
        <v>3540000</v>
      </c>
      <c r="M5758" s="20" t="s">
        <v>245</v>
      </c>
      <c r="N5758" s="20" t="s">
        <v>3692</v>
      </c>
    </row>
    <row r="5759" spans="1:14" hidden="1" x14ac:dyDescent="0.25">
      <c r="A5759" s="19">
        <v>46113</v>
      </c>
      <c r="B5759" s="20" t="s">
        <v>97</v>
      </c>
      <c r="C5759" s="20">
        <v>37</v>
      </c>
      <c r="D5759" s="20" t="s">
        <v>291</v>
      </c>
      <c r="E5759" s="20" t="s">
        <v>2361</v>
      </c>
      <c r="F5759" s="20" t="s">
        <v>244</v>
      </c>
      <c r="G5759" s="20" t="s">
        <v>82</v>
      </c>
      <c r="H5759" s="20" t="s">
        <v>83</v>
      </c>
      <c r="I5759" s="20" t="s">
        <v>315</v>
      </c>
      <c r="J5759" s="20" t="s">
        <v>208</v>
      </c>
      <c r="K5759" s="20" t="s">
        <v>250</v>
      </c>
      <c r="L5759" s="20"/>
      <c r="M5759" s="20" t="s">
        <v>251</v>
      </c>
      <c r="N5759" s="20" t="s">
        <v>3693</v>
      </c>
    </row>
    <row r="5760" spans="1:14" hidden="1" x14ac:dyDescent="0.25">
      <c r="A5760" s="19">
        <v>46113</v>
      </c>
      <c r="B5760" s="20" t="s">
        <v>97</v>
      </c>
      <c r="C5760" s="20">
        <v>37</v>
      </c>
      <c r="D5760" s="20" t="s">
        <v>291</v>
      </c>
      <c r="E5760" s="20" t="s">
        <v>2361</v>
      </c>
      <c r="F5760" s="20" t="s">
        <v>244</v>
      </c>
      <c r="G5760" s="20" t="s">
        <v>82</v>
      </c>
      <c r="H5760" s="20" t="s">
        <v>83</v>
      </c>
      <c r="I5760" s="20" t="s">
        <v>317</v>
      </c>
      <c r="J5760" s="20" t="s">
        <v>208</v>
      </c>
      <c r="K5760" s="20" t="s">
        <v>250</v>
      </c>
      <c r="L5760" s="20"/>
      <c r="M5760" s="20" t="s">
        <v>251</v>
      </c>
      <c r="N5760" s="20" t="s">
        <v>3694</v>
      </c>
    </row>
    <row r="5761" spans="1:14" hidden="1" x14ac:dyDescent="0.25">
      <c r="A5761" s="19">
        <v>46113</v>
      </c>
      <c r="B5761" s="20" t="s">
        <v>97</v>
      </c>
      <c r="C5761" s="20">
        <v>37</v>
      </c>
      <c r="D5761" s="20" t="s">
        <v>291</v>
      </c>
      <c r="E5761" s="20" t="s">
        <v>2361</v>
      </c>
      <c r="F5761" s="20" t="s">
        <v>244</v>
      </c>
      <c r="G5761" s="20" t="s">
        <v>82</v>
      </c>
      <c r="H5761" s="20" t="s">
        <v>83</v>
      </c>
      <c r="I5761" s="20" t="s">
        <v>2785</v>
      </c>
      <c r="J5761" s="20" t="s">
        <v>208</v>
      </c>
      <c r="K5761" s="20" t="s">
        <v>250</v>
      </c>
      <c r="L5761" s="20"/>
      <c r="M5761" s="20" t="s">
        <v>251</v>
      </c>
      <c r="N5761" s="20" t="s">
        <v>3695</v>
      </c>
    </row>
    <row r="5762" spans="1:14" hidden="1" x14ac:dyDescent="0.25">
      <c r="A5762" s="19">
        <v>46113</v>
      </c>
      <c r="B5762" s="20" t="s">
        <v>97</v>
      </c>
      <c r="C5762" s="20">
        <v>37</v>
      </c>
      <c r="D5762" s="20" t="s">
        <v>291</v>
      </c>
      <c r="E5762" s="20" t="s">
        <v>2361</v>
      </c>
      <c r="F5762" s="20" t="s">
        <v>244</v>
      </c>
      <c r="G5762" s="20" t="s">
        <v>82</v>
      </c>
      <c r="H5762" s="20" t="s">
        <v>83</v>
      </c>
      <c r="I5762" s="20" t="s">
        <v>497</v>
      </c>
      <c r="J5762" s="20" t="s">
        <v>208</v>
      </c>
      <c r="K5762" s="20" t="s">
        <v>250</v>
      </c>
      <c r="L5762" s="20"/>
      <c r="M5762" s="20" t="s">
        <v>251</v>
      </c>
      <c r="N5762" s="20" t="s">
        <v>991</v>
      </c>
    </row>
    <row r="5763" spans="1:14" hidden="1" x14ac:dyDescent="0.25">
      <c r="A5763" s="19">
        <v>46113</v>
      </c>
      <c r="B5763" s="20" t="s">
        <v>97</v>
      </c>
      <c r="C5763" s="20">
        <v>37</v>
      </c>
      <c r="D5763" s="20" t="s">
        <v>291</v>
      </c>
      <c r="E5763" s="20" t="s">
        <v>2361</v>
      </c>
      <c r="F5763" s="20" t="s">
        <v>244</v>
      </c>
      <c r="G5763" s="20" t="s">
        <v>82</v>
      </c>
      <c r="H5763" s="20" t="s">
        <v>83</v>
      </c>
      <c r="I5763" s="20" t="s">
        <v>503</v>
      </c>
      <c r="J5763" s="20" t="s">
        <v>208</v>
      </c>
      <c r="K5763" s="20" t="s">
        <v>250</v>
      </c>
      <c r="L5763" s="20"/>
      <c r="M5763" s="20" t="s">
        <v>251</v>
      </c>
      <c r="N5763" s="20" t="s">
        <v>3257</v>
      </c>
    </row>
    <row r="5764" spans="1:14" hidden="1" x14ac:dyDescent="0.25">
      <c r="A5764" s="19">
        <v>46113</v>
      </c>
      <c r="B5764" s="20" t="s">
        <v>97</v>
      </c>
      <c r="C5764" s="20">
        <v>37</v>
      </c>
      <c r="D5764" s="20" t="s">
        <v>291</v>
      </c>
      <c r="E5764" s="20" t="s">
        <v>2361</v>
      </c>
      <c r="F5764" s="20" t="s">
        <v>244</v>
      </c>
      <c r="G5764" s="20" t="s">
        <v>82</v>
      </c>
      <c r="H5764" s="20" t="s">
        <v>83</v>
      </c>
      <c r="I5764" s="20" t="s">
        <v>2413</v>
      </c>
      <c r="J5764" s="20" t="s">
        <v>208</v>
      </c>
      <c r="K5764" s="20" t="s">
        <v>250</v>
      </c>
      <c r="L5764" s="20"/>
      <c r="M5764" s="20" t="s">
        <v>251</v>
      </c>
      <c r="N5764" s="20" t="s">
        <v>1088</v>
      </c>
    </row>
    <row r="5765" spans="1:14" hidden="1" x14ac:dyDescent="0.25">
      <c r="A5765" s="19">
        <v>46113</v>
      </c>
      <c r="B5765" s="20" t="s">
        <v>97</v>
      </c>
      <c r="C5765" s="20">
        <v>37</v>
      </c>
      <c r="D5765" s="20" t="s">
        <v>291</v>
      </c>
      <c r="E5765" s="20" t="s">
        <v>2361</v>
      </c>
      <c r="F5765" s="20" t="s">
        <v>244</v>
      </c>
      <c r="G5765" s="20" t="s">
        <v>82</v>
      </c>
      <c r="H5765" s="20" t="s">
        <v>83</v>
      </c>
      <c r="I5765" s="20" t="s">
        <v>2414</v>
      </c>
      <c r="J5765" s="20" t="s">
        <v>208</v>
      </c>
      <c r="K5765" s="20" t="s">
        <v>250</v>
      </c>
      <c r="L5765" s="20"/>
      <c r="M5765" s="20" t="s">
        <v>251</v>
      </c>
      <c r="N5765" s="20" t="s">
        <v>500</v>
      </c>
    </row>
    <row r="5766" spans="1:14" hidden="1" x14ac:dyDescent="0.25">
      <c r="A5766" s="19">
        <v>46113</v>
      </c>
      <c r="B5766" s="20" t="s">
        <v>97</v>
      </c>
      <c r="C5766" s="20">
        <v>37</v>
      </c>
      <c r="D5766" s="20" t="s">
        <v>291</v>
      </c>
      <c r="E5766" s="20" t="s">
        <v>2361</v>
      </c>
      <c r="F5766" s="20" t="s">
        <v>244</v>
      </c>
      <c r="G5766" s="20" t="s">
        <v>82</v>
      </c>
      <c r="H5766" s="20" t="s">
        <v>84</v>
      </c>
      <c r="I5766" s="20" t="s">
        <v>319</v>
      </c>
      <c r="J5766" s="20" t="s">
        <v>208</v>
      </c>
      <c r="K5766" s="20" t="s">
        <v>250</v>
      </c>
      <c r="L5766" s="20"/>
      <c r="M5766" s="20" t="s">
        <v>251</v>
      </c>
      <c r="N5766" s="20" t="s">
        <v>3696</v>
      </c>
    </row>
    <row r="5767" spans="1:14" hidden="1" x14ac:dyDescent="0.25">
      <c r="A5767" s="19">
        <v>46113</v>
      </c>
      <c r="B5767" s="20" t="s">
        <v>97</v>
      </c>
      <c r="C5767" s="20">
        <v>37</v>
      </c>
      <c r="D5767" s="20" t="s">
        <v>291</v>
      </c>
      <c r="E5767" s="20" t="s">
        <v>2361</v>
      </c>
      <c r="F5767" s="20" t="s">
        <v>244</v>
      </c>
      <c r="G5767" s="20" t="s">
        <v>82</v>
      </c>
      <c r="H5767" s="20" t="s">
        <v>84</v>
      </c>
      <c r="I5767" s="20" t="s">
        <v>321</v>
      </c>
      <c r="J5767" s="20" t="s">
        <v>208</v>
      </c>
      <c r="K5767" s="20" t="s">
        <v>250</v>
      </c>
      <c r="L5767" s="20"/>
      <c r="M5767" s="20" t="s">
        <v>251</v>
      </c>
      <c r="N5767" s="20" t="s">
        <v>1812</v>
      </c>
    </row>
    <row r="5768" spans="1:14" hidden="1" x14ac:dyDescent="0.25">
      <c r="A5768" s="19">
        <v>46113</v>
      </c>
      <c r="B5768" s="20" t="s">
        <v>97</v>
      </c>
      <c r="C5768" s="20">
        <v>37</v>
      </c>
      <c r="D5768" s="20" t="s">
        <v>291</v>
      </c>
      <c r="E5768" s="20" t="s">
        <v>2361</v>
      </c>
      <c r="F5768" s="20" t="s">
        <v>244</v>
      </c>
      <c r="G5768" s="20" t="s">
        <v>82</v>
      </c>
      <c r="H5768" s="20" t="s">
        <v>106</v>
      </c>
      <c r="I5768" s="20" t="s">
        <v>493</v>
      </c>
      <c r="J5768" s="20" t="s">
        <v>208</v>
      </c>
      <c r="K5768" s="20" t="s">
        <v>250</v>
      </c>
      <c r="L5768" s="20"/>
      <c r="M5768" s="20" t="s">
        <v>251</v>
      </c>
      <c r="N5768" s="20" t="s">
        <v>3697</v>
      </c>
    </row>
    <row r="5769" spans="1:14" hidden="1" x14ac:dyDescent="0.25">
      <c r="A5769" s="19">
        <v>46113</v>
      </c>
      <c r="B5769" s="20" t="s">
        <v>97</v>
      </c>
      <c r="C5769" s="20">
        <v>37</v>
      </c>
      <c r="D5769" s="20" t="s">
        <v>291</v>
      </c>
      <c r="E5769" s="20" t="s">
        <v>2361</v>
      </c>
      <c r="F5769" s="20" t="s">
        <v>244</v>
      </c>
      <c r="G5769" s="20" t="s">
        <v>82</v>
      </c>
      <c r="H5769" s="20" t="s">
        <v>106</v>
      </c>
      <c r="I5769" s="20" t="s">
        <v>491</v>
      </c>
      <c r="J5769" s="20" t="s">
        <v>208</v>
      </c>
      <c r="K5769" s="20" t="s">
        <v>250</v>
      </c>
      <c r="L5769" s="20"/>
      <c r="M5769" s="20" t="s">
        <v>251</v>
      </c>
      <c r="N5769" s="20" t="s">
        <v>3698</v>
      </c>
    </row>
    <row r="5770" spans="1:14" hidden="1" x14ac:dyDescent="0.25">
      <c r="A5770" s="19">
        <v>46113</v>
      </c>
      <c r="B5770" s="20" t="s">
        <v>97</v>
      </c>
      <c r="C5770" s="20">
        <v>37</v>
      </c>
      <c r="D5770" s="20" t="s">
        <v>291</v>
      </c>
      <c r="E5770" s="20" t="s">
        <v>2361</v>
      </c>
      <c r="F5770" s="20" t="s">
        <v>244</v>
      </c>
      <c r="G5770" s="20" t="s">
        <v>82</v>
      </c>
      <c r="H5770" s="20" t="s">
        <v>105</v>
      </c>
      <c r="I5770" s="20" t="s">
        <v>493</v>
      </c>
      <c r="J5770" s="20" t="s">
        <v>208</v>
      </c>
      <c r="K5770" s="20" t="s">
        <v>250</v>
      </c>
      <c r="L5770" s="20"/>
      <c r="M5770" s="20" t="s">
        <v>251</v>
      </c>
      <c r="N5770" s="20" t="s">
        <v>3699</v>
      </c>
    </row>
    <row r="5771" spans="1:14" hidden="1" x14ac:dyDescent="0.25">
      <c r="A5771" s="19">
        <v>46113</v>
      </c>
      <c r="B5771" s="20" t="s">
        <v>97</v>
      </c>
      <c r="C5771" s="20">
        <v>37</v>
      </c>
      <c r="D5771" s="20" t="s">
        <v>291</v>
      </c>
      <c r="E5771" s="20" t="s">
        <v>2361</v>
      </c>
      <c r="F5771" s="20" t="s">
        <v>244</v>
      </c>
      <c r="G5771" s="20" t="s">
        <v>82</v>
      </c>
      <c r="H5771" s="20" t="s">
        <v>105</v>
      </c>
      <c r="I5771" s="20" t="s">
        <v>491</v>
      </c>
      <c r="J5771" s="20" t="s">
        <v>208</v>
      </c>
      <c r="K5771" s="20" t="s">
        <v>250</v>
      </c>
      <c r="L5771" s="20"/>
      <c r="M5771" s="20" t="s">
        <v>251</v>
      </c>
      <c r="N5771" s="20" t="s">
        <v>3700</v>
      </c>
    </row>
    <row r="5772" spans="1:14" hidden="1" x14ac:dyDescent="0.25">
      <c r="A5772" s="19">
        <v>46113</v>
      </c>
      <c r="B5772" s="20" t="s">
        <v>97</v>
      </c>
      <c r="C5772" s="20">
        <v>38</v>
      </c>
      <c r="D5772" s="20" t="s">
        <v>253</v>
      </c>
      <c r="E5772" s="20" t="s">
        <v>2359</v>
      </c>
      <c r="F5772" s="20" t="s">
        <v>334</v>
      </c>
      <c r="G5772" s="20" t="s">
        <v>82</v>
      </c>
      <c r="H5772" s="20"/>
      <c r="I5772" s="20"/>
      <c r="J5772" s="20" t="s">
        <v>206</v>
      </c>
      <c r="K5772" s="20" t="s">
        <v>255</v>
      </c>
      <c r="L5772" s="20">
        <v>51</v>
      </c>
      <c r="M5772" s="20" t="s">
        <v>245</v>
      </c>
      <c r="N5772" s="20" t="s">
        <v>3408</v>
      </c>
    </row>
    <row r="5773" spans="1:14" hidden="1" x14ac:dyDescent="0.25">
      <c r="A5773" s="19">
        <v>46113</v>
      </c>
      <c r="B5773" s="20" t="s">
        <v>97</v>
      </c>
      <c r="C5773" s="20">
        <v>38</v>
      </c>
      <c r="D5773" s="20" t="s">
        <v>253</v>
      </c>
      <c r="E5773" s="20" t="s">
        <v>2359</v>
      </c>
      <c r="F5773" s="20" t="s">
        <v>334</v>
      </c>
      <c r="G5773" s="20" t="s">
        <v>82</v>
      </c>
      <c r="H5773" s="20"/>
      <c r="I5773" s="20"/>
      <c r="J5773" s="20" t="s">
        <v>207</v>
      </c>
      <c r="K5773" s="20" t="s">
        <v>255</v>
      </c>
      <c r="L5773" s="20">
        <v>51</v>
      </c>
      <c r="M5773" s="20" t="s">
        <v>245</v>
      </c>
      <c r="N5773" s="20" t="s">
        <v>3408</v>
      </c>
    </row>
    <row r="5774" spans="1:14" hidden="1" x14ac:dyDescent="0.25">
      <c r="A5774" s="19">
        <v>46113</v>
      </c>
      <c r="B5774" s="20" t="s">
        <v>97</v>
      </c>
      <c r="C5774" s="20">
        <v>38</v>
      </c>
      <c r="D5774" s="20" t="s">
        <v>253</v>
      </c>
      <c r="E5774" s="20" t="s">
        <v>2359</v>
      </c>
      <c r="F5774" s="20" t="s">
        <v>334</v>
      </c>
      <c r="G5774" s="20" t="s">
        <v>82</v>
      </c>
      <c r="H5774" s="20"/>
      <c r="I5774" s="20"/>
      <c r="J5774" s="20" t="s">
        <v>208</v>
      </c>
      <c r="K5774" s="20" t="s">
        <v>255</v>
      </c>
      <c r="L5774" s="20">
        <v>45</v>
      </c>
      <c r="M5774" s="20" t="s">
        <v>245</v>
      </c>
      <c r="N5774" s="20" t="s">
        <v>2183</v>
      </c>
    </row>
    <row r="5775" spans="1:14" hidden="1" x14ac:dyDescent="0.25">
      <c r="A5775" s="19">
        <v>46113</v>
      </c>
      <c r="B5775" s="20" t="s">
        <v>97</v>
      </c>
      <c r="C5775" s="20">
        <v>39</v>
      </c>
      <c r="D5775" s="20" t="s">
        <v>291</v>
      </c>
      <c r="E5775" s="20" t="s">
        <v>2361</v>
      </c>
      <c r="F5775" s="20" t="s">
        <v>428</v>
      </c>
      <c r="G5775" s="20" t="s">
        <v>82</v>
      </c>
      <c r="H5775" s="20" t="s">
        <v>95</v>
      </c>
      <c r="I5775" s="20"/>
      <c r="J5775" s="20" t="s">
        <v>208</v>
      </c>
      <c r="K5775" s="20" t="s">
        <v>250</v>
      </c>
      <c r="L5775" s="20">
        <v>5210000</v>
      </c>
      <c r="M5775" s="20" t="s">
        <v>242</v>
      </c>
      <c r="N5775" s="20" t="s">
        <v>3630</v>
      </c>
    </row>
    <row r="5776" spans="1:14" hidden="1" x14ac:dyDescent="0.25">
      <c r="A5776" s="19">
        <v>46113</v>
      </c>
      <c r="B5776" s="20" t="s">
        <v>97</v>
      </c>
      <c r="C5776" s="20">
        <v>39</v>
      </c>
      <c r="D5776" s="20" t="s">
        <v>291</v>
      </c>
      <c r="E5776" s="20" t="s">
        <v>2361</v>
      </c>
      <c r="F5776" s="20" t="s">
        <v>428</v>
      </c>
      <c r="G5776" s="20" t="s">
        <v>82</v>
      </c>
      <c r="H5776" s="20" t="s">
        <v>94</v>
      </c>
      <c r="I5776" s="20"/>
      <c r="J5776" s="20" t="s">
        <v>208</v>
      </c>
      <c r="K5776" s="20" t="s">
        <v>250</v>
      </c>
      <c r="L5776" s="20">
        <v>2780000</v>
      </c>
      <c r="M5776" s="20" t="s">
        <v>242</v>
      </c>
      <c r="N5776" s="20" t="s">
        <v>2880</v>
      </c>
    </row>
    <row r="5777" spans="1:14" hidden="1" x14ac:dyDescent="0.25">
      <c r="A5777" s="19">
        <v>46113</v>
      </c>
      <c r="B5777" s="20" t="s">
        <v>97</v>
      </c>
      <c r="C5777" s="20">
        <v>40</v>
      </c>
      <c r="D5777" s="20" t="s">
        <v>291</v>
      </c>
      <c r="E5777" s="20" t="s">
        <v>2361</v>
      </c>
      <c r="F5777" s="20" t="s">
        <v>445</v>
      </c>
      <c r="G5777" s="20" t="s">
        <v>82</v>
      </c>
      <c r="H5777" s="20" t="s">
        <v>95</v>
      </c>
      <c r="I5777" s="20"/>
      <c r="J5777" s="20" t="s">
        <v>208</v>
      </c>
      <c r="K5777" s="20" t="s">
        <v>250</v>
      </c>
      <c r="L5777" s="20">
        <v>133250000</v>
      </c>
      <c r="M5777" s="20" t="s">
        <v>245</v>
      </c>
      <c r="N5777" s="20" t="s">
        <v>3701</v>
      </c>
    </row>
    <row r="5778" spans="1:14" hidden="1" x14ac:dyDescent="0.25">
      <c r="A5778" s="19">
        <v>46113</v>
      </c>
      <c r="B5778" s="20" t="s">
        <v>97</v>
      </c>
      <c r="C5778" s="20">
        <v>40</v>
      </c>
      <c r="D5778" s="20" t="s">
        <v>291</v>
      </c>
      <c r="E5778" s="20" t="s">
        <v>2361</v>
      </c>
      <c r="F5778" s="20" t="s">
        <v>445</v>
      </c>
      <c r="G5778" s="20" t="s">
        <v>82</v>
      </c>
      <c r="H5778" s="20" t="s">
        <v>94</v>
      </c>
      <c r="I5778" s="20"/>
      <c r="J5778" s="20" t="s">
        <v>208</v>
      </c>
      <c r="K5778" s="20" t="s">
        <v>250</v>
      </c>
      <c r="L5778" s="20">
        <v>94050000</v>
      </c>
      <c r="M5778" s="20" t="s">
        <v>245</v>
      </c>
      <c r="N5778" s="20" t="s">
        <v>3702</v>
      </c>
    </row>
    <row r="5779" spans="1:14" hidden="1" x14ac:dyDescent="0.25">
      <c r="A5779" s="19">
        <v>46113</v>
      </c>
      <c r="B5779" s="20" t="s">
        <v>162</v>
      </c>
      <c r="C5779" s="20">
        <v>42</v>
      </c>
      <c r="D5779" s="20" t="s">
        <v>238</v>
      </c>
      <c r="E5779" s="20" t="s">
        <v>2341</v>
      </c>
      <c r="F5779" s="20" t="s">
        <v>240</v>
      </c>
      <c r="G5779" s="20" t="s">
        <v>82</v>
      </c>
      <c r="H5779" s="20"/>
      <c r="I5779" s="20"/>
      <c r="J5779" s="20" t="s">
        <v>3639</v>
      </c>
      <c r="K5779" s="20" t="s">
        <v>241</v>
      </c>
      <c r="L5779" s="20">
        <v>121340000</v>
      </c>
      <c r="M5779" s="20" t="s">
        <v>242</v>
      </c>
      <c r="N5779" s="20" t="s">
        <v>3703</v>
      </c>
    </row>
    <row r="5780" spans="1:14" hidden="1" x14ac:dyDescent="0.25">
      <c r="A5780" s="19">
        <v>46113</v>
      </c>
      <c r="B5780" s="20" t="s">
        <v>162</v>
      </c>
      <c r="C5780" s="20">
        <v>42</v>
      </c>
      <c r="D5780" s="20" t="s">
        <v>238</v>
      </c>
      <c r="E5780" s="20" t="s">
        <v>2341</v>
      </c>
      <c r="F5780" s="20" t="s">
        <v>244</v>
      </c>
      <c r="G5780" s="20" t="s">
        <v>82</v>
      </c>
      <c r="H5780" s="20"/>
      <c r="I5780" s="20"/>
      <c r="J5780" s="20" t="s">
        <v>3639</v>
      </c>
      <c r="K5780" s="20" t="s">
        <v>241</v>
      </c>
      <c r="L5780" s="20">
        <v>9990000000</v>
      </c>
      <c r="M5780" s="20" t="s">
        <v>245</v>
      </c>
      <c r="N5780" s="20" t="s">
        <v>3704</v>
      </c>
    </row>
    <row r="5781" spans="1:14" hidden="1" x14ac:dyDescent="0.25">
      <c r="A5781" s="19">
        <v>46113</v>
      </c>
      <c r="B5781" s="20" t="s">
        <v>162</v>
      </c>
      <c r="C5781" s="20">
        <v>43</v>
      </c>
      <c r="D5781" s="20" t="s">
        <v>253</v>
      </c>
      <c r="E5781" s="20" t="s">
        <v>2359</v>
      </c>
      <c r="F5781" s="20" t="s">
        <v>1194</v>
      </c>
      <c r="G5781" s="20" t="s">
        <v>82</v>
      </c>
      <c r="H5781" s="20"/>
      <c r="I5781" s="20"/>
      <c r="J5781" s="20" t="s">
        <v>206</v>
      </c>
      <c r="K5781" s="20" t="s">
        <v>255</v>
      </c>
      <c r="L5781" s="20">
        <v>27420000</v>
      </c>
      <c r="M5781" s="20" t="s">
        <v>242</v>
      </c>
      <c r="N5781" s="20" t="s">
        <v>3414</v>
      </c>
    </row>
    <row r="5782" spans="1:14" hidden="1" x14ac:dyDescent="0.25">
      <c r="A5782" s="19">
        <v>46113</v>
      </c>
      <c r="B5782" s="20" t="s">
        <v>162</v>
      </c>
      <c r="C5782" s="20">
        <v>43</v>
      </c>
      <c r="D5782" s="20" t="s">
        <v>253</v>
      </c>
      <c r="E5782" s="20" t="s">
        <v>2359</v>
      </c>
      <c r="F5782" s="20" t="s">
        <v>1194</v>
      </c>
      <c r="G5782" s="20" t="s">
        <v>82</v>
      </c>
      <c r="H5782" s="20"/>
      <c r="I5782" s="20"/>
      <c r="J5782" s="20" t="s">
        <v>207</v>
      </c>
      <c r="K5782" s="20" t="s">
        <v>255</v>
      </c>
      <c r="L5782" s="20">
        <v>31770000</v>
      </c>
      <c r="M5782" s="20" t="s">
        <v>242</v>
      </c>
      <c r="N5782" s="20" t="s">
        <v>3562</v>
      </c>
    </row>
    <row r="5783" spans="1:14" hidden="1" x14ac:dyDescent="0.25">
      <c r="A5783" s="19">
        <v>46113</v>
      </c>
      <c r="B5783" s="20" t="s">
        <v>162</v>
      </c>
      <c r="C5783" s="20">
        <v>43</v>
      </c>
      <c r="D5783" s="20" t="s">
        <v>253</v>
      </c>
      <c r="E5783" s="20" t="s">
        <v>2359</v>
      </c>
      <c r="F5783" s="20" t="s">
        <v>1194</v>
      </c>
      <c r="G5783" s="20" t="s">
        <v>82</v>
      </c>
      <c r="H5783" s="20"/>
      <c r="I5783" s="20"/>
      <c r="J5783" s="20" t="s">
        <v>208</v>
      </c>
      <c r="K5783" s="20" t="s">
        <v>255</v>
      </c>
      <c r="L5783" s="20">
        <v>32620000</v>
      </c>
      <c r="M5783" s="20" t="s">
        <v>242</v>
      </c>
      <c r="N5783" s="20" t="s">
        <v>3705</v>
      </c>
    </row>
    <row r="5784" spans="1:14" hidden="1" x14ac:dyDescent="0.25">
      <c r="A5784" s="19">
        <v>46113</v>
      </c>
      <c r="B5784" s="20" t="s">
        <v>162</v>
      </c>
      <c r="C5784" s="20">
        <v>43</v>
      </c>
      <c r="D5784" s="20" t="s">
        <v>247</v>
      </c>
      <c r="E5784" s="20" t="s">
        <v>2554</v>
      </c>
      <c r="F5784" s="20" t="s">
        <v>2556</v>
      </c>
      <c r="G5784" s="20" t="s">
        <v>82</v>
      </c>
      <c r="H5784" s="20" t="s">
        <v>286</v>
      </c>
      <c r="I5784" s="20"/>
      <c r="J5784" s="20" t="s">
        <v>208</v>
      </c>
      <c r="K5784" s="20" t="s">
        <v>250</v>
      </c>
      <c r="L5784" s="20">
        <v>2.7</v>
      </c>
      <c r="M5784" s="20" t="s">
        <v>251</v>
      </c>
      <c r="N5784" s="20" t="s">
        <v>574</v>
      </c>
    </row>
    <row r="5785" spans="1:14" hidden="1" x14ac:dyDescent="0.25">
      <c r="A5785" s="19">
        <v>46113</v>
      </c>
      <c r="B5785" s="20" t="s">
        <v>162</v>
      </c>
      <c r="C5785" s="20">
        <v>44</v>
      </c>
      <c r="D5785" s="20" t="s">
        <v>291</v>
      </c>
      <c r="E5785" s="20" t="s">
        <v>2361</v>
      </c>
      <c r="F5785" s="20" t="s">
        <v>2445</v>
      </c>
      <c r="G5785" s="20" t="s">
        <v>82</v>
      </c>
      <c r="H5785" s="20" t="s">
        <v>2446</v>
      </c>
      <c r="I5785" s="20" t="s">
        <v>2447</v>
      </c>
      <c r="J5785" s="20" t="s">
        <v>208</v>
      </c>
      <c r="K5785" s="20" t="s">
        <v>250</v>
      </c>
      <c r="L5785" s="20">
        <v>13070000</v>
      </c>
      <c r="M5785" s="20" t="s">
        <v>242</v>
      </c>
      <c r="N5785" s="20" t="s">
        <v>3706</v>
      </c>
    </row>
    <row r="5786" spans="1:14" hidden="1" x14ac:dyDescent="0.25">
      <c r="A5786" s="19">
        <v>46113</v>
      </c>
      <c r="B5786" s="20" t="s">
        <v>162</v>
      </c>
      <c r="C5786" s="20">
        <v>44</v>
      </c>
      <c r="D5786" s="20" t="s">
        <v>291</v>
      </c>
      <c r="E5786" s="20" t="s">
        <v>2361</v>
      </c>
      <c r="F5786" s="20" t="s">
        <v>2445</v>
      </c>
      <c r="G5786" s="20" t="s">
        <v>82</v>
      </c>
      <c r="H5786" s="20" t="s">
        <v>2449</v>
      </c>
      <c r="I5786" s="20" t="s">
        <v>2447</v>
      </c>
      <c r="J5786" s="20" t="s">
        <v>208</v>
      </c>
      <c r="K5786" s="20" t="s">
        <v>250</v>
      </c>
      <c r="L5786" s="20">
        <v>3860000</v>
      </c>
      <c r="M5786" s="20" t="s">
        <v>242</v>
      </c>
      <c r="N5786" s="20" t="s">
        <v>3707</v>
      </c>
    </row>
    <row r="5787" spans="1:14" hidden="1" x14ac:dyDescent="0.25">
      <c r="A5787" s="19">
        <v>46113</v>
      </c>
      <c r="B5787" s="20" t="s">
        <v>162</v>
      </c>
      <c r="C5787" s="20">
        <v>44</v>
      </c>
      <c r="D5787" s="20" t="s">
        <v>291</v>
      </c>
      <c r="E5787" s="20" t="s">
        <v>2361</v>
      </c>
      <c r="F5787" s="20" t="s">
        <v>2445</v>
      </c>
      <c r="G5787" s="20" t="s">
        <v>82</v>
      </c>
      <c r="H5787" s="20" t="s">
        <v>2446</v>
      </c>
      <c r="I5787" s="20" t="s">
        <v>2451</v>
      </c>
      <c r="J5787" s="20" t="s">
        <v>208</v>
      </c>
      <c r="K5787" s="20" t="s">
        <v>250</v>
      </c>
      <c r="L5787" s="20">
        <v>6250000</v>
      </c>
      <c r="M5787" s="20" t="s">
        <v>242</v>
      </c>
      <c r="N5787" s="20" t="s">
        <v>1106</v>
      </c>
    </row>
    <row r="5788" spans="1:14" hidden="1" x14ac:dyDescent="0.25">
      <c r="A5788" s="19">
        <v>46113</v>
      </c>
      <c r="B5788" s="20" t="s">
        <v>162</v>
      </c>
      <c r="C5788" s="20">
        <v>44</v>
      </c>
      <c r="D5788" s="20" t="s">
        <v>291</v>
      </c>
      <c r="E5788" s="20" t="s">
        <v>2361</v>
      </c>
      <c r="F5788" s="20" t="s">
        <v>2445</v>
      </c>
      <c r="G5788" s="20" t="s">
        <v>82</v>
      </c>
      <c r="H5788" s="20" t="s">
        <v>2449</v>
      </c>
      <c r="I5788" s="20" t="s">
        <v>2451</v>
      </c>
      <c r="J5788" s="20" t="s">
        <v>208</v>
      </c>
      <c r="K5788" s="20" t="s">
        <v>250</v>
      </c>
      <c r="L5788" s="20">
        <v>9240000</v>
      </c>
      <c r="M5788" s="20" t="s">
        <v>242</v>
      </c>
      <c r="N5788" s="20" t="s">
        <v>3089</v>
      </c>
    </row>
    <row r="5789" spans="1:14" hidden="1" x14ac:dyDescent="0.25">
      <c r="A5789" s="19">
        <v>46113</v>
      </c>
      <c r="B5789" s="20" t="s">
        <v>162</v>
      </c>
      <c r="C5789" s="20">
        <v>44</v>
      </c>
      <c r="D5789" s="20" t="s">
        <v>291</v>
      </c>
      <c r="E5789" s="20" t="s">
        <v>2361</v>
      </c>
      <c r="F5789" s="20" t="s">
        <v>2445</v>
      </c>
      <c r="G5789" s="20" t="s">
        <v>82</v>
      </c>
      <c r="H5789" s="20" t="s">
        <v>2446</v>
      </c>
      <c r="I5789" s="20" t="s">
        <v>2454</v>
      </c>
      <c r="J5789" s="20" t="s">
        <v>208</v>
      </c>
      <c r="K5789" s="20" t="s">
        <v>250</v>
      </c>
      <c r="L5789" s="20">
        <v>15700</v>
      </c>
      <c r="M5789" s="20" t="s">
        <v>242</v>
      </c>
      <c r="N5789" s="20" t="s">
        <v>3708</v>
      </c>
    </row>
    <row r="5790" spans="1:14" hidden="1" x14ac:dyDescent="0.25">
      <c r="A5790" s="19">
        <v>46113</v>
      </c>
      <c r="B5790" s="20" t="s">
        <v>162</v>
      </c>
      <c r="C5790" s="20">
        <v>44</v>
      </c>
      <c r="D5790" s="20" t="s">
        <v>291</v>
      </c>
      <c r="E5790" s="20" t="s">
        <v>2361</v>
      </c>
      <c r="F5790" s="20" t="s">
        <v>2445</v>
      </c>
      <c r="G5790" s="20" t="s">
        <v>82</v>
      </c>
      <c r="H5790" s="20" t="s">
        <v>2449</v>
      </c>
      <c r="I5790" s="20" t="s">
        <v>2454</v>
      </c>
      <c r="J5790" s="20" t="s">
        <v>208</v>
      </c>
      <c r="K5790" s="20" t="s">
        <v>250</v>
      </c>
      <c r="L5790" s="20">
        <v>190660</v>
      </c>
      <c r="M5790" s="20" t="s">
        <v>242</v>
      </c>
      <c r="N5790" s="20" t="s">
        <v>3709</v>
      </c>
    </row>
    <row r="5791" spans="1:14" hidden="1" x14ac:dyDescent="0.25">
      <c r="A5791" s="19">
        <v>46113</v>
      </c>
      <c r="B5791" s="20" t="s">
        <v>162</v>
      </c>
      <c r="C5791" s="20">
        <v>45</v>
      </c>
      <c r="D5791" s="20" t="s">
        <v>253</v>
      </c>
      <c r="E5791" s="20" t="s">
        <v>2359</v>
      </c>
      <c r="F5791" s="20" t="s">
        <v>2457</v>
      </c>
      <c r="G5791" s="20" t="s">
        <v>82</v>
      </c>
      <c r="H5791" s="20"/>
      <c r="I5791" s="20"/>
      <c r="J5791" s="20" t="s">
        <v>206</v>
      </c>
      <c r="K5791" s="20" t="s">
        <v>255</v>
      </c>
      <c r="L5791" s="20">
        <v>22560000</v>
      </c>
      <c r="M5791" s="20" t="s">
        <v>242</v>
      </c>
      <c r="N5791" s="20" t="s">
        <v>3421</v>
      </c>
    </row>
    <row r="5792" spans="1:14" hidden="1" x14ac:dyDescent="0.25">
      <c r="A5792" s="19">
        <v>46113</v>
      </c>
      <c r="B5792" s="20" t="s">
        <v>162</v>
      </c>
      <c r="C5792" s="20">
        <v>45</v>
      </c>
      <c r="D5792" s="20" t="s">
        <v>253</v>
      </c>
      <c r="E5792" s="20" t="s">
        <v>2359</v>
      </c>
      <c r="F5792" s="20" t="s">
        <v>2457</v>
      </c>
      <c r="G5792" s="20" t="s">
        <v>82</v>
      </c>
      <c r="H5792" s="20"/>
      <c r="I5792" s="20"/>
      <c r="J5792" s="20" t="s">
        <v>207</v>
      </c>
      <c r="K5792" s="20" t="s">
        <v>255</v>
      </c>
      <c r="L5792" s="20">
        <v>26260000</v>
      </c>
      <c r="M5792" s="20" t="s">
        <v>242</v>
      </c>
      <c r="N5792" s="20" t="s">
        <v>3568</v>
      </c>
    </row>
    <row r="5793" spans="1:14" hidden="1" x14ac:dyDescent="0.25">
      <c r="A5793" s="19">
        <v>46113</v>
      </c>
      <c r="B5793" s="20" t="s">
        <v>162</v>
      </c>
      <c r="C5793" s="20">
        <v>45</v>
      </c>
      <c r="D5793" s="20" t="s">
        <v>253</v>
      </c>
      <c r="E5793" s="20" t="s">
        <v>2359</v>
      </c>
      <c r="F5793" s="20" t="s">
        <v>2457</v>
      </c>
      <c r="G5793" s="20" t="s">
        <v>82</v>
      </c>
      <c r="H5793" s="20"/>
      <c r="I5793" s="20"/>
      <c r="J5793" s="20" t="s">
        <v>208</v>
      </c>
      <c r="K5793" s="20" t="s">
        <v>255</v>
      </c>
      <c r="L5793" s="20">
        <v>26810000</v>
      </c>
      <c r="M5793" s="20" t="s">
        <v>242</v>
      </c>
      <c r="N5793" s="20" t="s">
        <v>3710</v>
      </c>
    </row>
    <row r="5794" spans="1:14" hidden="1" x14ac:dyDescent="0.25">
      <c r="A5794" s="19">
        <v>46113</v>
      </c>
      <c r="B5794" s="20" t="s">
        <v>162</v>
      </c>
      <c r="C5794" s="20">
        <v>45</v>
      </c>
      <c r="D5794" s="20" t="s">
        <v>247</v>
      </c>
      <c r="E5794" s="20" t="s">
        <v>2554</v>
      </c>
      <c r="F5794" s="20" t="s">
        <v>2556</v>
      </c>
      <c r="G5794" s="20" t="s">
        <v>82</v>
      </c>
      <c r="H5794" s="20" t="s">
        <v>286</v>
      </c>
      <c r="I5794" s="20"/>
      <c r="J5794" s="20" t="s">
        <v>208</v>
      </c>
      <c r="K5794" s="20" t="s">
        <v>250</v>
      </c>
      <c r="L5794" s="20">
        <v>2.1</v>
      </c>
      <c r="M5794" s="20" t="s">
        <v>251</v>
      </c>
      <c r="N5794" s="20" t="s">
        <v>1498</v>
      </c>
    </row>
    <row r="5795" spans="1:14" hidden="1" x14ac:dyDescent="0.25">
      <c r="A5795" s="19">
        <v>46113</v>
      </c>
      <c r="B5795" s="20" t="s">
        <v>162</v>
      </c>
      <c r="C5795" s="20">
        <v>46</v>
      </c>
      <c r="D5795" s="20" t="s">
        <v>291</v>
      </c>
      <c r="E5795" s="20" t="s">
        <v>2361</v>
      </c>
      <c r="F5795" s="20" t="s">
        <v>2457</v>
      </c>
      <c r="G5795" s="20" t="s">
        <v>82</v>
      </c>
      <c r="H5795" s="20" t="s">
        <v>95</v>
      </c>
      <c r="I5795" s="20"/>
      <c r="J5795" s="20" t="s">
        <v>208</v>
      </c>
      <c r="K5795" s="20" t="s">
        <v>250</v>
      </c>
      <c r="L5795" s="20">
        <v>8140000</v>
      </c>
      <c r="M5795" s="20" t="s">
        <v>242</v>
      </c>
      <c r="N5795" s="20" t="s">
        <v>3711</v>
      </c>
    </row>
    <row r="5796" spans="1:14" hidden="1" x14ac:dyDescent="0.25">
      <c r="A5796" s="19">
        <v>46113</v>
      </c>
      <c r="B5796" s="20" t="s">
        <v>162</v>
      </c>
      <c r="C5796" s="20">
        <v>46</v>
      </c>
      <c r="D5796" s="20" t="s">
        <v>291</v>
      </c>
      <c r="E5796" s="20" t="s">
        <v>2361</v>
      </c>
      <c r="F5796" s="20" t="s">
        <v>2457</v>
      </c>
      <c r="G5796" s="20" t="s">
        <v>82</v>
      </c>
      <c r="H5796" s="20" t="s">
        <v>94</v>
      </c>
      <c r="I5796" s="20"/>
      <c r="J5796" s="20" t="s">
        <v>208</v>
      </c>
      <c r="K5796" s="20" t="s">
        <v>250</v>
      </c>
      <c r="L5796" s="20">
        <v>18670000</v>
      </c>
      <c r="M5796" s="20" t="s">
        <v>242</v>
      </c>
      <c r="N5796" s="20" t="s">
        <v>3712</v>
      </c>
    </row>
    <row r="5797" spans="1:14" hidden="1" x14ac:dyDescent="0.25">
      <c r="A5797" s="19">
        <v>46113</v>
      </c>
      <c r="B5797" s="20" t="s">
        <v>162</v>
      </c>
      <c r="C5797" s="20">
        <v>47</v>
      </c>
      <c r="D5797" s="20" t="s">
        <v>291</v>
      </c>
      <c r="E5797" s="20" t="s">
        <v>2361</v>
      </c>
      <c r="F5797" s="20" t="s">
        <v>2460</v>
      </c>
      <c r="G5797" s="20" t="s">
        <v>82</v>
      </c>
      <c r="H5797" s="20" t="s">
        <v>174</v>
      </c>
      <c r="I5797" s="20"/>
      <c r="J5797" s="20" t="s">
        <v>208</v>
      </c>
      <c r="K5797" s="20" t="s">
        <v>250</v>
      </c>
      <c r="L5797" s="20">
        <v>3250000</v>
      </c>
      <c r="M5797" s="20" t="s">
        <v>242</v>
      </c>
      <c r="N5797" s="20" t="s">
        <v>2106</v>
      </c>
    </row>
    <row r="5798" spans="1:14" hidden="1" x14ac:dyDescent="0.25">
      <c r="A5798" s="19">
        <v>46113</v>
      </c>
      <c r="B5798" s="20" t="s">
        <v>162</v>
      </c>
      <c r="C5798" s="20">
        <v>47</v>
      </c>
      <c r="D5798" s="20" t="s">
        <v>291</v>
      </c>
      <c r="E5798" s="20" t="s">
        <v>2361</v>
      </c>
      <c r="F5798" s="20" t="s">
        <v>2460</v>
      </c>
      <c r="G5798" s="20" t="s">
        <v>82</v>
      </c>
      <c r="H5798" s="20" t="s">
        <v>173</v>
      </c>
      <c r="I5798" s="20"/>
      <c r="J5798" s="20" t="s">
        <v>208</v>
      </c>
      <c r="K5798" s="20" t="s">
        <v>250</v>
      </c>
      <c r="L5798" s="20">
        <v>4850000</v>
      </c>
      <c r="M5798" s="20" t="s">
        <v>242</v>
      </c>
      <c r="N5798" s="20" t="s">
        <v>2347</v>
      </c>
    </row>
    <row r="5799" spans="1:14" hidden="1" x14ac:dyDescent="0.25">
      <c r="A5799" s="19">
        <v>46113</v>
      </c>
      <c r="B5799" s="20" t="s">
        <v>162</v>
      </c>
      <c r="C5799" s="20">
        <v>48</v>
      </c>
      <c r="D5799" s="20" t="s">
        <v>253</v>
      </c>
      <c r="E5799" s="20" t="s">
        <v>2359</v>
      </c>
      <c r="F5799" s="20" t="s">
        <v>1196</v>
      </c>
      <c r="G5799" s="20" t="s">
        <v>82</v>
      </c>
      <c r="H5799" s="20"/>
      <c r="I5799" s="20"/>
      <c r="J5799" s="20" t="s">
        <v>206</v>
      </c>
      <c r="K5799" s="20" t="s">
        <v>255</v>
      </c>
      <c r="L5799" s="20">
        <v>2350000000</v>
      </c>
      <c r="M5799" s="20" t="s">
        <v>245</v>
      </c>
      <c r="N5799" s="20" t="s">
        <v>3426</v>
      </c>
    </row>
    <row r="5800" spans="1:14" hidden="1" x14ac:dyDescent="0.25">
      <c r="A5800" s="19">
        <v>46113</v>
      </c>
      <c r="B5800" s="20" t="s">
        <v>162</v>
      </c>
      <c r="C5800" s="20">
        <v>48</v>
      </c>
      <c r="D5800" s="20" t="s">
        <v>253</v>
      </c>
      <c r="E5800" s="20" t="s">
        <v>2359</v>
      </c>
      <c r="F5800" s="20" t="s">
        <v>1196</v>
      </c>
      <c r="G5800" s="20" t="s">
        <v>82</v>
      </c>
      <c r="H5800" s="20"/>
      <c r="I5800" s="20"/>
      <c r="J5800" s="20" t="s">
        <v>207</v>
      </c>
      <c r="K5800" s="20" t="s">
        <v>255</v>
      </c>
      <c r="L5800" s="20">
        <v>2670000000</v>
      </c>
      <c r="M5800" s="20" t="s">
        <v>245</v>
      </c>
      <c r="N5800" s="20" t="s">
        <v>3570</v>
      </c>
    </row>
    <row r="5801" spans="1:14" hidden="1" x14ac:dyDescent="0.25">
      <c r="A5801" s="19">
        <v>46113</v>
      </c>
      <c r="B5801" s="20" t="s">
        <v>162</v>
      </c>
      <c r="C5801" s="20">
        <v>48</v>
      </c>
      <c r="D5801" s="20" t="s">
        <v>253</v>
      </c>
      <c r="E5801" s="20" t="s">
        <v>2359</v>
      </c>
      <c r="F5801" s="20" t="s">
        <v>1196</v>
      </c>
      <c r="G5801" s="20" t="s">
        <v>82</v>
      </c>
      <c r="H5801" s="20"/>
      <c r="I5801" s="20"/>
      <c r="J5801" s="20" t="s">
        <v>208</v>
      </c>
      <c r="K5801" s="20" t="s">
        <v>255</v>
      </c>
      <c r="L5801" s="20">
        <v>2490000000</v>
      </c>
      <c r="M5801" s="20" t="s">
        <v>245</v>
      </c>
      <c r="N5801" s="20" t="s">
        <v>3713</v>
      </c>
    </row>
    <row r="5802" spans="1:14" hidden="1" x14ac:dyDescent="0.25">
      <c r="A5802" s="19">
        <v>46113</v>
      </c>
      <c r="B5802" s="20" t="s">
        <v>162</v>
      </c>
      <c r="C5802" s="20">
        <v>48</v>
      </c>
      <c r="D5802" s="20" t="s">
        <v>247</v>
      </c>
      <c r="E5802" s="20" t="s">
        <v>2554</v>
      </c>
      <c r="F5802" s="20" t="s">
        <v>2558</v>
      </c>
      <c r="G5802" s="20" t="s">
        <v>82</v>
      </c>
      <c r="H5802" s="20" t="s">
        <v>249</v>
      </c>
      <c r="I5802" s="20"/>
      <c r="J5802" s="20" t="s">
        <v>208</v>
      </c>
      <c r="K5802" s="20" t="s">
        <v>250</v>
      </c>
      <c r="L5802" s="20">
        <v>7</v>
      </c>
      <c r="M5802" s="20" t="s">
        <v>251</v>
      </c>
      <c r="N5802" s="20" t="s">
        <v>1760</v>
      </c>
    </row>
    <row r="5803" spans="1:14" hidden="1" x14ac:dyDescent="0.25">
      <c r="A5803" s="19">
        <v>46113</v>
      </c>
      <c r="B5803" s="20" t="s">
        <v>162</v>
      </c>
      <c r="C5803" s="20">
        <v>49</v>
      </c>
      <c r="D5803" s="20" t="s">
        <v>291</v>
      </c>
      <c r="E5803" s="20" t="s">
        <v>2361</v>
      </c>
      <c r="F5803" s="20" t="s">
        <v>2462</v>
      </c>
      <c r="G5803" s="20" t="s">
        <v>82</v>
      </c>
      <c r="H5803" s="20" t="s">
        <v>2446</v>
      </c>
      <c r="I5803" s="20" t="s">
        <v>2447</v>
      </c>
      <c r="J5803" s="20" t="s">
        <v>208</v>
      </c>
      <c r="K5803" s="20" t="s">
        <v>250</v>
      </c>
      <c r="L5803" s="20">
        <v>1600000000</v>
      </c>
      <c r="M5803" s="20" t="s">
        <v>245</v>
      </c>
      <c r="N5803" s="20" t="s">
        <v>2034</v>
      </c>
    </row>
    <row r="5804" spans="1:14" hidden="1" x14ac:dyDescent="0.25">
      <c r="A5804" s="19">
        <v>46113</v>
      </c>
      <c r="B5804" s="20" t="s">
        <v>162</v>
      </c>
      <c r="C5804" s="20">
        <v>49</v>
      </c>
      <c r="D5804" s="20" t="s">
        <v>291</v>
      </c>
      <c r="E5804" s="20" t="s">
        <v>2361</v>
      </c>
      <c r="F5804" s="20" t="s">
        <v>2462</v>
      </c>
      <c r="G5804" s="20" t="s">
        <v>82</v>
      </c>
      <c r="H5804" s="20" t="s">
        <v>2449</v>
      </c>
      <c r="I5804" s="20" t="s">
        <v>2447</v>
      </c>
      <c r="J5804" s="20" t="s">
        <v>208</v>
      </c>
      <c r="K5804" s="20" t="s">
        <v>250</v>
      </c>
      <c r="L5804" s="20">
        <v>304300000</v>
      </c>
      <c r="M5804" s="20" t="s">
        <v>245</v>
      </c>
      <c r="N5804" s="20" t="s">
        <v>3714</v>
      </c>
    </row>
    <row r="5805" spans="1:14" hidden="1" x14ac:dyDescent="0.25">
      <c r="A5805" s="19">
        <v>46113</v>
      </c>
      <c r="B5805" s="20" t="s">
        <v>162</v>
      </c>
      <c r="C5805" s="20">
        <v>49</v>
      </c>
      <c r="D5805" s="20" t="s">
        <v>291</v>
      </c>
      <c r="E5805" s="20" t="s">
        <v>2361</v>
      </c>
      <c r="F5805" s="20" t="s">
        <v>2462</v>
      </c>
      <c r="G5805" s="20" t="s">
        <v>82</v>
      </c>
      <c r="H5805" s="20" t="s">
        <v>2446</v>
      </c>
      <c r="I5805" s="20" t="s">
        <v>2451</v>
      </c>
      <c r="J5805" s="20" t="s">
        <v>208</v>
      </c>
      <c r="K5805" s="20" t="s">
        <v>250</v>
      </c>
      <c r="L5805" s="20">
        <v>288700000</v>
      </c>
      <c r="M5805" s="20" t="s">
        <v>245</v>
      </c>
      <c r="N5805" s="20" t="s">
        <v>3715</v>
      </c>
    </row>
    <row r="5806" spans="1:14" hidden="1" x14ac:dyDescent="0.25">
      <c r="A5806" s="19">
        <v>46113</v>
      </c>
      <c r="B5806" s="20" t="s">
        <v>162</v>
      </c>
      <c r="C5806" s="20">
        <v>49</v>
      </c>
      <c r="D5806" s="20" t="s">
        <v>291</v>
      </c>
      <c r="E5806" s="20" t="s">
        <v>2361</v>
      </c>
      <c r="F5806" s="20" t="s">
        <v>2462</v>
      </c>
      <c r="G5806" s="20" t="s">
        <v>82</v>
      </c>
      <c r="H5806" s="20" t="s">
        <v>2449</v>
      </c>
      <c r="I5806" s="20" t="s">
        <v>2451</v>
      </c>
      <c r="J5806" s="20" t="s">
        <v>208</v>
      </c>
      <c r="K5806" s="20" t="s">
        <v>250</v>
      </c>
      <c r="L5806" s="20">
        <v>294600000</v>
      </c>
      <c r="M5806" s="20" t="s">
        <v>245</v>
      </c>
      <c r="N5806" s="20" t="s">
        <v>3716</v>
      </c>
    </row>
    <row r="5807" spans="1:14" hidden="1" x14ac:dyDescent="0.25">
      <c r="A5807" s="19">
        <v>46113</v>
      </c>
      <c r="B5807" s="20" t="s">
        <v>162</v>
      </c>
      <c r="C5807" s="20">
        <v>49</v>
      </c>
      <c r="D5807" s="20" t="s">
        <v>291</v>
      </c>
      <c r="E5807" s="20" t="s">
        <v>2361</v>
      </c>
      <c r="F5807" s="20" t="s">
        <v>2462</v>
      </c>
      <c r="G5807" s="20" t="s">
        <v>82</v>
      </c>
      <c r="H5807" s="20" t="s">
        <v>2446</v>
      </c>
      <c r="I5807" s="20" t="s">
        <v>2454</v>
      </c>
      <c r="J5807" s="20" t="s">
        <v>208</v>
      </c>
      <c r="K5807" s="20" t="s">
        <v>250</v>
      </c>
      <c r="L5807" s="20">
        <v>167000</v>
      </c>
      <c r="M5807" s="20" t="s">
        <v>245</v>
      </c>
      <c r="N5807" s="20" t="s">
        <v>3717</v>
      </c>
    </row>
    <row r="5808" spans="1:14" hidden="1" x14ac:dyDescent="0.25">
      <c r="A5808" s="19">
        <v>46113</v>
      </c>
      <c r="B5808" s="20" t="s">
        <v>162</v>
      </c>
      <c r="C5808" s="20">
        <v>49</v>
      </c>
      <c r="D5808" s="20" t="s">
        <v>291</v>
      </c>
      <c r="E5808" s="20" t="s">
        <v>2361</v>
      </c>
      <c r="F5808" s="20" t="s">
        <v>2462</v>
      </c>
      <c r="G5808" s="20" t="s">
        <v>82</v>
      </c>
      <c r="H5808" s="20" t="s">
        <v>2449</v>
      </c>
      <c r="I5808" s="20" t="s">
        <v>2454</v>
      </c>
      <c r="J5808" s="20" t="s">
        <v>208</v>
      </c>
      <c r="K5808" s="20" t="s">
        <v>250</v>
      </c>
      <c r="L5808" s="20">
        <v>1700000</v>
      </c>
      <c r="M5808" s="20" t="s">
        <v>245</v>
      </c>
      <c r="N5808" s="20" t="s">
        <v>3718</v>
      </c>
    </row>
    <row r="5809" spans="1:14" hidden="1" x14ac:dyDescent="0.25">
      <c r="A5809" s="19">
        <v>46113</v>
      </c>
      <c r="B5809" s="20" t="s">
        <v>162</v>
      </c>
      <c r="C5809" s="20">
        <v>50</v>
      </c>
      <c r="D5809" s="20" t="s">
        <v>253</v>
      </c>
      <c r="E5809" s="20" t="s">
        <v>2359</v>
      </c>
      <c r="F5809" s="20" t="s">
        <v>2468</v>
      </c>
      <c r="G5809" s="20" t="s">
        <v>82</v>
      </c>
      <c r="H5809" s="20"/>
      <c r="I5809" s="20"/>
      <c r="J5809" s="20" t="s">
        <v>206</v>
      </c>
      <c r="K5809" s="20" t="s">
        <v>255</v>
      </c>
      <c r="L5809" s="20">
        <v>1770000000</v>
      </c>
      <c r="M5809" s="20" t="s">
        <v>245</v>
      </c>
      <c r="N5809" s="20" t="s">
        <v>3432</v>
      </c>
    </row>
    <row r="5810" spans="1:14" hidden="1" x14ac:dyDescent="0.25">
      <c r="A5810" s="19">
        <v>46113</v>
      </c>
      <c r="B5810" s="20" t="s">
        <v>162</v>
      </c>
      <c r="C5810" s="20">
        <v>50</v>
      </c>
      <c r="D5810" s="20" t="s">
        <v>253</v>
      </c>
      <c r="E5810" s="20" t="s">
        <v>2359</v>
      </c>
      <c r="F5810" s="20" t="s">
        <v>2468</v>
      </c>
      <c r="G5810" s="20" t="s">
        <v>82</v>
      </c>
      <c r="H5810" s="20"/>
      <c r="I5810" s="20"/>
      <c r="J5810" s="20" t="s">
        <v>207</v>
      </c>
      <c r="K5810" s="20" t="s">
        <v>255</v>
      </c>
      <c r="L5810" s="20">
        <v>2010000000</v>
      </c>
      <c r="M5810" s="20" t="s">
        <v>245</v>
      </c>
      <c r="N5810" s="20" t="s">
        <v>3576</v>
      </c>
    </row>
    <row r="5811" spans="1:14" hidden="1" x14ac:dyDescent="0.25">
      <c r="A5811" s="19">
        <v>46113</v>
      </c>
      <c r="B5811" s="20" t="s">
        <v>162</v>
      </c>
      <c r="C5811" s="20">
        <v>50</v>
      </c>
      <c r="D5811" s="20" t="s">
        <v>253</v>
      </c>
      <c r="E5811" s="20" t="s">
        <v>2359</v>
      </c>
      <c r="F5811" s="20" t="s">
        <v>2468</v>
      </c>
      <c r="G5811" s="20" t="s">
        <v>82</v>
      </c>
      <c r="H5811" s="20"/>
      <c r="I5811" s="20"/>
      <c r="J5811" s="20" t="s">
        <v>208</v>
      </c>
      <c r="K5811" s="20" t="s">
        <v>255</v>
      </c>
      <c r="L5811" s="20">
        <v>1850000000</v>
      </c>
      <c r="M5811" s="20" t="s">
        <v>245</v>
      </c>
      <c r="N5811" s="20" t="s">
        <v>3287</v>
      </c>
    </row>
    <row r="5812" spans="1:14" hidden="1" x14ac:dyDescent="0.25">
      <c r="A5812" s="19">
        <v>46113</v>
      </c>
      <c r="B5812" s="20" t="s">
        <v>162</v>
      </c>
      <c r="C5812" s="20">
        <v>50</v>
      </c>
      <c r="D5812" s="20" t="s">
        <v>247</v>
      </c>
      <c r="E5812" s="20" t="s">
        <v>2554</v>
      </c>
      <c r="F5812" s="20" t="s">
        <v>2558</v>
      </c>
      <c r="G5812" s="20" t="s">
        <v>82</v>
      </c>
      <c r="H5812" s="20" t="s">
        <v>249</v>
      </c>
      <c r="I5812" s="20"/>
      <c r="J5812" s="20" t="s">
        <v>208</v>
      </c>
      <c r="K5812" s="20" t="s">
        <v>250</v>
      </c>
      <c r="L5812" s="20">
        <v>8.1</v>
      </c>
      <c r="M5812" s="20" t="s">
        <v>251</v>
      </c>
      <c r="N5812" s="20" t="s">
        <v>3066</v>
      </c>
    </row>
    <row r="5813" spans="1:14" hidden="1" x14ac:dyDescent="0.25">
      <c r="A5813" s="19">
        <v>46113</v>
      </c>
      <c r="B5813" s="20" t="s">
        <v>162</v>
      </c>
      <c r="C5813" s="20">
        <v>51</v>
      </c>
      <c r="D5813" s="20" t="s">
        <v>291</v>
      </c>
      <c r="E5813" s="20" t="s">
        <v>2361</v>
      </c>
      <c r="F5813" s="20" t="s">
        <v>2468</v>
      </c>
      <c r="G5813" s="20" t="s">
        <v>82</v>
      </c>
      <c r="H5813" s="20" t="s">
        <v>95</v>
      </c>
      <c r="I5813" s="20"/>
      <c r="J5813" s="20" t="s">
        <v>208</v>
      </c>
      <c r="K5813" s="20" t="s">
        <v>250</v>
      </c>
      <c r="L5813" s="20">
        <v>390400000</v>
      </c>
      <c r="M5813" s="20" t="s">
        <v>245</v>
      </c>
      <c r="N5813" s="20" t="s">
        <v>3719</v>
      </c>
    </row>
    <row r="5814" spans="1:14" hidden="1" x14ac:dyDescent="0.25">
      <c r="A5814" s="19">
        <v>46113</v>
      </c>
      <c r="B5814" s="20" t="s">
        <v>162</v>
      </c>
      <c r="C5814" s="20">
        <v>51</v>
      </c>
      <c r="D5814" s="20" t="s">
        <v>291</v>
      </c>
      <c r="E5814" s="20" t="s">
        <v>2361</v>
      </c>
      <c r="F5814" s="20" t="s">
        <v>2468</v>
      </c>
      <c r="G5814" s="20" t="s">
        <v>82</v>
      </c>
      <c r="H5814" s="20" t="s">
        <v>94</v>
      </c>
      <c r="I5814" s="20"/>
      <c r="J5814" s="20" t="s">
        <v>208</v>
      </c>
      <c r="K5814" s="20" t="s">
        <v>250</v>
      </c>
      <c r="L5814" s="20">
        <v>1460000000</v>
      </c>
      <c r="M5814" s="20" t="s">
        <v>245</v>
      </c>
      <c r="N5814" s="20" t="s">
        <v>3132</v>
      </c>
    </row>
    <row r="5815" spans="1:14" hidden="1" x14ac:dyDescent="0.25">
      <c r="A5815" s="19">
        <v>46113</v>
      </c>
      <c r="B5815" s="20" t="s">
        <v>162</v>
      </c>
      <c r="C5815" s="20">
        <v>52</v>
      </c>
      <c r="D5815" s="20" t="s">
        <v>291</v>
      </c>
      <c r="E5815" s="20" t="s">
        <v>2361</v>
      </c>
      <c r="F5815" s="20" t="s">
        <v>2472</v>
      </c>
      <c r="G5815" s="20" t="s">
        <v>82</v>
      </c>
      <c r="H5815" s="20" t="s">
        <v>174</v>
      </c>
      <c r="I5815" s="20"/>
      <c r="J5815" s="20" t="s">
        <v>208</v>
      </c>
      <c r="K5815" s="20" t="s">
        <v>250</v>
      </c>
      <c r="L5815" s="20">
        <v>241100000</v>
      </c>
      <c r="M5815" s="20" t="s">
        <v>245</v>
      </c>
      <c r="N5815" s="20" t="s">
        <v>3720</v>
      </c>
    </row>
    <row r="5816" spans="1:14" hidden="1" x14ac:dyDescent="0.25">
      <c r="A5816" s="19">
        <v>46113</v>
      </c>
      <c r="B5816" s="20" t="s">
        <v>162</v>
      </c>
      <c r="C5816" s="20">
        <v>52</v>
      </c>
      <c r="D5816" s="20" t="s">
        <v>291</v>
      </c>
      <c r="E5816" s="20" t="s">
        <v>2361</v>
      </c>
      <c r="F5816" s="20" t="s">
        <v>2472</v>
      </c>
      <c r="G5816" s="20" t="s">
        <v>82</v>
      </c>
      <c r="H5816" s="20" t="s">
        <v>173</v>
      </c>
      <c r="I5816" s="20"/>
      <c r="J5816" s="20" t="s">
        <v>208</v>
      </c>
      <c r="K5816" s="20" t="s">
        <v>250</v>
      </c>
      <c r="L5816" s="20">
        <v>205400000</v>
      </c>
      <c r="M5816" s="20" t="s">
        <v>245</v>
      </c>
      <c r="N5816" s="20" t="s">
        <v>3721</v>
      </c>
    </row>
    <row r="5817" spans="1:14" hidden="1" x14ac:dyDescent="0.25">
      <c r="A5817" s="19">
        <v>46113</v>
      </c>
      <c r="B5817" s="20" t="s">
        <v>162</v>
      </c>
      <c r="C5817" s="20">
        <v>53</v>
      </c>
      <c r="D5817" s="20" t="s">
        <v>238</v>
      </c>
      <c r="E5817" s="20" t="s">
        <v>2341</v>
      </c>
      <c r="F5817" s="20" t="s">
        <v>334</v>
      </c>
      <c r="G5817" s="20" t="s">
        <v>82</v>
      </c>
      <c r="H5817" s="20" t="s">
        <v>179</v>
      </c>
      <c r="I5817" s="20"/>
      <c r="J5817" s="20" t="s">
        <v>208</v>
      </c>
      <c r="K5817" s="20" t="s">
        <v>250</v>
      </c>
      <c r="L5817" s="20">
        <v>9</v>
      </c>
      <c r="M5817" s="20" t="s">
        <v>245</v>
      </c>
      <c r="N5817" s="20" t="s">
        <v>3722</v>
      </c>
    </row>
    <row r="5818" spans="1:14" hidden="1" x14ac:dyDescent="0.25">
      <c r="A5818" s="19">
        <v>46113</v>
      </c>
      <c r="B5818" s="20" t="s">
        <v>162</v>
      </c>
      <c r="C5818" s="20">
        <v>53</v>
      </c>
      <c r="D5818" s="20" t="s">
        <v>238</v>
      </c>
      <c r="E5818" s="20" t="s">
        <v>2341</v>
      </c>
      <c r="F5818" s="20" t="s">
        <v>334</v>
      </c>
      <c r="G5818" s="20" t="s">
        <v>82</v>
      </c>
      <c r="H5818" s="20" t="s">
        <v>170</v>
      </c>
      <c r="I5818" s="20"/>
      <c r="J5818" s="20" t="s">
        <v>208</v>
      </c>
      <c r="K5818" s="20" t="s">
        <v>250</v>
      </c>
      <c r="L5818" s="20">
        <v>11</v>
      </c>
      <c r="M5818" s="20" t="s">
        <v>245</v>
      </c>
      <c r="N5818" s="20" t="s">
        <v>1945</v>
      </c>
    </row>
    <row r="5819" spans="1:14" hidden="1" x14ac:dyDescent="0.25">
      <c r="A5819" s="19">
        <v>46113</v>
      </c>
      <c r="B5819" s="20" t="s">
        <v>162</v>
      </c>
      <c r="C5819" s="20">
        <v>53</v>
      </c>
      <c r="D5819" s="20" t="s">
        <v>238</v>
      </c>
      <c r="E5819" s="20" t="s">
        <v>2341</v>
      </c>
      <c r="F5819" s="20" t="s">
        <v>334</v>
      </c>
      <c r="G5819" s="20" t="s">
        <v>82</v>
      </c>
      <c r="H5819" s="20" t="s">
        <v>178</v>
      </c>
      <c r="I5819" s="20"/>
      <c r="J5819" s="20" t="s">
        <v>208</v>
      </c>
      <c r="K5819" s="20" t="s">
        <v>250</v>
      </c>
      <c r="L5819" s="20">
        <v>32</v>
      </c>
      <c r="M5819" s="20" t="s">
        <v>245</v>
      </c>
      <c r="N5819" s="20" t="s">
        <v>3723</v>
      </c>
    </row>
    <row r="5820" spans="1:14" hidden="1" x14ac:dyDescent="0.25">
      <c r="A5820" s="19">
        <v>46113</v>
      </c>
      <c r="B5820" s="20" t="s">
        <v>162</v>
      </c>
      <c r="C5820" s="20">
        <v>53</v>
      </c>
      <c r="D5820" s="20" t="s">
        <v>238</v>
      </c>
      <c r="E5820" s="20" t="s">
        <v>2341</v>
      </c>
      <c r="F5820" s="20" t="s">
        <v>334</v>
      </c>
      <c r="G5820" s="20" t="s">
        <v>82</v>
      </c>
      <c r="H5820" s="20" t="s">
        <v>173</v>
      </c>
      <c r="I5820" s="20"/>
      <c r="J5820" s="20" t="s">
        <v>208</v>
      </c>
      <c r="K5820" s="20" t="s">
        <v>250</v>
      </c>
      <c r="L5820" s="20">
        <v>46</v>
      </c>
      <c r="M5820" s="20" t="s">
        <v>245</v>
      </c>
      <c r="N5820" s="20" t="s">
        <v>2289</v>
      </c>
    </row>
    <row r="5821" spans="1:14" hidden="1" x14ac:dyDescent="0.25">
      <c r="A5821" s="19">
        <v>46113</v>
      </c>
      <c r="B5821" s="20" t="s">
        <v>162</v>
      </c>
      <c r="C5821" s="20">
        <v>53</v>
      </c>
      <c r="D5821" s="20" t="s">
        <v>238</v>
      </c>
      <c r="E5821" s="20" t="s">
        <v>2341</v>
      </c>
      <c r="F5821" s="20" t="s">
        <v>334</v>
      </c>
      <c r="G5821" s="20" t="s">
        <v>82</v>
      </c>
      <c r="H5821" s="20" t="s">
        <v>174</v>
      </c>
      <c r="I5821" s="20"/>
      <c r="J5821" s="20" t="s">
        <v>208</v>
      </c>
      <c r="K5821" s="20" t="s">
        <v>250</v>
      </c>
      <c r="L5821" s="20">
        <v>79</v>
      </c>
      <c r="M5821" s="20" t="s">
        <v>245</v>
      </c>
      <c r="N5821" s="20" t="s">
        <v>3724</v>
      </c>
    </row>
    <row r="5822" spans="1:14" hidden="1" x14ac:dyDescent="0.25">
      <c r="A5822" s="19">
        <v>46113</v>
      </c>
      <c r="B5822" s="20" t="s">
        <v>162</v>
      </c>
      <c r="C5822" s="20">
        <v>53</v>
      </c>
      <c r="D5822" s="20" t="s">
        <v>238</v>
      </c>
      <c r="E5822" s="20" t="s">
        <v>2341</v>
      </c>
      <c r="F5822" s="20" t="s">
        <v>334</v>
      </c>
      <c r="G5822" s="20" t="s">
        <v>82</v>
      </c>
      <c r="H5822" s="20" t="s">
        <v>164</v>
      </c>
      <c r="I5822" s="20"/>
      <c r="J5822" s="20" t="s">
        <v>208</v>
      </c>
      <c r="K5822" s="20" t="s">
        <v>250</v>
      </c>
      <c r="L5822" s="20">
        <v>122</v>
      </c>
      <c r="M5822" s="20" t="s">
        <v>245</v>
      </c>
      <c r="N5822" s="20" t="s">
        <v>3725</v>
      </c>
    </row>
    <row r="5823" spans="1:14" hidden="1" x14ac:dyDescent="0.25">
      <c r="A5823" s="19">
        <v>46113</v>
      </c>
      <c r="B5823" s="20" t="s">
        <v>162</v>
      </c>
      <c r="C5823" s="20">
        <v>53</v>
      </c>
      <c r="D5823" s="20" t="s">
        <v>238</v>
      </c>
      <c r="E5823" s="20" t="s">
        <v>2341</v>
      </c>
      <c r="F5823" s="20" t="s">
        <v>455</v>
      </c>
      <c r="G5823" s="20" t="s">
        <v>82</v>
      </c>
      <c r="H5823" s="20"/>
      <c r="I5823" s="20"/>
      <c r="J5823" s="20" t="s">
        <v>208</v>
      </c>
      <c r="K5823" s="20" t="s">
        <v>250</v>
      </c>
      <c r="L5823" s="20">
        <v>76</v>
      </c>
      <c r="M5823" s="20" t="s">
        <v>245</v>
      </c>
      <c r="N5823" s="20" t="s">
        <v>3726</v>
      </c>
    </row>
    <row r="5824" spans="1:14" hidden="1" x14ac:dyDescent="0.25">
      <c r="A5824" s="19">
        <v>46113</v>
      </c>
      <c r="B5824" s="20" t="s">
        <v>1192</v>
      </c>
      <c r="C5824" s="20">
        <v>55</v>
      </c>
      <c r="D5824" s="20" t="s">
        <v>238</v>
      </c>
      <c r="E5824" s="20" t="s">
        <v>2341</v>
      </c>
      <c r="F5824" s="20" t="s">
        <v>240</v>
      </c>
      <c r="G5824" s="20" t="s">
        <v>82</v>
      </c>
      <c r="H5824" s="20"/>
      <c r="I5824" s="20"/>
      <c r="J5824" s="20" t="s">
        <v>3639</v>
      </c>
      <c r="K5824" s="20" t="s">
        <v>241</v>
      </c>
      <c r="L5824" s="20">
        <v>121340000</v>
      </c>
      <c r="M5824" s="20" t="s">
        <v>242</v>
      </c>
      <c r="N5824" s="20" t="s">
        <v>3703</v>
      </c>
    </row>
    <row r="5825" spans="1:14" hidden="1" x14ac:dyDescent="0.25">
      <c r="A5825" s="19">
        <v>46113</v>
      </c>
      <c r="B5825" s="20" t="s">
        <v>2481</v>
      </c>
      <c r="C5825" s="20">
        <v>55</v>
      </c>
      <c r="D5825" s="20" t="s">
        <v>238</v>
      </c>
      <c r="E5825" s="20" t="s">
        <v>2341</v>
      </c>
      <c r="F5825" s="20" t="s">
        <v>244</v>
      </c>
      <c r="G5825" s="20" t="s">
        <v>82</v>
      </c>
      <c r="H5825" s="20"/>
      <c r="I5825" s="20"/>
      <c r="J5825" s="20" t="s">
        <v>3639</v>
      </c>
      <c r="K5825" s="20" t="s">
        <v>241</v>
      </c>
      <c r="L5825" s="20">
        <v>9990000000</v>
      </c>
      <c r="M5825" s="20" t="s">
        <v>245</v>
      </c>
      <c r="N5825" s="20" t="s">
        <v>3704</v>
      </c>
    </row>
    <row r="5826" spans="1:14" hidden="1" x14ac:dyDescent="0.25">
      <c r="A5826" s="19">
        <v>46113</v>
      </c>
      <c r="B5826" s="20" t="s">
        <v>1192</v>
      </c>
      <c r="C5826" s="20">
        <v>55</v>
      </c>
      <c r="D5826" s="20" t="s">
        <v>238</v>
      </c>
      <c r="E5826" s="20" t="s">
        <v>2341</v>
      </c>
      <c r="F5826" s="20" t="s">
        <v>240</v>
      </c>
      <c r="G5826" s="20" t="s">
        <v>82</v>
      </c>
      <c r="H5826" s="20" t="s">
        <v>184</v>
      </c>
      <c r="I5826" s="20"/>
      <c r="J5826" s="20" t="s">
        <v>3639</v>
      </c>
      <c r="K5826" s="20" t="s">
        <v>241</v>
      </c>
      <c r="L5826" s="20">
        <v>72620000</v>
      </c>
      <c r="M5826" s="20" t="s">
        <v>242</v>
      </c>
      <c r="N5826" s="20" t="s">
        <v>3640</v>
      </c>
    </row>
    <row r="5827" spans="1:14" hidden="1" x14ac:dyDescent="0.25">
      <c r="A5827" s="19">
        <v>46113</v>
      </c>
      <c r="B5827" s="20" t="s">
        <v>1192</v>
      </c>
      <c r="C5827" s="20">
        <v>55</v>
      </c>
      <c r="D5827" s="20" t="s">
        <v>238</v>
      </c>
      <c r="E5827" s="20" t="s">
        <v>2341</v>
      </c>
      <c r="F5827" s="20" t="s">
        <v>240</v>
      </c>
      <c r="G5827" s="20" t="s">
        <v>82</v>
      </c>
      <c r="H5827" s="20" t="s">
        <v>185</v>
      </c>
      <c r="I5827" s="20"/>
      <c r="J5827" s="20" t="s">
        <v>3639</v>
      </c>
      <c r="K5827" s="20" t="s">
        <v>241</v>
      </c>
      <c r="L5827" s="20">
        <v>48730000</v>
      </c>
      <c r="M5827" s="20" t="s">
        <v>242</v>
      </c>
      <c r="N5827" s="20" t="s">
        <v>2497</v>
      </c>
    </row>
    <row r="5828" spans="1:14" hidden="1" x14ac:dyDescent="0.25">
      <c r="A5828" s="19">
        <v>46113</v>
      </c>
      <c r="B5828" s="20" t="s">
        <v>2481</v>
      </c>
      <c r="C5828" s="20">
        <v>55</v>
      </c>
      <c r="D5828" s="20" t="s">
        <v>238</v>
      </c>
      <c r="E5828" s="20" t="s">
        <v>2341</v>
      </c>
      <c r="F5828" s="20" t="s">
        <v>244</v>
      </c>
      <c r="G5828" s="20" t="s">
        <v>82</v>
      </c>
      <c r="H5828" s="20" t="s">
        <v>184</v>
      </c>
      <c r="I5828" s="20"/>
      <c r="J5828" s="20" t="s">
        <v>3639</v>
      </c>
      <c r="K5828" s="20" t="s">
        <v>241</v>
      </c>
      <c r="L5828" s="20">
        <v>7600000000</v>
      </c>
      <c r="M5828" s="20" t="s">
        <v>245</v>
      </c>
      <c r="N5828" s="20" t="s">
        <v>3641</v>
      </c>
    </row>
    <row r="5829" spans="1:14" hidden="1" x14ac:dyDescent="0.25">
      <c r="A5829" s="19">
        <v>46113</v>
      </c>
      <c r="B5829" s="20" t="s">
        <v>2481</v>
      </c>
      <c r="C5829" s="20">
        <v>55</v>
      </c>
      <c r="D5829" s="20" t="s">
        <v>238</v>
      </c>
      <c r="E5829" s="20" t="s">
        <v>2341</v>
      </c>
      <c r="F5829" s="20" t="s">
        <v>244</v>
      </c>
      <c r="G5829" s="20" t="s">
        <v>82</v>
      </c>
      <c r="H5829" s="20" t="s">
        <v>185</v>
      </c>
      <c r="I5829" s="20"/>
      <c r="J5829" s="20" t="s">
        <v>3639</v>
      </c>
      <c r="K5829" s="20" t="s">
        <v>241</v>
      </c>
      <c r="L5829" s="20">
        <v>2390000000</v>
      </c>
      <c r="M5829" s="20" t="s">
        <v>245</v>
      </c>
      <c r="N5829" s="20" t="s">
        <v>3663</v>
      </c>
    </row>
    <row r="5830" spans="1:14" hidden="1" x14ac:dyDescent="0.25">
      <c r="A5830" s="19">
        <v>46113</v>
      </c>
      <c r="B5830" s="20" t="s">
        <v>2481</v>
      </c>
      <c r="C5830" s="20">
        <v>56</v>
      </c>
      <c r="D5830" s="20" t="s">
        <v>238</v>
      </c>
      <c r="E5830" s="20" t="s">
        <v>2341</v>
      </c>
      <c r="F5830" s="20" t="s">
        <v>285</v>
      </c>
      <c r="G5830" s="20" t="s">
        <v>63</v>
      </c>
      <c r="H5830" s="20" t="s">
        <v>1202</v>
      </c>
      <c r="I5830" s="20"/>
      <c r="J5830" s="20" t="s">
        <v>3639</v>
      </c>
      <c r="K5830" s="20" t="s">
        <v>241</v>
      </c>
      <c r="L5830" s="20">
        <v>1110000</v>
      </c>
      <c r="M5830" s="20" t="s">
        <v>242</v>
      </c>
      <c r="N5830" s="20" t="s">
        <v>1501</v>
      </c>
    </row>
    <row r="5831" spans="1:14" hidden="1" x14ac:dyDescent="0.25">
      <c r="A5831" s="19">
        <v>46113</v>
      </c>
      <c r="B5831" s="20" t="s">
        <v>2481</v>
      </c>
      <c r="C5831" s="20">
        <v>56</v>
      </c>
      <c r="D5831" s="20" t="s">
        <v>238</v>
      </c>
      <c r="E5831" s="20" t="s">
        <v>2341</v>
      </c>
      <c r="F5831" s="20" t="s">
        <v>285</v>
      </c>
      <c r="G5831" s="20" t="s">
        <v>63</v>
      </c>
      <c r="H5831" s="20" t="s">
        <v>1204</v>
      </c>
      <c r="I5831" s="20"/>
      <c r="J5831" s="20" t="s">
        <v>3639</v>
      </c>
      <c r="K5831" s="20" t="s">
        <v>241</v>
      </c>
      <c r="L5831" s="20">
        <v>1790000</v>
      </c>
      <c r="M5831" s="20" t="s">
        <v>242</v>
      </c>
      <c r="N5831" s="20" t="s">
        <v>1409</v>
      </c>
    </row>
    <row r="5832" spans="1:14" hidden="1" x14ac:dyDescent="0.25">
      <c r="A5832" s="19">
        <v>46113</v>
      </c>
      <c r="B5832" s="20" t="s">
        <v>2481</v>
      </c>
      <c r="C5832" s="20">
        <v>56</v>
      </c>
      <c r="D5832" s="20" t="s">
        <v>238</v>
      </c>
      <c r="E5832" s="20" t="s">
        <v>2341</v>
      </c>
      <c r="F5832" s="20" t="s">
        <v>285</v>
      </c>
      <c r="G5832" s="20" t="s">
        <v>63</v>
      </c>
      <c r="H5832" s="20" t="s">
        <v>1200</v>
      </c>
      <c r="I5832" s="20"/>
      <c r="J5832" s="20" t="s">
        <v>3639</v>
      </c>
      <c r="K5832" s="20" t="s">
        <v>241</v>
      </c>
      <c r="L5832" s="20">
        <v>1140000</v>
      </c>
      <c r="M5832" s="20" t="s">
        <v>242</v>
      </c>
      <c r="N5832" s="20" t="s">
        <v>467</v>
      </c>
    </row>
    <row r="5833" spans="1:14" hidden="1" x14ac:dyDescent="0.25">
      <c r="A5833" s="19">
        <v>46113</v>
      </c>
      <c r="B5833" s="20" t="s">
        <v>2481</v>
      </c>
      <c r="C5833" s="20">
        <v>56</v>
      </c>
      <c r="D5833" s="20" t="s">
        <v>238</v>
      </c>
      <c r="E5833" s="20" t="s">
        <v>2341</v>
      </c>
      <c r="F5833" s="20" t="s">
        <v>285</v>
      </c>
      <c r="G5833" s="20" t="s">
        <v>63</v>
      </c>
      <c r="H5833" s="20"/>
      <c r="I5833" s="20"/>
      <c r="J5833" s="20" t="s">
        <v>3639</v>
      </c>
      <c r="K5833" s="20" t="s">
        <v>241</v>
      </c>
      <c r="L5833" s="20">
        <v>4100000</v>
      </c>
      <c r="M5833" s="20" t="s">
        <v>242</v>
      </c>
      <c r="N5833" s="20" t="s">
        <v>2537</v>
      </c>
    </row>
    <row r="5834" spans="1:14" hidden="1" x14ac:dyDescent="0.25">
      <c r="A5834" s="19">
        <v>46113</v>
      </c>
      <c r="B5834" s="20" t="s">
        <v>2481</v>
      </c>
      <c r="C5834" s="20">
        <v>57</v>
      </c>
      <c r="D5834" s="20" t="s">
        <v>238</v>
      </c>
      <c r="E5834" s="20" t="s">
        <v>2341</v>
      </c>
      <c r="F5834" s="20" t="s">
        <v>1194</v>
      </c>
      <c r="G5834" s="20" t="s">
        <v>82</v>
      </c>
      <c r="H5834" s="20"/>
      <c r="I5834" s="20"/>
      <c r="J5834" s="20" t="s">
        <v>208</v>
      </c>
      <c r="K5834" s="20" t="s">
        <v>250</v>
      </c>
      <c r="L5834" s="20">
        <v>32620000</v>
      </c>
      <c r="M5834" s="20" t="s">
        <v>242</v>
      </c>
      <c r="N5834" s="20" t="s">
        <v>3727</v>
      </c>
    </row>
    <row r="5835" spans="1:14" hidden="1" x14ac:dyDescent="0.25">
      <c r="A5835" s="19">
        <v>46113</v>
      </c>
      <c r="B5835" s="20" t="s">
        <v>2481</v>
      </c>
      <c r="C5835" s="20">
        <v>57</v>
      </c>
      <c r="D5835" s="20" t="s">
        <v>238</v>
      </c>
      <c r="E5835" s="20" t="s">
        <v>2341</v>
      </c>
      <c r="F5835" s="20" t="s">
        <v>2487</v>
      </c>
      <c r="G5835" s="20" t="s">
        <v>82</v>
      </c>
      <c r="H5835" s="20" t="s">
        <v>184</v>
      </c>
      <c r="I5835" s="20"/>
      <c r="J5835" s="20" t="s">
        <v>208</v>
      </c>
      <c r="K5835" s="20" t="s">
        <v>250</v>
      </c>
      <c r="L5835" s="20">
        <v>19330000</v>
      </c>
      <c r="M5835" s="20" t="s">
        <v>242</v>
      </c>
      <c r="N5835" s="20" t="s">
        <v>3626</v>
      </c>
    </row>
    <row r="5836" spans="1:14" hidden="1" x14ac:dyDescent="0.25">
      <c r="A5836" s="19">
        <v>46113</v>
      </c>
      <c r="B5836" s="20" t="s">
        <v>2481</v>
      </c>
      <c r="C5836" s="20">
        <v>57</v>
      </c>
      <c r="D5836" s="20" t="s">
        <v>238</v>
      </c>
      <c r="E5836" s="20" t="s">
        <v>2341</v>
      </c>
      <c r="F5836" s="20" t="s">
        <v>2488</v>
      </c>
      <c r="G5836" s="20" t="s">
        <v>82</v>
      </c>
      <c r="H5836" s="20" t="s">
        <v>185</v>
      </c>
      <c r="I5836" s="20"/>
      <c r="J5836" s="20" t="s">
        <v>208</v>
      </c>
      <c r="K5836" s="20" t="s">
        <v>250</v>
      </c>
      <c r="L5836" s="20">
        <v>13290000</v>
      </c>
      <c r="M5836" s="20" t="s">
        <v>242</v>
      </c>
      <c r="N5836" s="20" t="s">
        <v>3628</v>
      </c>
    </row>
    <row r="5837" spans="1:14" hidden="1" x14ac:dyDescent="0.25">
      <c r="A5837" s="19">
        <v>46113</v>
      </c>
      <c r="B5837" s="20" t="s">
        <v>2481</v>
      </c>
      <c r="C5837" s="20">
        <v>58</v>
      </c>
      <c r="D5837" s="20" t="s">
        <v>238</v>
      </c>
      <c r="E5837" s="20" t="s">
        <v>2341</v>
      </c>
      <c r="F5837" s="20" t="s">
        <v>1196</v>
      </c>
      <c r="G5837" s="20" t="s">
        <v>82</v>
      </c>
      <c r="H5837" s="20"/>
      <c r="I5837" s="20"/>
      <c r="J5837" s="20" t="s">
        <v>208</v>
      </c>
      <c r="K5837" s="20" t="s">
        <v>250</v>
      </c>
      <c r="L5837" s="20">
        <v>2490000000</v>
      </c>
      <c r="M5837" s="20" t="s">
        <v>245</v>
      </c>
      <c r="N5837" s="20" t="s">
        <v>3728</v>
      </c>
    </row>
    <row r="5838" spans="1:14" hidden="1" x14ac:dyDescent="0.25">
      <c r="A5838" s="19">
        <v>46113</v>
      </c>
      <c r="B5838" s="20" t="s">
        <v>2481</v>
      </c>
      <c r="C5838" s="20">
        <v>58</v>
      </c>
      <c r="D5838" s="20" t="s">
        <v>238</v>
      </c>
      <c r="E5838" s="20" t="s">
        <v>2341</v>
      </c>
      <c r="F5838" s="20" t="s">
        <v>2489</v>
      </c>
      <c r="G5838" s="20" t="s">
        <v>82</v>
      </c>
      <c r="H5838" s="20" t="s">
        <v>184</v>
      </c>
      <c r="I5838" s="20"/>
      <c r="J5838" s="20" t="s">
        <v>208</v>
      </c>
      <c r="K5838" s="20" t="s">
        <v>250</v>
      </c>
      <c r="L5838" s="20">
        <v>1890000000</v>
      </c>
      <c r="M5838" s="20" t="s">
        <v>245</v>
      </c>
      <c r="N5838" s="20" t="s">
        <v>3627</v>
      </c>
    </row>
    <row r="5839" spans="1:14" hidden="1" x14ac:dyDescent="0.25">
      <c r="A5839" s="19">
        <v>46113</v>
      </c>
      <c r="B5839" s="20" t="s">
        <v>2481</v>
      </c>
      <c r="C5839" s="20">
        <v>58</v>
      </c>
      <c r="D5839" s="20" t="s">
        <v>238</v>
      </c>
      <c r="E5839" s="20" t="s">
        <v>2341</v>
      </c>
      <c r="F5839" s="20" t="s">
        <v>2490</v>
      </c>
      <c r="G5839" s="20" t="s">
        <v>82</v>
      </c>
      <c r="H5839" s="20" t="s">
        <v>185</v>
      </c>
      <c r="I5839" s="20"/>
      <c r="J5839" s="20" t="s">
        <v>208</v>
      </c>
      <c r="K5839" s="20" t="s">
        <v>250</v>
      </c>
      <c r="L5839" s="20">
        <v>600000000</v>
      </c>
      <c r="M5839" s="20" t="s">
        <v>245</v>
      </c>
      <c r="N5839" s="20" t="s">
        <v>3729</v>
      </c>
    </row>
    <row r="5840" spans="1:14" hidden="1" x14ac:dyDescent="0.25">
      <c r="A5840" s="19">
        <v>46113</v>
      </c>
      <c r="B5840" s="20" t="s">
        <v>2481</v>
      </c>
      <c r="C5840" s="20">
        <v>59</v>
      </c>
      <c r="D5840" s="20" t="s">
        <v>238</v>
      </c>
      <c r="E5840" s="20" t="s">
        <v>2341</v>
      </c>
      <c r="F5840" s="20" t="s">
        <v>1213</v>
      </c>
      <c r="G5840" s="20" t="s">
        <v>82</v>
      </c>
      <c r="H5840" s="20"/>
      <c r="I5840" s="20"/>
      <c r="J5840" s="20" t="s">
        <v>208</v>
      </c>
      <c r="K5840" s="20" t="s">
        <v>250</v>
      </c>
      <c r="L5840" s="20">
        <v>76.3</v>
      </c>
      <c r="M5840" s="20" t="s">
        <v>245</v>
      </c>
      <c r="N5840" s="20" t="s">
        <v>3730</v>
      </c>
    </row>
    <row r="5841" spans="1:14" hidden="1" x14ac:dyDescent="0.25">
      <c r="A5841" s="19">
        <v>46113</v>
      </c>
      <c r="B5841" s="20" t="s">
        <v>2481</v>
      </c>
      <c r="C5841" s="20">
        <v>59</v>
      </c>
      <c r="D5841" s="20" t="s">
        <v>238</v>
      </c>
      <c r="E5841" s="20" t="s">
        <v>2341</v>
      </c>
      <c r="F5841" s="20" t="s">
        <v>2493</v>
      </c>
      <c r="G5841" s="20" t="s">
        <v>82</v>
      </c>
      <c r="H5841" s="20" t="s">
        <v>184</v>
      </c>
      <c r="I5841" s="20"/>
      <c r="J5841" s="20" t="s">
        <v>208</v>
      </c>
      <c r="K5841" s="20" t="s">
        <v>250</v>
      </c>
      <c r="L5841" s="20">
        <v>97.6</v>
      </c>
      <c r="M5841" s="20" t="s">
        <v>245</v>
      </c>
      <c r="N5841" s="20" t="s">
        <v>3731</v>
      </c>
    </row>
    <row r="5842" spans="1:14" hidden="1" x14ac:dyDescent="0.25">
      <c r="A5842" s="19">
        <v>46113</v>
      </c>
      <c r="B5842" s="20" t="s">
        <v>2481</v>
      </c>
      <c r="C5842" s="20">
        <v>59</v>
      </c>
      <c r="D5842" s="20" t="s">
        <v>238</v>
      </c>
      <c r="E5842" s="20" t="s">
        <v>2341</v>
      </c>
      <c r="F5842" s="20" t="s">
        <v>2495</v>
      </c>
      <c r="G5842" s="20" t="s">
        <v>82</v>
      </c>
      <c r="H5842" s="20" t="s">
        <v>185</v>
      </c>
      <c r="I5842" s="20"/>
      <c r="J5842" s="20" t="s">
        <v>208</v>
      </c>
      <c r="K5842" s="20" t="s">
        <v>250</v>
      </c>
      <c r="L5842" s="20">
        <v>45.2</v>
      </c>
      <c r="M5842" s="20" t="s">
        <v>245</v>
      </c>
      <c r="N5842" s="20" t="s">
        <v>3732</v>
      </c>
    </row>
    <row r="5843" spans="1:14" hidden="1" x14ac:dyDescent="0.25">
      <c r="A5843" s="19">
        <v>46113</v>
      </c>
      <c r="B5843" s="20" t="s">
        <v>120</v>
      </c>
      <c r="C5843" s="20">
        <v>61</v>
      </c>
      <c r="D5843" s="20" t="s">
        <v>238</v>
      </c>
      <c r="E5843" s="20" t="s">
        <v>2341</v>
      </c>
      <c r="F5843" s="20" t="s">
        <v>240</v>
      </c>
      <c r="G5843" s="20" t="s">
        <v>82</v>
      </c>
      <c r="H5843" s="20"/>
      <c r="I5843" s="20"/>
      <c r="J5843" s="20" t="s">
        <v>3639</v>
      </c>
      <c r="K5843" s="20" t="s">
        <v>241</v>
      </c>
      <c r="L5843" s="20">
        <v>27070000</v>
      </c>
      <c r="M5843" s="20" t="s">
        <v>242</v>
      </c>
      <c r="N5843" s="20" t="s">
        <v>3733</v>
      </c>
    </row>
    <row r="5844" spans="1:14" hidden="1" x14ac:dyDescent="0.25">
      <c r="A5844" s="19">
        <v>46113</v>
      </c>
      <c r="B5844" s="20" t="s">
        <v>120</v>
      </c>
      <c r="C5844" s="20">
        <v>61</v>
      </c>
      <c r="D5844" s="20" t="s">
        <v>238</v>
      </c>
      <c r="E5844" s="20" t="s">
        <v>2341</v>
      </c>
      <c r="F5844" s="20" t="s">
        <v>244</v>
      </c>
      <c r="G5844" s="20" t="s">
        <v>82</v>
      </c>
      <c r="H5844" s="20"/>
      <c r="I5844" s="20"/>
      <c r="J5844" s="20" t="s">
        <v>3639</v>
      </c>
      <c r="K5844" s="20" t="s">
        <v>241</v>
      </c>
      <c r="L5844" s="20">
        <v>5320000000</v>
      </c>
      <c r="M5844" s="20" t="s">
        <v>245</v>
      </c>
      <c r="N5844" s="20" t="s">
        <v>3734</v>
      </c>
    </row>
    <row r="5845" spans="1:14" hidden="1" x14ac:dyDescent="0.25">
      <c r="A5845" s="19">
        <v>46113</v>
      </c>
      <c r="B5845" s="20" t="s">
        <v>120</v>
      </c>
      <c r="C5845" s="20">
        <v>62</v>
      </c>
      <c r="D5845" s="20" t="s">
        <v>253</v>
      </c>
      <c r="E5845" s="20" t="s">
        <v>2359</v>
      </c>
      <c r="F5845" s="20" t="s">
        <v>285</v>
      </c>
      <c r="G5845" s="20" t="s">
        <v>63</v>
      </c>
      <c r="H5845" s="20"/>
      <c r="I5845" s="20"/>
      <c r="J5845" s="20" t="s">
        <v>206</v>
      </c>
      <c r="K5845" s="20" t="s">
        <v>255</v>
      </c>
      <c r="L5845" s="20">
        <v>5130000</v>
      </c>
      <c r="M5845" s="20" t="s">
        <v>242</v>
      </c>
      <c r="N5845" s="20" t="s">
        <v>484</v>
      </c>
    </row>
    <row r="5846" spans="1:14" hidden="1" x14ac:dyDescent="0.25">
      <c r="A5846" s="19">
        <v>46113</v>
      </c>
      <c r="B5846" s="20" t="s">
        <v>120</v>
      </c>
      <c r="C5846" s="20">
        <v>62</v>
      </c>
      <c r="D5846" s="20" t="s">
        <v>253</v>
      </c>
      <c r="E5846" s="20" t="s">
        <v>2359</v>
      </c>
      <c r="F5846" s="20" t="s">
        <v>285</v>
      </c>
      <c r="G5846" s="20" t="s">
        <v>63</v>
      </c>
      <c r="H5846" s="20"/>
      <c r="I5846" s="20"/>
      <c r="J5846" s="20" t="s">
        <v>207</v>
      </c>
      <c r="K5846" s="20" t="s">
        <v>255</v>
      </c>
      <c r="L5846" s="20">
        <v>5170000</v>
      </c>
      <c r="M5846" s="20" t="s">
        <v>242</v>
      </c>
      <c r="N5846" s="20" t="s">
        <v>3587</v>
      </c>
    </row>
    <row r="5847" spans="1:14" hidden="1" x14ac:dyDescent="0.25">
      <c r="A5847" s="19">
        <v>46113</v>
      </c>
      <c r="B5847" s="20" t="s">
        <v>120</v>
      </c>
      <c r="C5847" s="20">
        <v>62</v>
      </c>
      <c r="D5847" s="20" t="s">
        <v>253</v>
      </c>
      <c r="E5847" s="20" t="s">
        <v>2359</v>
      </c>
      <c r="F5847" s="20" t="s">
        <v>285</v>
      </c>
      <c r="G5847" s="20" t="s">
        <v>63</v>
      </c>
      <c r="H5847" s="20"/>
      <c r="I5847" s="20"/>
      <c r="J5847" s="20" t="s">
        <v>208</v>
      </c>
      <c r="K5847" s="20" t="s">
        <v>255</v>
      </c>
      <c r="L5847" s="20">
        <v>5210000</v>
      </c>
      <c r="M5847" s="20" t="s">
        <v>242</v>
      </c>
      <c r="N5847" s="20" t="s">
        <v>3735</v>
      </c>
    </row>
    <row r="5848" spans="1:14" hidden="1" x14ac:dyDescent="0.25">
      <c r="A5848" s="19">
        <v>46113</v>
      </c>
      <c r="B5848" s="20" t="s">
        <v>120</v>
      </c>
      <c r="C5848" s="20">
        <v>62</v>
      </c>
      <c r="D5848" s="20" t="s">
        <v>247</v>
      </c>
      <c r="E5848" s="20" t="s">
        <v>2554</v>
      </c>
      <c r="F5848" s="20" t="s">
        <v>2555</v>
      </c>
      <c r="G5848" s="20" t="s">
        <v>63</v>
      </c>
      <c r="H5848" s="20" t="s">
        <v>286</v>
      </c>
      <c r="I5848" s="20"/>
      <c r="J5848" s="20" t="s">
        <v>208</v>
      </c>
      <c r="K5848" s="20" t="s">
        <v>250</v>
      </c>
      <c r="L5848" s="20">
        <v>0.7</v>
      </c>
      <c r="M5848" s="20" t="s">
        <v>251</v>
      </c>
      <c r="N5848" s="20" t="s">
        <v>810</v>
      </c>
    </row>
    <row r="5849" spans="1:14" hidden="1" x14ac:dyDescent="0.25">
      <c r="A5849" s="19">
        <v>46113</v>
      </c>
      <c r="B5849" s="20" t="s">
        <v>120</v>
      </c>
      <c r="C5849" s="20">
        <v>63</v>
      </c>
      <c r="D5849" s="20" t="s">
        <v>291</v>
      </c>
      <c r="E5849" s="20" t="s">
        <v>2361</v>
      </c>
      <c r="F5849" s="20" t="s">
        <v>285</v>
      </c>
      <c r="G5849" s="20" t="s">
        <v>63</v>
      </c>
      <c r="H5849" s="20" t="s">
        <v>122</v>
      </c>
      <c r="I5849" s="20"/>
      <c r="J5849" s="20" t="s">
        <v>208</v>
      </c>
      <c r="K5849" s="20" t="s">
        <v>250</v>
      </c>
      <c r="L5849" s="20">
        <v>5170000</v>
      </c>
      <c r="M5849" s="20" t="s">
        <v>242</v>
      </c>
      <c r="N5849" s="20" t="s">
        <v>3482</v>
      </c>
    </row>
    <row r="5850" spans="1:14" hidden="1" x14ac:dyDescent="0.25">
      <c r="A5850" s="19">
        <v>46113</v>
      </c>
      <c r="B5850" s="20" t="s">
        <v>120</v>
      </c>
      <c r="C5850" s="20">
        <v>63</v>
      </c>
      <c r="D5850" s="20" t="s">
        <v>291</v>
      </c>
      <c r="E5850" s="20" t="s">
        <v>2361</v>
      </c>
      <c r="F5850" s="20" t="s">
        <v>285</v>
      </c>
      <c r="G5850" s="20" t="s">
        <v>63</v>
      </c>
      <c r="H5850" s="20" t="s">
        <v>123</v>
      </c>
      <c r="I5850" s="20"/>
      <c r="J5850" s="20" t="s">
        <v>208</v>
      </c>
      <c r="K5850" s="20" t="s">
        <v>250</v>
      </c>
      <c r="L5850" s="20">
        <v>37200</v>
      </c>
      <c r="M5850" s="20" t="s">
        <v>242</v>
      </c>
      <c r="N5850" s="20" t="s">
        <v>3736</v>
      </c>
    </row>
    <row r="5851" spans="1:14" hidden="1" x14ac:dyDescent="0.25">
      <c r="A5851" s="19">
        <v>46113</v>
      </c>
      <c r="B5851" s="20" t="s">
        <v>120</v>
      </c>
      <c r="C5851" s="20">
        <v>63</v>
      </c>
      <c r="D5851" s="20" t="s">
        <v>238</v>
      </c>
      <c r="E5851" s="20" t="s">
        <v>2341</v>
      </c>
      <c r="F5851" s="20" t="s">
        <v>376</v>
      </c>
      <c r="G5851" s="20" t="s">
        <v>63</v>
      </c>
      <c r="H5851" s="20"/>
      <c r="I5851" s="20"/>
      <c r="J5851" s="20" t="s">
        <v>208</v>
      </c>
      <c r="K5851" s="20" t="s">
        <v>250</v>
      </c>
      <c r="L5851" s="20">
        <v>5210000</v>
      </c>
      <c r="M5851" s="20" t="s">
        <v>242</v>
      </c>
      <c r="N5851" s="20" t="s">
        <v>3630</v>
      </c>
    </row>
    <row r="5852" spans="1:14" hidden="1" x14ac:dyDescent="0.25">
      <c r="A5852" s="19">
        <v>46113</v>
      </c>
      <c r="B5852" s="20" t="s">
        <v>120</v>
      </c>
      <c r="C5852" s="20">
        <v>64</v>
      </c>
      <c r="D5852" s="20" t="s">
        <v>238</v>
      </c>
      <c r="E5852" s="20" t="s">
        <v>2341</v>
      </c>
      <c r="F5852" s="20" t="s">
        <v>378</v>
      </c>
      <c r="G5852" s="20" t="s">
        <v>379</v>
      </c>
      <c r="H5852" s="20"/>
      <c r="I5852" s="20"/>
      <c r="J5852" s="20" t="s">
        <v>208</v>
      </c>
      <c r="K5852" s="20" t="s">
        <v>250</v>
      </c>
      <c r="L5852" s="20">
        <v>716</v>
      </c>
      <c r="M5852" s="20" t="s">
        <v>242</v>
      </c>
      <c r="N5852" s="20" t="s">
        <v>3631</v>
      </c>
    </row>
    <row r="5853" spans="1:14" hidden="1" x14ac:dyDescent="0.25">
      <c r="A5853" s="19">
        <v>46113</v>
      </c>
      <c r="B5853" s="20" t="s">
        <v>120</v>
      </c>
      <c r="C5853" s="20">
        <v>64</v>
      </c>
      <c r="D5853" s="20" t="s">
        <v>238</v>
      </c>
      <c r="E5853" s="20" t="s">
        <v>2341</v>
      </c>
      <c r="F5853" s="20" t="s">
        <v>381</v>
      </c>
      <c r="G5853" s="20" t="s">
        <v>382</v>
      </c>
      <c r="H5853" s="20"/>
      <c r="I5853" s="20"/>
      <c r="J5853" s="20" t="s">
        <v>208</v>
      </c>
      <c r="K5853" s="20" t="s">
        <v>250</v>
      </c>
      <c r="L5853" s="20">
        <v>2507</v>
      </c>
      <c r="M5853" s="20" t="s">
        <v>242</v>
      </c>
      <c r="N5853" s="20" t="s">
        <v>3632</v>
      </c>
    </row>
    <row r="5854" spans="1:14" hidden="1" x14ac:dyDescent="0.25">
      <c r="A5854" s="19">
        <v>46113</v>
      </c>
      <c r="B5854" s="20" t="s">
        <v>120</v>
      </c>
      <c r="C5854" s="20">
        <v>65</v>
      </c>
      <c r="D5854" s="20" t="s">
        <v>253</v>
      </c>
      <c r="E5854" s="20" t="s">
        <v>2359</v>
      </c>
      <c r="F5854" s="20" t="s">
        <v>240</v>
      </c>
      <c r="G5854" s="20" t="s">
        <v>82</v>
      </c>
      <c r="H5854" s="20"/>
      <c r="I5854" s="20"/>
      <c r="J5854" s="20" t="s">
        <v>206</v>
      </c>
      <c r="K5854" s="20" t="s">
        <v>255</v>
      </c>
      <c r="L5854" s="20">
        <v>6580000</v>
      </c>
      <c r="M5854" s="20" t="s">
        <v>242</v>
      </c>
      <c r="N5854" s="20" t="s">
        <v>2232</v>
      </c>
    </row>
    <row r="5855" spans="1:14" hidden="1" x14ac:dyDescent="0.25">
      <c r="A5855" s="19">
        <v>46113</v>
      </c>
      <c r="B5855" s="20" t="s">
        <v>120</v>
      </c>
      <c r="C5855" s="20">
        <v>65</v>
      </c>
      <c r="D5855" s="20" t="s">
        <v>253</v>
      </c>
      <c r="E5855" s="20" t="s">
        <v>2359</v>
      </c>
      <c r="F5855" s="20" t="s">
        <v>240</v>
      </c>
      <c r="G5855" s="20" t="s">
        <v>82</v>
      </c>
      <c r="H5855" s="20"/>
      <c r="I5855" s="20"/>
      <c r="J5855" s="20" t="s">
        <v>207</v>
      </c>
      <c r="K5855" s="20" t="s">
        <v>255</v>
      </c>
      <c r="L5855" s="20">
        <v>7360000</v>
      </c>
      <c r="M5855" s="20" t="s">
        <v>242</v>
      </c>
      <c r="N5855" s="20" t="s">
        <v>3589</v>
      </c>
    </row>
    <row r="5856" spans="1:14" hidden="1" x14ac:dyDescent="0.25">
      <c r="A5856" s="19">
        <v>46113</v>
      </c>
      <c r="B5856" s="20" t="s">
        <v>120</v>
      </c>
      <c r="C5856" s="20">
        <v>65</v>
      </c>
      <c r="D5856" s="20" t="s">
        <v>253</v>
      </c>
      <c r="E5856" s="20" t="s">
        <v>2359</v>
      </c>
      <c r="F5856" s="20" t="s">
        <v>240</v>
      </c>
      <c r="G5856" s="20" t="s">
        <v>82</v>
      </c>
      <c r="H5856" s="20"/>
      <c r="I5856" s="20"/>
      <c r="J5856" s="20" t="s">
        <v>208</v>
      </c>
      <c r="K5856" s="20" t="s">
        <v>255</v>
      </c>
      <c r="L5856" s="20">
        <v>6590000</v>
      </c>
      <c r="M5856" s="20" t="s">
        <v>242</v>
      </c>
      <c r="N5856" s="20" t="s">
        <v>3737</v>
      </c>
    </row>
    <row r="5857" spans="1:14" hidden="1" x14ac:dyDescent="0.25">
      <c r="A5857" s="19">
        <v>46113</v>
      </c>
      <c r="B5857" s="20" t="s">
        <v>120</v>
      </c>
      <c r="C5857" s="20">
        <v>65</v>
      </c>
      <c r="D5857" s="20" t="s">
        <v>247</v>
      </c>
      <c r="E5857" s="20" t="s">
        <v>2554</v>
      </c>
      <c r="F5857" s="20" t="s">
        <v>2559</v>
      </c>
      <c r="G5857" s="20" t="s">
        <v>82</v>
      </c>
      <c r="H5857" s="20" t="s">
        <v>249</v>
      </c>
      <c r="I5857" s="20"/>
      <c r="J5857" s="20" t="s">
        <v>208</v>
      </c>
      <c r="K5857" s="20" t="s">
        <v>250</v>
      </c>
      <c r="L5857" s="20">
        <v>10.4</v>
      </c>
      <c r="M5857" s="20" t="s">
        <v>251</v>
      </c>
      <c r="N5857" s="20" t="s">
        <v>1493</v>
      </c>
    </row>
    <row r="5858" spans="1:14" hidden="1" x14ac:dyDescent="0.25">
      <c r="A5858" s="19">
        <v>46113</v>
      </c>
      <c r="B5858" s="20" t="s">
        <v>120</v>
      </c>
      <c r="C5858" s="20">
        <v>66</v>
      </c>
      <c r="D5858" s="20" t="s">
        <v>291</v>
      </c>
      <c r="E5858" s="20" t="s">
        <v>2361</v>
      </c>
      <c r="F5858" s="20" t="s">
        <v>2502</v>
      </c>
      <c r="G5858" s="20" t="s">
        <v>82</v>
      </c>
      <c r="H5858" s="20" t="s">
        <v>131</v>
      </c>
      <c r="I5858" s="20"/>
      <c r="J5858" s="20" t="s">
        <v>208</v>
      </c>
      <c r="K5858" s="20" t="s">
        <v>250</v>
      </c>
      <c r="L5858" s="20">
        <v>29000</v>
      </c>
      <c r="M5858" s="20" t="s">
        <v>242</v>
      </c>
      <c r="N5858" s="20" t="s">
        <v>779</v>
      </c>
    </row>
    <row r="5859" spans="1:14" hidden="1" x14ac:dyDescent="0.25">
      <c r="A5859" s="19">
        <v>46113</v>
      </c>
      <c r="B5859" s="20" t="s">
        <v>120</v>
      </c>
      <c r="C5859" s="20">
        <v>66</v>
      </c>
      <c r="D5859" s="20" t="s">
        <v>291</v>
      </c>
      <c r="E5859" s="20" t="s">
        <v>2361</v>
      </c>
      <c r="F5859" s="20" t="s">
        <v>2502</v>
      </c>
      <c r="G5859" s="20" t="s">
        <v>82</v>
      </c>
      <c r="H5859" s="20" t="s">
        <v>128</v>
      </c>
      <c r="I5859" s="20"/>
      <c r="J5859" s="20" t="s">
        <v>208</v>
      </c>
      <c r="K5859" s="20" t="s">
        <v>250</v>
      </c>
      <c r="L5859" s="20">
        <v>36000</v>
      </c>
      <c r="M5859" s="20" t="s">
        <v>242</v>
      </c>
      <c r="N5859" s="20" t="s">
        <v>1854</v>
      </c>
    </row>
    <row r="5860" spans="1:14" hidden="1" x14ac:dyDescent="0.25">
      <c r="A5860" s="19">
        <v>46113</v>
      </c>
      <c r="B5860" s="20" t="s">
        <v>120</v>
      </c>
      <c r="C5860" s="20">
        <v>66</v>
      </c>
      <c r="D5860" s="20" t="s">
        <v>291</v>
      </c>
      <c r="E5860" s="20" t="s">
        <v>2361</v>
      </c>
      <c r="F5860" s="20" t="s">
        <v>2502</v>
      </c>
      <c r="G5860" s="20" t="s">
        <v>82</v>
      </c>
      <c r="H5860" s="20" t="s">
        <v>125</v>
      </c>
      <c r="I5860" s="20"/>
      <c r="J5860" s="20" t="s">
        <v>208</v>
      </c>
      <c r="K5860" s="20" t="s">
        <v>250</v>
      </c>
      <c r="L5860" s="20">
        <v>38000</v>
      </c>
      <c r="M5860" s="20" t="s">
        <v>242</v>
      </c>
      <c r="N5860" s="20" t="s">
        <v>3084</v>
      </c>
    </row>
    <row r="5861" spans="1:14" hidden="1" x14ac:dyDescent="0.25">
      <c r="A5861" s="19">
        <v>46113</v>
      </c>
      <c r="B5861" s="20" t="s">
        <v>120</v>
      </c>
      <c r="C5861" s="20">
        <v>66</v>
      </c>
      <c r="D5861" s="20" t="s">
        <v>291</v>
      </c>
      <c r="E5861" s="20" t="s">
        <v>2361</v>
      </c>
      <c r="F5861" s="20" t="s">
        <v>2502</v>
      </c>
      <c r="G5861" s="20" t="s">
        <v>82</v>
      </c>
      <c r="H5861" s="20" t="s">
        <v>132</v>
      </c>
      <c r="I5861" s="20"/>
      <c r="J5861" s="20" t="s">
        <v>208</v>
      </c>
      <c r="K5861" s="20" t="s">
        <v>250</v>
      </c>
      <c r="L5861" s="20">
        <v>52000</v>
      </c>
      <c r="M5861" s="20" t="s">
        <v>242</v>
      </c>
      <c r="N5861" s="20" t="s">
        <v>3738</v>
      </c>
    </row>
    <row r="5862" spans="1:14" hidden="1" x14ac:dyDescent="0.25">
      <c r="A5862" s="19">
        <v>46113</v>
      </c>
      <c r="B5862" s="20" t="s">
        <v>120</v>
      </c>
      <c r="C5862" s="20">
        <v>66</v>
      </c>
      <c r="D5862" s="20" t="s">
        <v>291</v>
      </c>
      <c r="E5862" s="20" t="s">
        <v>2361</v>
      </c>
      <c r="F5862" s="20" t="s">
        <v>2502</v>
      </c>
      <c r="G5862" s="20" t="s">
        <v>82</v>
      </c>
      <c r="H5862" s="20" t="s">
        <v>126</v>
      </c>
      <c r="I5862" s="20"/>
      <c r="J5862" s="20" t="s">
        <v>208</v>
      </c>
      <c r="K5862" s="20" t="s">
        <v>250</v>
      </c>
      <c r="L5862" s="20">
        <v>76000</v>
      </c>
      <c r="M5862" s="20" t="s">
        <v>242</v>
      </c>
      <c r="N5862" s="20" t="s">
        <v>3739</v>
      </c>
    </row>
    <row r="5863" spans="1:14" hidden="1" x14ac:dyDescent="0.25">
      <c r="A5863" s="19">
        <v>46113</v>
      </c>
      <c r="B5863" s="20" t="s">
        <v>120</v>
      </c>
      <c r="C5863" s="20">
        <v>66</v>
      </c>
      <c r="D5863" s="20" t="s">
        <v>291</v>
      </c>
      <c r="E5863" s="20" t="s">
        <v>2361</v>
      </c>
      <c r="F5863" s="20" t="s">
        <v>2502</v>
      </c>
      <c r="G5863" s="20" t="s">
        <v>82</v>
      </c>
      <c r="H5863" s="20" t="s">
        <v>127</v>
      </c>
      <c r="I5863" s="20"/>
      <c r="J5863" s="20" t="s">
        <v>208</v>
      </c>
      <c r="K5863" s="20" t="s">
        <v>250</v>
      </c>
      <c r="L5863" s="20">
        <v>305000</v>
      </c>
      <c r="M5863" s="20" t="s">
        <v>242</v>
      </c>
      <c r="N5863" s="20" t="s">
        <v>2506</v>
      </c>
    </row>
    <row r="5864" spans="1:14" hidden="1" x14ac:dyDescent="0.25">
      <c r="A5864" s="19">
        <v>46113</v>
      </c>
      <c r="B5864" s="20" t="s">
        <v>120</v>
      </c>
      <c r="C5864" s="20">
        <v>66</v>
      </c>
      <c r="D5864" s="20" t="s">
        <v>291</v>
      </c>
      <c r="E5864" s="20" t="s">
        <v>2361</v>
      </c>
      <c r="F5864" s="20" t="s">
        <v>2502</v>
      </c>
      <c r="G5864" s="20" t="s">
        <v>82</v>
      </c>
      <c r="H5864" s="20" t="s">
        <v>133</v>
      </c>
      <c r="I5864" s="20"/>
      <c r="J5864" s="20" t="s">
        <v>208</v>
      </c>
      <c r="K5864" s="20" t="s">
        <v>250</v>
      </c>
      <c r="L5864" s="20">
        <v>538000</v>
      </c>
      <c r="M5864" s="20" t="s">
        <v>242</v>
      </c>
      <c r="N5864" s="20" t="s">
        <v>3740</v>
      </c>
    </row>
    <row r="5865" spans="1:14" hidden="1" x14ac:dyDescent="0.25">
      <c r="A5865" s="19">
        <v>46113</v>
      </c>
      <c r="B5865" s="20" t="s">
        <v>120</v>
      </c>
      <c r="C5865" s="20">
        <v>66</v>
      </c>
      <c r="D5865" s="20" t="s">
        <v>291</v>
      </c>
      <c r="E5865" s="20" t="s">
        <v>2361</v>
      </c>
      <c r="F5865" s="20" t="s">
        <v>2502</v>
      </c>
      <c r="G5865" s="20" t="s">
        <v>82</v>
      </c>
      <c r="H5865" s="20" t="s">
        <v>129</v>
      </c>
      <c r="I5865" s="20"/>
      <c r="J5865" s="20" t="s">
        <v>208</v>
      </c>
      <c r="K5865" s="20" t="s">
        <v>250</v>
      </c>
      <c r="L5865" s="20">
        <v>1520000</v>
      </c>
      <c r="M5865" s="20" t="s">
        <v>242</v>
      </c>
      <c r="N5865" s="20" t="s">
        <v>3448</v>
      </c>
    </row>
    <row r="5866" spans="1:14" hidden="1" x14ac:dyDescent="0.25">
      <c r="A5866" s="19">
        <v>46113</v>
      </c>
      <c r="B5866" s="20" t="s">
        <v>120</v>
      </c>
      <c r="C5866" s="20">
        <v>66</v>
      </c>
      <c r="D5866" s="20" t="s">
        <v>291</v>
      </c>
      <c r="E5866" s="20" t="s">
        <v>2361</v>
      </c>
      <c r="F5866" s="20" t="s">
        <v>2502</v>
      </c>
      <c r="G5866" s="20" t="s">
        <v>82</v>
      </c>
      <c r="H5866" s="20" t="s">
        <v>134</v>
      </c>
      <c r="I5866" s="20"/>
      <c r="J5866" s="20" t="s">
        <v>208</v>
      </c>
      <c r="K5866" s="20" t="s">
        <v>250</v>
      </c>
      <c r="L5866" s="20">
        <v>1850000</v>
      </c>
      <c r="M5866" s="20" t="s">
        <v>242</v>
      </c>
      <c r="N5866" s="20" t="s">
        <v>1994</v>
      </c>
    </row>
    <row r="5867" spans="1:14" hidden="1" x14ac:dyDescent="0.25">
      <c r="A5867" s="19">
        <v>46113</v>
      </c>
      <c r="B5867" s="20" t="s">
        <v>120</v>
      </c>
      <c r="C5867" s="20">
        <v>66</v>
      </c>
      <c r="D5867" s="20" t="s">
        <v>291</v>
      </c>
      <c r="E5867" s="20" t="s">
        <v>2361</v>
      </c>
      <c r="F5867" s="20" t="s">
        <v>2502</v>
      </c>
      <c r="G5867" s="20" t="s">
        <v>82</v>
      </c>
      <c r="H5867" s="20" t="s">
        <v>130</v>
      </c>
      <c r="I5867" s="20"/>
      <c r="J5867" s="20" t="s">
        <v>208</v>
      </c>
      <c r="K5867" s="20" t="s">
        <v>250</v>
      </c>
      <c r="L5867" s="20">
        <v>2070000</v>
      </c>
      <c r="M5867" s="20" t="s">
        <v>242</v>
      </c>
      <c r="N5867" s="20" t="s">
        <v>2041</v>
      </c>
    </row>
    <row r="5868" spans="1:14" hidden="1" x14ac:dyDescent="0.25">
      <c r="A5868" s="19">
        <v>46113</v>
      </c>
      <c r="B5868" s="20" t="s">
        <v>120</v>
      </c>
      <c r="C5868" s="20">
        <v>67</v>
      </c>
      <c r="D5868" s="20" t="s">
        <v>291</v>
      </c>
      <c r="E5868" s="20" t="s">
        <v>2361</v>
      </c>
      <c r="F5868" s="20" t="s">
        <v>2510</v>
      </c>
      <c r="G5868" s="20" t="s">
        <v>82</v>
      </c>
      <c r="H5868" s="20" t="s">
        <v>138</v>
      </c>
      <c r="I5868" s="20"/>
      <c r="J5868" s="20" t="s">
        <v>208</v>
      </c>
      <c r="K5868" s="20" t="s">
        <v>250</v>
      </c>
      <c r="L5868" s="20">
        <v>5400000</v>
      </c>
      <c r="M5868" s="20" t="s">
        <v>242</v>
      </c>
      <c r="N5868" s="20" t="s">
        <v>3741</v>
      </c>
    </row>
    <row r="5869" spans="1:14" hidden="1" x14ac:dyDescent="0.25">
      <c r="A5869" s="19">
        <v>46113</v>
      </c>
      <c r="B5869" s="20" t="s">
        <v>120</v>
      </c>
      <c r="C5869" s="20">
        <v>67</v>
      </c>
      <c r="D5869" s="20" t="s">
        <v>291</v>
      </c>
      <c r="E5869" s="20" t="s">
        <v>2361</v>
      </c>
      <c r="F5869" s="20" t="s">
        <v>2510</v>
      </c>
      <c r="G5869" s="20" t="s">
        <v>82</v>
      </c>
      <c r="H5869" s="20" t="s">
        <v>137</v>
      </c>
      <c r="I5869" s="20"/>
      <c r="J5869" s="20" t="s">
        <v>208</v>
      </c>
      <c r="K5869" s="20" t="s">
        <v>250</v>
      </c>
      <c r="L5869" s="20">
        <v>1200000</v>
      </c>
      <c r="M5869" s="20" t="s">
        <v>242</v>
      </c>
      <c r="N5869" s="20" t="s">
        <v>2239</v>
      </c>
    </row>
    <row r="5870" spans="1:14" hidden="1" x14ac:dyDescent="0.25">
      <c r="A5870" s="19">
        <v>46113</v>
      </c>
      <c r="B5870" s="20" t="s">
        <v>120</v>
      </c>
      <c r="C5870" s="20">
        <v>68</v>
      </c>
      <c r="D5870" s="20" t="s">
        <v>253</v>
      </c>
      <c r="E5870" s="20" t="s">
        <v>2359</v>
      </c>
      <c r="F5870" s="20" t="s">
        <v>244</v>
      </c>
      <c r="G5870" s="20" t="s">
        <v>82</v>
      </c>
      <c r="H5870" s="20"/>
      <c r="I5870" s="20"/>
      <c r="J5870" s="20" t="s">
        <v>206</v>
      </c>
      <c r="K5870" s="20" t="s">
        <v>255</v>
      </c>
      <c r="L5870" s="20">
        <v>1240000000</v>
      </c>
      <c r="M5870" s="20" t="s">
        <v>245</v>
      </c>
      <c r="N5870" s="20" t="s">
        <v>400</v>
      </c>
    </row>
    <row r="5871" spans="1:14" hidden="1" x14ac:dyDescent="0.25">
      <c r="A5871" s="19">
        <v>46113</v>
      </c>
      <c r="B5871" s="20" t="s">
        <v>120</v>
      </c>
      <c r="C5871" s="20">
        <v>68</v>
      </c>
      <c r="D5871" s="20" t="s">
        <v>253</v>
      </c>
      <c r="E5871" s="20" t="s">
        <v>2359</v>
      </c>
      <c r="F5871" s="20" t="s">
        <v>244</v>
      </c>
      <c r="G5871" s="20" t="s">
        <v>82</v>
      </c>
      <c r="H5871" s="20"/>
      <c r="I5871" s="20"/>
      <c r="J5871" s="20" t="s">
        <v>207</v>
      </c>
      <c r="K5871" s="20" t="s">
        <v>255</v>
      </c>
      <c r="L5871" s="20">
        <v>1260000000</v>
      </c>
      <c r="M5871" s="20" t="s">
        <v>245</v>
      </c>
      <c r="N5871" s="20" t="s">
        <v>3597</v>
      </c>
    </row>
    <row r="5872" spans="1:14" hidden="1" x14ac:dyDescent="0.25">
      <c r="A5872" s="19">
        <v>46113</v>
      </c>
      <c r="B5872" s="20" t="s">
        <v>120</v>
      </c>
      <c r="C5872" s="20">
        <v>68</v>
      </c>
      <c r="D5872" s="20" t="s">
        <v>253</v>
      </c>
      <c r="E5872" s="20" t="s">
        <v>2359</v>
      </c>
      <c r="F5872" s="20" t="s">
        <v>244</v>
      </c>
      <c r="G5872" s="20" t="s">
        <v>82</v>
      </c>
      <c r="H5872" s="20"/>
      <c r="I5872" s="20"/>
      <c r="J5872" s="20" t="s">
        <v>208</v>
      </c>
      <c r="K5872" s="20" t="s">
        <v>255</v>
      </c>
      <c r="L5872" s="20">
        <v>1430000000</v>
      </c>
      <c r="M5872" s="20" t="s">
        <v>245</v>
      </c>
      <c r="N5872" s="20" t="s">
        <v>3742</v>
      </c>
    </row>
    <row r="5873" spans="1:14" hidden="1" x14ac:dyDescent="0.25">
      <c r="A5873" s="19">
        <v>46113</v>
      </c>
      <c r="B5873" s="20" t="s">
        <v>120</v>
      </c>
      <c r="C5873" s="20">
        <v>68</v>
      </c>
      <c r="D5873" s="20" t="s">
        <v>247</v>
      </c>
      <c r="E5873" s="20" t="s">
        <v>2554</v>
      </c>
      <c r="F5873" s="20" t="s">
        <v>2557</v>
      </c>
      <c r="G5873" s="20" t="s">
        <v>82</v>
      </c>
      <c r="H5873" s="20" t="s">
        <v>286</v>
      </c>
      <c r="I5873" s="20"/>
      <c r="J5873" s="20" t="s">
        <v>208</v>
      </c>
      <c r="K5873" s="20" t="s">
        <v>250</v>
      </c>
      <c r="L5873" s="20">
        <v>13.7</v>
      </c>
      <c r="M5873" s="20" t="s">
        <v>251</v>
      </c>
      <c r="N5873" s="20" t="s">
        <v>3155</v>
      </c>
    </row>
    <row r="5874" spans="1:14" hidden="1" x14ac:dyDescent="0.25">
      <c r="A5874" s="19">
        <v>46113</v>
      </c>
      <c r="B5874" s="20" t="s">
        <v>120</v>
      </c>
      <c r="C5874" s="20">
        <v>69</v>
      </c>
      <c r="D5874" s="20" t="s">
        <v>291</v>
      </c>
      <c r="E5874" s="20" t="s">
        <v>2361</v>
      </c>
      <c r="F5874" s="20" t="s">
        <v>2514</v>
      </c>
      <c r="G5874" s="20" t="s">
        <v>82</v>
      </c>
      <c r="H5874" s="20" t="s">
        <v>132</v>
      </c>
      <c r="I5874" s="20"/>
      <c r="J5874" s="20" t="s">
        <v>208</v>
      </c>
      <c r="K5874" s="20" t="s">
        <v>250</v>
      </c>
      <c r="L5874" s="20">
        <v>7000000</v>
      </c>
      <c r="M5874" s="20" t="s">
        <v>245</v>
      </c>
      <c r="N5874" s="20" t="s">
        <v>2515</v>
      </c>
    </row>
    <row r="5875" spans="1:14" hidden="1" x14ac:dyDescent="0.25">
      <c r="A5875" s="19">
        <v>46113</v>
      </c>
      <c r="B5875" s="20" t="s">
        <v>120</v>
      </c>
      <c r="C5875" s="20">
        <v>69</v>
      </c>
      <c r="D5875" s="20" t="s">
        <v>291</v>
      </c>
      <c r="E5875" s="20" t="s">
        <v>2361</v>
      </c>
      <c r="F5875" s="20" t="s">
        <v>2514</v>
      </c>
      <c r="G5875" s="20" t="s">
        <v>82</v>
      </c>
      <c r="H5875" s="20" t="s">
        <v>126</v>
      </c>
      <c r="I5875" s="20"/>
      <c r="J5875" s="20" t="s">
        <v>208</v>
      </c>
      <c r="K5875" s="20" t="s">
        <v>250</v>
      </c>
      <c r="L5875" s="20">
        <v>11000000</v>
      </c>
      <c r="M5875" s="20" t="s">
        <v>245</v>
      </c>
      <c r="N5875" s="20" t="s">
        <v>3450</v>
      </c>
    </row>
    <row r="5876" spans="1:14" hidden="1" x14ac:dyDescent="0.25">
      <c r="A5876" s="19">
        <v>46113</v>
      </c>
      <c r="B5876" s="20" t="s">
        <v>120</v>
      </c>
      <c r="C5876" s="20">
        <v>69</v>
      </c>
      <c r="D5876" s="20" t="s">
        <v>291</v>
      </c>
      <c r="E5876" s="20" t="s">
        <v>2361</v>
      </c>
      <c r="F5876" s="20" t="s">
        <v>2514</v>
      </c>
      <c r="G5876" s="20" t="s">
        <v>82</v>
      </c>
      <c r="H5876" s="20" t="s">
        <v>131</v>
      </c>
      <c r="I5876" s="20"/>
      <c r="J5876" s="20" t="s">
        <v>208</v>
      </c>
      <c r="K5876" s="20" t="s">
        <v>250</v>
      </c>
      <c r="L5876" s="20">
        <v>11000000</v>
      </c>
      <c r="M5876" s="20" t="s">
        <v>245</v>
      </c>
      <c r="N5876" s="20" t="s">
        <v>3450</v>
      </c>
    </row>
    <row r="5877" spans="1:14" hidden="1" x14ac:dyDescent="0.25">
      <c r="A5877" s="19">
        <v>46113</v>
      </c>
      <c r="B5877" s="20" t="s">
        <v>120</v>
      </c>
      <c r="C5877" s="20">
        <v>69</v>
      </c>
      <c r="D5877" s="20" t="s">
        <v>291</v>
      </c>
      <c r="E5877" s="20" t="s">
        <v>2361</v>
      </c>
      <c r="F5877" s="20" t="s">
        <v>2514</v>
      </c>
      <c r="G5877" s="20" t="s">
        <v>82</v>
      </c>
      <c r="H5877" s="20" t="s">
        <v>128</v>
      </c>
      <c r="I5877" s="20"/>
      <c r="J5877" s="20" t="s">
        <v>208</v>
      </c>
      <c r="K5877" s="20" t="s">
        <v>250</v>
      </c>
      <c r="L5877" s="20">
        <v>13000000</v>
      </c>
      <c r="M5877" s="20" t="s">
        <v>245</v>
      </c>
      <c r="N5877" s="20" t="s">
        <v>2517</v>
      </c>
    </row>
    <row r="5878" spans="1:14" hidden="1" x14ac:dyDescent="0.25">
      <c r="A5878" s="19">
        <v>46113</v>
      </c>
      <c r="B5878" s="20" t="s">
        <v>120</v>
      </c>
      <c r="C5878" s="20">
        <v>69</v>
      </c>
      <c r="D5878" s="20" t="s">
        <v>291</v>
      </c>
      <c r="E5878" s="20" t="s">
        <v>2361</v>
      </c>
      <c r="F5878" s="20" t="s">
        <v>2514</v>
      </c>
      <c r="G5878" s="20" t="s">
        <v>82</v>
      </c>
      <c r="H5878" s="20" t="s">
        <v>140</v>
      </c>
      <c r="I5878" s="20"/>
      <c r="J5878" s="20" t="s">
        <v>208</v>
      </c>
      <c r="K5878" s="20" t="s">
        <v>250</v>
      </c>
      <c r="L5878" s="20">
        <v>17000000</v>
      </c>
      <c r="M5878" s="20" t="s">
        <v>245</v>
      </c>
      <c r="N5878" s="20" t="s">
        <v>2696</v>
      </c>
    </row>
    <row r="5879" spans="1:14" hidden="1" x14ac:dyDescent="0.25">
      <c r="A5879" s="19">
        <v>46113</v>
      </c>
      <c r="B5879" s="20" t="s">
        <v>120</v>
      </c>
      <c r="C5879" s="20">
        <v>69</v>
      </c>
      <c r="D5879" s="20" t="s">
        <v>291</v>
      </c>
      <c r="E5879" s="20" t="s">
        <v>2361</v>
      </c>
      <c r="F5879" s="20" t="s">
        <v>2514</v>
      </c>
      <c r="G5879" s="20" t="s">
        <v>82</v>
      </c>
      <c r="H5879" s="20" t="s">
        <v>130</v>
      </c>
      <c r="I5879" s="20"/>
      <c r="J5879" s="20" t="s">
        <v>208</v>
      </c>
      <c r="K5879" s="20" t="s">
        <v>250</v>
      </c>
      <c r="L5879" s="20">
        <v>34000000</v>
      </c>
      <c r="M5879" s="20" t="s">
        <v>245</v>
      </c>
      <c r="N5879" s="20" t="s">
        <v>2518</v>
      </c>
    </row>
    <row r="5880" spans="1:14" hidden="1" x14ac:dyDescent="0.25">
      <c r="A5880" s="19">
        <v>46113</v>
      </c>
      <c r="B5880" s="20" t="s">
        <v>120</v>
      </c>
      <c r="C5880" s="20">
        <v>69</v>
      </c>
      <c r="D5880" s="20" t="s">
        <v>291</v>
      </c>
      <c r="E5880" s="20" t="s">
        <v>2361</v>
      </c>
      <c r="F5880" s="20" t="s">
        <v>2514</v>
      </c>
      <c r="G5880" s="20" t="s">
        <v>82</v>
      </c>
      <c r="H5880" s="20" t="s">
        <v>127</v>
      </c>
      <c r="I5880" s="20"/>
      <c r="J5880" s="20" t="s">
        <v>208</v>
      </c>
      <c r="K5880" s="20" t="s">
        <v>250</v>
      </c>
      <c r="L5880" s="20">
        <v>58000000</v>
      </c>
      <c r="M5880" s="20" t="s">
        <v>245</v>
      </c>
      <c r="N5880" s="20" t="s">
        <v>2855</v>
      </c>
    </row>
    <row r="5881" spans="1:14" hidden="1" x14ac:dyDescent="0.25">
      <c r="A5881" s="19">
        <v>46113</v>
      </c>
      <c r="B5881" s="20" t="s">
        <v>120</v>
      </c>
      <c r="C5881" s="20">
        <v>69</v>
      </c>
      <c r="D5881" s="20" t="s">
        <v>291</v>
      </c>
      <c r="E5881" s="20" t="s">
        <v>2361</v>
      </c>
      <c r="F5881" s="20" t="s">
        <v>2514</v>
      </c>
      <c r="G5881" s="20" t="s">
        <v>82</v>
      </c>
      <c r="H5881" s="20" t="s">
        <v>134</v>
      </c>
      <c r="I5881" s="20"/>
      <c r="J5881" s="20" t="s">
        <v>208</v>
      </c>
      <c r="K5881" s="20" t="s">
        <v>250</v>
      </c>
      <c r="L5881" s="20">
        <v>78000000</v>
      </c>
      <c r="M5881" s="20" t="s">
        <v>245</v>
      </c>
      <c r="N5881" s="20" t="s">
        <v>3743</v>
      </c>
    </row>
    <row r="5882" spans="1:14" hidden="1" x14ac:dyDescent="0.25">
      <c r="A5882" s="19">
        <v>46113</v>
      </c>
      <c r="B5882" s="20" t="s">
        <v>120</v>
      </c>
      <c r="C5882" s="20">
        <v>69</v>
      </c>
      <c r="D5882" s="20" t="s">
        <v>291</v>
      </c>
      <c r="E5882" s="20" t="s">
        <v>2361</v>
      </c>
      <c r="F5882" s="20" t="s">
        <v>2514</v>
      </c>
      <c r="G5882" s="20" t="s">
        <v>82</v>
      </c>
      <c r="H5882" s="20" t="s">
        <v>133</v>
      </c>
      <c r="I5882" s="20"/>
      <c r="J5882" s="20" t="s">
        <v>208</v>
      </c>
      <c r="K5882" s="20" t="s">
        <v>250</v>
      </c>
      <c r="L5882" s="20">
        <v>161000000</v>
      </c>
      <c r="M5882" s="20" t="s">
        <v>245</v>
      </c>
      <c r="N5882" s="20" t="s">
        <v>3744</v>
      </c>
    </row>
    <row r="5883" spans="1:14" hidden="1" x14ac:dyDescent="0.25">
      <c r="A5883" s="19">
        <v>46113</v>
      </c>
      <c r="B5883" s="20" t="s">
        <v>120</v>
      </c>
      <c r="C5883" s="20">
        <v>69</v>
      </c>
      <c r="D5883" s="20" t="s">
        <v>291</v>
      </c>
      <c r="E5883" s="20" t="s">
        <v>2361</v>
      </c>
      <c r="F5883" s="20" t="s">
        <v>2514</v>
      </c>
      <c r="G5883" s="20" t="s">
        <v>82</v>
      </c>
      <c r="H5883" s="20" t="s">
        <v>129</v>
      </c>
      <c r="I5883" s="20"/>
      <c r="J5883" s="20" t="s">
        <v>208</v>
      </c>
      <c r="K5883" s="20" t="s">
        <v>250</v>
      </c>
      <c r="L5883" s="20">
        <v>1030000000</v>
      </c>
      <c r="M5883" s="20" t="s">
        <v>245</v>
      </c>
      <c r="N5883" s="20" t="s">
        <v>3745</v>
      </c>
    </row>
    <row r="5884" spans="1:14" hidden="1" x14ac:dyDescent="0.25">
      <c r="A5884" s="19">
        <v>46113</v>
      </c>
      <c r="B5884" s="20" t="s">
        <v>120</v>
      </c>
      <c r="C5884" s="20">
        <v>70</v>
      </c>
      <c r="D5884" s="20" t="s">
        <v>291</v>
      </c>
      <c r="E5884" s="20" t="s">
        <v>2361</v>
      </c>
      <c r="F5884" s="20" t="s">
        <v>2510</v>
      </c>
      <c r="G5884" s="20" t="s">
        <v>82</v>
      </c>
      <c r="H5884" s="20" t="s">
        <v>138</v>
      </c>
      <c r="I5884" s="20"/>
      <c r="J5884" s="20" t="s">
        <v>208</v>
      </c>
      <c r="K5884" s="20" t="s">
        <v>250</v>
      </c>
      <c r="L5884" s="20">
        <v>1260000000</v>
      </c>
      <c r="M5884" s="20" t="s">
        <v>245</v>
      </c>
      <c r="N5884" s="20" t="s">
        <v>3746</v>
      </c>
    </row>
    <row r="5885" spans="1:14" hidden="1" x14ac:dyDescent="0.25">
      <c r="A5885" s="19">
        <v>46113</v>
      </c>
      <c r="B5885" s="20" t="s">
        <v>120</v>
      </c>
      <c r="C5885" s="20">
        <v>70</v>
      </c>
      <c r="D5885" s="20" t="s">
        <v>291</v>
      </c>
      <c r="E5885" s="20" t="s">
        <v>2361</v>
      </c>
      <c r="F5885" s="20" t="s">
        <v>2510</v>
      </c>
      <c r="G5885" s="20" t="s">
        <v>82</v>
      </c>
      <c r="H5885" s="20" t="s">
        <v>137</v>
      </c>
      <c r="I5885" s="20"/>
      <c r="J5885" s="20" t="s">
        <v>208</v>
      </c>
      <c r="K5885" s="20" t="s">
        <v>250</v>
      </c>
      <c r="L5885" s="20">
        <v>173700000</v>
      </c>
      <c r="M5885" s="20" t="s">
        <v>245</v>
      </c>
      <c r="N5885" s="20" t="s">
        <v>3747</v>
      </c>
    </row>
    <row r="5886" spans="1:14" hidden="1" x14ac:dyDescent="0.25">
      <c r="A5886" s="19">
        <v>46113</v>
      </c>
      <c r="B5886" s="20" t="s">
        <v>120</v>
      </c>
      <c r="C5886" s="20">
        <v>71</v>
      </c>
      <c r="D5886" s="20" t="s">
        <v>253</v>
      </c>
      <c r="E5886" s="20" t="s">
        <v>2359</v>
      </c>
      <c r="F5886" s="20" t="s">
        <v>334</v>
      </c>
      <c r="G5886" s="20" t="s">
        <v>82</v>
      </c>
      <c r="H5886" s="20"/>
      <c r="I5886" s="20"/>
      <c r="J5886" s="20" t="s">
        <v>206</v>
      </c>
      <c r="K5886" s="20" t="s">
        <v>255</v>
      </c>
      <c r="L5886" s="20">
        <v>188</v>
      </c>
      <c r="M5886" s="20" t="s">
        <v>245</v>
      </c>
      <c r="N5886" s="20" t="s">
        <v>839</v>
      </c>
    </row>
    <row r="5887" spans="1:14" hidden="1" x14ac:dyDescent="0.25">
      <c r="A5887" s="19">
        <v>46113</v>
      </c>
      <c r="B5887" s="20" t="s">
        <v>120</v>
      </c>
      <c r="C5887" s="20">
        <v>71</v>
      </c>
      <c r="D5887" s="20" t="s">
        <v>253</v>
      </c>
      <c r="E5887" s="20" t="s">
        <v>2359</v>
      </c>
      <c r="F5887" s="20" t="s">
        <v>334</v>
      </c>
      <c r="G5887" s="20" t="s">
        <v>82</v>
      </c>
      <c r="H5887" s="20"/>
      <c r="I5887" s="20"/>
      <c r="J5887" s="20" t="s">
        <v>207</v>
      </c>
      <c r="K5887" s="20" t="s">
        <v>255</v>
      </c>
      <c r="L5887" s="20">
        <v>171</v>
      </c>
      <c r="M5887" s="20" t="s">
        <v>245</v>
      </c>
      <c r="N5887" s="20" t="s">
        <v>3605</v>
      </c>
    </row>
    <row r="5888" spans="1:14" hidden="1" x14ac:dyDescent="0.25">
      <c r="A5888" s="19">
        <v>46113</v>
      </c>
      <c r="B5888" s="20" t="s">
        <v>120</v>
      </c>
      <c r="C5888" s="20">
        <v>71</v>
      </c>
      <c r="D5888" s="20" t="s">
        <v>253</v>
      </c>
      <c r="E5888" s="20" t="s">
        <v>2359</v>
      </c>
      <c r="F5888" s="20" t="s">
        <v>334</v>
      </c>
      <c r="G5888" s="20" t="s">
        <v>82</v>
      </c>
      <c r="H5888" s="20"/>
      <c r="I5888" s="20"/>
      <c r="J5888" s="20" t="s">
        <v>208</v>
      </c>
      <c r="K5888" s="20" t="s">
        <v>255</v>
      </c>
      <c r="L5888" s="20">
        <v>217</v>
      </c>
      <c r="M5888" s="20" t="s">
        <v>245</v>
      </c>
      <c r="N5888" s="20" t="s">
        <v>2704</v>
      </c>
    </row>
    <row r="5889" spans="1:14" hidden="1" x14ac:dyDescent="0.25">
      <c r="A5889" s="19">
        <v>46113</v>
      </c>
      <c r="B5889" s="20" t="s">
        <v>142</v>
      </c>
      <c r="C5889" s="20">
        <v>73</v>
      </c>
      <c r="D5889" s="20" t="s">
        <v>238</v>
      </c>
      <c r="E5889" s="20" t="s">
        <v>2341</v>
      </c>
      <c r="F5889" s="20" t="s">
        <v>240</v>
      </c>
      <c r="G5889" s="20" t="s">
        <v>82</v>
      </c>
      <c r="H5889" s="20"/>
      <c r="I5889" s="20"/>
      <c r="J5889" s="20" t="s">
        <v>3639</v>
      </c>
      <c r="K5889" s="20" t="s">
        <v>241</v>
      </c>
      <c r="L5889" s="20">
        <v>4300000</v>
      </c>
      <c r="M5889" s="20" t="s">
        <v>242</v>
      </c>
      <c r="N5889" s="20" t="s">
        <v>1756</v>
      </c>
    </row>
    <row r="5890" spans="1:14" hidden="1" x14ac:dyDescent="0.25">
      <c r="A5890" s="19">
        <v>46113</v>
      </c>
      <c r="B5890" s="20" t="s">
        <v>142</v>
      </c>
      <c r="C5890" s="20">
        <v>73</v>
      </c>
      <c r="D5890" s="20" t="s">
        <v>238</v>
      </c>
      <c r="E5890" s="20" t="s">
        <v>2341</v>
      </c>
      <c r="F5890" s="20" t="s">
        <v>244</v>
      </c>
      <c r="G5890" s="20" t="s">
        <v>82</v>
      </c>
      <c r="H5890" s="20"/>
      <c r="I5890" s="20"/>
      <c r="J5890" s="20" t="s">
        <v>3639</v>
      </c>
      <c r="K5890" s="20" t="s">
        <v>241</v>
      </c>
      <c r="L5890" s="20">
        <v>3580000000</v>
      </c>
      <c r="M5890" s="20" t="s">
        <v>245</v>
      </c>
      <c r="N5890" s="20" t="s">
        <v>3748</v>
      </c>
    </row>
    <row r="5891" spans="1:14" hidden="1" x14ac:dyDescent="0.25">
      <c r="A5891" s="19">
        <v>46113</v>
      </c>
      <c r="B5891" s="20" t="s">
        <v>142</v>
      </c>
      <c r="C5891" s="20">
        <v>74</v>
      </c>
      <c r="D5891" s="20" t="s">
        <v>253</v>
      </c>
      <c r="E5891" s="20" t="s">
        <v>2359</v>
      </c>
      <c r="F5891" s="20" t="s">
        <v>544</v>
      </c>
      <c r="G5891" s="20" t="s">
        <v>82</v>
      </c>
      <c r="H5891" s="20"/>
      <c r="I5891" s="20"/>
      <c r="J5891" s="20" t="s">
        <v>206</v>
      </c>
      <c r="K5891" s="20" t="s">
        <v>255</v>
      </c>
      <c r="L5891" s="20">
        <v>1080000</v>
      </c>
      <c r="M5891" s="20" t="s">
        <v>242</v>
      </c>
      <c r="N5891" s="20" t="s">
        <v>3458</v>
      </c>
    </row>
    <row r="5892" spans="1:14" hidden="1" x14ac:dyDescent="0.25">
      <c r="A5892" s="19">
        <v>46113</v>
      </c>
      <c r="B5892" s="20" t="s">
        <v>142</v>
      </c>
      <c r="C5892" s="20">
        <v>74</v>
      </c>
      <c r="D5892" s="20" t="s">
        <v>253</v>
      </c>
      <c r="E5892" s="20" t="s">
        <v>2359</v>
      </c>
      <c r="F5892" s="20" t="s">
        <v>544</v>
      </c>
      <c r="G5892" s="20" t="s">
        <v>82</v>
      </c>
      <c r="H5892" s="20"/>
      <c r="I5892" s="20"/>
      <c r="J5892" s="20" t="s">
        <v>207</v>
      </c>
      <c r="K5892" s="20" t="s">
        <v>255</v>
      </c>
      <c r="L5892" s="20">
        <v>1120000</v>
      </c>
      <c r="M5892" s="20" t="s">
        <v>242</v>
      </c>
      <c r="N5892" s="20" t="s">
        <v>3608</v>
      </c>
    </row>
    <row r="5893" spans="1:14" hidden="1" x14ac:dyDescent="0.25">
      <c r="A5893" s="19">
        <v>46113</v>
      </c>
      <c r="B5893" s="20" t="s">
        <v>142</v>
      </c>
      <c r="C5893" s="20">
        <v>74</v>
      </c>
      <c r="D5893" s="20" t="s">
        <v>253</v>
      </c>
      <c r="E5893" s="20" t="s">
        <v>2359</v>
      </c>
      <c r="F5893" s="20" t="s">
        <v>544</v>
      </c>
      <c r="G5893" s="20" t="s">
        <v>82</v>
      </c>
      <c r="H5893" s="20"/>
      <c r="I5893" s="20"/>
      <c r="J5893" s="20" t="s">
        <v>208</v>
      </c>
      <c r="K5893" s="20" t="s">
        <v>255</v>
      </c>
      <c r="L5893" s="20">
        <v>1070000</v>
      </c>
      <c r="M5893" s="20" t="s">
        <v>242</v>
      </c>
      <c r="N5893" s="20" t="s">
        <v>3749</v>
      </c>
    </row>
    <row r="5894" spans="1:14" hidden="1" x14ac:dyDescent="0.25">
      <c r="A5894" s="19">
        <v>46113</v>
      </c>
      <c r="B5894" s="20" t="s">
        <v>142</v>
      </c>
      <c r="C5894" s="20">
        <v>74</v>
      </c>
      <c r="D5894" s="20" t="s">
        <v>247</v>
      </c>
      <c r="E5894" s="20" t="s">
        <v>2554</v>
      </c>
      <c r="F5894" s="20" t="s">
        <v>2559</v>
      </c>
      <c r="G5894" s="20" t="s">
        <v>82</v>
      </c>
      <c r="H5894" s="20" t="s">
        <v>249</v>
      </c>
      <c r="I5894" s="20"/>
      <c r="J5894" s="20" t="s">
        <v>208</v>
      </c>
      <c r="K5894" s="20" t="s">
        <v>250</v>
      </c>
      <c r="L5894" s="20">
        <v>5.0999999999999996</v>
      </c>
      <c r="M5894" s="20" t="s">
        <v>251</v>
      </c>
      <c r="N5894" s="20" t="s">
        <v>1687</v>
      </c>
    </row>
    <row r="5895" spans="1:14" hidden="1" x14ac:dyDescent="0.25">
      <c r="A5895" s="19">
        <v>46113</v>
      </c>
      <c r="B5895" s="20" t="s">
        <v>142</v>
      </c>
      <c r="C5895" s="20">
        <v>75</v>
      </c>
      <c r="D5895" s="20" t="s">
        <v>253</v>
      </c>
      <c r="E5895" s="20" t="s">
        <v>2359</v>
      </c>
      <c r="F5895" s="20" t="s">
        <v>2531</v>
      </c>
      <c r="G5895" s="20" t="s">
        <v>82</v>
      </c>
      <c r="H5895" s="20" t="s">
        <v>149</v>
      </c>
      <c r="I5895" s="20"/>
      <c r="J5895" s="20" t="s">
        <v>206</v>
      </c>
      <c r="K5895" s="20" t="s">
        <v>255</v>
      </c>
      <c r="L5895" s="20">
        <v>5442</v>
      </c>
      <c r="M5895" s="20" t="s">
        <v>242</v>
      </c>
      <c r="N5895" s="20" t="s">
        <v>3459</v>
      </c>
    </row>
    <row r="5896" spans="1:14" hidden="1" x14ac:dyDescent="0.25">
      <c r="A5896" s="19">
        <v>46113</v>
      </c>
      <c r="B5896" s="20" t="s">
        <v>142</v>
      </c>
      <c r="C5896" s="20">
        <v>75</v>
      </c>
      <c r="D5896" s="20" t="s">
        <v>253</v>
      </c>
      <c r="E5896" s="20" t="s">
        <v>2359</v>
      </c>
      <c r="F5896" s="20" t="s">
        <v>2531</v>
      </c>
      <c r="G5896" s="20" t="s">
        <v>82</v>
      </c>
      <c r="H5896" s="20" t="s">
        <v>149</v>
      </c>
      <c r="I5896" s="20"/>
      <c r="J5896" s="20" t="s">
        <v>207</v>
      </c>
      <c r="K5896" s="20" t="s">
        <v>255</v>
      </c>
      <c r="L5896" s="20">
        <v>5518</v>
      </c>
      <c r="M5896" s="20" t="s">
        <v>242</v>
      </c>
      <c r="N5896" s="20" t="s">
        <v>3609</v>
      </c>
    </row>
    <row r="5897" spans="1:14" hidden="1" x14ac:dyDescent="0.25">
      <c r="A5897" s="19">
        <v>46113</v>
      </c>
      <c r="B5897" s="20" t="s">
        <v>142</v>
      </c>
      <c r="C5897" s="20">
        <v>75</v>
      </c>
      <c r="D5897" s="20" t="s">
        <v>253</v>
      </c>
      <c r="E5897" s="20" t="s">
        <v>2359</v>
      </c>
      <c r="F5897" s="20" t="s">
        <v>2531</v>
      </c>
      <c r="G5897" s="20" t="s">
        <v>82</v>
      </c>
      <c r="H5897" s="20" t="s">
        <v>149</v>
      </c>
      <c r="I5897" s="20"/>
      <c r="J5897" s="20" t="s">
        <v>208</v>
      </c>
      <c r="K5897" s="20" t="s">
        <v>255</v>
      </c>
      <c r="L5897" s="20">
        <v>5754</v>
      </c>
      <c r="M5897" s="20" t="s">
        <v>242</v>
      </c>
      <c r="N5897" s="20" t="s">
        <v>3750</v>
      </c>
    </row>
    <row r="5898" spans="1:14" hidden="1" x14ac:dyDescent="0.25">
      <c r="A5898" s="19">
        <v>46113</v>
      </c>
      <c r="B5898" s="20" t="s">
        <v>142</v>
      </c>
      <c r="C5898" s="20">
        <v>75</v>
      </c>
      <c r="D5898" s="20" t="s">
        <v>253</v>
      </c>
      <c r="E5898" s="20" t="s">
        <v>2359</v>
      </c>
      <c r="F5898" s="20" t="s">
        <v>2531</v>
      </c>
      <c r="G5898" s="20" t="s">
        <v>82</v>
      </c>
      <c r="H5898" s="20" t="s">
        <v>150</v>
      </c>
      <c r="I5898" s="20"/>
      <c r="J5898" s="20" t="s">
        <v>206</v>
      </c>
      <c r="K5898" s="20" t="s">
        <v>255</v>
      </c>
      <c r="L5898" s="20">
        <v>292</v>
      </c>
      <c r="M5898" s="20" t="s">
        <v>242</v>
      </c>
      <c r="N5898" s="20" t="s">
        <v>1662</v>
      </c>
    </row>
    <row r="5899" spans="1:14" hidden="1" x14ac:dyDescent="0.25">
      <c r="A5899" s="19">
        <v>46113</v>
      </c>
      <c r="B5899" s="20" t="s">
        <v>142</v>
      </c>
      <c r="C5899" s="20">
        <v>75</v>
      </c>
      <c r="D5899" s="20" t="s">
        <v>253</v>
      </c>
      <c r="E5899" s="20" t="s">
        <v>2359</v>
      </c>
      <c r="F5899" s="20" t="s">
        <v>2531</v>
      </c>
      <c r="G5899" s="20" t="s">
        <v>82</v>
      </c>
      <c r="H5899" s="20" t="s">
        <v>150</v>
      </c>
      <c r="I5899" s="20"/>
      <c r="J5899" s="20" t="s">
        <v>207</v>
      </c>
      <c r="K5899" s="20" t="s">
        <v>255</v>
      </c>
      <c r="L5899" s="20">
        <v>272</v>
      </c>
      <c r="M5899" s="20" t="s">
        <v>242</v>
      </c>
      <c r="N5899" s="20" t="s">
        <v>3610</v>
      </c>
    </row>
    <row r="5900" spans="1:14" hidden="1" x14ac:dyDescent="0.25">
      <c r="A5900" s="19">
        <v>46113</v>
      </c>
      <c r="B5900" s="20" t="s">
        <v>142</v>
      </c>
      <c r="C5900" s="20">
        <v>75</v>
      </c>
      <c r="D5900" s="20" t="s">
        <v>253</v>
      </c>
      <c r="E5900" s="20" t="s">
        <v>2359</v>
      </c>
      <c r="F5900" s="20" t="s">
        <v>2531</v>
      </c>
      <c r="G5900" s="20" t="s">
        <v>82</v>
      </c>
      <c r="H5900" s="20" t="s">
        <v>150</v>
      </c>
      <c r="I5900" s="20"/>
      <c r="J5900" s="20" t="s">
        <v>208</v>
      </c>
      <c r="K5900" s="20" t="s">
        <v>255</v>
      </c>
      <c r="L5900" s="20">
        <v>249</v>
      </c>
      <c r="M5900" s="20" t="s">
        <v>242</v>
      </c>
      <c r="N5900" s="20" t="s">
        <v>3751</v>
      </c>
    </row>
    <row r="5901" spans="1:14" hidden="1" x14ac:dyDescent="0.25">
      <c r="A5901" s="19">
        <v>46113</v>
      </c>
      <c r="B5901" s="20" t="s">
        <v>142</v>
      </c>
      <c r="C5901" s="20">
        <v>75</v>
      </c>
      <c r="D5901" s="20" t="s">
        <v>253</v>
      </c>
      <c r="E5901" s="20" t="s">
        <v>2359</v>
      </c>
      <c r="F5901" s="20" t="s">
        <v>2531</v>
      </c>
      <c r="G5901" s="20" t="s">
        <v>82</v>
      </c>
      <c r="H5901" s="20" t="s">
        <v>151</v>
      </c>
      <c r="I5901" s="20"/>
      <c r="J5901" s="20" t="s">
        <v>206</v>
      </c>
      <c r="K5901" s="20" t="s">
        <v>255</v>
      </c>
      <c r="L5901" s="20">
        <v>31</v>
      </c>
      <c r="M5901" s="20" t="s">
        <v>242</v>
      </c>
      <c r="N5901" s="20" t="s">
        <v>3460</v>
      </c>
    </row>
    <row r="5902" spans="1:14" hidden="1" x14ac:dyDescent="0.25">
      <c r="A5902" s="19">
        <v>46113</v>
      </c>
      <c r="B5902" s="20" t="s">
        <v>142</v>
      </c>
      <c r="C5902" s="20">
        <v>75</v>
      </c>
      <c r="D5902" s="20" t="s">
        <v>253</v>
      </c>
      <c r="E5902" s="20" t="s">
        <v>2359</v>
      </c>
      <c r="F5902" s="20" t="s">
        <v>2531</v>
      </c>
      <c r="G5902" s="20" t="s">
        <v>82</v>
      </c>
      <c r="H5902" s="20" t="s">
        <v>151</v>
      </c>
      <c r="I5902" s="20"/>
      <c r="J5902" s="20" t="s">
        <v>207</v>
      </c>
      <c r="K5902" s="20" t="s">
        <v>255</v>
      </c>
      <c r="L5902" s="20">
        <v>44</v>
      </c>
      <c r="M5902" s="20" t="s">
        <v>242</v>
      </c>
      <c r="N5902" s="20" t="s">
        <v>3611</v>
      </c>
    </row>
    <row r="5903" spans="1:14" hidden="1" x14ac:dyDescent="0.25">
      <c r="A5903" s="19">
        <v>46113</v>
      </c>
      <c r="B5903" s="20" t="s">
        <v>142</v>
      </c>
      <c r="C5903" s="20">
        <v>75</v>
      </c>
      <c r="D5903" s="20" t="s">
        <v>253</v>
      </c>
      <c r="E5903" s="20" t="s">
        <v>2359</v>
      </c>
      <c r="F5903" s="20" t="s">
        <v>2531</v>
      </c>
      <c r="G5903" s="20" t="s">
        <v>82</v>
      </c>
      <c r="H5903" s="20" t="s">
        <v>151</v>
      </c>
      <c r="I5903" s="20"/>
      <c r="J5903" s="20" t="s">
        <v>208</v>
      </c>
      <c r="K5903" s="20" t="s">
        <v>255</v>
      </c>
      <c r="L5903" s="20">
        <v>35</v>
      </c>
      <c r="M5903" s="20" t="s">
        <v>242</v>
      </c>
      <c r="N5903" s="20" t="s">
        <v>1122</v>
      </c>
    </row>
    <row r="5904" spans="1:14" hidden="1" x14ac:dyDescent="0.25">
      <c r="A5904" s="19">
        <v>46113</v>
      </c>
      <c r="B5904" s="20" t="s">
        <v>142</v>
      </c>
      <c r="C5904" s="20">
        <v>76</v>
      </c>
      <c r="D5904" s="20" t="s">
        <v>253</v>
      </c>
      <c r="E5904" s="20" t="s">
        <v>2359</v>
      </c>
      <c r="F5904" s="20" t="s">
        <v>929</v>
      </c>
      <c r="G5904" s="20" t="s">
        <v>82</v>
      </c>
      <c r="H5904" s="20"/>
      <c r="I5904" s="20"/>
      <c r="J5904" s="20" t="s">
        <v>206</v>
      </c>
      <c r="K5904" s="20" t="s">
        <v>255</v>
      </c>
      <c r="L5904" s="20">
        <v>886000000</v>
      </c>
      <c r="M5904" s="20" t="s">
        <v>245</v>
      </c>
      <c r="N5904" s="20" t="s">
        <v>3461</v>
      </c>
    </row>
    <row r="5905" spans="1:14" hidden="1" x14ac:dyDescent="0.25">
      <c r="A5905" s="19">
        <v>46113</v>
      </c>
      <c r="B5905" s="20" t="s">
        <v>142</v>
      </c>
      <c r="C5905" s="20">
        <v>76</v>
      </c>
      <c r="D5905" s="20" t="s">
        <v>253</v>
      </c>
      <c r="E5905" s="20" t="s">
        <v>2359</v>
      </c>
      <c r="F5905" s="20" t="s">
        <v>929</v>
      </c>
      <c r="G5905" s="20" t="s">
        <v>82</v>
      </c>
      <c r="H5905" s="20"/>
      <c r="I5905" s="20"/>
      <c r="J5905" s="20" t="s">
        <v>207</v>
      </c>
      <c r="K5905" s="20" t="s">
        <v>255</v>
      </c>
      <c r="L5905" s="20">
        <v>937000000</v>
      </c>
      <c r="M5905" s="20" t="s">
        <v>245</v>
      </c>
      <c r="N5905" s="20" t="s">
        <v>3612</v>
      </c>
    </row>
    <row r="5906" spans="1:14" hidden="1" x14ac:dyDescent="0.25">
      <c r="A5906" s="19">
        <v>46113</v>
      </c>
      <c r="B5906" s="20" t="s">
        <v>142</v>
      </c>
      <c r="C5906" s="20">
        <v>76</v>
      </c>
      <c r="D5906" s="20" t="s">
        <v>253</v>
      </c>
      <c r="E5906" s="20" t="s">
        <v>2359</v>
      </c>
      <c r="F5906" s="20" t="s">
        <v>929</v>
      </c>
      <c r="G5906" s="20" t="s">
        <v>82</v>
      </c>
      <c r="H5906" s="20"/>
      <c r="I5906" s="20"/>
      <c r="J5906" s="20" t="s">
        <v>208</v>
      </c>
      <c r="K5906" s="20" t="s">
        <v>255</v>
      </c>
      <c r="L5906" s="20">
        <v>896000000</v>
      </c>
      <c r="M5906" s="20" t="s">
        <v>245</v>
      </c>
      <c r="N5906" s="20" t="s">
        <v>3752</v>
      </c>
    </row>
    <row r="5907" spans="1:14" hidden="1" x14ac:dyDescent="0.25">
      <c r="A5907" s="19">
        <v>46113</v>
      </c>
      <c r="B5907" s="20" t="s">
        <v>142</v>
      </c>
      <c r="C5907" s="20">
        <v>76</v>
      </c>
      <c r="D5907" s="20" t="s">
        <v>247</v>
      </c>
      <c r="E5907" s="20" t="s">
        <v>2554</v>
      </c>
      <c r="F5907" s="20" t="s">
        <v>2558</v>
      </c>
      <c r="G5907" s="20" t="s">
        <v>82</v>
      </c>
      <c r="H5907" s="20" t="s">
        <v>249</v>
      </c>
      <c r="I5907" s="20"/>
      <c r="J5907" s="20" t="s">
        <v>208</v>
      </c>
      <c r="K5907" s="20" t="s">
        <v>250</v>
      </c>
      <c r="L5907" s="20">
        <v>4.4000000000000004</v>
      </c>
      <c r="M5907" s="20" t="s">
        <v>251</v>
      </c>
      <c r="N5907" s="20" t="s">
        <v>3753</v>
      </c>
    </row>
    <row r="5908" spans="1:14" hidden="1" x14ac:dyDescent="0.25">
      <c r="A5908" s="19">
        <v>46113</v>
      </c>
      <c r="B5908" s="20" t="s">
        <v>142</v>
      </c>
      <c r="C5908" s="20">
        <v>77</v>
      </c>
      <c r="D5908" s="20" t="s">
        <v>253</v>
      </c>
      <c r="E5908" s="20" t="s">
        <v>2359</v>
      </c>
      <c r="F5908" s="20" t="s">
        <v>2533</v>
      </c>
      <c r="G5908" s="20" t="s">
        <v>82</v>
      </c>
      <c r="H5908" s="20" t="s">
        <v>149</v>
      </c>
      <c r="I5908" s="20"/>
      <c r="J5908" s="20" t="s">
        <v>206</v>
      </c>
      <c r="K5908" s="20" t="s">
        <v>255</v>
      </c>
      <c r="L5908" s="20">
        <v>37900000</v>
      </c>
      <c r="M5908" s="20" t="s">
        <v>149</v>
      </c>
      <c r="N5908" s="20" t="s">
        <v>3462</v>
      </c>
    </row>
    <row r="5909" spans="1:14" hidden="1" x14ac:dyDescent="0.25">
      <c r="A5909" s="19">
        <v>46113</v>
      </c>
      <c r="B5909" s="20" t="s">
        <v>142</v>
      </c>
      <c r="C5909" s="20">
        <v>77</v>
      </c>
      <c r="D5909" s="20" t="s">
        <v>253</v>
      </c>
      <c r="E5909" s="20" t="s">
        <v>2359</v>
      </c>
      <c r="F5909" s="20" t="s">
        <v>2533</v>
      </c>
      <c r="G5909" s="20" t="s">
        <v>82</v>
      </c>
      <c r="H5909" s="20" t="s">
        <v>149</v>
      </c>
      <c r="I5909" s="20"/>
      <c r="J5909" s="20" t="s">
        <v>207</v>
      </c>
      <c r="K5909" s="20" t="s">
        <v>255</v>
      </c>
      <c r="L5909" s="20">
        <v>35700000</v>
      </c>
      <c r="M5909" s="20" t="s">
        <v>149</v>
      </c>
      <c r="N5909" s="20" t="s">
        <v>3613</v>
      </c>
    </row>
    <row r="5910" spans="1:14" hidden="1" x14ac:dyDescent="0.25">
      <c r="A5910" s="19">
        <v>46113</v>
      </c>
      <c r="B5910" s="20" t="s">
        <v>142</v>
      </c>
      <c r="C5910" s="20">
        <v>77</v>
      </c>
      <c r="D5910" s="20" t="s">
        <v>253</v>
      </c>
      <c r="E5910" s="20" t="s">
        <v>2359</v>
      </c>
      <c r="F5910" s="20" t="s">
        <v>2533</v>
      </c>
      <c r="G5910" s="20" t="s">
        <v>82</v>
      </c>
      <c r="H5910" s="20" t="s">
        <v>149</v>
      </c>
      <c r="I5910" s="20"/>
      <c r="J5910" s="20" t="s">
        <v>208</v>
      </c>
      <c r="K5910" s="20" t="s">
        <v>255</v>
      </c>
      <c r="L5910" s="20">
        <v>36200000</v>
      </c>
      <c r="M5910" s="20" t="s">
        <v>149</v>
      </c>
      <c r="N5910" s="20" t="s">
        <v>3754</v>
      </c>
    </row>
    <row r="5911" spans="1:14" hidden="1" x14ac:dyDescent="0.25">
      <c r="A5911" s="19">
        <v>46113</v>
      </c>
      <c r="B5911" s="20" t="s">
        <v>142</v>
      </c>
      <c r="C5911" s="20">
        <v>77</v>
      </c>
      <c r="D5911" s="20" t="s">
        <v>253</v>
      </c>
      <c r="E5911" s="20" t="s">
        <v>2359</v>
      </c>
      <c r="F5911" s="20" t="s">
        <v>2533</v>
      </c>
      <c r="G5911" s="20" t="s">
        <v>82</v>
      </c>
      <c r="H5911" s="20" t="s">
        <v>150</v>
      </c>
      <c r="I5911" s="20"/>
      <c r="J5911" s="20" t="s">
        <v>206</v>
      </c>
      <c r="K5911" s="20" t="s">
        <v>255</v>
      </c>
      <c r="L5911" s="20">
        <v>2810000</v>
      </c>
      <c r="M5911" s="20" t="s">
        <v>150</v>
      </c>
      <c r="N5911" s="20" t="s">
        <v>3041</v>
      </c>
    </row>
    <row r="5912" spans="1:14" hidden="1" x14ac:dyDescent="0.25">
      <c r="A5912" s="19">
        <v>46113</v>
      </c>
      <c r="B5912" s="20" t="s">
        <v>142</v>
      </c>
      <c r="C5912" s="20">
        <v>77</v>
      </c>
      <c r="D5912" s="20" t="s">
        <v>253</v>
      </c>
      <c r="E5912" s="20" t="s">
        <v>2359</v>
      </c>
      <c r="F5912" s="20" t="s">
        <v>2533</v>
      </c>
      <c r="G5912" s="20" t="s">
        <v>82</v>
      </c>
      <c r="H5912" s="20" t="s">
        <v>150</v>
      </c>
      <c r="I5912" s="20"/>
      <c r="J5912" s="20" t="s">
        <v>207</v>
      </c>
      <c r="K5912" s="20" t="s">
        <v>255</v>
      </c>
      <c r="L5912" s="20">
        <v>2480000</v>
      </c>
      <c r="M5912" s="20" t="s">
        <v>150</v>
      </c>
      <c r="N5912" s="20" t="s">
        <v>3614</v>
      </c>
    </row>
    <row r="5913" spans="1:14" hidden="1" x14ac:dyDescent="0.25">
      <c r="A5913" s="19">
        <v>46113</v>
      </c>
      <c r="B5913" s="20" t="s">
        <v>142</v>
      </c>
      <c r="C5913" s="20">
        <v>77</v>
      </c>
      <c r="D5913" s="20" t="s">
        <v>253</v>
      </c>
      <c r="E5913" s="20" t="s">
        <v>2359</v>
      </c>
      <c r="F5913" s="20" t="s">
        <v>2533</v>
      </c>
      <c r="G5913" s="20" t="s">
        <v>82</v>
      </c>
      <c r="H5913" s="20" t="s">
        <v>150</v>
      </c>
      <c r="I5913" s="20"/>
      <c r="J5913" s="20" t="s">
        <v>208</v>
      </c>
      <c r="K5913" s="20" t="s">
        <v>255</v>
      </c>
      <c r="L5913" s="20">
        <v>2400000</v>
      </c>
      <c r="M5913" s="20" t="s">
        <v>150</v>
      </c>
      <c r="N5913" s="20" t="s">
        <v>922</v>
      </c>
    </row>
    <row r="5914" spans="1:14" hidden="1" x14ac:dyDescent="0.25">
      <c r="A5914" s="19">
        <v>46113</v>
      </c>
      <c r="B5914" s="20" t="s">
        <v>142</v>
      </c>
      <c r="C5914" s="20">
        <v>77</v>
      </c>
      <c r="D5914" s="20" t="s">
        <v>253</v>
      </c>
      <c r="E5914" s="20" t="s">
        <v>2359</v>
      </c>
      <c r="F5914" s="20" t="s">
        <v>2533</v>
      </c>
      <c r="G5914" s="20" t="s">
        <v>82</v>
      </c>
      <c r="H5914" s="20" t="s">
        <v>151</v>
      </c>
      <c r="I5914" s="20"/>
      <c r="J5914" s="20" t="s">
        <v>206</v>
      </c>
      <c r="K5914" s="20" t="s">
        <v>255</v>
      </c>
      <c r="L5914" s="20">
        <v>280000</v>
      </c>
      <c r="M5914" s="20" t="s">
        <v>151</v>
      </c>
      <c r="N5914" s="20" t="s">
        <v>2536</v>
      </c>
    </row>
    <row r="5915" spans="1:14" hidden="1" x14ac:dyDescent="0.25">
      <c r="A5915" s="19">
        <v>46113</v>
      </c>
      <c r="B5915" s="20" t="s">
        <v>142</v>
      </c>
      <c r="C5915" s="20">
        <v>77</v>
      </c>
      <c r="D5915" s="20" t="s">
        <v>253</v>
      </c>
      <c r="E5915" s="20" t="s">
        <v>2359</v>
      </c>
      <c r="F5915" s="20" t="s">
        <v>2533</v>
      </c>
      <c r="G5915" s="20" t="s">
        <v>82</v>
      </c>
      <c r="H5915" s="20" t="s">
        <v>151</v>
      </c>
      <c r="I5915" s="20"/>
      <c r="J5915" s="20" t="s">
        <v>207</v>
      </c>
      <c r="K5915" s="20" t="s">
        <v>255</v>
      </c>
      <c r="L5915" s="20">
        <v>320000</v>
      </c>
      <c r="M5915" s="20" t="s">
        <v>151</v>
      </c>
      <c r="N5915" s="20" t="s">
        <v>3615</v>
      </c>
    </row>
    <row r="5916" spans="1:14" hidden="1" x14ac:dyDescent="0.25">
      <c r="A5916" s="19">
        <v>46113</v>
      </c>
      <c r="B5916" s="20" t="s">
        <v>142</v>
      </c>
      <c r="C5916" s="20">
        <v>77</v>
      </c>
      <c r="D5916" s="20" t="s">
        <v>253</v>
      </c>
      <c r="E5916" s="20" t="s">
        <v>2359</v>
      </c>
      <c r="F5916" s="20" t="s">
        <v>2533</v>
      </c>
      <c r="G5916" s="20" t="s">
        <v>82</v>
      </c>
      <c r="H5916" s="20" t="s">
        <v>151</v>
      </c>
      <c r="I5916" s="20"/>
      <c r="J5916" s="20" t="s">
        <v>208</v>
      </c>
      <c r="K5916" s="20" t="s">
        <v>255</v>
      </c>
      <c r="L5916" s="20">
        <v>230000</v>
      </c>
      <c r="M5916" s="20" t="s">
        <v>151</v>
      </c>
      <c r="N5916" s="20" t="s">
        <v>3755</v>
      </c>
    </row>
    <row r="5917" spans="1:14" hidden="1" x14ac:dyDescent="0.25">
      <c r="A5917" s="19">
        <v>46113</v>
      </c>
      <c r="B5917" s="20" t="s">
        <v>156</v>
      </c>
      <c r="C5917" s="20">
        <v>79</v>
      </c>
      <c r="D5917" s="20" t="s">
        <v>238</v>
      </c>
      <c r="E5917" s="20" t="s">
        <v>2341</v>
      </c>
      <c r="F5917" s="20" t="s">
        <v>240</v>
      </c>
      <c r="G5917" s="20" t="s">
        <v>158</v>
      </c>
      <c r="H5917" s="20"/>
      <c r="I5917" s="20"/>
      <c r="J5917" s="20" t="s">
        <v>3639</v>
      </c>
      <c r="K5917" s="20" t="s">
        <v>241</v>
      </c>
      <c r="L5917" s="20">
        <v>1890000</v>
      </c>
      <c r="M5917" s="20" t="s">
        <v>242</v>
      </c>
      <c r="N5917" s="20" t="s">
        <v>3525</v>
      </c>
    </row>
    <row r="5918" spans="1:14" hidden="1" x14ac:dyDescent="0.25">
      <c r="A5918" s="19">
        <v>46113</v>
      </c>
      <c r="B5918" s="20" t="s">
        <v>156</v>
      </c>
      <c r="C5918" s="20">
        <v>79</v>
      </c>
      <c r="D5918" s="20" t="s">
        <v>238</v>
      </c>
      <c r="E5918" s="20" t="s">
        <v>2341</v>
      </c>
      <c r="F5918" s="20" t="s">
        <v>244</v>
      </c>
      <c r="G5918" s="20" t="s">
        <v>158</v>
      </c>
      <c r="H5918" s="20"/>
      <c r="I5918" s="20"/>
      <c r="J5918" s="20" t="s">
        <v>3639</v>
      </c>
      <c r="K5918" s="20" t="s">
        <v>241</v>
      </c>
      <c r="L5918" s="20">
        <v>12920000000</v>
      </c>
      <c r="M5918" s="20" t="s">
        <v>245</v>
      </c>
      <c r="N5918" s="20" t="s">
        <v>3756</v>
      </c>
    </row>
    <row r="5919" spans="1:14" hidden="1" x14ac:dyDescent="0.25">
      <c r="A5919" s="19">
        <v>46113</v>
      </c>
      <c r="B5919" s="20" t="s">
        <v>156</v>
      </c>
      <c r="C5919" s="20">
        <v>80</v>
      </c>
      <c r="D5919" s="20" t="s">
        <v>253</v>
      </c>
      <c r="E5919" s="20" t="s">
        <v>2359</v>
      </c>
      <c r="F5919" s="20" t="s">
        <v>344</v>
      </c>
      <c r="G5919" s="20" t="s">
        <v>158</v>
      </c>
      <c r="H5919" s="20"/>
      <c r="I5919" s="20"/>
      <c r="J5919" s="20" t="s">
        <v>206</v>
      </c>
      <c r="K5919" s="20" t="s">
        <v>255</v>
      </c>
      <c r="L5919" s="20">
        <v>479000</v>
      </c>
      <c r="M5919" s="20" t="s">
        <v>242</v>
      </c>
      <c r="N5919" s="20" t="s">
        <v>3465</v>
      </c>
    </row>
    <row r="5920" spans="1:14" hidden="1" x14ac:dyDescent="0.25">
      <c r="A5920" s="19">
        <v>46113</v>
      </c>
      <c r="B5920" s="20" t="s">
        <v>156</v>
      </c>
      <c r="C5920" s="20">
        <v>80</v>
      </c>
      <c r="D5920" s="20" t="s">
        <v>253</v>
      </c>
      <c r="E5920" s="20" t="s">
        <v>2359</v>
      </c>
      <c r="F5920" s="20" t="s">
        <v>344</v>
      </c>
      <c r="G5920" s="20" t="s">
        <v>158</v>
      </c>
      <c r="H5920" s="20"/>
      <c r="I5920" s="20"/>
      <c r="J5920" s="20" t="s">
        <v>207</v>
      </c>
      <c r="K5920" s="20" t="s">
        <v>255</v>
      </c>
      <c r="L5920" s="20">
        <v>567000</v>
      </c>
      <c r="M5920" s="20" t="s">
        <v>242</v>
      </c>
      <c r="N5920" s="20" t="s">
        <v>3617</v>
      </c>
    </row>
    <row r="5921" spans="1:14" hidden="1" x14ac:dyDescent="0.25">
      <c r="A5921" s="19">
        <v>46113</v>
      </c>
      <c r="B5921" s="20" t="s">
        <v>156</v>
      </c>
      <c r="C5921" s="20">
        <v>80</v>
      </c>
      <c r="D5921" s="20" t="s">
        <v>253</v>
      </c>
      <c r="E5921" s="20" t="s">
        <v>2359</v>
      </c>
      <c r="F5921" s="20" t="s">
        <v>344</v>
      </c>
      <c r="G5921" s="20" t="s">
        <v>158</v>
      </c>
      <c r="H5921" s="20"/>
      <c r="I5921" s="20"/>
      <c r="J5921" s="20" t="s">
        <v>208</v>
      </c>
      <c r="K5921" s="20" t="s">
        <v>255</v>
      </c>
      <c r="L5921" s="20">
        <v>438000</v>
      </c>
      <c r="M5921" s="20" t="s">
        <v>242</v>
      </c>
      <c r="N5921" s="20" t="s">
        <v>954</v>
      </c>
    </row>
    <row r="5922" spans="1:14" hidden="1" x14ac:dyDescent="0.25">
      <c r="A5922" s="19">
        <v>46113</v>
      </c>
      <c r="B5922" s="20" t="s">
        <v>156</v>
      </c>
      <c r="C5922" s="20">
        <v>80</v>
      </c>
      <c r="D5922" s="20" t="s">
        <v>247</v>
      </c>
      <c r="E5922" s="20" t="s">
        <v>2554</v>
      </c>
      <c r="F5922" s="20" t="s">
        <v>2560</v>
      </c>
      <c r="G5922" s="20" t="s">
        <v>158</v>
      </c>
      <c r="H5922" s="20" t="s">
        <v>249</v>
      </c>
      <c r="I5922" s="20"/>
      <c r="J5922" s="20" t="s">
        <v>208</v>
      </c>
      <c r="K5922" s="20" t="s">
        <v>250</v>
      </c>
      <c r="L5922" s="20">
        <v>22.8</v>
      </c>
      <c r="M5922" s="20" t="s">
        <v>251</v>
      </c>
      <c r="N5922" s="20" t="s">
        <v>2761</v>
      </c>
    </row>
    <row r="5923" spans="1:14" hidden="1" x14ac:dyDescent="0.25">
      <c r="A5923" s="19">
        <v>46113</v>
      </c>
      <c r="B5923" s="20" t="s">
        <v>156</v>
      </c>
      <c r="C5923" s="20">
        <v>81</v>
      </c>
      <c r="D5923" s="20" t="s">
        <v>253</v>
      </c>
      <c r="E5923" s="20" t="s">
        <v>2359</v>
      </c>
      <c r="F5923" s="20" t="s">
        <v>349</v>
      </c>
      <c r="G5923" s="20" t="s">
        <v>158</v>
      </c>
      <c r="H5923" s="20"/>
      <c r="I5923" s="20"/>
      <c r="J5923" s="20" t="s">
        <v>206</v>
      </c>
      <c r="K5923" s="20" t="s">
        <v>255</v>
      </c>
      <c r="L5923" s="20">
        <v>14300</v>
      </c>
      <c r="M5923" s="20" t="s">
        <v>242</v>
      </c>
      <c r="N5923" s="20" t="s">
        <v>3467</v>
      </c>
    </row>
    <row r="5924" spans="1:14" hidden="1" x14ac:dyDescent="0.25">
      <c r="A5924" s="19">
        <v>46113</v>
      </c>
      <c r="B5924" s="20" t="s">
        <v>156</v>
      </c>
      <c r="C5924" s="20">
        <v>81</v>
      </c>
      <c r="D5924" s="20" t="s">
        <v>253</v>
      </c>
      <c r="E5924" s="20" t="s">
        <v>2359</v>
      </c>
      <c r="F5924" s="20" t="s">
        <v>349</v>
      </c>
      <c r="G5924" s="20" t="s">
        <v>158</v>
      </c>
      <c r="H5924" s="20"/>
      <c r="I5924" s="20"/>
      <c r="J5924" s="20" t="s">
        <v>207</v>
      </c>
      <c r="K5924" s="20" t="s">
        <v>255</v>
      </c>
      <c r="L5924" s="20">
        <v>20100</v>
      </c>
      <c r="M5924" s="20" t="s">
        <v>242</v>
      </c>
      <c r="N5924" s="20" t="s">
        <v>3618</v>
      </c>
    </row>
    <row r="5925" spans="1:14" hidden="1" x14ac:dyDescent="0.25">
      <c r="A5925" s="19">
        <v>46113</v>
      </c>
      <c r="B5925" s="20" t="s">
        <v>156</v>
      </c>
      <c r="C5925" s="20">
        <v>81</v>
      </c>
      <c r="D5925" s="20" t="s">
        <v>253</v>
      </c>
      <c r="E5925" s="20" t="s">
        <v>2359</v>
      </c>
      <c r="F5925" s="20" t="s">
        <v>349</v>
      </c>
      <c r="G5925" s="20" t="s">
        <v>158</v>
      </c>
      <c r="H5925" s="20"/>
      <c r="I5925" s="20"/>
      <c r="J5925" s="20" t="s">
        <v>208</v>
      </c>
      <c r="K5925" s="20" t="s">
        <v>255</v>
      </c>
      <c r="L5925" s="20">
        <v>12400</v>
      </c>
      <c r="M5925" s="20" t="s">
        <v>242</v>
      </c>
      <c r="N5925" s="20" t="s">
        <v>3757</v>
      </c>
    </row>
    <row r="5926" spans="1:14" hidden="1" x14ac:dyDescent="0.25">
      <c r="A5926" s="19">
        <v>46113</v>
      </c>
      <c r="B5926" s="20" t="s">
        <v>156</v>
      </c>
      <c r="C5926" s="20">
        <v>82</v>
      </c>
      <c r="D5926" s="20" t="s">
        <v>253</v>
      </c>
      <c r="E5926" s="20" t="s">
        <v>2359</v>
      </c>
      <c r="F5926" s="20" t="s">
        <v>2546</v>
      </c>
      <c r="G5926" s="20" t="s">
        <v>158</v>
      </c>
      <c r="H5926" s="20"/>
      <c r="I5926" s="20"/>
      <c r="J5926" s="20" t="s">
        <v>206</v>
      </c>
      <c r="K5926" s="20" t="s">
        <v>255</v>
      </c>
      <c r="L5926" s="20">
        <v>3</v>
      </c>
      <c r="M5926" s="20" t="s">
        <v>251</v>
      </c>
      <c r="N5926" s="20" t="s">
        <v>2547</v>
      </c>
    </row>
    <row r="5927" spans="1:14" hidden="1" x14ac:dyDescent="0.25">
      <c r="A5927" s="19">
        <v>46113</v>
      </c>
      <c r="B5927" s="20" t="s">
        <v>156</v>
      </c>
      <c r="C5927" s="20">
        <v>82</v>
      </c>
      <c r="D5927" s="20" t="s">
        <v>253</v>
      </c>
      <c r="E5927" s="20" t="s">
        <v>2359</v>
      </c>
      <c r="F5927" s="20" t="s">
        <v>2546</v>
      </c>
      <c r="G5927" s="20" t="s">
        <v>158</v>
      </c>
      <c r="H5927" s="20"/>
      <c r="I5927" s="20"/>
      <c r="J5927" s="20" t="s">
        <v>207</v>
      </c>
      <c r="K5927" s="20" t="s">
        <v>255</v>
      </c>
      <c r="L5927" s="20">
        <v>3.5</v>
      </c>
      <c r="M5927" s="20" t="s">
        <v>251</v>
      </c>
      <c r="N5927" s="20" t="s">
        <v>1141</v>
      </c>
    </row>
    <row r="5928" spans="1:14" hidden="1" x14ac:dyDescent="0.25">
      <c r="A5928" s="19">
        <v>46113</v>
      </c>
      <c r="B5928" s="20" t="s">
        <v>156</v>
      </c>
      <c r="C5928" s="20">
        <v>82</v>
      </c>
      <c r="D5928" s="20" t="s">
        <v>253</v>
      </c>
      <c r="E5928" s="20" t="s">
        <v>2359</v>
      </c>
      <c r="F5928" s="20" t="s">
        <v>2546</v>
      </c>
      <c r="G5928" s="20" t="s">
        <v>158</v>
      </c>
      <c r="H5928" s="20"/>
      <c r="I5928" s="20"/>
      <c r="J5928" s="20" t="s">
        <v>208</v>
      </c>
      <c r="K5928" s="20" t="s">
        <v>255</v>
      </c>
      <c r="L5928" s="20">
        <v>2.8</v>
      </c>
      <c r="M5928" s="20" t="s">
        <v>251</v>
      </c>
      <c r="N5928" s="20" t="s">
        <v>1346</v>
      </c>
    </row>
    <row r="5929" spans="1:14" hidden="1" x14ac:dyDescent="0.25">
      <c r="A5929" s="19">
        <v>46113</v>
      </c>
      <c r="B5929" s="20" t="s">
        <v>156</v>
      </c>
      <c r="C5929" s="20">
        <v>83</v>
      </c>
      <c r="D5929" s="20" t="s">
        <v>291</v>
      </c>
      <c r="E5929" s="20" t="s">
        <v>2361</v>
      </c>
      <c r="F5929" s="20" t="s">
        <v>349</v>
      </c>
      <c r="G5929" s="20" t="s">
        <v>158</v>
      </c>
      <c r="H5929" s="20" t="s">
        <v>159</v>
      </c>
      <c r="I5929" s="20"/>
      <c r="J5929" s="20" t="s">
        <v>208</v>
      </c>
      <c r="K5929" s="20" t="s">
        <v>250</v>
      </c>
      <c r="L5929" s="20">
        <v>7893</v>
      </c>
      <c r="M5929" s="20" t="s">
        <v>242</v>
      </c>
      <c r="N5929" s="20" t="s">
        <v>3758</v>
      </c>
    </row>
    <row r="5930" spans="1:14" hidden="1" x14ac:dyDescent="0.25">
      <c r="A5930" s="19">
        <v>46113</v>
      </c>
      <c r="B5930" s="20" t="s">
        <v>156</v>
      </c>
      <c r="C5930" s="20">
        <v>83</v>
      </c>
      <c r="D5930" s="20" t="s">
        <v>291</v>
      </c>
      <c r="E5930" s="20" t="s">
        <v>2361</v>
      </c>
      <c r="F5930" s="20" t="s">
        <v>349</v>
      </c>
      <c r="G5930" s="20" t="s">
        <v>158</v>
      </c>
      <c r="H5930" s="20" t="s">
        <v>160</v>
      </c>
      <c r="I5930" s="20"/>
      <c r="J5930" s="20" t="s">
        <v>208</v>
      </c>
      <c r="K5930" s="20" t="s">
        <v>250</v>
      </c>
      <c r="L5930" s="20">
        <v>4539</v>
      </c>
      <c r="M5930" s="20" t="s">
        <v>242</v>
      </c>
      <c r="N5930" s="20" t="s">
        <v>3759</v>
      </c>
    </row>
    <row r="5931" spans="1:14" hidden="1" x14ac:dyDescent="0.25">
      <c r="A5931" s="19">
        <v>46113</v>
      </c>
      <c r="B5931" s="20" t="s">
        <v>156</v>
      </c>
      <c r="C5931" s="20">
        <v>84</v>
      </c>
      <c r="D5931" s="20" t="s">
        <v>253</v>
      </c>
      <c r="E5931" s="20" t="s">
        <v>2359</v>
      </c>
      <c r="F5931" s="20" t="s">
        <v>356</v>
      </c>
      <c r="G5931" s="20" t="s">
        <v>158</v>
      </c>
      <c r="H5931" s="20"/>
      <c r="I5931" s="20"/>
      <c r="J5931" s="20" t="s">
        <v>206</v>
      </c>
      <c r="K5931" s="20" t="s">
        <v>255</v>
      </c>
      <c r="L5931" s="20">
        <v>3230000000</v>
      </c>
      <c r="M5931" s="20" t="s">
        <v>245</v>
      </c>
      <c r="N5931" s="20" t="s">
        <v>3470</v>
      </c>
    </row>
    <row r="5932" spans="1:14" hidden="1" x14ac:dyDescent="0.25">
      <c r="A5932" s="19">
        <v>46113</v>
      </c>
      <c r="B5932" s="20" t="s">
        <v>156</v>
      </c>
      <c r="C5932" s="20">
        <v>84</v>
      </c>
      <c r="D5932" s="20" t="s">
        <v>253</v>
      </c>
      <c r="E5932" s="20" t="s">
        <v>2359</v>
      </c>
      <c r="F5932" s="20" t="s">
        <v>356</v>
      </c>
      <c r="G5932" s="20" t="s">
        <v>158</v>
      </c>
      <c r="H5932" s="20"/>
      <c r="I5932" s="20"/>
      <c r="J5932" s="20" t="s">
        <v>207</v>
      </c>
      <c r="K5932" s="20" t="s">
        <v>255</v>
      </c>
      <c r="L5932" s="20">
        <v>3430000000</v>
      </c>
      <c r="M5932" s="20" t="s">
        <v>245</v>
      </c>
      <c r="N5932" s="20" t="s">
        <v>3621</v>
      </c>
    </row>
    <row r="5933" spans="1:14" hidden="1" x14ac:dyDescent="0.25">
      <c r="A5933" s="19">
        <v>46113</v>
      </c>
      <c r="B5933" s="20" t="s">
        <v>156</v>
      </c>
      <c r="C5933" s="20">
        <v>84</v>
      </c>
      <c r="D5933" s="20" t="s">
        <v>253</v>
      </c>
      <c r="E5933" s="20" t="s">
        <v>2359</v>
      </c>
      <c r="F5933" s="20" t="s">
        <v>356</v>
      </c>
      <c r="G5933" s="20" t="s">
        <v>158</v>
      </c>
      <c r="H5933" s="20"/>
      <c r="I5933" s="20"/>
      <c r="J5933" s="20" t="s">
        <v>208</v>
      </c>
      <c r="K5933" s="20" t="s">
        <v>255</v>
      </c>
      <c r="L5933" s="20">
        <v>3180000000</v>
      </c>
      <c r="M5933" s="20" t="s">
        <v>245</v>
      </c>
      <c r="N5933" s="20" t="s">
        <v>3760</v>
      </c>
    </row>
    <row r="5934" spans="1:14" hidden="1" x14ac:dyDescent="0.25">
      <c r="A5934" s="19">
        <v>46113</v>
      </c>
      <c r="B5934" s="20" t="s">
        <v>156</v>
      </c>
      <c r="C5934" s="20">
        <v>84</v>
      </c>
      <c r="D5934" s="20" t="s">
        <v>247</v>
      </c>
      <c r="E5934" s="20" t="s">
        <v>2554</v>
      </c>
      <c r="F5934" s="20" t="s">
        <v>2722</v>
      </c>
      <c r="G5934" s="20" t="s">
        <v>158</v>
      </c>
      <c r="H5934" s="20" t="s">
        <v>249</v>
      </c>
      <c r="I5934" s="20"/>
      <c r="J5934" s="20" t="s">
        <v>208</v>
      </c>
      <c r="K5934" s="20" t="s">
        <v>250</v>
      </c>
      <c r="L5934" s="20">
        <v>7.5</v>
      </c>
      <c r="M5934" s="20" t="s">
        <v>251</v>
      </c>
      <c r="N5934" s="20" t="s">
        <v>3099</v>
      </c>
    </row>
    <row r="5935" spans="1:14" hidden="1" x14ac:dyDescent="0.25">
      <c r="A5935" s="19">
        <v>46113</v>
      </c>
      <c r="B5935" s="20" t="s">
        <v>156</v>
      </c>
      <c r="C5935" s="20">
        <v>85</v>
      </c>
      <c r="D5935" s="20" t="s">
        <v>253</v>
      </c>
      <c r="E5935" s="20" t="s">
        <v>2359</v>
      </c>
      <c r="F5935" s="20" t="s">
        <v>361</v>
      </c>
      <c r="G5935" s="20" t="s">
        <v>158</v>
      </c>
      <c r="H5935" s="20"/>
      <c r="I5935" s="20"/>
      <c r="J5935" s="20" t="s">
        <v>206</v>
      </c>
      <c r="K5935" s="20" t="s">
        <v>255</v>
      </c>
      <c r="L5935" s="20">
        <v>75300000</v>
      </c>
      <c r="M5935" s="20" t="s">
        <v>245</v>
      </c>
      <c r="N5935" s="20" t="s">
        <v>3473</v>
      </c>
    </row>
    <row r="5936" spans="1:14" hidden="1" x14ac:dyDescent="0.25">
      <c r="A5936" s="19">
        <v>46113</v>
      </c>
      <c r="B5936" s="20" t="s">
        <v>156</v>
      </c>
      <c r="C5936" s="20">
        <v>85</v>
      </c>
      <c r="D5936" s="20" t="s">
        <v>253</v>
      </c>
      <c r="E5936" s="20" t="s">
        <v>2359</v>
      </c>
      <c r="F5936" s="20" t="s">
        <v>361</v>
      </c>
      <c r="G5936" s="20" t="s">
        <v>158</v>
      </c>
      <c r="H5936" s="20"/>
      <c r="I5936" s="20"/>
      <c r="J5936" s="20" t="s">
        <v>207</v>
      </c>
      <c r="K5936" s="20" t="s">
        <v>255</v>
      </c>
      <c r="L5936" s="20">
        <v>119600000</v>
      </c>
      <c r="M5936" s="20" t="s">
        <v>245</v>
      </c>
      <c r="N5936" s="20" t="s">
        <v>3623</v>
      </c>
    </row>
    <row r="5937" spans="1:14" hidden="1" x14ac:dyDescent="0.25">
      <c r="A5937" s="19">
        <v>46113</v>
      </c>
      <c r="B5937" s="20" t="s">
        <v>156</v>
      </c>
      <c r="C5937" s="20">
        <v>85</v>
      </c>
      <c r="D5937" s="20" t="s">
        <v>253</v>
      </c>
      <c r="E5937" s="20" t="s">
        <v>2359</v>
      </c>
      <c r="F5937" s="20" t="s">
        <v>361</v>
      </c>
      <c r="G5937" s="20" t="s">
        <v>158</v>
      </c>
      <c r="H5937" s="20"/>
      <c r="I5937" s="20"/>
      <c r="J5937" s="20" t="s">
        <v>208</v>
      </c>
      <c r="K5937" s="20" t="s">
        <v>255</v>
      </c>
      <c r="L5937" s="20">
        <v>72400000</v>
      </c>
      <c r="M5937" s="20" t="s">
        <v>245</v>
      </c>
      <c r="N5937" s="20" t="s">
        <v>3761</v>
      </c>
    </row>
    <row r="5938" spans="1:14" hidden="1" x14ac:dyDescent="0.25">
      <c r="A5938" s="19">
        <v>46113</v>
      </c>
      <c r="B5938" s="20" t="s">
        <v>156</v>
      </c>
      <c r="C5938" s="20">
        <v>86</v>
      </c>
      <c r="D5938" s="20" t="s">
        <v>253</v>
      </c>
      <c r="E5938" s="20" t="s">
        <v>2359</v>
      </c>
      <c r="F5938" s="20" t="s">
        <v>2548</v>
      </c>
      <c r="G5938" s="20" t="s">
        <v>158</v>
      </c>
      <c r="H5938" s="20"/>
      <c r="I5938" s="20"/>
      <c r="J5938" s="20" t="s">
        <v>206</v>
      </c>
      <c r="K5938" s="20" t="s">
        <v>255</v>
      </c>
      <c r="L5938" s="20">
        <v>2.33</v>
      </c>
      <c r="M5938" s="20" t="s">
        <v>251</v>
      </c>
      <c r="N5938" s="20" t="s">
        <v>3474</v>
      </c>
    </row>
    <row r="5939" spans="1:14" hidden="1" x14ac:dyDescent="0.25">
      <c r="A5939" s="19">
        <v>46113</v>
      </c>
      <c r="B5939" s="20" t="s">
        <v>156</v>
      </c>
      <c r="C5939" s="20">
        <v>86</v>
      </c>
      <c r="D5939" s="20" t="s">
        <v>253</v>
      </c>
      <c r="E5939" s="20" t="s">
        <v>2359</v>
      </c>
      <c r="F5939" s="20" t="s">
        <v>2548</v>
      </c>
      <c r="G5939" s="20" t="s">
        <v>158</v>
      </c>
      <c r="H5939" s="20"/>
      <c r="I5939" s="20"/>
      <c r="J5939" s="20" t="s">
        <v>207</v>
      </c>
      <c r="K5939" s="20" t="s">
        <v>255</v>
      </c>
      <c r="L5939" s="20">
        <v>3.48</v>
      </c>
      <c r="M5939" s="20" t="s">
        <v>251</v>
      </c>
      <c r="N5939" s="20" t="s">
        <v>3624</v>
      </c>
    </row>
    <row r="5940" spans="1:14" hidden="1" x14ac:dyDescent="0.25">
      <c r="A5940" s="19">
        <v>46113</v>
      </c>
      <c r="B5940" s="20" t="s">
        <v>156</v>
      </c>
      <c r="C5940" s="20">
        <v>86</v>
      </c>
      <c r="D5940" s="20" t="s">
        <v>253</v>
      </c>
      <c r="E5940" s="20" t="s">
        <v>2359</v>
      </c>
      <c r="F5940" s="20" t="s">
        <v>2548</v>
      </c>
      <c r="G5940" s="20" t="s">
        <v>158</v>
      </c>
      <c r="H5940" s="20"/>
      <c r="I5940" s="20"/>
      <c r="J5940" s="20" t="s">
        <v>208</v>
      </c>
      <c r="K5940" s="20" t="s">
        <v>255</v>
      </c>
      <c r="L5940" s="20">
        <v>2.2799999999999998</v>
      </c>
      <c r="M5940" s="20" t="s">
        <v>251</v>
      </c>
      <c r="N5940" s="20" t="s">
        <v>3762</v>
      </c>
    </row>
    <row r="5941" spans="1:14" hidden="1" x14ac:dyDescent="0.25">
      <c r="A5941" s="19">
        <v>46113</v>
      </c>
      <c r="B5941" s="20" t="s">
        <v>156</v>
      </c>
      <c r="C5941" s="20">
        <v>87</v>
      </c>
      <c r="D5941" s="20" t="s">
        <v>291</v>
      </c>
      <c r="E5941" s="20" t="s">
        <v>2361</v>
      </c>
      <c r="F5941" s="20" t="s">
        <v>361</v>
      </c>
      <c r="G5941" s="20" t="s">
        <v>158</v>
      </c>
      <c r="H5941" s="20" t="s">
        <v>159</v>
      </c>
      <c r="I5941" s="20"/>
      <c r="J5941" s="20" t="s">
        <v>208</v>
      </c>
      <c r="K5941" s="20" t="s">
        <v>250</v>
      </c>
      <c r="L5941" s="20">
        <v>40000000</v>
      </c>
      <c r="M5941" s="20" t="s">
        <v>245</v>
      </c>
      <c r="N5941" s="20" t="s">
        <v>3763</v>
      </c>
    </row>
    <row r="5942" spans="1:14" hidden="1" x14ac:dyDescent="0.25">
      <c r="A5942" s="19">
        <v>46113</v>
      </c>
      <c r="B5942" s="20" t="s">
        <v>156</v>
      </c>
      <c r="C5942" s="20">
        <v>87</v>
      </c>
      <c r="D5942" s="20" t="s">
        <v>291</v>
      </c>
      <c r="E5942" s="20" t="s">
        <v>2361</v>
      </c>
      <c r="F5942" s="20" t="s">
        <v>361</v>
      </c>
      <c r="G5942" s="20" t="s">
        <v>158</v>
      </c>
      <c r="H5942" s="20" t="s">
        <v>160</v>
      </c>
      <c r="I5942" s="20"/>
      <c r="J5942" s="20" t="s">
        <v>208</v>
      </c>
      <c r="K5942" s="20" t="s">
        <v>250</v>
      </c>
      <c r="L5942" s="20">
        <v>32500000</v>
      </c>
      <c r="M5942" s="20" t="s">
        <v>245</v>
      </c>
      <c r="N5942" s="20" t="s">
        <v>3764</v>
      </c>
    </row>
    <row r="5943" spans="1:14" hidden="1" x14ac:dyDescent="0.25">
      <c r="A5943" s="19">
        <v>46143</v>
      </c>
      <c r="B5943" s="20" t="s">
        <v>535</v>
      </c>
      <c r="C5943" s="20">
        <v>4</v>
      </c>
      <c r="D5943" s="20" t="s">
        <v>238</v>
      </c>
      <c r="E5943" s="20" t="s">
        <v>2341</v>
      </c>
      <c r="F5943" s="20" t="s">
        <v>285</v>
      </c>
      <c r="G5943" s="20" t="s">
        <v>63</v>
      </c>
      <c r="H5943" s="20"/>
      <c r="I5943" s="20"/>
      <c r="J5943" s="20" t="s">
        <v>209</v>
      </c>
      <c r="K5943" s="20" t="s">
        <v>250</v>
      </c>
      <c r="L5943" s="20">
        <v>2280000</v>
      </c>
      <c r="M5943" s="20" t="s">
        <v>242</v>
      </c>
      <c r="N5943" s="20" t="s">
        <v>3765</v>
      </c>
    </row>
    <row r="5944" spans="1:14" hidden="1" x14ac:dyDescent="0.25">
      <c r="A5944" s="19">
        <v>46143</v>
      </c>
      <c r="B5944" s="20" t="s">
        <v>535</v>
      </c>
      <c r="C5944" s="20">
        <v>4</v>
      </c>
      <c r="D5944" s="20" t="s">
        <v>238</v>
      </c>
      <c r="E5944" s="20" t="s">
        <v>2341</v>
      </c>
      <c r="F5944" s="20" t="s">
        <v>240</v>
      </c>
      <c r="G5944" s="20" t="s">
        <v>82</v>
      </c>
      <c r="H5944" s="20"/>
      <c r="I5944" s="20"/>
      <c r="J5944" s="20" t="s">
        <v>209</v>
      </c>
      <c r="K5944" s="20" t="s">
        <v>250</v>
      </c>
      <c r="L5944" s="20">
        <v>21430000</v>
      </c>
      <c r="M5944" s="20" t="s">
        <v>242</v>
      </c>
      <c r="N5944" s="20" t="s">
        <v>3766</v>
      </c>
    </row>
    <row r="5945" spans="1:14" hidden="1" x14ac:dyDescent="0.25">
      <c r="A5945" s="19">
        <v>46143</v>
      </c>
      <c r="B5945" s="20" t="s">
        <v>535</v>
      </c>
      <c r="C5945" s="20">
        <v>4</v>
      </c>
      <c r="D5945" s="20" t="s">
        <v>238</v>
      </c>
      <c r="E5945" s="20" t="s">
        <v>2341</v>
      </c>
      <c r="F5945" s="20" t="s">
        <v>244</v>
      </c>
      <c r="G5945" s="20" t="s">
        <v>82</v>
      </c>
      <c r="H5945" s="20"/>
      <c r="I5945" s="20"/>
      <c r="J5945" s="20" t="s">
        <v>209</v>
      </c>
      <c r="K5945" s="20" t="s">
        <v>250</v>
      </c>
      <c r="L5945" s="20">
        <v>2130000000</v>
      </c>
      <c r="M5945" s="20" t="s">
        <v>245</v>
      </c>
      <c r="N5945" s="20" t="s">
        <v>3767</v>
      </c>
    </row>
    <row r="5946" spans="1:14" hidden="1" x14ac:dyDescent="0.25">
      <c r="A5946" s="19">
        <v>46143</v>
      </c>
      <c r="B5946" s="20" t="s">
        <v>535</v>
      </c>
      <c r="C5946" s="20">
        <v>5</v>
      </c>
      <c r="D5946" s="20" t="s">
        <v>238</v>
      </c>
      <c r="E5946" s="20" t="s">
        <v>2341</v>
      </c>
      <c r="F5946" s="20" t="s">
        <v>285</v>
      </c>
      <c r="G5946" s="20" t="s">
        <v>63</v>
      </c>
      <c r="H5946" s="20"/>
      <c r="I5946" s="20"/>
      <c r="J5946" s="20" t="s">
        <v>209</v>
      </c>
      <c r="K5946" s="20" t="s">
        <v>250</v>
      </c>
      <c r="L5946" s="20">
        <v>2970000</v>
      </c>
      <c r="M5946" s="20" t="s">
        <v>242</v>
      </c>
      <c r="N5946" s="20" t="s">
        <v>3768</v>
      </c>
    </row>
    <row r="5947" spans="1:14" hidden="1" x14ac:dyDescent="0.25">
      <c r="A5947" s="19">
        <v>46143</v>
      </c>
      <c r="B5947" s="20" t="s">
        <v>535</v>
      </c>
      <c r="C5947" s="20">
        <v>5</v>
      </c>
      <c r="D5947" s="20" t="s">
        <v>238</v>
      </c>
      <c r="E5947" s="20" t="s">
        <v>2341</v>
      </c>
      <c r="F5947" s="20" t="s">
        <v>240</v>
      </c>
      <c r="G5947" s="20" t="s">
        <v>82</v>
      </c>
      <c r="H5947" s="20"/>
      <c r="I5947" s="20"/>
      <c r="J5947" s="20" t="s">
        <v>209</v>
      </c>
      <c r="K5947" s="20" t="s">
        <v>250</v>
      </c>
      <c r="L5947" s="20">
        <v>14980000</v>
      </c>
      <c r="M5947" s="20" t="s">
        <v>242</v>
      </c>
      <c r="N5947" s="20" t="s">
        <v>3769</v>
      </c>
    </row>
    <row r="5948" spans="1:14" hidden="1" x14ac:dyDescent="0.25">
      <c r="A5948" s="19">
        <v>46143</v>
      </c>
      <c r="B5948" s="20" t="s">
        <v>535</v>
      </c>
      <c r="C5948" s="20">
        <v>5</v>
      </c>
      <c r="D5948" s="20" t="s">
        <v>238</v>
      </c>
      <c r="E5948" s="20" t="s">
        <v>2341</v>
      </c>
      <c r="F5948" s="20" t="s">
        <v>244</v>
      </c>
      <c r="G5948" s="20" t="s">
        <v>82</v>
      </c>
      <c r="H5948" s="20"/>
      <c r="I5948" s="20"/>
      <c r="J5948" s="20" t="s">
        <v>209</v>
      </c>
      <c r="K5948" s="20" t="s">
        <v>250</v>
      </c>
      <c r="L5948" s="20">
        <v>698000000</v>
      </c>
      <c r="M5948" s="20" t="s">
        <v>245</v>
      </c>
      <c r="N5948" s="20" t="s">
        <v>3770</v>
      </c>
    </row>
    <row r="5949" spans="1:14" hidden="1" x14ac:dyDescent="0.25">
      <c r="A5949" s="19">
        <v>46143</v>
      </c>
      <c r="B5949" s="20" t="s">
        <v>535</v>
      </c>
      <c r="C5949" s="20">
        <v>6</v>
      </c>
      <c r="D5949" s="20" t="s">
        <v>238</v>
      </c>
      <c r="E5949" s="20" t="s">
        <v>2341</v>
      </c>
      <c r="F5949" s="20" t="s">
        <v>285</v>
      </c>
      <c r="G5949" s="20" t="s">
        <v>63</v>
      </c>
      <c r="H5949" s="20"/>
      <c r="I5949" s="20"/>
      <c r="J5949" s="20" t="s">
        <v>209</v>
      </c>
      <c r="K5949" s="20" t="s">
        <v>250</v>
      </c>
      <c r="L5949" s="20">
        <v>5250000</v>
      </c>
      <c r="M5949" s="20" t="s">
        <v>242</v>
      </c>
      <c r="N5949" s="20" t="s">
        <v>3011</v>
      </c>
    </row>
    <row r="5950" spans="1:14" hidden="1" x14ac:dyDescent="0.25">
      <c r="A5950" s="19">
        <v>46143</v>
      </c>
      <c r="B5950" s="20" t="s">
        <v>535</v>
      </c>
      <c r="C5950" s="20">
        <v>6</v>
      </c>
      <c r="D5950" s="20" t="s">
        <v>238</v>
      </c>
      <c r="E5950" s="20" t="s">
        <v>2341</v>
      </c>
      <c r="F5950" s="20" t="s">
        <v>378</v>
      </c>
      <c r="G5950" s="20" t="s">
        <v>379</v>
      </c>
      <c r="H5950" s="20"/>
      <c r="I5950" s="20"/>
      <c r="J5950" s="20" t="s">
        <v>209</v>
      </c>
      <c r="K5950" s="20" t="s">
        <v>250</v>
      </c>
      <c r="L5950" s="20">
        <v>718</v>
      </c>
      <c r="M5950" s="20" t="s">
        <v>242</v>
      </c>
      <c r="N5950" s="20" t="s">
        <v>3771</v>
      </c>
    </row>
    <row r="5951" spans="1:14" hidden="1" x14ac:dyDescent="0.25">
      <c r="A5951" s="19">
        <v>46143</v>
      </c>
      <c r="B5951" s="20" t="s">
        <v>535</v>
      </c>
      <c r="C5951" s="20">
        <v>6</v>
      </c>
      <c r="D5951" s="20" t="s">
        <v>238</v>
      </c>
      <c r="E5951" s="20" t="s">
        <v>2341</v>
      </c>
      <c r="F5951" s="20" t="s">
        <v>381</v>
      </c>
      <c r="G5951" s="20" t="s">
        <v>382</v>
      </c>
      <c r="H5951" s="20"/>
      <c r="I5951" s="20"/>
      <c r="J5951" s="20" t="s">
        <v>209</v>
      </c>
      <c r="K5951" s="20" t="s">
        <v>250</v>
      </c>
      <c r="L5951" s="20">
        <v>2513</v>
      </c>
      <c r="M5951" s="20" t="s">
        <v>242</v>
      </c>
      <c r="N5951" s="20" t="s">
        <v>3772</v>
      </c>
    </row>
    <row r="5952" spans="1:14" hidden="1" x14ac:dyDescent="0.25">
      <c r="A5952" s="19">
        <v>46143</v>
      </c>
      <c r="B5952" s="20" t="s">
        <v>535</v>
      </c>
      <c r="C5952" s="20">
        <v>6</v>
      </c>
      <c r="D5952" s="20" t="s">
        <v>238</v>
      </c>
      <c r="E5952" s="20" t="s">
        <v>2341</v>
      </c>
      <c r="F5952" s="20" t="s">
        <v>240</v>
      </c>
      <c r="G5952" s="20" t="s">
        <v>82</v>
      </c>
      <c r="H5952" s="20"/>
      <c r="I5952" s="20"/>
      <c r="J5952" s="20" t="s">
        <v>209</v>
      </c>
      <c r="K5952" s="20" t="s">
        <v>250</v>
      </c>
      <c r="L5952" s="20">
        <v>6860000</v>
      </c>
      <c r="M5952" s="20" t="s">
        <v>242</v>
      </c>
      <c r="N5952" s="20" t="s">
        <v>3773</v>
      </c>
    </row>
    <row r="5953" spans="1:14" hidden="1" x14ac:dyDescent="0.25">
      <c r="A5953" s="19">
        <v>46143</v>
      </c>
      <c r="B5953" s="20" t="s">
        <v>535</v>
      </c>
      <c r="C5953" s="20">
        <v>6</v>
      </c>
      <c r="D5953" s="20" t="s">
        <v>238</v>
      </c>
      <c r="E5953" s="20" t="s">
        <v>2341</v>
      </c>
      <c r="F5953" s="20" t="s">
        <v>244</v>
      </c>
      <c r="G5953" s="20" t="s">
        <v>82</v>
      </c>
      <c r="H5953" s="20"/>
      <c r="I5953" s="20"/>
      <c r="J5953" s="20" t="s">
        <v>209</v>
      </c>
      <c r="K5953" s="20" t="s">
        <v>250</v>
      </c>
      <c r="L5953" s="20">
        <v>1190000000</v>
      </c>
      <c r="M5953" s="20" t="s">
        <v>245</v>
      </c>
      <c r="N5953" s="20" t="s">
        <v>1477</v>
      </c>
    </row>
    <row r="5954" spans="1:14" hidden="1" x14ac:dyDescent="0.25">
      <c r="A5954" s="19">
        <v>46143</v>
      </c>
      <c r="B5954" s="20" t="s">
        <v>535</v>
      </c>
      <c r="C5954" s="20">
        <v>7</v>
      </c>
      <c r="D5954" s="20" t="s">
        <v>238</v>
      </c>
      <c r="E5954" s="20" t="s">
        <v>2341</v>
      </c>
      <c r="F5954" s="20" t="s">
        <v>1194</v>
      </c>
      <c r="G5954" s="20" t="s">
        <v>82</v>
      </c>
      <c r="H5954" s="20"/>
      <c r="I5954" s="20"/>
      <c r="J5954" s="20" t="s">
        <v>209</v>
      </c>
      <c r="K5954" s="20" t="s">
        <v>250</v>
      </c>
      <c r="L5954" s="20">
        <v>1160000</v>
      </c>
      <c r="M5954" s="20" t="s">
        <v>242</v>
      </c>
      <c r="N5954" s="20" t="s">
        <v>1370</v>
      </c>
    </row>
    <row r="5955" spans="1:14" hidden="1" x14ac:dyDescent="0.25">
      <c r="A5955" s="19">
        <v>46143</v>
      </c>
      <c r="B5955" s="20" t="s">
        <v>535</v>
      </c>
      <c r="C5955" s="20">
        <v>7</v>
      </c>
      <c r="D5955" s="20" t="s">
        <v>238</v>
      </c>
      <c r="E5955" s="20" t="s">
        <v>2341</v>
      </c>
      <c r="F5955" s="20" t="s">
        <v>544</v>
      </c>
      <c r="G5955" s="20" t="s">
        <v>82</v>
      </c>
      <c r="H5955" s="20"/>
      <c r="I5955" s="20"/>
      <c r="J5955" s="20" t="s">
        <v>209</v>
      </c>
      <c r="K5955" s="20" t="s">
        <v>250</v>
      </c>
      <c r="L5955" s="20">
        <v>1150000</v>
      </c>
      <c r="M5955" s="20" t="s">
        <v>242</v>
      </c>
      <c r="N5955" s="20" t="s">
        <v>1849</v>
      </c>
    </row>
    <row r="5956" spans="1:14" hidden="1" x14ac:dyDescent="0.25">
      <c r="A5956" s="19">
        <v>46143</v>
      </c>
      <c r="B5956" s="20" t="s">
        <v>535</v>
      </c>
      <c r="C5956" s="20">
        <v>7</v>
      </c>
      <c r="D5956" s="20" t="s">
        <v>238</v>
      </c>
      <c r="E5956" s="20" t="s">
        <v>2341</v>
      </c>
      <c r="F5956" s="20" t="s">
        <v>929</v>
      </c>
      <c r="G5956" s="20" t="s">
        <v>82</v>
      </c>
      <c r="H5956" s="20"/>
      <c r="I5956" s="20"/>
      <c r="J5956" s="20" t="s">
        <v>209</v>
      </c>
      <c r="K5956" s="20" t="s">
        <v>250</v>
      </c>
      <c r="L5956" s="20">
        <v>908000000</v>
      </c>
      <c r="M5956" s="20" t="s">
        <v>245</v>
      </c>
      <c r="N5956" s="20" t="s">
        <v>3774</v>
      </c>
    </row>
    <row r="5957" spans="1:14" hidden="1" x14ac:dyDescent="0.25">
      <c r="A5957" s="19">
        <v>46143</v>
      </c>
      <c r="B5957" s="20" t="s">
        <v>535</v>
      </c>
      <c r="C5957" s="20">
        <v>8</v>
      </c>
      <c r="D5957" s="20" t="s">
        <v>238</v>
      </c>
      <c r="E5957" s="20" t="s">
        <v>2341</v>
      </c>
      <c r="F5957" s="20" t="s">
        <v>548</v>
      </c>
      <c r="G5957" s="20" t="s">
        <v>158</v>
      </c>
      <c r="H5957" s="20"/>
      <c r="I5957" s="20"/>
      <c r="J5957" s="20" t="s">
        <v>209</v>
      </c>
      <c r="K5957" s="20" t="s">
        <v>250</v>
      </c>
      <c r="L5957" s="20">
        <v>552000</v>
      </c>
      <c r="M5957" s="20" t="s">
        <v>242</v>
      </c>
      <c r="N5957" s="20" t="s">
        <v>3775</v>
      </c>
    </row>
    <row r="5958" spans="1:14" hidden="1" x14ac:dyDescent="0.25">
      <c r="A5958" s="19">
        <v>46143</v>
      </c>
      <c r="B5958" s="20" t="s">
        <v>535</v>
      </c>
      <c r="C5958" s="20">
        <v>8</v>
      </c>
      <c r="D5958" s="20" t="s">
        <v>238</v>
      </c>
      <c r="E5958" s="20" t="s">
        <v>2341</v>
      </c>
      <c r="F5958" s="20" t="s">
        <v>349</v>
      </c>
      <c r="G5958" s="20" t="s">
        <v>158</v>
      </c>
      <c r="H5958" s="20"/>
      <c r="I5958" s="20"/>
      <c r="J5958" s="20" t="s">
        <v>209</v>
      </c>
      <c r="K5958" s="20" t="s">
        <v>250</v>
      </c>
      <c r="L5958" s="20">
        <v>18600</v>
      </c>
      <c r="M5958" s="20" t="s">
        <v>242</v>
      </c>
      <c r="N5958" s="20" t="s">
        <v>3776</v>
      </c>
    </row>
    <row r="5959" spans="1:14" hidden="1" x14ac:dyDescent="0.25">
      <c r="A5959" s="19">
        <v>46143</v>
      </c>
      <c r="B5959" s="20" t="s">
        <v>535</v>
      </c>
      <c r="C5959" s="20">
        <v>8</v>
      </c>
      <c r="D5959" s="20" t="s">
        <v>238</v>
      </c>
      <c r="E5959" s="20" t="s">
        <v>2341</v>
      </c>
      <c r="F5959" s="20" t="s">
        <v>551</v>
      </c>
      <c r="G5959" s="20" t="s">
        <v>158</v>
      </c>
      <c r="H5959" s="20"/>
      <c r="I5959" s="20"/>
      <c r="J5959" s="20" t="s">
        <v>209</v>
      </c>
      <c r="K5959" s="20" t="s">
        <v>250</v>
      </c>
      <c r="L5959" s="20">
        <v>3330000000</v>
      </c>
      <c r="M5959" s="20" t="s">
        <v>245</v>
      </c>
      <c r="N5959" s="20" t="s">
        <v>3777</v>
      </c>
    </row>
    <row r="5960" spans="1:14" hidden="1" x14ac:dyDescent="0.25">
      <c r="A5960" s="19">
        <v>46143</v>
      </c>
      <c r="B5960" s="20" t="s">
        <v>535</v>
      </c>
      <c r="C5960" s="20">
        <v>8</v>
      </c>
      <c r="D5960" s="20" t="s">
        <v>238</v>
      </c>
      <c r="E5960" s="20" t="s">
        <v>2341</v>
      </c>
      <c r="F5960" s="20" t="s">
        <v>361</v>
      </c>
      <c r="G5960" s="20" t="s">
        <v>158</v>
      </c>
      <c r="H5960" s="20"/>
      <c r="I5960" s="20"/>
      <c r="J5960" s="20" t="s">
        <v>209</v>
      </c>
      <c r="K5960" s="20" t="s">
        <v>250</v>
      </c>
      <c r="L5960" s="20">
        <v>103600000</v>
      </c>
      <c r="M5960" s="20" t="s">
        <v>245</v>
      </c>
      <c r="N5960" s="20" t="s">
        <v>3778</v>
      </c>
    </row>
    <row r="5961" spans="1:14" hidden="1" x14ac:dyDescent="0.25">
      <c r="A5961" s="19">
        <v>46143</v>
      </c>
      <c r="B5961" s="20" t="s">
        <v>35</v>
      </c>
      <c r="C5961" s="20">
        <v>10</v>
      </c>
      <c r="D5961" s="20" t="s">
        <v>238</v>
      </c>
      <c r="E5961" s="20" t="s">
        <v>2341</v>
      </c>
      <c r="F5961" s="20" t="s">
        <v>240</v>
      </c>
      <c r="G5961" s="20" t="s">
        <v>82</v>
      </c>
      <c r="H5961" s="20"/>
      <c r="I5961" s="20"/>
      <c r="J5961" s="20" t="s">
        <v>3779</v>
      </c>
      <c r="K5961" s="20" t="s">
        <v>241</v>
      </c>
      <c r="L5961" s="20">
        <v>94050000</v>
      </c>
      <c r="M5961" s="20" t="s">
        <v>242</v>
      </c>
      <c r="N5961" s="20" t="s">
        <v>3702</v>
      </c>
    </row>
    <row r="5962" spans="1:14" hidden="1" x14ac:dyDescent="0.25">
      <c r="A5962" s="19">
        <v>46143</v>
      </c>
      <c r="B5962" s="20" t="s">
        <v>35</v>
      </c>
      <c r="C5962" s="20">
        <v>10</v>
      </c>
      <c r="D5962" s="20" t="s">
        <v>238</v>
      </c>
      <c r="E5962" s="20" t="s">
        <v>2341</v>
      </c>
      <c r="F5962" s="20" t="s">
        <v>244</v>
      </c>
      <c r="G5962" s="20" t="s">
        <v>82</v>
      </c>
      <c r="H5962" s="20"/>
      <c r="I5962" s="20"/>
      <c r="J5962" s="20" t="s">
        <v>3779</v>
      </c>
      <c r="K5962" s="20" t="s">
        <v>241</v>
      </c>
      <c r="L5962" s="20">
        <v>9730000000</v>
      </c>
      <c r="M5962" s="20" t="s">
        <v>245</v>
      </c>
      <c r="N5962" s="20" t="s">
        <v>3780</v>
      </c>
    </row>
    <row r="5963" spans="1:14" hidden="1" x14ac:dyDescent="0.25">
      <c r="A5963" s="19">
        <v>46143</v>
      </c>
      <c r="B5963" s="20" t="s">
        <v>35</v>
      </c>
      <c r="C5963" s="20">
        <v>11</v>
      </c>
      <c r="D5963" s="20" t="s">
        <v>253</v>
      </c>
      <c r="E5963" s="20" t="s">
        <v>2359</v>
      </c>
      <c r="F5963" s="20" t="s">
        <v>285</v>
      </c>
      <c r="G5963" s="20" t="s">
        <v>63</v>
      </c>
      <c r="H5963" s="20"/>
      <c r="I5963" s="20"/>
      <c r="J5963" s="20" t="s">
        <v>207</v>
      </c>
      <c r="K5963" s="20" t="s">
        <v>255</v>
      </c>
      <c r="L5963" s="20">
        <v>2220000</v>
      </c>
      <c r="M5963" s="20" t="s">
        <v>242</v>
      </c>
      <c r="N5963" s="20" t="s">
        <v>3494</v>
      </c>
    </row>
    <row r="5964" spans="1:14" hidden="1" x14ac:dyDescent="0.25">
      <c r="A5964" s="19">
        <v>46143</v>
      </c>
      <c r="B5964" s="20" t="s">
        <v>35</v>
      </c>
      <c r="C5964" s="20">
        <v>11</v>
      </c>
      <c r="D5964" s="20" t="s">
        <v>253</v>
      </c>
      <c r="E5964" s="20" t="s">
        <v>2359</v>
      </c>
      <c r="F5964" s="20" t="s">
        <v>285</v>
      </c>
      <c r="G5964" s="20" t="s">
        <v>63</v>
      </c>
      <c r="H5964" s="20"/>
      <c r="I5964" s="20"/>
      <c r="J5964" s="20" t="s">
        <v>208</v>
      </c>
      <c r="K5964" s="20" t="s">
        <v>255</v>
      </c>
      <c r="L5964" s="20">
        <v>2250000</v>
      </c>
      <c r="M5964" s="20" t="s">
        <v>242</v>
      </c>
      <c r="N5964" s="20" t="s">
        <v>3642</v>
      </c>
    </row>
    <row r="5965" spans="1:14" hidden="1" x14ac:dyDescent="0.25">
      <c r="A5965" s="19">
        <v>46143</v>
      </c>
      <c r="B5965" s="20" t="s">
        <v>35</v>
      </c>
      <c r="C5965" s="20">
        <v>11</v>
      </c>
      <c r="D5965" s="20" t="s">
        <v>253</v>
      </c>
      <c r="E5965" s="20" t="s">
        <v>2359</v>
      </c>
      <c r="F5965" s="20" t="s">
        <v>285</v>
      </c>
      <c r="G5965" s="20" t="s">
        <v>63</v>
      </c>
      <c r="H5965" s="20"/>
      <c r="I5965" s="20"/>
      <c r="J5965" s="20" t="s">
        <v>209</v>
      </c>
      <c r="K5965" s="20" t="s">
        <v>255</v>
      </c>
      <c r="L5965" s="20">
        <v>2280000</v>
      </c>
      <c r="M5965" s="20" t="s">
        <v>242</v>
      </c>
      <c r="N5965" s="20" t="s">
        <v>703</v>
      </c>
    </row>
    <row r="5966" spans="1:14" hidden="1" x14ac:dyDescent="0.25">
      <c r="A5966" s="19">
        <v>46143</v>
      </c>
      <c r="B5966" s="20" t="s">
        <v>35</v>
      </c>
      <c r="C5966" s="20">
        <v>11</v>
      </c>
      <c r="D5966" s="20" t="s">
        <v>247</v>
      </c>
      <c r="E5966" s="20" t="s">
        <v>2554</v>
      </c>
      <c r="F5966" s="20" t="s">
        <v>2555</v>
      </c>
      <c r="G5966" s="20" t="s">
        <v>63</v>
      </c>
      <c r="H5966" s="20" t="s">
        <v>286</v>
      </c>
      <c r="I5966" s="20"/>
      <c r="J5966" s="20" t="s">
        <v>209</v>
      </c>
      <c r="K5966" s="20" t="s">
        <v>250</v>
      </c>
      <c r="L5966" s="20">
        <v>1.3</v>
      </c>
      <c r="M5966" s="20" t="s">
        <v>251</v>
      </c>
      <c r="N5966" s="20" t="s">
        <v>1230</v>
      </c>
    </row>
    <row r="5967" spans="1:14" hidden="1" x14ac:dyDescent="0.25">
      <c r="A5967" s="19">
        <v>46143</v>
      </c>
      <c r="B5967" s="20" t="s">
        <v>35</v>
      </c>
      <c r="C5967" s="20">
        <v>12</v>
      </c>
      <c r="D5967" s="20" t="s">
        <v>291</v>
      </c>
      <c r="E5967" s="20" t="s">
        <v>2361</v>
      </c>
      <c r="F5967" s="20" t="s">
        <v>2362</v>
      </c>
      <c r="G5967" s="20" t="s">
        <v>63</v>
      </c>
      <c r="H5967" s="20" t="s">
        <v>64</v>
      </c>
      <c r="I5967" s="20"/>
      <c r="J5967" s="20" t="s">
        <v>209</v>
      </c>
      <c r="K5967" s="20" t="s">
        <v>250</v>
      </c>
      <c r="L5967" s="20">
        <v>2190000</v>
      </c>
      <c r="M5967" s="20" t="s">
        <v>242</v>
      </c>
      <c r="N5967" s="20" t="s">
        <v>3781</v>
      </c>
    </row>
    <row r="5968" spans="1:14" hidden="1" x14ac:dyDescent="0.25">
      <c r="A5968" s="19">
        <v>46143</v>
      </c>
      <c r="B5968" s="20" t="s">
        <v>35</v>
      </c>
      <c r="C5968" s="20">
        <v>12</v>
      </c>
      <c r="D5968" s="20" t="s">
        <v>291</v>
      </c>
      <c r="E5968" s="20" t="s">
        <v>2361</v>
      </c>
      <c r="F5968" s="20" t="s">
        <v>2362</v>
      </c>
      <c r="G5968" s="20" t="s">
        <v>63</v>
      </c>
      <c r="H5968" s="20" t="s">
        <v>65</v>
      </c>
      <c r="I5968" s="20"/>
      <c r="J5968" s="20" t="s">
        <v>209</v>
      </c>
      <c r="K5968" s="20" t="s">
        <v>250</v>
      </c>
      <c r="L5968" s="20">
        <v>92700</v>
      </c>
      <c r="M5968" s="20" t="s">
        <v>242</v>
      </c>
      <c r="N5968" s="20" t="s">
        <v>3782</v>
      </c>
    </row>
    <row r="5969" spans="1:14" hidden="1" x14ac:dyDescent="0.25">
      <c r="A5969" s="19">
        <v>46143</v>
      </c>
      <c r="B5969" s="20" t="s">
        <v>35</v>
      </c>
      <c r="C5969" s="20">
        <v>13</v>
      </c>
      <c r="D5969" s="20" t="s">
        <v>291</v>
      </c>
      <c r="E5969" s="20" t="s">
        <v>2361</v>
      </c>
      <c r="F5969" s="20" t="s">
        <v>2362</v>
      </c>
      <c r="G5969" s="20" t="s">
        <v>63</v>
      </c>
      <c r="H5969" s="20" t="s">
        <v>2364</v>
      </c>
      <c r="I5969" s="20"/>
      <c r="J5969" s="20" t="s">
        <v>209</v>
      </c>
      <c r="K5969" s="20" t="s">
        <v>250</v>
      </c>
      <c r="L5969" s="20">
        <v>1390000</v>
      </c>
      <c r="M5969" s="20" t="s">
        <v>242</v>
      </c>
      <c r="N5969" s="20" t="s">
        <v>3783</v>
      </c>
    </row>
    <row r="5970" spans="1:14" hidden="1" x14ac:dyDescent="0.25">
      <c r="A5970" s="19">
        <v>46143</v>
      </c>
      <c r="B5970" s="20" t="s">
        <v>35</v>
      </c>
      <c r="C5970" s="20">
        <v>13</v>
      </c>
      <c r="D5970" s="20" t="s">
        <v>291</v>
      </c>
      <c r="E5970" s="20" t="s">
        <v>2361</v>
      </c>
      <c r="F5970" s="20" t="s">
        <v>2362</v>
      </c>
      <c r="G5970" s="20" t="s">
        <v>63</v>
      </c>
      <c r="H5970" s="20" t="s">
        <v>2366</v>
      </c>
      <c r="I5970" s="20"/>
      <c r="J5970" s="20" t="s">
        <v>209</v>
      </c>
      <c r="K5970" s="20" t="s">
        <v>250</v>
      </c>
      <c r="L5970" s="20">
        <v>830000</v>
      </c>
      <c r="M5970" s="20" t="s">
        <v>242</v>
      </c>
      <c r="N5970" s="20" t="s">
        <v>3784</v>
      </c>
    </row>
    <row r="5971" spans="1:14" x14ac:dyDescent="0.25">
      <c r="A5971" s="19">
        <v>46143</v>
      </c>
      <c r="B5971" s="20" t="s">
        <v>35</v>
      </c>
      <c r="C5971" s="20">
        <v>14</v>
      </c>
      <c r="D5971" s="20" t="s">
        <v>291</v>
      </c>
      <c r="E5971" s="20" t="s">
        <v>2361</v>
      </c>
      <c r="F5971" s="20" t="s">
        <v>285</v>
      </c>
      <c r="G5971" s="20" t="s">
        <v>63</v>
      </c>
      <c r="H5971" s="20" t="s">
        <v>77</v>
      </c>
      <c r="I5971" s="20"/>
      <c r="J5971" s="20" t="s">
        <v>209</v>
      </c>
      <c r="K5971" s="20" t="s">
        <v>250</v>
      </c>
      <c r="L5971" s="20">
        <v>11000</v>
      </c>
      <c r="M5971" s="20" t="s">
        <v>242</v>
      </c>
      <c r="N5971" s="20" t="s">
        <v>3645</v>
      </c>
    </row>
    <row r="5972" spans="1:14" x14ac:dyDescent="0.25">
      <c r="A5972" s="19">
        <v>46143</v>
      </c>
      <c r="B5972" s="20" t="s">
        <v>35</v>
      </c>
      <c r="C5972" s="20">
        <v>14</v>
      </c>
      <c r="D5972" s="20" t="s">
        <v>291</v>
      </c>
      <c r="E5972" s="20" t="s">
        <v>2361</v>
      </c>
      <c r="F5972" s="20" t="s">
        <v>285</v>
      </c>
      <c r="G5972" s="20" t="s">
        <v>63</v>
      </c>
      <c r="H5972" s="20" t="s">
        <v>70</v>
      </c>
      <c r="I5972" s="20"/>
      <c r="J5972" s="20" t="s">
        <v>209</v>
      </c>
      <c r="K5972" s="20" t="s">
        <v>250</v>
      </c>
      <c r="L5972" s="20">
        <v>816000</v>
      </c>
      <c r="M5972" s="20" t="s">
        <v>242</v>
      </c>
      <c r="N5972" s="20" t="s">
        <v>3785</v>
      </c>
    </row>
    <row r="5973" spans="1:14" x14ac:dyDescent="0.25">
      <c r="A5973" s="19">
        <v>46143</v>
      </c>
      <c r="B5973" s="20" t="s">
        <v>35</v>
      </c>
      <c r="C5973" s="20">
        <v>14</v>
      </c>
      <c r="D5973" s="20" t="s">
        <v>291</v>
      </c>
      <c r="E5973" s="20" t="s">
        <v>2361</v>
      </c>
      <c r="F5973" s="20" t="s">
        <v>285</v>
      </c>
      <c r="G5973" s="20" t="s">
        <v>63</v>
      </c>
      <c r="H5973" s="20" t="s">
        <v>71</v>
      </c>
      <c r="I5973" s="20"/>
      <c r="J5973" s="20" t="s">
        <v>209</v>
      </c>
      <c r="K5973" s="20" t="s">
        <v>250</v>
      </c>
      <c r="L5973" s="20">
        <v>580000</v>
      </c>
      <c r="M5973" s="20" t="s">
        <v>242</v>
      </c>
      <c r="N5973" s="20" t="s">
        <v>3786</v>
      </c>
    </row>
    <row r="5974" spans="1:14" x14ac:dyDescent="0.25">
      <c r="A5974" s="19">
        <v>46143</v>
      </c>
      <c r="B5974" s="20" t="s">
        <v>35</v>
      </c>
      <c r="C5974" s="20">
        <v>14</v>
      </c>
      <c r="D5974" s="20" t="s">
        <v>291</v>
      </c>
      <c r="E5974" s="20" t="s">
        <v>2361</v>
      </c>
      <c r="F5974" s="20" t="s">
        <v>285</v>
      </c>
      <c r="G5974" s="20" t="s">
        <v>63</v>
      </c>
      <c r="H5974" s="20" t="s">
        <v>72</v>
      </c>
      <c r="I5974" s="20"/>
      <c r="J5974" s="20" t="s">
        <v>209</v>
      </c>
      <c r="K5974" s="20" t="s">
        <v>250</v>
      </c>
      <c r="L5974" s="20">
        <v>408000</v>
      </c>
      <c r="M5974" s="20" t="s">
        <v>242</v>
      </c>
      <c r="N5974" s="20" t="s">
        <v>3787</v>
      </c>
    </row>
    <row r="5975" spans="1:14" x14ac:dyDescent="0.25">
      <c r="A5975" s="19">
        <v>46143</v>
      </c>
      <c r="B5975" s="20" t="s">
        <v>35</v>
      </c>
      <c r="C5975" s="20">
        <v>14</v>
      </c>
      <c r="D5975" s="20" t="s">
        <v>291</v>
      </c>
      <c r="E5975" s="20" t="s">
        <v>2361</v>
      </c>
      <c r="F5975" s="20" t="s">
        <v>285</v>
      </c>
      <c r="G5975" s="20" t="s">
        <v>63</v>
      </c>
      <c r="H5975" s="20" t="s">
        <v>73</v>
      </c>
      <c r="I5975" s="20"/>
      <c r="J5975" s="20" t="s">
        <v>209</v>
      </c>
      <c r="K5975" s="20" t="s">
        <v>250</v>
      </c>
      <c r="L5975" s="20">
        <v>253000</v>
      </c>
      <c r="M5975" s="20" t="s">
        <v>242</v>
      </c>
      <c r="N5975" s="20" t="s">
        <v>3788</v>
      </c>
    </row>
    <row r="5976" spans="1:14" x14ac:dyDescent="0.25">
      <c r="A5976" s="19">
        <v>46143</v>
      </c>
      <c r="B5976" s="20" t="s">
        <v>35</v>
      </c>
      <c r="C5976" s="20">
        <v>14</v>
      </c>
      <c r="D5976" s="20" t="s">
        <v>291</v>
      </c>
      <c r="E5976" s="20" t="s">
        <v>2361</v>
      </c>
      <c r="F5976" s="20" t="s">
        <v>285</v>
      </c>
      <c r="G5976" s="20" t="s">
        <v>63</v>
      </c>
      <c r="H5976" s="20" t="s">
        <v>74</v>
      </c>
      <c r="I5976" s="20"/>
      <c r="J5976" s="20" t="s">
        <v>209</v>
      </c>
      <c r="K5976" s="20" t="s">
        <v>250</v>
      </c>
      <c r="L5976" s="20">
        <v>119000</v>
      </c>
      <c r="M5976" s="20" t="s">
        <v>242</v>
      </c>
      <c r="N5976" s="20" t="s">
        <v>3789</v>
      </c>
    </row>
    <row r="5977" spans="1:14" x14ac:dyDescent="0.25">
      <c r="A5977" s="19">
        <v>46143</v>
      </c>
      <c r="B5977" s="20" t="s">
        <v>35</v>
      </c>
      <c r="C5977" s="20">
        <v>14</v>
      </c>
      <c r="D5977" s="20" t="s">
        <v>291</v>
      </c>
      <c r="E5977" s="20" t="s">
        <v>2361</v>
      </c>
      <c r="F5977" s="20" t="s">
        <v>285</v>
      </c>
      <c r="G5977" s="20" t="s">
        <v>63</v>
      </c>
      <c r="H5977" s="20" t="s">
        <v>75</v>
      </c>
      <c r="I5977" s="20"/>
      <c r="J5977" s="20" t="s">
        <v>209</v>
      </c>
      <c r="K5977" s="20" t="s">
        <v>250</v>
      </c>
      <c r="L5977" s="20">
        <v>33000</v>
      </c>
      <c r="M5977" s="20" t="s">
        <v>242</v>
      </c>
      <c r="N5977" s="20" t="s">
        <v>2503</v>
      </c>
    </row>
    <row r="5978" spans="1:14" x14ac:dyDescent="0.25">
      <c r="A5978" s="19">
        <v>46143</v>
      </c>
      <c r="B5978" s="20" t="s">
        <v>35</v>
      </c>
      <c r="C5978" s="20">
        <v>14</v>
      </c>
      <c r="D5978" s="20" t="s">
        <v>291</v>
      </c>
      <c r="E5978" s="20" t="s">
        <v>2361</v>
      </c>
      <c r="F5978" s="20" t="s">
        <v>285</v>
      </c>
      <c r="G5978" s="20" t="s">
        <v>63</v>
      </c>
      <c r="H5978" s="20" t="s">
        <v>76</v>
      </c>
      <c r="I5978" s="20"/>
      <c r="J5978" s="20" t="s">
        <v>209</v>
      </c>
      <c r="K5978" s="20" t="s">
        <v>250</v>
      </c>
      <c r="L5978" s="20">
        <v>7000</v>
      </c>
      <c r="M5978" s="20" t="s">
        <v>242</v>
      </c>
      <c r="N5978" s="20" t="s">
        <v>3210</v>
      </c>
    </row>
    <row r="5979" spans="1:14" hidden="1" x14ac:dyDescent="0.25">
      <c r="A5979" s="19">
        <v>46143</v>
      </c>
      <c r="B5979" s="20" t="s">
        <v>35</v>
      </c>
      <c r="C5979" s="20">
        <v>15</v>
      </c>
      <c r="D5979" s="20" t="s">
        <v>291</v>
      </c>
      <c r="E5979" s="20" t="s">
        <v>2361</v>
      </c>
      <c r="F5979" s="20" t="s">
        <v>2362</v>
      </c>
      <c r="G5979" s="20" t="s">
        <v>63</v>
      </c>
      <c r="H5979" s="20" t="s">
        <v>79</v>
      </c>
      <c r="I5979" s="20"/>
      <c r="J5979" s="20" t="s">
        <v>209</v>
      </c>
      <c r="K5979" s="20" t="s">
        <v>250</v>
      </c>
      <c r="L5979" s="20">
        <v>2200000</v>
      </c>
      <c r="M5979" s="20" t="s">
        <v>242</v>
      </c>
      <c r="N5979" s="20" t="s">
        <v>3332</v>
      </c>
    </row>
    <row r="5980" spans="1:14" hidden="1" x14ac:dyDescent="0.25">
      <c r="A5980" s="19">
        <v>46143</v>
      </c>
      <c r="B5980" s="20" t="s">
        <v>35</v>
      </c>
      <c r="C5980" s="20">
        <v>15</v>
      </c>
      <c r="D5980" s="20" t="s">
        <v>291</v>
      </c>
      <c r="E5980" s="20" t="s">
        <v>2361</v>
      </c>
      <c r="F5980" s="20" t="s">
        <v>2362</v>
      </c>
      <c r="G5980" s="20" t="s">
        <v>63</v>
      </c>
      <c r="H5980" s="20" t="s">
        <v>80</v>
      </c>
      <c r="I5980" s="20"/>
      <c r="J5980" s="20" t="s">
        <v>209</v>
      </c>
      <c r="K5980" s="20" t="s">
        <v>250</v>
      </c>
      <c r="L5980" s="20">
        <v>54700</v>
      </c>
      <c r="M5980" s="20" t="s">
        <v>242</v>
      </c>
      <c r="N5980" s="20" t="s">
        <v>3790</v>
      </c>
    </row>
    <row r="5981" spans="1:14" hidden="1" x14ac:dyDescent="0.25">
      <c r="A5981" s="19">
        <v>46143</v>
      </c>
      <c r="B5981" s="20" t="s">
        <v>35</v>
      </c>
      <c r="C5981" s="20">
        <v>16</v>
      </c>
      <c r="D5981" s="20" t="s">
        <v>253</v>
      </c>
      <c r="E5981" s="20" t="s">
        <v>2359</v>
      </c>
      <c r="F5981" s="20" t="s">
        <v>240</v>
      </c>
      <c r="G5981" s="20" t="s">
        <v>82</v>
      </c>
      <c r="H5981" s="20"/>
      <c r="I5981" s="20"/>
      <c r="J5981" s="20" t="s">
        <v>207</v>
      </c>
      <c r="K5981" s="20" t="s">
        <v>255</v>
      </c>
      <c r="L5981" s="20">
        <v>19010000</v>
      </c>
      <c r="M5981" s="20" t="s">
        <v>242</v>
      </c>
      <c r="N5981" s="20" t="s">
        <v>3501</v>
      </c>
    </row>
    <row r="5982" spans="1:14" hidden="1" x14ac:dyDescent="0.25">
      <c r="A5982" s="19">
        <v>46143</v>
      </c>
      <c r="B5982" s="20" t="s">
        <v>35</v>
      </c>
      <c r="C5982" s="20">
        <v>16</v>
      </c>
      <c r="D5982" s="20" t="s">
        <v>253</v>
      </c>
      <c r="E5982" s="20" t="s">
        <v>2359</v>
      </c>
      <c r="F5982" s="20" t="s">
        <v>240</v>
      </c>
      <c r="G5982" s="20" t="s">
        <v>82</v>
      </c>
      <c r="H5982" s="20"/>
      <c r="I5982" s="20"/>
      <c r="J5982" s="20" t="s">
        <v>208</v>
      </c>
      <c r="K5982" s="20" t="s">
        <v>255</v>
      </c>
      <c r="L5982" s="20">
        <v>19330000</v>
      </c>
      <c r="M5982" s="20" t="s">
        <v>242</v>
      </c>
      <c r="N5982" s="20" t="s">
        <v>3652</v>
      </c>
    </row>
    <row r="5983" spans="1:14" hidden="1" x14ac:dyDescent="0.25">
      <c r="A5983" s="19">
        <v>46143</v>
      </c>
      <c r="B5983" s="20" t="s">
        <v>35</v>
      </c>
      <c r="C5983" s="20">
        <v>16</v>
      </c>
      <c r="D5983" s="20" t="s">
        <v>253</v>
      </c>
      <c r="E5983" s="20" t="s">
        <v>2359</v>
      </c>
      <c r="F5983" s="20" t="s">
        <v>240</v>
      </c>
      <c r="G5983" s="20" t="s">
        <v>82</v>
      </c>
      <c r="H5983" s="20"/>
      <c r="I5983" s="20"/>
      <c r="J5983" s="20" t="s">
        <v>209</v>
      </c>
      <c r="K5983" s="20" t="s">
        <v>255</v>
      </c>
      <c r="L5983" s="20">
        <v>21430000</v>
      </c>
      <c r="M5983" s="20" t="s">
        <v>242</v>
      </c>
      <c r="N5983" s="20" t="s">
        <v>3791</v>
      </c>
    </row>
    <row r="5984" spans="1:14" hidden="1" x14ac:dyDescent="0.25">
      <c r="A5984" s="19">
        <v>46143</v>
      </c>
      <c r="B5984" s="20" t="s">
        <v>35</v>
      </c>
      <c r="C5984" s="20">
        <v>16</v>
      </c>
      <c r="D5984" s="20" t="s">
        <v>247</v>
      </c>
      <c r="E5984" s="20" t="s">
        <v>2554</v>
      </c>
      <c r="F5984" s="20" t="s">
        <v>2556</v>
      </c>
      <c r="G5984" s="20" t="s">
        <v>82</v>
      </c>
      <c r="H5984" s="20" t="s">
        <v>286</v>
      </c>
      <c r="I5984" s="20"/>
      <c r="J5984" s="20" t="s">
        <v>209</v>
      </c>
      <c r="K5984" s="20" t="s">
        <v>250</v>
      </c>
      <c r="L5984" s="20">
        <v>10.9</v>
      </c>
      <c r="M5984" s="20" t="s">
        <v>251</v>
      </c>
      <c r="N5984" s="20" t="s">
        <v>1876</v>
      </c>
    </row>
    <row r="5985" spans="1:14" hidden="1" x14ac:dyDescent="0.25">
      <c r="A5985" s="19">
        <v>46143</v>
      </c>
      <c r="B5985" s="20" t="s">
        <v>35</v>
      </c>
      <c r="C5985" s="20">
        <v>17</v>
      </c>
      <c r="D5985" s="20" t="s">
        <v>291</v>
      </c>
      <c r="E5985" s="20" t="s">
        <v>2361</v>
      </c>
      <c r="F5985" s="20" t="s">
        <v>240</v>
      </c>
      <c r="G5985" s="20" t="s">
        <v>82</v>
      </c>
      <c r="H5985" s="20" t="s">
        <v>83</v>
      </c>
      <c r="I5985" s="20"/>
      <c r="J5985" s="20" t="s">
        <v>209</v>
      </c>
      <c r="K5985" s="20" t="s">
        <v>250</v>
      </c>
      <c r="L5985" s="20">
        <v>17230000</v>
      </c>
      <c r="M5985" s="20" t="s">
        <v>242</v>
      </c>
      <c r="N5985" s="20" t="s">
        <v>3792</v>
      </c>
    </row>
    <row r="5986" spans="1:14" hidden="1" x14ac:dyDescent="0.25">
      <c r="A5986" s="19">
        <v>46143</v>
      </c>
      <c r="B5986" s="20" t="s">
        <v>35</v>
      </c>
      <c r="C5986" s="20">
        <v>17</v>
      </c>
      <c r="D5986" s="20" t="s">
        <v>291</v>
      </c>
      <c r="E5986" s="20" t="s">
        <v>2361</v>
      </c>
      <c r="F5986" s="20" t="s">
        <v>240</v>
      </c>
      <c r="G5986" s="20" t="s">
        <v>82</v>
      </c>
      <c r="H5986" s="20" t="s">
        <v>84</v>
      </c>
      <c r="I5986" s="20"/>
      <c r="J5986" s="20" t="s">
        <v>209</v>
      </c>
      <c r="K5986" s="20" t="s">
        <v>250</v>
      </c>
      <c r="L5986" s="20">
        <v>4210000</v>
      </c>
      <c r="M5986" s="20" t="s">
        <v>242</v>
      </c>
      <c r="N5986" s="20" t="s">
        <v>3793</v>
      </c>
    </row>
    <row r="5987" spans="1:14" hidden="1" x14ac:dyDescent="0.25">
      <c r="A5987" s="19">
        <v>46143</v>
      </c>
      <c r="B5987" s="20" t="s">
        <v>35</v>
      </c>
      <c r="C5987" s="20">
        <v>18</v>
      </c>
      <c r="D5987" s="20" t="s">
        <v>291</v>
      </c>
      <c r="E5987" s="20" t="s">
        <v>2361</v>
      </c>
      <c r="F5987" s="20" t="s">
        <v>240</v>
      </c>
      <c r="G5987" s="20" t="s">
        <v>82</v>
      </c>
      <c r="H5987" s="20" t="s">
        <v>83</v>
      </c>
      <c r="I5987" s="20" t="s">
        <v>315</v>
      </c>
      <c r="J5987" s="20" t="s">
        <v>209</v>
      </c>
      <c r="K5987" s="20" t="s">
        <v>250</v>
      </c>
      <c r="L5987" s="20"/>
      <c r="M5987" s="20" t="s">
        <v>251</v>
      </c>
      <c r="N5987" s="20" t="s">
        <v>3794</v>
      </c>
    </row>
    <row r="5988" spans="1:14" hidden="1" x14ac:dyDescent="0.25">
      <c r="A5988" s="19">
        <v>46143</v>
      </c>
      <c r="B5988" s="20" t="s">
        <v>35</v>
      </c>
      <c r="C5988" s="20">
        <v>18</v>
      </c>
      <c r="D5988" s="20" t="s">
        <v>291</v>
      </c>
      <c r="E5988" s="20" t="s">
        <v>2361</v>
      </c>
      <c r="F5988" s="20" t="s">
        <v>240</v>
      </c>
      <c r="G5988" s="20" t="s">
        <v>82</v>
      </c>
      <c r="H5988" s="20" t="s">
        <v>83</v>
      </c>
      <c r="I5988" s="20" t="s">
        <v>317</v>
      </c>
      <c r="J5988" s="20" t="s">
        <v>209</v>
      </c>
      <c r="K5988" s="20" t="s">
        <v>250</v>
      </c>
      <c r="L5988" s="20"/>
      <c r="M5988" s="20" t="s">
        <v>251</v>
      </c>
      <c r="N5988" s="20" t="s">
        <v>2223</v>
      </c>
    </row>
    <row r="5989" spans="1:14" hidden="1" x14ac:dyDescent="0.25">
      <c r="A5989" s="19">
        <v>46143</v>
      </c>
      <c r="B5989" s="20" t="s">
        <v>35</v>
      </c>
      <c r="C5989" s="20">
        <v>18</v>
      </c>
      <c r="D5989" s="20" t="s">
        <v>291</v>
      </c>
      <c r="E5989" s="20" t="s">
        <v>2361</v>
      </c>
      <c r="F5989" s="20" t="s">
        <v>240</v>
      </c>
      <c r="G5989" s="20" t="s">
        <v>82</v>
      </c>
      <c r="H5989" s="20" t="s">
        <v>83</v>
      </c>
      <c r="I5989" s="20" t="s">
        <v>313</v>
      </c>
      <c r="J5989" s="20" t="s">
        <v>209</v>
      </c>
      <c r="K5989" s="20" t="s">
        <v>250</v>
      </c>
      <c r="L5989" s="20"/>
      <c r="M5989" s="20" t="s">
        <v>251</v>
      </c>
      <c r="N5989" s="20" t="s">
        <v>769</v>
      </c>
    </row>
    <row r="5990" spans="1:14" hidden="1" x14ac:dyDescent="0.25">
      <c r="A5990" s="19">
        <v>46143</v>
      </c>
      <c r="B5990" s="20" t="s">
        <v>35</v>
      </c>
      <c r="C5990" s="20">
        <v>18</v>
      </c>
      <c r="D5990" s="20" t="s">
        <v>291</v>
      </c>
      <c r="E5990" s="20" t="s">
        <v>2361</v>
      </c>
      <c r="F5990" s="20" t="s">
        <v>240</v>
      </c>
      <c r="G5990" s="20" t="s">
        <v>82</v>
      </c>
      <c r="H5990" s="20" t="s">
        <v>84</v>
      </c>
      <c r="I5990" s="20" t="s">
        <v>319</v>
      </c>
      <c r="J5990" s="20" t="s">
        <v>209</v>
      </c>
      <c r="K5990" s="20" t="s">
        <v>250</v>
      </c>
      <c r="L5990" s="20"/>
      <c r="M5990" s="20" t="s">
        <v>251</v>
      </c>
      <c r="N5990" s="20" t="s">
        <v>1333</v>
      </c>
    </row>
    <row r="5991" spans="1:14" hidden="1" x14ac:dyDescent="0.25">
      <c r="A5991" s="19">
        <v>46143</v>
      </c>
      <c r="B5991" s="20" t="s">
        <v>35</v>
      </c>
      <c r="C5991" s="20">
        <v>18</v>
      </c>
      <c r="D5991" s="20" t="s">
        <v>291</v>
      </c>
      <c r="E5991" s="20" t="s">
        <v>2361</v>
      </c>
      <c r="F5991" s="20" t="s">
        <v>240</v>
      </c>
      <c r="G5991" s="20" t="s">
        <v>82</v>
      </c>
      <c r="H5991" s="20" t="s">
        <v>84</v>
      </c>
      <c r="I5991" s="20" t="s">
        <v>321</v>
      </c>
      <c r="J5991" s="20" t="s">
        <v>209</v>
      </c>
      <c r="K5991" s="20" t="s">
        <v>250</v>
      </c>
      <c r="L5991" s="20"/>
      <c r="M5991" s="20" t="s">
        <v>251</v>
      </c>
      <c r="N5991" s="20" t="s">
        <v>483</v>
      </c>
    </row>
    <row r="5992" spans="1:14" hidden="1" x14ac:dyDescent="0.25">
      <c r="A5992" s="19">
        <v>46143</v>
      </c>
      <c r="B5992" s="20" t="s">
        <v>35</v>
      </c>
      <c r="C5992" s="20">
        <v>19</v>
      </c>
      <c r="D5992" s="20" t="s">
        <v>253</v>
      </c>
      <c r="E5992" s="20" t="s">
        <v>2359</v>
      </c>
      <c r="F5992" s="20" t="s">
        <v>244</v>
      </c>
      <c r="G5992" s="20" t="s">
        <v>82</v>
      </c>
      <c r="H5992" s="20"/>
      <c r="I5992" s="20"/>
      <c r="J5992" s="20" t="s">
        <v>207</v>
      </c>
      <c r="K5992" s="20" t="s">
        <v>255</v>
      </c>
      <c r="L5992" s="20">
        <v>2020000000</v>
      </c>
      <c r="M5992" s="20" t="s">
        <v>245</v>
      </c>
      <c r="N5992" s="20" t="s">
        <v>3504</v>
      </c>
    </row>
    <row r="5993" spans="1:14" hidden="1" x14ac:dyDescent="0.25">
      <c r="A5993" s="19">
        <v>46143</v>
      </c>
      <c r="B5993" s="20" t="s">
        <v>35</v>
      </c>
      <c r="C5993" s="20">
        <v>19</v>
      </c>
      <c r="D5993" s="20" t="s">
        <v>253</v>
      </c>
      <c r="E5993" s="20" t="s">
        <v>2359</v>
      </c>
      <c r="F5993" s="20" t="s">
        <v>244</v>
      </c>
      <c r="G5993" s="20" t="s">
        <v>82</v>
      </c>
      <c r="H5993" s="20"/>
      <c r="I5993" s="20"/>
      <c r="J5993" s="20" t="s">
        <v>208</v>
      </c>
      <c r="K5993" s="20" t="s">
        <v>255</v>
      </c>
      <c r="L5993" s="20">
        <v>1890000000</v>
      </c>
      <c r="M5993" s="20" t="s">
        <v>245</v>
      </c>
      <c r="N5993" s="20" t="s">
        <v>3657</v>
      </c>
    </row>
    <row r="5994" spans="1:14" hidden="1" x14ac:dyDescent="0.25">
      <c r="A5994" s="19">
        <v>46143</v>
      </c>
      <c r="B5994" s="20" t="s">
        <v>35</v>
      </c>
      <c r="C5994" s="20">
        <v>19</v>
      </c>
      <c r="D5994" s="20" t="s">
        <v>253</v>
      </c>
      <c r="E5994" s="20" t="s">
        <v>2359</v>
      </c>
      <c r="F5994" s="20" t="s">
        <v>244</v>
      </c>
      <c r="G5994" s="20" t="s">
        <v>82</v>
      </c>
      <c r="H5994" s="20"/>
      <c r="I5994" s="20"/>
      <c r="J5994" s="20" t="s">
        <v>209</v>
      </c>
      <c r="K5994" s="20" t="s">
        <v>255</v>
      </c>
      <c r="L5994" s="20">
        <v>2130000000</v>
      </c>
      <c r="M5994" s="20" t="s">
        <v>245</v>
      </c>
      <c r="N5994" s="20" t="s">
        <v>3795</v>
      </c>
    </row>
    <row r="5995" spans="1:14" hidden="1" x14ac:dyDescent="0.25">
      <c r="A5995" s="19">
        <v>46143</v>
      </c>
      <c r="B5995" s="20" t="s">
        <v>35</v>
      </c>
      <c r="C5995" s="20">
        <v>19</v>
      </c>
      <c r="D5995" s="20" t="s">
        <v>247</v>
      </c>
      <c r="E5995" s="20" t="s">
        <v>2554</v>
      </c>
      <c r="F5995" s="20" t="s">
        <v>2557</v>
      </c>
      <c r="G5995" s="20" t="s">
        <v>82</v>
      </c>
      <c r="H5995" s="20" t="s">
        <v>286</v>
      </c>
      <c r="I5995" s="20"/>
      <c r="J5995" s="20" t="s">
        <v>209</v>
      </c>
      <c r="K5995" s="20" t="s">
        <v>250</v>
      </c>
      <c r="L5995" s="20">
        <v>13</v>
      </c>
      <c r="M5995" s="20" t="s">
        <v>251</v>
      </c>
      <c r="N5995" s="20" t="s">
        <v>2269</v>
      </c>
    </row>
    <row r="5996" spans="1:14" hidden="1" x14ac:dyDescent="0.25">
      <c r="A5996" s="19">
        <v>46143</v>
      </c>
      <c r="B5996" s="20" t="s">
        <v>35</v>
      </c>
      <c r="C5996" s="20">
        <v>20</v>
      </c>
      <c r="D5996" s="20" t="s">
        <v>291</v>
      </c>
      <c r="E5996" s="20" t="s">
        <v>2361</v>
      </c>
      <c r="F5996" s="20" t="s">
        <v>244</v>
      </c>
      <c r="G5996" s="20" t="s">
        <v>82</v>
      </c>
      <c r="H5996" s="20" t="s">
        <v>83</v>
      </c>
      <c r="I5996" s="20"/>
      <c r="J5996" s="20" t="s">
        <v>209</v>
      </c>
      <c r="K5996" s="20" t="s">
        <v>250</v>
      </c>
      <c r="L5996" s="20">
        <v>1560000000</v>
      </c>
      <c r="M5996" s="20" t="s">
        <v>245</v>
      </c>
      <c r="N5996" s="20" t="s">
        <v>1513</v>
      </c>
    </row>
    <row r="5997" spans="1:14" hidden="1" x14ac:dyDescent="0.25">
      <c r="A5997" s="19">
        <v>46143</v>
      </c>
      <c r="B5997" s="20" t="s">
        <v>35</v>
      </c>
      <c r="C5997" s="20">
        <v>20</v>
      </c>
      <c r="D5997" s="20" t="s">
        <v>291</v>
      </c>
      <c r="E5997" s="20" t="s">
        <v>2361</v>
      </c>
      <c r="F5997" s="20" t="s">
        <v>244</v>
      </c>
      <c r="G5997" s="20" t="s">
        <v>82</v>
      </c>
      <c r="H5997" s="20" t="s">
        <v>84</v>
      </c>
      <c r="I5997" s="20"/>
      <c r="J5997" s="20" t="s">
        <v>209</v>
      </c>
      <c r="K5997" s="20" t="s">
        <v>250</v>
      </c>
      <c r="L5997" s="20">
        <v>572500000</v>
      </c>
      <c r="M5997" s="20" t="s">
        <v>245</v>
      </c>
      <c r="N5997" s="20" t="s">
        <v>3796</v>
      </c>
    </row>
    <row r="5998" spans="1:14" hidden="1" x14ac:dyDescent="0.25">
      <c r="A5998" s="19">
        <v>46143</v>
      </c>
      <c r="B5998" s="20" t="s">
        <v>35</v>
      </c>
      <c r="C5998" s="20">
        <v>21</v>
      </c>
      <c r="D5998" s="20" t="s">
        <v>291</v>
      </c>
      <c r="E5998" s="20" t="s">
        <v>2361</v>
      </c>
      <c r="F5998" s="20" t="s">
        <v>244</v>
      </c>
      <c r="G5998" s="20" t="s">
        <v>82</v>
      </c>
      <c r="H5998" s="20" t="s">
        <v>83</v>
      </c>
      <c r="I5998" s="20" t="s">
        <v>315</v>
      </c>
      <c r="J5998" s="20" t="s">
        <v>209</v>
      </c>
      <c r="K5998" s="20" t="s">
        <v>250</v>
      </c>
      <c r="L5998" s="20"/>
      <c r="M5998" s="20" t="s">
        <v>251</v>
      </c>
      <c r="N5998" s="20" t="s">
        <v>3797</v>
      </c>
    </row>
    <row r="5999" spans="1:14" hidden="1" x14ac:dyDescent="0.25">
      <c r="A5999" s="19">
        <v>46143</v>
      </c>
      <c r="B5999" s="20" t="s">
        <v>35</v>
      </c>
      <c r="C5999" s="20">
        <v>21</v>
      </c>
      <c r="D5999" s="20" t="s">
        <v>291</v>
      </c>
      <c r="E5999" s="20" t="s">
        <v>2361</v>
      </c>
      <c r="F5999" s="20" t="s">
        <v>244</v>
      </c>
      <c r="G5999" s="20" t="s">
        <v>82</v>
      </c>
      <c r="H5999" s="20" t="s">
        <v>83</v>
      </c>
      <c r="I5999" s="20" t="s">
        <v>317</v>
      </c>
      <c r="J5999" s="20" t="s">
        <v>209</v>
      </c>
      <c r="K5999" s="20" t="s">
        <v>250</v>
      </c>
      <c r="L5999" s="20"/>
      <c r="M5999" s="20" t="s">
        <v>251</v>
      </c>
      <c r="N5999" s="20" t="s">
        <v>1339</v>
      </c>
    </row>
    <row r="6000" spans="1:14" hidden="1" x14ac:dyDescent="0.25">
      <c r="A6000" s="19">
        <v>46143</v>
      </c>
      <c r="B6000" s="20" t="s">
        <v>35</v>
      </c>
      <c r="C6000" s="20">
        <v>21</v>
      </c>
      <c r="D6000" s="20" t="s">
        <v>291</v>
      </c>
      <c r="E6000" s="20" t="s">
        <v>2361</v>
      </c>
      <c r="F6000" s="20" t="s">
        <v>244</v>
      </c>
      <c r="G6000" s="20" t="s">
        <v>82</v>
      </c>
      <c r="H6000" s="20" t="s">
        <v>83</v>
      </c>
      <c r="I6000" s="20" t="s">
        <v>313</v>
      </c>
      <c r="J6000" s="20" t="s">
        <v>209</v>
      </c>
      <c r="K6000" s="20" t="s">
        <v>250</v>
      </c>
      <c r="L6000" s="20"/>
      <c r="M6000" s="20" t="s">
        <v>251</v>
      </c>
      <c r="N6000" s="20" t="s">
        <v>599</v>
      </c>
    </row>
    <row r="6001" spans="1:14" hidden="1" x14ac:dyDescent="0.25">
      <c r="A6001" s="19">
        <v>46143</v>
      </c>
      <c r="B6001" s="20" t="s">
        <v>35</v>
      </c>
      <c r="C6001" s="20">
        <v>21</v>
      </c>
      <c r="D6001" s="20" t="s">
        <v>291</v>
      </c>
      <c r="E6001" s="20" t="s">
        <v>2361</v>
      </c>
      <c r="F6001" s="20" t="s">
        <v>244</v>
      </c>
      <c r="G6001" s="20" t="s">
        <v>82</v>
      </c>
      <c r="H6001" s="20" t="s">
        <v>84</v>
      </c>
      <c r="I6001" s="20" t="s">
        <v>2385</v>
      </c>
      <c r="J6001" s="20" t="s">
        <v>209</v>
      </c>
      <c r="K6001" s="20" t="s">
        <v>250</v>
      </c>
      <c r="L6001" s="20"/>
      <c r="M6001" s="20" t="s">
        <v>251</v>
      </c>
      <c r="N6001" s="20" t="s">
        <v>974</v>
      </c>
    </row>
    <row r="6002" spans="1:14" hidden="1" x14ac:dyDescent="0.25">
      <c r="A6002" s="19">
        <v>46143</v>
      </c>
      <c r="B6002" s="20" t="s">
        <v>35</v>
      </c>
      <c r="C6002" s="20">
        <v>21</v>
      </c>
      <c r="D6002" s="20" t="s">
        <v>291</v>
      </c>
      <c r="E6002" s="20" t="s">
        <v>2361</v>
      </c>
      <c r="F6002" s="20" t="s">
        <v>244</v>
      </c>
      <c r="G6002" s="20" t="s">
        <v>82</v>
      </c>
      <c r="H6002" s="20" t="s">
        <v>84</v>
      </c>
      <c r="I6002" s="20" t="s">
        <v>321</v>
      </c>
      <c r="J6002" s="20" t="s">
        <v>209</v>
      </c>
      <c r="K6002" s="20" t="s">
        <v>250</v>
      </c>
      <c r="L6002" s="20"/>
      <c r="M6002" s="20" t="s">
        <v>251</v>
      </c>
      <c r="N6002" s="20" t="s">
        <v>975</v>
      </c>
    </row>
    <row r="6003" spans="1:14" hidden="1" x14ac:dyDescent="0.25">
      <c r="A6003" s="19">
        <v>46143</v>
      </c>
      <c r="B6003" s="20" t="s">
        <v>35</v>
      </c>
      <c r="C6003" s="20">
        <v>22</v>
      </c>
      <c r="D6003" s="20" t="s">
        <v>253</v>
      </c>
      <c r="E6003" s="20" t="s">
        <v>2359</v>
      </c>
      <c r="F6003" s="20" t="s">
        <v>334</v>
      </c>
      <c r="G6003" s="20" t="s">
        <v>82</v>
      </c>
      <c r="H6003" s="20"/>
      <c r="I6003" s="20"/>
      <c r="J6003" s="20" t="s">
        <v>207</v>
      </c>
      <c r="K6003" s="20" t="s">
        <v>255</v>
      </c>
      <c r="L6003" s="20">
        <v>106</v>
      </c>
      <c r="M6003" s="20" t="s">
        <v>245</v>
      </c>
      <c r="N6003" s="20" t="s">
        <v>2915</v>
      </c>
    </row>
    <row r="6004" spans="1:14" hidden="1" x14ac:dyDescent="0.25">
      <c r="A6004" s="19">
        <v>46143</v>
      </c>
      <c r="B6004" s="20" t="s">
        <v>35</v>
      </c>
      <c r="C6004" s="20">
        <v>22</v>
      </c>
      <c r="D6004" s="20" t="s">
        <v>253</v>
      </c>
      <c r="E6004" s="20" t="s">
        <v>2359</v>
      </c>
      <c r="F6004" s="20" t="s">
        <v>334</v>
      </c>
      <c r="G6004" s="20" t="s">
        <v>82</v>
      </c>
      <c r="H6004" s="20"/>
      <c r="I6004" s="20"/>
      <c r="J6004" s="20" t="s">
        <v>208</v>
      </c>
      <c r="K6004" s="20" t="s">
        <v>255</v>
      </c>
      <c r="L6004" s="20">
        <v>98</v>
      </c>
      <c r="M6004" s="20" t="s">
        <v>245</v>
      </c>
      <c r="N6004" s="20" t="s">
        <v>3659</v>
      </c>
    </row>
    <row r="6005" spans="1:14" hidden="1" x14ac:dyDescent="0.25">
      <c r="A6005" s="19">
        <v>46143</v>
      </c>
      <c r="B6005" s="20" t="s">
        <v>35</v>
      </c>
      <c r="C6005" s="20">
        <v>22</v>
      </c>
      <c r="D6005" s="20" t="s">
        <v>253</v>
      </c>
      <c r="E6005" s="20" t="s">
        <v>2359</v>
      </c>
      <c r="F6005" s="20" t="s">
        <v>334</v>
      </c>
      <c r="G6005" s="20" t="s">
        <v>82</v>
      </c>
      <c r="H6005" s="20"/>
      <c r="I6005" s="20"/>
      <c r="J6005" s="20" t="s">
        <v>209</v>
      </c>
      <c r="K6005" s="20" t="s">
        <v>255</v>
      </c>
      <c r="L6005" s="20">
        <v>99</v>
      </c>
      <c r="M6005" s="20" t="s">
        <v>245</v>
      </c>
      <c r="N6005" s="20" t="s">
        <v>3798</v>
      </c>
    </row>
    <row r="6006" spans="1:14" hidden="1" x14ac:dyDescent="0.25">
      <c r="A6006" s="19">
        <v>46143</v>
      </c>
      <c r="B6006" s="20" t="s">
        <v>35</v>
      </c>
      <c r="C6006" s="20">
        <v>23</v>
      </c>
      <c r="D6006" s="20" t="s">
        <v>291</v>
      </c>
      <c r="E6006" s="20" t="s">
        <v>2361</v>
      </c>
      <c r="F6006" s="20" t="s">
        <v>428</v>
      </c>
      <c r="G6006" s="20" t="s">
        <v>82</v>
      </c>
      <c r="H6006" s="20" t="s">
        <v>95</v>
      </c>
      <c r="I6006" s="20"/>
      <c r="J6006" s="20" t="s">
        <v>209</v>
      </c>
      <c r="K6006" s="20" t="s">
        <v>250</v>
      </c>
      <c r="L6006" s="20">
        <v>3240000</v>
      </c>
      <c r="M6006" s="20" t="s">
        <v>242</v>
      </c>
      <c r="N6006" s="20" t="s">
        <v>3606</v>
      </c>
    </row>
    <row r="6007" spans="1:14" hidden="1" x14ac:dyDescent="0.25">
      <c r="A6007" s="19">
        <v>46143</v>
      </c>
      <c r="B6007" s="20" t="s">
        <v>35</v>
      </c>
      <c r="C6007" s="20">
        <v>23</v>
      </c>
      <c r="D6007" s="20" t="s">
        <v>291</v>
      </c>
      <c r="E6007" s="20" t="s">
        <v>2361</v>
      </c>
      <c r="F6007" s="20" t="s">
        <v>428</v>
      </c>
      <c r="G6007" s="20" t="s">
        <v>82</v>
      </c>
      <c r="H6007" s="20" t="s">
        <v>94</v>
      </c>
      <c r="I6007" s="20"/>
      <c r="J6007" s="20" t="s">
        <v>209</v>
      </c>
      <c r="K6007" s="20" t="s">
        <v>250</v>
      </c>
      <c r="L6007" s="20">
        <v>8560000</v>
      </c>
      <c r="M6007" s="20" t="s">
        <v>242</v>
      </c>
      <c r="N6007" s="20" t="s">
        <v>2779</v>
      </c>
    </row>
    <row r="6008" spans="1:14" hidden="1" x14ac:dyDescent="0.25">
      <c r="A6008" s="19">
        <v>46143</v>
      </c>
      <c r="B6008" s="20" t="s">
        <v>35</v>
      </c>
      <c r="C6008" s="20">
        <v>24</v>
      </c>
      <c r="D6008" s="20" t="s">
        <v>291</v>
      </c>
      <c r="E6008" s="20" t="s">
        <v>2361</v>
      </c>
      <c r="F6008" s="20" t="s">
        <v>445</v>
      </c>
      <c r="G6008" s="20" t="s">
        <v>82</v>
      </c>
      <c r="H6008" s="20" t="s">
        <v>95</v>
      </c>
      <c r="I6008" s="20"/>
      <c r="J6008" s="20" t="s">
        <v>209</v>
      </c>
      <c r="K6008" s="20" t="s">
        <v>250</v>
      </c>
      <c r="L6008" s="20">
        <v>292500000</v>
      </c>
      <c r="M6008" s="20" t="s">
        <v>245</v>
      </c>
      <c r="N6008" s="20" t="s">
        <v>3799</v>
      </c>
    </row>
    <row r="6009" spans="1:14" hidden="1" x14ac:dyDescent="0.25">
      <c r="A6009" s="19">
        <v>46143</v>
      </c>
      <c r="B6009" s="20" t="s">
        <v>35</v>
      </c>
      <c r="C6009" s="20">
        <v>24</v>
      </c>
      <c r="D6009" s="20" t="s">
        <v>291</v>
      </c>
      <c r="E6009" s="20" t="s">
        <v>2361</v>
      </c>
      <c r="F6009" s="20" t="s">
        <v>445</v>
      </c>
      <c r="G6009" s="20" t="s">
        <v>82</v>
      </c>
      <c r="H6009" s="20" t="s">
        <v>94</v>
      </c>
      <c r="I6009" s="20"/>
      <c r="J6009" s="20" t="s">
        <v>209</v>
      </c>
      <c r="K6009" s="20" t="s">
        <v>250</v>
      </c>
      <c r="L6009" s="20">
        <v>1030000000</v>
      </c>
      <c r="M6009" s="20" t="s">
        <v>245</v>
      </c>
      <c r="N6009" s="20" t="s">
        <v>3745</v>
      </c>
    </row>
    <row r="6010" spans="1:14" hidden="1" x14ac:dyDescent="0.25">
      <c r="A6010" s="19">
        <v>46143</v>
      </c>
      <c r="B6010" s="20" t="s">
        <v>97</v>
      </c>
      <c r="C6010" s="20">
        <v>26</v>
      </c>
      <c r="D6010" s="20" t="s">
        <v>238</v>
      </c>
      <c r="E6010" s="20" t="s">
        <v>2341</v>
      </c>
      <c r="F6010" s="20" t="s">
        <v>240</v>
      </c>
      <c r="G6010" s="20" t="s">
        <v>82</v>
      </c>
      <c r="H6010" s="20"/>
      <c r="I6010" s="20"/>
      <c r="J6010" s="20" t="s">
        <v>3779</v>
      </c>
      <c r="K6010" s="20" t="s">
        <v>241</v>
      </c>
      <c r="L6010" s="20">
        <v>63700000</v>
      </c>
      <c r="M6010" s="20" t="s">
        <v>242</v>
      </c>
      <c r="N6010" s="20" t="s">
        <v>3800</v>
      </c>
    </row>
    <row r="6011" spans="1:14" hidden="1" x14ac:dyDescent="0.25">
      <c r="A6011" s="19">
        <v>46143</v>
      </c>
      <c r="B6011" s="20" t="s">
        <v>97</v>
      </c>
      <c r="C6011" s="20">
        <v>26</v>
      </c>
      <c r="D6011" s="20" t="s">
        <v>238</v>
      </c>
      <c r="E6011" s="20" t="s">
        <v>2341</v>
      </c>
      <c r="F6011" s="20" t="s">
        <v>244</v>
      </c>
      <c r="G6011" s="20" t="s">
        <v>82</v>
      </c>
      <c r="H6011" s="20"/>
      <c r="I6011" s="20"/>
      <c r="J6011" s="20" t="s">
        <v>3779</v>
      </c>
      <c r="K6011" s="20" t="s">
        <v>241</v>
      </c>
      <c r="L6011" s="20">
        <v>3090000000</v>
      </c>
      <c r="M6011" s="20" t="s">
        <v>245</v>
      </c>
      <c r="N6011" s="20" t="s">
        <v>1875</v>
      </c>
    </row>
    <row r="6012" spans="1:14" hidden="1" x14ac:dyDescent="0.25">
      <c r="A6012" s="19">
        <v>46143</v>
      </c>
      <c r="B6012" s="20" t="s">
        <v>97</v>
      </c>
      <c r="C6012" s="20">
        <v>27</v>
      </c>
      <c r="D6012" s="20" t="s">
        <v>253</v>
      </c>
      <c r="E6012" s="20" t="s">
        <v>2359</v>
      </c>
      <c r="F6012" s="20" t="s">
        <v>285</v>
      </c>
      <c r="G6012" s="20" t="s">
        <v>63</v>
      </c>
      <c r="H6012" s="20"/>
      <c r="I6012" s="20"/>
      <c r="J6012" s="20" t="s">
        <v>207</v>
      </c>
      <c r="K6012" s="20" t="s">
        <v>255</v>
      </c>
      <c r="L6012" s="20">
        <v>2910000</v>
      </c>
      <c r="M6012" s="20" t="s">
        <v>242</v>
      </c>
      <c r="N6012" s="20" t="s">
        <v>3511</v>
      </c>
    </row>
    <row r="6013" spans="1:14" hidden="1" x14ac:dyDescent="0.25">
      <c r="A6013" s="19">
        <v>46143</v>
      </c>
      <c r="B6013" s="20" t="s">
        <v>97</v>
      </c>
      <c r="C6013" s="20">
        <v>27</v>
      </c>
      <c r="D6013" s="20" t="s">
        <v>253</v>
      </c>
      <c r="E6013" s="20" t="s">
        <v>2359</v>
      </c>
      <c r="F6013" s="20" t="s">
        <v>285</v>
      </c>
      <c r="G6013" s="20" t="s">
        <v>63</v>
      </c>
      <c r="H6013" s="20"/>
      <c r="I6013" s="20"/>
      <c r="J6013" s="20" t="s">
        <v>208</v>
      </c>
      <c r="K6013" s="20" t="s">
        <v>255</v>
      </c>
      <c r="L6013" s="20">
        <v>2930000</v>
      </c>
      <c r="M6013" s="20" t="s">
        <v>242</v>
      </c>
      <c r="N6013" s="20" t="s">
        <v>3664</v>
      </c>
    </row>
    <row r="6014" spans="1:14" hidden="1" x14ac:dyDescent="0.25">
      <c r="A6014" s="19">
        <v>46143</v>
      </c>
      <c r="B6014" s="20" t="s">
        <v>97</v>
      </c>
      <c r="C6014" s="20">
        <v>27</v>
      </c>
      <c r="D6014" s="20" t="s">
        <v>253</v>
      </c>
      <c r="E6014" s="20" t="s">
        <v>2359</v>
      </c>
      <c r="F6014" s="20" t="s">
        <v>285</v>
      </c>
      <c r="G6014" s="20" t="s">
        <v>63</v>
      </c>
      <c r="H6014" s="20"/>
      <c r="I6014" s="20"/>
      <c r="J6014" s="20" t="s">
        <v>209</v>
      </c>
      <c r="K6014" s="20" t="s">
        <v>255</v>
      </c>
      <c r="L6014" s="20">
        <v>2970000</v>
      </c>
      <c r="M6014" s="20" t="s">
        <v>242</v>
      </c>
      <c r="N6014" s="20" t="s">
        <v>3801</v>
      </c>
    </row>
    <row r="6015" spans="1:14" hidden="1" x14ac:dyDescent="0.25">
      <c r="A6015" s="19">
        <v>46143</v>
      </c>
      <c r="B6015" s="20" t="s">
        <v>97</v>
      </c>
      <c r="C6015" s="20">
        <v>27</v>
      </c>
      <c r="D6015" s="20" t="s">
        <v>247</v>
      </c>
      <c r="E6015" s="20" t="s">
        <v>2554</v>
      </c>
      <c r="F6015" s="20" t="s">
        <v>2555</v>
      </c>
      <c r="G6015" s="20" t="s">
        <v>63</v>
      </c>
      <c r="H6015" s="20" t="s">
        <v>286</v>
      </c>
      <c r="I6015" s="20"/>
      <c r="J6015" s="20" t="s">
        <v>209</v>
      </c>
      <c r="K6015" s="20" t="s">
        <v>250</v>
      </c>
      <c r="L6015" s="20">
        <v>1.2</v>
      </c>
      <c r="M6015" s="20" t="s">
        <v>251</v>
      </c>
      <c r="N6015" s="20" t="s">
        <v>1427</v>
      </c>
    </row>
    <row r="6016" spans="1:14" hidden="1" x14ac:dyDescent="0.25">
      <c r="A6016" s="19">
        <v>46143</v>
      </c>
      <c r="B6016" s="20" t="s">
        <v>97</v>
      </c>
      <c r="C6016" s="20">
        <v>28</v>
      </c>
      <c r="D6016" s="20" t="s">
        <v>291</v>
      </c>
      <c r="E6016" s="20" t="s">
        <v>2361</v>
      </c>
      <c r="F6016" s="20" t="s">
        <v>2362</v>
      </c>
      <c r="G6016" s="20" t="s">
        <v>63</v>
      </c>
      <c r="H6016" s="20" t="s">
        <v>64</v>
      </c>
      <c r="I6016" s="20"/>
      <c r="J6016" s="20" t="s">
        <v>209</v>
      </c>
      <c r="K6016" s="20" t="s">
        <v>250</v>
      </c>
      <c r="L6016" s="20">
        <v>2600000</v>
      </c>
      <c r="M6016" s="20" t="s">
        <v>242</v>
      </c>
      <c r="N6016" s="20" t="s">
        <v>1652</v>
      </c>
    </row>
    <row r="6017" spans="1:14" hidden="1" x14ac:dyDescent="0.25">
      <c r="A6017" s="19">
        <v>46143</v>
      </c>
      <c r="B6017" s="20" t="s">
        <v>97</v>
      </c>
      <c r="C6017" s="20">
        <v>28</v>
      </c>
      <c r="D6017" s="20" t="s">
        <v>291</v>
      </c>
      <c r="E6017" s="20" t="s">
        <v>2361</v>
      </c>
      <c r="F6017" s="20" t="s">
        <v>2362</v>
      </c>
      <c r="G6017" s="20" t="s">
        <v>63</v>
      </c>
      <c r="H6017" s="20" t="s">
        <v>65</v>
      </c>
      <c r="I6017" s="20"/>
      <c r="J6017" s="20" t="s">
        <v>209</v>
      </c>
      <c r="K6017" s="20" t="s">
        <v>250</v>
      </c>
      <c r="L6017" s="20">
        <v>366100</v>
      </c>
      <c r="M6017" s="20" t="s">
        <v>242</v>
      </c>
      <c r="N6017" s="20" t="s">
        <v>3802</v>
      </c>
    </row>
    <row r="6018" spans="1:14" hidden="1" x14ac:dyDescent="0.25">
      <c r="A6018" s="19">
        <v>46143</v>
      </c>
      <c r="B6018" s="20" t="s">
        <v>97</v>
      </c>
      <c r="C6018" s="20">
        <v>29</v>
      </c>
      <c r="D6018" s="20" t="s">
        <v>291</v>
      </c>
      <c r="E6018" s="20" t="s">
        <v>2361</v>
      </c>
      <c r="F6018" s="20" t="s">
        <v>2362</v>
      </c>
      <c r="G6018" s="20" t="s">
        <v>63</v>
      </c>
      <c r="H6018" s="20" t="s">
        <v>2364</v>
      </c>
      <c r="I6018" s="20"/>
      <c r="J6018" s="20" t="s">
        <v>209</v>
      </c>
      <c r="K6018" s="20" t="s">
        <v>250</v>
      </c>
      <c r="L6018" s="20">
        <v>1600000</v>
      </c>
      <c r="M6018" s="20" t="s">
        <v>242</v>
      </c>
      <c r="N6018" s="20" t="s">
        <v>532</v>
      </c>
    </row>
    <row r="6019" spans="1:14" hidden="1" x14ac:dyDescent="0.25">
      <c r="A6019" s="19">
        <v>46143</v>
      </c>
      <c r="B6019" s="20" t="s">
        <v>97</v>
      </c>
      <c r="C6019" s="20">
        <v>29</v>
      </c>
      <c r="D6019" s="20" t="s">
        <v>291</v>
      </c>
      <c r="E6019" s="20" t="s">
        <v>2361</v>
      </c>
      <c r="F6019" s="20" t="s">
        <v>2362</v>
      </c>
      <c r="G6019" s="20" t="s">
        <v>63</v>
      </c>
      <c r="H6019" s="20" t="s">
        <v>2366</v>
      </c>
      <c r="I6019" s="20"/>
      <c r="J6019" s="20" t="s">
        <v>209</v>
      </c>
      <c r="K6019" s="20" t="s">
        <v>250</v>
      </c>
      <c r="L6019" s="20">
        <v>1360000</v>
      </c>
      <c r="M6019" s="20" t="s">
        <v>242</v>
      </c>
      <c r="N6019" s="20" t="s">
        <v>2125</v>
      </c>
    </row>
    <row r="6020" spans="1:14" hidden="1" x14ac:dyDescent="0.25">
      <c r="A6020" s="19">
        <v>46143</v>
      </c>
      <c r="B6020" s="20" t="s">
        <v>97</v>
      </c>
      <c r="C6020" s="20">
        <v>30</v>
      </c>
      <c r="D6020" s="20" t="s">
        <v>291</v>
      </c>
      <c r="E6020" s="20" t="s">
        <v>2361</v>
      </c>
      <c r="F6020" s="20" t="s">
        <v>285</v>
      </c>
      <c r="G6020" s="20" t="s">
        <v>63</v>
      </c>
      <c r="H6020" s="20" t="s">
        <v>77</v>
      </c>
      <c r="I6020" s="20"/>
      <c r="J6020" s="20" t="s">
        <v>209</v>
      </c>
      <c r="K6020" s="20" t="s">
        <v>250</v>
      </c>
      <c r="L6020" s="20">
        <v>1000</v>
      </c>
      <c r="M6020" s="20" t="s">
        <v>242</v>
      </c>
      <c r="N6020" s="20" t="s">
        <v>2394</v>
      </c>
    </row>
    <row r="6021" spans="1:14" hidden="1" x14ac:dyDescent="0.25">
      <c r="A6021" s="19">
        <v>46143</v>
      </c>
      <c r="B6021" s="20" t="s">
        <v>97</v>
      </c>
      <c r="C6021" s="20">
        <v>30</v>
      </c>
      <c r="D6021" s="20" t="s">
        <v>291</v>
      </c>
      <c r="E6021" s="20" t="s">
        <v>2361</v>
      </c>
      <c r="F6021" s="20" t="s">
        <v>285</v>
      </c>
      <c r="G6021" s="20" t="s">
        <v>63</v>
      </c>
      <c r="H6021" s="20" t="s">
        <v>70</v>
      </c>
      <c r="I6021" s="20"/>
      <c r="J6021" s="20" t="s">
        <v>209</v>
      </c>
      <c r="K6021" s="20" t="s">
        <v>250</v>
      </c>
      <c r="L6021" s="20">
        <v>1080000</v>
      </c>
      <c r="M6021" s="20" t="s">
        <v>242</v>
      </c>
      <c r="N6021" s="20" t="s">
        <v>1322</v>
      </c>
    </row>
    <row r="6022" spans="1:14" hidden="1" x14ac:dyDescent="0.25">
      <c r="A6022" s="19">
        <v>46143</v>
      </c>
      <c r="B6022" s="20" t="s">
        <v>97</v>
      </c>
      <c r="C6022" s="20">
        <v>30</v>
      </c>
      <c r="D6022" s="20" t="s">
        <v>291</v>
      </c>
      <c r="E6022" s="20" t="s">
        <v>2361</v>
      </c>
      <c r="F6022" s="20" t="s">
        <v>285</v>
      </c>
      <c r="G6022" s="20" t="s">
        <v>63</v>
      </c>
      <c r="H6022" s="20" t="s">
        <v>71</v>
      </c>
      <c r="I6022" s="20"/>
      <c r="J6022" s="20" t="s">
        <v>209</v>
      </c>
      <c r="K6022" s="20" t="s">
        <v>250</v>
      </c>
      <c r="L6022" s="20">
        <v>758000</v>
      </c>
      <c r="M6022" s="20" t="s">
        <v>242</v>
      </c>
      <c r="N6022" s="20" t="s">
        <v>3803</v>
      </c>
    </row>
    <row r="6023" spans="1:14" hidden="1" x14ac:dyDescent="0.25">
      <c r="A6023" s="19">
        <v>46143</v>
      </c>
      <c r="B6023" s="20" t="s">
        <v>97</v>
      </c>
      <c r="C6023" s="20">
        <v>30</v>
      </c>
      <c r="D6023" s="20" t="s">
        <v>291</v>
      </c>
      <c r="E6023" s="20" t="s">
        <v>2361</v>
      </c>
      <c r="F6023" s="20" t="s">
        <v>285</v>
      </c>
      <c r="G6023" s="20" t="s">
        <v>63</v>
      </c>
      <c r="H6023" s="20" t="s">
        <v>72</v>
      </c>
      <c r="I6023" s="20"/>
      <c r="J6023" s="20" t="s">
        <v>209</v>
      </c>
      <c r="K6023" s="20" t="s">
        <v>250</v>
      </c>
      <c r="L6023" s="20">
        <v>569000</v>
      </c>
      <c r="M6023" s="20" t="s">
        <v>242</v>
      </c>
      <c r="N6023" s="20" t="s">
        <v>3804</v>
      </c>
    </row>
    <row r="6024" spans="1:14" hidden="1" x14ac:dyDescent="0.25">
      <c r="A6024" s="19">
        <v>46143</v>
      </c>
      <c r="B6024" s="20" t="s">
        <v>97</v>
      </c>
      <c r="C6024" s="20">
        <v>30</v>
      </c>
      <c r="D6024" s="20" t="s">
        <v>291</v>
      </c>
      <c r="E6024" s="20" t="s">
        <v>2361</v>
      </c>
      <c r="F6024" s="20" t="s">
        <v>285</v>
      </c>
      <c r="G6024" s="20" t="s">
        <v>63</v>
      </c>
      <c r="H6024" s="20" t="s">
        <v>73</v>
      </c>
      <c r="I6024" s="20"/>
      <c r="J6024" s="20" t="s">
        <v>209</v>
      </c>
      <c r="K6024" s="20" t="s">
        <v>250</v>
      </c>
      <c r="L6024" s="20">
        <v>358000</v>
      </c>
      <c r="M6024" s="20" t="s">
        <v>242</v>
      </c>
      <c r="N6024" s="20" t="s">
        <v>3805</v>
      </c>
    </row>
    <row r="6025" spans="1:14" hidden="1" x14ac:dyDescent="0.25">
      <c r="A6025" s="19">
        <v>46143</v>
      </c>
      <c r="B6025" s="20" t="s">
        <v>97</v>
      </c>
      <c r="C6025" s="20">
        <v>30</v>
      </c>
      <c r="D6025" s="20" t="s">
        <v>291</v>
      </c>
      <c r="E6025" s="20" t="s">
        <v>2361</v>
      </c>
      <c r="F6025" s="20" t="s">
        <v>285</v>
      </c>
      <c r="G6025" s="20" t="s">
        <v>63</v>
      </c>
      <c r="H6025" s="20" t="s">
        <v>74</v>
      </c>
      <c r="I6025" s="20"/>
      <c r="J6025" s="20" t="s">
        <v>209</v>
      </c>
      <c r="K6025" s="20" t="s">
        <v>250</v>
      </c>
      <c r="L6025" s="20">
        <v>141000</v>
      </c>
      <c r="M6025" s="20" t="s">
        <v>242</v>
      </c>
      <c r="N6025" s="20" t="s">
        <v>3806</v>
      </c>
    </row>
    <row r="6026" spans="1:14" hidden="1" x14ac:dyDescent="0.25">
      <c r="A6026" s="19">
        <v>46143</v>
      </c>
      <c r="B6026" s="20" t="s">
        <v>97</v>
      </c>
      <c r="C6026" s="20">
        <v>30</v>
      </c>
      <c r="D6026" s="20" t="s">
        <v>291</v>
      </c>
      <c r="E6026" s="20" t="s">
        <v>2361</v>
      </c>
      <c r="F6026" s="20" t="s">
        <v>285</v>
      </c>
      <c r="G6026" s="20" t="s">
        <v>63</v>
      </c>
      <c r="H6026" s="20" t="s">
        <v>75</v>
      </c>
      <c r="I6026" s="20"/>
      <c r="J6026" s="20" t="s">
        <v>209</v>
      </c>
      <c r="K6026" s="20" t="s">
        <v>250</v>
      </c>
      <c r="L6026" s="20">
        <v>41000</v>
      </c>
      <c r="M6026" s="20" t="s">
        <v>242</v>
      </c>
      <c r="N6026" s="20" t="s">
        <v>3807</v>
      </c>
    </row>
    <row r="6027" spans="1:14" hidden="1" x14ac:dyDescent="0.25">
      <c r="A6027" s="19">
        <v>46143</v>
      </c>
      <c r="B6027" s="20" t="s">
        <v>97</v>
      </c>
      <c r="C6027" s="20">
        <v>30</v>
      </c>
      <c r="D6027" s="20" t="s">
        <v>291</v>
      </c>
      <c r="E6027" s="20" t="s">
        <v>2361</v>
      </c>
      <c r="F6027" s="20" t="s">
        <v>285</v>
      </c>
      <c r="G6027" s="20" t="s">
        <v>63</v>
      </c>
      <c r="H6027" s="20" t="s">
        <v>76</v>
      </c>
      <c r="I6027" s="20"/>
      <c r="J6027" s="20" t="s">
        <v>209</v>
      </c>
      <c r="K6027" s="20" t="s">
        <v>250</v>
      </c>
      <c r="L6027" s="20">
        <v>13000</v>
      </c>
      <c r="M6027" s="20" t="s">
        <v>242</v>
      </c>
      <c r="N6027" s="20" t="s">
        <v>932</v>
      </c>
    </row>
    <row r="6028" spans="1:14" hidden="1" x14ac:dyDescent="0.25">
      <c r="A6028" s="19">
        <v>46143</v>
      </c>
      <c r="B6028" s="20" t="s">
        <v>97</v>
      </c>
      <c r="C6028" s="20">
        <v>31</v>
      </c>
      <c r="D6028" s="20" t="s">
        <v>291</v>
      </c>
      <c r="E6028" s="20" t="s">
        <v>2361</v>
      </c>
      <c r="F6028" s="20" t="s">
        <v>2400</v>
      </c>
      <c r="G6028" s="20" t="s">
        <v>99</v>
      </c>
      <c r="H6028" s="20" t="s">
        <v>103</v>
      </c>
      <c r="I6028" s="20"/>
      <c r="J6028" s="20" t="s">
        <v>209</v>
      </c>
      <c r="K6028" s="20" t="s">
        <v>250</v>
      </c>
      <c r="L6028" s="20">
        <v>2900000</v>
      </c>
      <c r="M6028" s="20" t="s">
        <v>242</v>
      </c>
      <c r="N6028" s="20" t="s">
        <v>3377</v>
      </c>
    </row>
    <row r="6029" spans="1:14" hidden="1" x14ac:dyDescent="0.25">
      <c r="A6029" s="19">
        <v>46143</v>
      </c>
      <c r="B6029" s="20" t="s">
        <v>97</v>
      </c>
      <c r="C6029" s="20">
        <v>31</v>
      </c>
      <c r="D6029" s="20" t="s">
        <v>291</v>
      </c>
      <c r="E6029" s="20" t="s">
        <v>2361</v>
      </c>
      <c r="F6029" s="20" t="s">
        <v>477</v>
      </c>
      <c r="G6029" s="20" t="s">
        <v>99</v>
      </c>
      <c r="H6029" s="20" t="s">
        <v>104</v>
      </c>
      <c r="I6029" s="20"/>
      <c r="J6029" s="20" t="s">
        <v>209</v>
      </c>
      <c r="K6029" s="20" t="s">
        <v>250</v>
      </c>
      <c r="L6029" s="20">
        <v>4325</v>
      </c>
      <c r="M6029" s="20" t="s">
        <v>242</v>
      </c>
      <c r="N6029" s="20" t="s">
        <v>3808</v>
      </c>
    </row>
    <row r="6030" spans="1:14" hidden="1" x14ac:dyDescent="0.25">
      <c r="A6030" s="19">
        <v>46143</v>
      </c>
      <c r="B6030" s="20" t="s">
        <v>97</v>
      </c>
      <c r="C6030" s="20">
        <v>31</v>
      </c>
      <c r="D6030" s="20" t="s">
        <v>291</v>
      </c>
      <c r="E6030" s="20" t="s">
        <v>2361</v>
      </c>
      <c r="F6030" s="20" t="s">
        <v>477</v>
      </c>
      <c r="G6030" s="20" t="s">
        <v>99</v>
      </c>
      <c r="H6030" s="20" t="s">
        <v>101</v>
      </c>
      <c r="I6030" s="20"/>
      <c r="J6030" s="20" t="s">
        <v>209</v>
      </c>
      <c r="K6030" s="20" t="s">
        <v>250</v>
      </c>
      <c r="L6030" s="20">
        <v>1995</v>
      </c>
      <c r="M6030" s="20" t="s">
        <v>242</v>
      </c>
      <c r="N6030" s="20" t="s">
        <v>3809</v>
      </c>
    </row>
    <row r="6031" spans="1:14" hidden="1" x14ac:dyDescent="0.25">
      <c r="A6031" s="19">
        <v>46143</v>
      </c>
      <c r="B6031" s="20" t="s">
        <v>97</v>
      </c>
      <c r="C6031" s="20">
        <v>31</v>
      </c>
      <c r="D6031" s="20" t="s">
        <v>291</v>
      </c>
      <c r="E6031" s="20" t="s">
        <v>2361</v>
      </c>
      <c r="F6031" s="20" t="s">
        <v>477</v>
      </c>
      <c r="G6031" s="20" t="s">
        <v>99</v>
      </c>
      <c r="H6031" s="20" t="s">
        <v>100</v>
      </c>
      <c r="I6031" s="20"/>
      <c r="J6031" s="20" t="s">
        <v>209</v>
      </c>
      <c r="K6031" s="20" t="s">
        <v>250</v>
      </c>
      <c r="L6031" s="20">
        <v>1073</v>
      </c>
      <c r="M6031" s="20" t="s">
        <v>242</v>
      </c>
      <c r="N6031" s="20" t="s">
        <v>3810</v>
      </c>
    </row>
    <row r="6032" spans="1:14" hidden="1" x14ac:dyDescent="0.25">
      <c r="A6032" s="19">
        <v>46143</v>
      </c>
      <c r="B6032" s="20" t="s">
        <v>97</v>
      </c>
      <c r="C6032" s="20">
        <v>31</v>
      </c>
      <c r="D6032" s="20" t="s">
        <v>291</v>
      </c>
      <c r="E6032" s="20" t="s">
        <v>2361</v>
      </c>
      <c r="F6032" s="20" t="s">
        <v>477</v>
      </c>
      <c r="G6032" s="20" t="s">
        <v>99</v>
      </c>
      <c r="H6032" s="20" t="s">
        <v>102</v>
      </c>
      <c r="I6032" s="20"/>
      <c r="J6032" s="20" t="s">
        <v>209</v>
      </c>
      <c r="K6032" s="20" t="s">
        <v>250</v>
      </c>
      <c r="L6032" s="20">
        <v>8</v>
      </c>
      <c r="M6032" s="20" t="s">
        <v>242</v>
      </c>
      <c r="N6032" s="20" t="s">
        <v>480</v>
      </c>
    </row>
    <row r="6033" spans="1:14" hidden="1" x14ac:dyDescent="0.25">
      <c r="A6033" s="19">
        <v>46143</v>
      </c>
      <c r="B6033" s="20" t="s">
        <v>97</v>
      </c>
      <c r="C6033" s="20">
        <v>32</v>
      </c>
      <c r="D6033" s="20" t="s">
        <v>253</v>
      </c>
      <c r="E6033" s="20" t="s">
        <v>2359</v>
      </c>
      <c r="F6033" s="20" t="s">
        <v>240</v>
      </c>
      <c r="G6033" s="20" t="s">
        <v>82</v>
      </c>
      <c r="H6033" s="20"/>
      <c r="I6033" s="20"/>
      <c r="J6033" s="20" t="s">
        <v>207</v>
      </c>
      <c r="K6033" s="20" t="s">
        <v>255</v>
      </c>
      <c r="L6033" s="20">
        <v>12760000</v>
      </c>
      <c r="M6033" s="20" t="s">
        <v>242</v>
      </c>
      <c r="N6033" s="20" t="s">
        <v>3522</v>
      </c>
    </row>
    <row r="6034" spans="1:14" hidden="1" x14ac:dyDescent="0.25">
      <c r="A6034" s="19">
        <v>46143</v>
      </c>
      <c r="B6034" s="20" t="s">
        <v>97</v>
      </c>
      <c r="C6034" s="20">
        <v>32</v>
      </c>
      <c r="D6034" s="20" t="s">
        <v>253</v>
      </c>
      <c r="E6034" s="20" t="s">
        <v>2359</v>
      </c>
      <c r="F6034" s="20" t="s">
        <v>240</v>
      </c>
      <c r="G6034" s="20" t="s">
        <v>82</v>
      </c>
      <c r="H6034" s="20"/>
      <c r="I6034" s="20"/>
      <c r="J6034" s="20" t="s">
        <v>208</v>
      </c>
      <c r="K6034" s="20" t="s">
        <v>255</v>
      </c>
      <c r="L6034" s="20">
        <v>13290000</v>
      </c>
      <c r="M6034" s="20" t="s">
        <v>242</v>
      </c>
      <c r="N6034" s="20" t="s">
        <v>3674</v>
      </c>
    </row>
    <row r="6035" spans="1:14" hidden="1" x14ac:dyDescent="0.25">
      <c r="A6035" s="19">
        <v>46143</v>
      </c>
      <c r="B6035" s="20" t="s">
        <v>97</v>
      </c>
      <c r="C6035" s="20">
        <v>32</v>
      </c>
      <c r="D6035" s="20" t="s">
        <v>253</v>
      </c>
      <c r="E6035" s="20" t="s">
        <v>2359</v>
      </c>
      <c r="F6035" s="20" t="s">
        <v>240</v>
      </c>
      <c r="G6035" s="20" t="s">
        <v>82</v>
      </c>
      <c r="H6035" s="20"/>
      <c r="I6035" s="20"/>
      <c r="J6035" s="20" t="s">
        <v>209</v>
      </c>
      <c r="K6035" s="20" t="s">
        <v>255</v>
      </c>
      <c r="L6035" s="20">
        <v>14980000</v>
      </c>
      <c r="M6035" s="20" t="s">
        <v>242</v>
      </c>
      <c r="N6035" s="20" t="s">
        <v>3811</v>
      </c>
    </row>
    <row r="6036" spans="1:14" hidden="1" x14ac:dyDescent="0.25">
      <c r="A6036" s="19">
        <v>46143</v>
      </c>
      <c r="B6036" s="20" t="s">
        <v>97</v>
      </c>
      <c r="C6036" s="20">
        <v>32</v>
      </c>
      <c r="D6036" s="20" t="s">
        <v>247</v>
      </c>
      <c r="E6036" s="20" t="s">
        <v>2554</v>
      </c>
      <c r="F6036" s="20" t="s">
        <v>2556</v>
      </c>
      <c r="G6036" s="20" t="s">
        <v>82</v>
      </c>
      <c r="H6036" s="20" t="s">
        <v>286</v>
      </c>
      <c r="I6036" s="20"/>
      <c r="J6036" s="20" t="s">
        <v>209</v>
      </c>
      <c r="K6036" s="20" t="s">
        <v>250</v>
      </c>
      <c r="L6036" s="20">
        <v>12.7</v>
      </c>
      <c r="M6036" s="20" t="s">
        <v>251</v>
      </c>
      <c r="N6036" s="20" t="s">
        <v>3812</v>
      </c>
    </row>
    <row r="6037" spans="1:14" hidden="1" x14ac:dyDescent="0.25">
      <c r="A6037" s="19">
        <v>46143</v>
      </c>
      <c r="B6037" s="20" t="s">
        <v>97</v>
      </c>
      <c r="C6037" s="20">
        <v>33</v>
      </c>
      <c r="D6037" s="20" t="s">
        <v>291</v>
      </c>
      <c r="E6037" s="20" t="s">
        <v>2361</v>
      </c>
      <c r="F6037" s="20" t="s">
        <v>240</v>
      </c>
      <c r="G6037" s="20" t="s">
        <v>82</v>
      </c>
      <c r="H6037" s="20" t="s">
        <v>83</v>
      </c>
      <c r="I6037" s="20"/>
      <c r="J6037" s="20" t="s">
        <v>209</v>
      </c>
      <c r="K6037" s="20" t="s">
        <v>250</v>
      </c>
      <c r="L6037" s="20">
        <v>12510000</v>
      </c>
      <c r="M6037" s="20" t="s">
        <v>242</v>
      </c>
      <c r="N6037" s="20" t="s">
        <v>2378</v>
      </c>
    </row>
    <row r="6038" spans="1:14" hidden="1" x14ac:dyDescent="0.25">
      <c r="A6038" s="19">
        <v>46143</v>
      </c>
      <c r="B6038" s="20" t="s">
        <v>97</v>
      </c>
      <c r="C6038" s="20">
        <v>33</v>
      </c>
      <c r="D6038" s="20" t="s">
        <v>291</v>
      </c>
      <c r="E6038" s="20" t="s">
        <v>2361</v>
      </c>
      <c r="F6038" s="20" t="s">
        <v>240</v>
      </c>
      <c r="G6038" s="20" t="s">
        <v>82</v>
      </c>
      <c r="H6038" s="20" t="s">
        <v>84</v>
      </c>
      <c r="I6038" s="20"/>
      <c r="J6038" s="20" t="s">
        <v>209</v>
      </c>
      <c r="K6038" s="20" t="s">
        <v>250</v>
      </c>
      <c r="L6038" s="20">
        <v>2370000</v>
      </c>
      <c r="M6038" s="20" t="s">
        <v>242</v>
      </c>
      <c r="N6038" s="20" t="s">
        <v>746</v>
      </c>
    </row>
    <row r="6039" spans="1:14" hidden="1" x14ac:dyDescent="0.25">
      <c r="A6039" s="19">
        <v>46143</v>
      </c>
      <c r="B6039" s="20" t="s">
        <v>97</v>
      </c>
      <c r="C6039" s="20">
        <v>33</v>
      </c>
      <c r="D6039" s="20" t="s">
        <v>291</v>
      </c>
      <c r="E6039" s="20" t="s">
        <v>2361</v>
      </c>
      <c r="F6039" s="20" t="s">
        <v>240</v>
      </c>
      <c r="G6039" s="20" t="s">
        <v>82</v>
      </c>
      <c r="H6039" s="20" t="s">
        <v>106</v>
      </c>
      <c r="I6039" s="20"/>
      <c r="J6039" s="20" t="s">
        <v>209</v>
      </c>
      <c r="K6039" s="20" t="s">
        <v>250</v>
      </c>
      <c r="L6039" s="20">
        <v>66820</v>
      </c>
      <c r="M6039" s="20" t="s">
        <v>242</v>
      </c>
      <c r="N6039" s="20" t="s">
        <v>3813</v>
      </c>
    </row>
    <row r="6040" spans="1:14" hidden="1" x14ac:dyDescent="0.25">
      <c r="A6040" s="19">
        <v>46143</v>
      </c>
      <c r="B6040" s="20" t="s">
        <v>97</v>
      </c>
      <c r="C6040" s="20">
        <v>33</v>
      </c>
      <c r="D6040" s="20" t="s">
        <v>291</v>
      </c>
      <c r="E6040" s="20" t="s">
        <v>2361</v>
      </c>
      <c r="F6040" s="20" t="s">
        <v>240</v>
      </c>
      <c r="G6040" s="20" t="s">
        <v>82</v>
      </c>
      <c r="H6040" s="20" t="s">
        <v>105</v>
      </c>
      <c r="I6040" s="20"/>
      <c r="J6040" s="20" t="s">
        <v>209</v>
      </c>
      <c r="K6040" s="20" t="s">
        <v>250</v>
      </c>
      <c r="L6040" s="20">
        <v>21350</v>
      </c>
      <c r="M6040" s="20" t="s">
        <v>242</v>
      </c>
      <c r="N6040" s="20" t="s">
        <v>3814</v>
      </c>
    </row>
    <row r="6041" spans="1:14" hidden="1" x14ac:dyDescent="0.25">
      <c r="A6041" s="19">
        <v>46143</v>
      </c>
      <c r="B6041" s="20" t="s">
        <v>97</v>
      </c>
      <c r="C6041" s="20">
        <v>34</v>
      </c>
      <c r="D6041" s="20" t="s">
        <v>291</v>
      </c>
      <c r="E6041" s="20" t="s">
        <v>2361</v>
      </c>
      <c r="F6041" s="20" t="s">
        <v>240</v>
      </c>
      <c r="G6041" s="20" t="s">
        <v>82</v>
      </c>
      <c r="H6041" s="20" t="s">
        <v>83</v>
      </c>
      <c r="I6041" s="20" t="s">
        <v>315</v>
      </c>
      <c r="J6041" s="20" t="s">
        <v>209</v>
      </c>
      <c r="K6041" s="20" t="s">
        <v>250</v>
      </c>
      <c r="L6041" s="20"/>
      <c r="M6041" s="20" t="s">
        <v>251</v>
      </c>
      <c r="N6041" s="20" t="s">
        <v>3815</v>
      </c>
    </row>
    <row r="6042" spans="1:14" hidden="1" x14ac:dyDescent="0.25">
      <c r="A6042" s="19">
        <v>46143</v>
      </c>
      <c r="B6042" s="20" t="s">
        <v>97</v>
      </c>
      <c r="C6042" s="20">
        <v>34</v>
      </c>
      <c r="D6042" s="20" t="s">
        <v>291</v>
      </c>
      <c r="E6042" s="20" t="s">
        <v>2361</v>
      </c>
      <c r="F6042" s="20" t="s">
        <v>240</v>
      </c>
      <c r="G6042" s="20" t="s">
        <v>82</v>
      </c>
      <c r="H6042" s="20" t="s">
        <v>83</v>
      </c>
      <c r="I6042" s="20" t="s">
        <v>317</v>
      </c>
      <c r="J6042" s="20" t="s">
        <v>209</v>
      </c>
      <c r="K6042" s="20" t="s">
        <v>250</v>
      </c>
      <c r="L6042" s="20"/>
      <c r="M6042" s="20" t="s">
        <v>251</v>
      </c>
      <c r="N6042" s="20" t="s">
        <v>3816</v>
      </c>
    </row>
    <row r="6043" spans="1:14" hidden="1" x14ac:dyDescent="0.25">
      <c r="A6043" s="19">
        <v>46143</v>
      </c>
      <c r="B6043" s="20" t="s">
        <v>97</v>
      </c>
      <c r="C6043" s="20">
        <v>34</v>
      </c>
      <c r="D6043" s="20" t="s">
        <v>291</v>
      </c>
      <c r="E6043" s="20" t="s">
        <v>2361</v>
      </c>
      <c r="F6043" s="20" t="s">
        <v>240</v>
      </c>
      <c r="G6043" s="20" t="s">
        <v>82</v>
      </c>
      <c r="H6043" s="20" t="s">
        <v>83</v>
      </c>
      <c r="I6043" s="20" t="s">
        <v>2785</v>
      </c>
      <c r="J6043" s="20" t="s">
        <v>209</v>
      </c>
      <c r="K6043" s="20" t="s">
        <v>250</v>
      </c>
      <c r="L6043" s="20"/>
      <c r="M6043" s="20" t="s">
        <v>251</v>
      </c>
      <c r="N6043" s="20" t="s">
        <v>2937</v>
      </c>
    </row>
    <row r="6044" spans="1:14" hidden="1" x14ac:dyDescent="0.25">
      <c r="A6044" s="19">
        <v>46143</v>
      </c>
      <c r="B6044" s="20" t="s">
        <v>97</v>
      </c>
      <c r="C6044" s="20">
        <v>34</v>
      </c>
      <c r="D6044" s="20" t="s">
        <v>291</v>
      </c>
      <c r="E6044" s="20" t="s">
        <v>2361</v>
      </c>
      <c r="F6044" s="20" t="s">
        <v>240</v>
      </c>
      <c r="G6044" s="20" t="s">
        <v>82</v>
      </c>
      <c r="H6044" s="20" t="s">
        <v>83</v>
      </c>
      <c r="I6044" s="20" t="s">
        <v>497</v>
      </c>
      <c r="J6044" s="20" t="s">
        <v>209</v>
      </c>
      <c r="K6044" s="20" t="s">
        <v>250</v>
      </c>
      <c r="L6044" s="20"/>
      <c r="M6044" s="20" t="s">
        <v>251</v>
      </c>
      <c r="N6044" s="20" t="s">
        <v>3817</v>
      </c>
    </row>
    <row r="6045" spans="1:14" hidden="1" x14ac:dyDescent="0.25">
      <c r="A6045" s="19">
        <v>46143</v>
      </c>
      <c r="B6045" s="20" t="s">
        <v>97</v>
      </c>
      <c r="C6045" s="20">
        <v>34</v>
      </c>
      <c r="D6045" s="20" t="s">
        <v>291</v>
      </c>
      <c r="E6045" s="20" t="s">
        <v>2361</v>
      </c>
      <c r="F6045" s="20" t="s">
        <v>240</v>
      </c>
      <c r="G6045" s="20" t="s">
        <v>82</v>
      </c>
      <c r="H6045" s="20" t="s">
        <v>83</v>
      </c>
      <c r="I6045" s="20" t="s">
        <v>503</v>
      </c>
      <c r="J6045" s="20" t="s">
        <v>209</v>
      </c>
      <c r="K6045" s="20" t="s">
        <v>250</v>
      </c>
      <c r="L6045" s="20"/>
      <c r="M6045" s="20" t="s">
        <v>251</v>
      </c>
      <c r="N6045" s="20" t="s">
        <v>3818</v>
      </c>
    </row>
    <row r="6046" spans="1:14" hidden="1" x14ac:dyDescent="0.25">
      <c r="A6046" s="19">
        <v>46143</v>
      </c>
      <c r="B6046" s="20" t="s">
        <v>97</v>
      </c>
      <c r="C6046" s="20">
        <v>34</v>
      </c>
      <c r="D6046" s="20" t="s">
        <v>291</v>
      </c>
      <c r="E6046" s="20" t="s">
        <v>2361</v>
      </c>
      <c r="F6046" s="20" t="s">
        <v>240</v>
      </c>
      <c r="G6046" s="20" t="s">
        <v>82</v>
      </c>
      <c r="H6046" s="20" t="s">
        <v>83</v>
      </c>
      <c r="I6046" s="20" t="s">
        <v>2413</v>
      </c>
      <c r="J6046" s="20" t="s">
        <v>209</v>
      </c>
      <c r="K6046" s="20" t="s">
        <v>250</v>
      </c>
      <c r="L6046" s="20"/>
      <c r="M6046" s="20" t="s">
        <v>251</v>
      </c>
      <c r="N6046" s="20" t="s">
        <v>333</v>
      </c>
    </row>
    <row r="6047" spans="1:14" hidden="1" x14ac:dyDescent="0.25">
      <c r="A6047" s="19">
        <v>46143</v>
      </c>
      <c r="B6047" s="20" t="s">
        <v>97</v>
      </c>
      <c r="C6047" s="20">
        <v>34</v>
      </c>
      <c r="D6047" s="20" t="s">
        <v>291</v>
      </c>
      <c r="E6047" s="20" t="s">
        <v>2361</v>
      </c>
      <c r="F6047" s="20" t="s">
        <v>240</v>
      </c>
      <c r="G6047" s="20" t="s">
        <v>82</v>
      </c>
      <c r="H6047" s="20" t="s">
        <v>83</v>
      </c>
      <c r="I6047" s="20" t="s">
        <v>2414</v>
      </c>
      <c r="J6047" s="20" t="s">
        <v>209</v>
      </c>
      <c r="K6047" s="20" t="s">
        <v>250</v>
      </c>
      <c r="L6047" s="20"/>
      <c r="M6047" s="20" t="s">
        <v>251</v>
      </c>
      <c r="N6047" s="20" t="s">
        <v>500</v>
      </c>
    </row>
    <row r="6048" spans="1:14" hidden="1" x14ac:dyDescent="0.25">
      <c r="A6048" s="19">
        <v>46143</v>
      </c>
      <c r="B6048" s="20" t="s">
        <v>97</v>
      </c>
      <c r="C6048" s="20">
        <v>34</v>
      </c>
      <c r="D6048" s="20" t="s">
        <v>291</v>
      </c>
      <c r="E6048" s="20" t="s">
        <v>2361</v>
      </c>
      <c r="F6048" s="20" t="s">
        <v>240</v>
      </c>
      <c r="G6048" s="20" t="s">
        <v>82</v>
      </c>
      <c r="H6048" s="20" t="s">
        <v>84</v>
      </c>
      <c r="I6048" s="20" t="s">
        <v>319</v>
      </c>
      <c r="J6048" s="20" t="s">
        <v>209</v>
      </c>
      <c r="K6048" s="20" t="s">
        <v>250</v>
      </c>
      <c r="L6048" s="20"/>
      <c r="M6048" s="20" t="s">
        <v>251</v>
      </c>
      <c r="N6048" s="20" t="s">
        <v>3819</v>
      </c>
    </row>
    <row r="6049" spans="1:14" hidden="1" x14ac:dyDescent="0.25">
      <c r="A6049" s="19">
        <v>46143</v>
      </c>
      <c r="B6049" s="20" t="s">
        <v>97</v>
      </c>
      <c r="C6049" s="20">
        <v>34</v>
      </c>
      <c r="D6049" s="20" t="s">
        <v>291</v>
      </c>
      <c r="E6049" s="20" t="s">
        <v>2361</v>
      </c>
      <c r="F6049" s="20" t="s">
        <v>240</v>
      </c>
      <c r="G6049" s="20" t="s">
        <v>82</v>
      </c>
      <c r="H6049" s="20" t="s">
        <v>84</v>
      </c>
      <c r="I6049" s="20" t="s">
        <v>321</v>
      </c>
      <c r="J6049" s="20" t="s">
        <v>209</v>
      </c>
      <c r="K6049" s="20" t="s">
        <v>250</v>
      </c>
      <c r="L6049" s="20"/>
      <c r="M6049" s="20" t="s">
        <v>251</v>
      </c>
      <c r="N6049" s="20" t="s">
        <v>3820</v>
      </c>
    </row>
    <row r="6050" spans="1:14" hidden="1" x14ac:dyDescent="0.25">
      <c r="A6050" s="19">
        <v>46143</v>
      </c>
      <c r="B6050" s="20" t="s">
        <v>97</v>
      </c>
      <c r="C6050" s="20">
        <v>34</v>
      </c>
      <c r="D6050" s="20" t="s">
        <v>291</v>
      </c>
      <c r="E6050" s="20" t="s">
        <v>2361</v>
      </c>
      <c r="F6050" s="20" t="s">
        <v>240</v>
      </c>
      <c r="G6050" s="20" t="s">
        <v>82</v>
      </c>
      <c r="H6050" s="20" t="s">
        <v>106</v>
      </c>
      <c r="I6050" s="20" t="s">
        <v>493</v>
      </c>
      <c r="J6050" s="20" t="s">
        <v>209</v>
      </c>
      <c r="K6050" s="20" t="s">
        <v>250</v>
      </c>
      <c r="L6050" s="20"/>
      <c r="M6050" s="20" t="s">
        <v>251</v>
      </c>
      <c r="N6050" s="20" t="s">
        <v>3821</v>
      </c>
    </row>
    <row r="6051" spans="1:14" hidden="1" x14ac:dyDescent="0.25">
      <c r="A6051" s="19">
        <v>46143</v>
      </c>
      <c r="B6051" s="20" t="s">
        <v>97</v>
      </c>
      <c r="C6051" s="20">
        <v>34</v>
      </c>
      <c r="D6051" s="20" t="s">
        <v>291</v>
      </c>
      <c r="E6051" s="20" t="s">
        <v>2361</v>
      </c>
      <c r="F6051" s="20" t="s">
        <v>240</v>
      </c>
      <c r="G6051" s="20" t="s">
        <v>82</v>
      </c>
      <c r="H6051" s="20" t="s">
        <v>106</v>
      </c>
      <c r="I6051" s="20" t="s">
        <v>491</v>
      </c>
      <c r="J6051" s="20" t="s">
        <v>209</v>
      </c>
      <c r="K6051" s="20" t="s">
        <v>250</v>
      </c>
      <c r="L6051" s="20"/>
      <c r="M6051" s="20" t="s">
        <v>251</v>
      </c>
      <c r="N6051" s="20" t="s">
        <v>3822</v>
      </c>
    </row>
    <row r="6052" spans="1:14" hidden="1" x14ac:dyDescent="0.25">
      <c r="A6052" s="19">
        <v>46143</v>
      </c>
      <c r="B6052" s="20" t="s">
        <v>97</v>
      </c>
      <c r="C6052" s="20">
        <v>34</v>
      </c>
      <c r="D6052" s="20" t="s">
        <v>291</v>
      </c>
      <c r="E6052" s="20" t="s">
        <v>2361</v>
      </c>
      <c r="F6052" s="20" t="s">
        <v>240</v>
      </c>
      <c r="G6052" s="20" t="s">
        <v>82</v>
      </c>
      <c r="H6052" s="20" t="s">
        <v>105</v>
      </c>
      <c r="I6052" s="20" t="s">
        <v>493</v>
      </c>
      <c r="J6052" s="20" t="s">
        <v>209</v>
      </c>
      <c r="K6052" s="20" t="s">
        <v>250</v>
      </c>
      <c r="L6052" s="20"/>
      <c r="M6052" s="20" t="s">
        <v>251</v>
      </c>
      <c r="N6052" s="20" t="s">
        <v>3823</v>
      </c>
    </row>
    <row r="6053" spans="1:14" hidden="1" x14ac:dyDescent="0.25">
      <c r="A6053" s="19">
        <v>46143</v>
      </c>
      <c r="B6053" s="20" t="s">
        <v>97</v>
      </c>
      <c r="C6053" s="20">
        <v>34</v>
      </c>
      <c r="D6053" s="20" t="s">
        <v>291</v>
      </c>
      <c r="E6053" s="20" t="s">
        <v>2361</v>
      </c>
      <c r="F6053" s="20" t="s">
        <v>240</v>
      </c>
      <c r="G6053" s="20" t="s">
        <v>82</v>
      </c>
      <c r="H6053" s="20" t="s">
        <v>105</v>
      </c>
      <c r="I6053" s="20" t="s">
        <v>491</v>
      </c>
      <c r="J6053" s="20" t="s">
        <v>209</v>
      </c>
      <c r="K6053" s="20" t="s">
        <v>250</v>
      </c>
      <c r="L6053" s="20"/>
      <c r="M6053" s="20" t="s">
        <v>251</v>
      </c>
      <c r="N6053" s="20" t="s">
        <v>3824</v>
      </c>
    </row>
    <row r="6054" spans="1:14" hidden="1" x14ac:dyDescent="0.25">
      <c r="A6054" s="19">
        <v>46143</v>
      </c>
      <c r="B6054" s="20" t="s">
        <v>97</v>
      </c>
      <c r="C6054" s="20">
        <v>35</v>
      </c>
      <c r="D6054" s="20" t="s">
        <v>253</v>
      </c>
      <c r="E6054" s="20" t="s">
        <v>2359</v>
      </c>
      <c r="F6054" s="20" t="s">
        <v>244</v>
      </c>
      <c r="G6054" s="20" t="s">
        <v>82</v>
      </c>
      <c r="H6054" s="20"/>
      <c r="I6054" s="20"/>
      <c r="J6054" s="20" t="s">
        <v>207</v>
      </c>
      <c r="K6054" s="20" t="s">
        <v>255</v>
      </c>
      <c r="L6054" s="20">
        <v>652000000</v>
      </c>
      <c r="M6054" s="20" t="s">
        <v>245</v>
      </c>
      <c r="N6054" s="20" t="s">
        <v>3539</v>
      </c>
    </row>
    <row r="6055" spans="1:14" hidden="1" x14ac:dyDescent="0.25">
      <c r="A6055" s="19">
        <v>46143</v>
      </c>
      <c r="B6055" s="20" t="s">
        <v>97</v>
      </c>
      <c r="C6055" s="20">
        <v>35</v>
      </c>
      <c r="D6055" s="20" t="s">
        <v>253</v>
      </c>
      <c r="E6055" s="20" t="s">
        <v>2359</v>
      </c>
      <c r="F6055" s="20" t="s">
        <v>244</v>
      </c>
      <c r="G6055" s="20" t="s">
        <v>82</v>
      </c>
      <c r="H6055" s="20"/>
      <c r="I6055" s="20"/>
      <c r="J6055" s="20" t="s">
        <v>208</v>
      </c>
      <c r="K6055" s="20" t="s">
        <v>255</v>
      </c>
      <c r="L6055" s="20">
        <v>601000000</v>
      </c>
      <c r="M6055" s="20" t="s">
        <v>245</v>
      </c>
      <c r="N6055" s="20" t="s">
        <v>3688</v>
      </c>
    </row>
    <row r="6056" spans="1:14" hidden="1" x14ac:dyDescent="0.25">
      <c r="A6056" s="19">
        <v>46143</v>
      </c>
      <c r="B6056" s="20" t="s">
        <v>97</v>
      </c>
      <c r="C6056" s="20">
        <v>35</v>
      </c>
      <c r="D6056" s="20" t="s">
        <v>253</v>
      </c>
      <c r="E6056" s="20" t="s">
        <v>2359</v>
      </c>
      <c r="F6056" s="20" t="s">
        <v>244</v>
      </c>
      <c r="G6056" s="20" t="s">
        <v>82</v>
      </c>
      <c r="H6056" s="20"/>
      <c r="I6056" s="20"/>
      <c r="J6056" s="20" t="s">
        <v>209</v>
      </c>
      <c r="K6056" s="20" t="s">
        <v>255</v>
      </c>
      <c r="L6056" s="20">
        <v>698000000</v>
      </c>
      <c r="M6056" s="20" t="s">
        <v>245</v>
      </c>
      <c r="N6056" s="20" t="s">
        <v>3825</v>
      </c>
    </row>
    <row r="6057" spans="1:14" hidden="1" x14ac:dyDescent="0.25">
      <c r="A6057" s="19">
        <v>46143</v>
      </c>
      <c r="B6057" s="20" t="s">
        <v>97</v>
      </c>
      <c r="C6057" s="20">
        <v>35</v>
      </c>
      <c r="D6057" s="20" t="s">
        <v>247</v>
      </c>
      <c r="E6057" s="20" t="s">
        <v>2554</v>
      </c>
      <c r="F6057" s="20" t="s">
        <v>2557</v>
      </c>
      <c r="G6057" s="20" t="s">
        <v>82</v>
      </c>
      <c r="H6057" s="20" t="s">
        <v>286</v>
      </c>
      <c r="I6057" s="20"/>
      <c r="J6057" s="20" t="s">
        <v>209</v>
      </c>
      <c r="K6057" s="20" t="s">
        <v>250</v>
      </c>
      <c r="L6057" s="20">
        <v>16.100000000000001</v>
      </c>
      <c r="M6057" s="20" t="s">
        <v>251</v>
      </c>
      <c r="N6057" s="20" t="s">
        <v>3826</v>
      </c>
    </row>
    <row r="6058" spans="1:14" hidden="1" x14ac:dyDescent="0.25">
      <c r="A6058" s="19">
        <v>46143</v>
      </c>
      <c r="B6058" s="20" t="s">
        <v>97</v>
      </c>
      <c r="C6058" s="20">
        <v>36</v>
      </c>
      <c r="D6058" s="20" t="s">
        <v>291</v>
      </c>
      <c r="E6058" s="20" t="s">
        <v>2361</v>
      </c>
      <c r="F6058" s="20" t="s">
        <v>244</v>
      </c>
      <c r="G6058" s="20" t="s">
        <v>82</v>
      </c>
      <c r="H6058" s="20" t="s">
        <v>83</v>
      </c>
      <c r="I6058" s="20"/>
      <c r="J6058" s="20" t="s">
        <v>209</v>
      </c>
      <c r="K6058" s="20" t="s">
        <v>250</v>
      </c>
      <c r="L6058" s="20">
        <v>537120000</v>
      </c>
      <c r="M6058" s="20" t="s">
        <v>245</v>
      </c>
      <c r="N6058" s="20" t="s">
        <v>3827</v>
      </c>
    </row>
    <row r="6059" spans="1:14" hidden="1" x14ac:dyDescent="0.25">
      <c r="A6059" s="19">
        <v>46143</v>
      </c>
      <c r="B6059" s="20" t="s">
        <v>97</v>
      </c>
      <c r="C6059" s="20">
        <v>36</v>
      </c>
      <c r="D6059" s="20" t="s">
        <v>291</v>
      </c>
      <c r="E6059" s="20" t="s">
        <v>2361</v>
      </c>
      <c r="F6059" s="20" t="s">
        <v>244</v>
      </c>
      <c r="G6059" s="20" t="s">
        <v>82</v>
      </c>
      <c r="H6059" s="20" t="s">
        <v>84</v>
      </c>
      <c r="I6059" s="20"/>
      <c r="J6059" s="20" t="s">
        <v>209</v>
      </c>
      <c r="K6059" s="20" t="s">
        <v>250</v>
      </c>
      <c r="L6059" s="20">
        <v>147110000</v>
      </c>
      <c r="M6059" s="20" t="s">
        <v>245</v>
      </c>
      <c r="N6059" s="20" t="s">
        <v>3828</v>
      </c>
    </row>
    <row r="6060" spans="1:14" hidden="1" x14ac:dyDescent="0.25">
      <c r="A6060" s="19">
        <v>46143</v>
      </c>
      <c r="B6060" s="20" t="s">
        <v>97</v>
      </c>
      <c r="C6060" s="20">
        <v>36</v>
      </c>
      <c r="D6060" s="20" t="s">
        <v>291</v>
      </c>
      <c r="E6060" s="20" t="s">
        <v>2361</v>
      </c>
      <c r="F6060" s="20" t="s">
        <v>244</v>
      </c>
      <c r="G6060" s="20" t="s">
        <v>82</v>
      </c>
      <c r="H6060" s="20" t="s">
        <v>106</v>
      </c>
      <c r="I6060" s="20"/>
      <c r="J6060" s="20" t="s">
        <v>209</v>
      </c>
      <c r="K6060" s="20" t="s">
        <v>250</v>
      </c>
      <c r="L6060" s="20">
        <v>9740000</v>
      </c>
      <c r="M6060" s="20" t="s">
        <v>245</v>
      </c>
      <c r="N6060" s="20" t="s">
        <v>3829</v>
      </c>
    </row>
    <row r="6061" spans="1:14" hidden="1" x14ac:dyDescent="0.25">
      <c r="A6061" s="19">
        <v>46143</v>
      </c>
      <c r="B6061" s="20" t="s">
        <v>97</v>
      </c>
      <c r="C6061" s="20">
        <v>36</v>
      </c>
      <c r="D6061" s="20" t="s">
        <v>291</v>
      </c>
      <c r="E6061" s="20" t="s">
        <v>2361</v>
      </c>
      <c r="F6061" s="20" t="s">
        <v>244</v>
      </c>
      <c r="G6061" s="20" t="s">
        <v>82</v>
      </c>
      <c r="H6061" s="20" t="s">
        <v>105</v>
      </c>
      <c r="I6061" s="20"/>
      <c r="J6061" s="20" t="s">
        <v>209</v>
      </c>
      <c r="K6061" s="20" t="s">
        <v>250</v>
      </c>
      <c r="L6061" s="20">
        <v>3750000</v>
      </c>
      <c r="M6061" s="20" t="s">
        <v>245</v>
      </c>
      <c r="N6061" s="20" t="s">
        <v>3252</v>
      </c>
    </row>
    <row r="6062" spans="1:14" hidden="1" x14ac:dyDescent="0.25">
      <c r="A6062" s="19">
        <v>46143</v>
      </c>
      <c r="B6062" s="20" t="s">
        <v>97</v>
      </c>
      <c r="C6062" s="20">
        <v>37</v>
      </c>
      <c r="D6062" s="20" t="s">
        <v>291</v>
      </c>
      <c r="E6062" s="20" t="s">
        <v>2361</v>
      </c>
      <c r="F6062" s="20" t="s">
        <v>244</v>
      </c>
      <c r="G6062" s="20" t="s">
        <v>82</v>
      </c>
      <c r="H6062" s="20" t="s">
        <v>83</v>
      </c>
      <c r="I6062" s="20" t="s">
        <v>315</v>
      </c>
      <c r="J6062" s="20" t="s">
        <v>209</v>
      </c>
      <c r="K6062" s="20" t="s">
        <v>250</v>
      </c>
      <c r="L6062" s="20"/>
      <c r="M6062" s="20" t="s">
        <v>251</v>
      </c>
      <c r="N6062" s="20" t="s">
        <v>3830</v>
      </c>
    </row>
    <row r="6063" spans="1:14" hidden="1" x14ac:dyDescent="0.25">
      <c r="A6063" s="19">
        <v>46143</v>
      </c>
      <c r="B6063" s="20" t="s">
        <v>97</v>
      </c>
      <c r="C6063" s="20">
        <v>37</v>
      </c>
      <c r="D6063" s="20" t="s">
        <v>291</v>
      </c>
      <c r="E6063" s="20" t="s">
        <v>2361</v>
      </c>
      <c r="F6063" s="20" t="s">
        <v>244</v>
      </c>
      <c r="G6063" s="20" t="s">
        <v>82</v>
      </c>
      <c r="H6063" s="20" t="s">
        <v>83</v>
      </c>
      <c r="I6063" s="20" t="s">
        <v>317</v>
      </c>
      <c r="J6063" s="20" t="s">
        <v>209</v>
      </c>
      <c r="K6063" s="20" t="s">
        <v>250</v>
      </c>
      <c r="L6063" s="20"/>
      <c r="M6063" s="20" t="s">
        <v>251</v>
      </c>
      <c r="N6063" s="20" t="s">
        <v>3831</v>
      </c>
    </row>
    <row r="6064" spans="1:14" hidden="1" x14ac:dyDescent="0.25">
      <c r="A6064" s="19">
        <v>46143</v>
      </c>
      <c r="B6064" s="20" t="s">
        <v>97</v>
      </c>
      <c r="C6064" s="20">
        <v>37</v>
      </c>
      <c r="D6064" s="20" t="s">
        <v>291</v>
      </c>
      <c r="E6064" s="20" t="s">
        <v>2361</v>
      </c>
      <c r="F6064" s="20" t="s">
        <v>244</v>
      </c>
      <c r="G6064" s="20" t="s">
        <v>82</v>
      </c>
      <c r="H6064" s="20" t="s">
        <v>83</v>
      </c>
      <c r="I6064" s="20" t="s">
        <v>2785</v>
      </c>
      <c r="J6064" s="20" t="s">
        <v>209</v>
      </c>
      <c r="K6064" s="20" t="s">
        <v>250</v>
      </c>
      <c r="L6064" s="20"/>
      <c r="M6064" s="20" t="s">
        <v>251</v>
      </c>
      <c r="N6064" s="20" t="s">
        <v>2756</v>
      </c>
    </row>
    <row r="6065" spans="1:14" hidden="1" x14ac:dyDescent="0.25">
      <c r="A6065" s="19">
        <v>46143</v>
      </c>
      <c r="B6065" s="20" t="s">
        <v>97</v>
      </c>
      <c r="C6065" s="20">
        <v>37</v>
      </c>
      <c r="D6065" s="20" t="s">
        <v>291</v>
      </c>
      <c r="E6065" s="20" t="s">
        <v>2361</v>
      </c>
      <c r="F6065" s="20" t="s">
        <v>244</v>
      </c>
      <c r="G6065" s="20" t="s">
        <v>82</v>
      </c>
      <c r="H6065" s="20" t="s">
        <v>83</v>
      </c>
      <c r="I6065" s="20" t="s">
        <v>497</v>
      </c>
      <c r="J6065" s="20" t="s">
        <v>209</v>
      </c>
      <c r="K6065" s="20" t="s">
        <v>250</v>
      </c>
      <c r="L6065" s="20"/>
      <c r="M6065" s="20" t="s">
        <v>251</v>
      </c>
      <c r="N6065" s="20" t="s">
        <v>3832</v>
      </c>
    </row>
    <row r="6066" spans="1:14" hidden="1" x14ac:dyDescent="0.25">
      <c r="A6066" s="19">
        <v>46143</v>
      </c>
      <c r="B6066" s="20" t="s">
        <v>97</v>
      </c>
      <c r="C6066" s="20">
        <v>37</v>
      </c>
      <c r="D6066" s="20" t="s">
        <v>291</v>
      </c>
      <c r="E6066" s="20" t="s">
        <v>2361</v>
      </c>
      <c r="F6066" s="20" t="s">
        <v>244</v>
      </c>
      <c r="G6066" s="20" t="s">
        <v>82</v>
      </c>
      <c r="H6066" s="20" t="s">
        <v>83</v>
      </c>
      <c r="I6066" s="20" t="s">
        <v>503</v>
      </c>
      <c r="J6066" s="20" t="s">
        <v>209</v>
      </c>
      <c r="K6066" s="20" t="s">
        <v>250</v>
      </c>
      <c r="L6066" s="20"/>
      <c r="M6066" s="20" t="s">
        <v>251</v>
      </c>
      <c r="N6066" s="20" t="s">
        <v>2956</v>
      </c>
    </row>
    <row r="6067" spans="1:14" hidden="1" x14ac:dyDescent="0.25">
      <c r="A6067" s="19">
        <v>46143</v>
      </c>
      <c r="B6067" s="20" t="s">
        <v>97</v>
      </c>
      <c r="C6067" s="20">
        <v>37</v>
      </c>
      <c r="D6067" s="20" t="s">
        <v>291</v>
      </c>
      <c r="E6067" s="20" t="s">
        <v>2361</v>
      </c>
      <c r="F6067" s="20" t="s">
        <v>244</v>
      </c>
      <c r="G6067" s="20" t="s">
        <v>82</v>
      </c>
      <c r="H6067" s="20" t="s">
        <v>83</v>
      </c>
      <c r="I6067" s="20" t="s">
        <v>2413</v>
      </c>
      <c r="J6067" s="20" t="s">
        <v>209</v>
      </c>
      <c r="K6067" s="20" t="s">
        <v>250</v>
      </c>
      <c r="L6067" s="20"/>
      <c r="M6067" s="20" t="s">
        <v>251</v>
      </c>
      <c r="N6067" s="20" t="s">
        <v>3833</v>
      </c>
    </row>
    <row r="6068" spans="1:14" hidden="1" x14ac:dyDescent="0.25">
      <c r="A6068" s="19">
        <v>46143</v>
      </c>
      <c r="B6068" s="20" t="s">
        <v>97</v>
      </c>
      <c r="C6068" s="20">
        <v>37</v>
      </c>
      <c r="D6068" s="20" t="s">
        <v>291</v>
      </c>
      <c r="E6068" s="20" t="s">
        <v>2361</v>
      </c>
      <c r="F6068" s="20" t="s">
        <v>244</v>
      </c>
      <c r="G6068" s="20" t="s">
        <v>82</v>
      </c>
      <c r="H6068" s="20" t="s">
        <v>83</v>
      </c>
      <c r="I6068" s="20" t="s">
        <v>2414</v>
      </c>
      <c r="J6068" s="20" t="s">
        <v>209</v>
      </c>
      <c r="K6068" s="20" t="s">
        <v>250</v>
      </c>
      <c r="L6068" s="20"/>
      <c r="M6068" s="20" t="s">
        <v>251</v>
      </c>
      <c r="N6068" s="20" t="s">
        <v>731</v>
      </c>
    </row>
    <row r="6069" spans="1:14" hidden="1" x14ac:dyDescent="0.25">
      <c r="A6069" s="19">
        <v>46143</v>
      </c>
      <c r="B6069" s="20" t="s">
        <v>97</v>
      </c>
      <c r="C6069" s="20">
        <v>37</v>
      </c>
      <c r="D6069" s="20" t="s">
        <v>291</v>
      </c>
      <c r="E6069" s="20" t="s">
        <v>2361</v>
      </c>
      <c r="F6069" s="20" t="s">
        <v>244</v>
      </c>
      <c r="G6069" s="20" t="s">
        <v>82</v>
      </c>
      <c r="H6069" s="20" t="s">
        <v>84</v>
      </c>
      <c r="I6069" s="20" t="s">
        <v>319</v>
      </c>
      <c r="J6069" s="20" t="s">
        <v>209</v>
      </c>
      <c r="K6069" s="20" t="s">
        <v>250</v>
      </c>
      <c r="L6069" s="20"/>
      <c r="M6069" s="20" t="s">
        <v>251</v>
      </c>
      <c r="N6069" s="20" t="s">
        <v>3834</v>
      </c>
    </row>
    <row r="6070" spans="1:14" hidden="1" x14ac:dyDescent="0.25">
      <c r="A6070" s="19">
        <v>46143</v>
      </c>
      <c r="B6070" s="20" t="s">
        <v>97</v>
      </c>
      <c r="C6070" s="20">
        <v>37</v>
      </c>
      <c r="D6070" s="20" t="s">
        <v>291</v>
      </c>
      <c r="E6070" s="20" t="s">
        <v>2361</v>
      </c>
      <c r="F6070" s="20" t="s">
        <v>244</v>
      </c>
      <c r="G6070" s="20" t="s">
        <v>82</v>
      </c>
      <c r="H6070" s="20" t="s">
        <v>84</v>
      </c>
      <c r="I6070" s="20" t="s">
        <v>321</v>
      </c>
      <c r="J6070" s="20" t="s">
        <v>209</v>
      </c>
      <c r="K6070" s="20" t="s">
        <v>250</v>
      </c>
      <c r="L6070" s="20"/>
      <c r="M6070" s="20" t="s">
        <v>251</v>
      </c>
      <c r="N6070" s="20" t="s">
        <v>3835</v>
      </c>
    </row>
    <row r="6071" spans="1:14" hidden="1" x14ac:dyDescent="0.25">
      <c r="A6071" s="19">
        <v>46143</v>
      </c>
      <c r="B6071" s="20" t="s">
        <v>97</v>
      </c>
      <c r="C6071" s="20">
        <v>37</v>
      </c>
      <c r="D6071" s="20" t="s">
        <v>291</v>
      </c>
      <c r="E6071" s="20" t="s">
        <v>2361</v>
      </c>
      <c r="F6071" s="20" t="s">
        <v>244</v>
      </c>
      <c r="G6071" s="20" t="s">
        <v>82</v>
      </c>
      <c r="H6071" s="20" t="s">
        <v>106</v>
      </c>
      <c r="I6071" s="20" t="s">
        <v>493</v>
      </c>
      <c r="J6071" s="20" t="s">
        <v>209</v>
      </c>
      <c r="K6071" s="20" t="s">
        <v>250</v>
      </c>
      <c r="L6071" s="20"/>
      <c r="M6071" s="20" t="s">
        <v>251</v>
      </c>
      <c r="N6071" s="20" t="s">
        <v>3836</v>
      </c>
    </row>
    <row r="6072" spans="1:14" hidden="1" x14ac:dyDescent="0.25">
      <c r="A6072" s="19">
        <v>46143</v>
      </c>
      <c r="B6072" s="20" t="s">
        <v>97</v>
      </c>
      <c r="C6072" s="20">
        <v>37</v>
      </c>
      <c r="D6072" s="20" t="s">
        <v>291</v>
      </c>
      <c r="E6072" s="20" t="s">
        <v>2361</v>
      </c>
      <c r="F6072" s="20" t="s">
        <v>244</v>
      </c>
      <c r="G6072" s="20" t="s">
        <v>82</v>
      </c>
      <c r="H6072" s="20" t="s">
        <v>106</v>
      </c>
      <c r="I6072" s="20" t="s">
        <v>491</v>
      </c>
      <c r="J6072" s="20" t="s">
        <v>209</v>
      </c>
      <c r="K6072" s="20" t="s">
        <v>250</v>
      </c>
      <c r="L6072" s="20"/>
      <c r="M6072" s="20" t="s">
        <v>251</v>
      </c>
      <c r="N6072" s="20" t="s">
        <v>3837</v>
      </c>
    </row>
    <row r="6073" spans="1:14" hidden="1" x14ac:dyDescent="0.25">
      <c r="A6073" s="19">
        <v>46143</v>
      </c>
      <c r="B6073" s="20" t="s">
        <v>97</v>
      </c>
      <c r="C6073" s="20">
        <v>37</v>
      </c>
      <c r="D6073" s="20" t="s">
        <v>291</v>
      </c>
      <c r="E6073" s="20" t="s">
        <v>2361</v>
      </c>
      <c r="F6073" s="20" t="s">
        <v>244</v>
      </c>
      <c r="G6073" s="20" t="s">
        <v>82</v>
      </c>
      <c r="H6073" s="20" t="s">
        <v>105</v>
      </c>
      <c r="I6073" s="20" t="s">
        <v>493</v>
      </c>
      <c r="J6073" s="20" t="s">
        <v>209</v>
      </c>
      <c r="K6073" s="20" t="s">
        <v>250</v>
      </c>
      <c r="L6073" s="20"/>
      <c r="M6073" s="20" t="s">
        <v>251</v>
      </c>
      <c r="N6073" s="20" t="s">
        <v>3838</v>
      </c>
    </row>
    <row r="6074" spans="1:14" hidden="1" x14ac:dyDescent="0.25">
      <c r="A6074" s="19">
        <v>46143</v>
      </c>
      <c r="B6074" s="20" t="s">
        <v>97</v>
      </c>
      <c r="C6074" s="20">
        <v>37</v>
      </c>
      <c r="D6074" s="20" t="s">
        <v>291</v>
      </c>
      <c r="E6074" s="20" t="s">
        <v>2361</v>
      </c>
      <c r="F6074" s="20" t="s">
        <v>244</v>
      </c>
      <c r="G6074" s="20" t="s">
        <v>82</v>
      </c>
      <c r="H6074" s="20" t="s">
        <v>105</v>
      </c>
      <c r="I6074" s="20" t="s">
        <v>491</v>
      </c>
      <c r="J6074" s="20" t="s">
        <v>209</v>
      </c>
      <c r="K6074" s="20" t="s">
        <v>250</v>
      </c>
      <c r="L6074" s="20"/>
      <c r="M6074" s="20" t="s">
        <v>251</v>
      </c>
      <c r="N6074" s="20" t="s">
        <v>3839</v>
      </c>
    </row>
    <row r="6075" spans="1:14" hidden="1" x14ac:dyDescent="0.25">
      <c r="A6075" s="19">
        <v>46143</v>
      </c>
      <c r="B6075" s="20" t="s">
        <v>97</v>
      </c>
      <c r="C6075" s="20">
        <v>38</v>
      </c>
      <c r="D6075" s="20" t="s">
        <v>253</v>
      </c>
      <c r="E6075" s="20" t="s">
        <v>2359</v>
      </c>
      <c r="F6075" s="20" t="s">
        <v>334</v>
      </c>
      <c r="G6075" s="20" t="s">
        <v>82</v>
      </c>
      <c r="H6075" s="20"/>
      <c r="I6075" s="20"/>
      <c r="J6075" s="20" t="s">
        <v>207</v>
      </c>
      <c r="K6075" s="20" t="s">
        <v>255</v>
      </c>
      <c r="L6075" s="20">
        <v>51</v>
      </c>
      <c r="M6075" s="20" t="s">
        <v>245</v>
      </c>
      <c r="N6075" s="20" t="s">
        <v>3408</v>
      </c>
    </row>
    <row r="6076" spans="1:14" hidden="1" x14ac:dyDescent="0.25">
      <c r="A6076" s="19">
        <v>46143</v>
      </c>
      <c r="B6076" s="20" t="s">
        <v>97</v>
      </c>
      <c r="C6076" s="20">
        <v>38</v>
      </c>
      <c r="D6076" s="20" t="s">
        <v>253</v>
      </c>
      <c r="E6076" s="20" t="s">
        <v>2359</v>
      </c>
      <c r="F6076" s="20" t="s">
        <v>334</v>
      </c>
      <c r="G6076" s="20" t="s">
        <v>82</v>
      </c>
      <c r="H6076" s="20"/>
      <c r="I6076" s="20"/>
      <c r="J6076" s="20" t="s">
        <v>208</v>
      </c>
      <c r="K6076" s="20" t="s">
        <v>255</v>
      </c>
      <c r="L6076" s="20">
        <v>45</v>
      </c>
      <c r="M6076" s="20" t="s">
        <v>245</v>
      </c>
      <c r="N6076" s="20" t="s">
        <v>2183</v>
      </c>
    </row>
    <row r="6077" spans="1:14" hidden="1" x14ac:dyDescent="0.25">
      <c r="A6077" s="19">
        <v>46143</v>
      </c>
      <c r="B6077" s="20" t="s">
        <v>97</v>
      </c>
      <c r="C6077" s="20">
        <v>38</v>
      </c>
      <c r="D6077" s="20" t="s">
        <v>253</v>
      </c>
      <c r="E6077" s="20" t="s">
        <v>2359</v>
      </c>
      <c r="F6077" s="20" t="s">
        <v>334</v>
      </c>
      <c r="G6077" s="20" t="s">
        <v>82</v>
      </c>
      <c r="H6077" s="20"/>
      <c r="I6077" s="20"/>
      <c r="J6077" s="20" t="s">
        <v>209</v>
      </c>
      <c r="K6077" s="20" t="s">
        <v>255</v>
      </c>
      <c r="L6077" s="20">
        <v>47</v>
      </c>
      <c r="M6077" s="20" t="s">
        <v>245</v>
      </c>
      <c r="N6077" s="20" t="s">
        <v>3840</v>
      </c>
    </row>
    <row r="6078" spans="1:14" hidden="1" x14ac:dyDescent="0.25">
      <c r="A6078" s="19">
        <v>46143</v>
      </c>
      <c r="B6078" s="20" t="s">
        <v>97</v>
      </c>
      <c r="C6078" s="20">
        <v>39</v>
      </c>
      <c r="D6078" s="20" t="s">
        <v>291</v>
      </c>
      <c r="E6078" s="20" t="s">
        <v>2361</v>
      </c>
      <c r="F6078" s="20" t="s">
        <v>428</v>
      </c>
      <c r="G6078" s="20" t="s">
        <v>82</v>
      </c>
      <c r="H6078" s="20" t="s">
        <v>95</v>
      </c>
      <c r="I6078" s="20"/>
      <c r="J6078" s="20" t="s">
        <v>209</v>
      </c>
      <c r="K6078" s="20" t="s">
        <v>250</v>
      </c>
      <c r="L6078" s="20">
        <v>5770000</v>
      </c>
      <c r="M6078" s="20" t="s">
        <v>242</v>
      </c>
      <c r="N6078" s="20" t="s">
        <v>3841</v>
      </c>
    </row>
    <row r="6079" spans="1:14" hidden="1" x14ac:dyDescent="0.25">
      <c r="A6079" s="19">
        <v>46143</v>
      </c>
      <c r="B6079" s="20" t="s">
        <v>97</v>
      </c>
      <c r="C6079" s="20">
        <v>39</v>
      </c>
      <c r="D6079" s="20" t="s">
        <v>291</v>
      </c>
      <c r="E6079" s="20" t="s">
        <v>2361</v>
      </c>
      <c r="F6079" s="20" t="s">
        <v>428</v>
      </c>
      <c r="G6079" s="20" t="s">
        <v>82</v>
      </c>
      <c r="H6079" s="20" t="s">
        <v>94</v>
      </c>
      <c r="I6079" s="20"/>
      <c r="J6079" s="20" t="s">
        <v>209</v>
      </c>
      <c r="K6079" s="20" t="s">
        <v>250</v>
      </c>
      <c r="L6079" s="20">
        <v>3060000</v>
      </c>
      <c r="M6079" s="20" t="s">
        <v>242</v>
      </c>
      <c r="N6079" s="20" t="s">
        <v>3842</v>
      </c>
    </row>
    <row r="6080" spans="1:14" hidden="1" x14ac:dyDescent="0.25">
      <c r="A6080" s="19">
        <v>46143</v>
      </c>
      <c r="B6080" s="20" t="s">
        <v>97</v>
      </c>
      <c r="C6080" s="20">
        <v>40</v>
      </c>
      <c r="D6080" s="20" t="s">
        <v>291</v>
      </c>
      <c r="E6080" s="20" t="s">
        <v>2361</v>
      </c>
      <c r="F6080" s="20" t="s">
        <v>445</v>
      </c>
      <c r="G6080" s="20" t="s">
        <v>82</v>
      </c>
      <c r="H6080" s="20" t="s">
        <v>95</v>
      </c>
      <c r="I6080" s="20"/>
      <c r="J6080" s="20" t="s">
        <v>209</v>
      </c>
      <c r="K6080" s="20" t="s">
        <v>250</v>
      </c>
      <c r="L6080" s="20">
        <v>150900000</v>
      </c>
      <c r="M6080" s="20" t="s">
        <v>245</v>
      </c>
      <c r="N6080" s="20" t="s">
        <v>3843</v>
      </c>
    </row>
    <row r="6081" spans="1:14" hidden="1" x14ac:dyDescent="0.25">
      <c r="A6081" s="19">
        <v>46143</v>
      </c>
      <c r="B6081" s="20" t="s">
        <v>97</v>
      </c>
      <c r="C6081" s="20">
        <v>40</v>
      </c>
      <c r="D6081" s="20" t="s">
        <v>291</v>
      </c>
      <c r="E6081" s="20" t="s">
        <v>2361</v>
      </c>
      <c r="F6081" s="20" t="s">
        <v>445</v>
      </c>
      <c r="G6081" s="20" t="s">
        <v>82</v>
      </c>
      <c r="H6081" s="20" t="s">
        <v>94</v>
      </c>
      <c r="I6081" s="20"/>
      <c r="J6081" s="20" t="s">
        <v>209</v>
      </c>
      <c r="K6081" s="20" t="s">
        <v>250</v>
      </c>
      <c r="L6081" s="20">
        <v>104500000</v>
      </c>
      <c r="M6081" s="20" t="s">
        <v>245</v>
      </c>
      <c r="N6081" s="20" t="s">
        <v>3844</v>
      </c>
    </row>
    <row r="6082" spans="1:14" hidden="1" x14ac:dyDescent="0.25">
      <c r="A6082" s="19">
        <v>46143</v>
      </c>
      <c r="B6082" s="20" t="s">
        <v>162</v>
      </c>
      <c r="C6082" s="20">
        <v>42</v>
      </c>
      <c r="D6082" s="20" t="s">
        <v>238</v>
      </c>
      <c r="E6082" s="20" t="s">
        <v>2341</v>
      </c>
      <c r="F6082" s="20" t="s">
        <v>240</v>
      </c>
      <c r="G6082" s="20" t="s">
        <v>82</v>
      </c>
      <c r="H6082" s="20"/>
      <c r="I6082" s="20"/>
      <c r="J6082" s="20" t="s">
        <v>3779</v>
      </c>
      <c r="K6082" s="20" t="s">
        <v>241</v>
      </c>
      <c r="L6082" s="20">
        <v>157760000</v>
      </c>
      <c r="M6082" s="20" t="s">
        <v>242</v>
      </c>
      <c r="N6082" s="20" t="s">
        <v>3845</v>
      </c>
    </row>
    <row r="6083" spans="1:14" hidden="1" x14ac:dyDescent="0.25">
      <c r="A6083" s="19">
        <v>46143</v>
      </c>
      <c r="B6083" s="20" t="s">
        <v>162</v>
      </c>
      <c r="C6083" s="20">
        <v>42</v>
      </c>
      <c r="D6083" s="20" t="s">
        <v>238</v>
      </c>
      <c r="E6083" s="20" t="s">
        <v>2341</v>
      </c>
      <c r="F6083" s="20" t="s">
        <v>244</v>
      </c>
      <c r="G6083" s="20" t="s">
        <v>82</v>
      </c>
      <c r="H6083" s="20"/>
      <c r="I6083" s="20"/>
      <c r="J6083" s="20" t="s">
        <v>3779</v>
      </c>
      <c r="K6083" s="20" t="s">
        <v>241</v>
      </c>
      <c r="L6083" s="20">
        <v>12820000000</v>
      </c>
      <c r="M6083" s="20" t="s">
        <v>245</v>
      </c>
      <c r="N6083" s="20" t="s">
        <v>3846</v>
      </c>
    </row>
    <row r="6084" spans="1:14" hidden="1" x14ac:dyDescent="0.25">
      <c r="A6084" s="19">
        <v>46143</v>
      </c>
      <c r="B6084" s="20" t="s">
        <v>162</v>
      </c>
      <c r="C6084" s="20">
        <v>43</v>
      </c>
      <c r="D6084" s="20" t="s">
        <v>253</v>
      </c>
      <c r="E6084" s="20" t="s">
        <v>2359</v>
      </c>
      <c r="F6084" s="20" t="s">
        <v>1194</v>
      </c>
      <c r="G6084" s="20" t="s">
        <v>82</v>
      </c>
      <c r="H6084" s="20"/>
      <c r="I6084" s="20"/>
      <c r="J6084" s="20" t="s">
        <v>207</v>
      </c>
      <c r="K6084" s="20" t="s">
        <v>255</v>
      </c>
      <c r="L6084" s="20">
        <v>31770000</v>
      </c>
      <c r="M6084" s="20" t="s">
        <v>242</v>
      </c>
      <c r="N6084" s="20" t="s">
        <v>3562</v>
      </c>
    </row>
    <row r="6085" spans="1:14" hidden="1" x14ac:dyDescent="0.25">
      <c r="A6085" s="19">
        <v>46143</v>
      </c>
      <c r="B6085" s="20" t="s">
        <v>162</v>
      </c>
      <c r="C6085" s="20">
        <v>43</v>
      </c>
      <c r="D6085" s="20" t="s">
        <v>253</v>
      </c>
      <c r="E6085" s="20" t="s">
        <v>2359</v>
      </c>
      <c r="F6085" s="20" t="s">
        <v>1194</v>
      </c>
      <c r="G6085" s="20" t="s">
        <v>82</v>
      </c>
      <c r="H6085" s="20"/>
      <c r="I6085" s="20"/>
      <c r="J6085" s="20" t="s">
        <v>208</v>
      </c>
      <c r="K6085" s="20" t="s">
        <v>255</v>
      </c>
      <c r="L6085" s="20">
        <v>32620000</v>
      </c>
      <c r="M6085" s="20" t="s">
        <v>242</v>
      </c>
      <c r="N6085" s="20" t="s">
        <v>3705</v>
      </c>
    </row>
    <row r="6086" spans="1:14" hidden="1" x14ac:dyDescent="0.25">
      <c r="A6086" s="19">
        <v>46143</v>
      </c>
      <c r="B6086" s="20" t="s">
        <v>162</v>
      </c>
      <c r="C6086" s="20">
        <v>43</v>
      </c>
      <c r="D6086" s="20" t="s">
        <v>253</v>
      </c>
      <c r="E6086" s="20" t="s">
        <v>2359</v>
      </c>
      <c r="F6086" s="20" t="s">
        <v>1194</v>
      </c>
      <c r="G6086" s="20" t="s">
        <v>82</v>
      </c>
      <c r="H6086" s="20"/>
      <c r="I6086" s="20"/>
      <c r="J6086" s="20" t="s">
        <v>209</v>
      </c>
      <c r="K6086" s="20" t="s">
        <v>255</v>
      </c>
      <c r="L6086" s="20">
        <v>36410000</v>
      </c>
      <c r="M6086" s="20" t="s">
        <v>242</v>
      </c>
      <c r="N6086" s="20" t="s">
        <v>3847</v>
      </c>
    </row>
    <row r="6087" spans="1:14" hidden="1" x14ac:dyDescent="0.25">
      <c r="A6087" s="19">
        <v>46143</v>
      </c>
      <c r="B6087" s="20" t="s">
        <v>162</v>
      </c>
      <c r="C6087" s="20">
        <v>43</v>
      </c>
      <c r="D6087" s="20" t="s">
        <v>247</v>
      </c>
      <c r="E6087" s="20" t="s">
        <v>2554</v>
      </c>
      <c r="F6087" s="20" t="s">
        <v>2556</v>
      </c>
      <c r="G6087" s="20" t="s">
        <v>82</v>
      </c>
      <c r="H6087" s="20" t="s">
        <v>286</v>
      </c>
      <c r="I6087" s="20"/>
      <c r="J6087" s="20" t="s">
        <v>209</v>
      </c>
      <c r="K6087" s="20" t="s">
        <v>250</v>
      </c>
      <c r="L6087" s="20">
        <v>11.6</v>
      </c>
      <c r="M6087" s="20" t="s">
        <v>251</v>
      </c>
      <c r="N6087" s="20" t="s">
        <v>318</v>
      </c>
    </row>
    <row r="6088" spans="1:14" hidden="1" x14ac:dyDescent="0.25">
      <c r="A6088" s="19">
        <v>46143</v>
      </c>
      <c r="B6088" s="20" t="s">
        <v>162</v>
      </c>
      <c r="C6088" s="20">
        <v>44</v>
      </c>
      <c r="D6088" s="20" t="s">
        <v>291</v>
      </c>
      <c r="E6088" s="20" t="s">
        <v>2361</v>
      </c>
      <c r="F6088" s="20" t="s">
        <v>2445</v>
      </c>
      <c r="G6088" s="20" t="s">
        <v>82</v>
      </c>
      <c r="H6088" s="20" t="s">
        <v>2446</v>
      </c>
      <c r="I6088" s="20" t="s">
        <v>2447</v>
      </c>
      <c r="J6088" s="20" t="s">
        <v>209</v>
      </c>
      <c r="K6088" s="20" t="s">
        <v>250</v>
      </c>
      <c r="L6088" s="20">
        <v>14390000</v>
      </c>
      <c r="M6088" s="20" t="s">
        <v>242</v>
      </c>
      <c r="N6088" s="20" t="s">
        <v>3848</v>
      </c>
    </row>
    <row r="6089" spans="1:14" hidden="1" x14ac:dyDescent="0.25">
      <c r="A6089" s="19">
        <v>46143</v>
      </c>
      <c r="B6089" s="20" t="s">
        <v>162</v>
      </c>
      <c r="C6089" s="20">
        <v>44</v>
      </c>
      <c r="D6089" s="20" t="s">
        <v>291</v>
      </c>
      <c r="E6089" s="20" t="s">
        <v>2361</v>
      </c>
      <c r="F6089" s="20" t="s">
        <v>2445</v>
      </c>
      <c r="G6089" s="20" t="s">
        <v>82</v>
      </c>
      <c r="H6089" s="20" t="s">
        <v>2449</v>
      </c>
      <c r="I6089" s="20" t="s">
        <v>2447</v>
      </c>
      <c r="J6089" s="20" t="s">
        <v>209</v>
      </c>
      <c r="K6089" s="20" t="s">
        <v>250</v>
      </c>
      <c r="L6089" s="20">
        <v>4380000</v>
      </c>
      <c r="M6089" s="20" t="s">
        <v>242</v>
      </c>
      <c r="N6089" s="20" t="s">
        <v>1222</v>
      </c>
    </row>
    <row r="6090" spans="1:14" hidden="1" x14ac:dyDescent="0.25">
      <c r="A6090" s="19">
        <v>46143</v>
      </c>
      <c r="B6090" s="20" t="s">
        <v>162</v>
      </c>
      <c r="C6090" s="20">
        <v>44</v>
      </c>
      <c r="D6090" s="20" t="s">
        <v>291</v>
      </c>
      <c r="E6090" s="20" t="s">
        <v>2361</v>
      </c>
      <c r="F6090" s="20" t="s">
        <v>2445</v>
      </c>
      <c r="G6090" s="20" t="s">
        <v>82</v>
      </c>
      <c r="H6090" s="20" t="s">
        <v>2446</v>
      </c>
      <c r="I6090" s="20" t="s">
        <v>2451</v>
      </c>
      <c r="J6090" s="20" t="s">
        <v>209</v>
      </c>
      <c r="K6090" s="20" t="s">
        <v>250</v>
      </c>
      <c r="L6090" s="20">
        <v>7030000</v>
      </c>
      <c r="M6090" s="20" t="s">
        <v>242</v>
      </c>
      <c r="N6090" s="20" t="s">
        <v>3046</v>
      </c>
    </row>
    <row r="6091" spans="1:14" hidden="1" x14ac:dyDescent="0.25">
      <c r="A6091" s="19">
        <v>46143</v>
      </c>
      <c r="B6091" s="20" t="s">
        <v>162</v>
      </c>
      <c r="C6091" s="20">
        <v>44</v>
      </c>
      <c r="D6091" s="20" t="s">
        <v>291</v>
      </c>
      <c r="E6091" s="20" t="s">
        <v>2361</v>
      </c>
      <c r="F6091" s="20" t="s">
        <v>2445</v>
      </c>
      <c r="G6091" s="20" t="s">
        <v>82</v>
      </c>
      <c r="H6091" s="20" t="s">
        <v>2449</v>
      </c>
      <c r="I6091" s="20" t="s">
        <v>2451</v>
      </c>
      <c r="J6091" s="20" t="s">
        <v>209</v>
      </c>
      <c r="K6091" s="20" t="s">
        <v>250</v>
      </c>
      <c r="L6091" s="20">
        <v>10380000</v>
      </c>
      <c r="M6091" s="20" t="s">
        <v>242</v>
      </c>
      <c r="N6091" s="20" t="s">
        <v>3849</v>
      </c>
    </row>
    <row r="6092" spans="1:14" hidden="1" x14ac:dyDescent="0.25">
      <c r="A6092" s="19">
        <v>46143</v>
      </c>
      <c r="B6092" s="20" t="s">
        <v>162</v>
      </c>
      <c r="C6092" s="20">
        <v>44</v>
      </c>
      <c r="D6092" s="20" t="s">
        <v>291</v>
      </c>
      <c r="E6092" s="20" t="s">
        <v>2361</v>
      </c>
      <c r="F6092" s="20" t="s">
        <v>2445</v>
      </c>
      <c r="G6092" s="20" t="s">
        <v>82</v>
      </c>
      <c r="H6092" s="20" t="s">
        <v>2446</v>
      </c>
      <c r="I6092" s="20" t="s">
        <v>2454</v>
      </c>
      <c r="J6092" s="20" t="s">
        <v>209</v>
      </c>
      <c r="K6092" s="20" t="s">
        <v>250</v>
      </c>
      <c r="L6092" s="20">
        <v>17800</v>
      </c>
      <c r="M6092" s="20" t="s">
        <v>242</v>
      </c>
      <c r="N6092" s="20" t="s">
        <v>3850</v>
      </c>
    </row>
    <row r="6093" spans="1:14" hidden="1" x14ac:dyDescent="0.25">
      <c r="A6093" s="19">
        <v>46143</v>
      </c>
      <c r="B6093" s="20" t="s">
        <v>162</v>
      </c>
      <c r="C6093" s="20">
        <v>44</v>
      </c>
      <c r="D6093" s="20" t="s">
        <v>291</v>
      </c>
      <c r="E6093" s="20" t="s">
        <v>2361</v>
      </c>
      <c r="F6093" s="20" t="s">
        <v>2445</v>
      </c>
      <c r="G6093" s="20" t="s">
        <v>82</v>
      </c>
      <c r="H6093" s="20" t="s">
        <v>2449</v>
      </c>
      <c r="I6093" s="20" t="s">
        <v>2454</v>
      </c>
      <c r="J6093" s="20" t="s">
        <v>209</v>
      </c>
      <c r="K6093" s="20" t="s">
        <v>250</v>
      </c>
      <c r="L6093" s="20">
        <v>221180</v>
      </c>
      <c r="M6093" s="20" t="s">
        <v>242</v>
      </c>
      <c r="N6093" s="20" t="s">
        <v>3851</v>
      </c>
    </row>
    <row r="6094" spans="1:14" hidden="1" x14ac:dyDescent="0.25">
      <c r="A6094" s="19">
        <v>46143</v>
      </c>
      <c r="B6094" s="20" t="s">
        <v>162</v>
      </c>
      <c r="C6094" s="20">
        <v>45</v>
      </c>
      <c r="D6094" s="20" t="s">
        <v>253</v>
      </c>
      <c r="E6094" s="20" t="s">
        <v>2359</v>
      </c>
      <c r="F6094" s="20" t="s">
        <v>2457</v>
      </c>
      <c r="G6094" s="20" t="s">
        <v>82</v>
      </c>
      <c r="H6094" s="20"/>
      <c r="I6094" s="20"/>
      <c r="J6094" s="20" t="s">
        <v>207</v>
      </c>
      <c r="K6094" s="20" t="s">
        <v>255</v>
      </c>
      <c r="L6094" s="20">
        <v>26260000</v>
      </c>
      <c r="M6094" s="20" t="s">
        <v>242</v>
      </c>
      <c r="N6094" s="20" t="s">
        <v>3568</v>
      </c>
    </row>
    <row r="6095" spans="1:14" hidden="1" x14ac:dyDescent="0.25">
      <c r="A6095" s="19">
        <v>46143</v>
      </c>
      <c r="B6095" s="20" t="s">
        <v>162</v>
      </c>
      <c r="C6095" s="20">
        <v>45</v>
      </c>
      <c r="D6095" s="20" t="s">
        <v>253</v>
      </c>
      <c r="E6095" s="20" t="s">
        <v>2359</v>
      </c>
      <c r="F6095" s="20" t="s">
        <v>2457</v>
      </c>
      <c r="G6095" s="20" t="s">
        <v>82</v>
      </c>
      <c r="H6095" s="20"/>
      <c r="I6095" s="20"/>
      <c r="J6095" s="20" t="s">
        <v>208</v>
      </c>
      <c r="K6095" s="20" t="s">
        <v>255</v>
      </c>
      <c r="L6095" s="20">
        <v>26810000</v>
      </c>
      <c r="M6095" s="20" t="s">
        <v>242</v>
      </c>
      <c r="N6095" s="20" t="s">
        <v>3710</v>
      </c>
    </row>
    <row r="6096" spans="1:14" hidden="1" x14ac:dyDescent="0.25">
      <c r="A6096" s="19">
        <v>46143</v>
      </c>
      <c r="B6096" s="20" t="s">
        <v>162</v>
      </c>
      <c r="C6096" s="20">
        <v>45</v>
      </c>
      <c r="D6096" s="20" t="s">
        <v>253</v>
      </c>
      <c r="E6096" s="20" t="s">
        <v>2359</v>
      </c>
      <c r="F6096" s="20" t="s">
        <v>2457</v>
      </c>
      <c r="G6096" s="20" t="s">
        <v>82</v>
      </c>
      <c r="H6096" s="20"/>
      <c r="I6096" s="20"/>
      <c r="J6096" s="20" t="s">
        <v>209</v>
      </c>
      <c r="K6096" s="20" t="s">
        <v>255</v>
      </c>
      <c r="L6096" s="20">
        <v>29740000</v>
      </c>
      <c r="M6096" s="20" t="s">
        <v>242</v>
      </c>
      <c r="N6096" s="20" t="s">
        <v>3852</v>
      </c>
    </row>
    <row r="6097" spans="1:14" hidden="1" x14ac:dyDescent="0.25">
      <c r="A6097" s="19">
        <v>46143</v>
      </c>
      <c r="B6097" s="20" t="s">
        <v>162</v>
      </c>
      <c r="C6097" s="20">
        <v>45</v>
      </c>
      <c r="D6097" s="20" t="s">
        <v>247</v>
      </c>
      <c r="E6097" s="20" t="s">
        <v>2554</v>
      </c>
      <c r="F6097" s="20" t="s">
        <v>2556</v>
      </c>
      <c r="G6097" s="20" t="s">
        <v>82</v>
      </c>
      <c r="H6097" s="20" t="s">
        <v>286</v>
      </c>
      <c r="I6097" s="20"/>
      <c r="J6097" s="20" t="s">
        <v>209</v>
      </c>
      <c r="K6097" s="20" t="s">
        <v>250</v>
      </c>
      <c r="L6097" s="20">
        <v>10.9</v>
      </c>
      <c r="M6097" s="20" t="s">
        <v>251</v>
      </c>
      <c r="N6097" s="20" t="s">
        <v>1876</v>
      </c>
    </row>
    <row r="6098" spans="1:14" hidden="1" x14ac:dyDescent="0.25">
      <c r="A6098" s="19">
        <v>46143</v>
      </c>
      <c r="B6098" s="20" t="s">
        <v>162</v>
      </c>
      <c r="C6098" s="20">
        <v>46</v>
      </c>
      <c r="D6098" s="20" t="s">
        <v>291</v>
      </c>
      <c r="E6098" s="20" t="s">
        <v>2361</v>
      </c>
      <c r="F6098" s="20" t="s">
        <v>2457</v>
      </c>
      <c r="G6098" s="20" t="s">
        <v>82</v>
      </c>
      <c r="H6098" s="20" t="s">
        <v>95</v>
      </c>
      <c r="I6098" s="20"/>
      <c r="J6098" s="20" t="s">
        <v>209</v>
      </c>
      <c r="K6098" s="20" t="s">
        <v>250</v>
      </c>
      <c r="L6098" s="20">
        <v>9010000</v>
      </c>
      <c r="M6098" s="20" t="s">
        <v>242</v>
      </c>
      <c r="N6098" s="20" t="s">
        <v>3853</v>
      </c>
    </row>
    <row r="6099" spans="1:14" hidden="1" x14ac:dyDescent="0.25">
      <c r="A6099" s="19">
        <v>46143</v>
      </c>
      <c r="B6099" s="20" t="s">
        <v>162</v>
      </c>
      <c r="C6099" s="20">
        <v>46</v>
      </c>
      <c r="D6099" s="20" t="s">
        <v>291</v>
      </c>
      <c r="E6099" s="20" t="s">
        <v>2361</v>
      </c>
      <c r="F6099" s="20" t="s">
        <v>2457</v>
      </c>
      <c r="G6099" s="20" t="s">
        <v>82</v>
      </c>
      <c r="H6099" s="20" t="s">
        <v>94</v>
      </c>
      <c r="I6099" s="20"/>
      <c r="J6099" s="20" t="s">
        <v>209</v>
      </c>
      <c r="K6099" s="20" t="s">
        <v>250</v>
      </c>
      <c r="L6099" s="20">
        <v>20730000</v>
      </c>
      <c r="M6099" s="20" t="s">
        <v>242</v>
      </c>
      <c r="N6099" s="20" t="s">
        <v>3854</v>
      </c>
    </row>
    <row r="6100" spans="1:14" hidden="1" x14ac:dyDescent="0.25">
      <c r="A6100" s="19">
        <v>46143</v>
      </c>
      <c r="B6100" s="20" t="s">
        <v>162</v>
      </c>
      <c r="C6100" s="20">
        <v>47</v>
      </c>
      <c r="D6100" s="20" t="s">
        <v>291</v>
      </c>
      <c r="E6100" s="20" t="s">
        <v>2361</v>
      </c>
      <c r="F6100" s="20" t="s">
        <v>2460</v>
      </c>
      <c r="G6100" s="20" t="s">
        <v>82</v>
      </c>
      <c r="H6100" s="20" t="s">
        <v>174</v>
      </c>
      <c r="I6100" s="20"/>
      <c r="J6100" s="20" t="s">
        <v>209</v>
      </c>
      <c r="K6100" s="20" t="s">
        <v>250</v>
      </c>
      <c r="L6100" s="20">
        <v>3680000</v>
      </c>
      <c r="M6100" s="20" t="s">
        <v>242</v>
      </c>
      <c r="N6100" s="20" t="s">
        <v>3855</v>
      </c>
    </row>
    <row r="6101" spans="1:14" hidden="1" x14ac:dyDescent="0.25">
      <c r="A6101" s="19">
        <v>46143</v>
      </c>
      <c r="B6101" s="20" t="s">
        <v>162</v>
      </c>
      <c r="C6101" s="20">
        <v>47</v>
      </c>
      <c r="D6101" s="20" t="s">
        <v>291</v>
      </c>
      <c r="E6101" s="20" t="s">
        <v>2361</v>
      </c>
      <c r="F6101" s="20" t="s">
        <v>2460</v>
      </c>
      <c r="G6101" s="20" t="s">
        <v>82</v>
      </c>
      <c r="H6101" s="20" t="s">
        <v>173</v>
      </c>
      <c r="I6101" s="20"/>
      <c r="J6101" s="20" t="s">
        <v>209</v>
      </c>
      <c r="K6101" s="20" t="s">
        <v>250</v>
      </c>
      <c r="L6101" s="20">
        <v>5430000</v>
      </c>
      <c r="M6101" s="20" t="s">
        <v>242</v>
      </c>
      <c r="N6101" s="20" t="s">
        <v>3856</v>
      </c>
    </row>
    <row r="6102" spans="1:14" hidden="1" x14ac:dyDescent="0.25">
      <c r="A6102" s="19">
        <v>46143</v>
      </c>
      <c r="B6102" s="20" t="s">
        <v>162</v>
      </c>
      <c r="C6102" s="20">
        <v>48</v>
      </c>
      <c r="D6102" s="20" t="s">
        <v>253</v>
      </c>
      <c r="E6102" s="20" t="s">
        <v>2359</v>
      </c>
      <c r="F6102" s="20" t="s">
        <v>1196</v>
      </c>
      <c r="G6102" s="20" t="s">
        <v>82</v>
      </c>
      <c r="H6102" s="20"/>
      <c r="I6102" s="20"/>
      <c r="J6102" s="20" t="s">
        <v>207</v>
      </c>
      <c r="K6102" s="20" t="s">
        <v>255</v>
      </c>
      <c r="L6102" s="20">
        <v>2670000000</v>
      </c>
      <c r="M6102" s="20" t="s">
        <v>245</v>
      </c>
      <c r="N6102" s="20" t="s">
        <v>3570</v>
      </c>
    </row>
    <row r="6103" spans="1:14" hidden="1" x14ac:dyDescent="0.25">
      <c r="A6103" s="19">
        <v>46143</v>
      </c>
      <c r="B6103" s="20" t="s">
        <v>162</v>
      </c>
      <c r="C6103" s="20">
        <v>48</v>
      </c>
      <c r="D6103" s="20" t="s">
        <v>253</v>
      </c>
      <c r="E6103" s="20" t="s">
        <v>2359</v>
      </c>
      <c r="F6103" s="20" t="s">
        <v>1196</v>
      </c>
      <c r="G6103" s="20" t="s">
        <v>82</v>
      </c>
      <c r="H6103" s="20"/>
      <c r="I6103" s="20"/>
      <c r="J6103" s="20" t="s">
        <v>208</v>
      </c>
      <c r="K6103" s="20" t="s">
        <v>255</v>
      </c>
      <c r="L6103" s="20">
        <v>2490000000</v>
      </c>
      <c r="M6103" s="20" t="s">
        <v>245</v>
      </c>
      <c r="N6103" s="20" t="s">
        <v>3713</v>
      </c>
    </row>
    <row r="6104" spans="1:14" hidden="1" x14ac:dyDescent="0.25">
      <c r="A6104" s="19">
        <v>46143</v>
      </c>
      <c r="B6104" s="20" t="s">
        <v>162</v>
      </c>
      <c r="C6104" s="20">
        <v>48</v>
      </c>
      <c r="D6104" s="20" t="s">
        <v>253</v>
      </c>
      <c r="E6104" s="20" t="s">
        <v>2359</v>
      </c>
      <c r="F6104" s="20" t="s">
        <v>1196</v>
      </c>
      <c r="G6104" s="20" t="s">
        <v>82</v>
      </c>
      <c r="H6104" s="20"/>
      <c r="I6104" s="20"/>
      <c r="J6104" s="20" t="s">
        <v>209</v>
      </c>
      <c r="K6104" s="20" t="s">
        <v>255</v>
      </c>
      <c r="L6104" s="20">
        <v>2830000000</v>
      </c>
      <c r="M6104" s="20" t="s">
        <v>245</v>
      </c>
      <c r="N6104" s="20" t="s">
        <v>3857</v>
      </c>
    </row>
    <row r="6105" spans="1:14" hidden="1" x14ac:dyDescent="0.25">
      <c r="A6105" s="19">
        <v>46143</v>
      </c>
      <c r="B6105" s="20" t="s">
        <v>162</v>
      </c>
      <c r="C6105" s="20">
        <v>48</v>
      </c>
      <c r="D6105" s="20" t="s">
        <v>247</v>
      </c>
      <c r="E6105" s="20" t="s">
        <v>2554</v>
      </c>
      <c r="F6105" s="20" t="s">
        <v>2557</v>
      </c>
      <c r="G6105" s="20" t="s">
        <v>82</v>
      </c>
      <c r="H6105" s="20" t="s">
        <v>286</v>
      </c>
      <c r="I6105" s="20"/>
      <c r="J6105" s="20" t="s">
        <v>209</v>
      </c>
      <c r="K6105" s="20" t="s">
        <v>250</v>
      </c>
      <c r="L6105" s="20">
        <v>13.7</v>
      </c>
      <c r="M6105" s="20" t="s">
        <v>251</v>
      </c>
      <c r="N6105" s="20" t="s">
        <v>3155</v>
      </c>
    </row>
    <row r="6106" spans="1:14" hidden="1" x14ac:dyDescent="0.25">
      <c r="A6106" s="19">
        <v>46143</v>
      </c>
      <c r="B6106" s="20" t="s">
        <v>162</v>
      </c>
      <c r="C6106" s="20">
        <v>49</v>
      </c>
      <c r="D6106" s="20" t="s">
        <v>291</v>
      </c>
      <c r="E6106" s="20" t="s">
        <v>2361</v>
      </c>
      <c r="F6106" s="20" t="s">
        <v>2462</v>
      </c>
      <c r="G6106" s="20" t="s">
        <v>82</v>
      </c>
      <c r="H6106" s="20" t="s">
        <v>2446</v>
      </c>
      <c r="I6106" s="20" t="s">
        <v>2447</v>
      </c>
      <c r="J6106" s="20" t="s">
        <v>209</v>
      </c>
      <c r="K6106" s="20" t="s">
        <v>250</v>
      </c>
      <c r="L6106" s="20">
        <v>1800000000</v>
      </c>
      <c r="M6106" s="20" t="s">
        <v>245</v>
      </c>
      <c r="N6106" s="20" t="s">
        <v>3858</v>
      </c>
    </row>
    <row r="6107" spans="1:14" hidden="1" x14ac:dyDescent="0.25">
      <c r="A6107" s="19">
        <v>46143</v>
      </c>
      <c r="B6107" s="20" t="s">
        <v>162</v>
      </c>
      <c r="C6107" s="20">
        <v>49</v>
      </c>
      <c r="D6107" s="20" t="s">
        <v>291</v>
      </c>
      <c r="E6107" s="20" t="s">
        <v>2361</v>
      </c>
      <c r="F6107" s="20" t="s">
        <v>2462</v>
      </c>
      <c r="G6107" s="20" t="s">
        <v>82</v>
      </c>
      <c r="H6107" s="20" t="s">
        <v>2449</v>
      </c>
      <c r="I6107" s="20" t="s">
        <v>2447</v>
      </c>
      <c r="J6107" s="20" t="s">
        <v>209</v>
      </c>
      <c r="K6107" s="20" t="s">
        <v>250</v>
      </c>
      <c r="L6107" s="20">
        <v>355000000</v>
      </c>
      <c r="M6107" s="20" t="s">
        <v>245</v>
      </c>
      <c r="N6107" s="20" t="s">
        <v>3859</v>
      </c>
    </row>
    <row r="6108" spans="1:14" hidden="1" x14ac:dyDescent="0.25">
      <c r="A6108" s="19">
        <v>46143</v>
      </c>
      <c r="B6108" s="20" t="s">
        <v>162</v>
      </c>
      <c r="C6108" s="20">
        <v>49</v>
      </c>
      <c r="D6108" s="20" t="s">
        <v>291</v>
      </c>
      <c r="E6108" s="20" t="s">
        <v>2361</v>
      </c>
      <c r="F6108" s="20" t="s">
        <v>2462</v>
      </c>
      <c r="G6108" s="20" t="s">
        <v>82</v>
      </c>
      <c r="H6108" s="20" t="s">
        <v>2446</v>
      </c>
      <c r="I6108" s="20" t="s">
        <v>2451</v>
      </c>
      <c r="J6108" s="20" t="s">
        <v>209</v>
      </c>
      <c r="K6108" s="20" t="s">
        <v>250</v>
      </c>
      <c r="L6108" s="20">
        <v>333500000</v>
      </c>
      <c r="M6108" s="20" t="s">
        <v>245</v>
      </c>
      <c r="N6108" s="20" t="s">
        <v>3860</v>
      </c>
    </row>
    <row r="6109" spans="1:14" hidden="1" x14ac:dyDescent="0.25">
      <c r="A6109" s="19">
        <v>46143</v>
      </c>
      <c r="B6109" s="20" t="s">
        <v>162</v>
      </c>
      <c r="C6109" s="20">
        <v>49</v>
      </c>
      <c r="D6109" s="20" t="s">
        <v>291</v>
      </c>
      <c r="E6109" s="20" t="s">
        <v>2361</v>
      </c>
      <c r="F6109" s="20" t="s">
        <v>2462</v>
      </c>
      <c r="G6109" s="20" t="s">
        <v>82</v>
      </c>
      <c r="H6109" s="20" t="s">
        <v>2449</v>
      </c>
      <c r="I6109" s="20" t="s">
        <v>2451</v>
      </c>
      <c r="J6109" s="20" t="s">
        <v>209</v>
      </c>
      <c r="K6109" s="20" t="s">
        <v>250</v>
      </c>
      <c r="L6109" s="20">
        <v>340400000</v>
      </c>
      <c r="M6109" s="20" t="s">
        <v>245</v>
      </c>
      <c r="N6109" s="20" t="s">
        <v>3861</v>
      </c>
    </row>
    <row r="6110" spans="1:14" hidden="1" x14ac:dyDescent="0.25">
      <c r="A6110" s="19">
        <v>46143</v>
      </c>
      <c r="B6110" s="20" t="s">
        <v>162</v>
      </c>
      <c r="C6110" s="20">
        <v>49</v>
      </c>
      <c r="D6110" s="20" t="s">
        <v>291</v>
      </c>
      <c r="E6110" s="20" t="s">
        <v>2361</v>
      </c>
      <c r="F6110" s="20" t="s">
        <v>2462</v>
      </c>
      <c r="G6110" s="20" t="s">
        <v>82</v>
      </c>
      <c r="H6110" s="20" t="s">
        <v>2446</v>
      </c>
      <c r="I6110" s="20" t="s">
        <v>2454</v>
      </c>
      <c r="J6110" s="20" t="s">
        <v>209</v>
      </c>
      <c r="K6110" s="20" t="s">
        <v>250</v>
      </c>
      <c r="L6110" s="20">
        <v>196000</v>
      </c>
      <c r="M6110" s="20" t="s">
        <v>245</v>
      </c>
      <c r="N6110" s="20" t="s">
        <v>3862</v>
      </c>
    </row>
    <row r="6111" spans="1:14" hidden="1" x14ac:dyDescent="0.25">
      <c r="A6111" s="19">
        <v>46143</v>
      </c>
      <c r="B6111" s="20" t="s">
        <v>162</v>
      </c>
      <c r="C6111" s="20">
        <v>49</v>
      </c>
      <c r="D6111" s="20" t="s">
        <v>291</v>
      </c>
      <c r="E6111" s="20" t="s">
        <v>2361</v>
      </c>
      <c r="F6111" s="20" t="s">
        <v>2462</v>
      </c>
      <c r="G6111" s="20" t="s">
        <v>82</v>
      </c>
      <c r="H6111" s="20" t="s">
        <v>2449</v>
      </c>
      <c r="I6111" s="20" t="s">
        <v>2454</v>
      </c>
      <c r="J6111" s="20" t="s">
        <v>209</v>
      </c>
      <c r="K6111" s="20" t="s">
        <v>250</v>
      </c>
      <c r="L6111" s="20">
        <v>2000000</v>
      </c>
      <c r="M6111" s="20" t="s">
        <v>245</v>
      </c>
      <c r="N6111" s="20" t="s">
        <v>1469</v>
      </c>
    </row>
    <row r="6112" spans="1:14" hidden="1" x14ac:dyDescent="0.25">
      <c r="A6112" s="19">
        <v>46143</v>
      </c>
      <c r="B6112" s="20" t="s">
        <v>162</v>
      </c>
      <c r="C6112" s="20">
        <v>50</v>
      </c>
      <c r="D6112" s="20" t="s">
        <v>253</v>
      </c>
      <c r="E6112" s="20" t="s">
        <v>2359</v>
      </c>
      <c r="F6112" s="20" t="s">
        <v>2468</v>
      </c>
      <c r="G6112" s="20" t="s">
        <v>82</v>
      </c>
      <c r="H6112" s="20"/>
      <c r="I6112" s="20"/>
      <c r="J6112" s="20" t="s">
        <v>207</v>
      </c>
      <c r="K6112" s="20" t="s">
        <v>255</v>
      </c>
      <c r="L6112" s="20">
        <v>2010000000</v>
      </c>
      <c r="M6112" s="20" t="s">
        <v>245</v>
      </c>
      <c r="N6112" s="20" t="s">
        <v>3576</v>
      </c>
    </row>
    <row r="6113" spans="1:14" hidden="1" x14ac:dyDescent="0.25">
      <c r="A6113" s="19">
        <v>46143</v>
      </c>
      <c r="B6113" s="20" t="s">
        <v>162</v>
      </c>
      <c r="C6113" s="20">
        <v>50</v>
      </c>
      <c r="D6113" s="20" t="s">
        <v>253</v>
      </c>
      <c r="E6113" s="20" t="s">
        <v>2359</v>
      </c>
      <c r="F6113" s="20" t="s">
        <v>2468</v>
      </c>
      <c r="G6113" s="20" t="s">
        <v>82</v>
      </c>
      <c r="H6113" s="20"/>
      <c r="I6113" s="20"/>
      <c r="J6113" s="20" t="s">
        <v>208</v>
      </c>
      <c r="K6113" s="20" t="s">
        <v>255</v>
      </c>
      <c r="L6113" s="20">
        <v>1850000000</v>
      </c>
      <c r="M6113" s="20" t="s">
        <v>245</v>
      </c>
      <c r="N6113" s="20" t="s">
        <v>3287</v>
      </c>
    </row>
    <row r="6114" spans="1:14" hidden="1" x14ac:dyDescent="0.25">
      <c r="A6114" s="19">
        <v>46143</v>
      </c>
      <c r="B6114" s="20" t="s">
        <v>162</v>
      </c>
      <c r="C6114" s="20">
        <v>50</v>
      </c>
      <c r="D6114" s="20" t="s">
        <v>253</v>
      </c>
      <c r="E6114" s="20" t="s">
        <v>2359</v>
      </c>
      <c r="F6114" s="20" t="s">
        <v>2468</v>
      </c>
      <c r="G6114" s="20" t="s">
        <v>82</v>
      </c>
      <c r="H6114" s="20"/>
      <c r="I6114" s="20"/>
      <c r="J6114" s="20" t="s">
        <v>209</v>
      </c>
      <c r="K6114" s="20" t="s">
        <v>255</v>
      </c>
      <c r="L6114" s="20">
        <v>2100000000</v>
      </c>
      <c r="M6114" s="20" t="s">
        <v>245</v>
      </c>
      <c r="N6114" s="20" t="s">
        <v>1586</v>
      </c>
    </row>
    <row r="6115" spans="1:14" hidden="1" x14ac:dyDescent="0.25">
      <c r="A6115" s="19">
        <v>46143</v>
      </c>
      <c r="B6115" s="20" t="s">
        <v>162</v>
      </c>
      <c r="C6115" s="20">
        <v>50</v>
      </c>
      <c r="D6115" s="20" t="s">
        <v>247</v>
      </c>
      <c r="E6115" s="20" t="s">
        <v>2554</v>
      </c>
      <c r="F6115" s="20" t="s">
        <v>2557</v>
      </c>
      <c r="G6115" s="20" t="s">
        <v>82</v>
      </c>
      <c r="H6115" s="20" t="s">
        <v>286</v>
      </c>
      <c r="I6115" s="20"/>
      <c r="J6115" s="20" t="s">
        <v>209</v>
      </c>
      <c r="K6115" s="20" t="s">
        <v>250</v>
      </c>
      <c r="L6115" s="20">
        <v>13.3</v>
      </c>
      <c r="M6115" s="20" t="s">
        <v>251</v>
      </c>
      <c r="N6115" s="20" t="s">
        <v>3863</v>
      </c>
    </row>
    <row r="6116" spans="1:14" hidden="1" x14ac:dyDescent="0.25">
      <c r="A6116" s="19">
        <v>46143</v>
      </c>
      <c r="B6116" s="20" t="s">
        <v>162</v>
      </c>
      <c r="C6116" s="20">
        <v>51</v>
      </c>
      <c r="D6116" s="20" t="s">
        <v>291</v>
      </c>
      <c r="E6116" s="20" t="s">
        <v>2361</v>
      </c>
      <c r="F6116" s="20" t="s">
        <v>2468</v>
      </c>
      <c r="G6116" s="20" t="s">
        <v>82</v>
      </c>
      <c r="H6116" s="20" t="s">
        <v>95</v>
      </c>
      <c r="I6116" s="20"/>
      <c r="J6116" s="20" t="s">
        <v>209</v>
      </c>
      <c r="K6116" s="20" t="s">
        <v>250</v>
      </c>
      <c r="L6116" s="20">
        <v>443450000</v>
      </c>
      <c r="M6116" s="20" t="s">
        <v>245</v>
      </c>
      <c r="N6116" s="20" t="s">
        <v>3864</v>
      </c>
    </row>
    <row r="6117" spans="1:14" hidden="1" x14ac:dyDescent="0.25">
      <c r="A6117" s="19">
        <v>46143</v>
      </c>
      <c r="B6117" s="20" t="s">
        <v>162</v>
      </c>
      <c r="C6117" s="20">
        <v>51</v>
      </c>
      <c r="D6117" s="20" t="s">
        <v>291</v>
      </c>
      <c r="E6117" s="20" t="s">
        <v>2361</v>
      </c>
      <c r="F6117" s="20" t="s">
        <v>2468</v>
      </c>
      <c r="G6117" s="20" t="s">
        <v>82</v>
      </c>
      <c r="H6117" s="20" t="s">
        <v>94</v>
      </c>
      <c r="I6117" s="20"/>
      <c r="J6117" s="20" t="s">
        <v>209</v>
      </c>
      <c r="K6117" s="20" t="s">
        <v>250</v>
      </c>
      <c r="L6117" s="20">
        <v>1650000000</v>
      </c>
      <c r="M6117" s="20" t="s">
        <v>245</v>
      </c>
      <c r="N6117" s="20" t="s">
        <v>3865</v>
      </c>
    </row>
    <row r="6118" spans="1:14" hidden="1" x14ac:dyDescent="0.25">
      <c r="A6118" s="19">
        <v>46143</v>
      </c>
      <c r="B6118" s="20" t="s">
        <v>162</v>
      </c>
      <c r="C6118" s="20">
        <v>52</v>
      </c>
      <c r="D6118" s="20" t="s">
        <v>291</v>
      </c>
      <c r="E6118" s="20" t="s">
        <v>2361</v>
      </c>
      <c r="F6118" s="20" t="s">
        <v>2472</v>
      </c>
      <c r="G6118" s="20" t="s">
        <v>82</v>
      </c>
      <c r="H6118" s="20" t="s">
        <v>174</v>
      </c>
      <c r="I6118" s="20"/>
      <c r="J6118" s="20" t="s">
        <v>209</v>
      </c>
      <c r="K6118" s="20" t="s">
        <v>250</v>
      </c>
      <c r="L6118" s="20">
        <v>281700000</v>
      </c>
      <c r="M6118" s="20" t="s">
        <v>245</v>
      </c>
      <c r="N6118" s="20" t="s">
        <v>3866</v>
      </c>
    </row>
    <row r="6119" spans="1:14" hidden="1" x14ac:dyDescent="0.25">
      <c r="A6119" s="19">
        <v>46143</v>
      </c>
      <c r="B6119" s="20" t="s">
        <v>162</v>
      </c>
      <c r="C6119" s="20">
        <v>52</v>
      </c>
      <c r="D6119" s="20" t="s">
        <v>291</v>
      </c>
      <c r="E6119" s="20" t="s">
        <v>2361</v>
      </c>
      <c r="F6119" s="20" t="s">
        <v>2472</v>
      </c>
      <c r="G6119" s="20" t="s">
        <v>82</v>
      </c>
      <c r="H6119" s="20" t="s">
        <v>173</v>
      </c>
      <c r="I6119" s="20"/>
      <c r="J6119" s="20" t="s">
        <v>209</v>
      </c>
      <c r="K6119" s="20" t="s">
        <v>250</v>
      </c>
      <c r="L6119" s="20">
        <v>235700000</v>
      </c>
      <c r="M6119" s="20" t="s">
        <v>245</v>
      </c>
      <c r="N6119" s="20" t="s">
        <v>3867</v>
      </c>
    </row>
    <row r="6120" spans="1:14" hidden="1" x14ac:dyDescent="0.25">
      <c r="A6120" s="19">
        <v>46143</v>
      </c>
      <c r="B6120" s="20" t="s">
        <v>162</v>
      </c>
      <c r="C6120" s="20">
        <v>53</v>
      </c>
      <c r="D6120" s="20" t="s">
        <v>238</v>
      </c>
      <c r="E6120" s="20" t="s">
        <v>2341</v>
      </c>
      <c r="F6120" s="20" t="s">
        <v>334</v>
      </c>
      <c r="G6120" s="20" t="s">
        <v>82</v>
      </c>
      <c r="H6120" s="20" t="s">
        <v>179</v>
      </c>
      <c r="I6120" s="20"/>
      <c r="J6120" s="20" t="s">
        <v>209</v>
      </c>
      <c r="K6120" s="20" t="s">
        <v>250</v>
      </c>
      <c r="L6120" s="20">
        <v>9</v>
      </c>
      <c r="M6120" s="20" t="s">
        <v>245</v>
      </c>
      <c r="N6120" s="20" t="s">
        <v>3722</v>
      </c>
    </row>
    <row r="6121" spans="1:14" hidden="1" x14ac:dyDescent="0.25">
      <c r="A6121" s="19">
        <v>46143</v>
      </c>
      <c r="B6121" s="20" t="s">
        <v>162</v>
      </c>
      <c r="C6121" s="20">
        <v>53</v>
      </c>
      <c r="D6121" s="20" t="s">
        <v>238</v>
      </c>
      <c r="E6121" s="20" t="s">
        <v>2341</v>
      </c>
      <c r="F6121" s="20" t="s">
        <v>334</v>
      </c>
      <c r="G6121" s="20" t="s">
        <v>82</v>
      </c>
      <c r="H6121" s="20" t="s">
        <v>170</v>
      </c>
      <c r="I6121" s="20"/>
      <c r="J6121" s="20" t="s">
        <v>209</v>
      </c>
      <c r="K6121" s="20" t="s">
        <v>250</v>
      </c>
      <c r="L6121" s="20">
        <v>11</v>
      </c>
      <c r="M6121" s="20" t="s">
        <v>245</v>
      </c>
      <c r="N6121" s="20" t="s">
        <v>1945</v>
      </c>
    </row>
    <row r="6122" spans="1:14" hidden="1" x14ac:dyDescent="0.25">
      <c r="A6122" s="19">
        <v>46143</v>
      </c>
      <c r="B6122" s="20" t="s">
        <v>162</v>
      </c>
      <c r="C6122" s="20">
        <v>53</v>
      </c>
      <c r="D6122" s="20" t="s">
        <v>238</v>
      </c>
      <c r="E6122" s="20" t="s">
        <v>2341</v>
      </c>
      <c r="F6122" s="20" t="s">
        <v>334</v>
      </c>
      <c r="G6122" s="20" t="s">
        <v>82</v>
      </c>
      <c r="H6122" s="20" t="s">
        <v>178</v>
      </c>
      <c r="I6122" s="20"/>
      <c r="J6122" s="20" t="s">
        <v>209</v>
      </c>
      <c r="K6122" s="20" t="s">
        <v>250</v>
      </c>
      <c r="L6122" s="20">
        <v>33</v>
      </c>
      <c r="M6122" s="20" t="s">
        <v>245</v>
      </c>
      <c r="N6122" s="20" t="s">
        <v>3868</v>
      </c>
    </row>
    <row r="6123" spans="1:14" hidden="1" x14ac:dyDescent="0.25">
      <c r="A6123" s="19">
        <v>46143</v>
      </c>
      <c r="B6123" s="20" t="s">
        <v>162</v>
      </c>
      <c r="C6123" s="20">
        <v>53</v>
      </c>
      <c r="D6123" s="20" t="s">
        <v>238</v>
      </c>
      <c r="E6123" s="20" t="s">
        <v>2341</v>
      </c>
      <c r="F6123" s="20" t="s">
        <v>334</v>
      </c>
      <c r="G6123" s="20" t="s">
        <v>82</v>
      </c>
      <c r="H6123" s="20" t="s">
        <v>173</v>
      </c>
      <c r="I6123" s="20"/>
      <c r="J6123" s="20" t="s">
        <v>209</v>
      </c>
      <c r="K6123" s="20" t="s">
        <v>250</v>
      </c>
      <c r="L6123" s="20">
        <v>47</v>
      </c>
      <c r="M6123" s="20" t="s">
        <v>245</v>
      </c>
      <c r="N6123" s="20" t="s">
        <v>2121</v>
      </c>
    </row>
    <row r="6124" spans="1:14" hidden="1" x14ac:dyDescent="0.25">
      <c r="A6124" s="19">
        <v>46143</v>
      </c>
      <c r="B6124" s="20" t="s">
        <v>162</v>
      </c>
      <c r="C6124" s="20">
        <v>53</v>
      </c>
      <c r="D6124" s="20" t="s">
        <v>238</v>
      </c>
      <c r="E6124" s="20" t="s">
        <v>2341</v>
      </c>
      <c r="F6124" s="20" t="s">
        <v>334</v>
      </c>
      <c r="G6124" s="20" t="s">
        <v>82</v>
      </c>
      <c r="H6124" s="20" t="s">
        <v>174</v>
      </c>
      <c r="I6124" s="20"/>
      <c r="J6124" s="20" t="s">
        <v>209</v>
      </c>
      <c r="K6124" s="20" t="s">
        <v>250</v>
      </c>
      <c r="L6124" s="20">
        <v>81</v>
      </c>
      <c r="M6124" s="20" t="s">
        <v>245</v>
      </c>
      <c r="N6124" s="20" t="s">
        <v>3869</v>
      </c>
    </row>
    <row r="6125" spans="1:14" hidden="1" x14ac:dyDescent="0.25">
      <c r="A6125" s="19">
        <v>46143</v>
      </c>
      <c r="B6125" s="20" t="s">
        <v>162</v>
      </c>
      <c r="C6125" s="20">
        <v>53</v>
      </c>
      <c r="D6125" s="20" t="s">
        <v>238</v>
      </c>
      <c r="E6125" s="20" t="s">
        <v>2341</v>
      </c>
      <c r="F6125" s="20" t="s">
        <v>334</v>
      </c>
      <c r="G6125" s="20" t="s">
        <v>82</v>
      </c>
      <c r="H6125" s="20" t="s">
        <v>164</v>
      </c>
      <c r="I6125" s="20"/>
      <c r="J6125" s="20" t="s">
        <v>209</v>
      </c>
      <c r="K6125" s="20" t="s">
        <v>250</v>
      </c>
      <c r="L6125" s="20">
        <v>125</v>
      </c>
      <c r="M6125" s="20" t="s">
        <v>245</v>
      </c>
      <c r="N6125" s="20" t="s">
        <v>3870</v>
      </c>
    </row>
    <row r="6126" spans="1:14" hidden="1" x14ac:dyDescent="0.25">
      <c r="A6126" s="19">
        <v>46143</v>
      </c>
      <c r="B6126" s="20" t="s">
        <v>162</v>
      </c>
      <c r="C6126" s="20">
        <v>53</v>
      </c>
      <c r="D6126" s="20" t="s">
        <v>238</v>
      </c>
      <c r="E6126" s="20" t="s">
        <v>2341</v>
      </c>
      <c r="F6126" s="20" t="s">
        <v>455</v>
      </c>
      <c r="G6126" s="20" t="s">
        <v>82</v>
      </c>
      <c r="H6126" s="20"/>
      <c r="I6126" s="20"/>
      <c r="J6126" s="20" t="s">
        <v>209</v>
      </c>
      <c r="K6126" s="20" t="s">
        <v>250</v>
      </c>
      <c r="L6126" s="20">
        <v>78</v>
      </c>
      <c r="M6126" s="20" t="s">
        <v>245</v>
      </c>
      <c r="N6126" s="20" t="s">
        <v>454</v>
      </c>
    </row>
    <row r="6127" spans="1:14" hidden="1" x14ac:dyDescent="0.25">
      <c r="A6127" s="19">
        <v>46143</v>
      </c>
      <c r="B6127" s="20" t="s">
        <v>1192</v>
      </c>
      <c r="C6127" s="20">
        <v>55</v>
      </c>
      <c r="D6127" s="20" t="s">
        <v>238</v>
      </c>
      <c r="E6127" s="20" t="s">
        <v>2341</v>
      </c>
      <c r="F6127" s="20" t="s">
        <v>240</v>
      </c>
      <c r="G6127" s="20" t="s">
        <v>82</v>
      </c>
      <c r="H6127" s="20"/>
      <c r="I6127" s="20"/>
      <c r="J6127" s="20" t="s">
        <v>3779</v>
      </c>
      <c r="K6127" s="20" t="s">
        <v>241</v>
      </c>
      <c r="L6127" s="20">
        <v>157760000</v>
      </c>
      <c r="M6127" s="20" t="s">
        <v>242</v>
      </c>
      <c r="N6127" s="20" t="s">
        <v>3845</v>
      </c>
    </row>
    <row r="6128" spans="1:14" hidden="1" x14ac:dyDescent="0.25">
      <c r="A6128" s="19">
        <v>46143</v>
      </c>
      <c r="B6128" s="20" t="s">
        <v>2481</v>
      </c>
      <c r="C6128" s="20">
        <v>55</v>
      </c>
      <c r="D6128" s="20" t="s">
        <v>238</v>
      </c>
      <c r="E6128" s="20" t="s">
        <v>2341</v>
      </c>
      <c r="F6128" s="20" t="s">
        <v>244</v>
      </c>
      <c r="G6128" s="20" t="s">
        <v>82</v>
      </c>
      <c r="H6128" s="20"/>
      <c r="I6128" s="20"/>
      <c r="J6128" s="20" t="s">
        <v>3779</v>
      </c>
      <c r="K6128" s="20" t="s">
        <v>241</v>
      </c>
      <c r="L6128" s="20">
        <v>12820000000</v>
      </c>
      <c r="M6128" s="20" t="s">
        <v>245</v>
      </c>
      <c r="N6128" s="20" t="s">
        <v>3846</v>
      </c>
    </row>
    <row r="6129" spans="1:14" hidden="1" x14ac:dyDescent="0.25">
      <c r="A6129" s="19">
        <v>46143</v>
      </c>
      <c r="B6129" s="20" t="s">
        <v>1192</v>
      </c>
      <c r="C6129" s="20">
        <v>55</v>
      </c>
      <c r="D6129" s="20" t="s">
        <v>238</v>
      </c>
      <c r="E6129" s="20" t="s">
        <v>2341</v>
      </c>
      <c r="F6129" s="20" t="s">
        <v>240</v>
      </c>
      <c r="G6129" s="20" t="s">
        <v>82</v>
      </c>
      <c r="H6129" s="20" t="s">
        <v>184</v>
      </c>
      <c r="I6129" s="20"/>
      <c r="J6129" s="20" t="s">
        <v>3779</v>
      </c>
      <c r="K6129" s="20" t="s">
        <v>241</v>
      </c>
      <c r="L6129" s="20">
        <v>94050000</v>
      </c>
      <c r="M6129" s="20" t="s">
        <v>242</v>
      </c>
      <c r="N6129" s="20" t="s">
        <v>3702</v>
      </c>
    </row>
    <row r="6130" spans="1:14" hidden="1" x14ac:dyDescent="0.25">
      <c r="A6130" s="19">
        <v>46143</v>
      </c>
      <c r="B6130" s="20" t="s">
        <v>1192</v>
      </c>
      <c r="C6130" s="20">
        <v>55</v>
      </c>
      <c r="D6130" s="20" t="s">
        <v>238</v>
      </c>
      <c r="E6130" s="20" t="s">
        <v>2341</v>
      </c>
      <c r="F6130" s="20" t="s">
        <v>240</v>
      </c>
      <c r="G6130" s="20" t="s">
        <v>82</v>
      </c>
      <c r="H6130" s="20" t="s">
        <v>185</v>
      </c>
      <c r="I6130" s="20"/>
      <c r="J6130" s="20" t="s">
        <v>3779</v>
      </c>
      <c r="K6130" s="20" t="s">
        <v>241</v>
      </c>
      <c r="L6130" s="20">
        <v>63700000</v>
      </c>
      <c r="M6130" s="20" t="s">
        <v>242</v>
      </c>
      <c r="N6130" s="20" t="s">
        <v>3800</v>
      </c>
    </row>
    <row r="6131" spans="1:14" hidden="1" x14ac:dyDescent="0.25">
      <c r="A6131" s="19">
        <v>46143</v>
      </c>
      <c r="B6131" s="20" t="s">
        <v>2481</v>
      </c>
      <c r="C6131" s="20">
        <v>55</v>
      </c>
      <c r="D6131" s="20" t="s">
        <v>238</v>
      </c>
      <c r="E6131" s="20" t="s">
        <v>2341</v>
      </c>
      <c r="F6131" s="20" t="s">
        <v>244</v>
      </c>
      <c r="G6131" s="20" t="s">
        <v>82</v>
      </c>
      <c r="H6131" s="20" t="s">
        <v>184</v>
      </c>
      <c r="I6131" s="20"/>
      <c r="J6131" s="20" t="s">
        <v>3779</v>
      </c>
      <c r="K6131" s="20" t="s">
        <v>241</v>
      </c>
      <c r="L6131" s="20">
        <v>9730000000</v>
      </c>
      <c r="M6131" s="20" t="s">
        <v>245</v>
      </c>
      <c r="N6131" s="20" t="s">
        <v>3780</v>
      </c>
    </row>
    <row r="6132" spans="1:14" hidden="1" x14ac:dyDescent="0.25">
      <c r="A6132" s="19">
        <v>46143</v>
      </c>
      <c r="B6132" s="20" t="s">
        <v>2481</v>
      </c>
      <c r="C6132" s="20">
        <v>55</v>
      </c>
      <c r="D6132" s="20" t="s">
        <v>238</v>
      </c>
      <c r="E6132" s="20" t="s">
        <v>2341</v>
      </c>
      <c r="F6132" s="20" t="s">
        <v>244</v>
      </c>
      <c r="G6132" s="20" t="s">
        <v>82</v>
      </c>
      <c r="H6132" s="20" t="s">
        <v>185</v>
      </c>
      <c r="I6132" s="20"/>
      <c r="J6132" s="20" t="s">
        <v>3779</v>
      </c>
      <c r="K6132" s="20" t="s">
        <v>241</v>
      </c>
      <c r="L6132" s="20">
        <v>3090000000</v>
      </c>
      <c r="M6132" s="20" t="s">
        <v>245</v>
      </c>
      <c r="N6132" s="20" t="s">
        <v>1875</v>
      </c>
    </row>
    <row r="6133" spans="1:14" hidden="1" x14ac:dyDescent="0.25">
      <c r="A6133" s="19">
        <v>46143</v>
      </c>
      <c r="B6133" s="20" t="s">
        <v>2481</v>
      </c>
      <c r="C6133" s="20">
        <v>56</v>
      </c>
      <c r="D6133" s="20" t="s">
        <v>238</v>
      </c>
      <c r="E6133" s="20" t="s">
        <v>2341</v>
      </c>
      <c r="F6133" s="20" t="s">
        <v>285</v>
      </c>
      <c r="G6133" s="20" t="s">
        <v>63</v>
      </c>
      <c r="H6133" s="20" t="s">
        <v>1202</v>
      </c>
      <c r="I6133" s="20"/>
      <c r="J6133" s="20" t="s">
        <v>3779</v>
      </c>
      <c r="K6133" s="20" t="s">
        <v>241</v>
      </c>
      <c r="L6133" s="20">
        <v>1120000</v>
      </c>
      <c r="M6133" s="20" t="s">
        <v>242</v>
      </c>
      <c r="N6133" s="20" t="s">
        <v>3486</v>
      </c>
    </row>
    <row r="6134" spans="1:14" hidden="1" x14ac:dyDescent="0.25">
      <c r="A6134" s="19">
        <v>46143</v>
      </c>
      <c r="B6134" s="20" t="s">
        <v>2481</v>
      </c>
      <c r="C6134" s="20">
        <v>56</v>
      </c>
      <c r="D6134" s="20" t="s">
        <v>238</v>
      </c>
      <c r="E6134" s="20" t="s">
        <v>2341</v>
      </c>
      <c r="F6134" s="20" t="s">
        <v>285</v>
      </c>
      <c r="G6134" s="20" t="s">
        <v>63</v>
      </c>
      <c r="H6134" s="20" t="s">
        <v>1204</v>
      </c>
      <c r="I6134" s="20"/>
      <c r="J6134" s="20" t="s">
        <v>3779</v>
      </c>
      <c r="K6134" s="20" t="s">
        <v>241</v>
      </c>
      <c r="L6134" s="20">
        <v>1810000</v>
      </c>
      <c r="M6134" s="20" t="s">
        <v>242</v>
      </c>
      <c r="N6134" s="20" t="s">
        <v>915</v>
      </c>
    </row>
    <row r="6135" spans="1:14" hidden="1" x14ac:dyDescent="0.25">
      <c r="A6135" s="19">
        <v>46143</v>
      </c>
      <c r="B6135" s="20" t="s">
        <v>2481</v>
      </c>
      <c r="C6135" s="20">
        <v>56</v>
      </c>
      <c r="D6135" s="20" t="s">
        <v>238</v>
      </c>
      <c r="E6135" s="20" t="s">
        <v>2341</v>
      </c>
      <c r="F6135" s="20" t="s">
        <v>285</v>
      </c>
      <c r="G6135" s="20" t="s">
        <v>63</v>
      </c>
      <c r="H6135" s="20" t="s">
        <v>1200</v>
      </c>
      <c r="I6135" s="20"/>
      <c r="J6135" s="20" t="s">
        <v>3779</v>
      </c>
      <c r="K6135" s="20" t="s">
        <v>241</v>
      </c>
      <c r="L6135" s="20">
        <v>1160000</v>
      </c>
      <c r="M6135" s="20" t="s">
        <v>242</v>
      </c>
      <c r="N6135" s="20" t="s">
        <v>1370</v>
      </c>
    </row>
    <row r="6136" spans="1:14" hidden="1" x14ac:dyDescent="0.25">
      <c r="A6136" s="19">
        <v>46143</v>
      </c>
      <c r="B6136" s="20" t="s">
        <v>2481</v>
      </c>
      <c r="C6136" s="20">
        <v>56</v>
      </c>
      <c r="D6136" s="20" t="s">
        <v>238</v>
      </c>
      <c r="E6136" s="20" t="s">
        <v>2341</v>
      </c>
      <c r="F6136" s="20" t="s">
        <v>285</v>
      </c>
      <c r="G6136" s="20" t="s">
        <v>63</v>
      </c>
      <c r="H6136" s="20"/>
      <c r="I6136" s="20"/>
      <c r="J6136" s="20" t="s">
        <v>3779</v>
      </c>
      <c r="K6136" s="20" t="s">
        <v>241</v>
      </c>
      <c r="L6136" s="20">
        <v>4150000</v>
      </c>
      <c r="M6136" s="20" t="s">
        <v>242</v>
      </c>
      <c r="N6136" s="20" t="s">
        <v>3871</v>
      </c>
    </row>
    <row r="6137" spans="1:14" hidden="1" x14ac:dyDescent="0.25">
      <c r="A6137" s="19">
        <v>46143</v>
      </c>
      <c r="B6137" s="20" t="s">
        <v>2481</v>
      </c>
      <c r="C6137" s="20">
        <v>57</v>
      </c>
      <c r="D6137" s="20" t="s">
        <v>238</v>
      </c>
      <c r="E6137" s="20" t="s">
        <v>2341</v>
      </c>
      <c r="F6137" s="20" t="s">
        <v>1194</v>
      </c>
      <c r="G6137" s="20" t="s">
        <v>82</v>
      </c>
      <c r="H6137" s="20"/>
      <c r="I6137" s="20"/>
      <c r="J6137" s="20" t="s">
        <v>209</v>
      </c>
      <c r="K6137" s="20" t="s">
        <v>250</v>
      </c>
      <c r="L6137" s="20">
        <v>36410000</v>
      </c>
      <c r="M6137" s="20" t="s">
        <v>242</v>
      </c>
      <c r="N6137" s="20" t="s">
        <v>3872</v>
      </c>
    </row>
    <row r="6138" spans="1:14" hidden="1" x14ac:dyDescent="0.25">
      <c r="A6138" s="19">
        <v>46143</v>
      </c>
      <c r="B6138" s="20" t="s">
        <v>2481</v>
      </c>
      <c r="C6138" s="20">
        <v>57</v>
      </c>
      <c r="D6138" s="20" t="s">
        <v>238</v>
      </c>
      <c r="E6138" s="20" t="s">
        <v>2341</v>
      </c>
      <c r="F6138" s="20" t="s">
        <v>2487</v>
      </c>
      <c r="G6138" s="20" t="s">
        <v>82</v>
      </c>
      <c r="H6138" s="20" t="s">
        <v>184</v>
      </c>
      <c r="I6138" s="20"/>
      <c r="J6138" s="20" t="s">
        <v>209</v>
      </c>
      <c r="K6138" s="20" t="s">
        <v>250</v>
      </c>
      <c r="L6138" s="20">
        <v>21430000</v>
      </c>
      <c r="M6138" s="20" t="s">
        <v>242</v>
      </c>
      <c r="N6138" s="20" t="s">
        <v>3766</v>
      </c>
    </row>
    <row r="6139" spans="1:14" hidden="1" x14ac:dyDescent="0.25">
      <c r="A6139" s="19">
        <v>46143</v>
      </c>
      <c r="B6139" s="20" t="s">
        <v>2481</v>
      </c>
      <c r="C6139" s="20">
        <v>57</v>
      </c>
      <c r="D6139" s="20" t="s">
        <v>238</v>
      </c>
      <c r="E6139" s="20" t="s">
        <v>2341</v>
      </c>
      <c r="F6139" s="20" t="s">
        <v>2488</v>
      </c>
      <c r="G6139" s="20" t="s">
        <v>82</v>
      </c>
      <c r="H6139" s="20" t="s">
        <v>185</v>
      </c>
      <c r="I6139" s="20"/>
      <c r="J6139" s="20" t="s">
        <v>209</v>
      </c>
      <c r="K6139" s="20" t="s">
        <v>250</v>
      </c>
      <c r="L6139" s="20">
        <v>14980000</v>
      </c>
      <c r="M6139" s="20" t="s">
        <v>242</v>
      </c>
      <c r="N6139" s="20" t="s">
        <v>3769</v>
      </c>
    </row>
    <row r="6140" spans="1:14" hidden="1" x14ac:dyDescent="0.25">
      <c r="A6140" s="19">
        <v>46143</v>
      </c>
      <c r="B6140" s="20" t="s">
        <v>2481</v>
      </c>
      <c r="C6140" s="20">
        <v>58</v>
      </c>
      <c r="D6140" s="20" t="s">
        <v>238</v>
      </c>
      <c r="E6140" s="20" t="s">
        <v>2341</v>
      </c>
      <c r="F6140" s="20" t="s">
        <v>1196</v>
      </c>
      <c r="G6140" s="20" t="s">
        <v>82</v>
      </c>
      <c r="H6140" s="20"/>
      <c r="I6140" s="20"/>
      <c r="J6140" s="20" t="s">
        <v>209</v>
      </c>
      <c r="K6140" s="20" t="s">
        <v>250</v>
      </c>
      <c r="L6140" s="20">
        <v>2830000000</v>
      </c>
      <c r="M6140" s="20" t="s">
        <v>245</v>
      </c>
      <c r="N6140" s="20" t="s">
        <v>3873</v>
      </c>
    </row>
    <row r="6141" spans="1:14" hidden="1" x14ac:dyDescent="0.25">
      <c r="A6141" s="19">
        <v>46143</v>
      </c>
      <c r="B6141" s="20" t="s">
        <v>2481</v>
      </c>
      <c r="C6141" s="20">
        <v>58</v>
      </c>
      <c r="D6141" s="20" t="s">
        <v>238</v>
      </c>
      <c r="E6141" s="20" t="s">
        <v>2341</v>
      </c>
      <c r="F6141" s="20" t="s">
        <v>2489</v>
      </c>
      <c r="G6141" s="20" t="s">
        <v>82</v>
      </c>
      <c r="H6141" s="20" t="s">
        <v>184</v>
      </c>
      <c r="I6141" s="20"/>
      <c r="J6141" s="20" t="s">
        <v>209</v>
      </c>
      <c r="K6141" s="20" t="s">
        <v>250</v>
      </c>
      <c r="L6141" s="20">
        <v>2130000000</v>
      </c>
      <c r="M6141" s="20" t="s">
        <v>245</v>
      </c>
      <c r="N6141" s="20" t="s">
        <v>3767</v>
      </c>
    </row>
    <row r="6142" spans="1:14" hidden="1" x14ac:dyDescent="0.25">
      <c r="A6142" s="19">
        <v>46143</v>
      </c>
      <c r="B6142" s="20" t="s">
        <v>2481</v>
      </c>
      <c r="C6142" s="20">
        <v>58</v>
      </c>
      <c r="D6142" s="20" t="s">
        <v>238</v>
      </c>
      <c r="E6142" s="20" t="s">
        <v>2341</v>
      </c>
      <c r="F6142" s="20" t="s">
        <v>2490</v>
      </c>
      <c r="G6142" s="20" t="s">
        <v>82</v>
      </c>
      <c r="H6142" s="20" t="s">
        <v>185</v>
      </c>
      <c r="I6142" s="20"/>
      <c r="J6142" s="20" t="s">
        <v>209</v>
      </c>
      <c r="K6142" s="20" t="s">
        <v>250</v>
      </c>
      <c r="L6142" s="20">
        <v>700000000</v>
      </c>
      <c r="M6142" s="20" t="s">
        <v>245</v>
      </c>
      <c r="N6142" s="20" t="s">
        <v>3874</v>
      </c>
    </row>
    <row r="6143" spans="1:14" hidden="1" x14ac:dyDescent="0.25">
      <c r="A6143" s="19">
        <v>46143</v>
      </c>
      <c r="B6143" s="20" t="s">
        <v>2481</v>
      </c>
      <c r="C6143" s="20">
        <v>59</v>
      </c>
      <c r="D6143" s="20" t="s">
        <v>238</v>
      </c>
      <c r="E6143" s="20" t="s">
        <v>2341</v>
      </c>
      <c r="F6143" s="20" t="s">
        <v>1213</v>
      </c>
      <c r="G6143" s="20" t="s">
        <v>82</v>
      </c>
      <c r="H6143" s="20"/>
      <c r="I6143" s="20"/>
      <c r="J6143" s="20" t="s">
        <v>209</v>
      </c>
      <c r="K6143" s="20" t="s">
        <v>250</v>
      </c>
      <c r="L6143" s="20">
        <v>77.7</v>
      </c>
      <c r="M6143" s="20" t="s">
        <v>245</v>
      </c>
      <c r="N6143" s="20" t="s">
        <v>3875</v>
      </c>
    </row>
    <row r="6144" spans="1:14" hidden="1" x14ac:dyDescent="0.25">
      <c r="A6144" s="19">
        <v>46143</v>
      </c>
      <c r="B6144" s="20" t="s">
        <v>2481</v>
      </c>
      <c r="C6144" s="20">
        <v>59</v>
      </c>
      <c r="D6144" s="20" t="s">
        <v>238</v>
      </c>
      <c r="E6144" s="20" t="s">
        <v>2341</v>
      </c>
      <c r="F6144" s="20" t="s">
        <v>2493</v>
      </c>
      <c r="G6144" s="20" t="s">
        <v>82</v>
      </c>
      <c r="H6144" s="20" t="s">
        <v>184</v>
      </c>
      <c r="I6144" s="20"/>
      <c r="J6144" s="20" t="s">
        <v>209</v>
      </c>
      <c r="K6144" s="20" t="s">
        <v>250</v>
      </c>
      <c r="L6144" s="20">
        <v>99.5</v>
      </c>
      <c r="M6144" s="20" t="s">
        <v>245</v>
      </c>
      <c r="N6144" s="20" t="s">
        <v>3876</v>
      </c>
    </row>
    <row r="6145" spans="1:14" hidden="1" x14ac:dyDescent="0.25">
      <c r="A6145" s="19">
        <v>46143</v>
      </c>
      <c r="B6145" s="20" t="s">
        <v>2481</v>
      </c>
      <c r="C6145" s="20">
        <v>59</v>
      </c>
      <c r="D6145" s="20" t="s">
        <v>238</v>
      </c>
      <c r="E6145" s="20" t="s">
        <v>2341</v>
      </c>
      <c r="F6145" s="20" t="s">
        <v>2495</v>
      </c>
      <c r="G6145" s="20" t="s">
        <v>82</v>
      </c>
      <c r="H6145" s="20" t="s">
        <v>185</v>
      </c>
      <c r="I6145" s="20"/>
      <c r="J6145" s="20" t="s">
        <v>209</v>
      </c>
      <c r="K6145" s="20" t="s">
        <v>250</v>
      </c>
      <c r="L6145" s="20">
        <v>46.6</v>
      </c>
      <c r="M6145" s="20" t="s">
        <v>245</v>
      </c>
      <c r="N6145" s="20" t="s">
        <v>3877</v>
      </c>
    </row>
    <row r="6146" spans="1:14" hidden="1" x14ac:dyDescent="0.25">
      <c r="A6146" s="19">
        <v>46143</v>
      </c>
      <c r="B6146" s="20" t="s">
        <v>120</v>
      </c>
      <c r="C6146" s="20">
        <v>61</v>
      </c>
      <c r="D6146" s="20" t="s">
        <v>238</v>
      </c>
      <c r="E6146" s="20" t="s">
        <v>2341</v>
      </c>
      <c r="F6146" s="20" t="s">
        <v>240</v>
      </c>
      <c r="G6146" s="20" t="s">
        <v>82</v>
      </c>
      <c r="H6146" s="20"/>
      <c r="I6146" s="20"/>
      <c r="J6146" s="20" t="s">
        <v>3779</v>
      </c>
      <c r="K6146" s="20" t="s">
        <v>241</v>
      </c>
      <c r="L6146" s="20">
        <v>33930000</v>
      </c>
      <c r="M6146" s="20" t="s">
        <v>242</v>
      </c>
      <c r="N6146" s="20" t="s">
        <v>3878</v>
      </c>
    </row>
    <row r="6147" spans="1:14" hidden="1" x14ac:dyDescent="0.25">
      <c r="A6147" s="19">
        <v>46143</v>
      </c>
      <c r="B6147" s="20" t="s">
        <v>120</v>
      </c>
      <c r="C6147" s="20">
        <v>61</v>
      </c>
      <c r="D6147" s="20" t="s">
        <v>238</v>
      </c>
      <c r="E6147" s="20" t="s">
        <v>2341</v>
      </c>
      <c r="F6147" s="20" t="s">
        <v>244</v>
      </c>
      <c r="G6147" s="20" t="s">
        <v>82</v>
      </c>
      <c r="H6147" s="20"/>
      <c r="I6147" s="20"/>
      <c r="J6147" s="20" t="s">
        <v>3779</v>
      </c>
      <c r="K6147" s="20" t="s">
        <v>241</v>
      </c>
      <c r="L6147" s="20">
        <v>6510000000</v>
      </c>
      <c r="M6147" s="20" t="s">
        <v>245</v>
      </c>
      <c r="N6147" s="20" t="s">
        <v>3879</v>
      </c>
    </row>
    <row r="6148" spans="1:14" hidden="1" x14ac:dyDescent="0.25">
      <c r="A6148" s="19">
        <v>46143</v>
      </c>
      <c r="B6148" s="20" t="s">
        <v>120</v>
      </c>
      <c r="C6148" s="20">
        <v>62</v>
      </c>
      <c r="D6148" s="20" t="s">
        <v>253</v>
      </c>
      <c r="E6148" s="20" t="s">
        <v>2359</v>
      </c>
      <c r="F6148" s="20" t="s">
        <v>285</v>
      </c>
      <c r="G6148" s="20" t="s">
        <v>63</v>
      </c>
      <c r="H6148" s="20"/>
      <c r="I6148" s="20"/>
      <c r="J6148" s="20" t="s">
        <v>207</v>
      </c>
      <c r="K6148" s="20" t="s">
        <v>255</v>
      </c>
      <c r="L6148" s="20">
        <v>5170000</v>
      </c>
      <c r="M6148" s="20" t="s">
        <v>242</v>
      </c>
      <c r="N6148" s="20" t="s">
        <v>3587</v>
      </c>
    </row>
    <row r="6149" spans="1:14" hidden="1" x14ac:dyDescent="0.25">
      <c r="A6149" s="19">
        <v>46143</v>
      </c>
      <c r="B6149" s="20" t="s">
        <v>120</v>
      </c>
      <c r="C6149" s="20">
        <v>62</v>
      </c>
      <c r="D6149" s="20" t="s">
        <v>253</v>
      </c>
      <c r="E6149" s="20" t="s">
        <v>2359</v>
      </c>
      <c r="F6149" s="20" t="s">
        <v>285</v>
      </c>
      <c r="G6149" s="20" t="s">
        <v>63</v>
      </c>
      <c r="H6149" s="20"/>
      <c r="I6149" s="20"/>
      <c r="J6149" s="20" t="s">
        <v>208</v>
      </c>
      <c r="K6149" s="20" t="s">
        <v>255</v>
      </c>
      <c r="L6149" s="20">
        <v>5210000</v>
      </c>
      <c r="M6149" s="20" t="s">
        <v>242</v>
      </c>
      <c r="N6149" s="20" t="s">
        <v>3735</v>
      </c>
    </row>
    <row r="6150" spans="1:14" hidden="1" x14ac:dyDescent="0.25">
      <c r="A6150" s="19">
        <v>46143</v>
      </c>
      <c r="B6150" s="20" t="s">
        <v>120</v>
      </c>
      <c r="C6150" s="20">
        <v>62</v>
      </c>
      <c r="D6150" s="20" t="s">
        <v>253</v>
      </c>
      <c r="E6150" s="20" t="s">
        <v>2359</v>
      </c>
      <c r="F6150" s="20" t="s">
        <v>285</v>
      </c>
      <c r="G6150" s="20" t="s">
        <v>63</v>
      </c>
      <c r="H6150" s="20"/>
      <c r="I6150" s="20"/>
      <c r="J6150" s="20" t="s">
        <v>209</v>
      </c>
      <c r="K6150" s="20" t="s">
        <v>255</v>
      </c>
      <c r="L6150" s="20">
        <v>5250000</v>
      </c>
      <c r="M6150" s="20" t="s">
        <v>242</v>
      </c>
      <c r="N6150" s="20" t="s">
        <v>3880</v>
      </c>
    </row>
    <row r="6151" spans="1:14" hidden="1" x14ac:dyDescent="0.25">
      <c r="A6151" s="19">
        <v>46143</v>
      </c>
      <c r="B6151" s="20" t="s">
        <v>120</v>
      </c>
      <c r="C6151" s="20">
        <v>62</v>
      </c>
      <c r="D6151" s="20" t="s">
        <v>247</v>
      </c>
      <c r="E6151" s="20" t="s">
        <v>2554</v>
      </c>
      <c r="F6151" s="20" t="s">
        <v>2555</v>
      </c>
      <c r="G6151" s="20" t="s">
        <v>63</v>
      </c>
      <c r="H6151" s="20" t="s">
        <v>286</v>
      </c>
      <c r="I6151" s="20"/>
      <c r="J6151" s="20" t="s">
        <v>209</v>
      </c>
      <c r="K6151" s="20" t="s">
        <v>250</v>
      </c>
      <c r="L6151" s="20">
        <v>0.8</v>
      </c>
      <c r="M6151" s="20" t="s">
        <v>251</v>
      </c>
      <c r="N6151" s="20" t="s">
        <v>370</v>
      </c>
    </row>
    <row r="6152" spans="1:14" hidden="1" x14ac:dyDescent="0.25">
      <c r="A6152" s="19">
        <v>46143</v>
      </c>
      <c r="B6152" s="20" t="s">
        <v>120</v>
      </c>
      <c r="C6152" s="20">
        <v>63</v>
      </c>
      <c r="D6152" s="20" t="s">
        <v>291</v>
      </c>
      <c r="E6152" s="20" t="s">
        <v>2361</v>
      </c>
      <c r="F6152" s="20" t="s">
        <v>285</v>
      </c>
      <c r="G6152" s="20" t="s">
        <v>63</v>
      </c>
      <c r="H6152" s="20" t="s">
        <v>122</v>
      </c>
      <c r="I6152" s="20"/>
      <c r="J6152" s="20" t="s">
        <v>209</v>
      </c>
      <c r="K6152" s="20" t="s">
        <v>250</v>
      </c>
      <c r="L6152" s="20">
        <v>5210000</v>
      </c>
      <c r="M6152" s="20" t="s">
        <v>242</v>
      </c>
      <c r="N6152" s="20" t="s">
        <v>3630</v>
      </c>
    </row>
    <row r="6153" spans="1:14" hidden="1" x14ac:dyDescent="0.25">
      <c r="A6153" s="19">
        <v>46143</v>
      </c>
      <c r="B6153" s="20" t="s">
        <v>120</v>
      </c>
      <c r="C6153" s="20">
        <v>63</v>
      </c>
      <c r="D6153" s="20" t="s">
        <v>291</v>
      </c>
      <c r="E6153" s="20" t="s">
        <v>2361</v>
      </c>
      <c r="F6153" s="20" t="s">
        <v>285</v>
      </c>
      <c r="G6153" s="20" t="s">
        <v>63</v>
      </c>
      <c r="H6153" s="20" t="s">
        <v>123</v>
      </c>
      <c r="I6153" s="20"/>
      <c r="J6153" s="20" t="s">
        <v>209</v>
      </c>
      <c r="K6153" s="20" t="s">
        <v>250</v>
      </c>
      <c r="L6153" s="20">
        <v>40460</v>
      </c>
      <c r="M6153" s="20" t="s">
        <v>242</v>
      </c>
      <c r="N6153" s="20" t="s">
        <v>3881</v>
      </c>
    </row>
    <row r="6154" spans="1:14" hidden="1" x14ac:dyDescent="0.25">
      <c r="A6154" s="19">
        <v>46143</v>
      </c>
      <c r="B6154" s="20" t="s">
        <v>120</v>
      </c>
      <c r="C6154" s="20">
        <v>63</v>
      </c>
      <c r="D6154" s="20" t="s">
        <v>238</v>
      </c>
      <c r="E6154" s="20" t="s">
        <v>2341</v>
      </c>
      <c r="F6154" s="20" t="s">
        <v>376</v>
      </c>
      <c r="G6154" s="20" t="s">
        <v>63</v>
      </c>
      <c r="H6154" s="20"/>
      <c r="I6154" s="20"/>
      <c r="J6154" s="20" t="s">
        <v>209</v>
      </c>
      <c r="K6154" s="20" t="s">
        <v>250</v>
      </c>
      <c r="L6154" s="20">
        <v>5250000</v>
      </c>
      <c r="M6154" s="20" t="s">
        <v>242</v>
      </c>
      <c r="N6154" s="20" t="s">
        <v>3011</v>
      </c>
    </row>
    <row r="6155" spans="1:14" hidden="1" x14ac:dyDescent="0.25">
      <c r="A6155" s="19">
        <v>46143</v>
      </c>
      <c r="B6155" s="20" t="s">
        <v>120</v>
      </c>
      <c r="C6155" s="20">
        <v>64</v>
      </c>
      <c r="D6155" s="20" t="s">
        <v>238</v>
      </c>
      <c r="E6155" s="20" t="s">
        <v>2341</v>
      </c>
      <c r="F6155" s="20" t="s">
        <v>378</v>
      </c>
      <c r="G6155" s="20" t="s">
        <v>379</v>
      </c>
      <c r="H6155" s="20"/>
      <c r="I6155" s="20"/>
      <c r="J6155" s="20" t="s">
        <v>209</v>
      </c>
      <c r="K6155" s="20" t="s">
        <v>250</v>
      </c>
      <c r="L6155" s="20">
        <v>718</v>
      </c>
      <c r="M6155" s="20" t="s">
        <v>242</v>
      </c>
      <c r="N6155" s="20" t="s">
        <v>3771</v>
      </c>
    </row>
    <row r="6156" spans="1:14" hidden="1" x14ac:dyDescent="0.25">
      <c r="A6156" s="19">
        <v>46143</v>
      </c>
      <c r="B6156" s="20" t="s">
        <v>120</v>
      </c>
      <c r="C6156" s="20">
        <v>64</v>
      </c>
      <c r="D6156" s="20" t="s">
        <v>238</v>
      </c>
      <c r="E6156" s="20" t="s">
        <v>2341</v>
      </c>
      <c r="F6156" s="20" t="s">
        <v>381</v>
      </c>
      <c r="G6156" s="20" t="s">
        <v>382</v>
      </c>
      <c r="H6156" s="20"/>
      <c r="I6156" s="20"/>
      <c r="J6156" s="20" t="s">
        <v>209</v>
      </c>
      <c r="K6156" s="20" t="s">
        <v>250</v>
      </c>
      <c r="L6156" s="20">
        <v>2513</v>
      </c>
      <c r="M6156" s="20" t="s">
        <v>242</v>
      </c>
      <c r="N6156" s="20" t="s">
        <v>3772</v>
      </c>
    </row>
    <row r="6157" spans="1:14" hidden="1" x14ac:dyDescent="0.25">
      <c r="A6157" s="19">
        <v>46143</v>
      </c>
      <c r="B6157" s="20" t="s">
        <v>120</v>
      </c>
      <c r="C6157" s="20">
        <v>65</v>
      </c>
      <c r="D6157" s="20" t="s">
        <v>253</v>
      </c>
      <c r="E6157" s="20" t="s">
        <v>2359</v>
      </c>
      <c r="F6157" s="20" t="s">
        <v>240</v>
      </c>
      <c r="G6157" s="20" t="s">
        <v>82</v>
      </c>
      <c r="H6157" s="20"/>
      <c r="I6157" s="20"/>
      <c r="J6157" s="20" t="s">
        <v>207</v>
      </c>
      <c r="K6157" s="20" t="s">
        <v>255</v>
      </c>
      <c r="L6157" s="20">
        <v>7360000</v>
      </c>
      <c r="M6157" s="20" t="s">
        <v>242</v>
      </c>
      <c r="N6157" s="20" t="s">
        <v>3589</v>
      </c>
    </row>
    <row r="6158" spans="1:14" hidden="1" x14ac:dyDescent="0.25">
      <c r="A6158" s="19">
        <v>46143</v>
      </c>
      <c r="B6158" s="20" t="s">
        <v>120</v>
      </c>
      <c r="C6158" s="20">
        <v>65</v>
      </c>
      <c r="D6158" s="20" t="s">
        <v>253</v>
      </c>
      <c r="E6158" s="20" t="s">
        <v>2359</v>
      </c>
      <c r="F6158" s="20" t="s">
        <v>240</v>
      </c>
      <c r="G6158" s="20" t="s">
        <v>82</v>
      </c>
      <c r="H6158" s="20"/>
      <c r="I6158" s="20"/>
      <c r="J6158" s="20" t="s">
        <v>208</v>
      </c>
      <c r="K6158" s="20" t="s">
        <v>255</v>
      </c>
      <c r="L6158" s="20">
        <v>6590000</v>
      </c>
      <c r="M6158" s="20" t="s">
        <v>242</v>
      </c>
      <c r="N6158" s="20" t="s">
        <v>3737</v>
      </c>
    </row>
    <row r="6159" spans="1:14" hidden="1" x14ac:dyDescent="0.25">
      <c r="A6159" s="19">
        <v>46143</v>
      </c>
      <c r="B6159" s="20" t="s">
        <v>120</v>
      </c>
      <c r="C6159" s="20">
        <v>65</v>
      </c>
      <c r="D6159" s="20" t="s">
        <v>253</v>
      </c>
      <c r="E6159" s="20" t="s">
        <v>2359</v>
      </c>
      <c r="F6159" s="20" t="s">
        <v>240</v>
      </c>
      <c r="G6159" s="20" t="s">
        <v>82</v>
      </c>
      <c r="H6159" s="20"/>
      <c r="I6159" s="20"/>
      <c r="J6159" s="20" t="s">
        <v>209</v>
      </c>
      <c r="K6159" s="20" t="s">
        <v>255</v>
      </c>
      <c r="L6159" s="20">
        <v>6860000</v>
      </c>
      <c r="M6159" s="20" t="s">
        <v>242</v>
      </c>
      <c r="N6159" s="20" t="s">
        <v>3882</v>
      </c>
    </row>
    <row r="6160" spans="1:14" hidden="1" x14ac:dyDescent="0.25">
      <c r="A6160" s="19">
        <v>46143</v>
      </c>
      <c r="B6160" s="20" t="s">
        <v>120</v>
      </c>
      <c r="C6160" s="20">
        <v>65</v>
      </c>
      <c r="D6160" s="20" t="s">
        <v>247</v>
      </c>
      <c r="E6160" s="20" t="s">
        <v>2554</v>
      </c>
      <c r="F6160" s="20" t="s">
        <v>2556</v>
      </c>
      <c r="G6160" s="20" t="s">
        <v>82</v>
      </c>
      <c r="H6160" s="20" t="s">
        <v>286</v>
      </c>
      <c r="I6160" s="20"/>
      <c r="J6160" s="20" t="s">
        <v>209</v>
      </c>
      <c r="K6160" s="20" t="s">
        <v>250</v>
      </c>
      <c r="L6160" s="20">
        <v>4.0999999999999996</v>
      </c>
      <c r="M6160" s="20" t="s">
        <v>251</v>
      </c>
      <c r="N6160" s="20" t="s">
        <v>1789</v>
      </c>
    </row>
    <row r="6161" spans="1:14" hidden="1" x14ac:dyDescent="0.25">
      <c r="A6161" s="19">
        <v>46143</v>
      </c>
      <c r="B6161" s="20" t="s">
        <v>120</v>
      </c>
      <c r="C6161" s="20">
        <v>66</v>
      </c>
      <c r="D6161" s="20" t="s">
        <v>291</v>
      </c>
      <c r="E6161" s="20" t="s">
        <v>2361</v>
      </c>
      <c r="F6161" s="20" t="s">
        <v>2502</v>
      </c>
      <c r="G6161" s="20" t="s">
        <v>82</v>
      </c>
      <c r="H6161" s="20" t="s">
        <v>131</v>
      </c>
      <c r="I6161" s="20"/>
      <c r="J6161" s="20" t="s">
        <v>209</v>
      </c>
      <c r="K6161" s="20" t="s">
        <v>250</v>
      </c>
      <c r="L6161" s="20">
        <v>27000</v>
      </c>
      <c r="M6161" s="20" t="s">
        <v>242</v>
      </c>
      <c r="N6161" s="20" t="s">
        <v>2590</v>
      </c>
    </row>
    <row r="6162" spans="1:14" hidden="1" x14ac:dyDescent="0.25">
      <c r="A6162" s="19">
        <v>46143</v>
      </c>
      <c r="B6162" s="20" t="s">
        <v>120</v>
      </c>
      <c r="C6162" s="20">
        <v>66</v>
      </c>
      <c r="D6162" s="20" t="s">
        <v>291</v>
      </c>
      <c r="E6162" s="20" t="s">
        <v>2361</v>
      </c>
      <c r="F6162" s="20" t="s">
        <v>2502</v>
      </c>
      <c r="G6162" s="20" t="s">
        <v>82</v>
      </c>
      <c r="H6162" s="20" t="s">
        <v>128</v>
      </c>
      <c r="I6162" s="20"/>
      <c r="J6162" s="20" t="s">
        <v>209</v>
      </c>
      <c r="K6162" s="20" t="s">
        <v>250</v>
      </c>
      <c r="L6162" s="20">
        <v>37000</v>
      </c>
      <c r="M6162" s="20" t="s">
        <v>242</v>
      </c>
      <c r="N6162" s="20" t="s">
        <v>2774</v>
      </c>
    </row>
    <row r="6163" spans="1:14" hidden="1" x14ac:dyDescent="0.25">
      <c r="A6163" s="19">
        <v>46143</v>
      </c>
      <c r="B6163" s="20" t="s">
        <v>120</v>
      </c>
      <c r="C6163" s="20">
        <v>66</v>
      </c>
      <c r="D6163" s="20" t="s">
        <v>291</v>
      </c>
      <c r="E6163" s="20" t="s">
        <v>2361</v>
      </c>
      <c r="F6163" s="20" t="s">
        <v>2502</v>
      </c>
      <c r="G6163" s="20" t="s">
        <v>82</v>
      </c>
      <c r="H6163" s="20" t="s">
        <v>125</v>
      </c>
      <c r="I6163" s="20"/>
      <c r="J6163" s="20" t="s">
        <v>209</v>
      </c>
      <c r="K6163" s="20" t="s">
        <v>250</v>
      </c>
      <c r="L6163" s="20">
        <v>37000</v>
      </c>
      <c r="M6163" s="20" t="s">
        <v>242</v>
      </c>
      <c r="N6163" s="20" t="s">
        <v>2774</v>
      </c>
    </row>
    <row r="6164" spans="1:14" hidden="1" x14ac:dyDescent="0.25">
      <c r="A6164" s="19">
        <v>46143</v>
      </c>
      <c r="B6164" s="20" t="s">
        <v>120</v>
      </c>
      <c r="C6164" s="20">
        <v>66</v>
      </c>
      <c r="D6164" s="20" t="s">
        <v>291</v>
      </c>
      <c r="E6164" s="20" t="s">
        <v>2361</v>
      </c>
      <c r="F6164" s="20" t="s">
        <v>2502</v>
      </c>
      <c r="G6164" s="20" t="s">
        <v>82</v>
      </c>
      <c r="H6164" s="20" t="s">
        <v>132</v>
      </c>
      <c r="I6164" s="20"/>
      <c r="J6164" s="20" t="s">
        <v>209</v>
      </c>
      <c r="K6164" s="20" t="s">
        <v>250</v>
      </c>
      <c r="L6164" s="20">
        <v>56000</v>
      </c>
      <c r="M6164" s="20" t="s">
        <v>242</v>
      </c>
      <c r="N6164" s="20" t="s">
        <v>3883</v>
      </c>
    </row>
    <row r="6165" spans="1:14" hidden="1" x14ac:dyDescent="0.25">
      <c r="A6165" s="19">
        <v>46143</v>
      </c>
      <c r="B6165" s="20" t="s">
        <v>120</v>
      </c>
      <c r="C6165" s="20">
        <v>66</v>
      </c>
      <c r="D6165" s="20" t="s">
        <v>291</v>
      </c>
      <c r="E6165" s="20" t="s">
        <v>2361</v>
      </c>
      <c r="F6165" s="20" t="s">
        <v>2502</v>
      </c>
      <c r="G6165" s="20" t="s">
        <v>82</v>
      </c>
      <c r="H6165" s="20" t="s">
        <v>126</v>
      </c>
      <c r="I6165" s="20"/>
      <c r="J6165" s="20" t="s">
        <v>209</v>
      </c>
      <c r="K6165" s="20" t="s">
        <v>250</v>
      </c>
      <c r="L6165" s="20">
        <v>139000</v>
      </c>
      <c r="M6165" s="20" t="s">
        <v>242</v>
      </c>
      <c r="N6165" s="20" t="s">
        <v>2847</v>
      </c>
    </row>
    <row r="6166" spans="1:14" hidden="1" x14ac:dyDescent="0.25">
      <c r="A6166" s="19">
        <v>46143</v>
      </c>
      <c r="B6166" s="20" t="s">
        <v>120</v>
      </c>
      <c r="C6166" s="20">
        <v>66</v>
      </c>
      <c r="D6166" s="20" t="s">
        <v>291</v>
      </c>
      <c r="E6166" s="20" t="s">
        <v>2361</v>
      </c>
      <c r="F6166" s="20" t="s">
        <v>2502</v>
      </c>
      <c r="G6166" s="20" t="s">
        <v>82</v>
      </c>
      <c r="H6166" s="20" t="s">
        <v>127</v>
      </c>
      <c r="I6166" s="20"/>
      <c r="J6166" s="20" t="s">
        <v>209</v>
      </c>
      <c r="K6166" s="20" t="s">
        <v>250</v>
      </c>
      <c r="L6166" s="20">
        <v>312000</v>
      </c>
      <c r="M6166" s="20" t="s">
        <v>242</v>
      </c>
      <c r="N6166" s="20" t="s">
        <v>3884</v>
      </c>
    </row>
    <row r="6167" spans="1:14" hidden="1" x14ac:dyDescent="0.25">
      <c r="A6167" s="19">
        <v>46143</v>
      </c>
      <c r="B6167" s="20" t="s">
        <v>120</v>
      </c>
      <c r="C6167" s="20">
        <v>66</v>
      </c>
      <c r="D6167" s="20" t="s">
        <v>291</v>
      </c>
      <c r="E6167" s="20" t="s">
        <v>2361</v>
      </c>
      <c r="F6167" s="20" t="s">
        <v>2502</v>
      </c>
      <c r="G6167" s="20" t="s">
        <v>82</v>
      </c>
      <c r="H6167" s="20" t="s">
        <v>133</v>
      </c>
      <c r="I6167" s="20"/>
      <c r="J6167" s="20" t="s">
        <v>209</v>
      </c>
      <c r="K6167" s="20" t="s">
        <v>250</v>
      </c>
      <c r="L6167" s="20">
        <v>598000</v>
      </c>
      <c r="M6167" s="20" t="s">
        <v>242</v>
      </c>
      <c r="N6167" s="20" t="s">
        <v>3885</v>
      </c>
    </row>
    <row r="6168" spans="1:14" hidden="1" x14ac:dyDescent="0.25">
      <c r="A6168" s="19">
        <v>46143</v>
      </c>
      <c r="B6168" s="20" t="s">
        <v>120</v>
      </c>
      <c r="C6168" s="20">
        <v>66</v>
      </c>
      <c r="D6168" s="20" t="s">
        <v>291</v>
      </c>
      <c r="E6168" s="20" t="s">
        <v>2361</v>
      </c>
      <c r="F6168" s="20" t="s">
        <v>2502</v>
      </c>
      <c r="G6168" s="20" t="s">
        <v>82</v>
      </c>
      <c r="H6168" s="20" t="s">
        <v>129</v>
      </c>
      <c r="I6168" s="20"/>
      <c r="J6168" s="20" t="s">
        <v>209</v>
      </c>
      <c r="K6168" s="20" t="s">
        <v>250</v>
      </c>
      <c r="L6168" s="20">
        <v>1310000</v>
      </c>
      <c r="M6168" s="20" t="s">
        <v>242</v>
      </c>
      <c r="N6168" s="20" t="s">
        <v>1055</v>
      </c>
    </row>
    <row r="6169" spans="1:14" hidden="1" x14ac:dyDescent="0.25">
      <c r="A6169" s="19">
        <v>46143</v>
      </c>
      <c r="B6169" s="20" t="s">
        <v>120</v>
      </c>
      <c r="C6169" s="20">
        <v>66</v>
      </c>
      <c r="D6169" s="20" t="s">
        <v>291</v>
      </c>
      <c r="E6169" s="20" t="s">
        <v>2361</v>
      </c>
      <c r="F6169" s="20" t="s">
        <v>2502</v>
      </c>
      <c r="G6169" s="20" t="s">
        <v>82</v>
      </c>
      <c r="H6169" s="20" t="s">
        <v>134</v>
      </c>
      <c r="I6169" s="20"/>
      <c r="J6169" s="20" t="s">
        <v>209</v>
      </c>
      <c r="K6169" s="20" t="s">
        <v>250</v>
      </c>
      <c r="L6169" s="20">
        <v>1980000</v>
      </c>
      <c r="M6169" s="20" t="s">
        <v>242</v>
      </c>
      <c r="N6169" s="20" t="s">
        <v>2747</v>
      </c>
    </row>
    <row r="6170" spans="1:14" hidden="1" x14ac:dyDescent="0.25">
      <c r="A6170" s="19">
        <v>46143</v>
      </c>
      <c r="B6170" s="20" t="s">
        <v>120</v>
      </c>
      <c r="C6170" s="20">
        <v>66</v>
      </c>
      <c r="D6170" s="20" t="s">
        <v>291</v>
      </c>
      <c r="E6170" s="20" t="s">
        <v>2361</v>
      </c>
      <c r="F6170" s="20" t="s">
        <v>2502</v>
      </c>
      <c r="G6170" s="20" t="s">
        <v>82</v>
      </c>
      <c r="H6170" s="20" t="s">
        <v>130</v>
      </c>
      <c r="I6170" s="20"/>
      <c r="J6170" s="20" t="s">
        <v>209</v>
      </c>
      <c r="K6170" s="20" t="s">
        <v>250</v>
      </c>
      <c r="L6170" s="20">
        <v>2260000</v>
      </c>
      <c r="M6170" s="20" t="s">
        <v>242</v>
      </c>
      <c r="N6170" s="20" t="s">
        <v>1579</v>
      </c>
    </row>
    <row r="6171" spans="1:14" hidden="1" x14ac:dyDescent="0.25">
      <c r="A6171" s="19">
        <v>46143</v>
      </c>
      <c r="B6171" s="20" t="s">
        <v>120</v>
      </c>
      <c r="C6171" s="20">
        <v>67</v>
      </c>
      <c r="D6171" s="20" t="s">
        <v>291</v>
      </c>
      <c r="E6171" s="20" t="s">
        <v>2361</v>
      </c>
      <c r="F6171" s="20" t="s">
        <v>2510</v>
      </c>
      <c r="G6171" s="20" t="s">
        <v>82</v>
      </c>
      <c r="H6171" s="20" t="s">
        <v>138</v>
      </c>
      <c r="I6171" s="20"/>
      <c r="J6171" s="20" t="s">
        <v>209</v>
      </c>
      <c r="K6171" s="20" t="s">
        <v>250</v>
      </c>
      <c r="L6171" s="20">
        <v>5700000</v>
      </c>
      <c r="M6171" s="20" t="s">
        <v>242</v>
      </c>
      <c r="N6171" s="20" t="s">
        <v>1476</v>
      </c>
    </row>
    <row r="6172" spans="1:14" hidden="1" x14ac:dyDescent="0.25">
      <c r="A6172" s="19">
        <v>46143</v>
      </c>
      <c r="B6172" s="20" t="s">
        <v>120</v>
      </c>
      <c r="C6172" s="20">
        <v>67</v>
      </c>
      <c r="D6172" s="20" t="s">
        <v>291</v>
      </c>
      <c r="E6172" s="20" t="s">
        <v>2361</v>
      </c>
      <c r="F6172" s="20" t="s">
        <v>2510</v>
      </c>
      <c r="G6172" s="20" t="s">
        <v>82</v>
      </c>
      <c r="H6172" s="20" t="s">
        <v>137</v>
      </c>
      <c r="I6172" s="20"/>
      <c r="J6172" s="20" t="s">
        <v>209</v>
      </c>
      <c r="K6172" s="20" t="s">
        <v>250</v>
      </c>
      <c r="L6172" s="20">
        <v>1100000</v>
      </c>
      <c r="M6172" s="20" t="s">
        <v>242</v>
      </c>
      <c r="N6172" s="20" t="s">
        <v>2111</v>
      </c>
    </row>
    <row r="6173" spans="1:14" hidden="1" x14ac:dyDescent="0.25">
      <c r="A6173" s="19">
        <v>46143</v>
      </c>
      <c r="B6173" s="20" t="s">
        <v>120</v>
      </c>
      <c r="C6173" s="20">
        <v>68</v>
      </c>
      <c r="D6173" s="20" t="s">
        <v>253</v>
      </c>
      <c r="E6173" s="20" t="s">
        <v>2359</v>
      </c>
      <c r="F6173" s="20" t="s">
        <v>244</v>
      </c>
      <c r="G6173" s="20" t="s">
        <v>82</v>
      </c>
      <c r="H6173" s="20"/>
      <c r="I6173" s="20"/>
      <c r="J6173" s="20" t="s">
        <v>207</v>
      </c>
      <c r="K6173" s="20" t="s">
        <v>255</v>
      </c>
      <c r="L6173" s="20">
        <v>1260000000</v>
      </c>
      <c r="M6173" s="20" t="s">
        <v>245</v>
      </c>
      <c r="N6173" s="20" t="s">
        <v>3597</v>
      </c>
    </row>
    <row r="6174" spans="1:14" hidden="1" x14ac:dyDescent="0.25">
      <c r="A6174" s="19">
        <v>46143</v>
      </c>
      <c r="B6174" s="20" t="s">
        <v>120</v>
      </c>
      <c r="C6174" s="20">
        <v>68</v>
      </c>
      <c r="D6174" s="20" t="s">
        <v>253</v>
      </c>
      <c r="E6174" s="20" t="s">
        <v>2359</v>
      </c>
      <c r="F6174" s="20" t="s">
        <v>244</v>
      </c>
      <c r="G6174" s="20" t="s">
        <v>82</v>
      </c>
      <c r="H6174" s="20"/>
      <c r="I6174" s="20"/>
      <c r="J6174" s="20" t="s">
        <v>208</v>
      </c>
      <c r="K6174" s="20" t="s">
        <v>255</v>
      </c>
      <c r="L6174" s="20">
        <v>1430000000</v>
      </c>
      <c r="M6174" s="20" t="s">
        <v>245</v>
      </c>
      <c r="N6174" s="20" t="s">
        <v>3742</v>
      </c>
    </row>
    <row r="6175" spans="1:14" hidden="1" x14ac:dyDescent="0.25">
      <c r="A6175" s="19">
        <v>46143</v>
      </c>
      <c r="B6175" s="20" t="s">
        <v>120</v>
      </c>
      <c r="C6175" s="20">
        <v>68</v>
      </c>
      <c r="D6175" s="20" t="s">
        <v>253</v>
      </c>
      <c r="E6175" s="20" t="s">
        <v>2359</v>
      </c>
      <c r="F6175" s="20" t="s">
        <v>244</v>
      </c>
      <c r="G6175" s="20" t="s">
        <v>82</v>
      </c>
      <c r="H6175" s="20"/>
      <c r="I6175" s="20"/>
      <c r="J6175" s="20" t="s">
        <v>209</v>
      </c>
      <c r="K6175" s="20" t="s">
        <v>255</v>
      </c>
      <c r="L6175" s="20">
        <v>1190000000</v>
      </c>
      <c r="M6175" s="20" t="s">
        <v>245</v>
      </c>
      <c r="N6175" s="20" t="s">
        <v>1371</v>
      </c>
    </row>
    <row r="6176" spans="1:14" hidden="1" x14ac:dyDescent="0.25">
      <c r="A6176" s="19">
        <v>46143</v>
      </c>
      <c r="B6176" s="20" t="s">
        <v>120</v>
      </c>
      <c r="C6176" s="20">
        <v>68</v>
      </c>
      <c r="D6176" s="20" t="s">
        <v>247</v>
      </c>
      <c r="E6176" s="20" t="s">
        <v>2554</v>
      </c>
      <c r="F6176" s="20" t="s">
        <v>2558</v>
      </c>
      <c r="G6176" s="20" t="s">
        <v>82</v>
      </c>
      <c r="H6176" s="20" t="s">
        <v>249</v>
      </c>
      <c r="I6176" s="20"/>
      <c r="J6176" s="20" t="s">
        <v>209</v>
      </c>
      <c r="K6176" s="20" t="s">
        <v>250</v>
      </c>
      <c r="L6176" s="20">
        <v>16.5</v>
      </c>
      <c r="M6176" s="20" t="s">
        <v>251</v>
      </c>
      <c r="N6176" s="20" t="s">
        <v>3886</v>
      </c>
    </row>
    <row r="6177" spans="1:14" hidden="1" x14ac:dyDescent="0.25">
      <c r="A6177" s="19">
        <v>46143</v>
      </c>
      <c r="B6177" s="20" t="s">
        <v>120</v>
      </c>
      <c r="C6177" s="20">
        <v>69</v>
      </c>
      <c r="D6177" s="20" t="s">
        <v>291</v>
      </c>
      <c r="E6177" s="20" t="s">
        <v>2361</v>
      </c>
      <c r="F6177" s="20" t="s">
        <v>2514</v>
      </c>
      <c r="G6177" s="20" t="s">
        <v>82</v>
      </c>
      <c r="H6177" s="20" t="s">
        <v>132</v>
      </c>
      <c r="I6177" s="20"/>
      <c r="J6177" s="20" t="s">
        <v>209</v>
      </c>
      <c r="K6177" s="20" t="s">
        <v>250</v>
      </c>
      <c r="L6177" s="20">
        <v>8000000</v>
      </c>
      <c r="M6177" s="20" t="s">
        <v>245</v>
      </c>
      <c r="N6177" s="20" t="s">
        <v>3012</v>
      </c>
    </row>
    <row r="6178" spans="1:14" hidden="1" x14ac:dyDescent="0.25">
      <c r="A6178" s="19">
        <v>46143</v>
      </c>
      <c r="B6178" s="20" t="s">
        <v>120</v>
      </c>
      <c r="C6178" s="20">
        <v>69</v>
      </c>
      <c r="D6178" s="20" t="s">
        <v>291</v>
      </c>
      <c r="E6178" s="20" t="s">
        <v>2361</v>
      </c>
      <c r="F6178" s="20" t="s">
        <v>2514</v>
      </c>
      <c r="G6178" s="20" t="s">
        <v>82</v>
      </c>
      <c r="H6178" s="20" t="s">
        <v>131</v>
      </c>
      <c r="I6178" s="20"/>
      <c r="J6178" s="20" t="s">
        <v>209</v>
      </c>
      <c r="K6178" s="20" t="s">
        <v>250</v>
      </c>
      <c r="L6178" s="20">
        <v>12000000</v>
      </c>
      <c r="M6178" s="20" t="s">
        <v>245</v>
      </c>
      <c r="N6178" s="20" t="s">
        <v>1755</v>
      </c>
    </row>
    <row r="6179" spans="1:14" hidden="1" x14ac:dyDescent="0.25">
      <c r="A6179" s="19">
        <v>46143</v>
      </c>
      <c r="B6179" s="20" t="s">
        <v>120</v>
      </c>
      <c r="C6179" s="20">
        <v>69</v>
      </c>
      <c r="D6179" s="20" t="s">
        <v>291</v>
      </c>
      <c r="E6179" s="20" t="s">
        <v>2361</v>
      </c>
      <c r="F6179" s="20" t="s">
        <v>2514</v>
      </c>
      <c r="G6179" s="20" t="s">
        <v>82</v>
      </c>
      <c r="H6179" s="20" t="s">
        <v>3887</v>
      </c>
      <c r="I6179" s="20"/>
      <c r="J6179" s="20" t="s">
        <v>209</v>
      </c>
      <c r="K6179" s="20" t="s">
        <v>250</v>
      </c>
      <c r="L6179" s="20">
        <v>13000000</v>
      </c>
      <c r="M6179" s="20" t="s">
        <v>245</v>
      </c>
      <c r="N6179" s="20" t="s">
        <v>2517</v>
      </c>
    </row>
    <row r="6180" spans="1:14" hidden="1" x14ac:dyDescent="0.25">
      <c r="A6180" s="19">
        <v>46143</v>
      </c>
      <c r="B6180" s="20" t="s">
        <v>120</v>
      </c>
      <c r="C6180" s="20">
        <v>69</v>
      </c>
      <c r="D6180" s="20" t="s">
        <v>291</v>
      </c>
      <c r="E6180" s="20" t="s">
        <v>2361</v>
      </c>
      <c r="F6180" s="20" t="s">
        <v>2514</v>
      </c>
      <c r="G6180" s="20" t="s">
        <v>82</v>
      </c>
      <c r="H6180" s="20" t="s">
        <v>135</v>
      </c>
      <c r="I6180" s="20"/>
      <c r="J6180" s="20" t="s">
        <v>209</v>
      </c>
      <c r="K6180" s="20" t="s">
        <v>250</v>
      </c>
      <c r="L6180" s="20">
        <v>18000000</v>
      </c>
      <c r="M6180" s="20" t="s">
        <v>245</v>
      </c>
      <c r="N6180" s="20" t="s">
        <v>2853</v>
      </c>
    </row>
    <row r="6181" spans="1:14" hidden="1" x14ac:dyDescent="0.25">
      <c r="A6181" s="19">
        <v>46143</v>
      </c>
      <c r="B6181" s="20" t="s">
        <v>120</v>
      </c>
      <c r="C6181" s="20">
        <v>69</v>
      </c>
      <c r="D6181" s="20" t="s">
        <v>291</v>
      </c>
      <c r="E6181" s="20" t="s">
        <v>2361</v>
      </c>
      <c r="F6181" s="20" t="s">
        <v>2514</v>
      </c>
      <c r="G6181" s="20" t="s">
        <v>82</v>
      </c>
      <c r="H6181" s="20" t="s">
        <v>126</v>
      </c>
      <c r="I6181" s="20"/>
      <c r="J6181" s="20" t="s">
        <v>209</v>
      </c>
      <c r="K6181" s="20" t="s">
        <v>250</v>
      </c>
      <c r="L6181" s="20">
        <v>23000000</v>
      </c>
      <c r="M6181" s="20" t="s">
        <v>245</v>
      </c>
      <c r="N6181" s="20" t="s">
        <v>3888</v>
      </c>
    </row>
    <row r="6182" spans="1:14" hidden="1" x14ac:dyDescent="0.25">
      <c r="A6182" s="19">
        <v>46143</v>
      </c>
      <c r="B6182" s="20" t="s">
        <v>120</v>
      </c>
      <c r="C6182" s="20">
        <v>69</v>
      </c>
      <c r="D6182" s="20" t="s">
        <v>291</v>
      </c>
      <c r="E6182" s="20" t="s">
        <v>2361</v>
      </c>
      <c r="F6182" s="20" t="s">
        <v>2514</v>
      </c>
      <c r="G6182" s="20" t="s">
        <v>82</v>
      </c>
      <c r="H6182" s="20" t="s">
        <v>130</v>
      </c>
      <c r="I6182" s="20"/>
      <c r="J6182" s="20" t="s">
        <v>209</v>
      </c>
      <c r="K6182" s="20" t="s">
        <v>250</v>
      </c>
      <c r="L6182" s="20">
        <v>36000000</v>
      </c>
      <c r="M6182" s="20" t="s">
        <v>245</v>
      </c>
      <c r="N6182" s="20" t="s">
        <v>3157</v>
      </c>
    </row>
    <row r="6183" spans="1:14" hidden="1" x14ac:dyDescent="0.25">
      <c r="A6183" s="19">
        <v>46143</v>
      </c>
      <c r="B6183" s="20" t="s">
        <v>120</v>
      </c>
      <c r="C6183" s="20">
        <v>69</v>
      </c>
      <c r="D6183" s="20" t="s">
        <v>291</v>
      </c>
      <c r="E6183" s="20" t="s">
        <v>2361</v>
      </c>
      <c r="F6183" s="20" t="s">
        <v>2514</v>
      </c>
      <c r="G6183" s="20" t="s">
        <v>82</v>
      </c>
      <c r="H6183" s="20" t="s">
        <v>127</v>
      </c>
      <c r="I6183" s="20"/>
      <c r="J6183" s="20" t="s">
        <v>209</v>
      </c>
      <c r="K6183" s="20" t="s">
        <v>250</v>
      </c>
      <c r="L6183" s="20">
        <v>63000000</v>
      </c>
      <c r="M6183" s="20" t="s">
        <v>245</v>
      </c>
      <c r="N6183" s="20" t="s">
        <v>3889</v>
      </c>
    </row>
    <row r="6184" spans="1:14" hidden="1" x14ac:dyDescent="0.25">
      <c r="A6184" s="19">
        <v>46143</v>
      </c>
      <c r="B6184" s="20" t="s">
        <v>120</v>
      </c>
      <c r="C6184" s="20">
        <v>69</v>
      </c>
      <c r="D6184" s="20" t="s">
        <v>291</v>
      </c>
      <c r="E6184" s="20" t="s">
        <v>2361</v>
      </c>
      <c r="F6184" s="20" t="s">
        <v>2514</v>
      </c>
      <c r="G6184" s="20" t="s">
        <v>82</v>
      </c>
      <c r="H6184" s="20" t="s">
        <v>134</v>
      </c>
      <c r="I6184" s="20"/>
      <c r="J6184" s="20" t="s">
        <v>209</v>
      </c>
      <c r="K6184" s="20" t="s">
        <v>250</v>
      </c>
      <c r="L6184" s="20">
        <v>76000000</v>
      </c>
      <c r="M6184" s="20" t="s">
        <v>245</v>
      </c>
      <c r="N6184" s="20" t="s">
        <v>3625</v>
      </c>
    </row>
    <row r="6185" spans="1:14" hidden="1" x14ac:dyDescent="0.25">
      <c r="A6185" s="19">
        <v>46143</v>
      </c>
      <c r="B6185" s="20" t="s">
        <v>120</v>
      </c>
      <c r="C6185" s="20">
        <v>69</v>
      </c>
      <c r="D6185" s="20" t="s">
        <v>291</v>
      </c>
      <c r="E6185" s="20" t="s">
        <v>2361</v>
      </c>
      <c r="F6185" s="20" t="s">
        <v>2514</v>
      </c>
      <c r="G6185" s="20" t="s">
        <v>82</v>
      </c>
      <c r="H6185" s="20" t="s">
        <v>133</v>
      </c>
      <c r="I6185" s="20"/>
      <c r="J6185" s="20" t="s">
        <v>209</v>
      </c>
      <c r="K6185" s="20" t="s">
        <v>250</v>
      </c>
      <c r="L6185" s="20">
        <v>159000000</v>
      </c>
      <c r="M6185" s="20" t="s">
        <v>245</v>
      </c>
      <c r="N6185" s="20" t="s">
        <v>3890</v>
      </c>
    </row>
    <row r="6186" spans="1:14" hidden="1" x14ac:dyDescent="0.25">
      <c r="A6186" s="19">
        <v>46143</v>
      </c>
      <c r="B6186" s="20" t="s">
        <v>120</v>
      </c>
      <c r="C6186" s="20">
        <v>69</v>
      </c>
      <c r="D6186" s="20" t="s">
        <v>291</v>
      </c>
      <c r="E6186" s="20" t="s">
        <v>2361</v>
      </c>
      <c r="F6186" s="20" t="s">
        <v>2514</v>
      </c>
      <c r="G6186" s="20" t="s">
        <v>82</v>
      </c>
      <c r="H6186" s="20" t="s">
        <v>129</v>
      </c>
      <c r="I6186" s="20"/>
      <c r="J6186" s="20" t="s">
        <v>209</v>
      </c>
      <c r="K6186" s="20" t="s">
        <v>250</v>
      </c>
      <c r="L6186" s="20">
        <v>775700000</v>
      </c>
      <c r="M6186" s="20" t="s">
        <v>245</v>
      </c>
      <c r="N6186" s="20" t="s">
        <v>3891</v>
      </c>
    </row>
    <row r="6187" spans="1:14" hidden="1" x14ac:dyDescent="0.25">
      <c r="A6187" s="19">
        <v>46143</v>
      </c>
      <c r="B6187" s="20" t="s">
        <v>120</v>
      </c>
      <c r="C6187" s="20">
        <v>70</v>
      </c>
      <c r="D6187" s="20" t="s">
        <v>291</v>
      </c>
      <c r="E6187" s="20" t="s">
        <v>2361</v>
      </c>
      <c r="F6187" s="20" t="s">
        <v>2510</v>
      </c>
      <c r="G6187" s="20" t="s">
        <v>82</v>
      </c>
      <c r="H6187" s="20" t="s">
        <v>138</v>
      </c>
      <c r="I6187" s="20"/>
      <c r="J6187" s="20" t="s">
        <v>209</v>
      </c>
      <c r="K6187" s="20" t="s">
        <v>250</v>
      </c>
      <c r="L6187" s="20">
        <v>1060000000</v>
      </c>
      <c r="M6187" s="20" t="s">
        <v>245</v>
      </c>
      <c r="N6187" s="20" t="s">
        <v>2859</v>
      </c>
    </row>
    <row r="6188" spans="1:14" hidden="1" x14ac:dyDescent="0.25">
      <c r="A6188" s="19">
        <v>46143</v>
      </c>
      <c r="B6188" s="20" t="s">
        <v>120</v>
      </c>
      <c r="C6188" s="20">
        <v>70</v>
      </c>
      <c r="D6188" s="20" t="s">
        <v>291</v>
      </c>
      <c r="E6188" s="20" t="s">
        <v>2361</v>
      </c>
      <c r="F6188" s="20" t="s">
        <v>2510</v>
      </c>
      <c r="G6188" s="20" t="s">
        <v>82</v>
      </c>
      <c r="H6188" s="20" t="s">
        <v>137</v>
      </c>
      <c r="I6188" s="20"/>
      <c r="J6188" s="20" t="s">
        <v>209</v>
      </c>
      <c r="K6188" s="20" t="s">
        <v>250</v>
      </c>
      <c r="L6188" s="20">
        <v>133870000</v>
      </c>
      <c r="M6188" s="20" t="s">
        <v>245</v>
      </c>
      <c r="N6188" s="20" t="s">
        <v>3892</v>
      </c>
    </row>
    <row r="6189" spans="1:14" hidden="1" x14ac:dyDescent="0.25">
      <c r="A6189" s="19">
        <v>46143</v>
      </c>
      <c r="B6189" s="20" t="s">
        <v>120</v>
      </c>
      <c r="C6189" s="20">
        <v>71</v>
      </c>
      <c r="D6189" s="20" t="s">
        <v>253</v>
      </c>
      <c r="E6189" s="20" t="s">
        <v>2359</v>
      </c>
      <c r="F6189" s="20" t="s">
        <v>334</v>
      </c>
      <c r="G6189" s="20" t="s">
        <v>82</v>
      </c>
      <c r="H6189" s="20"/>
      <c r="I6189" s="20"/>
      <c r="J6189" s="20" t="s">
        <v>207</v>
      </c>
      <c r="K6189" s="20" t="s">
        <v>255</v>
      </c>
      <c r="L6189" s="20">
        <v>171</v>
      </c>
      <c r="M6189" s="20" t="s">
        <v>245</v>
      </c>
      <c r="N6189" s="20" t="s">
        <v>3605</v>
      </c>
    </row>
    <row r="6190" spans="1:14" hidden="1" x14ac:dyDescent="0.25">
      <c r="A6190" s="19">
        <v>46143</v>
      </c>
      <c r="B6190" s="20" t="s">
        <v>120</v>
      </c>
      <c r="C6190" s="20">
        <v>71</v>
      </c>
      <c r="D6190" s="20" t="s">
        <v>253</v>
      </c>
      <c r="E6190" s="20" t="s">
        <v>2359</v>
      </c>
      <c r="F6190" s="20" t="s">
        <v>334</v>
      </c>
      <c r="G6190" s="20" t="s">
        <v>82</v>
      </c>
      <c r="H6190" s="20"/>
      <c r="I6190" s="20"/>
      <c r="J6190" s="20" t="s">
        <v>208</v>
      </c>
      <c r="K6190" s="20" t="s">
        <v>255</v>
      </c>
      <c r="L6190" s="20">
        <v>217</v>
      </c>
      <c r="M6190" s="20" t="s">
        <v>245</v>
      </c>
      <c r="N6190" s="20" t="s">
        <v>2704</v>
      </c>
    </row>
    <row r="6191" spans="1:14" hidden="1" x14ac:dyDescent="0.25">
      <c r="A6191" s="19">
        <v>46143</v>
      </c>
      <c r="B6191" s="20" t="s">
        <v>120</v>
      </c>
      <c r="C6191" s="20">
        <v>71</v>
      </c>
      <c r="D6191" s="20" t="s">
        <v>253</v>
      </c>
      <c r="E6191" s="20" t="s">
        <v>2359</v>
      </c>
      <c r="F6191" s="20" t="s">
        <v>334</v>
      </c>
      <c r="G6191" s="20" t="s">
        <v>82</v>
      </c>
      <c r="H6191" s="20"/>
      <c r="I6191" s="20"/>
      <c r="J6191" s="20" t="s">
        <v>209</v>
      </c>
      <c r="K6191" s="20" t="s">
        <v>255</v>
      </c>
      <c r="L6191" s="20">
        <v>174</v>
      </c>
      <c r="M6191" s="20" t="s">
        <v>245</v>
      </c>
      <c r="N6191" s="20" t="s">
        <v>3893</v>
      </c>
    </row>
    <row r="6192" spans="1:14" hidden="1" x14ac:dyDescent="0.25">
      <c r="A6192" s="19">
        <v>46143</v>
      </c>
      <c r="B6192" s="20" t="s">
        <v>142</v>
      </c>
      <c r="C6192" s="20">
        <v>73</v>
      </c>
      <c r="D6192" s="20" t="s">
        <v>238</v>
      </c>
      <c r="E6192" s="20" t="s">
        <v>2341</v>
      </c>
      <c r="F6192" s="20" t="s">
        <v>240</v>
      </c>
      <c r="G6192" s="20" t="s">
        <v>82</v>
      </c>
      <c r="H6192" s="20"/>
      <c r="I6192" s="20"/>
      <c r="J6192" s="20" t="s">
        <v>3779</v>
      </c>
      <c r="K6192" s="20" t="s">
        <v>241</v>
      </c>
      <c r="L6192" s="20">
        <v>5450000</v>
      </c>
      <c r="M6192" s="20" t="s">
        <v>242</v>
      </c>
      <c r="N6192" s="20" t="s">
        <v>3894</v>
      </c>
    </row>
    <row r="6193" spans="1:14" hidden="1" x14ac:dyDescent="0.25">
      <c r="A6193" s="19">
        <v>46143</v>
      </c>
      <c r="B6193" s="20" t="s">
        <v>142</v>
      </c>
      <c r="C6193" s="20">
        <v>73</v>
      </c>
      <c r="D6193" s="20" t="s">
        <v>238</v>
      </c>
      <c r="E6193" s="20" t="s">
        <v>2341</v>
      </c>
      <c r="F6193" s="20" t="s">
        <v>244</v>
      </c>
      <c r="G6193" s="20" t="s">
        <v>82</v>
      </c>
      <c r="H6193" s="20"/>
      <c r="I6193" s="20"/>
      <c r="J6193" s="20" t="s">
        <v>3779</v>
      </c>
      <c r="K6193" s="20" t="s">
        <v>241</v>
      </c>
      <c r="L6193" s="20">
        <v>4490000000</v>
      </c>
      <c r="M6193" s="20" t="s">
        <v>245</v>
      </c>
      <c r="N6193" s="20" t="s">
        <v>3895</v>
      </c>
    </row>
    <row r="6194" spans="1:14" hidden="1" x14ac:dyDescent="0.25">
      <c r="A6194" s="19">
        <v>46143</v>
      </c>
      <c r="B6194" s="20" t="s">
        <v>142</v>
      </c>
      <c r="C6194" s="20">
        <v>74</v>
      </c>
      <c r="D6194" s="20" t="s">
        <v>253</v>
      </c>
      <c r="E6194" s="20" t="s">
        <v>2359</v>
      </c>
      <c r="F6194" s="20" t="s">
        <v>544</v>
      </c>
      <c r="G6194" s="20" t="s">
        <v>82</v>
      </c>
      <c r="H6194" s="20"/>
      <c r="I6194" s="20"/>
      <c r="J6194" s="20" t="s">
        <v>207</v>
      </c>
      <c r="K6194" s="20" t="s">
        <v>255</v>
      </c>
      <c r="L6194" s="20">
        <v>1120000</v>
      </c>
      <c r="M6194" s="20" t="s">
        <v>242</v>
      </c>
      <c r="N6194" s="20" t="s">
        <v>3608</v>
      </c>
    </row>
    <row r="6195" spans="1:14" hidden="1" x14ac:dyDescent="0.25">
      <c r="A6195" s="19">
        <v>46143</v>
      </c>
      <c r="B6195" s="20" t="s">
        <v>142</v>
      </c>
      <c r="C6195" s="20">
        <v>74</v>
      </c>
      <c r="D6195" s="20" t="s">
        <v>253</v>
      </c>
      <c r="E6195" s="20" t="s">
        <v>2359</v>
      </c>
      <c r="F6195" s="20" t="s">
        <v>544</v>
      </c>
      <c r="G6195" s="20" t="s">
        <v>82</v>
      </c>
      <c r="H6195" s="20"/>
      <c r="I6195" s="20"/>
      <c r="J6195" s="20" t="s">
        <v>208</v>
      </c>
      <c r="K6195" s="20" t="s">
        <v>255</v>
      </c>
      <c r="L6195" s="20">
        <v>1070000</v>
      </c>
      <c r="M6195" s="20" t="s">
        <v>242</v>
      </c>
      <c r="N6195" s="20" t="s">
        <v>3749</v>
      </c>
    </row>
    <row r="6196" spans="1:14" hidden="1" x14ac:dyDescent="0.25">
      <c r="A6196" s="19">
        <v>46143</v>
      </c>
      <c r="B6196" s="20" t="s">
        <v>142</v>
      </c>
      <c r="C6196" s="20">
        <v>74</v>
      </c>
      <c r="D6196" s="20" t="s">
        <v>253</v>
      </c>
      <c r="E6196" s="20" t="s">
        <v>2359</v>
      </c>
      <c r="F6196" s="20" t="s">
        <v>544</v>
      </c>
      <c r="G6196" s="20" t="s">
        <v>82</v>
      </c>
      <c r="H6196" s="20"/>
      <c r="I6196" s="20"/>
      <c r="J6196" s="20" t="s">
        <v>209</v>
      </c>
      <c r="K6196" s="20" t="s">
        <v>255</v>
      </c>
      <c r="L6196" s="20">
        <v>1150000</v>
      </c>
      <c r="M6196" s="20" t="s">
        <v>242</v>
      </c>
      <c r="N6196" s="20" t="s">
        <v>3896</v>
      </c>
    </row>
    <row r="6197" spans="1:14" hidden="1" x14ac:dyDescent="0.25">
      <c r="A6197" s="19">
        <v>46143</v>
      </c>
      <c r="B6197" s="20" t="s">
        <v>142</v>
      </c>
      <c r="C6197" s="20">
        <v>74</v>
      </c>
      <c r="D6197" s="20" t="s">
        <v>247</v>
      </c>
      <c r="E6197" s="20" t="s">
        <v>2554</v>
      </c>
      <c r="F6197" s="20" t="s">
        <v>2556</v>
      </c>
      <c r="G6197" s="20" t="s">
        <v>82</v>
      </c>
      <c r="H6197" s="20" t="s">
        <v>286</v>
      </c>
      <c r="I6197" s="20"/>
      <c r="J6197" s="20" t="s">
        <v>209</v>
      </c>
      <c r="K6197" s="20" t="s">
        <v>250</v>
      </c>
      <c r="L6197" s="20">
        <v>7.8</v>
      </c>
      <c r="M6197" s="20" t="s">
        <v>251</v>
      </c>
      <c r="N6197" s="20" t="s">
        <v>1489</v>
      </c>
    </row>
    <row r="6198" spans="1:14" hidden="1" x14ac:dyDescent="0.25">
      <c r="A6198" s="19">
        <v>46143</v>
      </c>
      <c r="B6198" s="20" t="s">
        <v>142</v>
      </c>
      <c r="C6198" s="20">
        <v>75</v>
      </c>
      <c r="D6198" s="20" t="s">
        <v>253</v>
      </c>
      <c r="E6198" s="20" t="s">
        <v>2359</v>
      </c>
      <c r="F6198" s="20" t="s">
        <v>2531</v>
      </c>
      <c r="G6198" s="20" t="s">
        <v>82</v>
      </c>
      <c r="H6198" s="20" t="s">
        <v>149</v>
      </c>
      <c r="I6198" s="20"/>
      <c r="J6198" s="20" t="s">
        <v>207</v>
      </c>
      <c r="K6198" s="20" t="s">
        <v>255</v>
      </c>
      <c r="L6198" s="20">
        <v>5518</v>
      </c>
      <c r="M6198" s="20" t="s">
        <v>242</v>
      </c>
      <c r="N6198" s="20" t="s">
        <v>3609</v>
      </c>
    </row>
    <row r="6199" spans="1:14" hidden="1" x14ac:dyDescent="0.25">
      <c r="A6199" s="19">
        <v>46143</v>
      </c>
      <c r="B6199" s="20" t="s">
        <v>142</v>
      </c>
      <c r="C6199" s="20">
        <v>75</v>
      </c>
      <c r="D6199" s="20" t="s">
        <v>253</v>
      </c>
      <c r="E6199" s="20" t="s">
        <v>2359</v>
      </c>
      <c r="F6199" s="20" t="s">
        <v>2531</v>
      </c>
      <c r="G6199" s="20" t="s">
        <v>82</v>
      </c>
      <c r="H6199" s="20" t="s">
        <v>149</v>
      </c>
      <c r="I6199" s="20"/>
      <c r="J6199" s="20" t="s">
        <v>208</v>
      </c>
      <c r="K6199" s="20" t="s">
        <v>255</v>
      </c>
      <c r="L6199" s="20">
        <v>5754</v>
      </c>
      <c r="M6199" s="20" t="s">
        <v>242</v>
      </c>
      <c r="N6199" s="20" t="s">
        <v>3750</v>
      </c>
    </row>
    <row r="6200" spans="1:14" hidden="1" x14ac:dyDescent="0.25">
      <c r="A6200" s="19">
        <v>46143</v>
      </c>
      <c r="B6200" s="20" t="s">
        <v>142</v>
      </c>
      <c r="C6200" s="20">
        <v>75</v>
      </c>
      <c r="D6200" s="20" t="s">
        <v>253</v>
      </c>
      <c r="E6200" s="20" t="s">
        <v>2359</v>
      </c>
      <c r="F6200" s="20" t="s">
        <v>2531</v>
      </c>
      <c r="G6200" s="20" t="s">
        <v>82</v>
      </c>
      <c r="H6200" s="20" t="s">
        <v>149</v>
      </c>
      <c r="I6200" s="20"/>
      <c r="J6200" s="20" t="s">
        <v>209</v>
      </c>
      <c r="K6200" s="20" t="s">
        <v>255</v>
      </c>
      <c r="L6200" s="20">
        <v>5876</v>
      </c>
      <c r="M6200" s="20" t="s">
        <v>242</v>
      </c>
      <c r="N6200" s="20" t="s">
        <v>3897</v>
      </c>
    </row>
    <row r="6201" spans="1:14" hidden="1" x14ac:dyDescent="0.25">
      <c r="A6201" s="19">
        <v>46143</v>
      </c>
      <c r="B6201" s="20" t="s">
        <v>142</v>
      </c>
      <c r="C6201" s="20">
        <v>75</v>
      </c>
      <c r="D6201" s="20" t="s">
        <v>253</v>
      </c>
      <c r="E6201" s="20" t="s">
        <v>2359</v>
      </c>
      <c r="F6201" s="20" t="s">
        <v>2531</v>
      </c>
      <c r="G6201" s="20" t="s">
        <v>82</v>
      </c>
      <c r="H6201" s="20" t="s">
        <v>150</v>
      </c>
      <c r="I6201" s="20"/>
      <c r="J6201" s="20" t="s">
        <v>207</v>
      </c>
      <c r="K6201" s="20" t="s">
        <v>255</v>
      </c>
      <c r="L6201" s="20">
        <v>272</v>
      </c>
      <c r="M6201" s="20" t="s">
        <v>242</v>
      </c>
      <c r="N6201" s="20" t="s">
        <v>3610</v>
      </c>
    </row>
    <row r="6202" spans="1:14" hidden="1" x14ac:dyDescent="0.25">
      <c r="A6202" s="19">
        <v>46143</v>
      </c>
      <c r="B6202" s="20" t="s">
        <v>142</v>
      </c>
      <c r="C6202" s="20">
        <v>75</v>
      </c>
      <c r="D6202" s="20" t="s">
        <v>253</v>
      </c>
      <c r="E6202" s="20" t="s">
        <v>2359</v>
      </c>
      <c r="F6202" s="20" t="s">
        <v>2531</v>
      </c>
      <c r="G6202" s="20" t="s">
        <v>82</v>
      </c>
      <c r="H6202" s="20" t="s">
        <v>150</v>
      </c>
      <c r="I6202" s="20"/>
      <c r="J6202" s="20" t="s">
        <v>208</v>
      </c>
      <c r="K6202" s="20" t="s">
        <v>255</v>
      </c>
      <c r="L6202" s="20">
        <v>249</v>
      </c>
      <c r="M6202" s="20" t="s">
        <v>242</v>
      </c>
      <c r="N6202" s="20" t="s">
        <v>3751</v>
      </c>
    </row>
    <row r="6203" spans="1:14" hidden="1" x14ac:dyDescent="0.25">
      <c r="A6203" s="19">
        <v>46143</v>
      </c>
      <c r="B6203" s="20" t="s">
        <v>142</v>
      </c>
      <c r="C6203" s="20">
        <v>75</v>
      </c>
      <c r="D6203" s="20" t="s">
        <v>253</v>
      </c>
      <c r="E6203" s="20" t="s">
        <v>2359</v>
      </c>
      <c r="F6203" s="20" t="s">
        <v>2531</v>
      </c>
      <c r="G6203" s="20" t="s">
        <v>82</v>
      </c>
      <c r="H6203" s="20" t="s">
        <v>150</v>
      </c>
      <c r="I6203" s="20"/>
      <c r="J6203" s="20" t="s">
        <v>209</v>
      </c>
      <c r="K6203" s="20" t="s">
        <v>255</v>
      </c>
      <c r="L6203" s="20">
        <v>301</v>
      </c>
      <c r="M6203" s="20" t="s">
        <v>242</v>
      </c>
      <c r="N6203" s="20" t="s">
        <v>3898</v>
      </c>
    </row>
    <row r="6204" spans="1:14" hidden="1" x14ac:dyDescent="0.25">
      <c r="A6204" s="19">
        <v>46143</v>
      </c>
      <c r="B6204" s="20" t="s">
        <v>142</v>
      </c>
      <c r="C6204" s="20">
        <v>75</v>
      </c>
      <c r="D6204" s="20" t="s">
        <v>253</v>
      </c>
      <c r="E6204" s="20" t="s">
        <v>2359</v>
      </c>
      <c r="F6204" s="20" t="s">
        <v>2531</v>
      </c>
      <c r="G6204" s="20" t="s">
        <v>82</v>
      </c>
      <c r="H6204" s="20" t="s">
        <v>151</v>
      </c>
      <c r="I6204" s="20"/>
      <c r="J6204" s="20" t="s">
        <v>207</v>
      </c>
      <c r="K6204" s="20" t="s">
        <v>255</v>
      </c>
      <c r="L6204" s="20">
        <v>44</v>
      </c>
      <c r="M6204" s="20" t="s">
        <v>242</v>
      </c>
      <c r="N6204" s="20" t="s">
        <v>3611</v>
      </c>
    </row>
    <row r="6205" spans="1:14" hidden="1" x14ac:dyDescent="0.25">
      <c r="A6205" s="19">
        <v>46143</v>
      </c>
      <c r="B6205" s="20" t="s">
        <v>142</v>
      </c>
      <c r="C6205" s="20">
        <v>75</v>
      </c>
      <c r="D6205" s="20" t="s">
        <v>253</v>
      </c>
      <c r="E6205" s="20" t="s">
        <v>2359</v>
      </c>
      <c r="F6205" s="20" t="s">
        <v>2531</v>
      </c>
      <c r="G6205" s="20" t="s">
        <v>82</v>
      </c>
      <c r="H6205" s="20" t="s">
        <v>151</v>
      </c>
      <c r="I6205" s="20"/>
      <c r="J6205" s="20" t="s">
        <v>208</v>
      </c>
      <c r="K6205" s="20" t="s">
        <v>255</v>
      </c>
      <c r="L6205" s="20">
        <v>35</v>
      </c>
      <c r="M6205" s="20" t="s">
        <v>242</v>
      </c>
      <c r="N6205" s="20" t="s">
        <v>1122</v>
      </c>
    </row>
    <row r="6206" spans="1:14" hidden="1" x14ac:dyDescent="0.25">
      <c r="A6206" s="19">
        <v>46143</v>
      </c>
      <c r="B6206" s="20" t="s">
        <v>142</v>
      </c>
      <c r="C6206" s="20">
        <v>75</v>
      </c>
      <c r="D6206" s="20" t="s">
        <v>253</v>
      </c>
      <c r="E6206" s="20" t="s">
        <v>2359</v>
      </c>
      <c r="F6206" s="20" t="s">
        <v>2531</v>
      </c>
      <c r="G6206" s="20" t="s">
        <v>82</v>
      </c>
      <c r="H6206" s="20" t="s">
        <v>151</v>
      </c>
      <c r="I6206" s="20"/>
      <c r="J6206" s="20" t="s">
        <v>209</v>
      </c>
      <c r="K6206" s="20" t="s">
        <v>255</v>
      </c>
      <c r="L6206" s="20">
        <v>39</v>
      </c>
      <c r="M6206" s="20" t="s">
        <v>242</v>
      </c>
      <c r="N6206" s="20" t="s">
        <v>3899</v>
      </c>
    </row>
    <row r="6207" spans="1:14" hidden="1" x14ac:dyDescent="0.25">
      <c r="A6207" s="19">
        <v>46143</v>
      </c>
      <c r="B6207" s="20" t="s">
        <v>142</v>
      </c>
      <c r="C6207" s="20">
        <v>76</v>
      </c>
      <c r="D6207" s="20" t="s">
        <v>253</v>
      </c>
      <c r="E6207" s="20" t="s">
        <v>2359</v>
      </c>
      <c r="F6207" s="20" t="s">
        <v>929</v>
      </c>
      <c r="G6207" s="20" t="s">
        <v>82</v>
      </c>
      <c r="H6207" s="20"/>
      <c r="I6207" s="20"/>
      <c r="J6207" s="20" t="s">
        <v>207</v>
      </c>
      <c r="K6207" s="20" t="s">
        <v>255</v>
      </c>
      <c r="L6207" s="20">
        <v>937000000</v>
      </c>
      <c r="M6207" s="20" t="s">
        <v>245</v>
      </c>
      <c r="N6207" s="20" t="s">
        <v>3612</v>
      </c>
    </row>
    <row r="6208" spans="1:14" hidden="1" x14ac:dyDescent="0.25">
      <c r="A6208" s="19">
        <v>46143</v>
      </c>
      <c r="B6208" s="20" t="s">
        <v>142</v>
      </c>
      <c r="C6208" s="20">
        <v>76</v>
      </c>
      <c r="D6208" s="20" t="s">
        <v>253</v>
      </c>
      <c r="E6208" s="20" t="s">
        <v>2359</v>
      </c>
      <c r="F6208" s="20" t="s">
        <v>929</v>
      </c>
      <c r="G6208" s="20" t="s">
        <v>82</v>
      </c>
      <c r="H6208" s="20"/>
      <c r="I6208" s="20"/>
      <c r="J6208" s="20" t="s">
        <v>208</v>
      </c>
      <c r="K6208" s="20" t="s">
        <v>255</v>
      </c>
      <c r="L6208" s="20">
        <v>896000000</v>
      </c>
      <c r="M6208" s="20" t="s">
        <v>245</v>
      </c>
      <c r="N6208" s="20" t="s">
        <v>3752</v>
      </c>
    </row>
    <row r="6209" spans="1:14" hidden="1" x14ac:dyDescent="0.25">
      <c r="A6209" s="19">
        <v>46143</v>
      </c>
      <c r="B6209" s="20" t="s">
        <v>142</v>
      </c>
      <c r="C6209" s="20">
        <v>76</v>
      </c>
      <c r="D6209" s="20" t="s">
        <v>253</v>
      </c>
      <c r="E6209" s="20" t="s">
        <v>2359</v>
      </c>
      <c r="F6209" s="20" t="s">
        <v>929</v>
      </c>
      <c r="G6209" s="20" t="s">
        <v>82</v>
      </c>
      <c r="H6209" s="20"/>
      <c r="I6209" s="20"/>
      <c r="J6209" s="20" t="s">
        <v>209</v>
      </c>
      <c r="K6209" s="20" t="s">
        <v>255</v>
      </c>
      <c r="L6209" s="20">
        <v>908000000</v>
      </c>
      <c r="M6209" s="20" t="s">
        <v>245</v>
      </c>
      <c r="N6209" s="20" t="s">
        <v>3900</v>
      </c>
    </row>
    <row r="6210" spans="1:14" hidden="1" x14ac:dyDescent="0.25">
      <c r="A6210" s="19">
        <v>46143</v>
      </c>
      <c r="B6210" s="20" t="s">
        <v>142</v>
      </c>
      <c r="C6210" s="20">
        <v>76</v>
      </c>
      <c r="D6210" s="20" t="s">
        <v>247</v>
      </c>
      <c r="E6210" s="20" t="s">
        <v>2554</v>
      </c>
      <c r="F6210" s="20" t="s">
        <v>2557</v>
      </c>
      <c r="G6210" s="20" t="s">
        <v>82</v>
      </c>
      <c r="H6210" s="20" t="s">
        <v>286</v>
      </c>
      <c r="I6210" s="20"/>
      <c r="J6210" s="20" t="s">
        <v>209</v>
      </c>
      <c r="K6210" s="20" t="s">
        <v>250</v>
      </c>
      <c r="L6210" s="20">
        <v>1.3</v>
      </c>
      <c r="M6210" s="20" t="s">
        <v>251</v>
      </c>
      <c r="N6210" s="20" t="s">
        <v>1230</v>
      </c>
    </row>
    <row r="6211" spans="1:14" hidden="1" x14ac:dyDescent="0.25">
      <c r="A6211" s="19">
        <v>46143</v>
      </c>
      <c r="B6211" s="20" t="s">
        <v>142</v>
      </c>
      <c r="C6211" s="20">
        <v>77</v>
      </c>
      <c r="D6211" s="20" t="s">
        <v>253</v>
      </c>
      <c r="E6211" s="20" t="s">
        <v>2359</v>
      </c>
      <c r="F6211" s="20" t="s">
        <v>2533</v>
      </c>
      <c r="G6211" s="20" t="s">
        <v>82</v>
      </c>
      <c r="H6211" s="20" t="s">
        <v>149</v>
      </c>
      <c r="I6211" s="20"/>
      <c r="J6211" s="20" t="s">
        <v>207</v>
      </c>
      <c r="K6211" s="20" t="s">
        <v>255</v>
      </c>
      <c r="L6211" s="20">
        <v>35700000</v>
      </c>
      <c r="M6211" s="20" t="s">
        <v>149</v>
      </c>
      <c r="N6211" s="20" t="s">
        <v>3613</v>
      </c>
    </row>
    <row r="6212" spans="1:14" hidden="1" x14ac:dyDescent="0.25">
      <c r="A6212" s="19">
        <v>46143</v>
      </c>
      <c r="B6212" s="20" t="s">
        <v>142</v>
      </c>
      <c r="C6212" s="20">
        <v>77</v>
      </c>
      <c r="D6212" s="20" t="s">
        <v>253</v>
      </c>
      <c r="E6212" s="20" t="s">
        <v>2359</v>
      </c>
      <c r="F6212" s="20" t="s">
        <v>2533</v>
      </c>
      <c r="G6212" s="20" t="s">
        <v>82</v>
      </c>
      <c r="H6212" s="20" t="s">
        <v>149</v>
      </c>
      <c r="I6212" s="20"/>
      <c r="J6212" s="20" t="s">
        <v>208</v>
      </c>
      <c r="K6212" s="20" t="s">
        <v>255</v>
      </c>
      <c r="L6212" s="20">
        <v>36200000</v>
      </c>
      <c r="M6212" s="20" t="s">
        <v>149</v>
      </c>
      <c r="N6212" s="20" t="s">
        <v>3754</v>
      </c>
    </row>
    <row r="6213" spans="1:14" hidden="1" x14ac:dyDescent="0.25">
      <c r="A6213" s="19">
        <v>46143</v>
      </c>
      <c r="B6213" s="20" t="s">
        <v>142</v>
      </c>
      <c r="C6213" s="20">
        <v>77</v>
      </c>
      <c r="D6213" s="20" t="s">
        <v>253</v>
      </c>
      <c r="E6213" s="20" t="s">
        <v>2359</v>
      </c>
      <c r="F6213" s="20" t="s">
        <v>2533</v>
      </c>
      <c r="G6213" s="20" t="s">
        <v>82</v>
      </c>
      <c r="H6213" s="20" t="s">
        <v>149</v>
      </c>
      <c r="I6213" s="20"/>
      <c r="J6213" s="20" t="s">
        <v>209</v>
      </c>
      <c r="K6213" s="20" t="s">
        <v>255</v>
      </c>
      <c r="L6213" s="20">
        <v>37800000</v>
      </c>
      <c r="M6213" s="20" t="s">
        <v>149</v>
      </c>
      <c r="N6213" s="20" t="s">
        <v>3901</v>
      </c>
    </row>
    <row r="6214" spans="1:14" hidden="1" x14ac:dyDescent="0.25">
      <c r="A6214" s="19">
        <v>46143</v>
      </c>
      <c r="B6214" s="20" t="s">
        <v>142</v>
      </c>
      <c r="C6214" s="20">
        <v>77</v>
      </c>
      <c r="D6214" s="20" t="s">
        <v>253</v>
      </c>
      <c r="E6214" s="20" t="s">
        <v>2359</v>
      </c>
      <c r="F6214" s="20" t="s">
        <v>2533</v>
      </c>
      <c r="G6214" s="20" t="s">
        <v>82</v>
      </c>
      <c r="H6214" s="20" t="s">
        <v>150</v>
      </c>
      <c r="I6214" s="20"/>
      <c r="J6214" s="20" t="s">
        <v>207</v>
      </c>
      <c r="K6214" s="20" t="s">
        <v>255</v>
      </c>
      <c r="L6214" s="20">
        <v>2480000</v>
      </c>
      <c r="M6214" s="20" t="s">
        <v>150</v>
      </c>
      <c r="N6214" s="20" t="s">
        <v>3614</v>
      </c>
    </row>
    <row r="6215" spans="1:14" hidden="1" x14ac:dyDescent="0.25">
      <c r="A6215" s="19">
        <v>46143</v>
      </c>
      <c r="B6215" s="20" t="s">
        <v>142</v>
      </c>
      <c r="C6215" s="20">
        <v>77</v>
      </c>
      <c r="D6215" s="20" t="s">
        <v>253</v>
      </c>
      <c r="E6215" s="20" t="s">
        <v>2359</v>
      </c>
      <c r="F6215" s="20" t="s">
        <v>2533</v>
      </c>
      <c r="G6215" s="20" t="s">
        <v>82</v>
      </c>
      <c r="H6215" s="20" t="s">
        <v>150</v>
      </c>
      <c r="I6215" s="20"/>
      <c r="J6215" s="20" t="s">
        <v>208</v>
      </c>
      <c r="K6215" s="20" t="s">
        <v>255</v>
      </c>
      <c r="L6215" s="20">
        <v>2400000</v>
      </c>
      <c r="M6215" s="20" t="s">
        <v>150</v>
      </c>
      <c r="N6215" s="20" t="s">
        <v>922</v>
      </c>
    </row>
    <row r="6216" spans="1:14" hidden="1" x14ac:dyDescent="0.25">
      <c r="A6216" s="19">
        <v>46143</v>
      </c>
      <c r="B6216" s="20" t="s">
        <v>142</v>
      </c>
      <c r="C6216" s="20">
        <v>77</v>
      </c>
      <c r="D6216" s="20" t="s">
        <v>253</v>
      </c>
      <c r="E6216" s="20" t="s">
        <v>2359</v>
      </c>
      <c r="F6216" s="20" t="s">
        <v>2533</v>
      </c>
      <c r="G6216" s="20" t="s">
        <v>82</v>
      </c>
      <c r="H6216" s="20" t="s">
        <v>150</v>
      </c>
      <c r="I6216" s="20"/>
      <c r="J6216" s="20" t="s">
        <v>209</v>
      </c>
      <c r="K6216" s="20" t="s">
        <v>255</v>
      </c>
      <c r="L6216" s="20">
        <v>2810000</v>
      </c>
      <c r="M6216" s="20" t="s">
        <v>150</v>
      </c>
      <c r="N6216" s="20" t="s">
        <v>3041</v>
      </c>
    </row>
    <row r="6217" spans="1:14" hidden="1" x14ac:dyDescent="0.25">
      <c r="A6217" s="19">
        <v>46143</v>
      </c>
      <c r="B6217" s="20" t="s">
        <v>142</v>
      </c>
      <c r="C6217" s="20">
        <v>77</v>
      </c>
      <c r="D6217" s="20" t="s">
        <v>253</v>
      </c>
      <c r="E6217" s="20" t="s">
        <v>2359</v>
      </c>
      <c r="F6217" s="20" t="s">
        <v>2533</v>
      </c>
      <c r="G6217" s="20" t="s">
        <v>82</v>
      </c>
      <c r="H6217" s="20" t="s">
        <v>151</v>
      </c>
      <c r="I6217" s="20"/>
      <c r="J6217" s="20" t="s">
        <v>207</v>
      </c>
      <c r="K6217" s="20" t="s">
        <v>255</v>
      </c>
      <c r="L6217" s="20">
        <v>320000</v>
      </c>
      <c r="M6217" s="20" t="s">
        <v>151</v>
      </c>
      <c r="N6217" s="20" t="s">
        <v>3615</v>
      </c>
    </row>
    <row r="6218" spans="1:14" hidden="1" x14ac:dyDescent="0.25">
      <c r="A6218" s="19">
        <v>46143</v>
      </c>
      <c r="B6218" s="20" t="s">
        <v>142</v>
      </c>
      <c r="C6218" s="20">
        <v>77</v>
      </c>
      <c r="D6218" s="20" t="s">
        <v>253</v>
      </c>
      <c r="E6218" s="20" t="s">
        <v>2359</v>
      </c>
      <c r="F6218" s="20" t="s">
        <v>2533</v>
      </c>
      <c r="G6218" s="20" t="s">
        <v>82</v>
      </c>
      <c r="H6218" s="20" t="s">
        <v>151</v>
      </c>
      <c r="I6218" s="20"/>
      <c r="J6218" s="20" t="s">
        <v>208</v>
      </c>
      <c r="K6218" s="20" t="s">
        <v>255</v>
      </c>
      <c r="L6218" s="20">
        <v>230000</v>
      </c>
      <c r="M6218" s="20" t="s">
        <v>151</v>
      </c>
      <c r="N6218" s="20" t="s">
        <v>3755</v>
      </c>
    </row>
    <row r="6219" spans="1:14" hidden="1" x14ac:dyDescent="0.25">
      <c r="A6219" s="19">
        <v>46143</v>
      </c>
      <c r="B6219" s="20" t="s">
        <v>142</v>
      </c>
      <c r="C6219" s="20">
        <v>77</v>
      </c>
      <c r="D6219" s="20" t="s">
        <v>253</v>
      </c>
      <c r="E6219" s="20" t="s">
        <v>2359</v>
      </c>
      <c r="F6219" s="20" t="s">
        <v>2533</v>
      </c>
      <c r="G6219" s="20" t="s">
        <v>82</v>
      </c>
      <c r="H6219" s="20" t="s">
        <v>151</v>
      </c>
      <c r="I6219" s="20"/>
      <c r="J6219" s="20" t="s">
        <v>209</v>
      </c>
      <c r="K6219" s="20" t="s">
        <v>255</v>
      </c>
      <c r="L6219" s="20">
        <v>270000</v>
      </c>
      <c r="M6219" s="20" t="s">
        <v>151</v>
      </c>
      <c r="N6219" s="20" t="s">
        <v>3902</v>
      </c>
    </row>
    <row r="6220" spans="1:14" hidden="1" x14ac:dyDescent="0.25">
      <c r="A6220" s="19">
        <v>46143</v>
      </c>
      <c r="B6220" s="20" t="s">
        <v>156</v>
      </c>
      <c r="C6220" s="20">
        <v>79</v>
      </c>
      <c r="D6220" s="20" t="s">
        <v>238</v>
      </c>
      <c r="E6220" s="20" t="s">
        <v>2341</v>
      </c>
      <c r="F6220" s="20" t="s">
        <v>240</v>
      </c>
      <c r="G6220" s="20" t="s">
        <v>158</v>
      </c>
      <c r="H6220" s="20"/>
      <c r="I6220" s="20"/>
      <c r="J6220" s="20" t="s">
        <v>3779</v>
      </c>
      <c r="K6220" s="20" t="s">
        <v>241</v>
      </c>
      <c r="L6220" s="20">
        <v>2440000</v>
      </c>
      <c r="M6220" s="20" t="s">
        <v>242</v>
      </c>
      <c r="N6220" s="20" t="s">
        <v>2922</v>
      </c>
    </row>
    <row r="6221" spans="1:14" hidden="1" x14ac:dyDescent="0.25">
      <c r="A6221" s="19">
        <v>46143</v>
      </c>
      <c r="B6221" s="20" t="s">
        <v>156</v>
      </c>
      <c r="C6221" s="20">
        <v>79</v>
      </c>
      <c r="D6221" s="20" t="s">
        <v>238</v>
      </c>
      <c r="E6221" s="20" t="s">
        <v>2341</v>
      </c>
      <c r="F6221" s="20" t="s">
        <v>244</v>
      </c>
      <c r="G6221" s="20" t="s">
        <v>158</v>
      </c>
      <c r="H6221" s="20"/>
      <c r="I6221" s="20"/>
      <c r="J6221" s="20" t="s">
        <v>3779</v>
      </c>
      <c r="K6221" s="20" t="s">
        <v>241</v>
      </c>
      <c r="L6221" s="20">
        <v>16250000000</v>
      </c>
      <c r="M6221" s="20" t="s">
        <v>245</v>
      </c>
      <c r="N6221" s="20" t="s">
        <v>3903</v>
      </c>
    </row>
    <row r="6222" spans="1:14" hidden="1" x14ac:dyDescent="0.25">
      <c r="A6222" s="19">
        <v>46143</v>
      </c>
      <c r="B6222" s="20" t="s">
        <v>156</v>
      </c>
      <c r="C6222" s="20">
        <v>80</v>
      </c>
      <c r="D6222" s="20" t="s">
        <v>253</v>
      </c>
      <c r="E6222" s="20" t="s">
        <v>2359</v>
      </c>
      <c r="F6222" s="20" t="s">
        <v>344</v>
      </c>
      <c r="G6222" s="20" t="s">
        <v>158</v>
      </c>
      <c r="H6222" s="20"/>
      <c r="I6222" s="20"/>
      <c r="J6222" s="20" t="s">
        <v>207</v>
      </c>
      <c r="K6222" s="20" t="s">
        <v>255</v>
      </c>
      <c r="L6222" s="20">
        <v>567000</v>
      </c>
      <c r="M6222" s="20" t="s">
        <v>242</v>
      </c>
      <c r="N6222" s="20" t="s">
        <v>3617</v>
      </c>
    </row>
    <row r="6223" spans="1:14" hidden="1" x14ac:dyDescent="0.25">
      <c r="A6223" s="19">
        <v>46143</v>
      </c>
      <c r="B6223" s="20" t="s">
        <v>156</v>
      </c>
      <c r="C6223" s="20">
        <v>80</v>
      </c>
      <c r="D6223" s="20" t="s">
        <v>253</v>
      </c>
      <c r="E6223" s="20" t="s">
        <v>2359</v>
      </c>
      <c r="F6223" s="20" t="s">
        <v>344</v>
      </c>
      <c r="G6223" s="20" t="s">
        <v>158</v>
      </c>
      <c r="H6223" s="20"/>
      <c r="I6223" s="20"/>
      <c r="J6223" s="20" t="s">
        <v>208</v>
      </c>
      <c r="K6223" s="20" t="s">
        <v>255</v>
      </c>
      <c r="L6223" s="20">
        <v>438000</v>
      </c>
      <c r="M6223" s="20" t="s">
        <v>242</v>
      </c>
      <c r="N6223" s="20" t="s">
        <v>954</v>
      </c>
    </row>
    <row r="6224" spans="1:14" hidden="1" x14ac:dyDescent="0.25">
      <c r="A6224" s="19">
        <v>46143</v>
      </c>
      <c r="B6224" s="20" t="s">
        <v>156</v>
      </c>
      <c r="C6224" s="20">
        <v>80</v>
      </c>
      <c r="D6224" s="20" t="s">
        <v>253</v>
      </c>
      <c r="E6224" s="20" t="s">
        <v>2359</v>
      </c>
      <c r="F6224" s="20" t="s">
        <v>344</v>
      </c>
      <c r="G6224" s="20" t="s">
        <v>158</v>
      </c>
      <c r="H6224" s="20"/>
      <c r="I6224" s="20"/>
      <c r="J6224" s="20" t="s">
        <v>209</v>
      </c>
      <c r="K6224" s="20" t="s">
        <v>255</v>
      </c>
      <c r="L6224" s="20">
        <v>552000</v>
      </c>
      <c r="M6224" s="20" t="s">
        <v>242</v>
      </c>
      <c r="N6224" s="20" t="s">
        <v>3904</v>
      </c>
    </row>
    <row r="6225" spans="1:14" hidden="1" x14ac:dyDescent="0.25">
      <c r="A6225" s="19">
        <v>46143</v>
      </c>
      <c r="B6225" s="20" t="s">
        <v>156</v>
      </c>
      <c r="C6225" s="20">
        <v>80</v>
      </c>
      <c r="D6225" s="20" t="s">
        <v>247</v>
      </c>
      <c r="E6225" s="20" t="s">
        <v>2554</v>
      </c>
      <c r="F6225" s="20" t="s">
        <v>2716</v>
      </c>
      <c r="G6225" s="20" t="s">
        <v>158</v>
      </c>
      <c r="H6225" s="20" t="s">
        <v>286</v>
      </c>
      <c r="I6225" s="20"/>
      <c r="J6225" s="20" t="s">
        <v>209</v>
      </c>
      <c r="K6225" s="20" t="s">
        <v>250</v>
      </c>
      <c r="L6225" s="20">
        <v>26</v>
      </c>
      <c r="M6225" s="20" t="s">
        <v>251</v>
      </c>
      <c r="N6225" s="20" t="s">
        <v>3905</v>
      </c>
    </row>
    <row r="6226" spans="1:14" hidden="1" x14ac:dyDescent="0.25">
      <c r="A6226" s="19">
        <v>46143</v>
      </c>
      <c r="B6226" s="20" t="s">
        <v>156</v>
      </c>
      <c r="C6226" s="20">
        <v>81</v>
      </c>
      <c r="D6226" s="20" t="s">
        <v>253</v>
      </c>
      <c r="E6226" s="20" t="s">
        <v>2359</v>
      </c>
      <c r="F6226" s="20" t="s">
        <v>349</v>
      </c>
      <c r="G6226" s="20" t="s">
        <v>158</v>
      </c>
      <c r="H6226" s="20"/>
      <c r="I6226" s="20"/>
      <c r="J6226" s="20" t="s">
        <v>207</v>
      </c>
      <c r="K6226" s="20" t="s">
        <v>255</v>
      </c>
      <c r="L6226" s="20">
        <v>20100</v>
      </c>
      <c r="M6226" s="20" t="s">
        <v>242</v>
      </c>
      <c r="N6226" s="20" t="s">
        <v>3618</v>
      </c>
    </row>
    <row r="6227" spans="1:14" hidden="1" x14ac:dyDescent="0.25">
      <c r="A6227" s="19">
        <v>46143</v>
      </c>
      <c r="B6227" s="20" t="s">
        <v>156</v>
      </c>
      <c r="C6227" s="20">
        <v>81</v>
      </c>
      <c r="D6227" s="20" t="s">
        <v>253</v>
      </c>
      <c r="E6227" s="20" t="s">
        <v>2359</v>
      </c>
      <c r="F6227" s="20" t="s">
        <v>349</v>
      </c>
      <c r="G6227" s="20" t="s">
        <v>158</v>
      </c>
      <c r="H6227" s="20"/>
      <c r="I6227" s="20"/>
      <c r="J6227" s="20" t="s">
        <v>208</v>
      </c>
      <c r="K6227" s="20" t="s">
        <v>255</v>
      </c>
      <c r="L6227" s="20">
        <v>12400</v>
      </c>
      <c r="M6227" s="20" t="s">
        <v>242</v>
      </c>
      <c r="N6227" s="20" t="s">
        <v>3757</v>
      </c>
    </row>
    <row r="6228" spans="1:14" hidden="1" x14ac:dyDescent="0.25">
      <c r="A6228" s="19">
        <v>46143</v>
      </c>
      <c r="B6228" s="20" t="s">
        <v>156</v>
      </c>
      <c r="C6228" s="20">
        <v>81</v>
      </c>
      <c r="D6228" s="20" t="s">
        <v>253</v>
      </c>
      <c r="E6228" s="20" t="s">
        <v>2359</v>
      </c>
      <c r="F6228" s="20" t="s">
        <v>349</v>
      </c>
      <c r="G6228" s="20" t="s">
        <v>158</v>
      </c>
      <c r="H6228" s="20"/>
      <c r="I6228" s="20"/>
      <c r="J6228" s="20" t="s">
        <v>209</v>
      </c>
      <c r="K6228" s="20" t="s">
        <v>255</v>
      </c>
      <c r="L6228" s="20">
        <v>18600</v>
      </c>
      <c r="M6228" s="20" t="s">
        <v>242</v>
      </c>
      <c r="N6228" s="20" t="s">
        <v>3906</v>
      </c>
    </row>
    <row r="6229" spans="1:14" hidden="1" x14ac:dyDescent="0.25">
      <c r="A6229" s="19">
        <v>46143</v>
      </c>
      <c r="B6229" s="20" t="s">
        <v>156</v>
      </c>
      <c r="C6229" s="20">
        <v>82</v>
      </c>
      <c r="D6229" s="20" t="s">
        <v>253</v>
      </c>
      <c r="E6229" s="20" t="s">
        <v>2359</v>
      </c>
      <c r="F6229" s="20" t="s">
        <v>2546</v>
      </c>
      <c r="G6229" s="20" t="s">
        <v>158</v>
      </c>
      <c r="H6229" s="20"/>
      <c r="I6229" s="20"/>
      <c r="J6229" s="20" t="s">
        <v>207</v>
      </c>
      <c r="K6229" s="20" t="s">
        <v>255</v>
      </c>
      <c r="L6229" s="20">
        <v>3.5</v>
      </c>
      <c r="M6229" s="20" t="s">
        <v>251</v>
      </c>
      <c r="N6229" s="20" t="s">
        <v>1141</v>
      </c>
    </row>
    <row r="6230" spans="1:14" hidden="1" x14ac:dyDescent="0.25">
      <c r="A6230" s="19">
        <v>46143</v>
      </c>
      <c r="B6230" s="20" t="s">
        <v>156</v>
      </c>
      <c r="C6230" s="20">
        <v>82</v>
      </c>
      <c r="D6230" s="20" t="s">
        <v>253</v>
      </c>
      <c r="E6230" s="20" t="s">
        <v>2359</v>
      </c>
      <c r="F6230" s="20" t="s">
        <v>2546</v>
      </c>
      <c r="G6230" s="20" t="s">
        <v>158</v>
      </c>
      <c r="H6230" s="20"/>
      <c r="I6230" s="20"/>
      <c r="J6230" s="20" t="s">
        <v>208</v>
      </c>
      <c r="K6230" s="20" t="s">
        <v>255</v>
      </c>
      <c r="L6230" s="20">
        <v>2.8</v>
      </c>
      <c r="M6230" s="20" t="s">
        <v>251</v>
      </c>
      <c r="N6230" s="20" t="s">
        <v>1346</v>
      </c>
    </row>
    <row r="6231" spans="1:14" hidden="1" x14ac:dyDescent="0.25">
      <c r="A6231" s="19">
        <v>46143</v>
      </c>
      <c r="B6231" s="20" t="s">
        <v>156</v>
      </c>
      <c r="C6231" s="20">
        <v>82</v>
      </c>
      <c r="D6231" s="20" t="s">
        <v>253</v>
      </c>
      <c r="E6231" s="20" t="s">
        <v>2359</v>
      </c>
      <c r="F6231" s="20" t="s">
        <v>2546</v>
      </c>
      <c r="G6231" s="20" t="s">
        <v>158</v>
      </c>
      <c r="H6231" s="20"/>
      <c r="I6231" s="20"/>
      <c r="J6231" s="20" t="s">
        <v>209</v>
      </c>
      <c r="K6231" s="20" t="s">
        <v>255</v>
      </c>
      <c r="L6231" s="20">
        <v>3.4</v>
      </c>
      <c r="M6231" s="20" t="s">
        <v>251</v>
      </c>
      <c r="N6231" s="20" t="s">
        <v>314</v>
      </c>
    </row>
    <row r="6232" spans="1:14" hidden="1" x14ac:dyDescent="0.25">
      <c r="A6232" s="19">
        <v>46143</v>
      </c>
      <c r="B6232" s="20" t="s">
        <v>156</v>
      </c>
      <c r="C6232" s="20">
        <v>83</v>
      </c>
      <c r="D6232" s="20" t="s">
        <v>291</v>
      </c>
      <c r="E6232" s="20" t="s">
        <v>2361</v>
      </c>
      <c r="F6232" s="20" t="s">
        <v>349</v>
      </c>
      <c r="G6232" s="20" t="s">
        <v>158</v>
      </c>
      <c r="H6232" s="20" t="s">
        <v>159</v>
      </c>
      <c r="I6232" s="20"/>
      <c r="J6232" s="20" t="s">
        <v>209</v>
      </c>
      <c r="K6232" s="20" t="s">
        <v>250</v>
      </c>
      <c r="L6232" s="20">
        <v>12415</v>
      </c>
      <c r="M6232" s="20" t="s">
        <v>242</v>
      </c>
      <c r="N6232" s="20" t="s">
        <v>3907</v>
      </c>
    </row>
    <row r="6233" spans="1:14" hidden="1" x14ac:dyDescent="0.25">
      <c r="A6233" s="19">
        <v>46143</v>
      </c>
      <c r="B6233" s="20" t="s">
        <v>156</v>
      </c>
      <c r="C6233" s="20">
        <v>83</v>
      </c>
      <c r="D6233" s="20" t="s">
        <v>291</v>
      </c>
      <c r="E6233" s="20" t="s">
        <v>2361</v>
      </c>
      <c r="F6233" s="20" t="s">
        <v>349</v>
      </c>
      <c r="G6233" s="20" t="s">
        <v>158</v>
      </c>
      <c r="H6233" s="20" t="s">
        <v>160</v>
      </c>
      <c r="I6233" s="20"/>
      <c r="J6233" s="20" t="s">
        <v>209</v>
      </c>
      <c r="K6233" s="20" t="s">
        <v>250</v>
      </c>
      <c r="L6233" s="20">
        <v>6190</v>
      </c>
      <c r="M6233" s="20" t="s">
        <v>242</v>
      </c>
      <c r="N6233" s="20" t="s">
        <v>3908</v>
      </c>
    </row>
    <row r="6234" spans="1:14" hidden="1" x14ac:dyDescent="0.25">
      <c r="A6234" s="19">
        <v>46143</v>
      </c>
      <c r="B6234" s="20" t="s">
        <v>156</v>
      </c>
      <c r="C6234" s="20">
        <v>84</v>
      </c>
      <c r="D6234" s="20" t="s">
        <v>253</v>
      </c>
      <c r="E6234" s="20" t="s">
        <v>2359</v>
      </c>
      <c r="F6234" s="20" t="s">
        <v>356</v>
      </c>
      <c r="G6234" s="20" t="s">
        <v>158</v>
      </c>
      <c r="H6234" s="20"/>
      <c r="I6234" s="20"/>
      <c r="J6234" s="20" t="s">
        <v>207</v>
      </c>
      <c r="K6234" s="20" t="s">
        <v>255</v>
      </c>
      <c r="L6234" s="20">
        <v>3430000000</v>
      </c>
      <c r="M6234" s="20" t="s">
        <v>245</v>
      </c>
      <c r="N6234" s="20" t="s">
        <v>3621</v>
      </c>
    </row>
    <row r="6235" spans="1:14" hidden="1" x14ac:dyDescent="0.25">
      <c r="A6235" s="19">
        <v>46143</v>
      </c>
      <c r="B6235" s="20" t="s">
        <v>156</v>
      </c>
      <c r="C6235" s="20">
        <v>84</v>
      </c>
      <c r="D6235" s="20" t="s">
        <v>253</v>
      </c>
      <c r="E6235" s="20" t="s">
        <v>2359</v>
      </c>
      <c r="F6235" s="20" t="s">
        <v>356</v>
      </c>
      <c r="G6235" s="20" t="s">
        <v>158</v>
      </c>
      <c r="H6235" s="20"/>
      <c r="I6235" s="20"/>
      <c r="J6235" s="20" t="s">
        <v>208</v>
      </c>
      <c r="K6235" s="20" t="s">
        <v>255</v>
      </c>
      <c r="L6235" s="20">
        <v>3180000000</v>
      </c>
      <c r="M6235" s="20" t="s">
        <v>245</v>
      </c>
      <c r="N6235" s="20" t="s">
        <v>3760</v>
      </c>
    </row>
    <row r="6236" spans="1:14" hidden="1" x14ac:dyDescent="0.25">
      <c r="A6236" s="19">
        <v>46143</v>
      </c>
      <c r="B6236" s="20" t="s">
        <v>156</v>
      </c>
      <c r="C6236" s="20">
        <v>84</v>
      </c>
      <c r="D6236" s="20" t="s">
        <v>253</v>
      </c>
      <c r="E6236" s="20" t="s">
        <v>2359</v>
      </c>
      <c r="F6236" s="20" t="s">
        <v>356</v>
      </c>
      <c r="G6236" s="20" t="s">
        <v>158</v>
      </c>
      <c r="H6236" s="20"/>
      <c r="I6236" s="20"/>
      <c r="J6236" s="20" t="s">
        <v>209</v>
      </c>
      <c r="K6236" s="20" t="s">
        <v>255</v>
      </c>
      <c r="L6236" s="20">
        <v>3330000000</v>
      </c>
      <c r="M6236" s="20" t="s">
        <v>245</v>
      </c>
      <c r="N6236" s="20" t="s">
        <v>3909</v>
      </c>
    </row>
    <row r="6237" spans="1:14" hidden="1" x14ac:dyDescent="0.25">
      <c r="A6237" s="19">
        <v>46143</v>
      </c>
      <c r="B6237" s="20" t="s">
        <v>156</v>
      </c>
      <c r="C6237" s="20">
        <v>84</v>
      </c>
      <c r="D6237" s="20" t="s">
        <v>247</v>
      </c>
      <c r="E6237" s="20" t="s">
        <v>2554</v>
      </c>
      <c r="F6237" s="20" t="s">
        <v>2561</v>
      </c>
      <c r="G6237" s="20" t="s">
        <v>158</v>
      </c>
      <c r="H6237" s="20" t="s">
        <v>286</v>
      </c>
      <c r="I6237" s="20"/>
      <c r="J6237" s="20" t="s">
        <v>209</v>
      </c>
      <c r="K6237" s="20" t="s">
        <v>250</v>
      </c>
      <c r="L6237" s="20">
        <v>4.9000000000000004</v>
      </c>
      <c r="M6237" s="20" t="s">
        <v>251</v>
      </c>
      <c r="N6237" s="20" t="s">
        <v>896</v>
      </c>
    </row>
    <row r="6238" spans="1:14" hidden="1" x14ac:dyDescent="0.25">
      <c r="A6238" s="19">
        <v>46143</v>
      </c>
      <c r="B6238" s="20" t="s">
        <v>156</v>
      </c>
      <c r="C6238" s="20">
        <v>85</v>
      </c>
      <c r="D6238" s="20" t="s">
        <v>253</v>
      </c>
      <c r="E6238" s="20" t="s">
        <v>2359</v>
      </c>
      <c r="F6238" s="20" t="s">
        <v>361</v>
      </c>
      <c r="G6238" s="20" t="s">
        <v>158</v>
      </c>
      <c r="H6238" s="20"/>
      <c r="I6238" s="20"/>
      <c r="J6238" s="20" t="s">
        <v>207</v>
      </c>
      <c r="K6238" s="20" t="s">
        <v>255</v>
      </c>
      <c r="L6238" s="20">
        <v>119600000</v>
      </c>
      <c r="M6238" s="20" t="s">
        <v>245</v>
      </c>
      <c r="N6238" s="20" t="s">
        <v>3623</v>
      </c>
    </row>
    <row r="6239" spans="1:14" hidden="1" x14ac:dyDescent="0.25">
      <c r="A6239" s="19">
        <v>46143</v>
      </c>
      <c r="B6239" s="20" t="s">
        <v>156</v>
      </c>
      <c r="C6239" s="20">
        <v>85</v>
      </c>
      <c r="D6239" s="20" t="s">
        <v>253</v>
      </c>
      <c r="E6239" s="20" t="s">
        <v>2359</v>
      </c>
      <c r="F6239" s="20" t="s">
        <v>361</v>
      </c>
      <c r="G6239" s="20" t="s">
        <v>158</v>
      </c>
      <c r="H6239" s="20"/>
      <c r="I6239" s="20"/>
      <c r="J6239" s="20" t="s">
        <v>208</v>
      </c>
      <c r="K6239" s="20" t="s">
        <v>255</v>
      </c>
      <c r="L6239" s="20">
        <v>72400000</v>
      </c>
      <c r="M6239" s="20" t="s">
        <v>245</v>
      </c>
      <c r="N6239" s="20" t="s">
        <v>3761</v>
      </c>
    </row>
    <row r="6240" spans="1:14" hidden="1" x14ac:dyDescent="0.25">
      <c r="A6240" s="19">
        <v>46143</v>
      </c>
      <c r="B6240" s="20" t="s">
        <v>156</v>
      </c>
      <c r="C6240" s="20">
        <v>85</v>
      </c>
      <c r="D6240" s="20" t="s">
        <v>253</v>
      </c>
      <c r="E6240" s="20" t="s">
        <v>2359</v>
      </c>
      <c r="F6240" s="20" t="s">
        <v>361</v>
      </c>
      <c r="G6240" s="20" t="s">
        <v>158</v>
      </c>
      <c r="H6240" s="20"/>
      <c r="I6240" s="20"/>
      <c r="J6240" s="20" t="s">
        <v>209</v>
      </c>
      <c r="K6240" s="20" t="s">
        <v>255</v>
      </c>
      <c r="L6240" s="20">
        <v>103600000</v>
      </c>
      <c r="M6240" s="20" t="s">
        <v>245</v>
      </c>
      <c r="N6240" s="20" t="s">
        <v>3910</v>
      </c>
    </row>
    <row r="6241" spans="1:14" hidden="1" x14ac:dyDescent="0.25">
      <c r="A6241" s="19">
        <v>46143</v>
      </c>
      <c r="B6241" s="20" t="s">
        <v>156</v>
      </c>
      <c r="C6241" s="20">
        <v>86</v>
      </c>
      <c r="D6241" s="20" t="s">
        <v>253</v>
      </c>
      <c r="E6241" s="20" t="s">
        <v>2359</v>
      </c>
      <c r="F6241" s="20" t="s">
        <v>2548</v>
      </c>
      <c r="G6241" s="20" t="s">
        <v>158</v>
      </c>
      <c r="H6241" s="20"/>
      <c r="I6241" s="20"/>
      <c r="J6241" s="20" t="s">
        <v>207</v>
      </c>
      <c r="K6241" s="20" t="s">
        <v>255</v>
      </c>
      <c r="L6241" s="20">
        <v>3.48</v>
      </c>
      <c r="M6241" s="20" t="s">
        <v>251</v>
      </c>
      <c r="N6241" s="20" t="s">
        <v>3624</v>
      </c>
    </row>
    <row r="6242" spans="1:14" hidden="1" x14ac:dyDescent="0.25">
      <c r="A6242" s="19">
        <v>46143</v>
      </c>
      <c r="B6242" s="20" t="s">
        <v>156</v>
      </c>
      <c r="C6242" s="20">
        <v>86</v>
      </c>
      <c r="D6242" s="20" t="s">
        <v>253</v>
      </c>
      <c r="E6242" s="20" t="s">
        <v>2359</v>
      </c>
      <c r="F6242" s="20" t="s">
        <v>2548</v>
      </c>
      <c r="G6242" s="20" t="s">
        <v>158</v>
      </c>
      <c r="H6242" s="20"/>
      <c r="I6242" s="20"/>
      <c r="J6242" s="20" t="s">
        <v>208</v>
      </c>
      <c r="K6242" s="20" t="s">
        <v>255</v>
      </c>
      <c r="L6242" s="20">
        <v>2.2799999999999998</v>
      </c>
      <c r="M6242" s="20" t="s">
        <v>251</v>
      </c>
      <c r="N6242" s="20" t="s">
        <v>3762</v>
      </c>
    </row>
    <row r="6243" spans="1:14" hidden="1" x14ac:dyDescent="0.25">
      <c r="A6243" s="19">
        <v>46143</v>
      </c>
      <c r="B6243" s="20" t="s">
        <v>156</v>
      </c>
      <c r="C6243" s="20">
        <v>86</v>
      </c>
      <c r="D6243" s="20" t="s">
        <v>253</v>
      </c>
      <c r="E6243" s="20" t="s">
        <v>2359</v>
      </c>
      <c r="F6243" s="20" t="s">
        <v>2548</v>
      </c>
      <c r="G6243" s="20" t="s">
        <v>158</v>
      </c>
      <c r="H6243" s="20"/>
      <c r="I6243" s="20"/>
      <c r="J6243" s="20" t="s">
        <v>209</v>
      </c>
      <c r="K6243" s="20" t="s">
        <v>255</v>
      </c>
      <c r="L6243" s="20">
        <v>3.11</v>
      </c>
      <c r="M6243" s="20" t="s">
        <v>251</v>
      </c>
      <c r="N6243" s="20" t="s">
        <v>3911</v>
      </c>
    </row>
    <row r="6244" spans="1:14" hidden="1" x14ac:dyDescent="0.25">
      <c r="A6244" s="19">
        <v>46143</v>
      </c>
      <c r="B6244" s="20" t="s">
        <v>156</v>
      </c>
      <c r="C6244" s="20">
        <v>87</v>
      </c>
      <c r="D6244" s="20" t="s">
        <v>291</v>
      </c>
      <c r="E6244" s="20" t="s">
        <v>2361</v>
      </c>
      <c r="F6244" s="20" t="s">
        <v>361</v>
      </c>
      <c r="G6244" s="20" t="s">
        <v>158</v>
      </c>
      <c r="H6244" s="20" t="s">
        <v>159</v>
      </c>
      <c r="I6244" s="20"/>
      <c r="J6244" s="20" t="s">
        <v>209</v>
      </c>
      <c r="K6244" s="20" t="s">
        <v>250</v>
      </c>
      <c r="L6244" s="20">
        <v>66900000</v>
      </c>
      <c r="M6244" s="20" t="s">
        <v>245</v>
      </c>
      <c r="N6244" s="20" t="s">
        <v>3912</v>
      </c>
    </row>
    <row r="6245" spans="1:14" hidden="1" x14ac:dyDescent="0.25">
      <c r="A6245" s="19">
        <v>46143</v>
      </c>
      <c r="B6245" s="20" t="s">
        <v>156</v>
      </c>
      <c r="C6245" s="20">
        <v>87</v>
      </c>
      <c r="D6245" s="20" t="s">
        <v>291</v>
      </c>
      <c r="E6245" s="20" t="s">
        <v>2361</v>
      </c>
      <c r="F6245" s="20" t="s">
        <v>361</v>
      </c>
      <c r="G6245" s="20" t="s">
        <v>158</v>
      </c>
      <c r="H6245" s="20" t="s">
        <v>160</v>
      </c>
      <c r="I6245" s="20"/>
      <c r="J6245" s="20" t="s">
        <v>209</v>
      </c>
      <c r="K6245" s="20" t="s">
        <v>250</v>
      </c>
      <c r="L6245" s="20">
        <v>36700000</v>
      </c>
      <c r="M6245" s="20" t="s">
        <v>245</v>
      </c>
      <c r="N6245" s="20" t="s">
        <v>3913</v>
      </c>
    </row>
    <row r="6246" spans="1:14" hidden="1" x14ac:dyDescent="0.25">
      <c r="A6246" s="19">
        <v>46174</v>
      </c>
      <c r="B6246" s="20" t="s">
        <v>535</v>
      </c>
      <c r="C6246" s="20">
        <v>4</v>
      </c>
      <c r="D6246" s="20" t="s">
        <v>238</v>
      </c>
      <c r="E6246" s="20" t="s">
        <v>2341</v>
      </c>
      <c r="F6246" s="20" t="s">
        <v>285</v>
      </c>
      <c r="G6246" s="20" t="s">
        <v>63</v>
      </c>
      <c r="H6246" s="20"/>
      <c r="I6246" s="20"/>
      <c r="J6246" s="20" t="s">
        <v>210</v>
      </c>
      <c r="K6246" s="20" t="s">
        <v>250</v>
      </c>
      <c r="L6246" s="20">
        <v>2310000</v>
      </c>
      <c r="M6246" s="20" t="s">
        <v>242</v>
      </c>
      <c r="N6246" s="20" t="s">
        <v>2290</v>
      </c>
    </row>
    <row r="6247" spans="1:14" hidden="1" x14ac:dyDescent="0.25">
      <c r="A6247" s="19">
        <v>46174</v>
      </c>
      <c r="B6247" s="20" t="s">
        <v>535</v>
      </c>
      <c r="C6247" s="20">
        <v>4</v>
      </c>
      <c r="D6247" s="20" t="s">
        <v>238</v>
      </c>
      <c r="E6247" s="20" t="s">
        <v>2341</v>
      </c>
      <c r="F6247" s="20" t="s">
        <v>240</v>
      </c>
      <c r="G6247" s="20" t="s">
        <v>82</v>
      </c>
      <c r="H6247" s="20"/>
      <c r="I6247" s="20"/>
      <c r="J6247" s="20" t="s">
        <v>210</v>
      </c>
      <c r="K6247" s="20" t="s">
        <v>250</v>
      </c>
      <c r="L6247" s="20">
        <v>20960000</v>
      </c>
      <c r="M6247" s="20" t="s">
        <v>242</v>
      </c>
      <c r="N6247" s="20" t="s">
        <v>3914</v>
      </c>
    </row>
    <row r="6248" spans="1:14" hidden="1" x14ac:dyDescent="0.25">
      <c r="A6248" s="19">
        <v>46174</v>
      </c>
      <c r="B6248" s="20" t="s">
        <v>535</v>
      </c>
      <c r="C6248" s="20">
        <v>4</v>
      </c>
      <c r="D6248" s="20" t="s">
        <v>238</v>
      </c>
      <c r="E6248" s="20" t="s">
        <v>2341</v>
      </c>
      <c r="F6248" s="20" t="s">
        <v>244</v>
      </c>
      <c r="G6248" s="20" t="s">
        <v>82</v>
      </c>
      <c r="H6248" s="20"/>
      <c r="I6248" s="20"/>
      <c r="J6248" s="20" t="s">
        <v>210</v>
      </c>
      <c r="K6248" s="20" t="s">
        <v>250</v>
      </c>
      <c r="L6248" s="20">
        <v>2150000000</v>
      </c>
      <c r="M6248" s="20" t="s">
        <v>245</v>
      </c>
      <c r="N6248" s="20" t="s">
        <v>3915</v>
      </c>
    </row>
    <row r="6249" spans="1:14" hidden="1" x14ac:dyDescent="0.25">
      <c r="A6249" s="19">
        <v>46174</v>
      </c>
      <c r="B6249" s="20" t="s">
        <v>535</v>
      </c>
      <c r="C6249" s="20">
        <v>5</v>
      </c>
      <c r="D6249" s="20" t="s">
        <v>238</v>
      </c>
      <c r="E6249" s="20" t="s">
        <v>2341</v>
      </c>
      <c r="F6249" s="20" t="s">
        <v>285</v>
      </c>
      <c r="G6249" s="20" t="s">
        <v>63</v>
      </c>
      <c r="H6249" s="20"/>
      <c r="I6249" s="20"/>
      <c r="J6249" s="20" t="s">
        <v>210</v>
      </c>
      <c r="K6249" s="20" t="s">
        <v>250</v>
      </c>
      <c r="L6249" s="20">
        <v>3000000</v>
      </c>
      <c r="M6249" s="20" t="s">
        <v>242</v>
      </c>
      <c r="N6249" s="20" t="s">
        <v>3916</v>
      </c>
    </row>
    <row r="6250" spans="1:14" hidden="1" x14ac:dyDescent="0.25">
      <c r="A6250" s="19">
        <v>46174</v>
      </c>
      <c r="B6250" s="20" t="s">
        <v>535</v>
      </c>
      <c r="C6250" s="20">
        <v>5</v>
      </c>
      <c r="D6250" s="20" t="s">
        <v>238</v>
      </c>
      <c r="E6250" s="20" t="s">
        <v>2341</v>
      </c>
      <c r="F6250" s="20" t="s">
        <v>240</v>
      </c>
      <c r="G6250" s="20" t="s">
        <v>82</v>
      </c>
      <c r="H6250" s="20"/>
      <c r="I6250" s="20"/>
      <c r="J6250" s="20" t="s">
        <v>210</v>
      </c>
      <c r="K6250" s="20" t="s">
        <v>250</v>
      </c>
      <c r="L6250" s="20">
        <v>14790000</v>
      </c>
      <c r="M6250" s="20" t="s">
        <v>242</v>
      </c>
      <c r="N6250" s="20" t="s">
        <v>3917</v>
      </c>
    </row>
    <row r="6251" spans="1:14" hidden="1" x14ac:dyDescent="0.25">
      <c r="A6251" s="19">
        <v>46174</v>
      </c>
      <c r="B6251" s="20" t="s">
        <v>535</v>
      </c>
      <c r="C6251" s="20">
        <v>5</v>
      </c>
      <c r="D6251" s="20" t="s">
        <v>238</v>
      </c>
      <c r="E6251" s="20" t="s">
        <v>2341</v>
      </c>
      <c r="F6251" s="20" t="s">
        <v>244</v>
      </c>
      <c r="G6251" s="20" t="s">
        <v>82</v>
      </c>
      <c r="H6251" s="20"/>
      <c r="I6251" s="20"/>
      <c r="J6251" s="20" t="s">
        <v>210</v>
      </c>
      <c r="K6251" s="20" t="s">
        <v>250</v>
      </c>
      <c r="L6251" s="20">
        <v>671000000</v>
      </c>
      <c r="M6251" s="20" t="s">
        <v>245</v>
      </c>
      <c r="N6251" s="20" t="s">
        <v>3918</v>
      </c>
    </row>
    <row r="6252" spans="1:14" hidden="1" x14ac:dyDescent="0.25">
      <c r="A6252" s="19">
        <v>46174</v>
      </c>
      <c r="B6252" s="20" t="s">
        <v>535</v>
      </c>
      <c r="C6252" s="20">
        <v>6</v>
      </c>
      <c r="D6252" s="20" t="s">
        <v>238</v>
      </c>
      <c r="E6252" s="20" t="s">
        <v>2341</v>
      </c>
      <c r="F6252" s="20" t="s">
        <v>285</v>
      </c>
      <c r="G6252" s="20" t="s">
        <v>63</v>
      </c>
      <c r="H6252" s="20"/>
      <c r="I6252" s="20"/>
      <c r="J6252" s="20" t="s">
        <v>210</v>
      </c>
      <c r="K6252" s="20" t="s">
        <v>250</v>
      </c>
      <c r="L6252" s="20">
        <v>5290000</v>
      </c>
      <c r="M6252" s="20" t="s">
        <v>242</v>
      </c>
      <c r="N6252" s="20" t="s">
        <v>3919</v>
      </c>
    </row>
    <row r="6253" spans="1:14" hidden="1" x14ac:dyDescent="0.25">
      <c r="A6253" s="19">
        <v>46174</v>
      </c>
      <c r="B6253" s="20" t="s">
        <v>535</v>
      </c>
      <c r="C6253" s="20">
        <v>6</v>
      </c>
      <c r="D6253" s="20" t="s">
        <v>238</v>
      </c>
      <c r="E6253" s="20" t="s">
        <v>2341</v>
      </c>
      <c r="F6253" s="20" t="s">
        <v>378</v>
      </c>
      <c r="G6253" s="20" t="s">
        <v>379</v>
      </c>
      <c r="H6253" s="20"/>
      <c r="I6253" s="20"/>
      <c r="J6253" s="20" t="s">
        <v>210</v>
      </c>
      <c r="K6253" s="20" t="s">
        <v>250</v>
      </c>
      <c r="L6253" s="20">
        <v>727</v>
      </c>
      <c r="M6253" s="20" t="s">
        <v>242</v>
      </c>
      <c r="N6253" s="20" t="s">
        <v>3920</v>
      </c>
    </row>
    <row r="6254" spans="1:14" hidden="1" x14ac:dyDescent="0.25">
      <c r="A6254" s="19">
        <v>46174</v>
      </c>
      <c r="B6254" s="20" t="s">
        <v>535</v>
      </c>
      <c r="C6254" s="20">
        <v>6</v>
      </c>
      <c r="D6254" s="20" t="s">
        <v>238</v>
      </c>
      <c r="E6254" s="20" t="s">
        <v>2341</v>
      </c>
      <c r="F6254" s="20" t="s">
        <v>381</v>
      </c>
      <c r="G6254" s="20" t="s">
        <v>382</v>
      </c>
      <c r="H6254" s="20"/>
      <c r="I6254" s="20"/>
      <c r="J6254" s="20" t="s">
        <v>210</v>
      </c>
      <c r="K6254" s="20" t="s">
        <v>250</v>
      </c>
      <c r="L6254" s="20">
        <v>2528</v>
      </c>
      <c r="M6254" s="20" t="s">
        <v>242</v>
      </c>
      <c r="N6254" s="20" t="s">
        <v>3921</v>
      </c>
    </row>
    <row r="6255" spans="1:14" hidden="1" x14ac:dyDescent="0.25">
      <c r="A6255" s="19">
        <v>46174</v>
      </c>
      <c r="B6255" s="20" t="s">
        <v>535</v>
      </c>
      <c r="C6255" s="20">
        <v>6</v>
      </c>
      <c r="D6255" s="20" t="s">
        <v>238</v>
      </c>
      <c r="E6255" s="20" t="s">
        <v>2341</v>
      </c>
      <c r="F6255" s="20" t="s">
        <v>240</v>
      </c>
      <c r="G6255" s="20" t="s">
        <v>82</v>
      </c>
      <c r="H6255" s="20"/>
      <c r="I6255" s="20"/>
      <c r="J6255" s="20" t="s">
        <v>210</v>
      </c>
      <c r="K6255" s="20" t="s">
        <v>250</v>
      </c>
      <c r="L6255" s="20">
        <v>7060000</v>
      </c>
      <c r="M6255" s="20" t="s">
        <v>242</v>
      </c>
      <c r="N6255" s="20" t="s">
        <v>3922</v>
      </c>
    </row>
    <row r="6256" spans="1:14" hidden="1" x14ac:dyDescent="0.25">
      <c r="A6256" s="19">
        <v>46174</v>
      </c>
      <c r="B6256" s="20" t="s">
        <v>535</v>
      </c>
      <c r="C6256" s="20">
        <v>6</v>
      </c>
      <c r="D6256" s="20" t="s">
        <v>238</v>
      </c>
      <c r="E6256" s="20" t="s">
        <v>2341</v>
      </c>
      <c r="F6256" s="20" t="s">
        <v>244</v>
      </c>
      <c r="G6256" s="20" t="s">
        <v>82</v>
      </c>
      <c r="H6256" s="20"/>
      <c r="I6256" s="20"/>
      <c r="J6256" s="20" t="s">
        <v>210</v>
      </c>
      <c r="K6256" s="20" t="s">
        <v>250</v>
      </c>
      <c r="L6256" s="20">
        <v>1260000000</v>
      </c>
      <c r="M6256" s="20" t="s">
        <v>245</v>
      </c>
      <c r="N6256" s="20" t="s">
        <v>1514</v>
      </c>
    </row>
    <row r="6257" spans="1:14" hidden="1" x14ac:dyDescent="0.25">
      <c r="A6257" s="19">
        <v>46174</v>
      </c>
      <c r="B6257" s="20" t="s">
        <v>535</v>
      </c>
      <c r="C6257" s="20">
        <v>7</v>
      </c>
      <c r="D6257" s="20" t="s">
        <v>238</v>
      </c>
      <c r="E6257" s="20" t="s">
        <v>2341</v>
      </c>
      <c r="F6257" s="20" t="s">
        <v>1194</v>
      </c>
      <c r="G6257" s="20" t="s">
        <v>82</v>
      </c>
      <c r="H6257" s="20"/>
      <c r="I6257" s="20"/>
      <c r="J6257" s="20" t="s">
        <v>210</v>
      </c>
      <c r="K6257" s="20" t="s">
        <v>250</v>
      </c>
      <c r="L6257" s="20">
        <v>1070000</v>
      </c>
      <c r="M6257" s="20" t="s">
        <v>242</v>
      </c>
      <c r="N6257" s="20" t="s">
        <v>3138</v>
      </c>
    </row>
    <row r="6258" spans="1:14" hidden="1" x14ac:dyDescent="0.25">
      <c r="A6258" s="19">
        <v>46174</v>
      </c>
      <c r="B6258" s="20" t="s">
        <v>535</v>
      </c>
      <c r="C6258" s="20">
        <v>7</v>
      </c>
      <c r="D6258" s="20" t="s">
        <v>238</v>
      </c>
      <c r="E6258" s="20" t="s">
        <v>2341</v>
      </c>
      <c r="F6258" s="20" t="s">
        <v>544</v>
      </c>
      <c r="G6258" s="20" t="s">
        <v>82</v>
      </c>
      <c r="H6258" s="20"/>
      <c r="I6258" s="20"/>
      <c r="J6258" s="20" t="s">
        <v>210</v>
      </c>
      <c r="K6258" s="20" t="s">
        <v>250</v>
      </c>
      <c r="L6258" s="20">
        <v>1070000</v>
      </c>
      <c r="M6258" s="20" t="s">
        <v>242</v>
      </c>
      <c r="N6258" s="20" t="s">
        <v>3138</v>
      </c>
    </row>
    <row r="6259" spans="1:14" hidden="1" x14ac:dyDescent="0.25">
      <c r="A6259" s="19">
        <v>46174</v>
      </c>
      <c r="B6259" s="20" t="s">
        <v>535</v>
      </c>
      <c r="C6259" s="20">
        <v>7</v>
      </c>
      <c r="D6259" s="20" t="s">
        <v>238</v>
      </c>
      <c r="E6259" s="20" t="s">
        <v>2341</v>
      </c>
      <c r="F6259" s="20" t="s">
        <v>929</v>
      </c>
      <c r="G6259" s="20" t="s">
        <v>82</v>
      </c>
      <c r="H6259" s="20"/>
      <c r="I6259" s="20"/>
      <c r="J6259" s="20" t="s">
        <v>210</v>
      </c>
      <c r="K6259" s="20" t="s">
        <v>250</v>
      </c>
      <c r="L6259" s="20">
        <v>943000000</v>
      </c>
      <c r="M6259" s="20" t="s">
        <v>245</v>
      </c>
      <c r="N6259" s="20" t="s">
        <v>3923</v>
      </c>
    </row>
    <row r="6260" spans="1:14" hidden="1" x14ac:dyDescent="0.25">
      <c r="A6260" s="19">
        <v>46174</v>
      </c>
      <c r="B6260" s="20" t="s">
        <v>535</v>
      </c>
      <c r="C6260" s="20">
        <v>8</v>
      </c>
      <c r="D6260" s="20" t="s">
        <v>238</v>
      </c>
      <c r="E6260" s="20" t="s">
        <v>2341</v>
      </c>
      <c r="F6260" s="20" t="s">
        <v>548</v>
      </c>
      <c r="G6260" s="20" t="s">
        <v>158</v>
      </c>
      <c r="H6260" s="20"/>
      <c r="I6260" s="20"/>
      <c r="J6260" s="20" t="s">
        <v>210</v>
      </c>
      <c r="K6260" s="20" t="s">
        <v>250</v>
      </c>
      <c r="L6260" s="20">
        <v>510000</v>
      </c>
      <c r="M6260" s="20" t="s">
        <v>242</v>
      </c>
      <c r="N6260" s="20" t="s">
        <v>3924</v>
      </c>
    </row>
    <row r="6261" spans="1:14" hidden="1" x14ac:dyDescent="0.25">
      <c r="A6261" s="19">
        <v>46174</v>
      </c>
      <c r="B6261" s="20" t="s">
        <v>535</v>
      </c>
      <c r="C6261" s="20">
        <v>8</v>
      </c>
      <c r="D6261" s="20" t="s">
        <v>238</v>
      </c>
      <c r="E6261" s="20" t="s">
        <v>2341</v>
      </c>
      <c r="F6261" s="20" t="s">
        <v>349</v>
      </c>
      <c r="G6261" s="20" t="s">
        <v>158</v>
      </c>
      <c r="H6261" s="20"/>
      <c r="I6261" s="20"/>
      <c r="J6261" s="20" t="s">
        <v>210</v>
      </c>
      <c r="K6261" s="20" t="s">
        <v>250</v>
      </c>
      <c r="L6261" s="20">
        <v>16100</v>
      </c>
      <c r="M6261" s="20" t="s">
        <v>242</v>
      </c>
      <c r="N6261" s="20" t="s">
        <v>3925</v>
      </c>
    </row>
    <row r="6262" spans="1:14" hidden="1" x14ac:dyDescent="0.25">
      <c r="A6262" s="19">
        <v>46174</v>
      </c>
      <c r="B6262" s="20" t="s">
        <v>535</v>
      </c>
      <c r="C6262" s="20">
        <v>8</v>
      </c>
      <c r="D6262" s="20" t="s">
        <v>238</v>
      </c>
      <c r="E6262" s="20" t="s">
        <v>2341</v>
      </c>
      <c r="F6262" s="20" t="s">
        <v>551</v>
      </c>
      <c r="G6262" s="20" t="s">
        <v>158</v>
      </c>
      <c r="H6262" s="20"/>
      <c r="I6262" s="20"/>
      <c r="J6262" s="20" t="s">
        <v>210</v>
      </c>
      <c r="K6262" s="20" t="s">
        <v>250</v>
      </c>
      <c r="L6262" s="20">
        <v>3480000000</v>
      </c>
      <c r="M6262" s="20" t="s">
        <v>245</v>
      </c>
      <c r="N6262" s="20" t="s">
        <v>1833</v>
      </c>
    </row>
    <row r="6263" spans="1:14" hidden="1" x14ac:dyDescent="0.25">
      <c r="A6263" s="19">
        <v>46174</v>
      </c>
      <c r="B6263" s="20" t="s">
        <v>535</v>
      </c>
      <c r="C6263" s="20">
        <v>8</v>
      </c>
      <c r="D6263" s="20" t="s">
        <v>238</v>
      </c>
      <c r="E6263" s="20" t="s">
        <v>2341</v>
      </c>
      <c r="F6263" s="20" t="s">
        <v>361</v>
      </c>
      <c r="G6263" s="20" t="s">
        <v>158</v>
      </c>
      <c r="H6263" s="20"/>
      <c r="I6263" s="20"/>
      <c r="J6263" s="20" t="s">
        <v>210</v>
      </c>
      <c r="K6263" s="20" t="s">
        <v>250</v>
      </c>
      <c r="L6263" s="20">
        <v>98900000</v>
      </c>
      <c r="M6263" s="20" t="s">
        <v>245</v>
      </c>
      <c r="N6263" s="20" t="s">
        <v>3926</v>
      </c>
    </row>
    <row r="6264" spans="1:14" hidden="1" x14ac:dyDescent="0.25">
      <c r="A6264" s="19">
        <v>46174</v>
      </c>
      <c r="B6264" s="20" t="s">
        <v>35</v>
      </c>
      <c r="C6264" s="20">
        <v>10</v>
      </c>
      <c r="D6264" s="20" t="s">
        <v>238</v>
      </c>
      <c r="E6264" s="20" t="s">
        <v>2341</v>
      </c>
      <c r="F6264" s="20" t="s">
        <v>240</v>
      </c>
      <c r="G6264" s="20" t="s">
        <v>82</v>
      </c>
      <c r="H6264" s="20"/>
      <c r="I6264" s="20"/>
      <c r="J6264" s="20" t="s">
        <v>3927</v>
      </c>
      <c r="K6264" s="20" t="s">
        <v>241</v>
      </c>
      <c r="L6264" s="20">
        <v>115010000</v>
      </c>
      <c r="M6264" s="20" t="s">
        <v>242</v>
      </c>
      <c r="N6264" s="20" t="s">
        <v>3928</v>
      </c>
    </row>
    <row r="6265" spans="1:14" hidden="1" x14ac:dyDescent="0.25">
      <c r="A6265" s="19">
        <v>46174</v>
      </c>
      <c r="B6265" s="20" t="s">
        <v>35</v>
      </c>
      <c r="C6265" s="20">
        <v>10</v>
      </c>
      <c r="D6265" s="20" t="s">
        <v>238</v>
      </c>
      <c r="E6265" s="20" t="s">
        <v>2341</v>
      </c>
      <c r="F6265" s="20" t="s">
        <v>244</v>
      </c>
      <c r="G6265" s="20" t="s">
        <v>82</v>
      </c>
      <c r="H6265" s="20"/>
      <c r="I6265" s="20"/>
      <c r="J6265" s="20" t="s">
        <v>3927</v>
      </c>
      <c r="K6265" s="20" t="s">
        <v>241</v>
      </c>
      <c r="L6265" s="20">
        <v>11880000000</v>
      </c>
      <c r="M6265" s="20" t="s">
        <v>245</v>
      </c>
      <c r="N6265" s="20" t="s">
        <v>3929</v>
      </c>
    </row>
    <row r="6266" spans="1:14" hidden="1" x14ac:dyDescent="0.25">
      <c r="A6266" s="19">
        <v>46174</v>
      </c>
      <c r="B6266" s="20" t="s">
        <v>35</v>
      </c>
      <c r="C6266" s="20">
        <v>11</v>
      </c>
      <c r="D6266" s="20" t="s">
        <v>253</v>
      </c>
      <c r="E6266" s="20" t="s">
        <v>2359</v>
      </c>
      <c r="F6266" s="20" t="s">
        <v>285</v>
      </c>
      <c r="G6266" s="20" t="s">
        <v>63</v>
      </c>
      <c r="H6266" s="20"/>
      <c r="I6266" s="20"/>
      <c r="J6266" s="20" t="s">
        <v>208</v>
      </c>
      <c r="K6266" s="20" t="s">
        <v>255</v>
      </c>
      <c r="L6266" s="20">
        <v>2250000</v>
      </c>
      <c r="M6266" s="20" t="s">
        <v>242</v>
      </c>
      <c r="N6266" s="20" t="s">
        <v>3642</v>
      </c>
    </row>
    <row r="6267" spans="1:14" hidden="1" x14ac:dyDescent="0.25">
      <c r="A6267" s="19">
        <v>46174</v>
      </c>
      <c r="B6267" s="20" t="s">
        <v>35</v>
      </c>
      <c r="C6267" s="20">
        <v>11</v>
      </c>
      <c r="D6267" s="20" t="s">
        <v>253</v>
      </c>
      <c r="E6267" s="20" t="s">
        <v>2359</v>
      </c>
      <c r="F6267" s="20" t="s">
        <v>285</v>
      </c>
      <c r="G6267" s="20" t="s">
        <v>63</v>
      </c>
      <c r="H6267" s="20"/>
      <c r="I6267" s="20"/>
      <c r="J6267" s="20" t="s">
        <v>209</v>
      </c>
      <c r="K6267" s="20" t="s">
        <v>255</v>
      </c>
      <c r="L6267" s="20">
        <v>2280000</v>
      </c>
      <c r="M6267" s="20" t="s">
        <v>242</v>
      </c>
      <c r="N6267" s="20" t="s">
        <v>703</v>
      </c>
    </row>
    <row r="6268" spans="1:14" hidden="1" x14ac:dyDescent="0.25">
      <c r="A6268" s="19">
        <v>46174</v>
      </c>
      <c r="B6268" s="20" t="s">
        <v>35</v>
      </c>
      <c r="C6268" s="20">
        <v>11</v>
      </c>
      <c r="D6268" s="20" t="s">
        <v>253</v>
      </c>
      <c r="E6268" s="20" t="s">
        <v>2359</v>
      </c>
      <c r="F6268" s="20" t="s">
        <v>285</v>
      </c>
      <c r="G6268" s="20" t="s">
        <v>63</v>
      </c>
      <c r="H6268" s="20"/>
      <c r="I6268" s="20"/>
      <c r="J6268" s="20" t="s">
        <v>210</v>
      </c>
      <c r="K6268" s="20" t="s">
        <v>255</v>
      </c>
      <c r="L6268" s="20">
        <v>2310000</v>
      </c>
      <c r="M6268" s="20" t="s">
        <v>242</v>
      </c>
      <c r="N6268" s="20" t="s">
        <v>3930</v>
      </c>
    </row>
    <row r="6269" spans="1:14" hidden="1" x14ac:dyDescent="0.25">
      <c r="A6269" s="19">
        <v>46174</v>
      </c>
      <c r="B6269" s="20" t="s">
        <v>35</v>
      </c>
      <c r="C6269" s="20">
        <v>11</v>
      </c>
      <c r="D6269" s="20" t="s">
        <v>247</v>
      </c>
      <c r="E6269" s="20" t="s">
        <v>2554</v>
      </c>
      <c r="F6269" s="20" t="s">
        <v>2555</v>
      </c>
      <c r="G6269" s="20" t="s">
        <v>63</v>
      </c>
      <c r="H6269" s="20" t="s">
        <v>286</v>
      </c>
      <c r="I6269" s="20"/>
      <c r="J6269" s="20" t="s">
        <v>210</v>
      </c>
      <c r="K6269" s="20" t="s">
        <v>250</v>
      </c>
      <c r="L6269" s="20">
        <v>1.3</v>
      </c>
      <c r="M6269" s="20" t="s">
        <v>251</v>
      </c>
      <c r="N6269" s="20" t="s">
        <v>1230</v>
      </c>
    </row>
    <row r="6270" spans="1:14" hidden="1" x14ac:dyDescent="0.25">
      <c r="A6270" s="19">
        <v>46174</v>
      </c>
      <c r="B6270" s="20" t="s">
        <v>35</v>
      </c>
      <c r="C6270" s="20">
        <v>12</v>
      </c>
      <c r="D6270" s="20" t="s">
        <v>291</v>
      </c>
      <c r="E6270" s="20" t="s">
        <v>2361</v>
      </c>
      <c r="F6270" s="20" t="s">
        <v>2362</v>
      </c>
      <c r="G6270" s="20" t="s">
        <v>63</v>
      </c>
      <c r="H6270" s="20" t="s">
        <v>64</v>
      </c>
      <c r="I6270" s="20"/>
      <c r="J6270" s="20" t="s">
        <v>210</v>
      </c>
      <c r="K6270" s="20" t="s">
        <v>250</v>
      </c>
      <c r="L6270" s="20">
        <v>2220000</v>
      </c>
      <c r="M6270" s="20" t="s">
        <v>242</v>
      </c>
      <c r="N6270" s="20" t="s">
        <v>1990</v>
      </c>
    </row>
    <row r="6271" spans="1:14" hidden="1" x14ac:dyDescent="0.25">
      <c r="A6271" s="19">
        <v>46174</v>
      </c>
      <c r="B6271" s="20" t="s">
        <v>35</v>
      </c>
      <c r="C6271" s="20">
        <v>12</v>
      </c>
      <c r="D6271" s="20" t="s">
        <v>291</v>
      </c>
      <c r="E6271" s="20" t="s">
        <v>2361</v>
      </c>
      <c r="F6271" s="20" t="s">
        <v>2362</v>
      </c>
      <c r="G6271" s="20" t="s">
        <v>63</v>
      </c>
      <c r="H6271" s="20" t="s">
        <v>65</v>
      </c>
      <c r="I6271" s="20"/>
      <c r="J6271" s="20" t="s">
        <v>210</v>
      </c>
      <c r="K6271" s="20" t="s">
        <v>250</v>
      </c>
      <c r="L6271" s="20">
        <v>94500</v>
      </c>
      <c r="M6271" s="20" t="s">
        <v>242</v>
      </c>
      <c r="N6271" s="20" t="s">
        <v>3931</v>
      </c>
    </row>
    <row r="6272" spans="1:14" hidden="1" x14ac:dyDescent="0.25">
      <c r="A6272" s="19">
        <v>46174</v>
      </c>
      <c r="B6272" s="20" t="s">
        <v>35</v>
      </c>
      <c r="C6272" s="20">
        <v>13</v>
      </c>
      <c r="D6272" s="20" t="s">
        <v>291</v>
      </c>
      <c r="E6272" s="20" t="s">
        <v>2361</v>
      </c>
      <c r="F6272" s="20" t="s">
        <v>2362</v>
      </c>
      <c r="G6272" s="20" t="s">
        <v>63</v>
      </c>
      <c r="H6272" s="20" t="s">
        <v>2364</v>
      </c>
      <c r="I6272" s="20"/>
      <c r="J6272" s="20" t="s">
        <v>210</v>
      </c>
      <c r="K6272" s="20" t="s">
        <v>250</v>
      </c>
      <c r="L6272" s="20">
        <v>1400000</v>
      </c>
      <c r="M6272" s="20" t="s">
        <v>242</v>
      </c>
      <c r="N6272" s="20" t="s">
        <v>3932</v>
      </c>
    </row>
    <row r="6273" spans="1:14" hidden="1" x14ac:dyDescent="0.25">
      <c r="A6273" s="19">
        <v>46174</v>
      </c>
      <c r="B6273" s="20" t="s">
        <v>35</v>
      </c>
      <c r="C6273" s="20">
        <v>13</v>
      </c>
      <c r="D6273" s="20" t="s">
        <v>291</v>
      </c>
      <c r="E6273" s="20" t="s">
        <v>2361</v>
      </c>
      <c r="F6273" s="20" t="s">
        <v>2362</v>
      </c>
      <c r="G6273" s="20" t="s">
        <v>63</v>
      </c>
      <c r="H6273" s="20" t="s">
        <v>2366</v>
      </c>
      <c r="I6273" s="20"/>
      <c r="J6273" s="20" t="s">
        <v>210</v>
      </c>
      <c r="K6273" s="20" t="s">
        <v>250</v>
      </c>
      <c r="L6273" s="20">
        <v>840000</v>
      </c>
      <c r="M6273" s="20" t="s">
        <v>242</v>
      </c>
      <c r="N6273" s="20" t="s">
        <v>3933</v>
      </c>
    </row>
    <row r="6274" spans="1:14" x14ac:dyDescent="0.25">
      <c r="A6274" s="19">
        <v>46174</v>
      </c>
      <c r="B6274" s="20" t="s">
        <v>35</v>
      </c>
      <c r="C6274" s="20">
        <v>14</v>
      </c>
      <c r="D6274" s="20" t="s">
        <v>291</v>
      </c>
      <c r="E6274" s="20" t="s">
        <v>2361</v>
      </c>
      <c r="F6274" s="20" t="s">
        <v>285</v>
      </c>
      <c r="G6274" s="20" t="s">
        <v>63</v>
      </c>
      <c r="H6274" s="20" t="s">
        <v>77</v>
      </c>
      <c r="I6274" s="20"/>
      <c r="J6274" s="20" t="s">
        <v>210</v>
      </c>
      <c r="K6274" s="20" t="s">
        <v>250</v>
      </c>
      <c r="L6274" s="20">
        <v>11000</v>
      </c>
      <c r="M6274" s="20" t="s">
        <v>242</v>
      </c>
      <c r="N6274" s="20" t="s">
        <v>3645</v>
      </c>
    </row>
    <row r="6275" spans="1:14" x14ac:dyDescent="0.25">
      <c r="A6275" s="19">
        <v>46174</v>
      </c>
      <c r="B6275" s="20" t="s">
        <v>35</v>
      </c>
      <c r="C6275" s="20">
        <v>14</v>
      </c>
      <c r="D6275" s="20" t="s">
        <v>291</v>
      </c>
      <c r="E6275" s="20" t="s">
        <v>2361</v>
      </c>
      <c r="F6275" s="20" t="s">
        <v>285</v>
      </c>
      <c r="G6275" s="20" t="s">
        <v>63</v>
      </c>
      <c r="H6275" s="20" t="s">
        <v>70</v>
      </c>
      <c r="I6275" s="20"/>
      <c r="J6275" s="20" t="s">
        <v>210</v>
      </c>
      <c r="K6275" s="20" t="s">
        <v>250</v>
      </c>
      <c r="L6275" s="20">
        <v>817000</v>
      </c>
      <c r="M6275" s="20" t="s">
        <v>242</v>
      </c>
      <c r="N6275" s="20" t="s">
        <v>3934</v>
      </c>
    </row>
    <row r="6276" spans="1:14" x14ac:dyDescent="0.25">
      <c r="A6276" s="19">
        <v>46174</v>
      </c>
      <c r="B6276" s="20" t="s">
        <v>35</v>
      </c>
      <c r="C6276" s="20">
        <v>14</v>
      </c>
      <c r="D6276" s="20" t="s">
        <v>291</v>
      </c>
      <c r="E6276" s="20" t="s">
        <v>2361</v>
      </c>
      <c r="F6276" s="20" t="s">
        <v>285</v>
      </c>
      <c r="G6276" s="20" t="s">
        <v>63</v>
      </c>
      <c r="H6276" s="20" t="s">
        <v>71</v>
      </c>
      <c r="I6276" s="20"/>
      <c r="J6276" s="20" t="s">
        <v>210</v>
      </c>
      <c r="K6276" s="20" t="s">
        <v>250</v>
      </c>
      <c r="L6276" s="20">
        <v>589000</v>
      </c>
      <c r="M6276" s="20" t="s">
        <v>242</v>
      </c>
      <c r="N6276" s="20" t="s">
        <v>3935</v>
      </c>
    </row>
    <row r="6277" spans="1:14" x14ac:dyDescent="0.25">
      <c r="A6277" s="19">
        <v>46174</v>
      </c>
      <c r="B6277" s="20" t="s">
        <v>35</v>
      </c>
      <c r="C6277" s="20">
        <v>14</v>
      </c>
      <c r="D6277" s="20" t="s">
        <v>291</v>
      </c>
      <c r="E6277" s="20" t="s">
        <v>2361</v>
      </c>
      <c r="F6277" s="20" t="s">
        <v>285</v>
      </c>
      <c r="G6277" s="20" t="s">
        <v>63</v>
      </c>
      <c r="H6277" s="20" t="s">
        <v>72</v>
      </c>
      <c r="I6277" s="20"/>
      <c r="J6277" s="20" t="s">
        <v>210</v>
      </c>
      <c r="K6277" s="20" t="s">
        <v>250</v>
      </c>
      <c r="L6277" s="20">
        <v>415000</v>
      </c>
      <c r="M6277" s="20" t="s">
        <v>242</v>
      </c>
      <c r="N6277" s="20" t="s">
        <v>3936</v>
      </c>
    </row>
    <row r="6278" spans="1:14" x14ac:dyDescent="0.25">
      <c r="A6278" s="19">
        <v>46174</v>
      </c>
      <c r="B6278" s="20" t="s">
        <v>35</v>
      </c>
      <c r="C6278" s="20">
        <v>14</v>
      </c>
      <c r="D6278" s="20" t="s">
        <v>291</v>
      </c>
      <c r="E6278" s="20" t="s">
        <v>2361</v>
      </c>
      <c r="F6278" s="20" t="s">
        <v>285</v>
      </c>
      <c r="G6278" s="20" t="s">
        <v>63</v>
      </c>
      <c r="H6278" s="20" t="s">
        <v>73</v>
      </c>
      <c r="I6278" s="20"/>
      <c r="J6278" s="20" t="s">
        <v>210</v>
      </c>
      <c r="K6278" s="20" t="s">
        <v>250</v>
      </c>
      <c r="L6278" s="20">
        <v>258000</v>
      </c>
      <c r="M6278" s="20" t="s">
        <v>242</v>
      </c>
      <c r="N6278" s="20" t="s">
        <v>3937</v>
      </c>
    </row>
    <row r="6279" spans="1:14" x14ac:dyDescent="0.25">
      <c r="A6279" s="19">
        <v>46174</v>
      </c>
      <c r="B6279" s="20" t="s">
        <v>35</v>
      </c>
      <c r="C6279" s="20">
        <v>14</v>
      </c>
      <c r="D6279" s="20" t="s">
        <v>291</v>
      </c>
      <c r="E6279" s="20" t="s">
        <v>2361</v>
      </c>
      <c r="F6279" s="20" t="s">
        <v>285</v>
      </c>
      <c r="G6279" s="20" t="s">
        <v>63</v>
      </c>
      <c r="H6279" s="20" t="s">
        <v>74</v>
      </c>
      <c r="I6279" s="20"/>
      <c r="J6279" s="20" t="s">
        <v>210</v>
      </c>
      <c r="K6279" s="20" t="s">
        <v>250</v>
      </c>
      <c r="L6279" s="20">
        <v>123000</v>
      </c>
      <c r="M6279" s="20" t="s">
        <v>242</v>
      </c>
      <c r="N6279" s="20" t="s">
        <v>2613</v>
      </c>
    </row>
    <row r="6280" spans="1:14" x14ac:dyDescent="0.25">
      <c r="A6280" s="19">
        <v>46174</v>
      </c>
      <c r="B6280" s="20" t="s">
        <v>35</v>
      </c>
      <c r="C6280" s="20">
        <v>14</v>
      </c>
      <c r="D6280" s="20" t="s">
        <v>291</v>
      </c>
      <c r="E6280" s="20" t="s">
        <v>2361</v>
      </c>
      <c r="F6280" s="20" t="s">
        <v>285</v>
      </c>
      <c r="G6280" s="20" t="s">
        <v>63</v>
      </c>
      <c r="H6280" s="20" t="s">
        <v>75</v>
      </c>
      <c r="I6280" s="20"/>
      <c r="J6280" s="20" t="s">
        <v>210</v>
      </c>
      <c r="K6280" s="20" t="s">
        <v>250</v>
      </c>
      <c r="L6280" s="20">
        <v>34000</v>
      </c>
      <c r="M6280" s="20" t="s">
        <v>242</v>
      </c>
      <c r="N6280" s="20" t="s">
        <v>1508</v>
      </c>
    </row>
    <row r="6281" spans="1:14" x14ac:dyDescent="0.25">
      <c r="A6281" s="19">
        <v>46174</v>
      </c>
      <c r="B6281" s="20" t="s">
        <v>35</v>
      </c>
      <c r="C6281" s="20">
        <v>14</v>
      </c>
      <c r="D6281" s="20" t="s">
        <v>291</v>
      </c>
      <c r="E6281" s="20" t="s">
        <v>2361</v>
      </c>
      <c r="F6281" s="20" t="s">
        <v>285</v>
      </c>
      <c r="G6281" s="20" t="s">
        <v>63</v>
      </c>
      <c r="H6281" s="20" t="s">
        <v>76</v>
      </c>
      <c r="I6281" s="20"/>
      <c r="J6281" s="20" t="s">
        <v>210</v>
      </c>
      <c r="K6281" s="20" t="s">
        <v>250</v>
      </c>
      <c r="L6281" s="20">
        <v>8000</v>
      </c>
      <c r="M6281" s="20" t="s">
        <v>242</v>
      </c>
      <c r="N6281" s="20" t="s">
        <v>3938</v>
      </c>
    </row>
    <row r="6282" spans="1:14" hidden="1" x14ac:dyDescent="0.25">
      <c r="A6282" s="19">
        <v>46174</v>
      </c>
      <c r="B6282" s="20" t="s">
        <v>35</v>
      </c>
      <c r="C6282" s="20">
        <v>15</v>
      </c>
      <c r="D6282" s="20" t="s">
        <v>291</v>
      </c>
      <c r="E6282" s="20" t="s">
        <v>2361</v>
      </c>
      <c r="F6282" s="20" t="s">
        <v>2362</v>
      </c>
      <c r="G6282" s="20" t="s">
        <v>63</v>
      </c>
      <c r="H6282" s="20" t="s">
        <v>79</v>
      </c>
      <c r="I6282" s="20"/>
      <c r="J6282" s="20" t="s">
        <v>210</v>
      </c>
      <c r="K6282" s="20" t="s">
        <v>250</v>
      </c>
      <c r="L6282" s="20">
        <v>2260000</v>
      </c>
      <c r="M6282" s="20" t="s">
        <v>242</v>
      </c>
      <c r="N6282" s="20" t="s">
        <v>1579</v>
      </c>
    </row>
    <row r="6283" spans="1:14" hidden="1" x14ac:dyDescent="0.25">
      <c r="A6283" s="19">
        <v>46174</v>
      </c>
      <c r="B6283" s="20" t="s">
        <v>35</v>
      </c>
      <c r="C6283" s="20">
        <v>15</v>
      </c>
      <c r="D6283" s="20" t="s">
        <v>291</v>
      </c>
      <c r="E6283" s="20" t="s">
        <v>2361</v>
      </c>
      <c r="F6283" s="20" t="s">
        <v>2362</v>
      </c>
      <c r="G6283" s="20" t="s">
        <v>63</v>
      </c>
      <c r="H6283" s="20" t="s">
        <v>80</v>
      </c>
      <c r="I6283" s="20"/>
      <c r="J6283" s="20" t="s">
        <v>210</v>
      </c>
      <c r="K6283" s="20" t="s">
        <v>250</v>
      </c>
      <c r="L6283" s="20">
        <v>56050</v>
      </c>
      <c r="M6283" s="20" t="s">
        <v>242</v>
      </c>
      <c r="N6283" s="20" t="s">
        <v>3939</v>
      </c>
    </row>
    <row r="6284" spans="1:14" hidden="1" x14ac:dyDescent="0.25">
      <c r="A6284" s="19">
        <v>46174</v>
      </c>
      <c r="B6284" s="20" t="s">
        <v>35</v>
      </c>
      <c r="C6284" s="20">
        <v>16</v>
      </c>
      <c r="D6284" s="20" t="s">
        <v>253</v>
      </c>
      <c r="E6284" s="20" t="s">
        <v>2359</v>
      </c>
      <c r="F6284" s="20" t="s">
        <v>240</v>
      </c>
      <c r="G6284" s="20" t="s">
        <v>82</v>
      </c>
      <c r="H6284" s="20"/>
      <c r="I6284" s="20"/>
      <c r="J6284" s="20" t="s">
        <v>208</v>
      </c>
      <c r="K6284" s="20" t="s">
        <v>255</v>
      </c>
      <c r="L6284" s="20">
        <v>19330000</v>
      </c>
      <c r="M6284" s="20" t="s">
        <v>242</v>
      </c>
      <c r="N6284" s="20" t="s">
        <v>3652</v>
      </c>
    </row>
    <row r="6285" spans="1:14" hidden="1" x14ac:dyDescent="0.25">
      <c r="A6285" s="19">
        <v>46174</v>
      </c>
      <c r="B6285" s="20" t="s">
        <v>35</v>
      </c>
      <c r="C6285" s="20">
        <v>16</v>
      </c>
      <c r="D6285" s="20" t="s">
        <v>253</v>
      </c>
      <c r="E6285" s="20" t="s">
        <v>2359</v>
      </c>
      <c r="F6285" s="20" t="s">
        <v>240</v>
      </c>
      <c r="G6285" s="20" t="s">
        <v>82</v>
      </c>
      <c r="H6285" s="20"/>
      <c r="I6285" s="20"/>
      <c r="J6285" s="20" t="s">
        <v>209</v>
      </c>
      <c r="K6285" s="20" t="s">
        <v>255</v>
      </c>
      <c r="L6285" s="20">
        <v>21430000</v>
      </c>
      <c r="M6285" s="20" t="s">
        <v>242</v>
      </c>
      <c r="N6285" s="20" t="s">
        <v>3791</v>
      </c>
    </row>
    <row r="6286" spans="1:14" hidden="1" x14ac:dyDescent="0.25">
      <c r="A6286" s="19">
        <v>46174</v>
      </c>
      <c r="B6286" s="20" t="s">
        <v>35</v>
      </c>
      <c r="C6286" s="20">
        <v>16</v>
      </c>
      <c r="D6286" s="20" t="s">
        <v>253</v>
      </c>
      <c r="E6286" s="20" t="s">
        <v>2359</v>
      </c>
      <c r="F6286" s="20" t="s">
        <v>240</v>
      </c>
      <c r="G6286" s="20" t="s">
        <v>82</v>
      </c>
      <c r="H6286" s="20"/>
      <c r="I6286" s="20"/>
      <c r="J6286" s="20" t="s">
        <v>210</v>
      </c>
      <c r="K6286" s="20" t="s">
        <v>255</v>
      </c>
      <c r="L6286" s="20">
        <v>20960000</v>
      </c>
      <c r="M6286" s="20" t="s">
        <v>242</v>
      </c>
      <c r="N6286" s="20" t="s">
        <v>3940</v>
      </c>
    </row>
    <row r="6287" spans="1:14" hidden="1" x14ac:dyDescent="0.25">
      <c r="A6287" s="19">
        <v>46174</v>
      </c>
      <c r="B6287" s="20" t="s">
        <v>35</v>
      </c>
      <c r="C6287" s="20">
        <v>16</v>
      </c>
      <c r="D6287" s="20" t="s">
        <v>247</v>
      </c>
      <c r="E6287" s="20" t="s">
        <v>2554</v>
      </c>
      <c r="F6287" s="20" t="s">
        <v>2559</v>
      </c>
      <c r="G6287" s="20" t="s">
        <v>82</v>
      </c>
      <c r="H6287" s="20" t="s">
        <v>249</v>
      </c>
      <c r="I6287" s="20"/>
      <c r="J6287" s="20" t="s">
        <v>210</v>
      </c>
      <c r="K6287" s="20" t="s">
        <v>250</v>
      </c>
      <c r="L6287" s="20">
        <v>2.2000000000000002</v>
      </c>
      <c r="M6287" s="20" t="s">
        <v>251</v>
      </c>
      <c r="N6287" s="20" t="s">
        <v>769</v>
      </c>
    </row>
    <row r="6288" spans="1:14" hidden="1" x14ac:dyDescent="0.25">
      <c r="A6288" s="19">
        <v>46174</v>
      </c>
      <c r="B6288" s="20" t="s">
        <v>35</v>
      </c>
      <c r="C6288" s="20">
        <v>17</v>
      </c>
      <c r="D6288" s="20" t="s">
        <v>291</v>
      </c>
      <c r="E6288" s="20" t="s">
        <v>2361</v>
      </c>
      <c r="F6288" s="20" t="s">
        <v>240</v>
      </c>
      <c r="G6288" s="20" t="s">
        <v>82</v>
      </c>
      <c r="H6288" s="20" t="s">
        <v>83</v>
      </c>
      <c r="I6288" s="20"/>
      <c r="J6288" s="20" t="s">
        <v>210</v>
      </c>
      <c r="K6288" s="20" t="s">
        <v>250</v>
      </c>
      <c r="L6288" s="20">
        <v>16720000</v>
      </c>
      <c r="M6288" s="20" t="s">
        <v>242</v>
      </c>
      <c r="N6288" s="20" t="s">
        <v>1195</v>
      </c>
    </row>
    <row r="6289" spans="1:14" hidden="1" x14ac:dyDescent="0.25">
      <c r="A6289" s="19">
        <v>46174</v>
      </c>
      <c r="B6289" s="20" t="s">
        <v>35</v>
      </c>
      <c r="C6289" s="20">
        <v>17</v>
      </c>
      <c r="D6289" s="20" t="s">
        <v>291</v>
      </c>
      <c r="E6289" s="20" t="s">
        <v>2361</v>
      </c>
      <c r="F6289" s="20" t="s">
        <v>240</v>
      </c>
      <c r="G6289" s="20" t="s">
        <v>82</v>
      </c>
      <c r="H6289" s="20" t="s">
        <v>84</v>
      </c>
      <c r="I6289" s="20"/>
      <c r="J6289" s="20" t="s">
        <v>210</v>
      </c>
      <c r="K6289" s="20" t="s">
        <v>250</v>
      </c>
      <c r="L6289" s="20">
        <v>4240000</v>
      </c>
      <c r="M6289" s="20" t="s">
        <v>242</v>
      </c>
      <c r="N6289" s="20" t="s">
        <v>3941</v>
      </c>
    </row>
    <row r="6290" spans="1:14" hidden="1" x14ac:dyDescent="0.25">
      <c r="A6290" s="19">
        <v>46174</v>
      </c>
      <c r="B6290" s="20" t="s">
        <v>35</v>
      </c>
      <c r="C6290" s="20">
        <v>18</v>
      </c>
      <c r="D6290" s="20" t="s">
        <v>291</v>
      </c>
      <c r="E6290" s="20" t="s">
        <v>2361</v>
      </c>
      <c r="F6290" s="20" t="s">
        <v>240</v>
      </c>
      <c r="G6290" s="20" t="s">
        <v>82</v>
      </c>
      <c r="H6290" s="20" t="s">
        <v>83</v>
      </c>
      <c r="I6290" s="20" t="s">
        <v>315</v>
      </c>
      <c r="J6290" s="20" t="s">
        <v>210</v>
      </c>
      <c r="K6290" s="20" t="s">
        <v>250</v>
      </c>
      <c r="L6290" s="20"/>
      <c r="M6290" s="20" t="s">
        <v>251</v>
      </c>
      <c r="N6290" s="20" t="s">
        <v>3655</v>
      </c>
    </row>
    <row r="6291" spans="1:14" hidden="1" x14ac:dyDescent="0.25">
      <c r="A6291" s="19">
        <v>46174</v>
      </c>
      <c r="B6291" s="20" t="s">
        <v>35</v>
      </c>
      <c r="C6291" s="20">
        <v>18</v>
      </c>
      <c r="D6291" s="20" t="s">
        <v>291</v>
      </c>
      <c r="E6291" s="20" t="s">
        <v>2361</v>
      </c>
      <c r="F6291" s="20" t="s">
        <v>240</v>
      </c>
      <c r="G6291" s="20" t="s">
        <v>82</v>
      </c>
      <c r="H6291" s="20" t="s">
        <v>83</v>
      </c>
      <c r="I6291" s="20" t="s">
        <v>317</v>
      </c>
      <c r="J6291" s="20" t="s">
        <v>210</v>
      </c>
      <c r="K6291" s="20" t="s">
        <v>250</v>
      </c>
      <c r="L6291" s="20"/>
      <c r="M6291" s="20" t="s">
        <v>251</v>
      </c>
      <c r="N6291" s="20" t="s">
        <v>3942</v>
      </c>
    </row>
    <row r="6292" spans="1:14" hidden="1" x14ac:dyDescent="0.25">
      <c r="A6292" s="19">
        <v>46174</v>
      </c>
      <c r="B6292" s="20" t="s">
        <v>35</v>
      </c>
      <c r="C6292" s="20">
        <v>18</v>
      </c>
      <c r="D6292" s="20" t="s">
        <v>291</v>
      </c>
      <c r="E6292" s="20" t="s">
        <v>2361</v>
      </c>
      <c r="F6292" s="20" t="s">
        <v>240</v>
      </c>
      <c r="G6292" s="20" t="s">
        <v>82</v>
      </c>
      <c r="H6292" s="20" t="s">
        <v>83</v>
      </c>
      <c r="I6292" s="20" t="s">
        <v>313</v>
      </c>
      <c r="J6292" s="20" t="s">
        <v>210</v>
      </c>
      <c r="K6292" s="20" t="s">
        <v>250</v>
      </c>
      <c r="L6292" s="20"/>
      <c r="M6292" s="20" t="s">
        <v>251</v>
      </c>
      <c r="N6292" s="20" t="s">
        <v>1498</v>
      </c>
    </row>
    <row r="6293" spans="1:14" hidden="1" x14ac:dyDescent="0.25">
      <c r="A6293" s="19">
        <v>46174</v>
      </c>
      <c r="B6293" s="20" t="s">
        <v>35</v>
      </c>
      <c r="C6293" s="20">
        <v>18</v>
      </c>
      <c r="D6293" s="20" t="s">
        <v>291</v>
      </c>
      <c r="E6293" s="20" t="s">
        <v>2361</v>
      </c>
      <c r="F6293" s="20" t="s">
        <v>240</v>
      </c>
      <c r="G6293" s="20" t="s">
        <v>82</v>
      </c>
      <c r="H6293" s="20" t="s">
        <v>84</v>
      </c>
      <c r="I6293" s="20" t="s">
        <v>319</v>
      </c>
      <c r="J6293" s="20" t="s">
        <v>210</v>
      </c>
      <c r="K6293" s="20" t="s">
        <v>250</v>
      </c>
      <c r="L6293" s="20"/>
      <c r="M6293" s="20" t="s">
        <v>251</v>
      </c>
      <c r="N6293" s="20" t="s">
        <v>1685</v>
      </c>
    </row>
    <row r="6294" spans="1:14" hidden="1" x14ac:dyDescent="0.25">
      <c r="A6294" s="19">
        <v>46174</v>
      </c>
      <c r="B6294" s="20" t="s">
        <v>35</v>
      </c>
      <c r="C6294" s="20">
        <v>18</v>
      </c>
      <c r="D6294" s="20" t="s">
        <v>291</v>
      </c>
      <c r="E6294" s="20" t="s">
        <v>2361</v>
      </c>
      <c r="F6294" s="20" t="s">
        <v>240</v>
      </c>
      <c r="G6294" s="20" t="s">
        <v>82</v>
      </c>
      <c r="H6294" s="20" t="s">
        <v>84</v>
      </c>
      <c r="I6294" s="20" t="s">
        <v>321</v>
      </c>
      <c r="J6294" s="20" t="s">
        <v>210</v>
      </c>
      <c r="K6294" s="20" t="s">
        <v>250</v>
      </c>
      <c r="L6294" s="20"/>
      <c r="M6294" s="20" t="s">
        <v>251</v>
      </c>
      <c r="N6294" s="20" t="s">
        <v>810</v>
      </c>
    </row>
    <row r="6295" spans="1:14" hidden="1" x14ac:dyDescent="0.25">
      <c r="A6295" s="19">
        <v>46174</v>
      </c>
      <c r="B6295" s="20" t="s">
        <v>35</v>
      </c>
      <c r="C6295" s="20">
        <v>19</v>
      </c>
      <c r="D6295" s="20" t="s">
        <v>253</v>
      </c>
      <c r="E6295" s="20" t="s">
        <v>2359</v>
      </c>
      <c r="F6295" s="20" t="s">
        <v>244</v>
      </c>
      <c r="G6295" s="20" t="s">
        <v>82</v>
      </c>
      <c r="H6295" s="20"/>
      <c r="I6295" s="20"/>
      <c r="J6295" s="20" t="s">
        <v>208</v>
      </c>
      <c r="K6295" s="20" t="s">
        <v>255</v>
      </c>
      <c r="L6295" s="20">
        <v>1890000000</v>
      </c>
      <c r="M6295" s="20" t="s">
        <v>245</v>
      </c>
      <c r="N6295" s="20" t="s">
        <v>3657</v>
      </c>
    </row>
    <row r="6296" spans="1:14" hidden="1" x14ac:dyDescent="0.25">
      <c r="A6296" s="19">
        <v>46174</v>
      </c>
      <c r="B6296" s="20" t="s">
        <v>35</v>
      </c>
      <c r="C6296" s="20">
        <v>19</v>
      </c>
      <c r="D6296" s="20" t="s">
        <v>253</v>
      </c>
      <c r="E6296" s="20" t="s">
        <v>2359</v>
      </c>
      <c r="F6296" s="20" t="s">
        <v>244</v>
      </c>
      <c r="G6296" s="20" t="s">
        <v>82</v>
      </c>
      <c r="H6296" s="20"/>
      <c r="I6296" s="20"/>
      <c r="J6296" s="20" t="s">
        <v>209</v>
      </c>
      <c r="K6296" s="20" t="s">
        <v>255</v>
      </c>
      <c r="L6296" s="20">
        <v>2130000000</v>
      </c>
      <c r="M6296" s="20" t="s">
        <v>245</v>
      </c>
      <c r="N6296" s="20" t="s">
        <v>3795</v>
      </c>
    </row>
    <row r="6297" spans="1:14" hidden="1" x14ac:dyDescent="0.25">
      <c r="A6297" s="19">
        <v>46174</v>
      </c>
      <c r="B6297" s="20" t="s">
        <v>35</v>
      </c>
      <c r="C6297" s="20">
        <v>19</v>
      </c>
      <c r="D6297" s="20" t="s">
        <v>253</v>
      </c>
      <c r="E6297" s="20" t="s">
        <v>2359</v>
      </c>
      <c r="F6297" s="20" t="s">
        <v>244</v>
      </c>
      <c r="G6297" s="20" t="s">
        <v>82</v>
      </c>
      <c r="H6297" s="20"/>
      <c r="I6297" s="20"/>
      <c r="J6297" s="20" t="s">
        <v>210</v>
      </c>
      <c r="K6297" s="20" t="s">
        <v>255</v>
      </c>
      <c r="L6297" s="20">
        <v>2150000000</v>
      </c>
      <c r="M6297" s="20" t="s">
        <v>245</v>
      </c>
      <c r="N6297" s="20" t="s">
        <v>3943</v>
      </c>
    </row>
    <row r="6298" spans="1:14" hidden="1" x14ac:dyDescent="0.25">
      <c r="A6298" s="19">
        <v>46174</v>
      </c>
      <c r="B6298" s="20" t="s">
        <v>35</v>
      </c>
      <c r="C6298" s="20">
        <v>19</v>
      </c>
      <c r="D6298" s="20" t="s">
        <v>247</v>
      </c>
      <c r="E6298" s="20" t="s">
        <v>2554</v>
      </c>
      <c r="F6298" s="20" t="s">
        <v>2557</v>
      </c>
      <c r="G6298" s="20" t="s">
        <v>82</v>
      </c>
      <c r="H6298" s="20" t="s">
        <v>286</v>
      </c>
      <c r="I6298" s="20"/>
      <c r="J6298" s="20" t="s">
        <v>210</v>
      </c>
      <c r="K6298" s="20" t="s">
        <v>250</v>
      </c>
      <c r="L6298" s="20">
        <v>0.8</v>
      </c>
      <c r="M6298" s="20" t="s">
        <v>251</v>
      </c>
      <c r="N6298" s="20" t="s">
        <v>370</v>
      </c>
    </row>
    <row r="6299" spans="1:14" hidden="1" x14ac:dyDescent="0.25">
      <c r="A6299" s="19">
        <v>46174</v>
      </c>
      <c r="B6299" s="20" t="s">
        <v>35</v>
      </c>
      <c r="C6299" s="20">
        <v>20</v>
      </c>
      <c r="D6299" s="20" t="s">
        <v>291</v>
      </c>
      <c r="E6299" s="20" t="s">
        <v>2361</v>
      </c>
      <c r="F6299" s="20" t="s">
        <v>244</v>
      </c>
      <c r="G6299" s="20" t="s">
        <v>82</v>
      </c>
      <c r="H6299" s="20" t="s">
        <v>83</v>
      </c>
      <c r="I6299" s="20"/>
      <c r="J6299" s="20" t="s">
        <v>210</v>
      </c>
      <c r="K6299" s="20" t="s">
        <v>250</v>
      </c>
      <c r="L6299" s="20">
        <v>1540000000</v>
      </c>
      <c r="M6299" s="20" t="s">
        <v>245</v>
      </c>
      <c r="N6299" s="20" t="s">
        <v>3944</v>
      </c>
    </row>
    <row r="6300" spans="1:14" hidden="1" x14ac:dyDescent="0.25">
      <c r="A6300" s="19">
        <v>46174</v>
      </c>
      <c r="B6300" s="20" t="s">
        <v>35</v>
      </c>
      <c r="C6300" s="20">
        <v>20</v>
      </c>
      <c r="D6300" s="20" t="s">
        <v>291</v>
      </c>
      <c r="E6300" s="20" t="s">
        <v>2361</v>
      </c>
      <c r="F6300" s="20" t="s">
        <v>244</v>
      </c>
      <c r="G6300" s="20" t="s">
        <v>82</v>
      </c>
      <c r="H6300" s="20" t="s">
        <v>84</v>
      </c>
      <c r="I6300" s="20"/>
      <c r="J6300" s="20" t="s">
        <v>210</v>
      </c>
      <c r="K6300" s="20" t="s">
        <v>250</v>
      </c>
      <c r="L6300" s="20">
        <v>609500000</v>
      </c>
      <c r="M6300" s="20" t="s">
        <v>245</v>
      </c>
      <c r="N6300" s="20" t="s">
        <v>3945</v>
      </c>
    </row>
    <row r="6301" spans="1:14" hidden="1" x14ac:dyDescent="0.25">
      <c r="A6301" s="19">
        <v>46174</v>
      </c>
      <c r="B6301" s="20" t="s">
        <v>35</v>
      </c>
      <c r="C6301" s="20">
        <v>21</v>
      </c>
      <c r="D6301" s="20" t="s">
        <v>291</v>
      </c>
      <c r="E6301" s="20" t="s">
        <v>2361</v>
      </c>
      <c r="F6301" s="20" t="s">
        <v>244</v>
      </c>
      <c r="G6301" s="20" t="s">
        <v>82</v>
      </c>
      <c r="H6301" s="20" t="s">
        <v>83</v>
      </c>
      <c r="I6301" s="20" t="s">
        <v>315</v>
      </c>
      <c r="J6301" s="20" t="s">
        <v>210</v>
      </c>
      <c r="K6301" s="20" t="s">
        <v>250</v>
      </c>
      <c r="L6301" s="20"/>
      <c r="M6301" s="20" t="s">
        <v>251</v>
      </c>
      <c r="N6301" s="20" t="s">
        <v>2760</v>
      </c>
    </row>
    <row r="6302" spans="1:14" hidden="1" x14ac:dyDescent="0.25">
      <c r="A6302" s="19">
        <v>46174</v>
      </c>
      <c r="B6302" s="20" t="s">
        <v>35</v>
      </c>
      <c r="C6302" s="20">
        <v>21</v>
      </c>
      <c r="D6302" s="20" t="s">
        <v>291</v>
      </c>
      <c r="E6302" s="20" t="s">
        <v>2361</v>
      </c>
      <c r="F6302" s="20" t="s">
        <v>244</v>
      </c>
      <c r="G6302" s="20" t="s">
        <v>82</v>
      </c>
      <c r="H6302" s="20" t="s">
        <v>83</v>
      </c>
      <c r="I6302" s="20" t="s">
        <v>317</v>
      </c>
      <c r="J6302" s="20" t="s">
        <v>210</v>
      </c>
      <c r="K6302" s="20" t="s">
        <v>250</v>
      </c>
      <c r="L6302" s="20"/>
      <c r="M6302" s="20" t="s">
        <v>251</v>
      </c>
      <c r="N6302" s="20" t="s">
        <v>798</v>
      </c>
    </row>
    <row r="6303" spans="1:14" hidden="1" x14ac:dyDescent="0.25">
      <c r="A6303" s="19">
        <v>46174</v>
      </c>
      <c r="B6303" s="20" t="s">
        <v>35</v>
      </c>
      <c r="C6303" s="20">
        <v>21</v>
      </c>
      <c r="D6303" s="20" t="s">
        <v>291</v>
      </c>
      <c r="E6303" s="20" t="s">
        <v>2361</v>
      </c>
      <c r="F6303" s="20" t="s">
        <v>244</v>
      </c>
      <c r="G6303" s="20" t="s">
        <v>82</v>
      </c>
      <c r="H6303" s="20" t="s">
        <v>83</v>
      </c>
      <c r="I6303" s="20" t="s">
        <v>313</v>
      </c>
      <c r="J6303" s="20" t="s">
        <v>210</v>
      </c>
      <c r="K6303" s="20" t="s">
        <v>250</v>
      </c>
      <c r="L6303" s="20"/>
      <c r="M6303" s="20" t="s">
        <v>251</v>
      </c>
      <c r="N6303" s="20" t="s">
        <v>599</v>
      </c>
    </row>
    <row r="6304" spans="1:14" hidden="1" x14ac:dyDescent="0.25">
      <c r="A6304" s="19">
        <v>46174</v>
      </c>
      <c r="B6304" s="20" t="s">
        <v>35</v>
      </c>
      <c r="C6304" s="20">
        <v>21</v>
      </c>
      <c r="D6304" s="20" t="s">
        <v>291</v>
      </c>
      <c r="E6304" s="20" t="s">
        <v>2361</v>
      </c>
      <c r="F6304" s="20" t="s">
        <v>244</v>
      </c>
      <c r="G6304" s="20" t="s">
        <v>82</v>
      </c>
      <c r="H6304" s="20" t="s">
        <v>84</v>
      </c>
      <c r="I6304" s="20" t="s">
        <v>2385</v>
      </c>
      <c r="J6304" s="20" t="s">
        <v>210</v>
      </c>
      <c r="K6304" s="20" t="s">
        <v>250</v>
      </c>
      <c r="L6304" s="20"/>
      <c r="M6304" s="20" t="s">
        <v>251</v>
      </c>
      <c r="N6304" s="20" t="s">
        <v>974</v>
      </c>
    </row>
    <row r="6305" spans="1:14" hidden="1" x14ac:dyDescent="0.25">
      <c r="A6305" s="19">
        <v>46174</v>
      </c>
      <c r="B6305" s="20" t="s">
        <v>35</v>
      </c>
      <c r="C6305" s="20">
        <v>21</v>
      </c>
      <c r="D6305" s="20" t="s">
        <v>291</v>
      </c>
      <c r="E6305" s="20" t="s">
        <v>2361</v>
      </c>
      <c r="F6305" s="20" t="s">
        <v>244</v>
      </c>
      <c r="G6305" s="20" t="s">
        <v>82</v>
      </c>
      <c r="H6305" s="20" t="s">
        <v>84</v>
      </c>
      <c r="I6305" s="20" t="s">
        <v>321</v>
      </c>
      <c r="J6305" s="20" t="s">
        <v>210</v>
      </c>
      <c r="K6305" s="20" t="s">
        <v>250</v>
      </c>
      <c r="L6305" s="20"/>
      <c r="M6305" s="20" t="s">
        <v>251</v>
      </c>
      <c r="N6305" s="20" t="s">
        <v>975</v>
      </c>
    </row>
    <row r="6306" spans="1:14" hidden="1" x14ac:dyDescent="0.25">
      <c r="A6306" s="19">
        <v>46174</v>
      </c>
      <c r="B6306" s="20" t="s">
        <v>35</v>
      </c>
      <c r="C6306" s="20">
        <v>22</v>
      </c>
      <c r="D6306" s="20" t="s">
        <v>253</v>
      </c>
      <c r="E6306" s="20" t="s">
        <v>2359</v>
      </c>
      <c r="F6306" s="20" t="s">
        <v>334</v>
      </c>
      <c r="G6306" s="20" t="s">
        <v>82</v>
      </c>
      <c r="H6306" s="20"/>
      <c r="I6306" s="20"/>
      <c r="J6306" s="20" t="s">
        <v>208</v>
      </c>
      <c r="K6306" s="20" t="s">
        <v>255</v>
      </c>
      <c r="L6306" s="20">
        <v>98</v>
      </c>
      <c r="M6306" s="20" t="s">
        <v>245</v>
      </c>
      <c r="N6306" s="20" t="s">
        <v>3659</v>
      </c>
    </row>
    <row r="6307" spans="1:14" hidden="1" x14ac:dyDescent="0.25">
      <c r="A6307" s="19">
        <v>46174</v>
      </c>
      <c r="B6307" s="20" t="s">
        <v>35</v>
      </c>
      <c r="C6307" s="20">
        <v>22</v>
      </c>
      <c r="D6307" s="20" t="s">
        <v>253</v>
      </c>
      <c r="E6307" s="20" t="s">
        <v>2359</v>
      </c>
      <c r="F6307" s="20" t="s">
        <v>334</v>
      </c>
      <c r="G6307" s="20" t="s">
        <v>82</v>
      </c>
      <c r="H6307" s="20"/>
      <c r="I6307" s="20"/>
      <c r="J6307" s="20" t="s">
        <v>209</v>
      </c>
      <c r="K6307" s="20" t="s">
        <v>255</v>
      </c>
      <c r="L6307" s="20">
        <v>99</v>
      </c>
      <c r="M6307" s="20" t="s">
        <v>245</v>
      </c>
      <c r="N6307" s="20" t="s">
        <v>3798</v>
      </c>
    </row>
    <row r="6308" spans="1:14" hidden="1" x14ac:dyDescent="0.25">
      <c r="A6308" s="19">
        <v>46174</v>
      </c>
      <c r="B6308" s="20" t="s">
        <v>35</v>
      </c>
      <c r="C6308" s="20">
        <v>22</v>
      </c>
      <c r="D6308" s="20" t="s">
        <v>253</v>
      </c>
      <c r="E6308" s="20" t="s">
        <v>2359</v>
      </c>
      <c r="F6308" s="20" t="s">
        <v>334</v>
      </c>
      <c r="G6308" s="20" t="s">
        <v>82</v>
      </c>
      <c r="H6308" s="20"/>
      <c r="I6308" s="20"/>
      <c r="J6308" s="20" t="s">
        <v>210</v>
      </c>
      <c r="K6308" s="20" t="s">
        <v>255</v>
      </c>
      <c r="L6308" s="20">
        <v>103</v>
      </c>
      <c r="M6308" s="20" t="s">
        <v>245</v>
      </c>
      <c r="N6308" s="20" t="s">
        <v>3946</v>
      </c>
    </row>
    <row r="6309" spans="1:14" hidden="1" x14ac:dyDescent="0.25">
      <c r="A6309" s="19">
        <v>46174</v>
      </c>
      <c r="B6309" s="20" t="s">
        <v>35</v>
      </c>
      <c r="C6309" s="20">
        <v>23</v>
      </c>
      <c r="D6309" s="20" t="s">
        <v>291</v>
      </c>
      <c r="E6309" s="20" t="s">
        <v>2361</v>
      </c>
      <c r="F6309" s="20" t="s">
        <v>428</v>
      </c>
      <c r="G6309" s="20" t="s">
        <v>82</v>
      </c>
      <c r="H6309" s="20" t="s">
        <v>95</v>
      </c>
      <c r="I6309" s="20"/>
      <c r="J6309" s="20" t="s">
        <v>210</v>
      </c>
      <c r="K6309" s="20" t="s">
        <v>250</v>
      </c>
      <c r="L6309" s="20">
        <v>3120000</v>
      </c>
      <c r="M6309" s="20" t="s">
        <v>242</v>
      </c>
      <c r="N6309" s="20" t="s">
        <v>2713</v>
      </c>
    </row>
    <row r="6310" spans="1:14" hidden="1" x14ac:dyDescent="0.25">
      <c r="A6310" s="19">
        <v>46174</v>
      </c>
      <c r="B6310" s="20" t="s">
        <v>35</v>
      </c>
      <c r="C6310" s="20">
        <v>23</v>
      </c>
      <c r="D6310" s="20" t="s">
        <v>291</v>
      </c>
      <c r="E6310" s="20" t="s">
        <v>2361</v>
      </c>
      <c r="F6310" s="20" t="s">
        <v>428</v>
      </c>
      <c r="G6310" s="20" t="s">
        <v>82</v>
      </c>
      <c r="H6310" s="20" t="s">
        <v>94</v>
      </c>
      <c r="I6310" s="20"/>
      <c r="J6310" s="20" t="s">
        <v>210</v>
      </c>
      <c r="K6310" s="20" t="s">
        <v>250</v>
      </c>
      <c r="L6310" s="20">
        <v>8260000</v>
      </c>
      <c r="M6310" s="20" t="s">
        <v>242</v>
      </c>
      <c r="N6310" s="20" t="s">
        <v>3947</v>
      </c>
    </row>
    <row r="6311" spans="1:14" hidden="1" x14ac:dyDescent="0.25">
      <c r="A6311" s="19">
        <v>46174</v>
      </c>
      <c r="B6311" s="20" t="s">
        <v>35</v>
      </c>
      <c r="C6311" s="20">
        <v>24</v>
      </c>
      <c r="D6311" s="20" t="s">
        <v>291</v>
      </c>
      <c r="E6311" s="20" t="s">
        <v>2361</v>
      </c>
      <c r="F6311" s="20" t="s">
        <v>445</v>
      </c>
      <c r="G6311" s="20" t="s">
        <v>82</v>
      </c>
      <c r="H6311" s="20" t="s">
        <v>95</v>
      </c>
      <c r="I6311" s="20"/>
      <c r="J6311" s="20" t="s">
        <v>210</v>
      </c>
      <c r="K6311" s="20" t="s">
        <v>250</v>
      </c>
      <c r="L6311" s="20">
        <v>288900000</v>
      </c>
      <c r="M6311" s="20" t="s">
        <v>245</v>
      </c>
      <c r="N6311" s="20" t="s">
        <v>3948</v>
      </c>
    </row>
    <row r="6312" spans="1:14" hidden="1" x14ac:dyDescent="0.25">
      <c r="A6312" s="19">
        <v>46174</v>
      </c>
      <c r="B6312" s="20" t="s">
        <v>35</v>
      </c>
      <c r="C6312" s="20">
        <v>24</v>
      </c>
      <c r="D6312" s="20" t="s">
        <v>291</v>
      </c>
      <c r="E6312" s="20" t="s">
        <v>2361</v>
      </c>
      <c r="F6312" s="20" t="s">
        <v>445</v>
      </c>
      <c r="G6312" s="20" t="s">
        <v>82</v>
      </c>
      <c r="H6312" s="20" t="s">
        <v>94</v>
      </c>
      <c r="I6312" s="20"/>
      <c r="J6312" s="20" t="s">
        <v>210</v>
      </c>
      <c r="K6312" s="20" t="s">
        <v>250</v>
      </c>
      <c r="L6312" s="20">
        <v>1020000000</v>
      </c>
      <c r="M6312" s="20" t="s">
        <v>245</v>
      </c>
      <c r="N6312" s="20" t="s">
        <v>3949</v>
      </c>
    </row>
    <row r="6313" spans="1:14" hidden="1" x14ac:dyDescent="0.25">
      <c r="A6313" s="19">
        <v>46174</v>
      </c>
      <c r="B6313" s="20" t="s">
        <v>97</v>
      </c>
      <c r="C6313" s="20">
        <v>26</v>
      </c>
      <c r="D6313" s="20" t="s">
        <v>238</v>
      </c>
      <c r="E6313" s="20" t="s">
        <v>2341</v>
      </c>
      <c r="F6313" s="20" t="s">
        <v>240</v>
      </c>
      <c r="G6313" s="20" t="s">
        <v>82</v>
      </c>
      <c r="H6313" s="20"/>
      <c r="I6313" s="20"/>
      <c r="J6313" s="20" t="s">
        <v>3927</v>
      </c>
      <c r="K6313" s="20" t="s">
        <v>241</v>
      </c>
      <c r="L6313" s="20">
        <v>78500000</v>
      </c>
      <c r="M6313" s="20" t="s">
        <v>242</v>
      </c>
      <c r="N6313" s="20" t="s">
        <v>3950</v>
      </c>
    </row>
    <row r="6314" spans="1:14" hidden="1" x14ac:dyDescent="0.25">
      <c r="A6314" s="19">
        <v>46174</v>
      </c>
      <c r="B6314" s="20" t="s">
        <v>97</v>
      </c>
      <c r="C6314" s="20">
        <v>26</v>
      </c>
      <c r="D6314" s="20" t="s">
        <v>238</v>
      </c>
      <c r="E6314" s="20" t="s">
        <v>2341</v>
      </c>
      <c r="F6314" s="20" t="s">
        <v>244</v>
      </c>
      <c r="G6314" s="20" t="s">
        <v>82</v>
      </c>
      <c r="H6314" s="20"/>
      <c r="I6314" s="20"/>
      <c r="J6314" s="20" t="s">
        <v>3927</v>
      </c>
      <c r="K6314" s="20" t="s">
        <v>241</v>
      </c>
      <c r="L6314" s="20">
        <v>3760000000</v>
      </c>
      <c r="M6314" s="20" t="s">
        <v>245</v>
      </c>
      <c r="N6314" s="20" t="s">
        <v>3951</v>
      </c>
    </row>
    <row r="6315" spans="1:14" hidden="1" x14ac:dyDescent="0.25">
      <c r="A6315" s="19">
        <v>46174</v>
      </c>
      <c r="B6315" s="20" t="s">
        <v>97</v>
      </c>
      <c r="C6315" s="20">
        <v>27</v>
      </c>
      <c r="D6315" s="20" t="s">
        <v>253</v>
      </c>
      <c r="E6315" s="20" t="s">
        <v>2359</v>
      </c>
      <c r="F6315" s="20" t="s">
        <v>285</v>
      </c>
      <c r="G6315" s="20" t="s">
        <v>63</v>
      </c>
      <c r="H6315" s="20"/>
      <c r="I6315" s="20"/>
      <c r="J6315" s="20" t="s">
        <v>208</v>
      </c>
      <c r="K6315" s="20" t="s">
        <v>255</v>
      </c>
      <c r="L6315" s="20">
        <v>2930000</v>
      </c>
      <c r="M6315" s="20" t="s">
        <v>242</v>
      </c>
      <c r="N6315" s="20" t="s">
        <v>3664</v>
      </c>
    </row>
    <row r="6316" spans="1:14" hidden="1" x14ac:dyDescent="0.25">
      <c r="A6316" s="19">
        <v>46174</v>
      </c>
      <c r="B6316" s="20" t="s">
        <v>97</v>
      </c>
      <c r="C6316" s="20">
        <v>27</v>
      </c>
      <c r="D6316" s="20" t="s">
        <v>253</v>
      </c>
      <c r="E6316" s="20" t="s">
        <v>2359</v>
      </c>
      <c r="F6316" s="20" t="s">
        <v>285</v>
      </c>
      <c r="G6316" s="20" t="s">
        <v>63</v>
      </c>
      <c r="H6316" s="20"/>
      <c r="I6316" s="20"/>
      <c r="J6316" s="20" t="s">
        <v>209</v>
      </c>
      <c r="K6316" s="20" t="s">
        <v>255</v>
      </c>
      <c r="L6316" s="20">
        <v>2970000</v>
      </c>
      <c r="M6316" s="20" t="s">
        <v>242</v>
      </c>
      <c r="N6316" s="20" t="s">
        <v>3801</v>
      </c>
    </row>
    <row r="6317" spans="1:14" hidden="1" x14ac:dyDescent="0.25">
      <c r="A6317" s="19">
        <v>46174</v>
      </c>
      <c r="B6317" s="20" t="s">
        <v>97</v>
      </c>
      <c r="C6317" s="20">
        <v>27</v>
      </c>
      <c r="D6317" s="20" t="s">
        <v>253</v>
      </c>
      <c r="E6317" s="20" t="s">
        <v>2359</v>
      </c>
      <c r="F6317" s="20" t="s">
        <v>285</v>
      </c>
      <c r="G6317" s="20" t="s">
        <v>63</v>
      </c>
      <c r="H6317" s="20"/>
      <c r="I6317" s="20"/>
      <c r="J6317" s="20" t="s">
        <v>210</v>
      </c>
      <c r="K6317" s="20" t="s">
        <v>255</v>
      </c>
      <c r="L6317" s="20">
        <v>3000000</v>
      </c>
      <c r="M6317" s="20" t="s">
        <v>242</v>
      </c>
      <c r="N6317" s="20" t="s">
        <v>3952</v>
      </c>
    </row>
    <row r="6318" spans="1:14" hidden="1" x14ac:dyDescent="0.25">
      <c r="A6318" s="19">
        <v>46174</v>
      </c>
      <c r="B6318" s="20" t="s">
        <v>97</v>
      </c>
      <c r="C6318" s="20">
        <v>27</v>
      </c>
      <c r="D6318" s="20" t="s">
        <v>247</v>
      </c>
      <c r="E6318" s="20" t="s">
        <v>2554</v>
      </c>
      <c r="F6318" s="20" t="s">
        <v>2555</v>
      </c>
      <c r="G6318" s="20" t="s">
        <v>63</v>
      </c>
      <c r="H6318" s="20" t="s">
        <v>286</v>
      </c>
      <c r="I6318" s="20"/>
      <c r="J6318" s="20" t="s">
        <v>210</v>
      </c>
      <c r="K6318" s="20" t="s">
        <v>250</v>
      </c>
      <c r="L6318" s="20">
        <v>1</v>
      </c>
      <c r="M6318" s="20" t="s">
        <v>251</v>
      </c>
      <c r="N6318" s="20" t="s">
        <v>323</v>
      </c>
    </row>
    <row r="6319" spans="1:14" hidden="1" x14ac:dyDescent="0.25">
      <c r="A6319" s="19">
        <v>46174</v>
      </c>
      <c r="B6319" s="20" t="s">
        <v>97</v>
      </c>
      <c r="C6319" s="20">
        <v>28</v>
      </c>
      <c r="D6319" s="20" t="s">
        <v>291</v>
      </c>
      <c r="E6319" s="20" t="s">
        <v>2361</v>
      </c>
      <c r="F6319" s="20" t="s">
        <v>2362</v>
      </c>
      <c r="G6319" s="20" t="s">
        <v>63</v>
      </c>
      <c r="H6319" s="20" t="s">
        <v>64</v>
      </c>
      <c r="I6319" s="20"/>
      <c r="J6319" s="20" t="s">
        <v>210</v>
      </c>
      <c r="K6319" s="20" t="s">
        <v>250</v>
      </c>
      <c r="L6319" s="20">
        <v>2630000</v>
      </c>
      <c r="M6319" s="20" t="s">
        <v>242</v>
      </c>
      <c r="N6319" s="20" t="s">
        <v>1825</v>
      </c>
    </row>
    <row r="6320" spans="1:14" hidden="1" x14ac:dyDescent="0.25">
      <c r="A6320" s="19">
        <v>46174</v>
      </c>
      <c r="B6320" s="20" t="s">
        <v>97</v>
      </c>
      <c r="C6320" s="20">
        <v>28</v>
      </c>
      <c r="D6320" s="20" t="s">
        <v>291</v>
      </c>
      <c r="E6320" s="20" t="s">
        <v>2361</v>
      </c>
      <c r="F6320" s="20" t="s">
        <v>2362</v>
      </c>
      <c r="G6320" s="20" t="s">
        <v>63</v>
      </c>
      <c r="H6320" s="20" t="s">
        <v>65</v>
      </c>
      <c r="I6320" s="20"/>
      <c r="J6320" s="20" t="s">
        <v>210</v>
      </c>
      <c r="K6320" s="20" t="s">
        <v>250</v>
      </c>
      <c r="L6320" s="20">
        <v>371400</v>
      </c>
      <c r="M6320" s="20" t="s">
        <v>242</v>
      </c>
      <c r="N6320" s="20" t="s">
        <v>3953</v>
      </c>
    </row>
    <row r="6321" spans="1:14" hidden="1" x14ac:dyDescent="0.25">
      <c r="A6321" s="19">
        <v>46174</v>
      </c>
      <c r="B6321" s="20" t="s">
        <v>97</v>
      </c>
      <c r="C6321" s="20">
        <v>29</v>
      </c>
      <c r="D6321" s="20" t="s">
        <v>291</v>
      </c>
      <c r="E6321" s="20" t="s">
        <v>2361</v>
      </c>
      <c r="F6321" s="20" t="s">
        <v>2362</v>
      </c>
      <c r="G6321" s="20" t="s">
        <v>63</v>
      </c>
      <c r="H6321" s="20" t="s">
        <v>2364</v>
      </c>
      <c r="I6321" s="20"/>
      <c r="J6321" s="20" t="s">
        <v>210</v>
      </c>
      <c r="K6321" s="20" t="s">
        <v>250</v>
      </c>
      <c r="L6321" s="20">
        <v>1620000</v>
      </c>
      <c r="M6321" s="20" t="s">
        <v>242</v>
      </c>
      <c r="N6321" s="20" t="s">
        <v>978</v>
      </c>
    </row>
    <row r="6322" spans="1:14" hidden="1" x14ac:dyDescent="0.25">
      <c r="A6322" s="19">
        <v>46174</v>
      </c>
      <c r="B6322" s="20" t="s">
        <v>97</v>
      </c>
      <c r="C6322" s="20">
        <v>29</v>
      </c>
      <c r="D6322" s="20" t="s">
        <v>291</v>
      </c>
      <c r="E6322" s="20" t="s">
        <v>2361</v>
      </c>
      <c r="F6322" s="20" t="s">
        <v>2362</v>
      </c>
      <c r="G6322" s="20" t="s">
        <v>63</v>
      </c>
      <c r="H6322" s="20" t="s">
        <v>2366</v>
      </c>
      <c r="I6322" s="20"/>
      <c r="J6322" s="20" t="s">
        <v>210</v>
      </c>
      <c r="K6322" s="20" t="s">
        <v>250</v>
      </c>
      <c r="L6322" s="20">
        <v>1370000</v>
      </c>
      <c r="M6322" s="20" t="s">
        <v>242</v>
      </c>
      <c r="N6322" s="20" t="s">
        <v>3010</v>
      </c>
    </row>
    <row r="6323" spans="1:14" hidden="1" x14ac:dyDescent="0.25">
      <c r="A6323" s="19">
        <v>46174</v>
      </c>
      <c r="B6323" s="20" t="s">
        <v>97</v>
      </c>
      <c r="C6323" s="20">
        <v>30</v>
      </c>
      <c r="D6323" s="20" t="s">
        <v>291</v>
      </c>
      <c r="E6323" s="20" t="s">
        <v>2361</v>
      </c>
      <c r="F6323" s="20" t="s">
        <v>285</v>
      </c>
      <c r="G6323" s="20" t="s">
        <v>63</v>
      </c>
      <c r="H6323" s="20" t="s">
        <v>77</v>
      </c>
      <c r="I6323" s="20"/>
      <c r="J6323" s="20" t="s">
        <v>210</v>
      </c>
      <c r="K6323" s="20" t="s">
        <v>250</v>
      </c>
      <c r="L6323" s="20">
        <v>1000</v>
      </c>
      <c r="M6323" s="20" t="s">
        <v>242</v>
      </c>
      <c r="N6323" s="20" t="s">
        <v>2394</v>
      </c>
    </row>
    <row r="6324" spans="1:14" hidden="1" x14ac:dyDescent="0.25">
      <c r="A6324" s="19">
        <v>46174</v>
      </c>
      <c r="B6324" s="20" t="s">
        <v>97</v>
      </c>
      <c r="C6324" s="20">
        <v>30</v>
      </c>
      <c r="D6324" s="20" t="s">
        <v>291</v>
      </c>
      <c r="E6324" s="20" t="s">
        <v>2361</v>
      </c>
      <c r="F6324" s="20" t="s">
        <v>285</v>
      </c>
      <c r="G6324" s="20" t="s">
        <v>63</v>
      </c>
      <c r="H6324" s="20" t="s">
        <v>70</v>
      </c>
      <c r="I6324" s="20"/>
      <c r="J6324" s="20" t="s">
        <v>210</v>
      </c>
      <c r="K6324" s="20" t="s">
        <v>250</v>
      </c>
      <c r="L6324" s="20">
        <v>1080000</v>
      </c>
      <c r="M6324" s="20" t="s">
        <v>242</v>
      </c>
      <c r="N6324" s="20" t="s">
        <v>1322</v>
      </c>
    </row>
    <row r="6325" spans="1:14" hidden="1" x14ac:dyDescent="0.25">
      <c r="A6325" s="19">
        <v>46174</v>
      </c>
      <c r="B6325" s="20" t="s">
        <v>97</v>
      </c>
      <c r="C6325" s="20">
        <v>30</v>
      </c>
      <c r="D6325" s="20" t="s">
        <v>291</v>
      </c>
      <c r="E6325" s="20" t="s">
        <v>2361</v>
      </c>
      <c r="F6325" s="20" t="s">
        <v>285</v>
      </c>
      <c r="G6325" s="20" t="s">
        <v>63</v>
      </c>
      <c r="H6325" s="20" t="s">
        <v>71</v>
      </c>
      <c r="I6325" s="20"/>
      <c r="J6325" s="20" t="s">
        <v>210</v>
      </c>
      <c r="K6325" s="20" t="s">
        <v>250</v>
      </c>
      <c r="L6325" s="20">
        <v>768000</v>
      </c>
      <c r="M6325" s="20" t="s">
        <v>242</v>
      </c>
      <c r="N6325" s="20" t="s">
        <v>3954</v>
      </c>
    </row>
    <row r="6326" spans="1:14" hidden="1" x14ac:dyDescent="0.25">
      <c r="A6326" s="19">
        <v>46174</v>
      </c>
      <c r="B6326" s="20" t="s">
        <v>97</v>
      </c>
      <c r="C6326" s="20">
        <v>30</v>
      </c>
      <c r="D6326" s="20" t="s">
        <v>291</v>
      </c>
      <c r="E6326" s="20" t="s">
        <v>2361</v>
      </c>
      <c r="F6326" s="20" t="s">
        <v>285</v>
      </c>
      <c r="G6326" s="20" t="s">
        <v>63</v>
      </c>
      <c r="H6326" s="20" t="s">
        <v>72</v>
      </c>
      <c r="I6326" s="20"/>
      <c r="J6326" s="20" t="s">
        <v>210</v>
      </c>
      <c r="K6326" s="20" t="s">
        <v>250</v>
      </c>
      <c r="L6326" s="20">
        <v>577000</v>
      </c>
      <c r="M6326" s="20" t="s">
        <v>242</v>
      </c>
      <c r="N6326" s="20" t="s">
        <v>3955</v>
      </c>
    </row>
    <row r="6327" spans="1:14" hidden="1" x14ac:dyDescent="0.25">
      <c r="A6327" s="19">
        <v>46174</v>
      </c>
      <c r="B6327" s="20" t="s">
        <v>97</v>
      </c>
      <c r="C6327" s="20">
        <v>30</v>
      </c>
      <c r="D6327" s="20" t="s">
        <v>291</v>
      </c>
      <c r="E6327" s="20" t="s">
        <v>2361</v>
      </c>
      <c r="F6327" s="20" t="s">
        <v>285</v>
      </c>
      <c r="G6327" s="20" t="s">
        <v>63</v>
      </c>
      <c r="H6327" s="20" t="s">
        <v>73</v>
      </c>
      <c r="I6327" s="20"/>
      <c r="J6327" s="20" t="s">
        <v>210</v>
      </c>
      <c r="K6327" s="20" t="s">
        <v>250</v>
      </c>
      <c r="L6327" s="20">
        <v>364000</v>
      </c>
      <c r="M6327" s="20" t="s">
        <v>242</v>
      </c>
      <c r="N6327" s="20" t="s">
        <v>2752</v>
      </c>
    </row>
    <row r="6328" spans="1:14" hidden="1" x14ac:dyDescent="0.25">
      <c r="A6328" s="19">
        <v>46174</v>
      </c>
      <c r="B6328" s="20" t="s">
        <v>97</v>
      </c>
      <c r="C6328" s="20">
        <v>30</v>
      </c>
      <c r="D6328" s="20" t="s">
        <v>291</v>
      </c>
      <c r="E6328" s="20" t="s">
        <v>2361</v>
      </c>
      <c r="F6328" s="20" t="s">
        <v>285</v>
      </c>
      <c r="G6328" s="20" t="s">
        <v>63</v>
      </c>
      <c r="H6328" s="20" t="s">
        <v>74</v>
      </c>
      <c r="I6328" s="20"/>
      <c r="J6328" s="20" t="s">
        <v>210</v>
      </c>
      <c r="K6328" s="20" t="s">
        <v>250</v>
      </c>
      <c r="L6328" s="20">
        <v>145000</v>
      </c>
      <c r="M6328" s="20" t="s">
        <v>242</v>
      </c>
      <c r="N6328" s="20" t="s">
        <v>3956</v>
      </c>
    </row>
    <row r="6329" spans="1:14" hidden="1" x14ac:dyDescent="0.25">
      <c r="A6329" s="19">
        <v>46174</v>
      </c>
      <c r="B6329" s="20" t="s">
        <v>97</v>
      </c>
      <c r="C6329" s="20">
        <v>30</v>
      </c>
      <c r="D6329" s="20" t="s">
        <v>291</v>
      </c>
      <c r="E6329" s="20" t="s">
        <v>2361</v>
      </c>
      <c r="F6329" s="20" t="s">
        <v>285</v>
      </c>
      <c r="G6329" s="20" t="s">
        <v>63</v>
      </c>
      <c r="H6329" s="20" t="s">
        <v>75</v>
      </c>
      <c r="I6329" s="20"/>
      <c r="J6329" s="20" t="s">
        <v>210</v>
      </c>
      <c r="K6329" s="20" t="s">
        <v>250</v>
      </c>
      <c r="L6329" s="20">
        <v>41000</v>
      </c>
      <c r="M6329" s="20" t="s">
        <v>242</v>
      </c>
      <c r="N6329" s="20" t="s">
        <v>3807</v>
      </c>
    </row>
    <row r="6330" spans="1:14" hidden="1" x14ac:dyDescent="0.25">
      <c r="A6330" s="19">
        <v>46174</v>
      </c>
      <c r="B6330" s="20" t="s">
        <v>97</v>
      </c>
      <c r="C6330" s="20">
        <v>30</v>
      </c>
      <c r="D6330" s="20" t="s">
        <v>291</v>
      </c>
      <c r="E6330" s="20" t="s">
        <v>2361</v>
      </c>
      <c r="F6330" s="20" t="s">
        <v>285</v>
      </c>
      <c r="G6330" s="20" t="s">
        <v>63</v>
      </c>
      <c r="H6330" s="20" t="s">
        <v>76</v>
      </c>
      <c r="I6330" s="20"/>
      <c r="J6330" s="20" t="s">
        <v>210</v>
      </c>
      <c r="K6330" s="20" t="s">
        <v>250</v>
      </c>
      <c r="L6330" s="20">
        <v>15000</v>
      </c>
      <c r="M6330" s="20" t="s">
        <v>242</v>
      </c>
      <c r="N6330" s="20" t="s">
        <v>3957</v>
      </c>
    </row>
    <row r="6331" spans="1:14" hidden="1" x14ac:dyDescent="0.25">
      <c r="A6331" s="19">
        <v>46174</v>
      </c>
      <c r="B6331" s="20" t="s">
        <v>97</v>
      </c>
      <c r="C6331" s="20">
        <v>31</v>
      </c>
      <c r="D6331" s="20" t="s">
        <v>291</v>
      </c>
      <c r="E6331" s="20" t="s">
        <v>2361</v>
      </c>
      <c r="F6331" s="20" t="s">
        <v>2400</v>
      </c>
      <c r="G6331" s="20" t="s">
        <v>99</v>
      </c>
      <c r="H6331" s="20" t="s">
        <v>103</v>
      </c>
      <c r="I6331" s="20"/>
      <c r="J6331" s="20" t="s">
        <v>210</v>
      </c>
      <c r="K6331" s="20" t="s">
        <v>250</v>
      </c>
      <c r="L6331" s="20">
        <v>2950000</v>
      </c>
      <c r="M6331" s="20" t="s">
        <v>242</v>
      </c>
      <c r="N6331" s="20" t="s">
        <v>3125</v>
      </c>
    </row>
    <row r="6332" spans="1:14" hidden="1" x14ac:dyDescent="0.25">
      <c r="A6332" s="19">
        <v>46174</v>
      </c>
      <c r="B6332" s="20" t="s">
        <v>97</v>
      </c>
      <c r="C6332" s="20">
        <v>31</v>
      </c>
      <c r="D6332" s="20" t="s">
        <v>291</v>
      </c>
      <c r="E6332" s="20" t="s">
        <v>2361</v>
      </c>
      <c r="F6332" s="20" t="s">
        <v>477</v>
      </c>
      <c r="G6332" s="20" t="s">
        <v>99</v>
      </c>
      <c r="H6332" s="20" t="s">
        <v>104</v>
      </c>
      <c r="I6332" s="20"/>
      <c r="J6332" s="20" t="s">
        <v>210</v>
      </c>
      <c r="K6332" s="20" t="s">
        <v>250</v>
      </c>
      <c r="L6332" s="20">
        <v>4480</v>
      </c>
      <c r="M6332" s="20" t="s">
        <v>242</v>
      </c>
      <c r="N6332" s="20" t="s">
        <v>3958</v>
      </c>
    </row>
    <row r="6333" spans="1:14" hidden="1" x14ac:dyDescent="0.25">
      <c r="A6333" s="19">
        <v>46174</v>
      </c>
      <c r="B6333" s="20" t="s">
        <v>97</v>
      </c>
      <c r="C6333" s="20">
        <v>31</v>
      </c>
      <c r="D6333" s="20" t="s">
        <v>291</v>
      </c>
      <c r="E6333" s="20" t="s">
        <v>2361</v>
      </c>
      <c r="F6333" s="20" t="s">
        <v>477</v>
      </c>
      <c r="G6333" s="20" t="s">
        <v>99</v>
      </c>
      <c r="H6333" s="20" t="s">
        <v>101</v>
      </c>
      <c r="I6333" s="20"/>
      <c r="J6333" s="20" t="s">
        <v>210</v>
      </c>
      <c r="K6333" s="20" t="s">
        <v>250</v>
      </c>
      <c r="L6333" s="20">
        <v>2035</v>
      </c>
      <c r="M6333" s="20" t="s">
        <v>242</v>
      </c>
      <c r="N6333" s="20" t="s">
        <v>3959</v>
      </c>
    </row>
    <row r="6334" spans="1:14" hidden="1" x14ac:dyDescent="0.25">
      <c r="A6334" s="19">
        <v>46174</v>
      </c>
      <c r="B6334" s="20" t="s">
        <v>97</v>
      </c>
      <c r="C6334" s="20">
        <v>31</v>
      </c>
      <c r="D6334" s="20" t="s">
        <v>291</v>
      </c>
      <c r="E6334" s="20" t="s">
        <v>2361</v>
      </c>
      <c r="F6334" s="20" t="s">
        <v>477</v>
      </c>
      <c r="G6334" s="20" t="s">
        <v>99</v>
      </c>
      <c r="H6334" s="20" t="s">
        <v>100</v>
      </c>
      <c r="I6334" s="20"/>
      <c r="J6334" s="20" t="s">
        <v>210</v>
      </c>
      <c r="K6334" s="20" t="s">
        <v>250</v>
      </c>
      <c r="L6334" s="20">
        <v>1077</v>
      </c>
      <c r="M6334" s="20" t="s">
        <v>242</v>
      </c>
      <c r="N6334" s="20" t="s">
        <v>1062</v>
      </c>
    </row>
    <row r="6335" spans="1:14" hidden="1" x14ac:dyDescent="0.25">
      <c r="A6335" s="19">
        <v>46174</v>
      </c>
      <c r="B6335" s="20" t="s">
        <v>97</v>
      </c>
      <c r="C6335" s="20">
        <v>31</v>
      </c>
      <c r="D6335" s="20" t="s">
        <v>291</v>
      </c>
      <c r="E6335" s="20" t="s">
        <v>2361</v>
      </c>
      <c r="F6335" s="20" t="s">
        <v>477</v>
      </c>
      <c r="G6335" s="20" t="s">
        <v>99</v>
      </c>
      <c r="H6335" s="20" t="s">
        <v>102</v>
      </c>
      <c r="I6335" s="20"/>
      <c r="J6335" s="20" t="s">
        <v>210</v>
      </c>
      <c r="K6335" s="20" t="s">
        <v>250</v>
      </c>
      <c r="L6335" s="20">
        <v>8</v>
      </c>
      <c r="M6335" s="20" t="s">
        <v>242</v>
      </c>
      <c r="N6335" s="20" t="s">
        <v>480</v>
      </c>
    </row>
    <row r="6336" spans="1:14" hidden="1" x14ac:dyDescent="0.25">
      <c r="A6336" s="19">
        <v>46174</v>
      </c>
      <c r="B6336" s="20" t="s">
        <v>97</v>
      </c>
      <c r="C6336" s="20">
        <v>32</v>
      </c>
      <c r="D6336" s="20" t="s">
        <v>253</v>
      </c>
      <c r="E6336" s="20" t="s">
        <v>2359</v>
      </c>
      <c r="F6336" s="20" t="s">
        <v>240</v>
      </c>
      <c r="G6336" s="20" t="s">
        <v>82</v>
      </c>
      <c r="H6336" s="20"/>
      <c r="I6336" s="20"/>
      <c r="J6336" s="20" t="s">
        <v>208</v>
      </c>
      <c r="K6336" s="20" t="s">
        <v>255</v>
      </c>
      <c r="L6336" s="20">
        <v>13290000</v>
      </c>
      <c r="M6336" s="20" t="s">
        <v>242</v>
      </c>
      <c r="N6336" s="20" t="s">
        <v>3674</v>
      </c>
    </row>
    <row r="6337" spans="1:14" hidden="1" x14ac:dyDescent="0.25">
      <c r="A6337" s="19">
        <v>46174</v>
      </c>
      <c r="B6337" s="20" t="s">
        <v>97</v>
      </c>
      <c r="C6337" s="20">
        <v>32</v>
      </c>
      <c r="D6337" s="20" t="s">
        <v>253</v>
      </c>
      <c r="E6337" s="20" t="s">
        <v>2359</v>
      </c>
      <c r="F6337" s="20" t="s">
        <v>240</v>
      </c>
      <c r="G6337" s="20" t="s">
        <v>82</v>
      </c>
      <c r="H6337" s="20"/>
      <c r="I6337" s="20"/>
      <c r="J6337" s="20" t="s">
        <v>209</v>
      </c>
      <c r="K6337" s="20" t="s">
        <v>255</v>
      </c>
      <c r="L6337" s="20">
        <v>14980000</v>
      </c>
      <c r="M6337" s="20" t="s">
        <v>242</v>
      </c>
      <c r="N6337" s="20" t="s">
        <v>3811</v>
      </c>
    </row>
    <row r="6338" spans="1:14" hidden="1" x14ac:dyDescent="0.25">
      <c r="A6338" s="19">
        <v>46174</v>
      </c>
      <c r="B6338" s="20" t="s">
        <v>97</v>
      </c>
      <c r="C6338" s="20">
        <v>32</v>
      </c>
      <c r="D6338" s="20" t="s">
        <v>253</v>
      </c>
      <c r="E6338" s="20" t="s">
        <v>2359</v>
      </c>
      <c r="F6338" s="20" t="s">
        <v>240</v>
      </c>
      <c r="G6338" s="20" t="s">
        <v>82</v>
      </c>
      <c r="H6338" s="20"/>
      <c r="I6338" s="20"/>
      <c r="J6338" s="20" t="s">
        <v>210</v>
      </c>
      <c r="K6338" s="20" t="s">
        <v>255</v>
      </c>
      <c r="L6338" s="20">
        <v>14790000</v>
      </c>
      <c r="M6338" s="20" t="s">
        <v>242</v>
      </c>
      <c r="N6338" s="20" t="s">
        <v>3960</v>
      </c>
    </row>
    <row r="6339" spans="1:14" hidden="1" x14ac:dyDescent="0.25">
      <c r="A6339" s="19">
        <v>46174</v>
      </c>
      <c r="B6339" s="20" t="s">
        <v>97</v>
      </c>
      <c r="C6339" s="20">
        <v>32</v>
      </c>
      <c r="D6339" s="20" t="s">
        <v>247</v>
      </c>
      <c r="E6339" s="20" t="s">
        <v>2554</v>
      </c>
      <c r="F6339" s="20" t="s">
        <v>2559</v>
      </c>
      <c r="G6339" s="20" t="s">
        <v>82</v>
      </c>
      <c r="H6339" s="20" t="s">
        <v>249</v>
      </c>
      <c r="I6339" s="20"/>
      <c r="J6339" s="20" t="s">
        <v>210</v>
      </c>
      <c r="K6339" s="20" t="s">
        <v>250</v>
      </c>
      <c r="L6339" s="20">
        <v>1.2</v>
      </c>
      <c r="M6339" s="20" t="s">
        <v>251</v>
      </c>
      <c r="N6339" s="20" t="s">
        <v>1427</v>
      </c>
    </row>
    <row r="6340" spans="1:14" hidden="1" x14ac:dyDescent="0.25">
      <c r="A6340" s="19">
        <v>46174</v>
      </c>
      <c r="B6340" s="20" t="s">
        <v>97</v>
      </c>
      <c r="C6340" s="20">
        <v>33</v>
      </c>
      <c r="D6340" s="20" t="s">
        <v>291</v>
      </c>
      <c r="E6340" s="20" t="s">
        <v>2361</v>
      </c>
      <c r="F6340" s="20" t="s">
        <v>240</v>
      </c>
      <c r="G6340" s="20" t="s">
        <v>82</v>
      </c>
      <c r="H6340" s="20" t="s">
        <v>83</v>
      </c>
      <c r="I6340" s="20"/>
      <c r="J6340" s="20" t="s">
        <v>210</v>
      </c>
      <c r="K6340" s="20" t="s">
        <v>250</v>
      </c>
      <c r="L6340" s="20">
        <v>12290000</v>
      </c>
      <c r="M6340" s="20" t="s">
        <v>242</v>
      </c>
      <c r="N6340" s="20" t="s">
        <v>1380</v>
      </c>
    </row>
    <row r="6341" spans="1:14" hidden="1" x14ac:dyDescent="0.25">
      <c r="A6341" s="19">
        <v>46174</v>
      </c>
      <c r="B6341" s="20" t="s">
        <v>97</v>
      </c>
      <c r="C6341" s="20">
        <v>33</v>
      </c>
      <c r="D6341" s="20" t="s">
        <v>291</v>
      </c>
      <c r="E6341" s="20" t="s">
        <v>2361</v>
      </c>
      <c r="F6341" s="20" t="s">
        <v>240</v>
      </c>
      <c r="G6341" s="20" t="s">
        <v>82</v>
      </c>
      <c r="H6341" s="20" t="s">
        <v>84</v>
      </c>
      <c r="I6341" s="20"/>
      <c r="J6341" s="20" t="s">
        <v>210</v>
      </c>
      <c r="K6341" s="20" t="s">
        <v>250</v>
      </c>
      <c r="L6341" s="20">
        <v>2430000</v>
      </c>
      <c r="M6341" s="20" t="s">
        <v>242</v>
      </c>
      <c r="N6341" s="20" t="s">
        <v>664</v>
      </c>
    </row>
    <row r="6342" spans="1:14" hidden="1" x14ac:dyDescent="0.25">
      <c r="A6342" s="19">
        <v>46174</v>
      </c>
      <c r="B6342" s="20" t="s">
        <v>97</v>
      </c>
      <c r="C6342" s="20">
        <v>33</v>
      </c>
      <c r="D6342" s="20" t="s">
        <v>291</v>
      </c>
      <c r="E6342" s="20" t="s">
        <v>2361</v>
      </c>
      <c r="F6342" s="20" t="s">
        <v>240</v>
      </c>
      <c r="G6342" s="20" t="s">
        <v>82</v>
      </c>
      <c r="H6342" s="20" t="s">
        <v>106</v>
      </c>
      <c r="I6342" s="20"/>
      <c r="J6342" s="20" t="s">
        <v>210</v>
      </c>
      <c r="K6342" s="20" t="s">
        <v>250</v>
      </c>
      <c r="L6342" s="20">
        <v>59110</v>
      </c>
      <c r="M6342" s="20" t="s">
        <v>242</v>
      </c>
      <c r="N6342" s="20" t="s">
        <v>3961</v>
      </c>
    </row>
    <row r="6343" spans="1:14" hidden="1" x14ac:dyDescent="0.25">
      <c r="A6343" s="19">
        <v>46174</v>
      </c>
      <c r="B6343" s="20" t="s">
        <v>97</v>
      </c>
      <c r="C6343" s="20">
        <v>33</v>
      </c>
      <c r="D6343" s="20" t="s">
        <v>291</v>
      </c>
      <c r="E6343" s="20" t="s">
        <v>2361</v>
      </c>
      <c r="F6343" s="20" t="s">
        <v>240</v>
      </c>
      <c r="G6343" s="20" t="s">
        <v>82</v>
      </c>
      <c r="H6343" s="20" t="s">
        <v>105</v>
      </c>
      <c r="I6343" s="20"/>
      <c r="J6343" s="20" t="s">
        <v>210</v>
      </c>
      <c r="K6343" s="20" t="s">
        <v>250</v>
      </c>
      <c r="L6343" s="20">
        <v>19910</v>
      </c>
      <c r="M6343" s="20" t="s">
        <v>242</v>
      </c>
      <c r="N6343" s="20" t="s">
        <v>3962</v>
      </c>
    </row>
    <row r="6344" spans="1:14" hidden="1" x14ac:dyDescent="0.25">
      <c r="A6344" s="19">
        <v>46174</v>
      </c>
      <c r="B6344" s="20" t="s">
        <v>97</v>
      </c>
      <c r="C6344" s="20">
        <v>34</v>
      </c>
      <c r="D6344" s="20" t="s">
        <v>291</v>
      </c>
      <c r="E6344" s="20" t="s">
        <v>2361</v>
      </c>
      <c r="F6344" s="20" t="s">
        <v>240</v>
      </c>
      <c r="G6344" s="20" t="s">
        <v>82</v>
      </c>
      <c r="H6344" s="20" t="s">
        <v>83</v>
      </c>
      <c r="I6344" s="20" t="s">
        <v>315</v>
      </c>
      <c r="J6344" s="20" t="s">
        <v>210</v>
      </c>
      <c r="K6344" s="20" t="s">
        <v>250</v>
      </c>
      <c r="L6344" s="20"/>
      <c r="M6344" s="20" t="s">
        <v>251</v>
      </c>
      <c r="N6344" s="20" t="s">
        <v>3963</v>
      </c>
    </row>
    <row r="6345" spans="1:14" hidden="1" x14ac:dyDescent="0.25">
      <c r="A6345" s="19">
        <v>46174</v>
      </c>
      <c r="B6345" s="20" t="s">
        <v>97</v>
      </c>
      <c r="C6345" s="20">
        <v>34</v>
      </c>
      <c r="D6345" s="20" t="s">
        <v>291</v>
      </c>
      <c r="E6345" s="20" t="s">
        <v>2361</v>
      </c>
      <c r="F6345" s="20" t="s">
        <v>240</v>
      </c>
      <c r="G6345" s="20" t="s">
        <v>82</v>
      </c>
      <c r="H6345" s="20" t="s">
        <v>83</v>
      </c>
      <c r="I6345" s="20" t="s">
        <v>317</v>
      </c>
      <c r="J6345" s="20" t="s">
        <v>210</v>
      </c>
      <c r="K6345" s="20" t="s">
        <v>250</v>
      </c>
      <c r="L6345" s="20"/>
      <c r="M6345" s="20" t="s">
        <v>251</v>
      </c>
      <c r="N6345" s="20" t="s">
        <v>3964</v>
      </c>
    </row>
    <row r="6346" spans="1:14" hidden="1" x14ac:dyDescent="0.25">
      <c r="A6346" s="19">
        <v>46174</v>
      </c>
      <c r="B6346" s="20" t="s">
        <v>97</v>
      </c>
      <c r="C6346" s="20">
        <v>34</v>
      </c>
      <c r="D6346" s="20" t="s">
        <v>291</v>
      </c>
      <c r="E6346" s="20" t="s">
        <v>2361</v>
      </c>
      <c r="F6346" s="20" t="s">
        <v>240</v>
      </c>
      <c r="G6346" s="20" t="s">
        <v>82</v>
      </c>
      <c r="H6346" s="20" t="s">
        <v>83</v>
      </c>
      <c r="I6346" s="20" t="s">
        <v>2785</v>
      </c>
      <c r="J6346" s="20" t="s">
        <v>210</v>
      </c>
      <c r="K6346" s="20" t="s">
        <v>250</v>
      </c>
      <c r="L6346" s="20"/>
      <c r="M6346" s="20" t="s">
        <v>251</v>
      </c>
      <c r="N6346" s="20" t="s">
        <v>3092</v>
      </c>
    </row>
    <row r="6347" spans="1:14" hidden="1" x14ac:dyDescent="0.25">
      <c r="A6347" s="19">
        <v>46174</v>
      </c>
      <c r="B6347" s="20" t="s">
        <v>97</v>
      </c>
      <c r="C6347" s="20">
        <v>34</v>
      </c>
      <c r="D6347" s="20" t="s">
        <v>291</v>
      </c>
      <c r="E6347" s="20" t="s">
        <v>2361</v>
      </c>
      <c r="F6347" s="20" t="s">
        <v>240</v>
      </c>
      <c r="G6347" s="20" t="s">
        <v>82</v>
      </c>
      <c r="H6347" s="20" t="s">
        <v>83</v>
      </c>
      <c r="I6347" s="20" t="s">
        <v>497</v>
      </c>
      <c r="J6347" s="20" t="s">
        <v>210</v>
      </c>
      <c r="K6347" s="20" t="s">
        <v>250</v>
      </c>
      <c r="L6347" s="20"/>
      <c r="M6347" s="20" t="s">
        <v>251</v>
      </c>
      <c r="N6347" s="20" t="s">
        <v>2786</v>
      </c>
    </row>
    <row r="6348" spans="1:14" hidden="1" x14ac:dyDescent="0.25">
      <c r="A6348" s="19">
        <v>46174</v>
      </c>
      <c r="B6348" s="20" t="s">
        <v>97</v>
      </c>
      <c r="C6348" s="20">
        <v>34</v>
      </c>
      <c r="D6348" s="20" t="s">
        <v>291</v>
      </c>
      <c r="E6348" s="20" t="s">
        <v>2361</v>
      </c>
      <c r="F6348" s="20" t="s">
        <v>240</v>
      </c>
      <c r="G6348" s="20" t="s">
        <v>82</v>
      </c>
      <c r="H6348" s="20" t="s">
        <v>83</v>
      </c>
      <c r="I6348" s="20" t="s">
        <v>503</v>
      </c>
      <c r="J6348" s="20" t="s">
        <v>210</v>
      </c>
      <c r="K6348" s="20" t="s">
        <v>250</v>
      </c>
      <c r="L6348" s="20"/>
      <c r="M6348" s="20" t="s">
        <v>251</v>
      </c>
      <c r="N6348" s="20" t="s">
        <v>1968</v>
      </c>
    </row>
    <row r="6349" spans="1:14" hidden="1" x14ac:dyDescent="0.25">
      <c r="A6349" s="19">
        <v>46174</v>
      </c>
      <c r="B6349" s="20" t="s">
        <v>97</v>
      </c>
      <c r="C6349" s="20">
        <v>34</v>
      </c>
      <c r="D6349" s="20" t="s">
        <v>291</v>
      </c>
      <c r="E6349" s="20" t="s">
        <v>2361</v>
      </c>
      <c r="F6349" s="20" t="s">
        <v>240</v>
      </c>
      <c r="G6349" s="20" t="s">
        <v>82</v>
      </c>
      <c r="H6349" s="20" t="s">
        <v>83</v>
      </c>
      <c r="I6349" s="20" t="s">
        <v>2413</v>
      </c>
      <c r="J6349" s="20" t="s">
        <v>210</v>
      </c>
      <c r="K6349" s="20" t="s">
        <v>250</v>
      </c>
      <c r="L6349" s="20"/>
      <c r="M6349" s="20" t="s">
        <v>251</v>
      </c>
      <c r="N6349" s="20" t="s">
        <v>2038</v>
      </c>
    </row>
    <row r="6350" spans="1:14" hidden="1" x14ac:dyDescent="0.25">
      <c r="A6350" s="19">
        <v>46174</v>
      </c>
      <c r="B6350" s="20" t="s">
        <v>97</v>
      </c>
      <c r="C6350" s="20">
        <v>34</v>
      </c>
      <c r="D6350" s="20" t="s">
        <v>291</v>
      </c>
      <c r="E6350" s="20" t="s">
        <v>2361</v>
      </c>
      <c r="F6350" s="20" t="s">
        <v>240</v>
      </c>
      <c r="G6350" s="20" t="s">
        <v>82</v>
      </c>
      <c r="H6350" s="20" t="s">
        <v>83</v>
      </c>
      <c r="I6350" s="20" t="s">
        <v>2414</v>
      </c>
      <c r="J6350" s="20" t="s">
        <v>210</v>
      </c>
      <c r="K6350" s="20" t="s">
        <v>250</v>
      </c>
      <c r="L6350" s="20"/>
      <c r="M6350" s="20" t="s">
        <v>251</v>
      </c>
      <c r="N6350" s="20" t="s">
        <v>500</v>
      </c>
    </row>
    <row r="6351" spans="1:14" hidden="1" x14ac:dyDescent="0.25">
      <c r="A6351" s="19">
        <v>46174</v>
      </c>
      <c r="B6351" s="20" t="s">
        <v>97</v>
      </c>
      <c r="C6351" s="20">
        <v>34</v>
      </c>
      <c r="D6351" s="20" t="s">
        <v>291</v>
      </c>
      <c r="E6351" s="20" t="s">
        <v>2361</v>
      </c>
      <c r="F6351" s="20" t="s">
        <v>240</v>
      </c>
      <c r="G6351" s="20" t="s">
        <v>82</v>
      </c>
      <c r="H6351" s="20" t="s">
        <v>84</v>
      </c>
      <c r="I6351" s="20" t="s">
        <v>319</v>
      </c>
      <c r="J6351" s="20" t="s">
        <v>210</v>
      </c>
      <c r="K6351" s="20" t="s">
        <v>250</v>
      </c>
      <c r="L6351" s="20"/>
      <c r="M6351" s="20" t="s">
        <v>251</v>
      </c>
      <c r="N6351" s="20" t="s">
        <v>3965</v>
      </c>
    </row>
    <row r="6352" spans="1:14" hidden="1" x14ac:dyDescent="0.25">
      <c r="A6352" s="19">
        <v>46174</v>
      </c>
      <c r="B6352" s="20" t="s">
        <v>97</v>
      </c>
      <c r="C6352" s="20">
        <v>34</v>
      </c>
      <c r="D6352" s="20" t="s">
        <v>291</v>
      </c>
      <c r="E6352" s="20" t="s">
        <v>2361</v>
      </c>
      <c r="F6352" s="20" t="s">
        <v>240</v>
      </c>
      <c r="G6352" s="20" t="s">
        <v>82</v>
      </c>
      <c r="H6352" s="20" t="s">
        <v>84</v>
      </c>
      <c r="I6352" s="20" t="s">
        <v>321</v>
      </c>
      <c r="J6352" s="20" t="s">
        <v>210</v>
      </c>
      <c r="K6352" s="20" t="s">
        <v>250</v>
      </c>
      <c r="L6352" s="20"/>
      <c r="M6352" s="20" t="s">
        <v>251</v>
      </c>
      <c r="N6352" s="20" t="s">
        <v>3966</v>
      </c>
    </row>
    <row r="6353" spans="1:14" hidden="1" x14ac:dyDescent="0.25">
      <c r="A6353" s="19">
        <v>46174</v>
      </c>
      <c r="B6353" s="20" t="s">
        <v>97</v>
      </c>
      <c r="C6353" s="20">
        <v>34</v>
      </c>
      <c r="D6353" s="20" t="s">
        <v>291</v>
      </c>
      <c r="E6353" s="20" t="s">
        <v>2361</v>
      </c>
      <c r="F6353" s="20" t="s">
        <v>240</v>
      </c>
      <c r="G6353" s="20" t="s">
        <v>82</v>
      </c>
      <c r="H6353" s="20" t="s">
        <v>106</v>
      </c>
      <c r="I6353" s="20" t="s">
        <v>493</v>
      </c>
      <c r="J6353" s="20" t="s">
        <v>210</v>
      </c>
      <c r="K6353" s="20" t="s">
        <v>250</v>
      </c>
      <c r="L6353" s="20"/>
      <c r="M6353" s="20" t="s">
        <v>251</v>
      </c>
      <c r="N6353" s="20" t="s">
        <v>3967</v>
      </c>
    </row>
    <row r="6354" spans="1:14" hidden="1" x14ac:dyDescent="0.25">
      <c r="A6354" s="19">
        <v>46174</v>
      </c>
      <c r="B6354" s="20" t="s">
        <v>97</v>
      </c>
      <c r="C6354" s="20">
        <v>34</v>
      </c>
      <c r="D6354" s="20" t="s">
        <v>291</v>
      </c>
      <c r="E6354" s="20" t="s">
        <v>2361</v>
      </c>
      <c r="F6354" s="20" t="s">
        <v>240</v>
      </c>
      <c r="G6354" s="20" t="s">
        <v>82</v>
      </c>
      <c r="H6354" s="20" t="s">
        <v>106</v>
      </c>
      <c r="I6354" s="20" t="s">
        <v>491</v>
      </c>
      <c r="J6354" s="20" t="s">
        <v>210</v>
      </c>
      <c r="K6354" s="20" t="s">
        <v>250</v>
      </c>
      <c r="L6354" s="20"/>
      <c r="M6354" s="20" t="s">
        <v>251</v>
      </c>
      <c r="N6354" s="20" t="s">
        <v>3968</v>
      </c>
    </row>
    <row r="6355" spans="1:14" hidden="1" x14ac:dyDescent="0.25">
      <c r="A6355" s="19">
        <v>46174</v>
      </c>
      <c r="B6355" s="20" t="s">
        <v>97</v>
      </c>
      <c r="C6355" s="20">
        <v>34</v>
      </c>
      <c r="D6355" s="20" t="s">
        <v>291</v>
      </c>
      <c r="E6355" s="20" t="s">
        <v>2361</v>
      </c>
      <c r="F6355" s="20" t="s">
        <v>240</v>
      </c>
      <c r="G6355" s="20" t="s">
        <v>82</v>
      </c>
      <c r="H6355" s="20" t="s">
        <v>105</v>
      </c>
      <c r="I6355" s="20" t="s">
        <v>493</v>
      </c>
      <c r="J6355" s="20" t="s">
        <v>210</v>
      </c>
      <c r="K6355" s="20" t="s">
        <v>250</v>
      </c>
      <c r="L6355" s="20"/>
      <c r="M6355" s="20" t="s">
        <v>251</v>
      </c>
      <c r="N6355" s="20" t="s">
        <v>3969</v>
      </c>
    </row>
    <row r="6356" spans="1:14" hidden="1" x14ac:dyDescent="0.25">
      <c r="A6356" s="19">
        <v>46174</v>
      </c>
      <c r="B6356" s="20" t="s">
        <v>97</v>
      </c>
      <c r="C6356" s="20">
        <v>34</v>
      </c>
      <c r="D6356" s="20" t="s">
        <v>291</v>
      </c>
      <c r="E6356" s="20" t="s">
        <v>2361</v>
      </c>
      <c r="F6356" s="20" t="s">
        <v>240</v>
      </c>
      <c r="G6356" s="20" t="s">
        <v>82</v>
      </c>
      <c r="H6356" s="20" t="s">
        <v>105</v>
      </c>
      <c r="I6356" s="20" t="s">
        <v>491</v>
      </c>
      <c r="J6356" s="20" t="s">
        <v>210</v>
      </c>
      <c r="K6356" s="20" t="s">
        <v>250</v>
      </c>
      <c r="L6356" s="20"/>
      <c r="M6356" s="20" t="s">
        <v>251</v>
      </c>
      <c r="N6356" s="20" t="s">
        <v>3970</v>
      </c>
    </row>
    <row r="6357" spans="1:14" hidden="1" x14ac:dyDescent="0.25">
      <c r="A6357" s="19">
        <v>46174</v>
      </c>
      <c r="B6357" s="20" t="s">
        <v>97</v>
      </c>
      <c r="C6357" s="20">
        <v>35</v>
      </c>
      <c r="D6357" s="20" t="s">
        <v>253</v>
      </c>
      <c r="E6357" s="20" t="s">
        <v>2359</v>
      </c>
      <c r="F6357" s="20" t="s">
        <v>244</v>
      </c>
      <c r="G6357" s="20" t="s">
        <v>82</v>
      </c>
      <c r="H6357" s="20"/>
      <c r="I6357" s="20"/>
      <c r="J6357" s="20" t="s">
        <v>208</v>
      </c>
      <c r="K6357" s="20" t="s">
        <v>255</v>
      </c>
      <c r="L6357" s="20">
        <v>601000000</v>
      </c>
      <c r="M6357" s="20" t="s">
        <v>245</v>
      </c>
      <c r="N6357" s="20" t="s">
        <v>3688</v>
      </c>
    </row>
    <row r="6358" spans="1:14" hidden="1" x14ac:dyDescent="0.25">
      <c r="A6358" s="19">
        <v>46174</v>
      </c>
      <c r="B6358" s="20" t="s">
        <v>97</v>
      </c>
      <c r="C6358" s="20">
        <v>35</v>
      </c>
      <c r="D6358" s="20" t="s">
        <v>253</v>
      </c>
      <c r="E6358" s="20" t="s">
        <v>2359</v>
      </c>
      <c r="F6358" s="20" t="s">
        <v>244</v>
      </c>
      <c r="G6358" s="20" t="s">
        <v>82</v>
      </c>
      <c r="H6358" s="20"/>
      <c r="I6358" s="20"/>
      <c r="J6358" s="20" t="s">
        <v>209</v>
      </c>
      <c r="K6358" s="20" t="s">
        <v>255</v>
      </c>
      <c r="L6358" s="20">
        <v>698000000</v>
      </c>
      <c r="M6358" s="20" t="s">
        <v>245</v>
      </c>
      <c r="N6358" s="20" t="s">
        <v>3825</v>
      </c>
    </row>
    <row r="6359" spans="1:14" hidden="1" x14ac:dyDescent="0.25">
      <c r="A6359" s="19">
        <v>46174</v>
      </c>
      <c r="B6359" s="20" t="s">
        <v>97</v>
      </c>
      <c r="C6359" s="20">
        <v>35</v>
      </c>
      <c r="D6359" s="20" t="s">
        <v>253</v>
      </c>
      <c r="E6359" s="20" t="s">
        <v>2359</v>
      </c>
      <c r="F6359" s="20" t="s">
        <v>244</v>
      </c>
      <c r="G6359" s="20" t="s">
        <v>82</v>
      </c>
      <c r="H6359" s="20"/>
      <c r="I6359" s="20"/>
      <c r="J6359" s="20" t="s">
        <v>210</v>
      </c>
      <c r="K6359" s="20" t="s">
        <v>255</v>
      </c>
      <c r="L6359" s="20">
        <v>671000000</v>
      </c>
      <c r="M6359" s="20" t="s">
        <v>245</v>
      </c>
      <c r="N6359" s="20" t="s">
        <v>3971</v>
      </c>
    </row>
    <row r="6360" spans="1:14" hidden="1" x14ac:dyDescent="0.25">
      <c r="A6360" s="19">
        <v>46174</v>
      </c>
      <c r="B6360" s="20" t="s">
        <v>97</v>
      </c>
      <c r="C6360" s="20">
        <v>35</v>
      </c>
      <c r="D6360" s="20" t="s">
        <v>247</v>
      </c>
      <c r="E6360" s="20" t="s">
        <v>2554</v>
      </c>
      <c r="F6360" s="20" t="s">
        <v>2558</v>
      </c>
      <c r="G6360" s="20" t="s">
        <v>82</v>
      </c>
      <c r="H6360" s="20" t="s">
        <v>249</v>
      </c>
      <c r="I6360" s="20"/>
      <c r="J6360" s="20" t="s">
        <v>210</v>
      </c>
      <c r="K6360" s="20" t="s">
        <v>250</v>
      </c>
      <c r="L6360" s="20">
        <v>3.8</v>
      </c>
      <c r="M6360" s="20" t="s">
        <v>251</v>
      </c>
      <c r="N6360" s="20" t="s">
        <v>855</v>
      </c>
    </row>
    <row r="6361" spans="1:14" hidden="1" x14ac:dyDescent="0.25">
      <c r="A6361" s="19">
        <v>46174</v>
      </c>
      <c r="B6361" s="20" t="s">
        <v>97</v>
      </c>
      <c r="C6361" s="20">
        <v>36</v>
      </c>
      <c r="D6361" s="20" t="s">
        <v>291</v>
      </c>
      <c r="E6361" s="20" t="s">
        <v>2361</v>
      </c>
      <c r="F6361" s="20" t="s">
        <v>244</v>
      </c>
      <c r="G6361" s="20" t="s">
        <v>82</v>
      </c>
      <c r="H6361" s="20" t="s">
        <v>83</v>
      </c>
      <c r="I6361" s="20"/>
      <c r="J6361" s="20" t="s">
        <v>210</v>
      </c>
      <c r="K6361" s="20" t="s">
        <v>250</v>
      </c>
      <c r="L6361" s="20">
        <v>511980000</v>
      </c>
      <c r="M6361" s="20" t="s">
        <v>245</v>
      </c>
      <c r="N6361" s="20" t="s">
        <v>3972</v>
      </c>
    </row>
    <row r="6362" spans="1:14" hidden="1" x14ac:dyDescent="0.25">
      <c r="A6362" s="19">
        <v>46174</v>
      </c>
      <c r="B6362" s="20" t="s">
        <v>97</v>
      </c>
      <c r="C6362" s="20">
        <v>36</v>
      </c>
      <c r="D6362" s="20" t="s">
        <v>291</v>
      </c>
      <c r="E6362" s="20" t="s">
        <v>2361</v>
      </c>
      <c r="F6362" s="20" t="s">
        <v>244</v>
      </c>
      <c r="G6362" s="20" t="s">
        <v>82</v>
      </c>
      <c r="H6362" s="20" t="s">
        <v>84</v>
      </c>
      <c r="I6362" s="20"/>
      <c r="J6362" s="20" t="s">
        <v>210</v>
      </c>
      <c r="K6362" s="20" t="s">
        <v>250</v>
      </c>
      <c r="L6362" s="20">
        <v>146590000</v>
      </c>
      <c r="M6362" s="20" t="s">
        <v>245</v>
      </c>
      <c r="N6362" s="20" t="s">
        <v>3973</v>
      </c>
    </row>
    <row r="6363" spans="1:14" hidden="1" x14ac:dyDescent="0.25">
      <c r="A6363" s="19">
        <v>46174</v>
      </c>
      <c r="B6363" s="20" t="s">
        <v>97</v>
      </c>
      <c r="C6363" s="20">
        <v>36</v>
      </c>
      <c r="D6363" s="20" t="s">
        <v>291</v>
      </c>
      <c r="E6363" s="20" t="s">
        <v>2361</v>
      </c>
      <c r="F6363" s="20" t="s">
        <v>244</v>
      </c>
      <c r="G6363" s="20" t="s">
        <v>82</v>
      </c>
      <c r="H6363" s="20" t="s">
        <v>106</v>
      </c>
      <c r="I6363" s="20"/>
      <c r="J6363" s="20" t="s">
        <v>210</v>
      </c>
      <c r="K6363" s="20" t="s">
        <v>250</v>
      </c>
      <c r="L6363" s="20">
        <v>9360000</v>
      </c>
      <c r="M6363" s="20" t="s">
        <v>245</v>
      </c>
      <c r="N6363" s="20" t="s">
        <v>3974</v>
      </c>
    </row>
    <row r="6364" spans="1:14" hidden="1" x14ac:dyDescent="0.25">
      <c r="A6364" s="19">
        <v>46174</v>
      </c>
      <c r="B6364" s="20" t="s">
        <v>97</v>
      </c>
      <c r="C6364" s="20">
        <v>36</v>
      </c>
      <c r="D6364" s="20" t="s">
        <v>291</v>
      </c>
      <c r="E6364" s="20" t="s">
        <v>2361</v>
      </c>
      <c r="F6364" s="20" t="s">
        <v>244</v>
      </c>
      <c r="G6364" s="20" t="s">
        <v>82</v>
      </c>
      <c r="H6364" s="20" t="s">
        <v>105</v>
      </c>
      <c r="I6364" s="20"/>
      <c r="J6364" s="20" t="s">
        <v>210</v>
      </c>
      <c r="K6364" s="20" t="s">
        <v>250</v>
      </c>
      <c r="L6364" s="20">
        <v>3530000</v>
      </c>
      <c r="M6364" s="20" t="s">
        <v>245</v>
      </c>
      <c r="N6364" s="20" t="s">
        <v>3503</v>
      </c>
    </row>
    <row r="6365" spans="1:14" hidden="1" x14ac:dyDescent="0.25">
      <c r="A6365" s="19">
        <v>46174</v>
      </c>
      <c r="B6365" s="20" t="s">
        <v>97</v>
      </c>
      <c r="C6365" s="20">
        <v>37</v>
      </c>
      <c r="D6365" s="20" t="s">
        <v>291</v>
      </c>
      <c r="E6365" s="20" t="s">
        <v>2361</v>
      </c>
      <c r="F6365" s="20" t="s">
        <v>244</v>
      </c>
      <c r="G6365" s="20" t="s">
        <v>82</v>
      </c>
      <c r="H6365" s="20" t="s">
        <v>83</v>
      </c>
      <c r="I6365" s="20" t="s">
        <v>315</v>
      </c>
      <c r="J6365" s="20" t="s">
        <v>210</v>
      </c>
      <c r="K6365" s="20" t="s">
        <v>250</v>
      </c>
      <c r="L6365" s="20"/>
      <c r="M6365" s="20" t="s">
        <v>251</v>
      </c>
      <c r="N6365" s="20" t="s">
        <v>3975</v>
      </c>
    </row>
    <row r="6366" spans="1:14" hidden="1" x14ac:dyDescent="0.25">
      <c r="A6366" s="19">
        <v>46174</v>
      </c>
      <c r="B6366" s="20" t="s">
        <v>97</v>
      </c>
      <c r="C6366" s="20">
        <v>37</v>
      </c>
      <c r="D6366" s="20" t="s">
        <v>291</v>
      </c>
      <c r="E6366" s="20" t="s">
        <v>2361</v>
      </c>
      <c r="F6366" s="20" t="s">
        <v>244</v>
      </c>
      <c r="G6366" s="20" t="s">
        <v>82</v>
      </c>
      <c r="H6366" s="20" t="s">
        <v>83</v>
      </c>
      <c r="I6366" s="20" t="s">
        <v>317</v>
      </c>
      <c r="J6366" s="20" t="s">
        <v>210</v>
      </c>
      <c r="K6366" s="20" t="s">
        <v>250</v>
      </c>
      <c r="L6366" s="20"/>
      <c r="M6366" s="20" t="s">
        <v>251</v>
      </c>
      <c r="N6366" s="20" t="s">
        <v>3976</v>
      </c>
    </row>
    <row r="6367" spans="1:14" hidden="1" x14ac:dyDescent="0.25">
      <c r="A6367" s="19">
        <v>46174</v>
      </c>
      <c r="B6367" s="20" t="s">
        <v>97</v>
      </c>
      <c r="C6367" s="20">
        <v>37</v>
      </c>
      <c r="D6367" s="20" t="s">
        <v>291</v>
      </c>
      <c r="E6367" s="20" t="s">
        <v>2361</v>
      </c>
      <c r="F6367" s="20" t="s">
        <v>244</v>
      </c>
      <c r="G6367" s="20" t="s">
        <v>82</v>
      </c>
      <c r="H6367" s="20" t="s">
        <v>83</v>
      </c>
      <c r="I6367" s="20" t="s">
        <v>2785</v>
      </c>
      <c r="J6367" s="20" t="s">
        <v>210</v>
      </c>
      <c r="K6367" s="20" t="s">
        <v>250</v>
      </c>
      <c r="L6367" s="20"/>
      <c r="M6367" s="20" t="s">
        <v>251</v>
      </c>
      <c r="N6367" s="20" t="s">
        <v>611</v>
      </c>
    </row>
    <row r="6368" spans="1:14" hidden="1" x14ac:dyDescent="0.25">
      <c r="A6368" s="19">
        <v>46174</v>
      </c>
      <c r="B6368" s="20" t="s">
        <v>97</v>
      </c>
      <c r="C6368" s="20">
        <v>37</v>
      </c>
      <c r="D6368" s="20" t="s">
        <v>291</v>
      </c>
      <c r="E6368" s="20" t="s">
        <v>2361</v>
      </c>
      <c r="F6368" s="20" t="s">
        <v>244</v>
      </c>
      <c r="G6368" s="20" t="s">
        <v>82</v>
      </c>
      <c r="H6368" s="20" t="s">
        <v>83</v>
      </c>
      <c r="I6368" s="20" t="s">
        <v>497</v>
      </c>
      <c r="J6368" s="20" t="s">
        <v>210</v>
      </c>
      <c r="K6368" s="20" t="s">
        <v>250</v>
      </c>
      <c r="L6368" s="20"/>
      <c r="M6368" s="20" t="s">
        <v>251</v>
      </c>
      <c r="N6368" s="20" t="s">
        <v>3977</v>
      </c>
    </row>
    <row r="6369" spans="1:14" hidden="1" x14ac:dyDescent="0.25">
      <c r="A6369" s="19">
        <v>46174</v>
      </c>
      <c r="B6369" s="20" t="s">
        <v>97</v>
      </c>
      <c r="C6369" s="20">
        <v>37</v>
      </c>
      <c r="D6369" s="20" t="s">
        <v>291</v>
      </c>
      <c r="E6369" s="20" t="s">
        <v>2361</v>
      </c>
      <c r="F6369" s="20" t="s">
        <v>244</v>
      </c>
      <c r="G6369" s="20" t="s">
        <v>82</v>
      </c>
      <c r="H6369" s="20" t="s">
        <v>83</v>
      </c>
      <c r="I6369" s="20" t="s">
        <v>503</v>
      </c>
      <c r="J6369" s="20" t="s">
        <v>210</v>
      </c>
      <c r="K6369" s="20" t="s">
        <v>250</v>
      </c>
      <c r="L6369" s="20"/>
      <c r="M6369" s="20" t="s">
        <v>251</v>
      </c>
      <c r="N6369" s="20" t="s">
        <v>1266</v>
      </c>
    </row>
    <row r="6370" spans="1:14" hidden="1" x14ac:dyDescent="0.25">
      <c r="A6370" s="19">
        <v>46174</v>
      </c>
      <c r="B6370" s="20" t="s">
        <v>97</v>
      </c>
      <c r="C6370" s="20">
        <v>37</v>
      </c>
      <c r="D6370" s="20" t="s">
        <v>291</v>
      </c>
      <c r="E6370" s="20" t="s">
        <v>2361</v>
      </c>
      <c r="F6370" s="20" t="s">
        <v>244</v>
      </c>
      <c r="G6370" s="20" t="s">
        <v>82</v>
      </c>
      <c r="H6370" s="20" t="s">
        <v>83</v>
      </c>
      <c r="I6370" s="20" t="s">
        <v>2413</v>
      </c>
      <c r="J6370" s="20" t="s">
        <v>210</v>
      </c>
      <c r="K6370" s="20" t="s">
        <v>250</v>
      </c>
      <c r="L6370" s="20"/>
      <c r="M6370" s="20" t="s">
        <v>251</v>
      </c>
      <c r="N6370" s="20" t="s">
        <v>3978</v>
      </c>
    </row>
    <row r="6371" spans="1:14" hidden="1" x14ac:dyDescent="0.25">
      <c r="A6371" s="19">
        <v>46174</v>
      </c>
      <c r="B6371" s="20" t="s">
        <v>97</v>
      </c>
      <c r="C6371" s="20">
        <v>37</v>
      </c>
      <c r="D6371" s="20" t="s">
        <v>291</v>
      </c>
      <c r="E6371" s="20" t="s">
        <v>2361</v>
      </c>
      <c r="F6371" s="20" t="s">
        <v>244</v>
      </c>
      <c r="G6371" s="20" t="s">
        <v>82</v>
      </c>
      <c r="H6371" s="20" t="s">
        <v>83</v>
      </c>
      <c r="I6371" s="20" t="s">
        <v>2414</v>
      </c>
      <c r="J6371" s="20" t="s">
        <v>210</v>
      </c>
      <c r="K6371" s="20" t="s">
        <v>250</v>
      </c>
      <c r="L6371" s="20"/>
      <c r="M6371" s="20" t="s">
        <v>251</v>
      </c>
      <c r="N6371" s="20" t="s">
        <v>731</v>
      </c>
    </row>
    <row r="6372" spans="1:14" hidden="1" x14ac:dyDescent="0.25">
      <c r="A6372" s="19">
        <v>46174</v>
      </c>
      <c r="B6372" s="20" t="s">
        <v>97</v>
      </c>
      <c r="C6372" s="20">
        <v>37</v>
      </c>
      <c r="D6372" s="20" t="s">
        <v>291</v>
      </c>
      <c r="E6372" s="20" t="s">
        <v>2361</v>
      </c>
      <c r="F6372" s="20" t="s">
        <v>244</v>
      </c>
      <c r="G6372" s="20" t="s">
        <v>82</v>
      </c>
      <c r="H6372" s="20" t="s">
        <v>84</v>
      </c>
      <c r="I6372" s="20" t="s">
        <v>319</v>
      </c>
      <c r="J6372" s="20" t="s">
        <v>210</v>
      </c>
      <c r="K6372" s="20" t="s">
        <v>250</v>
      </c>
      <c r="L6372" s="20"/>
      <c r="M6372" s="20" t="s">
        <v>251</v>
      </c>
      <c r="N6372" s="20" t="s">
        <v>3979</v>
      </c>
    </row>
    <row r="6373" spans="1:14" hidden="1" x14ac:dyDescent="0.25">
      <c r="A6373" s="19">
        <v>46174</v>
      </c>
      <c r="B6373" s="20" t="s">
        <v>97</v>
      </c>
      <c r="C6373" s="20">
        <v>37</v>
      </c>
      <c r="D6373" s="20" t="s">
        <v>291</v>
      </c>
      <c r="E6373" s="20" t="s">
        <v>2361</v>
      </c>
      <c r="F6373" s="20" t="s">
        <v>244</v>
      </c>
      <c r="G6373" s="20" t="s">
        <v>82</v>
      </c>
      <c r="H6373" s="20" t="s">
        <v>84</v>
      </c>
      <c r="I6373" s="20" t="s">
        <v>321</v>
      </c>
      <c r="J6373" s="20" t="s">
        <v>210</v>
      </c>
      <c r="K6373" s="20" t="s">
        <v>250</v>
      </c>
      <c r="L6373" s="20"/>
      <c r="M6373" s="20" t="s">
        <v>251</v>
      </c>
      <c r="N6373" s="20" t="s">
        <v>3980</v>
      </c>
    </row>
    <row r="6374" spans="1:14" hidden="1" x14ac:dyDescent="0.25">
      <c r="A6374" s="19">
        <v>46174</v>
      </c>
      <c r="B6374" s="20" t="s">
        <v>97</v>
      </c>
      <c r="C6374" s="20">
        <v>37</v>
      </c>
      <c r="D6374" s="20" t="s">
        <v>291</v>
      </c>
      <c r="E6374" s="20" t="s">
        <v>2361</v>
      </c>
      <c r="F6374" s="20" t="s">
        <v>244</v>
      </c>
      <c r="G6374" s="20" t="s">
        <v>82</v>
      </c>
      <c r="H6374" s="20" t="s">
        <v>106</v>
      </c>
      <c r="I6374" s="20" t="s">
        <v>493</v>
      </c>
      <c r="J6374" s="20" t="s">
        <v>210</v>
      </c>
      <c r="K6374" s="20" t="s">
        <v>250</v>
      </c>
      <c r="L6374" s="20"/>
      <c r="M6374" s="20" t="s">
        <v>251</v>
      </c>
      <c r="N6374" s="20" t="s">
        <v>3981</v>
      </c>
    </row>
    <row r="6375" spans="1:14" hidden="1" x14ac:dyDescent="0.25">
      <c r="A6375" s="19">
        <v>46174</v>
      </c>
      <c r="B6375" s="20" t="s">
        <v>97</v>
      </c>
      <c r="C6375" s="20">
        <v>37</v>
      </c>
      <c r="D6375" s="20" t="s">
        <v>291</v>
      </c>
      <c r="E6375" s="20" t="s">
        <v>2361</v>
      </c>
      <c r="F6375" s="20" t="s">
        <v>244</v>
      </c>
      <c r="G6375" s="20" t="s">
        <v>82</v>
      </c>
      <c r="H6375" s="20" t="s">
        <v>106</v>
      </c>
      <c r="I6375" s="20" t="s">
        <v>491</v>
      </c>
      <c r="J6375" s="20" t="s">
        <v>210</v>
      </c>
      <c r="K6375" s="20" t="s">
        <v>250</v>
      </c>
      <c r="L6375" s="20"/>
      <c r="M6375" s="20" t="s">
        <v>251</v>
      </c>
      <c r="N6375" s="20" t="s">
        <v>3982</v>
      </c>
    </row>
    <row r="6376" spans="1:14" hidden="1" x14ac:dyDescent="0.25">
      <c r="A6376" s="19">
        <v>46174</v>
      </c>
      <c r="B6376" s="20" t="s">
        <v>97</v>
      </c>
      <c r="C6376" s="20">
        <v>37</v>
      </c>
      <c r="D6376" s="20" t="s">
        <v>291</v>
      </c>
      <c r="E6376" s="20" t="s">
        <v>2361</v>
      </c>
      <c r="F6376" s="20" t="s">
        <v>244</v>
      </c>
      <c r="G6376" s="20" t="s">
        <v>82</v>
      </c>
      <c r="H6376" s="20" t="s">
        <v>105</v>
      </c>
      <c r="I6376" s="20" t="s">
        <v>493</v>
      </c>
      <c r="J6376" s="20" t="s">
        <v>210</v>
      </c>
      <c r="K6376" s="20" t="s">
        <v>250</v>
      </c>
      <c r="L6376" s="20"/>
      <c r="M6376" s="20" t="s">
        <v>251</v>
      </c>
      <c r="N6376" s="20" t="s">
        <v>3983</v>
      </c>
    </row>
    <row r="6377" spans="1:14" hidden="1" x14ac:dyDescent="0.25">
      <c r="A6377" s="19">
        <v>46174</v>
      </c>
      <c r="B6377" s="20" t="s">
        <v>97</v>
      </c>
      <c r="C6377" s="20">
        <v>37</v>
      </c>
      <c r="D6377" s="20" t="s">
        <v>291</v>
      </c>
      <c r="E6377" s="20" t="s">
        <v>2361</v>
      </c>
      <c r="F6377" s="20" t="s">
        <v>244</v>
      </c>
      <c r="G6377" s="20" t="s">
        <v>82</v>
      </c>
      <c r="H6377" s="20" t="s">
        <v>105</v>
      </c>
      <c r="I6377" s="20" t="s">
        <v>491</v>
      </c>
      <c r="J6377" s="20" t="s">
        <v>210</v>
      </c>
      <c r="K6377" s="20" t="s">
        <v>250</v>
      </c>
      <c r="L6377" s="20"/>
      <c r="M6377" s="20" t="s">
        <v>251</v>
      </c>
      <c r="N6377" s="20" t="s">
        <v>3984</v>
      </c>
    </row>
    <row r="6378" spans="1:14" hidden="1" x14ac:dyDescent="0.25">
      <c r="A6378" s="19">
        <v>46174</v>
      </c>
      <c r="B6378" s="20" t="s">
        <v>97</v>
      </c>
      <c r="C6378" s="20">
        <v>38</v>
      </c>
      <c r="D6378" s="20" t="s">
        <v>253</v>
      </c>
      <c r="E6378" s="20" t="s">
        <v>2359</v>
      </c>
      <c r="F6378" s="20" t="s">
        <v>334</v>
      </c>
      <c r="G6378" s="20" t="s">
        <v>82</v>
      </c>
      <c r="H6378" s="20"/>
      <c r="I6378" s="20"/>
      <c r="J6378" s="20" t="s">
        <v>208</v>
      </c>
      <c r="K6378" s="20" t="s">
        <v>255</v>
      </c>
      <c r="L6378" s="20">
        <v>45</v>
      </c>
      <c r="M6378" s="20" t="s">
        <v>245</v>
      </c>
      <c r="N6378" s="20" t="s">
        <v>2183</v>
      </c>
    </row>
    <row r="6379" spans="1:14" hidden="1" x14ac:dyDescent="0.25">
      <c r="A6379" s="19">
        <v>46174</v>
      </c>
      <c r="B6379" s="20" t="s">
        <v>97</v>
      </c>
      <c r="C6379" s="20">
        <v>38</v>
      </c>
      <c r="D6379" s="20" t="s">
        <v>253</v>
      </c>
      <c r="E6379" s="20" t="s">
        <v>2359</v>
      </c>
      <c r="F6379" s="20" t="s">
        <v>334</v>
      </c>
      <c r="G6379" s="20" t="s">
        <v>82</v>
      </c>
      <c r="H6379" s="20"/>
      <c r="I6379" s="20"/>
      <c r="J6379" s="20" t="s">
        <v>209</v>
      </c>
      <c r="K6379" s="20" t="s">
        <v>255</v>
      </c>
      <c r="L6379" s="20">
        <v>47</v>
      </c>
      <c r="M6379" s="20" t="s">
        <v>245</v>
      </c>
      <c r="N6379" s="20" t="s">
        <v>3840</v>
      </c>
    </row>
    <row r="6380" spans="1:14" hidden="1" x14ac:dyDescent="0.25">
      <c r="A6380" s="19">
        <v>46174</v>
      </c>
      <c r="B6380" s="20" t="s">
        <v>97</v>
      </c>
      <c r="C6380" s="20">
        <v>38</v>
      </c>
      <c r="D6380" s="20" t="s">
        <v>253</v>
      </c>
      <c r="E6380" s="20" t="s">
        <v>2359</v>
      </c>
      <c r="F6380" s="20" t="s">
        <v>334</v>
      </c>
      <c r="G6380" s="20" t="s">
        <v>82</v>
      </c>
      <c r="H6380" s="20"/>
      <c r="I6380" s="20"/>
      <c r="J6380" s="20" t="s">
        <v>210</v>
      </c>
      <c r="K6380" s="20" t="s">
        <v>255</v>
      </c>
      <c r="L6380" s="20">
        <v>45</v>
      </c>
      <c r="M6380" s="20" t="s">
        <v>245</v>
      </c>
      <c r="N6380" s="20" t="s">
        <v>2183</v>
      </c>
    </row>
    <row r="6381" spans="1:14" hidden="1" x14ac:dyDescent="0.25">
      <c r="A6381" s="19">
        <v>46174</v>
      </c>
      <c r="B6381" s="20" t="s">
        <v>97</v>
      </c>
      <c r="C6381" s="20">
        <v>39</v>
      </c>
      <c r="D6381" s="20" t="s">
        <v>291</v>
      </c>
      <c r="E6381" s="20" t="s">
        <v>2361</v>
      </c>
      <c r="F6381" s="20" t="s">
        <v>428</v>
      </c>
      <c r="G6381" s="20" t="s">
        <v>82</v>
      </c>
      <c r="H6381" s="20" t="s">
        <v>95</v>
      </c>
      <c r="I6381" s="20"/>
      <c r="J6381" s="20" t="s">
        <v>210</v>
      </c>
      <c r="K6381" s="20" t="s">
        <v>250</v>
      </c>
      <c r="L6381" s="20">
        <v>5730000</v>
      </c>
      <c r="M6381" s="20" t="s">
        <v>242</v>
      </c>
      <c r="N6381" s="20" t="s">
        <v>1070</v>
      </c>
    </row>
    <row r="6382" spans="1:14" hidden="1" x14ac:dyDescent="0.25">
      <c r="A6382" s="19">
        <v>46174</v>
      </c>
      <c r="B6382" s="20" t="s">
        <v>97</v>
      </c>
      <c r="C6382" s="20">
        <v>39</v>
      </c>
      <c r="D6382" s="20" t="s">
        <v>291</v>
      </c>
      <c r="E6382" s="20" t="s">
        <v>2361</v>
      </c>
      <c r="F6382" s="20" t="s">
        <v>428</v>
      </c>
      <c r="G6382" s="20" t="s">
        <v>82</v>
      </c>
      <c r="H6382" s="20" t="s">
        <v>94</v>
      </c>
      <c r="I6382" s="20"/>
      <c r="J6382" s="20" t="s">
        <v>210</v>
      </c>
      <c r="K6382" s="20" t="s">
        <v>250</v>
      </c>
      <c r="L6382" s="20">
        <v>2960000</v>
      </c>
      <c r="M6382" s="20" t="s">
        <v>242</v>
      </c>
      <c r="N6382" s="20" t="s">
        <v>3985</v>
      </c>
    </row>
    <row r="6383" spans="1:14" hidden="1" x14ac:dyDescent="0.25">
      <c r="A6383" s="19">
        <v>46174</v>
      </c>
      <c r="B6383" s="20" t="s">
        <v>97</v>
      </c>
      <c r="C6383" s="20">
        <v>40</v>
      </c>
      <c r="D6383" s="20" t="s">
        <v>291</v>
      </c>
      <c r="E6383" s="20" t="s">
        <v>2361</v>
      </c>
      <c r="F6383" s="20" t="s">
        <v>445</v>
      </c>
      <c r="G6383" s="20" t="s">
        <v>82</v>
      </c>
      <c r="H6383" s="20" t="s">
        <v>95</v>
      </c>
      <c r="I6383" s="20"/>
      <c r="J6383" s="20" t="s">
        <v>210</v>
      </c>
      <c r="K6383" s="20" t="s">
        <v>250</v>
      </c>
      <c r="L6383" s="20">
        <v>143150000</v>
      </c>
      <c r="M6383" s="20" t="s">
        <v>245</v>
      </c>
      <c r="N6383" s="20" t="s">
        <v>3986</v>
      </c>
    </row>
    <row r="6384" spans="1:14" hidden="1" x14ac:dyDescent="0.25">
      <c r="A6384" s="19">
        <v>46174</v>
      </c>
      <c r="B6384" s="20" t="s">
        <v>97</v>
      </c>
      <c r="C6384" s="20">
        <v>40</v>
      </c>
      <c r="D6384" s="20" t="s">
        <v>291</v>
      </c>
      <c r="E6384" s="20" t="s">
        <v>2361</v>
      </c>
      <c r="F6384" s="20" t="s">
        <v>445</v>
      </c>
      <c r="G6384" s="20" t="s">
        <v>82</v>
      </c>
      <c r="H6384" s="20" t="s">
        <v>94</v>
      </c>
      <c r="I6384" s="20"/>
      <c r="J6384" s="20" t="s">
        <v>210</v>
      </c>
      <c r="K6384" s="20" t="s">
        <v>250</v>
      </c>
      <c r="L6384" s="20">
        <v>97260000</v>
      </c>
      <c r="M6384" s="20" t="s">
        <v>245</v>
      </c>
      <c r="N6384" s="20" t="s">
        <v>3987</v>
      </c>
    </row>
    <row r="6385" spans="1:14" hidden="1" x14ac:dyDescent="0.25">
      <c r="A6385" s="19">
        <v>46174</v>
      </c>
      <c r="B6385" s="20" t="s">
        <v>162</v>
      </c>
      <c r="C6385" s="20">
        <v>42</v>
      </c>
      <c r="D6385" s="20" t="s">
        <v>238</v>
      </c>
      <c r="E6385" s="20" t="s">
        <v>2341</v>
      </c>
      <c r="F6385" s="20" t="s">
        <v>240</v>
      </c>
      <c r="G6385" s="20" t="s">
        <v>82</v>
      </c>
      <c r="H6385" s="20"/>
      <c r="I6385" s="20"/>
      <c r="J6385" s="20" t="s">
        <v>3927</v>
      </c>
      <c r="K6385" s="20" t="s">
        <v>241</v>
      </c>
      <c r="L6385" s="20">
        <v>193510000</v>
      </c>
      <c r="M6385" s="20" t="s">
        <v>242</v>
      </c>
      <c r="N6385" s="20" t="s">
        <v>3988</v>
      </c>
    </row>
    <row r="6386" spans="1:14" hidden="1" x14ac:dyDescent="0.25">
      <c r="A6386" s="19">
        <v>46174</v>
      </c>
      <c r="B6386" s="20" t="s">
        <v>162</v>
      </c>
      <c r="C6386" s="20">
        <v>42</v>
      </c>
      <c r="D6386" s="20" t="s">
        <v>238</v>
      </c>
      <c r="E6386" s="20" t="s">
        <v>2341</v>
      </c>
      <c r="F6386" s="20" t="s">
        <v>244</v>
      </c>
      <c r="G6386" s="20" t="s">
        <v>82</v>
      </c>
      <c r="H6386" s="20"/>
      <c r="I6386" s="20"/>
      <c r="J6386" s="20" t="s">
        <v>3927</v>
      </c>
      <c r="K6386" s="20" t="s">
        <v>241</v>
      </c>
      <c r="L6386" s="20">
        <v>15640000000</v>
      </c>
      <c r="M6386" s="20" t="s">
        <v>245</v>
      </c>
      <c r="N6386" s="20" t="s">
        <v>3989</v>
      </c>
    </row>
    <row r="6387" spans="1:14" hidden="1" x14ac:dyDescent="0.25">
      <c r="A6387" s="19">
        <v>46174</v>
      </c>
      <c r="B6387" s="20" t="s">
        <v>162</v>
      </c>
      <c r="C6387" s="20">
        <v>43</v>
      </c>
      <c r="D6387" s="20" t="s">
        <v>253</v>
      </c>
      <c r="E6387" s="20" t="s">
        <v>2359</v>
      </c>
      <c r="F6387" s="20" t="s">
        <v>1194</v>
      </c>
      <c r="G6387" s="20" t="s">
        <v>82</v>
      </c>
      <c r="H6387" s="20"/>
      <c r="I6387" s="20"/>
      <c r="J6387" s="20" t="s">
        <v>208</v>
      </c>
      <c r="K6387" s="20" t="s">
        <v>255</v>
      </c>
      <c r="L6387" s="20">
        <v>32620000</v>
      </c>
      <c r="M6387" s="20" t="s">
        <v>242</v>
      </c>
      <c r="N6387" s="20" t="s">
        <v>3705</v>
      </c>
    </row>
    <row r="6388" spans="1:14" hidden="1" x14ac:dyDescent="0.25">
      <c r="A6388" s="19">
        <v>46174</v>
      </c>
      <c r="B6388" s="20" t="s">
        <v>162</v>
      </c>
      <c r="C6388" s="20">
        <v>43</v>
      </c>
      <c r="D6388" s="20" t="s">
        <v>253</v>
      </c>
      <c r="E6388" s="20" t="s">
        <v>2359</v>
      </c>
      <c r="F6388" s="20" t="s">
        <v>1194</v>
      </c>
      <c r="G6388" s="20" t="s">
        <v>82</v>
      </c>
      <c r="H6388" s="20"/>
      <c r="I6388" s="20"/>
      <c r="J6388" s="20" t="s">
        <v>209</v>
      </c>
      <c r="K6388" s="20" t="s">
        <v>255</v>
      </c>
      <c r="L6388" s="20">
        <v>36410000</v>
      </c>
      <c r="M6388" s="20" t="s">
        <v>242</v>
      </c>
      <c r="N6388" s="20" t="s">
        <v>3847</v>
      </c>
    </row>
    <row r="6389" spans="1:14" hidden="1" x14ac:dyDescent="0.25">
      <c r="A6389" s="19">
        <v>46174</v>
      </c>
      <c r="B6389" s="20" t="s">
        <v>162</v>
      </c>
      <c r="C6389" s="20">
        <v>43</v>
      </c>
      <c r="D6389" s="20" t="s">
        <v>253</v>
      </c>
      <c r="E6389" s="20" t="s">
        <v>2359</v>
      </c>
      <c r="F6389" s="20" t="s">
        <v>1194</v>
      </c>
      <c r="G6389" s="20" t="s">
        <v>82</v>
      </c>
      <c r="H6389" s="20"/>
      <c r="I6389" s="20"/>
      <c r="J6389" s="20" t="s">
        <v>210</v>
      </c>
      <c r="K6389" s="20" t="s">
        <v>255</v>
      </c>
      <c r="L6389" s="20">
        <v>35750000</v>
      </c>
      <c r="M6389" s="20" t="s">
        <v>242</v>
      </c>
      <c r="N6389" s="20" t="s">
        <v>3990</v>
      </c>
    </row>
    <row r="6390" spans="1:14" hidden="1" x14ac:dyDescent="0.25">
      <c r="A6390" s="19">
        <v>46174</v>
      </c>
      <c r="B6390" s="20" t="s">
        <v>162</v>
      </c>
      <c r="C6390" s="20">
        <v>43</v>
      </c>
      <c r="D6390" s="20" t="s">
        <v>247</v>
      </c>
      <c r="E6390" s="20" t="s">
        <v>2554</v>
      </c>
      <c r="F6390" s="20" t="s">
        <v>2559</v>
      </c>
      <c r="G6390" s="20" t="s">
        <v>82</v>
      </c>
      <c r="H6390" s="20" t="s">
        <v>249</v>
      </c>
      <c r="I6390" s="20"/>
      <c r="J6390" s="20" t="s">
        <v>210</v>
      </c>
      <c r="K6390" s="20" t="s">
        <v>250</v>
      </c>
      <c r="L6390" s="20">
        <v>1.8</v>
      </c>
      <c r="M6390" s="20" t="s">
        <v>251</v>
      </c>
      <c r="N6390" s="20" t="s">
        <v>461</v>
      </c>
    </row>
    <row r="6391" spans="1:14" hidden="1" x14ac:dyDescent="0.25">
      <c r="A6391" s="19">
        <v>46174</v>
      </c>
      <c r="B6391" s="20" t="s">
        <v>162</v>
      </c>
      <c r="C6391" s="20">
        <v>44</v>
      </c>
      <c r="D6391" s="20" t="s">
        <v>291</v>
      </c>
      <c r="E6391" s="20" t="s">
        <v>2361</v>
      </c>
      <c r="F6391" s="20" t="s">
        <v>2445</v>
      </c>
      <c r="G6391" s="20" t="s">
        <v>82</v>
      </c>
      <c r="H6391" s="20" t="s">
        <v>2446</v>
      </c>
      <c r="I6391" s="20" t="s">
        <v>2447</v>
      </c>
      <c r="J6391" s="20" t="s">
        <v>210</v>
      </c>
      <c r="K6391" s="20" t="s">
        <v>250</v>
      </c>
      <c r="L6391" s="20">
        <v>13990000</v>
      </c>
      <c r="M6391" s="20" t="s">
        <v>242</v>
      </c>
      <c r="N6391" s="20" t="s">
        <v>3991</v>
      </c>
    </row>
    <row r="6392" spans="1:14" hidden="1" x14ac:dyDescent="0.25">
      <c r="A6392" s="19">
        <v>46174</v>
      </c>
      <c r="B6392" s="20" t="s">
        <v>162</v>
      </c>
      <c r="C6392" s="20">
        <v>44</v>
      </c>
      <c r="D6392" s="20" t="s">
        <v>291</v>
      </c>
      <c r="E6392" s="20" t="s">
        <v>2361</v>
      </c>
      <c r="F6392" s="20" t="s">
        <v>2445</v>
      </c>
      <c r="G6392" s="20" t="s">
        <v>82</v>
      </c>
      <c r="H6392" s="20" t="s">
        <v>2449</v>
      </c>
      <c r="I6392" s="20" t="s">
        <v>2447</v>
      </c>
      <c r="J6392" s="20" t="s">
        <v>210</v>
      </c>
      <c r="K6392" s="20" t="s">
        <v>250</v>
      </c>
      <c r="L6392" s="20">
        <v>4330000</v>
      </c>
      <c r="M6392" s="20" t="s">
        <v>242</v>
      </c>
      <c r="N6392" s="20" t="s">
        <v>3992</v>
      </c>
    </row>
    <row r="6393" spans="1:14" hidden="1" x14ac:dyDescent="0.25">
      <c r="A6393" s="19">
        <v>46174</v>
      </c>
      <c r="B6393" s="20" t="s">
        <v>162</v>
      </c>
      <c r="C6393" s="20">
        <v>44</v>
      </c>
      <c r="D6393" s="20" t="s">
        <v>291</v>
      </c>
      <c r="E6393" s="20" t="s">
        <v>2361</v>
      </c>
      <c r="F6393" s="20" t="s">
        <v>2445</v>
      </c>
      <c r="G6393" s="20" t="s">
        <v>82</v>
      </c>
      <c r="H6393" s="20" t="s">
        <v>2446</v>
      </c>
      <c r="I6393" s="20" t="s">
        <v>2451</v>
      </c>
      <c r="J6393" s="20" t="s">
        <v>210</v>
      </c>
      <c r="K6393" s="20" t="s">
        <v>250</v>
      </c>
      <c r="L6393" s="20">
        <v>6950000</v>
      </c>
      <c r="M6393" s="20" t="s">
        <v>242</v>
      </c>
      <c r="N6393" s="20" t="s">
        <v>3993</v>
      </c>
    </row>
    <row r="6394" spans="1:14" hidden="1" x14ac:dyDescent="0.25">
      <c r="A6394" s="19">
        <v>46174</v>
      </c>
      <c r="B6394" s="20" t="s">
        <v>162</v>
      </c>
      <c r="C6394" s="20">
        <v>44</v>
      </c>
      <c r="D6394" s="20" t="s">
        <v>291</v>
      </c>
      <c r="E6394" s="20" t="s">
        <v>2361</v>
      </c>
      <c r="F6394" s="20" t="s">
        <v>2445</v>
      </c>
      <c r="G6394" s="20" t="s">
        <v>82</v>
      </c>
      <c r="H6394" s="20" t="s">
        <v>2449</v>
      </c>
      <c r="I6394" s="20" t="s">
        <v>2451</v>
      </c>
      <c r="J6394" s="20" t="s">
        <v>210</v>
      </c>
      <c r="K6394" s="20" t="s">
        <v>250</v>
      </c>
      <c r="L6394" s="20">
        <v>10230000</v>
      </c>
      <c r="M6394" s="20" t="s">
        <v>242</v>
      </c>
      <c r="N6394" s="20" t="s">
        <v>3994</v>
      </c>
    </row>
    <row r="6395" spans="1:14" hidden="1" x14ac:dyDescent="0.25">
      <c r="A6395" s="19">
        <v>46174</v>
      </c>
      <c r="B6395" s="20" t="s">
        <v>162</v>
      </c>
      <c r="C6395" s="20">
        <v>44</v>
      </c>
      <c r="D6395" s="20" t="s">
        <v>291</v>
      </c>
      <c r="E6395" s="20" t="s">
        <v>2361</v>
      </c>
      <c r="F6395" s="20" t="s">
        <v>2445</v>
      </c>
      <c r="G6395" s="20" t="s">
        <v>82</v>
      </c>
      <c r="H6395" s="20" t="s">
        <v>2446</v>
      </c>
      <c r="I6395" s="20" t="s">
        <v>2454</v>
      </c>
      <c r="J6395" s="20" t="s">
        <v>210</v>
      </c>
      <c r="K6395" s="20" t="s">
        <v>250</v>
      </c>
      <c r="L6395" s="20">
        <v>18240</v>
      </c>
      <c r="M6395" s="20" t="s">
        <v>242</v>
      </c>
      <c r="N6395" s="20" t="s">
        <v>3995</v>
      </c>
    </row>
    <row r="6396" spans="1:14" hidden="1" x14ac:dyDescent="0.25">
      <c r="A6396" s="19">
        <v>46174</v>
      </c>
      <c r="B6396" s="20" t="s">
        <v>162</v>
      </c>
      <c r="C6396" s="20">
        <v>44</v>
      </c>
      <c r="D6396" s="20" t="s">
        <v>291</v>
      </c>
      <c r="E6396" s="20" t="s">
        <v>2361</v>
      </c>
      <c r="F6396" s="20" t="s">
        <v>2445</v>
      </c>
      <c r="G6396" s="20" t="s">
        <v>82</v>
      </c>
      <c r="H6396" s="20" t="s">
        <v>2449</v>
      </c>
      <c r="I6396" s="20" t="s">
        <v>2454</v>
      </c>
      <c r="J6396" s="20" t="s">
        <v>210</v>
      </c>
      <c r="K6396" s="20" t="s">
        <v>250</v>
      </c>
      <c r="L6396" s="20">
        <v>229190</v>
      </c>
      <c r="M6396" s="20" t="s">
        <v>242</v>
      </c>
      <c r="N6396" s="20" t="s">
        <v>3996</v>
      </c>
    </row>
    <row r="6397" spans="1:14" hidden="1" x14ac:dyDescent="0.25">
      <c r="A6397" s="19">
        <v>46174</v>
      </c>
      <c r="B6397" s="20" t="s">
        <v>162</v>
      </c>
      <c r="C6397" s="20">
        <v>45</v>
      </c>
      <c r="D6397" s="20" t="s">
        <v>253</v>
      </c>
      <c r="E6397" s="20" t="s">
        <v>2359</v>
      </c>
      <c r="F6397" s="20" t="s">
        <v>2457</v>
      </c>
      <c r="G6397" s="20" t="s">
        <v>82</v>
      </c>
      <c r="H6397" s="20"/>
      <c r="I6397" s="20"/>
      <c r="J6397" s="20" t="s">
        <v>208</v>
      </c>
      <c r="K6397" s="20" t="s">
        <v>255</v>
      </c>
      <c r="L6397" s="20">
        <v>26810000</v>
      </c>
      <c r="M6397" s="20" t="s">
        <v>242</v>
      </c>
      <c r="N6397" s="20" t="s">
        <v>3710</v>
      </c>
    </row>
    <row r="6398" spans="1:14" hidden="1" x14ac:dyDescent="0.25">
      <c r="A6398" s="19">
        <v>46174</v>
      </c>
      <c r="B6398" s="20" t="s">
        <v>162</v>
      </c>
      <c r="C6398" s="20">
        <v>45</v>
      </c>
      <c r="D6398" s="20" t="s">
        <v>253</v>
      </c>
      <c r="E6398" s="20" t="s">
        <v>2359</v>
      </c>
      <c r="F6398" s="20" t="s">
        <v>2457</v>
      </c>
      <c r="G6398" s="20" t="s">
        <v>82</v>
      </c>
      <c r="H6398" s="20"/>
      <c r="I6398" s="20"/>
      <c r="J6398" s="20" t="s">
        <v>209</v>
      </c>
      <c r="K6398" s="20" t="s">
        <v>255</v>
      </c>
      <c r="L6398" s="20">
        <v>29740000</v>
      </c>
      <c r="M6398" s="20" t="s">
        <v>242</v>
      </c>
      <c r="N6398" s="20" t="s">
        <v>3852</v>
      </c>
    </row>
    <row r="6399" spans="1:14" hidden="1" x14ac:dyDescent="0.25">
      <c r="A6399" s="19">
        <v>46174</v>
      </c>
      <c r="B6399" s="20" t="s">
        <v>162</v>
      </c>
      <c r="C6399" s="20">
        <v>45</v>
      </c>
      <c r="D6399" s="20" t="s">
        <v>253</v>
      </c>
      <c r="E6399" s="20" t="s">
        <v>2359</v>
      </c>
      <c r="F6399" s="20" t="s">
        <v>2457</v>
      </c>
      <c r="G6399" s="20" t="s">
        <v>82</v>
      </c>
      <c r="H6399" s="20"/>
      <c r="I6399" s="20"/>
      <c r="J6399" s="20" t="s">
        <v>210</v>
      </c>
      <c r="K6399" s="20" t="s">
        <v>255</v>
      </c>
      <c r="L6399" s="20">
        <v>29000000</v>
      </c>
      <c r="M6399" s="20" t="s">
        <v>242</v>
      </c>
      <c r="N6399" s="20" t="s">
        <v>3997</v>
      </c>
    </row>
    <row r="6400" spans="1:14" hidden="1" x14ac:dyDescent="0.25">
      <c r="A6400" s="19">
        <v>46174</v>
      </c>
      <c r="B6400" s="20" t="s">
        <v>162</v>
      </c>
      <c r="C6400" s="20">
        <v>45</v>
      </c>
      <c r="D6400" s="20" t="s">
        <v>247</v>
      </c>
      <c r="E6400" s="20" t="s">
        <v>2554</v>
      </c>
      <c r="F6400" s="20" t="s">
        <v>2559</v>
      </c>
      <c r="G6400" s="20" t="s">
        <v>82</v>
      </c>
      <c r="H6400" s="20" t="s">
        <v>249</v>
      </c>
      <c r="I6400" s="20"/>
      <c r="J6400" s="20" t="s">
        <v>210</v>
      </c>
      <c r="K6400" s="20" t="s">
        <v>250</v>
      </c>
      <c r="L6400" s="20">
        <v>2.5</v>
      </c>
      <c r="M6400" s="20" t="s">
        <v>251</v>
      </c>
      <c r="N6400" s="20" t="s">
        <v>287</v>
      </c>
    </row>
    <row r="6401" spans="1:14" hidden="1" x14ac:dyDescent="0.25">
      <c r="A6401" s="19">
        <v>46174</v>
      </c>
      <c r="B6401" s="20" t="s">
        <v>162</v>
      </c>
      <c r="C6401" s="20">
        <v>46</v>
      </c>
      <c r="D6401" s="20" t="s">
        <v>291</v>
      </c>
      <c r="E6401" s="20" t="s">
        <v>2361</v>
      </c>
      <c r="F6401" s="20" t="s">
        <v>2457</v>
      </c>
      <c r="G6401" s="20" t="s">
        <v>82</v>
      </c>
      <c r="H6401" s="20" t="s">
        <v>95</v>
      </c>
      <c r="I6401" s="20"/>
      <c r="J6401" s="20" t="s">
        <v>210</v>
      </c>
      <c r="K6401" s="20" t="s">
        <v>250</v>
      </c>
      <c r="L6401" s="20">
        <v>8850000</v>
      </c>
      <c r="M6401" s="20" t="s">
        <v>242</v>
      </c>
      <c r="N6401" s="20" t="s">
        <v>3998</v>
      </c>
    </row>
    <row r="6402" spans="1:14" hidden="1" x14ac:dyDescent="0.25">
      <c r="A6402" s="19">
        <v>46174</v>
      </c>
      <c r="B6402" s="20" t="s">
        <v>162</v>
      </c>
      <c r="C6402" s="20">
        <v>46</v>
      </c>
      <c r="D6402" s="20" t="s">
        <v>291</v>
      </c>
      <c r="E6402" s="20" t="s">
        <v>2361</v>
      </c>
      <c r="F6402" s="20" t="s">
        <v>2457</v>
      </c>
      <c r="G6402" s="20" t="s">
        <v>82</v>
      </c>
      <c r="H6402" s="20" t="s">
        <v>94</v>
      </c>
      <c r="I6402" s="20"/>
      <c r="J6402" s="20" t="s">
        <v>210</v>
      </c>
      <c r="K6402" s="20" t="s">
        <v>250</v>
      </c>
      <c r="L6402" s="20">
        <v>20150000</v>
      </c>
      <c r="M6402" s="20" t="s">
        <v>242</v>
      </c>
      <c r="N6402" s="20" t="s">
        <v>3999</v>
      </c>
    </row>
    <row r="6403" spans="1:14" hidden="1" x14ac:dyDescent="0.25">
      <c r="A6403" s="19">
        <v>46174</v>
      </c>
      <c r="B6403" s="20" t="s">
        <v>162</v>
      </c>
      <c r="C6403" s="20">
        <v>47</v>
      </c>
      <c r="D6403" s="20" t="s">
        <v>291</v>
      </c>
      <c r="E6403" s="20" t="s">
        <v>2361</v>
      </c>
      <c r="F6403" s="20" t="s">
        <v>2460</v>
      </c>
      <c r="G6403" s="20" t="s">
        <v>82</v>
      </c>
      <c r="H6403" s="20" t="s">
        <v>174</v>
      </c>
      <c r="I6403" s="20"/>
      <c r="J6403" s="20" t="s">
        <v>210</v>
      </c>
      <c r="K6403" s="20" t="s">
        <v>250</v>
      </c>
      <c r="L6403" s="20">
        <v>3600000</v>
      </c>
      <c r="M6403" s="20" t="s">
        <v>242</v>
      </c>
      <c r="N6403" s="20" t="s">
        <v>4000</v>
      </c>
    </row>
    <row r="6404" spans="1:14" hidden="1" x14ac:dyDescent="0.25">
      <c r="A6404" s="19">
        <v>46174</v>
      </c>
      <c r="B6404" s="20" t="s">
        <v>162</v>
      </c>
      <c r="C6404" s="20">
        <v>47</v>
      </c>
      <c r="D6404" s="20" t="s">
        <v>291</v>
      </c>
      <c r="E6404" s="20" t="s">
        <v>2361</v>
      </c>
      <c r="F6404" s="20" t="s">
        <v>2460</v>
      </c>
      <c r="G6404" s="20" t="s">
        <v>82</v>
      </c>
      <c r="H6404" s="20" t="s">
        <v>173</v>
      </c>
      <c r="I6404" s="20"/>
      <c r="J6404" s="20" t="s">
        <v>210</v>
      </c>
      <c r="K6404" s="20" t="s">
        <v>250</v>
      </c>
      <c r="L6404" s="20">
        <v>5340000</v>
      </c>
      <c r="M6404" s="20" t="s">
        <v>242</v>
      </c>
      <c r="N6404" s="20" t="s">
        <v>4001</v>
      </c>
    </row>
    <row r="6405" spans="1:14" hidden="1" x14ac:dyDescent="0.25">
      <c r="A6405" s="19">
        <v>46174</v>
      </c>
      <c r="B6405" s="20" t="s">
        <v>162</v>
      </c>
      <c r="C6405" s="20">
        <v>48</v>
      </c>
      <c r="D6405" s="20" t="s">
        <v>253</v>
      </c>
      <c r="E6405" s="20" t="s">
        <v>2359</v>
      </c>
      <c r="F6405" s="20" t="s">
        <v>1196</v>
      </c>
      <c r="G6405" s="20" t="s">
        <v>82</v>
      </c>
      <c r="H6405" s="20"/>
      <c r="I6405" s="20"/>
      <c r="J6405" s="20" t="s">
        <v>208</v>
      </c>
      <c r="K6405" s="20" t="s">
        <v>255</v>
      </c>
      <c r="L6405" s="20">
        <v>2490000000</v>
      </c>
      <c r="M6405" s="20" t="s">
        <v>245</v>
      </c>
      <c r="N6405" s="20" t="s">
        <v>3713</v>
      </c>
    </row>
    <row r="6406" spans="1:14" hidden="1" x14ac:dyDescent="0.25">
      <c r="A6406" s="19">
        <v>46174</v>
      </c>
      <c r="B6406" s="20" t="s">
        <v>162</v>
      </c>
      <c r="C6406" s="20">
        <v>48</v>
      </c>
      <c r="D6406" s="20" t="s">
        <v>253</v>
      </c>
      <c r="E6406" s="20" t="s">
        <v>2359</v>
      </c>
      <c r="F6406" s="20" t="s">
        <v>1196</v>
      </c>
      <c r="G6406" s="20" t="s">
        <v>82</v>
      </c>
      <c r="H6406" s="20"/>
      <c r="I6406" s="20"/>
      <c r="J6406" s="20" t="s">
        <v>209</v>
      </c>
      <c r="K6406" s="20" t="s">
        <v>255</v>
      </c>
      <c r="L6406" s="20">
        <v>2830000000</v>
      </c>
      <c r="M6406" s="20" t="s">
        <v>245</v>
      </c>
      <c r="N6406" s="20" t="s">
        <v>3857</v>
      </c>
    </row>
    <row r="6407" spans="1:14" hidden="1" x14ac:dyDescent="0.25">
      <c r="A6407" s="19">
        <v>46174</v>
      </c>
      <c r="B6407" s="20" t="s">
        <v>162</v>
      </c>
      <c r="C6407" s="20">
        <v>48</v>
      </c>
      <c r="D6407" s="20" t="s">
        <v>253</v>
      </c>
      <c r="E6407" s="20" t="s">
        <v>2359</v>
      </c>
      <c r="F6407" s="20" t="s">
        <v>1196</v>
      </c>
      <c r="G6407" s="20" t="s">
        <v>82</v>
      </c>
      <c r="H6407" s="20"/>
      <c r="I6407" s="20"/>
      <c r="J6407" s="20" t="s">
        <v>210</v>
      </c>
      <c r="K6407" s="20" t="s">
        <v>255</v>
      </c>
      <c r="L6407" s="20">
        <v>2820000000</v>
      </c>
      <c r="M6407" s="20" t="s">
        <v>245</v>
      </c>
      <c r="N6407" s="20" t="s">
        <v>4002</v>
      </c>
    </row>
    <row r="6408" spans="1:14" hidden="1" x14ac:dyDescent="0.25">
      <c r="A6408" s="19">
        <v>46174</v>
      </c>
      <c r="B6408" s="20" t="s">
        <v>162</v>
      </c>
      <c r="C6408" s="20">
        <v>48</v>
      </c>
      <c r="D6408" s="20" t="s">
        <v>247</v>
      </c>
      <c r="E6408" s="20" t="s">
        <v>2554</v>
      </c>
      <c r="F6408" s="20" t="s">
        <v>2558</v>
      </c>
      <c r="G6408" s="20" t="s">
        <v>82</v>
      </c>
      <c r="H6408" s="20" t="s">
        <v>249</v>
      </c>
      <c r="I6408" s="20"/>
      <c r="J6408" s="20" t="s">
        <v>210</v>
      </c>
      <c r="K6408" s="20" t="s">
        <v>250</v>
      </c>
      <c r="L6408" s="20">
        <v>0.3</v>
      </c>
      <c r="M6408" s="20" t="s">
        <v>251</v>
      </c>
      <c r="N6408" s="20" t="s">
        <v>429</v>
      </c>
    </row>
    <row r="6409" spans="1:14" hidden="1" x14ac:dyDescent="0.25">
      <c r="A6409" s="19">
        <v>46174</v>
      </c>
      <c r="B6409" s="20" t="s">
        <v>162</v>
      </c>
      <c r="C6409" s="20">
        <v>49</v>
      </c>
      <c r="D6409" s="20" t="s">
        <v>291</v>
      </c>
      <c r="E6409" s="20" t="s">
        <v>2361</v>
      </c>
      <c r="F6409" s="20" t="s">
        <v>2462</v>
      </c>
      <c r="G6409" s="20" t="s">
        <v>82</v>
      </c>
      <c r="H6409" s="20" t="s">
        <v>2446</v>
      </c>
      <c r="I6409" s="20" t="s">
        <v>2447</v>
      </c>
      <c r="J6409" s="20" t="s">
        <v>210</v>
      </c>
      <c r="K6409" s="20" t="s">
        <v>250</v>
      </c>
      <c r="L6409" s="20">
        <v>1820000000</v>
      </c>
      <c r="M6409" s="20" t="s">
        <v>245</v>
      </c>
      <c r="N6409" s="20" t="s">
        <v>4003</v>
      </c>
    </row>
    <row r="6410" spans="1:14" hidden="1" x14ac:dyDescent="0.25">
      <c r="A6410" s="19">
        <v>46174</v>
      </c>
      <c r="B6410" s="20" t="s">
        <v>162</v>
      </c>
      <c r="C6410" s="20">
        <v>49</v>
      </c>
      <c r="D6410" s="20" t="s">
        <v>291</v>
      </c>
      <c r="E6410" s="20" t="s">
        <v>2361</v>
      </c>
      <c r="F6410" s="20" t="s">
        <v>2462</v>
      </c>
      <c r="G6410" s="20" t="s">
        <v>82</v>
      </c>
      <c r="H6410" s="20" t="s">
        <v>2449</v>
      </c>
      <c r="I6410" s="20" t="s">
        <v>2447</v>
      </c>
      <c r="J6410" s="20" t="s">
        <v>210</v>
      </c>
      <c r="K6410" s="20" t="s">
        <v>250</v>
      </c>
      <c r="L6410" s="20">
        <v>349400000</v>
      </c>
      <c r="M6410" s="20" t="s">
        <v>245</v>
      </c>
      <c r="N6410" s="20" t="s">
        <v>4004</v>
      </c>
    </row>
    <row r="6411" spans="1:14" hidden="1" x14ac:dyDescent="0.25">
      <c r="A6411" s="19">
        <v>46174</v>
      </c>
      <c r="B6411" s="20" t="s">
        <v>162</v>
      </c>
      <c r="C6411" s="20">
        <v>49</v>
      </c>
      <c r="D6411" s="20" t="s">
        <v>291</v>
      </c>
      <c r="E6411" s="20" t="s">
        <v>2361</v>
      </c>
      <c r="F6411" s="20" t="s">
        <v>2462</v>
      </c>
      <c r="G6411" s="20" t="s">
        <v>82</v>
      </c>
      <c r="H6411" s="20" t="s">
        <v>2446</v>
      </c>
      <c r="I6411" s="20" t="s">
        <v>2451</v>
      </c>
      <c r="J6411" s="20" t="s">
        <v>210</v>
      </c>
      <c r="K6411" s="20" t="s">
        <v>250</v>
      </c>
      <c r="L6411" s="20">
        <v>326600000</v>
      </c>
      <c r="M6411" s="20" t="s">
        <v>245</v>
      </c>
      <c r="N6411" s="20" t="s">
        <v>4005</v>
      </c>
    </row>
    <row r="6412" spans="1:14" hidden="1" x14ac:dyDescent="0.25">
      <c r="A6412" s="19">
        <v>46174</v>
      </c>
      <c r="B6412" s="20" t="s">
        <v>162</v>
      </c>
      <c r="C6412" s="20">
        <v>49</v>
      </c>
      <c r="D6412" s="20" t="s">
        <v>291</v>
      </c>
      <c r="E6412" s="20" t="s">
        <v>2361</v>
      </c>
      <c r="F6412" s="20" t="s">
        <v>2462</v>
      </c>
      <c r="G6412" s="20" t="s">
        <v>82</v>
      </c>
      <c r="H6412" s="20" t="s">
        <v>2449</v>
      </c>
      <c r="I6412" s="20" t="s">
        <v>2451</v>
      </c>
      <c r="J6412" s="20" t="s">
        <v>210</v>
      </c>
      <c r="K6412" s="20" t="s">
        <v>250</v>
      </c>
      <c r="L6412" s="20">
        <v>319700000</v>
      </c>
      <c r="M6412" s="20" t="s">
        <v>245</v>
      </c>
      <c r="N6412" s="20" t="s">
        <v>4006</v>
      </c>
    </row>
    <row r="6413" spans="1:14" hidden="1" x14ac:dyDescent="0.25">
      <c r="A6413" s="19">
        <v>46174</v>
      </c>
      <c r="B6413" s="20" t="s">
        <v>162</v>
      </c>
      <c r="C6413" s="20">
        <v>49</v>
      </c>
      <c r="D6413" s="20" t="s">
        <v>291</v>
      </c>
      <c r="E6413" s="20" t="s">
        <v>2361</v>
      </c>
      <c r="F6413" s="20" t="s">
        <v>2462</v>
      </c>
      <c r="G6413" s="20" t="s">
        <v>82</v>
      </c>
      <c r="H6413" s="20" t="s">
        <v>2446</v>
      </c>
      <c r="I6413" s="20" t="s">
        <v>2454</v>
      </c>
      <c r="J6413" s="20" t="s">
        <v>210</v>
      </c>
      <c r="K6413" s="20" t="s">
        <v>250</v>
      </c>
      <c r="L6413" s="20">
        <v>216000</v>
      </c>
      <c r="M6413" s="20" t="s">
        <v>245</v>
      </c>
      <c r="N6413" s="20" t="s">
        <v>4007</v>
      </c>
    </row>
    <row r="6414" spans="1:14" hidden="1" x14ac:dyDescent="0.25">
      <c r="A6414" s="19">
        <v>46174</v>
      </c>
      <c r="B6414" s="20" t="s">
        <v>162</v>
      </c>
      <c r="C6414" s="20">
        <v>49</v>
      </c>
      <c r="D6414" s="20" t="s">
        <v>291</v>
      </c>
      <c r="E6414" s="20" t="s">
        <v>2361</v>
      </c>
      <c r="F6414" s="20" t="s">
        <v>2462</v>
      </c>
      <c r="G6414" s="20" t="s">
        <v>82</v>
      </c>
      <c r="H6414" s="20" t="s">
        <v>2449</v>
      </c>
      <c r="I6414" s="20" t="s">
        <v>2454</v>
      </c>
      <c r="J6414" s="20" t="s">
        <v>210</v>
      </c>
      <c r="K6414" s="20" t="s">
        <v>250</v>
      </c>
      <c r="L6414" s="20">
        <v>2000000</v>
      </c>
      <c r="M6414" s="20" t="s">
        <v>245</v>
      </c>
      <c r="N6414" s="20" t="s">
        <v>1469</v>
      </c>
    </row>
    <row r="6415" spans="1:14" hidden="1" x14ac:dyDescent="0.25">
      <c r="A6415" s="19">
        <v>46174</v>
      </c>
      <c r="B6415" s="20" t="s">
        <v>162</v>
      </c>
      <c r="C6415" s="20">
        <v>50</v>
      </c>
      <c r="D6415" s="20" t="s">
        <v>253</v>
      </c>
      <c r="E6415" s="20" t="s">
        <v>2359</v>
      </c>
      <c r="F6415" s="20" t="s">
        <v>2468</v>
      </c>
      <c r="G6415" s="20" t="s">
        <v>82</v>
      </c>
      <c r="H6415" s="20"/>
      <c r="I6415" s="20"/>
      <c r="J6415" s="20" t="s">
        <v>208</v>
      </c>
      <c r="K6415" s="20" t="s">
        <v>255</v>
      </c>
      <c r="L6415" s="20">
        <v>1850000000</v>
      </c>
      <c r="M6415" s="20" t="s">
        <v>245</v>
      </c>
      <c r="N6415" s="20" t="s">
        <v>3287</v>
      </c>
    </row>
    <row r="6416" spans="1:14" hidden="1" x14ac:dyDescent="0.25">
      <c r="A6416" s="19">
        <v>46174</v>
      </c>
      <c r="B6416" s="20" t="s">
        <v>162</v>
      </c>
      <c r="C6416" s="20">
        <v>50</v>
      </c>
      <c r="D6416" s="20" t="s">
        <v>253</v>
      </c>
      <c r="E6416" s="20" t="s">
        <v>2359</v>
      </c>
      <c r="F6416" s="20" t="s">
        <v>2468</v>
      </c>
      <c r="G6416" s="20" t="s">
        <v>82</v>
      </c>
      <c r="H6416" s="20"/>
      <c r="I6416" s="20"/>
      <c r="J6416" s="20" t="s">
        <v>209</v>
      </c>
      <c r="K6416" s="20" t="s">
        <v>255</v>
      </c>
      <c r="L6416" s="20">
        <v>2100000000</v>
      </c>
      <c r="M6416" s="20" t="s">
        <v>245</v>
      </c>
      <c r="N6416" s="20" t="s">
        <v>1586</v>
      </c>
    </row>
    <row r="6417" spans="1:14" hidden="1" x14ac:dyDescent="0.25">
      <c r="A6417" s="19">
        <v>46174</v>
      </c>
      <c r="B6417" s="20" t="s">
        <v>162</v>
      </c>
      <c r="C6417" s="20">
        <v>50</v>
      </c>
      <c r="D6417" s="20" t="s">
        <v>253</v>
      </c>
      <c r="E6417" s="20" t="s">
        <v>2359</v>
      </c>
      <c r="F6417" s="20" t="s">
        <v>2468</v>
      </c>
      <c r="G6417" s="20" t="s">
        <v>82</v>
      </c>
      <c r="H6417" s="20"/>
      <c r="I6417" s="20"/>
      <c r="J6417" s="20" t="s">
        <v>210</v>
      </c>
      <c r="K6417" s="20" t="s">
        <v>255</v>
      </c>
      <c r="L6417" s="20">
        <v>2050000000</v>
      </c>
      <c r="M6417" s="20" t="s">
        <v>245</v>
      </c>
      <c r="N6417" s="20" t="s">
        <v>4008</v>
      </c>
    </row>
    <row r="6418" spans="1:14" hidden="1" x14ac:dyDescent="0.25">
      <c r="A6418" s="19">
        <v>46174</v>
      </c>
      <c r="B6418" s="20" t="s">
        <v>162</v>
      </c>
      <c r="C6418" s="20">
        <v>50</v>
      </c>
      <c r="D6418" s="20" t="s">
        <v>247</v>
      </c>
      <c r="E6418" s="20" t="s">
        <v>2554</v>
      </c>
      <c r="F6418" s="20" t="s">
        <v>2558</v>
      </c>
      <c r="G6418" s="20" t="s">
        <v>82</v>
      </c>
      <c r="H6418" s="20" t="s">
        <v>249</v>
      </c>
      <c r="I6418" s="20"/>
      <c r="J6418" s="20" t="s">
        <v>210</v>
      </c>
      <c r="K6418" s="20" t="s">
        <v>250</v>
      </c>
      <c r="L6418" s="20">
        <v>2.2000000000000002</v>
      </c>
      <c r="M6418" s="20" t="s">
        <v>251</v>
      </c>
      <c r="N6418" s="20" t="s">
        <v>769</v>
      </c>
    </row>
    <row r="6419" spans="1:14" hidden="1" x14ac:dyDescent="0.25">
      <c r="A6419" s="19">
        <v>46174</v>
      </c>
      <c r="B6419" s="20" t="s">
        <v>162</v>
      </c>
      <c r="C6419" s="20">
        <v>51</v>
      </c>
      <c r="D6419" s="20" t="s">
        <v>291</v>
      </c>
      <c r="E6419" s="20" t="s">
        <v>2361</v>
      </c>
      <c r="F6419" s="20" t="s">
        <v>2468</v>
      </c>
      <c r="G6419" s="20" t="s">
        <v>82</v>
      </c>
      <c r="H6419" s="20" t="s">
        <v>95</v>
      </c>
      <c r="I6419" s="20"/>
      <c r="J6419" s="20" t="s">
        <v>210</v>
      </c>
      <c r="K6419" s="20" t="s">
        <v>250</v>
      </c>
      <c r="L6419" s="20">
        <v>432000000</v>
      </c>
      <c r="M6419" s="20" t="s">
        <v>245</v>
      </c>
      <c r="N6419" s="20" t="s">
        <v>4009</v>
      </c>
    </row>
    <row r="6420" spans="1:14" hidden="1" x14ac:dyDescent="0.25">
      <c r="A6420" s="19">
        <v>46174</v>
      </c>
      <c r="B6420" s="20" t="s">
        <v>162</v>
      </c>
      <c r="C6420" s="20">
        <v>51</v>
      </c>
      <c r="D6420" s="20" t="s">
        <v>291</v>
      </c>
      <c r="E6420" s="20" t="s">
        <v>2361</v>
      </c>
      <c r="F6420" s="20" t="s">
        <v>2468</v>
      </c>
      <c r="G6420" s="20" t="s">
        <v>82</v>
      </c>
      <c r="H6420" s="20" t="s">
        <v>94</v>
      </c>
      <c r="I6420" s="20"/>
      <c r="J6420" s="20" t="s">
        <v>210</v>
      </c>
      <c r="K6420" s="20" t="s">
        <v>250</v>
      </c>
      <c r="L6420" s="20">
        <v>1620000000</v>
      </c>
      <c r="M6420" s="20" t="s">
        <v>245</v>
      </c>
      <c r="N6420" s="20" t="s">
        <v>3283</v>
      </c>
    </row>
    <row r="6421" spans="1:14" hidden="1" x14ac:dyDescent="0.25">
      <c r="A6421" s="19">
        <v>46174</v>
      </c>
      <c r="B6421" s="20" t="s">
        <v>162</v>
      </c>
      <c r="C6421" s="20">
        <v>52</v>
      </c>
      <c r="D6421" s="20" t="s">
        <v>291</v>
      </c>
      <c r="E6421" s="20" t="s">
        <v>2361</v>
      </c>
      <c r="F6421" s="20" t="s">
        <v>2472</v>
      </c>
      <c r="G6421" s="20" t="s">
        <v>82</v>
      </c>
      <c r="H6421" s="20" t="s">
        <v>174</v>
      </c>
      <c r="I6421" s="20"/>
      <c r="J6421" s="20" t="s">
        <v>210</v>
      </c>
      <c r="K6421" s="20" t="s">
        <v>250</v>
      </c>
      <c r="L6421" s="20">
        <v>271600000</v>
      </c>
      <c r="M6421" s="20" t="s">
        <v>245</v>
      </c>
      <c r="N6421" s="20" t="s">
        <v>4010</v>
      </c>
    </row>
    <row r="6422" spans="1:14" hidden="1" x14ac:dyDescent="0.25">
      <c r="A6422" s="19">
        <v>46174</v>
      </c>
      <c r="B6422" s="20" t="s">
        <v>162</v>
      </c>
      <c r="C6422" s="20">
        <v>52</v>
      </c>
      <c r="D6422" s="20" t="s">
        <v>291</v>
      </c>
      <c r="E6422" s="20" t="s">
        <v>2361</v>
      </c>
      <c r="F6422" s="20" t="s">
        <v>2472</v>
      </c>
      <c r="G6422" s="20" t="s">
        <v>82</v>
      </c>
      <c r="H6422" s="20" t="s">
        <v>173</v>
      </c>
      <c r="I6422" s="20"/>
      <c r="J6422" s="20" t="s">
        <v>210</v>
      </c>
      <c r="K6422" s="20" t="s">
        <v>250</v>
      </c>
      <c r="L6422" s="20">
        <v>227400000</v>
      </c>
      <c r="M6422" s="20" t="s">
        <v>245</v>
      </c>
      <c r="N6422" s="20" t="s">
        <v>4011</v>
      </c>
    </row>
    <row r="6423" spans="1:14" hidden="1" x14ac:dyDescent="0.25">
      <c r="A6423" s="19">
        <v>46174</v>
      </c>
      <c r="B6423" s="20" t="s">
        <v>162</v>
      </c>
      <c r="C6423" s="20">
        <v>53</v>
      </c>
      <c r="D6423" s="20" t="s">
        <v>238</v>
      </c>
      <c r="E6423" s="20" t="s">
        <v>2341</v>
      </c>
      <c r="F6423" s="20" t="s">
        <v>334</v>
      </c>
      <c r="G6423" s="20" t="s">
        <v>82</v>
      </c>
      <c r="H6423" s="20" t="s">
        <v>179</v>
      </c>
      <c r="I6423" s="20"/>
      <c r="J6423" s="20" t="s">
        <v>210</v>
      </c>
      <c r="K6423" s="20" t="s">
        <v>250</v>
      </c>
      <c r="L6423" s="20">
        <v>9</v>
      </c>
      <c r="M6423" s="20" t="s">
        <v>245</v>
      </c>
      <c r="N6423" s="20" t="s">
        <v>3722</v>
      </c>
    </row>
    <row r="6424" spans="1:14" hidden="1" x14ac:dyDescent="0.25">
      <c r="A6424" s="19">
        <v>46174</v>
      </c>
      <c r="B6424" s="20" t="s">
        <v>162</v>
      </c>
      <c r="C6424" s="20">
        <v>53</v>
      </c>
      <c r="D6424" s="20" t="s">
        <v>238</v>
      </c>
      <c r="E6424" s="20" t="s">
        <v>2341</v>
      </c>
      <c r="F6424" s="20" t="s">
        <v>334</v>
      </c>
      <c r="G6424" s="20" t="s">
        <v>82</v>
      </c>
      <c r="H6424" s="20" t="s">
        <v>170</v>
      </c>
      <c r="I6424" s="20"/>
      <c r="J6424" s="20" t="s">
        <v>210</v>
      </c>
      <c r="K6424" s="20" t="s">
        <v>250</v>
      </c>
      <c r="L6424" s="20">
        <v>12</v>
      </c>
      <c r="M6424" s="20" t="s">
        <v>245</v>
      </c>
      <c r="N6424" s="20" t="s">
        <v>1773</v>
      </c>
    </row>
    <row r="6425" spans="1:14" hidden="1" x14ac:dyDescent="0.25">
      <c r="A6425" s="19">
        <v>46174</v>
      </c>
      <c r="B6425" s="20" t="s">
        <v>162</v>
      </c>
      <c r="C6425" s="20">
        <v>53</v>
      </c>
      <c r="D6425" s="20" t="s">
        <v>238</v>
      </c>
      <c r="E6425" s="20" t="s">
        <v>2341</v>
      </c>
      <c r="F6425" s="20" t="s">
        <v>334</v>
      </c>
      <c r="G6425" s="20" t="s">
        <v>82</v>
      </c>
      <c r="H6425" s="20" t="s">
        <v>178</v>
      </c>
      <c r="I6425" s="20"/>
      <c r="J6425" s="20" t="s">
        <v>210</v>
      </c>
      <c r="K6425" s="20" t="s">
        <v>250</v>
      </c>
      <c r="L6425" s="20">
        <v>31</v>
      </c>
      <c r="M6425" s="20" t="s">
        <v>245</v>
      </c>
      <c r="N6425" s="20" t="s">
        <v>4012</v>
      </c>
    </row>
    <row r="6426" spans="1:14" hidden="1" x14ac:dyDescent="0.25">
      <c r="A6426" s="19">
        <v>46174</v>
      </c>
      <c r="B6426" s="20" t="s">
        <v>162</v>
      </c>
      <c r="C6426" s="20">
        <v>53</v>
      </c>
      <c r="D6426" s="20" t="s">
        <v>238</v>
      </c>
      <c r="E6426" s="20" t="s">
        <v>2341</v>
      </c>
      <c r="F6426" s="20" t="s">
        <v>334</v>
      </c>
      <c r="G6426" s="20" t="s">
        <v>82</v>
      </c>
      <c r="H6426" s="20" t="s">
        <v>173</v>
      </c>
      <c r="I6426" s="20"/>
      <c r="J6426" s="20" t="s">
        <v>210</v>
      </c>
      <c r="K6426" s="20" t="s">
        <v>250</v>
      </c>
      <c r="L6426" s="20">
        <v>47</v>
      </c>
      <c r="M6426" s="20" t="s">
        <v>245</v>
      </c>
      <c r="N6426" s="20" t="s">
        <v>2121</v>
      </c>
    </row>
    <row r="6427" spans="1:14" hidden="1" x14ac:dyDescent="0.25">
      <c r="A6427" s="19">
        <v>46174</v>
      </c>
      <c r="B6427" s="20" t="s">
        <v>162</v>
      </c>
      <c r="C6427" s="20">
        <v>53</v>
      </c>
      <c r="D6427" s="20" t="s">
        <v>238</v>
      </c>
      <c r="E6427" s="20" t="s">
        <v>2341</v>
      </c>
      <c r="F6427" s="20" t="s">
        <v>334</v>
      </c>
      <c r="G6427" s="20" t="s">
        <v>82</v>
      </c>
      <c r="H6427" s="20" t="s">
        <v>174</v>
      </c>
      <c r="I6427" s="20"/>
      <c r="J6427" s="20" t="s">
        <v>210</v>
      </c>
      <c r="K6427" s="20" t="s">
        <v>250</v>
      </c>
      <c r="L6427" s="20">
        <v>81</v>
      </c>
      <c r="M6427" s="20" t="s">
        <v>245</v>
      </c>
      <c r="N6427" s="20" t="s">
        <v>3869</v>
      </c>
    </row>
    <row r="6428" spans="1:14" hidden="1" x14ac:dyDescent="0.25">
      <c r="A6428" s="19">
        <v>46174</v>
      </c>
      <c r="B6428" s="20" t="s">
        <v>162</v>
      </c>
      <c r="C6428" s="20">
        <v>53</v>
      </c>
      <c r="D6428" s="20" t="s">
        <v>238</v>
      </c>
      <c r="E6428" s="20" t="s">
        <v>2341</v>
      </c>
      <c r="F6428" s="20" t="s">
        <v>334</v>
      </c>
      <c r="G6428" s="20" t="s">
        <v>82</v>
      </c>
      <c r="H6428" s="20" t="s">
        <v>164</v>
      </c>
      <c r="I6428" s="20"/>
      <c r="J6428" s="20" t="s">
        <v>210</v>
      </c>
      <c r="K6428" s="20" t="s">
        <v>250</v>
      </c>
      <c r="L6428" s="20">
        <v>130</v>
      </c>
      <c r="M6428" s="20" t="s">
        <v>245</v>
      </c>
      <c r="N6428" s="20" t="s">
        <v>686</v>
      </c>
    </row>
    <row r="6429" spans="1:14" hidden="1" x14ac:dyDescent="0.25">
      <c r="A6429" s="19">
        <v>46174</v>
      </c>
      <c r="B6429" s="20" t="s">
        <v>162</v>
      </c>
      <c r="C6429" s="20">
        <v>53</v>
      </c>
      <c r="D6429" s="20" t="s">
        <v>238</v>
      </c>
      <c r="E6429" s="20" t="s">
        <v>2341</v>
      </c>
      <c r="F6429" s="20" t="s">
        <v>455</v>
      </c>
      <c r="G6429" s="20" t="s">
        <v>82</v>
      </c>
      <c r="H6429" s="20"/>
      <c r="I6429" s="20"/>
      <c r="J6429" s="20" t="s">
        <v>210</v>
      </c>
      <c r="K6429" s="20" t="s">
        <v>250</v>
      </c>
      <c r="L6429" s="20">
        <v>79</v>
      </c>
      <c r="M6429" s="20" t="s">
        <v>245</v>
      </c>
      <c r="N6429" s="20" t="s">
        <v>3724</v>
      </c>
    </row>
    <row r="6430" spans="1:14" hidden="1" x14ac:dyDescent="0.25">
      <c r="A6430" s="19">
        <v>46174</v>
      </c>
      <c r="B6430" s="20" t="s">
        <v>1192</v>
      </c>
      <c r="C6430" s="20">
        <v>55</v>
      </c>
      <c r="D6430" s="20" t="s">
        <v>238</v>
      </c>
      <c r="E6430" s="20" t="s">
        <v>2341</v>
      </c>
      <c r="F6430" s="20" t="s">
        <v>240</v>
      </c>
      <c r="G6430" s="20" t="s">
        <v>82</v>
      </c>
      <c r="H6430" s="20"/>
      <c r="I6430" s="20"/>
      <c r="J6430" s="20" t="s">
        <v>3927</v>
      </c>
      <c r="K6430" s="20" t="s">
        <v>241</v>
      </c>
      <c r="L6430" s="20">
        <v>193510000</v>
      </c>
      <c r="M6430" s="20" t="s">
        <v>242</v>
      </c>
      <c r="N6430" s="20" t="s">
        <v>3988</v>
      </c>
    </row>
    <row r="6431" spans="1:14" hidden="1" x14ac:dyDescent="0.25">
      <c r="A6431" s="19">
        <v>46174</v>
      </c>
      <c r="B6431" s="20" t="s">
        <v>2481</v>
      </c>
      <c r="C6431" s="20">
        <v>55</v>
      </c>
      <c r="D6431" s="20" t="s">
        <v>238</v>
      </c>
      <c r="E6431" s="20" t="s">
        <v>2341</v>
      </c>
      <c r="F6431" s="20" t="s">
        <v>244</v>
      </c>
      <c r="G6431" s="20" t="s">
        <v>82</v>
      </c>
      <c r="H6431" s="20"/>
      <c r="I6431" s="20"/>
      <c r="J6431" s="20" t="s">
        <v>3927</v>
      </c>
      <c r="K6431" s="20" t="s">
        <v>241</v>
      </c>
      <c r="L6431" s="20">
        <v>15640000000</v>
      </c>
      <c r="M6431" s="20" t="s">
        <v>245</v>
      </c>
      <c r="N6431" s="20" t="s">
        <v>3989</v>
      </c>
    </row>
    <row r="6432" spans="1:14" hidden="1" x14ac:dyDescent="0.25">
      <c r="A6432" s="19">
        <v>46174</v>
      </c>
      <c r="B6432" s="20" t="s">
        <v>1192</v>
      </c>
      <c r="C6432" s="20">
        <v>55</v>
      </c>
      <c r="D6432" s="20" t="s">
        <v>238</v>
      </c>
      <c r="E6432" s="20" t="s">
        <v>2341</v>
      </c>
      <c r="F6432" s="20" t="s">
        <v>240</v>
      </c>
      <c r="G6432" s="20" t="s">
        <v>82</v>
      </c>
      <c r="H6432" s="20" t="s">
        <v>184</v>
      </c>
      <c r="I6432" s="20"/>
      <c r="J6432" s="20" t="s">
        <v>3927</v>
      </c>
      <c r="K6432" s="20" t="s">
        <v>241</v>
      </c>
      <c r="L6432" s="20">
        <v>115010000</v>
      </c>
      <c r="M6432" s="20" t="s">
        <v>242</v>
      </c>
      <c r="N6432" s="20" t="s">
        <v>3928</v>
      </c>
    </row>
    <row r="6433" spans="1:14" hidden="1" x14ac:dyDescent="0.25">
      <c r="A6433" s="19">
        <v>46174</v>
      </c>
      <c r="B6433" s="20" t="s">
        <v>1192</v>
      </c>
      <c r="C6433" s="20">
        <v>55</v>
      </c>
      <c r="D6433" s="20" t="s">
        <v>238</v>
      </c>
      <c r="E6433" s="20" t="s">
        <v>2341</v>
      </c>
      <c r="F6433" s="20" t="s">
        <v>240</v>
      </c>
      <c r="G6433" s="20" t="s">
        <v>82</v>
      </c>
      <c r="H6433" s="20" t="s">
        <v>185</v>
      </c>
      <c r="I6433" s="20"/>
      <c r="J6433" s="20" t="s">
        <v>3927</v>
      </c>
      <c r="K6433" s="20" t="s">
        <v>241</v>
      </c>
      <c r="L6433" s="20">
        <v>78500000</v>
      </c>
      <c r="M6433" s="20" t="s">
        <v>242</v>
      </c>
      <c r="N6433" s="20" t="s">
        <v>3950</v>
      </c>
    </row>
    <row r="6434" spans="1:14" hidden="1" x14ac:dyDescent="0.25">
      <c r="A6434" s="19">
        <v>46174</v>
      </c>
      <c r="B6434" s="20" t="s">
        <v>2481</v>
      </c>
      <c r="C6434" s="20">
        <v>55</v>
      </c>
      <c r="D6434" s="20" t="s">
        <v>238</v>
      </c>
      <c r="E6434" s="20" t="s">
        <v>2341</v>
      </c>
      <c r="F6434" s="20" t="s">
        <v>244</v>
      </c>
      <c r="G6434" s="20" t="s">
        <v>82</v>
      </c>
      <c r="H6434" s="20" t="s">
        <v>184</v>
      </c>
      <c r="I6434" s="20"/>
      <c r="J6434" s="20" t="s">
        <v>3927</v>
      </c>
      <c r="K6434" s="20" t="s">
        <v>241</v>
      </c>
      <c r="L6434" s="20">
        <v>11880000000</v>
      </c>
      <c r="M6434" s="20" t="s">
        <v>245</v>
      </c>
      <c r="N6434" s="20" t="s">
        <v>3929</v>
      </c>
    </row>
    <row r="6435" spans="1:14" hidden="1" x14ac:dyDescent="0.25">
      <c r="A6435" s="19">
        <v>46174</v>
      </c>
      <c r="B6435" s="20" t="s">
        <v>2481</v>
      </c>
      <c r="C6435" s="20">
        <v>55</v>
      </c>
      <c r="D6435" s="20" t="s">
        <v>238</v>
      </c>
      <c r="E6435" s="20" t="s">
        <v>2341</v>
      </c>
      <c r="F6435" s="20" t="s">
        <v>244</v>
      </c>
      <c r="G6435" s="20" t="s">
        <v>82</v>
      </c>
      <c r="H6435" s="20" t="s">
        <v>185</v>
      </c>
      <c r="I6435" s="20"/>
      <c r="J6435" s="20" t="s">
        <v>3927</v>
      </c>
      <c r="K6435" s="20" t="s">
        <v>241</v>
      </c>
      <c r="L6435" s="20">
        <v>3760000000</v>
      </c>
      <c r="M6435" s="20" t="s">
        <v>245</v>
      </c>
      <c r="N6435" s="20" t="s">
        <v>3951</v>
      </c>
    </row>
    <row r="6436" spans="1:14" hidden="1" x14ac:dyDescent="0.25">
      <c r="A6436" s="19">
        <v>46174</v>
      </c>
      <c r="B6436" s="20" t="s">
        <v>2481</v>
      </c>
      <c r="C6436" s="20">
        <v>56</v>
      </c>
      <c r="D6436" s="20" t="s">
        <v>238</v>
      </c>
      <c r="E6436" s="20" t="s">
        <v>2341</v>
      </c>
      <c r="F6436" s="20" t="s">
        <v>285</v>
      </c>
      <c r="G6436" s="20" t="s">
        <v>63</v>
      </c>
      <c r="H6436" s="20" t="s">
        <v>1202</v>
      </c>
      <c r="I6436" s="20"/>
      <c r="J6436" s="20" t="s">
        <v>3927</v>
      </c>
      <c r="K6436" s="20" t="s">
        <v>241</v>
      </c>
      <c r="L6436" s="20">
        <v>1130000</v>
      </c>
      <c r="M6436" s="20" t="s">
        <v>242</v>
      </c>
      <c r="N6436" s="20" t="s">
        <v>1675</v>
      </c>
    </row>
    <row r="6437" spans="1:14" hidden="1" x14ac:dyDescent="0.25">
      <c r="A6437" s="19">
        <v>46174</v>
      </c>
      <c r="B6437" s="20" t="s">
        <v>2481</v>
      </c>
      <c r="C6437" s="20">
        <v>56</v>
      </c>
      <c r="D6437" s="20" t="s">
        <v>238</v>
      </c>
      <c r="E6437" s="20" t="s">
        <v>2341</v>
      </c>
      <c r="F6437" s="20" t="s">
        <v>285</v>
      </c>
      <c r="G6437" s="20" t="s">
        <v>63</v>
      </c>
      <c r="H6437" s="20" t="s">
        <v>1204</v>
      </c>
      <c r="I6437" s="20"/>
      <c r="J6437" s="20" t="s">
        <v>3927</v>
      </c>
      <c r="K6437" s="20" t="s">
        <v>241</v>
      </c>
      <c r="L6437" s="20">
        <v>1820000</v>
      </c>
      <c r="M6437" s="20" t="s">
        <v>242</v>
      </c>
      <c r="N6437" s="20" t="s">
        <v>1402</v>
      </c>
    </row>
    <row r="6438" spans="1:14" hidden="1" x14ac:dyDescent="0.25">
      <c r="A6438" s="19">
        <v>46174</v>
      </c>
      <c r="B6438" s="20" t="s">
        <v>2481</v>
      </c>
      <c r="C6438" s="20">
        <v>56</v>
      </c>
      <c r="D6438" s="20" t="s">
        <v>238</v>
      </c>
      <c r="E6438" s="20" t="s">
        <v>2341</v>
      </c>
      <c r="F6438" s="20" t="s">
        <v>285</v>
      </c>
      <c r="G6438" s="20" t="s">
        <v>63</v>
      </c>
      <c r="H6438" s="20" t="s">
        <v>1200</v>
      </c>
      <c r="I6438" s="20"/>
      <c r="J6438" s="20" t="s">
        <v>3927</v>
      </c>
      <c r="K6438" s="20" t="s">
        <v>241</v>
      </c>
      <c r="L6438" s="20">
        <v>1180000</v>
      </c>
      <c r="M6438" s="20" t="s">
        <v>242</v>
      </c>
      <c r="N6438" s="20" t="s">
        <v>468</v>
      </c>
    </row>
    <row r="6439" spans="1:14" hidden="1" x14ac:dyDescent="0.25">
      <c r="A6439" s="19">
        <v>46174</v>
      </c>
      <c r="B6439" s="20" t="s">
        <v>2481</v>
      </c>
      <c r="C6439" s="20">
        <v>56</v>
      </c>
      <c r="D6439" s="20" t="s">
        <v>238</v>
      </c>
      <c r="E6439" s="20" t="s">
        <v>2341</v>
      </c>
      <c r="F6439" s="20" t="s">
        <v>285</v>
      </c>
      <c r="G6439" s="20" t="s">
        <v>63</v>
      </c>
      <c r="H6439" s="20"/>
      <c r="I6439" s="20"/>
      <c r="J6439" s="20" t="s">
        <v>3927</v>
      </c>
      <c r="K6439" s="20" t="s">
        <v>241</v>
      </c>
      <c r="L6439" s="20">
        <v>4190000</v>
      </c>
      <c r="M6439" s="20" t="s">
        <v>242</v>
      </c>
      <c r="N6439" s="20" t="s">
        <v>792</v>
      </c>
    </row>
    <row r="6440" spans="1:14" hidden="1" x14ac:dyDescent="0.25">
      <c r="A6440" s="19">
        <v>46174</v>
      </c>
      <c r="B6440" s="20" t="s">
        <v>2481</v>
      </c>
      <c r="C6440" s="20">
        <v>57</v>
      </c>
      <c r="D6440" s="20" t="s">
        <v>238</v>
      </c>
      <c r="E6440" s="20" t="s">
        <v>2341</v>
      </c>
      <c r="F6440" s="20" t="s">
        <v>1194</v>
      </c>
      <c r="G6440" s="20" t="s">
        <v>82</v>
      </c>
      <c r="H6440" s="20"/>
      <c r="I6440" s="20"/>
      <c r="J6440" s="20" t="s">
        <v>210</v>
      </c>
      <c r="K6440" s="20" t="s">
        <v>250</v>
      </c>
      <c r="L6440" s="20">
        <v>35750000</v>
      </c>
      <c r="M6440" s="20" t="s">
        <v>242</v>
      </c>
      <c r="N6440" s="20" t="s">
        <v>4013</v>
      </c>
    </row>
    <row r="6441" spans="1:14" hidden="1" x14ac:dyDescent="0.25">
      <c r="A6441" s="19">
        <v>46174</v>
      </c>
      <c r="B6441" s="20" t="s">
        <v>2481</v>
      </c>
      <c r="C6441" s="20">
        <v>57</v>
      </c>
      <c r="D6441" s="20" t="s">
        <v>238</v>
      </c>
      <c r="E6441" s="20" t="s">
        <v>2341</v>
      </c>
      <c r="F6441" s="20" t="s">
        <v>2487</v>
      </c>
      <c r="G6441" s="20" t="s">
        <v>82</v>
      </c>
      <c r="H6441" s="20" t="s">
        <v>184</v>
      </c>
      <c r="I6441" s="20"/>
      <c r="J6441" s="20" t="s">
        <v>210</v>
      </c>
      <c r="K6441" s="20" t="s">
        <v>250</v>
      </c>
      <c r="L6441" s="20">
        <v>20960000</v>
      </c>
      <c r="M6441" s="20" t="s">
        <v>242</v>
      </c>
      <c r="N6441" s="20" t="s">
        <v>3914</v>
      </c>
    </row>
    <row r="6442" spans="1:14" hidden="1" x14ac:dyDescent="0.25">
      <c r="A6442" s="19">
        <v>46174</v>
      </c>
      <c r="B6442" s="20" t="s">
        <v>2481</v>
      </c>
      <c r="C6442" s="20">
        <v>57</v>
      </c>
      <c r="D6442" s="20" t="s">
        <v>238</v>
      </c>
      <c r="E6442" s="20" t="s">
        <v>2341</v>
      </c>
      <c r="F6442" s="20" t="s">
        <v>2488</v>
      </c>
      <c r="G6442" s="20" t="s">
        <v>82</v>
      </c>
      <c r="H6442" s="20" t="s">
        <v>185</v>
      </c>
      <c r="I6442" s="20"/>
      <c r="J6442" s="20" t="s">
        <v>210</v>
      </c>
      <c r="K6442" s="20" t="s">
        <v>250</v>
      </c>
      <c r="L6442" s="20">
        <v>14790000</v>
      </c>
      <c r="M6442" s="20" t="s">
        <v>242</v>
      </c>
      <c r="N6442" s="20" t="s">
        <v>3917</v>
      </c>
    </row>
    <row r="6443" spans="1:14" hidden="1" x14ac:dyDescent="0.25">
      <c r="A6443" s="19">
        <v>46174</v>
      </c>
      <c r="B6443" s="20" t="s">
        <v>2481</v>
      </c>
      <c r="C6443" s="20">
        <v>58</v>
      </c>
      <c r="D6443" s="20" t="s">
        <v>238</v>
      </c>
      <c r="E6443" s="20" t="s">
        <v>2341</v>
      </c>
      <c r="F6443" s="20" t="s">
        <v>1196</v>
      </c>
      <c r="G6443" s="20" t="s">
        <v>82</v>
      </c>
      <c r="H6443" s="20"/>
      <c r="I6443" s="20"/>
      <c r="J6443" s="20" t="s">
        <v>210</v>
      </c>
      <c r="K6443" s="20" t="s">
        <v>250</v>
      </c>
      <c r="L6443" s="20">
        <v>2820000000</v>
      </c>
      <c r="M6443" s="20" t="s">
        <v>245</v>
      </c>
      <c r="N6443" s="20" t="s">
        <v>4014</v>
      </c>
    </row>
    <row r="6444" spans="1:14" hidden="1" x14ac:dyDescent="0.25">
      <c r="A6444" s="19">
        <v>46174</v>
      </c>
      <c r="B6444" s="20" t="s">
        <v>2481</v>
      </c>
      <c r="C6444" s="20">
        <v>58</v>
      </c>
      <c r="D6444" s="20" t="s">
        <v>238</v>
      </c>
      <c r="E6444" s="20" t="s">
        <v>2341</v>
      </c>
      <c r="F6444" s="20" t="s">
        <v>2489</v>
      </c>
      <c r="G6444" s="20" t="s">
        <v>82</v>
      </c>
      <c r="H6444" s="20" t="s">
        <v>184</v>
      </c>
      <c r="I6444" s="20"/>
      <c r="J6444" s="20" t="s">
        <v>210</v>
      </c>
      <c r="K6444" s="20" t="s">
        <v>250</v>
      </c>
      <c r="L6444" s="20">
        <v>2150000000</v>
      </c>
      <c r="M6444" s="20" t="s">
        <v>245</v>
      </c>
      <c r="N6444" s="20" t="s">
        <v>3915</v>
      </c>
    </row>
    <row r="6445" spans="1:14" hidden="1" x14ac:dyDescent="0.25">
      <c r="A6445" s="19">
        <v>46174</v>
      </c>
      <c r="B6445" s="20" t="s">
        <v>2481</v>
      </c>
      <c r="C6445" s="20">
        <v>58</v>
      </c>
      <c r="D6445" s="20" t="s">
        <v>238</v>
      </c>
      <c r="E6445" s="20" t="s">
        <v>2341</v>
      </c>
      <c r="F6445" s="20" t="s">
        <v>2490</v>
      </c>
      <c r="G6445" s="20" t="s">
        <v>82</v>
      </c>
      <c r="H6445" s="20" t="s">
        <v>185</v>
      </c>
      <c r="I6445" s="20"/>
      <c r="J6445" s="20" t="s">
        <v>210</v>
      </c>
      <c r="K6445" s="20" t="s">
        <v>250</v>
      </c>
      <c r="L6445" s="20">
        <v>670000000</v>
      </c>
      <c r="M6445" s="20" t="s">
        <v>245</v>
      </c>
      <c r="N6445" s="20" t="s">
        <v>4015</v>
      </c>
    </row>
    <row r="6446" spans="1:14" hidden="1" x14ac:dyDescent="0.25">
      <c r="A6446" s="19">
        <v>46174</v>
      </c>
      <c r="B6446" s="20" t="s">
        <v>2481</v>
      </c>
      <c r="C6446" s="20">
        <v>59</v>
      </c>
      <c r="D6446" s="20" t="s">
        <v>238</v>
      </c>
      <c r="E6446" s="20" t="s">
        <v>2341</v>
      </c>
      <c r="F6446" s="20" t="s">
        <v>1213</v>
      </c>
      <c r="G6446" s="20" t="s">
        <v>82</v>
      </c>
      <c r="H6446" s="20"/>
      <c r="I6446" s="20"/>
      <c r="J6446" s="20" t="s">
        <v>210</v>
      </c>
      <c r="K6446" s="20" t="s">
        <v>250</v>
      </c>
      <c r="L6446" s="20">
        <v>78.900000000000006</v>
      </c>
      <c r="M6446" s="20" t="s">
        <v>245</v>
      </c>
      <c r="N6446" s="20" t="s">
        <v>4016</v>
      </c>
    </row>
    <row r="6447" spans="1:14" hidden="1" x14ac:dyDescent="0.25">
      <c r="A6447" s="19">
        <v>46174</v>
      </c>
      <c r="B6447" s="20" t="s">
        <v>2481</v>
      </c>
      <c r="C6447" s="20">
        <v>59</v>
      </c>
      <c r="D6447" s="20" t="s">
        <v>238</v>
      </c>
      <c r="E6447" s="20" t="s">
        <v>2341</v>
      </c>
      <c r="F6447" s="20" t="s">
        <v>2493</v>
      </c>
      <c r="G6447" s="20" t="s">
        <v>82</v>
      </c>
      <c r="H6447" s="20" t="s">
        <v>184</v>
      </c>
      <c r="I6447" s="20"/>
      <c r="J6447" s="20" t="s">
        <v>210</v>
      </c>
      <c r="K6447" s="20" t="s">
        <v>250</v>
      </c>
      <c r="L6447" s="20">
        <v>102.5</v>
      </c>
      <c r="M6447" s="20" t="s">
        <v>245</v>
      </c>
      <c r="N6447" s="20" t="s">
        <v>4017</v>
      </c>
    </row>
    <row r="6448" spans="1:14" hidden="1" x14ac:dyDescent="0.25">
      <c r="A6448" s="19">
        <v>46174</v>
      </c>
      <c r="B6448" s="20" t="s">
        <v>2481</v>
      </c>
      <c r="C6448" s="20">
        <v>59</v>
      </c>
      <c r="D6448" s="20" t="s">
        <v>238</v>
      </c>
      <c r="E6448" s="20" t="s">
        <v>2341</v>
      </c>
      <c r="F6448" s="20" t="s">
        <v>2495</v>
      </c>
      <c r="G6448" s="20" t="s">
        <v>82</v>
      </c>
      <c r="H6448" s="20" t="s">
        <v>185</v>
      </c>
      <c r="I6448" s="20"/>
      <c r="J6448" s="20" t="s">
        <v>210</v>
      </c>
      <c r="K6448" s="20" t="s">
        <v>250</v>
      </c>
      <c r="L6448" s="20">
        <v>45.4</v>
      </c>
      <c r="M6448" s="20" t="s">
        <v>245</v>
      </c>
      <c r="N6448" s="20" t="s">
        <v>4018</v>
      </c>
    </row>
    <row r="6449" spans="1:14" hidden="1" x14ac:dyDescent="0.25">
      <c r="A6449" s="19">
        <v>46174</v>
      </c>
      <c r="B6449" s="20" t="s">
        <v>120</v>
      </c>
      <c r="C6449" s="20">
        <v>61</v>
      </c>
      <c r="D6449" s="20" t="s">
        <v>238</v>
      </c>
      <c r="E6449" s="20" t="s">
        <v>2341</v>
      </c>
      <c r="F6449" s="20" t="s">
        <v>240</v>
      </c>
      <c r="G6449" s="20" t="s">
        <v>82</v>
      </c>
      <c r="H6449" s="20"/>
      <c r="I6449" s="20"/>
      <c r="J6449" s="20" t="s">
        <v>3927</v>
      </c>
      <c r="K6449" s="20" t="s">
        <v>241</v>
      </c>
      <c r="L6449" s="20">
        <v>40990000</v>
      </c>
      <c r="M6449" s="20" t="s">
        <v>242</v>
      </c>
      <c r="N6449" s="20" t="s">
        <v>4019</v>
      </c>
    </row>
    <row r="6450" spans="1:14" hidden="1" x14ac:dyDescent="0.25">
      <c r="A6450" s="19">
        <v>46174</v>
      </c>
      <c r="B6450" s="20" t="s">
        <v>120</v>
      </c>
      <c r="C6450" s="20">
        <v>61</v>
      </c>
      <c r="D6450" s="20" t="s">
        <v>238</v>
      </c>
      <c r="E6450" s="20" t="s">
        <v>2341</v>
      </c>
      <c r="F6450" s="20" t="s">
        <v>244</v>
      </c>
      <c r="G6450" s="20" t="s">
        <v>82</v>
      </c>
      <c r="H6450" s="20"/>
      <c r="I6450" s="20"/>
      <c r="J6450" s="20" t="s">
        <v>3927</v>
      </c>
      <c r="K6450" s="20" t="s">
        <v>241</v>
      </c>
      <c r="L6450" s="20">
        <v>7780000000</v>
      </c>
      <c r="M6450" s="20" t="s">
        <v>245</v>
      </c>
      <c r="N6450" s="20" t="s">
        <v>4020</v>
      </c>
    </row>
    <row r="6451" spans="1:14" hidden="1" x14ac:dyDescent="0.25">
      <c r="A6451" s="19">
        <v>46174</v>
      </c>
      <c r="B6451" s="20" t="s">
        <v>120</v>
      </c>
      <c r="C6451" s="20">
        <v>62</v>
      </c>
      <c r="D6451" s="20" t="s">
        <v>253</v>
      </c>
      <c r="E6451" s="20" t="s">
        <v>2359</v>
      </c>
      <c r="F6451" s="20" t="s">
        <v>285</v>
      </c>
      <c r="G6451" s="20" t="s">
        <v>63</v>
      </c>
      <c r="H6451" s="20"/>
      <c r="I6451" s="20"/>
      <c r="J6451" s="20" t="s">
        <v>208</v>
      </c>
      <c r="K6451" s="20" t="s">
        <v>255</v>
      </c>
      <c r="L6451" s="20">
        <v>5210000</v>
      </c>
      <c r="M6451" s="20" t="s">
        <v>242</v>
      </c>
      <c r="N6451" s="20" t="s">
        <v>3735</v>
      </c>
    </row>
    <row r="6452" spans="1:14" hidden="1" x14ac:dyDescent="0.25">
      <c r="A6452" s="19">
        <v>46174</v>
      </c>
      <c r="B6452" s="20" t="s">
        <v>120</v>
      </c>
      <c r="C6452" s="20">
        <v>62</v>
      </c>
      <c r="D6452" s="20" t="s">
        <v>253</v>
      </c>
      <c r="E6452" s="20" t="s">
        <v>2359</v>
      </c>
      <c r="F6452" s="20" t="s">
        <v>285</v>
      </c>
      <c r="G6452" s="20" t="s">
        <v>63</v>
      </c>
      <c r="H6452" s="20"/>
      <c r="I6452" s="20"/>
      <c r="J6452" s="20" t="s">
        <v>209</v>
      </c>
      <c r="K6452" s="20" t="s">
        <v>255</v>
      </c>
      <c r="L6452" s="20">
        <v>5250000</v>
      </c>
      <c r="M6452" s="20" t="s">
        <v>242</v>
      </c>
      <c r="N6452" s="20" t="s">
        <v>3880</v>
      </c>
    </row>
    <row r="6453" spans="1:14" hidden="1" x14ac:dyDescent="0.25">
      <c r="A6453" s="19">
        <v>46174</v>
      </c>
      <c r="B6453" s="20" t="s">
        <v>120</v>
      </c>
      <c r="C6453" s="20">
        <v>62</v>
      </c>
      <c r="D6453" s="20" t="s">
        <v>253</v>
      </c>
      <c r="E6453" s="20" t="s">
        <v>2359</v>
      </c>
      <c r="F6453" s="20" t="s">
        <v>285</v>
      </c>
      <c r="G6453" s="20" t="s">
        <v>63</v>
      </c>
      <c r="H6453" s="20"/>
      <c r="I6453" s="20"/>
      <c r="J6453" s="20" t="s">
        <v>210</v>
      </c>
      <c r="K6453" s="20" t="s">
        <v>255</v>
      </c>
      <c r="L6453" s="20">
        <v>5290000</v>
      </c>
      <c r="M6453" s="20" t="s">
        <v>242</v>
      </c>
      <c r="N6453" s="20" t="s">
        <v>4021</v>
      </c>
    </row>
    <row r="6454" spans="1:14" hidden="1" x14ac:dyDescent="0.25">
      <c r="A6454" s="19">
        <v>46174</v>
      </c>
      <c r="B6454" s="20" t="s">
        <v>120</v>
      </c>
      <c r="C6454" s="20">
        <v>62</v>
      </c>
      <c r="D6454" s="20" t="s">
        <v>247</v>
      </c>
      <c r="E6454" s="20" t="s">
        <v>2554</v>
      </c>
      <c r="F6454" s="20" t="s">
        <v>2555</v>
      </c>
      <c r="G6454" s="20" t="s">
        <v>63</v>
      </c>
      <c r="H6454" s="20" t="s">
        <v>286</v>
      </c>
      <c r="I6454" s="20"/>
      <c r="J6454" s="20" t="s">
        <v>210</v>
      </c>
      <c r="K6454" s="20" t="s">
        <v>250</v>
      </c>
      <c r="L6454" s="20">
        <v>0.8</v>
      </c>
      <c r="M6454" s="20" t="s">
        <v>251</v>
      </c>
      <c r="N6454" s="20" t="s">
        <v>370</v>
      </c>
    </row>
    <row r="6455" spans="1:14" hidden="1" x14ac:dyDescent="0.25">
      <c r="A6455" s="19">
        <v>46174</v>
      </c>
      <c r="B6455" s="20" t="s">
        <v>120</v>
      </c>
      <c r="C6455" s="20">
        <v>63</v>
      </c>
      <c r="D6455" s="20" t="s">
        <v>291</v>
      </c>
      <c r="E6455" s="20" t="s">
        <v>2361</v>
      </c>
      <c r="F6455" s="20" t="s">
        <v>285</v>
      </c>
      <c r="G6455" s="20" t="s">
        <v>63</v>
      </c>
      <c r="H6455" s="20" t="s">
        <v>122</v>
      </c>
      <c r="I6455" s="20"/>
      <c r="J6455" s="20" t="s">
        <v>210</v>
      </c>
      <c r="K6455" s="20" t="s">
        <v>250</v>
      </c>
      <c r="L6455" s="20">
        <v>5250000</v>
      </c>
      <c r="M6455" s="20" t="s">
        <v>242</v>
      </c>
      <c r="N6455" s="20" t="s">
        <v>3011</v>
      </c>
    </row>
    <row r="6456" spans="1:14" hidden="1" x14ac:dyDescent="0.25">
      <c r="A6456" s="19">
        <v>46174</v>
      </c>
      <c r="B6456" s="20" t="s">
        <v>120</v>
      </c>
      <c r="C6456" s="20">
        <v>63</v>
      </c>
      <c r="D6456" s="20" t="s">
        <v>291</v>
      </c>
      <c r="E6456" s="20" t="s">
        <v>2361</v>
      </c>
      <c r="F6456" s="20" t="s">
        <v>285</v>
      </c>
      <c r="G6456" s="20" t="s">
        <v>63</v>
      </c>
      <c r="H6456" s="20" t="s">
        <v>123</v>
      </c>
      <c r="I6456" s="20"/>
      <c r="J6456" s="20" t="s">
        <v>210</v>
      </c>
      <c r="K6456" s="20" t="s">
        <v>250</v>
      </c>
      <c r="L6456" s="20">
        <v>42450</v>
      </c>
      <c r="M6456" s="20" t="s">
        <v>242</v>
      </c>
      <c r="N6456" s="20" t="s">
        <v>4022</v>
      </c>
    </row>
    <row r="6457" spans="1:14" hidden="1" x14ac:dyDescent="0.25">
      <c r="A6457" s="19">
        <v>46174</v>
      </c>
      <c r="B6457" s="20" t="s">
        <v>120</v>
      </c>
      <c r="C6457" s="20">
        <v>63</v>
      </c>
      <c r="D6457" s="20" t="s">
        <v>238</v>
      </c>
      <c r="E6457" s="20" t="s">
        <v>2341</v>
      </c>
      <c r="F6457" s="20" t="s">
        <v>376</v>
      </c>
      <c r="G6457" s="20" t="s">
        <v>63</v>
      </c>
      <c r="H6457" s="20"/>
      <c r="I6457" s="20"/>
      <c r="J6457" s="20" t="s">
        <v>210</v>
      </c>
      <c r="K6457" s="20" t="s">
        <v>250</v>
      </c>
      <c r="L6457" s="20">
        <v>5290000</v>
      </c>
      <c r="M6457" s="20" t="s">
        <v>242</v>
      </c>
      <c r="N6457" s="20" t="s">
        <v>3919</v>
      </c>
    </row>
    <row r="6458" spans="1:14" hidden="1" x14ac:dyDescent="0.25">
      <c r="A6458" s="19">
        <v>46174</v>
      </c>
      <c r="B6458" s="20" t="s">
        <v>120</v>
      </c>
      <c r="C6458" s="20">
        <v>64</v>
      </c>
      <c r="D6458" s="20" t="s">
        <v>238</v>
      </c>
      <c r="E6458" s="20" t="s">
        <v>2341</v>
      </c>
      <c r="F6458" s="20" t="s">
        <v>378</v>
      </c>
      <c r="G6458" s="20" t="s">
        <v>379</v>
      </c>
      <c r="H6458" s="20"/>
      <c r="I6458" s="20"/>
      <c r="J6458" s="20" t="s">
        <v>210</v>
      </c>
      <c r="K6458" s="20" t="s">
        <v>250</v>
      </c>
      <c r="L6458" s="20">
        <v>727</v>
      </c>
      <c r="M6458" s="20" t="s">
        <v>242</v>
      </c>
      <c r="N6458" s="20" t="s">
        <v>3920</v>
      </c>
    </row>
    <row r="6459" spans="1:14" hidden="1" x14ac:dyDescent="0.25">
      <c r="A6459" s="19">
        <v>46174</v>
      </c>
      <c r="B6459" s="20" t="s">
        <v>120</v>
      </c>
      <c r="C6459" s="20">
        <v>64</v>
      </c>
      <c r="D6459" s="20" t="s">
        <v>238</v>
      </c>
      <c r="E6459" s="20" t="s">
        <v>2341</v>
      </c>
      <c r="F6459" s="20" t="s">
        <v>381</v>
      </c>
      <c r="G6459" s="20" t="s">
        <v>382</v>
      </c>
      <c r="H6459" s="20"/>
      <c r="I6459" s="20"/>
      <c r="J6459" s="20" t="s">
        <v>210</v>
      </c>
      <c r="K6459" s="20" t="s">
        <v>250</v>
      </c>
      <c r="L6459" s="20">
        <v>2528</v>
      </c>
      <c r="M6459" s="20" t="s">
        <v>242</v>
      </c>
      <c r="N6459" s="20" t="s">
        <v>3921</v>
      </c>
    </row>
    <row r="6460" spans="1:14" hidden="1" x14ac:dyDescent="0.25">
      <c r="A6460" s="19">
        <v>46174</v>
      </c>
      <c r="B6460" s="20" t="s">
        <v>120</v>
      </c>
      <c r="C6460" s="20">
        <v>65</v>
      </c>
      <c r="D6460" s="20" t="s">
        <v>253</v>
      </c>
      <c r="E6460" s="20" t="s">
        <v>2359</v>
      </c>
      <c r="F6460" s="20" t="s">
        <v>240</v>
      </c>
      <c r="G6460" s="20" t="s">
        <v>82</v>
      </c>
      <c r="H6460" s="20"/>
      <c r="I6460" s="20"/>
      <c r="J6460" s="20" t="s">
        <v>208</v>
      </c>
      <c r="K6460" s="20" t="s">
        <v>255</v>
      </c>
      <c r="L6460" s="20">
        <v>6590000</v>
      </c>
      <c r="M6460" s="20" t="s">
        <v>242</v>
      </c>
      <c r="N6460" s="20" t="s">
        <v>3737</v>
      </c>
    </row>
    <row r="6461" spans="1:14" hidden="1" x14ac:dyDescent="0.25">
      <c r="A6461" s="19">
        <v>46174</v>
      </c>
      <c r="B6461" s="20" t="s">
        <v>120</v>
      </c>
      <c r="C6461" s="20">
        <v>65</v>
      </c>
      <c r="D6461" s="20" t="s">
        <v>253</v>
      </c>
      <c r="E6461" s="20" t="s">
        <v>2359</v>
      </c>
      <c r="F6461" s="20" t="s">
        <v>240</v>
      </c>
      <c r="G6461" s="20" t="s">
        <v>82</v>
      </c>
      <c r="H6461" s="20"/>
      <c r="I6461" s="20"/>
      <c r="J6461" s="20" t="s">
        <v>209</v>
      </c>
      <c r="K6461" s="20" t="s">
        <v>255</v>
      </c>
      <c r="L6461" s="20">
        <v>6860000</v>
      </c>
      <c r="M6461" s="20" t="s">
        <v>242</v>
      </c>
      <c r="N6461" s="20" t="s">
        <v>3882</v>
      </c>
    </row>
    <row r="6462" spans="1:14" hidden="1" x14ac:dyDescent="0.25">
      <c r="A6462" s="19">
        <v>46174</v>
      </c>
      <c r="B6462" s="20" t="s">
        <v>120</v>
      </c>
      <c r="C6462" s="20">
        <v>65</v>
      </c>
      <c r="D6462" s="20" t="s">
        <v>253</v>
      </c>
      <c r="E6462" s="20" t="s">
        <v>2359</v>
      </c>
      <c r="F6462" s="20" t="s">
        <v>240</v>
      </c>
      <c r="G6462" s="20" t="s">
        <v>82</v>
      </c>
      <c r="H6462" s="20"/>
      <c r="I6462" s="20"/>
      <c r="J6462" s="20" t="s">
        <v>210</v>
      </c>
      <c r="K6462" s="20" t="s">
        <v>255</v>
      </c>
      <c r="L6462" s="20">
        <v>7060000</v>
      </c>
      <c r="M6462" s="20" t="s">
        <v>242</v>
      </c>
      <c r="N6462" s="20" t="s">
        <v>4023</v>
      </c>
    </row>
    <row r="6463" spans="1:14" hidden="1" x14ac:dyDescent="0.25">
      <c r="A6463" s="19">
        <v>46174</v>
      </c>
      <c r="B6463" s="20" t="s">
        <v>120</v>
      </c>
      <c r="C6463" s="20">
        <v>65</v>
      </c>
      <c r="D6463" s="20" t="s">
        <v>247</v>
      </c>
      <c r="E6463" s="20" t="s">
        <v>2554</v>
      </c>
      <c r="F6463" s="20" t="s">
        <v>2556</v>
      </c>
      <c r="G6463" s="20" t="s">
        <v>82</v>
      </c>
      <c r="H6463" s="20" t="s">
        <v>286</v>
      </c>
      <c r="I6463" s="20"/>
      <c r="J6463" s="20" t="s">
        <v>210</v>
      </c>
      <c r="K6463" s="20" t="s">
        <v>250</v>
      </c>
      <c r="L6463" s="20">
        <v>2.8</v>
      </c>
      <c r="M6463" s="20" t="s">
        <v>251</v>
      </c>
      <c r="N6463" s="20" t="s">
        <v>1346</v>
      </c>
    </row>
    <row r="6464" spans="1:14" hidden="1" x14ac:dyDescent="0.25">
      <c r="A6464" s="19">
        <v>46174</v>
      </c>
      <c r="B6464" s="20" t="s">
        <v>120</v>
      </c>
      <c r="C6464" s="20">
        <v>66</v>
      </c>
      <c r="D6464" s="20" t="s">
        <v>291</v>
      </c>
      <c r="E6464" s="20" t="s">
        <v>2361</v>
      </c>
      <c r="F6464" s="20" t="s">
        <v>2502</v>
      </c>
      <c r="G6464" s="20" t="s">
        <v>82</v>
      </c>
      <c r="H6464" s="20" t="s">
        <v>131</v>
      </c>
      <c r="I6464" s="20"/>
      <c r="J6464" s="20" t="s">
        <v>210</v>
      </c>
      <c r="K6464" s="20" t="s">
        <v>250</v>
      </c>
      <c r="L6464" s="20">
        <v>33000</v>
      </c>
      <c r="M6464" s="20" t="s">
        <v>242</v>
      </c>
      <c r="N6464" s="20" t="s">
        <v>2503</v>
      </c>
    </row>
    <row r="6465" spans="1:14" hidden="1" x14ac:dyDescent="0.25">
      <c r="A6465" s="19">
        <v>46174</v>
      </c>
      <c r="B6465" s="20" t="s">
        <v>120</v>
      </c>
      <c r="C6465" s="20">
        <v>66</v>
      </c>
      <c r="D6465" s="20" t="s">
        <v>291</v>
      </c>
      <c r="E6465" s="20" t="s">
        <v>2361</v>
      </c>
      <c r="F6465" s="20" t="s">
        <v>2502</v>
      </c>
      <c r="G6465" s="20" t="s">
        <v>82</v>
      </c>
      <c r="H6465" s="20" t="s">
        <v>125</v>
      </c>
      <c r="I6465" s="20"/>
      <c r="J6465" s="20" t="s">
        <v>210</v>
      </c>
      <c r="K6465" s="20" t="s">
        <v>250</v>
      </c>
      <c r="L6465" s="20">
        <v>37000</v>
      </c>
      <c r="M6465" s="20" t="s">
        <v>242</v>
      </c>
      <c r="N6465" s="20" t="s">
        <v>2774</v>
      </c>
    </row>
    <row r="6466" spans="1:14" hidden="1" x14ac:dyDescent="0.25">
      <c r="A6466" s="19">
        <v>46174</v>
      </c>
      <c r="B6466" s="20" t="s">
        <v>120</v>
      </c>
      <c r="C6466" s="20">
        <v>66</v>
      </c>
      <c r="D6466" s="20" t="s">
        <v>291</v>
      </c>
      <c r="E6466" s="20" t="s">
        <v>2361</v>
      </c>
      <c r="F6466" s="20" t="s">
        <v>2502</v>
      </c>
      <c r="G6466" s="20" t="s">
        <v>82</v>
      </c>
      <c r="H6466" s="20" t="s">
        <v>128</v>
      </c>
      <c r="I6466" s="20"/>
      <c r="J6466" s="20" t="s">
        <v>210</v>
      </c>
      <c r="K6466" s="20" t="s">
        <v>250</v>
      </c>
      <c r="L6466" s="20">
        <v>38000</v>
      </c>
      <c r="M6466" s="20" t="s">
        <v>242</v>
      </c>
      <c r="N6466" s="20" t="s">
        <v>3084</v>
      </c>
    </row>
    <row r="6467" spans="1:14" hidden="1" x14ac:dyDescent="0.25">
      <c r="A6467" s="19">
        <v>46174</v>
      </c>
      <c r="B6467" s="20" t="s">
        <v>120</v>
      </c>
      <c r="C6467" s="20">
        <v>66</v>
      </c>
      <c r="D6467" s="20" t="s">
        <v>291</v>
      </c>
      <c r="E6467" s="20" t="s">
        <v>2361</v>
      </c>
      <c r="F6467" s="20" t="s">
        <v>2502</v>
      </c>
      <c r="G6467" s="20" t="s">
        <v>82</v>
      </c>
      <c r="H6467" s="20" t="s">
        <v>132</v>
      </c>
      <c r="I6467" s="20"/>
      <c r="J6467" s="20" t="s">
        <v>210</v>
      </c>
      <c r="K6467" s="20" t="s">
        <v>250</v>
      </c>
      <c r="L6467" s="20">
        <v>60000</v>
      </c>
      <c r="M6467" s="20" t="s">
        <v>242</v>
      </c>
      <c r="N6467" s="20" t="s">
        <v>3007</v>
      </c>
    </row>
    <row r="6468" spans="1:14" hidden="1" x14ac:dyDescent="0.25">
      <c r="A6468" s="19">
        <v>46174</v>
      </c>
      <c r="B6468" s="20" t="s">
        <v>120</v>
      </c>
      <c r="C6468" s="20">
        <v>66</v>
      </c>
      <c r="D6468" s="20" t="s">
        <v>291</v>
      </c>
      <c r="E6468" s="20" t="s">
        <v>2361</v>
      </c>
      <c r="F6468" s="20" t="s">
        <v>2502</v>
      </c>
      <c r="G6468" s="20" t="s">
        <v>82</v>
      </c>
      <c r="H6468" s="20" t="s">
        <v>126</v>
      </c>
      <c r="I6468" s="20"/>
      <c r="J6468" s="20" t="s">
        <v>210</v>
      </c>
      <c r="K6468" s="20" t="s">
        <v>250</v>
      </c>
      <c r="L6468" s="20">
        <v>126000</v>
      </c>
      <c r="M6468" s="20" t="s">
        <v>242</v>
      </c>
      <c r="N6468" s="20" t="s">
        <v>2773</v>
      </c>
    </row>
    <row r="6469" spans="1:14" hidden="1" x14ac:dyDescent="0.25">
      <c r="A6469" s="19">
        <v>46174</v>
      </c>
      <c r="B6469" s="20" t="s">
        <v>120</v>
      </c>
      <c r="C6469" s="20">
        <v>66</v>
      </c>
      <c r="D6469" s="20" t="s">
        <v>291</v>
      </c>
      <c r="E6469" s="20" t="s">
        <v>2361</v>
      </c>
      <c r="F6469" s="20" t="s">
        <v>2502</v>
      </c>
      <c r="G6469" s="20" t="s">
        <v>82</v>
      </c>
      <c r="H6469" s="20" t="s">
        <v>127</v>
      </c>
      <c r="I6469" s="20"/>
      <c r="J6469" s="20" t="s">
        <v>210</v>
      </c>
      <c r="K6469" s="20" t="s">
        <v>250</v>
      </c>
      <c r="L6469" s="20">
        <v>323000</v>
      </c>
      <c r="M6469" s="20" t="s">
        <v>242</v>
      </c>
      <c r="N6469" s="20" t="s">
        <v>4024</v>
      </c>
    </row>
    <row r="6470" spans="1:14" hidden="1" x14ac:dyDescent="0.25">
      <c r="A6470" s="19">
        <v>46174</v>
      </c>
      <c r="B6470" s="20" t="s">
        <v>120</v>
      </c>
      <c r="C6470" s="20">
        <v>66</v>
      </c>
      <c r="D6470" s="20" t="s">
        <v>291</v>
      </c>
      <c r="E6470" s="20" t="s">
        <v>2361</v>
      </c>
      <c r="F6470" s="20" t="s">
        <v>2502</v>
      </c>
      <c r="G6470" s="20" t="s">
        <v>82</v>
      </c>
      <c r="H6470" s="20" t="s">
        <v>133</v>
      </c>
      <c r="I6470" s="20"/>
      <c r="J6470" s="20" t="s">
        <v>210</v>
      </c>
      <c r="K6470" s="20" t="s">
        <v>250</v>
      </c>
      <c r="L6470" s="20">
        <v>557000</v>
      </c>
      <c r="M6470" s="20" t="s">
        <v>242</v>
      </c>
      <c r="N6470" s="20" t="s">
        <v>4025</v>
      </c>
    </row>
    <row r="6471" spans="1:14" hidden="1" x14ac:dyDescent="0.25">
      <c r="A6471" s="19">
        <v>46174</v>
      </c>
      <c r="B6471" s="20" t="s">
        <v>120</v>
      </c>
      <c r="C6471" s="20">
        <v>66</v>
      </c>
      <c r="D6471" s="20" t="s">
        <v>291</v>
      </c>
      <c r="E6471" s="20" t="s">
        <v>2361</v>
      </c>
      <c r="F6471" s="20" t="s">
        <v>2502</v>
      </c>
      <c r="G6471" s="20" t="s">
        <v>82</v>
      </c>
      <c r="H6471" s="20" t="s">
        <v>129</v>
      </c>
      <c r="I6471" s="20"/>
      <c r="J6471" s="20" t="s">
        <v>210</v>
      </c>
      <c r="K6471" s="20" t="s">
        <v>250</v>
      </c>
      <c r="L6471" s="20">
        <v>1590000</v>
      </c>
      <c r="M6471" s="20" t="s">
        <v>242</v>
      </c>
      <c r="N6471" s="20" t="s">
        <v>914</v>
      </c>
    </row>
    <row r="6472" spans="1:14" hidden="1" x14ac:dyDescent="0.25">
      <c r="A6472" s="19">
        <v>46174</v>
      </c>
      <c r="B6472" s="20" t="s">
        <v>120</v>
      </c>
      <c r="C6472" s="20">
        <v>66</v>
      </c>
      <c r="D6472" s="20" t="s">
        <v>291</v>
      </c>
      <c r="E6472" s="20" t="s">
        <v>2361</v>
      </c>
      <c r="F6472" s="20" t="s">
        <v>2502</v>
      </c>
      <c r="G6472" s="20" t="s">
        <v>82</v>
      </c>
      <c r="H6472" s="20" t="s">
        <v>134</v>
      </c>
      <c r="I6472" s="20"/>
      <c r="J6472" s="20" t="s">
        <v>210</v>
      </c>
      <c r="K6472" s="20" t="s">
        <v>250</v>
      </c>
      <c r="L6472" s="20">
        <v>1990000</v>
      </c>
      <c r="M6472" s="20" t="s">
        <v>242</v>
      </c>
      <c r="N6472" s="20" t="s">
        <v>3153</v>
      </c>
    </row>
    <row r="6473" spans="1:14" hidden="1" x14ac:dyDescent="0.25">
      <c r="A6473" s="19">
        <v>46174</v>
      </c>
      <c r="B6473" s="20" t="s">
        <v>120</v>
      </c>
      <c r="C6473" s="20">
        <v>66</v>
      </c>
      <c r="D6473" s="20" t="s">
        <v>291</v>
      </c>
      <c r="E6473" s="20" t="s">
        <v>2361</v>
      </c>
      <c r="F6473" s="20" t="s">
        <v>2502</v>
      </c>
      <c r="G6473" s="20" t="s">
        <v>82</v>
      </c>
      <c r="H6473" s="20" t="s">
        <v>130</v>
      </c>
      <c r="I6473" s="20"/>
      <c r="J6473" s="20" t="s">
        <v>210</v>
      </c>
      <c r="K6473" s="20" t="s">
        <v>250</v>
      </c>
      <c r="L6473" s="20">
        <v>2200000</v>
      </c>
      <c r="M6473" s="20" t="s">
        <v>242</v>
      </c>
      <c r="N6473" s="20" t="s">
        <v>3332</v>
      </c>
    </row>
    <row r="6474" spans="1:14" hidden="1" x14ac:dyDescent="0.25">
      <c r="A6474" s="19">
        <v>46174</v>
      </c>
      <c r="B6474" s="20" t="s">
        <v>120</v>
      </c>
      <c r="C6474" s="20">
        <v>67</v>
      </c>
      <c r="D6474" s="20" t="s">
        <v>291</v>
      </c>
      <c r="E6474" s="20" t="s">
        <v>2361</v>
      </c>
      <c r="F6474" s="20" t="s">
        <v>2510</v>
      </c>
      <c r="G6474" s="20" t="s">
        <v>82</v>
      </c>
      <c r="H6474" s="20" t="s">
        <v>138</v>
      </c>
      <c r="I6474" s="20"/>
      <c r="J6474" s="20" t="s">
        <v>210</v>
      </c>
      <c r="K6474" s="20" t="s">
        <v>250</v>
      </c>
      <c r="L6474" s="20">
        <v>5800000</v>
      </c>
      <c r="M6474" s="20" t="s">
        <v>242</v>
      </c>
      <c r="N6474" s="20" t="s">
        <v>4026</v>
      </c>
    </row>
    <row r="6475" spans="1:14" hidden="1" x14ac:dyDescent="0.25">
      <c r="A6475" s="19">
        <v>46174</v>
      </c>
      <c r="B6475" s="20" t="s">
        <v>120</v>
      </c>
      <c r="C6475" s="20">
        <v>67</v>
      </c>
      <c r="D6475" s="20" t="s">
        <v>291</v>
      </c>
      <c r="E6475" s="20" t="s">
        <v>2361</v>
      </c>
      <c r="F6475" s="20" t="s">
        <v>2510</v>
      </c>
      <c r="G6475" s="20" t="s">
        <v>82</v>
      </c>
      <c r="H6475" s="20" t="s">
        <v>137</v>
      </c>
      <c r="I6475" s="20"/>
      <c r="J6475" s="20" t="s">
        <v>210</v>
      </c>
      <c r="K6475" s="20" t="s">
        <v>250</v>
      </c>
      <c r="L6475" s="20">
        <v>1260000</v>
      </c>
      <c r="M6475" s="20" t="s">
        <v>242</v>
      </c>
      <c r="N6475" s="20" t="s">
        <v>782</v>
      </c>
    </row>
    <row r="6476" spans="1:14" hidden="1" x14ac:dyDescent="0.25">
      <c r="A6476" s="19">
        <v>46174</v>
      </c>
      <c r="B6476" s="20" t="s">
        <v>120</v>
      </c>
      <c r="C6476" s="20">
        <v>68</v>
      </c>
      <c r="D6476" s="20" t="s">
        <v>253</v>
      </c>
      <c r="E6476" s="20" t="s">
        <v>2359</v>
      </c>
      <c r="F6476" s="20" t="s">
        <v>244</v>
      </c>
      <c r="G6476" s="20" t="s">
        <v>82</v>
      </c>
      <c r="H6476" s="20"/>
      <c r="I6476" s="20"/>
      <c r="J6476" s="20" t="s">
        <v>208</v>
      </c>
      <c r="K6476" s="20" t="s">
        <v>255</v>
      </c>
      <c r="L6476" s="20">
        <v>1430000000</v>
      </c>
      <c r="M6476" s="20" t="s">
        <v>245</v>
      </c>
      <c r="N6476" s="20" t="s">
        <v>3742</v>
      </c>
    </row>
    <row r="6477" spans="1:14" hidden="1" x14ac:dyDescent="0.25">
      <c r="A6477" s="19">
        <v>46174</v>
      </c>
      <c r="B6477" s="20" t="s">
        <v>120</v>
      </c>
      <c r="C6477" s="20">
        <v>68</v>
      </c>
      <c r="D6477" s="20" t="s">
        <v>253</v>
      </c>
      <c r="E6477" s="20" t="s">
        <v>2359</v>
      </c>
      <c r="F6477" s="20" t="s">
        <v>244</v>
      </c>
      <c r="G6477" s="20" t="s">
        <v>82</v>
      </c>
      <c r="H6477" s="20"/>
      <c r="I6477" s="20"/>
      <c r="J6477" s="20" t="s">
        <v>209</v>
      </c>
      <c r="K6477" s="20" t="s">
        <v>255</v>
      </c>
      <c r="L6477" s="20">
        <v>1190000000</v>
      </c>
      <c r="M6477" s="20" t="s">
        <v>245</v>
      </c>
      <c r="N6477" s="20" t="s">
        <v>1371</v>
      </c>
    </row>
    <row r="6478" spans="1:14" hidden="1" x14ac:dyDescent="0.25">
      <c r="A6478" s="19">
        <v>46174</v>
      </c>
      <c r="B6478" s="20" t="s">
        <v>120</v>
      </c>
      <c r="C6478" s="20">
        <v>68</v>
      </c>
      <c r="D6478" s="20" t="s">
        <v>253</v>
      </c>
      <c r="E6478" s="20" t="s">
        <v>2359</v>
      </c>
      <c r="F6478" s="20" t="s">
        <v>244</v>
      </c>
      <c r="G6478" s="20" t="s">
        <v>82</v>
      </c>
      <c r="H6478" s="20"/>
      <c r="I6478" s="20"/>
      <c r="J6478" s="20" t="s">
        <v>210</v>
      </c>
      <c r="K6478" s="20" t="s">
        <v>255</v>
      </c>
      <c r="L6478" s="20">
        <v>1260000000</v>
      </c>
      <c r="M6478" s="20" t="s">
        <v>245</v>
      </c>
      <c r="N6478" s="20" t="s">
        <v>3597</v>
      </c>
    </row>
    <row r="6479" spans="1:14" hidden="1" x14ac:dyDescent="0.25">
      <c r="A6479" s="19">
        <v>46174</v>
      </c>
      <c r="B6479" s="20" t="s">
        <v>120</v>
      </c>
      <c r="C6479" s="20">
        <v>68</v>
      </c>
      <c r="D6479" s="20" t="s">
        <v>247</v>
      </c>
      <c r="E6479" s="20" t="s">
        <v>2554</v>
      </c>
      <c r="F6479" s="20" t="s">
        <v>2557</v>
      </c>
      <c r="G6479" s="20" t="s">
        <v>82</v>
      </c>
      <c r="H6479" s="20" t="s">
        <v>286</v>
      </c>
      <c r="I6479" s="20"/>
      <c r="J6479" s="20" t="s">
        <v>210</v>
      </c>
      <c r="K6479" s="20" t="s">
        <v>250</v>
      </c>
      <c r="L6479" s="20">
        <v>6</v>
      </c>
      <c r="M6479" s="20" t="s">
        <v>251</v>
      </c>
      <c r="N6479" s="20" t="s">
        <v>672</v>
      </c>
    </row>
    <row r="6480" spans="1:14" hidden="1" x14ac:dyDescent="0.25">
      <c r="A6480" s="19">
        <v>46174</v>
      </c>
      <c r="B6480" s="20" t="s">
        <v>120</v>
      </c>
      <c r="C6480" s="20">
        <v>69</v>
      </c>
      <c r="D6480" s="20" t="s">
        <v>291</v>
      </c>
      <c r="E6480" s="20" t="s">
        <v>2361</v>
      </c>
      <c r="F6480" s="20" t="s">
        <v>2514</v>
      </c>
      <c r="G6480" s="20" t="s">
        <v>82</v>
      </c>
      <c r="H6480" s="20" t="s">
        <v>132</v>
      </c>
      <c r="I6480" s="20"/>
      <c r="J6480" s="20" t="s">
        <v>210</v>
      </c>
      <c r="K6480" s="20" t="s">
        <v>250</v>
      </c>
      <c r="L6480" s="20">
        <v>10000000</v>
      </c>
      <c r="M6480" s="20" t="s">
        <v>245</v>
      </c>
      <c r="N6480" s="20" t="s">
        <v>1103</v>
      </c>
    </row>
    <row r="6481" spans="1:14" hidden="1" x14ac:dyDescent="0.25">
      <c r="A6481" s="19">
        <v>46174</v>
      </c>
      <c r="B6481" s="20" t="s">
        <v>120</v>
      </c>
      <c r="C6481" s="20">
        <v>69</v>
      </c>
      <c r="D6481" s="20" t="s">
        <v>291</v>
      </c>
      <c r="E6481" s="20" t="s">
        <v>2361</v>
      </c>
      <c r="F6481" s="20" t="s">
        <v>2514</v>
      </c>
      <c r="G6481" s="20" t="s">
        <v>82</v>
      </c>
      <c r="H6481" s="20" t="s">
        <v>3887</v>
      </c>
      <c r="I6481" s="20"/>
      <c r="J6481" s="20" t="s">
        <v>210</v>
      </c>
      <c r="K6481" s="20" t="s">
        <v>250</v>
      </c>
      <c r="L6481" s="20">
        <v>13000000</v>
      </c>
      <c r="M6481" s="20" t="s">
        <v>245</v>
      </c>
      <c r="N6481" s="20" t="s">
        <v>2517</v>
      </c>
    </row>
    <row r="6482" spans="1:14" hidden="1" x14ac:dyDescent="0.25">
      <c r="A6482" s="19">
        <v>46174</v>
      </c>
      <c r="B6482" s="20" t="s">
        <v>120</v>
      </c>
      <c r="C6482" s="20">
        <v>69</v>
      </c>
      <c r="D6482" s="20" t="s">
        <v>291</v>
      </c>
      <c r="E6482" s="20" t="s">
        <v>2361</v>
      </c>
      <c r="F6482" s="20" t="s">
        <v>2514</v>
      </c>
      <c r="G6482" s="20" t="s">
        <v>82</v>
      </c>
      <c r="H6482" s="20" t="s">
        <v>131</v>
      </c>
      <c r="I6482" s="20"/>
      <c r="J6482" s="20" t="s">
        <v>210</v>
      </c>
      <c r="K6482" s="20" t="s">
        <v>250</v>
      </c>
      <c r="L6482" s="20">
        <v>16000000</v>
      </c>
      <c r="M6482" s="20" t="s">
        <v>245</v>
      </c>
      <c r="N6482" s="20" t="s">
        <v>3156</v>
      </c>
    </row>
    <row r="6483" spans="1:14" hidden="1" x14ac:dyDescent="0.25">
      <c r="A6483" s="19">
        <v>46174</v>
      </c>
      <c r="B6483" s="20" t="s">
        <v>120</v>
      </c>
      <c r="C6483" s="20">
        <v>69</v>
      </c>
      <c r="D6483" s="20" t="s">
        <v>291</v>
      </c>
      <c r="E6483" s="20" t="s">
        <v>2361</v>
      </c>
      <c r="F6483" s="20" t="s">
        <v>2514</v>
      </c>
      <c r="G6483" s="20" t="s">
        <v>82</v>
      </c>
      <c r="H6483" s="20" t="s">
        <v>140</v>
      </c>
      <c r="I6483" s="20"/>
      <c r="J6483" s="20" t="s">
        <v>210</v>
      </c>
      <c r="K6483" s="20" t="s">
        <v>250</v>
      </c>
      <c r="L6483" s="20">
        <v>17000000</v>
      </c>
      <c r="M6483" s="20" t="s">
        <v>245</v>
      </c>
      <c r="N6483" s="20" t="s">
        <v>2696</v>
      </c>
    </row>
    <row r="6484" spans="1:14" hidden="1" x14ac:dyDescent="0.25">
      <c r="A6484" s="19">
        <v>46174</v>
      </c>
      <c r="B6484" s="20" t="s">
        <v>120</v>
      </c>
      <c r="C6484" s="20">
        <v>69</v>
      </c>
      <c r="D6484" s="20" t="s">
        <v>291</v>
      </c>
      <c r="E6484" s="20" t="s">
        <v>2361</v>
      </c>
      <c r="F6484" s="20" t="s">
        <v>2514</v>
      </c>
      <c r="G6484" s="20" t="s">
        <v>82</v>
      </c>
      <c r="H6484" s="20" t="s">
        <v>126</v>
      </c>
      <c r="I6484" s="20"/>
      <c r="J6484" s="20" t="s">
        <v>210</v>
      </c>
      <c r="K6484" s="20" t="s">
        <v>250</v>
      </c>
      <c r="L6484" s="20">
        <v>33000000</v>
      </c>
      <c r="M6484" s="20" t="s">
        <v>245</v>
      </c>
      <c r="N6484" s="20" t="s">
        <v>2697</v>
      </c>
    </row>
    <row r="6485" spans="1:14" hidden="1" x14ac:dyDescent="0.25">
      <c r="A6485" s="19">
        <v>46174</v>
      </c>
      <c r="B6485" s="20" t="s">
        <v>120</v>
      </c>
      <c r="C6485" s="20">
        <v>69</v>
      </c>
      <c r="D6485" s="20" t="s">
        <v>291</v>
      </c>
      <c r="E6485" s="20" t="s">
        <v>2361</v>
      </c>
      <c r="F6485" s="20" t="s">
        <v>2514</v>
      </c>
      <c r="G6485" s="20" t="s">
        <v>82</v>
      </c>
      <c r="H6485" s="20" t="s">
        <v>130</v>
      </c>
      <c r="I6485" s="20"/>
      <c r="J6485" s="20" t="s">
        <v>210</v>
      </c>
      <c r="K6485" s="20" t="s">
        <v>250</v>
      </c>
      <c r="L6485" s="20">
        <v>37000000</v>
      </c>
      <c r="M6485" s="20" t="s">
        <v>245</v>
      </c>
      <c r="N6485" s="20" t="s">
        <v>4027</v>
      </c>
    </row>
    <row r="6486" spans="1:14" hidden="1" x14ac:dyDescent="0.25">
      <c r="A6486" s="19">
        <v>46174</v>
      </c>
      <c r="B6486" s="20" t="s">
        <v>120</v>
      </c>
      <c r="C6486" s="20">
        <v>69</v>
      </c>
      <c r="D6486" s="20" t="s">
        <v>291</v>
      </c>
      <c r="E6486" s="20" t="s">
        <v>2361</v>
      </c>
      <c r="F6486" s="20" t="s">
        <v>2514</v>
      </c>
      <c r="G6486" s="20" t="s">
        <v>82</v>
      </c>
      <c r="H6486" s="20" t="s">
        <v>127</v>
      </c>
      <c r="I6486" s="20"/>
      <c r="J6486" s="20" t="s">
        <v>210</v>
      </c>
      <c r="K6486" s="20" t="s">
        <v>250</v>
      </c>
      <c r="L6486" s="20">
        <v>69000000</v>
      </c>
      <c r="M6486" s="20" t="s">
        <v>245</v>
      </c>
      <c r="N6486" s="20" t="s">
        <v>4028</v>
      </c>
    </row>
    <row r="6487" spans="1:14" hidden="1" x14ac:dyDescent="0.25">
      <c r="A6487" s="19">
        <v>46174</v>
      </c>
      <c r="B6487" s="20" t="s">
        <v>120</v>
      </c>
      <c r="C6487" s="20">
        <v>69</v>
      </c>
      <c r="D6487" s="20" t="s">
        <v>291</v>
      </c>
      <c r="E6487" s="20" t="s">
        <v>2361</v>
      </c>
      <c r="F6487" s="20" t="s">
        <v>2514</v>
      </c>
      <c r="G6487" s="20" t="s">
        <v>82</v>
      </c>
      <c r="H6487" s="20" t="s">
        <v>134</v>
      </c>
      <c r="I6487" s="20"/>
      <c r="J6487" s="20" t="s">
        <v>210</v>
      </c>
      <c r="K6487" s="20" t="s">
        <v>250</v>
      </c>
      <c r="L6487" s="20">
        <v>79000000</v>
      </c>
      <c r="M6487" s="20" t="s">
        <v>245</v>
      </c>
      <c r="N6487" s="20" t="s">
        <v>3452</v>
      </c>
    </row>
    <row r="6488" spans="1:14" hidden="1" x14ac:dyDescent="0.25">
      <c r="A6488" s="19">
        <v>46174</v>
      </c>
      <c r="B6488" s="20" t="s">
        <v>120</v>
      </c>
      <c r="C6488" s="20">
        <v>69</v>
      </c>
      <c r="D6488" s="20" t="s">
        <v>291</v>
      </c>
      <c r="E6488" s="20" t="s">
        <v>2361</v>
      </c>
      <c r="F6488" s="20" t="s">
        <v>2514</v>
      </c>
      <c r="G6488" s="20" t="s">
        <v>82</v>
      </c>
      <c r="H6488" s="20" t="s">
        <v>133</v>
      </c>
      <c r="I6488" s="20"/>
      <c r="J6488" s="20" t="s">
        <v>210</v>
      </c>
      <c r="K6488" s="20" t="s">
        <v>250</v>
      </c>
      <c r="L6488" s="20">
        <v>166000000</v>
      </c>
      <c r="M6488" s="20" t="s">
        <v>245</v>
      </c>
      <c r="N6488" s="20" t="s">
        <v>4029</v>
      </c>
    </row>
    <row r="6489" spans="1:14" hidden="1" x14ac:dyDescent="0.25">
      <c r="A6489" s="19">
        <v>46174</v>
      </c>
      <c r="B6489" s="20" t="s">
        <v>120</v>
      </c>
      <c r="C6489" s="20">
        <v>69</v>
      </c>
      <c r="D6489" s="20" t="s">
        <v>291</v>
      </c>
      <c r="E6489" s="20" t="s">
        <v>2361</v>
      </c>
      <c r="F6489" s="20" t="s">
        <v>2514</v>
      </c>
      <c r="G6489" s="20" t="s">
        <v>82</v>
      </c>
      <c r="H6489" s="20" t="s">
        <v>129</v>
      </c>
      <c r="I6489" s="20"/>
      <c r="J6489" s="20" t="s">
        <v>210</v>
      </c>
      <c r="K6489" s="20" t="s">
        <v>250</v>
      </c>
      <c r="L6489" s="20">
        <v>816000000</v>
      </c>
      <c r="M6489" s="20" t="s">
        <v>245</v>
      </c>
      <c r="N6489" s="20" t="s">
        <v>4030</v>
      </c>
    </row>
    <row r="6490" spans="1:14" hidden="1" x14ac:dyDescent="0.25">
      <c r="A6490" s="19">
        <v>46174</v>
      </c>
      <c r="B6490" s="20" t="s">
        <v>120</v>
      </c>
      <c r="C6490" s="20">
        <v>70</v>
      </c>
      <c r="D6490" s="20" t="s">
        <v>291</v>
      </c>
      <c r="E6490" s="20" t="s">
        <v>2361</v>
      </c>
      <c r="F6490" s="20" t="s">
        <v>2510</v>
      </c>
      <c r="G6490" s="20" t="s">
        <v>82</v>
      </c>
      <c r="H6490" s="20" t="s">
        <v>138</v>
      </c>
      <c r="I6490" s="20"/>
      <c r="J6490" s="20" t="s">
        <v>210</v>
      </c>
      <c r="K6490" s="20" t="s">
        <v>250</v>
      </c>
      <c r="L6490" s="20">
        <v>1100000000</v>
      </c>
      <c r="M6490" s="20" t="s">
        <v>245</v>
      </c>
      <c r="N6490" s="20" t="s">
        <v>3603</v>
      </c>
    </row>
    <row r="6491" spans="1:14" hidden="1" x14ac:dyDescent="0.25">
      <c r="A6491" s="19">
        <v>46174</v>
      </c>
      <c r="B6491" s="20" t="s">
        <v>120</v>
      </c>
      <c r="C6491" s="20">
        <v>70</v>
      </c>
      <c r="D6491" s="20" t="s">
        <v>291</v>
      </c>
      <c r="E6491" s="20" t="s">
        <v>2361</v>
      </c>
      <c r="F6491" s="20" t="s">
        <v>2510</v>
      </c>
      <c r="G6491" s="20" t="s">
        <v>82</v>
      </c>
      <c r="H6491" s="20" t="s">
        <v>137</v>
      </c>
      <c r="I6491" s="20"/>
      <c r="J6491" s="20" t="s">
        <v>210</v>
      </c>
      <c r="K6491" s="20" t="s">
        <v>250</v>
      </c>
      <c r="L6491" s="20">
        <v>151900000</v>
      </c>
      <c r="M6491" s="20" t="s">
        <v>245</v>
      </c>
      <c r="N6491" s="20" t="s">
        <v>4031</v>
      </c>
    </row>
    <row r="6492" spans="1:14" hidden="1" x14ac:dyDescent="0.25">
      <c r="A6492" s="19">
        <v>46174</v>
      </c>
      <c r="B6492" s="20" t="s">
        <v>120</v>
      </c>
      <c r="C6492" s="20">
        <v>71</v>
      </c>
      <c r="D6492" s="20" t="s">
        <v>253</v>
      </c>
      <c r="E6492" s="20" t="s">
        <v>2359</v>
      </c>
      <c r="F6492" s="20" t="s">
        <v>334</v>
      </c>
      <c r="G6492" s="20" t="s">
        <v>82</v>
      </c>
      <c r="H6492" s="20"/>
      <c r="I6492" s="20"/>
      <c r="J6492" s="20" t="s">
        <v>208</v>
      </c>
      <c r="K6492" s="20" t="s">
        <v>255</v>
      </c>
      <c r="L6492" s="20">
        <v>217</v>
      </c>
      <c r="M6492" s="20" t="s">
        <v>245</v>
      </c>
      <c r="N6492" s="20" t="s">
        <v>2704</v>
      </c>
    </row>
    <row r="6493" spans="1:14" hidden="1" x14ac:dyDescent="0.25">
      <c r="A6493" s="19">
        <v>46174</v>
      </c>
      <c r="B6493" s="20" t="s">
        <v>120</v>
      </c>
      <c r="C6493" s="20">
        <v>71</v>
      </c>
      <c r="D6493" s="20" t="s">
        <v>253</v>
      </c>
      <c r="E6493" s="20" t="s">
        <v>2359</v>
      </c>
      <c r="F6493" s="20" t="s">
        <v>334</v>
      </c>
      <c r="G6493" s="20" t="s">
        <v>82</v>
      </c>
      <c r="H6493" s="20"/>
      <c r="I6493" s="20"/>
      <c r="J6493" s="20" t="s">
        <v>209</v>
      </c>
      <c r="K6493" s="20" t="s">
        <v>255</v>
      </c>
      <c r="L6493" s="20">
        <v>174</v>
      </c>
      <c r="M6493" s="20" t="s">
        <v>245</v>
      </c>
      <c r="N6493" s="20" t="s">
        <v>3893</v>
      </c>
    </row>
    <row r="6494" spans="1:14" hidden="1" x14ac:dyDescent="0.25">
      <c r="A6494" s="19">
        <v>46174</v>
      </c>
      <c r="B6494" s="20" t="s">
        <v>120</v>
      </c>
      <c r="C6494" s="20">
        <v>71</v>
      </c>
      <c r="D6494" s="20" t="s">
        <v>253</v>
      </c>
      <c r="E6494" s="20" t="s">
        <v>2359</v>
      </c>
      <c r="F6494" s="20" t="s">
        <v>334</v>
      </c>
      <c r="G6494" s="20" t="s">
        <v>82</v>
      </c>
      <c r="H6494" s="20"/>
      <c r="I6494" s="20"/>
      <c r="J6494" s="20" t="s">
        <v>210</v>
      </c>
      <c r="K6494" s="20" t="s">
        <v>255</v>
      </c>
      <c r="L6494" s="20">
        <v>179</v>
      </c>
      <c r="M6494" s="20" t="s">
        <v>245</v>
      </c>
      <c r="N6494" s="20" t="s">
        <v>4032</v>
      </c>
    </row>
    <row r="6495" spans="1:14" hidden="1" x14ac:dyDescent="0.25">
      <c r="A6495" s="19">
        <v>46174</v>
      </c>
      <c r="B6495" s="20" t="s">
        <v>142</v>
      </c>
      <c r="C6495" s="20">
        <v>73</v>
      </c>
      <c r="D6495" s="20" t="s">
        <v>238</v>
      </c>
      <c r="E6495" s="20" t="s">
        <v>2341</v>
      </c>
      <c r="F6495" s="20" t="s">
        <v>240</v>
      </c>
      <c r="G6495" s="20" t="s">
        <v>82</v>
      </c>
      <c r="H6495" s="20"/>
      <c r="I6495" s="20"/>
      <c r="J6495" s="20" t="s">
        <v>3927</v>
      </c>
      <c r="K6495" s="20" t="s">
        <v>241</v>
      </c>
      <c r="L6495" s="20">
        <v>6520000</v>
      </c>
      <c r="M6495" s="20" t="s">
        <v>242</v>
      </c>
      <c r="N6495" s="20" t="s">
        <v>2885</v>
      </c>
    </row>
    <row r="6496" spans="1:14" hidden="1" x14ac:dyDescent="0.25">
      <c r="A6496" s="19">
        <v>46174</v>
      </c>
      <c r="B6496" s="20" t="s">
        <v>142</v>
      </c>
      <c r="C6496" s="20">
        <v>73</v>
      </c>
      <c r="D6496" s="20" t="s">
        <v>238</v>
      </c>
      <c r="E6496" s="20" t="s">
        <v>2341</v>
      </c>
      <c r="F6496" s="20" t="s">
        <v>244</v>
      </c>
      <c r="G6496" s="20" t="s">
        <v>82</v>
      </c>
      <c r="H6496" s="20"/>
      <c r="I6496" s="20"/>
      <c r="J6496" s="20" t="s">
        <v>3927</v>
      </c>
      <c r="K6496" s="20" t="s">
        <v>241</v>
      </c>
      <c r="L6496" s="20">
        <v>5430000000</v>
      </c>
      <c r="M6496" s="20" t="s">
        <v>245</v>
      </c>
      <c r="N6496" s="20" t="s">
        <v>4033</v>
      </c>
    </row>
    <row r="6497" spans="1:14" hidden="1" x14ac:dyDescent="0.25">
      <c r="A6497" s="19">
        <v>46174</v>
      </c>
      <c r="B6497" s="20" t="s">
        <v>142</v>
      </c>
      <c r="C6497" s="20">
        <v>74</v>
      </c>
      <c r="D6497" s="20" t="s">
        <v>253</v>
      </c>
      <c r="E6497" s="20" t="s">
        <v>2359</v>
      </c>
      <c r="F6497" s="20" t="s">
        <v>544</v>
      </c>
      <c r="G6497" s="20" t="s">
        <v>82</v>
      </c>
      <c r="H6497" s="20"/>
      <c r="I6497" s="20"/>
      <c r="J6497" s="20" t="s">
        <v>208</v>
      </c>
      <c r="K6497" s="20" t="s">
        <v>255</v>
      </c>
      <c r="L6497" s="20">
        <v>1070000</v>
      </c>
      <c r="M6497" s="20" t="s">
        <v>242</v>
      </c>
      <c r="N6497" s="20" t="s">
        <v>3749</v>
      </c>
    </row>
    <row r="6498" spans="1:14" hidden="1" x14ac:dyDescent="0.25">
      <c r="A6498" s="19">
        <v>46174</v>
      </c>
      <c r="B6498" s="20" t="s">
        <v>142</v>
      </c>
      <c r="C6498" s="20">
        <v>74</v>
      </c>
      <c r="D6498" s="20" t="s">
        <v>253</v>
      </c>
      <c r="E6498" s="20" t="s">
        <v>2359</v>
      </c>
      <c r="F6498" s="20" t="s">
        <v>544</v>
      </c>
      <c r="G6498" s="20" t="s">
        <v>82</v>
      </c>
      <c r="H6498" s="20"/>
      <c r="I6498" s="20"/>
      <c r="J6498" s="20" t="s">
        <v>209</v>
      </c>
      <c r="K6498" s="20" t="s">
        <v>255</v>
      </c>
      <c r="L6498" s="20">
        <v>1150000</v>
      </c>
      <c r="M6498" s="20" t="s">
        <v>242</v>
      </c>
      <c r="N6498" s="20" t="s">
        <v>3896</v>
      </c>
    </row>
    <row r="6499" spans="1:14" hidden="1" x14ac:dyDescent="0.25">
      <c r="A6499" s="19">
        <v>46174</v>
      </c>
      <c r="B6499" s="20" t="s">
        <v>142</v>
      </c>
      <c r="C6499" s="20">
        <v>74</v>
      </c>
      <c r="D6499" s="20" t="s">
        <v>253</v>
      </c>
      <c r="E6499" s="20" t="s">
        <v>2359</v>
      </c>
      <c r="F6499" s="20" t="s">
        <v>544</v>
      </c>
      <c r="G6499" s="20" t="s">
        <v>82</v>
      </c>
      <c r="H6499" s="20"/>
      <c r="I6499" s="20"/>
      <c r="J6499" s="20" t="s">
        <v>210</v>
      </c>
      <c r="K6499" s="20" t="s">
        <v>255</v>
      </c>
      <c r="L6499" s="20">
        <v>1070000</v>
      </c>
      <c r="M6499" s="20" t="s">
        <v>242</v>
      </c>
      <c r="N6499" s="20" t="s">
        <v>3749</v>
      </c>
    </row>
    <row r="6500" spans="1:14" hidden="1" x14ac:dyDescent="0.25">
      <c r="A6500" s="19">
        <v>46174</v>
      </c>
      <c r="B6500" s="20" t="s">
        <v>142</v>
      </c>
      <c r="C6500" s="20">
        <v>74</v>
      </c>
      <c r="D6500" s="20" t="s">
        <v>247</v>
      </c>
      <c r="E6500" s="20" t="s">
        <v>2554</v>
      </c>
      <c r="F6500" s="20" t="s">
        <v>2559</v>
      </c>
      <c r="G6500" s="20" t="s">
        <v>82</v>
      </c>
      <c r="H6500" s="20" t="s">
        <v>249</v>
      </c>
      <c r="I6500" s="20"/>
      <c r="J6500" s="20" t="s">
        <v>210</v>
      </c>
      <c r="K6500" s="20" t="s">
        <v>250</v>
      </c>
      <c r="L6500" s="20">
        <v>7.2</v>
      </c>
      <c r="M6500" s="20" t="s">
        <v>251</v>
      </c>
      <c r="N6500" s="20" t="s">
        <v>4034</v>
      </c>
    </row>
    <row r="6501" spans="1:14" hidden="1" x14ac:dyDescent="0.25">
      <c r="A6501" s="19">
        <v>46174</v>
      </c>
      <c r="B6501" s="20" t="s">
        <v>142</v>
      </c>
      <c r="C6501" s="20">
        <v>75</v>
      </c>
      <c r="D6501" s="20" t="s">
        <v>253</v>
      </c>
      <c r="E6501" s="20" t="s">
        <v>2359</v>
      </c>
      <c r="F6501" s="20" t="s">
        <v>2531</v>
      </c>
      <c r="G6501" s="20" t="s">
        <v>82</v>
      </c>
      <c r="H6501" s="20" t="s">
        <v>149</v>
      </c>
      <c r="I6501" s="20"/>
      <c r="J6501" s="20" t="s">
        <v>208</v>
      </c>
      <c r="K6501" s="20" t="s">
        <v>255</v>
      </c>
      <c r="L6501" s="20">
        <v>5754</v>
      </c>
      <c r="M6501" s="20" t="s">
        <v>242</v>
      </c>
      <c r="N6501" s="20" t="s">
        <v>3750</v>
      </c>
    </row>
    <row r="6502" spans="1:14" hidden="1" x14ac:dyDescent="0.25">
      <c r="A6502" s="19">
        <v>46174</v>
      </c>
      <c r="B6502" s="20" t="s">
        <v>142</v>
      </c>
      <c r="C6502" s="20">
        <v>75</v>
      </c>
      <c r="D6502" s="20" t="s">
        <v>253</v>
      </c>
      <c r="E6502" s="20" t="s">
        <v>2359</v>
      </c>
      <c r="F6502" s="20" t="s">
        <v>2531</v>
      </c>
      <c r="G6502" s="20" t="s">
        <v>82</v>
      </c>
      <c r="H6502" s="20" t="s">
        <v>149</v>
      </c>
      <c r="I6502" s="20"/>
      <c r="J6502" s="20" t="s">
        <v>209</v>
      </c>
      <c r="K6502" s="20" t="s">
        <v>255</v>
      </c>
      <c r="L6502" s="20">
        <v>5876</v>
      </c>
      <c r="M6502" s="20" t="s">
        <v>242</v>
      </c>
      <c r="N6502" s="20" t="s">
        <v>3897</v>
      </c>
    </row>
    <row r="6503" spans="1:14" hidden="1" x14ac:dyDescent="0.25">
      <c r="A6503" s="19">
        <v>46174</v>
      </c>
      <c r="B6503" s="20" t="s">
        <v>142</v>
      </c>
      <c r="C6503" s="20">
        <v>75</v>
      </c>
      <c r="D6503" s="20" t="s">
        <v>253</v>
      </c>
      <c r="E6503" s="20" t="s">
        <v>2359</v>
      </c>
      <c r="F6503" s="20" t="s">
        <v>2531</v>
      </c>
      <c r="G6503" s="20" t="s">
        <v>82</v>
      </c>
      <c r="H6503" s="20" t="s">
        <v>149</v>
      </c>
      <c r="I6503" s="20"/>
      <c r="J6503" s="20" t="s">
        <v>210</v>
      </c>
      <c r="K6503" s="20" t="s">
        <v>255</v>
      </c>
      <c r="L6503" s="20">
        <v>5699</v>
      </c>
      <c r="M6503" s="20" t="s">
        <v>242</v>
      </c>
      <c r="N6503" s="20" t="s">
        <v>4035</v>
      </c>
    </row>
    <row r="6504" spans="1:14" hidden="1" x14ac:dyDescent="0.25">
      <c r="A6504" s="19">
        <v>46174</v>
      </c>
      <c r="B6504" s="20" t="s">
        <v>142</v>
      </c>
      <c r="C6504" s="20">
        <v>75</v>
      </c>
      <c r="D6504" s="20" t="s">
        <v>253</v>
      </c>
      <c r="E6504" s="20" t="s">
        <v>2359</v>
      </c>
      <c r="F6504" s="20" t="s">
        <v>2531</v>
      </c>
      <c r="G6504" s="20" t="s">
        <v>82</v>
      </c>
      <c r="H6504" s="20" t="s">
        <v>150</v>
      </c>
      <c r="I6504" s="20"/>
      <c r="J6504" s="20" t="s">
        <v>208</v>
      </c>
      <c r="K6504" s="20" t="s">
        <v>255</v>
      </c>
      <c r="L6504" s="20">
        <v>249</v>
      </c>
      <c r="M6504" s="20" t="s">
        <v>242</v>
      </c>
      <c r="N6504" s="20" t="s">
        <v>3751</v>
      </c>
    </row>
    <row r="6505" spans="1:14" hidden="1" x14ac:dyDescent="0.25">
      <c r="A6505" s="19">
        <v>46174</v>
      </c>
      <c r="B6505" s="20" t="s">
        <v>142</v>
      </c>
      <c r="C6505" s="20">
        <v>75</v>
      </c>
      <c r="D6505" s="20" t="s">
        <v>253</v>
      </c>
      <c r="E6505" s="20" t="s">
        <v>2359</v>
      </c>
      <c r="F6505" s="20" t="s">
        <v>2531</v>
      </c>
      <c r="G6505" s="20" t="s">
        <v>82</v>
      </c>
      <c r="H6505" s="20" t="s">
        <v>150</v>
      </c>
      <c r="I6505" s="20"/>
      <c r="J6505" s="20" t="s">
        <v>209</v>
      </c>
      <c r="K6505" s="20" t="s">
        <v>255</v>
      </c>
      <c r="L6505" s="20">
        <v>301</v>
      </c>
      <c r="M6505" s="20" t="s">
        <v>242</v>
      </c>
      <c r="N6505" s="20" t="s">
        <v>3898</v>
      </c>
    </row>
    <row r="6506" spans="1:14" hidden="1" x14ac:dyDescent="0.25">
      <c r="A6506" s="19">
        <v>46174</v>
      </c>
      <c r="B6506" s="20" t="s">
        <v>142</v>
      </c>
      <c r="C6506" s="20">
        <v>75</v>
      </c>
      <c r="D6506" s="20" t="s">
        <v>253</v>
      </c>
      <c r="E6506" s="20" t="s">
        <v>2359</v>
      </c>
      <c r="F6506" s="20" t="s">
        <v>2531</v>
      </c>
      <c r="G6506" s="20" t="s">
        <v>82</v>
      </c>
      <c r="H6506" s="20" t="s">
        <v>150</v>
      </c>
      <c r="I6506" s="20"/>
      <c r="J6506" s="20" t="s">
        <v>210</v>
      </c>
      <c r="K6506" s="20" t="s">
        <v>255</v>
      </c>
      <c r="L6506" s="20">
        <v>348</v>
      </c>
      <c r="M6506" s="20" t="s">
        <v>242</v>
      </c>
      <c r="N6506" s="20" t="s">
        <v>4036</v>
      </c>
    </row>
    <row r="6507" spans="1:14" hidden="1" x14ac:dyDescent="0.25">
      <c r="A6507" s="19">
        <v>46174</v>
      </c>
      <c r="B6507" s="20" t="s">
        <v>142</v>
      </c>
      <c r="C6507" s="20">
        <v>75</v>
      </c>
      <c r="D6507" s="20" t="s">
        <v>253</v>
      </c>
      <c r="E6507" s="20" t="s">
        <v>2359</v>
      </c>
      <c r="F6507" s="20" t="s">
        <v>2531</v>
      </c>
      <c r="G6507" s="20" t="s">
        <v>82</v>
      </c>
      <c r="H6507" s="20" t="s">
        <v>151</v>
      </c>
      <c r="I6507" s="20"/>
      <c r="J6507" s="20" t="s">
        <v>208</v>
      </c>
      <c r="K6507" s="20" t="s">
        <v>255</v>
      </c>
      <c r="L6507" s="20">
        <v>35</v>
      </c>
      <c r="M6507" s="20" t="s">
        <v>242</v>
      </c>
      <c r="N6507" s="20" t="s">
        <v>1122</v>
      </c>
    </row>
    <row r="6508" spans="1:14" hidden="1" x14ac:dyDescent="0.25">
      <c r="A6508" s="19">
        <v>46174</v>
      </c>
      <c r="B6508" s="20" t="s">
        <v>142</v>
      </c>
      <c r="C6508" s="20">
        <v>75</v>
      </c>
      <c r="D6508" s="20" t="s">
        <v>253</v>
      </c>
      <c r="E6508" s="20" t="s">
        <v>2359</v>
      </c>
      <c r="F6508" s="20" t="s">
        <v>2531</v>
      </c>
      <c r="G6508" s="20" t="s">
        <v>82</v>
      </c>
      <c r="H6508" s="20" t="s">
        <v>151</v>
      </c>
      <c r="I6508" s="20"/>
      <c r="J6508" s="20" t="s">
        <v>209</v>
      </c>
      <c r="K6508" s="20" t="s">
        <v>255</v>
      </c>
      <c r="L6508" s="20">
        <v>39</v>
      </c>
      <c r="M6508" s="20" t="s">
        <v>242</v>
      </c>
      <c r="N6508" s="20" t="s">
        <v>3899</v>
      </c>
    </row>
    <row r="6509" spans="1:14" hidden="1" x14ac:dyDescent="0.25">
      <c r="A6509" s="19">
        <v>46174</v>
      </c>
      <c r="B6509" s="20" t="s">
        <v>142</v>
      </c>
      <c r="C6509" s="20">
        <v>75</v>
      </c>
      <c r="D6509" s="20" t="s">
        <v>253</v>
      </c>
      <c r="E6509" s="20" t="s">
        <v>2359</v>
      </c>
      <c r="F6509" s="20" t="s">
        <v>2531</v>
      </c>
      <c r="G6509" s="20" t="s">
        <v>82</v>
      </c>
      <c r="H6509" s="20" t="s">
        <v>151</v>
      </c>
      <c r="I6509" s="20"/>
      <c r="J6509" s="20" t="s">
        <v>210</v>
      </c>
      <c r="K6509" s="20" t="s">
        <v>255</v>
      </c>
      <c r="L6509" s="20">
        <v>39</v>
      </c>
      <c r="M6509" s="20" t="s">
        <v>242</v>
      </c>
      <c r="N6509" s="20" t="s">
        <v>3899</v>
      </c>
    </row>
    <row r="6510" spans="1:14" hidden="1" x14ac:dyDescent="0.25">
      <c r="A6510" s="19">
        <v>46174</v>
      </c>
      <c r="B6510" s="20" t="s">
        <v>142</v>
      </c>
      <c r="C6510" s="20">
        <v>76</v>
      </c>
      <c r="D6510" s="20" t="s">
        <v>253</v>
      </c>
      <c r="E6510" s="20" t="s">
        <v>2359</v>
      </c>
      <c r="F6510" s="20" t="s">
        <v>929</v>
      </c>
      <c r="G6510" s="20" t="s">
        <v>82</v>
      </c>
      <c r="H6510" s="20"/>
      <c r="I6510" s="20"/>
      <c r="J6510" s="20" t="s">
        <v>208</v>
      </c>
      <c r="K6510" s="20" t="s">
        <v>255</v>
      </c>
      <c r="L6510" s="20">
        <v>896000000</v>
      </c>
      <c r="M6510" s="20" t="s">
        <v>245</v>
      </c>
      <c r="N6510" s="20" t="s">
        <v>3752</v>
      </c>
    </row>
    <row r="6511" spans="1:14" hidden="1" x14ac:dyDescent="0.25">
      <c r="A6511" s="19">
        <v>46174</v>
      </c>
      <c r="B6511" s="20" t="s">
        <v>142</v>
      </c>
      <c r="C6511" s="20">
        <v>76</v>
      </c>
      <c r="D6511" s="20" t="s">
        <v>253</v>
      </c>
      <c r="E6511" s="20" t="s">
        <v>2359</v>
      </c>
      <c r="F6511" s="20" t="s">
        <v>929</v>
      </c>
      <c r="G6511" s="20" t="s">
        <v>82</v>
      </c>
      <c r="H6511" s="20"/>
      <c r="I6511" s="20"/>
      <c r="J6511" s="20" t="s">
        <v>209</v>
      </c>
      <c r="K6511" s="20" t="s">
        <v>255</v>
      </c>
      <c r="L6511" s="20">
        <v>908000000</v>
      </c>
      <c r="M6511" s="20" t="s">
        <v>245</v>
      </c>
      <c r="N6511" s="20" t="s">
        <v>3900</v>
      </c>
    </row>
    <row r="6512" spans="1:14" hidden="1" x14ac:dyDescent="0.25">
      <c r="A6512" s="19">
        <v>46174</v>
      </c>
      <c r="B6512" s="20" t="s">
        <v>142</v>
      </c>
      <c r="C6512" s="20">
        <v>76</v>
      </c>
      <c r="D6512" s="20" t="s">
        <v>253</v>
      </c>
      <c r="E6512" s="20" t="s">
        <v>2359</v>
      </c>
      <c r="F6512" s="20" t="s">
        <v>929</v>
      </c>
      <c r="G6512" s="20" t="s">
        <v>82</v>
      </c>
      <c r="H6512" s="20"/>
      <c r="I6512" s="20"/>
      <c r="J6512" s="20" t="s">
        <v>210</v>
      </c>
      <c r="K6512" s="20" t="s">
        <v>255</v>
      </c>
      <c r="L6512" s="20">
        <v>943000000</v>
      </c>
      <c r="M6512" s="20" t="s">
        <v>245</v>
      </c>
      <c r="N6512" s="20" t="s">
        <v>4037</v>
      </c>
    </row>
    <row r="6513" spans="1:14" hidden="1" x14ac:dyDescent="0.25">
      <c r="A6513" s="19">
        <v>46174</v>
      </c>
      <c r="B6513" s="20" t="s">
        <v>142</v>
      </c>
      <c r="C6513" s="20">
        <v>76</v>
      </c>
      <c r="D6513" s="20" t="s">
        <v>247</v>
      </c>
      <c r="E6513" s="20" t="s">
        <v>2554</v>
      </c>
      <c r="F6513" s="20" t="s">
        <v>2557</v>
      </c>
      <c r="G6513" s="20" t="s">
        <v>82</v>
      </c>
      <c r="H6513" s="20" t="s">
        <v>286</v>
      </c>
      <c r="I6513" s="20"/>
      <c r="J6513" s="20" t="s">
        <v>210</v>
      </c>
      <c r="K6513" s="20" t="s">
        <v>250</v>
      </c>
      <c r="L6513" s="20">
        <v>3.9</v>
      </c>
      <c r="M6513" s="20" t="s">
        <v>251</v>
      </c>
      <c r="N6513" s="20" t="s">
        <v>2097</v>
      </c>
    </row>
    <row r="6514" spans="1:14" hidden="1" x14ac:dyDescent="0.25">
      <c r="A6514" s="19">
        <v>46174</v>
      </c>
      <c r="B6514" s="20" t="s">
        <v>142</v>
      </c>
      <c r="C6514" s="20">
        <v>77</v>
      </c>
      <c r="D6514" s="20" t="s">
        <v>253</v>
      </c>
      <c r="E6514" s="20" t="s">
        <v>2359</v>
      </c>
      <c r="F6514" s="20" t="s">
        <v>2533</v>
      </c>
      <c r="G6514" s="20" t="s">
        <v>82</v>
      </c>
      <c r="H6514" s="20" t="s">
        <v>149</v>
      </c>
      <c r="I6514" s="20"/>
      <c r="J6514" s="20" t="s">
        <v>208</v>
      </c>
      <c r="K6514" s="20" t="s">
        <v>255</v>
      </c>
      <c r="L6514" s="20">
        <v>36200000</v>
      </c>
      <c r="M6514" s="20" t="s">
        <v>149</v>
      </c>
      <c r="N6514" s="20" t="s">
        <v>3754</v>
      </c>
    </row>
    <row r="6515" spans="1:14" hidden="1" x14ac:dyDescent="0.25">
      <c r="A6515" s="19">
        <v>46174</v>
      </c>
      <c r="B6515" s="20" t="s">
        <v>142</v>
      </c>
      <c r="C6515" s="20">
        <v>77</v>
      </c>
      <c r="D6515" s="20" t="s">
        <v>253</v>
      </c>
      <c r="E6515" s="20" t="s">
        <v>2359</v>
      </c>
      <c r="F6515" s="20" t="s">
        <v>2533</v>
      </c>
      <c r="G6515" s="20" t="s">
        <v>82</v>
      </c>
      <c r="H6515" s="20" t="s">
        <v>149</v>
      </c>
      <c r="I6515" s="20"/>
      <c r="J6515" s="20" t="s">
        <v>209</v>
      </c>
      <c r="K6515" s="20" t="s">
        <v>255</v>
      </c>
      <c r="L6515" s="20">
        <v>37800000</v>
      </c>
      <c r="M6515" s="20" t="s">
        <v>149</v>
      </c>
      <c r="N6515" s="20" t="s">
        <v>3901</v>
      </c>
    </row>
    <row r="6516" spans="1:14" hidden="1" x14ac:dyDescent="0.25">
      <c r="A6516" s="19">
        <v>46174</v>
      </c>
      <c r="B6516" s="20" t="s">
        <v>142</v>
      </c>
      <c r="C6516" s="20">
        <v>77</v>
      </c>
      <c r="D6516" s="20" t="s">
        <v>253</v>
      </c>
      <c r="E6516" s="20" t="s">
        <v>2359</v>
      </c>
      <c r="F6516" s="20" t="s">
        <v>2533</v>
      </c>
      <c r="G6516" s="20" t="s">
        <v>82</v>
      </c>
      <c r="H6516" s="20" t="s">
        <v>149</v>
      </c>
      <c r="I6516" s="20"/>
      <c r="J6516" s="20" t="s">
        <v>210</v>
      </c>
      <c r="K6516" s="20" t="s">
        <v>255</v>
      </c>
      <c r="L6516" s="20">
        <v>41700000</v>
      </c>
      <c r="M6516" s="20" t="s">
        <v>149</v>
      </c>
      <c r="N6516" s="20" t="s">
        <v>4038</v>
      </c>
    </row>
    <row r="6517" spans="1:14" hidden="1" x14ac:dyDescent="0.25">
      <c r="A6517" s="19">
        <v>46174</v>
      </c>
      <c r="B6517" s="20" t="s">
        <v>142</v>
      </c>
      <c r="C6517" s="20">
        <v>77</v>
      </c>
      <c r="D6517" s="20" t="s">
        <v>253</v>
      </c>
      <c r="E6517" s="20" t="s">
        <v>2359</v>
      </c>
      <c r="F6517" s="20" t="s">
        <v>2533</v>
      </c>
      <c r="G6517" s="20" t="s">
        <v>82</v>
      </c>
      <c r="H6517" s="20" t="s">
        <v>150</v>
      </c>
      <c r="I6517" s="20"/>
      <c r="J6517" s="20" t="s">
        <v>208</v>
      </c>
      <c r="K6517" s="20" t="s">
        <v>255</v>
      </c>
      <c r="L6517" s="20">
        <v>2400000</v>
      </c>
      <c r="M6517" s="20" t="s">
        <v>150</v>
      </c>
      <c r="N6517" s="20" t="s">
        <v>922</v>
      </c>
    </row>
    <row r="6518" spans="1:14" hidden="1" x14ac:dyDescent="0.25">
      <c r="A6518" s="19">
        <v>46174</v>
      </c>
      <c r="B6518" s="20" t="s">
        <v>142</v>
      </c>
      <c r="C6518" s="20">
        <v>77</v>
      </c>
      <c r="D6518" s="20" t="s">
        <v>253</v>
      </c>
      <c r="E6518" s="20" t="s">
        <v>2359</v>
      </c>
      <c r="F6518" s="20" t="s">
        <v>2533</v>
      </c>
      <c r="G6518" s="20" t="s">
        <v>82</v>
      </c>
      <c r="H6518" s="20" t="s">
        <v>150</v>
      </c>
      <c r="I6518" s="20"/>
      <c r="J6518" s="20" t="s">
        <v>209</v>
      </c>
      <c r="K6518" s="20" t="s">
        <v>255</v>
      </c>
      <c r="L6518" s="20">
        <v>2810000</v>
      </c>
      <c r="M6518" s="20" t="s">
        <v>150</v>
      </c>
      <c r="N6518" s="20" t="s">
        <v>3041</v>
      </c>
    </row>
    <row r="6519" spans="1:14" hidden="1" x14ac:dyDescent="0.25">
      <c r="A6519" s="19">
        <v>46174</v>
      </c>
      <c r="B6519" s="20" t="s">
        <v>142</v>
      </c>
      <c r="C6519" s="20">
        <v>77</v>
      </c>
      <c r="D6519" s="20" t="s">
        <v>253</v>
      </c>
      <c r="E6519" s="20" t="s">
        <v>2359</v>
      </c>
      <c r="F6519" s="20" t="s">
        <v>2533</v>
      </c>
      <c r="G6519" s="20" t="s">
        <v>82</v>
      </c>
      <c r="H6519" s="20" t="s">
        <v>150</v>
      </c>
      <c r="I6519" s="20"/>
      <c r="J6519" s="20" t="s">
        <v>210</v>
      </c>
      <c r="K6519" s="20" t="s">
        <v>255</v>
      </c>
      <c r="L6519" s="20">
        <v>3070000</v>
      </c>
      <c r="M6519" s="20" t="s">
        <v>150</v>
      </c>
      <c r="N6519" s="20" t="s">
        <v>4039</v>
      </c>
    </row>
    <row r="6520" spans="1:14" hidden="1" x14ac:dyDescent="0.25">
      <c r="A6520" s="19">
        <v>46174</v>
      </c>
      <c r="B6520" s="20" t="s">
        <v>142</v>
      </c>
      <c r="C6520" s="20">
        <v>77</v>
      </c>
      <c r="D6520" s="20" t="s">
        <v>253</v>
      </c>
      <c r="E6520" s="20" t="s">
        <v>2359</v>
      </c>
      <c r="F6520" s="20" t="s">
        <v>2533</v>
      </c>
      <c r="G6520" s="20" t="s">
        <v>82</v>
      </c>
      <c r="H6520" s="20" t="s">
        <v>151</v>
      </c>
      <c r="I6520" s="20"/>
      <c r="J6520" s="20" t="s">
        <v>208</v>
      </c>
      <c r="K6520" s="20" t="s">
        <v>255</v>
      </c>
      <c r="L6520" s="20">
        <v>230000</v>
      </c>
      <c r="M6520" s="20" t="s">
        <v>151</v>
      </c>
      <c r="N6520" s="20" t="s">
        <v>3755</v>
      </c>
    </row>
    <row r="6521" spans="1:14" hidden="1" x14ac:dyDescent="0.25">
      <c r="A6521" s="19">
        <v>46174</v>
      </c>
      <c r="B6521" s="20" t="s">
        <v>142</v>
      </c>
      <c r="C6521" s="20">
        <v>77</v>
      </c>
      <c r="D6521" s="20" t="s">
        <v>253</v>
      </c>
      <c r="E6521" s="20" t="s">
        <v>2359</v>
      </c>
      <c r="F6521" s="20" t="s">
        <v>2533</v>
      </c>
      <c r="G6521" s="20" t="s">
        <v>82</v>
      </c>
      <c r="H6521" s="20" t="s">
        <v>151</v>
      </c>
      <c r="I6521" s="20"/>
      <c r="J6521" s="20" t="s">
        <v>209</v>
      </c>
      <c r="K6521" s="20" t="s">
        <v>255</v>
      </c>
      <c r="L6521" s="20">
        <v>270000</v>
      </c>
      <c r="M6521" s="20" t="s">
        <v>151</v>
      </c>
      <c r="N6521" s="20" t="s">
        <v>3902</v>
      </c>
    </row>
    <row r="6522" spans="1:14" hidden="1" x14ac:dyDescent="0.25">
      <c r="A6522" s="19">
        <v>46174</v>
      </c>
      <c r="B6522" s="20" t="s">
        <v>142</v>
      </c>
      <c r="C6522" s="20">
        <v>77</v>
      </c>
      <c r="D6522" s="20" t="s">
        <v>253</v>
      </c>
      <c r="E6522" s="20" t="s">
        <v>2359</v>
      </c>
      <c r="F6522" s="20" t="s">
        <v>2533</v>
      </c>
      <c r="G6522" s="20" t="s">
        <v>82</v>
      </c>
      <c r="H6522" s="20" t="s">
        <v>151</v>
      </c>
      <c r="I6522" s="20"/>
      <c r="J6522" s="20" t="s">
        <v>210</v>
      </c>
      <c r="K6522" s="20" t="s">
        <v>255</v>
      </c>
      <c r="L6522" s="20">
        <v>390000</v>
      </c>
      <c r="M6522" s="20" t="s">
        <v>151</v>
      </c>
      <c r="N6522" s="20" t="s">
        <v>2869</v>
      </c>
    </row>
    <row r="6523" spans="1:14" hidden="1" x14ac:dyDescent="0.25">
      <c r="A6523" s="19">
        <v>46174</v>
      </c>
      <c r="B6523" s="20" t="s">
        <v>156</v>
      </c>
      <c r="C6523" s="20">
        <v>79</v>
      </c>
      <c r="D6523" s="20" t="s">
        <v>238</v>
      </c>
      <c r="E6523" s="20" t="s">
        <v>2341</v>
      </c>
      <c r="F6523" s="20" t="s">
        <v>240</v>
      </c>
      <c r="G6523" s="20" t="s">
        <v>158</v>
      </c>
      <c r="H6523" s="20"/>
      <c r="I6523" s="20"/>
      <c r="J6523" s="20" t="s">
        <v>3927</v>
      </c>
      <c r="K6523" s="20" t="s">
        <v>241</v>
      </c>
      <c r="L6523" s="20">
        <v>2950000</v>
      </c>
      <c r="M6523" s="20" t="s">
        <v>242</v>
      </c>
      <c r="N6523" s="20" t="s">
        <v>3125</v>
      </c>
    </row>
    <row r="6524" spans="1:14" hidden="1" x14ac:dyDescent="0.25">
      <c r="A6524" s="19">
        <v>46174</v>
      </c>
      <c r="B6524" s="20" t="s">
        <v>156</v>
      </c>
      <c r="C6524" s="20">
        <v>79</v>
      </c>
      <c r="D6524" s="20" t="s">
        <v>238</v>
      </c>
      <c r="E6524" s="20" t="s">
        <v>2341</v>
      </c>
      <c r="F6524" s="20" t="s">
        <v>244</v>
      </c>
      <c r="G6524" s="20" t="s">
        <v>158</v>
      </c>
      <c r="H6524" s="20"/>
      <c r="I6524" s="20"/>
      <c r="J6524" s="20" t="s">
        <v>3927</v>
      </c>
      <c r="K6524" s="20" t="s">
        <v>241</v>
      </c>
      <c r="L6524" s="20">
        <v>19730000000</v>
      </c>
      <c r="M6524" s="20" t="s">
        <v>245</v>
      </c>
      <c r="N6524" s="20" t="s">
        <v>4040</v>
      </c>
    </row>
    <row r="6525" spans="1:14" hidden="1" x14ac:dyDescent="0.25">
      <c r="A6525" s="19">
        <v>46174</v>
      </c>
      <c r="B6525" s="20" t="s">
        <v>156</v>
      </c>
      <c r="C6525" s="20">
        <v>80</v>
      </c>
      <c r="D6525" s="20" t="s">
        <v>253</v>
      </c>
      <c r="E6525" s="20" t="s">
        <v>2359</v>
      </c>
      <c r="F6525" s="20" t="s">
        <v>344</v>
      </c>
      <c r="G6525" s="20" t="s">
        <v>158</v>
      </c>
      <c r="H6525" s="20"/>
      <c r="I6525" s="20"/>
      <c r="J6525" s="20" t="s">
        <v>208</v>
      </c>
      <c r="K6525" s="20" t="s">
        <v>255</v>
      </c>
      <c r="L6525" s="20">
        <v>438000</v>
      </c>
      <c r="M6525" s="20" t="s">
        <v>242</v>
      </c>
      <c r="N6525" s="20" t="s">
        <v>954</v>
      </c>
    </row>
    <row r="6526" spans="1:14" hidden="1" x14ac:dyDescent="0.25">
      <c r="A6526" s="19">
        <v>46174</v>
      </c>
      <c r="B6526" s="20" t="s">
        <v>156</v>
      </c>
      <c r="C6526" s="20">
        <v>80</v>
      </c>
      <c r="D6526" s="20" t="s">
        <v>253</v>
      </c>
      <c r="E6526" s="20" t="s">
        <v>2359</v>
      </c>
      <c r="F6526" s="20" t="s">
        <v>344</v>
      </c>
      <c r="G6526" s="20" t="s">
        <v>158</v>
      </c>
      <c r="H6526" s="20"/>
      <c r="I6526" s="20"/>
      <c r="J6526" s="20" t="s">
        <v>209</v>
      </c>
      <c r="K6526" s="20" t="s">
        <v>255</v>
      </c>
      <c r="L6526" s="20">
        <v>552000</v>
      </c>
      <c r="M6526" s="20" t="s">
        <v>242</v>
      </c>
      <c r="N6526" s="20" t="s">
        <v>3904</v>
      </c>
    </row>
    <row r="6527" spans="1:14" hidden="1" x14ac:dyDescent="0.25">
      <c r="A6527" s="19">
        <v>46174</v>
      </c>
      <c r="B6527" s="20" t="s">
        <v>156</v>
      </c>
      <c r="C6527" s="20">
        <v>80</v>
      </c>
      <c r="D6527" s="20" t="s">
        <v>253</v>
      </c>
      <c r="E6527" s="20" t="s">
        <v>2359</v>
      </c>
      <c r="F6527" s="20" t="s">
        <v>344</v>
      </c>
      <c r="G6527" s="20" t="s">
        <v>158</v>
      </c>
      <c r="H6527" s="20"/>
      <c r="I6527" s="20"/>
      <c r="J6527" s="20" t="s">
        <v>210</v>
      </c>
      <c r="K6527" s="20" t="s">
        <v>255</v>
      </c>
      <c r="L6527" s="20">
        <v>510000</v>
      </c>
      <c r="M6527" s="20" t="s">
        <v>242</v>
      </c>
      <c r="N6527" s="20" t="s">
        <v>1782</v>
      </c>
    </row>
    <row r="6528" spans="1:14" hidden="1" x14ac:dyDescent="0.25">
      <c r="A6528" s="19">
        <v>46174</v>
      </c>
      <c r="B6528" s="20" t="s">
        <v>156</v>
      </c>
      <c r="C6528" s="20">
        <v>80</v>
      </c>
      <c r="D6528" s="20" t="s">
        <v>247</v>
      </c>
      <c r="E6528" s="20" t="s">
        <v>2554</v>
      </c>
      <c r="F6528" s="20" t="s">
        <v>2560</v>
      </c>
      <c r="G6528" s="20" t="s">
        <v>158</v>
      </c>
      <c r="H6528" s="20" t="s">
        <v>249</v>
      </c>
      <c r="I6528" s="20"/>
      <c r="J6528" s="20" t="s">
        <v>210</v>
      </c>
      <c r="K6528" s="20" t="s">
        <v>250</v>
      </c>
      <c r="L6528" s="20">
        <v>7.5</v>
      </c>
      <c r="M6528" s="20" t="s">
        <v>251</v>
      </c>
      <c r="N6528" s="20" t="s">
        <v>3099</v>
      </c>
    </row>
    <row r="6529" spans="1:14" hidden="1" x14ac:dyDescent="0.25">
      <c r="A6529" s="19">
        <v>46174</v>
      </c>
      <c r="B6529" s="20" t="s">
        <v>156</v>
      </c>
      <c r="C6529" s="20">
        <v>81</v>
      </c>
      <c r="D6529" s="20" t="s">
        <v>253</v>
      </c>
      <c r="E6529" s="20" t="s">
        <v>2359</v>
      </c>
      <c r="F6529" s="20" t="s">
        <v>349</v>
      </c>
      <c r="G6529" s="20" t="s">
        <v>158</v>
      </c>
      <c r="H6529" s="20"/>
      <c r="I6529" s="20"/>
      <c r="J6529" s="20" t="s">
        <v>208</v>
      </c>
      <c r="K6529" s="20" t="s">
        <v>255</v>
      </c>
      <c r="L6529" s="20">
        <v>12400</v>
      </c>
      <c r="M6529" s="20" t="s">
        <v>242</v>
      </c>
      <c r="N6529" s="20" t="s">
        <v>3757</v>
      </c>
    </row>
    <row r="6530" spans="1:14" hidden="1" x14ac:dyDescent="0.25">
      <c r="A6530" s="19">
        <v>46174</v>
      </c>
      <c r="B6530" s="20" t="s">
        <v>156</v>
      </c>
      <c r="C6530" s="20">
        <v>81</v>
      </c>
      <c r="D6530" s="20" t="s">
        <v>253</v>
      </c>
      <c r="E6530" s="20" t="s">
        <v>2359</v>
      </c>
      <c r="F6530" s="20" t="s">
        <v>349</v>
      </c>
      <c r="G6530" s="20" t="s">
        <v>158</v>
      </c>
      <c r="H6530" s="20"/>
      <c r="I6530" s="20"/>
      <c r="J6530" s="20" t="s">
        <v>209</v>
      </c>
      <c r="K6530" s="20" t="s">
        <v>255</v>
      </c>
      <c r="L6530" s="20">
        <v>18600</v>
      </c>
      <c r="M6530" s="20" t="s">
        <v>242</v>
      </c>
      <c r="N6530" s="20" t="s">
        <v>3906</v>
      </c>
    </row>
    <row r="6531" spans="1:14" hidden="1" x14ac:dyDescent="0.25">
      <c r="A6531" s="19">
        <v>46174</v>
      </c>
      <c r="B6531" s="20" t="s">
        <v>156</v>
      </c>
      <c r="C6531" s="20">
        <v>81</v>
      </c>
      <c r="D6531" s="20" t="s">
        <v>253</v>
      </c>
      <c r="E6531" s="20" t="s">
        <v>2359</v>
      </c>
      <c r="F6531" s="20" t="s">
        <v>349</v>
      </c>
      <c r="G6531" s="20" t="s">
        <v>158</v>
      </c>
      <c r="H6531" s="20"/>
      <c r="I6531" s="20"/>
      <c r="J6531" s="20" t="s">
        <v>210</v>
      </c>
      <c r="K6531" s="20" t="s">
        <v>255</v>
      </c>
      <c r="L6531" s="20">
        <v>16100</v>
      </c>
      <c r="M6531" s="20" t="s">
        <v>242</v>
      </c>
      <c r="N6531" s="20" t="s">
        <v>4041</v>
      </c>
    </row>
    <row r="6532" spans="1:14" hidden="1" x14ac:dyDescent="0.25">
      <c r="A6532" s="19">
        <v>46174</v>
      </c>
      <c r="B6532" s="20" t="s">
        <v>156</v>
      </c>
      <c r="C6532" s="20">
        <v>82</v>
      </c>
      <c r="D6532" s="20" t="s">
        <v>253</v>
      </c>
      <c r="E6532" s="20" t="s">
        <v>2359</v>
      </c>
      <c r="F6532" s="20" t="s">
        <v>2546</v>
      </c>
      <c r="G6532" s="20" t="s">
        <v>158</v>
      </c>
      <c r="H6532" s="20"/>
      <c r="I6532" s="20"/>
      <c r="J6532" s="20" t="s">
        <v>208</v>
      </c>
      <c r="K6532" s="20" t="s">
        <v>255</v>
      </c>
      <c r="L6532" s="20">
        <v>2.8</v>
      </c>
      <c r="M6532" s="20" t="s">
        <v>251</v>
      </c>
      <c r="N6532" s="20" t="s">
        <v>1346</v>
      </c>
    </row>
    <row r="6533" spans="1:14" hidden="1" x14ac:dyDescent="0.25">
      <c r="A6533" s="19">
        <v>46174</v>
      </c>
      <c r="B6533" s="20" t="s">
        <v>156</v>
      </c>
      <c r="C6533" s="20">
        <v>82</v>
      </c>
      <c r="D6533" s="20" t="s">
        <v>253</v>
      </c>
      <c r="E6533" s="20" t="s">
        <v>2359</v>
      </c>
      <c r="F6533" s="20" t="s">
        <v>2546</v>
      </c>
      <c r="G6533" s="20" t="s">
        <v>158</v>
      </c>
      <c r="H6533" s="20"/>
      <c r="I6533" s="20"/>
      <c r="J6533" s="20" t="s">
        <v>209</v>
      </c>
      <c r="K6533" s="20" t="s">
        <v>255</v>
      </c>
      <c r="L6533" s="20">
        <v>3.4</v>
      </c>
      <c r="M6533" s="20" t="s">
        <v>251</v>
      </c>
      <c r="N6533" s="20" t="s">
        <v>314</v>
      </c>
    </row>
    <row r="6534" spans="1:14" hidden="1" x14ac:dyDescent="0.25">
      <c r="A6534" s="19">
        <v>46174</v>
      </c>
      <c r="B6534" s="20" t="s">
        <v>156</v>
      </c>
      <c r="C6534" s="20">
        <v>82</v>
      </c>
      <c r="D6534" s="20" t="s">
        <v>253</v>
      </c>
      <c r="E6534" s="20" t="s">
        <v>2359</v>
      </c>
      <c r="F6534" s="20" t="s">
        <v>2546</v>
      </c>
      <c r="G6534" s="20" t="s">
        <v>158</v>
      </c>
      <c r="H6534" s="20"/>
      <c r="I6534" s="20"/>
      <c r="J6534" s="20" t="s">
        <v>210</v>
      </c>
      <c r="K6534" s="20" t="s">
        <v>255</v>
      </c>
      <c r="L6534" s="20">
        <v>3.2</v>
      </c>
      <c r="M6534" s="20" t="s">
        <v>251</v>
      </c>
      <c r="N6534" s="20" t="s">
        <v>509</v>
      </c>
    </row>
    <row r="6535" spans="1:14" hidden="1" x14ac:dyDescent="0.25">
      <c r="A6535" s="19">
        <v>46174</v>
      </c>
      <c r="B6535" s="20" t="s">
        <v>156</v>
      </c>
      <c r="C6535" s="20">
        <v>83</v>
      </c>
      <c r="D6535" s="20" t="s">
        <v>291</v>
      </c>
      <c r="E6535" s="20" t="s">
        <v>2361</v>
      </c>
      <c r="F6535" s="20" t="s">
        <v>349</v>
      </c>
      <c r="G6535" s="20" t="s">
        <v>158</v>
      </c>
      <c r="H6535" s="20" t="s">
        <v>159</v>
      </c>
      <c r="I6535" s="20"/>
      <c r="J6535" s="20" t="s">
        <v>210</v>
      </c>
      <c r="K6535" s="20" t="s">
        <v>250</v>
      </c>
      <c r="L6535" s="20">
        <v>10759</v>
      </c>
      <c r="M6535" s="20" t="s">
        <v>242</v>
      </c>
      <c r="N6535" s="20" t="s">
        <v>4042</v>
      </c>
    </row>
    <row r="6536" spans="1:14" hidden="1" x14ac:dyDescent="0.25">
      <c r="A6536" s="19">
        <v>46174</v>
      </c>
      <c r="B6536" s="20" t="s">
        <v>156</v>
      </c>
      <c r="C6536" s="20">
        <v>83</v>
      </c>
      <c r="D6536" s="20" t="s">
        <v>291</v>
      </c>
      <c r="E6536" s="20" t="s">
        <v>2361</v>
      </c>
      <c r="F6536" s="20" t="s">
        <v>349</v>
      </c>
      <c r="G6536" s="20" t="s">
        <v>158</v>
      </c>
      <c r="H6536" s="20" t="s">
        <v>160</v>
      </c>
      <c r="I6536" s="20"/>
      <c r="J6536" s="20" t="s">
        <v>210</v>
      </c>
      <c r="K6536" s="20" t="s">
        <v>250</v>
      </c>
      <c r="L6536" s="20">
        <v>5385</v>
      </c>
      <c r="M6536" s="20" t="s">
        <v>242</v>
      </c>
      <c r="N6536" s="20" t="s">
        <v>4043</v>
      </c>
    </row>
    <row r="6537" spans="1:14" hidden="1" x14ac:dyDescent="0.25">
      <c r="A6537" s="19">
        <v>46174</v>
      </c>
      <c r="B6537" s="20" t="s">
        <v>156</v>
      </c>
      <c r="C6537" s="20">
        <v>84</v>
      </c>
      <c r="D6537" s="20" t="s">
        <v>253</v>
      </c>
      <c r="E6537" s="20" t="s">
        <v>2359</v>
      </c>
      <c r="F6537" s="20" t="s">
        <v>356</v>
      </c>
      <c r="G6537" s="20" t="s">
        <v>158</v>
      </c>
      <c r="H6537" s="20"/>
      <c r="I6537" s="20"/>
      <c r="J6537" s="20" t="s">
        <v>208</v>
      </c>
      <c r="K6537" s="20" t="s">
        <v>255</v>
      </c>
      <c r="L6537" s="20">
        <v>3180000000</v>
      </c>
      <c r="M6537" s="20" t="s">
        <v>245</v>
      </c>
      <c r="N6537" s="20" t="s">
        <v>3760</v>
      </c>
    </row>
    <row r="6538" spans="1:14" hidden="1" x14ac:dyDescent="0.25">
      <c r="A6538" s="19">
        <v>46174</v>
      </c>
      <c r="B6538" s="20" t="s">
        <v>156</v>
      </c>
      <c r="C6538" s="20">
        <v>84</v>
      </c>
      <c r="D6538" s="20" t="s">
        <v>253</v>
      </c>
      <c r="E6538" s="20" t="s">
        <v>2359</v>
      </c>
      <c r="F6538" s="20" t="s">
        <v>356</v>
      </c>
      <c r="G6538" s="20" t="s">
        <v>158</v>
      </c>
      <c r="H6538" s="20"/>
      <c r="I6538" s="20"/>
      <c r="J6538" s="20" t="s">
        <v>209</v>
      </c>
      <c r="K6538" s="20" t="s">
        <v>255</v>
      </c>
      <c r="L6538" s="20">
        <v>3330000000</v>
      </c>
      <c r="M6538" s="20" t="s">
        <v>245</v>
      </c>
      <c r="N6538" s="20" t="s">
        <v>3909</v>
      </c>
    </row>
    <row r="6539" spans="1:14" hidden="1" x14ac:dyDescent="0.25">
      <c r="A6539" s="19">
        <v>46174</v>
      </c>
      <c r="B6539" s="20" t="s">
        <v>156</v>
      </c>
      <c r="C6539" s="20">
        <v>84</v>
      </c>
      <c r="D6539" s="20" t="s">
        <v>253</v>
      </c>
      <c r="E6539" s="20" t="s">
        <v>2359</v>
      </c>
      <c r="F6539" s="20" t="s">
        <v>356</v>
      </c>
      <c r="G6539" s="20" t="s">
        <v>158</v>
      </c>
      <c r="H6539" s="20"/>
      <c r="I6539" s="20"/>
      <c r="J6539" s="20" t="s">
        <v>210</v>
      </c>
      <c r="K6539" s="20" t="s">
        <v>255</v>
      </c>
      <c r="L6539" s="20">
        <v>3480000000</v>
      </c>
      <c r="M6539" s="20" t="s">
        <v>245</v>
      </c>
      <c r="N6539" s="20" t="s">
        <v>1701</v>
      </c>
    </row>
    <row r="6540" spans="1:14" hidden="1" x14ac:dyDescent="0.25">
      <c r="A6540" s="19">
        <v>46174</v>
      </c>
      <c r="B6540" s="20" t="s">
        <v>156</v>
      </c>
      <c r="C6540" s="20">
        <v>84</v>
      </c>
      <c r="D6540" s="20" t="s">
        <v>247</v>
      </c>
      <c r="E6540" s="20" t="s">
        <v>2554</v>
      </c>
      <c r="F6540" s="20" t="s">
        <v>2561</v>
      </c>
      <c r="G6540" s="20" t="s">
        <v>158</v>
      </c>
      <c r="H6540" s="20" t="s">
        <v>286</v>
      </c>
      <c r="I6540" s="20"/>
      <c r="J6540" s="20" t="s">
        <v>210</v>
      </c>
      <c r="K6540" s="20" t="s">
        <v>250</v>
      </c>
      <c r="L6540" s="20">
        <v>4.3</v>
      </c>
      <c r="M6540" s="20" t="s">
        <v>251</v>
      </c>
      <c r="N6540" s="20" t="s">
        <v>252</v>
      </c>
    </row>
    <row r="6541" spans="1:14" hidden="1" x14ac:dyDescent="0.25">
      <c r="A6541" s="19">
        <v>46174</v>
      </c>
      <c r="B6541" s="20" t="s">
        <v>156</v>
      </c>
      <c r="C6541" s="20">
        <v>85</v>
      </c>
      <c r="D6541" s="20" t="s">
        <v>253</v>
      </c>
      <c r="E6541" s="20" t="s">
        <v>2359</v>
      </c>
      <c r="F6541" s="20" t="s">
        <v>361</v>
      </c>
      <c r="G6541" s="20" t="s">
        <v>158</v>
      </c>
      <c r="H6541" s="20"/>
      <c r="I6541" s="20"/>
      <c r="J6541" s="20" t="s">
        <v>208</v>
      </c>
      <c r="K6541" s="20" t="s">
        <v>255</v>
      </c>
      <c r="L6541" s="20">
        <v>72400000</v>
      </c>
      <c r="M6541" s="20" t="s">
        <v>245</v>
      </c>
      <c r="N6541" s="20" t="s">
        <v>3761</v>
      </c>
    </row>
    <row r="6542" spans="1:14" hidden="1" x14ac:dyDescent="0.25">
      <c r="A6542" s="19">
        <v>46174</v>
      </c>
      <c r="B6542" s="20" t="s">
        <v>156</v>
      </c>
      <c r="C6542" s="20">
        <v>85</v>
      </c>
      <c r="D6542" s="20" t="s">
        <v>253</v>
      </c>
      <c r="E6542" s="20" t="s">
        <v>2359</v>
      </c>
      <c r="F6542" s="20" t="s">
        <v>361</v>
      </c>
      <c r="G6542" s="20" t="s">
        <v>158</v>
      </c>
      <c r="H6542" s="20"/>
      <c r="I6542" s="20"/>
      <c r="J6542" s="20" t="s">
        <v>209</v>
      </c>
      <c r="K6542" s="20" t="s">
        <v>255</v>
      </c>
      <c r="L6542" s="20">
        <v>103600000</v>
      </c>
      <c r="M6542" s="20" t="s">
        <v>245</v>
      </c>
      <c r="N6542" s="20" t="s">
        <v>3910</v>
      </c>
    </row>
    <row r="6543" spans="1:14" hidden="1" x14ac:dyDescent="0.25">
      <c r="A6543" s="19">
        <v>46174</v>
      </c>
      <c r="B6543" s="20" t="s">
        <v>156</v>
      </c>
      <c r="C6543" s="20">
        <v>85</v>
      </c>
      <c r="D6543" s="20" t="s">
        <v>253</v>
      </c>
      <c r="E6543" s="20" t="s">
        <v>2359</v>
      </c>
      <c r="F6543" s="20" t="s">
        <v>361</v>
      </c>
      <c r="G6543" s="20" t="s">
        <v>158</v>
      </c>
      <c r="H6543" s="20"/>
      <c r="I6543" s="20"/>
      <c r="J6543" s="20" t="s">
        <v>210</v>
      </c>
      <c r="K6543" s="20" t="s">
        <v>255</v>
      </c>
      <c r="L6543" s="20">
        <v>98900000</v>
      </c>
      <c r="M6543" s="20" t="s">
        <v>245</v>
      </c>
      <c r="N6543" s="20" t="s">
        <v>4044</v>
      </c>
    </row>
    <row r="6544" spans="1:14" hidden="1" x14ac:dyDescent="0.25">
      <c r="A6544" s="19">
        <v>46174</v>
      </c>
      <c r="B6544" s="20" t="s">
        <v>156</v>
      </c>
      <c r="C6544" s="20">
        <v>86</v>
      </c>
      <c r="D6544" s="20" t="s">
        <v>253</v>
      </c>
      <c r="E6544" s="20" t="s">
        <v>2359</v>
      </c>
      <c r="F6544" s="20" t="s">
        <v>2548</v>
      </c>
      <c r="G6544" s="20" t="s">
        <v>158</v>
      </c>
      <c r="H6544" s="20"/>
      <c r="I6544" s="20"/>
      <c r="J6544" s="20" t="s">
        <v>208</v>
      </c>
      <c r="K6544" s="20" t="s">
        <v>255</v>
      </c>
      <c r="L6544" s="20">
        <v>2.2799999999999998</v>
      </c>
      <c r="M6544" s="20" t="s">
        <v>251</v>
      </c>
      <c r="N6544" s="20" t="s">
        <v>3762</v>
      </c>
    </row>
    <row r="6545" spans="1:14" hidden="1" x14ac:dyDescent="0.25">
      <c r="A6545" s="19">
        <v>46174</v>
      </c>
      <c r="B6545" s="20" t="s">
        <v>156</v>
      </c>
      <c r="C6545" s="20">
        <v>86</v>
      </c>
      <c r="D6545" s="20" t="s">
        <v>253</v>
      </c>
      <c r="E6545" s="20" t="s">
        <v>2359</v>
      </c>
      <c r="F6545" s="20" t="s">
        <v>2548</v>
      </c>
      <c r="G6545" s="20" t="s">
        <v>158</v>
      </c>
      <c r="H6545" s="20"/>
      <c r="I6545" s="20"/>
      <c r="J6545" s="20" t="s">
        <v>209</v>
      </c>
      <c r="K6545" s="20" t="s">
        <v>255</v>
      </c>
      <c r="L6545" s="20">
        <v>3.11</v>
      </c>
      <c r="M6545" s="20" t="s">
        <v>251</v>
      </c>
      <c r="N6545" s="20" t="s">
        <v>3911</v>
      </c>
    </row>
    <row r="6546" spans="1:14" hidden="1" x14ac:dyDescent="0.25">
      <c r="A6546" s="19">
        <v>46174</v>
      </c>
      <c r="B6546" s="20" t="s">
        <v>156</v>
      </c>
      <c r="C6546" s="20">
        <v>86</v>
      </c>
      <c r="D6546" s="20" t="s">
        <v>253</v>
      </c>
      <c r="E6546" s="20" t="s">
        <v>2359</v>
      </c>
      <c r="F6546" s="20" t="s">
        <v>2548</v>
      </c>
      <c r="G6546" s="20" t="s">
        <v>158</v>
      </c>
      <c r="H6546" s="20"/>
      <c r="I6546" s="20"/>
      <c r="J6546" s="20" t="s">
        <v>210</v>
      </c>
      <c r="K6546" s="20" t="s">
        <v>255</v>
      </c>
      <c r="L6546" s="20">
        <v>2.85</v>
      </c>
      <c r="M6546" s="20" t="s">
        <v>251</v>
      </c>
      <c r="N6546" s="20" t="s">
        <v>4045</v>
      </c>
    </row>
    <row r="6547" spans="1:14" hidden="1" x14ac:dyDescent="0.25">
      <c r="A6547" s="19">
        <v>46174</v>
      </c>
      <c r="B6547" s="20" t="s">
        <v>156</v>
      </c>
      <c r="C6547" s="20">
        <v>87</v>
      </c>
      <c r="D6547" s="20" t="s">
        <v>291</v>
      </c>
      <c r="E6547" s="20" t="s">
        <v>2361</v>
      </c>
      <c r="F6547" s="20" t="s">
        <v>361</v>
      </c>
      <c r="G6547" s="20" t="s">
        <v>158</v>
      </c>
      <c r="H6547" s="20" t="s">
        <v>159</v>
      </c>
      <c r="I6547" s="20"/>
      <c r="J6547" s="20" t="s">
        <v>210</v>
      </c>
      <c r="K6547" s="20" t="s">
        <v>250</v>
      </c>
      <c r="L6547" s="20">
        <v>57200000</v>
      </c>
      <c r="M6547" s="20" t="s">
        <v>245</v>
      </c>
      <c r="N6547" s="20" t="s">
        <v>4046</v>
      </c>
    </row>
    <row r="6548" spans="1:14" hidden="1" x14ac:dyDescent="0.25">
      <c r="A6548" s="19">
        <v>46174</v>
      </c>
      <c r="B6548" s="20" t="s">
        <v>156</v>
      </c>
      <c r="C6548" s="20">
        <v>87</v>
      </c>
      <c r="D6548" s="20" t="s">
        <v>291</v>
      </c>
      <c r="E6548" s="20" t="s">
        <v>2361</v>
      </c>
      <c r="F6548" s="20" t="s">
        <v>361</v>
      </c>
      <c r="G6548" s="20" t="s">
        <v>158</v>
      </c>
      <c r="H6548" s="20" t="s">
        <v>160</v>
      </c>
      <c r="I6548" s="20"/>
      <c r="J6548" s="20" t="s">
        <v>210</v>
      </c>
      <c r="K6548" s="20" t="s">
        <v>250</v>
      </c>
      <c r="L6548" s="20">
        <v>41800000</v>
      </c>
      <c r="M6548" s="20" t="s">
        <v>245</v>
      </c>
      <c r="N6548" s="20" t="s">
        <v>4047</v>
      </c>
    </row>
    <row r="6549" spans="1:14" hidden="1" x14ac:dyDescent="0.25">
      <c r="A6549" s="19">
        <v>46204</v>
      </c>
      <c r="B6549" s="20" t="s">
        <v>535</v>
      </c>
      <c r="C6549" s="20">
        <v>4</v>
      </c>
      <c r="D6549" s="20" t="s">
        <v>238</v>
      </c>
      <c r="E6549" s="20" t="s">
        <v>2341</v>
      </c>
      <c r="F6549" s="20" t="s">
        <v>285</v>
      </c>
      <c r="G6549" s="20" t="s">
        <v>63</v>
      </c>
      <c r="H6549" s="20"/>
      <c r="I6549" s="20"/>
      <c r="J6549" s="20" t="s">
        <v>211</v>
      </c>
      <c r="K6549" s="20" t="s">
        <v>250</v>
      </c>
      <c r="L6549" s="20">
        <v>2350000</v>
      </c>
      <c r="M6549" s="20" t="s">
        <v>242</v>
      </c>
      <c r="N6549" s="20" t="s">
        <v>1948</v>
      </c>
    </row>
    <row r="6550" spans="1:14" hidden="1" x14ac:dyDescent="0.25">
      <c r="A6550" s="19">
        <v>46204</v>
      </c>
      <c r="B6550" s="20" t="s">
        <v>535</v>
      </c>
      <c r="C6550" s="20">
        <v>4</v>
      </c>
      <c r="D6550" s="20" t="s">
        <v>238</v>
      </c>
      <c r="E6550" s="20" t="s">
        <v>2341</v>
      </c>
      <c r="F6550" s="20" t="s">
        <v>240</v>
      </c>
      <c r="G6550" s="20" t="s">
        <v>82</v>
      </c>
      <c r="H6550" s="20"/>
      <c r="I6550" s="20"/>
      <c r="J6550" s="20" t="s">
        <v>211</v>
      </c>
      <c r="K6550" s="20" t="s">
        <v>250</v>
      </c>
      <c r="L6550" s="20">
        <v>23170000</v>
      </c>
      <c r="M6550" s="20" t="s">
        <v>242</v>
      </c>
      <c r="N6550" s="20" t="s">
        <v>4048</v>
      </c>
    </row>
    <row r="6551" spans="1:14" hidden="1" x14ac:dyDescent="0.25">
      <c r="A6551" s="19">
        <v>46204</v>
      </c>
      <c r="B6551" s="20" t="s">
        <v>535</v>
      </c>
      <c r="C6551" s="20">
        <v>4</v>
      </c>
      <c r="D6551" s="20" t="s">
        <v>238</v>
      </c>
      <c r="E6551" s="20" t="s">
        <v>2341</v>
      </c>
      <c r="F6551" s="20" t="s">
        <v>244</v>
      </c>
      <c r="G6551" s="20" t="s">
        <v>82</v>
      </c>
      <c r="H6551" s="20"/>
      <c r="I6551" s="20"/>
      <c r="J6551" s="20" t="s">
        <v>211</v>
      </c>
      <c r="K6551" s="20" t="s">
        <v>250</v>
      </c>
      <c r="L6551" s="20">
        <v>2340000000</v>
      </c>
      <c r="M6551" s="20" t="s">
        <v>245</v>
      </c>
      <c r="N6551" s="20" t="s">
        <v>4049</v>
      </c>
    </row>
    <row r="6552" spans="1:14" hidden="1" x14ac:dyDescent="0.25">
      <c r="A6552" s="19">
        <v>46204</v>
      </c>
      <c r="B6552" s="20" t="s">
        <v>535</v>
      </c>
      <c r="C6552" s="20">
        <v>5</v>
      </c>
      <c r="D6552" s="20" t="s">
        <v>238</v>
      </c>
      <c r="E6552" s="20" t="s">
        <v>2341</v>
      </c>
      <c r="F6552" s="20" t="s">
        <v>285</v>
      </c>
      <c r="G6552" s="20" t="s">
        <v>63</v>
      </c>
      <c r="H6552" s="20"/>
      <c r="I6552" s="20"/>
      <c r="J6552" s="20" t="s">
        <v>211</v>
      </c>
      <c r="K6552" s="20" t="s">
        <v>250</v>
      </c>
      <c r="L6552" s="20">
        <v>3020000</v>
      </c>
      <c r="M6552" s="20" t="s">
        <v>242</v>
      </c>
      <c r="N6552" s="20" t="s">
        <v>4050</v>
      </c>
    </row>
    <row r="6553" spans="1:14" hidden="1" x14ac:dyDescent="0.25">
      <c r="A6553" s="19">
        <v>46204</v>
      </c>
      <c r="B6553" s="20" t="s">
        <v>535</v>
      </c>
      <c r="C6553" s="20">
        <v>5</v>
      </c>
      <c r="D6553" s="20" t="s">
        <v>238</v>
      </c>
      <c r="E6553" s="20" t="s">
        <v>2341</v>
      </c>
      <c r="F6553" s="20" t="s">
        <v>240</v>
      </c>
      <c r="G6553" s="20" t="s">
        <v>82</v>
      </c>
      <c r="H6553" s="20"/>
      <c r="I6553" s="20"/>
      <c r="J6553" s="20" t="s">
        <v>211</v>
      </c>
      <c r="K6553" s="20" t="s">
        <v>250</v>
      </c>
      <c r="L6553" s="20">
        <v>16840000</v>
      </c>
      <c r="M6553" s="20" t="s">
        <v>242</v>
      </c>
      <c r="N6553" s="20" t="s">
        <v>4051</v>
      </c>
    </row>
    <row r="6554" spans="1:14" hidden="1" x14ac:dyDescent="0.25">
      <c r="A6554" s="19">
        <v>46204</v>
      </c>
      <c r="B6554" s="20" t="s">
        <v>535</v>
      </c>
      <c r="C6554" s="20">
        <v>5</v>
      </c>
      <c r="D6554" s="20" t="s">
        <v>238</v>
      </c>
      <c r="E6554" s="20" t="s">
        <v>2341</v>
      </c>
      <c r="F6554" s="20" t="s">
        <v>244</v>
      </c>
      <c r="G6554" s="20" t="s">
        <v>82</v>
      </c>
      <c r="H6554" s="20"/>
      <c r="I6554" s="20"/>
      <c r="J6554" s="20" t="s">
        <v>211</v>
      </c>
      <c r="K6554" s="20" t="s">
        <v>250</v>
      </c>
      <c r="L6554" s="20">
        <v>752000000</v>
      </c>
      <c r="M6554" s="20" t="s">
        <v>245</v>
      </c>
      <c r="N6554" s="20" t="s">
        <v>4052</v>
      </c>
    </row>
    <row r="6555" spans="1:14" hidden="1" x14ac:dyDescent="0.25">
      <c r="A6555" s="19">
        <v>46204</v>
      </c>
      <c r="B6555" s="20" t="s">
        <v>535</v>
      </c>
      <c r="C6555" s="20">
        <v>6</v>
      </c>
      <c r="D6555" s="20" t="s">
        <v>238</v>
      </c>
      <c r="E6555" s="20" t="s">
        <v>2341</v>
      </c>
      <c r="F6555" s="20" t="s">
        <v>285</v>
      </c>
      <c r="G6555" s="20" t="s">
        <v>63</v>
      </c>
      <c r="H6555" s="20"/>
      <c r="I6555" s="20"/>
      <c r="J6555" s="20" t="s">
        <v>211</v>
      </c>
      <c r="K6555" s="20" t="s">
        <v>250</v>
      </c>
      <c r="L6555" s="20">
        <v>5340000</v>
      </c>
      <c r="M6555" s="20" t="s">
        <v>242</v>
      </c>
      <c r="N6555" s="20" t="s">
        <v>4001</v>
      </c>
    </row>
    <row r="6556" spans="1:14" hidden="1" x14ac:dyDescent="0.25">
      <c r="A6556" s="19">
        <v>46204</v>
      </c>
      <c r="B6556" s="20" t="s">
        <v>535</v>
      </c>
      <c r="C6556" s="20">
        <v>6</v>
      </c>
      <c r="D6556" s="20" t="s">
        <v>238</v>
      </c>
      <c r="E6556" s="20" t="s">
        <v>2341</v>
      </c>
      <c r="F6556" s="20" t="s">
        <v>378</v>
      </c>
      <c r="G6556" s="20" t="s">
        <v>379</v>
      </c>
      <c r="H6556" s="20"/>
      <c r="I6556" s="20"/>
      <c r="J6556" s="20" t="s">
        <v>211</v>
      </c>
      <c r="K6556" s="20" t="s">
        <v>250</v>
      </c>
      <c r="L6556" s="20">
        <v>738</v>
      </c>
      <c r="M6556" s="20" t="s">
        <v>242</v>
      </c>
      <c r="N6556" s="20" t="s">
        <v>4053</v>
      </c>
    </row>
    <row r="6557" spans="1:14" hidden="1" x14ac:dyDescent="0.25">
      <c r="A6557" s="19">
        <v>46204</v>
      </c>
      <c r="B6557" s="20" t="s">
        <v>535</v>
      </c>
      <c r="C6557" s="20">
        <v>6</v>
      </c>
      <c r="D6557" s="20" t="s">
        <v>238</v>
      </c>
      <c r="E6557" s="20" t="s">
        <v>2341</v>
      </c>
      <c r="F6557" s="20" t="s">
        <v>381</v>
      </c>
      <c r="G6557" s="20" t="s">
        <v>382</v>
      </c>
      <c r="H6557" s="20"/>
      <c r="I6557" s="20"/>
      <c r="J6557" s="20" t="s">
        <v>211</v>
      </c>
      <c r="K6557" s="20" t="s">
        <v>250</v>
      </c>
      <c r="L6557" s="20">
        <v>2546</v>
      </c>
      <c r="M6557" s="20" t="s">
        <v>242</v>
      </c>
      <c r="N6557" s="20" t="s">
        <v>4054</v>
      </c>
    </row>
    <row r="6558" spans="1:14" hidden="1" x14ac:dyDescent="0.25">
      <c r="A6558" s="19">
        <v>46204</v>
      </c>
      <c r="B6558" s="20" t="s">
        <v>535</v>
      </c>
      <c r="C6558" s="20">
        <v>6</v>
      </c>
      <c r="D6558" s="20" t="s">
        <v>238</v>
      </c>
      <c r="E6558" s="20" t="s">
        <v>2341</v>
      </c>
      <c r="F6558" s="20" t="s">
        <v>240</v>
      </c>
      <c r="G6558" s="20" t="s">
        <v>82</v>
      </c>
      <c r="H6558" s="20"/>
      <c r="I6558" s="20"/>
      <c r="J6558" s="20" t="s">
        <v>211</v>
      </c>
      <c r="K6558" s="20" t="s">
        <v>250</v>
      </c>
      <c r="L6558" s="20">
        <v>7320000</v>
      </c>
      <c r="M6558" s="20" t="s">
        <v>242</v>
      </c>
      <c r="N6558" s="20" t="s">
        <v>3120</v>
      </c>
    </row>
    <row r="6559" spans="1:14" hidden="1" x14ac:dyDescent="0.25">
      <c r="A6559" s="19">
        <v>46204</v>
      </c>
      <c r="B6559" s="20" t="s">
        <v>535</v>
      </c>
      <c r="C6559" s="20">
        <v>6</v>
      </c>
      <c r="D6559" s="20" t="s">
        <v>238</v>
      </c>
      <c r="E6559" s="20" t="s">
        <v>2341</v>
      </c>
      <c r="F6559" s="20" t="s">
        <v>244</v>
      </c>
      <c r="G6559" s="20" t="s">
        <v>82</v>
      </c>
      <c r="H6559" s="20"/>
      <c r="I6559" s="20"/>
      <c r="J6559" s="20" t="s">
        <v>211</v>
      </c>
      <c r="K6559" s="20" t="s">
        <v>250</v>
      </c>
      <c r="L6559" s="20">
        <v>1410000000</v>
      </c>
      <c r="M6559" s="20" t="s">
        <v>245</v>
      </c>
      <c r="N6559" s="20" t="s">
        <v>2886</v>
      </c>
    </row>
    <row r="6560" spans="1:14" hidden="1" x14ac:dyDescent="0.25">
      <c r="A6560" s="19">
        <v>46204</v>
      </c>
      <c r="B6560" s="20" t="s">
        <v>535</v>
      </c>
      <c r="C6560" s="20">
        <v>7</v>
      </c>
      <c r="D6560" s="20" t="s">
        <v>238</v>
      </c>
      <c r="E6560" s="20" t="s">
        <v>2341</v>
      </c>
      <c r="F6560" s="20" t="s">
        <v>1194</v>
      </c>
      <c r="G6560" s="20" t="s">
        <v>82</v>
      </c>
      <c r="H6560" s="20"/>
      <c r="I6560" s="20"/>
      <c r="J6560" s="20" t="s">
        <v>211</v>
      </c>
      <c r="K6560" s="20" t="s">
        <v>250</v>
      </c>
      <c r="L6560" s="20">
        <v>1080000</v>
      </c>
      <c r="M6560" s="20" t="s">
        <v>242</v>
      </c>
      <c r="N6560" s="20" t="s">
        <v>1322</v>
      </c>
    </row>
    <row r="6561" spans="1:14" hidden="1" x14ac:dyDescent="0.25">
      <c r="A6561" s="19">
        <v>46204</v>
      </c>
      <c r="B6561" s="20" t="s">
        <v>535</v>
      </c>
      <c r="C6561" s="20">
        <v>7</v>
      </c>
      <c r="D6561" s="20" t="s">
        <v>238</v>
      </c>
      <c r="E6561" s="20" t="s">
        <v>2341</v>
      </c>
      <c r="F6561" s="20" t="s">
        <v>544</v>
      </c>
      <c r="G6561" s="20" t="s">
        <v>82</v>
      </c>
      <c r="H6561" s="20"/>
      <c r="I6561" s="20"/>
      <c r="J6561" s="20" t="s">
        <v>211</v>
      </c>
      <c r="K6561" s="20" t="s">
        <v>250</v>
      </c>
      <c r="L6561" s="20">
        <v>1090000</v>
      </c>
      <c r="M6561" s="20" t="s">
        <v>242</v>
      </c>
      <c r="N6561" s="20" t="s">
        <v>312</v>
      </c>
    </row>
    <row r="6562" spans="1:14" hidden="1" x14ac:dyDescent="0.25">
      <c r="A6562" s="19">
        <v>46204</v>
      </c>
      <c r="B6562" s="20" t="s">
        <v>535</v>
      </c>
      <c r="C6562" s="20">
        <v>7</v>
      </c>
      <c r="D6562" s="20" t="s">
        <v>238</v>
      </c>
      <c r="E6562" s="20" t="s">
        <v>2341</v>
      </c>
      <c r="F6562" s="20" t="s">
        <v>929</v>
      </c>
      <c r="G6562" s="20" t="s">
        <v>82</v>
      </c>
      <c r="H6562" s="20"/>
      <c r="I6562" s="20"/>
      <c r="J6562" s="20" t="s">
        <v>211</v>
      </c>
      <c r="K6562" s="20" t="s">
        <v>250</v>
      </c>
      <c r="L6562" s="20">
        <v>949000000</v>
      </c>
      <c r="M6562" s="20" t="s">
        <v>245</v>
      </c>
      <c r="N6562" s="20" t="s">
        <v>4055</v>
      </c>
    </row>
    <row r="6563" spans="1:14" hidden="1" x14ac:dyDescent="0.25">
      <c r="A6563" s="19">
        <v>46204</v>
      </c>
      <c r="B6563" s="20" t="s">
        <v>535</v>
      </c>
      <c r="C6563" s="20">
        <v>8</v>
      </c>
      <c r="D6563" s="20" t="s">
        <v>238</v>
      </c>
      <c r="E6563" s="20" t="s">
        <v>2341</v>
      </c>
      <c r="F6563" s="20" t="s">
        <v>548</v>
      </c>
      <c r="G6563" s="20" t="s">
        <v>158</v>
      </c>
      <c r="H6563" s="20"/>
      <c r="I6563" s="20"/>
      <c r="J6563" s="20" t="s">
        <v>211</v>
      </c>
      <c r="K6563" s="20" t="s">
        <v>250</v>
      </c>
      <c r="L6563" s="20">
        <v>489000</v>
      </c>
      <c r="M6563" s="20" t="s">
        <v>242</v>
      </c>
      <c r="N6563" s="20" t="s">
        <v>4056</v>
      </c>
    </row>
    <row r="6564" spans="1:14" hidden="1" x14ac:dyDescent="0.25">
      <c r="A6564" s="19">
        <v>46204</v>
      </c>
      <c r="B6564" s="20" t="s">
        <v>535</v>
      </c>
      <c r="C6564" s="20">
        <v>8</v>
      </c>
      <c r="D6564" s="20" t="s">
        <v>238</v>
      </c>
      <c r="E6564" s="20" t="s">
        <v>2341</v>
      </c>
      <c r="F6564" s="20" t="s">
        <v>349</v>
      </c>
      <c r="G6564" s="20" t="s">
        <v>158</v>
      </c>
      <c r="H6564" s="20"/>
      <c r="I6564" s="20"/>
      <c r="J6564" s="20" t="s">
        <v>211</v>
      </c>
      <c r="K6564" s="20" t="s">
        <v>250</v>
      </c>
      <c r="L6564" s="20">
        <v>13800</v>
      </c>
      <c r="M6564" s="20" t="s">
        <v>242</v>
      </c>
      <c r="N6564" s="20" t="s">
        <v>4057</v>
      </c>
    </row>
    <row r="6565" spans="1:14" hidden="1" x14ac:dyDescent="0.25">
      <c r="A6565" s="19">
        <v>46204</v>
      </c>
      <c r="B6565" s="20" t="s">
        <v>535</v>
      </c>
      <c r="C6565" s="20">
        <v>8</v>
      </c>
      <c r="D6565" s="20" t="s">
        <v>238</v>
      </c>
      <c r="E6565" s="20" t="s">
        <v>2341</v>
      </c>
      <c r="F6565" s="20" t="s">
        <v>551</v>
      </c>
      <c r="G6565" s="20" t="s">
        <v>158</v>
      </c>
      <c r="H6565" s="20"/>
      <c r="I6565" s="20"/>
      <c r="J6565" s="20" t="s">
        <v>211</v>
      </c>
      <c r="K6565" s="20" t="s">
        <v>250</v>
      </c>
      <c r="L6565" s="20">
        <v>3660000000</v>
      </c>
      <c r="M6565" s="20" t="s">
        <v>245</v>
      </c>
      <c r="N6565" s="20" t="s">
        <v>2741</v>
      </c>
    </row>
    <row r="6566" spans="1:14" hidden="1" x14ac:dyDescent="0.25">
      <c r="A6566" s="19">
        <v>46204</v>
      </c>
      <c r="B6566" s="20" t="s">
        <v>535</v>
      </c>
      <c r="C6566" s="20">
        <v>8</v>
      </c>
      <c r="D6566" s="20" t="s">
        <v>238</v>
      </c>
      <c r="E6566" s="20" t="s">
        <v>2341</v>
      </c>
      <c r="F6566" s="20" t="s">
        <v>361</v>
      </c>
      <c r="G6566" s="20" t="s">
        <v>158</v>
      </c>
      <c r="H6566" s="20"/>
      <c r="I6566" s="20"/>
      <c r="J6566" s="20" t="s">
        <v>211</v>
      </c>
      <c r="K6566" s="20" t="s">
        <v>250</v>
      </c>
      <c r="L6566" s="20">
        <v>88300000</v>
      </c>
      <c r="M6566" s="20" t="s">
        <v>245</v>
      </c>
      <c r="N6566" s="20" t="s">
        <v>4058</v>
      </c>
    </row>
    <row r="6567" spans="1:14" hidden="1" x14ac:dyDescent="0.25">
      <c r="A6567" s="19">
        <v>46204</v>
      </c>
      <c r="B6567" s="20" t="s">
        <v>35</v>
      </c>
      <c r="C6567" s="20">
        <v>10</v>
      </c>
      <c r="D6567" s="20" t="s">
        <v>238</v>
      </c>
      <c r="E6567" s="20" t="s">
        <v>2341</v>
      </c>
      <c r="F6567" s="20" t="s">
        <v>240</v>
      </c>
      <c r="G6567" s="20" t="s">
        <v>82</v>
      </c>
      <c r="H6567" s="20"/>
      <c r="I6567" s="20"/>
      <c r="J6567" s="20" t="s">
        <v>4059</v>
      </c>
      <c r="K6567" s="20" t="s">
        <v>241</v>
      </c>
      <c r="L6567" s="20">
        <v>138180000</v>
      </c>
      <c r="M6567" s="20" t="s">
        <v>242</v>
      </c>
      <c r="N6567" s="20" t="s">
        <v>4060</v>
      </c>
    </row>
    <row r="6568" spans="1:14" hidden="1" x14ac:dyDescent="0.25">
      <c r="A6568" s="19">
        <v>46204</v>
      </c>
      <c r="B6568" s="20" t="s">
        <v>35</v>
      </c>
      <c r="C6568" s="20">
        <v>10</v>
      </c>
      <c r="D6568" s="20" t="s">
        <v>238</v>
      </c>
      <c r="E6568" s="20" t="s">
        <v>2341</v>
      </c>
      <c r="F6568" s="20" t="s">
        <v>244</v>
      </c>
      <c r="G6568" s="20" t="s">
        <v>82</v>
      </c>
      <c r="H6568" s="20"/>
      <c r="I6568" s="20"/>
      <c r="J6568" s="20" t="s">
        <v>4059</v>
      </c>
      <c r="K6568" s="20" t="s">
        <v>241</v>
      </c>
      <c r="L6568" s="20">
        <v>14220000000</v>
      </c>
      <c r="M6568" s="20" t="s">
        <v>245</v>
      </c>
      <c r="N6568" s="20" t="s">
        <v>4061</v>
      </c>
    </row>
    <row r="6569" spans="1:14" hidden="1" x14ac:dyDescent="0.25">
      <c r="A6569" s="19">
        <v>46204</v>
      </c>
      <c r="B6569" s="20" t="s">
        <v>35</v>
      </c>
      <c r="C6569" s="20">
        <v>11</v>
      </c>
      <c r="D6569" s="20" t="s">
        <v>253</v>
      </c>
      <c r="E6569" s="20" t="s">
        <v>2359</v>
      </c>
      <c r="F6569" s="20" t="s">
        <v>285</v>
      </c>
      <c r="G6569" s="20" t="s">
        <v>63</v>
      </c>
      <c r="H6569" s="20"/>
      <c r="I6569" s="20"/>
      <c r="J6569" s="20" t="s">
        <v>209</v>
      </c>
      <c r="K6569" s="20" t="s">
        <v>255</v>
      </c>
      <c r="L6569" s="20">
        <v>2280000</v>
      </c>
      <c r="M6569" s="20" t="s">
        <v>242</v>
      </c>
      <c r="N6569" s="20" t="s">
        <v>703</v>
      </c>
    </row>
    <row r="6570" spans="1:14" hidden="1" x14ac:dyDescent="0.25">
      <c r="A6570" s="19">
        <v>46204</v>
      </c>
      <c r="B6570" s="20" t="s">
        <v>35</v>
      </c>
      <c r="C6570" s="20">
        <v>11</v>
      </c>
      <c r="D6570" s="20" t="s">
        <v>253</v>
      </c>
      <c r="E6570" s="20" t="s">
        <v>2359</v>
      </c>
      <c r="F6570" s="20" t="s">
        <v>285</v>
      </c>
      <c r="G6570" s="20" t="s">
        <v>63</v>
      </c>
      <c r="H6570" s="20"/>
      <c r="I6570" s="20"/>
      <c r="J6570" s="20" t="s">
        <v>210</v>
      </c>
      <c r="K6570" s="20" t="s">
        <v>255</v>
      </c>
      <c r="L6570" s="20">
        <v>2310000</v>
      </c>
      <c r="M6570" s="20" t="s">
        <v>242</v>
      </c>
      <c r="N6570" s="20" t="s">
        <v>3930</v>
      </c>
    </row>
    <row r="6571" spans="1:14" hidden="1" x14ac:dyDescent="0.25">
      <c r="A6571" s="19">
        <v>46204</v>
      </c>
      <c r="B6571" s="20" t="s">
        <v>35</v>
      </c>
      <c r="C6571" s="20">
        <v>11</v>
      </c>
      <c r="D6571" s="20" t="s">
        <v>253</v>
      </c>
      <c r="E6571" s="20" t="s">
        <v>2359</v>
      </c>
      <c r="F6571" s="20" t="s">
        <v>285</v>
      </c>
      <c r="G6571" s="20" t="s">
        <v>63</v>
      </c>
      <c r="H6571" s="20"/>
      <c r="I6571" s="20"/>
      <c r="J6571" s="20" t="s">
        <v>211</v>
      </c>
      <c r="K6571" s="20" t="s">
        <v>255</v>
      </c>
      <c r="L6571" s="20">
        <v>2350000</v>
      </c>
      <c r="M6571" s="20" t="s">
        <v>242</v>
      </c>
      <c r="N6571" s="20" t="s">
        <v>4062</v>
      </c>
    </row>
    <row r="6572" spans="1:14" hidden="1" x14ac:dyDescent="0.25">
      <c r="A6572" s="19">
        <v>46204</v>
      </c>
      <c r="B6572" s="20" t="s">
        <v>35</v>
      </c>
      <c r="C6572" s="20">
        <v>11</v>
      </c>
      <c r="D6572" s="20" t="s">
        <v>247</v>
      </c>
      <c r="E6572" s="20" t="s">
        <v>2554</v>
      </c>
      <c r="F6572" s="20" t="s">
        <v>2555</v>
      </c>
      <c r="G6572" s="20" t="s">
        <v>63</v>
      </c>
      <c r="H6572" s="20" t="s">
        <v>286</v>
      </c>
      <c r="I6572" s="20"/>
      <c r="J6572" s="20" t="s">
        <v>211</v>
      </c>
      <c r="K6572" s="20" t="s">
        <v>250</v>
      </c>
      <c r="L6572" s="20">
        <v>1.7</v>
      </c>
      <c r="M6572" s="20" t="s">
        <v>251</v>
      </c>
      <c r="N6572" s="20" t="s">
        <v>635</v>
      </c>
    </row>
    <row r="6573" spans="1:14" hidden="1" x14ac:dyDescent="0.25">
      <c r="A6573" s="19">
        <v>46204</v>
      </c>
      <c r="B6573" s="20" t="s">
        <v>35</v>
      </c>
      <c r="C6573" s="20">
        <v>12</v>
      </c>
      <c r="D6573" s="20" t="s">
        <v>291</v>
      </c>
      <c r="E6573" s="20" t="s">
        <v>2361</v>
      </c>
      <c r="F6573" s="20" t="s">
        <v>2362</v>
      </c>
      <c r="G6573" s="20" t="s">
        <v>63</v>
      </c>
      <c r="H6573" s="20" t="s">
        <v>64</v>
      </c>
      <c r="I6573" s="20"/>
      <c r="J6573" s="20" t="s">
        <v>211</v>
      </c>
      <c r="K6573" s="20" t="s">
        <v>250</v>
      </c>
      <c r="L6573" s="20">
        <v>2260000</v>
      </c>
      <c r="M6573" s="20" t="s">
        <v>242</v>
      </c>
      <c r="N6573" s="20" t="s">
        <v>1579</v>
      </c>
    </row>
    <row r="6574" spans="1:14" hidden="1" x14ac:dyDescent="0.25">
      <c r="A6574" s="19">
        <v>46204</v>
      </c>
      <c r="B6574" s="20" t="s">
        <v>35</v>
      </c>
      <c r="C6574" s="20">
        <v>12</v>
      </c>
      <c r="D6574" s="20" t="s">
        <v>291</v>
      </c>
      <c r="E6574" s="20" t="s">
        <v>2361</v>
      </c>
      <c r="F6574" s="20" t="s">
        <v>2362</v>
      </c>
      <c r="G6574" s="20" t="s">
        <v>63</v>
      </c>
      <c r="H6574" s="20" t="s">
        <v>65</v>
      </c>
      <c r="I6574" s="20"/>
      <c r="J6574" s="20" t="s">
        <v>211</v>
      </c>
      <c r="K6574" s="20" t="s">
        <v>250</v>
      </c>
      <c r="L6574" s="20">
        <v>96600</v>
      </c>
      <c r="M6574" s="20" t="s">
        <v>242</v>
      </c>
      <c r="N6574" s="20" t="s">
        <v>4063</v>
      </c>
    </row>
    <row r="6575" spans="1:14" hidden="1" x14ac:dyDescent="0.25">
      <c r="A6575" s="19">
        <v>46204</v>
      </c>
      <c r="B6575" s="20" t="s">
        <v>35</v>
      </c>
      <c r="C6575" s="20">
        <v>13</v>
      </c>
      <c r="D6575" s="20" t="s">
        <v>291</v>
      </c>
      <c r="E6575" s="20" t="s">
        <v>2361</v>
      </c>
      <c r="F6575" s="20" t="s">
        <v>2362</v>
      </c>
      <c r="G6575" s="20" t="s">
        <v>63</v>
      </c>
      <c r="H6575" s="20" t="s">
        <v>2364</v>
      </c>
      <c r="I6575" s="20"/>
      <c r="J6575" s="20" t="s">
        <v>211</v>
      </c>
      <c r="K6575" s="20" t="s">
        <v>250</v>
      </c>
      <c r="L6575" s="20">
        <v>1420000</v>
      </c>
      <c r="M6575" s="20" t="s">
        <v>242</v>
      </c>
      <c r="N6575" s="20" t="s">
        <v>4064</v>
      </c>
    </row>
    <row r="6576" spans="1:14" hidden="1" x14ac:dyDescent="0.25">
      <c r="A6576" s="19">
        <v>46204</v>
      </c>
      <c r="B6576" s="20" t="s">
        <v>35</v>
      </c>
      <c r="C6576" s="20">
        <v>13</v>
      </c>
      <c r="D6576" s="20" t="s">
        <v>291</v>
      </c>
      <c r="E6576" s="20" t="s">
        <v>2361</v>
      </c>
      <c r="F6576" s="20" t="s">
        <v>2362</v>
      </c>
      <c r="G6576" s="20" t="s">
        <v>63</v>
      </c>
      <c r="H6576" s="20" t="s">
        <v>2366</v>
      </c>
      <c r="I6576" s="20"/>
      <c r="J6576" s="20" t="s">
        <v>211</v>
      </c>
      <c r="K6576" s="20" t="s">
        <v>250</v>
      </c>
      <c r="L6576" s="20">
        <v>860000</v>
      </c>
      <c r="M6576" s="20" t="s">
        <v>242</v>
      </c>
      <c r="N6576" s="20" t="s">
        <v>4065</v>
      </c>
    </row>
    <row r="6577" spans="1:14" x14ac:dyDescent="0.25">
      <c r="A6577" s="19">
        <v>46204</v>
      </c>
      <c r="B6577" s="20" t="s">
        <v>35</v>
      </c>
      <c r="C6577" s="20">
        <v>14</v>
      </c>
      <c r="D6577" s="20" t="s">
        <v>291</v>
      </c>
      <c r="E6577" s="20" t="s">
        <v>2361</v>
      </c>
      <c r="F6577" s="20" t="s">
        <v>285</v>
      </c>
      <c r="G6577" s="20" t="s">
        <v>63</v>
      </c>
      <c r="H6577" s="20" t="s">
        <v>77</v>
      </c>
      <c r="I6577" s="20"/>
      <c r="J6577" s="20" t="s">
        <v>211</v>
      </c>
      <c r="K6577" s="20" t="s">
        <v>250</v>
      </c>
      <c r="L6577" s="20">
        <v>12000</v>
      </c>
      <c r="M6577" s="20" t="s">
        <v>242</v>
      </c>
      <c r="N6577" s="20" t="s">
        <v>4066</v>
      </c>
    </row>
    <row r="6578" spans="1:14" x14ac:dyDescent="0.25">
      <c r="A6578" s="19">
        <v>46204</v>
      </c>
      <c r="B6578" s="20" t="s">
        <v>35</v>
      </c>
      <c r="C6578" s="20">
        <v>14</v>
      </c>
      <c r="D6578" s="20" t="s">
        <v>291</v>
      </c>
      <c r="E6578" s="20" t="s">
        <v>2361</v>
      </c>
      <c r="F6578" s="20" t="s">
        <v>285</v>
      </c>
      <c r="G6578" s="20" t="s">
        <v>63</v>
      </c>
      <c r="H6578" s="20" t="s">
        <v>70</v>
      </c>
      <c r="I6578" s="20"/>
      <c r="J6578" s="20" t="s">
        <v>211</v>
      </c>
      <c r="K6578" s="20" t="s">
        <v>250</v>
      </c>
      <c r="L6578" s="20">
        <v>827000</v>
      </c>
      <c r="M6578" s="20" t="s">
        <v>242</v>
      </c>
      <c r="N6578" s="20" t="s">
        <v>4067</v>
      </c>
    </row>
    <row r="6579" spans="1:14" x14ac:dyDescent="0.25">
      <c r="A6579" s="19">
        <v>46204</v>
      </c>
      <c r="B6579" s="20" t="s">
        <v>35</v>
      </c>
      <c r="C6579" s="20">
        <v>14</v>
      </c>
      <c r="D6579" s="20" t="s">
        <v>291</v>
      </c>
      <c r="E6579" s="20" t="s">
        <v>2361</v>
      </c>
      <c r="F6579" s="20" t="s">
        <v>285</v>
      </c>
      <c r="G6579" s="20" t="s">
        <v>63</v>
      </c>
      <c r="H6579" s="20" t="s">
        <v>71</v>
      </c>
      <c r="I6579" s="20"/>
      <c r="J6579" s="20" t="s">
        <v>211</v>
      </c>
      <c r="K6579" s="20" t="s">
        <v>250</v>
      </c>
      <c r="L6579" s="20">
        <v>598000</v>
      </c>
      <c r="M6579" s="20" t="s">
        <v>242</v>
      </c>
      <c r="N6579" s="20" t="s">
        <v>3885</v>
      </c>
    </row>
    <row r="6580" spans="1:14" x14ac:dyDescent="0.25">
      <c r="A6580" s="19">
        <v>46204</v>
      </c>
      <c r="B6580" s="20" t="s">
        <v>35</v>
      </c>
      <c r="C6580" s="20">
        <v>14</v>
      </c>
      <c r="D6580" s="20" t="s">
        <v>291</v>
      </c>
      <c r="E6580" s="20" t="s">
        <v>2361</v>
      </c>
      <c r="F6580" s="20" t="s">
        <v>285</v>
      </c>
      <c r="G6580" s="20" t="s">
        <v>63</v>
      </c>
      <c r="H6580" s="20" t="s">
        <v>72</v>
      </c>
      <c r="I6580" s="20"/>
      <c r="J6580" s="20" t="s">
        <v>211</v>
      </c>
      <c r="K6580" s="20" t="s">
        <v>250</v>
      </c>
      <c r="L6580" s="20">
        <v>423000</v>
      </c>
      <c r="M6580" s="20" t="s">
        <v>242</v>
      </c>
      <c r="N6580" s="20" t="s">
        <v>4068</v>
      </c>
    </row>
    <row r="6581" spans="1:14" x14ac:dyDescent="0.25">
      <c r="A6581" s="19">
        <v>46204</v>
      </c>
      <c r="B6581" s="20" t="s">
        <v>35</v>
      </c>
      <c r="C6581" s="20">
        <v>14</v>
      </c>
      <c r="D6581" s="20" t="s">
        <v>291</v>
      </c>
      <c r="E6581" s="20" t="s">
        <v>2361</v>
      </c>
      <c r="F6581" s="20" t="s">
        <v>285</v>
      </c>
      <c r="G6581" s="20" t="s">
        <v>63</v>
      </c>
      <c r="H6581" s="20" t="s">
        <v>73</v>
      </c>
      <c r="I6581" s="20"/>
      <c r="J6581" s="20" t="s">
        <v>211</v>
      </c>
      <c r="K6581" s="20" t="s">
        <v>250</v>
      </c>
      <c r="L6581" s="20">
        <v>264000</v>
      </c>
      <c r="M6581" s="20" t="s">
        <v>242</v>
      </c>
      <c r="N6581" s="20" t="s">
        <v>4069</v>
      </c>
    </row>
    <row r="6582" spans="1:14" x14ac:dyDescent="0.25">
      <c r="A6582" s="19">
        <v>46204</v>
      </c>
      <c r="B6582" s="20" t="s">
        <v>35</v>
      </c>
      <c r="C6582" s="20">
        <v>14</v>
      </c>
      <c r="D6582" s="20" t="s">
        <v>291</v>
      </c>
      <c r="E6582" s="20" t="s">
        <v>2361</v>
      </c>
      <c r="F6582" s="20" t="s">
        <v>285</v>
      </c>
      <c r="G6582" s="20" t="s">
        <v>63</v>
      </c>
      <c r="H6582" s="20" t="s">
        <v>74</v>
      </c>
      <c r="I6582" s="20"/>
      <c r="J6582" s="20" t="s">
        <v>211</v>
      </c>
      <c r="K6582" s="20" t="s">
        <v>250</v>
      </c>
      <c r="L6582" s="20">
        <v>126000</v>
      </c>
      <c r="M6582" s="20" t="s">
        <v>242</v>
      </c>
      <c r="N6582" s="20" t="s">
        <v>2773</v>
      </c>
    </row>
    <row r="6583" spans="1:14" x14ac:dyDescent="0.25">
      <c r="A6583" s="19">
        <v>46204</v>
      </c>
      <c r="B6583" s="20" t="s">
        <v>35</v>
      </c>
      <c r="C6583" s="20">
        <v>14</v>
      </c>
      <c r="D6583" s="20" t="s">
        <v>291</v>
      </c>
      <c r="E6583" s="20" t="s">
        <v>2361</v>
      </c>
      <c r="F6583" s="20" t="s">
        <v>285</v>
      </c>
      <c r="G6583" s="20" t="s">
        <v>63</v>
      </c>
      <c r="H6583" s="20" t="s">
        <v>75</v>
      </c>
      <c r="I6583" s="20"/>
      <c r="J6583" s="20" t="s">
        <v>211</v>
      </c>
      <c r="K6583" s="20" t="s">
        <v>250</v>
      </c>
      <c r="L6583" s="20">
        <v>35000</v>
      </c>
      <c r="M6583" s="20" t="s">
        <v>242</v>
      </c>
      <c r="N6583" s="20" t="s">
        <v>1681</v>
      </c>
    </row>
    <row r="6584" spans="1:14" x14ac:dyDescent="0.25">
      <c r="A6584" s="19">
        <v>46204</v>
      </c>
      <c r="B6584" s="20" t="s">
        <v>35</v>
      </c>
      <c r="C6584" s="20">
        <v>14</v>
      </c>
      <c r="D6584" s="20" t="s">
        <v>291</v>
      </c>
      <c r="E6584" s="20" t="s">
        <v>2361</v>
      </c>
      <c r="F6584" s="20" t="s">
        <v>285</v>
      </c>
      <c r="G6584" s="20" t="s">
        <v>63</v>
      </c>
      <c r="H6584" s="20" t="s">
        <v>76</v>
      </c>
      <c r="I6584" s="20"/>
      <c r="J6584" s="20" t="s">
        <v>211</v>
      </c>
      <c r="K6584" s="20" t="s">
        <v>250</v>
      </c>
      <c r="L6584" s="20">
        <v>9000</v>
      </c>
      <c r="M6584" s="20" t="s">
        <v>242</v>
      </c>
      <c r="N6584" s="20" t="s">
        <v>2368</v>
      </c>
    </row>
    <row r="6585" spans="1:14" hidden="1" x14ac:dyDescent="0.25">
      <c r="A6585" s="19">
        <v>46204</v>
      </c>
      <c r="B6585" s="20" t="s">
        <v>35</v>
      </c>
      <c r="C6585" s="20">
        <v>15</v>
      </c>
      <c r="D6585" s="20" t="s">
        <v>291</v>
      </c>
      <c r="E6585" s="20" t="s">
        <v>2361</v>
      </c>
      <c r="F6585" s="20" t="s">
        <v>2362</v>
      </c>
      <c r="G6585" s="20" t="s">
        <v>63</v>
      </c>
      <c r="H6585" s="20" t="s">
        <v>79</v>
      </c>
      <c r="I6585" s="20"/>
      <c r="J6585" s="20" t="s">
        <v>211</v>
      </c>
      <c r="K6585" s="20" t="s">
        <v>250</v>
      </c>
      <c r="L6585" s="20">
        <v>2290000</v>
      </c>
      <c r="M6585" s="20" t="s">
        <v>242</v>
      </c>
      <c r="N6585" s="20" t="s">
        <v>1035</v>
      </c>
    </row>
    <row r="6586" spans="1:14" hidden="1" x14ac:dyDescent="0.25">
      <c r="A6586" s="19">
        <v>46204</v>
      </c>
      <c r="B6586" s="20" t="s">
        <v>35</v>
      </c>
      <c r="C6586" s="20">
        <v>15</v>
      </c>
      <c r="D6586" s="20" t="s">
        <v>291</v>
      </c>
      <c r="E6586" s="20" t="s">
        <v>2361</v>
      </c>
      <c r="F6586" s="20" t="s">
        <v>2362</v>
      </c>
      <c r="G6586" s="20" t="s">
        <v>63</v>
      </c>
      <c r="H6586" s="20" t="s">
        <v>80</v>
      </c>
      <c r="I6586" s="20"/>
      <c r="J6586" s="20" t="s">
        <v>211</v>
      </c>
      <c r="K6586" s="20" t="s">
        <v>250</v>
      </c>
      <c r="L6586" s="20">
        <v>57600</v>
      </c>
      <c r="M6586" s="20" t="s">
        <v>242</v>
      </c>
      <c r="N6586" s="20" t="s">
        <v>4070</v>
      </c>
    </row>
    <row r="6587" spans="1:14" hidden="1" x14ac:dyDescent="0.25">
      <c r="A6587" s="19">
        <v>46204</v>
      </c>
      <c r="B6587" s="20" t="s">
        <v>35</v>
      </c>
      <c r="C6587" s="20">
        <v>16</v>
      </c>
      <c r="D6587" s="20" t="s">
        <v>253</v>
      </c>
      <c r="E6587" s="20" t="s">
        <v>2359</v>
      </c>
      <c r="F6587" s="20" t="s">
        <v>240</v>
      </c>
      <c r="G6587" s="20" t="s">
        <v>82</v>
      </c>
      <c r="H6587" s="20"/>
      <c r="I6587" s="20"/>
      <c r="J6587" s="20" t="s">
        <v>209</v>
      </c>
      <c r="K6587" s="20" t="s">
        <v>255</v>
      </c>
      <c r="L6587" s="20">
        <v>21430000</v>
      </c>
      <c r="M6587" s="20" t="s">
        <v>242</v>
      </c>
      <c r="N6587" s="20" t="s">
        <v>3791</v>
      </c>
    </row>
    <row r="6588" spans="1:14" hidden="1" x14ac:dyDescent="0.25">
      <c r="A6588" s="19">
        <v>46204</v>
      </c>
      <c r="B6588" s="20" t="s">
        <v>35</v>
      </c>
      <c r="C6588" s="20">
        <v>16</v>
      </c>
      <c r="D6588" s="20" t="s">
        <v>253</v>
      </c>
      <c r="E6588" s="20" t="s">
        <v>2359</v>
      </c>
      <c r="F6588" s="20" t="s">
        <v>240</v>
      </c>
      <c r="G6588" s="20" t="s">
        <v>82</v>
      </c>
      <c r="H6588" s="20"/>
      <c r="I6588" s="20"/>
      <c r="J6588" s="20" t="s">
        <v>210</v>
      </c>
      <c r="K6588" s="20" t="s">
        <v>255</v>
      </c>
      <c r="L6588" s="20">
        <v>20960000</v>
      </c>
      <c r="M6588" s="20" t="s">
        <v>242</v>
      </c>
      <c r="N6588" s="20" t="s">
        <v>3940</v>
      </c>
    </row>
    <row r="6589" spans="1:14" hidden="1" x14ac:dyDescent="0.25">
      <c r="A6589" s="19">
        <v>46204</v>
      </c>
      <c r="B6589" s="20" t="s">
        <v>35</v>
      </c>
      <c r="C6589" s="20">
        <v>16</v>
      </c>
      <c r="D6589" s="20" t="s">
        <v>253</v>
      </c>
      <c r="E6589" s="20" t="s">
        <v>2359</v>
      </c>
      <c r="F6589" s="20" t="s">
        <v>240</v>
      </c>
      <c r="G6589" s="20" t="s">
        <v>82</v>
      </c>
      <c r="H6589" s="20"/>
      <c r="I6589" s="20"/>
      <c r="J6589" s="20" t="s">
        <v>211</v>
      </c>
      <c r="K6589" s="20" t="s">
        <v>255</v>
      </c>
      <c r="L6589" s="20">
        <v>23170000</v>
      </c>
      <c r="M6589" s="20" t="s">
        <v>242</v>
      </c>
      <c r="N6589" s="20" t="s">
        <v>4071</v>
      </c>
    </row>
    <row r="6590" spans="1:14" hidden="1" x14ac:dyDescent="0.25">
      <c r="A6590" s="19">
        <v>46204</v>
      </c>
      <c r="B6590" s="20" t="s">
        <v>35</v>
      </c>
      <c r="C6590" s="20">
        <v>16</v>
      </c>
      <c r="D6590" s="20" t="s">
        <v>247</v>
      </c>
      <c r="E6590" s="20" t="s">
        <v>2554</v>
      </c>
      <c r="F6590" s="20" t="s">
        <v>2556</v>
      </c>
      <c r="G6590" s="20" t="s">
        <v>82</v>
      </c>
      <c r="H6590" s="20" t="s">
        <v>286</v>
      </c>
      <c r="I6590" s="20"/>
      <c r="J6590" s="20" t="s">
        <v>211</v>
      </c>
      <c r="K6590" s="20" t="s">
        <v>250</v>
      </c>
      <c r="L6590" s="20">
        <v>10.5</v>
      </c>
      <c r="M6590" s="20" t="s">
        <v>251</v>
      </c>
      <c r="N6590" s="20" t="s">
        <v>4072</v>
      </c>
    </row>
    <row r="6591" spans="1:14" hidden="1" x14ac:dyDescent="0.25">
      <c r="A6591" s="19">
        <v>46204</v>
      </c>
      <c r="B6591" s="20" t="s">
        <v>35</v>
      </c>
      <c r="C6591" s="20">
        <v>17</v>
      </c>
      <c r="D6591" s="20" t="s">
        <v>291</v>
      </c>
      <c r="E6591" s="20" t="s">
        <v>2361</v>
      </c>
      <c r="F6591" s="20" t="s">
        <v>240</v>
      </c>
      <c r="G6591" s="20" t="s">
        <v>82</v>
      </c>
      <c r="H6591" s="20" t="s">
        <v>83</v>
      </c>
      <c r="I6591" s="20"/>
      <c r="J6591" s="20" t="s">
        <v>211</v>
      </c>
      <c r="K6591" s="20" t="s">
        <v>250</v>
      </c>
      <c r="L6591" s="20">
        <v>18420000</v>
      </c>
      <c r="M6591" s="20" t="s">
        <v>242</v>
      </c>
      <c r="N6591" s="20" t="s">
        <v>4073</v>
      </c>
    </row>
    <row r="6592" spans="1:14" hidden="1" x14ac:dyDescent="0.25">
      <c r="A6592" s="19">
        <v>46204</v>
      </c>
      <c r="B6592" s="20" t="s">
        <v>35</v>
      </c>
      <c r="C6592" s="20">
        <v>17</v>
      </c>
      <c r="D6592" s="20" t="s">
        <v>291</v>
      </c>
      <c r="E6592" s="20" t="s">
        <v>2361</v>
      </c>
      <c r="F6592" s="20" t="s">
        <v>240</v>
      </c>
      <c r="G6592" s="20" t="s">
        <v>82</v>
      </c>
      <c r="H6592" s="20" t="s">
        <v>84</v>
      </c>
      <c r="I6592" s="20"/>
      <c r="J6592" s="20" t="s">
        <v>211</v>
      </c>
      <c r="K6592" s="20" t="s">
        <v>250</v>
      </c>
      <c r="L6592" s="20">
        <v>4750000</v>
      </c>
      <c r="M6592" s="20" t="s">
        <v>242</v>
      </c>
      <c r="N6592" s="20" t="s">
        <v>1753</v>
      </c>
    </row>
    <row r="6593" spans="1:14" hidden="1" x14ac:dyDescent="0.25">
      <c r="A6593" s="19">
        <v>46204</v>
      </c>
      <c r="B6593" s="20" t="s">
        <v>35</v>
      </c>
      <c r="C6593" s="20">
        <v>18</v>
      </c>
      <c r="D6593" s="20" t="s">
        <v>291</v>
      </c>
      <c r="E6593" s="20" t="s">
        <v>2361</v>
      </c>
      <c r="F6593" s="20" t="s">
        <v>240</v>
      </c>
      <c r="G6593" s="20" t="s">
        <v>82</v>
      </c>
      <c r="H6593" s="20" t="s">
        <v>83</v>
      </c>
      <c r="I6593" s="20" t="s">
        <v>315</v>
      </c>
      <c r="J6593" s="20" t="s">
        <v>211</v>
      </c>
      <c r="K6593" s="20" t="s">
        <v>250</v>
      </c>
      <c r="L6593" s="20"/>
      <c r="M6593" s="20" t="s">
        <v>251</v>
      </c>
      <c r="N6593" s="20" t="s">
        <v>3794</v>
      </c>
    </row>
    <row r="6594" spans="1:14" hidden="1" x14ac:dyDescent="0.25">
      <c r="A6594" s="19">
        <v>46204</v>
      </c>
      <c r="B6594" s="20" t="s">
        <v>35</v>
      </c>
      <c r="C6594" s="20">
        <v>18</v>
      </c>
      <c r="D6594" s="20" t="s">
        <v>291</v>
      </c>
      <c r="E6594" s="20" t="s">
        <v>2361</v>
      </c>
      <c r="F6594" s="20" t="s">
        <v>240</v>
      </c>
      <c r="G6594" s="20" t="s">
        <v>82</v>
      </c>
      <c r="H6594" s="20" t="s">
        <v>83</v>
      </c>
      <c r="I6594" s="20" t="s">
        <v>317</v>
      </c>
      <c r="J6594" s="20" t="s">
        <v>211</v>
      </c>
      <c r="K6594" s="20" t="s">
        <v>250</v>
      </c>
      <c r="L6594" s="20"/>
      <c r="M6594" s="20" t="s">
        <v>251</v>
      </c>
      <c r="N6594" s="20" t="s">
        <v>3034</v>
      </c>
    </row>
    <row r="6595" spans="1:14" hidden="1" x14ac:dyDescent="0.25">
      <c r="A6595" s="19">
        <v>46204</v>
      </c>
      <c r="B6595" s="20" t="s">
        <v>35</v>
      </c>
      <c r="C6595" s="20">
        <v>18</v>
      </c>
      <c r="D6595" s="20" t="s">
        <v>291</v>
      </c>
      <c r="E6595" s="20" t="s">
        <v>2361</v>
      </c>
      <c r="F6595" s="20" t="s">
        <v>240</v>
      </c>
      <c r="G6595" s="20" t="s">
        <v>82</v>
      </c>
      <c r="H6595" s="20" t="s">
        <v>83</v>
      </c>
      <c r="I6595" s="20" t="s">
        <v>313</v>
      </c>
      <c r="J6595" s="20" t="s">
        <v>211</v>
      </c>
      <c r="K6595" s="20" t="s">
        <v>250</v>
      </c>
      <c r="L6595" s="20"/>
      <c r="M6595" s="20" t="s">
        <v>251</v>
      </c>
      <c r="N6595" s="20" t="s">
        <v>1498</v>
      </c>
    </row>
    <row r="6596" spans="1:14" hidden="1" x14ac:dyDescent="0.25">
      <c r="A6596" s="19">
        <v>46204</v>
      </c>
      <c r="B6596" s="20" t="s">
        <v>35</v>
      </c>
      <c r="C6596" s="20">
        <v>18</v>
      </c>
      <c r="D6596" s="20" t="s">
        <v>291</v>
      </c>
      <c r="E6596" s="20" t="s">
        <v>2361</v>
      </c>
      <c r="F6596" s="20" t="s">
        <v>240</v>
      </c>
      <c r="G6596" s="20" t="s">
        <v>82</v>
      </c>
      <c r="H6596" s="20" t="s">
        <v>84</v>
      </c>
      <c r="I6596" s="20" t="s">
        <v>319</v>
      </c>
      <c r="J6596" s="20" t="s">
        <v>211</v>
      </c>
      <c r="K6596" s="20" t="s">
        <v>250</v>
      </c>
      <c r="L6596" s="20"/>
      <c r="M6596" s="20" t="s">
        <v>251</v>
      </c>
      <c r="N6596" s="20" t="s">
        <v>1685</v>
      </c>
    </row>
    <row r="6597" spans="1:14" hidden="1" x14ac:dyDescent="0.25">
      <c r="A6597" s="19">
        <v>46204</v>
      </c>
      <c r="B6597" s="20" t="s">
        <v>35</v>
      </c>
      <c r="C6597" s="20">
        <v>18</v>
      </c>
      <c r="D6597" s="20" t="s">
        <v>291</v>
      </c>
      <c r="E6597" s="20" t="s">
        <v>2361</v>
      </c>
      <c r="F6597" s="20" t="s">
        <v>240</v>
      </c>
      <c r="G6597" s="20" t="s">
        <v>82</v>
      </c>
      <c r="H6597" s="20" t="s">
        <v>84</v>
      </c>
      <c r="I6597" s="20" t="s">
        <v>321</v>
      </c>
      <c r="J6597" s="20" t="s">
        <v>211</v>
      </c>
      <c r="K6597" s="20" t="s">
        <v>250</v>
      </c>
      <c r="L6597" s="20"/>
      <c r="M6597" s="20" t="s">
        <v>251</v>
      </c>
      <c r="N6597" s="20" t="s">
        <v>810</v>
      </c>
    </row>
    <row r="6598" spans="1:14" hidden="1" x14ac:dyDescent="0.25">
      <c r="A6598" s="19">
        <v>46204</v>
      </c>
      <c r="B6598" s="20" t="s">
        <v>35</v>
      </c>
      <c r="C6598" s="20">
        <v>19</v>
      </c>
      <c r="D6598" s="20" t="s">
        <v>253</v>
      </c>
      <c r="E6598" s="20" t="s">
        <v>2359</v>
      </c>
      <c r="F6598" s="20" t="s">
        <v>244</v>
      </c>
      <c r="G6598" s="20" t="s">
        <v>82</v>
      </c>
      <c r="H6598" s="20"/>
      <c r="I6598" s="20"/>
      <c r="J6598" s="20" t="s">
        <v>209</v>
      </c>
      <c r="K6598" s="20" t="s">
        <v>255</v>
      </c>
      <c r="L6598" s="20">
        <v>2130000000</v>
      </c>
      <c r="M6598" s="20" t="s">
        <v>245</v>
      </c>
      <c r="N6598" s="20" t="s">
        <v>3795</v>
      </c>
    </row>
    <row r="6599" spans="1:14" hidden="1" x14ac:dyDescent="0.25">
      <c r="A6599" s="19">
        <v>46204</v>
      </c>
      <c r="B6599" s="20" t="s">
        <v>35</v>
      </c>
      <c r="C6599" s="20">
        <v>19</v>
      </c>
      <c r="D6599" s="20" t="s">
        <v>253</v>
      </c>
      <c r="E6599" s="20" t="s">
        <v>2359</v>
      </c>
      <c r="F6599" s="20" t="s">
        <v>244</v>
      </c>
      <c r="G6599" s="20" t="s">
        <v>82</v>
      </c>
      <c r="H6599" s="20"/>
      <c r="I6599" s="20"/>
      <c r="J6599" s="20" t="s">
        <v>210</v>
      </c>
      <c r="K6599" s="20" t="s">
        <v>255</v>
      </c>
      <c r="L6599" s="20">
        <v>2150000000</v>
      </c>
      <c r="M6599" s="20" t="s">
        <v>245</v>
      </c>
      <c r="N6599" s="20" t="s">
        <v>3943</v>
      </c>
    </row>
    <row r="6600" spans="1:14" hidden="1" x14ac:dyDescent="0.25">
      <c r="A6600" s="19">
        <v>46204</v>
      </c>
      <c r="B6600" s="20" t="s">
        <v>35</v>
      </c>
      <c r="C6600" s="20">
        <v>19</v>
      </c>
      <c r="D6600" s="20" t="s">
        <v>253</v>
      </c>
      <c r="E6600" s="20" t="s">
        <v>2359</v>
      </c>
      <c r="F6600" s="20" t="s">
        <v>244</v>
      </c>
      <c r="G6600" s="20" t="s">
        <v>82</v>
      </c>
      <c r="H6600" s="20"/>
      <c r="I6600" s="20"/>
      <c r="J6600" s="20" t="s">
        <v>211</v>
      </c>
      <c r="K6600" s="20" t="s">
        <v>255</v>
      </c>
      <c r="L6600" s="20">
        <v>2340000000</v>
      </c>
      <c r="M6600" s="20" t="s">
        <v>245</v>
      </c>
      <c r="N6600" s="20" t="s">
        <v>4074</v>
      </c>
    </row>
    <row r="6601" spans="1:14" hidden="1" x14ac:dyDescent="0.25">
      <c r="A6601" s="19">
        <v>46204</v>
      </c>
      <c r="B6601" s="20" t="s">
        <v>35</v>
      </c>
      <c r="C6601" s="20">
        <v>19</v>
      </c>
      <c r="D6601" s="20" t="s">
        <v>247</v>
      </c>
      <c r="E6601" s="20" t="s">
        <v>2554</v>
      </c>
      <c r="F6601" s="20" t="s">
        <v>2557</v>
      </c>
      <c r="G6601" s="20" t="s">
        <v>82</v>
      </c>
      <c r="H6601" s="20" t="s">
        <v>286</v>
      </c>
      <c r="I6601" s="20"/>
      <c r="J6601" s="20" t="s">
        <v>211</v>
      </c>
      <c r="K6601" s="20" t="s">
        <v>250</v>
      </c>
      <c r="L6601" s="20">
        <v>8.6999999999999993</v>
      </c>
      <c r="M6601" s="20" t="s">
        <v>251</v>
      </c>
      <c r="N6601" s="20" t="s">
        <v>357</v>
      </c>
    </row>
    <row r="6602" spans="1:14" hidden="1" x14ac:dyDescent="0.25">
      <c r="A6602" s="19">
        <v>46204</v>
      </c>
      <c r="B6602" s="20" t="s">
        <v>35</v>
      </c>
      <c r="C6602" s="20">
        <v>20</v>
      </c>
      <c r="D6602" s="20" t="s">
        <v>291</v>
      </c>
      <c r="E6602" s="20" t="s">
        <v>2361</v>
      </c>
      <c r="F6602" s="20" t="s">
        <v>244</v>
      </c>
      <c r="G6602" s="20" t="s">
        <v>82</v>
      </c>
      <c r="H6602" s="20" t="s">
        <v>83</v>
      </c>
      <c r="I6602" s="20"/>
      <c r="J6602" s="20" t="s">
        <v>211</v>
      </c>
      <c r="K6602" s="20" t="s">
        <v>250</v>
      </c>
      <c r="L6602" s="20">
        <v>1670000000</v>
      </c>
      <c r="M6602" s="20" t="s">
        <v>245</v>
      </c>
      <c r="N6602" s="20" t="s">
        <v>4075</v>
      </c>
    </row>
    <row r="6603" spans="1:14" hidden="1" x14ac:dyDescent="0.25">
      <c r="A6603" s="19">
        <v>46204</v>
      </c>
      <c r="B6603" s="20" t="s">
        <v>35</v>
      </c>
      <c r="C6603" s="20">
        <v>20</v>
      </c>
      <c r="D6603" s="20" t="s">
        <v>291</v>
      </c>
      <c r="E6603" s="20" t="s">
        <v>2361</v>
      </c>
      <c r="F6603" s="20" t="s">
        <v>244</v>
      </c>
      <c r="G6603" s="20" t="s">
        <v>82</v>
      </c>
      <c r="H6603" s="20" t="s">
        <v>84</v>
      </c>
      <c r="I6603" s="20"/>
      <c r="J6603" s="20" t="s">
        <v>211</v>
      </c>
      <c r="K6603" s="20" t="s">
        <v>250</v>
      </c>
      <c r="L6603" s="20">
        <v>664300000</v>
      </c>
      <c r="M6603" s="20" t="s">
        <v>245</v>
      </c>
      <c r="N6603" s="20" t="s">
        <v>4076</v>
      </c>
    </row>
    <row r="6604" spans="1:14" hidden="1" x14ac:dyDescent="0.25">
      <c r="A6604" s="19">
        <v>46204</v>
      </c>
      <c r="B6604" s="20" t="s">
        <v>35</v>
      </c>
      <c r="C6604" s="20">
        <v>21</v>
      </c>
      <c r="D6604" s="20" t="s">
        <v>291</v>
      </c>
      <c r="E6604" s="20" t="s">
        <v>2361</v>
      </c>
      <c r="F6604" s="20" t="s">
        <v>244</v>
      </c>
      <c r="G6604" s="20" t="s">
        <v>82</v>
      </c>
      <c r="H6604" s="20" t="s">
        <v>83</v>
      </c>
      <c r="I6604" s="20" t="s">
        <v>315</v>
      </c>
      <c r="J6604" s="20" t="s">
        <v>211</v>
      </c>
      <c r="K6604" s="20" t="s">
        <v>250</v>
      </c>
      <c r="L6604" s="20"/>
      <c r="M6604" s="20" t="s">
        <v>251</v>
      </c>
      <c r="N6604" s="20" t="s">
        <v>2912</v>
      </c>
    </row>
    <row r="6605" spans="1:14" hidden="1" x14ac:dyDescent="0.25">
      <c r="A6605" s="19">
        <v>46204</v>
      </c>
      <c r="B6605" s="20" t="s">
        <v>35</v>
      </c>
      <c r="C6605" s="20">
        <v>21</v>
      </c>
      <c r="D6605" s="20" t="s">
        <v>291</v>
      </c>
      <c r="E6605" s="20" t="s">
        <v>2361</v>
      </c>
      <c r="F6605" s="20" t="s">
        <v>244</v>
      </c>
      <c r="G6605" s="20" t="s">
        <v>82</v>
      </c>
      <c r="H6605" s="20" t="s">
        <v>83</v>
      </c>
      <c r="I6605" s="20" t="s">
        <v>317</v>
      </c>
      <c r="J6605" s="20" t="s">
        <v>211</v>
      </c>
      <c r="K6605" s="20" t="s">
        <v>250</v>
      </c>
      <c r="L6605" s="20"/>
      <c r="M6605" s="20" t="s">
        <v>251</v>
      </c>
      <c r="N6605" s="20" t="s">
        <v>1510</v>
      </c>
    </row>
    <row r="6606" spans="1:14" hidden="1" x14ac:dyDescent="0.25">
      <c r="A6606" s="19">
        <v>46204</v>
      </c>
      <c r="B6606" s="20" t="s">
        <v>35</v>
      </c>
      <c r="C6606" s="20">
        <v>21</v>
      </c>
      <c r="D6606" s="20" t="s">
        <v>291</v>
      </c>
      <c r="E6606" s="20" t="s">
        <v>2361</v>
      </c>
      <c r="F6606" s="20" t="s">
        <v>244</v>
      </c>
      <c r="G6606" s="20" t="s">
        <v>82</v>
      </c>
      <c r="H6606" s="20" t="s">
        <v>83</v>
      </c>
      <c r="I6606" s="20" t="s">
        <v>313</v>
      </c>
      <c r="J6606" s="20" t="s">
        <v>211</v>
      </c>
      <c r="K6606" s="20" t="s">
        <v>250</v>
      </c>
      <c r="L6606" s="20"/>
      <c r="M6606" s="20" t="s">
        <v>251</v>
      </c>
      <c r="N6606" s="20" t="s">
        <v>1337</v>
      </c>
    </row>
    <row r="6607" spans="1:14" hidden="1" x14ac:dyDescent="0.25">
      <c r="A6607" s="19">
        <v>46204</v>
      </c>
      <c r="B6607" s="20" t="s">
        <v>35</v>
      </c>
      <c r="C6607" s="20">
        <v>21</v>
      </c>
      <c r="D6607" s="20" t="s">
        <v>291</v>
      </c>
      <c r="E6607" s="20" t="s">
        <v>2361</v>
      </c>
      <c r="F6607" s="20" t="s">
        <v>244</v>
      </c>
      <c r="G6607" s="20" t="s">
        <v>82</v>
      </c>
      <c r="H6607" s="20" t="s">
        <v>84</v>
      </c>
      <c r="I6607" s="20" t="s">
        <v>2385</v>
      </c>
      <c r="J6607" s="20" t="s">
        <v>211</v>
      </c>
      <c r="K6607" s="20" t="s">
        <v>250</v>
      </c>
      <c r="L6607" s="20"/>
      <c r="M6607" s="20" t="s">
        <v>251</v>
      </c>
      <c r="N6607" s="20" t="s">
        <v>974</v>
      </c>
    </row>
    <row r="6608" spans="1:14" hidden="1" x14ac:dyDescent="0.25">
      <c r="A6608" s="19">
        <v>46204</v>
      </c>
      <c r="B6608" s="20" t="s">
        <v>35</v>
      </c>
      <c r="C6608" s="20">
        <v>21</v>
      </c>
      <c r="D6608" s="20" t="s">
        <v>291</v>
      </c>
      <c r="E6608" s="20" t="s">
        <v>2361</v>
      </c>
      <c r="F6608" s="20" t="s">
        <v>244</v>
      </c>
      <c r="G6608" s="20" t="s">
        <v>82</v>
      </c>
      <c r="H6608" s="20" t="s">
        <v>84</v>
      </c>
      <c r="I6608" s="20" t="s">
        <v>321</v>
      </c>
      <c r="J6608" s="20" t="s">
        <v>211</v>
      </c>
      <c r="K6608" s="20" t="s">
        <v>250</v>
      </c>
      <c r="L6608" s="20"/>
      <c r="M6608" s="20" t="s">
        <v>251</v>
      </c>
      <c r="N6608" s="20" t="s">
        <v>975</v>
      </c>
    </row>
    <row r="6609" spans="1:14" hidden="1" x14ac:dyDescent="0.25">
      <c r="A6609" s="19">
        <v>46204</v>
      </c>
      <c r="B6609" s="20" t="s">
        <v>35</v>
      </c>
      <c r="C6609" s="20">
        <v>22</v>
      </c>
      <c r="D6609" s="20" t="s">
        <v>253</v>
      </c>
      <c r="E6609" s="20" t="s">
        <v>2359</v>
      </c>
      <c r="F6609" s="20" t="s">
        <v>334</v>
      </c>
      <c r="G6609" s="20" t="s">
        <v>82</v>
      </c>
      <c r="H6609" s="20"/>
      <c r="I6609" s="20"/>
      <c r="J6609" s="20" t="s">
        <v>209</v>
      </c>
      <c r="K6609" s="20" t="s">
        <v>255</v>
      </c>
      <c r="L6609" s="20">
        <v>99</v>
      </c>
      <c r="M6609" s="20" t="s">
        <v>245</v>
      </c>
      <c r="N6609" s="20" t="s">
        <v>3798</v>
      </c>
    </row>
    <row r="6610" spans="1:14" hidden="1" x14ac:dyDescent="0.25">
      <c r="A6610" s="19">
        <v>46204</v>
      </c>
      <c r="B6610" s="20" t="s">
        <v>35</v>
      </c>
      <c r="C6610" s="20">
        <v>22</v>
      </c>
      <c r="D6610" s="20" t="s">
        <v>253</v>
      </c>
      <c r="E6610" s="20" t="s">
        <v>2359</v>
      </c>
      <c r="F6610" s="20" t="s">
        <v>334</v>
      </c>
      <c r="G6610" s="20" t="s">
        <v>82</v>
      </c>
      <c r="H6610" s="20"/>
      <c r="I6610" s="20"/>
      <c r="J6610" s="20" t="s">
        <v>210</v>
      </c>
      <c r="K6610" s="20" t="s">
        <v>255</v>
      </c>
      <c r="L6610" s="20">
        <v>101</v>
      </c>
      <c r="M6610" s="20" t="s">
        <v>245</v>
      </c>
      <c r="N6610" s="20" t="s">
        <v>4077</v>
      </c>
    </row>
    <row r="6611" spans="1:14" hidden="1" x14ac:dyDescent="0.25">
      <c r="A6611" s="19">
        <v>46204</v>
      </c>
      <c r="B6611" s="20" t="s">
        <v>35</v>
      </c>
      <c r="C6611" s="20">
        <v>22</v>
      </c>
      <c r="D6611" s="20" t="s">
        <v>253</v>
      </c>
      <c r="E6611" s="20" t="s">
        <v>2359</v>
      </c>
      <c r="F6611" s="20" t="s">
        <v>334</v>
      </c>
      <c r="G6611" s="20" t="s">
        <v>82</v>
      </c>
      <c r="H6611" s="20"/>
      <c r="I6611" s="20"/>
      <c r="J6611" s="20" t="s">
        <v>211</v>
      </c>
      <c r="K6611" s="20" t="s">
        <v>255</v>
      </c>
      <c r="L6611" s="20">
        <v>103</v>
      </c>
      <c r="M6611" s="20" t="s">
        <v>245</v>
      </c>
      <c r="N6611" s="20" t="s">
        <v>3946</v>
      </c>
    </row>
    <row r="6612" spans="1:14" hidden="1" x14ac:dyDescent="0.25">
      <c r="A6612" s="19">
        <v>46204</v>
      </c>
      <c r="B6612" s="20" t="s">
        <v>35</v>
      </c>
      <c r="C6612" s="20">
        <v>23</v>
      </c>
      <c r="D6612" s="20" t="s">
        <v>291</v>
      </c>
      <c r="E6612" s="20" t="s">
        <v>2361</v>
      </c>
      <c r="F6612" s="20" t="s">
        <v>428</v>
      </c>
      <c r="G6612" s="20" t="s">
        <v>82</v>
      </c>
      <c r="H6612" s="20" t="s">
        <v>95</v>
      </c>
      <c r="I6612" s="20"/>
      <c r="J6612" s="20" t="s">
        <v>211</v>
      </c>
      <c r="K6612" s="20" t="s">
        <v>250</v>
      </c>
      <c r="L6612" s="20">
        <v>3410000</v>
      </c>
      <c r="M6612" s="20" t="s">
        <v>242</v>
      </c>
      <c r="N6612" s="20" t="s">
        <v>3215</v>
      </c>
    </row>
    <row r="6613" spans="1:14" hidden="1" x14ac:dyDescent="0.25">
      <c r="A6613" s="19">
        <v>46204</v>
      </c>
      <c r="B6613" s="20" t="s">
        <v>35</v>
      </c>
      <c r="C6613" s="20">
        <v>23</v>
      </c>
      <c r="D6613" s="20" t="s">
        <v>291</v>
      </c>
      <c r="E6613" s="20" t="s">
        <v>2361</v>
      </c>
      <c r="F6613" s="20" t="s">
        <v>428</v>
      </c>
      <c r="G6613" s="20" t="s">
        <v>82</v>
      </c>
      <c r="H6613" s="20" t="s">
        <v>94</v>
      </c>
      <c r="I6613" s="20"/>
      <c r="J6613" s="20" t="s">
        <v>211</v>
      </c>
      <c r="K6613" s="20" t="s">
        <v>250</v>
      </c>
      <c r="L6613" s="20">
        <v>9020000</v>
      </c>
      <c r="M6613" s="20" t="s">
        <v>242</v>
      </c>
      <c r="N6613" s="20" t="s">
        <v>4078</v>
      </c>
    </row>
    <row r="6614" spans="1:14" hidden="1" x14ac:dyDescent="0.25">
      <c r="A6614" s="19">
        <v>46204</v>
      </c>
      <c r="B6614" s="20" t="s">
        <v>35</v>
      </c>
      <c r="C6614" s="20">
        <v>24</v>
      </c>
      <c r="D6614" s="20" t="s">
        <v>291</v>
      </c>
      <c r="E6614" s="20" t="s">
        <v>2361</v>
      </c>
      <c r="F6614" s="20" t="s">
        <v>445</v>
      </c>
      <c r="G6614" s="20" t="s">
        <v>82</v>
      </c>
      <c r="H6614" s="20" t="s">
        <v>95</v>
      </c>
      <c r="I6614" s="20"/>
      <c r="J6614" s="20" t="s">
        <v>211</v>
      </c>
      <c r="K6614" s="20" t="s">
        <v>250</v>
      </c>
      <c r="L6614" s="20">
        <v>316100000</v>
      </c>
      <c r="M6614" s="20" t="s">
        <v>245</v>
      </c>
      <c r="N6614" s="20" t="s">
        <v>4079</v>
      </c>
    </row>
    <row r="6615" spans="1:14" hidden="1" x14ac:dyDescent="0.25">
      <c r="A6615" s="19">
        <v>46204</v>
      </c>
      <c r="B6615" s="20" t="s">
        <v>35</v>
      </c>
      <c r="C6615" s="20">
        <v>24</v>
      </c>
      <c r="D6615" s="20" t="s">
        <v>291</v>
      </c>
      <c r="E6615" s="20" t="s">
        <v>2361</v>
      </c>
      <c r="F6615" s="20" t="s">
        <v>445</v>
      </c>
      <c r="G6615" s="20" t="s">
        <v>82</v>
      </c>
      <c r="H6615" s="20" t="s">
        <v>94</v>
      </c>
      <c r="I6615" s="20"/>
      <c r="J6615" s="20" t="s">
        <v>211</v>
      </c>
      <c r="K6615" s="20" t="s">
        <v>250</v>
      </c>
      <c r="L6615" s="20">
        <v>1100000000</v>
      </c>
      <c r="M6615" s="20" t="s">
        <v>245</v>
      </c>
      <c r="N6615" s="20" t="s">
        <v>3603</v>
      </c>
    </row>
    <row r="6616" spans="1:14" hidden="1" x14ac:dyDescent="0.25">
      <c r="A6616" s="19">
        <v>46204</v>
      </c>
      <c r="B6616" s="20" t="s">
        <v>97</v>
      </c>
      <c r="C6616" s="20">
        <v>26</v>
      </c>
      <c r="D6616" s="20" t="s">
        <v>238</v>
      </c>
      <c r="E6616" s="20" t="s">
        <v>2341</v>
      </c>
      <c r="F6616" s="20" t="s">
        <v>240</v>
      </c>
      <c r="G6616" s="20" t="s">
        <v>82</v>
      </c>
      <c r="H6616" s="20"/>
      <c r="I6616" s="20"/>
      <c r="J6616" s="20" t="s">
        <v>4059</v>
      </c>
      <c r="K6616" s="20" t="s">
        <v>241</v>
      </c>
      <c r="L6616" s="20">
        <v>95340000</v>
      </c>
      <c r="M6616" s="20" t="s">
        <v>242</v>
      </c>
      <c r="N6616" s="20" t="s">
        <v>4080</v>
      </c>
    </row>
    <row r="6617" spans="1:14" hidden="1" x14ac:dyDescent="0.25">
      <c r="A6617" s="19">
        <v>46204</v>
      </c>
      <c r="B6617" s="20" t="s">
        <v>97</v>
      </c>
      <c r="C6617" s="20">
        <v>26</v>
      </c>
      <c r="D6617" s="20" t="s">
        <v>238</v>
      </c>
      <c r="E6617" s="20" t="s">
        <v>2341</v>
      </c>
      <c r="F6617" s="20" t="s">
        <v>244</v>
      </c>
      <c r="G6617" s="20" t="s">
        <v>82</v>
      </c>
      <c r="H6617" s="20"/>
      <c r="I6617" s="20"/>
      <c r="J6617" s="20" t="s">
        <v>4059</v>
      </c>
      <c r="K6617" s="20" t="s">
        <v>241</v>
      </c>
      <c r="L6617" s="20">
        <v>4510000000</v>
      </c>
      <c r="M6617" s="20" t="s">
        <v>245</v>
      </c>
      <c r="N6617" s="20" t="s">
        <v>4081</v>
      </c>
    </row>
    <row r="6618" spans="1:14" hidden="1" x14ac:dyDescent="0.25">
      <c r="A6618" s="19">
        <v>46204</v>
      </c>
      <c r="B6618" s="20" t="s">
        <v>97</v>
      </c>
      <c r="C6618" s="20">
        <v>27</v>
      </c>
      <c r="D6618" s="20" t="s">
        <v>253</v>
      </c>
      <c r="E6618" s="20" t="s">
        <v>2359</v>
      </c>
      <c r="F6618" s="20" t="s">
        <v>285</v>
      </c>
      <c r="G6618" s="20" t="s">
        <v>63</v>
      </c>
      <c r="H6618" s="20"/>
      <c r="I6618" s="20"/>
      <c r="J6618" s="20" t="s">
        <v>209</v>
      </c>
      <c r="K6618" s="20" t="s">
        <v>255</v>
      </c>
      <c r="L6618" s="20">
        <v>2970000</v>
      </c>
      <c r="M6618" s="20" t="s">
        <v>242</v>
      </c>
      <c r="N6618" s="20" t="s">
        <v>3801</v>
      </c>
    </row>
    <row r="6619" spans="1:14" hidden="1" x14ac:dyDescent="0.25">
      <c r="A6619" s="19">
        <v>46204</v>
      </c>
      <c r="B6619" s="20" t="s">
        <v>97</v>
      </c>
      <c r="C6619" s="20">
        <v>27</v>
      </c>
      <c r="D6619" s="20" t="s">
        <v>253</v>
      </c>
      <c r="E6619" s="20" t="s">
        <v>2359</v>
      </c>
      <c r="F6619" s="20" t="s">
        <v>285</v>
      </c>
      <c r="G6619" s="20" t="s">
        <v>63</v>
      </c>
      <c r="H6619" s="20"/>
      <c r="I6619" s="20"/>
      <c r="J6619" s="20" t="s">
        <v>210</v>
      </c>
      <c r="K6619" s="20" t="s">
        <v>255</v>
      </c>
      <c r="L6619" s="20">
        <v>3000000</v>
      </c>
      <c r="M6619" s="20" t="s">
        <v>242</v>
      </c>
      <c r="N6619" s="20" t="s">
        <v>3952</v>
      </c>
    </row>
    <row r="6620" spans="1:14" hidden="1" x14ac:dyDescent="0.25">
      <c r="A6620" s="19">
        <v>46204</v>
      </c>
      <c r="B6620" s="20" t="s">
        <v>97</v>
      </c>
      <c r="C6620" s="20">
        <v>27</v>
      </c>
      <c r="D6620" s="20" t="s">
        <v>253</v>
      </c>
      <c r="E6620" s="20" t="s">
        <v>2359</v>
      </c>
      <c r="F6620" s="20" t="s">
        <v>285</v>
      </c>
      <c r="G6620" s="20" t="s">
        <v>63</v>
      </c>
      <c r="H6620" s="20"/>
      <c r="I6620" s="20"/>
      <c r="J6620" s="20" t="s">
        <v>211</v>
      </c>
      <c r="K6620" s="20" t="s">
        <v>255</v>
      </c>
      <c r="L6620" s="20">
        <v>3020000</v>
      </c>
      <c r="M6620" s="20" t="s">
        <v>242</v>
      </c>
      <c r="N6620" s="20" t="s">
        <v>4082</v>
      </c>
    </row>
    <row r="6621" spans="1:14" hidden="1" x14ac:dyDescent="0.25">
      <c r="A6621" s="19">
        <v>46204</v>
      </c>
      <c r="B6621" s="20" t="s">
        <v>97</v>
      </c>
      <c r="C6621" s="20">
        <v>27</v>
      </c>
      <c r="D6621" s="20" t="s">
        <v>247</v>
      </c>
      <c r="E6621" s="20" t="s">
        <v>2554</v>
      </c>
      <c r="F6621" s="20" t="s">
        <v>2555</v>
      </c>
      <c r="G6621" s="20" t="s">
        <v>63</v>
      </c>
      <c r="H6621" s="20" t="s">
        <v>286</v>
      </c>
      <c r="I6621" s="20"/>
      <c r="J6621" s="20" t="s">
        <v>211</v>
      </c>
      <c r="K6621" s="20" t="s">
        <v>250</v>
      </c>
      <c r="L6621" s="20">
        <v>0.7</v>
      </c>
      <c r="M6621" s="20" t="s">
        <v>251</v>
      </c>
      <c r="N6621" s="20" t="s">
        <v>810</v>
      </c>
    </row>
    <row r="6622" spans="1:14" hidden="1" x14ac:dyDescent="0.25">
      <c r="A6622" s="19">
        <v>46204</v>
      </c>
      <c r="B6622" s="20" t="s">
        <v>97</v>
      </c>
      <c r="C6622" s="20">
        <v>28</v>
      </c>
      <c r="D6622" s="20" t="s">
        <v>291</v>
      </c>
      <c r="E6622" s="20" t="s">
        <v>2361</v>
      </c>
      <c r="F6622" s="20" t="s">
        <v>2362</v>
      </c>
      <c r="G6622" s="20" t="s">
        <v>63</v>
      </c>
      <c r="H6622" s="20" t="s">
        <v>64</v>
      </c>
      <c r="I6622" s="20"/>
      <c r="J6622" s="20" t="s">
        <v>211</v>
      </c>
      <c r="K6622" s="20" t="s">
        <v>250</v>
      </c>
      <c r="L6622" s="20">
        <v>2650000</v>
      </c>
      <c r="M6622" s="20" t="s">
        <v>242</v>
      </c>
      <c r="N6622" s="20" t="s">
        <v>3026</v>
      </c>
    </row>
    <row r="6623" spans="1:14" hidden="1" x14ac:dyDescent="0.25">
      <c r="A6623" s="19">
        <v>46204</v>
      </c>
      <c r="B6623" s="20" t="s">
        <v>97</v>
      </c>
      <c r="C6623" s="20">
        <v>28</v>
      </c>
      <c r="D6623" s="20" t="s">
        <v>291</v>
      </c>
      <c r="E6623" s="20" t="s">
        <v>2361</v>
      </c>
      <c r="F6623" s="20" t="s">
        <v>2362</v>
      </c>
      <c r="G6623" s="20" t="s">
        <v>63</v>
      </c>
      <c r="H6623" s="20" t="s">
        <v>65</v>
      </c>
      <c r="I6623" s="20"/>
      <c r="J6623" s="20" t="s">
        <v>211</v>
      </c>
      <c r="K6623" s="20" t="s">
        <v>250</v>
      </c>
      <c r="L6623" s="20">
        <v>375100</v>
      </c>
      <c r="M6623" s="20" t="s">
        <v>242</v>
      </c>
      <c r="N6623" s="20" t="s">
        <v>4083</v>
      </c>
    </row>
    <row r="6624" spans="1:14" hidden="1" x14ac:dyDescent="0.25">
      <c r="A6624" s="19">
        <v>46204</v>
      </c>
      <c r="B6624" s="20" t="s">
        <v>97</v>
      </c>
      <c r="C6624" s="20">
        <v>29</v>
      </c>
      <c r="D6624" s="20" t="s">
        <v>291</v>
      </c>
      <c r="E6624" s="20" t="s">
        <v>2361</v>
      </c>
      <c r="F6624" s="20" t="s">
        <v>2362</v>
      </c>
      <c r="G6624" s="20" t="s">
        <v>63</v>
      </c>
      <c r="H6624" s="20" t="s">
        <v>2364</v>
      </c>
      <c r="I6624" s="20"/>
      <c r="J6624" s="20" t="s">
        <v>211</v>
      </c>
      <c r="K6624" s="20" t="s">
        <v>250</v>
      </c>
      <c r="L6624" s="20">
        <v>1850000</v>
      </c>
      <c r="M6624" s="20" t="s">
        <v>242</v>
      </c>
      <c r="N6624" s="20" t="s">
        <v>1994</v>
      </c>
    </row>
    <row r="6625" spans="1:14" hidden="1" x14ac:dyDescent="0.25">
      <c r="A6625" s="19">
        <v>46204</v>
      </c>
      <c r="B6625" s="20" t="s">
        <v>97</v>
      </c>
      <c r="C6625" s="20">
        <v>29</v>
      </c>
      <c r="D6625" s="20" t="s">
        <v>291</v>
      </c>
      <c r="E6625" s="20" t="s">
        <v>2361</v>
      </c>
      <c r="F6625" s="20" t="s">
        <v>2362</v>
      </c>
      <c r="G6625" s="20" t="s">
        <v>63</v>
      </c>
      <c r="H6625" s="20" t="s">
        <v>2366</v>
      </c>
      <c r="I6625" s="20"/>
      <c r="J6625" s="20" t="s">
        <v>211</v>
      </c>
      <c r="K6625" s="20" t="s">
        <v>250</v>
      </c>
      <c r="L6625" s="20">
        <v>1160000</v>
      </c>
      <c r="M6625" s="20" t="s">
        <v>242</v>
      </c>
      <c r="N6625" s="20" t="s">
        <v>1370</v>
      </c>
    </row>
    <row r="6626" spans="1:14" hidden="1" x14ac:dyDescent="0.25">
      <c r="A6626" s="19">
        <v>46204</v>
      </c>
      <c r="B6626" s="20" t="s">
        <v>97</v>
      </c>
      <c r="C6626" s="20">
        <v>30</v>
      </c>
      <c r="D6626" s="20" t="s">
        <v>291</v>
      </c>
      <c r="E6626" s="20" t="s">
        <v>2361</v>
      </c>
      <c r="F6626" s="20" t="s">
        <v>285</v>
      </c>
      <c r="G6626" s="20" t="s">
        <v>63</v>
      </c>
      <c r="H6626" s="20" t="s">
        <v>77</v>
      </c>
      <c r="I6626" s="20"/>
      <c r="J6626" s="20" t="s">
        <v>211</v>
      </c>
      <c r="K6626" s="20" t="s">
        <v>250</v>
      </c>
      <c r="L6626" s="20">
        <v>1000</v>
      </c>
      <c r="M6626" s="20" t="s">
        <v>242</v>
      </c>
      <c r="N6626" s="20" t="s">
        <v>2394</v>
      </c>
    </row>
    <row r="6627" spans="1:14" hidden="1" x14ac:dyDescent="0.25">
      <c r="A6627" s="19">
        <v>46204</v>
      </c>
      <c r="B6627" s="20" t="s">
        <v>97</v>
      </c>
      <c r="C6627" s="20">
        <v>30</v>
      </c>
      <c r="D6627" s="20" t="s">
        <v>291</v>
      </c>
      <c r="E6627" s="20" t="s">
        <v>2361</v>
      </c>
      <c r="F6627" s="20" t="s">
        <v>285</v>
      </c>
      <c r="G6627" s="20" t="s">
        <v>63</v>
      </c>
      <c r="H6627" s="20" t="s">
        <v>70</v>
      </c>
      <c r="I6627" s="20"/>
      <c r="J6627" s="20" t="s">
        <v>211</v>
      </c>
      <c r="K6627" s="20" t="s">
        <v>250</v>
      </c>
      <c r="L6627" s="20">
        <v>1080000</v>
      </c>
      <c r="M6627" s="20" t="s">
        <v>242</v>
      </c>
      <c r="N6627" s="20" t="s">
        <v>1322</v>
      </c>
    </row>
    <row r="6628" spans="1:14" hidden="1" x14ac:dyDescent="0.25">
      <c r="A6628" s="19">
        <v>46204</v>
      </c>
      <c r="B6628" s="20" t="s">
        <v>97</v>
      </c>
      <c r="C6628" s="20">
        <v>30</v>
      </c>
      <c r="D6628" s="20" t="s">
        <v>291</v>
      </c>
      <c r="E6628" s="20" t="s">
        <v>2361</v>
      </c>
      <c r="F6628" s="20" t="s">
        <v>285</v>
      </c>
      <c r="G6628" s="20" t="s">
        <v>63</v>
      </c>
      <c r="H6628" s="20" t="s">
        <v>71</v>
      </c>
      <c r="I6628" s="20"/>
      <c r="J6628" s="20" t="s">
        <v>211</v>
      </c>
      <c r="K6628" s="20" t="s">
        <v>250</v>
      </c>
      <c r="L6628" s="20">
        <v>775000</v>
      </c>
      <c r="M6628" s="20" t="s">
        <v>242</v>
      </c>
      <c r="N6628" s="20" t="s">
        <v>3059</v>
      </c>
    </row>
    <row r="6629" spans="1:14" hidden="1" x14ac:dyDescent="0.25">
      <c r="A6629" s="19">
        <v>46204</v>
      </c>
      <c r="B6629" s="20" t="s">
        <v>97</v>
      </c>
      <c r="C6629" s="20">
        <v>30</v>
      </c>
      <c r="D6629" s="20" t="s">
        <v>291</v>
      </c>
      <c r="E6629" s="20" t="s">
        <v>2361</v>
      </c>
      <c r="F6629" s="20" t="s">
        <v>285</v>
      </c>
      <c r="G6629" s="20" t="s">
        <v>63</v>
      </c>
      <c r="H6629" s="20" t="s">
        <v>72</v>
      </c>
      <c r="I6629" s="20"/>
      <c r="J6629" s="20" t="s">
        <v>211</v>
      </c>
      <c r="K6629" s="20" t="s">
        <v>250</v>
      </c>
      <c r="L6629" s="20">
        <v>582000</v>
      </c>
      <c r="M6629" s="20" t="s">
        <v>242</v>
      </c>
      <c r="N6629" s="20" t="s">
        <v>4084</v>
      </c>
    </row>
    <row r="6630" spans="1:14" hidden="1" x14ac:dyDescent="0.25">
      <c r="A6630" s="19">
        <v>46204</v>
      </c>
      <c r="B6630" s="20" t="s">
        <v>97</v>
      </c>
      <c r="C6630" s="20">
        <v>30</v>
      </c>
      <c r="D6630" s="20" t="s">
        <v>291</v>
      </c>
      <c r="E6630" s="20" t="s">
        <v>2361</v>
      </c>
      <c r="F6630" s="20" t="s">
        <v>285</v>
      </c>
      <c r="G6630" s="20" t="s">
        <v>63</v>
      </c>
      <c r="H6630" s="20" t="s">
        <v>73</v>
      </c>
      <c r="I6630" s="20"/>
      <c r="J6630" s="20" t="s">
        <v>211</v>
      </c>
      <c r="K6630" s="20" t="s">
        <v>250</v>
      </c>
      <c r="L6630" s="20">
        <v>367000</v>
      </c>
      <c r="M6630" s="20" t="s">
        <v>242</v>
      </c>
      <c r="N6630" s="20" t="s">
        <v>4085</v>
      </c>
    </row>
    <row r="6631" spans="1:14" hidden="1" x14ac:dyDescent="0.25">
      <c r="A6631" s="19">
        <v>46204</v>
      </c>
      <c r="B6631" s="20" t="s">
        <v>97</v>
      </c>
      <c r="C6631" s="20">
        <v>30</v>
      </c>
      <c r="D6631" s="20" t="s">
        <v>291</v>
      </c>
      <c r="E6631" s="20" t="s">
        <v>2361</v>
      </c>
      <c r="F6631" s="20" t="s">
        <v>285</v>
      </c>
      <c r="G6631" s="20" t="s">
        <v>63</v>
      </c>
      <c r="H6631" s="20" t="s">
        <v>74</v>
      </c>
      <c r="I6631" s="20"/>
      <c r="J6631" s="20" t="s">
        <v>211</v>
      </c>
      <c r="K6631" s="20" t="s">
        <v>250</v>
      </c>
      <c r="L6631" s="20">
        <v>147000</v>
      </c>
      <c r="M6631" s="20" t="s">
        <v>242</v>
      </c>
      <c r="N6631" s="20" t="s">
        <v>3431</v>
      </c>
    </row>
    <row r="6632" spans="1:14" hidden="1" x14ac:dyDescent="0.25">
      <c r="A6632" s="19">
        <v>46204</v>
      </c>
      <c r="B6632" s="20" t="s">
        <v>97</v>
      </c>
      <c r="C6632" s="20">
        <v>30</v>
      </c>
      <c r="D6632" s="20" t="s">
        <v>291</v>
      </c>
      <c r="E6632" s="20" t="s">
        <v>2361</v>
      </c>
      <c r="F6632" s="20" t="s">
        <v>285</v>
      </c>
      <c r="G6632" s="20" t="s">
        <v>63</v>
      </c>
      <c r="H6632" s="20" t="s">
        <v>75</v>
      </c>
      <c r="I6632" s="20"/>
      <c r="J6632" s="20" t="s">
        <v>211</v>
      </c>
      <c r="K6632" s="20" t="s">
        <v>250</v>
      </c>
      <c r="L6632" s="20">
        <v>42000</v>
      </c>
      <c r="M6632" s="20" t="s">
        <v>242</v>
      </c>
      <c r="N6632" s="20" t="s">
        <v>3590</v>
      </c>
    </row>
    <row r="6633" spans="1:14" hidden="1" x14ac:dyDescent="0.25">
      <c r="A6633" s="19">
        <v>46204</v>
      </c>
      <c r="B6633" s="20" t="s">
        <v>97</v>
      </c>
      <c r="C6633" s="20">
        <v>30</v>
      </c>
      <c r="D6633" s="20" t="s">
        <v>291</v>
      </c>
      <c r="E6633" s="20" t="s">
        <v>2361</v>
      </c>
      <c r="F6633" s="20" t="s">
        <v>285</v>
      </c>
      <c r="G6633" s="20" t="s">
        <v>63</v>
      </c>
      <c r="H6633" s="20" t="s">
        <v>76</v>
      </c>
      <c r="I6633" s="20"/>
      <c r="J6633" s="20" t="s">
        <v>211</v>
      </c>
      <c r="K6633" s="20" t="s">
        <v>250</v>
      </c>
      <c r="L6633" s="20">
        <v>15000</v>
      </c>
      <c r="M6633" s="20" t="s">
        <v>242</v>
      </c>
      <c r="N6633" s="20" t="s">
        <v>3957</v>
      </c>
    </row>
    <row r="6634" spans="1:14" hidden="1" x14ac:dyDescent="0.25">
      <c r="A6634" s="19">
        <v>46204</v>
      </c>
      <c r="B6634" s="20" t="s">
        <v>97</v>
      </c>
      <c r="C6634" s="20">
        <v>31</v>
      </c>
      <c r="D6634" s="20" t="s">
        <v>291</v>
      </c>
      <c r="E6634" s="20" t="s">
        <v>2361</v>
      </c>
      <c r="F6634" s="20" t="s">
        <v>2400</v>
      </c>
      <c r="G6634" s="20" t="s">
        <v>99</v>
      </c>
      <c r="H6634" s="20" t="s">
        <v>103</v>
      </c>
      <c r="I6634" s="20"/>
      <c r="J6634" s="20" t="s">
        <v>211</v>
      </c>
      <c r="K6634" s="20" t="s">
        <v>250</v>
      </c>
      <c r="L6634" s="20">
        <v>2970000</v>
      </c>
      <c r="M6634" s="20" t="s">
        <v>242</v>
      </c>
      <c r="N6634" s="20" t="s">
        <v>3768</v>
      </c>
    </row>
    <row r="6635" spans="1:14" hidden="1" x14ac:dyDescent="0.25">
      <c r="A6635" s="19">
        <v>46204</v>
      </c>
      <c r="B6635" s="20" t="s">
        <v>97</v>
      </c>
      <c r="C6635" s="20">
        <v>31</v>
      </c>
      <c r="D6635" s="20" t="s">
        <v>291</v>
      </c>
      <c r="E6635" s="20" t="s">
        <v>2361</v>
      </c>
      <c r="F6635" s="20" t="s">
        <v>477</v>
      </c>
      <c r="G6635" s="20" t="s">
        <v>99</v>
      </c>
      <c r="H6635" s="20" t="s">
        <v>104</v>
      </c>
      <c r="I6635" s="20"/>
      <c r="J6635" s="20" t="s">
        <v>211</v>
      </c>
      <c r="K6635" s="20" t="s">
        <v>250</v>
      </c>
      <c r="L6635" s="20">
        <v>4622</v>
      </c>
      <c r="M6635" s="20" t="s">
        <v>242</v>
      </c>
      <c r="N6635" s="20" t="s">
        <v>4086</v>
      </c>
    </row>
    <row r="6636" spans="1:14" hidden="1" x14ac:dyDescent="0.25">
      <c r="A6636" s="19">
        <v>46204</v>
      </c>
      <c r="B6636" s="20" t="s">
        <v>97</v>
      </c>
      <c r="C6636" s="20">
        <v>31</v>
      </c>
      <c r="D6636" s="20" t="s">
        <v>291</v>
      </c>
      <c r="E6636" s="20" t="s">
        <v>2361</v>
      </c>
      <c r="F6636" s="20" t="s">
        <v>477</v>
      </c>
      <c r="G6636" s="20" t="s">
        <v>99</v>
      </c>
      <c r="H6636" s="20" t="s">
        <v>101</v>
      </c>
      <c r="I6636" s="20"/>
      <c r="J6636" s="20" t="s">
        <v>211</v>
      </c>
      <c r="K6636" s="20" t="s">
        <v>250</v>
      </c>
      <c r="L6636" s="20">
        <v>2093</v>
      </c>
      <c r="M6636" s="20" t="s">
        <v>242</v>
      </c>
      <c r="N6636" s="20" t="s">
        <v>4087</v>
      </c>
    </row>
    <row r="6637" spans="1:14" hidden="1" x14ac:dyDescent="0.25">
      <c r="A6637" s="19">
        <v>46204</v>
      </c>
      <c r="B6637" s="20" t="s">
        <v>97</v>
      </c>
      <c r="C6637" s="20">
        <v>31</v>
      </c>
      <c r="D6637" s="20" t="s">
        <v>291</v>
      </c>
      <c r="E6637" s="20" t="s">
        <v>2361</v>
      </c>
      <c r="F6637" s="20" t="s">
        <v>477</v>
      </c>
      <c r="G6637" s="20" t="s">
        <v>99</v>
      </c>
      <c r="H6637" s="20" t="s">
        <v>100</v>
      </c>
      <c r="I6637" s="20"/>
      <c r="J6637" s="20" t="s">
        <v>211</v>
      </c>
      <c r="K6637" s="20" t="s">
        <v>250</v>
      </c>
      <c r="L6637" s="20">
        <v>1082</v>
      </c>
      <c r="M6637" s="20" t="s">
        <v>242</v>
      </c>
      <c r="N6637" s="20" t="s">
        <v>4088</v>
      </c>
    </row>
    <row r="6638" spans="1:14" hidden="1" x14ac:dyDescent="0.25">
      <c r="A6638" s="19">
        <v>46204</v>
      </c>
      <c r="B6638" s="20" t="s">
        <v>97</v>
      </c>
      <c r="C6638" s="20">
        <v>31</v>
      </c>
      <c r="D6638" s="20" t="s">
        <v>291</v>
      </c>
      <c r="E6638" s="20" t="s">
        <v>2361</v>
      </c>
      <c r="F6638" s="20" t="s">
        <v>477</v>
      </c>
      <c r="G6638" s="20" t="s">
        <v>99</v>
      </c>
      <c r="H6638" s="20" t="s">
        <v>102</v>
      </c>
      <c r="I6638" s="20"/>
      <c r="J6638" s="20" t="s">
        <v>211</v>
      </c>
      <c r="K6638" s="20" t="s">
        <v>250</v>
      </c>
      <c r="L6638" s="20">
        <v>8</v>
      </c>
      <c r="M6638" s="20" t="s">
        <v>242</v>
      </c>
      <c r="N6638" s="20" t="s">
        <v>480</v>
      </c>
    </row>
    <row r="6639" spans="1:14" hidden="1" x14ac:dyDescent="0.25">
      <c r="A6639" s="19">
        <v>46204</v>
      </c>
      <c r="B6639" s="20" t="s">
        <v>97</v>
      </c>
      <c r="C6639" s="20">
        <v>32</v>
      </c>
      <c r="D6639" s="20" t="s">
        <v>253</v>
      </c>
      <c r="E6639" s="20" t="s">
        <v>2359</v>
      </c>
      <c r="F6639" s="20" t="s">
        <v>240</v>
      </c>
      <c r="G6639" s="20" t="s">
        <v>82</v>
      </c>
      <c r="H6639" s="20"/>
      <c r="I6639" s="20"/>
      <c r="J6639" s="20" t="s">
        <v>209</v>
      </c>
      <c r="K6639" s="20" t="s">
        <v>255</v>
      </c>
      <c r="L6639" s="20">
        <v>14980000</v>
      </c>
      <c r="M6639" s="20" t="s">
        <v>242</v>
      </c>
      <c r="N6639" s="20" t="s">
        <v>3811</v>
      </c>
    </row>
    <row r="6640" spans="1:14" hidden="1" x14ac:dyDescent="0.25">
      <c r="A6640" s="19">
        <v>46204</v>
      </c>
      <c r="B6640" s="20" t="s">
        <v>97</v>
      </c>
      <c r="C6640" s="20">
        <v>32</v>
      </c>
      <c r="D6640" s="20" t="s">
        <v>253</v>
      </c>
      <c r="E6640" s="20" t="s">
        <v>2359</v>
      </c>
      <c r="F6640" s="20" t="s">
        <v>240</v>
      </c>
      <c r="G6640" s="20" t="s">
        <v>82</v>
      </c>
      <c r="H6640" s="20"/>
      <c r="I6640" s="20"/>
      <c r="J6640" s="20" t="s">
        <v>210</v>
      </c>
      <c r="K6640" s="20" t="s">
        <v>255</v>
      </c>
      <c r="L6640" s="20">
        <v>14790000</v>
      </c>
      <c r="M6640" s="20" t="s">
        <v>242</v>
      </c>
      <c r="N6640" s="20" t="s">
        <v>3960</v>
      </c>
    </row>
    <row r="6641" spans="1:14" hidden="1" x14ac:dyDescent="0.25">
      <c r="A6641" s="19">
        <v>46204</v>
      </c>
      <c r="B6641" s="20" t="s">
        <v>97</v>
      </c>
      <c r="C6641" s="20">
        <v>32</v>
      </c>
      <c r="D6641" s="20" t="s">
        <v>253</v>
      </c>
      <c r="E6641" s="20" t="s">
        <v>2359</v>
      </c>
      <c r="F6641" s="20" t="s">
        <v>240</v>
      </c>
      <c r="G6641" s="20" t="s">
        <v>82</v>
      </c>
      <c r="H6641" s="20"/>
      <c r="I6641" s="20"/>
      <c r="J6641" s="20" t="s">
        <v>211</v>
      </c>
      <c r="K6641" s="20" t="s">
        <v>255</v>
      </c>
      <c r="L6641" s="20">
        <v>16840000</v>
      </c>
      <c r="M6641" s="20" t="s">
        <v>242</v>
      </c>
      <c r="N6641" s="20" t="s">
        <v>4089</v>
      </c>
    </row>
    <row r="6642" spans="1:14" hidden="1" x14ac:dyDescent="0.25">
      <c r="A6642" s="19">
        <v>46204</v>
      </c>
      <c r="B6642" s="20" t="s">
        <v>97</v>
      </c>
      <c r="C6642" s="20">
        <v>32</v>
      </c>
      <c r="D6642" s="20" t="s">
        <v>247</v>
      </c>
      <c r="E6642" s="20" t="s">
        <v>2554</v>
      </c>
      <c r="F6642" s="20" t="s">
        <v>2556</v>
      </c>
      <c r="G6642" s="20" t="s">
        <v>82</v>
      </c>
      <c r="H6642" s="20" t="s">
        <v>286</v>
      </c>
      <c r="I6642" s="20"/>
      <c r="J6642" s="20" t="s">
        <v>211</v>
      </c>
      <c r="K6642" s="20" t="s">
        <v>250</v>
      </c>
      <c r="L6642" s="20">
        <v>13.8</v>
      </c>
      <c r="M6642" s="20" t="s">
        <v>251</v>
      </c>
      <c r="N6642" s="20" t="s">
        <v>4090</v>
      </c>
    </row>
    <row r="6643" spans="1:14" hidden="1" x14ac:dyDescent="0.25">
      <c r="A6643" s="19">
        <v>46204</v>
      </c>
      <c r="B6643" s="20" t="s">
        <v>97</v>
      </c>
      <c r="C6643" s="20">
        <v>33</v>
      </c>
      <c r="D6643" s="20" t="s">
        <v>291</v>
      </c>
      <c r="E6643" s="20" t="s">
        <v>2361</v>
      </c>
      <c r="F6643" s="20" t="s">
        <v>240</v>
      </c>
      <c r="G6643" s="20" t="s">
        <v>82</v>
      </c>
      <c r="H6643" s="20" t="s">
        <v>83</v>
      </c>
      <c r="I6643" s="20"/>
      <c r="J6643" s="20" t="s">
        <v>211</v>
      </c>
      <c r="K6643" s="20" t="s">
        <v>250</v>
      </c>
      <c r="L6643" s="20">
        <v>13800000</v>
      </c>
      <c r="M6643" s="20" t="s">
        <v>242</v>
      </c>
      <c r="N6643" s="20" t="s">
        <v>4091</v>
      </c>
    </row>
    <row r="6644" spans="1:14" hidden="1" x14ac:dyDescent="0.25">
      <c r="A6644" s="19">
        <v>46204</v>
      </c>
      <c r="B6644" s="20" t="s">
        <v>97</v>
      </c>
      <c r="C6644" s="20">
        <v>33</v>
      </c>
      <c r="D6644" s="20" t="s">
        <v>291</v>
      </c>
      <c r="E6644" s="20" t="s">
        <v>2361</v>
      </c>
      <c r="F6644" s="20" t="s">
        <v>240</v>
      </c>
      <c r="G6644" s="20" t="s">
        <v>82</v>
      </c>
      <c r="H6644" s="20" t="s">
        <v>84</v>
      </c>
      <c r="I6644" s="20"/>
      <c r="J6644" s="20" t="s">
        <v>211</v>
      </c>
      <c r="K6644" s="20" t="s">
        <v>250</v>
      </c>
      <c r="L6644" s="20">
        <v>3000000</v>
      </c>
      <c r="M6644" s="20" t="s">
        <v>242</v>
      </c>
      <c r="N6644" s="20" t="s">
        <v>3916</v>
      </c>
    </row>
    <row r="6645" spans="1:14" hidden="1" x14ac:dyDescent="0.25">
      <c r="A6645" s="19">
        <v>46204</v>
      </c>
      <c r="B6645" s="20" t="s">
        <v>97</v>
      </c>
      <c r="C6645" s="20">
        <v>33</v>
      </c>
      <c r="D6645" s="20" t="s">
        <v>291</v>
      </c>
      <c r="E6645" s="20" t="s">
        <v>2361</v>
      </c>
      <c r="F6645" s="20" t="s">
        <v>240</v>
      </c>
      <c r="G6645" s="20" t="s">
        <v>82</v>
      </c>
      <c r="H6645" s="20" t="s">
        <v>106</v>
      </c>
      <c r="I6645" s="20"/>
      <c r="J6645" s="20" t="s">
        <v>211</v>
      </c>
      <c r="K6645" s="20" t="s">
        <v>250</v>
      </c>
      <c r="L6645" s="20">
        <v>64800</v>
      </c>
      <c r="M6645" s="20" t="s">
        <v>242</v>
      </c>
      <c r="N6645" s="20" t="s">
        <v>4092</v>
      </c>
    </row>
    <row r="6646" spans="1:14" hidden="1" x14ac:dyDescent="0.25">
      <c r="A6646" s="19">
        <v>46204</v>
      </c>
      <c r="B6646" s="20" t="s">
        <v>97</v>
      </c>
      <c r="C6646" s="20">
        <v>33</v>
      </c>
      <c r="D6646" s="20" t="s">
        <v>291</v>
      </c>
      <c r="E6646" s="20" t="s">
        <v>2361</v>
      </c>
      <c r="F6646" s="20" t="s">
        <v>240</v>
      </c>
      <c r="G6646" s="20" t="s">
        <v>82</v>
      </c>
      <c r="H6646" s="20" t="s">
        <v>105</v>
      </c>
      <c r="I6646" s="20"/>
      <c r="J6646" s="20" t="s">
        <v>211</v>
      </c>
      <c r="K6646" s="20" t="s">
        <v>250</v>
      </c>
      <c r="L6646" s="20">
        <v>20300</v>
      </c>
      <c r="M6646" s="20" t="s">
        <v>242</v>
      </c>
      <c r="N6646" s="20" t="s">
        <v>4093</v>
      </c>
    </row>
    <row r="6647" spans="1:14" hidden="1" x14ac:dyDescent="0.25">
      <c r="A6647" s="19">
        <v>46204</v>
      </c>
      <c r="B6647" s="20" t="s">
        <v>97</v>
      </c>
      <c r="C6647" s="20">
        <v>34</v>
      </c>
      <c r="D6647" s="20" t="s">
        <v>291</v>
      </c>
      <c r="E6647" s="20" t="s">
        <v>2361</v>
      </c>
      <c r="F6647" s="20" t="s">
        <v>240</v>
      </c>
      <c r="G6647" s="20" t="s">
        <v>82</v>
      </c>
      <c r="H6647" s="20" t="s">
        <v>83</v>
      </c>
      <c r="I6647" s="20" t="s">
        <v>315</v>
      </c>
      <c r="J6647" s="20" t="s">
        <v>211</v>
      </c>
      <c r="K6647" s="20" t="s">
        <v>250</v>
      </c>
      <c r="L6647" s="20"/>
      <c r="M6647" s="20" t="s">
        <v>251</v>
      </c>
      <c r="N6647" s="20" t="s">
        <v>4094</v>
      </c>
    </row>
    <row r="6648" spans="1:14" hidden="1" x14ac:dyDescent="0.25">
      <c r="A6648" s="19">
        <v>46204</v>
      </c>
      <c r="B6648" s="20" t="s">
        <v>97</v>
      </c>
      <c r="C6648" s="20">
        <v>34</v>
      </c>
      <c r="D6648" s="20" t="s">
        <v>291</v>
      </c>
      <c r="E6648" s="20" t="s">
        <v>2361</v>
      </c>
      <c r="F6648" s="20" t="s">
        <v>240</v>
      </c>
      <c r="G6648" s="20" t="s">
        <v>82</v>
      </c>
      <c r="H6648" s="20" t="s">
        <v>83</v>
      </c>
      <c r="I6648" s="20" t="s">
        <v>317</v>
      </c>
      <c r="J6648" s="20" t="s">
        <v>211</v>
      </c>
      <c r="K6648" s="20" t="s">
        <v>250</v>
      </c>
      <c r="L6648" s="20"/>
      <c r="M6648" s="20" t="s">
        <v>251</v>
      </c>
      <c r="N6648" s="20" t="s">
        <v>4095</v>
      </c>
    </row>
    <row r="6649" spans="1:14" hidden="1" x14ac:dyDescent="0.25">
      <c r="A6649" s="19">
        <v>46204</v>
      </c>
      <c r="B6649" s="20" t="s">
        <v>97</v>
      </c>
      <c r="C6649" s="20">
        <v>34</v>
      </c>
      <c r="D6649" s="20" t="s">
        <v>291</v>
      </c>
      <c r="E6649" s="20" t="s">
        <v>2361</v>
      </c>
      <c r="F6649" s="20" t="s">
        <v>240</v>
      </c>
      <c r="G6649" s="20" t="s">
        <v>82</v>
      </c>
      <c r="H6649" s="20" t="s">
        <v>83</v>
      </c>
      <c r="I6649" s="20" t="s">
        <v>2785</v>
      </c>
      <c r="J6649" s="20" t="s">
        <v>211</v>
      </c>
      <c r="K6649" s="20" t="s">
        <v>250</v>
      </c>
      <c r="L6649" s="20"/>
      <c r="M6649" s="20" t="s">
        <v>251</v>
      </c>
      <c r="N6649" s="20" t="s">
        <v>4096</v>
      </c>
    </row>
    <row r="6650" spans="1:14" hidden="1" x14ac:dyDescent="0.25">
      <c r="A6650" s="19">
        <v>46204</v>
      </c>
      <c r="B6650" s="20" t="s">
        <v>97</v>
      </c>
      <c r="C6650" s="20">
        <v>34</v>
      </c>
      <c r="D6650" s="20" t="s">
        <v>291</v>
      </c>
      <c r="E6650" s="20" t="s">
        <v>2361</v>
      </c>
      <c r="F6650" s="20" t="s">
        <v>240</v>
      </c>
      <c r="G6650" s="20" t="s">
        <v>82</v>
      </c>
      <c r="H6650" s="20" t="s">
        <v>83</v>
      </c>
      <c r="I6650" s="20" t="s">
        <v>497</v>
      </c>
      <c r="J6650" s="20" t="s">
        <v>211</v>
      </c>
      <c r="K6650" s="20" t="s">
        <v>250</v>
      </c>
      <c r="L6650" s="20"/>
      <c r="M6650" s="20" t="s">
        <v>251</v>
      </c>
      <c r="N6650" s="20" t="s">
        <v>710</v>
      </c>
    </row>
    <row r="6651" spans="1:14" hidden="1" x14ac:dyDescent="0.25">
      <c r="A6651" s="19">
        <v>46204</v>
      </c>
      <c r="B6651" s="20" t="s">
        <v>97</v>
      </c>
      <c r="C6651" s="20">
        <v>34</v>
      </c>
      <c r="D6651" s="20" t="s">
        <v>291</v>
      </c>
      <c r="E6651" s="20" t="s">
        <v>2361</v>
      </c>
      <c r="F6651" s="20" t="s">
        <v>240</v>
      </c>
      <c r="G6651" s="20" t="s">
        <v>82</v>
      </c>
      <c r="H6651" s="20" t="s">
        <v>83</v>
      </c>
      <c r="I6651" s="20" t="s">
        <v>503</v>
      </c>
      <c r="J6651" s="20" t="s">
        <v>211</v>
      </c>
      <c r="K6651" s="20" t="s">
        <v>250</v>
      </c>
      <c r="L6651" s="20"/>
      <c r="M6651" s="20" t="s">
        <v>251</v>
      </c>
      <c r="N6651" s="20" t="s">
        <v>4097</v>
      </c>
    </row>
    <row r="6652" spans="1:14" hidden="1" x14ac:dyDescent="0.25">
      <c r="A6652" s="19">
        <v>46204</v>
      </c>
      <c r="B6652" s="20" t="s">
        <v>97</v>
      </c>
      <c r="C6652" s="20">
        <v>34</v>
      </c>
      <c r="D6652" s="20" t="s">
        <v>291</v>
      </c>
      <c r="E6652" s="20" t="s">
        <v>2361</v>
      </c>
      <c r="F6652" s="20" t="s">
        <v>240</v>
      </c>
      <c r="G6652" s="20" t="s">
        <v>82</v>
      </c>
      <c r="H6652" s="20" t="s">
        <v>83</v>
      </c>
      <c r="I6652" s="20" t="s">
        <v>2413</v>
      </c>
      <c r="J6652" s="20" t="s">
        <v>211</v>
      </c>
      <c r="K6652" s="20" t="s">
        <v>250</v>
      </c>
      <c r="L6652" s="20"/>
      <c r="M6652" s="20" t="s">
        <v>251</v>
      </c>
      <c r="N6652" s="20" t="s">
        <v>333</v>
      </c>
    </row>
    <row r="6653" spans="1:14" hidden="1" x14ac:dyDescent="0.25">
      <c r="A6653" s="19">
        <v>46204</v>
      </c>
      <c r="B6653" s="20" t="s">
        <v>97</v>
      </c>
      <c r="C6653" s="20">
        <v>34</v>
      </c>
      <c r="D6653" s="20" t="s">
        <v>291</v>
      </c>
      <c r="E6653" s="20" t="s">
        <v>2361</v>
      </c>
      <c r="F6653" s="20" t="s">
        <v>240</v>
      </c>
      <c r="G6653" s="20" t="s">
        <v>82</v>
      </c>
      <c r="H6653" s="20" t="s">
        <v>83</v>
      </c>
      <c r="I6653" s="20" t="s">
        <v>2414</v>
      </c>
      <c r="J6653" s="20" t="s">
        <v>211</v>
      </c>
      <c r="K6653" s="20" t="s">
        <v>250</v>
      </c>
      <c r="L6653" s="20"/>
      <c r="M6653" s="20" t="s">
        <v>251</v>
      </c>
      <c r="N6653" s="20" t="s">
        <v>500</v>
      </c>
    </row>
    <row r="6654" spans="1:14" hidden="1" x14ac:dyDescent="0.25">
      <c r="A6654" s="19">
        <v>46204</v>
      </c>
      <c r="B6654" s="20" t="s">
        <v>97</v>
      </c>
      <c r="C6654" s="20">
        <v>34</v>
      </c>
      <c r="D6654" s="20" t="s">
        <v>291</v>
      </c>
      <c r="E6654" s="20" t="s">
        <v>2361</v>
      </c>
      <c r="F6654" s="20" t="s">
        <v>240</v>
      </c>
      <c r="G6654" s="20" t="s">
        <v>82</v>
      </c>
      <c r="H6654" s="20" t="s">
        <v>84</v>
      </c>
      <c r="I6654" s="20" t="s">
        <v>319</v>
      </c>
      <c r="J6654" s="20" t="s">
        <v>211</v>
      </c>
      <c r="K6654" s="20" t="s">
        <v>250</v>
      </c>
      <c r="L6654" s="20"/>
      <c r="M6654" s="20" t="s">
        <v>251</v>
      </c>
      <c r="N6654" s="20" t="s">
        <v>4098</v>
      </c>
    </row>
    <row r="6655" spans="1:14" hidden="1" x14ac:dyDescent="0.25">
      <c r="A6655" s="19">
        <v>46204</v>
      </c>
      <c r="B6655" s="20" t="s">
        <v>97</v>
      </c>
      <c r="C6655" s="20">
        <v>34</v>
      </c>
      <c r="D6655" s="20" t="s">
        <v>291</v>
      </c>
      <c r="E6655" s="20" t="s">
        <v>2361</v>
      </c>
      <c r="F6655" s="20" t="s">
        <v>240</v>
      </c>
      <c r="G6655" s="20" t="s">
        <v>82</v>
      </c>
      <c r="H6655" s="20" t="s">
        <v>84</v>
      </c>
      <c r="I6655" s="20" t="s">
        <v>321</v>
      </c>
      <c r="J6655" s="20" t="s">
        <v>211</v>
      </c>
      <c r="K6655" s="20" t="s">
        <v>250</v>
      </c>
      <c r="L6655" s="20"/>
      <c r="M6655" s="20" t="s">
        <v>251</v>
      </c>
      <c r="N6655" s="20" t="s">
        <v>4099</v>
      </c>
    </row>
    <row r="6656" spans="1:14" hidden="1" x14ac:dyDescent="0.25">
      <c r="A6656" s="19">
        <v>46204</v>
      </c>
      <c r="B6656" s="20" t="s">
        <v>97</v>
      </c>
      <c r="C6656" s="20">
        <v>34</v>
      </c>
      <c r="D6656" s="20" t="s">
        <v>291</v>
      </c>
      <c r="E6656" s="20" t="s">
        <v>2361</v>
      </c>
      <c r="F6656" s="20" t="s">
        <v>240</v>
      </c>
      <c r="G6656" s="20" t="s">
        <v>82</v>
      </c>
      <c r="H6656" s="20" t="s">
        <v>106</v>
      </c>
      <c r="I6656" s="20" t="s">
        <v>493</v>
      </c>
      <c r="J6656" s="20" t="s">
        <v>211</v>
      </c>
      <c r="K6656" s="20" t="s">
        <v>250</v>
      </c>
      <c r="L6656" s="20"/>
      <c r="M6656" s="20" t="s">
        <v>251</v>
      </c>
      <c r="N6656" s="20" t="s">
        <v>4100</v>
      </c>
    </row>
    <row r="6657" spans="1:14" hidden="1" x14ac:dyDescent="0.25">
      <c r="A6657" s="19">
        <v>46204</v>
      </c>
      <c r="B6657" s="20" t="s">
        <v>97</v>
      </c>
      <c r="C6657" s="20">
        <v>34</v>
      </c>
      <c r="D6657" s="20" t="s">
        <v>291</v>
      </c>
      <c r="E6657" s="20" t="s">
        <v>2361</v>
      </c>
      <c r="F6657" s="20" t="s">
        <v>240</v>
      </c>
      <c r="G6657" s="20" t="s">
        <v>82</v>
      </c>
      <c r="H6657" s="20" t="s">
        <v>106</v>
      </c>
      <c r="I6657" s="20" t="s">
        <v>491</v>
      </c>
      <c r="J6657" s="20" t="s">
        <v>211</v>
      </c>
      <c r="K6657" s="20" t="s">
        <v>250</v>
      </c>
      <c r="L6657" s="20"/>
      <c r="M6657" s="20" t="s">
        <v>251</v>
      </c>
      <c r="N6657" s="20" t="s">
        <v>4101</v>
      </c>
    </row>
    <row r="6658" spans="1:14" hidden="1" x14ac:dyDescent="0.25">
      <c r="A6658" s="19">
        <v>46204</v>
      </c>
      <c r="B6658" s="20" t="s">
        <v>97</v>
      </c>
      <c r="C6658" s="20">
        <v>34</v>
      </c>
      <c r="D6658" s="20" t="s">
        <v>291</v>
      </c>
      <c r="E6658" s="20" t="s">
        <v>2361</v>
      </c>
      <c r="F6658" s="20" t="s">
        <v>240</v>
      </c>
      <c r="G6658" s="20" t="s">
        <v>82</v>
      </c>
      <c r="H6658" s="20" t="s">
        <v>105</v>
      </c>
      <c r="I6658" s="20" t="s">
        <v>493</v>
      </c>
      <c r="J6658" s="20" t="s">
        <v>211</v>
      </c>
      <c r="K6658" s="20" t="s">
        <v>250</v>
      </c>
      <c r="L6658" s="20"/>
      <c r="M6658" s="20" t="s">
        <v>251</v>
      </c>
      <c r="N6658" s="20" t="s">
        <v>4102</v>
      </c>
    </row>
    <row r="6659" spans="1:14" hidden="1" x14ac:dyDescent="0.25">
      <c r="A6659" s="19">
        <v>46204</v>
      </c>
      <c r="B6659" s="20" t="s">
        <v>97</v>
      </c>
      <c r="C6659" s="20">
        <v>34</v>
      </c>
      <c r="D6659" s="20" t="s">
        <v>291</v>
      </c>
      <c r="E6659" s="20" t="s">
        <v>2361</v>
      </c>
      <c r="F6659" s="20" t="s">
        <v>240</v>
      </c>
      <c r="G6659" s="20" t="s">
        <v>82</v>
      </c>
      <c r="H6659" s="20" t="s">
        <v>105</v>
      </c>
      <c r="I6659" s="20" t="s">
        <v>491</v>
      </c>
      <c r="J6659" s="20" t="s">
        <v>211</v>
      </c>
      <c r="K6659" s="20" t="s">
        <v>250</v>
      </c>
      <c r="L6659" s="20"/>
      <c r="M6659" s="20" t="s">
        <v>251</v>
      </c>
      <c r="N6659" s="20" t="s">
        <v>4103</v>
      </c>
    </row>
    <row r="6660" spans="1:14" hidden="1" x14ac:dyDescent="0.25">
      <c r="A6660" s="19">
        <v>46204</v>
      </c>
      <c r="B6660" s="20" t="s">
        <v>97</v>
      </c>
      <c r="C6660" s="20">
        <v>35</v>
      </c>
      <c r="D6660" s="20" t="s">
        <v>253</v>
      </c>
      <c r="E6660" s="20" t="s">
        <v>2359</v>
      </c>
      <c r="F6660" s="20" t="s">
        <v>244</v>
      </c>
      <c r="G6660" s="20" t="s">
        <v>82</v>
      </c>
      <c r="H6660" s="20"/>
      <c r="I6660" s="20"/>
      <c r="J6660" s="20" t="s">
        <v>209</v>
      </c>
      <c r="K6660" s="20" t="s">
        <v>255</v>
      </c>
      <c r="L6660" s="20">
        <v>698000000</v>
      </c>
      <c r="M6660" s="20" t="s">
        <v>245</v>
      </c>
      <c r="N6660" s="20" t="s">
        <v>3825</v>
      </c>
    </row>
    <row r="6661" spans="1:14" hidden="1" x14ac:dyDescent="0.25">
      <c r="A6661" s="19">
        <v>46204</v>
      </c>
      <c r="B6661" s="20" t="s">
        <v>97</v>
      </c>
      <c r="C6661" s="20">
        <v>35</v>
      </c>
      <c r="D6661" s="20" t="s">
        <v>253</v>
      </c>
      <c r="E6661" s="20" t="s">
        <v>2359</v>
      </c>
      <c r="F6661" s="20" t="s">
        <v>244</v>
      </c>
      <c r="G6661" s="20" t="s">
        <v>82</v>
      </c>
      <c r="H6661" s="20"/>
      <c r="I6661" s="20"/>
      <c r="J6661" s="20" t="s">
        <v>210</v>
      </c>
      <c r="K6661" s="20" t="s">
        <v>255</v>
      </c>
      <c r="L6661" s="20">
        <v>671000000</v>
      </c>
      <c r="M6661" s="20" t="s">
        <v>245</v>
      </c>
      <c r="N6661" s="20" t="s">
        <v>3971</v>
      </c>
    </row>
    <row r="6662" spans="1:14" hidden="1" x14ac:dyDescent="0.25">
      <c r="A6662" s="19">
        <v>46204</v>
      </c>
      <c r="B6662" s="20" t="s">
        <v>97</v>
      </c>
      <c r="C6662" s="20">
        <v>35</v>
      </c>
      <c r="D6662" s="20" t="s">
        <v>253</v>
      </c>
      <c r="E6662" s="20" t="s">
        <v>2359</v>
      </c>
      <c r="F6662" s="20" t="s">
        <v>244</v>
      </c>
      <c r="G6662" s="20" t="s">
        <v>82</v>
      </c>
      <c r="H6662" s="20"/>
      <c r="I6662" s="20"/>
      <c r="J6662" s="20" t="s">
        <v>211</v>
      </c>
      <c r="K6662" s="20" t="s">
        <v>255</v>
      </c>
      <c r="L6662" s="20">
        <v>752000000</v>
      </c>
      <c r="M6662" s="20" t="s">
        <v>245</v>
      </c>
      <c r="N6662" s="20" t="s">
        <v>4104</v>
      </c>
    </row>
    <row r="6663" spans="1:14" hidden="1" x14ac:dyDescent="0.25">
      <c r="A6663" s="19">
        <v>46204</v>
      </c>
      <c r="B6663" s="20" t="s">
        <v>97</v>
      </c>
      <c r="C6663" s="20">
        <v>35</v>
      </c>
      <c r="D6663" s="20" t="s">
        <v>247</v>
      </c>
      <c r="E6663" s="20" t="s">
        <v>2554</v>
      </c>
      <c r="F6663" s="20" t="s">
        <v>2557</v>
      </c>
      <c r="G6663" s="20" t="s">
        <v>82</v>
      </c>
      <c r="H6663" s="20" t="s">
        <v>286</v>
      </c>
      <c r="I6663" s="20"/>
      <c r="J6663" s="20" t="s">
        <v>211</v>
      </c>
      <c r="K6663" s="20" t="s">
        <v>250</v>
      </c>
      <c r="L6663" s="20">
        <v>12</v>
      </c>
      <c r="M6663" s="20" t="s">
        <v>251</v>
      </c>
      <c r="N6663" s="20" t="s">
        <v>1702</v>
      </c>
    </row>
    <row r="6664" spans="1:14" hidden="1" x14ac:dyDescent="0.25">
      <c r="A6664" s="19">
        <v>46204</v>
      </c>
      <c r="B6664" s="20" t="s">
        <v>97</v>
      </c>
      <c r="C6664" s="20">
        <v>36</v>
      </c>
      <c r="D6664" s="20" t="s">
        <v>291</v>
      </c>
      <c r="E6664" s="20" t="s">
        <v>2361</v>
      </c>
      <c r="F6664" s="20" t="s">
        <v>244</v>
      </c>
      <c r="G6664" s="20" t="s">
        <v>82</v>
      </c>
      <c r="H6664" s="20" t="s">
        <v>83</v>
      </c>
      <c r="I6664" s="20"/>
      <c r="J6664" s="20" t="s">
        <v>211</v>
      </c>
      <c r="K6664" s="20" t="s">
        <v>250</v>
      </c>
      <c r="L6664" s="20">
        <v>568610000</v>
      </c>
      <c r="M6664" s="20" t="s">
        <v>245</v>
      </c>
      <c r="N6664" s="20" t="s">
        <v>4105</v>
      </c>
    </row>
    <row r="6665" spans="1:14" hidden="1" x14ac:dyDescent="0.25">
      <c r="A6665" s="19">
        <v>46204</v>
      </c>
      <c r="B6665" s="20" t="s">
        <v>97</v>
      </c>
      <c r="C6665" s="20">
        <v>36</v>
      </c>
      <c r="D6665" s="20" t="s">
        <v>291</v>
      </c>
      <c r="E6665" s="20" t="s">
        <v>2361</v>
      </c>
      <c r="F6665" s="20" t="s">
        <v>244</v>
      </c>
      <c r="G6665" s="20" t="s">
        <v>82</v>
      </c>
      <c r="H6665" s="20" t="s">
        <v>84</v>
      </c>
      <c r="I6665" s="20"/>
      <c r="J6665" s="20" t="s">
        <v>211</v>
      </c>
      <c r="K6665" s="20" t="s">
        <v>250</v>
      </c>
      <c r="L6665" s="20">
        <v>169550000</v>
      </c>
      <c r="M6665" s="20" t="s">
        <v>245</v>
      </c>
      <c r="N6665" s="20" t="s">
        <v>4106</v>
      </c>
    </row>
    <row r="6666" spans="1:14" hidden="1" x14ac:dyDescent="0.25">
      <c r="A6666" s="19">
        <v>46204</v>
      </c>
      <c r="B6666" s="20" t="s">
        <v>97</v>
      </c>
      <c r="C6666" s="20">
        <v>36</v>
      </c>
      <c r="D6666" s="20" t="s">
        <v>291</v>
      </c>
      <c r="E6666" s="20" t="s">
        <v>2361</v>
      </c>
      <c r="F6666" s="20" t="s">
        <v>244</v>
      </c>
      <c r="G6666" s="20" t="s">
        <v>82</v>
      </c>
      <c r="H6666" s="20" t="s">
        <v>106</v>
      </c>
      <c r="I6666" s="20"/>
      <c r="J6666" s="20" t="s">
        <v>211</v>
      </c>
      <c r="K6666" s="20" t="s">
        <v>250</v>
      </c>
      <c r="L6666" s="20">
        <v>9730000</v>
      </c>
      <c r="M6666" s="20" t="s">
        <v>245</v>
      </c>
      <c r="N6666" s="20" t="s">
        <v>4107</v>
      </c>
    </row>
    <row r="6667" spans="1:14" hidden="1" x14ac:dyDescent="0.25">
      <c r="A6667" s="19">
        <v>46204</v>
      </c>
      <c r="B6667" s="20" t="s">
        <v>97</v>
      </c>
      <c r="C6667" s="20">
        <v>36</v>
      </c>
      <c r="D6667" s="20" t="s">
        <v>291</v>
      </c>
      <c r="E6667" s="20" t="s">
        <v>2361</v>
      </c>
      <c r="F6667" s="20" t="s">
        <v>244</v>
      </c>
      <c r="G6667" s="20" t="s">
        <v>82</v>
      </c>
      <c r="H6667" s="20" t="s">
        <v>105</v>
      </c>
      <c r="I6667" s="20"/>
      <c r="J6667" s="20" t="s">
        <v>211</v>
      </c>
      <c r="K6667" s="20" t="s">
        <v>250</v>
      </c>
      <c r="L6667" s="20">
        <v>3830000</v>
      </c>
      <c r="M6667" s="20" t="s">
        <v>245</v>
      </c>
      <c r="N6667" s="20" t="s">
        <v>3112</v>
      </c>
    </row>
    <row r="6668" spans="1:14" hidden="1" x14ac:dyDescent="0.25">
      <c r="A6668" s="19">
        <v>46204</v>
      </c>
      <c r="B6668" s="20" t="s">
        <v>97</v>
      </c>
      <c r="C6668" s="20">
        <v>37</v>
      </c>
      <c r="D6668" s="20" t="s">
        <v>291</v>
      </c>
      <c r="E6668" s="20" t="s">
        <v>2361</v>
      </c>
      <c r="F6668" s="20" t="s">
        <v>244</v>
      </c>
      <c r="G6668" s="20" t="s">
        <v>82</v>
      </c>
      <c r="H6668" s="20" t="s">
        <v>83</v>
      </c>
      <c r="I6668" s="20" t="s">
        <v>315</v>
      </c>
      <c r="J6668" s="20" t="s">
        <v>211</v>
      </c>
      <c r="K6668" s="20" t="s">
        <v>250</v>
      </c>
      <c r="L6668" s="20"/>
      <c r="M6668" s="20" t="s">
        <v>251</v>
      </c>
      <c r="N6668" s="20" t="s">
        <v>4108</v>
      </c>
    </row>
    <row r="6669" spans="1:14" hidden="1" x14ac:dyDescent="0.25">
      <c r="A6669" s="19">
        <v>46204</v>
      </c>
      <c r="B6669" s="20" t="s">
        <v>97</v>
      </c>
      <c r="C6669" s="20">
        <v>37</v>
      </c>
      <c r="D6669" s="20" t="s">
        <v>291</v>
      </c>
      <c r="E6669" s="20" t="s">
        <v>2361</v>
      </c>
      <c r="F6669" s="20" t="s">
        <v>244</v>
      </c>
      <c r="G6669" s="20" t="s">
        <v>82</v>
      </c>
      <c r="H6669" s="20" t="s">
        <v>83</v>
      </c>
      <c r="I6669" s="20" t="s">
        <v>317</v>
      </c>
      <c r="J6669" s="20" t="s">
        <v>211</v>
      </c>
      <c r="K6669" s="20" t="s">
        <v>250</v>
      </c>
      <c r="L6669" s="20"/>
      <c r="M6669" s="20" t="s">
        <v>251</v>
      </c>
      <c r="N6669" s="20" t="s">
        <v>4109</v>
      </c>
    </row>
    <row r="6670" spans="1:14" hidden="1" x14ac:dyDescent="0.25">
      <c r="A6670" s="19">
        <v>46204</v>
      </c>
      <c r="B6670" s="20" t="s">
        <v>97</v>
      </c>
      <c r="C6670" s="20">
        <v>37</v>
      </c>
      <c r="D6670" s="20" t="s">
        <v>291</v>
      </c>
      <c r="E6670" s="20" t="s">
        <v>2361</v>
      </c>
      <c r="F6670" s="20" t="s">
        <v>244</v>
      </c>
      <c r="G6670" s="20" t="s">
        <v>82</v>
      </c>
      <c r="H6670" s="20" t="s">
        <v>83</v>
      </c>
      <c r="I6670" s="20" t="s">
        <v>2785</v>
      </c>
      <c r="J6670" s="20" t="s">
        <v>211</v>
      </c>
      <c r="K6670" s="20" t="s">
        <v>250</v>
      </c>
      <c r="L6670" s="20"/>
      <c r="M6670" s="20" t="s">
        <v>251</v>
      </c>
      <c r="N6670" s="20" t="s">
        <v>4110</v>
      </c>
    </row>
    <row r="6671" spans="1:14" hidden="1" x14ac:dyDescent="0.25">
      <c r="A6671" s="19">
        <v>46204</v>
      </c>
      <c r="B6671" s="20" t="s">
        <v>97</v>
      </c>
      <c r="C6671" s="20">
        <v>37</v>
      </c>
      <c r="D6671" s="20" t="s">
        <v>291</v>
      </c>
      <c r="E6671" s="20" t="s">
        <v>2361</v>
      </c>
      <c r="F6671" s="20" t="s">
        <v>244</v>
      </c>
      <c r="G6671" s="20" t="s">
        <v>82</v>
      </c>
      <c r="H6671" s="20" t="s">
        <v>83</v>
      </c>
      <c r="I6671" s="20" t="s">
        <v>497</v>
      </c>
      <c r="J6671" s="20" t="s">
        <v>211</v>
      </c>
      <c r="K6671" s="20" t="s">
        <v>250</v>
      </c>
      <c r="L6671" s="20"/>
      <c r="M6671" s="20" t="s">
        <v>251</v>
      </c>
      <c r="N6671" s="20" t="s">
        <v>4111</v>
      </c>
    </row>
    <row r="6672" spans="1:14" hidden="1" x14ac:dyDescent="0.25">
      <c r="A6672" s="19">
        <v>46204</v>
      </c>
      <c r="B6672" s="20" t="s">
        <v>97</v>
      </c>
      <c r="C6672" s="20">
        <v>37</v>
      </c>
      <c r="D6672" s="20" t="s">
        <v>291</v>
      </c>
      <c r="E6672" s="20" t="s">
        <v>2361</v>
      </c>
      <c r="F6672" s="20" t="s">
        <v>244</v>
      </c>
      <c r="G6672" s="20" t="s">
        <v>82</v>
      </c>
      <c r="H6672" s="20" t="s">
        <v>83</v>
      </c>
      <c r="I6672" s="20" t="s">
        <v>503</v>
      </c>
      <c r="J6672" s="20" t="s">
        <v>211</v>
      </c>
      <c r="K6672" s="20" t="s">
        <v>250</v>
      </c>
      <c r="L6672" s="20"/>
      <c r="M6672" s="20" t="s">
        <v>251</v>
      </c>
      <c r="N6672" s="20" t="s">
        <v>2302</v>
      </c>
    </row>
    <row r="6673" spans="1:14" hidden="1" x14ac:dyDescent="0.25">
      <c r="A6673" s="19">
        <v>46204</v>
      </c>
      <c r="B6673" s="20" t="s">
        <v>97</v>
      </c>
      <c r="C6673" s="20">
        <v>37</v>
      </c>
      <c r="D6673" s="20" t="s">
        <v>291</v>
      </c>
      <c r="E6673" s="20" t="s">
        <v>2361</v>
      </c>
      <c r="F6673" s="20" t="s">
        <v>244</v>
      </c>
      <c r="G6673" s="20" t="s">
        <v>82</v>
      </c>
      <c r="H6673" s="20" t="s">
        <v>83</v>
      </c>
      <c r="I6673" s="20" t="s">
        <v>2413</v>
      </c>
      <c r="J6673" s="20" t="s">
        <v>211</v>
      </c>
      <c r="K6673" s="20" t="s">
        <v>250</v>
      </c>
      <c r="L6673" s="20"/>
      <c r="M6673" s="20" t="s">
        <v>251</v>
      </c>
      <c r="N6673" s="20" t="s">
        <v>1459</v>
      </c>
    </row>
    <row r="6674" spans="1:14" hidden="1" x14ac:dyDescent="0.25">
      <c r="A6674" s="19">
        <v>46204</v>
      </c>
      <c r="B6674" s="20" t="s">
        <v>97</v>
      </c>
      <c r="C6674" s="20">
        <v>37</v>
      </c>
      <c r="D6674" s="20" t="s">
        <v>291</v>
      </c>
      <c r="E6674" s="20" t="s">
        <v>2361</v>
      </c>
      <c r="F6674" s="20" t="s">
        <v>244</v>
      </c>
      <c r="G6674" s="20" t="s">
        <v>82</v>
      </c>
      <c r="H6674" s="20" t="s">
        <v>83</v>
      </c>
      <c r="I6674" s="20" t="s">
        <v>2414</v>
      </c>
      <c r="J6674" s="20" t="s">
        <v>211</v>
      </c>
      <c r="K6674" s="20" t="s">
        <v>250</v>
      </c>
      <c r="L6674" s="20"/>
      <c r="M6674" s="20" t="s">
        <v>251</v>
      </c>
      <c r="N6674" s="20" t="s">
        <v>522</v>
      </c>
    </row>
    <row r="6675" spans="1:14" hidden="1" x14ac:dyDescent="0.25">
      <c r="A6675" s="19">
        <v>46204</v>
      </c>
      <c r="B6675" s="20" t="s">
        <v>97</v>
      </c>
      <c r="C6675" s="20">
        <v>37</v>
      </c>
      <c r="D6675" s="20" t="s">
        <v>291</v>
      </c>
      <c r="E6675" s="20" t="s">
        <v>2361</v>
      </c>
      <c r="F6675" s="20" t="s">
        <v>244</v>
      </c>
      <c r="G6675" s="20" t="s">
        <v>82</v>
      </c>
      <c r="H6675" s="20" t="s">
        <v>84</v>
      </c>
      <c r="I6675" s="20" t="s">
        <v>319</v>
      </c>
      <c r="J6675" s="20" t="s">
        <v>211</v>
      </c>
      <c r="K6675" s="20" t="s">
        <v>250</v>
      </c>
      <c r="L6675" s="20"/>
      <c r="M6675" s="20" t="s">
        <v>251</v>
      </c>
      <c r="N6675" s="20" t="s">
        <v>4112</v>
      </c>
    </row>
    <row r="6676" spans="1:14" hidden="1" x14ac:dyDescent="0.25">
      <c r="A6676" s="19">
        <v>46204</v>
      </c>
      <c r="B6676" s="20" t="s">
        <v>97</v>
      </c>
      <c r="C6676" s="20">
        <v>37</v>
      </c>
      <c r="D6676" s="20" t="s">
        <v>291</v>
      </c>
      <c r="E6676" s="20" t="s">
        <v>2361</v>
      </c>
      <c r="F6676" s="20" t="s">
        <v>244</v>
      </c>
      <c r="G6676" s="20" t="s">
        <v>82</v>
      </c>
      <c r="H6676" s="20" t="s">
        <v>84</v>
      </c>
      <c r="I6676" s="20" t="s">
        <v>321</v>
      </c>
      <c r="J6676" s="20" t="s">
        <v>211</v>
      </c>
      <c r="K6676" s="20" t="s">
        <v>250</v>
      </c>
      <c r="L6676" s="20"/>
      <c r="M6676" s="20" t="s">
        <v>251</v>
      </c>
      <c r="N6676" s="20" t="s">
        <v>4113</v>
      </c>
    </row>
    <row r="6677" spans="1:14" hidden="1" x14ac:dyDescent="0.25">
      <c r="A6677" s="19">
        <v>46204</v>
      </c>
      <c r="B6677" s="20" t="s">
        <v>97</v>
      </c>
      <c r="C6677" s="20">
        <v>37</v>
      </c>
      <c r="D6677" s="20" t="s">
        <v>291</v>
      </c>
      <c r="E6677" s="20" t="s">
        <v>2361</v>
      </c>
      <c r="F6677" s="20" t="s">
        <v>244</v>
      </c>
      <c r="G6677" s="20" t="s">
        <v>82</v>
      </c>
      <c r="H6677" s="20" t="s">
        <v>106</v>
      </c>
      <c r="I6677" s="20" t="s">
        <v>493</v>
      </c>
      <c r="J6677" s="20" t="s">
        <v>211</v>
      </c>
      <c r="K6677" s="20" t="s">
        <v>250</v>
      </c>
      <c r="L6677" s="20"/>
      <c r="M6677" s="20" t="s">
        <v>251</v>
      </c>
      <c r="N6677" s="20" t="s">
        <v>4114</v>
      </c>
    </row>
    <row r="6678" spans="1:14" hidden="1" x14ac:dyDescent="0.25">
      <c r="A6678" s="19">
        <v>46204</v>
      </c>
      <c r="B6678" s="20" t="s">
        <v>97</v>
      </c>
      <c r="C6678" s="20">
        <v>37</v>
      </c>
      <c r="D6678" s="20" t="s">
        <v>291</v>
      </c>
      <c r="E6678" s="20" t="s">
        <v>2361</v>
      </c>
      <c r="F6678" s="20" t="s">
        <v>244</v>
      </c>
      <c r="G6678" s="20" t="s">
        <v>82</v>
      </c>
      <c r="H6678" s="20" t="s">
        <v>106</v>
      </c>
      <c r="I6678" s="20" t="s">
        <v>491</v>
      </c>
      <c r="J6678" s="20" t="s">
        <v>211</v>
      </c>
      <c r="K6678" s="20" t="s">
        <v>250</v>
      </c>
      <c r="L6678" s="20"/>
      <c r="M6678" s="20" t="s">
        <v>251</v>
      </c>
      <c r="N6678" s="20" t="s">
        <v>4115</v>
      </c>
    </row>
    <row r="6679" spans="1:14" hidden="1" x14ac:dyDescent="0.25">
      <c r="A6679" s="19">
        <v>46204</v>
      </c>
      <c r="B6679" s="20" t="s">
        <v>97</v>
      </c>
      <c r="C6679" s="20">
        <v>37</v>
      </c>
      <c r="D6679" s="20" t="s">
        <v>291</v>
      </c>
      <c r="E6679" s="20" t="s">
        <v>2361</v>
      </c>
      <c r="F6679" s="20" t="s">
        <v>244</v>
      </c>
      <c r="G6679" s="20" t="s">
        <v>82</v>
      </c>
      <c r="H6679" s="20" t="s">
        <v>105</v>
      </c>
      <c r="I6679" s="20" t="s">
        <v>493</v>
      </c>
      <c r="J6679" s="20" t="s">
        <v>211</v>
      </c>
      <c r="K6679" s="20" t="s">
        <v>250</v>
      </c>
      <c r="L6679" s="20"/>
      <c r="M6679" s="20" t="s">
        <v>251</v>
      </c>
      <c r="N6679" s="20" t="s">
        <v>4116</v>
      </c>
    </row>
    <row r="6680" spans="1:14" hidden="1" x14ac:dyDescent="0.25">
      <c r="A6680" s="19">
        <v>46204</v>
      </c>
      <c r="B6680" s="20" t="s">
        <v>97</v>
      </c>
      <c r="C6680" s="20">
        <v>37</v>
      </c>
      <c r="D6680" s="20" t="s">
        <v>291</v>
      </c>
      <c r="E6680" s="20" t="s">
        <v>2361</v>
      </c>
      <c r="F6680" s="20" t="s">
        <v>244</v>
      </c>
      <c r="G6680" s="20" t="s">
        <v>82</v>
      </c>
      <c r="H6680" s="20" t="s">
        <v>105</v>
      </c>
      <c r="I6680" s="20" t="s">
        <v>491</v>
      </c>
      <c r="J6680" s="20" t="s">
        <v>211</v>
      </c>
      <c r="K6680" s="20" t="s">
        <v>250</v>
      </c>
      <c r="L6680" s="20"/>
      <c r="M6680" s="20" t="s">
        <v>251</v>
      </c>
      <c r="N6680" s="20" t="s">
        <v>4117</v>
      </c>
    </row>
    <row r="6681" spans="1:14" hidden="1" x14ac:dyDescent="0.25">
      <c r="A6681" s="19">
        <v>46204</v>
      </c>
      <c r="B6681" s="20" t="s">
        <v>97</v>
      </c>
      <c r="C6681" s="20">
        <v>38</v>
      </c>
      <c r="D6681" s="20" t="s">
        <v>253</v>
      </c>
      <c r="E6681" s="20" t="s">
        <v>2359</v>
      </c>
      <c r="F6681" s="20" t="s">
        <v>334</v>
      </c>
      <c r="G6681" s="20" t="s">
        <v>82</v>
      </c>
      <c r="H6681" s="20"/>
      <c r="I6681" s="20"/>
      <c r="J6681" s="20" t="s">
        <v>209</v>
      </c>
      <c r="K6681" s="20" t="s">
        <v>255</v>
      </c>
      <c r="L6681" s="20">
        <v>47</v>
      </c>
      <c r="M6681" s="20" t="s">
        <v>245</v>
      </c>
      <c r="N6681" s="20" t="s">
        <v>3840</v>
      </c>
    </row>
    <row r="6682" spans="1:14" hidden="1" x14ac:dyDescent="0.25">
      <c r="A6682" s="19">
        <v>46204</v>
      </c>
      <c r="B6682" s="20" t="s">
        <v>97</v>
      </c>
      <c r="C6682" s="20">
        <v>38</v>
      </c>
      <c r="D6682" s="20" t="s">
        <v>253</v>
      </c>
      <c r="E6682" s="20" t="s">
        <v>2359</v>
      </c>
      <c r="F6682" s="20" t="s">
        <v>334</v>
      </c>
      <c r="G6682" s="20" t="s">
        <v>82</v>
      </c>
      <c r="H6682" s="20"/>
      <c r="I6682" s="20"/>
      <c r="J6682" s="20" t="s">
        <v>210</v>
      </c>
      <c r="K6682" s="20" t="s">
        <v>255</v>
      </c>
      <c r="L6682" s="20">
        <v>45</v>
      </c>
      <c r="M6682" s="20" t="s">
        <v>245</v>
      </c>
      <c r="N6682" s="20" t="s">
        <v>2183</v>
      </c>
    </row>
    <row r="6683" spans="1:14" hidden="1" x14ac:dyDescent="0.25">
      <c r="A6683" s="19">
        <v>46204</v>
      </c>
      <c r="B6683" s="20" t="s">
        <v>97</v>
      </c>
      <c r="C6683" s="20">
        <v>38</v>
      </c>
      <c r="D6683" s="20" t="s">
        <v>253</v>
      </c>
      <c r="E6683" s="20" t="s">
        <v>2359</v>
      </c>
      <c r="F6683" s="20" t="s">
        <v>334</v>
      </c>
      <c r="G6683" s="20" t="s">
        <v>82</v>
      </c>
      <c r="H6683" s="20"/>
      <c r="I6683" s="20"/>
      <c r="J6683" s="20" t="s">
        <v>211</v>
      </c>
      <c r="K6683" s="20" t="s">
        <v>255</v>
      </c>
      <c r="L6683" s="20">
        <v>45</v>
      </c>
      <c r="M6683" s="20" t="s">
        <v>245</v>
      </c>
      <c r="N6683" s="20" t="s">
        <v>2183</v>
      </c>
    </row>
    <row r="6684" spans="1:14" hidden="1" x14ac:dyDescent="0.25">
      <c r="A6684" s="19">
        <v>46204</v>
      </c>
      <c r="B6684" s="20" t="s">
        <v>97</v>
      </c>
      <c r="C6684" s="20">
        <v>39</v>
      </c>
      <c r="D6684" s="20" t="s">
        <v>291</v>
      </c>
      <c r="E6684" s="20" t="s">
        <v>2361</v>
      </c>
      <c r="F6684" s="20" t="s">
        <v>428</v>
      </c>
      <c r="G6684" s="20" t="s">
        <v>82</v>
      </c>
      <c r="H6684" s="20" t="s">
        <v>95</v>
      </c>
      <c r="I6684" s="20"/>
      <c r="J6684" s="20" t="s">
        <v>211</v>
      </c>
      <c r="K6684" s="20" t="s">
        <v>250</v>
      </c>
      <c r="L6684" s="20">
        <v>6400000</v>
      </c>
      <c r="M6684" s="20" t="s">
        <v>242</v>
      </c>
      <c r="N6684" s="20" t="s">
        <v>4118</v>
      </c>
    </row>
    <row r="6685" spans="1:14" hidden="1" x14ac:dyDescent="0.25">
      <c r="A6685" s="19">
        <v>46204</v>
      </c>
      <c r="B6685" s="20" t="s">
        <v>97</v>
      </c>
      <c r="C6685" s="20">
        <v>39</v>
      </c>
      <c r="D6685" s="20" t="s">
        <v>291</v>
      </c>
      <c r="E6685" s="20" t="s">
        <v>2361</v>
      </c>
      <c r="F6685" s="20" t="s">
        <v>428</v>
      </c>
      <c r="G6685" s="20" t="s">
        <v>82</v>
      </c>
      <c r="H6685" s="20" t="s">
        <v>94</v>
      </c>
      <c r="I6685" s="20"/>
      <c r="J6685" s="20" t="s">
        <v>211</v>
      </c>
      <c r="K6685" s="20" t="s">
        <v>250</v>
      </c>
      <c r="L6685" s="20">
        <v>3300000</v>
      </c>
      <c r="M6685" s="20" t="s">
        <v>242</v>
      </c>
      <c r="N6685" s="20" t="s">
        <v>4119</v>
      </c>
    </row>
    <row r="6686" spans="1:14" hidden="1" x14ac:dyDescent="0.25">
      <c r="A6686" s="19">
        <v>46204</v>
      </c>
      <c r="B6686" s="20" t="s">
        <v>97</v>
      </c>
      <c r="C6686" s="20">
        <v>40</v>
      </c>
      <c r="D6686" s="20" t="s">
        <v>291</v>
      </c>
      <c r="E6686" s="20" t="s">
        <v>2361</v>
      </c>
      <c r="F6686" s="20" t="s">
        <v>445</v>
      </c>
      <c r="G6686" s="20" t="s">
        <v>82</v>
      </c>
      <c r="H6686" s="20" t="s">
        <v>95</v>
      </c>
      <c r="I6686" s="20"/>
      <c r="J6686" s="20" t="s">
        <v>211</v>
      </c>
      <c r="K6686" s="20" t="s">
        <v>250</v>
      </c>
      <c r="L6686" s="20">
        <v>160270000</v>
      </c>
      <c r="M6686" s="20" t="s">
        <v>245</v>
      </c>
      <c r="N6686" s="20" t="s">
        <v>4120</v>
      </c>
    </row>
    <row r="6687" spans="1:14" hidden="1" x14ac:dyDescent="0.25">
      <c r="A6687" s="19">
        <v>46204</v>
      </c>
      <c r="B6687" s="20" t="s">
        <v>97</v>
      </c>
      <c r="C6687" s="20">
        <v>40</v>
      </c>
      <c r="D6687" s="20" t="s">
        <v>291</v>
      </c>
      <c r="E6687" s="20" t="s">
        <v>2361</v>
      </c>
      <c r="F6687" s="20" t="s">
        <v>445</v>
      </c>
      <c r="G6687" s="20" t="s">
        <v>82</v>
      </c>
      <c r="H6687" s="20" t="s">
        <v>94</v>
      </c>
      <c r="I6687" s="20"/>
      <c r="J6687" s="20" t="s">
        <v>211</v>
      </c>
      <c r="K6687" s="20" t="s">
        <v>250</v>
      </c>
      <c r="L6687" s="20">
        <v>109560000</v>
      </c>
      <c r="M6687" s="20" t="s">
        <v>245</v>
      </c>
      <c r="N6687" s="20" t="s">
        <v>4121</v>
      </c>
    </row>
    <row r="6688" spans="1:14" hidden="1" x14ac:dyDescent="0.25">
      <c r="A6688" s="19">
        <v>46204</v>
      </c>
      <c r="B6688" s="20" t="s">
        <v>162</v>
      </c>
      <c r="C6688" s="20">
        <v>42</v>
      </c>
      <c r="D6688" s="20" t="s">
        <v>238</v>
      </c>
      <c r="E6688" s="20" t="s">
        <v>2341</v>
      </c>
      <c r="F6688" s="20" t="s">
        <v>240</v>
      </c>
      <c r="G6688" s="20" t="s">
        <v>82</v>
      </c>
      <c r="H6688" s="20"/>
      <c r="I6688" s="20"/>
      <c r="J6688" s="20" t="s">
        <v>4059</v>
      </c>
      <c r="K6688" s="20" t="s">
        <v>241</v>
      </c>
      <c r="L6688" s="20">
        <v>233520000</v>
      </c>
      <c r="M6688" s="20" t="s">
        <v>242</v>
      </c>
      <c r="N6688" s="20" t="s">
        <v>4122</v>
      </c>
    </row>
    <row r="6689" spans="1:14" hidden="1" x14ac:dyDescent="0.25">
      <c r="A6689" s="19">
        <v>46204</v>
      </c>
      <c r="B6689" s="20" t="s">
        <v>162</v>
      </c>
      <c r="C6689" s="20">
        <v>42</v>
      </c>
      <c r="D6689" s="20" t="s">
        <v>238</v>
      </c>
      <c r="E6689" s="20" t="s">
        <v>2341</v>
      </c>
      <c r="F6689" s="20" t="s">
        <v>244</v>
      </c>
      <c r="G6689" s="20" t="s">
        <v>82</v>
      </c>
      <c r="H6689" s="20"/>
      <c r="I6689" s="20"/>
      <c r="J6689" s="20" t="s">
        <v>4059</v>
      </c>
      <c r="K6689" s="20" t="s">
        <v>241</v>
      </c>
      <c r="L6689" s="20">
        <v>18730000000</v>
      </c>
      <c r="M6689" s="20" t="s">
        <v>245</v>
      </c>
      <c r="N6689" s="20" t="s">
        <v>4123</v>
      </c>
    </row>
    <row r="6690" spans="1:14" hidden="1" x14ac:dyDescent="0.25">
      <c r="A6690" s="19">
        <v>46204</v>
      </c>
      <c r="B6690" s="20" t="s">
        <v>162</v>
      </c>
      <c r="C6690" s="20">
        <v>43</v>
      </c>
      <c r="D6690" s="20" t="s">
        <v>253</v>
      </c>
      <c r="E6690" s="20" t="s">
        <v>2359</v>
      </c>
      <c r="F6690" s="20" t="s">
        <v>1194</v>
      </c>
      <c r="G6690" s="20" t="s">
        <v>82</v>
      </c>
      <c r="H6690" s="20"/>
      <c r="I6690" s="20"/>
      <c r="J6690" s="20" t="s">
        <v>209</v>
      </c>
      <c r="K6690" s="20" t="s">
        <v>255</v>
      </c>
      <c r="L6690" s="20">
        <v>36410000</v>
      </c>
      <c r="M6690" s="20" t="s">
        <v>242</v>
      </c>
      <c r="N6690" s="20" t="s">
        <v>3847</v>
      </c>
    </row>
    <row r="6691" spans="1:14" hidden="1" x14ac:dyDescent="0.25">
      <c r="A6691" s="19">
        <v>46204</v>
      </c>
      <c r="B6691" s="20" t="s">
        <v>162</v>
      </c>
      <c r="C6691" s="20">
        <v>43</v>
      </c>
      <c r="D6691" s="20" t="s">
        <v>253</v>
      </c>
      <c r="E6691" s="20" t="s">
        <v>2359</v>
      </c>
      <c r="F6691" s="20" t="s">
        <v>1194</v>
      </c>
      <c r="G6691" s="20" t="s">
        <v>82</v>
      </c>
      <c r="H6691" s="20"/>
      <c r="I6691" s="20"/>
      <c r="J6691" s="20" t="s">
        <v>210</v>
      </c>
      <c r="K6691" s="20" t="s">
        <v>255</v>
      </c>
      <c r="L6691" s="20">
        <v>35750000</v>
      </c>
      <c r="M6691" s="20" t="s">
        <v>242</v>
      </c>
      <c r="N6691" s="20" t="s">
        <v>3990</v>
      </c>
    </row>
    <row r="6692" spans="1:14" hidden="1" x14ac:dyDescent="0.25">
      <c r="A6692" s="19">
        <v>46204</v>
      </c>
      <c r="B6692" s="20" t="s">
        <v>162</v>
      </c>
      <c r="C6692" s="20">
        <v>43</v>
      </c>
      <c r="D6692" s="20" t="s">
        <v>253</v>
      </c>
      <c r="E6692" s="20" t="s">
        <v>2359</v>
      </c>
      <c r="F6692" s="20" t="s">
        <v>1194</v>
      </c>
      <c r="G6692" s="20" t="s">
        <v>82</v>
      </c>
      <c r="H6692" s="20"/>
      <c r="I6692" s="20"/>
      <c r="J6692" s="20" t="s">
        <v>211</v>
      </c>
      <c r="K6692" s="20" t="s">
        <v>255</v>
      </c>
      <c r="L6692" s="20">
        <v>40010000</v>
      </c>
      <c r="M6692" s="20" t="s">
        <v>242</v>
      </c>
      <c r="N6692" s="20" t="s">
        <v>4124</v>
      </c>
    </row>
    <row r="6693" spans="1:14" hidden="1" x14ac:dyDescent="0.25">
      <c r="A6693" s="19">
        <v>46204</v>
      </c>
      <c r="B6693" s="20" t="s">
        <v>162</v>
      </c>
      <c r="C6693" s="20">
        <v>43</v>
      </c>
      <c r="D6693" s="20" t="s">
        <v>247</v>
      </c>
      <c r="E6693" s="20" t="s">
        <v>2554</v>
      </c>
      <c r="F6693" s="20" t="s">
        <v>2556</v>
      </c>
      <c r="G6693" s="20" t="s">
        <v>82</v>
      </c>
      <c r="H6693" s="20" t="s">
        <v>286</v>
      </c>
      <c r="I6693" s="20"/>
      <c r="J6693" s="20" t="s">
        <v>211</v>
      </c>
      <c r="K6693" s="20" t="s">
        <v>250</v>
      </c>
      <c r="L6693" s="20">
        <v>11.9</v>
      </c>
      <c r="M6693" s="20" t="s">
        <v>251</v>
      </c>
      <c r="N6693" s="20" t="s">
        <v>1937</v>
      </c>
    </row>
    <row r="6694" spans="1:14" hidden="1" x14ac:dyDescent="0.25">
      <c r="A6694" s="19">
        <v>46204</v>
      </c>
      <c r="B6694" s="20" t="s">
        <v>162</v>
      </c>
      <c r="C6694" s="20">
        <v>45</v>
      </c>
      <c r="D6694" s="20" t="s">
        <v>253</v>
      </c>
      <c r="E6694" s="20" t="s">
        <v>2359</v>
      </c>
      <c r="F6694" s="20" t="s">
        <v>2457</v>
      </c>
      <c r="G6694" s="20" t="s">
        <v>82</v>
      </c>
      <c r="H6694" s="20"/>
      <c r="I6694" s="20"/>
      <c r="J6694" s="20" t="s">
        <v>209</v>
      </c>
      <c r="K6694" s="20" t="s">
        <v>255</v>
      </c>
      <c r="L6694" s="20">
        <v>29740000</v>
      </c>
      <c r="M6694" s="20" t="s">
        <v>242</v>
      </c>
      <c r="N6694" s="20" t="s">
        <v>3852</v>
      </c>
    </row>
    <row r="6695" spans="1:14" hidden="1" x14ac:dyDescent="0.25">
      <c r="A6695" s="19">
        <v>46204</v>
      </c>
      <c r="B6695" s="20" t="s">
        <v>162</v>
      </c>
      <c r="C6695" s="20">
        <v>45</v>
      </c>
      <c r="D6695" s="20" t="s">
        <v>253</v>
      </c>
      <c r="E6695" s="20" t="s">
        <v>2359</v>
      </c>
      <c r="F6695" s="20" t="s">
        <v>2457</v>
      </c>
      <c r="G6695" s="20" t="s">
        <v>82</v>
      </c>
      <c r="H6695" s="20"/>
      <c r="I6695" s="20"/>
      <c r="J6695" s="20" t="s">
        <v>210</v>
      </c>
      <c r="K6695" s="20" t="s">
        <v>255</v>
      </c>
      <c r="L6695" s="20">
        <v>29000000</v>
      </c>
      <c r="M6695" s="20" t="s">
        <v>242</v>
      </c>
      <c r="N6695" s="20" t="s">
        <v>3997</v>
      </c>
    </row>
    <row r="6696" spans="1:14" hidden="1" x14ac:dyDescent="0.25">
      <c r="A6696" s="19">
        <v>46204</v>
      </c>
      <c r="B6696" s="20" t="s">
        <v>162</v>
      </c>
      <c r="C6696" s="20">
        <v>45</v>
      </c>
      <c r="D6696" s="20" t="s">
        <v>253</v>
      </c>
      <c r="E6696" s="20" t="s">
        <v>2359</v>
      </c>
      <c r="F6696" s="20" t="s">
        <v>2457</v>
      </c>
      <c r="G6696" s="20" t="s">
        <v>82</v>
      </c>
      <c r="H6696" s="20"/>
      <c r="I6696" s="20"/>
      <c r="J6696" s="20" t="s">
        <v>211</v>
      </c>
      <c r="K6696" s="20" t="s">
        <v>255</v>
      </c>
      <c r="L6696" s="20">
        <v>32220000</v>
      </c>
      <c r="M6696" s="20" t="s">
        <v>242</v>
      </c>
      <c r="N6696" s="20" t="s">
        <v>4125</v>
      </c>
    </row>
    <row r="6697" spans="1:14" hidden="1" x14ac:dyDescent="0.25">
      <c r="A6697" s="19">
        <v>46204</v>
      </c>
      <c r="B6697" s="20" t="s">
        <v>162</v>
      </c>
      <c r="C6697" s="20">
        <v>45</v>
      </c>
      <c r="D6697" s="20" t="s">
        <v>247</v>
      </c>
      <c r="E6697" s="20" t="s">
        <v>2554</v>
      </c>
      <c r="F6697" s="20" t="s">
        <v>2556</v>
      </c>
      <c r="G6697" s="20" t="s">
        <v>82</v>
      </c>
      <c r="H6697" s="20" t="s">
        <v>286</v>
      </c>
      <c r="I6697" s="20"/>
      <c r="J6697" s="20" t="s">
        <v>211</v>
      </c>
      <c r="K6697" s="20" t="s">
        <v>250</v>
      </c>
      <c r="L6697" s="20">
        <v>11.1</v>
      </c>
      <c r="M6697" s="20" t="s">
        <v>251</v>
      </c>
      <c r="N6697" s="20" t="s">
        <v>1084</v>
      </c>
    </row>
    <row r="6698" spans="1:14" hidden="1" x14ac:dyDescent="0.25">
      <c r="A6698" s="19">
        <v>46204</v>
      </c>
      <c r="B6698" s="20" t="s">
        <v>162</v>
      </c>
      <c r="C6698" s="20">
        <v>46</v>
      </c>
      <c r="D6698" s="20" t="s">
        <v>291</v>
      </c>
      <c r="E6698" s="20" t="s">
        <v>2361</v>
      </c>
      <c r="F6698" s="20" t="s">
        <v>2457</v>
      </c>
      <c r="G6698" s="20" t="s">
        <v>82</v>
      </c>
      <c r="H6698" s="20" t="s">
        <v>95</v>
      </c>
      <c r="I6698" s="20"/>
      <c r="J6698" s="20" t="s">
        <v>211</v>
      </c>
      <c r="K6698" s="20" t="s">
        <v>250</v>
      </c>
      <c r="L6698" s="20">
        <v>9810000</v>
      </c>
      <c r="M6698" s="20" t="s">
        <v>242</v>
      </c>
      <c r="N6698" s="20" t="s">
        <v>4126</v>
      </c>
    </row>
    <row r="6699" spans="1:14" hidden="1" x14ac:dyDescent="0.25">
      <c r="A6699" s="19">
        <v>46204</v>
      </c>
      <c r="B6699" s="20" t="s">
        <v>162</v>
      </c>
      <c r="C6699" s="20">
        <v>46</v>
      </c>
      <c r="D6699" s="20" t="s">
        <v>291</v>
      </c>
      <c r="E6699" s="20" t="s">
        <v>2361</v>
      </c>
      <c r="F6699" s="20" t="s">
        <v>2457</v>
      </c>
      <c r="G6699" s="20" t="s">
        <v>82</v>
      </c>
      <c r="H6699" s="20" t="s">
        <v>94</v>
      </c>
      <c r="I6699" s="20"/>
      <c r="J6699" s="20" t="s">
        <v>211</v>
      </c>
      <c r="K6699" s="20" t="s">
        <v>250</v>
      </c>
      <c r="L6699" s="20">
        <v>22410000</v>
      </c>
      <c r="M6699" s="20" t="s">
        <v>242</v>
      </c>
      <c r="N6699" s="20" t="s">
        <v>4127</v>
      </c>
    </row>
    <row r="6700" spans="1:14" hidden="1" x14ac:dyDescent="0.25">
      <c r="A6700" s="19">
        <v>46204</v>
      </c>
      <c r="B6700" s="20" t="s">
        <v>162</v>
      </c>
      <c r="C6700" s="20">
        <v>47</v>
      </c>
      <c r="D6700" s="20" t="s">
        <v>291</v>
      </c>
      <c r="E6700" s="20" t="s">
        <v>2361</v>
      </c>
      <c r="F6700" s="20" t="s">
        <v>2460</v>
      </c>
      <c r="G6700" s="20" t="s">
        <v>82</v>
      </c>
      <c r="H6700" s="20" t="s">
        <v>174</v>
      </c>
      <c r="I6700" s="20"/>
      <c r="J6700" s="20" t="s">
        <v>211</v>
      </c>
      <c r="K6700" s="20" t="s">
        <v>250</v>
      </c>
      <c r="L6700" s="20">
        <v>4050000</v>
      </c>
      <c r="M6700" s="20" t="s">
        <v>242</v>
      </c>
      <c r="N6700" s="20" t="s">
        <v>4128</v>
      </c>
    </row>
    <row r="6701" spans="1:14" hidden="1" x14ac:dyDescent="0.25">
      <c r="A6701" s="19">
        <v>46204</v>
      </c>
      <c r="B6701" s="20" t="s">
        <v>162</v>
      </c>
      <c r="C6701" s="20">
        <v>47</v>
      </c>
      <c r="D6701" s="20" t="s">
        <v>291</v>
      </c>
      <c r="E6701" s="20" t="s">
        <v>2361</v>
      </c>
      <c r="F6701" s="20" t="s">
        <v>2460</v>
      </c>
      <c r="G6701" s="20" t="s">
        <v>82</v>
      </c>
      <c r="H6701" s="20" t="s">
        <v>173</v>
      </c>
      <c r="I6701" s="20"/>
      <c r="J6701" s="20" t="s">
        <v>211</v>
      </c>
      <c r="K6701" s="20" t="s">
        <v>250</v>
      </c>
      <c r="L6701" s="20">
        <v>5990000</v>
      </c>
      <c r="M6701" s="20" t="s">
        <v>242</v>
      </c>
      <c r="N6701" s="20" t="s">
        <v>4129</v>
      </c>
    </row>
    <row r="6702" spans="1:14" hidden="1" x14ac:dyDescent="0.25">
      <c r="A6702" s="19">
        <v>46204</v>
      </c>
      <c r="B6702" s="20" t="s">
        <v>162</v>
      </c>
      <c r="C6702" s="20">
        <v>48</v>
      </c>
      <c r="D6702" s="20" t="s">
        <v>253</v>
      </c>
      <c r="E6702" s="20" t="s">
        <v>2359</v>
      </c>
      <c r="F6702" s="20" t="s">
        <v>1196</v>
      </c>
      <c r="G6702" s="20" t="s">
        <v>82</v>
      </c>
      <c r="H6702" s="20"/>
      <c r="I6702" s="20"/>
      <c r="J6702" s="20" t="s">
        <v>209</v>
      </c>
      <c r="K6702" s="20" t="s">
        <v>255</v>
      </c>
      <c r="L6702" s="20">
        <v>2830000000</v>
      </c>
      <c r="M6702" s="20" t="s">
        <v>245</v>
      </c>
      <c r="N6702" s="20" t="s">
        <v>3857</v>
      </c>
    </row>
    <row r="6703" spans="1:14" hidden="1" x14ac:dyDescent="0.25">
      <c r="A6703" s="19">
        <v>46204</v>
      </c>
      <c r="B6703" s="20" t="s">
        <v>162</v>
      </c>
      <c r="C6703" s="20">
        <v>48</v>
      </c>
      <c r="D6703" s="20" t="s">
        <v>253</v>
      </c>
      <c r="E6703" s="20" t="s">
        <v>2359</v>
      </c>
      <c r="F6703" s="20" t="s">
        <v>1196</v>
      </c>
      <c r="G6703" s="20" t="s">
        <v>82</v>
      </c>
      <c r="H6703" s="20"/>
      <c r="I6703" s="20"/>
      <c r="J6703" s="20" t="s">
        <v>210</v>
      </c>
      <c r="K6703" s="20" t="s">
        <v>255</v>
      </c>
      <c r="L6703" s="20">
        <v>2820000000</v>
      </c>
      <c r="M6703" s="20" t="s">
        <v>245</v>
      </c>
      <c r="N6703" s="20" t="s">
        <v>4002</v>
      </c>
    </row>
    <row r="6704" spans="1:14" hidden="1" x14ac:dyDescent="0.25">
      <c r="A6704" s="19">
        <v>46204</v>
      </c>
      <c r="B6704" s="20" t="s">
        <v>162</v>
      </c>
      <c r="C6704" s="20">
        <v>48</v>
      </c>
      <c r="D6704" s="20" t="s">
        <v>253</v>
      </c>
      <c r="E6704" s="20" t="s">
        <v>2359</v>
      </c>
      <c r="F6704" s="20" t="s">
        <v>1196</v>
      </c>
      <c r="G6704" s="20" t="s">
        <v>82</v>
      </c>
      <c r="H6704" s="20"/>
      <c r="I6704" s="20"/>
      <c r="J6704" s="20" t="s">
        <v>211</v>
      </c>
      <c r="K6704" s="20" t="s">
        <v>255</v>
      </c>
      <c r="L6704" s="20">
        <v>3090000000</v>
      </c>
      <c r="M6704" s="20" t="s">
        <v>245</v>
      </c>
      <c r="N6704" s="20" t="s">
        <v>4130</v>
      </c>
    </row>
    <row r="6705" spans="1:14" hidden="1" x14ac:dyDescent="0.25">
      <c r="A6705" s="19">
        <v>46204</v>
      </c>
      <c r="B6705" s="20" t="s">
        <v>162</v>
      </c>
      <c r="C6705" s="20">
        <v>48</v>
      </c>
      <c r="D6705" s="20" t="s">
        <v>247</v>
      </c>
      <c r="E6705" s="20" t="s">
        <v>2554</v>
      </c>
      <c r="F6705" s="20" t="s">
        <v>2557</v>
      </c>
      <c r="G6705" s="20" t="s">
        <v>82</v>
      </c>
      <c r="H6705" s="20" t="s">
        <v>286</v>
      </c>
      <c r="I6705" s="20"/>
      <c r="J6705" s="20" t="s">
        <v>211</v>
      </c>
      <c r="K6705" s="20" t="s">
        <v>250</v>
      </c>
      <c r="L6705" s="20">
        <v>9.5</v>
      </c>
      <c r="M6705" s="20" t="s">
        <v>251</v>
      </c>
      <c r="N6705" s="20" t="s">
        <v>4131</v>
      </c>
    </row>
    <row r="6706" spans="1:14" hidden="1" x14ac:dyDescent="0.25">
      <c r="A6706" s="19">
        <v>46204</v>
      </c>
      <c r="B6706" s="20" t="s">
        <v>162</v>
      </c>
      <c r="C6706" s="20">
        <v>50</v>
      </c>
      <c r="D6706" s="20" t="s">
        <v>253</v>
      </c>
      <c r="E6706" s="20" t="s">
        <v>2359</v>
      </c>
      <c r="F6706" s="20" t="s">
        <v>2468</v>
      </c>
      <c r="G6706" s="20" t="s">
        <v>82</v>
      </c>
      <c r="H6706" s="20"/>
      <c r="I6706" s="20"/>
      <c r="J6706" s="20" t="s">
        <v>209</v>
      </c>
      <c r="K6706" s="20" t="s">
        <v>255</v>
      </c>
      <c r="L6706" s="20">
        <v>2100000000</v>
      </c>
      <c r="M6706" s="20" t="s">
        <v>245</v>
      </c>
      <c r="N6706" s="20" t="s">
        <v>1586</v>
      </c>
    </row>
    <row r="6707" spans="1:14" hidden="1" x14ac:dyDescent="0.25">
      <c r="A6707" s="19">
        <v>46204</v>
      </c>
      <c r="B6707" s="20" t="s">
        <v>162</v>
      </c>
      <c r="C6707" s="20">
        <v>50</v>
      </c>
      <c r="D6707" s="20" t="s">
        <v>253</v>
      </c>
      <c r="E6707" s="20" t="s">
        <v>2359</v>
      </c>
      <c r="F6707" s="20" t="s">
        <v>2468</v>
      </c>
      <c r="G6707" s="20" t="s">
        <v>82</v>
      </c>
      <c r="H6707" s="20"/>
      <c r="I6707" s="20"/>
      <c r="J6707" s="20" t="s">
        <v>210</v>
      </c>
      <c r="K6707" s="20" t="s">
        <v>255</v>
      </c>
      <c r="L6707" s="20">
        <v>2050000000</v>
      </c>
      <c r="M6707" s="20" t="s">
        <v>245</v>
      </c>
      <c r="N6707" s="20" t="s">
        <v>4008</v>
      </c>
    </row>
    <row r="6708" spans="1:14" hidden="1" x14ac:dyDescent="0.25">
      <c r="A6708" s="19">
        <v>46204</v>
      </c>
      <c r="B6708" s="20" t="s">
        <v>162</v>
      </c>
      <c r="C6708" s="20">
        <v>50</v>
      </c>
      <c r="D6708" s="20" t="s">
        <v>253</v>
      </c>
      <c r="E6708" s="20" t="s">
        <v>2359</v>
      </c>
      <c r="F6708" s="20" t="s">
        <v>2468</v>
      </c>
      <c r="G6708" s="20" t="s">
        <v>82</v>
      </c>
      <c r="H6708" s="20"/>
      <c r="I6708" s="20"/>
      <c r="J6708" s="20" t="s">
        <v>211</v>
      </c>
      <c r="K6708" s="20" t="s">
        <v>255</v>
      </c>
      <c r="L6708" s="20">
        <v>2240000000</v>
      </c>
      <c r="M6708" s="20" t="s">
        <v>245</v>
      </c>
      <c r="N6708" s="20" t="s">
        <v>4132</v>
      </c>
    </row>
    <row r="6709" spans="1:14" hidden="1" x14ac:dyDescent="0.25">
      <c r="A6709" s="19">
        <v>46204</v>
      </c>
      <c r="B6709" s="20" t="s">
        <v>162</v>
      </c>
      <c r="C6709" s="20">
        <v>50</v>
      </c>
      <c r="D6709" s="20" t="s">
        <v>247</v>
      </c>
      <c r="E6709" s="20" t="s">
        <v>2554</v>
      </c>
      <c r="F6709" s="20" t="s">
        <v>2557</v>
      </c>
      <c r="G6709" s="20" t="s">
        <v>82</v>
      </c>
      <c r="H6709" s="20" t="s">
        <v>286</v>
      </c>
      <c r="I6709" s="20"/>
      <c r="J6709" s="20" t="s">
        <v>211</v>
      </c>
      <c r="K6709" s="20" t="s">
        <v>250</v>
      </c>
      <c r="L6709" s="20">
        <v>9.1999999999999993</v>
      </c>
      <c r="M6709" s="20" t="s">
        <v>251</v>
      </c>
      <c r="N6709" s="20" t="s">
        <v>4133</v>
      </c>
    </row>
    <row r="6710" spans="1:14" hidden="1" x14ac:dyDescent="0.25">
      <c r="A6710" s="19">
        <v>46204</v>
      </c>
      <c r="B6710" s="20" t="s">
        <v>162</v>
      </c>
      <c r="C6710" s="20">
        <v>51</v>
      </c>
      <c r="D6710" s="20" t="s">
        <v>291</v>
      </c>
      <c r="E6710" s="20" t="s">
        <v>2361</v>
      </c>
      <c r="F6710" s="20" t="s">
        <v>2468</v>
      </c>
      <c r="G6710" s="20" t="s">
        <v>82</v>
      </c>
      <c r="H6710" s="20" t="s">
        <v>95</v>
      </c>
      <c r="I6710" s="20"/>
      <c r="J6710" s="20" t="s">
        <v>211</v>
      </c>
      <c r="K6710" s="20" t="s">
        <v>250</v>
      </c>
      <c r="L6710" s="20">
        <v>476000000</v>
      </c>
      <c r="M6710" s="20" t="s">
        <v>245</v>
      </c>
      <c r="N6710" s="20" t="s">
        <v>4134</v>
      </c>
    </row>
    <row r="6711" spans="1:14" hidden="1" x14ac:dyDescent="0.25">
      <c r="A6711" s="19">
        <v>46204</v>
      </c>
      <c r="B6711" s="20" t="s">
        <v>162</v>
      </c>
      <c r="C6711" s="20">
        <v>51</v>
      </c>
      <c r="D6711" s="20" t="s">
        <v>291</v>
      </c>
      <c r="E6711" s="20" t="s">
        <v>2361</v>
      </c>
      <c r="F6711" s="20" t="s">
        <v>2468</v>
      </c>
      <c r="G6711" s="20" t="s">
        <v>82</v>
      </c>
      <c r="H6711" s="20" t="s">
        <v>94</v>
      </c>
      <c r="I6711" s="20"/>
      <c r="J6711" s="20" t="s">
        <v>211</v>
      </c>
      <c r="K6711" s="20" t="s">
        <v>250</v>
      </c>
      <c r="L6711" s="20">
        <v>1760000000</v>
      </c>
      <c r="M6711" s="20" t="s">
        <v>245</v>
      </c>
      <c r="N6711" s="20" t="s">
        <v>4135</v>
      </c>
    </row>
    <row r="6712" spans="1:14" hidden="1" x14ac:dyDescent="0.25">
      <c r="A6712" s="19">
        <v>46204</v>
      </c>
      <c r="B6712" s="20" t="s">
        <v>162</v>
      </c>
      <c r="C6712" s="20">
        <v>52</v>
      </c>
      <c r="D6712" s="20" t="s">
        <v>291</v>
      </c>
      <c r="E6712" s="20" t="s">
        <v>2361</v>
      </c>
      <c r="F6712" s="20" t="s">
        <v>2472</v>
      </c>
      <c r="G6712" s="20" t="s">
        <v>82</v>
      </c>
      <c r="H6712" s="20" t="s">
        <v>174</v>
      </c>
      <c r="I6712" s="20"/>
      <c r="J6712" s="20" t="s">
        <v>211</v>
      </c>
      <c r="K6712" s="20" t="s">
        <v>250</v>
      </c>
      <c r="L6712" s="20">
        <v>298780000</v>
      </c>
      <c r="M6712" s="20" t="s">
        <v>245</v>
      </c>
      <c r="N6712" s="20" t="s">
        <v>4136</v>
      </c>
    </row>
    <row r="6713" spans="1:14" hidden="1" x14ac:dyDescent="0.25">
      <c r="A6713" s="19">
        <v>46204</v>
      </c>
      <c r="B6713" s="20" t="s">
        <v>162</v>
      </c>
      <c r="C6713" s="20">
        <v>52</v>
      </c>
      <c r="D6713" s="20" t="s">
        <v>291</v>
      </c>
      <c r="E6713" s="20" t="s">
        <v>2361</v>
      </c>
      <c r="F6713" s="20" t="s">
        <v>2472</v>
      </c>
      <c r="G6713" s="20" t="s">
        <v>82</v>
      </c>
      <c r="H6713" s="20" t="s">
        <v>173</v>
      </c>
      <c r="I6713" s="20"/>
      <c r="J6713" s="20" t="s">
        <v>211</v>
      </c>
      <c r="K6713" s="20" t="s">
        <v>250</v>
      </c>
      <c r="L6713" s="20">
        <v>254960000</v>
      </c>
      <c r="M6713" s="20" t="s">
        <v>245</v>
      </c>
      <c r="N6713" s="20" t="s">
        <v>4137</v>
      </c>
    </row>
    <row r="6714" spans="1:14" hidden="1" x14ac:dyDescent="0.25">
      <c r="A6714" s="19">
        <v>46204</v>
      </c>
      <c r="B6714" s="20" t="s">
        <v>162</v>
      </c>
      <c r="C6714" s="20">
        <v>53</v>
      </c>
      <c r="D6714" s="20" t="s">
        <v>238</v>
      </c>
      <c r="E6714" s="20" t="s">
        <v>2341</v>
      </c>
      <c r="F6714" s="20" t="s">
        <v>334</v>
      </c>
      <c r="G6714" s="20" t="s">
        <v>82</v>
      </c>
      <c r="H6714" s="20" t="s">
        <v>179</v>
      </c>
      <c r="I6714" s="20"/>
      <c r="J6714" s="20" t="s">
        <v>211</v>
      </c>
      <c r="K6714" s="20" t="s">
        <v>250</v>
      </c>
      <c r="L6714" s="20">
        <v>9</v>
      </c>
      <c r="M6714" s="20" t="s">
        <v>245</v>
      </c>
      <c r="N6714" s="20" t="s">
        <v>3722</v>
      </c>
    </row>
    <row r="6715" spans="1:14" hidden="1" x14ac:dyDescent="0.25">
      <c r="A6715" s="19">
        <v>46204</v>
      </c>
      <c r="B6715" s="20" t="s">
        <v>162</v>
      </c>
      <c r="C6715" s="20">
        <v>53</v>
      </c>
      <c r="D6715" s="20" t="s">
        <v>238</v>
      </c>
      <c r="E6715" s="20" t="s">
        <v>2341</v>
      </c>
      <c r="F6715" s="20" t="s">
        <v>334</v>
      </c>
      <c r="G6715" s="20" t="s">
        <v>82</v>
      </c>
      <c r="H6715" s="20" t="s">
        <v>170</v>
      </c>
      <c r="I6715" s="20"/>
      <c r="J6715" s="20" t="s">
        <v>211</v>
      </c>
      <c r="K6715" s="20" t="s">
        <v>250</v>
      </c>
      <c r="L6715" s="20">
        <v>12</v>
      </c>
      <c r="M6715" s="20" t="s">
        <v>245</v>
      </c>
      <c r="N6715" s="20" t="s">
        <v>1773</v>
      </c>
    </row>
    <row r="6716" spans="1:14" hidden="1" x14ac:dyDescent="0.25">
      <c r="A6716" s="19">
        <v>46204</v>
      </c>
      <c r="B6716" s="20" t="s">
        <v>162</v>
      </c>
      <c r="C6716" s="20">
        <v>53</v>
      </c>
      <c r="D6716" s="20" t="s">
        <v>238</v>
      </c>
      <c r="E6716" s="20" t="s">
        <v>2341</v>
      </c>
      <c r="F6716" s="20" t="s">
        <v>334</v>
      </c>
      <c r="G6716" s="20" t="s">
        <v>82</v>
      </c>
      <c r="H6716" s="20" t="s">
        <v>178</v>
      </c>
      <c r="I6716" s="20"/>
      <c r="J6716" s="20" t="s">
        <v>211</v>
      </c>
      <c r="K6716" s="20" t="s">
        <v>250</v>
      </c>
      <c r="L6716" s="20">
        <v>31</v>
      </c>
      <c r="M6716" s="20" t="s">
        <v>245</v>
      </c>
      <c r="N6716" s="20" t="s">
        <v>4012</v>
      </c>
    </row>
    <row r="6717" spans="1:14" hidden="1" x14ac:dyDescent="0.25">
      <c r="A6717" s="19">
        <v>46204</v>
      </c>
      <c r="B6717" s="20" t="s">
        <v>162</v>
      </c>
      <c r="C6717" s="20">
        <v>53</v>
      </c>
      <c r="D6717" s="20" t="s">
        <v>238</v>
      </c>
      <c r="E6717" s="20" t="s">
        <v>2341</v>
      </c>
      <c r="F6717" s="20" t="s">
        <v>334</v>
      </c>
      <c r="G6717" s="20" t="s">
        <v>82</v>
      </c>
      <c r="H6717" s="20" t="s">
        <v>173</v>
      </c>
      <c r="I6717" s="20"/>
      <c r="J6717" s="20" t="s">
        <v>211</v>
      </c>
      <c r="K6717" s="20" t="s">
        <v>250</v>
      </c>
      <c r="L6717" s="20">
        <v>47</v>
      </c>
      <c r="M6717" s="20" t="s">
        <v>245</v>
      </c>
      <c r="N6717" s="20" t="s">
        <v>2121</v>
      </c>
    </row>
    <row r="6718" spans="1:14" hidden="1" x14ac:dyDescent="0.25">
      <c r="A6718" s="19">
        <v>46204</v>
      </c>
      <c r="B6718" s="20" t="s">
        <v>162</v>
      </c>
      <c r="C6718" s="20">
        <v>53</v>
      </c>
      <c r="D6718" s="20" t="s">
        <v>238</v>
      </c>
      <c r="E6718" s="20" t="s">
        <v>2341</v>
      </c>
      <c r="F6718" s="20" t="s">
        <v>334</v>
      </c>
      <c r="G6718" s="20" t="s">
        <v>82</v>
      </c>
      <c r="H6718" s="20" t="s">
        <v>174</v>
      </c>
      <c r="I6718" s="20"/>
      <c r="J6718" s="20" t="s">
        <v>211</v>
      </c>
      <c r="K6718" s="20" t="s">
        <v>250</v>
      </c>
      <c r="L6718" s="20">
        <v>79</v>
      </c>
      <c r="M6718" s="20" t="s">
        <v>245</v>
      </c>
      <c r="N6718" s="20" t="s">
        <v>3724</v>
      </c>
    </row>
    <row r="6719" spans="1:14" hidden="1" x14ac:dyDescent="0.25">
      <c r="A6719" s="19">
        <v>46204</v>
      </c>
      <c r="B6719" s="20" t="s">
        <v>162</v>
      </c>
      <c r="C6719" s="20">
        <v>53</v>
      </c>
      <c r="D6719" s="20" t="s">
        <v>238</v>
      </c>
      <c r="E6719" s="20" t="s">
        <v>2341</v>
      </c>
      <c r="F6719" s="20" t="s">
        <v>334</v>
      </c>
      <c r="G6719" s="20" t="s">
        <v>82</v>
      </c>
      <c r="H6719" s="20" t="s">
        <v>164</v>
      </c>
      <c r="I6719" s="20"/>
      <c r="J6719" s="20" t="s">
        <v>211</v>
      </c>
      <c r="K6719" s="20" t="s">
        <v>250</v>
      </c>
      <c r="L6719" s="20">
        <v>128</v>
      </c>
      <c r="M6719" s="20" t="s">
        <v>245</v>
      </c>
      <c r="N6719" s="20" t="s">
        <v>862</v>
      </c>
    </row>
    <row r="6720" spans="1:14" hidden="1" x14ac:dyDescent="0.25">
      <c r="A6720" s="19">
        <v>46204</v>
      </c>
      <c r="B6720" s="20" t="s">
        <v>162</v>
      </c>
      <c r="C6720" s="20">
        <v>53</v>
      </c>
      <c r="D6720" s="20" t="s">
        <v>238</v>
      </c>
      <c r="E6720" s="20" t="s">
        <v>2341</v>
      </c>
      <c r="F6720" s="20" t="s">
        <v>455</v>
      </c>
      <c r="G6720" s="20" t="s">
        <v>82</v>
      </c>
      <c r="H6720" s="20"/>
      <c r="I6720" s="20"/>
      <c r="J6720" s="20" t="s">
        <v>211</v>
      </c>
      <c r="K6720" s="20" t="s">
        <v>250</v>
      </c>
      <c r="L6720" s="20">
        <v>77</v>
      </c>
      <c r="M6720" s="20" t="s">
        <v>245</v>
      </c>
      <c r="N6720" s="20" t="s">
        <v>4138</v>
      </c>
    </row>
    <row r="6721" spans="1:14" hidden="1" x14ac:dyDescent="0.25">
      <c r="A6721" s="19">
        <v>46204</v>
      </c>
      <c r="B6721" s="20" t="s">
        <v>1192</v>
      </c>
      <c r="C6721" s="20">
        <v>55</v>
      </c>
      <c r="D6721" s="20" t="s">
        <v>238</v>
      </c>
      <c r="E6721" s="20" t="s">
        <v>2341</v>
      </c>
      <c r="F6721" s="20" t="s">
        <v>240</v>
      </c>
      <c r="G6721" s="20" t="s">
        <v>82</v>
      </c>
      <c r="H6721" s="20"/>
      <c r="I6721" s="20"/>
      <c r="J6721" s="20" t="s">
        <v>4059</v>
      </c>
      <c r="K6721" s="20" t="s">
        <v>241</v>
      </c>
      <c r="L6721" s="20">
        <v>233520000</v>
      </c>
      <c r="M6721" s="20" t="s">
        <v>242</v>
      </c>
      <c r="N6721" s="20" t="s">
        <v>4122</v>
      </c>
    </row>
    <row r="6722" spans="1:14" hidden="1" x14ac:dyDescent="0.25">
      <c r="A6722" s="19">
        <v>46204</v>
      </c>
      <c r="B6722" s="20" t="s">
        <v>2481</v>
      </c>
      <c r="C6722" s="20">
        <v>55</v>
      </c>
      <c r="D6722" s="20" t="s">
        <v>238</v>
      </c>
      <c r="E6722" s="20" t="s">
        <v>2341</v>
      </c>
      <c r="F6722" s="20" t="s">
        <v>244</v>
      </c>
      <c r="G6722" s="20" t="s">
        <v>82</v>
      </c>
      <c r="H6722" s="20"/>
      <c r="I6722" s="20"/>
      <c r="J6722" s="20" t="s">
        <v>4059</v>
      </c>
      <c r="K6722" s="20" t="s">
        <v>241</v>
      </c>
      <c r="L6722" s="20">
        <v>18730000000</v>
      </c>
      <c r="M6722" s="20" t="s">
        <v>245</v>
      </c>
      <c r="N6722" s="20" t="s">
        <v>4123</v>
      </c>
    </row>
    <row r="6723" spans="1:14" hidden="1" x14ac:dyDescent="0.25">
      <c r="A6723" s="19">
        <v>46204</v>
      </c>
      <c r="B6723" s="20" t="s">
        <v>1192</v>
      </c>
      <c r="C6723" s="20">
        <v>55</v>
      </c>
      <c r="D6723" s="20" t="s">
        <v>238</v>
      </c>
      <c r="E6723" s="20" t="s">
        <v>2341</v>
      </c>
      <c r="F6723" s="20" t="s">
        <v>240</v>
      </c>
      <c r="G6723" s="20" t="s">
        <v>82</v>
      </c>
      <c r="H6723" s="20" t="s">
        <v>184</v>
      </c>
      <c r="I6723" s="20"/>
      <c r="J6723" s="20" t="s">
        <v>4059</v>
      </c>
      <c r="K6723" s="20" t="s">
        <v>241</v>
      </c>
      <c r="L6723" s="20">
        <v>138180000</v>
      </c>
      <c r="M6723" s="20" t="s">
        <v>242</v>
      </c>
      <c r="N6723" s="20" t="s">
        <v>4060</v>
      </c>
    </row>
    <row r="6724" spans="1:14" hidden="1" x14ac:dyDescent="0.25">
      <c r="A6724" s="19">
        <v>46204</v>
      </c>
      <c r="B6724" s="20" t="s">
        <v>1192</v>
      </c>
      <c r="C6724" s="20">
        <v>55</v>
      </c>
      <c r="D6724" s="20" t="s">
        <v>238</v>
      </c>
      <c r="E6724" s="20" t="s">
        <v>2341</v>
      </c>
      <c r="F6724" s="20" t="s">
        <v>240</v>
      </c>
      <c r="G6724" s="20" t="s">
        <v>82</v>
      </c>
      <c r="H6724" s="20" t="s">
        <v>185</v>
      </c>
      <c r="I6724" s="20"/>
      <c r="J6724" s="20" t="s">
        <v>4059</v>
      </c>
      <c r="K6724" s="20" t="s">
        <v>241</v>
      </c>
      <c r="L6724" s="20">
        <v>95340000</v>
      </c>
      <c r="M6724" s="20" t="s">
        <v>242</v>
      </c>
      <c r="N6724" s="20" t="s">
        <v>4080</v>
      </c>
    </row>
    <row r="6725" spans="1:14" hidden="1" x14ac:dyDescent="0.25">
      <c r="A6725" s="19">
        <v>46204</v>
      </c>
      <c r="B6725" s="20" t="s">
        <v>2481</v>
      </c>
      <c r="C6725" s="20">
        <v>55</v>
      </c>
      <c r="D6725" s="20" t="s">
        <v>238</v>
      </c>
      <c r="E6725" s="20" t="s">
        <v>2341</v>
      </c>
      <c r="F6725" s="20" t="s">
        <v>244</v>
      </c>
      <c r="G6725" s="20" t="s">
        <v>82</v>
      </c>
      <c r="H6725" s="20" t="s">
        <v>184</v>
      </c>
      <c r="I6725" s="20"/>
      <c r="J6725" s="20" t="s">
        <v>4059</v>
      </c>
      <c r="K6725" s="20" t="s">
        <v>241</v>
      </c>
      <c r="L6725" s="20">
        <v>14220000000</v>
      </c>
      <c r="M6725" s="20" t="s">
        <v>245</v>
      </c>
      <c r="N6725" s="20" t="s">
        <v>4061</v>
      </c>
    </row>
    <row r="6726" spans="1:14" hidden="1" x14ac:dyDescent="0.25">
      <c r="A6726" s="19">
        <v>46204</v>
      </c>
      <c r="B6726" s="20" t="s">
        <v>2481</v>
      </c>
      <c r="C6726" s="20">
        <v>55</v>
      </c>
      <c r="D6726" s="20" t="s">
        <v>238</v>
      </c>
      <c r="E6726" s="20" t="s">
        <v>2341</v>
      </c>
      <c r="F6726" s="20" t="s">
        <v>244</v>
      </c>
      <c r="G6726" s="20" t="s">
        <v>82</v>
      </c>
      <c r="H6726" s="20" t="s">
        <v>185</v>
      </c>
      <c r="I6726" s="20"/>
      <c r="J6726" s="20" t="s">
        <v>4059</v>
      </c>
      <c r="K6726" s="20" t="s">
        <v>241</v>
      </c>
      <c r="L6726" s="20">
        <v>4510000000</v>
      </c>
      <c r="M6726" s="20" t="s">
        <v>245</v>
      </c>
      <c r="N6726" s="20" t="s">
        <v>4081</v>
      </c>
    </row>
    <row r="6727" spans="1:14" hidden="1" x14ac:dyDescent="0.25">
      <c r="A6727" s="19">
        <v>46204</v>
      </c>
      <c r="B6727" s="20" t="s">
        <v>2481</v>
      </c>
      <c r="C6727" s="20">
        <v>56</v>
      </c>
      <c r="D6727" s="20" t="s">
        <v>238</v>
      </c>
      <c r="E6727" s="20" t="s">
        <v>2341</v>
      </c>
      <c r="F6727" s="20" t="s">
        <v>285</v>
      </c>
      <c r="G6727" s="20" t="s">
        <v>63</v>
      </c>
      <c r="H6727" s="20" t="s">
        <v>1202</v>
      </c>
      <c r="I6727" s="20"/>
      <c r="J6727" s="20" t="s">
        <v>4059</v>
      </c>
      <c r="K6727" s="20" t="s">
        <v>241</v>
      </c>
      <c r="L6727" s="20">
        <v>1160000</v>
      </c>
      <c r="M6727" s="20" t="s">
        <v>242</v>
      </c>
      <c r="N6727" s="20" t="s">
        <v>1370</v>
      </c>
    </row>
    <row r="6728" spans="1:14" hidden="1" x14ac:dyDescent="0.25">
      <c r="A6728" s="19">
        <v>46204</v>
      </c>
      <c r="B6728" s="20" t="s">
        <v>2481</v>
      </c>
      <c r="C6728" s="20">
        <v>56</v>
      </c>
      <c r="D6728" s="20" t="s">
        <v>238</v>
      </c>
      <c r="E6728" s="20" t="s">
        <v>2341</v>
      </c>
      <c r="F6728" s="20" t="s">
        <v>285</v>
      </c>
      <c r="G6728" s="20" t="s">
        <v>63</v>
      </c>
      <c r="H6728" s="20" t="s">
        <v>1204</v>
      </c>
      <c r="I6728" s="20"/>
      <c r="J6728" s="20" t="s">
        <v>4059</v>
      </c>
      <c r="K6728" s="20" t="s">
        <v>241</v>
      </c>
      <c r="L6728" s="20">
        <v>1820000</v>
      </c>
      <c r="M6728" s="20" t="s">
        <v>242</v>
      </c>
      <c r="N6728" s="20" t="s">
        <v>1402</v>
      </c>
    </row>
    <row r="6729" spans="1:14" hidden="1" x14ac:dyDescent="0.25">
      <c r="A6729" s="19">
        <v>46204</v>
      </c>
      <c r="B6729" s="20" t="s">
        <v>2481</v>
      </c>
      <c r="C6729" s="20">
        <v>56</v>
      </c>
      <c r="D6729" s="20" t="s">
        <v>238</v>
      </c>
      <c r="E6729" s="20" t="s">
        <v>2341</v>
      </c>
      <c r="F6729" s="20" t="s">
        <v>285</v>
      </c>
      <c r="G6729" s="20" t="s">
        <v>63</v>
      </c>
      <c r="H6729" s="20" t="s">
        <v>1200</v>
      </c>
      <c r="I6729" s="20"/>
      <c r="J6729" s="20" t="s">
        <v>4059</v>
      </c>
      <c r="K6729" s="20" t="s">
        <v>241</v>
      </c>
      <c r="L6729" s="20">
        <v>1200000</v>
      </c>
      <c r="M6729" s="20" t="s">
        <v>242</v>
      </c>
      <c r="N6729" s="20" t="s">
        <v>2239</v>
      </c>
    </row>
    <row r="6730" spans="1:14" hidden="1" x14ac:dyDescent="0.25">
      <c r="A6730" s="19">
        <v>46204</v>
      </c>
      <c r="B6730" s="20" t="s">
        <v>2481</v>
      </c>
      <c r="C6730" s="20">
        <v>56</v>
      </c>
      <c r="D6730" s="20" t="s">
        <v>238</v>
      </c>
      <c r="E6730" s="20" t="s">
        <v>2341</v>
      </c>
      <c r="F6730" s="20" t="s">
        <v>285</v>
      </c>
      <c r="G6730" s="20" t="s">
        <v>63</v>
      </c>
      <c r="H6730" s="20"/>
      <c r="I6730" s="20"/>
      <c r="J6730" s="20" t="s">
        <v>4059</v>
      </c>
      <c r="K6730" s="20" t="s">
        <v>241</v>
      </c>
      <c r="L6730" s="20">
        <v>4230000</v>
      </c>
      <c r="M6730" s="20" t="s">
        <v>242</v>
      </c>
      <c r="N6730" s="20" t="s">
        <v>4139</v>
      </c>
    </row>
    <row r="6731" spans="1:14" hidden="1" x14ac:dyDescent="0.25">
      <c r="A6731" s="19">
        <v>46204</v>
      </c>
      <c r="B6731" s="20" t="s">
        <v>2481</v>
      </c>
      <c r="C6731" s="20">
        <v>57</v>
      </c>
      <c r="D6731" s="20" t="s">
        <v>238</v>
      </c>
      <c r="E6731" s="20" t="s">
        <v>2341</v>
      </c>
      <c r="F6731" s="20" t="s">
        <v>1194</v>
      </c>
      <c r="G6731" s="20" t="s">
        <v>82</v>
      </c>
      <c r="H6731" s="20"/>
      <c r="I6731" s="20"/>
      <c r="J6731" s="20" t="s">
        <v>211</v>
      </c>
      <c r="K6731" s="20" t="s">
        <v>250</v>
      </c>
      <c r="L6731" s="20">
        <v>40010000</v>
      </c>
      <c r="M6731" s="20" t="s">
        <v>242</v>
      </c>
      <c r="N6731" s="20" t="s">
        <v>4140</v>
      </c>
    </row>
    <row r="6732" spans="1:14" hidden="1" x14ac:dyDescent="0.25">
      <c r="A6732" s="19">
        <v>46204</v>
      </c>
      <c r="B6732" s="20" t="s">
        <v>2481</v>
      </c>
      <c r="C6732" s="20">
        <v>57</v>
      </c>
      <c r="D6732" s="20" t="s">
        <v>238</v>
      </c>
      <c r="E6732" s="20" t="s">
        <v>2341</v>
      </c>
      <c r="F6732" s="20" t="s">
        <v>2487</v>
      </c>
      <c r="G6732" s="20" t="s">
        <v>82</v>
      </c>
      <c r="H6732" s="20" t="s">
        <v>184</v>
      </c>
      <c r="I6732" s="20"/>
      <c r="J6732" s="20" t="s">
        <v>211</v>
      </c>
      <c r="K6732" s="20" t="s">
        <v>250</v>
      </c>
      <c r="L6732" s="20">
        <v>23170000</v>
      </c>
      <c r="M6732" s="20" t="s">
        <v>242</v>
      </c>
      <c r="N6732" s="20" t="s">
        <v>4048</v>
      </c>
    </row>
    <row r="6733" spans="1:14" hidden="1" x14ac:dyDescent="0.25">
      <c r="A6733" s="19">
        <v>46204</v>
      </c>
      <c r="B6733" s="20" t="s">
        <v>2481</v>
      </c>
      <c r="C6733" s="20">
        <v>57</v>
      </c>
      <c r="D6733" s="20" t="s">
        <v>238</v>
      </c>
      <c r="E6733" s="20" t="s">
        <v>2341</v>
      </c>
      <c r="F6733" s="20" t="s">
        <v>2488</v>
      </c>
      <c r="G6733" s="20" t="s">
        <v>82</v>
      </c>
      <c r="H6733" s="20" t="s">
        <v>185</v>
      </c>
      <c r="I6733" s="20"/>
      <c r="J6733" s="20" t="s">
        <v>211</v>
      </c>
      <c r="K6733" s="20" t="s">
        <v>250</v>
      </c>
      <c r="L6733" s="20">
        <v>16840000</v>
      </c>
      <c r="M6733" s="20" t="s">
        <v>242</v>
      </c>
      <c r="N6733" s="20" t="s">
        <v>4051</v>
      </c>
    </row>
    <row r="6734" spans="1:14" hidden="1" x14ac:dyDescent="0.25">
      <c r="A6734" s="19">
        <v>46204</v>
      </c>
      <c r="B6734" s="20" t="s">
        <v>2481</v>
      </c>
      <c r="C6734" s="20">
        <v>58</v>
      </c>
      <c r="D6734" s="20" t="s">
        <v>238</v>
      </c>
      <c r="E6734" s="20" t="s">
        <v>2341</v>
      </c>
      <c r="F6734" s="20" t="s">
        <v>1196</v>
      </c>
      <c r="G6734" s="20" t="s">
        <v>82</v>
      </c>
      <c r="H6734" s="20"/>
      <c r="I6734" s="20"/>
      <c r="J6734" s="20" t="s">
        <v>211</v>
      </c>
      <c r="K6734" s="20" t="s">
        <v>250</v>
      </c>
      <c r="L6734" s="20">
        <v>3090000000</v>
      </c>
      <c r="M6734" s="20" t="s">
        <v>245</v>
      </c>
      <c r="N6734" s="20" t="s">
        <v>2004</v>
      </c>
    </row>
    <row r="6735" spans="1:14" hidden="1" x14ac:dyDescent="0.25">
      <c r="A6735" s="19">
        <v>46204</v>
      </c>
      <c r="B6735" s="20" t="s">
        <v>2481</v>
      </c>
      <c r="C6735" s="20">
        <v>58</v>
      </c>
      <c r="D6735" s="20" t="s">
        <v>238</v>
      </c>
      <c r="E6735" s="20" t="s">
        <v>2341</v>
      </c>
      <c r="F6735" s="20" t="s">
        <v>2489</v>
      </c>
      <c r="G6735" s="20" t="s">
        <v>82</v>
      </c>
      <c r="H6735" s="20" t="s">
        <v>184</v>
      </c>
      <c r="I6735" s="20"/>
      <c r="J6735" s="20" t="s">
        <v>211</v>
      </c>
      <c r="K6735" s="20" t="s">
        <v>250</v>
      </c>
      <c r="L6735" s="20">
        <v>2340000000</v>
      </c>
      <c r="M6735" s="20" t="s">
        <v>245</v>
      </c>
      <c r="N6735" s="20" t="s">
        <v>4049</v>
      </c>
    </row>
    <row r="6736" spans="1:14" hidden="1" x14ac:dyDescent="0.25">
      <c r="A6736" s="19">
        <v>46204</v>
      </c>
      <c r="B6736" s="20" t="s">
        <v>2481</v>
      </c>
      <c r="C6736" s="20">
        <v>58</v>
      </c>
      <c r="D6736" s="20" t="s">
        <v>238</v>
      </c>
      <c r="E6736" s="20" t="s">
        <v>2341</v>
      </c>
      <c r="F6736" s="20" t="s">
        <v>2490</v>
      </c>
      <c r="G6736" s="20" t="s">
        <v>82</v>
      </c>
      <c r="H6736" s="20" t="s">
        <v>185</v>
      </c>
      <c r="I6736" s="20"/>
      <c r="J6736" s="20" t="s">
        <v>211</v>
      </c>
      <c r="K6736" s="20" t="s">
        <v>250</v>
      </c>
      <c r="L6736" s="20">
        <v>750000000</v>
      </c>
      <c r="M6736" s="20" t="s">
        <v>245</v>
      </c>
      <c r="N6736" s="20" t="s">
        <v>4141</v>
      </c>
    </row>
    <row r="6737" spans="1:14" hidden="1" x14ac:dyDescent="0.25">
      <c r="A6737" s="19">
        <v>46204</v>
      </c>
      <c r="B6737" s="20" t="s">
        <v>2481</v>
      </c>
      <c r="C6737" s="20">
        <v>59</v>
      </c>
      <c r="D6737" s="20" t="s">
        <v>238</v>
      </c>
      <c r="E6737" s="20" t="s">
        <v>2341</v>
      </c>
      <c r="F6737" s="20" t="s">
        <v>1213</v>
      </c>
      <c r="G6737" s="20" t="s">
        <v>82</v>
      </c>
      <c r="H6737" s="20"/>
      <c r="I6737" s="20"/>
      <c r="J6737" s="20" t="s">
        <v>211</v>
      </c>
      <c r="K6737" s="20" t="s">
        <v>250</v>
      </c>
      <c r="L6737" s="20">
        <v>77.2</v>
      </c>
      <c r="M6737" s="20" t="s">
        <v>245</v>
      </c>
      <c r="N6737" s="20" t="s">
        <v>4142</v>
      </c>
    </row>
    <row r="6738" spans="1:14" hidden="1" x14ac:dyDescent="0.25">
      <c r="A6738" s="19">
        <v>46204</v>
      </c>
      <c r="B6738" s="20" t="s">
        <v>2481</v>
      </c>
      <c r="C6738" s="20">
        <v>59</v>
      </c>
      <c r="D6738" s="20" t="s">
        <v>238</v>
      </c>
      <c r="E6738" s="20" t="s">
        <v>2341</v>
      </c>
      <c r="F6738" s="20" t="s">
        <v>2493</v>
      </c>
      <c r="G6738" s="20" t="s">
        <v>82</v>
      </c>
      <c r="H6738" s="20" t="s">
        <v>184</v>
      </c>
      <c r="I6738" s="20"/>
      <c r="J6738" s="20" t="s">
        <v>211</v>
      </c>
      <c r="K6738" s="20" t="s">
        <v>250</v>
      </c>
      <c r="L6738" s="20">
        <v>100.8</v>
      </c>
      <c r="M6738" s="20" t="s">
        <v>245</v>
      </c>
      <c r="N6738" s="20" t="s">
        <v>2093</v>
      </c>
    </row>
    <row r="6739" spans="1:14" hidden="1" x14ac:dyDescent="0.25">
      <c r="A6739" s="19">
        <v>46204</v>
      </c>
      <c r="B6739" s="20" t="s">
        <v>2481</v>
      </c>
      <c r="C6739" s="20">
        <v>59</v>
      </c>
      <c r="D6739" s="20" t="s">
        <v>238</v>
      </c>
      <c r="E6739" s="20" t="s">
        <v>2341</v>
      </c>
      <c r="F6739" s="20" t="s">
        <v>2495</v>
      </c>
      <c r="G6739" s="20" t="s">
        <v>82</v>
      </c>
      <c r="H6739" s="20" t="s">
        <v>185</v>
      </c>
      <c r="I6739" s="20"/>
      <c r="J6739" s="20" t="s">
        <v>211</v>
      </c>
      <c r="K6739" s="20" t="s">
        <v>250</v>
      </c>
      <c r="L6739" s="20">
        <v>44.6</v>
      </c>
      <c r="M6739" s="20" t="s">
        <v>245</v>
      </c>
      <c r="N6739" s="20" t="s">
        <v>4143</v>
      </c>
    </row>
    <row r="6740" spans="1:14" hidden="1" x14ac:dyDescent="0.25">
      <c r="A6740" s="19">
        <v>46204</v>
      </c>
      <c r="B6740" s="20" t="s">
        <v>120</v>
      </c>
      <c r="C6740" s="20">
        <v>61</v>
      </c>
      <c r="D6740" s="20" t="s">
        <v>238</v>
      </c>
      <c r="E6740" s="20" t="s">
        <v>2341</v>
      </c>
      <c r="F6740" s="20" t="s">
        <v>240</v>
      </c>
      <c r="G6740" s="20" t="s">
        <v>82</v>
      </c>
      <c r="H6740" s="20"/>
      <c r="I6740" s="20"/>
      <c r="J6740" s="20" t="s">
        <v>4059</v>
      </c>
      <c r="K6740" s="20" t="s">
        <v>241</v>
      </c>
      <c r="L6740" s="20">
        <v>48310000</v>
      </c>
      <c r="M6740" s="20" t="s">
        <v>242</v>
      </c>
      <c r="N6740" s="20" t="s">
        <v>4144</v>
      </c>
    </row>
    <row r="6741" spans="1:14" hidden="1" x14ac:dyDescent="0.25">
      <c r="A6741" s="19">
        <v>46204</v>
      </c>
      <c r="B6741" s="20" t="s">
        <v>120</v>
      </c>
      <c r="C6741" s="20">
        <v>61</v>
      </c>
      <c r="D6741" s="20" t="s">
        <v>238</v>
      </c>
      <c r="E6741" s="20" t="s">
        <v>2341</v>
      </c>
      <c r="F6741" s="20" t="s">
        <v>244</v>
      </c>
      <c r="G6741" s="20" t="s">
        <v>82</v>
      </c>
      <c r="H6741" s="20"/>
      <c r="I6741" s="20"/>
      <c r="J6741" s="20" t="s">
        <v>4059</v>
      </c>
      <c r="K6741" s="20" t="s">
        <v>241</v>
      </c>
      <c r="L6741" s="20">
        <v>9190000000</v>
      </c>
      <c r="M6741" s="20" t="s">
        <v>245</v>
      </c>
      <c r="N6741" s="20" t="s">
        <v>4145</v>
      </c>
    </row>
    <row r="6742" spans="1:14" hidden="1" x14ac:dyDescent="0.25">
      <c r="A6742" s="19">
        <v>46204</v>
      </c>
      <c r="B6742" s="20" t="s">
        <v>120</v>
      </c>
      <c r="C6742" s="20">
        <v>62</v>
      </c>
      <c r="D6742" s="20" t="s">
        <v>253</v>
      </c>
      <c r="E6742" s="20" t="s">
        <v>2359</v>
      </c>
      <c r="F6742" s="20" t="s">
        <v>285</v>
      </c>
      <c r="G6742" s="20" t="s">
        <v>63</v>
      </c>
      <c r="H6742" s="20"/>
      <c r="I6742" s="20"/>
      <c r="J6742" s="20" t="s">
        <v>209</v>
      </c>
      <c r="K6742" s="20" t="s">
        <v>255</v>
      </c>
      <c r="L6742" s="20">
        <v>5250000</v>
      </c>
      <c r="M6742" s="20" t="s">
        <v>242</v>
      </c>
      <c r="N6742" s="20" t="s">
        <v>3880</v>
      </c>
    </row>
    <row r="6743" spans="1:14" hidden="1" x14ac:dyDescent="0.25">
      <c r="A6743" s="19">
        <v>46204</v>
      </c>
      <c r="B6743" s="20" t="s">
        <v>120</v>
      </c>
      <c r="C6743" s="20">
        <v>62</v>
      </c>
      <c r="D6743" s="20" t="s">
        <v>253</v>
      </c>
      <c r="E6743" s="20" t="s">
        <v>2359</v>
      </c>
      <c r="F6743" s="20" t="s">
        <v>285</v>
      </c>
      <c r="G6743" s="20" t="s">
        <v>63</v>
      </c>
      <c r="H6743" s="20"/>
      <c r="I6743" s="20"/>
      <c r="J6743" s="20" t="s">
        <v>210</v>
      </c>
      <c r="K6743" s="20" t="s">
        <v>255</v>
      </c>
      <c r="L6743" s="20">
        <v>5290000</v>
      </c>
      <c r="M6743" s="20" t="s">
        <v>242</v>
      </c>
      <c r="N6743" s="20" t="s">
        <v>4021</v>
      </c>
    </row>
    <row r="6744" spans="1:14" hidden="1" x14ac:dyDescent="0.25">
      <c r="A6744" s="19">
        <v>46204</v>
      </c>
      <c r="B6744" s="20" t="s">
        <v>120</v>
      </c>
      <c r="C6744" s="20">
        <v>62</v>
      </c>
      <c r="D6744" s="20" t="s">
        <v>253</v>
      </c>
      <c r="E6744" s="20" t="s">
        <v>2359</v>
      </c>
      <c r="F6744" s="20" t="s">
        <v>285</v>
      </c>
      <c r="G6744" s="20" t="s">
        <v>63</v>
      </c>
      <c r="H6744" s="20"/>
      <c r="I6744" s="20"/>
      <c r="J6744" s="20" t="s">
        <v>211</v>
      </c>
      <c r="K6744" s="20" t="s">
        <v>255</v>
      </c>
      <c r="L6744" s="20">
        <v>5340000</v>
      </c>
      <c r="M6744" s="20" t="s">
        <v>242</v>
      </c>
      <c r="N6744" s="20" t="s">
        <v>4146</v>
      </c>
    </row>
    <row r="6745" spans="1:14" hidden="1" x14ac:dyDescent="0.25">
      <c r="A6745" s="19">
        <v>46204</v>
      </c>
      <c r="B6745" s="20" t="s">
        <v>120</v>
      </c>
      <c r="C6745" s="20">
        <v>62</v>
      </c>
      <c r="D6745" s="20" t="s">
        <v>247</v>
      </c>
      <c r="E6745" s="20" t="s">
        <v>2554</v>
      </c>
      <c r="F6745" s="20" t="s">
        <v>2555</v>
      </c>
      <c r="G6745" s="20" t="s">
        <v>63</v>
      </c>
      <c r="H6745" s="20" t="s">
        <v>286</v>
      </c>
      <c r="I6745" s="20"/>
      <c r="J6745" s="20" t="s">
        <v>211</v>
      </c>
      <c r="K6745" s="20" t="s">
        <v>250</v>
      </c>
      <c r="L6745" s="20">
        <v>0.9</v>
      </c>
      <c r="M6745" s="20" t="s">
        <v>251</v>
      </c>
      <c r="N6745" s="20" t="s">
        <v>845</v>
      </c>
    </row>
    <row r="6746" spans="1:14" hidden="1" x14ac:dyDescent="0.25">
      <c r="A6746" s="19">
        <v>46204</v>
      </c>
      <c r="B6746" s="20" t="s">
        <v>120</v>
      </c>
      <c r="C6746" s="20">
        <v>63</v>
      </c>
      <c r="D6746" s="20" t="s">
        <v>291</v>
      </c>
      <c r="E6746" s="20" t="s">
        <v>2361</v>
      </c>
      <c r="F6746" s="20" t="s">
        <v>285</v>
      </c>
      <c r="G6746" s="20" t="s">
        <v>63</v>
      </c>
      <c r="H6746" s="20" t="s">
        <v>122</v>
      </c>
      <c r="I6746" s="20"/>
      <c r="J6746" s="20" t="s">
        <v>211</v>
      </c>
      <c r="K6746" s="20" t="s">
        <v>250</v>
      </c>
      <c r="L6746" s="20">
        <v>5290000</v>
      </c>
      <c r="M6746" s="20" t="s">
        <v>242</v>
      </c>
      <c r="N6746" s="20" t="s">
        <v>3919</v>
      </c>
    </row>
    <row r="6747" spans="1:14" hidden="1" x14ac:dyDescent="0.25">
      <c r="A6747" s="19">
        <v>46204</v>
      </c>
      <c r="B6747" s="20" t="s">
        <v>120</v>
      </c>
      <c r="C6747" s="20">
        <v>63</v>
      </c>
      <c r="D6747" s="20" t="s">
        <v>291</v>
      </c>
      <c r="E6747" s="20" t="s">
        <v>2361</v>
      </c>
      <c r="F6747" s="20" t="s">
        <v>285</v>
      </c>
      <c r="G6747" s="20" t="s">
        <v>63</v>
      </c>
      <c r="H6747" s="20" t="s">
        <v>123</v>
      </c>
      <c r="I6747" s="20"/>
      <c r="J6747" s="20" t="s">
        <v>211</v>
      </c>
      <c r="K6747" s="20" t="s">
        <v>250</v>
      </c>
      <c r="L6747" s="20">
        <v>45120</v>
      </c>
      <c r="M6747" s="20" t="s">
        <v>242</v>
      </c>
      <c r="N6747" s="20" t="s">
        <v>4147</v>
      </c>
    </row>
    <row r="6748" spans="1:14" hidden="1" x14ac:dyDescent="0.25">
      <c r="A6748" s="19">
        <v>46204</v>
      </c>
      <c r="B6748" s="20" t="s">
        <v>120</v>
      </c>
      <c r="C6748" s="20">
        <v>63</v>
      </c>
      <c r="D6748" s="20" t="s">
        <v>238</v>
      </c>
      <c r="E6748" s="20" t="s">
        <v>2341</v>
      </c>
      <c r="F6748" s="20" t="s">
        <v>376</v>
      </c>
      <c r="G6748" s="20" t="s">
        <v>63</v>
      </c>
      <c r="H6748" s="20"/>
      <c r="I6748" s="20"/>
      <c r="J6748" s="20" t="s">
        <v>211</v>
      </c>
      <c r="K6748" s="20" t="s">
        <v>250</v>
      </c>
      <c r="L6748" s="20">
        <v>5340000</v>
      </c>
      <c r="M6748" s="20" t="s">
        <v>242</v>
      </c>
      <c r="N6748" s="20" t="s">
        <v>4001</v>
      </c>
    </row>
    <row r="6749" spans="1:14" hidden="1" x14ac:dyDescent="0.25">
      <c r="A6749" s="19">
        <v>46204</v>
      </c>
      <c r="B6749" s="20" t="s">
        <v>120</v>
      </c>
      <c r="C6749" s="20">
        <v>64</v>
      </c>
      <c r="D6749" s="20" t="s">
        <v>238</v>
      </c>
      <c r="E6749" s="20" t="s">
        <v>2341</v>
      </c>
      <c r="F6749" s="20" t="s">
        <v>378</v>
      </c>
      <c r="G6749" s="20" t="s">
        <v>379</v>
      </c>
      <c r="H6749" s="20"/>
      <c r="I6749" s="20"/>
      <c r="J6749" s="20" t="s">
        <v>211</v>
      </c>
      <c r="K6749" s="20" t="s">
        <v>250</v>
      </c>
      <c r="L6749" s="20">
        <v>738</v>
      </c>
      <c r="M6749" s="20" t="s">
        <v>242</v>
      </c>
      <c r="N6749" s="20" t="s">
        <v>4053</v>
      </c>
    </row>
    <row r="6750" spans="1:14" hidden="1" x14ac:dyDescent="0.25">
      <c r="A6750" s="19">
        <v>46204</v>
      </c>
      <c r="B6750" s="20" t="s">
        <v>120</v>
      </c>
      <c r="C6750" s="20">
        <v>64</v>
      </c>
      <c r="D6750" s="20" t="s">
        <v>238</v>
      </c>
      <c r="E6750" s="20" t="s">
        <v>2341</v>
      </c>
      <c r="F6750" s="20" t="s">
        <v>381</v>
      </c>
      <c r="G6750" s="20" t="s">
        <v>382</v>
      </c>
      <c r="H6750" s="20"/>
      <c r="I6750" s="20"/>
      <c r="J6750" s="20" t="s">
        <v>211</v>
      </c>
      <c r="K6750" s="20" t="s">
        <v>250</v>
      </c>
      <c r="L6750" s="20">
        <v>2546</v>
      </c>
      <c r="M6750" s="20" t="s">
        <v>242</v>
      </c>
      <c r="N6750" s="20" t="s">
        <v>4054</v>
      </c>
    </row>
    <row r="6751" spans="1:14" hidden="1" x14ac:dyDescent="0.25">
      <c r="A6751" s="19">
        <v>46204</v>
      </c>
      <c r="B6751" s="20" t="s">
        <v>120</v>
      </c>
      <c r="C6751" s="20">
        <v>65</v>
      </c>
      <c r="D6751" s="20" t="s">
        <v>253</v>
      </c>
      <c r="E6751" s="20" t="s">
        <v>2359</v>
      </c>
      <c r="F6751" s="20" t="s">
        <v>240</v>
      </c>
      <c r="G6751" s="20" t="s">
        <v>82</v>
      </c>
      <c r="H6751" s="20"/>
      <c r="I6751" s="20"/>
      <c r="J6751" s="20" t="s">
        <v>209</v>
      </c>
      <c r="K6751" s="20" t="s">
        <v>255</v>
      </c>
      <c r="L6751" s="20">
        <v>6860000</v>
      </c>
      <c r="M6751" s="20" t="s">
        <v>242</v>
      </c>
      <c r="N6751" s="20" t="s">
        <v>3882</v>
      </c>
    </row>
    <row r="6752" spans="1:14" hidden="1" x14ac:dyDescent="0.25">
      <c r="A6752" s="19">
        <v>46204</v>
      </c>
      <c r="B6752" s="20" t="s">
        <v>120</v>
      </c>
      <c r="C6752" s="20">
        <v>65</v>
      </c>
      <c r="D6752" s="20" t="s">
        <v>253</v>
      </c>
      <c r="E6752" s="20" t="s">
        <v>2359</v>
      </c>
      <c r="F6752" s="20" t="s">
        <v>240</v>
      </c>
      <c r="G6752" s="20" t="s">
        <v>82</v>
      </c>
      <c r="H6752" s="20"/>
      <c r="I6752" s="20"/>
      <c r="J6752" s="20" t="s">
        <v>210</v>
      </c>
      <c r="K6752" s="20" t="s">
        <v>255</v>
      </c>
      <c r="L6752" s="20">
        <v>7060000</v>
      </c>
      <c r="M6752" s="20" t="s">
        <v>242</v>
      </c>
      <c r="N6752" s="20" t="s">
        <v>4023</v>
      </c>
    </row>
    <row r="6753" spans="1:14" hidden="1" x14ac:dyDescent="0.25">
      <c r="A6753" s="19">
        <v>46204</v>
      </c>
      <c r="B6753" s="20" t="s">
        <v>120</v>
      </c>
      <c r="C6753" s="20">
        <v>65</v>
      </c>
      <c r="D6753" s="20" t="s">
        <v>253</v>
      </c>
      <c r="E6753" s="20" t="s">
        <v>2359</v>
      </c>
      <c r="F6753" s="20" t="s">
        <v>240</v>
      </c>
      <c r="G6753" s="20" t="s">
        <v>82</v>
      </c>
      <c r="H6753" s="20"/>
      <c r="I6753" s="20"/>
      <c r="J6753" s="20" t="s">
        <v>211</v>
      </c>
      <c r="K6753" s="20" t="s">
        <v>255</v>
      </c>
      <c r="L6753" s="20">
        <v>7320000</v>
      </c>
      <c r="M6753" s="20" t="s">
        <v>242</v>
      </c>
      <c r="N6753" s="20" t="s">
        <v>4148</v>
      </c>
    </row>
    <row r="6754" spans="1:14" hidden="1" x14ac:dyDescent="0.25">
      <c r="A6754" s="19">
        <v>46204</v>
      </c>
      <c r="B6754" s="20" t="s">
        <v>120</v>
      </c>
      <c r="C6754" s="20">
        <v>65</v>
      </c>
      <c r="D6754" s="20" t="s">
        <v>247</v>
      </c>
      <c r="E6754" s="20" t="s">
        <v>2554</v>
      </c>
      <c r="F6754" s="20" t="s">
        <v>2556</v>
      </c>
      <c r="G6754" s="20" t="s">
        <v>82</v>
      </c>
      <c r="H6754" s="20" t="s">
        <v>286</v>
      </c>
      <c r="I6754" s="20"/>
      <c r="J6754" s="20" t="s">
        <v>211</v>
      </c>
      <c r="K6754" s="20" t="s">
        <v>250</v>
      </c>
      <c r="L6754" s="20">
        <v>3.8</v>
      </c>
      <c r="M6754" s="20" t="s">
        <v>251</v>
      </c>
      <c r="N6754" s="20" t="s">
        <v>855</v>
      </c>
    </row>
    <row r="6755" spans="1:14" hidden="1" x14ac:dyDescent="0.25">
      <c r="A6755" s="19">
        <v>46204</v>
      </c>
      <c r="B6755" s="20" t="s">
        <v>120</v>
      </c>
      <c r="C6755" s="20">
        <v>66</v>
      </c>
      <c r="D6755" s="20" t="s">
        <v>291</v>
      </c>
      <c r="E6755" s="20" t="s">
        <v>2361</v>
      </c>
      <c r="F6755" s="20" t="s">
        <v>2502</v>
      </c>
      <c r="G6755" s="20" t="s">
        <v>82</v>
      </c>
      <c r="H6755" s="20" t="s">
        <v>131</v>
      </c>
      <c r="I6755" s="20"/>
      <c r="J6755" s="20" t="s">
        <v>211</v>
      </c>
      <c r="K6755" s="20" t="s">
        <v>250</v>
      </c>
      <c r="L6755" s="20">
        <v>36000</v>
      </c>
      <c r="M6755" s="20" t="s">
        <v>242</v>
      </c>
      <c r="N6755" s="20" t="s">
        <v>1854</v>
      </c>
    </row>
    <row r="6756" spans="1:14" hidden="1" x14ac:dyDescent="0.25">
      <c r="A6756" s="19">
        <v>46204</v>
      </c>
      <c r="B6756" s="20" t="s">
        <v>120</v>
      </c>
      <c r="C6756" s="20">
        <v>66</v>
      </c>
      <c r="D6756" s="20" t="s">
        <v>291</v>
      </c>
      <c r="E6756" s="20" t="s">
        <v>2361</v>
      </c>
      <c r="F6756" s="20" t="s">
        <v>2502</v>
      </c>
      <c r="G6756" s="20" t="s">
        <v>82</v>
      </c>
      <c r="H6756" s="20" t="s">
        <v>125</v>
      </c>
      <c r="I6756" s="20"/>
      <c r="J6756" s="20" t="s">
        <v>211</v>
      </c>
      <c r="K6756" s="20" t="s">
        <v>250</v>
      </c>
      <c r="L6756" s="20">
        <v>36000</v>
      </c>
      <c r="M6756" s="20" t="s">
        <v>242</v>
      </c>
      <c r="N6756" s="20" t="s">
        <v>1854</v>
      </c>
    </row>
    <row r="6757" spans="1:14" hidden="1" x14ac:dyDescent="0.25">
      <c r="A6757" s="19">
        <v>46204</v>
      </c>
      <c r="B6757" s="20" t="s">
        <v>120</v>
      </c>
      <c r="C6757" s="20">
        <v>66</v>
      </c>
      <c r="D6757" s="20" t="s">
        <v>291</v>
      </c>
      <c r="E6757" s="20" t="s">
        <v>2361</v>
      </c>
      <c r="F6757" s="20" t="s">
        <v>2502</v>
      </c>
      <c r="G6757" s="20" t="s">
        <v>82</v>
      </c>
      <c r="H6757" s="20" t="s">
        <v>128</v>
      </c>
      <c r="I6757" s="20"/>
      <c r="J6757" s="20" t="s">
        <v>211</v>
      </c>
      <c r="K6757" s="20" t="s">
        <v>250</v>
      </c>
      <c r="L6757" s="20">
        <v>39000</v>
      </c>
      <c r="M6757" s="20" t="s">
        <v>242</v>
      </c>
      <c r="N6757" s="20" t="s">
        <v>2198</v>
      </c>
    </row>
    <row r="6758" spans="1:14" hidden="1" x14ac:dyDescent="0.25">
      <c r="A6758" s="19">
        <v>46204</v>
      </c>
      <c r="B6758" s="20" t="s">
        <v>120</v>
      </c>
      <c r="C6758" s="20">
        <v>66</v>
      </c>
      <c r="D6758" s="20" t="s">
        <v>291</v>
      </c>
      <c r="E6758" s="20" t="s">
        <v>2361</v>
      </c>
      <c r="F6758" s="20" t="s">
        <v>2502</v>
      </c>
      <c r="G6758" s="20" t="s">
        <v>82</v>
      </c>
      <c r="H6758" s="20" t="s">
        <v>132</v>
      </c>
      <c r="I6758" s="20"/>
      <c r="J6758" s="20" t="s">
        <v>211</v>
      </c>
      <c r="K6758" s="20" t="s">
        <v>250</v>
      </c>
      <c r="L6758" s="20">
        <v>69000</v>
      </c>
      <c r="M6758" s="20" t="s">
        <v>242</v>
      </c>
      <c r="N6758" s="20" t="s">
        <v>4149</v>
      </c>
    </row>
    <row r="6759" spans="1:14" hidden="1" x14ac:dyDescent="0.25">
      <c r="A6759" s="19">
        <v>46204</v>
      </c>
      <c r="B6759" s="20" t="s">
        <v>120</v>
      </c>
      <c r="C6759" s="20">
        <v>66</v>
      </c>
      <c r="D6759" s="20" t="s">
        <v>291</v>
      </c>
      <c r="E6759" s="20" t="s">
        <v>2361</v>
      </c>
      <c r="F6759" s="20" t="s">
        <v>2502</v>
      </c>
      <c r="G6759" s="20" t="s">
        <v>82</v>
      </c>
      <c r="H6759" s="20" t="s">
        <v>126</v>
      </c>
      <c r="I6759" s="20"/>
      <c r="J6759" s="20" t="s">
        <v>211</v>
      </c>
      <c r="K6759" s="20" t="s">
        <v>250</v>
      </c>
      <c r="L6759" s="20">
        <v>154000</v>
      </c>
      <c r="M6759" s="20" t="s">
        <v>242</v>
      </c>
      <c r="N6759" s="20" t="s">
        <v>4150</v>
      </c>
    </row>
    <row r="6760" spans="1:14" hidden="1" x14ac:dyDescent="0.25">
      <c r="A6760" s="19">
        <v>46204</v>
      </c>
      <c r="B6760" s="20" t="s">
        <v>120</v>
      </c>
      <c r="C6760" s="20">
        <v>66</v>
      </c>
      <c r="D6760" s="20" t="s">
        <v>291</v>
      </c>
      <c r="E6760" s="20" t="s">
        <v>2361</v>
      </c>
      <c r="F6760" s="20" t="s">
        <v>2502</v>
      </c>
      <c r="G6760" s="20" t="s">
        <v>82</v>
      </c>
      <c r="H6760" s="20" t="s">
        <v>127</v>
      </c>
      <c r="I6760" s="20"/>
      <c r="J6760" s="20" t="s">
        <v>211</v>
      </c>
      <c r="K6760" s="20" t="s">
        <v>250</v>
      </c>
      <c r="L6760" s="20">
        <v>327000</v>
      </c>
      <c r="M6760" s="20" t="s">
        <v>242</v>
      </c>
      <c r="N6760" s="20" t="s">
        <v>4151</v>
      </c>
    </row>
    <row r="6761" spans="1:14" hidden="1" x14ac:dyDescent="0.25">
      <c r="A6761" s="19">
        <v>46204</v>
      </c>
      <c r="B6761" s="20" t="s">
        <v>120</v>
      </c>
      <c r="C6761" s="20">
        <v>66</v>
      </c>
      <c r="D6761" s="20" t="s">
        <v>291</v>
      </c>
      <c r="E6761" s="20" t="s">
        <v>2361</v>
      </c>
      <c r="F6761" s="20" t="s">
        <v>2502</v>
      </c>
      <c r="G6761" s="20" t="s">
        <v>82</v>
      </c>
      <c r="H6761" s="20" t="s">
        <v>133</v>
      </c>
      <c r="I6761" s="20"/>
      <c r="J6761" s="20" t="s">
        <v>211</v>
      </c>
      <c r="K6761" s="20" t="s">
        <v>250</v>
      </c>
      <c r="L6761" s="20">
        <v>588000</v>
      </c>
      <c r="M6761" s="20" t="s">
        <v>242</v>
      </c>
      <c r="N6761" s="20" t="s">
        <v>1831</v>
      </c>
    </row>
    <row r="6762" spans="1:14" hidden="1" x14ac:dyDescent="0.25">
      <c r="A6762" s="19">
        <v>46204</v>
      </c>
      <c r="B6762" s="20" t="s">
        <v>120</v>
      </c>
      <c r="C6762" s="20">
        <v>66</v>
      </c>
      <c r="D6762" s="20" t="s">
        <v>291</v>
      </c>
      <c r="E6762" s="20" t="s">
        <v>2361</v>
      </c>
      <c r="F6762" s="20" t="s">
        <v>2502</v>
      </c>
      <c r="G6762" s="20" t="s">
        <v>82</v>
      </c>
      <c r="H6762" s="20" t="s">
        <v>129</v>
      </c>
      <c r="I6762" s="20"/>
      <c r="J6762" s="20" t="s">
        <v>211</v>
      </c>
      <c r="K6762" s="20" t="s">
        <v>250</v>
      </c>
      <c r="L6762" s="20">
        <v>1710000</v>
      </c>
      <c r="M6762" s="20" t="s">
        <v>242</v>
      </c>
      <c r="N6762" s="20" t="s">
        <v>740</v>
      </c>
    </row>
    <row r="6763" spans="1:14" hidden="1" x14ac:dyDescent="0.25">
      <c r="A6763" s="19">
        <v>46204</v>
      </c>
      <c r="B6763" s="20" t="s">
        <v>120</v>
      </c>
      <c r="C6763" s="20">
        <v>66</v>
      </c>
      <c r="D6763" s="20" t="s">
        <v>291</v>
      </c>
      <c r="E6763" s="20" t="s">
        <v>2361</v>
      </c>
      <c r="F6763" s="20" t="s">
        <v>2502</v>
      </c>
      <c r="G6763" s="20" t="s">
        <v>82</v>
      </c>
      <c r="H6763" s="20" t="s">
        <v>134</v>
      </c>
      <c r="I6763" s="20"/>
      <c r="J6763" s="20" t="s">
        <v>211</v>
      </c>
      <c r="K6763" s="20" t="s">
        <v>250</v>
      </c>
      <c r="L6763" s="20">
        <v>2050000</v>
      </c>
      <c r="M6763" s="20" t="s">
        <v>242</v>
      </c>
      <c r="N6763" s="20" t="s">
        <v>465</v>
      </c>
    </row>
    <row r="6764" spans="1:14" hidden="1" x14ac:dyDescent="0.25">
      <c r="A6764" s="19">
        <v>46204</v>
      </c>
      <c r="B6764" s="20" t="s">
        <v>120</v>
      </c>
      <c r="C6764" s="20">
        <v>66</v>
      </c>
      <c r="D6764" s="20" t="s">
        <v>291</v>
      </c>
      <c r="E6764" s="20" t="s">
        <v>2361</v>
      </c>
      <c r="F6764" s="20" t="s">
        <v>2502</v>
      </c>
      <c r="G6764" s="20" t="s">
        <v>82</v>
      </c>
      <c r="H6764" s="20" t="s">
        <v>130</v>
      </c>
      <c r="I6764" s="20"/>
      <c r="J6764" s="20" t="s">
        <v>211</v>
      </c>
      <c r="K6764" s="20" t="s">
        <v>250</v>
      </c>
      <c r="L6764" s="20">
        <v>2200000</v>
      </c>
      <c r="M6764" s="20" t="s">
        <v>242</v>
      </c>
      <c r="N6764" s="20" t="s">
        <v>3332</v>
      </c>
    </row>
    <row r="6765" spans="1:14" hidden="1" x14ac:dyDescent="0.25">
      <c r="A6765" s="19">
        <v>46204</v>
      </c>
      <c r="B6765" s="20" t="s">
        <v>120</v>
      </c>
      <c r="C6765" s="20">
        <v>67</v>
      </c>
      <c r="D6765" s="20" t="s">
        <v>291</v>
      </c>
      <c r="E6765" s="20" t="s">
        <v>2361</v>
      </c>
      <c r="F6765" s="20" t="s">
        <v>2510</v>
      </c>
      <c r="G6765" s="20" t="s">
        <v>82</v>
      </c>
      <c r="H6765" s="20" t="s">
        <v>138</v>
      </c>
      <c r="I6765" s="20"/>
      <c r="J6765" s="20" t="s">
        <v>211</v>
      </c>
      <c r="K6765" s="20" t="s">
        <v>250</v>
      </c>
      <c r="L6765" s="20">
        <v>6000000</v>
      </c>
      <c r="M6765" s="20" t="s">
        <v>242</v>
      </c>
      <c r="N6765" s="20" t="s">
        <v>2695</v>
      </c>
    </row>
    <row r="6766" spans="1:14" hidden="1" x14ac:dyDescent="0.25">
      <c r="A6766" s="19">
        <v>46204</v>
      </c>
      <c r="B6766" s="20" t="s">
        <v>120</v>
      </c>
      <c r="C6766" s="20">
        <v>67</v>
      </c>
      <c r="D6766" s="20" t="s">
        <v>291</v>
      </c>
      <c r="E6766" s="20" t="s">
        <v>2361</v>
      </c>
      <c r="F6766" s="20" t="s">
        <v>2510</v>
      </c>
      <c r="G6766" s="20" t="s">
        <v>82</v>
      </c>
      <c r="H6766" s="20" t="s">
        <v>137</v>
      </c>
      <c r="I6766" s="20"/>
      <c r="J6766" s="20" t="s">
        <v>211</v>
      </c>
      <c r="K6766" s="20" t="s">
        <v>250</v>
      </c>
      <c r="L6766" s="20">
        <v>1320000</v>
      </c>
      <c r="M6766" s="20" t="s">
        <v>242</v>
      </c>
      <c r="N6766" s="20" t="s">
        <v>1779</v>
      </c>
    </row>
    <row r="6767" spans="1:14" hidden="1" x14ac:dyDescent="0.25">
      <c r="A6767" s="19">
        <v>46204</v>
      </c>
      <c r="B6767" s="20" t="s">
        <v>120</v>
      </c>
      <c r="C6767" s="20">
        <v>68</v>
      </c>
      <c r="D6767" s="20" t="s">
        <v>253</v>
      </c>
      <c r="E6767" s="20" t="s">
        <v>2359</v>
      </c>
      <c r="F6767" s="20" t="s">
        <v>244</v>
      </c>
      <c r="G6767" s="20" t="s">
        <v>82</v>
      </c>
      <c r="H6767" s="20"/>
      <c r="I6767" s="20"/>
      <c r="J6767" s="20" t="s">
        <v>209</v>
      </c>
      <c r="K6767" s="20" t="s">
        <v>255</v>
      </c>
      <c r="L6767" s="20">
        <v>1190000000</v>
      </c>
      <c r="M6767" s="20" t="s">
        <v>245</v>
      </c>
      <c r="N6767" s="20" t="s">
        <v>1371</v>
      </c>
    </row>
    <row r="6768" spans="1:14" hidden="1" x14ac:dyDescent="0.25">
      <c r="A6768" s="19">
        <v>46204</v>
      </c>
      <c r="B6768" s="20" t="s">
        <v>120</v>
      </c>
      <c r="C6768" s="20">
        <v>68</v>
      </c>
      <c r="D6768" s="20" t="s">
        <v>253</v>
      </c>
      <c r="E6768" s="20" t="s">
        <v>2359</v>
      </c>
      <c r="F6768" s="20" t="s">
        <v>244</v>
      </c>
      <c r="G6768" s="20" t="s">
        <v>82</v>
      </c>
      <c r="H6768" s="20"/>
      <c r="I6768" s="20"/>
      <c r="J6768" s="20" t="s">
        <v>210</v>
      </c>
      <c r="K6768" s="20" t="s">
        <v>255</v>
      </c>
      <c r="L6768" s="20">
        <v>1260000000</v>
      </c>
      <c r="M6768" s="20" t="s">
        <v>245</v>
      </c>
      <c r="N6768" s="20" t="s">
        <v>3597</v>
      </c>
    </row>
    <row r="6769" spans="1:14" hidden="1" x14ac:dyDescent="0.25">
      <c r="A6769" s="19">
        <v>46204</v>
      </c>
      <c r="B6769" s="20" t="s">
        <v>120</v>
      </c>
      <c r="C6769" s="20">
        <v>68</v>
      </c>
      <c r="D6769" s="20" t="s">
        <v>253</v>
      </c>
      <c r="E6769" s="20" t="s">
        <v>2359</v>
      </c>
      <c r="F6769" s="20" t="s">
        <v>244</v>
      </c>
      <c r="G6769" s="20" t="s">
        <v>82</v>
      </c>
      <c r="H6769" s="20"/>
      <c r="I6769" s="20"/>
      <c r="J6769" s="20" t="s">
        <v>211</v>
      </c>
      <c r="K6769" s="20" t="s">
        <v>255</v>
      </c>
      <c r="L6769" s="20">
        <v>1410000000</v>
      </c>
      <c r="M6769" s="20" t="s">
        <v>245</v>
      </c>
      <c r="N6769" s="20" t="s">
        <v>1417</v>
      </c>
    </row>
    <row r="6770" spans="1:14" hidden="1" x14ac:dyDescent="0.25">
      <c r="A6770" s="19">
        <v>46204</v>
      </c>
      <c r="B6770" s="20" t="s">
        <v>120</v>
      </c>
      <c r="C6770" s="20">
        <v>68</v>
      </c>
      <c r="D6770" s="20" t="s">
        <v>247</v>
      </c>
      <c r="E6770" s="20" t="s">
        <v>2554</v>
      </c>
      <c r="F6770" s="20" t="s">
        <v>2557</v>
      </c>
      <c r="G6770" s="20" t="s">
        <v>82</v>
      </c>
      <c r="H6770" s="20" t="s">
        <v>286</v>
      </c>
      <c r="I6770" s="20"/>
      <c r="J6770" s="20" t="s">
        <v>211</v>
      </c>
      <c r="K6770" s="20" t="s">
        <v>250</v>
      </c>
      <c r="L6770" s="20">
        <v>11.6</v>
      </c>
      <c r="M6770" s="20" t="s">
        <v>251</v>
      </c>
      <c r="N6770" s="20" t="s">
        <v>318</v>
      </c>
    </row>
    <row r="6771" spans="1:14" hidden="1" x14ac:dyDescent="0.25">
      <c r="A6771" s="19">
        <v>46204</v>
      </c>
      <c r="B6771" s="20" t="s">
        <v>120</v>
      </c>
      <c r="C6771" s="20">
        <v>69</v>
      </c>
      <c r="D6771" s="20" t="s">
        <v>291</v>
      </c>
      <c r="E6771" s="20" t="s">
        <v>2361</v>
      </c>
      <c r="F6771" s="20" t="s">
        <v>2514</v>
      </c>
      <c r="G6771" s="20" t="s">
        <v>82</v>
      </c>
      <c r="H6771" s="20" t="s">
        <v>132</v>
      </c>
      <c r="I6771" s="20"/>
      <c r="J6771" s="20" t="s">
        <v>211</v>
      </c>
      <c r="K6771" s="20" t="s">
        <v>250</v>
      </c>
      <c r="L6771" s="20">
        <v>12000000</v>
      </c>
      <c r="M6771" s="20" t="s">
        <v>245</v>
      </c>
      <c r="N6771" s="20" t="s">
        <v>1755</v>
      </c>
    </row>
    <row r="6772" spans="1:14" hidden="1" x14ac:dyDescent="0.25">
      <c r="A6772" s="19">
        <v>46204</v>
      </c>
      <c r="B6772" s="20" t="s">
        <v>120</v>
      </c>
      <c r="C6772" s="20">
        <v>69</v>
      </c>
      <c r="D6772" s="20" t="s">
        <v>291</v>
      </c>
      <c r="E6772" s="20" t="s">
        <v>2361</v>
      </c>
      <c r="F6772" s="20" t="s">
        <v>2514</v>
      </c>
      <c r="G6772" s="20" t="s">
        <v>82</v>
      </c>
      <c r="H6772" s="20" t="s">
        <v>3887</v>
      </c>
      <c r="I6772" s="20"/>
      <c r="J6772" s="20" t="s">
        <v>211</v>
      </c>
      <c r="K6772" s="20" t="s">
        <v>250</v>
      </c>
      <c r="L6772" s="20">
        <v>13000000</v>
      </c>
      <c r="M6772" s="20" t="s">
        <v>245</v>
      </c>
      <c r="N6772" s="20" t="s">
        <v>2517</v>
      </c>
    </row>
    <row r="6773" spans="1:14" hidden="1" x14ac:dyDescent="0.25">
      <c r="A6773" s="19">
        <v>46204</v>
      </c>
      <c r="B6773" s="20" t="s">
        <v>120</v>
      </c>
      <c r="C6773" s="20">
        <v>69</v>
      </c>
      <c r="D6773" s="20" t="s">
        <v>291</v>
      </c>
      <c r="E6773" s="20" t="s">
        <v>2361</v>
      </c>
      <c r="F6773" s="20" t="s">
        <v>2514</v>
      </c>
      <c r="G6773" s="20" t="s">
        <v>82</v>
      </c>
      <c r="H6773" s="20" t="s">
        <v>131</v>
      </c>
      <c r="I6773" s="20"/>
      <c r="J6773" s="20" t="s">
        <v>211</v>
      </c>
      <c r="K6773" s="20" t="s">
        <v>250</v>
      </c>
      <c r="L6773" s="20">
        <v>16000000</v>
      </c>
      <c r="M6773" s="20" t="s">
        <v>245</v>
      </c>
      <c r="N6773" s="20" t="s">
        <v>3156</v>
      </c>
    </row>
    <row r="6774" spans="1:14" hidden="1" x14ac:dyDescent="0.25">
      <c r="A6774" s="19">
        <v>46204</v>
      </c>
      <c r="B6774" s="20" t="s">
        <v>120</v>
      </c>
      <c r="C6774" s="20">
        <v>69</v>
      </c>
      <c r="D6774" s="20" t="s">
        <v>291</v>
      </c>
      <c r="E6774" s="20" t="s">
        <v>2361</v>
      </c>
      <c r="F6774" s="20" t="s">
        <v>2514</v>
      </c>
      <c r="G6774" s="20" t="s">
        <v>82</v>
      </c>
      <c r="H6774" s="20" t="s">
        <v>140</v>
      </c>
      <c r="I6774" s="20"/>
      <c r="J6774" s="20" t="s">
        <v>211</v>
      </c>
      <c r="K6774" s="20" t="s">
        <v>250</v>
      </c>
      <c r="L6774" s="20">
        <v>18000000</v>
      </c>
      <c r="M6774" s="20" t="s">
        <v>245</v>
      </c>
      <c r="N6774" s="20" t="s">
        <v>2853</v>
      </c>
    </row>
    <row r="6775" spans="1:14" hidden="1" x14ac:dyDescent="0.25">
      <c r="A6775" s="19">
        <v>46204</v>
      </c>
      <c r="B6775" s="20" t="s">
        <v>120</v>
      </c>
      <c r="C6775" s="20">
        <v>69</v>
      </c>
      <c r="D6775" s="20" t="s">
        <v>291</v>
      </c>
      <c r="E6775" s="20" t="s">
        <v>2361</v>
      </c>
      <c r="F6775" s="20" t="s">
        <v>2514</v>
      </c>
      <c r="G6775" s="20" t="s">
        <v>82</v>
      </c>
      <c r="H6775" s="20" t="s">
        <v>126</v>
      </c>
      <c r="I6775" s="20"/>
      <c r="J6775" s="20" t="s">
        <v>211</v>
      </c>
      <c r="K6775" s="20" t="s">
        <v>250</v>
      </c>
      <c r="L6775" s="20">
        <v>32000000</v>
      </c>
      <c r="M6775" s="20" t="s">
        <v>245</v>
      </c>
      <c r="N6775" s="20" t="s">
        <v>3451</v>
      </c>
    </row>
    <row r="6776" spans="1:14" hidden="1" x14ac:dyDescent="0.25">
      <c r="A6776" s="19">
        <v>46204</v>
      </c>
      <c r="B6776" s="20" t="s">
        <v>120</v>
      </c>
      <c r="C6776" s="20">
        <v>69</v>
      </c>
      <c r="D6776" s="20" t="s">
        <v>291</v>
      </c>
      <c r="E6776" s="20" t="s">
        <v>2361</v>
      </c>
      <c r="F6776" s="20" t="s">
        <v>2514</v>
      </c>
      <c r="G6776" s="20" t="s">
        <v>82</v>
      </c>
      <c r="H6776" s="20" t="s">
        <v>130</v>
      </c>
      <c r="I6776" s="20"/>
      <c r="J6776" s="20" t="s">
        <v>211</v>
      </c>
      <c r="K6776" s="20" t="s">
        <v>250</v>
      </c>
      <c r="L6776" s="20">
        <v>36000000</v>
      </c>
      <c r="M6776" s="20" t="s">
        <v>245</v>
      </c>
      <c r="N6776" s="20" t="s">
        <v>3157</v>
      </c>
    </row>
    <row r="6777" spans="1:14" hidden="1" x14ac:dyDescent="0.25">
      <c r="A6777" s="19">
        <v>46204</v>
      </c>
      <c r="B6777" s="20" t="s">
        <v>120</v>
      </c>
      <c r="C6777" s="20">
        <v>69</v>
      </c>
      <c r="D6777" s="20" t="s">
        <v>291</v>
      </c>
      <c r="E6777" s="20" t="s">
        <v>2361</v>
      </c>
      <c r="F6777" s="20" t="s">
        <v>2514</v>
      </c>
      <c r="G6777" s="20" t="s">
        <v>82</v>
      </c>
      <c r="H6777" s="20" t="s">
        <v>127</v>
      </c>
      <c r="I6777" s="20"/>
      <c r="J6777" s="20" t="s">
        <v>211</v>
      </c>
      <c r="K6777" s="20" t="s">
        <v>250</v>
      </c>
      <c r="L6777" s="20">
        <v>73000000</v>
      </c>
      <c r="M6777" s="20" t="s">
        <v>245</v>
      </c>
      <c r="N6777" s="20" t="s">
        <v>4152</v>
      </c>
    </row>
    <row r="6778" spans="1:14" hidden="1" x14ac:dyDescent="0.25">
      <c r="A6778" s="19">
        <v>46204</v>
      </c>
      <c r="B6778" s="20" t="s">
        <v>120</v>
      </c>
      <c r="C6778" s="20">
        <v>69</v>
      </c>
      <c r="D6778" s="20" t="s">
        <v>291</v>
      </c>
      <c r="E6778" s="20" t="s">
        <v>2361</v>
      </c>
      <c r="F6778" s="20" t="s">
        <v>2514</v>
      </c>
      <c r="G6778" s="20" t="s">
        <v>82</v>
      </c>
      <c r="H6778" s="20" t="s">
        <v>134</v>
      </c>
      <c r="I6778" s="20"/>
      <c r="J6778" s="20" t="s">
        <v>211</v>
      </c>
      <c r="K6778" s="20" t="s">
        <v>250</v>
      </c>
      <c r="L6778" s="20">
        <v>85000000</v>
      </c>
      <c r="M6778" s="20" t="s">
        <v>245</v>
      </c>
      <c r="N6778" s="20" t="s">
        <v>4153</v>
      </c>
    </row>
    <row r="6779" spans="1:14" hidden="1" x14ac:dyDescent="0.25">
      <c r="A6779" s="19">
        <v>46204</v>
      </c>
      <c r="B6779" s="20" t="s">
        <v>120</v>
      </c>
      <c r="C6779" s="20">
        <v>69</v>
      </c>
      <c r="D6779" s="20" t="s">
        <v>291</v>
      </c>
      <c r="E6779" s="20" t="s">
        <v>2361</v>
      </c>
      <c r="F6779" s="20" t="s">
        <v>2514</v>
      </c>
      <c r="G6779" s="20" t="s">
        <v>82</v>
      </c>
      <c r="H6779" s="20" t="s">
        <v>133</v>
      </c>
      <c r="I6779" s="20"/>
      <c r="J6779" s="20" t="s">
        <v>211</v>
      </c>
      <c r="K6779" s="20" t="s">
        <v>250</v>
      </c>
      <c r="L6779" s="20">
        <v>173000000</v>
      </c>
      <c r="M6779" s="20" t="s">
        <v>245</v>
      </c>
      <c r="N6779" s="20" t="s">
        <v>3601</v>
      </c>
    </row>
    <row r="6780" spans="1:14" hidden="1" x14ac:dyDescent="0.25">
      <c r="A6780" s="19">
        <v>46204</v>
      </c>
      <c r="B6780" s="20" t="s">
        <v>120</v>
      </c>
      <c r="C6780" s="20">
        <v>69</v>
      </c>
      <c r="D6780" s="20" t="s">
        <v>291</v>
      </c>
      <c r="E6780" s="20" t="s">
        <v>2361</v>
      </c>
      <c r="F6780" s="20" t="s">
        <v>2514</v>
      </c>
      <c r="G6780" s="20" t="s">
        <v>82</v>
      </c>
      <c r="H6780" s="20" t="s">
        <v>129</v>
      </c>
      <c r="I6780" s="20"/>
      <c r="J6780" s="20" t="s">
        <v>211</v>
      </c>
      <c r="K6780" s="20" t="s">
        <v>250</v>
      </c>
      <c r="L6780" s="20">
        <v>941000000</v>
      </c>
      <c r="M6780" s="20" t="s">
        <v>245</v>
      </c>
      <c r="N6780" s="20" t="s">
        <v>4154</v>
      </c>
    </row>
    <row r="6781" spans="1:14" hidden="1" x14ac:dyDescent="0.25">
      <c r="A6781" s="19">
        <v>46204</v>
      </c>
      <c r="B6781" s="20" t="s">
        <v>120</v>
      </c>
      <c r="C6781" s="20">
        <v>70</v>
      </c>
      <c r="D6781" s="20" t="s">
        <v>291</v>
      </c>
      <c r="E6781" s="20" t="s">
        <v>2361</v>
      </c>
      <c r="F6781" s="20" t="s">
        <v>2510</v>
      </c>
      <c r="G6781" s="20" t="s">
        <v>82</v>
      </c>
      <c r="H6781" s="20" t="s">
        <v>138</v>
      </c>
      <c r="I6781" s="20"/>
      <c r="J6781" s="20" t="s">
        <v>211</v>
      </c>
      <c r="K6781" s="20" t="s">
        <v>250</v>
      </c>
      <c r="L6781" s="20">
        <v>1250000000</v>
      </c>
      <c r="M6781" s="20" t="s">
        <v>245</v>
      </c>
      <c r="N6781" s="20" t="s">
        <v>4155</v>
      </c>
    </row>
    <row r="6782" spans="1:14" hidden="1" x14ac:dyDescent="0.25">
      <c r="A6782" s="19">
        <v>46204</v>
      </c>
      <c r="B6782" s="20" t="s">
        <v>120</v>
      </c>
      <c r="C6782" s="20">
        <v>70</v>
      </c>
      <c r="D6782" s="20" t="s">
        <v>291</v>
      </c>
      <c r="E6782" s="20" t="s">
        <v>2361</v>
      </c>
      <c r="F6782" s="20" t="s">
        <v>2510</v>
      </c>
      <c r="G6782" s="20" t="s">
        <v>82</v>
      </c>
      <c r="H6782" s="20" t="s">
        <v>137</v>
      </c>
      <c r="I6782" s="20"/>
      <c r="J6782" s="20" t="s">
        <v>211</v>
      </c>
      <c r="K6782" s="20" t="s">
        <v>250</v>
      </c>
      <c r="L6782" s="20">
        <v>165050000</v>
      </c>
      <c r="M6782" s="20" t="s">
        <v>245</v>
      </c>
      <c r="N6782" s="20" t="s">
        <v>4156</v>
      </c>
    </row>
    <row r="6783" spans="1:14" hidden="1" x14ac:dyDescent="0.25">
      <c r="A6783" s="19">
        <v>46204</v>
      </c>
      <c r="B6783" s="20" t="s">
        <v>120</v>
      </c>
      <c r="C6783" s="20">
        <v>71</v>
      </c>
      <c r="D6783" s="20" t="s">
        <v>253</v>
      </c>
      <c r="E6783" s="20" t="s">
        <v>2359</v>
      </c>
      <c r="F6783" s="20" t="s">
        <v>334</v>
      </c>
      <c r="G6783" s="20" t="s">
        <v>82</v>
      </c>
      <c r="H6783" s="20"/>
      <c r="I6783" s="20"/>
      <c r="J6783" s="20" t="s">
        <v>209</v>
      </c>
      <c r="K6783" s="20" t="s">
        <v>255</v>
      </c>
      <c r="L6783" s="20">
        <v>174</v>
      </c>
      <c r="M6783" s="20" t="s">
        <v>245</v>
      </c>
      <c r="N6783" s="20" t="s">
        <v>3893</v>
      </c>
    </row>
    <row r="6784" spans="1:14" hidden="1" x14ac:dyDescent="0.25">
      <c r="A6784" s="19">
        <v>46204</v>
      </c>
      <c r="B6784" s="20" t="s">
        <v>120</v>
      </c>
      <c r="C6784" s="20">
        <v>71</v>
      </c>
      <c r="D6784" s="20" t="s">
        <v>253</v>
      </c>
      <c r="E6784" s="20" t="s">
        <v>2359</v>
      </c>
      <c r="F6784" s="20" t="s">
        <v>334</v>
      </c>
      <c r="G6784" s="20" t="s">
        <v>82</v>
      </c>
      <c r="H6784" s="20"/>
      <c r="I6784" s="20"/>
      <c r="J6784" s="20" t="s">
        <v>210</v>
      </c>
      <c r="K6784" s="20" t="s">
        <v>255</v>
      </c>
      <c r="L6784" s="20">
        <v>179</v>
      </c>
      <c r="M6784" s="20" t="s">
        <v>245</v>
      </c>
      <c r="N6784" s="20" t="s">
        <v>4032</v>
      </c>
    </row>
    <row r="6785" spans="1:14" hidden="1" x14ac:dyDescent="0.25">
      <c r="A6785" s="19">
        <v>46204</v>
      </c>
      <c r="B6785" s="20" t="s">
        <v>120</v>
      </c>
      <c r="C6785" s="20">
        <v>71</v>
      </c>
      <c r="D6785" s="20" t="s">
        <v>253</v>
      </c>
      <c r="E6785" s="20" t="s">
        <v>2359</v>
      </c>
      <c r="F6785" s="20" t="s">
        <v>334</v>
      </c>
      <c r="G6785" s="20" t="s">
        <v>82</v>
      </c>
      <c r="H6785" s="20"/>
      <c r="I6785" s="20"/>
      <c r="J6785" s="20" t="s">
        <v>211</v>
      </c>
      <c r="K6785" s="20" t="s">
        <v>255</v>
      </c>
      <c r="L6785" s="20">
        <v>193</v>
      </c>
      <c r="M6785" s="20" t="s">
        <v>245</v>
      </c>
      <c r="N6785" s="20" t="s">
        <v>4157</v>
      </c>
    </row>
    <row r="6786" spans="1:14" hidden="1" x14ac:dyDescent="0.25">
      <c r="A6786" s="19">
        <v>46204</v>
      </c>
      <c r="B6786" s="20" t="s">
        <v>142</v>
      </c>
      <c r="C6786" s="20">
        <v>73</v>
      </c>
      <c r="D6786" s="20" t="s">
        <v>238</v>
      </c>
      <c r="E6786" s="20" t="s">
        <v>2341</v>
      </c>
      <c r="F6786" s="20" t="s">
        <v>240</v>
      </c>
      <c r="G6786" s="20" t="s">
        <v>82</v>
      </c>
      <c r="H6786" s="20"/>
      <c r="I6786" s="20"/>
      <c r="J6786" s="20" t="s">
        <v>4059</v>
      </c>
      <c r="K6786" s="20" t="s">
        <v>241</v>
      </c>
      <c r="L6786" s="20">
        <v>7600000</v>
      </c>
      <c r="M6786" s="20" t="s">
        <v>242</v>
      </c>
      <c r="N6786" s="20" t="s">
        <v>4158</v>
      </c>
    </row>
    <row r="6787" spans="1:14" hidden="1" x14ac:dyDescent="0.25">
      <c r="A6787" s="19">
        <v>46204</v>
      </c>
      <c r="B6787" s="20" t="s">
        <v>142</v>
      </c>
      <c r="C6787" s="20">
        <v>73</v>
      </c>
      <c r="D6787" s="20" t="s">
        <v>238</v>
      </c>
      <c r="E6787" s="20" t="s">
        <v>2341</v>
      </c>
      <c r="F6787" s="20" t="s">
        <v>244</v>
      </c>
      <c r="G6787" s="20" t="s">
        <v>82</v>
      </c>
      <c r="H6787" s="20"/>
      <c r="I6787" s="20"/>
      <c r="J6787" s="20" t="s">
        <v>4059</v>
      </c>
      <c r="K6787" s="20" t="s">
        <v>241</v>
      </c>
      <c r="L6787" s="20">
        <v>6380000000</v>
      </c>
      <c r="M6787" s="20" t="s">
        <v>245</v>
      </c>
      <c r="N6787" s="20" t="s">
        <v>4159</v>
      </c>
    </row>
    <row r="6788" spans="1:14" hidden="1" x14ac:dyDescent="0.25">
      <c r="A6788" s="19">
        <v>46204</v>
      </c>
      <c r="B6788" s="20" t="s">
        <v>142</v>
      </c>
      <c r="C6788" s="20">
        <v>74</v>
      </c>
      <c r="D6788" s="20" t="s">
        <v>253</v>
      </c>
      <c r="E6788" s="20" t="s">
        <v>2359</v>
      </c>
      <c r="F6788" s="20" t="s">
        <v>544</v>
      </c>
      <c r="G6788" s="20" t="s">
        <v>82</v>
      </c>
      <c r="H6788" s="20"/>
      <c r="I6788" s="20"/>
      <c r="J6788" s="20" t="s">
        <v>209</v>
      </c>
      <c r="K6788" s="20" t="s">
        <v>255</v>
      </c>
      <c r="L6788" s="20">
        <v>1150000</v>
      </c>
      <c r="M6788" s="20" t="s">
        <v>242</v>
      </c>
      <c r="N6788" s="20" t="s">
        <v>3896</v>
      </c>
    </row>
    <row r="6789" spans="1:14" hidden="1" x14ac:dyDescent="0.25">
      <c r="A6789" s="19">
        <v>46204</v>
      </c>
      <c r="B6789" s="20" t="s">
        <v>142</v>
      </c>
      <c r="C6789" s="20">
        <v>74</v>
      </c>
      <c r="D6789" s="20" t="s">
        <v>253</v>
      </c>
      <c r="E6789" s="20" t="s">
        <v>2359</v>
      </c>
      <c r="F6789" s="20" t="s">
        <v>544</v>
      </c>
      <c r="G6789" s="20" t="s">
        <v>82</v>
      </c>
      <c r="H6789" s="20"/>
      <c r="I6789" s="20"/>
      <c r="J6789" s="20" t="s">
        <v>210</v>
      </c>
      <c r="K6789" s="20" t="s">
        <v>255</v>
      </c>
      <c r="L6789" s="20">
        <v>1070000</v>
      </c>
      <c r="M6789" s="20" t="s">
        <v>242</v>
      </c>
      <c r="N6789" s="20" t="s">
        <v>3749</v>
      </c>
    </row>
    <row r="6790" spans="1:14" hidden="1" x14ac:dyDescent="0.25">
      <c r="A6790" s="19">
        <v>46204</v>
      </c>
      <c r="B6790" s="20" t="s">
        <v>142</v>
      </c>
      <c r="C6790" s="20">
        <v>74</v>
      </c>
      <c r="D6790" s="20" t="s">
        <v>253</v>
      </c>
      <c r="E6790" s="20" t="s">
        <v>2359</v>
      </c>
      <c r="F6790" s="20" t="s">
        <v>544</v>
      </c>
      <c r="G6790" s="20" t="s">
        <v>82</v>
      </c>
      <c r="H6790" s="20"/>
      <c r="I6790" s="20"/>
      <c r="J6790" s="20" t="s">
        <v>211</v>
      </c>
      <c r="K6790" s="20" t="s">
        <v>255</v>
      </c>
      <c r="L6790" s="20">
        <v>1080000</v>
      </c>
      <c r="M6790" s="20" t="s">
        <v>242</v>
      </c>
      <c r="N6790" s="20" t="s">
        <v>3458</v>
      </c>
    </row>
    <row r="6791" spans="1:14" hidden="1" x14ac:dyDescent="0.25">
      <c r="A6791" s="19">
        <v>46204</v>
      </c>
      <c r="B6791" s="20" t="s">
        <v>142</v>
      </c>
      <c r="C6791" s="20">
        <v>74</v>
      </c>
      <c r="D6791" s="20" t="s">
        <v>247</v>
      </c>
      <c r="E6791" s="20" t="s">
        <v>2554</v>
      </c>
      <c r="F6791" s="20" t="s">
        <v>2556</v>
      </c>
      <c r="G6791" s="20" t="s">
        <v>82</v>
      </c>
      <c r="H6791" s="20" t="s">
        <v>286</v>
      </c>
      <c r="I6791" s="20"/>
      <c r="J6791" s="20" t="s">
        <v>211</v>
      </c>
      <c r="K6791" s="20" t="s">
        <v>250</v>
      </c>
      <c r="L6791" s="20">
        <v>1.5</v>
      </c>
      <c r="M6791" s="20" t="s">
        <v>251</v>
      </c>
      <c r="N6791" s="20" t="s">
        <v>446</v>
      </c>
    </row>
    <row r="6792" spans="1:14" hidden="1" x14ac:dyDescent="0.25">
      <c r="A6792" s="19">
        <v>46204</v>
      </c>
      <c r="B6792" s="20" t="s">
        <v>142</v>
      </c>
      <c r="C6792" s="20">
        <v>75</v>
      </c>
      <c r="D6792" s="20" t="s">
        <v>253</v>
      </c>
      <c r="E6792" s="20" t="s">
        <v>2359</v>
      </c>
      <c r="F6792" s="20" t="s">
        <v>2531</v>
      </c>
      <c r="G6792" s="20" t="s">
        <v>82</v>
      </c>
      <c r="H6792" s="20" t="s">
        <v>149</v>
      </c>
      <c r="I6792" s="20"/>
      <c r="J6792" s="20" t="s">
        <v>209</v>
      </c>
      <c r="K6792" s="20" t="s">
        <v>255</v>
      </c>
      <c r="L6792" s="20">
        <v>5876</v>
      </c>
      <c r="M6792" s="20" t="s">
        <v>242</v>
      </c>
      <c r="N6792" s="20" t="s">
        <v>3897</v>
      </c>
    </row>
    <row r="6793" spans="1:14" hidden="1" x14ac:dyDescent="0.25">
      <c r="A6793" s="19">
        <v>46204</v>
      </c>
      <c r="B6793" s="20" t="s">
        <v>142</v>
      </c>
      <c r="C6793" s="20">
        <v>75</v>
      </c>
      <c r="D6793" s="20" t="s">
        <v>253</v>
      </c>
      <c r="E6793" s="20" t="s">
        <v>2359</v>
      </c>
      <c r="F6793" s="20" t="s">
        <v>2531</v>
      </c>
      <c r="G6793" s="20" t="s">
        <v>82</v>
      </c>
      <c r="H6793" s="20" t="s">
        <v>149</v>
      </c>
      <c r="I6793" s="20"/>
      <c r="J6793" s="20" t="s">
        <v>210</v>
      </c>
      <c r="K6793" s="20" t="s">
        <v>255</v>
      </c>
      <c r="L6793" s="20">
        <v>5699</v>
      </c>
      <c r="M6793" s="20" t="s">
        <v>242</v>
      </c>
      <c r="N6793" s="20" t="s">
        <v>4035</v>
      </c>
    </row>
    <row r="6794" spans="1:14" hidden="1" x14ac:dyDescent="0.25">
      <c r="A6794" s="19">
        <v>46204</v>
      </c>
      <c r="B6794" s="20" t="s">
        <v>142</v>
      </c>
      <c r="C6794" s="20">
        <v>75</v>
      </c>
      <c r="D6794" s="20" t="s">
        <v>253</v>
      </c>
      <c r="E6794" s="20" t="s">
        <v>2359</v>
      </c>
      <c r="F6794" s="20" t="s">
        <v>2531</v>
      </c>
      <c r="G6794" s="20" t="s">
        <v>82</v>
      </c>
      <c r="H6794" s="20" t="s">
        <v>149</v>
      </c>
      <c r="I6794" s="20"/>
      <c r="J6794" s="20" t="s">
        <v>211</v>
      </c>
      <c r="K6794" s="20" t="s">
        <v>255</v>
      </c>
      <c r="L6794" s="20">
        <v>6255</v>
      </c>
      <c r="M6794" s="20" t="s">
        <v>242</v>
      </c>
      <c r="N6794" s="20" t="s">
        <v>4160</v>
      </c>
    </row>
    <row r="6795" spans="1:14" hidden="1" x14ac:dyDescent="0.25">
      <c r="A6795" s="19">
        <v>46204</v>
      </c>
      <c r="B6795" s="20" t="s">
        <v>142</v>
      </c>
      <c r="C6795" s="20">
        <v>75</v>
      </c>
      <c r="D6795" s="20" t="s">
        <v>253</v>
      </c>
      <c r="E6795" s="20" t="s">
        <v>2359</v>
      </c>
      <c r="F6795" s="20" t="s">
        <v>2531</v>
      </c>
      <c r="G6795" s="20" t="s">
        <v>82</v>
      </c>
      <c r="H6795" s="20" t="s">
        <v>150</v>
      </c>
      <c r="I6795" s="20"/>
      <c r="J6795" s="20" t="s">
        <v>209</v>
      </c>
      <c r="K6795" s="20" t="s">
        <v>255</v>
      </c>
      <c r="L6795" s="20">
        <v>301</v>
      </c>
      <c r="M6795" s="20" t="s">
        <v>242</v>
      </c>
      <c r="N6795" s="20" t="s">
        <v>3898</v>
      </c>
    </row>
    <row r="6796" spans="1:14" hidden="1" x14ac:dyDescent="0.25">
      <c r="A6796" s="19">
        <v>46204</v>
      </c>
      <c r="B6796" s="20" t="s">
        <v>142</v>
      </c>
      <c r="C6796" s="20">
        <v>75</v>
      </c>
      <c r="D6796" s="20" t="s">
        <v>253</v>
      </c>
      <c r="E6796" s="20" t="s">
        <v>2359</v>
      </c>
      <c r="F6796" s="20" t="s">
        <v>2531</v>
      </c>
      <c r="G6796" s="20" t="s">
        <v>82</v>
      </c>
      <c r="H6796" s="20" t="s">
        <v>150</v>
      </c>
      <c r="I6796" s="20"/>
      <c r="J6796" s="20" t="s">
        <v>210</v>
      </c>
      <c r="K6796" s="20" t="s">
        <v>255</v>
      </c>
      <c r="L6796" s="20">
        <v>348</v>
      </c>
      <c r="M6796" s="20" t="s">
        <v>242</v>
      </c>
      <c r="N6796" s="20" t="s">
        <v>4036</v>
      </c>
    </row>
    <row r="6797" spans="1:14" hidden="1" x14ac:dyDescent="0.25">
      <c r="A6797" s="19">
        <v>46204</v>
      </c>
      <c r="B6797" s="20" t="s">
        <v>142</v>
      </c>
      <c r="C6797" s="20">
        <v>75</v>
      </c>
      <c r="D6797" s="20" t="s">
        <v>253</v>
      </c>
      <c r="E6797" s="20" t="s">
        <v>2359</v>
      </c>
      <c r="F6797" s="20" t="s">
        <v>2531</v>
      </c>
      <c r="G6797" s="20" t="s">
        <v>82</v>
      </c>
      <c r="H6797" s="20" t="s">
        <v>150</v>
      </c>
      <c r="I6797" s="20"/>
      <c r="J6797" s="20" t="s">
        <v>211</v>
      </c>
      <c r="K6797" s="20" t="s">
        <v>255</v>
      </c>
      <c r="L6797" s="20">
        <v>292</v>
      </c>
      <c r="M6797" s="20" t="s">
        <v>242</v>
      </c>
      <c r="N6797" s="20" t="s">
        <v>1662</v>
      </c>
    </row>
    <row r="6798" spans="1:14" hidden="1" x14ac:dyDescent="0.25">
      <c r="A6798" s="19">
        <v>46204</v>
      </c>
      <c r="B6798" s="20" t="s">
        <v>142</v>
      </c>
      <c r="C6798" s="20">
        <v>75</v>
      </c>
      <c r="D6798" s="20" t="s">
        <v>253</v>
      </c>
      <c r="E6798" s="20" t="s">
        <v>2359</v>
      </c>
      <c r="F6798" s="20" t="s">
        <v>2531</v>
      </c>
      <c r="G6798" s="20" t="s">
        <v>82</v>
      </c>
      <c r="H6798" s="20" t="s">
        <v>151</v>
      </c>
      <c r="I6798" s="20"/>
      <c r="J6798" s="20" t="s">
        <v>209</v>
      </c>
      <c r="K6798" s="20" t="s">
        <v>255</v>
      </c>
      <c r="L6798" s="20">
        <v>39</v>
      </c>
      <c r="M6798" s="20" t="s">
        <v>242</v>
      </c>
      <c r="N6798" s="20" t="s">
        <v>3899</v>
      </c>
    </row>
    <row r="6799" spans="1:14" hidden="1" x14ac:dyDescent="0.25">
      <c r="A6799" s="19">
        <v>46204</v>
      </c>
      <c r="B6799" s="20" t="s">
        <v>142</v>
      </c>
      <c r="C6799" s="20">
        <v>75</v>
      </c>
      <c r="D6799" s="20" t="s">
        <v>253</v>
      </c>
      <c r="E6799" s="20" t="s">
        <v>2359</v>
      </c>
      <c r="F6799" s="20" t="s">
        <v>2531</v>
      </c>
      <c r="G6799" s="20" t="s">
        <v>82</v>
      </c>
      <c r="H6799" s="20" t="s">
        <v>151</v>
      </c>
      <c r="I6799" s="20"/>
      <c r="J6799" s="20" t="s">
        <v>210</v>
      </c>
      <c r="K6799" s="20" t="s">
        <v>255</v>
      </c>
      <c r="L6799" s="20">
        <v>39</v>
      </c>
      <c r="M6799" s="20" t="s">
        <v>242</v>
      </c>
      <c r="N6799" s="20" t="s">
        <v>3899</v>
      </c>
    </row>
    <row r="6800" spans="1:14" hidden="1" x14ac:dyDescent="0.25">
      <c r="A6800" s="19">
        <v>46204</v>
      </c>
      <c r="B6800" s="20" t="s">
        <v>142</v>
      </c>
      <c r="C6800" s="20">
        <v>75</v>
      </c>
      <c r="D6800" s="20" t="s">
        <v>253</v>
      </c>
      <c r="E6800" s="20" t="s">
        <v>2359</v>
      </c>
      <c r="F6800" s="20" t="s">
        <v>2531</v>
      </c>
      <c r="G6800" s="20" t="s">
        <v>82</v>
      </c>
      <c r="H6800" s="20" t="s">
        <v>151</v>
      </c>
      <c r="I6800" s="20"/>
      <c r="J6800" s="20" t="s">
        <v>211</v>
      </c>
      <c r="K6800" s="20" t="s">
        <v>255</v>
      </c>
      <c r="L6800" s="20">
        <v>37</v>
      </c>
      <c r="M6800" s="20" t="s">
        <v>242</v>
      </c>
      <c r="N6800" s="20" t="s">
        <v>1310</v>
      </c>
    </row>
    <row r="6801" spans="1:14" hidden="1" x14ac:dyDescent="0.25">
      <c r="A6801" s="19">
        <v>46204</v>
      </c>
      <c r="B6801" s="20" t="s">
        <v>142</v>
      </c>
      <c r="C6801" s="20">
        <v>76</v>
      </c>
      <c r="D6801" s="20" t="s">
        <v>253</v>
      </c>
      <c r="E6801" s="20" t="s">
        <v>2359</v>
      </c>
      <c r="F6801" s="20" t="s">
        <v>929</v>
      </c>
      <c r="G6801" s="20" t="s">
        <v>82</v>
      </c>
      <c r="H6801" s="20"/>
      <c r="I6801" s="20"/>
      <c r="J6801" s="20" t="s">
        <v>209</v>
      </c>
      <c r="K6801" s="20" t="s">
        <v>255</v>
      </c>
      <c r="L6801" s="20">
        <v>908000000</v>
      </c>
      <c r="M6801" s="20" t="s">
        <v>245</v>
      </c>
      <c r="N6801" s="20" t="s">
        <v>3900</v>
      </c>
    </row>
    <row r="6802" spans="1:14" hidden="1" x14ac:dyDescent="0.25">
      <c r="A6802" s="19">
        <v>46204</v>
      </c>
      <c r="B6802" s="20" t="s">
        <v>142</v>
      </c>
      <c r="C6802" s="20">
        <v>76</v>
      </c>
      <c r="D6802" s="20" t="s">
        <v>253</v>
      </c>
      <c r="E6802" s="20" t="s">
        <v>2359</v>
      </c>
      <c r="F6802" s="20" t="s">
        <v>929</v>
      </c>
      <c r="G6802" s="20" t="s">
        <v>82</v>
      </c>
      <c r="H6802" s="20"/>
      <c r="I6802" s="20"/>
      <c r="J6802" s="20" t="s">
        <v>210</v>
      </c>
      <c r="K6802" s="20" t="s">
        <v>255</v>
      </c>
      <c r="L6802" s="20">
        <v>943000000</v>
      </c>
      <c r="M6802" s="20" t="s">
        <v>245</v>
      </c>
      <c r="N6802" s="20" t="s">
        <v>4037</v>
      </c>
    </row>
    <row r="6803" spans="1:14" hidden="1" x14ac:dyDescent="0.25">
      <c r="A6803" s="19">
        <v>46204</v>
      </c>
      <c r="B6803" s="20" t="s">
        <v>142</v>
      </c>
      <c r="C6803" s="20">
        <v>76</v>
      </c>
      <c r="D6803" s="20" t="s">
        <v>253</v>
      </c>
      <c r="E6803" s="20" t="s">
        <v>2359</v>
      </c>
      <c r="F6803" s="20" t="s">
        <v>929</v>
      </c>
      <c r="G6803" s="20" t="s">
        <v>82</v>
      </c>
      <c r="H6803" s="20"/>
      <c r="I6803" s="20"/>
      <c r="J6803" s="20" t="s">
        <v>211</v>
      </c>
      <c r="K6803" s="20" t="s">
        <v>255</v>
      </c>
      <c r="L6803" s="20">
        <v>949000000</v>
      </c>
      <c r="M6803" s="20" t="s">
        <v>245</v>
      </c>
      <c r="N6803" s="20" t="s">
        <v>4161</v>
      </c>
    </row>
    <row r="6804" spans="1:14" hidden="1" x14ac:dyDescent="0.25">
      <c r="A6804" s="19">
        <v>46204</v>
      </c>
      <c r="B6804" s="20" t="s">
        <v>142</v>
      </c>
      <c r="C6804" s="20">
        <v>76</v>
      </c>
      <c r="D6804" s="20" t="s">
        <v>247</v>
      </c>
      <c r="E6804" s="20" t="s">
        <v>2554</v>
      </c>
      <c r="F6804" s="20" t="s">
        <v>2557</v>
      </c>
      <c r="G6804" s="20" t="s">
        <v>82</v>
      </c>
      <c r="H6804" s="20" t="s">
        <v>286</v>
      </c>
      <c r="I6804" s="20"/>
      <c r="J6804" s="20" t="s">
        <v>211</v>
      </c>
      <c r="K6804" s="20" t="s">
        <v>250</v>
      </c>
      <c r="L6804" s="20">
        <v>0.7</v>
      </c>
      <c r="M6804" s="20" t="s">
        <v>251</v>
      </c>
      <c r="N6804" s="20" t="s">
        <v>810</v>
      </c>
    </row>
    <row r="6805" spans="1:14" hidden="1" x14ac:dyDescent="0.25">
      <c r="A6805" s="19">
        <v>46204</v>
      </c>
      <c r="B6805" s="20" t="s">
        <v>142</v>
      </c>
      <c r="C6805" s="20">
        <v>77</v>
      </c>
      <c r="D6805" s="20" t="s">
        <v>253</v>
      </c>
      <c r="E6805" s="20" t="s">
        <v>2359</v>
      </c>
      <c r="F6805" s="20" t="s">
        <v>2533</v>
      </c>
      <c r="G6805" s="20" t="s">
        <v>82</v>
      </c>
      <c r="H6805" s="20" t="s">
        <v>149</v>
      </c>
      <c r="I6805" s="20"/>
      <c r="J6805" s="20" t="s">
        <v>209</v>
      </c>
      <c r="K6805" s="20" t="s">
        <v>255</v>
      </c>
      <c r="L6805" s="20">
        <v>37800000</v>
      </c>
      <c r="M6805" s="20" t="s">
        <v>149</v>
      </c>
      <c r="N6805" s="20" t="s">
        <v>3901</v>
      </c>
    </row>
    <row r="6806" spans="1:14" hidden="1" x14ac:dyDescent="0.25">
      <c r="A6806" s="19">
        <v>46204</v>
      </c>
      <c r="B6806" s="20" t="s">
        <v>142</v>
      </c>
      <c r="C6806" s="20">
        <v>77</v>
      </c>
      <c r="D6806" s="20" t="s">
        <v>253</v>
      </c>
      <c r="E6806" s="20" t="s">
        <v>2359</v>
      </c>
      <c r="F6806" s="20" t="s">
        <v>2533</v>
      </c>
      <c r="G6806" s="20" t="s">
        <v>82</v>
      </c>
      <c r="H6806" s="20" t="s">
        <v>149</v>
      </c>
      <c r="I6806" s="20"/>
      <c r="J6806" s="20" t="s">
        <v>210</v>
      </c>
      <c r="K6806" s="20" t="s">
        <v>255</v>
      </c>
      <c r="L6806" s="20">
        <v>41700000</v>
      </c>
      <c r="M6806" s="20" t="s">
        <v>149</v>
      </c>
      <c r="N6806" s="20" t="s">
        <v>4038</v>
      </c>
    </row>
    <row r="6807" spans="1:14" hidden="1" x14ac:dyDescent="0.25">
      <c r="A6807" s="19">
        <v>46204</v>
      </c>
      <c r="B6807" s="20" t="s">
        <v>142</v>
      </c>
      <c r="C6807" s="20">
        <v>77</v>
      </c>
      <c r="D6807" s="20" t="s">
        <v>253</v>
      </c>
      <c r="E6807" s="20" t="s">
        <v>2359</v>
      </c>
      <c r="F6807" s="20" t="s">
        <v>2533</v>
      </c>
      <c r="G6807" s="20" t="s">
        <v>82</v>
      </c>
      <c r="H6807" s="20" t="s">
        <v>149</v>
      </c>
      <c r="I6807" s="20"/>
      <c r="J6807" s="20" t="s">
        <v>211</v>
      </c>
      <c r="K6807" s="20" t="s">
        <v>255</v>
      </c>
      <c r="L6807" s="20">
        <v>41400000</v>
      </c>
      <c r="M6807" s="20" t="s">
        <v>149</v>
      </c>
      <c r="N6807" s="20" t="s">
        <v>4162</v>
      </c>
    </row>
    <row r="6808" spans="1:14" hidden="1" x14ac:dyDescent="0.25">
      <c r="A6808" s="19">
        <v>46204</v>
      </c>
      <c r="B6808" s="20" t="s">
        <v>142</v>
      </c>
      <c r="C6808" s="20">
        <v>77</v>
      </c>
      <c r="D6808" s="20" t="s">
        <v>253</v>
      </c>
      <c r="E6808" s="20" t="s">
        <v>2359</v>
      </c>
      <c r="F6808" s="20" t="s">
        <v>2533</v>
      </c>
      <c r="G6808" s="20" t="s">
        <v>82</v>
      </c>
      <c r="H6808" s="20" t="s">
        <v>150</v>
      </c>
      <c r="I6808" s="20"/>
      <c r="J6808" s="20" t="s">
        <v>209</v>
      </c>
      <c r="K6808" s="20" t="s">
        <v>255</v>
      </c>
      <c r="L6808" s="20">
        <v>2810000</v>
      </c>
      <c r="M6808" s="20" t="s">
        <v>150</v>
      </c>
      <c r="N6808" s="20" t="s">
        <v>3041</v>
      </c>
    </row>
    <row r="6809" spans="1:14" hidden="1" x14ac:dyDescent="0.25">
      <c r="A6809" s="19">
        <v>46204</v>
      </c>
      <c r="B6809" s="20" t="s">
        <v>142</v>
      </c>
      <c r="C6809" s="20">
        <v>77</v>
      </c>
      <c r="D6809" s="20" t="s">
        <v>253</v>
      </c>
      <c r="E6809" s="20" t="s">
        <v>2359</v>
      </c>
      <c r="F6809" s="20" t="s">
        <v>2533</v>
      </c>
      <c r="G6809" s="20" t="s">
        <v>82</v>
      </c>
      <c r="H6809" s="20" t="s">
        <v>150</v>
      </c>
      <c r="I6809" s="20"/>
      <c r="J6809" s="20" t="s">
        <v>210</v>
      </c>
      <c r="K6809" s="20" t="s">
        <v>255</v>
      </c>
      <c r="L6809" s="20">
        <v>3070000</v>
      </c>
      <c r="M6809" s="20" t="s">
        <v>150</v>
      </c>
      <c r="N6809" s="20" t="s">
        <v>4039</v>
      </c>
    </row>
    <row r="6810" spans="1:14" hidden="1" x14ac:dyDescent="0.25">
      <c r="A6810" s="19">
        <v>46204</v>
      </c>
      <c r="B6810" s="20" t="s">
        <v>142</v>
      </c>
      <c r="C6810" s="20">
        <v>77</v>
      </c>
      <c r="D6810" s="20" t="s">
        <v>253</v>
      </c>
      <c r="E6810" s="20" t="s">
        <v>2359</v>
      </c>
      <c r="F6810" s="20" t="s">
        <v>2533</v>
      </c>
      <c r="G6810" s="20" t="s">
        <v>82</v>
      </c>
      <c r="H6810" s="20" t="s">
        <v>150</v>
      </c>
      <c r="I6810" s="20"/>
      <c r="J6810" s="20" t="s">
        <v>211</v>
      </c>
      <c r="K6810" s="20" t="s">
        <v>255</v>
      </c>
      <c r="L6810" s="20">
        <v>2670000</v>
      </c>
      <c r="M6810" s="20" t="s">
        <v>150</v>
      </c>
      <c r="N6810" s="20" t="s">
        <v>2169</v>
      </c>
    </row>
    <row r="6811" spans="1:14" hidden="1" x14ac:dyDescent="0.25">
      <c r="A6811" s="19">
        <v>46204</v>
      </c>
      <c r="B6811" s="20" t="s">
        <v>142</v>
      </c>
      <c r="C6811" s="20">
        <v>77</v>
      </c>
      <c r="D6811" s="20" t="s">
        <v>253</v>
      </c>
      <c r="E6811" s="20" t="s">
        <v>2359</v>
      </c>
      <c r="F6811" s="20" t="s">
        <v>2533</v>
      </c>
      <c r="G6811" s="20" t="s">
        <v>82</v>
      </c>
      <c r="H6811" s="20" t="s">
        <v>151</v>
      </c>
      <c r="I6811" s="20"/>
      <c r="J6811" s="20" t="s">
        <v>209</v>
      </c>
      <c r="K6811" s="20" t="s">
        <v>255</v>
      </c>
      <c r="L6811" s="20">
        <v>270000</v>
      </c>
      <c r="M6811" s="20" t="s">
        <v>151</v>
      </c>
      <c r="N6811" s="20" t="s">
        <v>3902</v>
      </c>
    </row>
    <row r="6812" spans="1:14" hidden="1" x14ac:dyDescent="0.25">
      <c r="A6812" s="19">
        <v>46204</v>
      </c>
      <c r="B6812" s="20" t="s">
        <v>142</v>
      </c>
      <c r="C6812" s="20">
        <v>77</v>
      </c>
      <c r="D6812" s="20" t="s">
        <v>253</v>
      </c>
      <c r="E6812" s="20" t="s">
        <v>2359</v>
      </c>
      <c r="F6812" s="20" t="s">
        <v>2533</v>
      </c>
      <c r="G6812" s="20" t="s">
        <v>82</v>
      </c>
      <c r="H6812" s="20" t="s">
        <v>151</v>
      </c>
      <c r="I6812" s="20"/>
      <c r="J6812" s="20" t="s">
        <v>210</v>
      </c>
      <c r="K6812" s="20" t="s">
        <v>255</v>
      </c>
      <c r="L6812" s="20">
        <v>390000</v>
      </c>
      <c r="M6812" s="20" t="s">
        <v>151</v>
      </c>
      <c r="N6812" s="20" t="s">
        <v>2869</v>
      </c>
    </row>
    <row r="6813" spans="1:14" hidden="1" x14ac:dyDescent="0.25">
      <c r="A6813" s="19">
        <v>46204</v>
      </c>
      <c r="B6813" s="20" t="s">
        <v>142</v>
      </c>
      <c r="C6813" s="20">
        <v>77</v>
      </c>
      <c r="D6813" s="20" t="s">
        <v>253</v>
      </c>
      <c r="E6813" s="20" t="s">
        <v>2359</v>
      </c>
      <c r="F6813" s="20" t="s">
        <v>2533</v>
      </c>
      <c r="G6813" s="20" t="s">
        <v>82</v>
      </c>
      <c r="H6813" s="20" t="s">
        <v>151</v>
      </c>
      <c r="I6813" s="20"/>
      <c r="J6813" s="20" t="s">
        <v>211</v>
      </c>
      <c r="K6813" s="20" t="s">
        <v>255</v>
      </c>
      <c r="L6813" s="20">
        <v>350000</v>
      </c>
      <c r="M6813" s="20" t="s">
        <v>151</v>
      </c>
      <c r="N6813" s="20" t="s">
        <v>4163</v>
      </c>
    </row>
    <row r="6814" spans="1:14" hidden="1" x14ac:dyDescent="0.25">
      <c r="A6814" s="19">
        <v>46204</v>
      </c>
      <c r="B6814" s="20" t="s">
        <v>156</v>
      </c>
      <c r="C6814" s="20">
        <v>79</v>
      </c>
      <c r="D6814" s="20" t="s">
        <v>238</v>
      </c>
      <c r="E6814" s="20" t="s">
        <v>2341</v>
      </c>
      <c r="F6814" s="20" t="s">
        <v>240</v>
      </c>
      <c r="G6814" s="20" t="s">
        <v>158</v>
      </c>
      <c r="H6814" s="20"/>
      <c r="I6814" s="20"/>
      <c r="J6814" s="20" t="s">
        <v>4059</v>
      </c>
      <c r="K6814" s="20" t="s">
        <v>241</v>
      </c>
      <c r="L6814" s="20">
        <v>3440000</v>
      </c>
      <c r="M6814" s="20" t="s">
        <v>242</v>
      </c>
      <c r="N6814" s="20" t="s">
        <v>4164</v>
      </c>
    </row>
    <row r="6815" spans="1:14" hidden="1" x14ac:dyDescent="0.25">
      <c r="A6815" s="19">
        <v>46204</v>
      </c>
      <c r="B6815" s="20" t="s">
        <v>156</v>
      </c>
      <c r="C6815" s="20">
        <v>79</v>
      </c>
      <c r="D6815" s="20" t="s">
        <v>238</v>
      </c>
      <c r="E6815" s="20" t="s">
        <v>2341</v>
      </c>
      <c r="F6815" s="20" t="s">
        <v>244</v>
      </c>
      <c r="G6815" s="20" t="s">
        <v>158</v>
      </c>
      <c r="H6815" s="20"/>
      <c r="I6815" s="20"/>
      <c r="J6815" s="20" t="s">
        <v>4059</v>
      </c>
      <c r="K6815" s="20" t="s">
        <v>241</v>
      </c>
      <c r="L6815" s="20">
        <v>23390000000</v>
      </c>
      <c r="M6815" s="20" t="s">
        <v>245</v>
      </c>
      <c r="N6815" s="20" t="s">
        <v>4165</v>
      </c>
    </row>
    <row r="6816" spans="1:14" hidden="1" x14ac:dyDescent="0.25">
      <c r="A6816" s="19">
        <v>46204</v>
      </c>
      <c r="B6816" s="20" t="s">
        <v>156</v>
      </c>
      <c r="C6816" s="20">
        <v>80</v>
      </c>
      <c r="D6816" s="20" t="s">
        <v>253</v>
      </c>
      <c r="E6816" s="20" t="s">
        <v>2359</v>
      </c>
      <c r="F6816" s="20" t="s">
        <v>344</v>
      </c>
      <c r="G6816" s="20" t="s">
        <v>158</v>
      </c>
      <c r="H6816" s="20"/>
      <c r="I6816" s="20"/>
      <c r="J6816" s="20" t="s">
        <v>209</v>
      </c>
      <c r="K6816" s="20" t="s">
        <v>255</v>
      </c>
      <c r="L6816" s="20">
        <v>552000</v>
      </c>
      <c r="M6816" s="20" t="s">
        <v>242</v>
      </c>
      <c r="N6816" s="20" t="s">
        <v>3904</v>
      </c>
    </row>
    <row r="6817" spans="1:14" hidden="1" x14ac:dyDescent="0.25">
      <c r="A6817" s="19">
        <v>46204</v>
      </c>
      <c r="B6817" s="20" t="s">
        <v>156</v>
      </c>
      <c r="C6817" s="20">
        <v>80</v>
      </c>
      <c r="D6817" s="20" t="s">
        <v>253</v>
      </c>
      <c r="E6817" s="20" t="s">
        <v>2359</v>
      </c>
      <c r="F6817" s="20" t="s">
        <v>344</v>
      </c>
      <c r="G6817" s="20" t="s">
        <v>158</v>
      </c>
      <c r="H6817" s="20"/>
      <c r="I6817" s="20"/>
      <c r="J6817" s="20" t="s">
        <v>210</v>
      </c>
      <c r="K6817" s="20" t="s">
        <v>255</v>
      </c>
      <c r="L6817" s="20">
        <v>510000</v>
      </c>
      <c r="M6817" s="20" t="s">
        <v>242</v>
      </c>
      <c r="N6817" s="20" t="s">
        <v>1782</v>
      </c>
    </row>
    <row r="6818" spans="1:14" hidden="1" x14ac:dyDescent="0.25">
      <c r="A6818" s="19">
        <v>46204</v>
      </c>
      <c r="B6818" s="20" t="s">
        <v>156</v>
      </c>
      <c r="C6818" s="20">
        <v>80</v>
      </c>
      <c r="D6818" s="20" t="s">
        <v>253</v>
      </c>
      <c r="E6818" s="20" t="s">
        <v>2359</v>
      </c>
      <c r="F6818" s="20" t="s">
        <v>344</v>
      </c>
      <c r="G6818" s="20" t="s">
        <v>158</v>
      </c>
      <c r="H6818" s="20"/>
      <c r="I6818" s="20"/>
      <c r="J6818" s="20" t="s">
        <v>211</v>
      </c>
      <c r="K6818" s="20" t="s">
        <v>255</v>
      </c>
      <c r="L6818" s="20">
        <v>489000</v>
      </c>
      <c r="M6818" s="20" t="s">
        <v>242</v>
      </c>
      <c r="N6818" s="20" t="s">
        <v>4166</v>
      </c>
    </row>
    <row r="6819" spans="1:14" hidden="1" x14ac:dyDescent="0.25">
      <c r="A6819" s="19">
        <v>46204</v>
      </c>
      <c r="B6819" s="20" t="s">
        <v>156</v>
      </c>
      <c r="C6819" s="20">
        <v>80</v>
      </c>
      <c r="D6819" s="20" t="s">
        <v>247</v>
      </c>
      <c r="E6819" s="20" t="s">
        <v>2554</v>
      </c>
      <c r="F6819" s="20" t="s">
        <v>2560</v>
      </c>
      <c r="G6819" s="20" t="s">
        <v>158</v>
      </c>
      <c r="H6819" s="20" t="s">
        <v>249</v>
      </c>
      <c r="I6819" s="20"/>
      <c r="J6819" s="20" t="s">
        <v>211</v>
      </c>
      <c r="K6819" s="20" t="s">
        <v>250</v>
      </c>
      <c r="L6819" s="20">
        <v>4.2</v>
      </c>
      <c r="M6819" s="20" t="s">
        <v>251</v>
      </c>
      <c r="N6819" s="20" t="s">
        <v>4167</v>
      </c>
    </row>
    <row r="6820" spans="1:14" hidden="1" x14ac:dyDescent="0.25">
      <c r="A6820" s="19">
        <v>46204</v>
      </c>
      <c r="B6820" s="20" t="s">
        <v>156</v>
      </c>
      <c r="C6820" s="20">
        <v>81</v>
      </c>
      <c r="D6820" s="20" t="s">
        <v>253</v>
      </c>
      <c r="E6820" s="20" t="s">
        <v>2359</v>
      </c>
      <c r="F6820" s="20" t="s">
        <v>349</v>
      </c>
      <c r="G6820" s="20" t="s">
        <v>158</v>
      </c>
      <c r="H6820" s="20"/>
      <c r="I6820" s="20"/>
      <c r="J6820" s="20" t="s">
        <v>209</v>
      </c>
      <c r="K6820" s="20" t="s">
        <v>255</v>
      </c>
      <c r="L6820" s="20">
        <v>18600</v>
      </c>
      <c r="M6820" s="20" t="s">
        <v>242</v>
      </c>
      <c r="N6820" s="20" t="s">
        <v>3906</v>
      </c>
    </row>
    <row r="6821" spans="1:14" hidden="1" x14ac:dyDescent="0.25">
      <c r="A6821" s="19">
        <v>46204</v>
      </c>
      <c r="B6821" s="20" t="s">
        <v>156</v>
      </c>
      <c r="C6821" s="20">
        <v>81</v>
      </c>
      <c r="D6821" s="20" t="s">
        <v>253</v>
      </c>
      <c r="E6821" s="20" t="s">
        <v>2359</v>
      </c>
      <c r="F6821" s="20" t="s">
        <v>349</v>
      </c>
      <c r="G6821" s="20" t="s">
        <v>158</v>
      </c>
      <c r="H6821" s="20"/>
      <c r="I6821" s="20"/>
      <c r="J6821" s="20" t="s">
        <v>210</v>
      </c>
      <c r="K6821" s="20" t="s">
        <v>255</v>
      </c>
      <c r="L6821" s="20">
        <v>16100</v>
      </c>
      <c r="M6821" s="20" t="s">
        <v>242</v>
      </c>
      <c r="N6821" s="20" t="s">
        <v>4041</v>
      </c>
    </row>
    <row r="6822" spans="1:14" hidden="1" x14ac:dyDescent="0.25">
      <c r="A6822" s="19">
        <v>46204</v>
      </c>
      <c r="B6822" s="20" t="s">
        <v>156</v>
      </c>
      <c r="C6822" s="20">
        <v>81</v>
      </c>
      <c r="D6822" s="20" t="s">
        <v>253</v>
      </c>
      <c r="E6822" s="20" t="s">
        <v>2359</v>
      </c>
      <c r="F6822" s="20" t="s">
        <v>349</v>
      </c>
      <c r="G6822" s="20" t="s">
        <v>158</v>
      </c>
      <c r="H6822" s="20"/>
      <c r="I6822" s="20"/>
      <c r="J6822" s="20" t="s">
        <v>211</v>
      </c>
      <c r="K6822" s="20" t="s">
        <v>255</v>
      </c>
      <c r="L6822" s="20">
        <v>13800</v>
      </c>
      <c r="M6822" s="20" t="s">
        <v>242</v>
      </c>
      <c r="N6822" s="20" t="s">
        <v>352</v>
      </c>
    </row>
    <row r="6823" spans="1:14" hidden="1" x14ac:dyDescent="0.25">
      <c r="A6823" s="19">
        <v>46204</v>
      </c>
      <c r="B6823" s="20" t="s">
        <v>156</v>
      </c>
      <c r="C6823" s="20">
        <v>82</v>
      </c>
      <c r="D6823" s="20" t="s">
        <v>253</v>
      </c>
      <c r="E6823" s="20" t="s">
        <v>2359</v>
      </c>
      <c r="F6823" s="20" t="s">
        <v>2546</v>
      </c>
      <c r="G6823" s="20" t="s">
        <v>158</v>
      </c>
      <c r="H6823" s="20"/>
      <c r="I6823" s="20"/>
      <c r="J6823" s="20" t="s">
        <v>209</v>
      </c>
      <c r="K6823" s="20" t="s">
        <v>255</v>
      </c>
      <c r="L6823" s="20">
        <v>3.4</v>
      </c>
      <c r="M6823" s="20" t="s">
        <v>251</v>
      </c>
      <c r="N6823" s="20" t="s">
        <v>314</v>
      </c>
    </row>
    <row r="6824" spans="1:14" hidden="1" x14ac:dyDescent="0.25">
      <c r="A6824" s="19">
        <v>46204</v>
      </c>
      <c r="B6824" s="20" t="s">
        <v>156</v>
      </c>
      <c r="C6824" s="20">
        <v>82</v>
      </c>
      <c r="D6824" s="20" t="s">
        <v>253</v>
      </c>
      <c r="E6824" s="20" t="s">
        <v>2359</v>
      </c>
      <c r="F6824" s="20" t="s">
        <v>2546</v>
      </c>
      <c r="G6824" s="20" t="s">
        <v>158</v>
      </c>
      <c r="H6824" s="20"/>
      <c r="I6824" s="20"/>
      <c r="J6824" s="20" t="s">
        <v>210</v>
      </c>
      <c r="K6824" s="20" t="s">
        <v>255</v>
      </c>
      <c r="L6824" s="20">
        <v>3.2</v>
      </c>
      <c r="M6824" s="20" t="s">
        <v>251</v>
      </c>
      <c r="N6824" s="20" t="s">
        <v>509</v>
      </c>
    </row>
    <row r="6825" spans="1:14" hidden="1" x14ac:dyDescent="0.25">
      <c r="A6825" s="19">
        <v>46204</v>
      </c>
      <c r="B6825" s="20" t="s">
        <v>156</v>
      </c>
      <c r="C6825" s="20">
        <v>82</v>
      </c>
      <c r="D6825" s="20" t="s">
        <v>253</v>
      </c>
      <c r="E6825" s="20" t="s">
        <v>2359</v>
      </c>
      <c r="F6825" s="20" t="s">
        <v>2546</v>
      </c>
      <c r="G6825" s="20" t="s">
        <v>158</v>
      </c>
      <c r="H6825" s="20"/>
      <c r="I6825" s="20"/>
      <c r="J6825" s="20" t="s">
        <v>211</v>
      </c>
      <c r="K6825" s="20" t="s">
        <v>255</v>
      </c>
      <c r="L6825" s="20">
        <v>2.8</v>
      </c>
      <c r="M6825" s="20" t="s">
        <v>251</v>
      </c>
      <c r="N6825" s="20" t="s">
        <v>1346</v>
      </c>
    </row>
    <row r="6826" spans="1:14" hidden="1" x14ac:dyDescent="0.25">
      <c r="A6826" s="19">
        <v>46204</v>
      </c>
      <c r="B6826" s="20" t="s">
        <v>156</v>
      </c>
      <c r="C6826" s="20">
        <v>83</v>
      </c>
      <c r="D6826" s="20" t="s">
        <v>291</v>
      </c>
      <c r="E6826" s="20" t="s">
        <v>2361</v>
      </c>
      <c r="F6826" s="20" t="s">
        <v>349</v>
      </c>
      <c r="G6826" s="20" t="s">
        <v>158</v>
      </c>
      <c r="H6826" s="20" t="s">
        <v>159</v>
      </c>
      <c r="I6826" s="20"/>
      <c r="J6826" s="20" t="s">
        <v>211</v>
      </c>
      <c r="K6826" s="20" t="s">
        <v>250</v>
      </c>
      <c r="L6826" s="20">
        <v>8699</v>
      </c>
      <c r="M6826" s="20" t="s">
        <v>242</v>
      </c>
      <c r="N6826" s="20" t="s">
        <v>4168</v>
      </c>
    </row>
    <row r="6827" spans="1:14" hidden="1" x14ac:dyDescent="0.25">
      <c r="A6827" s="19">
        <v>46204</v>
      </c>
      <c r="B6827" s="20" t="s">
        <v>156</v>
      </c>
      <c r="C6827" s="20">
        <v>83</v>
      </c>
      <c r="D6827" s="20" t="s">
        <v>291</v>
      </c>
      <c r="E6827" s="20" t="s">
        <v>2361</v>
      </c>
      <c r="F6827" s="20" t="s">
        <v>349</v>
      </c>
      <c r="G6827" s="20" t="s">
        <v>158</v>
      </c>
      <c r="H6827" s="20" t="s">
        <v>160</v>
      </c>
      <c r="I6827" s="20"/>
      <c r="J6827" s="20" t="s">
        <v>211</v>
      </c>
      <c r="K6827" s="20" t="s">
        <v>250</v>
      </c>
      <c r="L6827" s="20">
        <v>5077</v>
      </c>
      <c r="M6827" s="20" t="s">
        <v>242</v>
      </c>
      <c r="N6827" s="20" t="s">
        <v>4169</v>
      </c>
    </row>
    <row r="6828" spans="1:14" hidden="1" x14ac:dyDescent="0.25">
      <c r="A6828" s="19">
        <v>46204</v>
      </c>
      <c r="B6828" s="20" t="s">
        <v>156</v>
      </c>
      <c r="C6828" s="20">
        <v>84</v>
      </c>
      <c r="D6828" s="20" t="s">
        <v>253</v>
      </c>
      <c r="E6828" s="20" t="s">
        <v>2359</v>
      </c>
      <c r="F6828" s="20" t="s">
        <v>356</v>
      </c>
      <c r="G6828" s="20" t="s">
        <v>158</v>
      </c>
      <c r="H6828" s="20"/>
      <c r="I6828" s="20"/>
      <c r="J6828" s="20" t="s">
        <v>209</v>
      </c>
      <c r="K6828" s="20" t="s">
        <v>255</v>
      </c>
      <c r="L6828" s="20">
        <v>3330000000</v>
      </c>
      <c r="M6828" s="20" t="s">
        <v>245</v>
      </c>
      <c r="N6828" s="20" t="s">
        <v>3909</v>
      </c>
    </row>
    <row r="6829" spans="1:14" hidden="1" x14ac:dyDescent="0.25">
      <c r="A6829" s="19">
        <v>46204</v>
      </c>
      <c r="B6829" s="20" t="s">
        <v>156</v>
      </c>
      <c r="C6829" s="20">
        <v>84</v>
      </c>
      <c r="D6829" s="20" t="s">
        <v>253</v>
      </c>
      <c r="E6829" s="20" t="s">
        <v>2359</v>
      </c>
      <c r="F6829" s="20" t="s">
        <v>356</v>
      </c>
      <c r="G6829" s="20" t="s">
        <v>158</v>
      </c>
      <c r="H6829" s="20"/>
      <c r="I6829" s="20"/>
      <c r="J6829" s="20" t="s">
        <v>210</v>
      </c>
      <c r="K6829" s="20" t="s">
        <v>255</v>
      </c>
      <c r="L6829" s="20">
        <v>3480000000</v>
      </c>
      <c r="M6829" s="20" t="s">
        <v>245</v>
      </c>
      <c r="N6829" s="20" t="s">
        <v>1701</v>
      </c>
    </row>
    <row r="6830" spans="1:14" hidden="1" x14ac:dyDescent="0.25">
      <c r="A6830" s="19">
        <v>46204</v>
      </c>
      <c r="B6830" s="20" t="s">
        <v>156</v>
      </c>
      <c r="C6830" s="20">
        <v>84</v>
      </c>
      <c r="D6830" s="20" t="s">
        <v>253</v>
      </c>
      <c r="E6830" s="20" t="s">
        <v>2359</v>
      </c>
      <c r="F6830" s="20" t="s">
        <v>356</v>
      </c>
      <c r="G6830" s="20" t="s">
        <v>158</v>
      </c>
      <c r="H6830" s="20"/>
      <c r="I6830" s="20"/>
      <c r="J6830" s="20" t="s">
        <v>211</v>
      </c>
      <c r="K6830" s="20" t="s">
        <v>255</v>
      </c>
      <c r="L6830" s="20">
        <v>3660000000</v>
      </c>
      <c r="M6830" s="20" t="s">
        <v>245</v>
      </c>
      <c r="N6830" s="20" t="s">
        <v>2875</v>
      </c>
    </row>
    <row r="6831" spans="1:14" hidden="1" x14ac:dyDescent="0.25">
      <c r="A6831" s="19">
        <v>46204</v>
      </c>
      <c r="B6831" s="20" t="s">
        <v>156</v>
      </c>
      <c r="C6831" s="20">
        <v>84</v>
      </c>
      <c r="D6831" s="20" t="s">
        <v>247</v>
      </c>
      <c r="E6831" s="20" t="s">
        <v>2554</v>
      </c>
      <c r="F6831" s="20" t="s">
        <v>2561</v>
      </c>
      <c r="G6831" s="20" t="s">
        <v>158</v>
      </c>
      <c r="H6831" s="20" t="s">
        <v>286</v>
      </c>
      <c r="I6831" s="20"/>
      <c r="J6831" s="20" t="s">
        <v>211</v>
      </c>
      <c r="K6831" s="20" t="s">
        <v>250</v>
      </c>
      <c r="L6831" s="20">
        <v>5.4</v>
      </c>
      <c r="M6831" s="20" t="s">
        <v>251</v>
      </c>
      <c r="N6831" s="20" t="s">
        <v>384</v>
      </c>
    </row>
    <row r="6832" spans="1:14" hidden="1" x14ac:dyDescent="0.25">
      <c r="A6832" s="19">
        <v>46204</v>
      </c>
      <c r="B6832" s="20" t="s">
        <v>156</v>
      </c>
      <c r="C6832" s="20">
        <v>85</v>
      </c>
      <c r="D6832" s="20" t="s">
        <v>253</v>
      </c>
      <c r="E6832" s="20" t="s">
        <v>2359</v>
      </c>
      <c r="F6832" s="20" t="s">
        <v>361</v>
      </c>
      <c r="G6832" s="20" t="s">
        <v>158</v>
      </c>
      <c r="H6832" s="20"/>
      <c r="I6832" s="20"/>
      <c r="J6832" s="20" t="s">
        <v>209</v>
      </c>
      <c r="K6832" s="20" t="s">
        <v>255</v>
      </c>
      <c r="L6832" s="20">
        <v>103600000</v>
      </c>
      <c r="M6832" s="20" t="s">
        <v>245</v>
      </c>
      <c r="N6832" s="20" t="s">
        <v>3910</v>
      </c>
    </row>
    <row r="6833" spans="1:14" hidden="1" x14ac:dyDescent="0.25">
      <c r="A6833" s="19">
        <v>46204</v>
      </c>
      <c r="B6833" s="20" t="s">
        <v>156</v>
      </c>
      <c r="C6833" s="20">
        <v>85</v>
      </c>
      <c r="D6833" s="20" t="s">
        <v>253</v>
      </c>
      <c r="E6833" s="20" t="s">
        <v>2359</v>
      </c>
      <c r="F6833" s="20" t="s">
        <v>361</v>
      </c>
      <c r="G6833" s="20" t="s">
        <v>158</v>
      </c>
      <c r="H6833" s="20"/>
      <c r="I6833" s="20"/>
      <c r="J6833" s="20" t="s">
        <v>210</v>
      </c>
      <c r="K6833" s="20" t="s">
        <v>255</v>
      </c>
      <c r="L6833" s="20">
        <v>98900000</v>
      </c>
      <c r="M6833" s="20" t="s">
        <v>245</v>
      </c>
      <c r="N6833" s="20" t="s">
        <v>4044</v>
      </c>
    </row>
    <row r="6834" spans="1:14" hidden="1" x14ac:dyDescent="0.25">
      <c r="A6834" s="19">
        <v>46204</v>
      </c>
      <c r="B6834" s="20" t="s">
        <v>156</v>
      </c>
      <c r="C6834" s="20">
        <v>85</v>
      </c>
      <c r="D6834" s="20" t="s">
        <v>253</v>
      </c>
      <c r="E6834" s="20" t="s">
        <v>2359</v>
      </c>
      <c r="F6834" s="20" t="s">
        <v>361</v>
      </c>
      <c r="G6834" s="20" t="s">
        <v>158</v>
      </c>
      <c r="H6834" s="20"/>
      <c r="I6834" s="20"/>
      <c r="J6834" s="20" t="s">
        <v>211</v>
      </c>
      <c r="K6834" s="20" t="s">
        <v>255</v>
      </c>
      <c r="L6834" s="20">
        <v>88300000</v>
      </c>
      <c r="M6834" s="20" t="s">
        <v>245</v>
      </c>
      <c r="N6834" s="20" t="s">
        <v>4170</v>
      </c>
    </row>
    <row r="6835" spans="1:14" hidden="1" x14ac:dyDescent="0.25">
      <c r="A6835" s="19">
        <v>46204</v>
      </c>
      <c r="B6835" s="20" t="s">
        <v>156</v>
      </c>
      <c r="C6835" s="20">
        <v>86</v>
      </c>
      <c r="D6835" s="20" t="s">
        <v>253</v>
      </c>
      <c r="E6835" s="20" t="s">
        <v>2359</v>
      </c>
      <c r="F6835" s="20" t="s">
        <v>2548</v>
      </c>
      <c r="G6835" s="20" t="s">
        <v>158</v>
      </c>
      <c r="H6835" s="20"/>
      <c r="I6835" s="20"/>
      <c r="J6835" s="20" t="s">
        <v>209</v>
      </c>
      <c r="K6835" s="20" t="s">
        <v>255</v>
      </c>
      <c r="L6835" s="20">
        <v>3.11</v>
      </c>
      <c r="M6835" s="20" t="s">
        <v>251</v>
      </c>
      <c r="N6835" s="20" t="s">
        <v>3911</v>
      </c>
    </row>
    <row r="6836" spans="1:14" hidden="1" x14ac:dyDescent="0.25">
      <c r="A6836" s="19">
        <v>46204</v>
      </c>
      <c r="B6836" s="20" t="s">
        <v>156</v>
      </c>
      <c r="C6836" s="20">
        <v>86</v>
      </c>
      <c r="D6836" s="20" t="s">
        <v>253</v>
      </c>
      <c r="E6836" s="20" t="s">
        <v>2359</v>
      </c>
      <c r="F6836" s="20" t="s">
        <v>2548</v>
      </c>
      <c r="G6836" s="20" t="s">
        <v>158</v>
      </c>
      <c r="H6836" s="20"/>
      <c r="I6836" s="20"/>
      <c r="J6836" s="20" t="s">
        <v>210</v>
      </c>
      <c r="K6836" s="20" t="s">
        <v>255</v>
      </c>
      <c r="L6836" s="20">
        <v>2.85</v>
      </c>
      <c r="M6836" s="20" t="s">
        <v>251</v>
      </c>
      <c r="N6836" s="20" t="s">
        <v>4045</v>
      </c>
    </row>
    <row r="6837" spans="1:14" hidden="1" x14ac:dyDescent="0.25">
      <c r="A6837" s="19">
        <v>46204</v>
      </c>
      <c r="B6837" s="20" t="s">
        <v>156</v>
      </c>
      <c r="C6837" s="20">
        <v>86</v>
      </c>
      <c r="D6837" s="20" t="s">
        <v>253</v>
      </c>
      <c r="E6837" s="20" t="s">
        <v>2359</v>
      </c>
      <c r="F6837" s="20" t="s">
        <v>2548</v>
      </c>
      <c r="G6837" s="20" t="s">
        <v>158</v>
      </c>
      <c r="H6837" s="20"/>
      <c r="I6837" s="20"/>
      <c r="J6837" s="20" t="s">
        <v>211</v>
      </c>
      <c r="K6837" s="20" t="s">
        <v>255</v>
      </c>
      <c r="L6837" s="20">
        <v>2.41</v>
      </c>
      <c r="M6837" s="20" t="s">
        <v>251</v>
      </c>
      <c r="N6837" s="20" t="s">
        <v>4171</v>
      </c>
    </row>
    <row r="6838" spans="1:14" hidden="1" x14ac:dyDescent="0.25">
      <c r="A6838" s="19">
        <v>46204</v>
      </c>
      <c r="B6838" s="20" t="s">
        <v>156</v>
      </c>
      <c r="C6838" s="20">
        <v>87</v>
      </c>
      <c r="D6838" s="20" t="s">
        <v>291</v>
      </c>
      <c r="E6838" s="20" t="s">
        <v>2361</v>
      </c>
      <c r="F6838" s="20" t="s">
        <v>361</v>
      </c>
      <c r="G6838" s="20" t="s">
        <v>158</v>
      </c>
      <c r="H6838" s="20" t="s">
        <v>159</v>
      </c>
      <c r="I6838" s="20"/>
      <c r="J6838" s="20" t="s">
        <v>211</v>
      </c>
      <c r="K6838" s="20" t="s">
        <v>250</v>
      </c>
      <c r="L6838" s="20">
        <v>50900000</v>
      </c>
      <c r="M6838" s="20" t="s">
        <v>245</v>
      </c>
      <c r="N6838" s="20" t="s">
        <v>4172</v>
      </c>
    </row>
    <row r="6839" spans="1:14" hidden="1" x14ac:dyDescent="0.25">
      <c r="A6839" s="19">
        <v>46204</v>
      </c>
      <c r="B6839" s="20" t="s">
        <v>156</v>
      </c>
      <c r="C6839" s="20">
        <v>87</v>
      </c>
      <c r="D6839" s="20" t="s">
        <v>291</v>
      </c>
      <c r="E6839" s="20" t="s">
        <v>2361</v>
      </c>
      <c r="F6839" s="20" t="s">
        <v>361</v>
      </c>
      <c r="G6839" s="20" t="s">
        <v>158</v>
      </c>
      <c r="H6839" s="20" t="s">
        <v>160</v>
      </c>
      <c r="I6839" s="20"/>
      <c r="J6839" s="20" t="s">
        <v>211</v>
      </c>
      <c r="K6839" s="20" t="s">
        <v>250</v>
      </c>
      <c r="L6839" s="20">
        <v>37500000</v>
      </c>
      <c r="M6839" s="20" t="s">
        <v>245</v>
      </c>
      <c r="N6839" s="20" t="s">
        <v>4173</v>
      </c>
    </row>
    <row r="6840" spans="1:14" hidden="1" x14ac:dyDescent="0.25">
      <c r="A6840" s="19">
        <v>46204</v>
      </c>
      <c r="B6840" s="20" t="s">
        <v>162</v>
      </c>
      <c r="C6840" s="20">
        <v>44</v>
      </c>
      <c r="D6840" s="20" t="s">
        <v>291</v>
      </c>
      <c r="E6840" s="20" t="s">
        <v>2361</v>
      </c>
      <c r="F6840" s="20" t="s">
        <v>2445</v>
      </c>
      <c r="G6840" s="20" t="s">
        <v>82</v>
      </c>
      <c r="H6840" s="20" t="s">
        <v>2446</v>
      </c>
      <c r="I6840" s="20" t="s">
        <v>2447</v>
      </c>
      <c r="J6840" s="20" t="s">
        <v>211</v>
      </c>
      <c r="K6840" s="20" t="s">
        <v>250</v>
      </c>
      <c r="L6840" s="20">
        <v>15330000</v>
      </c>
      <c r="M6840" s="20" t="s">
        <v>242</v>
      </c>
      <c r="N6840" s="20" t="s">
        <v>4174</v>
      </c>
    </row>
    <row r="6841" spans="1:14" hidden="1" x14ac:dyDescent="0.25">
      <c r="A6841" s="19">
        <v>46204</v>
      </c>
      <c r="B6841" s="20" t="s">
        <v>162</v>
      </c>
      <c r="C6841" s="20">
        <v>44</v>
      </c>
      <c r="D6841" s="20" t="s">
        <v>291</v>
      </c>
      <c r="E6841" s="20" t="s">
        <v>2361</v>
      </c>
      <c r="F6841" s="20" t="s">
        <v>2445</v>
      </c>
      <c r="G6841" s="20" t="s">
        <v>82</v>
      </c>
      <c r="H6841" s="20" t="s">
        <v>2446</v>
      </c>
      <c r="I6841" s="20" t="s">
        <v>2451</v>
      </c>
      <c r="J6841" s="20" t="s">
        <v>211</v>
      </c>
      <c r="K6841" s="20" t="s">
        <v>250</v>
      </c>
      <c r="L6841" s="20">
        <v>7820000</v>
      </c>
      <c r="M6841" s="20" t="s">
        <v>242</v>
      </c>
      <c r="N6841" s="20" t="s">
        <v>3508</v>
      </c>
    </row>
    <row r="6842" spans="1:14" hidden="1" x14ac:dyDescent="0.25">
      <c r="A6842" s="19">
        <v>46204</v>
      </c>
      <c r="B6842" s="20" t="s">
        <v>162</v>
      </c>
      <c r="C6842" s="20">
        <v>44</v>
      </c>
      <c r="D6842" s="20" t="s">
        <v>291</v>
      </c>
      <c r="E6842" s="20" t="s">
        <v>2361</v>
      </c>
      <c r="F6842" s="20" t="s">
        <v>2445</v>
      </c>
      <c r="G6842" s="20" t="s">
        <v>82</v>
      </c>
      <c r="H6842" s="20" t="s">
        <v>2446</v>
      </c>
      <c r="I6842" s="20" t="s">
        <v>2454</v>
      </c>
      <c r="J6842" s="20" t="s">
        <v>211</v>
      </c>
      <c r="K6842" s="20" t="s">
        <v>250</v>
      </c>
      <c r="L6842" s="20">
        <v>21020</v>
      </c>
      <c r="M6842" s="20" t="s">
        <v>242</v>
      </c>
      <c r="N6842" s="20" t="s">
        <v>4175</v>
      </c>
    </row>
    <row r="6843" spans="1:14" hidden="1" x14ac:dyDescent="0.25">
      <c r="A6843" s="19">
        <v>46204</v>
      </c>
      <c r="B6843" s="20" t="s">
        <v>162</v>
      </c>
      <c r="C6843" s="20">
        <v>44</v>
      </c>
      <c r="D6843" s="20" t="s">
        <v>291</v>
      </c>
      <c r="E6843" s="20" t="s">
        <v>2361</v>
      </c>
      <c r="F6843" s="20" t="s">
        <v>2445</v>
      </c>
      <c r="G6843" s="20" t="s">
        <v>82</v>
      </c>
      <c r="H6843" s="20" t="s">
        <v>2449</v>
      </c>
      <c r="I6843" s="20" t="s">
        <v>2447</v>
      </c>
      <c r="J6843" s="20" t="s">
        <v>211</v>
      </c>
      <c r="K6843" s="20" t="s">
        <v>250</v>
      </c>
      <c r="L6843" s="20">
        <v>4880000</v>
      </c>
      <c r="M6843" s="20" t="s">
        <v>242</v>
      </c>
      <c r="N6843" s="20" t="s">
        <v>1835</v>
      </c>
    </row>
    <row r="6844" spans="1:14" hidden="1" x14ac:dyDescent="0.25">
      <c r="A6844" s="19">
        <v>46204</v>
      </c>
      <c r="B6844" s="20" t="s">
        <v>162</v>
      </c>
      <c r="C6844" s="20">
        <v>44</v>
      </c>
      <c r="D6844" s="20" t="s">
        <v>291</v>
      </c>
      <c r="E6844" s="20" t="s">
        <v>2361</v>
      </c>
      <c r="F6844" s="20" t="s">
        <v>2445</v>
      </c>
      <c r="G6844" s="20" t="s">
        <v>82</v>
      </c>
      <c r="H6844" s="20" t="s">
        <v>2449</v>
      </c>
      <c r="I6844" s="20" t="s">
        <v>2451</v>
      </c>
      <c r="J6844" s="20" t="s">
        <v>211</v>
      </c>
      <c r="K6844" s="20" t="s">
        <v>250</v>
      </c>
      <c r="L6844" s="20">
        <v>11710000</v>
      </c>
      <c r="M6844" s="20" t="s">
        <v>242</v>
      </c>
      <c r="N6844" s="20" t="s">
        <v>4176</v>
      </c>
    </row>
    <row r="6845" spans="1:14" hidden="1" x14ac:dyDescent="0.25">
      <c r="A6845" s="19">
        <v>46204</v>
      </c>
      <c r="B6845" s="20" t="s">
        <v>162</v>
      </c>
      <c r="C6845" s="20">
        <v>44</v>
      </c>
      <c r="D6845" s="20" t="s">
        <v>291</v>
      </c>
      <c r="E6845" s="20" t="s">
        <v>2361</v>
      </c>
      <c r="F6845" s="20" t="s">
        <v>2445</v>
      </c>
      <c r="G6845" s="20" t="s">
        <v>82</v>
      </c>
      <c r="H6845" s="20" t="s">
        <v>2449</v>
      </c>
      <c r="I6845" s="20" t="s">
        <v>2454</v>
      </c>
      <c r="J6845" s="20" t="s">
        <v>211</v>
      </c>
      <c r="K6845" s="20" t="s">
        <v>250</v>
      </c>
      <c r="L6845" s="20">
        <v>254650</v>
      </c>
      <c r="M6845" s="20" t="s">
        <v>242</v>
      </c>
      <c r="N6845" s="20" t="s">
        <v>4177</v>
      </c>
    </row>
    <row r="6846" spans="1:14" hidden="1" x14ac:dyDescent="0.25">
      <c r="A6846" s="19">
        <v>46204</v>
      </c>
      <c r="B6846" s="20" t="s">
        <v>162</v>
      </c>
      <c r="C6846" s="20">
        <v>49</v>
      </c>
      <c r="D6846" s="20" t="s">
        <v>291</v>
      </c>
      <c r="E6846" s="20" t="s">
        <v>2361</v>
      </c>
      <c r="F6846" s="20" t="s">
        <v>2462</v>
      </c>
      <c r="G6846" s="20" t="s">
        <v>82</v>
      </c>
      <c r="H6846" s="20" t="s">
        <v>2446</v>
      </c>
      <c r="I6846" s="20" t="s">
        <v>2447</v>
      </c>
      <c r="J6846" s="20" t="s">
        <v>211</v>
      </c>
      <c r="K6846" s="20" t="s">
        <v>250</v>
      </c>
      <c r="L6846" s="20">
        <v>1970000000</v>
      </c>
      <c r="M6846" s="20" t="s">
        <v>245</v>
      </c>
      <c r="N6846" s="20" t="s">
        <v>4178</v>
      </c>
    </row>
    <row r="6847" spans="1:14" hidden="1" x14ac:dyDescent="0.25">
      <c r="A6847" s="19">
        <v>46204</v>
      </c>
      <c r="B6847" s="20" t="s">
        <v>162</v>
      </c>
      <c r="C6847" s="20">
        <v>49</v>
      </c>
      <c r="D6847" s="20" t="s">
        <v>291</v>
      </c>
      <c r="E6847" s="20" t="s">
        <v>2361</v>
      </c>
      <c r="F6847" s="20" t="s">
        <v>2462</v>
      </c>
      <c r="G6847" s="20" t="s">
        <v>82</v>
      </c>
      <c r="H6847" s="20" t="s">
        <v>2446</v>
      </c>
      <c r="I6847" s="20" t="s">
        <v>2451</v>
      </c>
      <c r="J6847" s="20" t="s">
        <v>211</v>
      </c>
      <c r="K6847" s="20" t="s">
        <v>250</v>
      </c>
      <c r="L6847" s="20">
        <v>366500000</v>
      </c>
      <c r="M6847" s="20" t="s">
        <v>245</v>
      </c>
      <c r="N6847" s="20" t="s">
        <v>4179</v>
      </c>
    </row>
    <row r="6848" spans="1:14" hidden="1" x14ac:dyDescent="0.25">
      <c r="A6848" s="19">
        <v>46204</v>
      </c>
      <c r="B6848" s="20" t="s">
        <v>162</v>
      </c>
      <c r="C6848" s="20">
        <v>49</v>
      </c>
      <c r="D6848" s="20" t="s">
        <v>291</v>
      </c>
      <c r="E6848" s="20" t="s">
        <v>2361</v>
      </c>
      <c r="F6848" s="20" t="s">
        <v>2462</v>
      </c>
      <c r="G6848" s="20" t="s">
        <v>82</v>
      </c>
      <c r="H6848" s="20" t="s">
        <v>2446</v>
      </c>
      <c r="I6848" s="20" t="s">
        <v>2454</v>
      </c>
      <c r="J6848" s="20" t="s">
        <v>211</v>
      </c>
      <c r="K6848" s="20" t="s">
        <v>250</v>
      </c>
      <c r="L6848" s="20">
        <v>249000</v>
      </c>
      <c r="M6848" s="20" t="s">
        <v>245</v>
      </c>
      <c r="N6848" s="20" t="s">
        <v>4180</v>
      </c>
    </row>
    <row r="6849" spans="1:16" hidden="1" x14ac:dyDescent="0.25">
      <c r="A6849" s="19">
        <v>46204</v>
      </c>
      <c r="B6849" s="20" t="s">
        <v>162</v>
      </c>
      <c r="C6849" s="20">
        <v>49</v>
      </c>
      <c r="D6849" s="20" t="s">
        <v>291</v>
      </c>
      <c r="E6849" s="20" t="s">
        <v>2361</v>
      </c>
      <c r="F6849" s="20" t="s">
        <v>2462</v>
      </c>
      <c r="G6849" s="20" t="s">
        <v>82</v>
      </c>
      <c r="H6849" s="20" t="s">
        <v>2449</v>
      </c>
      <c r="I6849" s="20" t="s">
        <v>2447</v>
      </c>
      <c r="J6849" s="20" t="s">
        <v>211</v>
      </c>
      <c r="K6849" s="20" t="s">
        <v>250</v>
      </c>
      <c r="L6849" s="20">
        <v>385200000</v>
      </c>
      <c r="M6849" s="20" t="s">
        <v>245</v>
      </c>
      <c r="N6849" s="20" t="s">
        <v>4181</v>
      </c>
    </row>
    <row r="6850" spans="1:16" hidden="1" x14ac:dyDescent="0.25">
      <c r="A6850" s="19">
        <v>46204</v>
      </c>
      <c r="B6850" s="20" t="s">
        <v>162</v>
      </c>
      <c r="C6850" s="20">
        <v>49</v>
      </c>
      <c r="D6850" s="20" t="s">
        <v>291</v>
      </c>
      <c r="E6850" s="20" t="s">
        <v>2361</v>
      </c>
      <c r="F6850" s="20" t="s">
        <v>2462</v>
      </c>
      <c r="G6850" s="20" t="s">
        <v>82</v>
      </c>
      <c r="H6850" s="20" t="s">
        <v>2449</v>
      </c>
      <c r="I6850" s="20" t="s">
        <v>2451</v>
      </c>
      <c r="J6850" s="20" t="s">
        <v>211</v>
      </c>
      <c r="K6850" s="20" t="s">
        <v>250</v>
      </c>
      <c r="L6850" s="20">
        <v>363900000</v>
      </c>
      <c r="M6850" s="20" t="s">
        <v>245</v>
      </c>
      <c r="N6850" s="20" t="s">
        <v>4182</v>
      </c>
    </row>
    <row r="6851" spans="1:16" hidden="1" x14ac:dyDescent="0.25">
      <c r="A6851" s="19">
        <v>46204</v>
      </c>
      <c r="B6851" s="20" t="s">
        <v>162</v>
      </c>
      <c r="C6851" s="20">
        <v>49</v>
      </c>
      <c r="D6851" s="20" t="s">
        <v>291</v>
      </c>
      <c r="E6851" s="20" t="s">
        <v>2361</v>
      </c>
      <c r="F6851" s="20" t="s">
        <v>2462</v>
      </c>
      <c r="G6851" s="20" t="s">
        <v>82</v>
      </c>
      <c r="H6851" s="20" t="s">
        <v>2449</v>
      </c>
      <c r="I6851" s="20" t="s">
        <v>2454</v>
      </c>
      <c r="J6851" s="20" t="s">
        <v>211</v>
      </c>
      <c r="K6851" s="20" t="s">
        <v>250</v>
      </c>
      <c r="L6851" s="20">
        <v>2000000</v>
      </c>
      <c r="M6851" s="20" t="s">
        <v>245</v>
      </c>
      <c r="N6851" s="20" t="s">
        <v>1469</v>
      </c>
    </row>
    <row r="6852" spans="1:16" hidden="1" x14ac:dyDescent="0.25">
      <c r="A6852" s="21">
        <v>46235</v>
      </c>
      <c r="B6852" s="22" t="s">
        <v>142</v>
      </c>
      <c r="C6852" s="22">
        <v>73</v>
      </c>
      <c r="D6852" s="22" t="s">
        <v>238</v>
      </c>
      <c r="E6852" s="22" t="s">
        <v>239</v>
      </c>
      <c r="F6852" s="22" t="s">
        <v>240</v>
      </c>
      <c r="G6852" s="22" t="s">
        <v>82</v>
      </c>
      <c r="H6852" s="22"/>
      <c r="I6852" s="22"/>
      <c r="J6852" s="22" t="s">
        <v>212</v>
      </c>
      <c r="K6852" s="22" t="s">
        <v>241</v>
      </c>
      <c r="L6852" s="22">
        <v>8640000</v>
      </c>
      <c r="M6852" s="22" t="s">
        <v>242</v>
      </c>
      <c r="N6852" s="22" t="s">
        <v>4183</v>
      </c>
    </row>
    <row r="6853" spans="1:16" hidden="1" x14ac:dyDescent="0.25">
      <c r="A6853" s="21">
        <v>46235</v>
      </c>
      <c r="B6853" s="22" t="s">
        <v>142</v>
      </c>
      <c r="C6853" s="22">
        <v>73</v>
      </c>
      <c r="D6853" s="22" t="s">
        <v>238</v>
      </c>
      <c r="E6853" s="22" t="s">
        <v>239</v>
      </c>
      <c r="F6853" s="22" t="s">
        <v>244</v>
      </c>
      <c r="G6853" s="22" t="s">
        <v>82</v>
      </c>
      <c r="H6853" s="22"/>
      <c r="I6853" s="22"/>
      <c r="J6853" s="22" t="s">
        <v>212</v>
      </c>
      <c r="K6853" s="22" t="s">
        <v>241</v>
      </c>
      <c r="L6853" s="22">
        <v>7320000000</v>
      </c>
      <c r="M6853" s="22" t="s">
        <v>245</v>
      </c>
      <c r="N6853" s="22" t="s">
        <v>4184</v>
      </c>
    </row>
    <row r="6854" spans="1:16" hidden="1" x14ac:dyDescent="0.25">
      <c r="A6854" s="21">
        <v>46235</v>
      </c>
      <c r="B6854" s="22" t="s">
        <v>142</v>
      </c>
      <c r="C6854" s="22">
        <v>74</v>
      </c>
      <c r="D6854" s="22" t="s">
        <v>253</v>
      </c>
      <c r="E6854" s="22" t="s">
        <v>248</v>
      </c>
      <c r="F6854" s="22" t="s">
        <v>240</v>
      </c>
      <c r="G6854" s="22" t="s">
        <v>82</v>
      </c>
      <c r="H6854" s="22"/>
      <c r="I6854" s="22"/>
      <c r="J6854" s="22" t="s">
        <v>210</v>
      </c>
      <c r="K6854" s="22" t="s">
        <v>255</v>
      </c>
      <c r="L6854" s="22">
        <v>1070000</v>
      </c>
      <c r="M6854" s="22" t="s">
        <v>242</v>
      </c>
      <c r="N6854" s="22" t="s">
        <v>3749</v>
      </c>
      <c r="O6854">
        <v>1</v>
      </c>
      <c r="P6854" t="s">
        <v>257</v>
      </c>
    </row>
    <row r="6855" spans="1:16" hidden="1" x14ac:dyDescent="0.25">
      <c r="A6855" s="21">
        <v>46235</v>
      </c>
      <c r="B6855" s="22" t="s">
        <v>142</v>
      </c>
      <c r="C6855" s="22">
        <v>74</v>
      </c>
      <c r="D6855" s="22" t="s">
        <v>253</v>
      </c>
      <c r="E6855" s="22" t="s">
        <v>248</v>
      </c>
      <c r="F6855" s="22" t="s">
        <v>240</v>
      </c>
      <c r="G6855" s="22" t="s">
        <v>82</v>
      </c>
      <c r="H6855" s="22"/>
      <c r="I6855" s="22"/>
      <c r="J6855" s="22" t="s">
        <v>211</v>
      </c>
      <c r="K6855" s="22" t="s">
        <v>255</v>
      </c>
      <c r="L6855" s="22">
        <v>1080000</v>
      </c>
      <c r="M6855" s="22" t="s">
        <v>242</v>
      </c>
      <c r="N6855" s="22" t="s">
        <v>3458</v>
      </c>
      <c r="O6855">
        <v>1</v>
      </c>
      <c r="P6855" t="s">
        <v>257</v>
      </c>
    </row>
    <row r="6856" spans="1:16" hidden="1" x14ac:dyDescent="0.25">
      <c r="A6856" s="21">
        <v>46235</v>
      </c>
      <c r="B6856" s="22" t="s">
        <v>142</v>
      </c>
      <c r="C6856" s="22">
        <v>74</v>
      </c>
      <c r="D6856" s="22" t="s">
        <v>253</v>
      </c>
      <c r="E6856" s="22" t="s">
        <v>248</v>
      </c>
      <c r="F6856" s="22" t="s">
        <v>240</v>
      </c>
      <c r="G6856" s="22" t="s">
        <v>82</v>
      </c>
      <c r="H6856" s="22"/>
      <c r="I6856" s="22"/>
      <c r="J6856" s="22" t="s">
        <v>212</v>
      </c>
      <c r="K6856" s="22" t="s">
        <v>255</v>
      </c>
      <c r="L6856" s="22">
        <v>1040000</v>
      </c>
      <c r="M6856" s="22" t="s">
        <v>242</v>
      </c>
      <c r="N6856" s="22" t="s">
        <v>2863</v>
      </c>
      <c r="O6856">
        <v>1</v>
      </c>
      <c r="P6856" t="s">
        <v>261</v>
      </c>
    </row>
    <row r="6857" spans="1:16" hidden="1" x14ac:dyDescent="0.25">
      <c r="A6857" s="21">
        <v>46235</v>
      </c>
      <c r="B6857" s="22" t="s">
        <v>142</v>
      </c>
      <c r="C6857" s="22">
        <v>74</v>
      </c>
      <c r="D6857" s="22" t="s">
        <v>247</v>
      </c>
      <c r="E6857" s="22" t="s">
        <v>248</v>
      </c>
      <c r="F6857" s="22" t="s">
        <v>240</v>
      </c>
      <c r="G6857" s="22" t="s">
        <v>82</v>
      </c>
      <c r="H6857" s="22" t="s">
        <v>249</v>
      </c>
      <c r="I6857" s="22"/>
      <c r="J6857" s="22" t="s">
        <v>212</v>
      </c>
      <c r="K6857" s="22" t="s">
        <v>250</v>
      </c>
      <c r="L6857" s="22">
        <v>4.5</v>
      </c>
      <c r="M6857" s="22" t="s">
        <v>251</v>
      </c>
      <c r="N6857" s="22" t="s">
        <v>4185</v>
      </c>
    </row>
    <row r="6858" spans="1:16" hidden="1" x14ac:dyDescent="0.25">
      <c r="A6858" s="21">
        <v>46235</v>
      </c>
      <c r="B6858" s="22" t="s">
        <v>142</v>
      </c>
      <c r="C6858" s="22">
        <v>75</v>
      </c>
      <c r="D6858" s="22" t="s">
        <v>253</v>
      </c>
      <c r="E6858" s="22" t="s">
        <v>248</v>
      </c>
      <c r="F6858" s="22" t="s">
        <v>240</v>
      </c>
      <c r="G6858" s="22" t="s">
        <v>82</v>
      </c>
      <c r="H6858" s="22" t="s">
        <v>150</v>
      </c>
      <c r="I6858" s="22"/>
      <c r="J6858" s="22" t="s">
        <v>210</v>
      </c>
      <c r="K6858" s="22" t="s">
        <v>255</v>
      </c>
      <c r="L6858" s="22">
        <v>348</v>
      </c>
      <c r="M6858" s="22" t="s">
        <v>242</v>
      </c>
      <c r="N6858" s="22" t="s">
        <v>4036</v>
      </c>
      <c r="O6858">
        <v>1</v>
      </c>
      <c r="P6858" t="s">
        <v>257</v>
      </c>
    </row>
    <row r="6859" spans="1:16" hidden="1" x14ac:dyDescent="0.25">
      <c r="A6859" s="21">
        <v>46235</v>
      </c>
      <c r="B6859" s="22" t="s">
        <v>142</v>
      </c>
      <c r="C6859" s="22">
        <v>75</v>
      </c>
      <c r="D6859" s="22" t="s">
        <v>253</v>
      </c>
      <c r="E6859" s="22" t="s">
        <v>248</v>
      </c>
      <c r="F6859" s="22" t="s">
        <v>240</v>
      </c>
      <c r="G6859" s="22" t="s">
        <v>82</v>
      </c>
      <c r="H6859" s="22" t="s">
        <v>150</v>
      </c>
      <c r="I6859" s="22"/>
      <c r="J6859" s="22" t="s">
        <v>211</v>
      </c>
      <c r="K6859" s="22" t="s">
        <v>255</v>
      </c>
      <c r="L6859" s="22">
        <v>292</v>
      </c>
      <c r="M6859" s="22" t="s">
        <v>242</v>
      </c>
      <c r="N6859" s="22" t="s">
        <v>1662</v>
      </c>
      <c r="O6859">
        <v>1</v>
      </c>
      <c r="P6859" t="s">
        <v>257</v>
      </c>
    </row>
    <row r="6860" spans="1:16" hidden="1" x14ac:dyDescent="0.25">
      <c r="A6860" s="21">
        <v>46235</v>
      </c>
      <c r="B6860" s="22" t="s">
        <v>142</v>
      </c>
      <c r="C6860" s="22">
        <v>75</v>
      </c>
      <c r="D6860" s="22" t="s">
        <v>253</v>
      </c>
      <c r="E6860" s="22" t="s">
        <v>248</v>
      </c>
      <c r="F6860" s="22" t="s">
        <v>240</v>
      </c>
      <c r="G6860" s="22" t="s">
        <v>82</v>
      </c>
      <c r="H6860" s="22" t="s">
        <v>150</v>
      </c>
      <c r="I6860" s="22"/>
      <c r="J6860" s="22" t="s">
        <v>212</v>
      </c>
      <c r="K6860" s="22" t="s">
        <v>255</v>
      </c>
      <c r="L6860" s="22">
        <v>330</v>
      </c>
      <c r="M6860" s="22" t="s">
        <v>242</v>
      </c>
      <c r="N6860" s="22" t="s">
        <v>4186</v>
      </c>
      <c r="O6860">
        <v>1</v>
      </c>
      <c r="P6860" t="s">
        <v>261</v>
      </c>
    </row>
    <row r="6861" spans="1:16" hidden="1" x14ac:dyDescent="0.25">
      <c r="A6861" s="21">
        <v>46235</v>
      </c>
      <c r="B6861" s="22" t="s">
        <v>142</v>
      </c>
      <c r="C6861" s="22">
        <v>75</v>
      </c>
      <c r="D6861" s="22" t="s">
        <v>253</v>
      </c>
      <c r="E6861" s="22" t="s">
        <v>248</v>
      </c>
      <c r="F6861" s="22" t="s">
        <v>240</v>
      </c>
      <c r="G6861" s="22" t="s">
        <v>82</v>
      </c>
      <c r="H6861" s="22" t="s">
        <v>151</v>
      </c>
      <c r="I6861" s="22"/>
      <c r="J6861" s="22" t="s">
        <v>210</v>
      </c>
      <c r="K6861" s="22" t="s">
        <v>255</v>
      </c>
      <c r="L6861" s="22">
        <v>39</v>
      </c>
      <c r="M6861" s="22" t="s">
        <v>242</v>
      </c>
      <c r="N6861" s="22" t="s">
        <v>3899</v>
      </c>
      <c r="O6861">
        <v>1</v>
      </c>
      <c r="P6861" t="s">
        <v>257</v>
      </c>
    </row>
    <row r="6862" spans="1:16" hidden="1" x14ac:dyDescent="0.25">
      <c r="A6862" s="21">
        <v>46235</v>
      </c>
      <c r="B6862" s="22" t="s">
        <v>142</v>
      </c>
      <c r="C6862" s="22">
        <v>75</v>
      </c>
      <c r="D6862" s="22" t="s">
        <v>253</v>
      </c>
      <c r="E6862" s="22" t="s">
        <v>248</v>
      </c>
      <c r="F6862" s="22" t="s">
        <v>240</v>
      </c>
      <c r="G6862" s="22" t="s">
        <v>82</v>
      </c>
      <c r="H6862" s="22" t="s">
        <v>151</v>
      </c>
      <c r="I6862" s="22"/>
      <c r="J6862" s="22" t="s">
        <v>211</v>
      </c>
      <c r="K6862" s="22" t="s">
        <v>255</v>
      </c>
      <c r="L6862" s="22">
        <v>37</v>
      </c>
      <c r="M6862" s="22" t="s">
        <v>242</v>
      </c>
      <c r="N6862" s="22" t="s">
        <v>1310</v>
      </c>
      <c r="O6862">
        <v>1</v>
      </c>
      <c r="P6862" t="s">
        <v>257</v>
      </c>
    </row>
    <row r="6863" spans="1:16" hidden="1" x14ac:dyDescent="0.25">
      <c r="A6863" s="21">
        <v>46235</v>
      </c>
      <c r="B6863" s="22" t="s">
        <v>142</v>
      </c>
      <c r="C6863" s="22">
        <v>75</v>
      </c>
      <c r="D6863" s="22" t="s">
        <v>253</v>
      </c>
      <c r="E6863" s="22" t="s">
        <v>248</v>
      </c>
      <c r="F6863" s="22" t="s">
        <v>240</v>
      </c>
      <c r="G6863" s="22" t="s">
        <v>82</v>
      </c>
      <c r="H6863" s="22" t="s">
        <v>151</v>
      </c>
      <c r="I6863" s="22"/>
      <c r="J6863" s="22" t="s">
        <v>212</v>
      </c>
      <c r="K6863" s="22" t="s">
        <v>255</v>
      </c>
      <c r="L6863" s="22">
        <v>53</v>
      </c>
      <c r="M6863" s="22" t="s">
        <v>242</v>
      </c>
      <c r="N6863" s="22" t="s">
        <v>2710</v>
      </c>
      <c r="O6863">
        <v>1</v>
      </c>
      <c r="P6863" t="s">
        <v>261</v>
      </c>
    </row>
    <row r="6864" spans="1:16" hidden="1" x14ac:dyDescent="0.25">
      <c r="A6864" s="21">
        <v>46235</v>
      </c>
      <c r="B6864" s="22" t="s">
        <v>142</v>
      </c>
      <c r="C6864" s="22">
        <v>75</v>
      </c>
      <c r="D6864" s="22" t="s">
        <v>253</v>
      </c>
      <c r="E6864" s="22" t="s">
        <v>248</v>
      </c>
      <c r="F6864" s="22" t="s">
        <v>240</v>
      </c>
      <c r="G6864" s="22" t="s">
        <v>82</v>
      </c>
      <c r="H6864" s="22" t="s">
        <v>149</v>
      </c>
      <c r="I6864" s="22"/>
      <c r="J6864" s="22" t="s">
        <v>210</v>
      </c>
      <c r="K6864" s="22" t="s">
        <v>255</v>
      </c>
      <c r="L6864" s="22">
        <v>5699</v>
      </c>
      <c r="M6864" s="22" t="s">
        <v>242</v>
      </c>
      <c r="N6864" s="22" t="s">
        <v>4187</v>
      </c>
      <c r="O6864">
        <v>1</v>
      </c>
      <c r="P6864" t="s">
        <v>257</v>
      </c>
    </row>
    <row r="6865" spans="1:16" hidden="1" x14ac:dyDescent="0.25">
      <c r="A6865" s="21">
        <v>46235</v>
      </c>
      <c r="B6865" s="22" t="s">
        <v>142</v>
      </c>
      <c r="C6865" s="22">
        <v>75</v>
      </c>
      <c r="D6865" s="22" t="s">
        <v>253</v>
      </c>
      <c r="E6865" s="22" t="s">
        <v>248</v>
      </c>
      <c r="F6865" s="22" t="s">
        <v>240</v>
      </c>
      <c r="G6865" s="22" t="s">
        <v>82</v>
      </c>
      <c r="H6865" s="22" t="s">
        <v>149</v>
      </c>
      <c r="I6865" s="22"/>
      <c r="J6865" s="22" t="s">
        <v>211</v>
      </c>
      <c r="K6865" s="22" t="s">
        <v>255</v>
      </c>
      <c r="L6865" s="22">
        <v>6255</v>
      </c>
      <c r="M6865" s="22" t="s">
        <v>242</v>
      </c>
      <c r="N6865" s="22" t="s">
        <v>4188</v>
      </c>
      <c r="O6865">
        <v>1</v>
      </c>
      <c r="P6865" t="s">
        <v>257</v>
      </c>
    </row>
    <row r="6866" spans="1:16" hidden="1" x14ac:dyDescent="0.25">
      <c r="A6866" s="21">
        <v>46235</v>
      </c>
      <c r="B6866" s="22" t="s">
        <v>142</v>
      </c>
      <c r="C6866" s="22">
        <v>75</v>
      </c>
      <c r="D6866" s="22" t="s">
        <v>253</v>
      </c>
      <c r="E6866" s="22" t="s">
        <v>248</v>
      </c>
      <c r="F6866" s="22" t="s">
        <v>240</v>
      </c>
      <c r="G6866" s="22" t="s">
        <v>82</v>
      </c>
      <c r="H6866" s="22" t="s">
        <v>149</v>
      </c>
      <c r="I6866" s="22"/>
      <c r="J6866" s="22" t="s">
        <v>212</v>
      </c>
      <c r="K6866" s="22" t="s">
        <v>255</v>
      </c>
      <c r="L6866" s="22">
        <v>6065</v>
      </c>
      <c r="M6866" s="22" t="s">
        <v>242</v>
      </c>
      <c r="N6866" s="22" t="s">
        <v>4189</v>
      </c>
      <c r="O6866">
        <v>1</v>
      </c>
      <c r="P6866" t="s">
        <v>261</v>
      </c>
    </row>
    <row r="6867" spans="1:16" hidden="1" x14ac:dyDescent="0.25">
      <c r="A6867" s="21">
        <v>46235</v>
      </c>
      <c r="B6867" s="22" t="s">
        <v>142</v>
      </c>
      <c r="C6867" s="22">
        <v>76</v>
      </c>
      <c r="D6867" s="22" t="s">
        <v>253</v>
      </c>
      <c r="E6867" s="22" t="s">
        <v>248</v>
      </c>
      <c r="F6867" s="22" t="s">
        <v>244</v>
      </c>
      <c r="G6867" s="22" t="s">
        <v>82</v>
      </c>
      <c r="H6867" s="22"/>
      <c r="I6867" s="22"/>
      <c r="J6867" s="22" t="s">
        <v>210</v>
      </c>
      <c r="K6867" s="22" t="s">
        <v>255</v>
      </c>
      <c r="L6867" s="22">
        <v>943000000</v>
      </c>
      <c r="M6867" s="22" t="s">
        <v>245</v>
      </c>
      <c r="N6867" s="22" t="s">
        <v>4037</v>
      </c>
      <c r="O6867">
        <v>1</v>
      </c>
      <c r="P6867" t="s">
        <v>257</v>
      </c>
    </row>
    <row r="6868" spans="1:16" hidden="1" x14ac:dyDescent="0.25">
      <c r="A6868" s="21">
        <v>46235</v>
      </c>
      <c r="B6868" s="22" t="s">
        <v>142</v>
      </c>
      <c r="C6868" s="22">
        <v>76</v>
      </c>
      <c r="D6868" s="22" t="s">
        <v>253</v>
      </c>
      <c r="E6868" s="22" t="s">
        <v>248</v>
      </c>
      <c r="F6868" s="22" t="s">
        <v>244</v>
      </c>
      <c r="G6868" s="22" t="s">
        <v>82</v>
      </c>
      <c r="H6868" s="22"/>
      <c r="I6868" s="22"/>
      <c r="J6868" s="22" t="s">
        <v>211</v>
      </c>
      <c r="K6868" s="22" t="s">
        <v>255</v>
      </c>
      <c r="L6868" s="22">
        <v>949000000</v>
      </c>
      <c r="M6868" s="22" t="s">
        <v>245</v>
      </c>
      <c r="N6868" s="22" t="s">
        <v>4161</v>
      </c>
      <c r="O6868">
        <v>1</v>
      </c>
      <c r="P6868" t="s">
        <v>257</v>
      </c>
    </row>
    <row r="6869" spans="1:16" hidden="1" x14ac:dyDescent="0.25">
      <c r="A6869" s="21">
        <v>46235</v>
      </c>
      <c r="B6869" s="22" t="s">
        <v>142</v>
      </c>
      <c r="C6869" s="22">
        <v>76</v>
      </c>
      <c r="D6869" s="22" t="s">
        <v>253</v>
      </c>
      <c r="E6869" s="22" t="s">
        <v>248</v>
      </c>
      <c r="F6869" s="22" t="s">
        <v>244</v>
      </c>
      <c r="G6869" s="22" t="s">
        <v>82</v>
      </c>
      <c r="H6869" s="22"/>
      <c r="I6869" s="22"/>
      <c r="J6869" s="22" t="s">
        <v>212</v>
      </c>
      <c r="K6869" s="22" t="s">
        <v>255</v>
      </c>
      <c r="L6869" s="22">
        <v>939000000</v>
      </c>
      <c r="M6869" s="22" t="s">
        <v>245</v>
      </c>
      <c r="N6869" s="22" t="s">
        <v>3172</v>
      </c>
      <c r="O6869">
        <v>1</v>
      </c>
      <c r="P6869" t="s">
        <v>261</v>
      </c>
    </row>
    <row r="6870" spans="1:16" hidden="1" x14ac:dyDescent="0.25">
      <c r="A6870" s="21">
        <v>46235</v>
      </c>
      <c r="B6870" s="22" t="s">
        <v>142</v>
      </c>
      <c r="C6870" s="22">
        <v>76</v>
      </c>
      <c r="D6870" s="22" t="s">
        <v>247</v>
      </c>
      <c r="E6870" s="22" t="s">
        <v>248</v>
      </c>
      <c r="F6870" s="22" t="s">
        <v>244</v>
      </c>
      <c r="G6870" s="22" t="s">
        <v>82</v>
      </c>
      <c r="H6870" s="22" t="s">
        <v>249</v>
      </c>
      <c r="I6870" s="22"/>
      <c r="J6870" s="22" t="s">
        <v>212</v>
      </c>
      <c r="K6870" s="22" t="s">
        <v>250</v>
      </c>
      <c r="L6870" s="22">
        <v>1.1000000000000001</v>
      </c>
      <c r="M6870" s="22" t="s">
        <v>251</v>
      </c>
      <c r="N6870" s="22" t="s">
        <v>1235</v>
      </c>
    </row>
    <row r="6871" spans="1:16" hidden="1" x14ac:dyDescent="0.25">
      <c r="A6871" s="21">
        <v>46235</v>
      </c>
      <c r="B6871" s="22" t="s">
        <v>142</v>
      </c>
      <c r="C6871" s="22">
        <v>77</v>
      </c>
      <c r="D6871" s="22" t="s">
        <v>253</v>
      </c>
      <c r="E6871" s="22" t="s">
        <v>248</v>
      </c>
      <c r="F6871" s="22" t="s">
        <v>244</v>
      </c>
      <c r="G6871" s="22" t="s">
        <v>82</v>
      </c>
      <c r="H6871" s="22" t="s">
        <v>150</v>
      </c>
      <c r="I6871" s="22"/>
      <c r="J6871" s="22" t="s">
        <v>210</v>
      </c>
      <c r="K6871" s="22" t="s">
        <v>255</v>
      </c>
      <c r="L6871" s="22">
        <v>3070000</v>
      </c>
      <c r="M6871" s="22" t="s">
        <v>150</v>
      </c>
      <c r="N6871" s="22" t="s">
        <v>569</v>
      </c>
      <c r="O6871">
        <v>1</v>
      </c>
      <c r="P6871" t="s">
        <v>257</v>
      </c>
    </row>
    <row r="6872" spans="1:16" hidden="1" x14ac:dyDescent="0.25">
      <c r="A6872" s="21">
        <v>46235</v>
      </c>
      <c r="B6872" s="22" t="s">
        <v>142</v>
      </c>
      <c r="C6872" s="22">
        <v>77</v>
      </c>
      <c r="D6872" s="22" t="s">
        <v>253</v>
      </c>
      <c r="E6872" s="22" t="s">
        <v>248</v>
      </c>
      <c r="F6872" s="22" t="s">
        <v>244</v>
      </c>
      <c r="G6872" s="22" t="s">
        <v>82</v>
      </c>
      <c r="H6872" s="22" t="s">
        <v>150</v>
      </c>
      <c r="I6872" s="22"/>
      <c r="J6872" s="22" t="s">
        <v>211</v>
      </c>
      <c r="K6872" s="22" t="s">
        <v>255</v>
      </c>
      <c r="L6872" s="22">
        <v>2670000</v>
      </c>
      <c r="M6872" s="22" t="s">
        <v>150</v>
      </c>
      <c r="N6872" s="22" t="s">
        <v>4190</v>
      </c>
      <c r="O6872">
        <v>1</v>
      </c>
      <c r="P6872" t="s">
        <v>257</v>
      </c>
    </row>
    <row r="6873" spans="1:16" hidden="1" x14ac:dyDescent="0.25">
      <c r="A6873" s="21">
        <v>46235</v>
      </c>
      <c r="B6873" s="22" t="s">
        <v>142</v>
      </c>
      <c r="C6873" s="22">
        <v>77</v>
      </c>
      <c r="D6873" s="22" t="s">
        <v>253</v>
      </c>
      <c r="E6873" s="22" t="s">
        <v>248</v>
      </c>
      <c r="F6873" s="22" t="s">
        <v>244</v>
      </c>
      <c r="G6873" s="22" t="s">
        <v>82</v>
      </c>
      <c r="H6873" s="22" t="s">
        <v>150</v>
      </c>
      <c r="I6873" s="22"/>
      <c r="J6873" s="22" t="s">
        <v>212</v>
      </c>
      <c r="K6873" s="22" t="s">
        <v>255</v>
      </c>
      <c r="L6873" s="22">
        <v>2900000</v>
      </c>
      <c r="M6873" s="22" t="s">
        <v>150</v>
      </c>
      <c r="N6873" s="22" t="s">
        <v>4191</v>
      </c>
      <c r="O6873">
        <v>1</v>
      </c>
      <c r="P6873" t="s">
        <v>261</v>
      </c>
    </row>
    <row r="6874" spans="1:16" hidden="1" x14ac:dyDescent="0.25">
      <c r="A6874" s="21">
        <v>46235</v>
      </c>
      <c r="B6874" s="22" t="s">
        <v>142</v>
      </c>
      <c r="C6874" s="22">
        <v>77</v>
      </c>
      <c r="D6874" s="22" t="s">
        <v>253</v>
      </c>
      <c r="E6874" s="22" t="s">
        <v>248</v>
      </c>
      <c r="F6874" s="22" t="s">
        <v>244</v>
      </c>
      <c r="G6874" s="22" t="s">
        <v>82</v>
      </c>
      <c r="H6874" s="22" t="s">
        <v>151</v>
      </c>
      <c r="I6874" s="22"/>
      <c r="J6874" s="22" t="s">
        <v>210</v>
      </c>
      <c r="K6874" s="22" t="s">
        <v>255</v>
      </c>
      <c r="L6874" s="22">
        <v>390000</v>
      </c>
      <c r="M6874" s="22" t="s">
        <v>151</v>
      </c>
      <c r="N6874" s="22" t="s">
        <v>4192</v>
      </c>
      <c r="O6874">
        <v>1</v>
      </c>
      <c r="P6874" t="s">
        <v>257</v>
      </c>
    </row>
    <row r="6875" spans="1:16" hidden="1" x14ac:dyDescent="0.25">
      <c r="A6875" s="21">
        <v>46235</v>
      </c>
      <c r="B6875" s="22" t="s">
        <v>142</v>
      </c>
      <c r="C6875" s="22">
        <v>77</v>
      </c>
      <c r="D6875" s="22" t="s">
        <v>253</v>
      </c>
      <c r="E6875" s="22" t="s">
        <v>248</v>
      </c>
      <c r="F6875" s="22" t="s">
        <v>244</v>
      </c>
      <c r="G6875" s="22" t="s">
        <v>82</v>
      </c>
      <c r="H6875" s="22" t="s">
        <v>151</v>
      </c>
      <c r="I6875" s="22"/>
      <c r="J6875" s="22" t="s">
        <v>211</v>
      </c>
      <c r="K6875" s="22" t="s">
        <v>255</v>
      </c>
      <c r="L6875" s="22">
        <v>350000</v>
      </c>
      <c r="M6875" s="22" t="s">
        <v>151</v>
      </c>
      <c r="N6875" s="22" t="s">
        <v>4193</v>
      </c>
      <c r="O6875">
        <v>1</v>
      </c>
      <c r="P6875" t="s">
        <v>257</v>
      </c>
    </row>
    <row r="6876" spans="1:16" hidden="1" x14ac:dyDescent="0.25">
      <c r="A6876" s="21">
        <v>46235</v>
      </c>
      <c r="B6876" s="22" t="s">
        <v>142</v>
      </c>
      <c r="C6876" s="22">
        <v>77</v>
      </c>
      <c r="D6876" s="22" t="s">
        <v>253</v>
      </c>
      <c r="E6876" s="22" t="s">
        <v>248</v>
      </c>
      <c r="F6876" s="22" t="s">
        <v>244</v>
      </c>
      <c r="G6876" s="22" t="s">
        <v>82</v>
      </c>
      <c r="H6876" s="22" t="s">
        <v>151</v>
      </c>
      <c r="I6876" s="22"/>
      <c r="J6876" s="22" t="s">
        <v>212</v>
      </c>
      <c r="K6876" s="22" t="s">
        <v>255</v>
      </c>
      <c r="L6876" s="22">
        <v>480000</v>
      </c>
      <c r="M6876" s="22" t="s">
        <v>151</v>
      </c>
      <c r="N6876" s="22" t="s">
        <v>4194</v>
      </c>
      <c r="O6876">
        <v>1</v>
      </c>
      <c r="P6876" t="s">
        <v>261</v>
      </c>
    </row>
    <row r="6877" spans="1:16" hidden="1" x14ac:dyDescent="0.25">
      <c r="A6877" s="21">
        <v>46235</v>
      </c>
      <c r="B6877" s="22" t="s">
        <v>142</v>
      </c>
      <c r="C6877" s="22">
        <v>77</v>
      </c>
      <c r="D6877" s="22" t="s">
        <v>253</v>
      </c>
      <c r="E6877" s="22" t="s">
        <v>248</v>
      </c>
      <c r="F6877" s="22" t="s">
        <v>244</v>
      </c>
      <c r="G6877" s="22" t="s">
        <v>82</v>
      </c>
      <c r="H6877" s="22" t="s">
        <v>149</v>
      </c>
      <c r="I6877" s="22"/>
      <c r="J6877" s="22" t="s">
        <v>210</v>
      </c>
      <c r="K6877" s="22" t="s">
        <v>255</v>
      </c>
      <c r="L6877" s="22">
        <v>41700000</v>
      </c>
      <c r="M6877" s="22" t="s">
        <v>149</v>
      </c>
      <c r="N6877" s="22" t="s">
        <v>4195</v>
      </c>
      <c r="O6877">
        <v>1</v>
      </c>
      <c r="P6877" t="s">
        <v>257</v>
      </c>
    </row>
    <row r="6878" spans="1:16" hidden="1" x14ac:dyDescent="0.25">
      <c r="A6878" s="21">
        <v>46235</v>
      </c>
      <c r="B6878" s="22" t="s">
        <v>142</v>
      </c>
      <c r="C6878" s="22">
        <v>77</v>
      </c>
      <c r="D6878" s="22" t="s">
        <v>253</v>
      </c>
      <c r="E6878" s="22" t="s">
        <v>248</v>
      </c>
      <c r="F6878" s="22" t="s">
        <v>244</v>
      </c>
      <c r="G6878" s="22" t="s">
        <v>82</v>
      </c>
      <c r="H6878" s="22" t="s">
        <v>149</v>
      </c>
      <c r="I6878" s="22"/>
      <c r="J6878" s="22" t="s">
        <v>211</v>
      </c>
      <c r="K6878" s="22" t="s">
        <v>255</v>
      </c>
      <c r="L6878" s="22">
        <v>41400000</v>
      </c>
      <c r="M6878" s="22" t="s">
        <v>149</v>
      </c>
      <c r="N6878" s="22" t="s">
        <v>4196</v>
      </c>
      <c r="O6878">
        <v>1</v>
      </c>
      <c r="P6878" t="s">
        <v>257</v>
      </c>
    </row>
    <row r="6879" spans="1:16" hidden="1" x14ac:dyDescent="0.25">
      <c r="A6879" s="21">
        <v>46235</v>
      </c>
      <c r="B6879" s="22" t="s">
        <v>142</v>
      </c>
      <c r="C6879" s="22">
        <v>77</v>
      </c>
      <c r="D6879" s="22" t="s">
        <v>253</v>
      </c>
      <c r="E6879" s="22" t="s">
        <v>248</v>
      </c>
      <c r="F6879" s="22" t="s">
        <v>244</v>
      </c>
      <c r="G6879" s="22" t="s">
        <v>82</v>
      </c>
      <c r="H6879" s="22" t="s">
        <v>149</v>
      </c>
      <c r="I6879" s="22"/>
      <c r="J6879" s="22" t="s">
        <v>212</v>
      </c>
      <c r="K6879" s="22" t="s">
        <v>255</v>
      </c>
      <c r="L6879" s="22">
        <v>43400000</v>
      </c>
      <c r="M6879" s="22" t="s">
        <v>149</v>
      </c>
      <c r="N6879" s="22" t="s">
        <v>4197</v>
      </c>
      <c r="O6879">
        <v>1</v>
      </c>
      <c r="P6879" t="s">
        <v>261</v>
      </c>
    </row>
    <row r="6880" spans="1:16" hidden="1" x14ac:dyDescent="0.25">
      <c r="A6880" s="21">
        <v>46235</v>
      </c>
      <c r="B6880" s="22" t="s">
        <v>35</v>
      </c>
      <c r="C6880" s="22">
        <v>10</v>
      </c>
      <c r="D6880" s="22" t="s">
        <v>238</v>
      </c>
      <c r="E6880" s="22" t="s">
        <v>239</v>
      </c>
      <c r="F6880" s="22" t="s">
        <v>240</v>
      </c>
      <c r="G6880" s="22" t="s">
        <v>82</v>
      </c>
      <c r="H6880" s="22"/>
      <c r="I6880" s="22"/>
      <c r="J6880" s="22" t="s">
        <v>212</v>
      </c>
      <c r="K6880" s="22" t="s">
        <v>241</v>
      </c>
      <c r="L6880" s="22">
        <v>162180000</v>
      </c>
      <c r="M6880" s="22" t="s">
        <v>242</v>
      </c>
      <c r="N6880" s="22" t="s">
        <v>4198</v>
      </c>
    </row>
    <row r="6881" spans="1:16" hidden="1" x14ac:dyDescent="0.25">
      <c r="A6881" s="21">
        <v>46235</v>
      </c>
      <c r="B6881" s="22" t="s">
        <v>35</v>
      </c>
      <c r="C6881" s="22">
        <v>10</v>
      </c>
      <c r="D6881" s="22" t="s">
        <v>238</v>
      </c>
      <c r="E6881" s="22" t="s">
        <v>239</v>
      </c>
      <c r="F6881" s="22" t="s">
        <v>244</v>
      </c>
      <c r="G6881" s="22" t="s">
        <v>82</v>
      </c>
      <c r="H6881" s="22"/>
      <c r="I6881" s="22"/>
      <c r="J6881" s="22" t="s">
        <v>212</v>
      </c>
      <c r="K6881" s="22" t="s">
        <v>241</v>
      </c>
      <c r="L6881" s="22">
        <v>16640000000</v>
      </c>
      <c r="M6881" s="22" t="s">
        <v>245</v>
      </c>
      <c r="N6881" s="22" t="s">
        <v>4199</v>
      </c>
    </row>
    <row r="6882" spans="1:16" hidden="1" x14ac:dyDescent="0.25">
      <c r="A6882" s="21">
        <v>46235</v>
      </c>
      <c r="B6882" s="22" t="s">
        <v>35</v>
      </c>
      <c r="C6882" s="22">
        <v>11</v>
      </c>
      <c r="D6882" s="22" t="s">
        <v>253</v>
      </c>
      <c r="E6882" s="22" t="s">
        <v>248</v>
      </c>
      <c r="F6882" s="22" t="s">
        <v>285</v>
      </c>
      <c r="G6882" s="22" t="s">
        <v>63</v>
      </c>
      <c r="H6882" s="22"/>
      <c r="I6882" s="22"/>
      <c r="J6882" s="22" t="s">
        <v>210</v>
      </c>
      <c r="K6882" s="22" t="s">
        <v>255</v>
      </c>
      <c r="L6882" s="22">
        <v>2310000</v>
      </c>
      <c r="M6882" s="22" t="s">
        <v>242</v>
      </c>
      <c r="N6882" s="22" t="s">
        <v>3930</v>
      </c>
      <c r="O6882">
        <v>1</v>
      </c>
      <c r="P6882" t="s">
        <v>257</v>
      </c>
    </row>
    <row r="6883" spans="1:16" hidden="1" x14ac:dyDescent="0.25">
      <c r="A6883" s="21">
        <v>46235</v>
      </c>
      <c r="B6883" s="22" t="s">
        <v>35</v>
      </c>
      <c r="C6883" s="22">
        <v>11</v>
      </c>
      <c r="D6883" s="22" t="s">
        <v>253</v>
      </c>
      <c r="E6883" s="22" t="s">
        <v>248</v>
      </c>
      <c r="F6883" s="22" t="s">
        <v>285</v>
      </c>
      <c r="G6883" s="22" t="s">
        <v>63</v>
      </c>
      <c r="H6883" s="22"/>
      <c r="I6883" s="22"/>
      <c r="J6883" s="22" t="s">
        <v>211</v>
      </c>
      <c r="K6883" s="22" t="s">
        <v>255</v>
      </c>
      <c r="L6883" s="22">
        <v>2350000</v>
      </c>
      <c r="M6883" s="22" t="s">
        <v>242</v>
      </c>
      <c r="N6883" s="22" t="s">
        <v>4062</v>
      </c>
      <c r="O6883">
        <v>1</v>
      </c>
      <c r="P6883" t="s">
        <v>257</v>
      </c>
    </row>
    <row r="6884" spans="1:16" hidden="1" x14ac:dyDescent="0.25">
      <c r="A6884" s="21">
        <v>46235</v>
      </c>
      <c r="B6884" s="22" t="s">
        <v>35</v>
      </c>
      <c r="C6884" s="22">
        <v>11</v>
      </c>
      <c r="D6884" s="22" t="s">
        <v>253</v>
      </c>
      <c r="E6884" s="22" t="s">
        <v>248</v>
      </c>
      <c r="F6884" s="22" t="s">
        <v>285</v>
      </c>
      <c r="G6884" s="22" t="s">
        <v>63</v>
      </c>
      <c r="H6884" s="22"/>
      <c r="I6884" s="22"/>
      <c r="J6884" s="22" t="s">
        <v>212</v>
      </c>
      <c r="K6884" s="22" t="s">
        <v>255</v>
      </c>
      <c r="L6884" s="22">
        <v>2390000</v>
      </c>
      <c r="M6884" s="22" t="s">
        <v>242</v>
      </c>
      <c r="N6884" s="22" t="s">
        <v>4200</v>
      </c>
      <c r="O6884">
        <v>1</v>
      </c>
      <c r="P6884" t="s">
        <v>261</v>
      </c>
    </row>
    <row r="6885" spans="1:16" hidden="1" x14ac:dyDescent="0.25">
      <c r="A6885" s="21">
        <v>46235</v>
      </c>
      <c r="B6885" s="22" t="s">
        <v>35</v>
      </c>
      <c r="C6885" s="22">
        <v>11</v>
      </c>
      <c r="D6885" s="22" t="s">
        <v>247</v>
      </c>
      <c r="E6885" s="22" t="s">
        <v>248</v>
      </c>
      <c r="F6885" s="22" t="s">
        <v>285</v>
      </c>
      <c r="G6885" s="22" t="s">
        <v>63</v>
      </c>
      <c r="H6885" s="22" t="s">
        <v>286</v>
      </c>
      <c r="I6885" s="22"/>
      <c r="J6885" s="22" t="s">
        <v>212</v>
      </c>
      <c r="K6885" s="22" t="s">
        <v>250</v>
      </c>
      <c r="L6885" s="22">
        <v>1.7</v>
      </c>
      <c r="M6885" s="22" t="s">
        <v>251</v>
      </c>
      <c r="N6885" s="22" t="s">
        <v>635</v>
      </c>
    </row>
    <row r="6886" spans="1:16" hidden="1" x14ac:dyDescent="0.25">
      <c r="A6886" s="21">
        <v>46235</v>
      </c>
      <c r="B6886" s="22" t="s">
        <v>35</v>
      </c>
      <c r="C6886" s="22">
        <v>12</v>
      </c>
      <c r="D6886" s="22" t="s">
        <v>291</v>
      </c>
      <c r="E6886" s="22" t="s">
        <v>292</v>
      </c>
      <c r="F6886" s="22" t="s">
        <v>285</v>
      </c>
      <c r="G6886" s="22" t="s">
        <v>63</v>
      </c>
      <c r="H6886" s="22" t="s">
        <v>64</v>
      </c>
      <c r="I6886" s="22"/>
      <c r="J6886" s="22" t="s">
        <v>212</v>
      </c>
      <c r="K6886" s="22" t="s">
        <v>250</v>
      </c>
      <c r="L6886" s="22">
        <v>2290000</v>
      </c>
      <c r="M6886" s="22" t="s">
        <v>242</v>
      </c>
      <c r="N6886" s="22" t="s">
        <v>1035</v>
      </c>
    </row>
    <row r="6887" spans="1:16" hidden="1" x14ac:dyDescent="0.25">
      <c r="A6887" s="21">
        <v>46235</v>
      </c>
      <c r="B6887" s="22" t="s">
        <v>35</v>
      </c>
      <c r="C6887" s="22">
        <v>12</v>
      </c>
      <c r="D6887" s="22" t="s">
        <v>291</v>
      </c>
      <c r="E6887" s="22" t="s">
        <v>292</v>
      </c>
      <c r="F6887" s="22" t="s">
        <v>285</v>
      </c>
      <c r="G6887" s="22" t="s">
        <v>63</v>
      </c>
      <c r="H6887" s="22" t="s">
        <v>65</v>
      </c>
      <c r="I6887" s="22"/>
      <c r="J6887" s="22" t="s">
        <v>212</v>
      </c>
      <c r="K6887" s="22" t="s">
        <v>250</v>
      </c>
      <c r="L6887" s="22">
        <v>98600</v>
      </c>
      <c r="M6887" s="22" t="s">
        <v>242</v>
      </c>
      <c r="N6887" s="22" t="s">
        <v>4201</v>
      </c>
    </row>
    <row r="6888" spans="1:16" hidden="1" x14ac:dyDescent="0.25">
      <c r="A6888" s="21">
        <v>46235</v>
      </c>
      <c r="B6888" s="22" t="s">
        <v>35</v>
      </c>
      <c r="C6888" s="22">
        <v>13</v>
      </c>
      <c r="D6888" s="22" t="s">
        <v>291</v>
      </c>
      <c r="E6888" s="22" t="s">
        <v>292</v>
      </c>
      <c r="F6888" s="22" t="s">
        <v>285</v>
      </c>
      <c r="G6888" s="22" t="s">
        <v>63</v>
      </c>
      <c r="H6888" s="22" t="s">
        <v>67</v>
      </c>
      <c r="I6888" s="22"/>
      <c r="J6888" s="22" t="s">
        <v>212</v>
      </c>
      <c r="K6888" s="22" t="s">
        <v>250</v>
      </c>
      <c r="L6888" s="22">
        <v>870000</v>
      </c>
      <c r="M6888" s="22" t="s">
        <v>242</v>
      </c>
      <c r="N6888" s="22" t="s">
        <v>4202</v>
      </c>
    </row>
    <row r="6889" spans="1:16" hidden="1" x14ac:dyDescent="0.25">
      <c r="A6889" s="21">
        <v>46235</v>
      </c>
      <c r="B6889" s="22" t="s">
        <v>35</v>
      </c>
      <c r="C6889" s="22">
        <v>13</v>
      </c>
      <c r="D6889" s="22" t="s">
        <v>291</v>
      </c>
      <c r="E6889" s="22" t="s">
        <v>292</v>
      </c>
      <c r="F6889" s="22" t="s">
        <v>285</v>
      </c>
      <c r="G6889" s="22" t="s">
        <v>63</v>
      </c>
      <c r="H6889" s="22" t="s">
        <v>68</v>
      </c>
      <c r="I6889" s="22"/>
      <c r="J6889" s="22" t="s">
        <v>212</v>
      </c>
      <c r="K6889" s="22" t="s">
        <v>250</v>
      </c>
      <c r="L6889" s="22">
        <v>1450000</v>
      </c>
      <c r="M6889" s="22" t="s">
        <v>242</v>
      </c>
      <c r="N6889" s="22" t="s">
        <v>1332</v>
      </c>
    </row>
    <row r="6890" spans="1:16" x14ac:dyDescent="0.25">
      <c r="A6890" s="21">
        <v>46235</v>
      </c>
      <c r="B6890" s="22" t="s">
        <v>35</v>
      </c>
      <c r="C6890" s="22">
        <v>14</v>
      </c>
      <c r="D6890" s="22" t="s">
        <v>291</v>
      </c>
      <c r="E6890" s="22" t="s">
        <v>292</v>
      </c>
      <c r="F6890" s="22" t="s">
        <v>285</v>
      </c>
      <c r="G6890" s="22" t="s">
        <v>63</v>
      </c>
      <c r="H6890" s="22" t="s">
        <v>77</v>
      </c>
      <c r="I6890" s="22"/>
      <c r="J6890" s="22" t="s">
        <v>212</v>
      </c>
      <c r="K6890" s="22" t="s">
        <v>250</v>
      </c>
      <c r="L6890" s="22">
        <v>12000</v>
      </c>
      <c r="M6890" s="22" t="s">
        <v>242</v>
      </c>
      <c r="N6890" s="22" t="s">
        <v>1255</v>
      </c>
    </row>
    <row r="6891" spans="1:16" x14ac:dyDescent="0.25">
      <c r="A6891" s="21">
        <v>46235</v>
      </c>
      <c r="B6891" s="22" t="s">
        <v>35</v>
      </c>
      <c r="C6891" s="22">
        <v>14</v>
      </c>
      <c r="D6891" s="22" t="s">
        <v>291</v>
      </c>
      <c r="E6891" s="22" t="s">
        <v>292</v>
      </c>
      <c r="F6891" s="22" t="s">
        <v>285</v>
      </c>
      <c r="G6891" s="22" t="s">
        <v>63</v>
      </c>
      <c r="H6891" s="22" t="s">
        <v>70</v>
      </c>
      <c r="I6891" s="22"/>
      <c r="J6891" s="22" t="s">
        <v>212</v>
      </c>
      <c r="K6891" s="22" t="s">
        <v>250</v>
      </c>
      <c r="L6891" s="22">
        <v>839000</v>
      </c>
      <c r="M6891" s="22" t="s">
        <v>242</v>
      </c>
      <c r="N6891" s="22" t="s">
        <v>4203</v>
      </c>
    </row>
    <row r="6892" spans="1:16" x14ac:dyDescent="0.25">
      <c r="A6892" s="21">
        <v>46235</v>
      </c>
      <c r="B6892" s="22" t="s">
        <v>35</v>
      </c>
      <c r="C6892" s="22">
        <v>14</v>
      </c>
      <c r="D6892" s="22" t="s">
        <v>291</v>
      </c>
      <c r="E6892" s="22" t="s">
        <v>292</v>
      </c>
      <c r="F6892" s="22" t="s">
        <v>285</v>
      </c>
      <c r="G6892" s="22" t="s">
        <v>63</v>
      </c>
      <c r="H6892" s="22" t="s">
        <v>71</v>
      </c>
      <c r="I6892" s="22"/>
      <c r="J6892" s="22" t="s">
        <v>212</v>
      </c>
      <c r="K6892" s="22" t="s">
        <v>250</v>
      </c>
      <c r="L6892" s="22">
        <v>607000</v>
      </c>
      <c r="M6892" s="22" t="s">
        <v>242</v>
      </c>
      <c r="N6892" s="22" t="s">
        <v>4204</v>
      </c>
    </row>
    <row r="6893" spans="1:16" x14ac:dyDescent="0.25">
      <c r="A6893" s="21">
        <v>46235</v>
      </c>
      <c r="B6893" s="22" t="s">
        <v>35</v>
      </c>
      <c r="C6893" s="22">
        <v>14</v>
      </c>
      <c r="D6893" s="22" t="s">
        <v>291</v>
      </c>
      <c r="E6893" s="22" t="s">
        <v>292</v>
      </c>
      <c r="F6893" s="22" t="s">
        <v>285</v>
      </c>
      <c r="G6893" s="22" t="s">
        <v>63</v>
      </c>
      <c r="H6893" s="22" t="s">
        <v>72</v>
      </c>
      <c r="I6893" s="22"/>
      <c r="J6893" s="22" t="s">
        <v>212</v>
      </c>
      <c r="K6893" s="22" t="s">
        <v>250</v>
      </c>
      <c r="L6893" s="22">
        <v>431000</v>
      </c>
      <c r="M6893" s="22" t="s">
        <v>242</v>
      </c>
      <c r="N6893" s="22" t="s">
        <v>4205</v>
      </c>
    </row>
    <row r="6894" spans="1:16" x14ac:dyDescent="0.25">
      <c r="A6894" s="21">
        <v>46235</v>
      </c>
      <c r="B6894" s="22" t="s">
        <v>35</v>
      </c>
      <c r="C6894" s="22">
        <v>14</v>
      </c>
      <c r="D6894" s="22" t="s">
        <v>291</v>
      </c>
      <c r="E6894" s="22" t="s">
        <v>292</v>
      </c>
      <c r="F6894" s="22" t="s">
        <v>285</v>
      </c>
      <c r="G6894" s="22" t="s">
        <v>63</v>
      </c>
      <c r="H6894" s="22" t="s">
        <v>73</v>
      </c>
      <c r="I6894" s="22"/>
      <c r="J6894" s="22" t="s">
        <v>212</v>
      </c>
      <c r="K6894" s="22" t="s">
        <v>250</v>
      </c>
      <c r="L6894" s="22">
        <v>269000</v>
      </c>
      <c r="M6894" s="22" t="s">
        <v>242</v>
      </c>
      <c r="N6894" s="22" t="s">
        <v>4206</v>
      </c>
    </row>
    <row r="6895" spans="1:16" x14ac:dyDescent="0.25">
      <c r="A6895" s="21">
        <v>46235</v>
      </c>
      <c r="B6895" s="22" t="s">
        <v>35</v>
      </c>
      <c r="C6895" s="22">
        <v>14</v>
      </c>
      <c r="D6895" s="22" t="s">
        <v>291</v>
      </c>
      <c r="E6895" s="22" t="s">
        <v>292</v>
      </c>
      <c r="F6895" s="22" t="s">
        <v>285</v>
      </c>
      <c r="G6895" s="22" t="s">
        <v>63</v>
      </c>
      <c r="H6895" s="22" t="s">
        <v>74</v>
      </c>
      <c r="I6895" s="22"/>
      <c r="J6895" s="22" t="s">
        <v>212</v>
      </c>
      <c r="K6895" s="22" t="s">
        <v>250</v>
      </c>
      <c r="L6895" s="22">
        <v>129000</v>
      </c>
      <c r="M6895" s="22" t="s">
        <v>242</v>
      </c>
      <c r="N6895" s="22" t="s">
        <v>4207</v>
      </c>
    </row>
    <row r="6896" spans="1:16" x14ac:dyDescent="0.25">
      <c r="A6896" s="21">
        <v>46235</v>
      </c>
      <c r="B6896" s="22" t="s">
        <v>35</v>
      </c>
      <c r="C6896" s="22">
        <v>14</v>
      </c>
      <c r="D6896" s="22" t="s">
        <v>291</v>
      </c>
      <c r="E6896" s="22" t="s">
        <v>292</v>
      </c>
      <c r="F6896" s="22" t="s">
        <v>285</v>
      </c>
      <c r="G6896" s="22" t="s">
        <v>63</v>
      </c>
      <c r="H6896" s="22" t="s">
        <v>75</v>
      </c>
      <c r="I6896" s="22"/>
      <c r="J6896" s="22" t="s">
        <v>212</v>
      </c>
      <c r="K6896" s="22" t="s">
        <v>250</v>
      </c>
      <c r="L6896" s="22">
        <v>36000</v>
      </c>
      <c r="M6896" s="22" t="s">
        <v>242</v>
      </c>
      <c r="N6896" s="22" t="s">
        <v>393</v>
      </c>
    </row>
    <row r="6897" spans="1:16" x14ac:dyDescent="0.25">
      <c r="A6897" s="21">
        <v>46235</v>
      </c>
      <c r="B6897" s="22" t="s">
        <v>35</v>
      </c>
      <c r="C6897" s="22">
        <v>14</v>
      </c>
      <c r="D6897" s="22" t="s">
        <v>291</v>
      </c>
      <c r="E6897" s="22" t="s">
        <v>292</v>
      </c>
      <c r="F6897" s="22" t="s">
        <v>285</v>
      </c>
      <c r="G6897" s="22" t="s">
        <v>63</v>
      </c>
      <c r="H6897" s="22" t="s">
        <v>76</v>
      </c>
      <c r="I6897" s="22"/>
      <c r="J6897" s="22" t="s">
        <v>212</v>
      </c>
      <c r="K6897" s="22" t="s">
        <v>250</v>
      </c>
      <c r="L6897" s="22">
        <v>9000</v>
      </c>
      <c r="M6897" s="22" t="s">
        <v>242</v>
      </c>
      <c r="N6897" s="22" t="s">
        <v>2027</v>
      </c>
    </row>
    <row r="6898" spans="1:16" hidden="1" x14ac:dyDescent="0.25">
      <c r="A6898" s="21">
        <v>46235</v>
      </c>
      <c r="B6898" s="22" t="s">
        <v>35</v>
      </c>
      <c r="C6898" s="22">
        <v>15</v>
      </c>
      <c r="D6898" s="22" t="s">
        <v>291</v>
      </c>
      <c r="E6898" s="22" t="s">
        <v>292</v>
      </c>
      <c r="F6898" s="22" t="s">
        <v>285</v>
      </c>
      <c r="G6898" s="22" t="s">
        <v>63</v>
      </c>
      <c r="H6898" s="22" t="s">
        <v>79</v>
      </c>
      <c r="I6898" s="22"/>
      <c r="J6898" s="22" t="s">
        <v>212</v>
      </c>
      <c r="K6898" s="22" t="s">
        <v>250</v>
      </c>
      <c r="L6898" s="22">
        <v>2330000</v>
      </c>
      <c r="M6898" s="22" t="s">
        <v>242</v>
      </c>
      <c r="N6898" s="22" t="s">
        <v>540</v>
      </c>
    </row>
    <row r="6899" spans="1:16" hidden="1" x14ac:dyDescent="0.25">
      <c r="A6899" s="21">
        <v>46235</v>
      </c>
      <c r="B6899" s="22" t="s">
        <v>35</v>
      </c>
      <c r="C6899" s="22">
        <v>15</v>
      </c>
      <c r="D6899" s="22" t="s">
        <v>291</v>
      </c>
      <c r="E6899" s="22" t="s">
        <v>292</v>
      </c>
      <c r="F6899" s="22" t="s">
        <v>285</v>
      </c>
      <c r="G6899" s="22" t="s">
        <v>63</v>
      </c>
      <c r="H6899" s="22" t="s">
        <v>80</v>
      </c>
      <c r="I6899" s="22"/>
      <c r="J6899" s="22" t="s">
        <v>212</v>
      </c>
      <c r="K6899" s="22" t="s">
        <v>250</v>
      </c>
      <c r="L6899" s="22">
        <v>59000</v>
      </c>
      <c r="M6899" s="22" t="s">
        <v>242</v>
      </c>
      <c r="N6899" s="22" t="s">
        <v>771</v>
      </c>
    </row>
    <row r="6900" spans="1:16" hidden="1" x14ac:dyDescent="0.25">
      <c r="A6900" s="21">
        <v>46235</v>
      </c>
      <c r="B6900" s="22" t="s">
        <v>35</v>
      </c>
      <c r="C6900" s="22">
        <v>16</v>
      </c>
      <c r="D6900" s="22" t="s">
        <v>253</v>
      </c>
      <c r="E6900" s="22" t="s">
        <v>248</v>
      </c>
      <c r="F6900" s="22" t="s">
        <v>240</v>
      </c>
      <c r="G6900" s="22" t="s">
        <v>82</v>
      </c>
      <c r="H6900" s="22"/>
      <c r="I6900" s="22"/>
      <c r="J6900" s="22" t="s">
        <v>210</v>
      </c>
      <c r="K6900" s="22" t="s">
        <v>255</v>
      </c>
      <c r="L6900" s="22">
        <v>20960000</v>
      </c>
      <c r="M6900" s="22" t="s">
        <v>242</v>
      </c>
      <c r="N6900" s="22" t="s">
        <v>3940</v>
      </c>
      <c r="O6900">
        <v>1</v>
      </c>
      <c r="P6900" t="s">
        <v>257</v>
      </c>
    </row>
    <row r="6901" spans="1:16" hidden="1" x14ac:dyDescent="0.25">
      <c r="A6901" s="21">
        <v>46235</v>
      </c>
      <c r="B6901" s="22" t="s">
        <v>35</v>
      </c>
      <c r="C6901" s="22">
        <v>16</v>
      </c>
      <c r="D6901" s="22" t="s">
        <v>253</v>
      </c>
      <c r="E6901" s="22" t="s">
        <v>248</v>
      </c>
      <c r="F6901" s="22" t="s">
        <v>240</v>
      </c>
      <c r="G6901" s="22" t="s">
        <v>82</v>
      </c>
      <c r="H6901" s="22"/>
      <c r="I6901" s="22"/>
      <c r="J6901" s="22" t="s">
        <v>211</v>
      </c>
      <c r="K6901" s="22" t="s">
        <v>255</v>
      </c>
      <c r="L6901" s="22">
        <v>23170000</v>
      </c>
      <c r="M6901" s="22" t="s">
        <v>242</v>
      </c>
      <c r="N6901" s="22" t="s">
        <v>4071</v>
      </c>
      <c r="O6901">
        <v>1</v>
      </c>
      <c r="P6901" t="s">
        <v>257</v>
      </c>
    </row>
    <row r="6902" spans="1:16" hidden="1" x14ac:dyDescent="0.25">
      <c r="A6902" s="21">
        <v>46235</v>
      </c>
      <c r="B6902" s="22" t="s">
        <v>35</v>
      </c>
      <c r="C6902" s="22">
        <v>16</v>
      </c>
      <c r="D6902" s="22" t="s">
        <v>253</v>
      </c>
      <c r="E6902" s="22" t="s">
        <v>248</v>
      </c>
      <c r="F6902" s="22" t="s">
        <v>240</v>
      </c>
      <c r="G6902" s="22" t="s">
        <v>82</v>
      </c>
      <c r="H6902" s="22"/>
      <c r="I6902" s="22"/>
      <c r="J6902" s="22" t="s">
        <v>212</v>
      </c>
      <c r="K6902" s="22" t="s">
        <v>255</v>
      </c>
      <c r="L6902" s="22">
        <v>24000000</v>
      </c>
      <c r="M6902" s="22" t="s">
        <v>242</v>
      </c>
      <c r="N6902" s="22" t="s">
        <v>4208</v>
      </c>
      <c r="O6902">
        <v>1</v>
      </c>
      <c r="P6902" t="s">
        <v>261</v>
      </c>
    </row>
    <row r="6903" spans="1:16" hidden="1" x14ac:dyDescent="0.25">
      <c r="A6903" s="21">
        <v>46235</v>
      </c>
      <c r="B6903" s="22" t="s">
        <v>35</v>
      </c>
      <c r="C6903" s="22">
        <v>16</v>
      </c>
      <c r="D6903" s="22" t="s">
        <v>247</v>
      </c>
      <c r="E6903" s="22" t="s">
        <v>248</v>
      </c>
      <c r="F6903" s="22" t="s">
        <v>240</v>
      </c>
      <c r="G6903" s="22" t="s">
        <v>82</v>
      </c>
      <c r="H6903" s="22" t="s">
        <v>286</v>
      </c>
      <c r="I6903" s="22"/>
      <c r="J6903" s="22" t="s">
        <v>212</v>
      </c>
      <c r="K6903" s="22" t="s">
        <v>250</v>
      </c>
      <c r="L6903" s="22">
        <v>3.6</v>
      </c>
      <c r="M6903" s="22" t="s">
        <v>251</v>
      </c>
      <c r="N6903" s="22" t="s">
        <v>783</v>
      </c>
    </row>
    <row r="6904" spans="1:16" hidden="1" x14ac:dyDescent="0.25">
      <c r="A6904" s="21">
        <v>46235</v>
      </c>
      <c r="B6904" s="22" t="s">
        <v>35</v>
      </c>
      <c r="C6904" s="22">
        <v>17</v>
      </c>
      <c r="D6904" s="22" t="s">
        <v>291</v>
      </c>
      <c r="E6904" s="22" t="s">
        <v>292</v>
      </c>
      <c r="F6904" s="22" t="s">
        <v>240</v>
      </c>
      <c r="G6904" s="22" t="s">
        <v>82</v>
      </c>
      <c r="H6904" s="22" t="s">
        <v>83</v>
      </c>
      <c r="I6904" s="22"/>
      <c r="J6904" s="22" t="s">
        <v>212</v>
      </c>
      <c r="K6904" s="22" t="s">
        <v>250</v>
      </c>
      <c r="L6904" s="22">
        <v>19020000</v>
      </c>
      <c r="M6904" s="22" t="s">
        <v>242</v>
      </c>
      <c r="N6904" s="22" t="s">
        <v>4209</v>
      </c>
    </row>
    <row r="6905" spans="1:16" hidden="1" x14ac:dyDescent="0.25">
      <c r="A6905" s="21">
        <v>46235</v>
      </c>
      <c r="B6905" s="22" t="s">
        <v>35</v>
      </c>
      <c r="C6905" s="22">
        <v>17</v>
      </c>
      <c r="D6905" s="22" t="s">
        <v>291</v>
      </c>
      <c r="E6905" s="22" t="s">
        <v>292</v>
      </c>
      <c r="F6905" s="22" t="s">
        <v>240</v>
      </c>
      <c r="G6905" s="22" t="s">
        <v>82</v>
      </c>
      <c r="H6905" s="22" t="s">
        <v>84</v>
      </c>
      <c r="I6905" s="22"/>
      <c r="J6905" s="22" t="s">
        <v>212</v>
      </c>
      <c r="K6905" s="22" t="s">
        <v>250</v>
      </c>
      <c r="L6905" s="22">
        <v>4970000</v>
      </c>
      <c r="M6905" s="22" t="s">
        <v>242</v>
      </c>
      <c r="N6905" s="22" t="s">
        <v>1580</v>
      </c>
    </row>
    <row r="6906" spans="1:16" hidden="1" x14ac:dyDescent="0.25">
      <c r="A6906" s="21">
        <v>46235</v>
      </c>
      <c r="B6906" s="22" t="s">
        <v>35</v>
      </c>
      <c r="C6906" s="22">
        <v>18</v>
      </c>
      <c r="D6906" s="22" t="s">
        <v>291</v>
      </c>
      <c r="E6906" s="22" t="s">
        <v>292</v>
      </c>
      <c r="F6906" s="22" t="s">
        <v>240</v>
      </c>
      <c r="G6906" s="22" t="s">
        <v>82</v>
      </c>
      <c r="H6906" s="22" t="s">
        <v>83</v>
      </c>
      <c r="I6906" s="22" t="s">
        <v>313</v>
      </c>
      <c r="J6906" s="22" t="s">
        <v>212</v>
      </c>
      <c r="K6906" s="22" t="s">
        <v>250</v>
      </c>
      <c r="L6906" s="22">
        <v>2.1</v>
      </c>
      <c r="M6906" s="22" t="s">
        <v>251</v>
      </c>
      <c r="N6906" s="22" t="s">
        <v>1498</v>
      </c>
    </row>
    <row r="6907" spans="1:16" hidden="1" x14ac:dyDescent="0.25">
      <c r="A6907" s="21">
        <v>46235</v>
      </c>
      <c r="B6907" s="22" t="s">
        <v>35</v>
      </c>
      <c r="C6907" s="22">
        <v>18</v>
      </c>
      <c r="D6907" s="22" t="s">
        <v>291</v>
      </c>
      <c r="E6907" s="22" t="s">
        <v>292</v>
      </c>
      <c r="F6907" s="22" t="s">
        <v>240</v>
      </c>
      <c r="G6907" s="22" t="s">
        <v>82</v>
      </c>
      <c r="H6907" s="22" t="s">
        <v>83</v>
      </c>
      <c r="I6907" s="22" t="s">
        <v>315</v>
      </c>
      <c r="J6907" s="22" t="s">
        <v>212</v>
      </c>
      <c r="K6907" s="22" t="s">
        <v>250</v>
      </c>
      <c r="L6907" s="22">
        <v>88.1</v>
      </c>
      <c r="M6907" s="22" t="s">
        <v>251</v>
      </c>
      <c r="N6907" s="22" t="s">
        <v>4210</v>
      </c>
    </row>
    <row r="6908" spans="1:16" hidden="1" x14ac:dyDescent="0.25">
      <c r="A6908" s="21">
        <v>46235</v>
      </c>
      <c r="B6908" s="22" t="s">
        <v>35</v>
      </c>
      <c r="C6908" s="22">
        <v>18</v>
      </c>
      <c r="D6908" s="22" t="s">
        <v>291</v>
      </c>
      <c r="E6908" s="22" t="s">
        <v>292</v>
      </c>
      <c r="F6908" s="22" t="s">
        <v>240</v>
      </c>
      <c r="G6908" s="22" t="s">
        <v>82</v>
      </c>
      <c r="H6908" s="22" t="s">
        <v>83</v>
      </c>
      <c r="I6908" s="22" t="s">
        <v>317</v>
      </c>
      <c r="J6908" s="22" t="s">
        <v>212</v>
      </c>
      <c r="K6908" s="22" t="s">
        <v>250</v>
      </c>
      <c r="L6908" s="22">
        <v>9.8000000000000007</v>
      </c>
      <c r="M6908" s="22" t="s">
        <v>251</v>
      </c>
      <c r="N6908" s="22" t="s">
        <v>2223</v>
      </c>
    </row>
    <row r="6909" spans="1:16" hidden="1" x14ac:dyDescent="0.25">
      <c r="A6909" s="21">
        <v>46235</v>
      </c>
      <c r="B6909" s="22" t="s">
        <v>35</v>
      </c>
      <c r="C6909" s="22">
        <v>18</v>
      </c>
      <c r="D6909" s="22" t="s">
        <v>291</v>
      </c>
      <c r="E6909" s="22" t="s">
        <v>292</v>
      </c>
      <c r="F6909" s="22" t="s">
        <v>240</v>
      </c>
      <c r="G6909" s="22" t="s">
        <v>82</v>
      </c>
      <c r="H6909" s="22" t="s">
        <v>84</v>
      </c>
      <c r="I6909" s="22" t="s">
        <v>319</v>
      </c>
      <c r="J6909" s="22" t="s">
        <v>212</v>
      </c>
      <c r="K6909" s="22" t="s">
        <v>250</v>
      </c>
      <c r="L6909" s="22">
        <v>99.2</v>
      </c>
      <c r="M6909" s="22" t="s">
        <v>251</v>
      </c>
      <c r="N6909" s="22" t="s">
        <v>2033</v>
      </c>
    </row>
    <row r="6910" spans="1:16" hidden="1" x14ac:dyDescent="0.25">
      <c r="A6910" s="21">
        <v>46235</v>
      </c>
      <c r="B6910" s="22" t="s">
        <v>35</v>
      </c>
      <c r="C6910" s="22">
        <v>18</v>
      </c>
      <c r="D6910" s="22" t="s">
        <v>291</v>
      </c>
      <c r="E6910" s="22" t="s">
        <v>292</v>
      </c>
      <c r="F6910" s="22" t="s">
        <v>240</v>
      </c>
      <c r="G6910" s="22" t="s">
        <v>82</v>
      </c>
      <c r="H6910" s="22" t="s">
        <v>84</v>
      </c>
      <c r="I6910" s="22" t="s">
        <v>321</v>
      </c>
      <c r="J6910" s="22" t="s">
        <v>212</v>
      </c>
      <c r="K6910" s="22" t="s">
        <v>250</v>
      </c>
      <c r="L6910" s="22">
        <v>0.8</v>
      </c>
      <c r="M6910" s="22" t="s">
        <v>251</v>
      </c>
      <c r="N6910" s="22" t="s">
        <v>370</v>
      </c>
    </row>
    <row r="6911" spans="1:16" hidden="1" x14ac:dyDescent="0.25">
      <c r="A6911" s="21">
        <v>46235</v>
      </c>
      <c r="B6911" s="22" t="s">
        <v>35</v>
      </c>
      <c r="C6911" s="22">
        <v>19</v>
      </c>
      <c r="D6911" s="22" t="s">
        <v>253</v>
      </c>
      <c r="E6911" s="22" t="s">
        <v>248</v>
      </c>
      <c r="F6911" s="22" t="s">
        <v>244</v>
      </c>
      <c r="G6911" s="22" t="s">
        <v>82</v>
      </c>
      <c r="H6911" s="22"/>
      <c r="I6911" s="22"/>
      <c r="J6911" s="22" t="s">
        <v>210</v>
      </c>
      <c r="K6911" s="22" t="s">
        <v>255</v>
      </c>
      <c r="L6911" s="22">
        <v>2150000000</v>
      </c>
      <c r="M6911" s="22" t="s">
        <v>245</v>
      </c>
      <c r="N6911" s="22" t="s">
        <v>3943</v>
      </c>
      <c r="O6911">
        <v>1</v>
      </c>
      <c r="P6911" t="s">
        <v>257</v>
      </c>
    </row>
    <row r="6912" spans="1:16" hidden="1" x14ac:dyDescent="0.25">
      <c r="A6912" s="21">
        <v>46235</v>
      </c>
      <c r="B6912" s="22" t="s">
        <v>35</v>
      </c>
      <c r="C6912" s="22">
        <v>19</v>
      </c>
      <c r="D6912" s="22" t="s">
        <v>253</v>
      </c>
      <c r="E6912" s="22" t="s">
        <v>248</v>
      </c>
      <c r="F6912" s="22" t="s">
        <v>244</v>
      </c>
      <c r="G6912" s="22" t="s">
        <v>82</v>
      </c>
      <c r="H6912" s="22"/>
      <c r="I6912" s="22"/>
      <c r="J6912" s="22" t="s">
        <v>211</v>
      </c>
      <c r="K6912" s="22" t="s">
        <v>255</v>
      </c>
      <c r="L6912" s="22">
        <v>2340000000</v>
      </c>
      <c r="M6912" s="22" t="s">
        <v>245</v>
      </c>
      <c r="N6912" s="22" t="s">
        <v>4074</v>
      </c>
      <c r="O6912">
        <v>1</v>
      </c>
      <c r="P6912" t="s">
        <v>257</v>
      </c>
    </row>
    <row r="6913" spans="1:16" hidden="1" x14ac:dyDescent="0.25">
      <c r="A6913" s="21">
        <v>46235</v>
      </c>
      <c r="B6913" s="22" t="s">
        <v>35</v>
      </c>
      <c r="C6913" s="22">
        <v>19</v>
      </c>
      <c r="D6913" s="22" t="s">
        <v>253</v>
      </c>
      <c r="E6913" s="22" t="s">
        <v>248</v>
      </c>
      <c r="F6913" s="22" t="s">
        <v>244</v>
      </c>
      <c r="G6913" s="22" t="s">
        <v>82</v>
      </c>
      <c r="H6913" s="22"/>
      <c r="I6913" s="22"/>
      <c r="J6913" s="22" t="s">
        <v>212</v>
      </c>
      <c r="K6913" s="22" t="s">
        <v>255</v>
      </c>
      <c r="L6913" s="22">
        <v>2430000000</v>
      </c>
      <c r="M6913" s="22" t="s">
        <v>245</v>
      </c>
      <c r="N6913" s="22" t="s">
        <v>4211</v>
      </c>
      <c r="O6913">
        <v>1</v>
      </c>
      <c r="P6913" t="s">
        <v>261</v>
      </c>
    </row>
    <row r="6914" spans="1:16" hidden="1" x14ac:dyDescent="0.25">
      <c r="A6914" s="21">
        <v>46235</v>
      </c>
      <c r="B6914" s="22" t="s">
        <v>35</v>
      </c>
      <c r="C6914" s="22">
        <v>19</v>
      </c>
      <c r="D6914" s="22" t="s">
        <v>247</v>
      </c>
      <c r="E6914" s="22" t="s">
        <v>248</v>
      </c>
      <c r="F6914" s="22" t="s">
        <v>244</v>
      </c>
      <c r="G6914" s="22" t="s">
        <v>82</v>
      </c>
      <c r="H6914" s="22" t="s">
        <v>286</v>
      </c>
      <c r="I6914" s="22"/>
      <c r="J6914" s="22" t="s">
        <v>212</v>
      </c>
      <c r="K6914" s="22" t="s">
        <v>250</v>
      </c>
      <c r="L6914" s="22">
        <v>3.9</v>
      </c>
      <c r="M6914" s="22" t="s">
        <v>251</v>
      </c>
      <c r="N6914" s="22" t="s">
        <v>2097</v>
      </c>
    </row>
    <row r="6915" spans="1:16" hidden="1" x14ac:dyDescent="0.25">
      <c r="A6915" s="21">
        <v>46235</v>
      </c>
      <c r="B6915" s="22" t="s">
        <v>35</v>
      </c>
      <c r="C6915" s="22">
        <v>20</v>
      </c>
      <c r="D6915" s="22" t="s">
        <v>291</v>
      </c>
      <c r="E6915" s="22" t="s">
        <v>292</v>
      </c>
      <c r="F6915" s="22" t="s">
        <v>244</v>
      </c>
      <c r="G6915" s="22" t="s">
        <v>82</v>
      </c>
      <c r="H6915" s="22" t="s">
        <v>83</v>
      </c>
      <c r="I6915" s="22"/>
      <c r="J6915" s="22" t="s">
        <v>212</v>
      </c>
      <c r="K6915" s="22" t="s">
        <v>250</v>
      </c>
      <c r="L6915" s="22">
        <v>1730000000</v>
      </c>
      <c r="M6915" s="22" t="s">
        <v>245</v>
      </c>
      <c r="N6915" s="22" t="s">
        <v>2879</v>
      </c>
    </row>
    <row r="6916" spans="1:16" hidden="1" x14ac:dyDescent="0.25">
      <c r="A6916" s="21">
        <v>46235</v>
      </c>
      <c r="B6916" s="22" t="s">
        <v>35</v>
      </c>
      <c r="C6916" s="22">
        <v>20</v>
      </c>
      <c r="D6916" s="22" t="s">
        <v>291</v>
      </c>
      <c r="E6916" s="22" t="s">
        <v>292</v>
      </c>
      <c r="F6916" s="22" t="s">
        <v>244</v>
      </c>
      <c r="G6916" s="22" t="s">
        <v>82</v>
      </c>
      <c r="H6916" s="22" t="s">
        <v>84</v>
      </c>
      <c r="I6916" s="22"/>
      <c r="J6916" s="22" t="s">
        <v>212</v>
      </c>
      <c r="K6916" s="22" t="s">
        <v>250</v>
      </c>
      <c r="L6916" s="22">
        <v>694700000</v>
      </c>
      <c r="M6916" s="22" t="s">
        <v>245</v>
      </c>
      <c r="N6916" s="22" t="s">
        <v>4212</v>
      </c>
    </row>
    <row r="6917" spans="1:16" hidden="1" x14ac:dyDescent="0.25">
      <c r="A6917" s="21">
        <v>46235</v>
      </c>
      <c r="B6917" s="22" t="s">
        <v>35</v>
      </c>
      <c r="C6917" s="22">
        <v>21</v>
      </c>
      <c r="D6917" s="22" t="s">
        <v>291</v>
      </c>
      <c r="E6917" s="22" t="s">
        <v>292</v>
      </c>
      <c r="F6917" s="22" t="s">
        <v>244</v>
      </c>
      <c r="G6917" s="22" t="s">
        <v>82</v>
      </c>
      <c r="H6917" s="22" t="s">
        <v>83</v>
      </c>
      <c r="I6917" s="22" t="s">
        <v>313</v>
      </c>
      <c r="J6917" s="22" t="s">
        <v>212</v>
      </c>
      <c r="K6917" s="22" t="s">
        <v>250</v>
      </c>
      <c r="L6917" s="22">
        <v>5.9</v>
      </c>
      <c r="M6917" s="22" t="s">
        <v>251</v>
      </c>
      <c r="N6917" s="22" t="s">
        <v>1523</v>
      </c>
    </row>
    <row r="6918" spans="1:16" hidden="1" x14ac:dyDescent="0.25">
      <c r="A6918" s="21">
        <v>46235</v>
      </c>
      <c r="B6918" s="22" t="s">
        <v>35</v>
      </c>
      <c r="C6918" s="22">
        <v>21</v>
      </c>
      <c r="D6918" s="22" t="s">
        <v>291</v>
      </c>
      <c r="E6918" s="22" t="s">
        <v>292</v>
      </c>
      <c r="F6918" s="22" t="s">
        <v>244</v>
      </c>
      <c r="G6918" s="22" t="s">
        <v>82</v>
      </c>
      <c r="H6918" s="22" t="s">
        <v>83</v>
      </c>
      <c r="I6918" s="22" t="s">
        <v>315</v>
      </c>
      <c r="J6918" s="22" t="s">
        <v>212</v>
      </c>
      <c r="K6918" s="22" t="s">
        <v>250</v>
      </c>
      <c r="L6918" s="22">
        <v>71.8</v>
      </c>
      <c r="M6918" s="22" t="s">
        <v>251</v>
      </c>
      <c r="N6918" s="22" t="s">
        <v>4213</v>
      </c>
    </row>
    <row r="6919" spans="1:16" hidden="1" x14ac:dyDescent="0.25">
      <c r="A6919" s="21">
        <v>46235</v>
      </c>
      <c r="B6919" s="22" t="s">
        <v>35</v>
      </c>
      <c r="C6919" s="22">
        <v>21</v>
      </c>
      <c r="D6919" s="22" t="s">
        <v>291</v>
      </c>
      <c r="E6919" s="22" t="s">
        <v>292</v>
      </c>
      <c r="F6919" s="22" t="s">
        <v>244</v>
      </c>
      <c r="G6919" s="22" t="s">
        <v>82</v>
      </c>
      <c r="H6919" s="22" t="s">
        <v>83</v>
      </c>
      <c r="I6919" s="22" t="s">
        <v>317</v>
      </c>
      <c r="J6919" s="22" t="s">
        <v>212</v>
      </c>
      <c r="K6919" s="22" t="s">
        <v>250</v>
      </c>
      <c r="L6919" s="22">
        <v>22.3</v>
      </c>
      <c r="M6919" s="22" t="s">
        <v>251</v>
      </c>
      <c r="N6919" s="22" t="s">
        <v>1510</v>
      </c>
    </row>
    <row r="6920" spans="1:16" hidden="1" x14ac:dyDescent="0.25">
      <c r="A6920" s="21">
        <v>46235</v>
      </c>
      <c r="B6920" s="22" t="s">
        <v>35</v>
      </c>
      <c r="C6920" s="22">
        <v>21</v>
      </c>
      <c r="D6920" s="22" t="s">
        <v>291</v>
      </c>
      <c r="E6920" s="22" t="s">
        <v>292</v>
      </c>
      <c r="F6920" s="22" t="s">
        <v>244</v>
      </c>
      <c r="G6920" s="22" t="s">
        <v>82</v>
      </c>
      <c r="H6920" s="22" t="s">
        <v>84</v>
      </c>
      <c r="I6920" s="22" t="s">
        <v>319</v>
      </c>
      <c r="J6920" s="22" t="s">
        <v>212</v>
      </c>
      <c r="K6920" s="22" t="s">
        <v>250</v>
      </c>
      <c r="L6920" s="22">
        <v>99.91</v>
      </c>
      <c r="M6920" s="22" t="s">
        <v>251</v>
      </c>
      <c r="N6920" s="22" t="s">
        <v>2037</v>
      </c>
    </row>
    <row r="6921" spans="1:16" hidden="1" x14ac:dyDescent="0.25">
      <c r="A6921" s="21">
        <v>46235</v>
      </c>
      <c r="B6921" s="22" t="s">
        <v>35</v>
      </c>
      <c r="C6921" s="22">
        <v>21</v>
      </c>
      <c r="D6921" s="22" t="s">
        <v>291</v>
      </c>
      <c r="E6921" s="22" t="s">
        <v>292</v>
      </c>
      <c r="F6921" s="22" t="s">
        <v>244</v>
      </c>
      <c r="G6921" s="22" t="s">
        <v>82</v>
      </c>
      <c r="H6921" s="22" t="s">
        <v>84</v>
      </c>
      <c r="I6921" s="22" t="s">
        <v>321</v>
      </c>
      <c r="J6921" s="22" t="s">
        <v>212</v>
      </c>
      <c r="K6921" s="22" t="s">
        <v>250</v>
      </c>
      <c r="L6921" s="22">
        <v>0.09</v>
      </c>
      <c r="M6921" s="22" t="s">
        <v>251</v>
      </c>
      <c r="N6921" s="22" t="s">
        <v>2038</v>
      </c>
    </row>
    <row r="6922" spans="1:16" hidden="1" x14ac:dyDescent="0.25">
      <c r="A6922" s="21">
        <v>46235</v>
      </c>
      <c r="B6922" s="22" t="s">
        <v>35</v>
      </c>
      <c r="C6922" s="22">
        <v>22</v>
      </c>
      <c r="D6922" s="22" t="s">
        <v>253</v>
      </c>
      <c r="E6922" s="22" t="s">
        <v>248</v>
      </c>
      <c r="F6922" s="22" t="s">
        <v>334</v>
      </c>
      <c r="G6922" s="22" t="s">
        <v>82</v>
      </c>
      <c r="H6922" s="22"/>
      <c r="I6922" s="22"/>
      <c r="J6922" s="22" t="s">
        <v>210</v>
      </c>
      <c r="K6922" s="22" t="s">
        <v>255</v>
      </c>
      <c r="L6922" s="22">
        <v>103</v>
      </c>
      <c r="M6922" s="22" t="s">
        <v>245</v>
      </c>
      <c r="N6922" s="22" t="s">
        <v>3946</v>
      </c>
      <c r="O6922">
        <v>1</v>
      </c>
      <c r="P6922" t="s">
        <v>257</v>
      </c>
    </row>
    <row r="6923" spans="1:16" hidden="1" x14ac:dyDescent="0.25">
      <c r="A6923" s="21">
        <v>46235</v>
      </c>
      <c r="B6923" s="22" t="s">
        <v>35</v>
      </c>
      <c r="C6923" s="22">
        <v>22</v>
      </c>
      <c r="D6923" s="22" t="s">
        <v>253</v>
      </c>
      <c r="E6923" s="22" t="s">
        <v>248</v>
      </c>
      <c r="F6923" s="22" t="s">
        <v>334</v>
      </c>
      <c r="G6923" s="22" t="s">
        <v>82</v>
      </c>
      <c r="H6923" s="22"/>
      <c r="I6923" s="22"/>
      <c r="J6923" s="22" t="s">
        <v>211</v>
      </c>
      <c r="K6923" s="22" t="s">
        <v>255</v>
      </c>
      <c r="L6923" s="22">
        <v>101</v>
      </c>
      <c r="M6923" s="22" t="s">
        <v>245</v>
      </c>
      <c r="N6923" s="22" t="s">
        <v>4077</v>
      </c>
      <c r="O6923">
        <v>1</v>
      </c>
      <c r="P6923" t="s">
        <v>257</v>
      </c>
    </row>
    <row r="6924" spans="1:16" hidden="1" x14ac:dyDescent="0.25">
      <c r="A6924" s="21">
        <v>46235</v>
      </c>
      <c r="B6924" s="22" t="s">
        <v>35</v>
      </c>
      <c r="C6924" s="22">
        <v>22</v>
      </c>
      <c r="D6924" s="22" t="s">
        <v>253</v>
      </c>
      <c r="E6924" s="22" t="s">
        <v>248</v>
      </c>
      <c r="F6924" s="22" t="s">
        <v>334</v>
      </c>
      <c r="G6924" s="22" t="s">
        <v>82</v>
      </c>
      <c r="H6924" s="22"/>
      <c r="I6924" s="22"/>
      <c r="J6924" s="22" t="s">
        <v>212</v>
      </c>
      <c r="K6924" s="22" t="s">
        <v>255</v>
      </c>
      <c r="L6924" s="22">
        <v>101</v>
      </c>
      <c r="M6924" s="22" t="s">
        <v>245</v>
      </c>
      <c r="N6924" s="22" t="s">
        <v>4077</v>
      </c>
      <c r="O6924">
        <v>1</v>
      </c>
      <c r="P6924" t="s">
        <v>261</v>
      </c>
    </row>
    <row r="6925" spans="1:16" hidden="1" x14ac:dyDescent="0.25">
      <c r="A6925" s="21">
        <v>46235</v>
      </c>
      <c r="B6925" s="22" t="s">
        <v>35</v>
      </c>
      <c r="C6925" s="22">
        <v>23</v>
      </c>
      <c r="D6925" s="22" t="s">
        <v>291</v>
      </c>
      <c r="E6925" s="22" t="s">
        <v>292</v>
      </c>
      <c r="F6925" s="22" t="s">
        <v>240</v>
      </c>
      <c r="G6925" s="22" t="s">
        <v>82</v>
      </c>
      <c r="H6925" s="22" t="s">
        <v>94</v>
      </c>
      <c r="I6925" s="22"/>
      <c r="J6925" s="22" t="s">
        <v>212</v>
      </c>
      <c r="K6925" s="22" t="s">
        <v>250</v>
      </c>
      <c r="L6925" s="22">
        <v>9260000</v>
      </c>
      <c r="M6925" s="22" t="s">
        <v>242</v>
      </c>
      <c r="N6925" s="22" t="s">
        <v>4214</v>
      </c>
    </row>
    <row r="6926" spans="1:16" hidden="1" x14ac:dyDescent="0.25">
      <c r="A6926" s="21">
        <v>46235</v>
      </c>
      <c r="B6926" s="22" t="s">
        <v>35</v>
      </c>
      <c r="C6926" s="22">
        <v>23</v>
      </c>
      <c r="D6926" s="22" t="s">
        <v>291</v>
      </c>
      <c r="E6926" s="22" t="s">
        <v>292</v>
      </c>
      <c r="F6926" s="22" t="s">
        <v>240</v>
      </c>
      <c r="G6926" s="22" t="s">
        <v>82</v>
      </c>
      <c r="H6926" s="22" t="s">
        <v>95</v>
      </c>
      <c r="I6926" s="22"/>
      <c r="J6926" s="22" t="s">
        <v>212</v>
      </c>
      <c r="K6926" s="22" t="s">
        <v>250</v>
      </c>
      <c r="L6926" s="22">
        <v>3520000</v>
      </c>
      <c r="M6926" s="22" t="s">
        <v>242</v>
      </c>
      <c r="N6926" s="22" t="s">
        <v>2798</v>
      </c>
    </row>
    <row r="6927" spans="1:16" hidden="1" x14ac:dyDescent="0.25">
      <c r="A6927" s="21">
        <v>46235</v>
      </c>
      <c r="B6927" s="22" t="s">
        <v>35</v>
      </c>
      <c r="C6927" s="22">
        <v>24</v>
      </c>
      <c r="D6927" s="22" t="s">
        <v>291</v>
      </c>
      <c r="E6927" s="22" t="s">
        <v>292</v>
      </c>
      <c r="F6927" s="22" t="s">
        <v>244</v>
      </c>
      <c r="G6927" s="22" t="s">
        <v>82</v>
      </c>
      <c r="H6927" s="22" t="s">
        <v>94</v>
      </c>
      <c r="I6927" s="22"/>
      <c r="J6927" s="22" t="s">
        <v>212</v>
      </c>
      <c r="K6927" s="22" t="s">
        <v>250</v>
      </c>
      <c r="L6927" s="22">
        <v>1140000000</v>
      </c>
      <c r="M6927" s="22" t="s">
        <v>245</v>
      </c>
      <c r="N6927" s="22" t="s">
        <v>538</v>
      </c>
    </row>
    <row r="6928" spans="1:16" hidden="1" x14ac:dyDescent="0.25">
      <c r="A6928" s="21">
        <v>46235</v>
      </c>
      <c r="B6928" s="22" t="s">
        <v>35</v>
      </c>
      <c r="C6928" s="22">
        <v>24</v>
      </c>
      <c r="D6928" s="22" t="s">
        <v>291</v>
      </c>
      <c r="E6928" s="22" t="s">
        <v>292</v>
      </c>
      <c r="F6928" s="22" t="s">
        <v>244</v>
      </c>
      <c r="G6928" s="22" t="s">
        <v>82</v>
      </c>
      <c r="H6928" s="22" t="s">
        <v>95</v>
      </c>
      <c r="I6928" s="22"/>
      <c r="J6928" s="22" t="s">
        <v>212</v>
      </c>
      <c r="K6928" s="22" t="s">
        <v>250</v>
      </c>
      <c r="L6928" s="22">
        <v>328100000</v>
      </c>
      <c r="M6928" s="22" t="s">
        <v>245</v>
      </c>
      <c r="N6928" s="22" t="s">
        <v>4215</v>
      </c>
    </row>
    <row r="6929" spans="1:16" hidden="1" x14ac:dyDescent="0.25">
      <c r="A6929" s="21">
        <v>46235</v>
      </c>
      <c r="B6929" s="22" t="s">
        <v>156</v>
      </c>
      <c r="C6929" s="22">
        <v>79</v>
      </c>
      <c r="D6929" s="22" t="s">
        <v>238</v>
      </c>
      <c r="E6929" s="22" t="s">
        <v>239</v>
      </c>
      <c r="F6929" s="22" t="s">
        <v>240</v>
      </c>
      <c r="G6929" s="22" t="s">
        <v>158</v>
      </c>
      <c r="H6929" s="22"/>
      <c r="I6929" s="22"/>
      <c r="J6929" s="22" t="s">
        <v>212</v>
      </c>
      <c r="K6929" s="22" t="s">
        <v>241</v>
      </c>
      <c r="L6929" s="22">
        <v>4000000</v>
      </c>
      <c r="M6929" s="22" t="s">
        <v>242</v>
      </c>
      <c r="N6929" s="22" t="s">
        <v>4216</v>
      </c>
    </row>
    <row r="6930" spans="1:16" hidden="1" x14ac:dyDescent="0.25">
      <c r="A6930" s="21">
        <v>46235</v>
      </c>
      <c r="B6930" s="22" t="s">
        <v>156</v>
      </c>
      <c r="C6930" s="22">
        <v>79</v>
      </c>
      <c r="D6930" s="22" t="s">
        <v>238</v>
      </c>
      <c r="E6930" s="22" t="s">
        <v>239</v>
      </c>
      <c r="F6930" s="22" t="s">
        <v>244</v>
      </c>
      <c r="G6930" s="22" t="s">
        <v>158</v>
      </c>
      <c r="H6930" s="22"/>
      <c r="I6930" s="22"/>
      <c r="J6930" s="22" t="s">
        <v>212</v>
      </c>
      <c r="K6930" s="22" t="s">
        <v>241</v>
      </c>
      <c r="L6930" s="22">
        <v>27200000000</v>
      </c>
      <c r="M6930" s="22" t="s">
        <v>245</v>
      </c>
      <c r="N6930" s="22" t="s">
        <v>4217</v>
      </c>
    </row>
    <row r="6931" spans="1:16" hidden="1" x14ac:dyDescent="0.25">
      <c r="A6931" s="21">
        <v>46235</v>
      </c>
      <c r="B6931" s="22" t="s">
        <v>156</v>
      </c>
      <c r="C6931" s="22">
        <v>80</v>
      </c>
      <c r="D6931" s="22" t="s">
        <v>253</v>
      </c>
      <c r="E6931" s="22" t="s">
        <v>248</v>
      </c>
      <c r="F6931" s="22" t="s">
        <v>344</v>
      </c>
      <c r="G6931" s="22" t="s">
        <v>158</v>
      </c>
      <c r="H6931" s="22"/>
      <c r="I6931" s="22"/>
      <c r="J6931" s="22" t="s">
        <v>210</v>
      </c>
      <c r="K6931" s="22" t="s">
        <v>255</v>
      </c>
      <c r="L6931" s="22">
        <v>510000</v>
      </c>
      <c r="M6931" s="22" t="s">
        <v>242</v>
      </c>
      <c r="N6931" s="22" t="s">
        <v>1782</v>
      </c>
      <c r="O6931">
        <v>1</v>
      </c>
      <c r="P6931" t="s">
        <v>257</v>
      </c>
    </row>
    <row r="6932" spans="1:16" hidden="1" x14ac:dyDescent="0.25">
      <c r="A6932" s="21">
        <v>46235</v>
      </c>
      <c r="B6932" s="22" t="s">
        <v>156</v>
      </c>
      <c r="C6932" s="22">
        <v>80</v>
      </c>
      <c r="D6932" s="22" t="s">
        <v>253</v>
      </c>
      <c r="E6932" s="22" t="s">
        <v>248</v>
      </c>
      <c r="F6932" s="22" t="s">
        <v>344</v>
      </c>
      <c r="G6932" s="22" t="s">
        <v>158</v>
      </c>
      <c r="H6932" s="22"/>
      <c r="I6932" s="22"/>
      <c r="J6932" s="22" t="s">
        <v>211</v>
      </c>
      <c r="K6932" s="22" t="s">
        <v>255</v>
      </c>
      <c r="L6932" s="22">
        <v>489000</v>
      </c>
      <c r="M6932" s="22" t="s">
        <v>242</v>
      </c>
      <c r="N6932" s="22" t="s">
        <v>4166</v>
      </c>
      <c r="O6932">
        <v>1</v>
      </c>
      <c r="P6932" t="s">
        <v>257</v>
      </c>
    </row>
    <row r="6933" spans="1:16" hidden="1" x14ac:dyDescent="0.25">
      <c r="A6933" s="21">
        <v>46235</v>
      </c>
      <c r="B6933" s="22" t="s">
        <v>156</v>
      </c>
      <c r="C6933" s="22">
        <v>80</v>
      </c>
      <c r="D6933" s="22" t="s">
        <v>253</v>
      </c>
      <c r="E6933" s="22" t="s">
        <v>248</v>
      </c>
      <c r="F6933" s="22" t="s">
        <v>344</v>
      </c>
      <c r="G6933" s="22" t="s">
        <v>158</v>
      </c>
      <c r="H6933" s="22"/>
      <c r="I6933" s="22"/>
      <c r="J6933" s="22" t="s">
        <v>212</v>
      </c>
      <c r="K6933" s="22" t="s">
        <v>255</v>
      </c>
      <c r="L6933" s="22">
        <v>556000</v>
      </c>
      <c r="M6933" s="22" t="s">
        <v>242</v>
      </c>
      <c r="N6933" s="22" t="s">
        <v>4218</v>
      </c>
      <c r="O6933">
        <v>1</v>
      </c>
      <c r="P6933" t="s">
        <v>261</v>
      </c>
    </row>
    <row r="6934" spans="1:16" hidden="1" x14ac:dyDescent="0.25">
      <c r="A6934" s="21">
        <v>46235</v>
      </c>
      <c r="B6934" s="22" t="s">
        <v>156</v>
      </c>
      <c r="C6934" s="22">
        <v>80</v>
      </c>
      <c r="D6934" s="22" t="s">
        <v>247</v>
      </c>
      <c r="E6934" s="22" t="s">
        <v>248</v>
      </c>
      <c r="F6934" s="22" t="s">
        <v>344</v>
      </c>
      <c r="G6934" s="22" t="s">
        <v>158</v>
      </c>
      <c r="H6934" s="22" t="s">
        <v>286</v>
      </c>
      <c r="I6934" s="22"/>
      <c r="J6934" s="22" t="s">
        <v>212</v>
      </c>
      <c r="K6934" s="22" t="s">
        <v>250</v>
      </c>
      <c r="L6934" s="22">
        <v>13.7</v>
      </c>
      <c r="M6934" s="22" t="s">
        <v>251</v>
      </c>
      <c r="N6934" s="22" t="s">
        <v>3155</v>
      </c>
    </row>
    <row r="6935" spans="1:16" hidden="1" x14ac:dyDescent="0.25">
      <c r="A6935" s="21">
        <v>46235</v>
      </c>
      <c r="B6935" s="22" t="s">
        <v>156</v>
      </c>
      <c r="C6935" s="22">
        <v>81</v>
      </c>
      <c r="D6935" s="22" t="s">
        <v>253</v>
      </c>
      <c r="E6935" s="22" t="s">
        <v>248</v>
      </c>
      <c r="F6935" s="22" t="s">
        <v>349</v>
      </c>
      <c r="G6935" s="22" t="s">
        <v>158</v>
      </c>
      <c r="H6935" s="22"/>
      <c r="I6935" s="22"/>
      <c r="J6935" s="22" t="s">
        <v>210</v>
      </c>
      <c r="K6935" s="22" t="s">
        <v>255</v>
      </c>
      <c r="L6935" s="22">
        <v>16100</v>
      </c>
      <c r="M6935" s="22" t="s">
        <v>242</v>
      </c>
      <c r="N6935" s="22" t="s">
        <v>4041</v>
      </c>
      <c r="O6935">
        <v>1</v>
      </c>
      <c r="P6935" t="s">
        <v>257</v>
      </c>
    </row>
    <row r="6936" spans="1:16" hidden="1" x14ac:dyDescent="0.25">
      <c r="A6936" s="21">
        <v>46235</v>
      </c>
      <c r="B6936" s="22" t="s">
        <v>156</v>
      </c>
      <c r="C6936" s="22">
        <v>81</v>
      </c>
      <c r="D6936" s="22" t="s">
        <v>253</v>
      </c>
      <c r="E6936" s="22" t="s">
        <v>248</v>
      </c>
      <c r="F6936" s="22" t="s">
        <v>349</v>
      </c>
      <c r="G6936" s="22" t="s">
        <v>158</v>
      </c>
      <c r="H6936" s="22"/>
      <c r="I6936" s="22"/>
      <c r="J6936" s="22" t="s">
        <v>211</v>
      </c>
      <c r="K6936" s="22" t="s">
        <v>255</v>
      </c>
      <c r="L6936" s="22">
        <v>13800</v>
      </c>
      <c r="M6936" s="22" t="s">
        <v>242</v>
      </c>
      <c r="N6936" s="22" t="s">
        <v>352</v>
      </c>
      <c r="O6936">
        <v>1</v>
      </c>
      <c r="P6936" t="s">
        <v>257</v>
      </c>
    </row>
    <row r="6937" spans="1:16" hidden="1" x14ac:dyDescent="0.25">
      <c r="A6937" s="21">
        <v>46235</v>
      </c>
      <c r="B6937" s="22" t="s">
        <v>156</v>
      </c>
      <c r="C6937" s="22">
        <v>81</v>
      </c>
      <c r="D6937" s="22" t="s">
        <v>253</v>
      </c>
      <c r="E6937" s="22" t="s">
        <v>248</v>
      </c>
      <c r="F6937" s="22" t="s">
        <v>349</v>
      </c>
      <c r="G6937" s="22" t="s">
        <v>158</v>
      </c>
      <c r="H6937" s="22"/>
      <c r="I6937" s="22"/>
      <c r="J6937" s="22" t="s">
        <v>212</v>
      </c>
      <c r="K6937" s="22" t="s">
        <v>255</v>
      </c>
      <c r="L6937" s="22">
        <v>16000</v>
      </c>
      <c r="M6937" s="22" t="s">
        <v>242</v>
      </c>
      <c r="N6937" s="22" t="s">
        <v>2718</v>
      </c>
      <c r="O6937">
        <v>1</v>
      </c>
      <c r="P6937" t="s">
        <v>261</v>
      </c>
    </row>
    <row r="6938" spans="1:16" hidden="1" x14ac:dyDescent="0.25">
      <c r="A6938" s="21">
        <v>46235</v>
      </c>
      <c r="B6938" s="22" t="s">
        <v>156</v>
      </c>
      <c r="C6938" s="22">
        <v>82</v>
      </c>
      <c r="D6938" s="22" t="s">
        <v>253</v>
      </c>
      <c r="E6938" s="22" t="s">
        <v>248</v>
      </c>
      <c r="F6938" s="22" t="s">
        <v>615</v>
      </c>
      <c r="G6938" s="22" t="s">
        <v>158</v>
      </c>
      <c r="H6938" s="22"/>
      <c r="I6938" s="22"/>
      <c r="J6938" s="22" t="s">
        <v>210</v>
      </c>
      <c r="K6938" s="22" t="s">
        <v>255</v>
      </c>
      <c r="L6938" s="22">
        <v>3.2</v>
      </c>
      <c r="M6938" s="22" t="s">
        <v>251</v>
      </c>
      <c r="N6938" s="22" t="s">
        <v>509</v>
      </c>
      <c r="O6938">
        <v>1</v>
      </c>
      <c r="P6938" t="s">
        <v>257</v>
      </c>
    </row>
    <row r="6939" spans="1:16" hidden="1" x14ac:dyDescent="0.25">
      <c r="A6939" s="21">
        <v>46235</v>
      </c>
      <c r="B6939" s="22" t="s">
        <v>156</v>
      </c>
      <c r="C6939" s="22">
        <v>82</v>
      </c>
      <c r="D6939" s="22" t="s">
        <v>253</v>
      </c>
      <c r="E6939" s="22" t="s">
        <v>248</v>
      </c>
      <c r="F6939" s="22" t="s">
        <v>615</v>
      </c>
      <c r="G6939" s="22" t="s">
        <v>158</v>
      </c>
      <c r="H6939" s="22"/>
      <c r="I6939" s="22"/>
      <c r="J6939" s="22" t="s">
        <v>211</v>
      </c>
      <c r="K6939" s="22" t="s">
        <v>255</v>
      </c>
      <c r="L6939" s="22">
        <v>2.8</v>
      </c>
      <c r="M6939" s="22" t="s">
        <v>251</v>
      </c>
      <c r="N6939" s="22" t="s">
        <v>1346</v>
      </c>
      <c r="O6939">
        <v>1</v>
      </c>
      <c r="P6939" t="s">
        <v>257</v>
      </c>
    </row>
    <row r="6940" spans="1:16" hidden="1" x14ac:dyDescent="0.25">
      <c r="A6940" s="21">
        <v>46235</v>
      </c>
      <c r="B6940" s="22" t="s">
        <v>156</v>
      </c>
      <c r="C6940" s="22">
        <v>82</v>
      </c>
      <c r="D6940" s="22" t="s">
        <v>253</v>
      </c>
      <c r="E6940" s="22" t="s">
        <v>248</v>
      </c>
      <c r="F6940" s="22" t="s">
        <v>615</v>
      </c>
      <c r="G6940" s="22" t="s">
        <v>158</v>
      </c>
      <c r="H6940" s="22"/>
      <c r="I6940" s="22"/>
      <c r="J6940" s="22" t="s">
        <v>212</v>
      </c>
      <c r="K6940" s="22" t="s">
        <v>255</v>
      </c>
      <c r="L6940" s="22">
        <v>2.9</v>
      </c>
      <c r="M6940" s="22" t="s">
        <v>251</v>
      </c>
      <c r="N6940" s="22" t="s">
        <v>616</v>
      </c>
      <c r="O6940">
        <v>1</v>
      </c>
      <c r="P6940" t="s">
        <v>261</v>
      </c>
    </row>
    <row r="6941" spans="1:16" hidden="1" x14ac:dyDescent="0.25">
      <c r="A6941" s="21">
        <v>46235</v>
      </c>
      <c r="B6941" s="22" t="s">
        <v>156</v>
      </c>
      <c r="C6941" s="22">
        <v>83</v>
      </c>
      <c r="D6941" s="22" t="s">
        <v>291</v>
      </c>
      <c r="E6941" s="22" t="s">
        <v>292</v>
      </c>
      <c r="F6941" s="22" t="s">
        <v>349</v>
      </c>
      <c r="G6941" s="22" t="s">
        <v>158</v>
      </c>
      <c r="H6941" s="22" t="s">
        <v>159</v>
      </c>
      <c r="I6941" s="22"/>
      <c r="J6941" s="22" t="s">
        <v>212</v>
      </c>
      <c r="K6941" s="22" t="s">
        <v>250</v>
      </c>
      <c r="L6941" s="22">
        <v>9969</v>
      </c>
      <c r="M6941" s="22" t="s">
        <v>242</v>
      </c>
      <c r="N6941" s="22" t="s">
        <v>4219</v>
      </c>
    </row>
    <row r="6942" spans="1:16" hidden="1" x14ac:dyDescent="0.25">
      <c r="A6942" s="21">
        <v>46235</v>
      </c>
      <c r="B6942" s="22" t="s">
        <v>156</v>
      </c>
      <c r="C6942" s="22">
        <v>83</v>
      </c>
      <c r="D6942" s="22" t="s">
        <v>291</v>
      </c>
      <c r="E6942" s="22" t="s">
        <v>292</v>
      </c>
      <c r="F6942" s="22" t="s">
        <v>349</v>
      </c>
      <c r="G6942" s="22" t="s">
        <v>158</v>
      </c>
      <c r="H6942" s="22" t="s">
        <v>160</v>
      </c>
      <c r="I6942" s="22"/>
      <c r="J6942" s="22" t="s">
        <v>212</v>
      </c>
      <c r="K6942" s="22" t="s">
        <v>250</v>
      </c>
      <c r="L6942" s="22">
        <v>6078</v>
      </c>
      <c r="M6942" s="22" t="s">
        <v>242</v>
      </c>
      <c r="N6942" s="22" t="s">
        <v>4220</v>
      </c>
    </row>
    <row r="6943" spans="1:16" hidden="1" x14ac:dyDescent="0.25">
      <c r="A6943" s="21">
        <v>46235</v>
      </c>
      <c r="B6943" s="22" t="s">
        <v>156</v>
      </c>
      <c r="C6943" s="22">
        <v>84</v>
      </c>
      <c r="D6943" s="22" t="s">
        <v>253</v>
      </c>
      <c r="E6943" s="22" t="s">
        <v>248</v>
      </c>
      <c r="F6943" s="22" t="s">
        <v>356</v>
      </c>
      <c r="G6943" s="22" t="s">
        <v>158</v>
      </c>
      <c r="H6943" s="22"/>
      <c r="I6943" s="22"/>
      <c r="J6943" s="22" t="s">
        <v>210</v>
      </c>
      <c r="K6943" s="22" t="s">
        <v>255</v>
      </c>
      <c r="L6943" s="22">
        <v>3480000000</v>
      </c>
      <c r="M6943" s="22" t="s">
        <v>245</v>
      </c>
      <c r="N6943" s="22" t="s">
        <v>1701</v>
      </c>
      <c r="O6943">
        <v>1</v>
      </c>
      <c r="P6943" t="s">
        <v>257</v>
      </c>
    </row>
    <row r="6944" spans="1:16" hidden="1" x14ac:dyDescent="0.25">
      <c r="A6944" s="21">
        <v>46235</v>
      </c>
      <c r="B6944" s="22" t="s">
        <v>156</v>
      </c>
      <c r="C6944" s="22">
        <v>84</v>
      </c>
      <c r="D6944" s="22" t="s">
        <v>253</v>
      </c>
      <c r="E6944" s="22" t="s">
        <v>248</v>
      </c>
      <c r="F6944" s="22" t="s">
        <v>356</v>
      </c>
      <c r="G6944" s="22" t="s">
        <v>158</v>
      </c>
      <c r="H6944" s="22"/>
      <c r="I6944" s="22"/>
      <c r="J6944" s="22" t="s">
        <v>211</v>
      </c>
      <c r="K6944" s="22" t="s">
        <v>255</v>
      </c>
      <c r="L6944" s="22">
        <v>3660000000</v>
      </c>
      <c r="M6944" s="22" t="s">
        <v>245</v>
      </c>
      <c r="N6944" s="22" t="s">
        <v>2875</v>
      </c>
      <c r="O6944">
        <v>1</v>
      </c>
      <c r="P6944" t="s">
        <v>257</v>
      </c>
    </row>
    <row r="6945" spans="1:16" hidden="1" x14ac:dyDescent="0.25">
      <c r="A6945" s="21">
        <v>46235</v>
      </c>
      <c r="B6945" s="22" t="s">
        <v>156</v>
      </c>
      <c r="C6945" s="22">
        <v>84</v>
      </c>
      <c r="D6945" s="22" t="s">
        <v>253</v>
      </c>
      <c r="E6945" s="22" t="s">
        <v>248</v>
      </c>
      <c r="F6945" s="22" t="s">
        <v>356</v>
      </c>
      <c r="G6945" s="22" t="s">
        <v>158</v>
      </c>
      <c r="H6945" s="22"/>
      <c r="I6945" s="22"/>
      <c r="J6945" s="22" t="s">
        <v>212</v>
      </c>
      <c r="K6945" s="22" t="s">
        <v>255</v>
      </c>
      <c r="L6945" s="22">
        <v>3810000000</v>
      </c>
      <c r="M6945" s="22" t="s">
        <v>245</v>
      </c>
      <c r="N6945" s="22" t="s">
        <v>4221</v>
      </c>
      <c r="O6945">
        <v>1</v>
      </c>
      <c r="P6945" t="s">
        <v>261</v>
      </c>
    </row>
    <row r="6946" spans="1:16" hidden="1" x14ac:dyDescent="0.25">
      <c r="A6946" s="21">
        <v>46235</v>
      </c>
      <c r="B6946" s="22" t="s">
        <v>156</v>
      </c>
      <c r="C6946" s="22">
        <v>84</v>
      </c>
      <c r="D6946" s="22" t="s">
        <v>247</v>
      </c>
      <c r="E6946" s="22" t="s">
        <v>248</v>
      </c>
      <c r="F6946" s="22" t="s">
        <v>356</v>
      </c>
      <c r="G6946" s="22" t="s">
        <v>158</v>
      </c>
      <c r="H6946" s="22" t="s">
        <v>286</v>
      </c>
      <c r="I6946" s="22"/>
      <c r="J6946" s="22" t="s">
        <v>212</v>
      </c>
      <c r="K6946" s="22" t="s">
        <v>250</v>
      </c>
      <c r="L6946" s="22">
        <v>4</v>
      </c>
      <c r="M6946" s="22" t="s">
        <v>251</v>
      </c>
      <c r="N6946" s="22" t="s">
        <v>850</v>
      </c>
    </row>
    <row r="6947" spans="1:16" hidden="1" x14ac:dyDescent="0.25">
      <c r="A6947" s="21">
        <v>46235</v>
      </c>
      <c r="B6947" s="22" t="s">
        <v>156</v>
      </c>
      <c r="C6947" s="22">
        <v>85</v>
      </c>
      <c r="D6947" s="22" t="s">
        <v>253</v>
      </c>
      <c r="E6947" s="22" t="s">
        <v>248</v>
      </c>
      <c r="F6947" s="22" t="s">
        <v>361</v>
      </c>
      <c r="G6947" s="22" t="s">
        <v>158</v>
      </c>
      <c r="H6947" s="22"/>
      <c r="I6947" s="22"/>
      <c r="J6947" s="22" t="s">
        <v>210</v>
      </c>
      <c r="K6947" s="22" t="s">
        <v>255</v>
      </c>
      <c r="L6947" s="22">
        <v>98900000</v>
      </c>
      <c r="M6947" s="22" t="s">
        <v>245</v>
      </c>
      <c r="N6947" s="22" t="s">
        <v>4222</v>
      </c>
      <c r="O6947">
        <v>1</v>
      </c>
      <c r="P6947" t="s">
        <v>257</v>
      </c>
    </row>
    <row r="6948" spans="1:16" hidden="1" x14ac:dyDescent="0.25">
      <c r="A6948" s="21">
        <v>46235</v>
      </c>
      <c r="B6948" s="22" t="s">
        <v>156</v>
      </c>
      <c r="C6948" s="22">
        <v>85</v>
      </c>
      <c r="D6948" s="22" t="s">
        <v>253</v>
      </c>
      <c r="E6948" s="22" t="s">
        <v>248</v>
      </c>
      <c r="F6948" s="22" t="s">
        <v>361</v>
      </c>
      <c r="G6948" s="22" t="s">
        <v>158</v>
      </c>
      <c r="H6948" s="22"/>
      <c r="I6948" s="22"/>
      <c r="J6948" s="22" t="s">
        <v>211</v>
      </c>
      <c r="K6948" s="22" t="s">
        <v>255</v>
      </c>
      <c r="L6948" s="22">
        <v>88300000</v>
      </c>
      <c r="M6948" s="22" t="s">
        <v>245</v>
      </c>
      <c r="N6948" s="22" t="s">
        <v>4223</v>
      </c>
      <c r="O6948">
        <v>1</v>
      </c>
      <c r="P6948" t="s">
        <v>257</v>
      </c>
    </row>
    <row r="6949" spans="1:16" hidden="1" x14ac:dyDescent="0.25">
      <c r="A6949" s="21">
        <v>46235</v>
      </c>
      <c r="B6949" s="22" t="s">
        <v>156</v>
      </c>
      <c r="C6949" s="22">
        <v>85</v>
      </c>
      <c r="D6949" s="22" t="s">
        <v>253</v>
      </c>
      <c r="E6949" s="22" t="s">
        <v>248</v>
      </c>
      <c r="F6949" s="22" t="s">
        <v>361</v>
      </c>
      <c r="G6949" s="22" t="s">
        <v>158</v>
      </c>
      <c r="H6949" s="22"/>
      <c r="I6949" s="22"/>
      <c r="J6949" s="22" t="s">
        <v>212</v>
      </c>
      <c r="K6949" s="22" t="s">
        <v>255</v>
      </c>
      <c r="L6949" s="22">
        <v>114700000</v>
      </c>
      <c r="M6949" s="22" t="s">
        <v>245</v>
      </c>
      <c r="N6949" s="22" t="s">
        <v>4224</v>
      </c>
      <c r="O6949">
        <v>1</v>
      </c>
      <c r="P6949" t="s">
        <v>261</v>
      </c>
    </row>
    <row r="6950" spans="1:16" hidden="1" x14ac:dyDescent="0.25">
      <c r="A6950" s="21">
        <v>46235</v>
      </c>
      <c r="B6950" s="22" t="s">
        <v>156</v>
      </c>
      <c r="C6950" s="22">
        <v>86</v>
      </c>
      <c r="D6950" s="22" t="s">
        <v>253</v>
      </c>
      <c r="E6950" s="22" t="s">
        <v>248</v>
      </c>
      <c r="F6950" s="22" t="s">
        <v>622</v>
      </c>
      <c r="G6950" s="22" t="s">
        <v>158</v>
      </c>
      <c r="H6950" s="22"/>
      <c r="I6950" s="22"/>
      <c r="J6950" s="22" t="s">
        <v>210</v>
      </c>
      <c r="K6950" s="22" t="s">
        <v>255</v>
      </c>
      <c r="L6950" s="22">
        <v>2.85</v>
      </c>
      <c r="M6950" s="22" t="s">
        <v>251</v>
      </c>
      <c r="N6950" s="22" t="s">
        <v>4045</v>
      </c>
      <c r="O6950">
        <v>1</v>
      </c>
      <c r="P6950" t="s">
        <v>257</v>
      </c>
    </row>
    <row r="6951" spans="1:16" hidden="1" x14ac:dyDescent="0.25">
      <c r="A6951" s="21">
        <v>46235</v>
      </c>
      <c r="B6951" s="22" t="s">
        <v>156</v>
      </c>
      <c r="C6951" s="22">
        <v>86</v>
      </c>
      <c r="D6951" s="22" t="s">
        <v>253</v>
      </c>
      <c r="E6951" s="22" t="s">
        <v>248</v>
      </c>
      <c r="F6951" s="22" t="s">
        <v>622</v>
      </c>
      <c r="G6951" s="22" t="s">
        <v>158</v>
      </c>
      <c r="H6951" s="22"/>
      <c r="I6951" s="22"/>
      <c r="J6951" s="22" t="s">
        <v>211</v>
      </c>
      <c r="K6951" s="22" t="s">
        <v>255</v>
      </c>
      <c r="L6951" s="22">
        <v>2.41</v>
      </c>
      <c r="M6951" s="22" t="s">
        <v>251</v>
      </c>
      <c r="N6951" s="22" t="s">
        <v>4171</v>
      </c>
      <c r="O6951">
        <v>1</v>
      </c>
      <c r="P6951" t="s">
        <v>257</v>
      </c>
    </row>
    <row r="6952" spans="1:16" hidden="1" x14ac:dyDescent="0.25">
      <c r="A6952" s="21">
        <v>46235</v>
      </c>
      <c r="B6952" s="22" t="s">
        <v>156</v>
      </c>
      <c r="C6952" s="22">
        <v>86</v>
      </c>
      <c r="D6952" s="22" t="s">
        <v>253</v>
      </c>
      <c r="E6952" s="22" t="s">
        <v>248</v>
      </c>
      <c r="F6952" s="22" t="s">
        <v>622</v>
      </c>
      <c r="G6952" s="22" t="s">
        <v>158</v>
      </c>
      <c r="H6952" s="22"/>
      <c r="I6952" s="22"/>
      <c r="J6952" s="22" t="s">
        <v>212</v>
      </c>
      <c r="K6952" s="22" t="s">
        <v>255</v>
      </c>
      <c r="L6952" s="22">
        <v>3.01</v>
      </c>
      <c r="M6952" s="22" t="s">
        <v>251</v>
      </c>
      <c r="N6952" s="22" t="s">
        <v>4225</v>
      </c>
      <c r="O6952">
        <v>1</v>
      </c>
      <c r="P6952" t="s">
        <v>261</v>
      </c>
    </row>
    <row r="6953" spans="1:16" hidden="1" x14ac:dyDescent="0.25">
      <c r="A6953" s="21">
        <v>46235</v>
      </c>
      <c r="B6953" s="22" t="s">
        <v>156</v>
      </c>
      <c r="C6953" s="22">
        <v>87</v>
      </c>
      <c r="D6953" s="22" t="s">
        <v>291</v>
      </c>
      <c r="E6953" s="22" t="s">
        <v>292</v>
      </c>
      <c r="F6953" s="22" t="s">
        <v>361</v>
      </c>
      <c r="G6953" s="22" t="s">
        <v>158</v>
      </c>
      <c r="H6953" s="22" t="s">
        <v>159</v>
      </c>
      <c r="I6953" s="22"/>
      <c r="J6953" s="22" t="s">
        <v>212</v>
      </c>
      <c r="K6953" s="22" t="s">
        <v>250</v>
      </c>
      <c r="L6953" s="22">
        <v>65200000</v>
      </c>
      <c r="M6953" s="22" t="s">
        <v>245</v>
      </c>
      <c r="N6953" s="22" t="s">
        <v>4226</v>
      </c>
    </row>
    <row r="6954" spans="1:16" hidden="1" x14ac:dyDescent="0.25">
      <c r="A6954" s="21">
        <v>46235</v>
      </c>
      <c r="B6954" s="22" t="s">
        <v>156</v>
      </c>
      <c r="C6954" s="22">
        <v>87</v>
      </c>
      <c r="D6954" s="22" t="s">
        <v>291</v>
      </c>
      <c r="E6954" s="22" t="s">
        <v>292</v>
      </c>
      <c r="F6954" s="22" t="s">
        <v>361</v>
      </c>
      <c r="G6954" s="22" t="s">
        <v>158</v>
      </c>
      <c r="H6954" s="22" t="s">
        <v>160</v>
      </c>
      <c r="I6954" s="22"/>
      <c r="J6954" s="22" t="s">
        <v>212</v>
      </c>
      <c r="K6954" s="22" t="s">
        <v>250</v>
      </c>
      <c r="L6954" s="22">
        <v>49500000</v>
      </c>
      <c r="M6954" s="22" t="s">
        <v>245</v>
      </c>
      <c r="N6954" s="22" t="s">
        <v>4227</v>
      </c>
    </row>
    <row r="6955" spans="1:16" hidden="1" x14ac:dyDescent="0.25">
      <c r="A6955" s="21">
        <v>46235</v>
      </c>
      <c r="B6955" s="22" t="s">
        <v>120</v>
      </c>
      <c r="C6955" s="22">
        <v>61</v>
      </c>
      <c r="D6955" s="22" t="s">
        <v>238</v>
      </c>
      <c r="E6955" s="22" t="s">
        <v>239</v>
      </c>
      <c r="F6955" s="22" t="s">
        <v>240</v>
      </c>
      <c r="G6955" s="22" t="s">
        <v>82</v>
      </c>
      <c r="H6955" s="22"/>
      <c r="I6955" s="22"/>
      <c r="J6955" s="22" t="s">
        <v>212</v>
      </c>
      <c r="K6955" s="22" t="s">
        <v>241</v>
      </c>
      <c r="L6955" s="22">
        <v>56250000</v>
      </c>
      <c r="M6955" s="22" t="s">
        <v>242</v>
      </c>
      <c r="N6955" s="22" t="s">
        <v>4228</v>
      </c>
    </row>
    <row r="6956" spans="1:16" hidden="1" x14ac:dyDescent="0.25">
      <c r="A6956" s="21">
        <v>46235</v>
      </c>
      <c r="B6956" s="22" t="s">
        <v>120</v>
      </c>
      <c r="C6956" s="22">
        <v>61</v>
      </c>
      <c r="D6956" s="22" t="s">
        <v>238</v>
      </c>
      <c r="E6956" s="22" t="s">
        <v>239</v>
      </c>
      <c r="F6956" s="22" t="s">
        <v>244</v>
      </c>
      <c r="G6956" s="22" t="s">
        <v>82</v>
      </c>
      <c r="H6956" s="22"/>
      <c r="I6956" s="22"/>
      <c r="J6956" s="22" t="s">
        <v>212</v>
      </c>
      <c r="K6956" s="22" t="s">
        <v>241</v>
      </c>
      <c r="L6956" s="22">
        <v>10540000000</v>
      </c>
      <c r="M6956" s="22" t="s">
        <v>245</v>
      </c>
      <c r="N6956" s="22" t="s">
        <v>4229</v>
      </c>
    </row>
    <row r="6957" spans="1:16" hidden="1" x14ac:dyDescent="0.25">
      <c r="A6957" s="21">
        <v>46235</v>
      </c>
      <c r="B6957" s="22" t="s">
        <v>120</v>
      </c>
      <c r="C6957" s="22">
        <v>62</v>
      </c>
      <c r="D6957" s="22" t="s">
        <v>253</v>
      </c>
      <c r="E6957" s="22" t="s">
        <v>248</v>
      </c>
      <c r="F6957" s="22" t="s">
        <v>285</v>
      </c>
      <c r="G6957" s="22" t="s">
        <v>63</v>
      </c>
      <c r="H6957" s="22"/>
      <c r="I6957" s="22"/>
      <c r="J6957" s="22" t="s">
        <v>210</v>
      </c>
      <c r="K6957" s="22" t="s">
        <v>255</v>
      </c>
      <c r="L6957" s="22">
        <v>5290000</v>
      </c>
      <c r="M6957" s="22" t="s">
        <v>242</v>
      </c>
      <c r="N6957" s="22" t="s">
        <v>4021</v>
      </c>
      <c r="O6957">
        <v>1</v>
      </c>
      <c r="P6957" t="s">
        <v>257</v>
      </c>
    </row>
    <row r="6958" spans="1:16" hidden="1" x14ac:dyDescent="0.25">
      <c r="A6958" s="21">
        <v>46235</v>
      </c>
      <c r="B6958" s="22" t="s">
        <v>120</v>
      </c>
      <c r="C6958" s="22">
        <v>62</v>
      </c>
      <c r="D6958" s="22" t="s">
        <v>253</v>
      </c>
      <c r="E6958" s="22" t="s">
        <v>248</v>
      </c>
      <c r="F6958" s="22" t="s">
        <v>285</v>
      </c>
      <c r="G6958" s="22" t="s">
        <v>63</v>
      </c>
      <c r="H6958" s="22"/>
      <c r="I6958" s="22"/>
      <c r="J6958" s="22" t="s">
        <v>211</v>
      </c>
      <c r="K6958" s="22" t="s">
        <v>255</v>
      </c>
      <c r="L6958" s="22">
        <v>5340000</v>
      </c>
      <c r="M6958" s="22" t="s">
        <v>242</v>
      </c>
      <c r="N6958" s="22" t="s">
        <v>4146</v>
      </c>
      <c r="O6958">
        <v>1</v>
      </c>
      <c r="P6958" t="s">
        <v>257</v>
      </c>
    </row>
    <row r="6959" spans="1:16" hidden="1" x14ac:dyDescent="0.25">
      <c r="A6959" s="21">
        <v>46235</v>
      </c>
      <c r="B6959" s="22" t="s">
        <v>120</v>
      </c>
      <c r="C6959" s="22">
        <v>62</v>
      </c>
      <c r="D6959" s="22" t="s">
        <v>253</v>
      </c>
      <c r="E6959" s="22" t="s">
        <v>248</v>
      </c>
      <c r="F6959" s="22" t="s">
        <v>285</v>
      </c>
      <c r="G6959" s="22" t="s">
        <v>63</v>
      </c>
      <c r="H6959" s="22"/>
      <c r="I6959" s="22"/>
      <c r="J6959" s="22" t="s">
        <v>212</v>
      </c>
      <c r="K6959" s="22" t="s">
        <v>255</v>
      </c>
      <c r="L6959" s="22">
        <v>5390000</v>
      </c>
      <c r="M6959" s="22" t="s">
        <v>242</v>
      </c>
      <c r="N6959" s="22" t="s">
        <v>4230</v>
      </c>
      <c r="O6959">
        <v>1</v>
      </c>
      <c r="P6959" t="s">
        <v>261</v>
      </c>
    </row>
    <row r="6960" spans="1:16" hidden="1" x14ac:dyDescent="0.25">
      <c r="A6960" s="21">
        <v>46235</v>
      </c>
      <c r="B6960" s="22" t="s">
        <v>120</v>
      </c>
      <c r="C6960" s="22">
        <v>62</v>
      </c>
      <c r="D6960" s="22" t="s">
        <v>247</v>
      </c>
      <c r="E6960" s="22" t="s">
        <v>248</v>
      </c>
      <c r="F6960" s="22" t="s">
        <v>285</v>
      </c>
      <c r="G6960" s="22" t="s">
        <v>63</v>
      </c>
      <c r="H6960" s="22" t="s">
        <v>286</v>
      </c>
      <c r="I6960" s="22"/>
      <c r="J6960" s="22" t="s">
        <v>212</v>
      </c>
      <c r="K6960" s="22" t="s">
        <v>250</v>
      </c>
      <c r="L6960" s="22">
        <v>1</v>
      </c>
      <c r="M6960" s="22" t="s">
        <v>251</v>
      </c>
      <c r="N6960" s="22" t="s">
        <v>323</v>
      </c>
    </row>
    <row r="6961" spans="1:16" hidden="1" x14ac:dyDescent="0.25">
      <c r="A6961" s="21">
        <v>46235</v>
      </c>
      <c r="B6961" s="22" t="s">
        <v>120</v>
      </c>
      <c r="C6961" s="22">
        <v>63</v>
      </c>
      <c r="D6961" s="22" t="s">
        <v>291</v>
      </c>
      <c r="E6961" s="22" t="s">
        <v>292</v>
      </c>
      <c r="F6961" s="22" t="s">
        <v>285</v>
      </c>
      <c r="G6961" s="22" t="s">
        <v>63</v>
      </c>
      <c r="H6961" s="22" t="s">
        <v>122</v>
      </c>
      <c r="I6961" s="22"/>
      <c r="J6961" s="22" t="s">
        <v>212</v>
      </c>
      <c r="K6961" s="22" t="s">
        <v>250</v>
      </c>
      <c r="L6961" s="22">
        <v>5340000</v>
      </c>
      <c r="M6961" s="22" t="s">
        <v>242</v>
      </c>
      <c r="N6961" s="22" t="s">
        <v>4001</v>
      </c>
    </row>
    <row r="6962" spans="1:16" hidden="1" x14ac:dyDescent="0.25">
      <c r="A6962" s="21">
        <v>46235</v>
      </c>
      <c r="B6962" s="22" t="s">
        <v>120</v>
      </c>
      <c r="C6962" s="22">
        <v>63</v>
      </c>
      <c r="D6962" s="22" t="s">
        <v>291</v>
      </c>
      <c r="E6962" s="22" t="s">
        <v>292</v>
      </c>
      <c r="F6962" s="22" t="s">
        <v>285</v>
      </c>
      <c r="G6962" s="22" t="s">
        <v>63</v>
      </c>
      <c r="H6962" s="22" t="s">
        <v>123</v>
      </c>
      <c r="I6962" s="22"/>
      <c r="J6962" s="22" t="s">
        <v>212</v>
      </c>
      <c r="K6962" s="22" t="s">
        <v>250</v>
      </c>
      <c r="L6962" s="22">
        <v>53280</v>
      </c>
      <c r="M6962" s="22" t="s">
        <v>242</v>
      </c>
      <c r="N6962" s="22" t="s">
        <v>4231</v>
      </c>
    </row>
    <row r="6963" spans="1:16" hidden="1" x14ac:dyDescent="0.25">
      <c r="A6963" s="21">
        <v>46235</v>
      </c>
      <c r="B6963" s="22" t="s">
        <v>120</v>
      </c>
      <c r="C6963" s="22">
        <v>63</v>
      </c>
      <c r="D6963" s="22" t="s">
        <v>238</v>
      </c>
      <c r="E6963" s="22" t="s">
        <v>239</v>
      </c>
      <c r="F6963" s="22" t="s">
        <v>285</v>
      </c>
      <c r="G6963" s="22" t="s">
        <v>63</v>
      </c>
      <c r="H6963" s="22" t="s">
        <v>376</v>
      </c>
      <c r="I6963" s="22"/>
      <c r="J6963" s="22" t="s">
        <v>212</v>
      </c>
      <c r="K6963" s="22" t="s">
        <v>250</v>
      </c>
      <c r="L6963" s="22">
        <v>5390000</v>
      </c>
      <c r="M6963" s="22" t="s">
        <v>242</v>
      </c>
      <c r="N6963" s="22" t="s">
        <v>609</v>
      </c>
    </row>
    <row r="6964" spans="1:16" hidden="1" x14ac:dyDescent="0.25">
      <c r="A6964" s="21">
        <v>46235</v>
      </c>
      <c r="B6964" s="22" t="s">
        <v>120</v>
      </c>
      <c r="C6964" s="22">
        <v>64</v>
      </c>
      <c r="D6964" s="22" t="s">
        <v>238</v>
      </c>
      <c r="E6964" s="22" t="s">
        <v>239</v>
      </c>
      <c r="F6964" s="22" t="s">
        <v>378</v>
      </c>
      <c r="G6964" s="22" t="s">
        <v>379</v>
      </c>
      <c r="H6964" s="22"/>
      <c r="I6964" s="22"/>
      <c r="J6964" s="22" t="s">
        <v>212</v>
      </c>
      <c r="K6964" s="22" t="s">
        <v>250</v>
      </c>
      <c r="L6964" s="22">
        <v>743</v>
      </c>
      <c r="M6964" s="22" t="s">
        <v>242</v>
      </c>
      <c r="N6964" s="22" t="s">
        <v>4232</v>
      </c>
    </row>
    <row r="6965" spans="1:16" hidden="1" x14ac:dyDescent="0.25">
      <c r="A6965" s="21">
        <v>46235</v>
      </c>
      <c r="B6965" s="22" t="s">
        <v>120</v>
      </c>
      <c r="C6965" s="22">
        <v>64</v>
      </c>
      <c r="D6965" s="22" t="s">
        <v>238</v>
      </c>
      <c r="E6965" s="22" t="s">
        <v>239</v>
      </c>
      <c r="F6965" s="22" t="s">
        <v>381</v>
      </c>
      <c r="G6965" s="22" t="s">
        <v>382</v>
      </c>
      <c r="H6965" s="22"/>
      <c r="I6965" s="22"/>
      <c r="J6965" s="22" t="s">
        <v>212</v>
      </c>
      <c r="K6965" s="22" t="s">
        <v>250</v>
      </c>
      <c r="L6965" s="22">
        <v>2601</v>
      </c>
      <c r="M6965" s="22" t="s">
        <v>242</v>
      </c>
      <c r="N6965" s="22" t="s">
        <v>4233</v>
      </c>
    </row>
    <row r="6966" spans="1:16" hidden="1" x14ac:dyDescent="0.25">
      <c r="A6966" s="21">
        <v>46235</v>
      </c>
      <c r="B6966" s="22" t="s">
        <v>120</v>
      </c>
      <c r="C6966" s="22">
        <v>65</v>
      </c>
      <c r="D6966" s="22" t="s">
        <v>253</v>
      </c>
      <c r="E6966" s="22" t="s">
        <v>248</v>
      </c>
      <c r="F6966" s="22" t="s">
        <v>240</v>
      </c>
      <c r="G6966" s="22" t="s">
        <v>82</v>
      </c>
      <c r="H6966" s="22"/>
      <c r="I6966" s="22"/>
      <c r="J6966" s="22" t="s">
        <v>210</v>
      </c>
      <c r="K6966" s="22" t="s">
        <v>255</v>
      </c>
      <c r="L6966" s="22">
        <v>7060000</v>
      </c>
      <c r="M6966" s="22" t="s">
        <v>242</v>
      </c>
      <c r="N6966" s="22" t="s">
        <v>4023</v>
      </c>
      <c r="O6966">
        <v>1</v>
      </c>
      <c r="P6966" t="s">
        <v>257</v>
      </c>
    </row>
    <row r="6967" spans="1:16" hidden="1" x14ac:dyDescent="0.25">
      <c r="A6967" s="21">
        <v>46235</v>
      </c>
      <c r="B6967" s="22" t="s">
        <v>120</v>
      </c>
      <c r="C6967" s="22">
        <v>65</v>
      </c>
      <c r="D6967" s="22" t="s">
        <v>253</v>
      </c>
      <c r="E6967" s="22" t="s">
        <v>248</v>
      </c>
      <c r="F6967" s="22" t="s">
        <v>240</v>
      </c>
      <c r="G6967" s="22" t="s">
        <v>82</v>
      </c>
      <c r="H6967" s="22"/>
      <c r="I6967" s="22"/>
      <c r="J6967" s="22" t="s">
        <v>211</v>
      </c>
      <c r="K6967" s="22" t="s">
        <v>255</v>
      </c>
      <c r="L6967" s="22">
        <v>7320000</v>
      </c>
      <c r="M6967" s="22" t="s">
        <v>242</v>
      </c>
      <c r="N6967" s="22" t="s">
        <v>4148</v>
      </c>
      <c r="O6967">
        <v>1</v>
      </c>
      <c r="P6967" t="s">
        <v>257</v>
      </c>
    </row>
    <row r="6968" spans="1:16" hidden="1" x14ac:dyDescent="0.25">
      <c r="A6968" s="21">
        <v>46235</v>
      </c>
      <c r="B6968" s="22" t="s">
        <v>120</v>
      </c>
      <c r="C6968" s="22">
        <v>65</v>
      </c>
      <c r="D6968" s="22" t="s">
        <v>253</v>
      </c>
      <c r="E6968" s="22" t="s">
        <v>248</v>
      </c>
      <c r="F6968" s="22" t="s">
        <v>240</v>
      </c>
      <c r="G6968" s="22" t="s">
        <v>82</v>
      </c>
      <c r="H6968" s="22"/>
      <c r="I6968" s="22"/>
      <c r="J6968" s="22" t="s">
        <v>212</v>
      </c>
      <c r="K6968" s="22" t="s">
        <v>255</v>
      </c>
      <c r="L6968" s="22">
        <v>7940000</v>
      </c>
      <c r="M6968" s="22" t="s">
        <v>242</v>
      </c>
      <c r="N6968" s="22" t="s">
        <v>4234</v>
      </c>
      <c r="O6968">
        <v>1</v>
      </c>
      <c r="P6968" t="s">
        <v>261</v>
      </c>
    </row>
    <row r="6969" spans="1:16" hidden="1" x14ac:dyDescent="0.25">
      <c r="A6969" s="21">
        <v>46235</v>
      </c>
      <c r="B6969" s="22" t="s">
        <v>120</v>
      </c>
      <c r="C6969" s="22">
        <v>65</v>
      </c>
      <c r="D6969" s="22" t="s">
        <v>247</v>
      </c>
      <c r="E6969" s="22" t="s">
        <v>248</v>
      </c>
      <c r="F6969" s="22" t="s">
        <v>240</v>
      </c>
      <c r="G6969" s="22" t="s">
        <v>82</v>
      </c>
      <c r="H6969" s="22" t="s">
        <v>286</v>
      </c>
      <c r="I6969" s="22"/>
      <c r="J6969" s="22" t="s">
        <v>212</v>
      </c>
      <c r="K6969" s="22" t="s">
        <v>250</v>
      </c>
      <c r="L6969" s="22">
        <v>8.4</v>
      </c>
      <c r="M6969" s="22" t="s">
        <v>251</v>
      </c>
      <c r="N6969" s="22" t="s">
        <v>1120</v>
      </c>
    </row>
    <row r="6970" spans="1:16" hidden="1" x14ac:dyDescent="0.25">
      <c r="A6970" s="21">
        <v>46235</v>
      </c>
      <c r="B6970" s="22" t="s">
        <v>120</v>
      </c>
      <c r="C6970" s="22">
        <v>66</v>
      </c>
      <c r="D6970" s="22" t="s">
        <v>291</v>
      </c>
      <c r="E6970" s="22" t="s">
        <v>292</v>
      </c>
      <c r="F6970" s="22" t="s">
        <v>240</v>
      </c>
      <c r="G6970" s="22" t="s">
        <v>82</v>
      </c>
      <c r="H6970" s="22" t="s">
        <v>125</v>
      </c>
      <c r="I6970" s="22"/>
      <c r="J6970" s="22" t="s">
        <v>212</v>
      </c>
      <c r="K6970" s="22" t="s">
        <v>250</v>
      </c>
      <c r="L6970" s="22">
        <v>39000</v>
      </c>
      <c r="M6970" s="22" t="s">
        <v>242</v>
      </c>
      <c r="N6970" s="22" t="s">
        <v>1542</v>
      </c>
    </row>
    <row r="6971" spans="1:16" hidden="1" x14ac:dyDescent="0.25">
      <c r="A6971" s="21">
        <v>46235</v>
      </c>
      <c r="B6971" s="22" t="s">
        <v>120</v>
      </c>
      <c r="C6971" s="22">
        <v>66</v>
      </c>
      <c r="D6971" s="22" t="s">
        <v>291</v>
      </c>
      <c r="E6971" s="22" t="s">
        <v>292</v>
      </c>
      <c r="F6971" s="22" t="s">
        <v>240</v>
      </c>
      <c r="G6971" s="22" t="s">
        <v>82</v>
      </c>
      <c r="H6971" s="22" t="s">
        <v>126</v>
      </c>
      <c r="I6971" s="22"/>
      <c r="J6971" s="22" t="s">
        <v>212</v>
      </c>
      <c r="K6971" s="22" t="s">
        <v>250</v>
      </c>
      <c r="L6971" s="22">
        <v>197000</v>
      </c>
      <c r="M6971" s="22" t="s">
        <v>242</v>
      </c>
      <c r="N6971" s="22" t="s">
        <v>4235</v>
      </c>
    </row>
    <row r="6972" spans="1:16" hidden="1" x14ac:dyDescent="0.25">
      <c r="A6972" s="21">
        <v>46235</v>
      </c>
      <c r="B6972" s="22" t="s">
        <v>120</v>
      </c>
      <c r="C6972" s="22">
        <v>66</v>
      </c>
      <c r="D6972" s="22" t="s">
        <v>291</v>
      </c>
      <c r="E6972" s="22" t="s">
        <v>292</v>
      </c>
      <c r="F6972" s="22" t="s">
        <v>240</v>
      </c>
      <c r="G6972" s="22" t="s">
        <v>82</v>
      </c>
      <c r="H6972" s="22" t="s">
        <v>127</v>
      </c>
      <c r="I6972" s="22"/>
      <c r="J6972" s="22" t="s">
        <v>212</v>
      </c>
      <c r="K6972" s="22" t="s">
        <v>250</v>
      </c>
      <c r="L6972" s="22">
        <v>317000</v>
      </c>
      <c r="M6972" s="22" t="s">
        <v>242</v>
      </c>
      <c r="N6972" s="22" t="s">
        <v>1606</v>
      </c>
    </row>
    <row r="6973" spans="1:16" hidden="1" x14ac:dyDescent="0.25">
      <c r="A6973" s="21">
        <v>46235</v>
      </c>
      <c r="B6973" s="22" t="s">
        <v>120</v>
      </c>
      <c r="C6973" s="22">
        <v>66</v>
      </c>
      <c r="D6973" s="22" t="s">
        <v>291</v>
      </c>
      <c r="E6973" s="22" t="s">
        <v>292</v>
      </c>
      <c r="F6973" s="22" t="s">
        <v>240</v>
      </c>
      <c r="G6973" s="22" t="s">
        <v>82</v>
      </c>
      <c r="H6973" s="22" t="s">
        <v>128</v>
      </c>
      <c r="I6973" s="22"/>
      <c r="J6973" s="22" t="s">
        <v>212</v>
      </c>
      <c r="K6973" s="22" t="s">
        <v>250</v>
      </c>
      <c r="L6973" s="22">
        <v>41000</v>
      </c>
      <c r="M6973" s="22" t="s">
        <v>242</v>
      </c>
      <c r="N6973" s="22" t="s">
        <v>394</v>
      </c>
    </row>
    <row r="6974" spans="1:16" hidden="1" x14ac:dyDescent="0.25">
      <c r="A6974" s="21">
        <v>46235</v>
      </c>
      <c r="B6974" s="22" t="s">
        <v>120</v>
      </c>
      <c r="C6974" s="22">
        <v>66</v>
      </c>
      <c r="D6974" s="22" t="s">
        <v>291</v>
      </c>
      <c r="E6974" s="22" t="s">
        <v>292</v>
      </c>
      <c r="F6974" s="22" t="s">
        <v>240</v>
      </c>
      <c r="G6974" s="22" t="s">
        <v>82</v>
      </c>
      <c r="H6974" s="22" t="s">
        <v>129</v>
      </c>
      <c r="I6974" s="22"/>
      <c r="J6974" s="22" t="s">
        <v>212</v>
      </c>
      <c r="K6974" s="22" t="s">
        <v>250</v>
      </c>
      <c r="L6974" s="22">
        <v>2010000</v>
      </c>
      <c r="M6974" s="22" t="s">
        <v>242</v>
      </c>
      <c r="N6974" s="22" t="s">
        <v>4236</v>
      </c>
    </row>
    <row r="6975" spans="1:16" hidden="1" x14ac:dyDescent="0.25">
      <c r="A6975" s="21">
        <v>46235</v>
      </c>
      <c r="B6975" s="22" t="s">
        <v>120</v>
      </c>
      <c r="C6975" s="22">
        <v>66</v>
      </c>
      <c r="D6975" s="22" t="s">
        <v>291</v>
      </c>
      <c r="E6975" s="22" t="s">
        <v>292</v>
      </c>
      <c r="F6975" s="22" t="s">
        <v>240</v>
      </c>
      <c r="G6975" s="22" t="s">
        <v>82</v>
      </c>
      <c r="H6975" s="22" t="s">
        <v>130</v>
      </c>
      <c r="I6975" s="22"/>
      <c r="J6975" s="22" t="s">
        <v>212</v>
      </c>
      <c r="K6975" s="22" t="s">
        <v>250</v>
      </c>
      <c r="L6975" s="22">
        <v>2300000</v>
      </c>
      <c r="M6975" s="22" t="s">
        <v>242</v>
      </c>
      <c r="N6975" s="22" t="s">
        <v>4237</v>
      </c>
    </row>
    <row r="6976" spans="1:16" hidden="1" x14ac:dyDescent="0.25">
      <c r="A6976" s="21">
        <v>46235</v>
      </c>
      <c r="B6976" s="22" t="s">
        <v>120</v>
      </c>
      <c r="C6976" s="22">
        <v>66</v>
      </c>
      <c r="D6976" s="22" t="s">
        <v>291</v>
      </c>
      <c r="E6976" s="22" t="s">
        <v>292</v>
      </c>
      <c r="F6976" s="22" t="s">
        <v>240</v>
      </c>
      <c r="G6976" s="22" t="s">
        <v>82</v>
      </c>
      <c r="H6976" s="22" t="s">
        <v>131</v>
      </c>
      <c r="I6976" s="22"/>
      <c r="J6976" s="22" t="s">
        <v>212</v>
      </c>
      <c r="K6976" s="22" t="s">
        <v>250</v>
      </c>
      <c r="L6976" s="22">
        <v>38000</v>
      </c>
      <c r="M6976" s="22" t="s">
        <v>242</v>
      </c>
      <c r="N6976" s="22" t="s">
        <v>1367</v>
      </c>
    </row>
    <row r="6977" spans="1:16" hidden="1" x14ac:dyDescent="0.25">
      <c r="A6977" s="21">
        <v>46235</v>
      </c>
      <c r="B6977" s="22" t="s">
        <v>120</v>
      </c>
      <c r="C6977" s="22">
        <v>66</v>
      </c>
      <c r="D6977" s="22" t="s">
        <v>291</v>
      </c>
      <c r="E6977" s="22" t="s">
        <v>292</v>
      </c>
      <c r="F6977" s="22" t="s">
        <v>240</v>
      </c>
      <c r="G6977" s="22" t="s">
        <v>82</v>
      </c>
      <c r="H6977" s="22" t="s">
        <v>132</v>
      </c>
      <c r="I6977" s="22"/>
      <c r="J6977" s="22" t="s">
        <v>212</v>
      </c>
      <c r="K6977" s="22" t="s">
        <v>250</v>
      </c>
      <c r="L6977" s="22">
        <v>75000</v>
      </c>
      <c r="M6977" s="22" t="s">
        <v>242</v>
      </c>
      <c r="N6977" s="22" t="s">
        <v>4238</v>
      </c>
    </row>
    <row r="6978" spans="1:16" hidden="1" x14ac:dyDescent="0.25">
      <c r="A6978" s="21">
        <v>46235</v>
      </c>
      <c r="B6978" s="22" t="s">
        <v>120</v>
      </c>
      <c r="C6978" s="22">
        <v>66</v>
      </c>
      <c r="D6978" s="22" t="s">
        <v>291</v>
      </c>
      <c r="E6978" s="22" t="s">
        <v>292</v>
      </c>
      <c r="F6978" s="22" t="s">
        <v>240</v>
      </c>
      <c r="G6978" s="22" t="s">
        <v>82</v>
      </c>
      <c r="H6978" s="22" t="s">
        <v>133</v>
      </c>
      <c r="I6978" s="22"/>
      <c r="J6978" s="22" t="s">
        <v>212</v>
      </c>
      <c r="K6978" s="22" t="s">
        <v>250</v>
      </c>
      <c r="L6978" s="22">
        <v>628000</v>
      </c>
      <c r="M6978" s="22" t="s">
        <v>242</v>
      </c>
      <c r="N6978" s="22" t="s">
        <v>4239</v>
      </c>
    </row>
    <row r="6979" spans="1:16" hidden="1" x14ac:dyDescent="0.25">
      <c r="A6979" s="21">
        <v>46235</v>
      </c>
      <c r="B6979" s="22" t="s">
        <v>120</v>
      </c>
      <c r="C6979" s="22">
        <v>66</v>
      </c>
      <c r="D6979" s="22" t="s">
        <v>291</v>
      </c>
      <c r="E6979" s="22" t="s">
        <v>292</v>
      </c>
      <c r="F6979" s="22" t="s">
        <v>240</v>
      </c>
      <c r="G6979" s="22" t="s">
        <v>82</v>
      </c>
      <c r="H6979" s="22" t="s">
        <v>134</v>
      </c>
      <c r="I6979" s="22"/>
      <c r="J6979" s="22" t="s">
        <v>212</v>
      </c>
      <c r="K6979" s="22" t="s">
        <v>250</v>
      </c>
      <c r="L6979" s="22">
        <v>2130000</v>
      </c>
      <c r="M6979" s="22" t="s">
        <v>242</v>
      </c>
      <c r="N6979" s="22" t="s">
        <v>2237</v>
      </c>
    </row>
    <row r="6980" spans="1:16" hidden="1" x14ac:dyDescent="0.25">
      <c r="A6980" s="21">
        <v>46235</v>
      </c>
      <c r="B6980" s="22" t="s">
        <v>120</v>
      </c>
      <c r="C6980" s="22">
        <v>67</v>
      </c>
      <c r="D6980" s="22" t="s">
        <v>291</v>
      </c>
      <c r="E6980" s="22" t="s">
        <v>292</v>
      </c>
      <c r="F6980" s="22" t="s">
        <v>240</v>
      </c>
      <c r="G6980" s="22" t="s">
        <v>82</v>
      </c>
      <c r="H6980" s="22" t="s">
        <v>137</v>
      </c>
      <c r="I6980" s="22"/>
      <c r="J6980" s="22" t="s">
        <v>212</v>
      </c>
      <c r="K6980" s="22" t="s">
        <v>250</v>
      </c>
      <c r="L6980" s="22">
        <v>1420000</v>
      </c>
      <c r="M6980" s="22" t="s">
        <v>242</v>
      </c>
      <c r="N6980" s="22" t="s">
        <v>4064</v>
      </c>
    </row>
    <row r="6981" spans="1:16" hidden="1" x14ac:dyDescent="0.25">
      <c r="A6981" s="21">
        <v>46235</v>
      </c>
      <c r="B6981" s="22" t="s">
        <v>120</v>
      </c>
      <c r="C6981" s="22">
        <v>67</v>
      </c>
      <c r="D6981" s="22" t="s">
        <v>291</v>
      </c>
      <c r="E6981" s="22" t="s">
        <v>292</v>
      </c>
      <c r="F6981" s="22" t="s">
        <v>240</v>
      </c>
      <c r="G6981" s="22" t="s">
        <v>82</v>
      </c>
      <c r="H6981" s="22" t="s">
        <v>138</v>
      </c>
      <c r="I6981" s="22"/>
      <c r="J6981" s="22" t="s">
        <v>212</v>
      </c>
      <c r="K6981" s="22" t="s">
        <v>250</v>
      </c>
      <c r="L6981" s="22">
        <v>6520000</v>
      </c>
      <c r="M6981" s="22" t="s">
        <v>242</v>
      </c>
      <c r="N6981" s="22" t="s">
        <v>2885</v>
      </c>
    </row>
    <row r="6982" spans="1:16" hidden="1" x14ac:dyDescent="0.25">
      <c r="A6982" s="21">
        <v>46235</v>
      </c>
      <c r="B6982" s="22" t="s">
        <v>120</v>
      </c>
      <c r="C6982" s="22">
        <v>68</v>
      </c>
      <c r="D6982" s="22" t="s">
        <v>253</v>
      </c>
      <c r="E6982" s="22" t="s">
        <v>248</v>
      </c>
      <c r="F6982" s="22" t="s">
        <v>244</v>
      </c>
      <c r="G6982" s="22" t="s">
        <v>82</v>
      </c>
      <c r="H6982" s="22"/>
      <c r="I6982" s="22"/>
      <c r="J6982" s="22" t="s">
        <v>210</v>
      </c>
      <c r="K6982" s="22" t="s">
        <v>255</v>
      </c>
      <c r="L6982" s="22">
        <v>1260000000</v>
      </c>
      <c r="M6982" s="22" t="s">
        <v>245</v>
      </c>
      <c r="N6982" s="22" t="s">
        <v>3597</v>
      </c>
      <c r="O6982">
        <v>1</v>
      </c>
      <c r="P6982" t="s">
        <v>257</v>
      </c>
    </row>
    <row r="6983" spans="1:16" hidden="1" x14ac:dyDescent="0.25">
      <c r="A6983" s="21">
        <v>46235</v>
      </c>
      <c r="B6983" s="22" t="s">
        <v>120</v>
      </c>
      <c r="C6983" s="22">
        <v>68</v>
      </c>
      <c r="D6983" s="22" t="s">
        <v>253</v>
      </c>
      <c r="E6983" s="22" t="s">
        <v>248</v>
      </c>
      <c r="F6983" s="22" t="s">
        <v>244</v>
      </c>
      <c r="G6983" s="22" t="s">
        <v>82</v>
      </c>
      <c r="H6983" s="22"/>
      <c r="I6983" s="22"/>
      <c r="J6983" s="22" t="s">
        <v>211</v>
      </c>
      <c r="K6983" s="22" t="s">
        <v>255</v>
      </c>
      <c r="L6983" s="22">
        <v>1410000000</v>
      </c>
      <c r="M6983" s="22" t="s">
        <v>245</v>
      </c>
      <c r="N6983" s="22" t="s">
        <v>1417</v>
      </c>
      <c r="O6983">
        <v>1</v>
      </c>
      <c r="P6983" t="s">
        <v>257</v>
      </c>
    </row>
    <row r="6984" spans="1:16" hidden="1" x14ac:dyDescent="0.25">
      <c r="A6984" s="21">
        <v>46235</v>
      </c>
      <c r="B6984" s="22" t="s">
        <v>120</v>
      </c>
      <c r="C6984" s="22">
        <v>68</v>
      </c>
      <c r="D6984" s="22" t="s">
        <v>253</v>
      </c>
      <c r="E6984" s="22" t="s">
        <v>248</v>
      </c>
      <c r="F6984" s="22" t="s">
        <v>244</v>
      </c>
      <c r="G6984" s="22" t="s">
        <v>82</v>
      </c>
      <c r="H6984" s="22"/>
      <c r="I6984" s="22"/>
      <c r="J6984" s="22" t="s">
        <v>212</v>
      </c>
      <c r="K6984" s="22" t="s">
        <v>255</v>
      </c>
      <c r="L6984" s="22">
        <v>1350000000</v>
      </c>
      <c r="M6984" s="22" t="s">
        <v>245</v>
      </c>
      <c r="N6984" s="22" t="s">
        <v>1183</v>
      </c>
      <c r="O6984">
        <v>1</v>
      </c>
      <c r="P6984" t="s">
        <v>261</v>
      </c>
    </row>
    <row r="6985" spans="1:16" hidden="1" x14ac:dyDescent="0.25">
      <c r="A6985" s="21">
        <v>46235</v>
      </c>
      <c r="B6985" s="22" t="s">
        <v>120</v>
      </c>
      <c r="C6985" s="22">
        <v>68</v>
      </c>
      <c r="D6985" s="22" t="s">
        <v>247</v>
      </c>
      <c r="E6985" s="22" t="s">
        <v>248</v>
      </c>
      <c r="F6985" s="22" t="s">
        <v>244</v>
      </c>
      <c r="G6985" s="22" t="s">
        <v>82</v>
      </c>
      <c r="H6985" s="22" t="s">
        <v>249</v>
      </c>
      <c r="I6985" s="22"/>
      <c r="J6985" s="22" t="s">
        <v>212</v>
      </c>
      <c r="K6985" s="22" t="s">
        <v>250</v>
      </c>
      <c r="L6985" s="22">
        <v>4.0999999999999996</v>
      </c>
      <c r="M6985" s="22" t="s">
        <v>251</v>
      </c>
      <c r="N6985" s="22" t="s">
        <v>1789</v>
      </c>
    </row>
    <row r="6986" spans="1:16" hidden="1" x14ac:dyDescent="0.25">
      <c r="A6986" s="21">
        <v>46235</v>
      </c>
      <c r="B6986" s="22" t="s">
        <v>120</v>
      </c>
      <c r="C6986" s="22">
        <v>69</v>
      </c>
      <c r="D6986" s="22" t="s">
        <v>291</v>
      </c>
      <c r="E6986" s="22" t="s">
        <v>292</v>
      </c>
      <c r="F6986" s="22" t="s">
        <v>244</v>
      </c>
      <c r="G6986" s="22" t="s">
        <v>82</v>
      </c>
      <c r="H6986" s="22" t="s">
        <v>140</v>
      </c>
      <c r="I6986" s="22"/>
      <c r="J6986" s="22" t="s">
        <v>212</v>
      </c>
      <c r="K6986" s="22" t="s">
        <v>250</v>
      </c>
      <c r="L6986" s="22">
        <v>19000000</v>
      </c>
      <c r="M6986" s="22" t="s">
        <v>245</v>
      </c>
      <c r="N6986" s="22" t="s">
        <v>1015</v>
      </c>
    </row>
    <row r="6987" spans="1:16" hidden="1" x14ac:dyDescent="0.25">
      <c r="A6987" s="21">
        <v>46235</v>
      </c>
      <c r="B6987" s="22" t="s">
        <v>120</v>
      </c>
      <c r="C6987" s="22">
        <v>69</v>
      </c>
      <c r="D6987" s="22" t="s">
        <v>291</v>
      </c>
      <c r="E6987" s="22" t="s">
        <v>292</v>
      </c>
      <c r="F6987" s="22" t="s">
        <v>244</v>
      </c>
      <c r="G6987" s="22" t="s">
        <v>82</v>
      </c>
      <c r="H6987" s="22" t="s">
        <v>126</v>
      </c>
      <c r="I6987" s="22"/>
      <c r="J6987" s="22" t="s">
        <v>212</v>
      </c>
      <c r="K6987" s="22" t="s">
        <v>250</v>
      </c>
      <c r="L6987" s="22">
        <v>52000000</v>
      </c>
      <c r="M6987" s="22" t="s">
        <v>245</v>
      </c>
      <c r="N6987" s="22" t="s">
        <v>4240</v>
      </c>
    </row>
    <row r="6988" spans="1:16" hidden="1" x14ac:dyDescent="0.25">
      <c r="A6988" s="21">
        <v>46235</v>
      </c>
      <c r="B6988" s="22" t="s">
        <v>120</v>
      </c>
      <c r="C6988" s="22">
        <v>69</v>
      </c>
      <c r="D6988" s="22" t="s">
        <v>291</v>
      </c>
      <c r="E6988" s="22" t="s">
        <v>292</v>
      </c>
      <c r="F6988" s="22" t="s">
        <v>244</v>
      </c>
      <c r="G6988" s="22" t="s">
        <v>82</v>
      </c>
      <c r="H6988" s="22" t="s">
        <v>127</v>
      </c>
      <c r="I6988" s="22"/>
      <c r="J6988" s="22" t="s">
        <v>212</v>
      </c>
      <c r="K6988" s="22" t="s">
        <v>250</v>
      </c>
      <c r="L6988" s="22">
        <v>71000000</v>
      </c>
      <c r="M6988" s="22" t="s">
        <v>245</v>
      </c>
      <c r="N6988" s="22" t="s">
        <v>656</v>
      </c>
    </row>
    <row r="6989" spans="1:16" hidden="1" x14ac:dyDescent="0.25">
      <c r="A6989" s="21">
        <v>46235</v>
      </c>
      <c r="B6989" s="22" t="s">
        <v>120</v>
      </c>
      <c r="C6989" s="22">
        <v>69</v>
      </c>
      <c r="D6989" s="22" t="s">
        <v>291</v>
      </c>
      <c r="E6989" s="22" t="s">
        <v>292</v>
      </c>
      <c r="F6989" s="22" t="s">
        <v>244</v>
      </c>
      <c r="G6989" s="22" t="s">
        <v>82</v>
      </c>
      <c r="H6989" s="22" t="s">
        <v>3887</v>
      </c>
      <c r="I6989" s="22"/>
      <c r="J6989" s="22" t="s">
        <v>212</v>
      </c>
      <c r="K6989" s="22" t="s">
        <v>250</v>
      </c>
      <c r="L6989" s="22">
        <v>13000000</v>
      </c>
      <c r="M6989" s="22" t="s">
        <v>245</v>
      </c>
      <c r="N6989" s="22" t="s">
        <v>403</v>
      </c>
    </row>
    <row r="6990" spans="1:16" hidden="1" x14ac:dyDescent="0.25">
      <c r="A6990" s="21">
        <v>46235</v>
      </c>
      <c r="B6990" s="22" t="s">
        <v>120</v>
      </c>
      <c r="C6990" s="22">
        <v>69</v>
      </c>
      <c r="D6990" s="22" t="s">
        <v>291</v>
      </c>
      <c r="E6990" s="22" t="s">
        <v>292</v>
      </c>
      <c r="F6990" s="22" t="s">
        <v>244</v>
      </c>
      <c r="G6990" s="22" t="s">
        <v>82</v>
      </c>
      <c r="H6990" s="22" t="s">
        <v>129</v>
      </c>
      <c r="I6990" s="22"/>
      <c r="J6990" s="22" t="s">
        <v>212</v>
      </c>
      <c r="K6990" s="22" t="s">
        <v>250</v>
      </c>
      <c r="L6990" s="22">
        <v>820000000</v>
      </c>
      <c r="M6990" s="22" t="s">
        <v>245</v>
      </c>
      <c r="N6990" s="22" t="s">
        <v>4241</v>
      </c>
    </row>
    <row r="6991" spans="1:16" hidden="1" x14ac:dyDescent="0.25">
      <c r="A6991" s="21">
        <v>46235</v>
      </c>
      <c r="B6991" s="22" t="s">
        <v>120</v>
      </c>
      <c r="C6991" s="22">
        <v>69</v>
      </c>
      <c r="D6991" s="22" t="s">
        <v>291</v>
      </c>
      <c r="E6991" s="22" t="s">
        <v>292</v>
      </c>
      <c r="F6991" s="22" t="s">
        <v>244</v>
      </c>
      <c r="G6991" s="22" t="s">
        <v>82</v>
      </c>
      <c r="H6991" s="22" t="s">
        <v>130</v>
      </c>
      <c r="I6991" s="22"/>
      <c r="J6991" s="22" t="s">
        <v>212</v>
      </c>
      <c r="K6991" s="22" t="s">
        <v>250</v>
      </c>
      <c r="L6991" s="22">
        <v>38000000</v>
      </c>
      <c r="M6991" s="22" t="s">
        <v>245</v>
      </c>
      <c r="N6991" s="22" t="s">
        <v>4242</v>
      </c>
    </row>
    <row r="6992" spans="1:16" hidden="1" x14ac:dyDescent="0.25">
      <c r="A6992" s="21">
        <v>46235</v>
      </c>
      <c r="B6992" s="22" t="s">
        <v>120</v>
      </c>
      <c r="C6992" s="22">
        <v>69</v>
      </c>
      <c r="D6992" s="22" t="s">
        <v>291</v>
      </c>
      <c r="E6992" s="22" t="s">
        <v>292</v>
      </c>
      <c r="F6992" s="22" t="s">
        <v>244</v>
      </c>
      <c r="G6992" s="22" t="s">
        <v>82</v>
      </c>
      <c r="H6992" s="22" t="s">
        <v>131</v>
      </c>
      <c r="I6992" s="22"/>
      <c r="J6992" s="22" t="s">
        <v>212</v>
      </c>
      <c r="K6992" s="22" t="s">
        <v>250</v>
      </c>
      <c r="L6992" s="22">
        <v>19000000</v>
      </c>
      <c r="M6992" s="22" t="s">
        <v>245</v>
      </c>
      <c r="N6992" s="22" t="s">
        <v>1015</v>
      </c>
    </row>
    <row r="6993" spans="1:16" hidden="1" x14ac:dyDescent="0.25">
      <c r="A6993" s="21">
        <v>46235</v>
      </c>
      <c r="B6993" s="22" t="s">
        <v>120</v>
      </c>
      <c r="C6993" s="22">
        <v>69</v>
      </c>
      <c r="D6993" s="22" t="s">
        <v>291</v>
      </c>
      <c r="E6993" s="22" t="s">
        <v>292</v>
      </c>
      <c r="F6993" s="22" t="s">
        <v>244</v>
      </c>
      <c r="G6993" s="22" t="s">
        <v>82</v>
      </c>
      <c r="H6993" s="22" t="s">
        <v>132</v>
      </c>
      <c r="I6993" s="22"/>
      <c r="J6993" s="22" t="s">
        <v>212</v>
      </c>
      <c r="K6993" s="22" t="s">
        <v>250</v>
      </c>
      <c r="L6993" s="22">
        <v>13000000</v>
      </c>
      <c r="M6993" s="22" t="s">
        <v>245</v>
      </c>
      <c r="N6993" s="22" t="s">
        <v>403</v>
      </c>
    </row>
    <row r="6994" spans="1:16" hidden="1" x14ac:dyDescent="0.25">
      <c r="A6994" s="21">
        <v>46235</v>
      </c>
      <c r="B6994" s="22" t="s">
        <v>120</v>
      </c>
      <c r="C6994" s="22">
        <v>69</v>
      </c>
      <c r="D6994" s="22" t="s">
        <v>291</v>
      </c>
      <c r="E6994" s="22" t="s">
        <v>292</v>
      </c>
      <c r="F6994" s="22" t="s">
        <v>244</v>
      </c>
      <c r="G6994" s="22" t="s">
        <v>82</v>
      </c>
      <c r="H6994" s="22" t="s">
        <v>133</v>
      </c>
      <c r="I6994" s="22"/>
      <c r="J6994" s="22" t="s">
        <v>212</v>
      </c>
      <c r="K6994" s="22" t="s">
        <v>250</v>
      </c>
      <c r="L6994" s="22">
        <v>191000000</v>
      </c>
      <c r="M6994" s="22" t="s">
        <v>245</v>
      </c>
      <c r="N6994" s="22" t="s">
        <v>4243</v>
      </c>
    </row>
    <row r="6995" spans="1:16" hidden="1" x14ac:dyDescent="0.25">
      <c r="A6995" s="21">
        <v>46235</v>
      </c>
      <c r="B6995" s="22" t="s">
        <v>120</v>
      </c>
      <c r="C6995" s="22">
        <v>69</v>
      </c>
      <c r="D6995" s="22" t="s">
        <v>291</v>
      </c>
      <c r="E6995" s="22" t="s">
        <v>292</v>
      </c>
      <c r="F6995" s="22" t="s">
        <v>244</v>
      </c>
      <c r="G6995" s="22" t="s">
        <v>82</v>
      </c>
      <c r="H6995" s="22" t="s">
        <v>134</v>
      </c>
      <c r="I6995" s="22"/>
      <c r="J6995" s="22" t="s">
        <v>212</v>
      </c>
      <c r="K6995" s="22" t="s">
        <v>250</v>
      </c>
      <c r="L6995" s="22">
        <v>102000000</v>
      </c>
      <c r="M6995" s="22" t="s">
        <v>245</v>
      </c>
      <c r="N6995" s="22" t="s">
        <v>4244</v>
      </c>
    </row>
    <row r="6996" spans="1:16" hidden="1" x14ac:dyDescent="0.25">
      <c r="A6996" s="21">
        <v>46235</v>
      </c>
      <c r="B6996" s="22" t="s">
        <v>120</v>
      </c>
      <c r="C6996" s="22">
        <v>70</v>
      </c>
      <c r="D6996" s="22" t="s">
        <v>291</v>
      </c>
      <c r="E6996" s="22" t="s">
        <v>292</v>
      </c>
      <c r="F6996" s="22" t="s">
        <v>244</v>
      </c>
      <c r="G6996" s="22" t="s">
        <v>82</v>
      </c>
      <c r="H6996" s="22" t="s">
        <v>137</v>
      </c>
      <c r="I6996" s="22"/>
      <c r="J6996" s="22" t="s">
        <v>212</v>
      </c>
      <c r="K6996" s="22" t="s">
        <v>250</v>
      </c>
      <c r="L6996" s="22">
        <v>173000000</v>
      </c>
      <c r="M6996" s="22" t="s">
        <v>245</v>
      </c>
      <c r="N6996" s="22" t="s">
        <v>4245</v>
      </c>
    </row>
    <row r="6997" spans="1:16" hidden="1" x14ac:dyDescent="0.25">
      <c r="A6997" s="21">
        <v>46235</v>
      </c>
      <c r="B6997" s="22" t="s">
        <v>120</v>
      </c>
      <c r="C6997" s="22">
        <v>70</v>
      </c>
      <c r="D6997" s="22" t="s">
        <v>291</v>
      </c>
      <c r="E6997" s="22" t="s">
        <v>292</v>
      </c>
      <c r="F6997" s="22" t="s">
        <v>244</v>
      </c>
      <c r="G6997" s="22" t="s">
        <v>82</v>
      </c>
      <c r="H6997" s="22" t="s">
        <v>138</v>
      </c>
      <c r="I6997" s="22"/>
      <c r="J6997" s="22" t="s">
        <v>212</v>
      </c>
      <c r="K6997" s="22" t="s">
        <v>250</v>
      </c>
      <c r="L6997" s="22">
        <v>1180000000</v>
      </c>
      <c r="M6997" s="22" t="s">
        <v>245</v>
      </c>
      <c r="N6997" s="22" t="s">
        <v>920</v>
      </c>
    </row>
    <row r="6998" spans="1:16" hidden="1" x14ac:dyDescent="0.25">
      <c r="A6998" s="21">
        <v>46235</v>
      </c>
      <c r="B6998" s="22" t="s">
        <v>120</v>
      </c>
      <c r="C6998" s="22">
        <v>71</v>
      </c>
      <c r="D6998" s="22" t="s">
        <v>253</v>
      </c>
      <c r="E6998" s="22" t="s">
        <v>248</v>
      </c>
      <c r="F6998" s="22" t="s">
        <v>334</v>
      </c>
      <c r="G6998" s="22" t="s">
        <v>82</v>
      </c>
      <c r="H6998" s="22"/>
      <c r="I6998" s="22"/>
      <c r="J6998" s="22" t="s">
        <v>210</v>
      </c>
      <c r="K6998" s="22" t="s">
        <v>255</v>
      </c>
      <c r="L6998" s="22">
        <v>179</v>
      </c>
      <c r="M6998" s="22" t="s">
        <v>245</v>
      </c>
      <c r="N6998" s="22" t="s">
        <v>4032</v>
      </c>
      <c r="O6998">
        <v>1</v>
      </c>
      <c r="P6998" t="s">
        <v>257</v>
      </c>
    </row>
    <row r="6999" spans="1:16" hidden="1" x14ac:dyDescent="0.25">
      <c r="A6999" s="21">
        <v>46235</v>
      </c>
      <c r="B6999" s="22" t="s">
        <v>120</v>
      </c>
      <c r="C6999" s="22">
        <v>71</v>
      </c>
      <c r="D6999" s="22" t="s">
        <v>253</v>
      </c>
      <c r="E6999" s="22" t="s">
        <v>248</v>
      </c>
      <c r="F6999" s="22" t="s">
        <v>334</v>
      </c>
      <c r="G6999" s="22" t="s">
        <v>82</v>
      </c>
      <c r="H6999" s="22"/>
      <c r="I6999" s="22"/>
      <c r="J6999" s="22" t="s">
        <v>211</v>
      </c>
      <c r="K6999" s="22" t="s">
        <v>255</v>
      </c>
      <c r="L6999" s="22">
        <v>193</v>
      </c>
      <c r="M6999" s="22" t="s">
        <v>245</v>
      </c>
      <c r="N6999" s="22" t="s">
        <v>4157</v>
      </c>
      <c r="O6999">
        <v>1</v>
      </c>
      <c r="P6999" t="s">
        <v>257</v>
      </c>
    </row>
    <row r="7000" spans="1:16" hidden="1" x14ac:dyDescent="0.25">
      <c r="A7000" s="21">
        <v>46235</v>
      </c>
      <c r="B7000" s="22" t="s">
        <v>120</v>
      </c>
      <c r="C7000" s="22">
        <v>71</v>
      </c>
      <c r="D7000" s="22" t="s">
        <v>253</v>
      </c>
      <c r="E7000" s="22" t="s">
        <v>248</v>
      </c>
      <c r="F7000" s="22" t="s">
        <v>334</v>
      </c>
      <c r="G7000" s="22" t="s">
        <v>82</v>
      </c>
      <c r="H7000" s="22"/>
      <c r="I7000" s="22"/>
      <c r="J7000" s="22" t="s">
        <v>212</v>
      </c>
      <c r="K7000" s="22" t="s">
        <v>255</v>
      </c>
      <c r="L7000" s="22">
        <v>170</v>
      </c>
      <c r="M7000" s="22" t="s">
        <v>245</v>
      </c>
      <c r="N7000" s="22" t="s">
        <v>4246</v>
      </c>
      <c r="O7000">
        <v>1</v>
      </c>
      <c r="P7000" t="s">
        <v>261</v>
      </c>
    </row>
    <row r="7001" spans="1:16" hidden="1" x14ac:dyDescent="0.25">
      <c r="A7001" s="21">
        <v>46235</v>
      </c>
      <c r="B7001" s="22" t="s">
        <v>1192</v>
      </c>
      <c r="C7001" s="22">
        <v>55</v>
      </c>
      <c r="D7001" s="22" t="s">
        <v>238</v>
      </c>
      <c r="E7001" s="22" t="s">
        <v>239</v>
      </c>
      <c r="F7001" s="22" t="s">
        <v>240</v>
      </c>
      <c r="G7001" s="22" t="s">
        <v>82</v>
      </c>
      <c r="H7001" s="22" t="s">
        <v>184</v>
      </c>
      <c r="I7001" s="22"/>
      <c r="J7001" s="22" t="s">
        <v>212</v>
      </c>
      <c r="K7001" s="22" t="s">
        <v>241</v>
      </c>
      <c r="L7001" s="22">
        <v>162180000</v>
      </c>
      <c r="M7001" s="22" t="s">
        <v>242</v>
      </c>
      <c r="N7001" s="22" t="s">
        <v>4198</v>
      </c>
    </row>
    <row r="7002" spans="1:16" hidden="1" x14ac:dyDescent="0.25">
      <c r="A7002" s="21">
        <v>46235</v>
      </c>
      <c r="B7002" s="22" t="s">
        <v>1192</v>
      </c>
      <c r="C7002" s="22">
        <v>55</v>
      </c>
      <c r="D7002" s="22" t="s">
        <v>238</v>
      </c>
      <c r="E7002" s="22" t="s">
        <v>239</v>
      </c>
      <c r="F7002" s="22" t="s">
        <v>240</v>
      </c>
      <c r="G7002" s="22" t="s">
        <v>82</v>
      </c>
      <c r="H7002" s="22" t="s">
        <v>185</v>
      </c>
      <c r="I7002" s="22"/>
      <c r="J7002" s="22" t="s">
        <v>212</v>
      </c>
      <c r="K7002" s="22" t="s">
        <v>241</v>
      </c>
      <c r="L7002" s="22">
        <v>113010000</v>
      </c>
      <c r="M7002" s="22" t="s">
        <v>242</v>
      </c>
      <c r="N7002" s="22" t="s">
        <v>4247</v>
      </c>
    </row>
    <row r="7003" spans="1:16" hidden="1" x14ac:dyDescent="0.25">
      <c r="A7003" s="21">
        <v>46235</v>
      </c>
      <c r="B7003" s="22" t="s">
        <v>1192</v>
      </c>
      <c r="C7003" s="22">
        <v>55</v>
      </c>
      <c r="D7003" s="22" t="s">
        <v>238</v>
      </c>
      <c r="E7003" s="22" t="s">
        <v>239</v>
      </c>
      <c r="F7003" s="22" t="s">
        <v>1194</v>
      </c>
      <c r="G7003" s="22" t="s">
        <v>82</v>
      </c>
      <c r="H7003" s="22"/>
      <c r="I7003" s="22"/>
      <c r="J7003" s="22" t="s">
        <v>212</v>
      </c>
      <c r="K7003" s="22" t="s">
        <v>241</v>
      </c>
      <c r="L7003" s="22">
        <v>275190000</v>
      </c>
      <c r="M7003" s="22" t="s">
        <v>242</v>
      </c>
      <c r="N7003" s="22" t="s">
        <v>4248</v>
      </c>
    </row>
    <row r="7004" spans="1:16" hidden="1" x14ac:dyDescent="0.25">
      <c r="A7004" s="21">
        <v>46235</v>
      </c>
      <c r="B7004" s="22" t="s">
        <v>1192</v>
      </c>
      <c r="C7004" s="22">
        <v>55</v>
      </c>
      <c r="D7004" s="22" t="s">
        <v>238</v>
      </c>
      <c r="E7004" s="22" t="s">
        <v>239</v>
      </c>
      <c r="F7004" s="22" t="s">
        <v>1196</v>
      </c>
      <c r="G7004" s="22" t="s">
        <v>82</v>
      </c>
      <c r="H7004" s="22"/>
      <c r="I7004" s="22"/>
      <c r="J7004" s="22" t="s">
        <v>212</v>
      </c>
      <c r="K7004" s="22" t="s">
        <v>241</v>
      </c>
      <c r="L7004" s="22">
        <v>21930000000</v>
      </c>
      <c r="M7004" s="22" t="s">
        <v>245</v>
      </c>
      <c r="N7004" s="22" t="s">
        <v>4249</v>
      </c>
    </row>
    <row r="7005" spans="1:16" hidden="1" x14ac:dyDescent="0.25">
      <c r="A7005" s="21">
        <v>46235</v>
      </c>
      <c r="B7005" s="22" t="s">
        <v>1192</v>
      </c>
      <c r="C7005" s="22">
        <v>55</v>
      </c>
      <c r="D7005" s="22" t="s">
        <v>238</v>
      </c>
      <c r="E7005" s="22" t="s">
        <v>239</v>
      </c>
      <c r="F7005" s="22" t="s">
        <v>244</v>
      </c>
      <c r="G7005" s="22" t="s">
        <v>82</v>
      </c>
      <c r="H7005" s="22" t="s">
        <v>184</v>
      </c>
      <c r="I7005" s="22"/>
      <c r="J7005" s="22" t="s">
        <v>212</v>
      </c>
      <c r="K7005" s="22" t="s">
        <v>241</v>
      </c>
      <c r="L7005" s="22">
        <v>16640000000</v>
      </c>
      <c r="M7005" s="22" t="s">
        <v>245</v>
      </c>
      <c r="N7005" s="22" t="s">
        <v>4199</v>
      </c>
    </row>
    <row r="7006" spans="1:16" hidden="1" x14ac:dyDescent="0.25">
      <c r="A7006" s="21">
        <v>46235</v>
      </c>
      <c r="B7006" s="22" t="s">
        <v>1192</v>
      </c>
      <c r="C7006" s="22">
        <v>55</v>
      </c>
      <c r="D7006" s="22" t="s">
        <v>238</v>
      </c>
      <c r="E7006" s="22" t="s">
        <v>239</v>
      </c>
      <c r="F7006" s="22" t="s">
        <v>244</v>
      </c>
      <c r="G7006" s="22" t="s">
        <v>82</v>
      </c>
      <c r="H7006" s="22" t="s">
        <v>185</v>
      </c>
      <c r="I7006" s="22"/>
      <c r="J7006" s="22" t="s">
        <v>212</v>
      </c>
      <c r="K7006" s="22" t="s">
        <v>241</v>
      </c>
      <c r="L7006" s="22">
        <v>5280000000</v>
      </c>
      <c r="M7006" s="22" t="s">
        <v>245</v>
      </c>
      <c r="N7006" s="22" t="s">
        <v>4250</v>
      </c>
    </row>
    <row r="7007" spans="1:16" hidden="1" x14ac:dyDescent="0.25">
      <c r="A7007" s="21">
        <v>46235</v>
      </c>
      <c r="B7007" s="22" t="s">
        <v>1192</v>
      </c>
      <c r="C7007" s="22">
        <v>56</v>
      </c>
      <c r="D7007" s="22" t="s">
        <v>291</v>
      </c>
      <c r="E7007" s="22" t="s">
        <v>292</v>
      </c>
      <c r="F7007" s="22" t="s">
        <v>1199</v>
      </c>
      <c r="G7007" s="22" t="s">
        <v>63</v>
      </c>
      <c r="H7007" s="22" t="s">
        <v>1200</v>
      </c>
      <c r="I7007" s="22"/>
      <c r="J7007" s="22" t="s">
        <v>212</v>
      </c>
      <c r="K7007" s="22" t="s">
        <v>241</v>
      </c>
      <c r="L7007" s="22">
        <v>1220000</v>
      </c>
      <c r="M7007" s="22" t="s">
        <v>242</v>
      </c>
      <c r="N7007" s="22" t="s">
        <v>2512</v>
      </c>
    </row>
    <row r="7008" spans="1:16" hidden="1" x14ac:dyDescent="0.25">
      <c r="A7008" s="21">
        <v>46235</v>
      </c>
      <c r="B7008" s="22" t="s">
        <v>1192</v>
      </c>
      <c r="C7008" s="22">
        <v>56</v>
      </c>
      <c r="D7008" s="22" t="s">
        <v>291</v>
      </c>
      <c r="E7008" s="22" t="s">
        <v>292</v>
      </c>
      <c r="F7008" s="22" t="s">
        <v>1199</v>
      </c>
      <c r="G7008" s="22" t="s">
        <v>63</v>
      </c>
      <c r="H7008" s="22" t="s">
        <v>1202</v>
      </c>
      <c r="I7008" s="22"/>
      <c r="J7008" s="22" t="s">
        <v>212</v>
      </c>
      <c r="K7008" s="22" t="s">
        <v>241</v>
      </c>
      <c r="L7008" s="22">
        <v>1170000</v>
      </c>
      <c r="M7008" s="22" t="s">
        <v>242</v>
      </c>
      <c r="N7008" s="22" t="s">
        <v>693</v>
      </c>
    </row>
    <row r="7009" spans="1:16" hidden="1" x14ac:dyDescent="0.25">
      <c r="A7009" s="21">
        <v>46235</v>
      </c>
      <c r="B7009" s="22" t="s">
        <v>1192</v>
      </c>
      <c r="C7009" s="22">
        <v>56</v>
      </c>
      <c r="D7009" s="22" t="s">
        <v>291</v>
      </c>
      <c r="E7009" s="22" t="s">
        <v>292</v>
      </c>
      <c r="F7009" s="22" t="s">
        <v>1199</v>
      </c>
      <c r="G7009" s="22" t="s">
        <v>63</v>
      </c>
      <c r="H7009" s="22" t="s">
        <v>1204</v>
      </c>
      <c r="I7009" s="22"/>
      <c r="J7009" s="22" t="s">
        <v>212</v>
      </c>
      <c r="K7009" s="22" t="s">
        <v>241</v>
      </c>
      <c r="L7009" s="22">
        <v>1840000</v>
      </c>
      <c r="M7009" s="22" t="s">
        <v>242</v>
      </c>
      <c r="N7009" s="22" t="s">
        <v>1036</v>
      </c>
    </row>
    <row r="7010" spans="1:16" hidden="1" x14ac:dyDescent="0.25">
      <c r="A7010" s="21">
        <v>46235</v>
      </c>
      <c r="B7010" s="22" t="s">
        <v>1192</v>
      </c>
      <c r="C7010" s="22">
        <v>56</v>
      </c>
      <c r="D7010" s="22" t="s">
        <v>238</v>
      </c>
      <c r="E7010" s="22" t="s">
        <v>239</v>
      </c>
      <c r="F7010" s="22" t="s">
        <v>1206</v>
      </c>
      <c r="G7010" s="22" t="s">
        <v>63</v>
      </c>
      <c r="H7010" s="22" t="s">
        <v>1207</v>
      </c>
      <c r="I7010" s="22"/>
      <c r="J7010" s="22" t="s">
        <v>212</v>
      </c>
      <c r="K7010" s="22" t="s">
        <v>241</v>
      </c>
      <c r="L7010" s="22">
        <v>4290000</v>
      </c>
      <c r="M7010" s="22" t="s">
        <v>242</v>
      </c>
      <c r="N7010" s="22" t="s">
        <v>3126</v>
      </c>
    </row>
    <row r="7011" spans="1:16" hidden="1" x14ac:dyDescent="0.25">
      <c r="A7011" s="21">
        <v>46235</v>
      </c>
      <c r="B7011" s="22" t="s">
        <v>1192</v>
      </c>
      <c r="C7011" s="22">
        <v>57</v>
      </c>
      <c r="D7011" s="22" t="s">
        <v>291</v>
      </c>
      <c r="E7011" s="22" t="s">
        <v>292</v>
      </c>
      <c r="F7011" s="22" t="s">
        <v>240</v>
      </c>
      <c r="G7011" s="22" t="s">
        <v>82</v>
      </c>
      <c r="H7011" s="22" t="s">
        <v>184</v>
      </c>
      <c r="I7011" s="22"/>
      <c r="J7011" s="22" t="s">
        <v>212</v>
      </c>
      <c r="K7011" s="22" t="s">
        <v>250</v>
      </c>
      <c r="L7011" s="22">
        <v>24000000</v>
      </c>
      <c r="M7011" s="22" t="s">
        <v>242</v>
      </c>
      <c r="N7011" s="22" t="s">
        <v>4208</v>
      </c>
    </row>
    <row r="7012" spans="1:16" hidden="1" x14ac:dyDescent="0.25">
      <c r="A7012" s="21">
        <v>46235</v>
      </c>
      <c r="B7012" s="22" t="s">
        <v>1192</v>
      </c>
      <c r="C7012" s="22">
        <v>57</v>
      </c>
      <c r="D7012" s="22" t="s">
        <v>291</v>
      </c>
      <c r="E7012" s="22" t="s">
        <v>292</v>
      </c>
      <c r="F7012" s="22" t="s">
        <v>240</v>
      </c>
      <c r="G7012" s="22" t="s">
        <v>82</v>
      </c>
      <c r="H7012" s="22" t="s">
        <v>185</v>
      </c>
      <c r="I7012" s="22"/>
      <c r="J7012" s="22" t="s">
        <v>212</v>
      </c>
      <c r="K7012" s="22" t="s">
        <v>250</v>
      </c>
      <c r="L7012" s="22">
        <v>17670000</v>
      </c>
      <c r="M7012" s="22" t="s">
        <v>242</v>
      </c>
      <c r="N7012" s="22" t="s">
        <v>3065</v>
      </c>
    </row>
    <row r="7013" spans="1:16" hidden="1" x14ac:dyDescent="0.25">
      <c r="A7013" s="21">
        <v>46235</v>
      </c>
      <c r="B7013" s="22" t="s">
        <v>1192</v>
      </c>
      <c r="C7013" s="22">
        <v>57</v>
      </c>
      <c r="D7013" s="22" t="s">
        <v>238</v>
      </c>
      <c r="E7013" s="22" t="s">
        <v>239</v>
      </c>
      <c r="F7013" s="22" t="s">
        <v>1194</v>
      </c>
      <c r="G7013" s="22" t="s">
        <v>82</v>
      </c>
      <c r="H7013" s="22"/>
      <c r="I7013" s="22"/>
      <c r="J7013" s="22" t="s">
        <v>212</v>
      </c>
      <c r="K7013" s="22" t="s">
        <v>250</v>
      </c>
      <c r="L7013" s="22">
        <v>41670000</v>
      </c>
      <c r="M7013" s="22" t="s">
        <v>242</v>
      </c>
      <c r="N7013" s="22" t="s">
        <v>4251</v>
      </c>
    </row>
    <row r="7014" spans="1:16" hidden="1" x14ac:dyDescent="0.25">
      <c r="A7014" s="21">
        <v>46235</v>
      </c>
      <c r="B7014" s="22" t="s">
        <v>1192</v>
      </c>
      <c r="C7014" s="22">
        <v>58</v>
      </c>
      <c r="D7014" s="22" t="s">
        <v>238</v>
      </c>
      <c r="E7014" s="22" t="s">
        <v>239</v>
      </c>
      <c r="F7014" s="22" t="s">
        <v>1196</v>
      </c>
      <c r="G7014" s="22" t="s">
        <v>82</v>
      </c>
      <c r="H7014" s="22"/>
      <c r="I7014" s="22"/>
      <c r="J7014" s="22" t="s">
        <v>212</v>
      </c>
      <c r="K7014" s="22" t="s">
        <v>250</v>
      </c>
      <c r="L7014" s="22">
        <v>3200000000</v>
      </c>
      <c r="M7014" s="22" t="s">
        <v>245</v>
      </c>
      <c r="N7014" s="22" t="s">
        <v>1483</v>
      </c>
    </row>
    <row r="7015" spans="1:16" hidden="1" x14ac:dyDescent="0.25">
      <c r="A7015" s="21">
        <v>46235</v>
      </c>
      <c r="B7015" s="22" t="s">
        <v>1192</v>
      </c>
      <c r="C7015" s="22">
        <v>58</v>
      </c>
      <c r="D7015" s="22" t="s">
        <v>291</v>
      </c>
      <c r="E7015" s="22" t="s">
        <v>292</v>
      </c>
      <c r="F7015" s="22" t="s">
        <v>244</v>
      </c>
      <c r="G7015" s="22" t="s">
        <v>82</v>
      </c>
      <c r="H7015" s="22" t="s">
        <v>184</v>
      </c>
      <c r="I7015" s="22"/>
      <c r="J7015" s="22" t="s">
        <v>212</v>
      </c>
      <c r="K7015" s="22" t="s">
        <v>250</v>
      </c>
      <c r="L7015" s="22">
        <v>2430000000</v>
      </c>
      <c r="M7015" s="22" t="s">
        <v>245</v>
      </c>
      <c r="N7015" s="22" t="s">
        <v>4252</v>
      </c>
    </row>
    <row r="7016" spans="1:16" hidden="1" x14ac:dyDescent="0.25">
      <c r="A7016" s="21">
        <v>46235</v>
      </c>
      <c r="B7016" s="22" t="s">
        <v>1192</v>
      </c>
      <c r="C7016" s="22">
        <v>58</v>
      </c>
      <c r="D7016" s="22" t="s">
        <v>291</v>
      </c>
      <c r="E7016" s="22" t="s">
        <v>292</v>
      </c>
      <c r="F7016" s="22" t="s">
        <v>244</v>
      </c>
      <c r="G7016" s="22" t="s">
        <v>82</v>
      </c>
      <c r="H7016" s="22" t="s">
        <v>185</v>
      </c>
      <c r="I7016" s="22"/>
      <c r="J7016" s="22" t="s">
        <v>212</v>
      </c>
      <c r="K7016" s="22" t="s">
        <v>250</v>
      </c>
      <c r="L7016" s="22">
        <v>770000000</v>
      </c>
      <c r="M7016" s="22" t="s">
        <v>245</v>
      </c>
      <c r="N7016" s="22" t="s">
        <v>4253</v>
      </c>
    </row>
    <row r="7017" spans="1:16" hidden="1" x14ac:dyDescent="0.25">
      <c r="A7017" s="21">
        <v>46235</v>
      </c>
      <c r="B7017" s="22" t="s">
        <v>1192</v>
      </c>
      <c r="C7017" s="22">
        <v>59</v>
      </c>
      <c r="D7017" s="22" t="s">
        <v>291</v>
      </c>
      <c r="E7017" s="22" t="s">
        <v>292</v>
      </c>
      <c r="F7017" s="22" t="s">
        <v>1210</v>
      </c>
      <c r="G7017" s="22" t="s">
        <v>82</v>
      </c>
      <c r="H7017" s="22" t="s">
        <v>184</v>
      </c>
      <c r="I7017" s="22"/>
      <c r="J7017" s="22" t="s">
        <v>212</v>
      </c>
      <c r="K7017" s="22" t="s">
        <v>250</v>
      </c>
      <c r="L7017" s="22">
        <v>101.2</v>
      </c>
      <c r="M7017" s="22" t="s">
        <v>245</v>
      </c>
      <c r="N7017" s="22" t="s">
        <v>4254</v>
      </c>
    </row>
    <row r="7018" spans="1:16" hidden="1" x14ac:dyDescent="0.25">
      <c r="A7018" s="21">
        <v>46235</v>
      </c>
      <c r="B7018" s="22" t="s">
        <v>1192</v>
      </c>
      <c r="C7018" s="22">
        <v>59</v>
      </c>
      <c r="D7018" s="22" t="s">
        <v>291</v>
      </c>
      <c r="E7018" s="22" t="s">
        <v>292</v>
      </c>
      <c r="F7018" s="22" t="s">
        <v>1210</v>
      </c>
      <c r="G7018" s="22" t="s">
        <v>82</v>
      </c>
      <c r="H7018" s="22" t="s">
        <v>185</v>
      </c>
      <c r="I7018" s="22"/>
      <c r="J7018" s="22" t="s">
        <v>212</v>
      </c>
      <c r="K7018" s="22" t="s">
        <v>250</v>
      </c>
      <c r="L7018" s="22">
        <v>43.6</v>
      </c>
      <c r="M7018" s="22" t="s">
        <v>245</v>
      </c>
      <c r="N7018" s="22" t="s">
        <v>4255</v>
      </c>
    </row>
    <row r="7019" spans="1:16" hidden="1" x14ac:dyDescent="0.25">
      <c r="A7019" s="21">
        <v>46235</v>
      </c>
      <c r="B7019" s="22" t="s">
        <v>1192</v>
      </c>
      <c r="C7019" s="22">
        <v>59</v>
      </c>
      <c r="D7019" s="22" t="s">
        <v>238</v>
      </c>
      <c r="E7019" s="22" t="s">
        <v>239</v>
      </c>
      <c r="F7019" s="22" t="s">
        <v>1213</v>
      </c>
      <c r="G7019" s="22" t="s">
        <v>82</v>
      </c>
      <c r="H7019" s="22" t="s">
        <v>1214</v>
      </c>
      <c r="I7019" s="22"/>
      <c r="J7019" s="22" t="s">
        <v>212</v>
      </c>
      <c r="K7019" s="22" t="s">
        <v>250</v>
      </c>
      <c r="L7019" s="22">
        <v>76.7</v>
      </c>
      <c r="M7019" s="22" t="s">
        <v>245</v>
      </c>
      <c r="N7019" s="22" t="s">
        <v>4256</v>
      </c>
    </row>
    <row r="7020" spans="1:16" hidden="1" x14ac:dyDescent="0.25">
      <c r="A7020" s="21">
        <v>46235</v>
      </c>
      <c r="B7020" s="22" t="s">
        <v>162</v>
      </c>
      <c r="C7020" s="22">
        <v>42</v>
      </c>
      <c r="D7020" s="22" t="s">
        <v>238</v>
      </c>
      <c r="E7020" s="22" t="s">
        <v>239</v>
      </c>
      <c r="F7020" s="22" t="s">
        <v>240</v>
      </c>
      <c r="G7020" s="22" t="s">
        <v>82</v>
      </c>
      <c r="H7020" s="22"/>
      <c r="I7020" s="22"/>
      <c r="J7020" s="22" t="s">
        <v>212</v>
      </c>
      <c r="K7020" s="22" t="s">
        <v>241</v>
      </c>
      <c r="L7020" s="22">
        <v>275190000</v>
      </c>
      <c r="M7020" s="22" t="s">
        <v>242</v>
      </c>
      <c r="N7020" s="22" t="s">
        <v>4248</v>
      </c>
    </row>
    <row r="7021" spans="1:16" hidden="1" x14ac:dyDescent="0.25">
      <c r="A7021" s="21">
        <v>46235</v>
      </c>
      <c r="B7021" s="22" t="s">
        <v>162</v>
      </c>
      <c r="C7021" s="22">
        <v>42</v>
      </c>
      <c r="D7021" s="22" t="s">
        <v>238</v>
      </c>
      <c r="E7021" s="22" t="s">
        <v>239</v>
      </c>
      <c r="F7021" s="22" t="s">
        <v>244</v>
      </c>
      <c r="G7021" s="22" t="s">
        <v>82</v>
      </c>
      <c r="H7021" s="22"/>
      <c r="I7021" s="22"/>
      <c r="J7021" s="22" t="s">
        <v>212</v>
      </c>
      <c r="K7021" s="22" t="s">
        <v>241</v>
      </c>
      <c r="L7021" s="22">
        <v>21930000000</v>
      </c>
      <c r="M7021" s="22" t="s">
        <v>245</v>
      </c>
      <c r="N7021" s="22" t="s">
        <v>4249</v>
      </c>
    </row>
    <row r="7022" spans="1:16" hidden="1" x14ac:dyDescent="0.25">
      <c r="A7022" s="21">
        <v>46235</v>
      </c>
      <c r="B7022" s="22" t="s">
        <v>162</v>
      </c>
      <c r="C7022" s="22">
        <v>43</v>
      </c>
      <c r="D7022" s="22" t="s">
        <v>253</v>
      </c>
      <c r="E7022" s="22" t="s">
        <v>248</v>
      </c>
      <c r="F7022" s="22" t="s">
        <v>240</v>
      </c>
      <c r="G7022" s="22" t="s">
        <v>82</v>
      </c>
      <c r="H7022" s="22"/>
      <c r="I7022" s="22"/>
      <c r="J7022" s="22" t="s">
        <v>210</v>
      </c>
      <c r="K7022" s="22" t="s">
        <v>255</v>
      </c>
      <c r="L7022" s="22">
        <v>35750000</v>
      </c>
      <c r="M7022" s="22" t="s">
        <v>242</v>
      </c>
      <c r="N7022" s="22" t="s">
        <v>3990</v>
      </c>
      <c r="O7022">
        <v>1</v>
      </c>
      <c r="P7022" t="s">
        <v>257</v>
      </c>
    </row>
    <row r="7023" spans="1:16" hidden="1" x14ac:dyDescent="0.25">
      <c r="A7023" s="21">
        <v>46235</v>
      </c>
      <c r="B7023" s="22" t="s">
        <v>162</v>
      </c>
      <c r="C7023" s="22">
        <v>43</v>
      </c>
      <c r="D7023" s="22" t="s">
        <v>253</v>
      </c>
      <c r="E7023" s="22" t="s">
        <v>248</v>
      </c>
      <c r="F7023" s="22" t="s">
        <v>240</v>
      </c>
      <c r="G7023" s="22" t="s">
        <v>82</v>
      </c>
      <c r="H7023" s="22"/>
      <c r="I7023" s="22"/>
      <c r="J7023" s="22" t="s">
        <v>211</v>
      </c>
      <c r="K7023" s="22" t="s">
        <v>255</v>
      </c>
      <c r="L7023" s="22">
        <v>40010000</v>
      </c>
      <c r="M7023" s="22" t="s">
        <v>242</v>
      </c>
      <c r="N7023" s="22" t="s">
        <v>4124</v>
      </c>
      <c r="O7023">
        <v>1</v>
      </c>
      <c r="P7023" t="s">
        <v>257</v>
      </c>
    </row>
    <row r="7024" spans="1:16" hidden="1" x14ac:dyDescent="0.25">
      <c r="A7024" s="21">
        <v>46235</v>
      </c>
      <c r="B7024" s="22" t="s">
        <v>162</v>
      </c>
      <c r="C7024" s="22">
        <v>43</v>
      </c>
      <c r="D7024" s="22" t="s">
        <v>253</v>
      </c>
      <c r="E7024" s="22" t="s">
        <v>248</v>
      </c>
      <c r="F7024" s="22" t="s">
        <v>240</v>
      </c>
      <c r="G7024" s="22" t="s">
        <v>82</v>
      </c>
      <c r="H7024" s="22"/>
      <c r="I7024" s="22"/>
      <c r="J7024" s="22" t="s">
        <v>212</v>
      </c>
      <c r="K7024" s="22" t="s">
        <v>255</v>
      </c>
      <c r="L7024" s="22">
        <v>41670000</v>
      </c>
      <c r="M7024" s="22" t="s">
        <v>242</v>
      </c>
      <c r="N7024" s="22" t="s">
        <v>4257</v>
      </c>
      <c r="O7024">
        <v>1</v>
      </c>
      <c r="P7024" t="s">
        <v>261</v>
      </c>
    </row>
    <row r="7025" spans="1:16" hidden="1" x14ac:dyDescent="0.25">
      <c r="A7025" s="21">
        <v>46235</v>
      </c>
      <c r="B7025" s="22" t="s">
        <v>162</v>
      </c>
      <c r="C7025" s="22">
        <v>43</v>
      </c>
      <c r="D7025" s="22" t="s">
        <v>247</v>
      </c>
      <c r="E7025" s="22" t="s">
        <v>248</v>
      </c>
      <c r="F7025" s="22" t="s">
        <v>240</v>
      </c>
      <c r="G7025" s="22" t="s">
        <v>82</v>
      </c>
      <c r="H7025" s="22" t="s">
        <v>286</v>
      </c>
      <c r="I7025" s="22"/>
      <c r="J7025" s="22" t="s">
        <v>212</v>
      </c>
      <c r="K7025" s="22" t="s">
        <v>250</v>
      </c>
      <c r="L7025" s="22">
        <v>4.0999999999999996</v>
      </c>
      <c r="M7025" s="22" t="s">
        <v>251</v>
      </c>
      <c r="N7025" s="22" t="s">
        <v>1789</v>
      </c>
    </row>
    <row r="7026" spans="1:16" hidden="1" x14ac:dyDescent="0.25">
      <c r="A7026" s="21">
        <v>46235</v>
      </c>
      <c r="B7026" s="22" t="s">
        <v>162</v>
      </c>
      <c r="C7026" s="22">
        <v>44</v>
      </c>
      <c r="D7026" s="22" t="s">
        <v>291</v>
      </c>
      <c r="E7026" s="22" t="s">
        <v>292</v>
      </c>
      <c r="F7026" s="22" t="s">
        <v>240</v>
      </c>
      <c r="G7026" s="22" t="s">
        <v>82</v>
      </c>
      <c r="H7026" s="22" t="s">
        <v>170</v>
      </c>
      <c r="I7026" s="22"/>
      <c r="J7026" s="22" t="s">
        <v>212</v>
      </c>
      <c r="K7026" s="22" t="s">
        <v>250</v>
      </c>
      <c r="L7026" s="22">
        <v>23850</v>
      </c>
      <c r="M7026" s="22" t="s">
        <v>242</v>
      </c>
      <c r="N7026" s="22" t="s">
        <v>4258</v>
      </c>
    </row>
    <row r="7027" spans="1:16" hidden="1" x14ac:dyDescent="0.25">
      <c r="A7027" s="21">
        <v>46235</v>
      </c>
      <c r="B7027" s="22" t="s">
        <v>162</v>
      </c>
      <c r="C7027" s="22">
        <v>44</v>
      </c>
      <c r="D7027" s="22" t="s">
        <v>291</v>
      </c>
      <c r="E7027" s="22" t="s">
        <v>292</v>
      </c>
      <c r="F7027" s="22" t="s">
        <v>240</v>
      </c>
      <c r="G7027" s="22" t="s">
        <v>82</v>
      </c>
      <c r="H7027" s="22" t="s">
        <v>164</v>
      </c>
      <c r="I7027" s="22"/>
      <c r="J7027" s="22" t="s">
        <v>212</v>
      </c>
      <c r="K7027" s="22" t="s">
        <v>250</v>
      </c>
      <c r="L7027" s="22">
        <v>15810000</v>
      </c>
      <c r="M7027" s="22" t="s">
        <v>242</v>
      </c>
      <c r="N7027" s="22" t="s">
        <v>4259</v>
      </c>
    </row>
    <row r="7028" spans="1:16" hidden="1" x14ac:dyDescent="0.25">
      <c r="A7028" s="21">
        <v>46235</v>
      </c>
      <c r="B7028" s="22" t="s">
        <v>162</v>
      </c>
      <c r="C7028" s="22">
        <v>44</v>
      </c>
      <c r="D7028" s="22" t="s">
        <v>291</v>
      </c>
      <c r="E7028" s="22" t="s">
        <v>292</v>
      </c>
      <c r="F7028" s="22" t="s">
        <v>240</v>
      </c>
      <c r="G7028" s="22" t="s">
        <v>82</v>
      </c>
      <c r="H7028" s="22" t="s">
        <v>165</v>
      </c>
      <c r="I7028" s="22"/>
      <c r="J7028" s="22" t="s">
        <v>212</v>
      </c>
      <c r="K7028" s="22" t="s">
        <v>250</v>
      </c>
      <c r="L7028" s="22">
        <v>8160000</v>
      </c>
      <c r="M7028" s="22" t="s">
        <v>242</v>
      </c>
      <c r="N7028" s="22" t="s">
        <v>4260</v>
      </c>
    </row>
    <row r="7029" spans="1:16" hidden="1" x14ac:dyDescent="0.25">
      <c r="A7029" s="21">
        <v>46235</v>
      </c>
      <c r="B7029" s="22" t="s">
        <v>162</v>
      </c>
      <c r="C7029" s="22">
        <v>44</v>
      </c>
      <c r="D7029" s="22" t="s">
        <v>291</v>
      </c>
      <c r="E7029" s="22" t="s">
        <v>292</v>
      </c>
      <c r="F7029" s="22" t="s">
        <v>240</v>
      </c>
      <c r="G7029" s="22" t="s">
        <v>82</v>
      </c>
      <c r="H7029" s="22" t="s">
        <v>171</v>
      </c>
      <c r="I7029" s="22"/>
      <c r="J7029" s="22" t="s">
        <v>212</v>
      </c>
      <c r="K7029" s="22" t="s">
        <v>250</v>
      </c>
      <c r="L7029" s="22">
        <v>302810</v>
      </c>
      <c r="M7029" s="22" t="s">
        <v>242</v>
      </c>
      <c r="N7029" s="22" t="s">
        <v>4261</v>
      </c>
    </row>
    <row r="7030" spans="1:16" hidden="1" x14ac:dyDescent="0.25">
      <c r="A7030" s="21">
        <v>46235</v>
      </c>
      <c r="B7030" s="22" t="s">
        <v>162</v>
      </c>
      <c r="C7030" s="22">
        <v>44</v>
      </c>
      <c r="D7030" s="22" t="s">
        <v>291</v>
      </c>
      <c r="E7030" s="22" t="s">
        <v>292</v>
      </c>
      <c r="F7030" s="22" t="s">
        <v>240</v>
      </c>
      <c r="G7030" s="22" t="s">
        <v>82</v>
      </c>
      <c r="H7030" s="22" t="s">
        <v>166</v>
      </c>
      <c r="I7030" s="22"/>
      <c r="J7030" s="22" t="s">
        <v>212</v>
      </c>
      <c r="K7030" s="22" t="s">
        <v>250</v>
      </c>
      <c r="L7030" s="22">
        <v>5090000</v>
      </c>
      <c r="M7030" s="22" t="s">
        <v>242</v>
      </c>
      <c r="N7030" s="22" t="s">
        <v>883</v>
      </c>
    </row>
    <row r="7031" spans="1:16" hidden="1" x14ac:dyDescent="0.25">
      <c r="A7031" s="21">
        <v>46235</v>
      </c>
      <c r="B7031" s="22" t="s">
        <v>162</v>
      </c>
      <c r="C7031" s="22">
        <v>44</v>
      </c>
      <c r="D7031" s="22" t="s">
        <v>291</v>
      </c>
      <c r="E7031" s="22" t="s">
        <v>292</v>
      </c>
      <c r="F7031" s="22" t="s">
        <v>240</v>
      </c>
      <c r="G7031" s="22" t="s">
        <v>82</v>
      </c>
      <c r="H7031" s="22" t="s">
        <v>167</v>
      </c>
      <c r="I7031" s="22"/>
      <c r="J7031" s="22" t="s">
        <v>212</v>
      </c>
      <c r="K7031" s="22" t="s">
        <v>250</v>
      </c>
      <c r="L7031" s="22">
        <v>12270000</v>
      </c>
      <c r="M7031" s="22" t="s">
        <v>242</v>
      </c>
      <c r="N7031" s="22" t="s">
        <v>4262</v>
      </c>
    </row>
    <row r="7032" spans="1:16" hidden="1" x14ac:dyDescent="0.25">
      <c r="A7032" s="21">
        <v>46235</v>
      </c>
      <c r="B7032" s="22" t="s">
        <v>162</v>
      </c>
      <c r="C7032" s="22">
        <v>45</v>
      </c>
      <c r="D7032" s="22" t="s">
        <v>253</v>
      </c>
      <c r="E7032" s="22" t="s">
        <v>248</v>
      </c>
      <c r="F7032" s="22" t="s">
        <v>428</v>
      </c>
      <c r="G7032" s="22" t="s">
        <v>82</v>
      </c>
      <c r="H7032" s="22"/>
      <c r="I7032" s="22"/>
      <c r="J7032" s="22" t="s">
        <v>210</v>
      </c>
      <c r="K7032" s="22" t="s">
        <v>255</v>
      </c>
      <c r="L7032" s="22">
        <v>29000000</v>
      </c>
      <c r="M7032" s="22" t="s">
        <v>242</v>
      </c>
      <c r="N7032" s="22" t="s">
        <v>4263</v>
      </c>
      <c r="O7032">
        <v>1</v>
      </c>
      <c r="P7032" t="s">
        <v>257</v>
      </c>
    </row>
    <row r="7033" spans="1:16" hidden="1" x14ac:dyDescent="0.25">
      <c r="A7033" s="21">
        <v>46235</v>
      </c>
      <c r="B7033" s="22" t="s">
        <v>162</v>
      </c>
      <c r="C7033" s="22">
        <v>45</v>
      </c>
      <c r="D7033" s="22" t="s">
        <v>253</v>
      </c>
      <c r="E7033" s="22" t="s">
        <v>248</v>
      </c>
      <c r="F7033" s="22" t="s">
        <v>428</v>
      </c>
      <c r="G7033" s="22" t="s">
        <v>82</v>
      </c>
      <c r="H7033" s="22"/>
      <c r="I7033" s="22"/>
      <c r="J7033" s="22" t="s">
        <v>211</v>
      </c>
      <c r="K7033" s="22" t="s">
        <v>255</v>
      </c>
      <c r="L7033" s="22">
        <v>32220000</v>
      </c>
      <c r="M7033" s="22" t="s">
        <v>242</v>
      </c>
      <c r="N7033" s="22" t="s">
        <v>4125</v>
      </c>
      <c r="O7033">
        <v>1</v>
      </c>
      <c r="P7033" t="s">
        <v>257</v>
      </c>
    </row>
    <row r="7034" spans="1:16" hidden="1" x14ac:dyDescent="0.25">
      <c r="A7034" s="21">
        <v>46235</v>
      </c>
      <c r="B7034" s="22" t="s">
        <v>162</v>
      </c>
      <c r="C7034" s="22">
        <v>45</v>
      </c>
      <c r="D7034" s="22" t="s">
        <v>253</v>
      </c>
      <c r="E7034" s="22" t="s">
        <v>248</v>
      </c>
      <c r="F7034" s="22" t="s">
        <v>428</v>
      </c>
      <c r="G7034" s="22" t="s">
        <v>82</v>
      </c>
      <c r="H7034" s="22"/>
      <c r="I7034" s="22"/>
      <c r="J7034" s="22" t="s">
        <v>212</v>
      </c>
      <c r="K7034" s="22" t="s">
        <v>255</v>
      </c>
      <c r="L7034" s="22">
        <v>33410000</v>
      </c>
      <c r="M7034" s="22" t="s">
        <v>242</v>
      </c>
      <c r="N7034" s="22" t="s">
        <v>4264</v>
      </c>
      <c r="O7034">
        <v>1</v>
      </c>
      <c r="P7034" t="s">
        <v>261</v>
      </c>
    </row>
    <row r="7035" spans="1:16" hidden="1" x14ac:dyDescent="0.25">
      <c r="A7035" s="21">
        <v>46235</v>
      </c>
      <c r="B7035" s="22" t="s">
        <v>162</v>
      </c>
      <c r="C7035" s="22">
        <v>45</v>
      </c>
      <c r="D7035" s="22" t="s">
        <v>247</v>
      </c>
      <c r="E7035" s="22" t="s">
        <v>248</v>
      </c>
      <c r="F7035" s="22" t="s">
        <v>428</v>
      </c>
      <c r="G7035" s="22" t="s">
        <v>82</v>
      </c>
      <c r="H7035" s="22" t="s">
        <v>286</v>
      </c>
      <c r="I7035" s="22"/>
      <c r="J7035" s="22" t="s">
        <v>212</v>
      </c>
      <c r="K7035" s="22" t="s">
        <v>250</v>
      </c>
      <c r="L7035" s="22">
        <v>3.7</v>
      </c>
      <c r="M7035" s="22" t="s">
        <v>251</v>
      </c>
      <c r="N7035" s="22" t="s">
        <v>592</v>
      </c>
    </row>
    <row r="7036" spans="1:16" hidden="1" x14ac:dyDescent="0.25">
      <c r="A7036" s="21">
        <v>46235</v>
      </c>
      <c r="B7036" s="22" t="s">
        <v>162</v>
      </c>
      <c r="C7036" s="22">
        <v>46</v>
      </c>
      <c r="D7036" s="22" t="s">
        <v>291</v>
      </c>
      <c r="E7036" s="22" t="s">
        <v>292</v>
      </c>
      <c r="F7036" s="22" t="s">
        <v>428</v>
      </c>
      <c r="G7036" s="22" t="s">
        <v>82</v>
      </c>
      <c r="H7036" s="22" t="s">
        <v>94</v>
      </c>
      <c r="I7036" s="22"/>
      <c r="J7036" s="22" t="s">
        <v>212</v>
      </c>
      <c r="K7036" s="22" t="s">
        <v>250</v>
      </c>
      <c r="L7036" s="22">
        <v>23200000</v>
      </c>
      <c r="M7036" s="22" t="s">
        <v>242</v>
      </c>
      <c r="N7036" s="22" t="s">
        <v>4265</v>
      </c>
    </row>
    <row r="7037" spans="1:16" hidden="1" x14ac:dyDescent="0.25">
      <c r="A7037" s="21">
        <v>46235</v>
      </c>
      <c r="B7037" s="22" t="s">
        <v>162</v>
      </c>
      <c r="C7037" s="22">
        <v>46</v>
      </c>
      <c r="D7037" s="22" t="s">
        <v>291</v>
      </c>
      <c r="E7037" s="22" t="s">
        <v>292</v>
      </c>
      <c r="F7037" s="22" t="s">
        <v>428</v>
      </c>
      <c r="G7037" s="22" t="s">
        <v>82</v>
      </c>
      <c r="H7037" s="22" t="s">
        <v>95</v>
      </c>
      <c r="I7037" s="22"/>
      <c r="J7037" s="22" t="s">
        <v>212</v>
      </c>
      <c r="K7037" s="22" t="s">
        <v>250</v>
      </c>
      <c r="L7037" s="22">
        <v>10200000</v>
      </c>
      <c r="M7037" s="22" t="s">
        <v>242</v>
      </c>
      <c r="N7037" s="22" t="s">
        <v>4266</v>
      </c>
    </row>
    <row r="7038" spans="1:16" hidden="1" x14ac:dyDescent="0.25">
      <c r="A7038" s="21">
        <v>46235</v>
      </c>
      <c r="B7038" s="22" t="s">
        <v>162</v>
      </c>
      <c r="C7038" s="22">
        <v>47</v>
      </c>
      <c r="D7038" s="22" t="s">
        <v>291</v>
      </c>
      <c r="E7038" s="22" t="s">
        <v>292</v>
      </c>
      <c r="F7038" s="22" t="s">
        <v>428</v>
      </c>
      <c r="G7038" s="22" t="s">
        <v>82</v>
      </c>
      <c r="H7038" s="22" t="s">
        <v>173</v>
      </c>
      <c r="I7038" s="22"/>
      <c r="J7038" s="22" t="s">
        <v>212</v>
      </c>
      <c r="K7038" s="22" t="s">
        <v>250</v>
      </c>
      <c r="L7038" s="22">
        <v>6240000</v>
      </c>
      <c r="M7038" s="22" t="s">
        <v>242</v>
      </c>
      <c r="N7038" s="22" t="s">
        <v>4267</v>
      </c>
    </row>
    <row r="7039" spans="1:16" hidden="1" x14ac:dyDescent="0.25">
      <c r="A7039" s="21">
        <v>46235</v>
      </c>
      <c r="B7039" s="22" t="s">
        <v>162</v>
      </c>
      <c r="C7039" s="22">
        <v>47</v>
      </c>
      <c r="D7039" s="22" t="s">
        <v>291</v>
      </c>
      <c r="E7039" s="22" t="s">
        <v>292</v>
      </c>
      <c r="F7039" s="22" t="s">
        <v>428</v>
      </c>
      <c r="G7039" s="22" t="s">
        <v>82</v>
      </c>
      <c r="H7039" s="22" t="s">
        <v>174</v>
      </c>
      <c r="I7039" s="22"/>
      <c r="J7039" s="22" t="s">
        <v>212</v>
      </c>
      <c r="K7039" s="22" t="s">
        <v>250</v>
      </c>
      <c r="L7039" s="22">
        <v>4220000</v>
      </c>
      <c r="M7039" s="22" t="s">
        <v>242</v>
      </c>
      <c r="N7039" s="22" t="s">
        <v>4268</v>
      </c>
    </row>
    <row r="7040" spans="1:16" hidden="1" x14ac:dyDescent="0.25">
      <c r="A7040" s="21">
        <v>46235</v>
      </c>
      <c r="B7040" s="22" t="s">
        <v>162</v>
      </c>
      <c r="C7040" s="22">
        <v>48</v>
      </c>
      <c r="D7040" s="22" t="s">
        <v>253</v>
      </c>
      <c r="E7040" s="22" t="s">
        <v>248</v>
      </c>
      <c r="F7040" s="22" t="s">
        <v>244</v>
      </c>
      <c r="G7040" s="22" t="s">
        <v>82</v>
      </c>
      <c r="H7040" s="22"/>
      <c r="I7040" s="22"/>
      <c r="J7040" s="22" t="s">
        <v>210</v>
      </c>
      <c r="K7040" s="22" t="s">
        <v>255</v>
      </c>
      <c r="L7040" s="22">
        <v>2820000000</v>
      </c>
      <c r="M7040" s="22" t="s">
        <v>245</v>
      </c>
      <c r="N7040" s="22" t="s">
        <v>4002</v>
      </c>
      <c r="O7040">
        <v>1</v>
      </c>
      <c r="P7040" t="s">
        <v>257</v>
      </c>
    </row>
    <row r="7041" spans="1:16" hidden="1" x14ac:dyDescent="0.25">
      <c r="A7041" s="21">
        <v>46235</v>
      </c>
      <c r="B7041" s="22" t="s">
        <v>162</v>
      </c>
      <c r="C7041" s="22">
        <v>48</v>
      </c>
      <c r="D7041" s="22" t="s">
        <v>253</v>
      </c>
      <c r="E7041" s="22" t="s">
        <v>248</v>
      </c>
      <c r="F7041" s="22" t="s">
        <v>244</v>
      </c>
      <c r="G7041" s="22" t="s">
        <v>82</v>
      </c>
      <c r="H7041" s="22"/>
      <c r="I7041" s="22"/>
      <c r="J7041" s="22" t="s">
        <v>211</v>
      </c>
      <c r="K7041" s="22" t="s">
        <v>255</v>
      </c>
      <c r="L7041" s="22">
        <v>3090000000</v>
      </c>
      <c r="M7041" s="22" t="s">
        <v>245</v>
      </c>
      <c r="N7041" s="22" t="s">
        <v>4130</v>
      </c>
      <c r="O7041">
        <v>1</v>
      </c>
      <c r="P7041" t="s">
        <v>257</v>
      </c>
    </row>
    <row r="7042" spans="1:16" hidden="1" x14ac:dyDescent="0.25">
      <c r="A7042" s="21">
        <v>46235</v>
      </c>
      <c r="B7042" s="22" t="s">
        <v>162</v>
      </c>
      <c r="C7042" s="22">
        <v>48</v>
      </c>
      <c r="D7042" s="22" t="s">
        <v>253</v>
      </c>
      <c r="E7042" s="22" t="s">
        <v>248</v>
      </c>
      <c r="F7042" s="22" t="s">
        <v>244</v>
      </c>
      <c r="G7042" s="22" t="s">
        <v>82</v>
      </c>
      <c r="H7042" s="22"/>
      <c r="I7042" s="22"/>
      <c r="J7042" s="22" t="s">
        <v>212</v>
      </c>
      <c r="K7042" s="22" t="s">
        <v>255</v>
      </c>
      <c r="L7042" s="22">
        <v>3200000000</v>
      </c>
      <c r="M7042" s="22" t="s">
        <v>245</v>
      </c>
      <c r="N7042" s="22" t="s">
        <v>4269</v>
      </c>
      <c r="O7042">
        <v>1</v>
      </c>
      <c r="P7042" t="s">
        <v>261</v>
      </c>
    </row>
    <row r="7043" spans="1:16" hidden="1" x14ac:dyDescent="0.25">
      <c r="A7043" s="21">
        <v>46235</v>
      </c>
      <c r="B7043" s="22" t="s">
        <v>162</v>
      </c>
      <c r="C7043" s="22">
        <v>48</v>
      </c>
      <c r="D7043" s="22" t="s">
        <v>247</v>
      </c>
      <c r="E7043" s="22" t="s">
        <v>248</v>
      </c>
      <c r="F7043" s="22" t="s">
        <v>244</v>
      </c>
      <c r="G7043" s="22" t="s">
        <v>82</v>
      </c>
      <c r="H7043" s="22" t="s">
        <v>286</v>
      </c>
      <c r="I7043" s="22"/>
      <c r="J7043" s="22" t="s">
        <v>212</v>
      </c>
      <c r="K7043" s="22" t="s">
        <v>250</v>
      </c>
      <c r="L7043" s="22">
        <v>3.6</v>
      </c>
      <c r="M7043" s="22" t="s">
        <v>251</v>
      </c>
      <c r="N7043" s="22" t="s">
        <v>783</v>
      </c>
    </row>
    <row r="7044" spans="1:16" hidden="1" x14ac:dyDescent="0.25">
      <c r="A7044" s="21">
        <v>46235</v>
      </c>
      <c r="B7044" s="22" t="s">
        <v>162</v>
      </c>
      <c r="C7044" s="22">
        <v>49</v>
      </c>
      <c r="D7044" s="22" t="s">
        <v>291</v>
      </c>
      <c r="E7044" s="22" t="s">
        <v>292</v>
      </c>
      <c r="F7044" s="22" t="s">
        <v>244</v>
      </c>
      <c r="G7044" s="22" t="s">
        <v>82</v>
      </c>
      <c r="H7044" s="22" t="s">
        <v>170</v>
      </c>
      <c r="I7044" s="22"/>
      <c r="J7044" s="22" t="s">
        <v>212</v>
      </c>
      <c r="K7044" s="22" t="s">
        <v>250</v>
      </c>
      <c r="L7044" s="22">
        <v>291140</v>
      </c>
      <c r="M7044" s="22" t="s">
        <v>245</v>
      </c>
      <c r="N7044" s="22" t="s">
        <v>4270</v>
      </c>
    </row>
    <row r="7045" spans="1:16" hidden="1" x14ac:dyDescent="0.25">
      <c r="A7045" s="21">
        <v>46235</v>
      </c>
      <c r="B7045" s="22" t="s">
        <v>162</v>
      </c>
      <c r="C7045" s="22">
        <v>49</v>
      </c>
      <c r="D7045" s="22" t="s">
        <v>291</v>
      </c>
      <c r="E7045" s="22" t="s">
        <v>292</v>
      </c>
      <c r="F7045" s="22" t="s">
        <v>244</v>
      </c>
      <c r="G7045" s="22" t="s">
        <v>82</v>
      </c>
      <c r="H7045" s="22" t="s">
        <v>164</v>
      </c>
      <c r="I7045" s="22"/>
      <c r="J7045" s="22" t="s">
        <v>212</v>
      </c>
      <c r="K7045" s="22" t="s">
        <v>250</v>
      </c>
      <c r="L7045" s="22">
        <v>2050000000</v>
      </c>
      <c r="M7045" s="22" t="s">
        <v>245</v>
      </c>
      <c r="N7045" s="22" t="s">
        <v>4271</v>
      </c>
    </row>
    <row r="7046" spans="1:16" hidden="1" x14ac:dyDescent="0.25">
      <c r="A7046" s="21">
        <v>46235</v>
      </c>
      <c r="B7046" s="22" t="s">
        <v>162</v>
      </c>
      <c r="C7046" s="22">
        <v>49</v>
      </c>
      <c r="D7046" s="22" t="s">
        <v>291</v>
      </c>
      <c r="E7046" s="22" t="s">
        <v>292</v>
      </c>
      <c r="F7046" s="22" t="s">
        <v>244</v>
      </c>
      <c r="G7046" s="22" t="s">
        <v>82</v>
      </c>
      <c r="H7046" s="22" t="s">
        <v>165</v>
      </c>
      <c r="I7046" s="22"/>
      <c r="J7046" s="22" t="s">
        <v>212</v>
      </c>
      <c r="K7046" s="22" t="s">
        <v>250</v>
      </c>
      <c r="L7046" s="22">
        <v>378630000</v>
      </c>
      <c r="M7046" s="22" t="s">
        <v>245</v>
      </c>
      <c r="N7046" s="22" t="s">
        <v>4272</v>
      </c>
    </row>
    <row r="7047" spans="1:16" hidden="1" x14ac:dyDescent="0.25">
      <c r="A7047" s="21">
        <v>46235</v>
      </c>
      <c r="B7047" s="22" t="s">
        <v>162</v>
      </c>
      <c r="C7047" s="22">
        <v>49</v>
      </c>
      <c r="D7047" s="22" t="s">
        <v>291</v>
      </c>
      <c r="E7047" s="22" t="s">
        <v>292</v>
      </c>
      <c r="F7047" s="22" t="s">
        <v>244</v>
      </c>
      <c r="G7047" s="22" t="s">
        <v>82</v>
      </c>
      <c r="H7047" s="22" t="s">
        <v>171</v>
      </c>
      <c r="I7047" s="22"/>
      <c r="J7047" s="22" t="s">
        <v>212</v>
      </c>
      <c r="K7047" s="22" t="s">
        <v>250</v>
      </c>
      <c r="L7047" s="22">
        <v>2620000</v>
      </c>
      <c r="M7047" s="22" t="s">
        <v>245</v>
      </c>
      <c r="N7047" s="22" t="s">
        <v>1923</v>
      </c>
    </row>
    <row r="7048" spans="1:16" hidden="1" x14ac:dyDescent="0.25">
      <c r="A7048" s="21">
        <v>46235</v>
      </c>
      <c r="B7048" s="22" t="s">
        <v>162</v>
      </c>
      <c r="C7048" s="22">
        <v>49</v>
      </c>
      <c r="D7048" s="22" t="s">
        <v>291</v>
      </c>
      <c r="E7048" s="22" t="s">
        <v>292</v>
      </c>
      <c r="F7048" s="22" t="s">
        <v>244</v>
      </c>
      <c r="G7048" s="22" t="s">
        <v>82</v>
      </c>
      <c r="H7048" s="22" t="s">
        <v>166</v>
      </c>
      <c r="I7048" s="22"/>
      <c r="J7048" s="22" t="s">
        <v>212</v>
      </c>
      <c r="K7048" s="22" t="s">
        <v>250</v>
      </c>
      <c r="L7048" s="22">
        <v>396190000</v>
      </c>
      <c r="M7048" s="22" t="s">
        <v>245</v>
      </c>
      <c r="N7048" s="22" t="s">
        <v>4273</v>
      </c>
    </row>
    <row r="7049" spans="1:16" hidden="1" x14ac:dyDescent="0.25">
      <c r="A7049" s="21">
        <v>46235</v>
      </c>
      <c r="B7049" s="22" t="s">
        <v>162</v>
      </c>
      <c r="C7049" s="22">
        <v>49</v>
      </c>
      <c r="D7049" s="22" t="s">
        <v>291</v>
      </c>
      <c r="E7049" s="22" t="s">
        <v>292</v>
      </c>
      <c r="F7049" s="22" t="s">
        <v>244</v>
      </c>
      <c r="G7049" s="22" t="s">
        <v>82</v>
      </c>
      <c r="H7049" s="22" t="s">
        <v>167</v>
      </c>
      <c r="I7049" s="22"/>
      <c r="J7049" s="22" t="s">
        <v>212</v>
      </c>
      <c r="K7049" s="22" t="s">
        <v>250</v>
      </c>
      <c r="L7049" s="22">
        <v>371090000</v>
      </c>
      <c r="M7049" s="22" t="s">
        <v>245</v>
      </c>
      <c r="N7049" s="22" t="s">
        <v>4274</v>
      </c>
    </row>
    <row r="7050" spans="1:16" hidden="1" x14ac:dyDescent="0.25">
      <c r="A7050" s="21">
        <v>46235</v>
      </c>
      <c r="B7050" s="22" t="s">
        <v>162</v>
      </c>
      <c r="C7050" s="22">
        <v>50</v>
      </c>
      <c r="D7050" s="22" t="s">
        <v>253</v>
      </c>
      <c r="E7050" s="22" t="s">
        <v>248</v>
      </c>
      <c r="F7050" s="22" t="s">
        <v>445</v>
      </c>
      <c r="G7050" s="22" t="s">
        <v>82</v>
      </c>
      <c r="H7050" s="22"/>
      <c r="I7050" s="22"/>
      <c r="J7050" s="22" t="s">
        <v>210</v>
      </c>
      <c r="K7050" s="22" t="s">
        <v>255</v>
      </c>
      <c r="L7050" s="22">
        <v>2050000000</v>
      </c>
      <c r="M7050" s="22" t="s">
        <v>245</v>
      </c>
      <c r="N7050" s="22" t="s">
        <v>4008</v>
      </c>
      <c r="O7050">
        <v>1</v>
      </c>
      <c r="P7050" t="s">
        <v>257</v>
      </c>
    </row>
    <row r="7051" spans="1:16" hidden="1" x14ac:dyDescent="0.25">
      <c r="A7051" s="21">
        <v>46235</v>
      </c>
      <c r="B7051" s="22" t="s">
        <v>162</v>
      </c>
      <c r="C7051" s="22">
        <v>50</v>
      </c>
      <c r="D7051" s="22" t="s">
        <v>253</v>
      </c>
      <c r="E7051" s="22" t="s">
        <v>248</v>
      </c>
      <c r="F7051" s="22" t="s">
        <v>445</v>
      </c>
      <c r="G7051" s="22" t="s">
        <v>82</v>
      </c>
      <c r="H7051" s="22"/>
      <c r="I7051" s="22"/>
      <c r="J7051" s="22" t="s">
        <v>211</v>
      </c>
      <c r="K7051" s="22" t="s">
        <v>255</v>
      </c>
      <c r="L7051" s="22">
        <v>2240000000</v>
      </c>
      <c r="M7051" s="22" t="s">
        <v>245</v>
      </c>
      <c r="N7051" s="22" t="s">
        <v>4132</v>
      </c>
      <c r="O7051">
        <v>1</v>
      </c>
      <c r="P7051" t="s">
        <v>257</v>
      </c>
    </row>
    <row r="7052" spans="1:16" hidden="1" x14ac:dyDescent="0.25">
      <c r="A7052" s="21">
        <v>46235</v>
      </c>
      <c r="B7052" s="22" t="s">
        <v>162</v>
      </c>
      <c r="C7052" s="22">
        <v>50</v>
      </c>
      <c r="D7052" s="22" t="s">
        <v>253</v>
      </c>
      <c r="E7052" s="22" t="s">
        <v>248</v>
      </c>
      <c r="F7052" s="22" t="s">
        <v>445</v>
      </c>
      <c r="G7052" s="22" t="s">
        <v>82</v>
      </c>
      <c r="H7052" s="22"/>
      <c r="I7052" s="22"/>
      <c r="J7052" s="22" t="s">
        <v>212</v>
      </c>
      <c r="K7052" s="22" t="s">
        <v>255</v>
      </c>
      <c r="L7052" s="22">
        <v>2320000000</v>
      </c>
      <c r="M7052" s="22" t="s">
        <v>245</v>
      </c>
      <c r="N7052" s="22" t="s">
        <v>4275</v>
      </c>
      <c r="O7052">
        <v>1</v>
      </c>
      <c r="P7052" t="s">
        <v>261</v>
      </c>
    </row>
    <row r="7053" spans="1:16" hidden="1" x14ac:dyDescent="0.25">
      <c r="A7053" s="21">
        <v>46235</v>
      </c>
      <c r="B7053" s="22" t="s">
        <v>162</v>
      </c>
      <c r="C7053" s="22">
        <v>50</v>
      </c>
      <c r="D7053" s="22" t="s">
        <v>247</v>
      </c>
      <c r="E7053" s="22" t="s">
        <v>248</v>
      </c>
      <c r="F7053" s="22" t="s">
        <v>445</v>
      </c>
      <c r="G7053" s="22" t="s">
        <v>82</v>
      </c>
      <c r="H7053" s="22" t="s">
        <v>286</v>
      </c>
      <c r="I7053" s="22"/>
      <c r="J7053" s="22" t="s">
        <v>212</v>
      </c>
      <c r="K7053" s="22" t="s">
        <v>250</v>
      </c>
      <c r="L7053" s="22">
        <v>3.4</v>
      </c>
      <c r="M7053" s="22" t="s">
        <v>251</v>
      </c>
      <c r="N7053" s="22" t="s">
        <v>314</v>
      </c>
    </row>
    <row r="7054" spans="1:16" hidden="1" x14ac:dyDescent="0.25">
      <c r="A7054" s="21">
        <v>46235</v>
      </c>
      <c r="B7054" s="22" t="s">
        <v>162</v>
      </c>
      <c r="C7054" s="22">
        <v>51</v>
      </c>
      <c r="D7054" s="22" t="s">
        <v>291</v>
      </c>
      <c r="E7054" s="22" t="s">
        <v>292</v>
      </c>
      <c r="F7054" s="22" t="s">
        <v>445</v>
      </c>
      <c r="G7054" s="22" t="s">
        <v>82</v>
      </c>
      <c r="H7054" s="22" t="s">
        <v>94</v>
      </c>
      <c r="I7054" s="22"/>
      <c r="J7054" s="22" t="s">
        <v>212</v>
      </c>
      <c r="K7054" s="22" t="s">
        <v>250</v>
      </c>
      <c r="L7054" s="22">
        <v>1830000000</v>
      </c>
      <c r="M7054" s="22" t="s">
        <v>245</v>
      </c>
      <c r="N7054" s="22" t="s">
        <v>4276</v>
      </c>
    </row>
    <row r="7055" spans="1:16" hidden="1" x14ac:dyDescent="0.25">
      <c r="A7055" s="21">
        <v>46235</v>
      </c>
      <c r="B7055" s="22" t="s">
        <v>162</v>
      </c>
      <c r="C7055" s="22">
        <v>51</v>
      </c>
      <c r="D7055" s="22" t="s">
        <v>291</v>
      </c>
      <c r="E7055" s="22" t="s">
        <v>292</v>
      </c>
      <c r="F7055" s="22" t="s">
        <v>445</v>
      </c>
      <c r="G7055" s="22" t="s">
        <v>82</v>
      </c>
      <c r="H7055" s="22" t="s">
        <v>95</v>
      </c>
      <c r="I7055" s="22"/>
      <c r="J7055" s="22" t="s">
        <v>212</v>
      </c>
      <c r="K7055" s="22" t="s">
        <v>250</v>
      </c>
      <c r="L7055" s="22">
        <v>490000000</v>
      </c>
      <c r="M7055" s="22" t="s">
        <v>245</v>
      </c>
      <c r="N7055" s="22" t="s">
        <v>4277</v>
      </c>
    </row>
    <row r="7056" spans="1:16" hidden="1" x14ac:dyDescent="0.25">
      <c r="A7056" s="21">
        <v>46235</v>
      </c>
      <c r="B7056" s="22" t="s">
        <v>162</v>
      </c>
      <c r="C7056" s="22">
        <v>52</v>
      </c>
      <c r="D7056" s="22" t="s">
        <v>291</v>
      </c>
      <c r="E7056" s="22" t="s">
        <v>292</v>
      </c>
      <c r="F7056" s="22" t="s">
        <v>445</v>
      </c>
      <c r="G7056" s="22" t="s">
        <v>82</v>
      </c>
      <c r="H7056" s="22" t="s">
        <v>173</v>
      </c>
      <c r="I7056" s="22"/>
      <c r="J7056" s="22" t="s">
        <v>212</v>
      </c>
      <c r="K7056" s="22" t="s">
        <v>250</v>
      </c>
      <c r="L7056" s="22">
        <v>263400000</v>
      </c>
      <c r="M7056" s="22" t="s">
        <v>245</v>
      </c>
      <c r="N7056" s="22" t="s">
        <v>4278</v>
      </c>
    </row>
    <row r="7057" spans="1:16" hidden="1" x14ac:dyDescent="0.25">
      <c r="A7057" s="21">
        <v>46235</v>
      </c>
      <c r="B7057" s="22" t="s">
        <v>162</v>
      </c>
      <c r="C7057" s="22">
        <v>52</v>
      </c>
      <c r="D7057" s="22" t="s">
        <v>291</v>
      </c>
      <c r="E7057" s="22" t="s">
        <v>292</v>
      </c>
      <c r="F7057" s="22" t="s">
        <v>445</v>
      </c>
      <c r="G7057" s="22" t="s">
        <v>82</v>
      </c>
      <c r="H7057" s="22" t="s">
        <v>174</v>
      </c>
      <c r="I7057" s="22"/>
      <c r="J7057" s="22" t="s">
        <v>212</v>
      </c>
      <c r="K7057" s="22" t="s">
        <v>250</v>
      </c>
      <c r="L7057" s="22">
        <v>310000000</v>
      </c>
      <c r="M7057" s="22" t="s">
        <v>245</v>
      </c>
      <c r="N7057" s="22" t="s">
        <v>4279</v>
      </c>
    </row>
    <row r="7058" spans="1:16" hidden="1" x14ac:dyDescent="0.25">
      <c r="A7058" s="21">
        <v>46235</v>
      </c>
      <c r="B7058" s="22" t="s">
        <v>162</v>
      </c>
      <c r="C7058" s="22">
        <v>53</v>
      </c>
      <c r="D7058" s="22" t="s">
        <v>291</v>
      </c>
      <c r="E7058" s="22" t="s">
        <v>292</v>
      </c>
      <c r="F7058" s="22" t="s">
        <v>334</v>
      </c>
      <c r="G7058" s="22" t="s">
        <v>82</v>
      </c>
      <c r="H7058" s="22" t="s">
        <v>170</v>
      </c>
      <c r="I7058" s="22"/>
      <c r="J7058" s="22" t="s">
        <v>212</v>
      </c>
      <c r="K7058" s="22" t="s">
        <v>250</v>
      </c>
      <c r="L7058" s="22">
        <v>12</v>
      </c>
      <c r="M7058" s="22" t="s">
        <v>245</v>
      </c>
      <c r="N7058" s="22" t="s">
        <v>1773</v>
      </c>
    </row>
    <row r="7059" spans="1:16" hidden="1" x14ac:dyDescent="0.25">
      <c r="A7059" s="21">
        <v>46235</v>
      </c>
      <c r="B7059" s="22" t="s">
        <v>162</v>
      </c>
      <c r="C7059" s="22">
        <v>53</v>
      </c>
      <c r="D7059" s="22" t="s">
        <v>291</v>
      </c>
      <c r="E7059" s="22" t="s">
        <v>292</v>
      </c>
      <c r="F7059" s="22" t="s">
        <v>334</v>
      </c>
      <c r="G7059" s="22" t="s">
        <v>82</v>
      </c>
      <c r="H7059" s="22" t="s">
        <v>164</v>
      </c>
      <c r="I7059" s="22"/>
      <c r="J7059" s="22" t="s">
        <v>212</v>
      </c>
      <c r="K7059" s="22" t="s">
        <v>250</v>
      </c>
      <c r="L7059" s="22">
        <v>130</v>
      </c>
      <c r="M7059" s="22" t="s">
        <v>245</v>
      </c>
      <c r="N7059" s="22" t="s">
        <v>686</v>
      </c>
    </row>
    <row r="7060" spans="1:16" hidden="1" x14ac:dyDescent="0.25">
      <c r="A7060" s="21">
        <v>46235</v>
      </c>
      <c r="B7060" s="22" t="s">
        <v>162</v>
      </c>
      <c r="C7060" s="22">
        <v>53</v>
      </c>
      <c r="D7060" s="22" t="s">
        <v>291</v>
      </c>
      <c r="E7060" s="22" t="s">
        <v>292</v>
      </c>
      <c r="F7060" s="22" t="s">
        <v>334</v>
      </c>
      <c r="G7060" s="22" t="s">
        <v>82</v>
      </c>
      <c r="H7060" s="22" t="s">
        <v>173</v>
      </c>
      <c r="I7060" s="22"/>
      <c r="J7060" s="22" t="s">
        <v>212</v>
      </c>
      <c r="K7060" s="22" t="s">
        <v>250</v>
      </c>
      <c r="L7060" s="22">
        <v>46</v>
      </c>
      <c r="M7060" s="22" t="s">
        <v>245</v>
      </c>
      <c r="N7060" s="22" t="s">
        <v>2289</v>
      </c>
    </row>
    <row r="7061" spans="1:16" hidden="1" x14ac:dyDescent="0.25">
      <c r="A7061" s="21">
        <v>46235</v>
      </c>
      <c r="B7061" s="22" t="s">
        <v>162</v>
      </c>
      <c r="C7061" s="22">
        <v>53</v>
      </c>
      <c r="D7061" s="22" t="s">
        <v>238</v>
      </c>
      <c r="E7061" s="22" t="s">
        <v>239</v>
      </c>
      <c r="F7061" s="22" t="s">
        <v>334</v>
      </c>
      <c r="G7061" s="22" t="s">
        <v>82</v>
      </c>
      <c r="H7061" s="22" t="s">
        <v>455</v>
      </c>
      <c r="I7061" s="22"/>
      <c r="J7061" s="22" t="s">
        <v>212</v>
      </c>
      <c r="K7061" s="22" t="s">
        <v>250</v>
      </c>
      <c r="L7061" s="22">
        <v>77</v>
      </c>
      <c r="M7061" s="22" t="s">
        <v>245</v>
      </c>
      <c r="N7061" s="22" t="s">
        <v>4138</v>
      </c>
    </row>
    <row r="7062" spans="1:16" hidden="1" x14ac:dyDescent="0.25">
      <c r="A7062" s="21">
        <v>46235</v>
      </c>
      <c r="B7062" s="22" t="s">
        <v>162</v>
      </c>
      <c r="C7062" s="22">
        <v>53</v>
      </c>
      <c r="D7062" s="22" t="s">
        <v>291</v>
      </c>
      <c r="E7062" s="22" t="s">
        <v>292</v>
      </c>
      <c r="F7062" s="22" t="s">
        <v>334</v>
      </c>
      <c r="G7062" s="22" t="s">
        <v>82</v>
      </c>
      <c r="H7062" s="22" t="s">
        <v>179</v>
      </c>
      <c r="I7062" s="22"/>
      <c r="J7062" s="22" t="s">
        <v>212</v>
      </c>
      <c r="K7062" s="22" t="s">
        <v>250</v>
      </c>
      <c r="L7062" s="22">
        <v>9</v>
      </c>
      <c r="M7062" s="22" t="s">
        <v>245</v>
      </c>
      <c r="N7062" s="22" t="s">
        <v>3722</v>
      </c>
    </row>
    <row r="7063" spans="1:16" hidden="1" x14ac:dyDescent="0.25">
      <c r="A7063" s="21">
        <v>46235</v>
      </c>
      <c r="B7063" s="22" t="s">
        <v>162</v>
      </c>
      <c r="C7063" s="22">
        <v>53</v>
      </c>
      <c r="D7063" s="22" t="s">
        <v>291</v>
      </c>
      <c r="E7063" s="22" t="s">
        <v>292</v>
      </c>
      <c r="F7063" s="22" t="s">
        <v>334</v>
      </c>
      <c r="G7063" s="22" t="s">
        <v>82</v>
      </c>
      <c r="H7063" s="22" t="s">
        <v>174</v>
      </c>
      <c r="I7063" s="22"/>
      <c r="J7063" s="22" t="s">
        <v>212</v>
      </c>
      <c r="K7063" s="22" t="s">
        <v>250</v>
      </c>
      <c r="L7063" s="22">
        <v>78</v>
      </c>
      <c r="M7063" s="22" t="s">
        <v>245</v>
      </c>
      <c r="N7063" s="22" t="s">
        <v>454</v>
      </c>
    </row>
    <row r="7064" spans="1:16" hidden="1" x14ac:dyDescent="0.25">
      <c r="A7064" s="21">
        <v>46235</v>
      </c>
      <c r="B7064" s="22" t="s">
        <v>162</v>
      </c>
      <c r="C7064" s="22">
        <v>53</v>
      </c>
      <c r="D7064" s="22" t="s">
        <v>291</v>
      </c>
      <c r="E7064" s="22" t="s">
        <v>292</v>
      </c>
      <c r="F7064" s="22" t="s">
        <v>334</v>
      </c>
      <c r="G7064" s="22" t="s">
        <v>82</v>
      </c>
      <c r="H7064" s="22" t="s">
        <v>178</v>
      </c>
      <c r="I7064" s="22"/>
      <c r="J7064" s="22" t="s">
        <v>212</v>
      </c>
      <c r="K7064" s="22" t="s">
        <v>250</v>
      </c>
      <c r="L7064" s="22">
        <v>30</v>
      </c>
      <c r="M7064" s="22" t="s">
        <v>245</v>
      </c>
      <c r="N7064" s="22" t="s">
        <v>4280</v>
      </c>
    </row>
    <row r="7065" spans="1:16" hidden="1" x14ac:dyDescent="0.25">
      <c r="A7065" s="21">
        <v>46235</v>
      </c>
      <c r="B7065" s="22" t="s">
        <v>97</v>
      </c>
      <c r="C7065" s="22">
        <v>26</v>
      </c>
      <c r="D7065" s="22" t="s">
        <v>238</v>
      </c>
      <c r="E7065" s="22" t="s">
        <v>239</v>
      </c>
      <c r="F7065" s="22" t="s">
        <v>240</v>
      </c>
      <c r="G7065" s="22" t="s">
        <v>82</v>
      </c>
      <c r="H7065" s="22"/>
      <c r="I7065" s="22"/>
      <c r="J7065" s="22" t="s">
        <v>212</v>
      </c>
      <c r="K7065" s="22" t="s">
        <v>241</v>
      </c>
      <c r="L7065" s="22">
        <v>113010000</v>
      </c>
      <c r="M7065" s="22" t="s">
        <v>242</v>
      </c>
      <c r="N7065" s="22" t="s">
        <v>4247</v>
      </c>
    </row>
    <row r="7066" spans="1:16" hidden="1" x14ac:dyDescent="0.25">
      <c r="A7066" s="21">
        <v>46235</v>
      </c>
      <c r="B7066" s="22" t="s">
        <v>97</v>
      </c>
      <c r="C7066" s="22">
        <v>26</v>
      </c>
      <c r="D7066" s="22" t="s">
        <v>238</v>
      </c>
      <c r="E7066" s="22" t="s">
        <v>239</v>
      </c>
      <c r="F7066" s="22" t="s">
        <v>244</v>
      </c>
      <c r="G7066" s="22" t="s">
        <v>82</v>
      </c>
      <c r="H7066" s="22"/>
      <c r="I7066" s="22"/>
      <c r="J7066" s="22" t="s">
        <v>212</v>
      </c>
      <c r="K7066" s="22" t="s">
        <v>241</v>
      </c>
      <c r="L7066" s="22">
        <v>5280000000</v>
      </c>
      <c r="M7066" s="22" t="s">
        <v>245</v>
      </c>
      <c r="N7066" s="22" t="s">
        <v>4250</v>
      </c>
    </row>
    <row r="7067" spans="1:16" hidden="1" x14ac:dyDescent="0.25">
      <c r="A7067" s="21">
        <v>46235</v>
      </c>
      <c r="B7067" s="22" t="s">
        <v>97</v>
      </c>
      <c r="C7067" s="22">
        <v>27</v>
      </c>
      <c r="D7067" s="22" t="s">
        <v>253</v>
      </c>
      <c r="E7067" s="22" t="s">
        <v>248</v>
      </c>
      <c r="F7067" s="22" t="s">
        <v>285</v>
      </c>
      <c r="G7067" s="22" t="s">
        <v>63</v>
      </c>
      <c r="H7067" s="22"/>
      <c r="I7067" s="22"/>
      <c r="J7067" s="22" t="s">
        <v>210</v>
      </c>
      <c r="K7067" s="22" t="s">
        <v>255</v>
      </c>
      <c r="L7067" s="22">
        <v>3000000</v>
      </c>
      <c r="M7067" s="22" t="s">
        <v>242</v>
      </c>
      <c r="N7067" s="22" t="s">
        <v>4281</v>
      </c>
      <c r="O7067">
        <v>1</v>
      </c>
      <c r="P7067" t="s">
        <v>257</v>
      </c>
    </row>
    <row r="7068" spans="1:16" hidden="1" x14ac:dyDescent="0.25">
      <c r="A7068" s="21">
        <v>46235</v>
      </c>
      <c r="B7068" s="22" t="s">
        <v>97</v>
      </c>
      <c r="C7068" s="22">
        <v>27</v>
      </c>
      <c r="D7068" s="22" t="s">
        <v>253</v>
      </c>
      <c r="E7068" s="22" t="s">
        <v>248</v>
      </c>
      <c r="F7068" s="22" t="s">
        <v>285</v>
      </c>
      <c r="G7068" s="22" t="s">
        <v>63</v>
      </c>
      <c r="H7068" s="22"/>
      <c r="I7068" s="22"/>
      <c r="J7068" s="22" t="s">
        <v>211</v>
      </c>
      <c r="K7068" s="22" t="s">
        <v>255</v>
      </c>
      <c r="L7068" s="22">
        <v>3020000</v>
      </c>
      <c r="M7068" s="22" t="s">
        <v>242</v>
      </c>
      <c r="N7068" s="22" t="s">
        <v>4082</v>
      </c>
      <c r="O7068">
        <v>1</v>
      </c>
      <c r="P7068" t="s">
        <v>257</v>
      </c>
    </row>
    <row r="7069" spans="1:16" hidden="1" x14ac:dyDescent="0.25">
      <c r="A7069" s="21">
        <v>46235</v>
      </c>
      <c r="B7069" s="22" t="s">
        <v>97</v>
      </c>
      <c r="C7069" s="22">
        <v>27</v>
      </c>
      <c r="D7069" s="22" t="s">
        <v>253</v>
      </c>
      <c r="E7069" s="22" t="s">
        <v>248</v>
      </c>
      <c r="F7069" s="22" t="s">
        <v>285</v>
      </c>
      <c r="G7069" s="22" t="s">
        <v>63</v>
      </c>
      <c r="H7069" s="22"/>
      <c r="I7069" s="22"/>
      <c r="J7069" s="22" t="s">
        <v>212</v>
      </c>
      <c r="K7069" s="22" t="s">
        <v>255</v>
      </c>
      <c r="L7069" s="22">
        <v>3060000</v>
      </c>
      <c r="M7069" s="22" t="s">
        <v>242</v>
      </c>
      <c r="N7069" s="22" t="s">
        <v>4282</v>
      </c>
      <c r="O7069">
        <v>1</v>
      </c>
      <c r="P7069" t="s">
        <v>261</v>
      </c>
    </row>
    <row r="7070" spans="1:16" hidden="1" x14ac:dyDescent="0.25">
      <c r="A7070" s="21">
        <v>46235</v>
      </c>
      <c r="B7070" s="22" t="s">
        <v>97</v>
      </c>
      <c r="C7070" s="22">
        <v>27</v>
      </c>
      <c r="D7070" s="22" t="s">
        <v>247</v>
      </c>
      <c r="E7070" s="22" t="s">
        <v>248</v>
      </c>
      <c r="F7070" s="22" t="s">
        <v>285</v>
      </c>
      <c r="G7070" s="22" t="s">
        <v>63</v>
      </c>
      <c r="H7070" s="22" t="s">
        <v>286</v>
      </c>
      <c r="I7070" s="22"/>
      <c r="J7070" s="22" t="s">
        <v>212</v>
      </c>
      <c r="K7070" s="22" t="s">
        <v>250</v>
      </c>
      <c r="L7070" s="22">
        <v>1.5</v>
      </c>
      <c r="M7070" s="22" t="s">
        <v>251</v>
      </c>
      <c r="N7070" s="22" t="s">
        <v>446</v>
      </c>
    </row>
    <row r="7071" spans="1:16" hidden="1" x14ac:dyDescent="0.25">
      <c r="A7071" s="21">
        <v>46235</v>
      </c>
      <c r="B7071" s="22" t="s">
        <v>97</v>
      </c>
      <c r="C7071" s="22">
        <v>28</v>
      </c>
      <c r="D7071" s="22" t="s">
        <v>291</v>
      </c>
      <c r="E7071" s="22" t="s">
        <v>292</v>
      </c>
      <c r="F7071" s="22" t="s">
        <v>285</v>
      </c>
      <c r="G7071" s="22" t="s">
        <v>63</v>
      </c>
      <c r="H7071" s="22" t="s">
        <v>64</v>
      </c>
      <c r="I7071" s="22"/>
      <c r="J7071" s="22" t="s">
        <v>212</v>
      </c>
      <c r="K7071" s="22" t="s">
        <v>250</v>
      </c>
      <c r="L7071" s="22">
        <v>2680000</v>
      </c>
      <c r="M7071" s="22" t="s">
        <v>242</v>
      </c>
      <c r="N7071" s="22" t="s">
        <v>2660</v>
      </c>
    </row>
    <row r="7072" spans="1:16" hidden="1" x14ac:dyDescent="0.25">
      <c r="A7072" s="21">
        <v>46235</v>
      </c>
      <c r="B7072" s="22" t="s">
        <v>97</v>
      </c>
      <c r="C7072" s="22">
        <v>28</v>
      </c>
      <c r="D7072" s="22" t="s">
        <v>291</v>
      </c>
      <c r="E7072" s="22" t="s">
        <v>292</v>
      </c>
      <c r="F7072" s="22" t="s">
        <v>285</v>
      </c>
      <c r="G7072" s="22" t="s">
        <v>63</v>
      </c>
      <c r="H7072" s="22" t="s">
        <v>65</v>
      </c>
      <c r="I7072" s="22"/>
      <c r="J7072" s="22" t="s">
        <v>212</v>
      </c>
      <c r="K7072" s="22" t="s">
        <v>250</v>
      </c>
      <c r="L7072" s="22">
        <v>387600</v>
      </c>
      <c r="M7072" s="22" t="s">
        <v>242</v>
      </c>
      <c r="N7072" s="22" t="s">
        <v>4283</v>
      </c>
    </row>
    <row r="7073" spans="1:16" hidden="1" x14ac:dyDescent="0.25">
      <c r="A7073" s="21">
        <v>46235</v>
      </c>
      <c r="B7073" s="22" t="s">
        <v>97</v>
      </c>
      <c r="C7073" s="22">
        <v>29</v>
      </c>
      <c r="D7073" s="22" t="s">
        <v>291</v>
      </c>
      <c r="E7073" s="22" t="s">
        <v>292</v>
      </c>
      <c r="F7073" s="22" t="s">
        <v>285</v>
      </c>
      <c r="G7073" s="22" t="s">
        <v>63</v>
      </c>
      <c r="H7073" s="22" t="s">
        <v>67</v>
      </c>
      <c r="I7073" s="22"/>
      <c r="J7073" s="22" t="s">
        <v>212</v>
      </c>
      <c r="K7073" s="22" t="s">
        <v>250</v>
      </c>
      <c r="L7073" s="22">
        <v>1170000</v>
      </c>
      <c r="M7073" s="22" t="s">
        <v>242</v>
      </c>
      <c r="N7073" s="22" t="s">
        <v>693</v>
      </c>
    </row>
    <row r="7074" spans="1:16" hidden="1" x14ac:dyDescent="0.25">
      <c r="A7074" s="21">
        <v>46235</v>
      </c>
      <c r="B7074" s="22" t="s">
        <v>97</v>
      </c>
      <c r="C7074" s="22">
        <v>29</v>
      </c>
      <c r="D7074" s="22" t="s">
        <v>291</v>
      </c>
      <c r="E7074" s="22" t="s">
        <v>292</v>
      </c>
      <c r="F7074" s="22" t="s">
        <v>285</v>
      </c>
      <c r="G7074" s="22" t="s">
        <v>63</v>
      </c>
      <c r="H7074" s="22" t="s">
        <v>68</v>
      </c>
      <c r="I7074" s="22"/>
      <c r="J7074" s="22" t="s">
        <v>212</v>
      </c>
      <c r="K7074" s="22" t="s">
        <v>250</v>
      </c>
      <c r="L7074" s="22">
        <v>1880000</v>
      </c>
      <c r="M7074" s="22" t="s">
        <v>242</v>
      </c>
      <c r="N7074" s="22" t="s">
        <v>2167</v>
      </c>
    </row>
    <row r="7075" spans="1:16" hidden="1" x14ac:dyDescent="0.25">
      <c r="A7075" s="21">
        <v>46235</v>
      </c>
      <c r="B7075" s="22" t="s">
        <v>97</v>
      </c>
      <c r="C7075" s="22">
        <v>30</v>
      </c>
      <c r="D7075" s="22" t="s">
        <v>291</v>
      </c>
      <c r="E7075" s="22" t="s">
        <v>292</v>
      </c>
      <c r="F7075" s="22" t="s">
        <v>285</v>
      </c>
      <c r="G7075" s="22" t="s">
        <v>63</v>
      </c>
      <c r="H7075" s="22" t="s">
        <v>70</v>
      </c>
      <c r="I7075" s="22"/>
      <c r="J7075" s="22" t="s">
        <v>212</v>
      </c>
      <c r="K7075" s="22" t="s">
        <v>250</v>
      </c>
      <c r="L7075" s="22">
        <v>1100000</v>
      </c>
      <c r="M7075" s="22" t="s">
        <v>242</v>
      </c>
      <c r="N7075" s="22" t="s">
        <v>4284</v>
      </c>
    </row>
    <row r="7076" spans="1:16" hidden="1" x14ac:dyDescent="0.25">
      <c r="A7076" s="21">
        <v>46235</v>
      </c>
      <c r="B7076" s="22" t="s">
        <v>97</v>
      </c>
      <c r="C7076" s="22">
        <v>30</v>
      </c>
      <c r="D7076" s="22" t="s">
        <v>291</v>
      </c>
      <c r="E7076" s="22" t="s">
        <v>292</v>
      </c>
      <c r="F7076" s="22" t="s">
        <v>285</v>
      </c>
      <c r="G7076" s="22" t="s">
        <v>63</v>
      </c>
      <c r="H7076" s="22" t="s">
        <v>71</v>
      </c>
      <c r="I7076" s="22"/>
      <c r="J7076" s="22" t="s">
        <v>212</v>
      </c>
      <c r="K7076" s="22" t="s">
        <v>250</v>
      </c>
      <c r="L7076" s="22">
        <v>788000</v>
      </c>
      <c r="M7076" s="22" t="s">
        <v>242</v>
      </c>
      <c r="N7076" s="22" t="s">
        <v>4285</v>
      </c>
    </row>
    <row r="7077" spans="1:16" hidden="1" x14ac:dyDescent="0.25">
      <c r="A7077" s="21">
        <v>46235</v>
      </c>
      <c r="B7077" s="22" t="s">
        <v>97</v>
      </c>
      <c r="C7077" s="22">
        <v>30</v>
      </c>
      <c r="D7077" s="22" t="s">
        <v>291</v>
      </c>
      <c r="E7077" s="22" t="s">
        <v>292</v>
      </c>
      <c r="F7077" s="22" t="s">
        <v>285</v>
      </c>
      <c r="G7077" s="22" t="s">
        <v>63</v>
      </c>
      <c r="H7077" s="22" t="s">
        <v>72</v>
      </c>
      <c r="I7077" s="22"/>
      <c r="J7077" s="22" t="s">
        <v>212</v>
      </c>
      <c r="K7077" s="22" t="s">
        <v>250</v>
      </c>
      <c r="L7077" s="22">
        <v>589000</v>
      </c>
      <c r="M7077" s="22" t="s">
        <v>242</v>
      </c>
      <c r="N7077" s="22" t="s">
        <v>4286</v>
      </c>
    </row>
    <row r="7078" spans="1:16" hidden="1" x14ac:dyDescent="0.25">
      <c r="A7078" s="21">
        <v>46235</v>
      </c>
      <c r="B7078" s="22" t="s">
        <v>97</v>
      </c>
      <c r="C7078" s="22">
        <v>30</v>
      </c>
      <c r="D7078" s="22" t="s">
        <v>291</v>
      </c>
      <c r="E7078" s="22" t="s">
        <v>292</v>
      </c>
      <c r="F7078" s="22" t="s">
        <v>285</v>
      </c>
      <c r="G7078" s="22" t="s">
        <v>63</v>
      </c>
      <c r="H7078" s="22" t="s">
        <v>73</v>
      </c>
      <c r="I7078" s="22"/>
      <c r="J7078" s="22" t="s">
        <v>212</v>
      </c>
      <c r="K7078" s="22" t="s">
        <v>250</v>
      </c>
      <c r="L7078" s="22">
        <v>373000</v>
      </c>
      <c r="M7078" s="22" t="s">
        <v>242</v>
      </c>
      <c r="N7078" s="22" t="s">
        <v>4287</v>
      </c>
    </row>
    <row r="7079" spans="1:16" hidden="1" x14ac:dyDescent="0.25">
      <c r="A7079" s="21">
        <v>46235</v>
      </c>
      <c r="B7079" s="22" t="s">
        <v>97</v>
      </c>
      <c r="C7079" s="22">
        <v>30</v>
      </c>
      <c r="D7079" s="22" t="s">
        <v>291</v>
      </c>
      <c r="E7079" s="22" t="s">
        <v>292</v>
      </c>
      <c r="F7079" s="22" t="s">
        <v>285</v>
      </c>
      <c r="G7079" s="22" t="s">
        <v>63</v>
      </c>
      <c r="H7079" s="22" t="s">
        <v>74</v>
      </c>
      <c r="I7079" s="22"/>
      <c r="J7079" s="22" t="s">
        <v>212</v>
      </c>
      <c r="K7079" s="22" t="s">
        <v>250</v>
      </c>
      <c r="L7079" s="22">
        <v>149000</v>
      </c>
      <c r="M7079" s="22" t="s">
        <v>242</v>
      </c>
      <c r="N7079" s="22" t="s">
        <v>4288</v>
      </c>
    </row>
    <row r="7080" spans="1:16" hidden="1" x14ac:dyDescent="0.25">
      <c r="A7080" s="21">
        <v>46235</v>
      </c>
      <c r="B7080" s="22" t="s">
        <v>97</v>
      </c>
      <c r="C7080" s="22">
        <v>30</v>
      </c>
      <c r="D7080" s="22" t="s">
        <v>291</v>
      </c>
      <c r="E7080" s="22" t="s">
        <v>292</v>
      </c>
      <c r="F7080" s="22" t="s">
        <v>285</v>
      </c>
      <c r="G7080" s="22" t="s">
        <v>63</v>
      </c>
      <c r="H7080" s="22" t="s">
        <v>75</v>
      </c>
      <c r="I7080" s="22"/>
      <c r="J7080" s="22" t="s">
        <v>212</v>
      </c>
      <c r="K7080" s="22" t="s">
        <v>250</v>
      </c>
      <c r="L7080" s="22">
        <v>43000</v>
      </c>
      <c r="M7080" s="22" t="s">
        <v>242</v>
      </c>
      <c r="N7080" s="22" t="s">
        <v>644</v>
      </c>
    </row>
    <row r="7081" spans="1:16" hidden="1" x14ac:dyDescent="0.25">
      <c r="A7081" s="21">
        <v>46235</v>
      </c>
      <c r="B7081" s="22" t="s">
        <v>97</v>
      </c>
      <c r="C7081" s="22">
        <v>30</v>
      </c>
      <c r="D7081" s="22" t="s">
        <v>291</v>
      </c>
      <c r="E7081" s="22" t="s">
        <v>292</v>
      </c>
      <c r="F7081" s="22" t="s">
        <v>285</v>
      </c>
      <c r="G7081" s="22" t="s">
        <v>63</v>
      </c>
      <c r="H7081" s="22" t="s">
        <v>76</v>
      </c>
      <c r="I7081" s="22"/>
      <c r="J7081" s="22" t="s">
        <v>212</v>
      </c>
      <c r="K7081" s="22" t="s">
        <v>250</v>
      </c>
      <c r="L7081" s="22">
        <v>15000</v>
      </c>
      <c r="M7081" s="22" t="s">
        <v>242</v>
      </c>
      <c r="N7081" s="22" t="s">
        <v>4289</v>
      </c>
    </row>
    <row r="7082" spans="1:16" hidden="1" x14ac:dyDescent="0.25">
      <c r="A7082" s="21">
        <v>46235</v>
      </c>
      <c r="B7082" s="22" t="s">
        <v>97</v>
      </c>
      <c r="C7082" s="22">
        <v>30</v>
      </c>
      <c r="D7082" s="22" t="s">
        <v>291</v>
      </c>
      <c r="E7082" s="22" t="s">
        <v>292</v>
      </c>
      <c r="F7082" s="22" t="s">
        <v>285</v>
      </c>
      <c r="G7082" s="22" t="s">
        <v>63</v>
      </c>
      <c r="H7082" s="22" t="s">
        <v>77</v>
      </c>
      <c r="I7082" s="22"/>
      <c r="J7082" s="22" t="s">
        <v>212</v>
      </c>
      <c r="K7082" s="22" t="s">
        <v>250</v>
      </c>
      <c r="L7082" s="22">
        <v>1000</v>
      </c>
      <c r="M7082" s="22" t="s">
        <v>242</v>
      </c>
      <c r="N7082" s="22" t="s">
        <v>476</v>
      </c>
    </row>
    <row r="7083" spans="1:16" hidden="1" x14ac:dyDescent="0.25">
      <c r="A7083" s="21">
        <v>46235</v>
      </c>
      <c r="B7083" s="22" t="s">
        <v>97</v>
      </c>
      <c r="C7083" s="22">
        <v>31</v>
      </c>
      <c r="D7083" s="22" t="s">
        <v>291</v>
      </c>
      <c r="E7083" s="22" t="s">
        <v>292</v>
      </c>
      <c r="F7083" s="22" t="s">
        <v>477</v>
      </c>
      <c r="G7083" s="22" t="s">
        <v>99</v>
      </c>
      <c r="H7083" s="22" t="s">
        <v>100</v>
      </c>
      <c r="I7083" s="22"/>
      <c r="J7083" s="22" t="s">
        <v>212</v>
      </c>
      <c r="K7083" s="22" t="s">
        <v>250</v>
      </c>
      <c r="L7083" s="22">
        <v>1087</v>
      </c>
      <c r="M7083" s="22" t="s">
        <v>242</v>
      </c>
      <c r="N7083" s="22" t="s">
        <v>4290</v>
      </c>
    </row>
    <row r="7084" spans="1:16" hidden="1" x14ac:dyDescent="0.25">
      <c r="A7084" s="21">
        <v>46235</v>
      </c>
      <c r="B7084" s="22" t="s">
        <v>97</v>
      </c>
      <c r="C7084" s="22">
        <v>31</v>
      </c>
      <c r="D7084" s="22" t="s">
        <v>291</v>
      </c>
      <c r="E7084" s="22" t="s">
        <v>292</v>
      </c>
      <c r="F7084" s="22" t="s">
        <v>477</v>
      </c>
      <c r="G7084" s="22" t="s">
        <v>99</v>
      </c>
      <c r="H7084" s="22" t="s">
        <v>101</v>
      </c>
      <c r="I7084" s="22"/>
      <c r="J7084" s="22" t="s">
        <v>212</v>
      </c>
      <c r="K7084" s="22" t="s">
        <v>250</v>
      </c>
      <c r="L7084" s="22">
        <v>2170</v>
      </c>
      <c r="M7084" s="22" t="s">
        <v>242</v>
      </c>
      <c r="N7084" s="22" t="s">
        <v>4291</v>
      </c>
    </row>
    <row r="7085" spans="1:16" hidden="1" x14ac:dyDescent="0.25">
      <c r="A7085" s="21">
        <v>46235</v>
      </c>
      <c r="B7085" s="22" t="s">
        <v>97</v>
      </c>
      <c r="C7085" s="22">
        <v>31</v>
      </c>
      <c r="D7085" s="22" t="s">
        <v>291</v>
      </c>
      <c r="E7085" s="22" t="s">
        <v>292</v>
      </c>
      <c r="F7085" s="22" t="s">
        <v>477</v>
      </c>
      <c r="G7085" s="22" t="s">
        <v>99</v>
      </c>
      <c r="H7085" s="22" t="s">
        <v>102</v>
      </c>
      <c r="I7085" s="22"/>
      <c r="J7085" s="22" t="s">
        <v>212</v>
      </c>
      <c r="K7085" s="22" t="s">
        <v>250</v>
      </c>
      <c r="L7085" s="22">
        <v>8</v>
      </c>
      <c r="M7085" s="22" t="s">
        <v>242</v>
      </c>
      <c r="N7085" s="22" t="s">
        <v>480</v>
      </c>
    </row>
    <row r="7086" spans="1:16" hidden="1" x14ac:dyDescent="0.25">
      <c r="A7086" s="21">
        <v>46235</v>
      </c>
      <c r="B7086" s="22" t="s">
        <v>97</v>
      </c>
      <c r="C7086" s="22">
        <v>31</v>
      </c>
      <c r="D7086" s="22" t="s">
        <v>291</v>
      </c>
      <c r="E7086" s="22" t="s">
        <v>292</v>
      </c>
      <c r="F7086" s="22" t="s">
        <v>477</v>
      </c>
      <c r="G7086" s="22" t="s">
        <v>99</v>
      </c>
      <c r="H7086" s="22" t="s">
        <v>103</v>
      </c>
      <c r="I7086" s="22"/>
      <c r="J7086" s="22" t="s">
        <v>212</v>
      </c>
      <c r="K7086" s="22" t="s">
        <v>250</v>
      </c>
      <c r="L7086" s="22">
        <v>3020000</v>
      </c>
      <c r="M7086" s="22" t="s">
        <v>242</v>
      </c>
      <c r="N7086" s="22" t="s">
        <v>4082</v>
      </c>
    </row>
    <row r="7087" spans="1:16" hidden="1" x14ac:dyDescent="0.25">
      <c r="A7087" s="21">
        <v>46235</v>
      </c>
      <c r="B7087" s="22" t="s">
        <v>97</v>
      </c>
      <c r="C7087" s="22">
        <v>31</v>
      </c>
      <c r="D7087" s="22" t="s">
        <v>291</v>
      </c>
      <c r="E7087" s="22" t="s">
        <v>292</v>
      </c>
      <c r="F7087" s="22" t="s">
        <v>477</v>
      </c>
      <c r="G7087" s="22" t="s">
        <v>99</v>
      </c>
      <c r="H7087" s="22" t="s">
        <v>104</v>
      </c>
      <c r="I7087" s="22"/>
      <c r="J7087" s="22" t="s">
        <v>212</v>
      </c>
      <c r="K7087" s="22" t="s">
        <v>250</v>
      </c>
      <c r="L7087" s="22">
        <v>4813</v>
      </c>
      <c r="M7087" s="22" t="s">
        <v>242</v>
      </c>
      <c r="N7087" s="22" t="s">
        <v>4292</v>
      </c>
    </row>
    <row r="7088" spans="1:16" hidden="1" x14ac:dyDescent="0.25">
      <c r="A7088" s="21">
        <v>46235</v>
      </c>
      <c r="B7088" s="22" t="s">
        <v>97</v>
      </c>
      <c r="C7088" s="22">
        <v>32</v>
      </c>
      <c r="D7088" s="22" t="s">
        <v>253</v>
      </c>
      <c r="E7088" s="22" t="s">
        <v>248</v>
      </c>
      <c r="F7088" s="22" t="s">
        <v>240</v>
      </c>
      <c r="G7088" s="22" t="s">
        <v>82</v>
      </c>
      <c r="H7088" s="22"/>
      <c r="I7088" s="22"/>
      <c r="J7088" s="22" t="s">
        <v>210</v>
      </c>
      <c r="K7088" s="22" t="s">
        <v>255</v>
      </c>
      <c r="L7088" s="22">
        <v>16840000</v>
      </c>
      <c r="M7088" s="22" t="s">
        <v>242</v>
      </c>
      <c r="N7088" s="22" t="s">
        <v>4089</v>
      </c>
      <c r="O7088">
        <v>1</v>
      </c>
      <c r="P7088" t="s">
        <v>257</v>
      </c>
    </row>
    <row r="7089" spans="1:16" hidden="1" x14ac:dyDescent="0.25">
      <c r="A7089" s="21">
        <v>46235</v>
      </c>
      <c r="B7089" s="22" t="s">
        <v>97</v>
      </c>
      <c r="C7089" s="22">
        <v>32</v>
      </c>
      <c r="D7089" s="22" t="s">
        <v>253</v>
      </c>
      <c r="E7089" s="22" t="s">
        <v>248</v>
      </c>
      <c r="F7089" s="22" t="s">
        <v>240</v>
      </c>
      <c r="G7089" s="22" t="s">
        <v>82</v>
      </c>
      <c r="H7089" s="22"/>
      <c r="I7089" s="22"/>
      <c r="J7089" s="22" t="s">
        <v>211</v>
      </c>
      <c r="K7089" s="22" t="s">
        <v>255</v>
      </c>
      <c r="L7089" s="22">
        <v>17670000</v>
      </c>
      <c r="M7089" s="22" t="s">
        <v>242</v>
      </c>
      <c r="N7089" s="22" t="s">
        <v>3065</v>
      </c>
      <c r="O7089">
        <v>1</v>
      </c>
      <c r="P7089" t="s">
        <v>257</v>
      </c>
    </row>
    <row r="7090" spans="1:16" hidden="1" x14ac:dyDescent="0.25">
      <c r="A7090" s="21">
        <v>46235</v>
      </c>
      <c r="B7090" s="22" t="s">
        <v>97</v>
      </c>
      <c r="C7090" s="22">
        <v>32</v>
      </c>
      <c r="D7090" s="22" t="s">
        <v>253</v>
      </c>
      <c r="E7090" s="22" t="s">
        <v>248</v>
      </c>
      <c r="F7090" s="22" t="s">
        <v>240</v>
      </c>
      <c r="G7090" s="22" t="s">
        <v>82</v>
      </c>
      <c r="H7090" s="22"/>
      <c r="I7090" s="22"/>
      <c r="J7090" s="22" t="s">
        <v>212</v>
      </c>
      <c r="K7090" s="22" t="s">
        <v>255</v>
      </c>
      <c r="L7090" s="22">
        <v>14790000</v>
      </c>
      <c r="M7090" s="22" t="s">
        <v>242</v>
      </c>
      <c r="N7090" s="22" t="s">
        <v>3960</v>
      </c>
      <c r="O7090">
        <v>1</v>
      </c>
      <c r="P7090" t="s">
        <v>261</v>
      </c>
    </row>
    <row r="7091" spans="1:16" hidden="1" x14ac:dyDescent="0.25">
      <c r="A7091" s="21">
        <v>46235</v>
      </c>
      <c r="B7091" s="22" t="s">
        <v>97</v>
      </c>
      <c r="C7091" s="22">
        <v>32</v>
      </c>
      <c r="D7091" s="22" t="s">
        <v>247</v>
      </c>
      <c r="E7091" s="22" t="s">
        <v>248</v>
      </c>
      <c r="F7091" s="22" t="s">
        <v>240</v>
      </c>
      <c r="G7091" s="22" t="s">
        <v>82</v>
      </c>
      <c r="H7091" s="22" t="s">
        <v>286</v>
      </c>
      <c r="I7091" s="22"/>
      <c r="J7091" s="22" t="s">
        <v>212</v>
      </c>
      <c r="K7091" s="22" t="s">
        <v>250</v>
      </c>
      <c r="L7091" s="22">
        <v>4.9000000000000004</v>
      </c>
      <c r="M7091" s="22" t="s">
        <v>251</v>
      </c>
      <c r="N7091" s="22" t="s">
        <v>896</v>
      </c>
    </row>
    <row r="7092" spans="1:16" hidden="1" x14ac:dyDescent="0.25">
      <c r="A7092" s="21">
        <v>46235</v>
      </c>
      <c r="B7092" s="22" t="s">
        <v>97</v>
      </c>
      <c r="C7092" s="22">
        <v>33</v>
      </c>
      <c r="D7092" s="22" t="s">
        <v>291</v>
      </c>
      <c r="E7092" s="22" t="s">
        <v>292</v>
      </c>
      <c r="F7092" s="22" t="s">
        <v>240</v>
      </c>
      <c r="G7092" s="22" t="s">
        <v>82</v>
      </c>
      <c r="H7092" s="22" t="s">
        <v>105</v>
      </c>
      <c r="I7092" s="22"/>
      <c r="J7092" s="22" t="s">
        <v>212</v>
      </c>
      <c r="K7092" s="22" t="s">
        <v>250</v>
      </c>
      <c r="L7092" s="22">
        <v>20600</v>
      </c>
      <c r="M7092" s="22" t="s">
        <v>242</v>
      </c>
      <c r="N7092" s="22" t="s">
        <v>4293</v>
      </c>
    </row>
    <row r="7093" spans="1:16" hidden="1" x14ac:dyDescent="0.25">
      <c r="A7093" s="21">
        <v>46235</v>
      </c>
      <c r="B7093" s="22" t="s">
        <v>97</v>
      </c>
      <c r="C7093" s="22">
        <v>33</v>
      </c>
      <c r="D7093" s="22" t="s">
        <v>291</v>
      </c>
      <c r="E7093" s="22" t="s">
        <v>292</v>
      </c>
      <c r="F7093" s="22" t="s">
        <v>240</v>
      </c>
      <c r="G7093" s="22" t="s">
        <v>82</v>
      </c>
      <c r="H7093" s="22" t="s">
        <v>106</v>
      </c>
      <c r="I7093" s="22"/>
      <c r="J7093" s="22" t="s">
        <v>212</v>
      </c>
      <c r="K7093" s="22" t="s">
        <v>250</v>
      </c>
      <c r="L7093" s="22">
        <v>60500</v>
      </c>
      <c r="M7093" s="22" t="s">
        <v>242</v>
      </c>
      <c r="N7093" s="22" t="s">
        <v>4294</v>
      </c>
    </row>
    <row r="7094" spans="1:16" hidden="1" x14ac:dyDescent="0.25">
      <c r="A7094" s="21">
        <v>46235</v>
      </c>
      <c r="B7094" s="22" t="s">
        <v>97</v>
      </c>
      <c r="C7094" s="22">
        <v>33</v>
      </c>
      <c r="D7094" s="22" t="s">
        <v>291</v>
      </c>
      <c r="E7094" s="22" t="s">
        <v>292</v>
      </c>
      <c r="F7094" s="22" t="s">
        <v>240</v>
      </c>
      <c r="G7094" s="22" t="s">
        <v>82</v>
      </c>
      <c r="H7094" s="22" t="s">
        <v>83</v>
      </c>
      <c r="I7094" s="22"/>
      <c r="J7094" s="22" t="s">
        <v>212</v>
      </c>
      <c r="K7094" s="22" t="s">
        <v>250</v>
      </c>
      <c r="L7094" s="22">
        <v>14400000</v>
      </c>
      <c r="M7094" s="22" t="s">
        <v>242</v>
      </c>
      <c r="N7094" s="22" t="s">
        <v>4295</v>
      </c>
    </row>
    <row r="7095" spans="1:16" hidden="1" x14ac:dyDescent="0.25">
      <c r="A7095" s="21">
        <v>46235</v>
      </c>
      <c r="B7095" s="22" t="s">
        <v>97</v>
      </c>
      <c r="C7095" s="22">
        <v>33</v>
      </c>
      <c r="D7095" s="22" t="s">
        <v>291</v>
      </c>
      <c r="E7095" s="22" t="s">
        <v>292</v>
      </c>
      <c r="F7095" s="22" t="s">
        <v>240</v>
      </c>
      <c r="G7095" s="22" t="s">
        <v>82</v>
      </c>
      <c r="H7095" s="22" t="s">
        <v>84</v>
      </c>
      <c r="I7095" s="22"/>
      <c r="J7095" s="22" t="s">
        <v>212</v>
      </c>
      <c r="K7095" s="22" t="s">
        <v>250</v>
      </c>
      <c r="L7095" s="22">
        <v>3200000</v>
      </c>
      <c r="M7095" s="22" t="s">
        <v>242</v>
      </c>
      <c r="N7095" s="22" t="s">
        <v>4296</v>
      </c>
    </row>
    <row r="7096" spans="1:16" hidden="1" x14ac:dyDescent="0.25">
      <c r="A7096" s="21">
        <v>46235</v>
      </c>
      <c r="B7096" s="22" t="s">
        <v>97</v>
      </c>
      <c r="C7096" s="22">
        <v>34</v>
      </c>
      <c r="D7096" s="22" t="s">
        <v>291</v>
      </c>
      <c r="E7096" s="22" t="s">
        <v>292</v>
      </c>
      <c r="F7096" s="22" t="s">
        <v>240</v>
      </c>
      <c r="G7096" s="22" t="s">
        <v>82</v>
      </c>
      <c r="H7096" s="22" t="s">
        <v>105</v>
      </c>
      <c r="I7096" s="22" t="s">
        <v>491</v>
      </c>
      <c r="J7096" s="22" t="s">
        <v>212</v>
      </c>
      <c r="K7096" s="22" t="s">
        <v>250</v>
      </c>
      <c r="L7096" s="22">
        <v>9.6300000000000008</v>
      </c>
      <c r="M7096" s="22" t="s">
        <v>251</v>
      </c>
      <c r="N7096" s="22" t="s">
        <v>4297</v>
      </c>
    </row>
    <row r="7097" spans="1:16" hidden="1" x14ac:dyDescent="0.25">
      <c r="A7097" s="21">
        <v>46235</v>
      </c>
      <c r="B7097" s="22" t="s">
        <v>97</v>
      </c>
      <c r="C7097" s="22">
        <v>34</v>
      </c>
      <c r="D7097" s="22" t="s">
        <v>291</v>
      </c>
      <c r="E7097" s="22" t="s">
        <v>292</v>
      </c>
      <c r="F7097" s="22" t="s">
        <v>240</v>
      </c>
      <c r="G7097" s="22" t="s">
        <v>82</v>
      </c>
      <c r="H7097" s="22" t="s">
        <v>105</v>
      </c>
      <c r="I7097" s="22" t="s">
        <v>493</v>
      </c>
      <c r="J7097" s="22" t="s">
        <v>212</v>
      </c>
      <c r="K7097" s="22" t="s">
        <v>250</v>
      </c>
      <c r="L7097" s="22">
        <v>90.37</v>
      </c>
      <c r="M7097" s="22" t="s">
        <v>251</v>
      </c>
      <c r="N7097" s="22" t="s">
        <v>4298</v>
      </c>
    </row>
    <row r="7098" spans="1:16" hidden="1" x14ac:dyDescent="0.25">
      <c r="A7098" s="21">
        <v>46235</v>
      </c>
      <c r="B7098" s="22" t="s">
        <v>97</v>
      </c>
      <c r="C7098" s="22">
        <v>34</v>
      </c>
      <c r="D7098" s="22" t="s">
        <v>291</v>
      </c>
      <c r="E7098" s="22" t="s">
        <v>292</v>
      </c>
      <c r="F7098" s="22" t="s">
        <v>240</v>
      </c>
      <c r="G7098" s="22" t="s">
        <v>82</v>
      </c>
      <c r="H7098" s="22" t="s">
        <v>106</v>
      </c>
      <c r="I7098" s="22" t="s">
        <v>491</v>
      </c>
      <c r="J7098" s="22" t="s">
        <v>212</v>
      </c>
      <c r="K7098" s="22" t="s">
        <v>250</v>
      </c>
      <c r="L7098" s="22">
        <v>13.33</v>
      </c>
      <c r="M7098" s="22" t="s">
        <v>251</v>
      </c>
      <c r="N7098" s="22" t="s">
        <v>4299</v>
      </c>
    </row>
    <row r="7099" spans="1:16" hidden="1" x14ac:dyDescent="0.25">
      <c r="A7099" s="21">
        <v>46235</v>
      </c>
      <c r="B7099" s="22" t="s">
        <v>97</v>
      </c>
      <c r="C7099" s="22">
        <v>34</v>
      </c>
      <c r="D7099" s="22" t="s">
        <v>291</v>
      </c>
      <c r="E7099" s="22" t="s">
        <v>292</v>
      </c>
      <c r="F7099" s="22" t="s">
        <v>240</v>
      </c>
      <c r="G7099" s="22" t="s">
        <v>82</v>
      </c>
      <c r="H7099" s="22" t="s">
        <v>106</v>
      </c>
      <c r="I7099" s="22" t="s">
        <v>493</v>
      </c>
      <c r="J7099" s="22" t="s">
        <v>212</v>
      </c>
      <c r="K7099" s="22" t="s">
        <v>250</v>
      </c>
      <c r="L7099" s="22">
        <v>86.67</v>
      </c>
      <c r="M7099" s="22" t="s">
        <v>251</v>
      </c>
      <c r="N7099" s="22" t="s">
        <v>4300</v>
      </c>
    </row>
    <row r="7100" spans="1:16" hidden="1" x14ac:dyDescent="0.25">
      <c r="A7100" s="21">
        <v>46235</v>
      </c>
      <c r="B7100" s="22" t="s">
        <v>97</v>
      </c>
      <c r="C7100" s="22">
        <v>34</v>
      </c>
      <c r="D7100" s="22" t="s">
        <v>291</v>
      </c>
      <c r="E7100" s="22" t="s">
        <v>292</v>
      </c>
      <c r="F7100" s="22" t="s">
        <v>240</v>
      </c>
      <c r="G7100" s="22" t="s">
        <v>82</v>
      </c>
      <c r="H7100" s="22" t="s">
        <v>83</v>
      </c>
      <c r="I7100" s="22" t="s">
        <v>497</v>
      </c>
      <c r="J7100" s="22" t="s">
        <v>212</v>
      </c>
      <c r="K7100" s="22" t="s">
        <v>250</v>
      </c>
      <c r="L7100" s="22">
        <v>1.22</v>
      </c>
      <c r="M7100" s="22" t="s">
        <v>251</v>
      </c>
      <c r="N7100" s="22" t="s">
        <v>3092</v>
      </c>
    </row>
    <row r="7101" spans="1:16" hidden="1" x14ac:dyDescent="0.25">
      <c r="A7101" s="21">
        <v>46235</v>
      </c>
      <c r="B7101" s="22" t="s">
        <v>97</v>
      </c>
      <c r="C7101" s="22">
        <v>34</v>
      </c>
      <c r="D7101" s="22" t="s">
        <v>291</v>
      </c>
      <c r="E7101" s="22" t="s">
        <v>292</v>
      </c>
      <c r="F7101" s="22" t="s">
        <v>240</v>
      </c>
      <c r="G7101" s="22" t="s">
        <v>82</v>
      </c>
      <c r="H7101" s="22" t="s">
        <v>83</v>
      </c>
      <c r="I7101" s="22" t="s">
        <v>2785</v>
      </c>
      <c r="J7101" s="22" t="s">
        <v>212</v>
      </c>
      <c r="K7101" s="22" t="s">
        <v>250</v>
      </c>
      <c r="L7101" s="22">
        <v>1.21</v>
      </c>
      <c r="M7101" s="22" t="s">
        <v>251</v>
      </c>
      <c r="N7101" s="22" t="s">
        <v>1072</v>
      </c>
    </row>
    <row r="7102" spans="1:16" hidden="1" x14ac:dyDescent="0.25">
      <c r="A7102" s="21">
        <v>46235</v>
      </c>
      <c r="B7102" s="22" t="s">
        <v>97</v>
      </c>
      <c r="C7102" s="22">
        <v>34</v>
      </c>
      <c r="D7102" s="22" t="s">
        <v>291</v>
      </c>
      <c r="E7102" s="22" t="s">
        <v>292</v>
      </c>
      <c r="F7102" s="22" t="s">
        <v>240</v>
      </c>
      <c r="G7102" s="22" t="s">
        <v>82</v>
      </c>
      <c r="H7102" s="22" t="s">
        <v>83</v>
      </c>
      <c r="I7102" s="22" t="s">
        <v>2307</v>
      </c>
      <c r="J7102" s="22" t="s">
        <v>212</v>
      </c>
      <c r="K7102" s="22" t="s">
        <v>250</v>
      </c>
      <c r="L7102" s="22">
        <v>7.0000000000000007E-2</v>
      </c>
      <c r="M7102" s="22" t="s">
        <v>251</v>
      </c>
      <c r="N7102" s="22" t="s">
        <v>975</v>
      </c>
    </row>
    <row r="7103" spans="1:16" hidden="1" x14ac:dyDescent="0.25">
      <c r="A7103" s="21">
        <v>46235</v>
      </c>
      <c r="B7103" s="22" t="s">
        <v>97</v>
      </c>
      <c r="C7103" s="22">
        <v>34</v>
      </c>
      <c r="D7103" s="22" t="s">
        <v>291</v>
      </c>
      <c r="E7103" s="22" t="s">
        <v>292</v>
      </c>
      <c r="F7103" s="22" t="s">
        <v>240</v>
      </c>
      <c r="G7103" s="22" t="s">
        <v>82</v>
      </c>
      <c r="H7103" s="22" t="s">
        <v>83</v>
      </c>
      <c r="I7103" s="22" t="s">
        <v>501</v>
      </c>
      <c r="J7103" s="22" t="s">
        <v>212</v>
      </c>
      <c r="K7103" s="22" t="s">
        <v>250</v>
      </c>
      <c r="L7103" s="22">
        <v>0.01</v>
      </c>
      <c r="M7103" s="22" t="s">
        <v>251</v>
      </c>
      <c r="N7103" s="22" t="s">
        <v>500</v>
      </c>
    </row>
    <row r="7104" spans="1:16" hidden="1" x14ac:dyDescent="0.25">
      <c r="A7104" s="21">
        <v>46235</v>
      </c>
      <c r="B7104" s="22" t="s">
        <v>97</v>
      </c>
      <c r="C7104" s="22">
        <v>34</v>
      </c>
      <c r="D7104" s="22" t="s">
        <v>291</v>
      </c>
      <c r="E7104" s="22" t="s">
        <v>292</v>
      </c>
      <c r="F7104" s="22" t="s">
        <v>240</v>
      </c>
      <c r="G7104" s="22" t="s">
        <v>82</v>
      </c>
      <c r="H7104" s="22" t="s">
        <v>83</v>
      </c>
      <c r="I7104" s="22" t="s">
        <v>503</v>
      </c>
      <c r="J7104" s="22" t="s">
        <v>212</v>
      </c>
      <c r="K7104" s="22" t="s">
        <v>250</v>
      </c>
      <c r="L7104" s="22">
        <v>0.33</v>
      </c>
      <c r="M7104" s="22" t="s">
        <v>251</v>
      </c>
      <c r="N7104" s="22" t="s">
        <v>1623</v>
      </c>
    </row>
    <row r="7105" spans="1:16" hidden="1" x14ac:dyDescent="0.25">
      <c r="A7105" s="21">
        <v>46235</v>
      </c>
      <c r="B7105" s="22" t="s">
        <v>97</v>
      </c>
      <c r="C7105" s="22">
        <v>34</v>
      </c>
      <c r="D7105" s="22" t="s">
        <v>291</v>
      </c>
      <c r="E7105" s="22" t="s">
        <v>292</v>
      </c>
      <c r="F7105" s="22" t="s">
        <v>240</v>
      </c>
      <c r="G7105" s="22" t="s">
        <v>82</v>
      </c>
      <c r="H7105" s="22" t="s">
        <v>83</v>
      </c>
      <c r="I7105" s="22" t="s">
        <v>315</v>
      </c>
      <c r="J7105" s="22" t="s">
        <v>212</v>
      </c>
      <c r="K7105" s="22" t="s">
        <v>250</v>
      </c>
      <c r="L7105" s="22">
        <v>81.209999999999994</v>
      </c>
      <c r="M7105" s="22" t="s">
        <v>251</v>
      </c>
      <c r="N7105" s="22" t="s">
        <v>4301</v>
      </c>
    </row>
    <row r="7106" spans="1:16" hidden="1" x14ac:dyDescent="0.25">
      <c r="A7106" s="21">
        <v>46235</v>
      </c>
      <c r="B7106" s="22" t="s">
        <v>97</v>
      </c>
      <c r="C7106" s="22">
        <v>34</v>
      </c>
      <c r="D7106" s="22" t="s">
        <v>291</v>
      </c>
      <c r="E7106" s="22" t="s">
        <v>292</v>
      </c>
      <c r="F7106" s="22" t="s">
        <v>240</v>
      </c>
      <c r="G7106" s="22" t="s">
        <v>82</v>
      </c>
      <c r="H7106" s="22" t="s">
        <v>83</v>
      </c>
      <c r="I7106" s="22" t="s">
        <v>317</v>
      </c>
      <c r="J7106" s="22" t="s">
        <v>212</v>
      </c>
      <c r="K7106" s="22" t="s">
        <v>250</v>
      </c>
      <c r="L7106" s="22">
        <v>15.95</v>
      </c>
      <c r="M7106" s="22" t="s">
        <v>251</v>
      </c>
      <c r="N7106" s="22" t="s">
        <v>4302</v>
      </c>
    </row>
    <row r="7107" spans="1:16" hidden="1" x14ac:dyDescent="0.25">
      <c r="A7107" s="21">
        <v>46235</v>
      </c>
      <c r="B7107" s="22" t="s">
        <v>97</v>
      </c>
      <c r="C7107" s="22">
        <v>34</v>
      </c>
      <c r="D7107" s="22" t="s">
        <v>291</v>
      </c>
      <c r="E7107" s="22" t="s">
        <v>292</v>
      </c>
      <c r="F7107" s="22" t="s">
        <v>240</v>
      </c>
      <c r="G7107" s="22" t="s">
        <v>82</v>
      </c>
      <c r="H7107" s="22" t="s">
        <v>84</v>
      </c>
      <c r="I7107" s="22" t="s">
        <v>84</v>
      </c>
      <c r="J7107" s="22" t="s">
        <v>212</v>
      </c>
      <c r="K7107" s="22" t="s">
        <v>250</v>
      </c>
      <c r="L7107" s="22">
        <v>85.51</v>
      </c>
      <c r="M7107" s="22" t="s">
        <v>251</v>
      </c>
      <c r="N7107" s="22" t="s">
        <v>4303</v>
      </c>
    </row>
    <row r="7108" spans="1:16" hidden="1" x14ac:dyDescent="0.25">
      <c r="A7108" s="21">
        <v>46235</v>
      </c>
      <c r="B7108" s="22" t="s">
        <v>97</v>
      </c>
      <c r="C7108" s="22">
        <v>34</v>
      </c>
      <c r="D7108" s="22" t="s">
        <v>291</v>
      </c>
      <c r="E7108" s="22" t="s">
        <v>292</v>
      </c>
      <c r="F7108" s="22" t="s">
        <v>240</v>
      </c>
      <c r="G7108" s="22" t="s">
        <v>82</v>
      </c>
      <c r="H7108" s="22" t="s">
        <v>84</v>
      </c>
      <c r="I7108" s="22" t="s">
        <v>321</v>
      </c>
      <c r="J7108" s="22" t="s">
        <v>212</v>
      </c>
      <c r="K7108" s="22" t="s">
        <v>250</v>
      </c>
      <c r="L7108" s="22">
        <v>14.49</v>
      </c>
      <c r="M7108" s="22" t="s">
        <v>251</v>
      </c>
      <c r="N7108" s="22" t="s">
        <v>4304</v>
      </c>
    </row>
    <row r="7109" spans="1:16" hidden="1" x14ac:dyDescent="0.25">
      <c r="A7109" s="21">
        <v>46235</v>
      </c>
      <c r="B7109" s="22" t="s">
        <v>97</v>
      </c>
      <c r="C7109" s="22">
        <v>35</v>
      </c>
      <c r="D7109" s="22" t="s">
        <v>253</v>
      </c>
      <c r="E7109" s="22" t="s">
        <v>248</v>
      </c>
      <c r="F7109" s="22" t="s">
        <v>244</v>
      </c>
      <c r="G7109" s="22" t="s">
        <v>82</v>
      </c>
      <c r="H7109" s="22"/>
      <c r="I7109" s="22"/>
      <c r="J7109" s="22" t="s">
        <v>210</v>
      </c>
      <c r="K7109" s="22" t="s">
        <v>255</v>
      </c>
      <c r="L7109" s="22">
        <v>671000000</v>
      </c>
      <c r="M7109" s="22" t="s">
        <v>245</v>
      </c>
      <c r="N7109" s="22" t="s">
        <v>3971</v>
      </c>
      <c r="O7109">
        <v>1</v>
      </c>
      <c r="P7109" t="s">
        <v>257</v>
      </c>
    </row>
    <row r="7110" spans="1:16" hidden="1" x14ac:dyDescent="0.25">
      <c r="A7110" s="21">
        <v>46235</v>
      </c>
      <c r="B7110" s="22" t="s">
        <v>97</v>
      </c>
      <c r="C7110" s="22">
        <v>35</v>
      </c>
      <c r="D7110" s="22" t="s">
        <v>253</v>
      </c>
      <c r="E7110" s="22" t="s">
        <v>248</v>
      </c>
      <c r="F7110" s="22" t="s">
        <v>244</v>
      </c>
      <c r="G7110" s="22" t="s">
        <v>82</v>
      </c>
      <c r="H7110" s="22"/>
      <c r="I7110" s="22"/>
      <c r="J7110" s="22" t="s">
        <v>211</v>
      </c>
      <c r="K7110" s="22" t="s">
        <v>255</v>
      </c>
      <c r="L7110" s="22">
        <v>752000000</v>
      </c>
      <c r="M7110" s="22" t="s">
        <v>245</v>
      </c>
      <c r="N7110" s="22" t="s">
        <v>4104</v>
      </c>
      <c r="O7110">
        <v>1</v>
      </c>
      <c r="P7110" t="s">
        <v>257</v>
      </c>
    </row>
    <row r="7111" spans="1:16" hidden="1" x14ac:dyDescent="0.25">
      <c r="A7111" s="21">
        <v>46235</v>
      </c>
      <c r="B7111" s="22" t="s">
        <v>97</v>
      </c>
      <c r="C7111" s="22">
        <v>35</v>
      </c>
      <c r="D7111" s="22" t="s">
        <v>253</v>
      </c>
      <c r="E7111" s="22" t="s">
        <v>248</v>
      </c>
      <c r="F7111" s="22" t="s">
        <v>244</v>
      </c>
      <c r="G7111" s="22" t="s">
        <v>82</v>
      </c>
      <c r="H7111" s="22"/>
      <c r="I7111" s="22"/>
      <c r="J7111" s="22" t="s">
        <v>212</v>
      </c>
      <c r="K7111" s="22" t="s">
        <v>255</v>
      </c>
      <c r="L7111" s="22">
        <v>770000000</v>
      </c>
      <c r="M7111" s="22" t="s">
        <v>245</v>
      </c>
      <c r="N7111" s="22" t="s">
        <v>4305</v>
      </c>
      <c r="O7111">
        <v>1</v>
      </c>
      <c r="P7111" t="s">
        <v>261</v>
      </c>
    </row>
    <row r="7112" spans="1:16" hidden="1" x14ac:dyDescent="0.25">
      <c r="A7112" s="21">
        <v>46235</v>
      </c>
      <c r="B7112" s="22" t="s">
        <v>97</v>
      </c>
      <c r="C7112" s="22">
        <v>35</v>
      </c>
      <c r="D7112" s="22" t="s">
        <v>247</v>
      </c>
      <c r="E7112" s="22" t="s">
        <v>248</v>
      </c>
      <c r="F7112" s="22" t="s">
        <v>244</v>
      </c>
      <c r="G7112" s="22" t="s">
        <v>82</v>
      </c>
      <c r="H7112" s="22" t="s">
        <v>286</v>
      </c>
      <c r="I7112" s="22"/>
      <c r="J7112" s="22" t="s">
        <v>212</v>
      </c>
      <c r="K7112" s="22" t="s">
        <v>250</v>
      </c>
      <c r="L7112" s="22">
        <v>2.5</v>
      </c>
      <c r="M7112" s="22" t="s">
        <v>251</v>
      </c>
      <c r="N7112" s="22" t="s">
        <v>287</v>
      </c>
    </row>
    <row r="7113" spans="1:16" hidden="1" x14ac:dyDescent="0.25">
      <c r="A7113" s="21">
        <v>46235</v>
      </c>
      <c r="B7113" s="22" t="s">
        <v>97</v>
      </c>
      <c r="C7113" s="22">
        <v>36</v>
      </c>
      <c r="D7113" s="22" t="s">
        <v>291</v>
      </c>
      <c r="E7113" s="22" t="s">
        <v>292</v>
      </c>
      <c r="F7113" s="22" t="s">
        <v>244</v>
      </c>
      <c r="G7113" s="22" t="s">
        <v>82</v>
      </c>
      <c r="H7113" s="22" t="s">
        <v>105</v>
      </c>
      <c r="I7113" s="22"/>
      <c r="J7113" s="22" t="s">
        <v>212</v>
      </c>
      <c r="K7113" s="22" t="s">
        <v>250</v>
      </c>
      <c r="L7113" s="22">
        <v>3900000</v>
      </c>
      <c r="M7113" s="22" t="s">
        <v>245</v>
      </c>
      <c r="N7113" s="22" t="s">
        <v>4306</v>
      </c>
    </row>
    <row r="7114" spans="1:16" hidden="1" x14ac:dyDescent="0.25">
      <c r="A7114" s="21">
        <v>46235</v>
      </c>
      <c r="B7114" s="22" t="s">
        <v>97</v>
      </c>
      <c r="C7114" s="22">
        <v>36</v>
      </c>
      <c r="D7114" s="22" t="s">
        <v>291</v>
      </c>
      <c r="E7114" s="22" t="s">
        <v>292</v>
      </c>
      <c r="F7114" s="22" t="s">
        <v>244</v>
      </c>
      <c r="G7114" s="22" t="s">
        <v>82</v>
      </c>
      <c r="H7114" s="22" t="s">
        <v>106</v>
      </c>
      <c r="I7114" s="22"/>
      <c r="J7114" s="22" t="s">
        <v>212</v>
      </c>
      <c r="K7114" s="22" t="s">
        <v>250</v>
      </c>
      <c r="L7114" s="22">
        <v>9500000</v>
      </c>
      <c r="M7114" s="22" t="s">
        <v>245</v>
      </c>
      <c r="N7114" s="22" t="s">
        <v>4307</v>
      </c>
    </row>
    <row r="7115" spans="1:16" hidden="1" x14ac:dyDescent="0.25">
      <c r="A7115" s="21">
        <v>46235</v>
      </c>
      <c r="B7115" s="22" t="s">
        <v>97</v>
      </c>
      <c r="C7115" s="22">
        <v>36</v>
      </c>
      <c r="D7115" s="22" t="s">
        <v>291</v>
      </c>
      <c r="E7115" s="22" t="s">
        <v>292</v>
      </c>
      <c r="F7115" s="22" t="s">
        <v>244</v>
      </c>
      <c r="G7115" s="22" t="s">
        <v>82</v>
      </c>
      <c r="H7115" s="22" t="s">
        <v>83</v>
      </c>
      <c r="I7115" s="22"/>
      <c r="J7115" s="22" t="s">
        <v>212</v>
      </c>
      <c r="K7115" s="22" t="s">
        <v>250</v>
      </c>
      <c r="L7115" s="22">
        <v>582300000</v>
      </c>
      <c r="M7115" s="22" t="s">
        <v>245</v>
      </c>
      <c r="N7115" s="22" t="s">
        <v>4308</v>
      </c>
    </row>
    <row r="7116" spans="1:16" hidden="1" x14ac:dyDescent="0.25">
      <c r="A7116" s="21">
        <v>46235</v>
      </c>
      <c r="B7116" s="22" t="s">
        <v>97</v>
      </c>
      <c r="C7116" s="22">
        <v>36</v>
      </c>
      <c r="D7116" s="22" t="s">
        <v>291</v>
      </c>
      <c r="E7116" s="22" t="s">
        <v>292</v>
      </c>
      <c r="F7116" s="22" t="s">
        <v>244</v>
      </c>
      <c r="G7116" s="22" t="s">
        <v>82</v>
      </c>
      <c r="H7116" s="22" t="s">
        <v>84</v>
      </c>
      <c r="I7116" s="22"/>
      <c r="J7116" s="22" t="s">
        <v>212</v>
      </c>
      <c r="K7116" s="22" t="s">
        <v>250</v>
      </c>
      <c r="L7116" s="22">
        <v>174500000</v>
      </c>
      <c r="M7116" s="22" t="s">
        <v>245</v>
      </c>
      <c r="N7116" s="22" t="s">
        <v>4309</v>
      </c>
    </row>
    <row r="7117" spans="1:16" hidden="1" x14ac:dyDescent="0.25">
      <c r="A7117" s="21">
        <v>46235</v>
      </c>
      <c r="B7117" s="22" t="s">
        <v>97</v>
      </c>
      <c r="C7117" s="22">
        <v>37</v>
      </c>
      <c r="D7117" s="22" t="s">
        <v>291</v>
      </c>
      <c r="E7117" s="22" t="s">
        <v>292</v>
      </c>
      <c r="F7117" s="22" t="s">
        <v>244</v>
      </c>
      <c r="G7117" s="22" t="s">
        <v>82</v>
      </c>
      <c r="H7117" s="22" t="s">
        <v>105</v>
      </c>
      <c r="I7117" s="22" t="s">
        <v>491</v>
      </c>
      <c r="J7117" s="22" t="s">
        <v>212</v>
      </c>
      <c r="K7117" s="22" t="s">
        <v>250</v>
      </c>
      <c r="L7117" s="22">
        <v>7.84</v>
      </c>
      <c r="M7117" s="22" t="s">
        <v>251</v>
      </c>
      <c r="N7117" s="22" t="s">
        <v>4310</v>
      </c>
    </row>
    <row r="7118" spans="1:16" hidden="1" x14ac:dyDescent="0.25">
      <c r="A7118" s="21">
        <v>46235</v>
      </c>
      <c r="B7118" s="22" t="s">
        <v>97</v>
      </c>
      <c r="C7118" s="22">
        <v>37</v>
      </c>
      <c r="D7118" s="22" t="s">
        <v>291</v>
      </c>
      <c r="E7118" s="22" t="s">
        <v>292</v>
      </c>
      <c r="F7118" s="22" t="s">
        <v>244</v>
      </c>
      <c r="G7118" s="22" t="s">
        <v>82</v>
      </c>
      <c r="H7118" s="22" t="s">
        <v>105</v>
      </c>
      <c r="I7118" s="22" t="s">
        <v>493</v>
      </c>
      <c r="J7118" s="22" t="s">
        <v>212</v>
      </c>
      <c r="K7118" s="22" t="s">
        <v>250</v>
      </c>
      <c r="L7118" s="22">
        <v>92.16</v>
      </c>
      <c r="M7118" s="22" t="s">
        <v>251</v>
      </c>
      <c r="N7118" s="22" t="s">
        <v>4311</v>
      </c>
    </row>
    <row r="7119" spans="1:16" hidden="1" x14ac:dyDescent="0.25">
      <c r="A7119" s="21">
        <v>46235</v>
      </c>
      <c r="B7119" s="22" t="s">
        <v>97</v>
      </c>
      <c r="C7119" s="22">
        <v>37</v>
      </c>
      <c r="D7119" s="22" t="s">
        <v>291</v>
      </c>
      <c r="E7119" s="22" t="s">
        <v>292</v>
      </c>
      <c r="F7119" s="22" t="s">
        <v>244</v>
      </c>
      <c r="G7119" s="22" t="s">
        <v>82</v>
      </c>
      <c r="H7119" s="22" t="s">
        <v>106</v>
      </c>
      <c r="I7119" s="22" t="s">
        <v>491</v>
      </c>
      <c r="J7119" s="22" t="s">
        <v>212</v>
      </c>
      <c r="K7119" s="22" t="s">
        <v>250</v>
      </c>
      <c r="L7119" s="22">
        <v>19.2</v>
      </c>
      <c r="M7119" s="22" t="s">
        <v>251</v>
      </c>
      <c r="N7119" s="22" t="s">
        <v>4312</v>
      </c>
    </row>
    <row r="7120" spans="1:16" hidden="1" x14ac:dyDescent="0.25">
      <c r="A7120" s="21">
        <v>46235</v>
      </c>
      <c r="B7120" s="22" t="s">
        <v>97</v>
      </c>
      <c r="C7120" s="22">
        <v>37</v>
      </c>
      <c r="D7120" s="22" t="s">
        <v>291</v>
      </c>
      <c r="E7120" s="22" t="s">
        <v>292</v>
      </c>
      <c r="F7120" s="22" t="s">
        <v>244</v>
      </c>
      <c r="G7120" s="22" t="s">
        <v>82</v>
      </c>
      <c r="H7120" s="22" t="s">
        <v>106</v>
      </c>
      <c r="I7120" s="22" t="s">
        <v>493</v>
      </c>
      <c r="J7120" s="22" t="s">
        <v>212</v>
      </c>
      <c r="K7120" s="22" t="s">
        <v>250</v>
      </c>
      <c r="L7120" s="22">
        <v>80.8</v>
      </c>
      <c r="M7120" s="22" t="s">
        <v>251</v>
      </c>
      <c r="N7120" s="22" t="s">
        <v>4313</v>
      </c>
    </row>
    <row r="7121" spans="1:16" hidden="1" x14ac:dyDescent="0.25">
      <c r="A7121" s="21">
        <v>46235</v>
      </c>
      <c r="B7121" s="22" t="s">
        <v>97</v>
      </c>
      <c r="C7121" s="22">
        <v>37</v>
      </c>
      <c r="D7121" s="22" t="s">
        <v>291</v>
      </c>
      <c r="E7121" s="22" t="s">
        <v>292</v>
      </c>
      <c r="F7121" s="22" t="s">
        <v>244</v>
      </c>
      <c r="G7121" s="22" t="s">
        <v>82</v>
      </c>
      <c r="H7121" s="22" t="s">
        <v>83</v>
      </c>
      <c r="I7121" s="22" t="s">
        <v>497</v>
      </c>
      <c r="J7121" s="22" t="s">
        <v>212</v>
      </c>
      <c r="K7121" s="22" t="s">
        <v>250</v>
      </c>
      <c r="L7121" s="22">
        <v>3.62</v>
      </c>
      <c r="M7121" s="22" t="s">
        <v>251</v>
      </c>
      <c r="N7121" s="22" t="s">
        <v>4314</v>
      </c>
    </row>
    <row r="7122" spans="1:16" hidden="1" x14ac:dyDescent="0.25">
      <c r="A7122" s="21">
        <v>46235</v>
      </c>
      <c r="B7122" s="22" t="s">
        <v>97</v>
      </c>
      <c r="C7122" s="22">
        <v>37</v>
      </c>
      <c r="D7122" s="22" t="s">
        <v>291</v>
      </c>
      <c r="E7122" s="22" t="s">
        <v>292</v>
      </c>
      <c r="F7122" s="22" t="s">
        <v>244</v>
      </c>
      <c r="G7122" s="22" t="s">
        <v>82</v>
      </c>
      <c r="H7122" s="22" t="s">
        <v>83</v>
      </c>
      <c r="I7122" s="22" t="s">
        <v>2785</v>
      </c>
      <c r="J7122" s="22" t="s">
        <v>212</v>
      </c>
      <c r="K7122" s="22" t="s">
        <v>250</v>
      </c>
      <c r="L7122" s="22">
        <v>7.1</v>
      </c>
      <c r="M7122" s="22" t="s">
        <v>251</v>
      </c>
      <c r="N7122" s="22" t="s">
        <v>3415</v>
      </c>
    </row>
    <row r="7123" spans="1:16" hidden="1" x14ac:dyDescent="0.25">
      <c r="A7123" s="21">
        <v>46235</v>
      </c>
      <c r="B7123" s="22" t="s">
        <v>97</v>
      </c>
      <c r="C7123" s="22">
        <v>37</v>
      </c>
      <c r="D7123" s="22" t="s">
        <v>291</v>
      </c>
      <c r="E7123" s="22" t="s">
        <v>292</v>
      </c>
      <c r="F7123" s="22" t="s">
        <v>244</v>
      </c>
      <c r="G7123" s="22" t="s">
        <v>82</v>
      </c>
      <c r="H7123" s="22" t="s">
        <v>83</v>
      </c>
      <c r="I7123" s="22" t="s">
        <v>2307</v>
      </c>
      <c r="J7123" s="22" t="s">
        <v>212</v>
      </c>
      <c r="K7123" s="22" t="s">
        <v>250</v>
      </c>
      <c r="L7123" s="22">
        <v>1.17</v>
      </c>
      <c r="M7123" s="22" t="s">
        <v>251</v>
      </c>
      <c r="N7123" s="22" t="s">
        <v>4315</v>
      </c>
    </row>
    <row r="7124" spans="1:16" hidden="1" x14ac:dyDescent="0.25">
      <c r="A7124" s="21">
        <v>46235</v>
      </c>
      <c r="B7124" s="22" t="s">
        <v>97</v>
      </c>
      <c r="C7124" s="22">
        <v>37</v>
      </c>
      <c r="D7124" s="22" t="s">
        <v>291</v>
      </c>
      <c r="E7124" s="22" t="s">
        <v>292</v>
      </c>
      <c r="F7124" s="22" t="s">
        <v>244</v>
      </c>
      <c r="G7124" s="22" t="s">
        <v>82</v>
      </c>
      <c r="H7124" s="22" t="s">
        <v>83</v>
      </c>
      <c r="I7124" s="22" t="s">
        <v>501</v>
      </c>
      <c r="J7124" s="22" t="s">
        <v>212</v>
      </c>
      <c r="K7124" s="22" t="s">
        <v>250</v>
      </c>
      <c r="L7124" s="22">
        <v>0.03</v>
      </c>
      <c r="M7124" s="22" t="s">
        <v>251</v>
      </c>
      <c r="N7124" s="22" t="s">
        <v>522</v>
      </c>
    </row>
    <row r="7125" spans="1:16" hidden="1" x14ac:dyDescent="0.25">
      <c r="A7125" s="21">
        <v>46235</v>
      </c>
      <c r="B7125" s="22" t="s">
        <v>97</v>
      </c>
      <c r="C7125" s="22">
        <v>37</v>
      </c>
      <c r="D7125" s="22" t="s">
        <v>291</v>
      </c>
      <c r="E7125" s="22" t="s">
        <v>292</v>
      </c>
      <c r="F7125" s="22" t="s">
        <v>244</v>
      </c>
      <c r="G7125" s="22" t="s">
        <v>82</v>
      </c>
      <c r="H7125" s="22" t="s">
        <v>83</v>
      </c>
      <c r="I7125" s="22" t="s">
        <v>503</v>
      </c>
      <c r="J7125" s="22" t="s">
        <v>212</v>
      </c>
      <c r="K7125" s="22" t="s">
        <v>250</v>
      </c>
      <c r="L7125" s="22">
        <v>1.19</v>
      </c>
      <c r="M7125" s="22" t="s">
        <v>251</v>
      </c>
      <c r="N7125" s="22" t="s">
        <v>4096</v>
      </c>
    </row>
    <row r="7126" spans="1:16" hidden="1" x14ac:dyDescent="0.25">
      <c r="A7126" s="21">
        <v>46235</v>
      </c>
      <c r="B7126" s="22" t="s">
        <v>97</v>
      </c>
      <c r="C7126" s="22">
        <v>37</v>
      </c>
      <c r="D7126" s="22" t="s">
        <v>291</v>
      </c>
      <c r="E7126" s="22" t="s">
        <v>292</v>
      </c>
      <c r="F7126" s="22" t="s">
        <v>244</v>
      </c>
      <c r="G7126" s="22" t="s">
        <v>82</v>
      </c>
      <c r="H7126" s="22" t="s">
        <v>83</v>
      </c>
      <c r="I7126" s="22" t="s">
        <v>315</v>
      </c>
      <c r="J7126" s="22" t="s">
        <v>212</v>
      </c>
      <c r="K7126" s="22" t="s">
        <v>250</v>
      </c>
      <c r="L7126" s="22">
        <v>64.23</v>
      </c>
      <c r="M7126" s="22" t="s">
        <v>251</v>
      </c>
      <c r="N7126" s="22" t="s">
        <v>4316</v>
      </c>
    </row>
    <row r="7127" spans="1:16" hidden="1" x14ac:dyDescent="0.25">
      <c r="A7127" s="21">
        <v>46235</v>
      </c>
      <c r="B7127" s="22" t="s">
        <v>97</v>
      </c>
      <c r="C7127" s="22">
        <v>37</v>
      </c>
      <c r="D7127" s="22" t="s">
        <v>291</v>
      </c>
      <c r="E7127" s="22" t="s">
        <v>292</v>
      </c>
      <c r="F7127" s="22" t="s">
        <v>244</v>
      </c>
      <c r="G7127" s="22" t="s">
        <v>82</v>
      </c>
      <c r="H7127" s="22" t="s">
        <v>83</v>
      </c>
      <c r="I7127" s="22" t="s">
        <v>317</v>
      </c>
      <c r="J7127" s="22" t="s">
        <v>212</v>
      </c>
      <c r="K7127" s="22" t="s">
        <v>250</v>
      </c>
      <c r="L7127" s="22">
        <v>22.65</v>
      </c>
      <c r="M7127" s="22" t="s">
        <v>251</v>
      </c>
      <c r="N7127" s="22" t="s">
        <v>4317</v>
      </c>
    </row>
    <row r="7128" spans="1:16" hidden="1" x14ac:dyDescent="0.25">
      <c r="A7128" s="21">
        <v>46235</v>
      </c>
      <c r="B7128" s="22" t="s">
        <v>97</v>
      </c>
      <c r="C7128" s="22">
        <v>37</v>
      </c>
      <c r="D7128" s="22" t="s">
        <v>291</v>
      </c>
      <c r="E7128" s="22" t="s">
        <v>292</v>
      </c>
      <c r="F7128" s="22" t="s">
        <v>244</v>
      </c>
      <c r="G7128" s="22" t="s">
        <v>82</v>
      </c>
      <c r="H7128" s="22" t="s">
        <v>84</v>
      </c>
      <c r="I7128" s="22" t="s">
        <v>84</v>
      </c>
      <c r="J7128" s="22" t="s">
        <v>212</v>
      </c>
      <c r="K7128" s="22" t="s">
        <v>250</v>
      </c>
      <c r="L7128" s="22">
        <v>97.46</v>
      </c>
      <c r="M7128" s="22" t="s">
        <v>251</v>
      </c>
      <c r="N7128" s="22" t="s">
        <v>4318</v>
      </c>
    </row>
    <row r="7129" spans="1:16" hidden="1" x14ac:dyDescent="0.25">
      <c r="A7129" s="21">
        <v>46235</v>
      </c>
      <c r="B7129" s="22" t="s">
        <v>97</v>
      </c>
      <c r="C7129" s="22">
        <v>37</v>
      </c>
      <c r="D7129" s="22" t="s">
        <v>291</v>
      </c>
      <c r="E7129" s="22" t="s">
        <v>292</v>
      </c>
      <c r="F7129" s="22" t="s">
        <v>244</v>
      </c>
      <c r="G7129" s="22" t="s">
        <v>82</v>
      </c>
      <c r="H7129" s="22" t="s">
        <v>84</v>
      </c>
      <c r="I7129" s="22" t="s">
        <v>321</v>
      </c>
      <c r="J7129" s="22" t="s">
        <v>212</v>
      </c>
      <c r="K7129" s="22" t="s">
        <v>250</v>
      </c>
      <c r="L7129" s="22">
        <v>2.54</v>
      </c>
      <c r="M7129" s="22" t="s">
        <v>251</v>
      </c>
      <c r="N7129" s="22" t="s">
        <v>1093</v>
      </c>
    </row>
    <row r="7130" spans="1:16" hidden="1" x14ac:dyDescent="0.25">
      <c r="A7130" s="21">
        <v>46235</v>
      </c>
      <c r="B7130" s="22" t="s">
        <v>97</v>
      </c>
      <c r="C7130" s="22">
        <v>38</v>
      </c>
      <c r="D7130" s="22" t="s">
        <v>253</v>
      </c>
      <c r="E7130" s="22" t="s">
        <v>248</v>
      </c>
      <c r="F7130" s="22" t="s">
        <v>334</v>
      </c>
      <c r="G7130" s="22" t="s">
        <v>82</v>
      </c>
      <c r="H7130" s="22"/>
      <c r="I7130" s="22"/>
      <c r="J7130" s="22" t="s">
        <v>210</v>
      </c>
      <c r="K7130" s="22" t="s">
        <v>255</v>
      </c>
      <c r="L7130" s="22">
        <v>45</v>
      </c>
      <c r="M7130" s="22" t="s">
        <v>245</v>
      </c>
      <c r="N7130" s="22" t="s">
        <v>2183</v>
      </c>
      <c r="O7130">
        <v>1</v>
      </c>
      <c r="P7130" t="s">
        <v>257</v>
      </c>
    </row>
    <row r="7131" spans="1:16" hidden="1" x14ac:dyDescent="0.25">
      <c r="A7131" s="21">
        <v>46235</v>
      </c>
      <c r="B7131" s="22" t="s">
        <v>97</v>
      </c>
      <c r="C7131" s="22">
        <v>38</v>
      </c>
      <c r="D7131" s="22" t="s">
        <v>253</v>
      </c>
      <c r="E7131" s="22" t="s">
        <v>248</v>
      </c>
      <c r="F7131" s="22" t="s">
        <v>334</v>
      </c>
      <c r="G7131" s="22" t="s">
        <v>82</v>
      </c>
      <c r="H7131" s="22"/>
      <c r="I7131" s="22"/>
      <c r="J7131" s="22" t="s">
        <v>211</v>
      </c>
      <c r="K7131" s="22" t="s">
        <v>255</v>
      </c>
      <c r="L7131" s="22">
        <v>45</v>
      </c>
      <c r="M7131" s="22" t="s">
        <v>245</v>
      </c>
      <c r="N7131" s="22" t="s">
        <v>2183</v>
      </c>
      <c r="O7131">
        <v>1</v>
      </c>
      <c r="P7131" t="s">
        <v>257</v>
      </c>
    </row>
    <row r="7132" spans="1:16" hidden="1" x14ac:dyDescent="0.25">
      <c r="A7132" s="21">
        <v>46235</v>
      </c>
      <c r="B7132" s="22" t="s">
        <v>97</v>
      </c>
      <c r="C7132" s="22">
        <v>38</v>
      </c>
      <c r="D7132" s="22" t="s">
        <v>253</v>
      </c>
      <c r="E7132" s="22" t="s">
        <v>248</v>
      </c>
      <c r="F7132" s="22" t="s">
        <v>334</v>
      </c>
      <c r="G7132" s="22" t="s">
        <v>82</v>
      </c>
      <c r="H7132" s="22"/>
      <c r="I7132" s="22"/>
      <c r="J7132" s="22" t="s">
        <v>212</v>
      </c>
      <c r="K7132" s="22" t="s">
        <v>255</v>
      </c>
      <c r="L7132" s="22">
        <v>44</v>
      </c>
      <c r="M7132" s="22" t="s">
        <v>245</v>
      </c>
      <c r="N7132" s="22" t="s">
        <v>3611</v>
      </c>
      <c r="O7132">
        <v>1</v>
      </c>
      <c r="P7132" t="s">
        <v>261</v>
      </c>
    </row>
    <row r="7133" spans="1:16" hidden="1" x14ac:dyDescent="0.25">
      <c r="A7133" s="21">
        <v>46235</v>
      </c>
      <c r="B7133" s="22" t="s">
        <v>97</v>
      </c>
      <c r="C7133" s="22">
        <v>39</v>
      </c>
      <c r="D7133" s="22" t="s">
        <v>291</v>
      </c>
      <c r="E7133" s="22" t="s">
        <v>292</v>
      </c>
      <c r="F7133" s="22" t="s">
        <v>240</v>
      </c>
      <c r="G7133" s="22" t="s">
        <v>82</v>
      </c>
      <c r="H7133" s="22" t="s">
        <v>94</v>
      </c>
      <c r="I7133" s="22"/>
      <c r="J7133" s="22" t="s">
        <v>212</v>
      </c>
      <c r="K7133" s="22" t="s">
        <v>250</v>
      </c>
      <c r="L7133" s="22">
        <v>3480000</v>
      </c>
      <c r="M7133" s="22" t="s">
        <v>242</v>
      </c>
      <c r="N7133" s="22" t="s">
        <v>3397</v>
      </c>
    </row>
    <row r="7134" spans="1:16" hidden="1" x14ac:dyDescent="0.25">
      <c r="A7134" s="21">
        <v>46235</v>
      </c>
      <c r="B7134" s="22" t="s">
        <v>97</v>
      </c>
      <c r="C7134" s="22">
        <v>39</v>
      </c>
      <c r="D7134" s="22" t="s">
        <v>291</v>
      </c>
      <c r="E7134" s="22" t="s">
        <v>292</v>
      </c>
      <c r="F7134" s="22" t="s">
        <v>240</v>
      </c>
      <c r="G7134" s="22" t="s">
        <v>82</v>
      </c>
      <c r="H7134" s="22" t="s">
        <v>95</v>
      </c>
      <c r="I7134" s="22"/>
      <c r="J7134" s="22" t="s">
        <v>212</v>
      </c>
      <c r="K7134" s="22" t="s">
        <v>250</v>
      </c>
      <c r="L7134" s="22">
        <v>6680000</v>
      </c>
      <c r="M7134" s="22" t="s">
        <v>242</v>
      </c>
      <c r="N7134" s="22" t="s">
        <v>4319</v>
      </c>
    </row>
    <row r="7135" spans="1:16" hidden="1" x14ac:dyDescent="0.25">
      <c r="A7135" s="21">
        <v>46235</v>
      </c>
      <c r="B7135" s="22" t="s">
        <v>97</v>
      </c>
      <c r="C7135" s="22">
        <v>40</v>
      </c>
      <c r="D7135" s="22" t="s">
        <v>291</v>
      </c>
      <c r="E7135" s="22" t="s">
        <v>292</v>
      </c>
      <c r="F7135" s="22" t="s">
        <v>244</v>
      </c>
      <c r="G7135" s="22" t="s">
        <v>82</v>
      </c>
      <c r="H7135" s="22" t="s">
        <v>94</v>
      </c>
      <c r="I7135" s="22"/>
      <c r="J7135" s="22" t="s">
        <v>212</v>
      </c>
      <c r="K7135" s="22" t="s">
        <v>250</v>
      </c>
      <c r="L7135" s="22">
        <v>110360000</v>
      </c>
      <c r="M7135" s="22" t="s">
        <v>245</v>
      </c>
      <c r="N7135" s="22" t="s">
        <v>4320</v>
      </c>
    </row>
    <row r="7136" spans="1:16" hidden="1" x14ac:dyDescent="0.25">
      <c r="A7136" s="21">
        <v>46235</v>
      </c>
      <c r="B7136" s="22" t="s">
        <v>97</v>
      </c>
      <c r="C7136" s="22">
        <v>40</v>
      </c>
      <c r="D7136" s="22" t="s">
        <v>291</v>
      </c>
      <c r="E7136" s="22" t="s">
        <v>292</v>
      </c>
      <c r="F7136" s="22" t="s">
        <v>244</v>
      </c>
      <c r="G7136" s="22" t="s">
        <v>82</v>
      </c>
      <c r="H7136" s="22" t="s">
        <v>95</v>
      </c>
      <c r="I7136" s="22"/>
      <c r="J7136" s="22" t="s">
        <v>212</v>
      </c>
      <c r="K7136" s="22" t="s">
        <v>250</v>
      </c>
      <c r="L7136" s="22">
        <v>161940000</v>
      </c>
      <c r="M7136" s="22" t="s">
        <v>245</v>
      </c>
      <c r="N7136" s="22" t="s">
        <v>4321</v>
      </c>
    </row>
    <row r="7137" spans="1:14" hidden="1" x14ac:dyDescent="0.25">
      <c r="A7137" s="21">
        <v>46235</v>
      </c>
      <c r="B7137" s="22" t="s">
        <v>535</v>
      </c>
      <c r="C7137" s="22">
        <v>4</v>
      </c>
      <c r="D7137" s="22" t="s">
        <v>238</v>
      </c>
      <c r="E7137" s="22" t="s">
        <v>239</v>
      </c>
      <c r="F7137" s="22" t="s">
        <v>240</v>
      </c>
      <c r="G7137" s="22" t="s">
        <v>82</v>
      </c>
      <c r="H7137" s="22"/>
      <c r="I7137" s="22"/>
      <c r="J7137" s="22" t="s">
        <v>212</v>
      </c>
      <c r="K7137" s="22" t="s">
        <v>250</v>
      </c>
      <c r="L7137" s="22">
        <v>24000000</v>
      </c>
      <c r="M7137" s="22" t="s">
        <v>242</v>
      </c>
      <c r="N7137" s="22" t="s">
        <v>4322</v>
      </c>
    </row>
    <row r="7138" spans="1:14" hidden="1" x14ac:dyDescent="0.25">
      <c r="A7138" s="21">
        <v>46235</v>
      </c>
      <c r="B7138" s="22" t="s">
        <v>535</v>
      </c>
      <c r="C7138" s="22">
        <v>4</v>
      </c>
      <c r="D7138" s="22" t="s">
        <v>238</v>
      </c>
      <c r="E7138" s="22" t="s">
        <v>239</v>
      </c>
      <c r="F7138" s="22" t="s">
        <v>285</v>
      </c>
      <c r="G7138" s="22" t="s">
        <v>63</v>
      </c>
      <c r="H7138" s="22"/>
      <c r="I7138" s="22"/>
      <c r="J7138" s="22" t="s">
        <v>212</v>
      </c>
      <c r="K7138" s="22" t="s">
        <v>250</v>
      </c>
      <c r="L7138" s="22">
        <v>2390000</v>
      </c>
      <c r="M7138" s="22" t="s">
        <v>242</v>
      </c>
      <c r="N7138" s="22" t="s">
        <v>3595</v>
      </c>
    </row>
    <row r="7139" spans="1:14" hidden="1" x14ac:dyDescent="0.25">
      <c r="A7139" s="21">
        <v>46235</v>
      </c>
      <c r="B7139" s="22" t="s">
        <v>535</v>
      </c>
      <c r="C7139" s="22">
        <v>4</v>
      </c>
      <c r="D7139" s="22" t="s">
        <v>238</v>
      </c>
      <c r="E7139" s="22" t="s">
        <v>239</v>
      </c>
      <c r="F7139" s="22" t="s">
        <v>244</v>
      </c>
      <c r="G7139" s="22" t="s">
        <v>82</v>
      </c>
      <c r="H7139" s="22"/>
      <c r="I7139" s="22"/>
      <c r="J7139" s="22" t="s">
        <v>212</v>
      </c>
      <c r="K7139" s="22" t="s">
        <v>250</v>
      </c>
      <c r="L7139" s="22">
        <v>2430000000</v>
      </c>
      <c r="M7139" s="22" t="s">
        <v>245</v>
      </c>
      <c r="N7139" s="22" t="s">
        <v>4252</v>
      </c>
    </row>
    <row r="7140" spans="1:14" hidden="1" x14ac:dyDescent="0.25">
      <c r="A7140" s="21">
        <v>46235</v>
      </c>
      <c r="B7140" s="22" t="s">
        <v>535</v>
      </c>
      <c r="C7140" s="22">
        <v>5</v>
      </c>
      <c r="D7140" s="22" t="s">
        <v>238</v>
      </c>
      <c r="E7140" s="22" t="s">
        <v>239</v>
      </c>
      <c r="F7140" s="22" t="s">
        <v>240</v>
      </c>
      <c r="G7140" s="22" t="s">
        <v>82</v>
      </c>
      <c r="H7140" s="22"/>
      <c r="I7140" s="22"/>
      <c r="J7140" s="22" t="s">
        <v>212</v>
      </c>
      <c r="K7140" s="22" t="s">
        <v>250</v>
      </c>
      <c r="L7140" s="22">
        <v>17670000</v>
      </c>
      <c r="M7140" s="22" t="s">
        <v>242</v>
      </c>
      <c r="N7140" s="22" t="s">
        <v>3040</v>
      </c>
    </row>
    <row r="7141" spans="1:14" hidden="1" x14ac:dyDescent="0.25">
      <c r="A7141" s="21">
        <v>46235</v>
      </c>
      <c r="B7141" s="22" t="s">
        <v>535</v>
      </c>
      <c r="C7141" s="22">
        <v>5</v>
      </c>
      <c r="D7141" s="22" t="s">
        <v>238</v>
      </c>
      <c r="E7141" s="22" t="s">
        <v>239</v>
      </c>
      <c r="F7141" s="22" t="s">
        <v>285</v>
      </c>
      <c r="G7141" s="22" t="s">
        <v>63</v>
      </c>
      <c r="H7141" s="22"/>
      <c r="I7141" s="22"/>
      <c r="J7141" s="22" t="s">
        <v>212</v>
      </c>
      <c r="K7141" s="22" t="s">
        <v>250</v>
      </c>
      <c r="L7141" s="22">
        <v>3060000</v>
      </c>
      <c r="M7141" s="22" t="s">
        <v>242</v>
      </c>
      <c r="N7141" s="22" t="s">
        <v>3842</v>
      </c>
    </row>
    <row r="7142" spans="1:14" hidden="1" x14ac:dyDescent="0.25">
      <c r="A7142" s="21">
        <v>46235</v>
      </c>
      <c r="B7142" s="22" t="s">
        <v>535</v>
      </c>
      <c r="C7142" s="22">
        <v>5</v>
      </c>
      <c r="D7142" s="22" t="s">
        <v>238</v>
      </c>
      <c r="E7142" s="22" t="s">
        <v>239</v>
      </c>
      <c r="F7142" s="22" t="s">
        <v>244</v>
      </c>
      <c r="G7142" s="22" t="s">
        <v>82</v>
      </c>
      <c r="H7142" s="22"/>
      <c r="I7142" s="22"/>
      <c r="J7142" s="22" t="s">
        <v>212</v>
      </c>
      <c r="K7142" s="22" t="s">
        <v>250</v>
      </c>
      <c r="L7142" s="22">
        <v>770000000</v>
      </c>
      <c r="M7142" s="22" t="s">
        <v>245</v>
      </c>
      <c r="N7142" s="22" t="s">
        <v>4323</v>
      </c>
    </row>
    <row r="7143" spans="1:14" hidden="1" x14ac:dyDescent="0.25">
      <c r="A7143" s="21">
        <v>46235</v>
      </c>
      <c r="B7143" s="22" t="s">
        <v>535</v>
      </c>
      <c r="C7143" s="22">
        <v>6</v>
      </c>
      <c r="D7143" s="22" t="s">
        <v>238</v>
      </c>
      <c r="E7143" s="22" t="s">
        <v>239</v>
      </c>
      <c r="F7143" s="22" t="s">
        <v>378</v>
      </c>
      <c r="G7143" s="22" t="s">
        <v>379</v>
      </c>
      <c r="H7143" s="22"/>
      <c r="I7143" s="22"/>
      <c r="J7143" s="22" t="s">
        <v>212</v>
      </c>
      <c r="K7143" s="22" t="s">
        <v>250</v>
      </c>
      <c r="L7143" s="22">
        <v>743</v>
      </c>
      <c r="M7143" s="22" t="s">
        <v>242</v>
      </c>
      <c r="N7143" s="22" t="s">
        <v>4232</v>
      </c>
    </row>
    <row r="7144" spans="1:14" hidden="1" x14ac:dyDescent="0.25">
      <c r="A7144" s="21">
        <v>46235</v>
      </c>
      <c r="B7144" s="22" t="s">
        <v>535</v>
      </c>
      <c r="C7144" s="22">
        <v>6</v>
      </c>
      <c r="D7144" s="22" t="s">
        <v>238</v>
      </c>
      <c r="E7144" s="22" t="s">
        <v>239</v>
      </c>
      <c r="F7144" s="22" t="s">
        <v>381</v>
      </c>
      <c r="G7144" s="22" t="s">
        <v>382</v>
      </c>
      <c r="H7144" s="22"/>
      <c r="I7144" s="22"/>
      <c r="J7144" s="22" t="s">
        <v>212</v>
      </c>
      <c r="K7144" s="22" t="s">
        <v>250</v>
      </c>
      <c r="L7144" s="22">
        <v>2601</v>
      </c>
      <c r="M7144" s="22" t="s">
        <v>242</v>
      </c>
      <c r="N7144" s="22" t="s">
        <v>4233</v>
      </c>
    </row>
    <row r="7145" spans="1:14" hidden="1" x14ac:dyDescent="0.25">
      <c r="A7145" s="21">
        <v>46235</v>
      </c>
      <c r="B7145" s="22" t="s">
        <v>535</v>
      </c>
      <c r="C7145" s="22">
        <v>6</v>
      </c>
      <c r="D7145" s="22" t="s">
        <v>238</v>
      </c>
      <c r="E7145" s="22" t="s">
        <v>239</v>
      </c>
      <c r="F7145" s="22" t="s">
        <v>240</v>
      </c>
      <c r="G7145" s="22" t="s">
        <v>82</v>
      </c>
      <c r="H7145" s="22"/>
      <c r="I7145" s="22"/>
      <c r="J7145" s="22" t="s">
        <v>212</v>
      </c>
      <c r="K7145" s="22" t="s">
        <v>250</v>
      </c>
      <c r="L7145" s="22">
        <v>7940000</v>
      </c>
      <c r="M7145" s="22" t="s">
        <v>242</v>
      </c>
      <c r="N7145" s="22" t="s">
        <v>4324</v>
      </c>
    </row>
    <row r="7146" spans="1:14" hidden="1" x14ac:dyDescent="0.25">
      <c r="A7146" s="21">
        <v>46235</v>
      </c>
      <c r="B7146" s="22" t="s">
        <v>535</v>
      </c>
      <c r="C7146" s="22">
        <v>6</v>
      </c>
      <c r="D7146" s="22" t="s">
        <v>238</v>
      </c>
      <c r="E7146" s="22" t="s">
        <v>239</v>
      </c>
      <c r="F7146" s="22" t="s">
        <v>285</v>
      </c>
      <c r="G7146" s="22" t="s">
        <v>63</v>
      </c>
      <c r="H7146" s="22"/>
      <c r="I7146" s="22"/>
      <c r="J7146" s="22" t="s">
        <v>212</v>
      </c>
      <c r="K7146" s="22" t="s">
        <v>250</v>
      </c>
      <c r="L7146" s="22">
        <v>5390000</v>
      </c>
      <c r="M7146" s="22" t="s">
        <v>242</v>
      </c>
      <c r="N7146" s="22" t="s">
        <v>609</v>
      </c>
    </row>
    <row r="7147" spans="1:14" hidden="1" x14ac:dyDescent="0.25">
      <c r="A7147" s="21">
        <v>46235</v>
      </c>
      <c r="B7147" s="22" t="s">
        <v>535</v>
      </c>
      <c r="C7147" s="22">
        <v>6</v>
      </c>
      <c r="D7147" s="22" t="s">
        <v>238</v>
      </c>
      <c r="E7147" s="22" t="s">
        <v>239</v>
      </c>
      <c r="F7147" s="22" t="s">
        <v>244</v>
      </c>
      <c r="G7147" s="22" t="s">
        <v>82</v>
      </c>
      <c r="H7147" s="22"/>
      <c r="I7147" s="22"/>
      <c r="J7147" s="22" t="s">
        <v>212</v>
      </c>
      <c r="K7147" s="22" t="s">
        <v>250</v>
      </c>
      <c r="L7147" s="22">
        <v>1350000000</v>
      </c>
      <c r="M7147" s="22" t="s">
        <v>245</v>
      </c>
      <c r="N7147" s="22" t="s">
        <v>1166</v>
      </c>
    </row>
    <row r="7148" spans="1:14" hidden="1" x14ac:dyDescent="0.25">
      <c r="A7148" s="21">
        <v>46235</v>
      </c>
      <c r="B7148" s="22" t="s">
        <v>535</v>
      </c>
      <c r="C7148" s="22">
        <v>7</v>
      </c>
      <c r="D7148" s="22" t="s">
        <v>238</v>
      </c>
      <c r="E7148" s="22" t="s">
        <v>239</v>
      </c>
      <c r="F7148" s="22" t="s">
        <v>544</v>
      </c>
      <c r="G7148" s="22" t="s">
        <v>82</v>
      </c>
      <c r="H7148" s="22"/>
      <c r="I7148" s="22"/>
      <c r="J7148" s="22" t="s">
        <v>212</v>
      </c>
      <c r="K7148" s="22" t="s">
        <v>250</v>
      </c>
      <c r="L7148" s="22">
        <v>1040000</v>
      </c>
      <c r="M7148" s="22" t="s">
        <v>242</v>
      </c>
      <c r="N7148" s="22" t="s">
        <v>952</v>
      </c>
    </row>
    <row r="7149" spans="1:14" hidden="1" x14ac:dyDescent="0.25">
      <c r="A7149" s="21">
        <v>46235</v>
      </c>
      <c r="B7149" s="22" t="s">
        <v>535</v>
      </c>
      <c r="C7149" s="22">
        <v>7</v>
      </c>
      <c r="D7149" s="22" t="s">
        <v>238</v>
      </c>
      <c r="E7149" s="22" t="s">
        <v>239</v>
      </c>
      <c r="F7149" s="22" t="s">
        <v>240</v>
      </c>
      <c r="G7149" s="22" t="s">
        <v>82</v>
      </c>
      <c r="H7149" s="22"/>
      <c r="I7149" s="22"/>
      <c r="J7149" s="22" t="s">
        <v>212</v>
      </c>
      <c r="K7149" s="22" t="s">
        <v>250</v>
      </c>
      <c r="L7149" s="22">
        <v>1040000</v>
      </c>
      <c r="M7149" s="22" t="s">
        <v>242</v>
      </c>
      <c r="N7149" s="22" t="s">
        <v>952</v>
      </c>
    </row>
    <row r="7150" spans="1:14" hidden="1" x14ac:dyDescent="0.25">
      <c r="A7150" s="21">
        <v>46235</v>
      </c>
      <c r="B7150" s="22" t="s">
        <v>535</v>
      </c>
      <c r="C7150" s="22">
        <v>7</v>
      </c>
      <c r="D7150" s="22" t="s">
        <v>238</v>
      </c>
      <c r="E7150" s="22" t="s">
        <v>239</v>
      </c>
      <c r="F7150" s="22" t="s">
        <v>929</v>
      </c>
      <c r="G7150" s="22" t="s">
        <v>82</v>
      </c>
      <c r="H7150" s="22"/>
      <c r="I7150" s="22"/>
      <c r="J7150" s="22" t="s">
        <v>212</v>
      </c>
      <c r="K7150" s="22" t="s">
        <v>250</v>
      </c>
      <c r="L7150" s="22">
        <v>939000000</v>
      </c>
      <c r="M7150" s="22" t="s">
        <v>245</v>
      </c>
      <c r="N7150" s="22" t="s">
        <v>3047</v>
      </c>
    </row>
    <row r="7151" spans="1:14" hidden="1" x14ac:dyDescent="0.25">
      <c r="A7151" s="21">
        <v>46235</v>
      </c>
      <c r="B7151" s="22" t="s">
        <v>535</v>
      </c>
      <c r="C7151" s="22">
        <v>8</v>
      </c>
      <c r="D7151" s="22" t="s">
        <v>238</v>
      </c>
      <c r="E7151" s="22" t="s">
        <v>239</v>
      </c>
      <c r="F7151" s="22" t="s">
        <v>548</v>
      </c>
      <c r="G7151" s="22" t="s">
        <v>158</v>
      </c>
      <c r="H7151" s="22"/>
      <c r="I7151" s="22"/>
      <c r="J7151" s="22" t="s">
        <v>212</v>
      </c>
      <c r="K7151" s="22" t="s">
        <v>250</v>
      </c>
      <c r="L7151" s="22">
        <v>556000</v>
      </c>
      <c r="M7151" s="22" t="s">
        <v>242</v>
      </c>
      <c r="N7151" s="22" t="s">
        <v>4325</v>
      </c>
    </row>
    <row r="7152" spans="1:14" hidden="1" x14ac:dyDescent="0.25">
      <c r="A7152" s="21">
        <v>46235</v>
      </c>
      <c r="B7152" s="22" t="s">
        <v>535</v>
      </c>
      <c r="C7152" s="22">
        <v>8</v>
      </c>
      <c r="D7152" s="22" t="s">
        <v>238</v>
      </c>
      <c r="E7152" s="22" t="s">
        <v>239</v>
      </c>
      <c r="F7152" s="22" t="s">
        <v>349</v>
      </c>
      <c r="G7152" s="22" t="s">
        <v>158</v>
      </c>
      <c r="H7152" s="22"/>
      <c r="I7152" s="22"/>
      <c r="J7152" s="22" t="s">
        <v>212</v>
      </c>
      <c r="K7152" s="22" t="s">
        <v>250</v>
      </c>
      <c r="L7152" s="22">
        <v>16000</v>
      </c>
      <c r="M7152" s="22" t="s">
        <v>242</v>
      </c>
      <c r="N7152" s="22" t="s">
        <v>2578</v>
      </c>
    </row>
    <row r="7153" spans="1:14" hidden="1" x14ac:dyDescent="0.25">
      <c r="A7153" s="21">
        <v>46235</v>
      </c>
      <c r="B7153" s="22" t="s">
        <v>535</v>
      </c>
      <c r="C7153" s="22">
        <v>8</v>
      </c>
      <c r="D7153" s="22" t="s">
        <v>238</v>
      </c>
      <c r="E7153" s="22" t="s">
        <v>239</v>
      </c>
      <c r="F7153" s="22" t="s">
        <v>551</v>
      </c>
      <c r="G7153" s="22" t="s">
        <v>158</v>
      </c>
      <c r="H7153" s="22"/>
      <c r="I7153" s="22"/>
      <c r="J7153" s="22" t="s">
        <v>212</v>
      </c>
      <c r="K7153" s="22" t="s">
        <v>250</v>
      </c>
      <c r="L7153" s="22">
        <v>3810000000</v>
      </c>
      <c r="M7153" s="22" t="s">
        <v>245</v>
      </c>
      <c r="N7153" s="22" t="s">
        <v>4326</v>
      </c>
    </row>
    <row r="7154" spans="1:14" hidden="1" x14ac:dyDescent="0.25">
      <c r="A7154" s="21">
        <v>46235</v>
      </c>
      <c r="B7154" s="22" t="s">
        <v>535</v>
      </c>
      <c r="C7154" s="22">
        <v>8</v>
      </c>
      <c r="D7154" s="22" t="s">
        <v>238</v>
      </c>
      <c r="E7154" s="22" t="s">
        <v>239</v>
      </c>
      <c r="F7154" s="22" t="s">
        <v>361</v>
      </c>
      <c r="G7154" s="22" t="s">
        <v>158</v>
      </c>
      <c r="H7154" s="22"/>
      <c r="I7154" s="22"/>
      <c r="J7154" s="22" t="s">
        <v>212</v>
      </c>
      <c r="K7154" s="22" t="s">
        <v>250</v>
      </c>
      <c r="L7154" s="22">
        <v>114700000</v>
      </c>
      <c r="M7154" s="22" t="s">
        <v>245</v>
      </c>
      <c r="N7154" s="22" t="s">
        <v>4327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F6DCF-A0F9-4EBE-A1D5-E746B255450C}">
  <dimension ref="A1"/>
  <sheetViews>
    <sheetView zoomScale="70" workbookViewId="0">
      <selection activeCell="I27" sqref="I27"/>
    </sheetView>
  </sheetViews>
  <sheetFormatPr defaultRowHeight="15" x14ac:dyDescent="0.25"/>
  <cols>
    <col min="2" max="2" width="9.14062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CliQ</vt:lpstr>
      <vt:lpstr>JoMoPay</vt:lpstr>
      <vt:lpstr>eFAWATEERcom</vt:lpstr>
      <vt:lpstr>ACH</vt:lpstr>
      <vt:lpstr>ECCU</vt:lpstr>
      <vt:lpstr>Interoperability</vt:lpstr>
      <vt:lpstr>Instant Payments</vt:lpstr>
      <vt:lpstr>Summary</vt:lpstr>
      <vt:lpstr>Raw Data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Naser Al-Magarbi</cp:lastModifiedBy>
  <cp:revision>0</cp:revision>
  <dcterms:created xsi:type="dcterms:W3CDTF">2026-09-27T07:30:05Z</dcterms:created>
  <dcterms:modified xsi:type="dcterms:W3CDTF">2026-09-29T09:57:44Z</dcterms:modified>
  <dc:language>en-US</dc:language>
</cp:coreProperties>
</file>