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ystems Summary" sheetId="2" state="visible" r:id="rId4"/>
    <sheet name="CliQ" sheetId="3" state="visible" r:id="rId5"/>
    <sheet name="JoMoPay" sheetId="4" state="visible" r:id="rId6"/>
    <sheet name="Instant Payments (Combined)" sheetId="5" state="visible" r:id="rId7"/>
    <sheet name="eFAWATEERcom" sheetId="6" state="visible" r:id="rId8"/>
    <sheet name="ACH" sheetId="7" state="visible" r:id="rId9"/>
    <sheet name="ECCU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<sst xmlns="http://schemas.openxmlformats.org/spreadsheetml/2006/main" count="403" uniqueCount="184">
  <si>
    <t xml:space="preserve">JOPACC End-of-Year Systems Report - Consolidated Dataset (2024 vs 2025)</t>
  </si>
  <si>
    <t xml:space="preserve">Source: Jordan Payments &amp; Clearing Company (JOPACC) "End of Year Systems Report" PDFs for 2024 and 2025.</t>
  </si>
  <si>
    <t xml:space="preserve">Sheets in this workbook:</t>
  </si>
  <si>
    <t xml:space="preserve">  • Systems Summary - combined totals across all JoPACC systems</t>
  </si>
  <si>
    <t xml:space="preserve">  • CliQ - instant payments issued through bank accounts</t>
  </si>
  <si>
    <t xml:space="preserve">  • JoMoPay - instant payments issued through mobile wallets</t>
  </si>
  <si>
    <t xml:space="preserve">  • Instant Payments (Combined) - CliQ + JoMoPay viewed together (shared user base, channel split)</t>
  </si>
  <si>
    <t xml:space="preserve">  • eFAWATEERcom - electronic bill presentment &amp; payment</t>
  </si>
  <si>
    <t xml:space="preserve">  • ACH - Automated Clearing House (salary vs other, foreign currency)</t>
  </si>
  <si>
    <t xml:space="preserve">  • ECCU - Electronic Cheque Clearing Unit (cheques + returned cheques)</t>
  </si>
  <si>
    <t xml:space="preserve">Layout:</t>
  </si>
  <si>
    <t xml:space="preserve">  Each sheet lists one metric per row (grouped under shaded section headers), with 2024 and 2025 side by side in columns C and D, and a live YoY-change formula in column E (green italic). Counts and JOD values are stored as raw numbers, and percentage rows as true Excel percentages, so the sheet can be charted or extended directly.</t>
  </si>
  <si>
    <t xml:space="preserve">  The YoY-change column is a real formula (=(D-C)/C), not a hardcoded figure, so it recalculates if you edit the 2024 or 2025 values.</t>
  </si>
  <si>
    <t xml:space="preserve">Data-quality notes:</t>
  </si>
  <si>
    <t xml:space="preserve">  • A few chart values in the source PDFs are given only as rounded percentages of an unlabeled total (e.g. CliQ's gender donut shows 62% / 35% / 3%, which does not resolve to a clean 2-category split); these are transcribed exactly as published rather than force-fit to 100%.</t>
  </si>
  <si>
    <t xml:space="preserve">  • JoMoPay's 2025 payment-type breakdown chart lists 2024 and 2025 bars without explicit pairing; the values used here were matched to each year by cross-checking against the growth percentages stated in the report text (e.g. "purchases value grew by 202.3%") and against the prior year's own annual report, and all reconcile cleanly.</t>
  </si>
  <si>
    <t xml:space="preserve">  • eFAWATEERcom's per-billing-category figures are the report's own "Top 6" grouping (remaining categories rolled into "Other"), not a full category list.</t>
  </si>
  <si>
    <t xml:space="preserve">JoPACC Payment Systems - End of Year Summary (2024 vs 2025)</t>
  </si>
  <si>
    <t xml:space="preserve">Category</t>
  </si>
  <si>
    <t xml:space="preserve">Metric</t>
  </si>
  <si>
    <t xml:space="preserve">2024</t>
  </si>
  <si>
    <t xml:space="preserve">2025</t>
  </si>
  <si>
    <t xml:space="preserve">YoY Change</t>
  </si>
  <si>
    <t xml:space="preserve">ALL SYSTEMS COMBINED</t>
  </si>
  <si>
    <t xml:space="preserve">Overview</t>
  </si>
  <si>
    <t xml:space="preserve">Total Number of Transactions</t>
  </si>
  <si>
    <t xml:space="preserve">Total Value of Transactions (JOD)</t>
  </si>
  <si>
    <t xml:space="preserve">Average Transaction Value (JOD)</t>
  </si>
  <si>
    <t xml:space="preserve">CliQ (Instant Payment System - Bank Accounts) - 2024 vs 2025</t>
  </si>
  <si>
    <t xml:space="preserve">TRANSACTIONS - OVERVIEW</t>
  </si>
  <si>
    <t xml:space="preserve">Transactions</t>
  </si>
  <si>
    <t xml:space="preserve">TRANSACTIONS BY PAYMENT TYPE (Number)</t>
  </si>
  <si>
    <t xml:space="preserve">Payment Type (#)</t>
  </si>
  <si>
    <t xml:space="preserve">Money Transfers</t>
  </si>
  <si>
    <t xml:space="preserve">Money Transfers (%)</t>
  </si>
  <si>
    <t xml:space="preserve">Purchases</t>
  </si>
  <si>
    <t xml:space="preserve">Purchases (%)</t>
  </si>
  <si>
    <t xml:space="preserve">TRANSACTIONS BY PAYMENT TYPE (Value, JOD)</t>
  </si>
  <si>
    <t xml:space="preserve">Payment Type (JOD)</t>
  </si>
  <si>
    <t xml:space="preserve">Money Transfers (JOD)</t>
  </si>
  <si>
    <t xml:space="preserve">Purchases (JOD)</t>
  </si>
  <si>
    <t xml:space="preserve">MONEY TRANSFERS - SUB-TYPE (% of number)</t>
  </si>
  <si>
    <t xml:space="preserve">MT Sub-type (#)</t>
  </si>
  <si>
    <t xml:space="preserve">Transfer to Friend/Family (%)</t>
  </si>
  <si>
    <t xml:space="preserve">Transfer to Own Account (%)</t>
  </si>
  <si>
    <t xml:space="preserve">Other (%)</t>
  </si>
  <si>
    <t xml:space="preserve">MONEY TRANSFERS - SUB-TYPE (% of value)</t>
  </si>
  <si>
    <t xml:space="preserve">MT Sub-type (JOD)</t>
  </si>
  <si>
    <t xml:space="preserve">PURCHASES - SUB-TYPE (% of number / value)</t>
  </si>
  <si>
    <t xml:space="preserve">Purchases Sub-type</t>
  </si>
  <si>
    <t xml:space="preserve">Regular Purchases (% of number)</t>
  </si>
  <si>
    <t xml:space="preserve">QR Purchases (% of number)</t>
  </si>
  <si>
    <t xml:space="preserve">Regular Purchases (% of value)</t>
  </si>
  <si>
    <t xml:space="preserve">QR Purchases (% of value)</t>
  </si>
  <si>
    <t xml:space="preserve">QR TRANSACTIONS</t>
  </si>
  <si>
    <t xml:space="preserve">QR</t>
  </si>
  <si>
    <t xml:space="preserve">Total Number of QR Transactions</t>
  </si>
  <si>
    <t xml:space="preserve">Total Value of QR Transactions (JOD)</t>
  </si>
  <si>
    <t xml:space="preserve">USERS</t>
  </si>
  <si>
    <t xml:space="preserve">Users</t>
  </si>
  <si>
    <t xml:space="preserve">Total Registered Users</t>
  </si>
  <si>
    <t xml:space="preserve">Individuals (%)</t>
  </si>
  <si>
    <t xml:space="preserve">Legal Entities (%)</t>
  </si>
  <si>
    <t xml:space="preserve">USERS BY GENDER (% of users)</t>
  </si>
  <si>
    <t xml:space="preserve">Gender</t>
  </si>
  <si>
    <t xml:space="preserve">Male (%)</t>
  </si>
  <si>
    <t xml:space="preserve">Female (%)</t>
  </si>
  <si>
    <t xml:space="preserve">Unspecified/Other (%)</t>
  </si>
  <si>
    <t xml:space="preserve">USERS BY NATIONALITY (% of users)</t>
  </si>
  <si>
    <t xml:space="preserve">Nationality</t>
  </si>
  <si>
    <t xml:space="preserve">Jordanian (%)</t>
  </si>
  <si>
    <t xml:space="preserve">Non-Jordanian (%)</t>
  </si>
  <si>
    <t xml:space="preserve">USERS BY AGE RANGE (% of users)</t>
  </si>
  <si>
    <t xml:space="preserve">Age</t>
  </si>
  <si>
    <t xml:space="preserve">&lt;18</t>
  </si>
  <si>
    <t xml:space="preserve">18-30</t>
  </si>
  <si>
    <t xml:space="preserve">31-40</t>
  </si>
  <si>
    <t xml:space="preserve">41-50</t>
  </si>
  <si>
    <t xml:space="preserve">51-60</t>
  </si>
  <si>
    <t xml:space="preserve">61-70</t>
  </si>
  <si>
    <t xml:space="preserve">71-80</t>
  </si>
  <si>
    <t xml:space="preserve">81-90</t>
  </si>
  <si>
    <t xml:space="preserve">JoMoPay (Instant Payment System - Mobile Wallets) - 2024 vs 2025</t>
  </si>
  <si>
    <t xml:space="preserve">Cash Out</t>
  </si>
  <si>
    <t xml:space="preserve">Cash Out (%)</t>
  </si>
  <si>
    <t xml:space="preserve">Cash In</t>
  </si>
  <si>
    <t xml:space="preserve">Cash In (%)</t>
  </si>
  <si>
    <t xml:space="preserve">Cash Out (JOD)</t>
  </si>
  <si>
    <t xml:space="preserve">Cash In (JOD)</t>
  </si>
  <si>
    <t xml:space="preserve">Individual Wallets (%)</t>
  </si>
  <si>
    <t xml:space="preserve">Merchant/Agent/Business/Gov Wallets (%)</t>
  </si>
  <si>
    <t xml:space="preserve">USERS BY GENDER</t>
  </si>
  <si>
    <t xml:space="preserve">Male users (count)</t>
  </si>
  <si>
    <t xml:space="preserve">Female users (count)</t>
  </si>
  <si>
    <t xml:space="preserve">Instant Payments - CliQ + JoMoPay Combined - 2024 vs 2025</t>
  </si>
  <si>
    <t xml:space="preserve">Total Instant Payment Users</t>
  </si>
  <si>
    <t xml:space="preserve">Bank Account Users Only</t>
  </si>
  <si>
    <t xml:space="preserve">Mobile Wallet Users Only</t>
  </si>
  <si>
    <t xml:space="preserve">Bank Account &amp; Mobile Wallet Users</t>
  </si>
  <si>
    <t xml:space="preserve">Bank Account Users Only (%)</t>
  </si>
  <si>
    <t xml:space="preserve">Mobile Wallet Users Only (%)</t>
  </si>
  <si>
    <t xml:space="preserve">Bank Account &amp; Mobile Wallet Users (%)</t>
  </si>
  <si>
    <t xml:space="preserve">Average Transaction Value - Overall (JOD)</t>
  </si>
  <si>
    <t xml:space="preserve">Average Transaction Value - via Bank Accounts (JOD)</t>
  </si>
  <si>
    <t xml:space="preserve">Average Transaction Value - via Mobile Wallets (JOD)</t>
  </si>
  <si>
    <t xml:space="preserve">TRANSACTIONS BY CHANNEL (Number)</t>
  </si>
  <si>
    <t xml:space="preserve">Channel (#)</t>
  </si>
  <si>
    <t xml:space="preserve">Through Bank Accounts (CliQ)</t>
  </si>
  <si>
    <t xml:space="preserve">Through Mobile Wallets (JoMoPay)</t>
  </si>
  <si>
    <t xml:space="preserve">TRANSACTIONS BY CHANNEL (Value, JOD)</t>
  </si>
  <si>
    <t xml:space="preserve">Channel (JOD)</t>
  </si>
  <si>
    <t xml:space="preserve">Note: 'Bank Accounts' = CliQ; 'Mobile Wallets' = JoMoPay. Monthly bank/wallet share-of-volume and share-of-value trend lines (Jan-Dec) are published in the source report but are omitted here since this dataset is annual-total-focused; see the quarterly workbook for finer time granularity.</t>
  </si>
  <si>
    <t xml:space="preserve">eFAWATEER.com (Electronic Bill Presentment &amp; Payment) - 2024 vs 2025</t>
  </si>
  <si>
    <t xml:space="preserve">Average New Users per Year (historical avg.)</t>
  </si>
  <si>
    <t xml:space="preserve">Total Users Paying Through Bank Accounts</t>
  </si>
  <si>
    <t xml:space="preserve">USERS THROUGH BANK ACCOUNT - BY NATIONALITY (%)</t>
  </si>
  <si>
    <t xml:space="preserve">USERS THROUGH BANK ACCOUNT - BY PAYMENT METHOD (%)</t>
  </si>
  <si>
    <t xml:space="preserve">Payment Method</t>
  </si>
  <si>
    <t xml:space="preserve">Digital User Only (%)</t>
  </si>
  <si>
    <t xml:space="preserve">Cash User Only (%)</t>
  </si>
  <si>
    <t xml:space="preserve">Cash and Digital User (%)</t>
  </si>
  <si>
    <t xml:space="preserve">TRANSACTIONS BY PAYMENT METHOD (Cash vs Digital)</t>
  </si>
  <si>
    <t xml:space="preserve">Payment Method (#)</t>
  </si>
  <si>
    <t xml:space="preserve">Digital (%) of number</t>
  </si>
  <si>
    <t xml:space="preserve">Cash (%) of number</t>
  </si>
  <si>
    <t xml:space="preserve">Total Number of Digital Transactions</t>
  </si>
  <si>
    <t xml:space="preserve">Payment Method (JOD)</t>
  </si>
  <si>
    <t xml:space="preserve">Total Value of Digital Transactions (JOD)</t>
  </si>
  <si>
    <t xml:space="preserve">TRANSACTIONS BY BILLING CATEGORY - Top 6 (Number)</t>
  </si>
  <si>
    <t xml:space="preserve">Billing Category (#)</t>
  </si>
  <si>
    <t xml:space="preserve">Telecommunication</t>
  </si>
  <si>
    <t xml:space="preserve">Water and Electricity</t>
  </si>
  <si>
    <t xml:space="preserve">Government Service</t>
  </si>
  <si>
    <t xml:space="preserve">Wallets and PSPs</t>
  </si>
  <si>
    <t xml:space="preserve">Financial Services</t>
  </si>
  <si>
    <t xml:space="preserve">Education</t>
  </si>
  <si>
    <t xml:space="preserve">Other</t>
  </si>
  <si>
    <t xml:space="preserve">TRANSACTIONS BY BILLING CATEGORY - Top 6 (Value, JOD)</t>
  </si>
  <si>
    <t xml:space="preserve">Billing Category (JOD)</t>
  </si>
  <si>
    <t xml:space="preserve">Note: Billing-category figures are the 'Top 6' groupings as published (smaller categories are rolled into 'Other'); category definitions are consistent between the two reports.</t>
  </si>
  <si>
    <t xml:space="preserve">ACH (Automated Clearing House) - 2024 vs 2025</t>
  </si>
  <si>
    <t xml:space="preserve">JOD TRANSACTIONS - OVERVIEW</t>
  </si>
  <si>
    <t xml:space="preserve">Total Number of JOD Transactions</t>
  </si>
  <si>
    <t xml:space="preserve">Total Value of JOD Transactions (JOD)</t>
  </si>
  <si>
    <t xml:space="preserve">JOD TRANSACTIONS BY TYPE (Number)</t>
  </si>
  <si>
    <t xml:space="preserve">Txn Type (#)</t>
  </si>
  <si>
    <t xml:space="preserve">Salary Transactions</t>
  </si>
  <si>
    <t xml:space="preserve">Other Transactions</t>
  </si>
  <si>
    <t xml:space="preserve">Salary Transactions (% of volume)</t>
  </si>
  <si>
    <t xml:space="preserve">JOD TRANSACTIONS BY TYPE (Value, JOD)</t>
  </si>
  <si>
    <t xml:space="preserve">Txn Type (JOD)</t>
  </si>
  <si>
    <t xml:space="preserve">Salary Transactions (JOD)</t>
  </si>
  <si>
    <t xml:space="preserve">Other Transactions (JOD)</t>
  </si>
  <si>
    <t xml:space="preserve">Salary Transactions (% of value)</t>
  </si>
  <si>
    <t xml:space="preserve">Average Salary Value (JOD)</t>
  </si>
  <si>
    <t xml:space="preserve">FOREIGN CURRENCY TRANSACTIONS (Number)</t>
  </si>
  <si>
    <t xml:space="preserve">Currency (#)</t>
  </si>
  <si>
    <t xml:space="preserve">USD</t>
  </si>
  <si>
    <t xml:space="preserve">EUR</t>
  </si>
  <si>
    <t xml:space="preserve">GBP</t>
  </si>
  <si>
    <t xml:space="preserve">FOREIGN CURRENCY TRANSACTIONS (Value, millions of currency unit)</t>
  </si>
  <si>
    <t xml:space="preserve">Currency (Value)</t>
  </si>
  <si>
    <t xml:space="preserve">USD ($ millions)</t>
  </si>
  <si>
    <t xml:space="preserve">EUR (€ millions)</t>
  </si>
  <si>
    <t xml:space="preserve">GBP (£ millions)</t>
  </si>
  <si>
    <t xml:space="preserve">ECCU (Electronic Cheque Clearing Unit) - 2024 vs 2025</t>
  </si>
  <si>
    <t xml:space="preserve">CHEQUES - OVERVIEW</t>
  </si>
  <si>
    <t xml:space="preserve">Cheques</t>
  </si>
  <si>
    <t xml:space="preserve">Total Number of Cheques</t>
  </si>
  <si>
    <t xml:space="preserve">Total Value of Cheques (JOD)</t>
  </si>
  <si>
    <t xml:space="preserve">Average Cheque Value (JOD)</t>
  </si>
  <si>
    <t xml:space="preserve">RETURNED CHEQUES</t>
  </si>
  <si>
    <t xml:space="preserve">Returned Cheques</t>
  </si>
  <si>
    <t xml:space="preserve">Number of Returned Cheques</t>
  </si>
  <si>
    <t xml:space="preserve">Returned as % of Total Cheques (#)</t>
  </si>
  <si>
    <t xml:space="preserve">Value of Returned Cheques (JOD)</t>
  </si>
  <si>
    <t xml:space="preserve">Returned as % of Total Value</t>
  </si>
  <si>
    <t xml:space="preserve">Average Value of Returned Cheque, any reason (JOD)</t>
  </si>
  <si>
    <t xml:space="preserve">RETURNED CHEQUES - INSUFFICIENT BALANCE REASON</t>
  </si>
  <si>
    <t xml:space="preserve">Insufficient Balance</t>
  </si>
  <si>
    <t xml:space="preserve">% of Returned Cheques (count)</t>
  </si>
  <si>
    <t xml:space="preserve">% of Returned Cheques (value)</t>
  </si>
  <si>
    <t xml:space="preserve">Average Value per Returned Cheque (JOD)</t>
  </si>
  <si>
    <t xml:space="preserve">Note: In June 2025, Jordan abolished imprisonment for debt arising from bounced cheques; JoPACC's 2025 report attributes part of the decline in returned cheques after that date to this legal change (fewer high-risk cheques being accepted by payees).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</si>
</sst>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+0.0%;\-0.0%;&quot;n/a&quot;"/>
    <numFmt numFmtId="167" formatCode="#,##0.0"/>
    <numFmt numFmtId="168" formatCode="0.0%"/>
    <numFmt numFmtId="169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1F7A3D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CE4B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3D"/>
      <rgbColor rgb="FF000080"/>
      <rgbColor rgb="FF808000"/>
      <rgbColor rgb="FF800080"/>
      <rgbColor rgb="FF008080"/>
      <rgbColor rgb="FFB7B7B7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B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24" hidden="false" customHeight="true" outlineLevel="0" collapsed="false">
      <c r="A1" s="1" t="s">
        <v>0</v>
      </c>
    </row>
    <row r="2" customFormat="false" ht="7.5" hidden="false" customHeight="true" outlineLevel="0" collapsed="false">
      <c r="A2" s="2"/>
    </row>
    <row r="3" customFormat="false" ht="15.75" hidden="false" customHeight="true" outlineLevel="0" collapsed="false">
      <c r="A3" s="2" t="s">
        <v>1</v>
      </c>
    </row>
    <row r="4" customFormat="false" ht="7.5" hidden="false" customHeight="true" outlineLevel="0" collapsed="false">
      <c r="A4" s="2"/>
    </row>
    <row r="5" customFormat="false" ht="15.75" hidden="false" customHeight="true" outlineLevel="0" collapsed="false">
      <c r="A5" s="3" t="s">
        <v>2</v>
      </c>
    </row>
    <row r="6" customFormat="false" ht="15.75" hidden="false" customHeight="true" outlineLevel="0" collapsed="false">
      <c r="A6" s="2" t="s">
        <v>3</v>
      </c>
    </row>
    <row r="7" customFormat="false" ht="15.75" hidden="false" customHeight="true" outlineLevel="0" collapsed="false">
      <c r="A7" s="2" t="s">
        <v>4</v>
      </c>
    </row>
    <row r="8" customFormat="false" ht="15.75" hidden="false" customHeight="true" outlineLevel="0" collapsed="false">
      <c r="A8" s="2" t="s">
        <v>5</v>
      </c>
    </row>
    <row r="9" customFormat="false" ht="15.75" hidden="false" customHeight="true" outlineLevel="0" collapsed="false">
      <c r="A9" s="2" t="s">
        <v>6</v>
      </c>
    </row>
    <row r="10" customFormat="false" ht="15.75" hidden="false" customHeight="true" outlineLevel="0" collapsed="false">
      <c r="A10" s="2" t="s">
        <v>7</v>
      </c>
    </row>
    <row r="11" customFormat="false" ht="15.75" hidden="false" customHeight="true" outlineLevel="0" collapsed="false">
      <c r="A11" s="2" t="s">
        <v>8</v>
      </c>
    </row>
    <row r="12" customFormat="false" ht="15.75" hidden="false" customHeight="true" outlineLevel="0" collapsed="false">
      <c r="A12" s="2" t="s">
        <v>9</v>
      </c>
    </row>
    <row r="13" customFormat="false" ht="7.5" hidden="false" customHeight="true" outlineLevel="0" collapsed="false">
      <c r="A13" s="2"/>
    </row>
    <row r="14" customFormat="false" ht="15.75" hidden="false" customHeight="true" outlineLevel="0" collapsed="false">
      <c r="A14" s="3" t="s">
        <v>10</v>
      </c>
    </row>
    <row r="15" customFormat="false" ht="15.75" hidden="false" customHeight="true" outlineLevel="0" collapsed="false">
      <c r="A15" s="2" t="s">
        <v>11</v>
      </c>
    </row>
    <row r="16" customFormat="false" ht="15.75" hidden="false" customHeight="true" outlineLevel="0" collapsed="false">
      <c r="A16" s="2" t="s">
        <v>12</v>
      </c>
    </row>
    <row r="17" customFormat="false" ht="7.5" hidden="false" customHeight="true" outlineLevel="0" collapsed="false">
      <c r="A17" s="2"/>
    </row>
    <row r="18" customFormat="false" ht="15.75" hidden="false" customHeight="true" outlineLevel="0" collapsed="false">
      <c r="A18" s="3" t="s">
        <v>13</v>
      </c>
    </row>
    <row r="19" customFormat="false" ht="15.75" hidden="false" customHeight="true" outlineLevel="0" collapsed="false">
      <c r="A19" s="2" t="s">
        <v>14</v>
      </c>
    </row>
    <row r="20" customFormat="false" ht="15.75" hidden="false" customHeight="true" outlineLevel="0" collapsed="false">
      <c r="A20" s="2" t="s">
        <v>15</v>
      </c>
    </row>
    <row r="21" customFormat="false" ht="15.75" hidden="false" customHeight="true" outlineLevel="0" collapsed="false">
      <c r="A21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13"/>
  </cols>
  <sheetData>
    <row r="1" customFormat="false" ht="25.5" hidden="false" customHeight="true" outlineLevel="0" collapsed="false">
      <c r="A1" s="4" t="s">
        <v>17</v>
      </c>
      <c r="B1" s="4"/>
      <c r="C1" s="4"/>
      <c r="D1" s="4"/>
      <c r="E1" s="4"/>
    </row>
    <row r="3" customFormat="false" ht="19.5" hidden="false" customHeight="true" outlineLevel="0" collapsed="false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</row>
    <row r="4" customFormat="false" ht="15" hidden="false" customHeight="false" outlineLevel="0" collapsed="false">
      <c r="A4" s="6" t="s">
        <v>23</v>
      </c>
      <c r="B4" s="6"/>
      <c r="C4" s="6"/>
      <c r="D4" s="6"/>
      <c r="E4" s="6"/>
    </row>
    <row r="5" customFormat="false" ht="15" hidden="false" customHeight="false" outlineLevel="0" collapsed="false">
      <c r="A5" s="7" t="s">
        <v>24</v>
      </c>
      <c r="B5" s="7" t="s">
        <v>25</v>
      </c>
      <c r="C5" s="8" t="n">
        <v>224620000</v>
      </c>
      <c r="D5" s="8" t="n">
        <v>363840000</v>
      </c>
      <c r="E5" s="9" t="n">
        <f aca="false">(D5-C5)/C5</f>
        <v>0.619802332828778</v>
      </c>
    </row>
    <row r="6" customFormat="false" ht="15" hidden="false" customHeight="false" outlineLevel="0" collapsed="false">
      <c r="A6" s="7" t="s">
        <v>24</v>
      </c>
      <c r="B6" s="7" t="s">
        <v>26</v>
      </c>
      <c r="C6" s="8" t="n">
        <v>79950000000</v>
      </c>
      <c r="D6" s="8" t="n">
        <v>93260000000</v>
      </c>
      <c r="E6" s="9" t="n">
        <f aca="false">(D6-C6)/C6</f>
        <v>0.166479049405879</v>
      </c>
    </row>
    <row r="7" customFormat="false" ht="15" hidden="false" customHeight="false" outlineLevel="0" collapsed="false">
      <c r="A7" s="10" t="s">
        <v>24</v>
      </c>
      <c r="B7" s="10" t="s">
        <v>27</v>
      </c>
      <c r="C7" s="11" t="n">
        <v>355.9</v>
      </c>
      <c r="D7" s="11" t="n">
        <v>256.3</v>
      </c>
      <c r="E7" s="9" t="n">
        <f aca="false">(D7-C7)/C7</f>
        <v>-0.279853891542568</v>
      </c>
    </row>
  </sheetData>
  <mergeCells count="2">
    <mergeCell ref="A1:E1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13"/>
  </cols>
  <sheetData>
    <row r="1" customFormat="false" ht="25.5" hidden="false" customHeight="true" outlineLevel="0" collapsed="false">
      <c r="A1" s="4" t="s">
        <v>28</v>
      </c>
      <c r="B1" s="4"/>
      <c r="C1" s="4"/>
      <c r="D1" s="4"/>
      <c r="E1" s="4"/>
    </row>
    <row r="3" customFormat="false" ht="19.5" hidden="false" customHeight="true" outlineLevel="0" collapsed="false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</row>
    <row r="4" customFormat="false" ht="15" hidden="false" customHeight="false" outlineLevel="0" collapsed="false">
      <c r="A4" s="6" t="s">
        <v>29</v>
      </c>
      <c r="B4" s="6"/>
      <c r="C4" s="6"/>
      <c r="D4" s="6"/>
      <c r="E4" s="6"/>
    </row>
    <row r="5" customFormat="false" ht="15" hidden="false" customHeight="false" outlineLevel="0" collapsed="false">
      <c r="A5" s="7" t="s">
        <v>30</v>
      </c>
      <c r="B5" s="7" t="s">
        <v>25</v>
      </c>
      <c r="C5" s="8" t="n">
        <v>83950000</v>
      </c>
      <c r="D5" s="8" t="n">
        <v>167920000</v>
      </c>
      <c r="E5" s="9" t="n">
        <f aca="false">(D5-C5)/C5</f>
        <v>1.00023823704586</v>
      </c>
    </row>
    <row r="6" customFormat="false" ht="15" hidden="false" customHeight="false" outlineLevel="0" collapsed="false">
      <c r="A6" s="7" t="s">
        <v>30</v>
      </c>
      <c r="B6" s="7" t="s">
        <v>26</v>
      </c>
      <c r="C6" s="8" t="n">
        <v>12100000000</v>
      </c>
      <c r="D6" s="8" t="n">
        <v>19970000000</v>
      </c>
      <c r="E6" s="9" t="n">
        <f aca="false">(D6-C6)/C6</f>
        <v>0.650413223140496</v>
      </c>
    </row>
    <row r="7" customFormat="false" ht="15" hidden="false" customHeight="false" outlineLevel="0" collapsed="false">
      <c r="A7" s="10" t="s">
        <v>30</v>
      </c>
      <c r="B7" s="10" t="s">
        <v>27</v>
      </c>
      <c r="C7" s="11" t="n">
        <v>144.1</v>
      </c>
      <c r="D7" s="11" t="n">
        <v>118.9</v>
      </c>
      <c r="E7" s="9" t="n">
        <f aca="false">(D7-C7)/C7</f>
        <v>-0.174878556557946</v>
      </c>
    </row>
    <row r="8" customFormat="false" ht="15" hidden="false" customHeight="false" outlineLevel="0" collapsed="false">
      <c r="A8" s="6" t="s">
        <v>31</v>
      </c>
      <c r="B8" s="6"/>
      <c r="C8" s="6"/>
      <c r="D8" s="6"/>
      <c r="E8" s="6"/>
    </row>
    <row r="9" customFormat="false" ht="15" hidden="false" customHeight="false" outlineLevel="0" collapsed="false">
      <c r="A9" s="10" t="s">
        <v>32</v>
      </c>
      <c r="B9" s="10" t="s">
        <v>33</v>
      </c>
      <c r="C9" s="12" t="n">
        <v>72700000</v>
      </c>
      <c r="D9" s="12" t="n">
        <v>138300000</v>
      </c>
      <c r="E9" s="9" t="n">
        <f aca="false">(D9-C9)/C9</f>
        <v>0.902338376891334</v>
      </c>
    </row>
    <row r="10" customFormat="false" ht="15" hidden="false" customHeight="false" outlineLevel="0" collapsed="false">
      <c r="A10" s="10" t="s">
        <v>32</v>
      </c>
      <c r="B10" s="10" t="s">
        <v>34</v>
      </c>
      <c r="C10" s="13" t="n">
        <v>0.866</v>
      </c>
      <c r="D10" s="13" t="n">
        <v>0.824</v>
      </c>
      <c r="E10" s="14"/>
    </row>
    <row r="11" customFormat="false" ht="15" hidden="false" customHeight="false" outlineLevel="0" collapsed="false">
      <c r="A11" s="10" t="s">
        <v>32</v>
      </c>
      <c r="B11" s="10" t="s">
        <v>35</v>
      </c>
      <c r="C11" s="12" t="n">
        <v>11200000</v>
      </c>
      <c r="D11" s="12" t="n">
        <v>29600000</v>
      </c>
      <c r="E11" s="9" t="n">
        <f aca="false">(D11-C11)/C11</f>
        <v>1.64285714285714</v>
      </c>
    </row>
    <row r="12" customFormat="false" ht="15" hidden="false" customHeight="false" outlineLevel="0" collapsed="false">
      <c r="A12" s="10" t="s">
        <v>32</v>
      </c>
      <c r="B12" s="10" t="s">
        <v>36</v>
      </c>
      <c r="C12" s="13" t="n">
        <v>0.134</v>
      </c>
      <c r="D12" s="13" t="n">
        <v>0.176</v>
      </c>
      <c r="E12" s="14"/>
    </row>
    <row r="13" customFormat="false" ht="15" hidden="false" customHeight="false" outlineLevel="0" collapsed="false">
      <c r="A13" s="6" t="s">
        <v>37</v>
      </c>
      <c r="B13" s="6"/>
      <c r="C13" s="6"/>
      <c r="D13" s="6"/>
      <c r="E13" s="6"/>
    </row>
    <row r="14" customFormat="false" ht="15" hidden="false" customHeight="false" outlineLevel="0" collapsed="false">
      <c r="A14" s="10" t="s">
        <v>38</v>
      </c>
      <c r="B14" s="10" t="s">
        <v>39</v>
      </c>
      <c r="C14" s="12" t="n">
        <v>9960000000</v>
      </c>
      <c r="D14" s="12" t="n">
        <v>15180000000</v>
      </c>
      <c r="E14" s="9" t="n">
        <f aca="false">(D14-C14)/C14</f>
        <v>0.524096385542169</v>
      </c>
    </row>
    <row r="15" customFormat="false" ht="15" hidden="false" customHeight="false" outlineLevel="0" collapsed="false">
      <c r="A15" s="10" t="s">
        <v>38</v>
      </c>
      <c r="B15" s="10" t="s">
        <v>34</v>
      </c>
      <c r="C15" s="13" t="n">
        <v>0.823</v>
      </c>
      <c r="D15" s="13" t="n">
        <v>0.76</v>
      </c>
      <c r="E15" s="14"/>
    </row>
    <row r="16" customFormat="false" ht="15" hidden="false" customHeight="false" outlineLevel="0" collapsed="false">
      <c r="A16" s="10" t="s">
        <v>38</v>
      </c>
      <c r="B16" s="10" t="s">
        <v>40</v>
      </c>
      <c r="C16" s="12" t="n">
        <v>2140000000</v>
      </c>
      <c r="D16" s="12" t="n">
        <v>4790000000</v>
      </c>
      <c r="E16" s="9" t="n">
        <f aca="false">(D16-C16)/C16</f>
        <v>1.23831775700935</v>
      </c>
    </row>
    <row r="17" customFormat="false" ht="15" hidden="false" customHeight="false" outlineLevel="0" collapsed="false">
      <c r="A17" s="10" t="s">
        <v>38</v>
      </c>
      <c r="B17" s="10" t="s">
        <v>36</v>
      </c>
      <c r="C17" s="13" t="n">
        <v>0.177</v>
      </c>
      <c r="D17" s="13" t="n">
        <v>0.24</v>
      </c>
      <c r="E17" s="14"/>
    </row>
    <row r="18" customFormat="false" ht="15" hidden="false" customHeight="false" outlineLevel="0" collapsed="false">
      <c r="A18" s="6" t="s">
        <v>41</v>
      </c>
      <c r="B18" s="6"/>
      <c r="C18" s="6"/>
      <c r="D18" s="6"/>
      <c r="E18" s="6"/>
    </row>
    <row r="19" customFormat="false" ht="15" hidden="false" customHeight="false" outlineLevel="0" collapsed="false">
      <c r="A19" s="10" t="s">
        <v>42</v>
      </c>
      <c r="B19" s="10" t="s">
        <v>43</v>
      </c>
      <c r="C19" s="13" t="n">
        <v>0.846</v>
      </c>
      <c r="D19" s="13" t="n">
        <v>0.867</v>
      </c>
      <c r="E19" s="14"/>
    </row>
    <row r="20" customFormat="false" ht="15" hidden="false" customHeight="false" outlineLevel="0" collapsed="false">
      <c r="A20" s="10" t="s">
        <v>42</v>
      </c>
      <c r="B20" s="10" t="s">
        <v>44</v>
      </c>
      <c r="C20" s="13" t="n">
        <v>0.119</v>
      </c>
      <c r="D20" s="13" t="n">
        <v>0.109</v>
      </c>
      <c r="E20" s="14"/>
    </row>
    <row r="21" customFormat="false" ht="15" hidden="false" customHeight="false" outlineLevel="0" collapsed="false">
      <c r="A21" s="10" t="s">
        <v>42</v>
      </c>
      <c r="B21" s="10" t="s">
        <v>45</v>
      </c>
      <c r="C21" s="13" t="n">
        <v>0.035</v>
      </c>
      <c r="D21" s="13" t="n">
        <v>0.025</v>
      </c>
      <c r="E21" s="14"/>
    </row>
    <row r="22" customFormat="false" ht="15" hidden="false" customHeight="false" outlineLevel="0" collapsed="false">
      <c r="A22" s="6" t="s">
        <v>46</v>
      </c>
      <c r="B22" s="6"/>
      <c r="C22" s="6"/>
      <c r="D22" s="6"/>
      <c r="E22" s="6"/>
    </row>
    <row r="23" customFormat="false" ht="15" hidden="false" customHeight="false" outlineLevel="0" collapsed="false">
      <c r="A23" s="10" t="s">
        <v>47</v>
      </c>
      <c r="B23" s="10" t="s">
        <v>43</v>
      </c>
      <c r="C23" s="13" t="n">
        <v>0.734</v>
      </c>
      <c r="D23" s="13" t="n">
        <v>0.728</v>
      </c>
      <c r="E23" s="14"/>
    </row>
    <row r="24" customFormat="false" ht="15" hidden="false" customHeight="false" outlineLevel="0" collapsed="false">
      <c r="A24" s="10" t="s">
        <v>47</v>
      </c>
      <c r="B24" s="10" t="s">
        <v>44</v>
      </c>
      <c r="C24" s="13" t="n">
        <v>0.213</v>
      </c>
      <c r="D24" s="13" t="n">
        <v>0.223</v>
      </c>
      <c r="E24" s="14"/>
    </row>
    <row r="25" customFormat="false" ht="15" hidden="false" customHeight="false" outlineLevel="0" collapsed="false">
      <c r="A25" s="10" t="s">
        <v>47</v>
      </c>
      <c r="B25" s="10" t="s">
        <v>45</v>
      </c>
      <c r="C25" s="13" t="n">
        <v>0.053</v>
      </c>
      <c r="D25" s="13" t="n">
        <v>0.049</v>
      </c>
      <c r="E25" s="14"/>
    </row>
    <row r="26" customFormat="false" ht="15" hidden="false" customHeight="false" outlineLevel="0" collapsed="false">
      <c r="A26" s="6" t="s">
        <v>48</v>
      </c>
      <c r="B26" s="6"/>
      <c r="C26" s="6"/>
      <c r="D26" s="6"/>
      <c r="E26" s="6"/>
    </row>
    <row r="27" customFormat="false" ht="15" hidden="false" customHeight="false" outlineLevel="0" collapsed="false">
      <c r="A27" s="10" t="s">
        <v>49</v>
      </c>
      <c r="B27" s="10" t="s">
        <v>50</v>
      </c>
      <c r="C27" s="13" t="n">
        <v>0.996</v>
      </c>
      <c r="D27" s="13" t="n">
        <v>0.994</v>
      </c>
      <c r="E27" s="14"/>
    </row>
    <row r="28" customFormat="false" ht="15" hidden="false" customHeight="false" outlineLevel="0" collapsed="false">
      <c r="A28" s="10" t="s">
        <v>49</v>
      </c>
      <c r="B28" s="10" t="s">
        <v>51</v>
      </c>
      <c r="C28" s="13" t="n">
        <v>0.004</v>
      </c>
      <c r="D28" s="13" t="n">
        <v>0.006</v>
      </c>
      <c r="E28" s="14"/>
    </row>
    <row r="29" customFormat="false" ht="15" hidden="false" customHeight="false" outlineLevel="0" collapsed="false">
      <c r="A29" s="10" t="s">
        <v>49</v>
      </c>
      <c r="B29" s="10" t="s">
        <v>52</v>
      </c>
      <c r="C29" s="13" t="n">
        <v>0.999</v>
      </c>
      <c r="D29" s="13" t="n">
        <v>0.999</v>
      </c>
      <c r="E29" s="14"/>
    </row>
    <row r="30" customFormat="false" ht="15" hidden="false" customHeight="false" outlineLevel="0" collapsed="false">
      <c r="A30" s="10" t="s">
        <v>49</v>
      </c>
      <c r="B30" s="10" t="s">
        <v>53</v>
      </c>
      <c r="C30" s="13" t="n">
        <v>0.001</v>
      </c>
      <c r="D30" s="13" t="n">
        <v>0.001</v>
      </c>
      <c r="E30" s="14"/>
    </row>
    <row r="31" customFormat="false" ht="15" hidden="false" customHeight="false" outlineLevel="0" collapsed="false">
      <c r="A31" s="6" t="s">
        <v>54</v>
      </c>
      <c r="B31" s="6"/>
      <c r="C31" s="6"/>
      <c r="D31" s="6"/>
      <c r="E31" s="6"/>
    </row>
    <row r="32" customFormat="false" ht="15" hidden="false" customHeight="false" outlineLevel="0" collapsed="false">
      <c r="A32" s="10" t="s">
        <v>55</v>
      </c>
      <c r="B32" s="10" t="s">
        <v>56</v>
      </c>
      <c r="C32" s="12" t="n">
        <v>45400</v>
      </c>
      <c r="D32" s="12" t="n">
        <v>186800</v>
      </c>
      <c r="E32" s="9" t="n">
        <f aca="false">(D32-C32)/C32</f>
        <v>3.11453744493392</v>
      </c>
    </row>
    <row r="33" customFormat="false" ht="15" hidden="false" customHeight="false" outlineLevel="0" collapsed="false">
      <c r="A33" s="10" t="s">
        <v>55</v>
      </c>
      <c r="B33" s="10" t="s">
        <v>57</v>
      </c>
      <c r="C33" s="12" t="n">
        <v>1200000</v>
      </c>
      <c r="D33" s="12" t="n">
        <v>3100000</v>
      </c>
      <c r="E33" s="9" t="n">
        <f aca="false">(D33-C33)/C33</f>
        <v>1.58333333333333</v>
      </c>
    </row>
    <row r="34" customFormat="false" ht="15" hidden="false" customHeight="false" outlineLevel="0" collapsed="false">
      <c r="A34" s="6" t="s">
        <v>58</v>
      </c>
      <c r="B34" s="6"/>
      <c r="C34" s="6"/>
      <c r="D34" s="6"/>
      <c r="E34" s="6"/>
    </row>
    <row r="35" customFormat="false" ht="15" hidden="false" customHeight="false" outlineLevel="0" collapsed="false">
      <c r="A35" s="7" t="s">
        <v>59</v>
      </c>
      <c r="B35" s="7" t="s">
        <v>60</v>
      </c>
      <c r="C35" s="8" t="n">
        <v>1670000</v>
      </c>
      <c r="D35" s="8" t="n">
        <v>2130000</v>
      </c>
      <c r="E35" s="9" t="n">
        <f aca="false">(D35-C35)/C35</f>
        <v>0.275449101796407</v>
      </c>
    </row>
    <row r="36" customFormat="false" ht="15" hidden="false" customHeight="false" outlineLevel="0" collapsed="false">
      <c r="A36" s="10" t="s">
        <v>59</v>
      </c>
      <c r="B36" s="10" t="s">
        <v>61</v>
      </c>
      <c r="C36" s="13" t="n">
        <v>0.982</v>
      </c>
      <c r="D36" s="13" t="n">
        <v>0.977</v>
      </c>
      <c r="E36" s="14"/>
    </row>
    <row r="37" customFormat="false" ht="15" hidden="false" customHeight="false" outlineLevel="0" collapsed="false">
      <c r="A37" s="10" t="s">
        <v>59</v>
      </c>
      <c r="B37" s="10" t="s">
        <v>62</v>
      </c>
      <c r="C37" s="13" t="n">
        <v>0.018</v>
      </c>
      <c r="D37" s="13" t="n">
        <v>0.023</v>
      </c>
      <c r="E37" s="14"/>
    </row>
    <row r="38" customFormat="false" ht="15" hidden="false" customHeight="false" outlineLevel="0" collapsed="false">
      <c r="A38" s="6" t="s">
        <v>63</v>
      </c>
      <c r="B38" s="6"/>
      <c r="C38" s="6"/>
      <c r="D38" s="6"/>
      <c r="E38" s="6"/>
    </row>
    <row r="39" customFormat="false" ht="15" hidden="false" customHeight="false" outlineLevel="0" collapsed="false">
      <c r="A39" s="10" t="s">
        <v>64</v>
      </c>
      <c r="B39" s="10" t="s">
        <v>65</v>
      </c>
      <c r="C39" s="13" t="n">
        <v>0.62</v>
      </c>
      <c r="D39" s="13" t="n">
        <v>0.61</v>
      </c>
      <c r="E39" s="14"/>
    </row>
    <row r="40" customFormat="false" ht="15" hidden="false" customHeight="false" outlineLevel="0" collapsed="false">
      <c r="A40" s="10" t="s">
        <v>64</v>
      </c>
      <c r="B40" s="10" t="s">
        <v>66</v>
      </c>
      <c r="C40" s="13" t="n">
        <v>0.35</v>
      </c>
      <c r="D40" s="13" t="n">
        <v>0.36</v>
      </c>
      <c r="E40" s="14"/>
    </row>
    <row r="41" customFormat="false" ht="15" hidden="false" customHeight="false" outlineLevel="0" collapsed="false">
      <c r="A41" s="10" t="s">
        <v>64</v>
      </c>
      <c r="B41" s="10" t="s">
        <v>67</v>
      </c>
      <c r="C41" s="13" t="n">
        <v>0.03</v>
      </c>
      <c r="D41" s="13" t="n">
        <v>0.03</v>
      </c>
      <c r="E41" s="14"/>
    </row>
    <row r="42" customFormat="false" ht="15" hidden="false" customHeight="false" outlineLevel="0" collapsed="false">
      <c r="A42" s="6" t="s">
        <v>68</v>
      </c>
      <c r="B42" s="6"/>
      <c r="C42" s="6"/>
      <c r="D42" s="6"/>
      <c r="E42" s="6"/>
    </row>
    <row r="43" customFormat="false" ht="15" hidden="false" customHeight="false" outlineLevel="0" collapsed="false">
      <c r="A43" s="10" t="s">
        <v>69</v>
      </c>
      <c r="B43" s="10" t="s">
        <v>70</v>
      </c>
      <c r="C43" s="13" t="n">
        <v>0.96</v>
      </c>
      <c r="D43" s="13" t="n">
        <v>0.96</v>
      </c>
      <c r="E43" s="14"/>
    </row>
    <row r="44" customFormat="false" ht="15" hidden="false" customHeight="false" outlineLevel="0" collapsed="false">
      <c r="A44" s="10" t="s">
        <v>69</v>
      </c>
      <c r="B44" s="10" t="s">
        <v>71</v>
      </c>
      <c r="C44" s="13" t="n">
        <v>0.04</v>
      </c>
      <c r="D44" s="13" t="n">
        <v>0.04</v>
      </c>
      <c r="E44" s="14"/>
    </row>
    <row r="45" customFormat="false" ht="15" hidden="false" customHeight="false" outlineLevel="0" collapsed="false">
      <c r="A45" s="6" t="s">
        <v>72</v>
      </c>
      <c r="B45" s="6"/>
      <c r="C45" s="6"/>
      <c r="D45" s="6"/>
      <c r="E45" s="6"/>
    </row>
    <row r="46" customFormat="false" ht="15" hidden="false" customHeight="false" outlineLevel="0" collapsed="false">
      <c r="A46" s="10" t="s">
        <v>73</v>
      </c>
      <c r="B46" s="10" t="s">
        <v>74</v>
      </c>
      <c r="C46" s="13" t="n">
        <v>0.004</v>
      </c>
      <c r="D46" s="13" t="n">
        <v>0.005</v>
      </c>
      <c r="E46" s="14"/>
    </row>
    <row r="47" customFormat="false" ht="15" hidden="false" customHeight="false" outlineLevel="0" collapsed="false">
      <c r="A47" s="10" t="s">
        <v>73</v>
      </c>
      <c r="B47" s="10" t="s">
        <v>75</v>
      </c>
      <c r="C47" s="13" t="n">
        <v>0.375</v>
      </c>
      <c r="D47" s="13" t="n">
        <v>0.373</v>
      </c>
      <c r="E47" s="14"/>
    </row>
    <row r="48" customFormat="false" ht="15" hidden="false" customHeight="false" outlineLevel="0" collapsed="false">
      <c r="A48" s="10" t="s">
        <v>73</v>
      </c>
      <c r="B48" s="10" t="s">
        <v>76</v>
      </c>
      <c r="C48" s="13" t="n">
        <v>0.262</v>
      </c>
      <c r="D48" s="13" t="n">
        <v>0.261</v>
      </c>
      <c r="E48" s="14"/>
    </row>
    <row r="49" customFormat="false" ht="15" hidden="false" customHeight="false" outlineLevel="0" collapsed="false">
      <c r="A49" s="10" t="s">
        <v>73</v>
      </c>
      <c r="B49" s="10" t="s">
        <v>77</v>
      </c>
      <c r="C49" s="13" t="n">
        <v>0.173</v>
      </c>
      <c r="D49" s="13" t="n">
        <v>0.181</v>
      </c>
      <c r="E49" s="14"/>
    </row>
    <row r="50" customFormat="false" ht="15" hidden="false" customHeight="false" outlineLevel="0" collapsed="false">
      <c r="A50" s="10" t="s">
        <v>73</v>
      </c>
      <c r="B50" s="10" t="s">
        <v>78</v>
      </c>
      <c r="C50" s="13" t="n">
        <v>0.106</v>
      </c>
      <c r="D50" s="13" t="n">
        <v>0.112</v>
      </c>
      <c r="E50" s="14"/>
    </row>
    <row r="51" customFormat="false" ht="15" hidden="false" customHeight="false" outlineLevel="0" collapsed="false">
      <c r="A51" s="10" t="s">
        <v>73</v>
      </c>
      <c r="B51" s="10" t="s">
        <v>79</v>
      </c>
      <c r="C51" s="13" t="n">
        <v>0.047</v>
      </c>
      <c r="D51" s="13" t="n">
        <v>0.052</v>
      </c>
      <c r="E51" s="14"/>
    </row>
    <row r="52" customFormat="false" ht="15" hidden="false" customHeight="false" outlineLevel="0" collapsed="false">
      <c r="A52" s="10" t="s">
        <v>73</v>
      </c>
      <c r="B52" s="10" t="s">
        <v>80</v>
      </c>
      <c r="C52" s="13" t="n">
        <v>0.012</v>
      </c>
      <c r="D52" s="13" t="n">
        <v>0.014</v>
      </c>
      <c r="E52" s="14"/>
    </row>
    <row r="53" customFormat="false" ht="15" hidden="false" customHeight="false" outlineLevel="0" collapsed="false">
      <c r="A53" s="10" t="s">
        <v>73</v>
      </c>
      <c r="B53" s="10" t="s">
        <v>81</v>
      </c>
      <c r="C53" s="13" t="n">
        <v>0.002</v>
      </c>
      <c r="D53" s="13" t="n">
        <v>0.003</v>
      </c>
      <c r="E53" s="14"/>
    </row>
  </sheetData>
  <mergeCells count="12">
    <mergeCell ref="A1:E1"/>
    <mergeCell ref="A4:E4"/>
    <mergeCell ref="A8:E8"/>
    <mergeCell ref="A13:E13"/>
    <mergeCell ref="A18:E18"/>
    <mergeCell ref="A22:E22"/>
    <mergeCell ref="A26:E26"/>
    <mergeCell ref="A31:E31"/>
    <mergeCell ref="A34:E34"/>
    <mergeCell ref="A38:E38"/>
    <mergeCell ref="A42:E42"/>
    <mergeCell ref="A45:E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13"/>
  </cols>
  <sheetData>
    <row r="1" customFormat="false" ht="25.5" hidden="false" customHeight="true" outlineLevel="0" collapsed="false">
      <c r="A1" s="4" t="s">
        <v>82</v>
      </c>
      <c r="B1" s="4"/>
      <c r="C1" s="4"/>
      <c r="D1" s="4"/>
      <c r="E1" s="4"/>
    </row>
    <row r="3" customFormat="false" ht="19.5" hidden="false" customHeight="true" outlineLevel="0" collapsed="false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</row>
    <row r="4" customFormat="false" ht="15" hidden="false" customHeight="false" outlineLevel="0" collapsed="false">
      <c r="A4" s="6" t="s">
        <v>29</v>
      </c>
      <c r="B4" s="6"/>
      <c r="C4" s="6"/>
      <c r="D4" s="6"/>
      <c r="E4" s="6"/>
    </row>
    <row r="5" customFormat="false" ht="15" hidden="false" customHeight="false" outlineLevel="0" collapsed="false">
      <c r="A5" s="7" t="s">
        <v>30</v>
      </c>
      <c r="B5" s="7" t="s">
        <v>25</v>
      </c>
      <c r="C5" s="8" t="n">
        <v>56790000</v>
      </c>
      <c r="D5" s="8" t="n">
        <v>102040000</v>
      </c>
      <c r="E5" s="9" t="n">
        <f aca="false">(D5-C5)/C5</f>
        <v>0.796795210424371</v>
      </c>
    </row>
    <row r="6" customFormat="false" ht="15" hidden="false" customHeight="false" outlineLevel="0" collapsed="false">
      <c r="A6" s="7" t="s">
        <v>30</v>
      </c>
      <c r="B6" s="7" t="s">
        <v>26</v>
      </c>
      <c r="C6" s="8" t="n">
        <v>5230000000</v>
      </c>
      <c r="D6" s="8" t="n">
        <v>6340000000</v>
      </c>
      <c r="E6" s="9" t="n">
        <f aca="false">(D6-C6)/C6</f>
        <v>0.212237093690249</v>
      </c>
    </row>
    <row r="7" customFormat="false" ht="15" hidden="false" customHeight="false" outlineLevel="0" collapsed="false">
      <c r="A7" s="10" t="s">
        <v>30</v>
      </c>
      <c r="B7" s="10" t="s">
        <v>27</v>
      </c>
      <c r="C7" s="15" t="n">
        <v>92.02</v>
      </c>
      <c r="D7" s="15" t="n">
        <v>62.14</v>
      </c>
      <c r="E7" s="9" t="n">
        <f aca="false">(D7-C7)/C7</f>
        <v>-0.324712019126277</v>
      </c>
    </row>
    <row r="8" customFormat="false" ht="15" hidden="false" customHeight="false" outlineLevel="0" collapsed="false">
      <c r="A8" s="6" t="s">
        <v>31</v>
      </c>
      <c r="B8" s="6"/>
      <c r="C8" s="6"/>
      <c r="D8" s="6"/>
      <c r="E8" s="6"/>
    </row>
    <row r="9" customFormat="false" ht="15" hidden="false" customHeight="false" outlineLevel="0" collapsed="false">
      <c r="A9" s="10" t="s">
        <v>32</v>
      </c>
      <c r="B9" s="10" t="s">
        <v>33</v>
      </c>
      <c r="C9" s="12" t="n">
        <v>51160000</v>
      </c>
      <c r="D9" s="12" t="n">
        <v>90630000</v>
      </c>
      <c r="E9" s="9" t="n">
        <f aca="false">(D9-C9)/C9</f>
        <v>0.771501172791243</v>
      </c>
    </row>
    <row r="10" customFormat="false" ht="15" hidden="false" customHeight="false" outlineLevel="0" collapsed="false">
      <c r="A10" s="10" t="s">
        <v>32</v>
      </c>
      <c r="B10" s="10" t="s">
        <v>34</v>
      </c>
      <c r="C10" s="13" t="n">
        <v>0.901</v>
      </c>
      <c r="D10" s="13" t="n">
        <v>0.888</v>
      </c>
      <c r="E10" s="14"/>
    </row>
    <row r="11" customFormat="false" ht="15" hidden="false" customHeight="false" outlineLevel="0" collapsed="false">
      <c r="A11" s="10" t="s">
        <v>32</v>
      </c>
      <c r="B11" s="10" t="s">
        <v>35</v>
      </c>
      <c r="C11" s="12" t="n">
        <v>2220000</v>
      </c>
      <c r="D11" s="12" t="n">
        <v>8600000</v>
      </c>
      <c r="E11" s="9" t="n">
        <f aca="false">(D11-C11)/C11</f>
        <v>2.87387387387387</v>
      </c>
    </row>
    <row r="12" customFormat="false" ht="15" hidden="false" customHeight="false" outlineLevel="0" collapsed="false">
      <c r="A12" s="10" t="s">
        <v>32</v>
      </c>
      <c r="B12" s="10" t="s">
        <v>36</v>
      </c>
      <c r="C12" s="13" t="n">
        <v>0.039</v>
      </c>
      <c r="D12" s="13" t="n">
        <v>0.084</v>
      </c>
      <c r="E12" s="14"/>
    </row>
    <row r="13" customFormat="false" ht="15" hidden="false" customHeight="false" outlineLevel="0" collapsed="false">
      <c r="A13" s="10" t="s">
        <v>32</v>
      </c>
      <c r="B13" s="10" t="s">
        <v>83</v>
      </c>
      <c r="C13" s="12" t="n">
        <v>2030000</v>
      </c>
      <c r="D13" s="12" t="n">
        <v>1720000</v>
      </c>
      <c r="E13" s="9" t="n">
        <f aca="false">(D13-C13)/C13</f>
        <v>-0.152709359605911</v>
      </c>
    </row>
    <row r="14" customFormat="false" ht="15" hidden="false" customHeight="false" outlineLevel="0" collapsed="false">
      <c r="A14" s="10" t="s">
        <v>32</v>
      </c>
      <c r="B14" s="10" t="s">
        <v>84</v>
      </c>
      <c r="C14" s="13" t="n">
        <v>0.036</v>
      </c>
      <c r="D14" s="13" t="n">
        <v>0.017</v>
      </c>
      <c r="E14" s="14"/>
    </row>
    <row r="15" customFormat="false" ht="15" hidden="false" customHeight="false" outlineLevel="0" collapsed="false">
      <c r="A15" s="10" t="s">
        <v>32</v>
      </c>
      <c r="B15" s="10" t="s">
        <v>85</v>
      </c>
      <c r="C15" s="12" t="n">
        <v>1380000</v>
      </c>
      <c r="D15" s="12" t="n">
        <v>1090000</v>
      </c>
      <c r="E15" s="9" t="n">
        <f aca="false">(D15-C15)/C15</f>
        <v>-0.210144927536232</v>
      </c>
    </row>
    <row r="16" customFormat="false" ht="15" hidden="false" customHeight="false" outlineLevel="0" collapsed="false">
      <c r="A16" s="10" t="s">
        <v>32</v>
      </c>
      <c r="B16" s="10" t="s">
        <v>86</v>
      </c>
      <c r="C16" s="13" t="n">
        <v>0.024</v>
      </c>
      <c r="D16" s="13" t="n">
        <v>0.011</v>
      </c>
      <c r="E16" s="14"/>
    </row>
    <row r="17" customFormat="false" ht="15" hidden="false" customHeight="false" outlineLevel="0" collapsed="false">
      <c r="A17" s="6" t="s">
        <v>37</v>
      </c>
      <c r="B17" s="6"/>
      <c r="C17" s="6"/>
      <c r="D17" s="6"/>
      <c r="E17" s="6"/>
    </row>
    <row r="18" customFormat="false" ht="15" hidden="false" customHeight="false" outlineLevel="0" collapsed="false">
      <c r="A18" s="10" t="s">
        <v>38</v>
      </c>
      <c r="B18" s="10" t="s">
        <v>39</v>
      </c>
      <c r="C18" s="12" t="n">
        <v>4470000000</v>
      </c>
      <c r="D18" s="12" t="n">
        <v>5430000000</v>
      </c>
      <c r="E18" s="9" t="n">
        <f aca="false">(D18-C18)/C18</f>
        <v>0.214765100671141</v>
      </c>
    </row>
    <row r="19" customFormat="false" ht="15" hidden="false" customHeight="false" outlineLevel="0" collapsed="false">
      <c r="A19" s="10" t="s">
        <v>38</v>
      </c>
      <c r="B19" s="10" t="s">
        <v>34</v>
      </c>
      <c r="C19" s="13" t="n">
        <v>0.856</v>
      </c>
      <c r="D19" s="13" t="n">
        <v>0.856</v>
      </c>
      <c r="E19" s="14"/>
    </row>
    <row r="20" customFormat="false" ht="15" hidden="false" customHeight="false" outlineLevel="0" collapsed="false">
      <c r="A20" s="10" t="s">
        <v>38</v>
      </c>
      <c r="B20" s="10" t="s">
        <v>40</v>
      </c>
      <c r="C20" s="12" t="n">
        <v>160000000</v>
      </c>
      <c r="D20" s="12" t="n">
        <v>480000000</v>
      </c>
      <c r="E20" s="9" t="n">
        <f aca="false">(D20-C20)/C20</f>
        <v>2</v>
      </c>
    </row>
    <row r="21" customFormat="false" ht="15" hidden="false" customHeight="false" outlineLevel="0" collapsed="false">
      <c r="A21" s="10" t="s">
        <v>38</v>
      </c>
      <c r="B21" s="10" t="s">
        <v>36</v>
      </c>
      <c r="C21" s="13" t="n">
        <v>0.03</v>
      </c>
      <c r="D21" s="13" t="n">
        <v>0.076</v>
      </c>
      <c r="E21" s="14"/>
    </row>
    <row r="22" customFormat="false" ht="15" hidden="false" customHeight="false" outlineLevel="0" collapsed="false">
      <c r="A22" s="10" t="s">
        <v>38</v>
      </c>
      <c r="B22" s="10" t="s">
        <v>87</v>
      </c>
      <c r="C22" s="12" t="n">
        <v>340000000</v>
      </c>
      <c r="D22" s="12" t="n">
        <v>260000000</v>
      </c>
      <c r="E22" s="9" t="n">
        <f aca="false">(D22-C22)/C22</f>
        <v>-0.235294117647059</v>
      </c>
    </row>
    <row r="23" customFormat="false" ht="15" hidden="false" customHeight="false" outlineLevel="0" collapsed="false">
      <c r="A23" s="10" t="s">
        <v>38</v>
      </c>
      <c r="B23" s="10" t="s">
        <v>84</v>
      </c>
      <c r="C23" s="13" t="n">
        <v>0.066</v>
      </c>
      <c r="D23" s="13" t="n">
        <v>0.041</v>
      </c>
      <c r="E23" s="14"/>
    </row>
    <row r="24" customFormat="false" ht="15" hidden="false" customHeight="false" outlineLevel="0" collapsed="false">
      <c r="A24" s="10" t="s">
        <v>38</v>
      </c>
      <c r="B24" s="10" t="s">
        <v>88</v>
      </c>
      <c r="C24" s="12" t="n">
        <v>250000000</v>
      </c>
      <c r="D24" s="12" t="n">
        <v>170000000</v>
      </c>
      <c r="E24" s="9" t="n">
        <f aca="false">(D24-C24)/C24</f>
        <v>-0.32</v>
      </c>
    </row>
    <row r="25" customFormat="false" ht="15" hidden="false" customHeight="false" outlineLevel="0" collapsed="false">
      <c r="A25" s="10" t="s">
        <v>38</v>
      </c>
      <c r="B25" s="10" t="s">
        <v>86</v>
      </c>
      <c r="C25" s="13" t="n">
        <v>0.048</v>
      </c>
      <c r="D25" s="13" t="n">
        <v>0.027</v>
      </c>
      <c r="E25" s="14"/>
    </row>
    <row r="26" customFormat="false" ht="15" hidden="false" customHeight="false" outlineLevel="0" collapsed="false">
      <c r="A26" s="6" t="s">
        <v>54</v>
      </c>
      <c r="B26" s="6"/>
      <c r="C26" s="6"/>
      <c r="D26" s="6"/>
      <c r="E26" s="6"/>
    </row>
    <row r="27" customFormat="false" ht="15" hidden="false" customHeight="false" outlineLevel="0" collapsed="false">
      <c r="A27" s="10" t="s">
        <v>55</v>
      </c>
      <c r="B27" s="10" t="s">
        <v>56</v>
      </c>
      <c r="C27" s="12" t="n">
        <v>239700</v>
      </c>
      <c r="D27" s="12" t="n">
        <v>1540000</v>
      </c>
      <c r="E27" s="9" t="n">
        <f aca="false">(D27-C27)/C27</f>
        <v>5.4246975385899</v>
      </c>
    </row>
    <row r="28" customFormat="false" ht="15" hidden="false" customHeight="false" outlineLevel="0" collapsed="false">
      <c r="A28" s="10" t="s">
        <v>55</v>
      </c>
      <c r="B28" s="10" t="s">
        <v>57</v>
      </c>
      <c r="C28" s="12" t="n">
        <v>4870000</v>
      </c>
      <c r="D28" s="12" t="n">
        <v>18160000</v>
      </c>
      <c r="E28" s="9" t="n">
        <f aca="false">(D28-C28)/C28</f>
        <v>2.72895277207392</v>
      </c>
    </row>
    <row r="29" customFormat="false" ht="15" hidden="false" customHeight="false" outlineLevel="0" collapsed="false">
      <c r="A29" s="6" t="s">
        <v>58</v>
      </c>
      <c r="B29" s="6"/>
      <c r="C29" s="6"/>
      <c r="D29" s="6"/>
      <c r="E29" s="6"/>
    </row>
    <row r="30" customFormat="false" ht="15" hidden="false" customHeight="false" outlineLevel="0" collapsed="false">
      <c r="A30" s="7" t="s">
        <v>59</v>
      </c>
      <c r="B30" s="7" t="s">
        <v>60</v>
      </c>
      <c r="C30" s="8" t="n">
        <v>2590000</v>
      </c>
      <c r="D30" s="8" t="n">
        <v>2810000</v>
      </c>
      <c r="E30" s="9" t="n">
        <f aca="false">(D30-C30)/C30</f>
        <v>0.0849420849420849</v>
      </c>
    </row>
    <row r="31" customFormat="false" ht="15" hidden="false" customHeight="false" outlineLevel="0" collapsed="false">
      <c r="A31" s="10" t="s">
        <v>59</v>
      </c>
      <c r="B31" s="10" t="s">
        <v>89</v>
      </c>
      <c r="C31" s="13" t="n">
        <v>0.998</v>
      </c>
      <c r="D31" s="13" t="n">
        <v>0.998</v>
      </c>
      <c r="E31" s="14"/>
    </row>
    <row r="32" customFormat="false" ht="15" hidden="false" customHeight="false" outlineLevel="0" collapsed="false">
      <c r="A32" s="10" t="s">
        <v>59</v>
      </c>
      <c r="B32" s="10" t="s">
        <v>90</v>
      </c>
      <c r="C32" s="13" t="n">
        <v>0.002</v>
      </c>
      <c r="D32" s="13" t="n">
        <v>0.002</v>
      </c>
      <c r="E32" s="14"/>
    </row>
    <row r="33" customFormat="false" ht="15" hidden="false" customHeight="false" outlineLevel="0" collapsed="false">
      <c r="A33" s="6" t="s">
        <v>91</v>
      </c>
      <c r="B33" s="6"/>
      <c r="C33" s="6"/>
      <c r="D33" s="6"/>
      <c r="E33" s="6"/>
    </row>
    <row r="34" customFormat="false" ht="15" hidden="false" customHeight="false" outlineLevel="0" collapsed="false">
      <c r="A34" s="10" t="s">
        <v>64</v>
      </c>
      <c r="B34" s="10" t="s">
        <v>92</v>
      </c>
      <c r="C34" s="12"/>
      <c r="D34" s="12"/>
      <c r="E34" s="14"/>
    </row>
    <row r="35" customFormat="false" ht="15" hidden="false" customHeight="false" outlineLevel="0" collapsed="false">
      <c r="A35" s="10" t="s">
        <v>64</v>
      </c>
      <c r="B35" s="10" t="s">
        <v>93</v>
      </c>
      <c r="C35" s="12" t="n">
        <v>1260000</v>
      </c>
      <c r="D35" s="12" t="n">
        <v>1320000</v>
      </c>
      <c r="E35" s="9" t="n">
        <f aca="false">(D35-C35)/C35</f>
        <v>0.0476190476190476</v>
      </c>
    </row>
    <row r="36" customFormat="false" ht="15" hidden="false" customHeight="false" outlineLevel="0" collapsed="false">
      <c r="A36" s="10" t="s">
        <v>64</v>
      </c>
      <c r="B36" s="10" t="s">
        <v>65</v>
      </c>
      <c r="C36" s="13" t="n">
        <v>0.508</v>
      </c>
      <c r="D36" s="13" t="n">
        <v>0.528</v>
      </c>
      <c r="E36" s="14"/>
    </row>
    <row r="37" customFormat="false" ht="15" hidden="false" customHeight="false" outlineLevel="0" collapsed="false">
      <c r="A37" s="10" t="s">
        <v>64</v>
      </c>
      <c r="B37" s="10" t="s">
        <v>66</v>
      </c>
      <c r="C37" s="13" t="n">
        <v>0.488</v>
      </c>
      <c r="D37" s="13" t="n">
        <v>0.468</v>
      </c>
      <c r="E37" s="14"/>
    </row>
    <row r="38" customFormat="false" ht="15" hidden="false" customHeight="false" outlineLevel="0" collapsed="false">
      <c r="A38" s="6" t="s">
        <v>68</v>
      </c>
      <c r="B38" s="6"/>
      <c r="C38" s="6"/>
      <c r="D38" s="6"/>
      <c r="E38" s="6"/>
    </row>
    <row r="39" customFormat="false" ht="15" hidden="false" customHeight="false" outlineLevel="0" collapsed="false">
      <c r="A39" s="10" t="s">
        <v>69</v>
      </c>
      <c r="B39" s="10" t="s">
        <v>70</v>
      </c>
      <c r="C39" s="13" t="n">
        <v>0.884</v>
      </c>
      <c r="D39" s="13" t="n">
        <v>0.878</v>
      </c>
      <c r="E39" s="14"/>
    </row>
    <row r="40" customFormat="false" ht="15" hidden="false" customHeight="false" outlineLevel="0" collapsed="false">
      <c r="A40" s="10" t="s">
        <v>69</v>
      </c>
      <c r="B40" s="10" t="s">
        <v>71</v>
      </c>
      <c r="C40" s="13" t="n">
        <v>0.116</v>
      </c>
      <c r="D40" s="13" t="n">
        <v>0.122</v>
      </c>
      <c r="E40" s="14"/>
    </row>
    <row r="41" customFormat="false" ht="15" hidden="false" customHeight="false" outlineLevel="0" collapsed="false">
      <c r="A41" s="6" t="s">
        <v>72</v>
      </c>
      <c r="B41" s="6"/>
      <c r="C41" s="6"/>
      <c r="D41" s="6"/>
      <c r="E41" s="6"/>
    </row>
    <row r="42" customFormat="false" ht="15" hidden="false" customHeight="false" outlineLevel="0" collapsed="false">
      <c r="A42" s="10" t="s">
        <v>73</v>
      </c>
      <c r="B42" s="10" t="s">
        <v>74</v>
      </c>
      <c r="C42" s="13" t="n">
        <v>0.001</v>
      </c>
      <c r="D42" s="13" t="n">
        <v>0.0004</v>
      </c>
      <c r="E42" s="14"/>
    </row>
    <row r="43" customFormat="false" ht="15" hidden="false" customHeight="false" outlineLevel="0" collapsed="false">
      <c r="A43" s="10" t="s">
        <v>73</v>
      </c>
      <c r="B43" s="10" t="s">
        <v>75</v>
      </c>
      <c r="C43" s="13" t="n">
        <v>0.355</v>
      </c>
      <c r="D43" s="13" t="n">
        <v>0.366</v>
      </c>
      <c r="E43" s="14"/>
    </row>
    <row r="44" customFormat="false" ht="15" hidden="false" customHeight="false" outlineLevel="0" collapsed="false">
      <c r="A44" s="10" t="s">
        <v>73</v>
      </c>
      <c r="B44" s="10" t="s">
        <v>76</v>
      </c>
      <c r="C44" s="13" t="n">
        <v>0.258</v>
      </c>
      <c r="D44" s="13" t="n">
        <v>0.257</v>
      </c>
      <c r="E44" s="14"/>
    </row>
    <row r="45" customFormat="false" ht="15" hidden="false" customHeight="false" outlineLevel="0" collapsed="false">
      <c r="A45" s="10" t="s">
        <v>73</v>
      </c>
      <c r="B45" s="10" t="s">
        <v>77</v>
      </c>
      <c r="C45" s="13" t="n">
        <v>0.194</v>
      </c>
      <c r="D45" s="13" t="n">
        <v>0.192</v>
      </c>
      <c r="E45" s="14"/>
    </row>
    <row r="46" customFormat="false" ht="15" hidden="false" customHeight="false" outlineLevel="0" collapsed="false">
      <c r="A46" s="10" t="s">
        <v>73</v>
      </c>
      <c r="B46" s="10" t="s">
        <v>78</v>
      </c>
      <c r="C46" s="13" t="n">
        <v>0.123</v>
      </c>
      <c r="D46" s="13" t="n">
        <v>0.121</v>
      </c>
      <c r="E46" s="14"/>
    </row>
    <row r="47" customFormat="false" ht="15" hidden="false" customHeight="false" outlineLevel="0" collapsed="false">
      <c r="A47" s="10" t="s">
        <v>73</v>
      </c>
      <c r="B47" s="10" t="s">
        <v>79</v>
      </c>
      <c r="C47" s="13" t="n">
        <v>0.046</v>
      </c>
      <c r="D47" s="13" t="n">
        <v>0.046</v>
      </c>
      <c r="E47" s="14"/>
    </row>
    <row r="48" customFormat="false" ht="15" hidden="false" customHeight="false" outlineLevel="0" collapsed="false">
      <c r="A48" s="10" t="s">
        <v>73</v>
      </c>
      <c r="B48" s="10" t="s">
        <v>80</v>
      </c>
      <c r="C48" s="13" t="n">
        <v>0.015</v>
      </c>
      <c r="D48" s="13" t="n">
        <v>0.013</v>
      </c>
      <c r="E48" s="14"/>
    </row>
    <row r="49" customFormat="false" ht="15" hidden="false" customHeight="false" outlineLevel="0" collapsed="false">
      <c r="A49" s="10" t="s">
        <v>73</v>
      </c>
      <c r="B49" s="10" t="s">
        <v>81</v>
      </c>
      <c r="C49" s="13" t="n">
        <v>0.006</v>
      </c>
      <c r="D49" s="13" t="n">
        <v>0.005</v>
      </c>
      <c r="E49" s="14"/>
    </row>
  </sheetData>
  <mergeCells count="9">
    <mergeCell ref="A1:E1"/>
    <mergeCell ref="A4:E4"/>
    <mergeCell ref="A8:E8"/>
    <mergeCell ref="A17:E17"/>
    <mergeCell ref="A26:E26"/>
    <mergeCell ref="A29:E29"/>
    <mergeCell ref="A33:E33"/>
    <mergeCell ref="A38:E38"/>
    <mergeCell ref="A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13"/>
  </cols>
  <sheetData>
    <row r="1" customFormat="false" ht="25.5" hidden="false" customHeight="true" outlineLevel="0" collapsed="false">
      <c r="A1" s="4" t="s">
        <v>94</v>
      </c>
      <c r="B1" s="4"/>
      <c r="C1" s="4"/>
      <c r="D1" s="4"/>
      <c r="E1" s="4"/>
    </row>
    <row r="3" customFormat="false" ht="19.5" hidden="false" customHeight="true" outlineLevel="0" collapsed="false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</row>
    <row r="4" customFormat="false" ht="15" hidden="false" customHeight="false" outlineLevel="0" collapsed="false">
      <c r="A4" s="6" t="s">
        <v>58</v>
      </c>
      <c r="B4" s="6"/>
      <c r="C4" s="6"/>
      <c r="D4" s="6"/>
      <c r="E4" s="6"/>
    </row>
    <row r="5" customFormat="false" ht="15" hidden="false" customHeight="false" outlineLevel="0" collapsed="false">
      <c r="A5" s="7" t="s">
        <v>59</v>
      </c>
      <c r="B5" s="7" t="s">
        <v>95</v>
      </c>
      <c r="C5" s="8" t="n">
        <v>3480000</v>
      </c>
      <c r="D5" s="8" t="n">
        <v>3930000</v>
      </c>
      <c r="E5" s="9" t="n">
        <f aca="false">(D5-C5)/C5</f>
        <v>0.129310344827586</v>
      </c>
    </row>
    <row r="6" customFormat="false" ht="15" hidden="false" customHeight="false" outlineLevel="0" collapsed="false">
      <c r="A6" s="10" t="s">
        <v>59</v>
      </c>
      <c r="B6" s="10" t="s">
        <v>96</v>
      </c>
      <c r="C6" s="12" t="n">
        <v>837800</v>
      </c>
      <c r="D6" s="12" t="n">
        <v>1060000</v>
      </c>
      <c r="E6" s="9" t="n">
        <f aca="false">(D6-C6)/C6</f>
        <v>0.265218429219384</v>
      </c>
    </row>
    <row r="7" customFormat="false" ht="15" hidden="false" customHeight="false" outlineLevel="0" collapsed="false">
      <c r="A7" s="10" t="s">
        <v>59</v>
      </c>
      <c r="B7" s="10" t="s">
        <v>97</v>
      </c>
      <c r="C7" s="12" t="n">
        <v>1760000</v>
      </c>
      <c r="D7" s="12" t="n">
        <v>1750000</v>
      </c>
      <c r="E7" s="9" t="n">
        <f aca="false">(D7-C7)/C7</f>
        <v>-0.00568181818181818</v>
      </c>
    </row>
    <row r="8" customFormat="false" ht="15" hidden="false" customHeight="false" outlineLevel="0" collapsed="false">
      <c r="A8" s="10" t="s">
        <v>59</v>
      </c>
      <c r="B8" s="10" t="s">
        <v>98</v>
      </c>
      <c r="C8" s="12" t="n">
        <v>831700</v>
      </c>
      <c r="D8" s="12" t="n">
        <v>1070000</v>
      </c>
      <c r="E8" s="9" t="n">
        <f aca="false">(D8-C8)/C8</f>
        <v>0.286521582301311</v>
      </c>
    </row>
    <row r="9" customFormat="false" ht="15" hidden="false" customHeight="false" outlineLevel="0" collapsed="false">
      <c r="A9" s="10" t="s">
        <v>59</v>
      </c>
      <c r="B9" s="10" t="s">
        <v>99</v>
      </c>
      <c r="C9" s="13" t="n">
        <v>0.241</v>
      </c>
      <c r="D9" s="13" t="n">
        <v>0.27</v>
      </c>
      <c r="E9" s="14"/>
    </row>
    <row r="10" customFormat="false" ht="15" hidden="false" customHeight="false" outlineLevel="0" collapsed="false">
      <c r="A10" s="10" t="s">
        <v>59</v>
      </c>
      <c r="B10" s="10" t="s">
        <v>100</v>
      </c>
      <c r="C10" s="13" t="n">
        <v>0.501</v>
      </c>
      <c r="D10" s="13" t="n">
        <v>0.455</v>
      </c>
      <c r="E10" s="14"/>
    </row>
    <row r="11" customFormat="false" ht="15" hidden="false" customHeight="false" outlineLevel="0" collapsed="false">
      <c r="A11" s="10" t="s">
        <v>59</v>
      </c>
      <c r="B11" s="10" t="s">
        <v>101</v>
      </c>
      <c r="C11" s="13" t="n">
        <v>0.24</v>
      </c>
      <c r="D11" s="13" t="n">
        <v>0.271</v>
      </c>
      <c r="E11" s="14"/>
    </row>
    <row r="12" customFormat="false" ht="15" hidden="false" customHeight="false" outlineLevel="0" collapsed="false">
      <c r="A12" s="6" t="s">
        <v>29</v>
      </c>
      <c r="B12" s="6"/>
      <c r="C12" s="6"/>
      <c r="D12" s="6"/>
      <c r="E12" s="6"/>
    </row>
    <row r="13" customFormat="false" ht="15" hidden="false" customHeight="false" outlineLevel="0" collapsed="false">
      <c r="A13" s="7" t="s">
        <v>30</v>
      </c>
      <c r="B13" s="7" t="s">
        <v>25</v>
      </c>
      <c r="C13" s="8" t="n">
        <v>140740000</v>
      </c>
      <c r="D13" s="8" t="n">
        <v>269960000</v>
      </c>
      <c r="E13" s="9" t="n">
        <f aca="false">(D13-C13)/C13</f>
        <v>0.918146937615461</v>
      </c>
    </row>
    <row r="14" customFormat="false" ht="15" hidden="false" customHeight="false" outlineLevel="0" collapsed="false">
      <c r="A14" s="7" t="s">
        <v>30</v>
      </c>
      <c r="B14" s="7" t="s">
        <v>26</v>
      </c>
      <c r="C14" s="8" t="n">
        <v>17330000000</v>
      </c>
      <c r="D14" s="8" t="n">
        <v>26310000000</v>
      </c>
      <c r="E14" s="9" t="n">
        <f aca="false">(D14-C14)/C14</f>
        <v>0.518176572417773</v>
      </c>
    </row>
    <row r="15" customFormat="false" ht="15" hidden="false" customHeight="false" outlineLevel="0" collapsed="false">
      <c r="A15" s="10" t="s">
        <v>30</v>
      </c>
      <c r="B15" s="10" t="s">
        <v>102</v>
      </c>
      <c r="C15" s="11" t="n">
        <v>123.1</v>
      </c>
      <c r="D15" s="11" t="n">
        <v>97.4</v>
      </c>
      <c r="E15" s="9" t="n">
        <f aca="false">(D15-C15)/C15</f>
        <v>-0.208773354995938</v>
      </c>
    </row>
    <row r="16" customFormat="false" ht="15" hidden="false" customHeight="false" outlineLevel="0" collapsed="false">
      <c r="A16" s="10" t="s">
        <v>30</v>
      </c>
      <c r="B16" s="10" t="s">
        <v>103</v>
      </c>
      <c r="C16" s="11" t="n">
        <v>144.1</v>
      </c>
      <c r="D16" s="11" t="n">
        <v>118.9</v>
      </c>
      <c r="E16" s="9" t="n">
        <f aca="false">(D16-C16)/C16</f>
        <v>-0.174878556557946</v>
      </c>
    </row>
    <row r="17" customFormat="false" ht="15" hidden="false" customHeight="false" outlineLevel="0" collapsed="false">
      <c r="A17" s="10" t="s">
        <v>30</v>
      </c>
      <c r="B17" s="10" t="s">
        <v>104</v>
      </c>
      <c r="C17" s="11" t="n">
        <v>92</v>
      </c>
      <c r="D17" s="11" t="n">
        <v>62.1</v>
      </c>
      <c r="E17" s="9" t="n">
        <f aca="false">(D17-C17)/C17</f>
        <v>-0.325</v>
      </c>
    </row>
    <row r="18" customFormat="false" ht="15" hidden="false" customHeight="false" outlineLevel="0" collapsed="false">
      <c r="A18" s="6" t="s">
        <v>105</v>
      </c>
      <c r="B18" s="6"/>
      <c r="C18" s="6"/>
      <c r="D18" s="6"/>
      <c r="E18" s="6"/>
    </row>
    <row r="19" customFormat="false" ht="15" hidden="false" customHeight="false" outlineLevel="0" collapsed="false">
      <c r="A19" s="10" t="s">
        <v>106</v>
      </c>
      <c r="B19" s="10" t="s">
        <v>107</v>
      </c>
      <c r="C19" s="12" t="n">
        <v>83950000</v>
      </c>
      <c r="D19" s="12" t="n">
        <v>167920000</v>
      </c>
      <c r="E19" s="9" t="n">
        <f aca="false">(D19-C19)/C19</f>
        <v>1.00023823704586</v>
      </c>
    </row>
    <row r="20" customFormat="false" ht="15" hidden="false" customHeight="false" outlineLevel="0" collapsed="false">
      <c r="A20" s="10" t="s">
        <v>106</v>
      </c>
      <c r="B20" s="10" t="s">
        <v>108</v>
      </c>
      <c r="C20" s="12" t="n">
        <v>56790000</v>
      </c>
      <c r="D20" s="12" t="n">
        <v>102040000</v>
      </c>
      <c r="E20" s="9" t="n">
        <f aca="false">(D20-C20)/C20</f>
        <v>0.796795210424371</v>
      </c>
    </row>
    <row r="21" customFormat="false" ht="15" hidden="false" customHeight="false" outlineLevel="0" collapsed="false">
      <c r="A21" s="6" t="s">
        <v>109</v>
      </c>
      <c r="B21" s="6"/>
      <c r="C21" s="6"/>
      <c r="D21" s="6"/>
      <c r="E21" s="6"/>
    </row>
    <row r="22" customFormat="false" ht="15" hidden="false" customHeight="false" outlineLevel="0" collapsed="false">
      <c r="A22" s="10" t="s">
        <v>110</v>
      </c>
      <c r="B22" s="10" t="s">
        <v>107</v>
      </c>
      <c r="C22" s="12" t="n">
        <v>12100000000</v>
      </c>
      <c r="D22" s="12" t="n">
        <v>19970000000</v>
      </c>
      <c r="E22" s="9" t="n">
        <f aca="false">(D22-C22)/C22</f>
        <v>0.650413223140496</v>
      </c>
    </row>
    <row r="23" customFormat="false" ht="15" hidden="false" customHeight="false" outlineLevel="0" collapsed="false">
      <c r="A23" s="10" t="s">
        <v>110</v>
      </c>
      <c r="B23" s="10" t="s">
        <v>108</v>
      </c>
      <c r="C23" s="12" t="n">
        <v>5230000000</v>
      </c>
      <c r="D23" s="12" t="n">
        <v>6340000000</v>
      </c>
      <c r="E23" s="9" t="n">
        <f aca="false">(D23-C23)/C23</f>
        <v>0.212237093690249</v>
      </c>
    </row>
    <row r="25" customFormat="false" ht="15" hidden="false" customHeight="false" outlineLevel="0" collapsed="false">
      <c r="A25" s="16" t="s">
        <v>111</v>
      </c>
    </row>
  </sheetData>
  <mergeCells count="5">
    <mergeCell ref="A1:E1"/>
    <mergeCell ref="A4:E4"/>
    <mergeCell ref="A12:E12"/>
    <mergeCell ref="A18:E18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13"/>
  </cols>
  <sheetData>
    <row r="1" customFormat="false" ht="25.5" hidden="false" customHeight="true" outlineLevel="0" collapsed="false">
      <c r="A1" s="4" t="s">
        <v>112</v>
      </c>
      <c r="B1" s="4"/>
      <c r="C1" s="4"/>
      <c r="D1" s="4"/>
      <c r="E1" s="4"/>
    </row>
    <row r="3" customFormat="false" ht="19.5" hidden="false" customHeight="true" outlineLevel="0" collapsed="false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</row>
    <row r="4" customFormat="false" ht="15" hidden="false" customHeight="false" outlineLevel="0" collapsed="false">
      <c r="A4" s="6" t="s">
        <v>58</v>
      </c>
      <c r="B4" s="6"/>
      <c r="C4" s="6"/>
      <c r="D4" s="6"/>
      <c r="E4" s="6"/>
    </row>
    <row r="5" customFormat="false" ht="15" hidden="false" customHeight="false" outlineLevel="0" collapsed="false">
      <c r="A5" s="7" t="s">
        <v>59</v>
      </c>
      <c r="B5" s="7" t="s">
        <v>60</v>
      </c>
      <c r="C5" s="8" t="n">
        <v>4538000</v>
      </c>
      <c r="D5" s="8" t="n">
        <v>5039000</v>
      </c>
      <c r="E5" s="9" t="n">
        <f aca="false">(D5-C5)/C5</f>
        <v>0.110401057734685</v>
      </c>
    </row>
    <row r="6" customFormat="false" ht="15" hidden="false" customHeight="false" outlineLevel="0" collapsed="false">
      <c r="A6" s="10" t="s">
        <v>59</v>
      </c>
      <c r="B6" s="10" t="s">
        <v>113</v>
      </c>
      <c r="C6" s="12" t="n">
        <v>412734</v>
      </c>
      <c r="D6" s="12" t="n">
        <v>419945</v>
      </c>
      <c r="E6" s="9" t="n">
        <f aca="false">(D6-C6)/C6</f>
        <v>0.0174713011285719</v>
      </c>
    </row>
    <row r="7" customFormat="false" ht="15" hidden="false" customHeight="false" outlineLevel="0" collapsed="false">
      <c r="A7" s="10" t="s">
        <v>59</v>
      </c>
      <c r="B7" s="10" t="s">
        <v>114</v>
      </c>
      <c r="C7" s="12" t="n">
        <v>1472000</v>
      </c>
      <c r="D7" s="12" t="n">
        <v>1577000</v>
      </c>
      <c r="E7" s="9" t="n">
        <f aca="false">(D7-C7)/C7</f>
        <v>0.0713315217391304</v>
      </c>
    </row>
    <row r="8" customFormat="false" ht="15" hidden="false" customHeight="false" outlineLevel="0" collapsed="false">
      <c r="A8" s="6" t="s">
        <v>115</v>
      </c>
      <c r="B8" s="6"/>
      <c r="C8" s="6"/>
      <c r="D8" s="6"/>
      <c r="E8" s="6"/>
    </row>
    <row r="9" customFormat="false" ht="15" hidden="false" customHeight="false" outlineLevel="0" collapsed="false">
      <c r="A9" s="10" t="s">
        <v>69</v>
      </c>
      <c r="B9" s="10" t="s">
        <v>70</v>
      </c>
      <c r="C9" s="13" t="n">
        <v>0.95</v>
      </c>
      <c r="D9" s="13" t="n">
        <v>0.95</v>
      </c>
      <c r="E9" s="14"/>
    </row>
    <row r="10" customFormat="false" ht="15" hidden="false" customHeight="false" outlineLevel="0" collapsed="false">
      <c r="A10" s="10" t="s">
        <v>69</v>
      </c>
      <c r="B10" s="10" t="s">
        <v>71</v>
      </c>
      <c r="C10" s="13" t="n">
        <v>0.05</v>
      </c>
      <c r="D10" s="13" t="n">
        <v>0.05</v>
      </c>
      <c r="E10" s="14"/>
    </row>
    <row r="11" customFormat="false" ht="15" hidden="false" customHeight="false" outlineLevel="0" collapsed="false">
      <c r="A11" s="6" t="s">
        <v>116</v>
      </c>
      <c r="B11" s="6"/>
      <c r="C11" s="6"/>
      <c r="D11" s="6"/>
      <c r="E11" s="6"/>
    </row>
    <row r="12" customFormat="false" ht="15" hidden="false" customHeight="false" outlineLevel="0" collapsed="false">
      <c r="A12" s="10" t="s">
        <v>117</v>
      </c>
      <c r="B12" s="10" t="s">
        <v>118</v>
      </c>
      <c r="C12" s="13" t="n">
        <v>0.885</v>
      </c>
      <c r="D12" s="13" t="n">
        <v>0.921</v>
      </c>
      <c r="E12" s="14"/>
    </row>
    <row r="13" customFormat="false" ht="15" hidden="false" customHeight="false" outlineLevel="0" collapsed="false">
      <c r="A13" s="10" t="s">
        <v>117</v>
      </c>
      <c r="B13" s="10" t="s">
        <v>119</v>
      </c>
      <c r="C13" s="13" t="n">
        <v>0.063</v>
      </c>
      <c r="D13" s="13" t="n">
        <v>0.037</v>
      </c>
      <c r="E13" s="14"/>
    </row>
    <row r="14" customFormat="false" ht="15" hidden="false" customHeight="false" outlineLevel="0" collapsed="false">
      <c r="A14" s="10" t="s">
        <v>117</v>
      </c>
      <c r="B14" s="10" t="s">
        <v>120</v>
      </c>
      <c r="C14" s="13" t="n">
        <v>0.052</v>
      </c>
      <c r="D14" s="13" t="n">
        <v>0.043</v>
      </c>
      <c r="E14" s="14"/>
    </row>
    <row r="15" customFormat="false" ht="15" hidden="false" customHeight="false" outlineLevel="0" collapsed="false">
      <c r="A15" s="6" t="s">
        <v>29</v>
      </c>
      <c r="B15" s="6"/>
      <c r="C15" s="6"/>
      <c r="D15" s="6"/>
      <c r="E15" s="6"/>
    </row>
    <row r="16" customFormat="false" ht="15" hidden="false" customHeight="false" outlineLevel="0" collapsed="false">
      <c r="A16" s="7" t="s">
        <v>30</v>
      </c>
      <c r="B16" s="7" t="s">
        <v>25</v>
      </c>
      <c r="C16" s="8" t="n">
        <v>66070000</v>
      </c>
      <c r="D16" s="8" t="n">
        <v>75430000</v>
      </c>
      <c r="E16" s="9" t="n">
        <f aca="false">(D16-C16)/C16</f>
        <v>0.141667927955199</v>
      </c>
    </row>
    <row r="17" customFormat="false" ht="15" hidden="false" customHeight="false" outlineLevel="0" collapsed="false">
      <c r="A17" s="7" t="s">
        <v>30</v>
      </c>
      <c r="B17" s="7" t="s">
        <v>26</v>
      </c>
      <c r="C17" s="8" t="n">
        <v>13190000000</v>
      </c>
      <c r="D17" s="8" t="n">
        <v>15990000000</v>
      </c>
      <c r="E17" s="9" t="n">
        <f aca="false">(D17-C17)/C17</f>
        <v>0.212282031842305</v>
      </c>
    </row>
    <row r="18" customFormat="false" ht="15" hidden="false" customHeight="false" outlineLevel="0" collapsed="false">
      <c r="A18" s="6" t="s">
        <v>121</v>
      </c>
      <c r="B18" s="6"/>
      <c r="C18" s="6"/>
      <c r="D18" s="6"/>
      <c r="E18" s="6"/>
    </row>
    <row r="19" customFormat="false" ht="15" hidden="false" customHeight="false" outlineLevel="0" collapsed="false">
      <c r="A19" s="10" t="s">
        <v>122</v>
      </c>
      <c r="B19" s="10" t="s">
        <v>123</v>
      </c>
      <c r="C19" s="13" t="n">
        <v>0.8</v>
      </c>
      <c r="D19" s="13" t="n">
        <v>0.813</v>
      </c>
      <c r="E19" s="14"/>
    </row>
    <row r="20" customFormat="false" ht="15" hidden="false" customHeight="false" outlineLevel="0" collapsed="false">
      <c r="A20" s="10" t="s">
        <v>122</v>
      </c>
      <c r="B20" s="10" t="s">
        <v>124</v>
      </c>
      <c r="C20" s="13" t="n">
        <v>0.2</v>
      </c>
      <c r="D20" s="13" t="n">
        <v>0.187</v>
      </c>
      <c r="E20" s="14"/>
    </row>
    <row r="21" customFormat="false" ht="15" hidden="false" customHeight="false" outlineLevel="0" collapsed="false">
      <c r="A21" s="10" t="s">
        <v>122</v>
      </c>
      <c r="B21" s="10" t="s">
        <v>125</v>
      </c>
      <c r="C21" s="12" t="n">
        <v>52870000</v>
      </c>
      <c r="D21" s="12" t="n">
        <v>61300000</v>
      </c>
      <c r="E21" s="9" t="n">
        <f aca="false">(D21-C21)/C21</f>
        <v>0.159447701910346</v>
      </c>
    </row>
    <row r="22" customFormat="false" ht="15" hidden="false" customHeight="false" outlineLevel="0" collapsed="false">
      <c r="A22" s="10" t="s">
        <v>126</v>
      </c>
      <c r="B22" s="10" t="s">
        <v>127</v>
      </c>
      <c r="C22" s="12" t="n">
        <v>10850000000</v>
      </c>
      <c r="D22" s="12" t="n">
        <v>12480000000</v>
      </c>
      <c r="E22" s="9" t="n">
        <f aca="false">(D22-C22)/C22</f>
        <v>0.150230414746544</v>
      </c>
    </row>
    <row r="23" customFormat="false" ht="15" hidden="false" customHeight="false" outlineLevel="0" collapsed="false">
      <c r="A23" s="6" t="s">
        <v>128</v>
      </c>
      <c r="B23" s="6"/>
      <c r="C23" s="6"/>
      <c r="D23" s="6"/>
      <c r="E23" s="6"/>
    </row>
    <row r="24" customFormat="false" ht="15" hidden="false" customHeight="false" outlineLevel="0" collapsed="false">
      <c r="A24" s="10" t="s">
        <v>129</v>
      </c>
      <c r="B24" s="10" t="s">
        <v>130</v>
      </c>
      <c r="C24" s="12" t="n">
        <v>22200000</v>
      </c>
      <c r="D24" s="12" t="n">
        <v>24300000</v>
      </c>
      <c r="E24" s="9" t="n">
        <f aca="false">(D24-C24)/C24</f>
        <v>0.0945945945945946</v>
      </c>
    </row>
    <row r="25" customFormat="false" ht="15" hidden="false" customHeight="false" outlineLevel="0" collapsed="false">
      <c r="A25" s="10" t="s">
        <v>129</v>
      </c>
      <c r="B25" s="10" t="s">
        <v>131</v>
      </c>
      <c r="C25" s="12" t="n">
        <v>18300000</v>
      </c>
      <c r="D25" s="12" t="n">
        <v>21200000</v>
      </c>
      <c r="E25" s="9" t="n">
        <f aca="false">(D25-C25)/C25</f>
        <v>0.158469945355191</v>
      </c>
    </row>
    <row r="26" customFormat="false" ht="15" hidden="false" customHeight="false" outlineLevel="0" collapsed="false">
      <c r="A26" s="10" t="s">
        <v>129</v>
      </c>
      <c r="B26" s="10" t="s">
        <v>132</v>
      </c>
      <c r="C26" s="12" t="n">
        <v>12400000</v>
      </c>
      <c r="D26" s="12" t="n">
        <v>15000000</v>
      </c>
      <c r="E26" s="9" t="n">
        <f aca="false">(D26-C26)/C26</f>
        <v>0.209677419354839</v>
      </c>
    </row>
    <row r="27" customFormat="false" ht="15" hidden="false" customHeight="false" outlineLevel="0" collapsed="false">
      <c r="A27" s="10" t="s">
        <v>129</v>
      </c>
      <c r="B27" s="10" t="s">
        <v>133</v>
      </c>
      <c r="C27" s="12" t="n">
        <v>6100000</v>
      </c>
      <c r="D27" s="12" t="n">
        <v>6600000</v>
      </c>
      <c r="E27" s="9" t="n">
        <f aca="false">(D27-C27)/C27</f>
        <v>0.0819672131147541</v>
      </c>
    </row>
    <row r="28" customFormat="false" ht="15" hidden="false" customHeight="false" outlineLevel="0" collapsed="false">
      <c r="A28" s="10" t="s">
        <v>129</v>
      </c>
      <c r="B28" s="10" t="s">
        <v>134</v>
      </c>
      <c r="C28" s="12" t="n">
        <v>3400000</v>
      </c>
      <c r="D28" s="12" t="n">
        <v>3800000</v>
      </c>
      <c r="E28" s="9" t="n">
        <f aca="false">(D28-C28)/C28</f>
        <v>0.117647058823529</v>
      </c>
    </row>
    <row r="29" customFormat="false" ht="15" hidden="false" customHeight="false" outlineLevel="0" collapsed="false">
      <c r="A29" s="10" t="s">
        <v>129</v>
      </c>
      <c r="B29" s="10" t="s">
        <v>135</v>
      </c>
      <c r="C29" s="12" t="n">
        <v>1200000</v>
      </c>
      <c r="D29" s="12" t="n">
        <v>1500000</v>
      </c>
      <c r="E29" s="9" t="n">
        <f aca="false">(D29-C29)/C29</f>
        <v>0.25</v>
      </c>
    </row>
    <row r="30" customFormat="false" ht="15" hidden="false" customHeight="false" outlineLevel="0" collapsed="false">
      <c r="A30" s="10" t="s">
        <v>129</v>
      </c>
      <c r="B30" s="10" t="s">
        <v>136</v>
      </c>
      <c r="C30" s="12" t="n">
        <v>2500000</v>
      </c>
      <c r="D30" s="12" t="n">
        <v>3000000</v>
      </c>
      <c r="E30" s="9" t="n">
        <f aca="false">(D30-C30)/C30</f>
        <v>0.2</v>
      </c>
    </row>
    <row r="31" customFormat="false" ht="15" hidden="false" customHeight="false" outlineLevel="0" collapsed="false">
      <c r="A31" s="6" t="s">
        <v>137</v>
      </c>
      <c r="B31" s="6"/>
      <c r="C31" s="6"/>
      <c r="D31" s="6"/>
      <c r="E31" s="6"/>
    </row>
    <row r="32" customFormat="false" ht="15" hidden="false" customHeight="false" outlineLevel="0" collapsed="false">
      <c r="A32" s="10" t="s">
        <v>138</v>
      </c>
      <c r="B32" s="10" t="s">
        <v>132</v>
      </c>
      <c r="C32" s="12" t="n">
        <v>8500000000</v>
      </c>
      <c r="D32" s="12" t="n">
        <v>9500000000</v>
      </c>
      <c r="E32" s="9" t="n">
        <f aca="false">(D32-C32)/C32</f>
        <v>0.117647058823529</v>
      </c>
    </row>
    <row r="33" customFormat="false" ht="15" hidden="false" customHeight="false" outlineLevel="0" collapsed="false">
      <c r="A33" s="10" t="s">
        <v>138</v>
      </c>
      <c r="B33" s="10" t="s">
        <v>133</v>
      </c>
      <c r="C33" s="12" t="n">
        <v>2100000000</v>
      </c>
      <c r="D33" s="12" t="n">
        <v>3500000000</v>
      </c>
      <c r="E33" s="9" t="n">
        <f aca="false">(D33-C33)/C33</f>
        <v>0.666666666666667</v>
      </c>
    </row>
    <row r="34" customFormat="false" ht="15" hidden="false" customHeight="false" outlineLevel="0" collapsed="false">
      <c r="A34" s="10" t="s">
        <v>138</v>
      </c>
      <c r="B34" s="10" t="s">
        <v>131</v>
      </c>
      <c r="C34" s="12" t="n">
        <v>800000000</v>
      </c>
      <c r="D34" s="12" t="n">
        <v>900000000</v>
      </c>
      <c r="E34" s="9" t="n">
        <f aca="false">(D34-C34)/C34</f>
        <v>0.125</v>
      </c>
    </row>
    <row r="35" customFormat="false" ht="15" hidden="false" customHeight="false" outlineLevel="0" collapsed="false">
      <c r="A35" s="10" t="s">
        <v>138</v>
      </c>
      <c r="B35" s="10" t="s">
        <v>134</v>
      </c>
      <c r="C35" s="12" t="n">
        <v>500000000</v>
      </c>
      <c r="D35" s="12" t="n">
        <v>600000000</v>
      </c>
      <c r="E35" s="9" t="n">
        <f aca="false">(D35-C35)/C35</f>
        <v>0.2</v>
      </c>
    </row>
    <row r="36" customFormat="false" ht="15" hidden="false" customHeight="false" outlineLevel="0" collapsed="false">
      <c r="A36" s="10" t="s">
        <v>138</v>
      </c>
      <c r="B36" s="10" t="s">
        <v>135</v>
      </c>
      <c r="C36" s="12" t="n">
        <v>400000000</v>
      </c>
      <c r="D36" s="12" t="n">
        <v>400000000</v>
      </c>
      <c r="E36" s="9" t="n">
        <f aca="false">(D36-C36)/C36</f>
        <v>0</v>
      </c>
    </row>
    <row r="37" customFormat="false" ht="15" hidden="false" customHeight="false" outlineLevel="0" collapsed="false">
      <c r="A37" s="10" t="s">
        <v>138</v>
      </c>
      <c r="B37" s="10" t="s">
        <v>130</v>
      </c>
      <c r="C37" s="12" t="n">
        <v>400000000</v>
      </c>
      <c r="D37" s="12" t="n">
        <v>400000000</v>
      </c>
      <c r="E37" s="9" t="n">
        <f aca="false">(D37-C37)/C37</f>
        <v>0</v>
      </c>
    </row>
    <row r="38" customFormat="false" ht="15" hidden="false" customHeight="false" outlineLevel="0" collapsed="false">
      <c r="A38" s="10" t="s">
        <v>138</v>
      </c>
      <c r="B38" s="10" t="s">
        <v>136</v>
      </c>
      <c r="C38" s="12" t="n">
        <v>600000000</v>
      </c>
      <c r="D38" s="12" t="n">
        <v>700000000</v>
      </c>
      <c r="E38" s="9" t="n">
        <f aca="false">(D38-C38)/C38</f>
        <v>0.166666666666667</v>
      </c>
    </row>
    <row r="40" customFormat="false" ht="15" hidden="false" customHeight="false" outlineLevel="0" collapsed="false">
      <c r="A40" s="16" t="s">
        <v>139</v>
      </c>
    </row>
  </sheetData>
  <mergeCells count="8">
    <mergeCell ref="A1:E1"/>
    <mergeCell ref="A4:E4"/>
    <mergeCell ref="A8:E8"/>
    <mergeCell ref="A11:E11"/>
    <mergeCell ref="A15:E15"/>
    <mergeCell ref="A18:E18"/>
    <mergeCell ref="A23:E23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13"/>
  </cols>
  <sheetData>
    <row r="1" customFormat="false" ht="25.5" hidden="false" customHeight="true" outlineLevel="0" collapsed="false">
      <c r="A1" s="4" t="s">
        <v>140</v>
      </c>
      <c r="B1" s="4"/>
      <c r="C1" s="4"/>
      <c r="D1" s="4"/>
      <c r="E1" s="4"/>
    </row>
    <row r="3" customFormat="false" ht="19.5" hidden="false" customHeight="true" outlineLevel="0" collapsed="false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</row>
    <row r="4" customFormat="false" ht="15" hidden="false" customHeight="false" outlineLevel="0" collapsed="false">
      <c r="A4" s="6" t="s">
        <v>141</v>
      </c>
      <c r="B4" s="6"/>
      <c r="C4" s="6"/>
      <c r="D4" s="6"/>
      <c r="E4" s="6"/>
    </row>
    <row r="5" customFormat="false" ht="15" hidden="false" customHeight="false" outlineLevel="0" collapsed="false">
      <c r="A5" s="7" t="s">
        <v>30</v>
      </c>
      <c r="B5" s="7" t="s">
        <v>142</v>
      </c>
      <c r="C5" s="8" t="n">
        <v>11290000</v>
      </c>
      <c r="D5" s="8" t="n">
        <v>12160000</v>
      </c>
      <c r="E5" s="9" t="n">
        <f aca="false">(D5-C5)/C5</f>
        <v>0.0770593445527015</v>
      </c>
    </row>
    <row r="6" customFormat="false" ht="15" hidden="false" customHeight="false" outlineLevel="0" collapsed="false">
      <c r="A6" s="7" t="s">
        <v>30</v>
      </c>
      <c r="B6" s="7" t="s">
        <v>143</v>
      </c>
      <c r="C6" s="8" t="n">
        <v>9130000000</v>
      </c>
      <c r="D6" s="8" t="n">
        <v>10010000000</v>
      </c>
      <c r="E6" s="9" t="n">
        <f aca="false">(D6-C6)/C6</f>
        <v>0.0963855421686747</v>
      </c>
    </row>
    <row r="7" customFormat="false" ht="15" hidden="false" customHeight="false" outlineLevel="0" collapsed="false">
      <c r="A7" s="10" t="s">
        <v>30</v>
      </c>
      <c r="B7" s="10" t="s">
        <v>27</v>
      </c>
      <c r="C7" s="12" t="n">
        <v>808</v>
      </c>
      <c r="D7" s="12" t="n">
        <v>823</v>
      </c>
      <c r="E7" s="9" t="n">
        <f aca="false">(D7-C7)/C7</f>
        <v>0.0185643564356436</v>
      </c>
    </row>
    <row r="8" customFormat="false" ht="15" hidden="false" customHeight="false" outlineLevel="0" collapsed="false">
      <c r="A8" s="6" t="s">
        <v>144</v>
      </c>
      <c r="B8" s="6"/>
      <c r="C8" s="6"/>
      <c r="D8" s="6"/>
      <c r="E8" s="6"/>
    </row>
    <row r="9" customFormat="false" ht="15" hidden="false" customHeight="false" outlineLevel="0" collapsed="false">
      <c r="A9" s="10" t="s">
        <v>145</v>
      </c>
      <c r="B9" s="10" t="s">
        <v>146</v>
      </c>
      <c r="C9" s="12" t="n">
        <v>8760000</v>
      </c>
      <c r="D9" s="12" t="n">
        <v>9310000</v>
      </c>
      <c r="E9" s="9" t="n">
        <f aca="false">(D9-C9)/C9</f>
        <v>0.0627853881278539</v>
      </c>
    </row>
    <row r="10" customFormat="false" ht="15" hidden="false" customHeight="false" outlineLevel="0" collapsed="false">
      <c r="A10" s="10" t="s">
        <v>145</v>
      </c>
      <c r="B10" s="10" t="s">
        <v>147</v>
      </c>
      <c r="C10" s="12" t="n">
        <v>2540000</v>
      </c>
      <c r="D10" s="12" t="n">
        <v>2850000</v>
      </c>
      <c r="E10" s="9" t="n">
        <f aca="false">(D10-C10)/C10</f>
        <v>0.122047244094488</v>
      </c>
    </row>
    <row r="11" customFormat="false" ht="15" hidden="false" customHeight="false" outlineLevel="0" collapsed="false">
      <c r="A11" s="10" t="s">
        <v>145</v>
      </c>
      <c r="B11" s="10" t="s">
        <v>148</v>
      </c>
      <c r="C11" s="13" t="n">
        <v>0.775</v>
      </c>
      <c r="D11" s="13" t="n">
        <v>0.766</v>
      </c>
      <c r="E11" s="14"/>
    </row>
    <row r="12" customFormat="false" ht="15" hidden="false" customHeight="false" outlineLevel="0" collapsed="false">
      <c r="A12" s="6" t="s">
        <v>149</v>
      </c>
      <c r="B12" s="6"/>
      <c r="C12" s="6"/>
      <c r="D12" s="6"/>
      <c r="E12" s="6"/>
    </row>
    <row r="13" customFormat="false" ht="15" hidden="false" customHeight="false" outlineLevel="0" collapsed="false">
      <c r="A13" s="10" t="s">
        <v>150</v>
      </c>
      <c r="B13" s="10" t="s">
        <v>151</v>
      </c>
      <c r="C13" s="12" t="n">
        <v>4680000000</v>
      </c>
      <c r="D13" s="12" t="n">
        <v>5080000000</v>
      </c>
      <c r="E13" s="9" t="n">
        <f aca="false">(D13-C13)/C13</f>
        <v>0.0854700854700855</v>
      </c>
    </row>
    <row r="14" customFormat="false" ht="15" hidden="false" customHeight="false" outlineLevel="0" collapsed="false">
      <c r="A14" s="10" t="s">
        <v>150</v>
      </c>
      <c r="B14" s="10" t="s">
        <v>152</v>
      </c>
      <c r="C14" s="12" t="n">
        <v>4450000000</v>
      </c>
      <c r="D14" s="12" t="n">
        <v>4930000000</v>
      </c>
      <c r="E14" s="9" t="n">
        <f aca="false">(D14-C14)/C14</f>
        <v>0.107865168539326</v>
      </c>
    </row>
    <row r="15" customFormat="false" ht="15" hidden="false" customHeight="false" outlineLevel="0" collapsed="false">
      <c r="A15" s="10" t="s">
        <v>150</v>
      </c>
      <c r="B15" s="10" t="s">
        <v>153</v>
      </c>
      <c r="C15" s="13" t="n">
        <v>0.513</v>
      </c>
      <c r="D15" s="13" t="n">
        <v>0.508</v>
      </c>
      <c r="E15" s="14"/>
    </row>
    <row r="16" customFormat="false" ht="15" hidden="false" customHeight="false" outlineLevel="0" collapsed="false">
      <c r="A16" s="10" t="s">
        <v>150</v>
      </c>
      <c r="B16" s="10" t="s">
        <v>154</v>
      </c>
      <c r="C16" s="11" t="n">
        <v>528.2</v>
      </c>
      <c r="D16" s="11" t="n">
        <v>545.6</v>
      </c>
      <c r="E16" s="9" t="n">
        <f aca="false">(D16-C16)/C16</f>
        <v>0.0329420673987126</v>
      </c>
    </row>
    <row r="17" customFormat="false" ht="15" hidden="false" customHeight="false" outlineLevel="0" collapsed="false">
      <c r="A17" s="6" t="s">
        <v>155</v>
      </c>
      <c r="B17" s="6"/>
      <c r="C17" s="6"/>
      <c r="D17" s="6"/>
      <c r="E17" s="6"/>
    </row>
    <row r="18" customFormat="false" ht="15" hidden="false" customHeight="false" outlineLevel="0" collapsed="false">
      <c r="A18" s="10" t="s">
        <v>156</v>
      </c>
      <c r="B18" s="10" t="s">
        <v>157</v>
      </c>
      <c r="C18" s="12" t="n">
        <v>66262</v>
      </c>
      <c r="D18" s="12" t="n">
        <v>70607</v>
      </c>
      <c r="E18" s="9" t="n">
        <f aca="false">(D18-C18)/C18</f>
        <v>0.0655730282816697</v>
      </c>
    </row>
    <row r="19" customFormat="false" ht="15" hidden="false" customHeight="false" outlineLevel="0" collapsed="false">
      <c r="A19" s="10" t="s">
        <v>156</v>
      </c>
      <c r="B19" s="10" t="s">
        <v>158</v>
      </c>
      <c r="C19" s="12" t="n">
        <v>3508</v>
      </c>
      <c r="D19" s="12" t="n">
        <v>3758</v>
      </c>
      <c r="E19" s="9" t="n">
        <f aca="false">(D19-C19)/C19</f>
        <v>0.0712656784492588</v>
      </c>
    </row>
    <row r="20" customFormat="false" ht="15" hidden="false" customHeight="false" outlineLevel="0" collapsed="false">
      <c r="A20" s="10" t="s">
        <v>156</v>
      </c>
      <c r="B20" s="10" t="s">
        <v>159</v>
      </c>
      <c r="C20" s="12" t="n">
        <v>430</v>
      </c>
      <c r="D20" s="12" t="n">
        <v>446</v>
      </c>
      <c r="E20" s="9" t="n">
        <f aca="false">(D20-C20)/C20</f>
        <v>0.0372093023255814</v>
      </c>
    </row>
    <row r="21" customFormat="false" ht="15" hidden="false" customHeight="false" outlineLevel="0" collapsed="false">
      <c r="A21" s="6" t="s">
        <v>160</v>
      </c>
      <c r="B21" s="6"/>
      <c r="C21" s="6"/>
      <c r="D21" s="6"/>
      <c r="E21" s="6"/>
    </row>
    <row r="22" customFormat="false" ht="15" hidden="false" customHeight="false" outlineLevel="0" collapsed="false">
      <c r="A22" s="10" t="s">
        <v>161</v>
      </c>
      <c r="B22" s="10" t="s">
        <v>162</v>
      </c>
      <c r="C22" s="15" t="n">
        <v>438.64</v>
      </c>
      <c r="D22" s="15" t="n">
        <v>468.06</v>
      </c>
      <c r="E22" s="9" t="n">
        <f aca="false">(D22-C22)/C22</f>
        <v>0.0670709465621011</v>
      </c>
    </row>
    <row r="23" customFormat="false" ht="15" hidden="false" customHeight="false" outlineLevel="0" collapsed="false">
      <c r="A23" s="10" t="s">
        <v>161</v>
      </c>
      <c r="B23" s="10" t="s">
        <v>163</v>
      </c>
      <c r="C23" s="15" t="n">
        <v>32.92</v>
      </c>
      <c r="D23" s="15" t="n">
        <v>34.05</v>
      </c>
      <c r="E23" s="9" t="n">
        <f aca="false">(D23-C23)/C23</f>
        <v>0.0343256379100849</v>
      </c>
    </row>
    <row r="24" customFormat="false" ht="15" hidden="false" customHeight="false" outlineLevel="0" collapsed="false">
      <c r="A24" s="10" t="s">
        <v>161</v>
      </c>
      <c r="B24" s="10" t="s">
        <v>164</v>
      </c>
      <c r="C24" s="15" t="n">
        <v>3.47</v>
      </c>
      <c r="D24" s="15" t="n">
        <v>4.13</v>
      </c>
      <c r="E24" s="9" t="n">
        <f aca="false">(D24-C24)/C24</f>
        <v>0.190201729106628</v>
      </c>
    </row>
  </sheetData>
  <mergeCells count="6">
    <mergeCell ref="A1:E1"/>
    <mergeCell ref="A4:E4"/>
    <mergeCell ref="A8:E8"/>
    <mergeCell ref="A12:E12"/>
    <mergeCell ref="A17:E17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13"/>
  </cols>
  <sheetData>
    <row r="1" customFormat="false" ht="25.5" hidden="false" customHeight="true" outlineLevel="0" collapsed="false">
      <c r="A1" s="4" t="s">
        <v>165</v>
      </c>
      <c r="B1" s="4"/>
      <c r="C1" s="4"/>
      <c r="D1" s="4"/>
      <c r="E1" s="4"/>
    </row>
    <row r="3" customFormat="false" ht="19.5" hidden="false" customHeight="true" outlineLevel="0" collapsed="false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</row>
    <row r="4" customFormat="false" ht="15" hidden="false" customHeight="false" outlineLevel="0" collapsed="false">
      <c r="A4" s="6" t="s">
        <v>166</v>
      </c>
      <c r="B4" s="6"/>
      <c r="C4" s="6"/>
      <c r="D4" s="6"/>
      <c r="E4" s="6"/>
    </row>
    <row r="5" customFormat="false" ht="15" hidden="false" customHeight="false" outlineLevel="0" collapsed="false">
      <c r="A5" s="7" t="s">
        <v>167</v>
      </c>
      <c r="B5" s="7" t="s">
        <v>168</v>
      </c>
      <c r="C5" s="8" t="n">
        <v>6510000</v>
      </c>
      <c r="D5" s="8" t="n">
        <v>6290000</v>
      </c>
      <c r="E5" s="9" t="n">
        <f aca="false">(D5-C5)/C5</f>
        <v>-0.0337941628264209</v>
      </c>
    </row>
    <row r="6" customFormat="false" ht="15" hidden="false" customHeight="false" outlineLevel="0" collapsed="false">
      <c r="A6" s="7" t="s">
        <v>167</v>
      </c>
      <c r="B6" s="7" t="s">
        <v>169</v>
      </c>
      <c r="C6" s="8" t="n">
        <v>40300000000</v>
      </c>
      <c r="D6" s="8" t="n">
        <v>40960000000</v>
      </c>
      <c r="E6" s="9" t="n">
        <f aca="false">(D6-C6)/C6</f>
        <v>0.0163771712158809</v>
      </c>
    </row>
    <row r="7" customFormat="false" ht="15" hidden="false" customHeight="false" outlineLevel="0" collapsed="false">
      <c r="A7" s="10" t="s">
        <v>167</v>
      </c>
      <c r="B7" s="10" t="s">
        <v>170</v>
      </c>
      <c r="C7" s="11" t="n">
        <v>6189</v>
      </c>
      <c r="D7" s="11" t="n">
        <v>6514.6</v>
      </c>
      <c r="E7" s="9" t="n">
        <f aca="false">(D7-C7)/C7</f>
        <v>0.0526094684116982</v>
      </c>
    </row>
    <row r="8" customFormat="false" ht="15" hidden="false" customHeight="false" outlineLevel="0" collapsed="false">
      <c r="A8" s="6" t="s">
        <v>171</v>
      </c>
      <c r="B8" s="6"/>
      <c r="C8" s="6"/>
      <c r="D8" s="6"/>
      <c r="E8" s="6"/>
    </row>
    <row r="9" customFormat="false" ht="15" hidden="false" customHeight="false" outlineLevel="0" collapsed="false">
      <c r="A9" s="10" t="s">
        <v>172</v>
      </c>
      <c r="B9" s="10" t="s">
        <v>173</v>
      </c>
      <c r="C9" s="12" t="n">
        <v>219600</v>
      </c>
      <c r="D9" s="12" t="n">
        <v>202600</v>
      </c>
      <c r="E9" s="9" t="n">
        <f aca="false">(D9-C9)/C9</f>
        <v>-0.0774134790528233</v>
      </c>
    </row>
    <row r="10" customFormat="false" ht="15" hidden="false" customHeight="false" outlineLevel="0" collapsed="false">
      <c r="A10" s="10" t="s">
        <v>172</v>
      </c>
      <c r="B10" s="10" t="s">
        <v>174</v>
      </c>
      <c r="C10" s="13" t="n">
        <v>0.034</v>
      </c>
      <c r="D10" s="13" t="n">
        <v>0.032</v>
      </c>
      <c r="E10" s="14"/>
    </row>
    <row r="11" customFormat="false" ht="15" hidden="false" customHeight="false" outlineLevel="0" collapsed="false">
      <c r="A11" s="10" t="s">
        <v>172</v>
      </c>
      <c r="B11" s="10" t="s">
        <v>175</v>
      </c>
      <c r="C11" s="12" t="n">
        <v>1520000000</v>
      </c>
      <c r="D11" s="12" t="n">
        <v>1120000000</v>
      </c>
      <c r="E11" s="9" t="n">
        <f aca="false">(D11-C11)/C11</f>
        <v>-0.263157894736842</v>
      </c>
    </row>
    <row r="12" customFormat="false" ht="15" hidden="false" customHeight="false" outlineLevel="0" collapsed="false">
      <c r="A12" s="10" t="s">
        <v>172</v>
      </c>
      <c r="B12" s="10" t="s">
        <v>176</v>
      </c>
      <c r="C12" s="13" t="n">
        <v>0.038</v>
      </c>
      <c r="D12" s="13" t="n">
        <v>0.027</v>
      </c>
      <c r="E12" s="14"/>
    </row>
    <row r="13" customFormat="false" ht="15" hidden="false" customHeight="false" outlineLevel="0" collapsed="false">
      <c r="A13" s="10" t="s">
        <v>172</v>
      </c>
      <c r="B13" s="10" t="s">
        <v>177</v>
      </c>
      <c r="C13" s="11" t="n">
        <v>6917.9</v>
      </c>
      <c r="D13" s="11" t="n">
        <v>5509.7</v>
      </c>
      <c r="E13" s="9" t="n">
        <f aca="false">(D13-C13)/C13</f>
        <v>-0.203558883476199</v>
      </c>
    </row>
    <row r="14" customFormat="false" ht="15" hidden="false" customHeight="false" outlineLevel="0" collapsed="false">
      <c r="A14" s="6" t="s">
        <v>178</v>
      </c>
      <c r="B14" s="6"/>
      <c r="C14" s="6"/>
      <c r="D14" s="6"/>
      <c r="E14" s="6"/>
    </row>
    <row r="15" customFormat="false" ht="15" hidden="false" customHeight="false" outlineLevel="0" collapsed="false">
      <c r="A15" s="10" t="s">
        <v>179</v>
      </c>
      <c r="B15" s="10" t="s">
        <v>180</v>
      </c>
      <c r="C15" s="13" t="n">
        <v>0.678</v>
      </c>
      <c r="D15" s="13" t="n">
        <v>0.666</v>
      </c>
      <c r="E15" s="14"/>
    </row>
    <row r="16" customFormat="false" ht="15" hidden="false" customHeight="false" outlineLevel="0" collapsed="false">
      <c r="A16" s="10" t="s">
        <v>179</v>
      </c>
      <c r="B16" s="10" t="s">
        <v>181</v>
      </c>
      <c r="C16" s="13" t="n">
        <v>0.726</v>
      </c>
      <c r="D16" s="13" t="n">
        <v>0.649</v>
      </c>
      <c r="E16" s="14"/>
    </row>
    <row r="17" customFormat="false" ht="15" hidden="false" customHeight="false" outlineLevel="0" collapsed="false">
      <c r="A17" s="10" t="s">
        <v>179</v>
      </c>
      <c r="B17" s="10" t="s">
        <v>182</v>
      </c>
      <c r="C17" s="11" t="n">
        <v>7410.6</v>
      </c>
      <c r="D17" s="11" t="n">
        <v>5367.6</v>
      </c>
      <c r="E17" s="9" t="n">
        <f aca="false">(D17-C17)/C17</f>
        <v>-0.27568617925674</v>
      </c>
    </row>
    <row r="19" customFormat="false" ht="15" hidden="false" customHeight="false" outlineLevel="0" collapsed="false">
      <c r="A19" s="16" t="s">
        <v>183</v>
      </c>
    </row>
  </sheetData>
  <mergeCells count="4">
    <mergeCell ref="A1:E1"/>
    <mergeCell ref="A4:E4"/>
    <mergeCell ref="A8:E8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2026-09-17T07:29:32Z</dcterms:created>
  <dc:creator>openpyxl</dc:creator>
  <dc:description/>
  <dc:language>en-US</dc:language>
  <cp:lastModifiedBy/>
  <dcterms:modified xsi:type="dcterms:W3CDTF">2026-09-17T07:29:32Z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