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rmah.AbuHammad\OneDrive - JoPACC\Desktop\warmup\"/>
    </mc:Choice>
  </mc:AlternateContent>
  <xr:revisionPtr revIDLastSave="0" documentId="13_ncr:1_{FFA6388C-D57C-4EF7-8DD6-502EB02CE2BF}" xr6:coauthVersionLast="47" xr6:coauthVersionMax="47" xr10:uidLastSave="{00000000-0000-0000-0000-000000000000}"/>
  <bookViews>
    <workbookView xWindow="-120" yWindow="-120" windowWidth="20730" windowHeight="11160" tabRatio="500" firstSheet="6" activeTab="7" xr2:uid="{00000000-000D-0000-FFFF-FFFF00000000}"/>
  </bookViews>
  <sheets>
    <sheet name="README" sheetId="1" r:id="rId1"/>
    <sheet name="Data" sheetId="2" r:id="rId2"/>
    <sheet name="pivot" sheetId="9" r:id="rId3"/>
    <sheet name="Charts" sheetId="10" r:id="rId4"/>
    <sheet name="IPS" sheetId="12" r:id="rId5"/>
    <sheet name="CliQ_JoMoPay_Interop" sheetId="8" r:id="rId6"/>
    <sheet name="CliQ" sheetId="3" r:id="rId7"/>
    <sheet name="JoMoPay" sheetId="4" r:id="rId8"/>
    <sheet name="eFAWATEERcom" sheetId="5" r:id="rId9"/>
    <sheet name="ACH" sheetId="6" r:id="rId10"/>
    <sheet name="ECCU" sheetId="7" r:id="rId11"/>
  </sheets>
  <definedNames>
    <definedName name="Slicer_dimension_L1">#N/A</definedName>
    <definedName name="Slicer_metric">#N/A</definedName>
    <definedName name="Slicer_system">#N/A</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9" i="12" l="1"/>
  <c r="E29" i="12"/>
  <c r="F29" i="12"/>
  <c r="G29" i="12"/>
  <c r="H29" i="12"/>
  <c r="I29" i="12"/>
  <c r="J29" i="12"/>
  <c r="D27" i="12"/>
  <c r="E27" i="12"/>
  <c r="F27" i="12"/>
  <c r="G27" i="12"/>
  <c r="H27" i="12"/>
  <c r="I27" i="12"/>
  <c r="J27" i="12"/>
  <c r="C29" i="12"/>
  <c r="C27" i="12"/>
  <c r="D15" i="12"/>
  <c r="E15" i="12"/>
  <c r="F15" i="12"/>
  <c r="G15" i="12"/>
  <c r="H15" i="12"/>
  <c r="I15" i="12"/>
  <c r="J15" i="12"/>
  <c r="D13" i="12"/>
  <c r="E13" i="12"/>
  <c r="F13" i="12"/>
  <c r="G13" i="12"/>
  <c r="H13" i="12"/>
  <c r="I13" i="12"/>
  <c r="J13" i="12"/>
  <c r="C15" i="12"/>
  <c r="C13" i="12"/>
  <c r="D10" i="12"/>
  <c r="E10" i="12"/>
  <c r="F10" i="12"/>
  <c r="G10" i="12"/>
  <c r="H10" i="12"/>
  <c r="I10" i="12"/>
  <c r="J10" i="12"/>
  <c r="C10" i="12"/>
  <c r="D8" i="12"/>
  <c r="E8" i="12"/>
  <c r="F8" i="12"/>
  <c r="G8" i="12"/>
  <c r="H8" i="12"/>
  <c r="I8" i="12"/>
  <c r="J8" i="12"/>
  <c r="C8" i="12"/>
  <c r="D28" i="12"/>
  <c r="E28" i="12"/>
  <c r="F28" i="12"/>
  <c r="G28" i="12"/>
  <c r="H28" i="12"/>
  <c r="I28" i="12"/>
  <c r="J28" i="12"/>
  <c r="C28" i="12"/>
  <c r="D26" i="12"/>
  <c r="E26" i="12"/>
  <c r="F26" i="12"/>
  <c r="G26" i="12"/>
  <c r="H26" i="12"/>
  <c r="I26" i="12"/>
  <c r="J26" i="12"/>
  <c r="C26" i="12"/>
  <c r="C23" i="12"/>
  <c r="D23" i="12"/>
  <c r="E23" i="12"/>
  <c r="F23" i="12"/>
  <c r="G23" i="12"/>
  <c r="H23" i="12"/>
  <c r="I23" i="12"/>
  <c r="J23" i="12"/>
  <c r="C24" i="12"/>
  <c r="D24" i="12"/>
  <c r="E24" i="12"/>
  <c r="F24" i="12"/>
  <c r="G24" i="12"/>
  <c r="H24" i="12"/>
  <c r="I24" i="12"/>
  <c r="J24" i="12"/>
  <c r="J18" i="12"/>
  <c r="J19" i="12"/>
  <c r="J20" i="12"/>
  <c r="J21" i="12"/>
  <c r="J22" i="12"/>
  <c r="I18" i="12"/>
  <c r="I19" i="12"/>
  <c r="I20" i="12"/>
  <c r="I21" i="12"/>
  <c r="I22" i="12"/>
  <c r="H18" i="12"/>
  <c r="H19" i="12"/>
  <c r="H20" i="12"/>
  <c r="H21" i="12"/>
  <c r="H22" i="12"/>
  <c r="G18" i="12"/>
  <c r="G19" i="12"/>
  <c r="G20" i="12"/>
  <c r="G21" i="12"/>
  <c r="G22" i="12"/>
  <c r="F18" i="12"/>
  <c r="F19" i="12"/>
  <c r="F20" i="12"/>
  <c r="F21" i="12"/>
  <c r="F22" i="12"/>
  <c r="E18" i="12"/>
  <c r="E19" i="12"/>
  <c r="E20" i="12"/>
  <c r="E21" i="12"/>
  <c r="E22" i="12"/>
  <c r="D18" i="12"/>
  <c r="D19" i="12"/>
  <c r="D20" i="12"/>
  <c r="D21" i="12"/>
  <c r="D22" i="12"/>
  <c r="D17" i="12"/>
  <c r="E17" i="12"/>
  <c r="F17" i="12"/>
  <c r="G17" i="12"/>
  <c r="H17" i="12"/>
  <c r="I17" i="12"/>
  <c r="J17" i="12"/>
  <c r="C18" i="12"/>
  <c r="C19" i="12"/>
  <c r="C20" i="12"/>
  <c r="C21" i="12"/>
  <c r="C22" i="12"/>
  <c r="C17" i="12"/>
  <c r="D14" i="12"/>
  <c r="E14" i="12"/>
  <c r="F14" i="12"/>
  <c r="G14" i="12"/>
  <c r="H14" i="12"/>
  <c r="I14" i="12"/>
  <c r="J14" i="12"/>
  <c r="C14" i="12"/>
  <c r="D12" i="12"/>
  <c r="E12" i="12"/>
  <c r="F12" i="12"/>
  <c r="G12" i="12"/>
  <c r="H12" i="12"/>
  <c r="I12" i="12"/>
  <c r="J12" i="12"/>
  <c r="C12" i="12"/>
  <c r="D9" i="12"/>
  <c r="E9" i="12"/>
  <c r="F9" i="12"/>
  <c r="G9" i="12"/>
  <c r="H9" i="12"/>
  <c r="I9" i="12"/>
  <c r="J9" i="12"/>
  <c r="C9" i="12"/>
  <c r="D7" i="12"/>
  <c r="E7" i="12"/>
  <c r="F7" i="12"/>
  <c r="G7" i="12"/>
  <c r="H7" i="12"/>
  <c r="I7" i="12"/>
  <c r="J7" i="12"/>
  <c r="C7" i="12"/>
  <c r="D5" i="12"/>
  <c r="E5" i="12"/>
  <c r="F5" i="12"/>
  <c r="G5" i="12"/>
  <c r="H5" i="12"/>
  <c r="I5" i="12"/>
  <c r="J5" i="12"/>
  <c r="C5" i="12"/>
  <c r="J8" i="5"/>
  <c r="C11" i="5"/>
  <c r="D11" i="5"/>
  <c r="E11" i="5"/>
  <c r="F11" i="5"/>
  <c r="G11" i="5"/>
  <c r="H11" i="5"/>
  <c r="I11" i="5"/>
  <c r="J11" i="5"/>
  <c r="C12" i="5"/>
  <c r="D12" i="5"/>
  <c r="E12" i="5"/>
  <c r="F12" i="5"/>
  <c r="G12" i="5"/>
  <c r="H12" i="5"/>
  <c r="I12" i="5"/>
  <c r="J12" i="5"/>
  <c r="C13" i="5"/>
  <c r="D13" i="5"/>
  <c r="E13" i="5"/>
  <c r="F13" i="5"/>
  <c r="G13" i="5"/>
  <c r="H13" i="5"/>
  <c r="I13" i="5"/>
  <c r="J13" i="5"/>
  <c r="C14" i="5"/>
  <c r="D14" i="5"/>
  <c r="E14" i="5"/>
  <c r="F14" i="5"/>
  <c r="G14" i="5"/>
  <c r="H14" i="5"/>
  <c r="I14" i="5"/>
  <c r="J14" i="5"/>
  <c r="C15" i="5"/>
  <c r="D15" i="5"/>
  <c r="E15" i="5"/>
  <c r="F15" i="5"/>
  <c r="G15" i="5"/>
  <c r="H15" i="5"/>
  <c r="I15" i="5"/>
  <c r="J15" i="5"/>
  <c r="C16" i="5"/>
  <c r="D16" i="5"/>
  <c r="E16" i="5"/>
  <c r="F16" i="5"/>
  <c r="G16" i="5"/>
  <c r="H16" i="5"/>
  <c r="I16" i="5"/>
  <c r="J16" i="5"/>
  <c r="C17" i="5"/>
  <c r="D17" i="5"/>
  <c r="E17" i="5"/>
  <c r="F17" i="5"/>
  <c r="G17" i="5"/>
  <c r="H17" i="5"/>
  <c r="I17" i="5"/>
  <c r="J17" i="5"/>
  <c r="C18" i="5"/>
  <c r="D18" i="5"/>
  <c r="E18" i="5"/>
  <c r="F18" i="5"/>
  <c r="G18" i="5"/>
  <c r="H18" i="5"/>
  <c r="I18" i="5"/>
  <c r="J18" i="5"/>
  <c r="C19" i="5"/>
  <c r="D19" i="5"/>
  <c r="E19" i="5"/>
  <c r="F19" i="5"/>
  <c r="G19" i="5"/>
  <c r="H19" i="5"/>
  <c r="I19" i="5"/>
  <c r="J19" i="5"/>
  <c r="C6" i="7"/>
  <c r="J25" i="8"/>
  <c r="I25" i="8"/>
  <c r="H25" i="8"/>
  <c r="G25" i="8"/>
  <c r="F25" i="8"/>
  <c r="E25" i="8"/>
  <c r="D25" i="8"/>
  <c r="C25" i="8"/>
  <c r="J23" i="8"/>
  <c r="J24" i="8" s="1"/>
  <c r="I23" i="8"/>
  <c r="I24" i="8" s="1"/>
  <c r="H23" i="8"/>
  <c r="H24" i="8" s="1"/>
  <c r="G23" i="8"/>
  <c r="F23" i="8"/>
  <c r="F24" i="8" s="1"/>
  <c r="E23" i="8"/>
  <c r="E24" i="8" s="1"/>
  <c r="D23" i="8"/>
  <c r="D24" i="8" s="1"/>
  <c r="C23" i="8"/>
  <c r="C24" i="8" s="1"/>
  <c r="J20" i="8"/>
  <c r="I20" i="8"/>
  <c r="H20" i="8"/>
  <c r="G20" i="8"/>
  <c r="F20" i="8"/>
  <c r="E20" i="8"/>
  <c r="D20" i="8"/>
  <c r="C20" i="8"/>
  <c r="J18" i="8"/>
  <c r="J19" i="8" s="1"/>
  <c r="I18" i="8"/>
  <c r="I19" i="8" s="1"/>
  <c r="H18" i="8"/>
  <c r="H19" i="8" s="1"/>
  <c r="G18" i="8"/>
  <c r="F18" i="8"/>
  <c r="F19" i="8" s="1"/>
  <c r="E18" i="8"/>
  <c r="E19" i="8" s="1"/>
  <c r="D18" i="8"/>
  <c r="C18" i="8"/>
  <c r="J15" i="8"/>
  <c r="I15" i="8"/>
  <c r="H15" i="8"/>
  <c r="G15" i="8"/>
  <c r="F15" i="8"/>
  <c r="E15" i="8"/>
  <c r="D15" i="8"/>
  <c r="C15" i="8"/>
  <c r="J13" i="8"/>
  <c r="J14" i="8" s="1"/>
  <c r="I13" i="8"/>
  <c r="I14" i="8" s="1"/>
  <c r="H13" i="8"/>
  <c r="H14" i="8" s="1"/>
  <c r="G13" i="8"/>
  <c r="G14" i="8" s="1"/>
  <c r="F13" i="8"/>
  <c r="F14" i="8" s="1"/>
  <c r="E13" i="8"/>
  <c r="E14" i="8" s="1"/>
  <c r="D13" i="8"/>
  <c r="D14" i="8" s="1"/>
  <c r="C13" i="8"/>
  <c r="C14" i="8" s="1"/>
  <c r="J10" i="8"/>
  <c r="I10" i="8"/>
  <c r="H10" i="8"/>
  <c r="G10" i="8"/>
  <c r="F10" i="8"/>
  <c r="E10" i="8"/>
  <c r="D10" i="8"/>
  <c r="C10" i="8"/>
  <c r="J8" i="8"/>
  <c r="J9" i="8" s="1"/>
  <c r="I8" i="8"/>
  <c r="I9" i="8" s="1"/>
  <c r="H8" i="8"/>
  <c r="H9" i="8" s="1"/>
  <c r="G8" i="8"/>
  <c r="G9" i="8" s="1"/>
  <c r="F8" i="8"/>
  <c r="F9" i="8" s="1"/>
  <c r="E8" i="8"/>
  <c r="E9" i="8" s="1"/>
  <c r="D8" i="8"/>
  <c r="D9" i="8" s="1"/>
  <c r="C8" i="8"/>
  <c r="C9" i="8" s="1"/>
  <c r="J6" i="8"/>
  <c r="I6" i="8"/>
  <c r="H6" i="8"/>
  <c r="G6" i="8"/>
  <c r="F6" i="8"/>
  <c r="E6" i="8"/>
  <c r="D6" i="8"/>
  <c r="C6" i="8"/>
  <c r="J5" i="8"/>
  <c r="I5" i="8"/>
  <c r="H5" i="8"/>
  <c r="G5" i="8"/>
  <c r="F5" i="8"/>
  <c r="E5" i="8"/>
  <c r="D5" i="8"/>
  <c r="C5" i="8"/>
  <c r="J9" i="7"/>
  <c r="I9" i="7"/>
  <c r="H9" i="7"/>
  <c r="G9" i="7"/>
  <c r="F9" i="7"/>
  <c r="E9" i="7"/>
  <c r="D9" i="7"/>
  <c r="C9" i="7"/>
  <c r="J8" i="7"/>
  <c r="J10" i="7" s="1"/>
  <c r="I8" i="7"/>
  <c r="H8" i="7"/>
  <c r="G8" i="7"/>
  <c r="G10" i="7" s="1"/>
  <c r="F8" i="7"/>
  <c r="E8" i="7"/>
  <c r="E10" i="7" s="1"/>
  <c r="D8" i="7"/>
  <c r="C8" i="7"/>
  <c r="J6" i="7"/>
  <c r="I6" i="7"/>
  <c r="H6" i="7"/>
  <c r="G6" i="7"/>
  <c r="F6" i="7"/>
  <c r="E6" i="7"/>
  <c r="D6" i="7"/>
  <c r="J5" i="7"/>
  <c r="I5" i="7"/>
  <c r="H5" i="7"/>
  <c r="G5" i="7"/>
  <c r="F5" i="7"/>
  <c r="E5" i="7"/>
  <c r="D5" i="7"/>
  <c r="C5" i="7"/>
  <c r="J14" i="6"/>
  <c r="I14" i="6"/>
  <c r="H14" i="6"/>
  <c r="G14" i="6"/>
  <c r="F14" i="6"/>
  <c r="E14" i="6"/>
  <c r="D14" i="6"/>
  <c r="C14" i="6"/>
  <c r="J13" i="6"/>
  <c r="I13" i="6"/>
  <c r="H13" i="6"/>
  <c r="G13" i="6"/>
  <c r="F13" i="6"/>
  <c r="E13" i="6"/>
  <c r="D13" i="6"/>
  <c r="C13" i="6"/>
  <c r="J12" i="6"/>
  <c r="I12" i="6"/>
  <c r="H12" i="6"/>
  <c r="G12" i="6"/>
  <c r="F12" i="6"/>
  <c r="E12" i="6"/>
  <c r="D12" i="6"/>
  <c r="C12" i="6"/>
  <c r="J10" i="6"/>
  <c r="I10" i="6"/>
  <c r="H10" i="6"/>
  <c r="G10" i="6"/>
  <c r="F10" i="6"/>
  <c r="E10" i="6"/>
  <c r="D10" i="6"/>
  <c r="C10" i="6"/>
  <c r="J9" i="6"/>
  <c r="I9" i="6"/>
  <c r="H9" i="6"/>
  <c r="G9" i="6"/>
  <c r="F9" i="6"/>
  <c r="E9" i="6"/>
  <c r="D9" i="6"/>
  <c r="C9" i="6"/>
  <c r="J8" i="6"/>
  <c r="I8" i="6"/>
  <c r="H8" i="6"/>
  <c r="G8" i="6"/>
  <c r="F8" i="6"/>
  <c r="E8" i="6"/>
  <c r="D8" i="6"/>
  <c r="C8" i="6"/>
  <c r="J6" i="6"/>
  <c r="I6" i="6"/>
  <c r="H6" i="6"/>
  <c r="G6" i="6"/>
  <c r="F6" i="6"/>
  <c r="E6" i="6"/>
  <c r="D6" i="6"/>
  <c r="C6" i="6"/>
  <c r="J5" i="6"/>
  <c r="I5" i="6"/>
  <c r="H5" i="6"/>
  <c r="G5" i="6"/>
  <c r="F5" i="6"/>
  <c r="E5" i="6"/>
  <c r="D5" i="6"/>
  <c r="C5" i="6"/>
  <c r="J28" i="5"/>
  <c r="I28" i="5"/>
  <c r="H28" i="5"/>
  <c r="G28" i="5"/>
  <c r="F28" i="5"/>
  <c r="E28" i="5"/>
  <c r="D28" i="5"/>
  <c r="C28" i="5"/>
  <c r="J26" i="5"/>
  <c r="I26" i="5"/>
  <c r="H26" i="5"/>
  <c r="G26" i="5"/>
  <c r="F26" i="5"/>
  <c r="E26" i="5"/>
  <c r="D26" i="5"/>
  <c r="C26" i="5"/>
  <c r="J23" i="5"/>
  <c r="I23" i="5"/>
  <c r="H23" i="5"/>
  <c r="G23" i="5"/>
  <c r="F23" i="5"/>
  <c r="E23" i="5"/>
  <c r="D23" i="5"/>
  <c r="C23" i="5"/>
  <c r="J21" i="5"/>
  <c r="I21" i="5"/>
  <c r="H21" i="5"/>
  <c r="G21" i="5"/>
  <c r="F21" i="5"/>
  <c r="E21" i="5"/>
  <c r="D21" i="5"/>
  <c r="C21" i="5"/>
  <c r="J10" i="5"/>
  <c r="I10" i="5"/>
  <c r="H10" i="5"/>
  <c r="G10" i="5"/>
  <c r="F10" i="5"/>
  <c r="E10" i="5"/>
  <c r="D10" i="5"/>
  <c r="C10" i="5"/>
  <c r="I8" i="5"/>
  <c r="H8" i="5"/>
  <c r="G8" i="5"/>
  <c r="F8" i="5"/>
  <c r="E8" i="5"/>
  <c r="D8" i="5"/>
  <c r="C8" i="5"/>
  <c r="J7" i="5"/>
  <c r="I7" i="5"/>
  <c r="H7" i="5"/>
  <c r="G7" i="5"/>
  <c r="F7" i="5"/>
  <c r="E7" i="5"/>
  <c r="D7" i="5"/>
  <c r="C7" i="5"/>
  <c r="J5" i="5"/>
  <c r="I5" i="5"/>
  <c r="H5" i="5"/>
  <c r="G5" i="5"/>
  <c r="F5" i="5"/>
  <c r="E5" i="5"/>
  <c r="D5" i="5"/>
  <c r="C5" i="5"/>
  <c r="J60" i="4"/>
  <c r="I60" i="4"/>
  <c r="H60" i="4"/>
  <c r="G60" i="4"/>
  <c r="F60" i="4"/>
  <c r="E60" i="4"/>
  <c r="D60" i="4"/>
  <c r="C60" i="4"/>
  <c r="J58" i="4"/>
  <c r="J59" i="4" s="1"/>
  <c r="I58" i="4"/>
  <c r="I59" i="4" s="1"/>
  <c r="H58" i="4"/>
  <c r="H59" i="4" s="1"/>
  <c r="G58" i="4"/>
  <c r="G59" i="4" s="1"/>
  <c r="F58" i="4"/>
  <c r="F59" i="4" s="1"/>
  <c r="E58" i="4"/>
  <c r="E59" i="4" s="1"/>
  <c r="D58" i="4"/>
  <c r="D59" i="4" s="1"/>
  <c r="C58" i="4"/>
  <c r="C59" i="4" s="1"/>
  <c r="J55" i="4"/>
  <c r="I55" i="4"/>
  <c r="H55" i="4"/>
  <c r="G55" i="4"/>
  <c r="F55" i="4"/>
  <c r="E55" i="4"/>
  <c r="D55" i="4"/>
  <c r="C55" i="4"/>
  <c r="J53" i="4"/>
  <c r="J54" i="4" s="1"/>
  <c r="I53" i="4"/>
  <c r="I54" i="4" s="1"/>
  <c r="H53" i="4"/>
  <c r="H54" i="4" s="1"/>
  <c r="G53" i="4"/>
  <c r="G54" i="4" s="1"/>
  <c r="F53" i="4"/>
  <c r="F54" i="4" s="1"/>
  <c r="E53" i="4"/>
  <c r="E54" i="4" s="1"/>
  <c r="D53" i="4"/>
  <c r="D54" i="4" s="1"/>
  <c r="C53" i="4"/>
  <c r="C54" i="4" s="1"/>
  <c r="J50" i="4"/>
  <c r="I50" i="4"/>
  <c r="H50" i="4"/>
  <c r="G50" i="4"/>
  <c r="F50" i="4"/>
  <c r="E50" i="4"/>
  <c r="D50" i="4"/>
  <c r="C50" i="4"/>
  <c r="J48" i="4"/>
  <c r="I48" i="4"/>
  <c r="H48" i="4"/>
  <c r="G48" i="4"/>
  <c r="F48" i="4"/>
  <c r="E48" i="4"/>
  <c r="D48" i="4"/>
  <c r="C48" i="4"/>
  <c r="J46" i="4"/>
  <c r="I46" i="4"/>
  <c r="H46" i="4"/>
  <c r="G46" i="4"/>
  <c r="F46" i="4"/>
  <c r="E46" i="4"/>
  <c r="D46" i="4"/>
  <c r="C46" i="4"/>
  <c r="J44" i="4"/>
  <c r="I44" i="4"/>
  <c r="H44" i="4"/>
  <c r="G44" i="4"/>
  <c r="F44" i="4"/>
  <c r="E44" i="4"/>
  <c r="D44" i="4"/>
  <c r="C44" i="4"/>
  <c r="J41" i="4"/>
  <c r="I41" i="4"/>
  <c r="H41" i="4"/>
  <c r="G41" i="4"/>
  <c r="F41" i="4"/>
  <c r="E41" i="4"/>
  <c r="D41" i="4"/>
  <c r="C41" i="4"/>
  <c r="J39" i="4"/>
  <c r="I39" i="4"/>
  <c r="H39" i="4"/>
  <c r="G39" i="4"/>
  <c r="F39" i="4"/>
  <c r="E39" i="4"/>
  <c r="D39" i="4"/>
  <c r="C39" i="4"/>
  <c r="J37" i="4"/>
  <c r="I37" i="4"/>
  <c r="H37" i="4"/>
  <c r="G37" i="4"/>
  <c r="F37" i="4"/>
  <c r="E37" i="4"/>
  <c r="D37" i="4"/>
  <c r="C37" i="4"/>
  <c r="J35" i="4"/>
  <c r="I35" i="4"/>
  <c r="H35" i="4"/>
  <c r="G35" i="4"/>
  <c r="F35" i="4"/>
  <c r="E35" i="4"/>
  <c r="D35" i="4"/>
  <c r="C35" i="4"/>
  <c r="J33" i="4"/>
  <c r="I33" i="4"/>
  <c r="H33" i="4"/>
  <c r="G33" i="4"/>
  <c r="F33" i="4"/>
  <c r="E33" i="4"/>
  <c r="D33" i="4"/>
  <c r="C33" i="4"/>
  <c r="J32" i="4"/>
  <c r="I32" i="4"/>
  <c r="H32" i="4"/>
  <c r="G32" i="4"/>
  <c r="F32" i="4"/>
  <c r="E32" i="4"/>
  <c r="D32" i="4"/>
  <c r="C32" i="4"/>
  <c r="J30" i="4"/>
  <c r="I30" i="4"/>
  <c r="H30" i="4"/>
  <c r="G30" i="4"/>
  <c r="F30" i="4"/>
  <c r="E30" i="4"/>
  <c r="D30" i="4"/>
  <c r="C30" i="4"/>
  <c r="J29" i="4"/>
  <c r="I29" i="4"/>
  <c r="H29" i="4"/>
  <c r="G29" i="4"/>
  <c r="F29" i="4"/>
  <c r="E29" i="4"/>
  <c r="D29" i="4"/>
  <c r="C29" i="4"/>
  <c r="J28" i="4"/>
  <c r="I28" i="4"/>
  <c r="H28" i="4"/>
  <c r="G28" i="4"/>
  <c r="F28" i="4"/>
  <c r="E28" i="4"/>
  <c r="D28" i="4"/>
  <c r="C28" i="4"/>
  <c r="J27" i="4"/>
  <c r="I27" i="4"/>
  <c r="H27" i="4"/>
  <c r="G27" i="4"/>
  <c r="F27" i="4"/>
  <c r="E27" i="4"/>
  <c r="D27" i="4"/>
  <c r="C27" i="4"/>
  <c r="J26" i="4"/>
  <c r="I26" i="4"/>
  <c r="H26" i="4"/>
  <c r="G26" i="4"/>
  <c r="F26" i="4"/>
  <c r="E26" i="4"/>
  <c r="D26" i="4"/>
  <c r="C26" i="4"/>
  <c r="J24" i="4"/>
  <c r="I24" i="4"/>
  <c r="H24" i="4"/>
  <c r="G24" i="4"/>
  <c r="F24" i="4"/>
  <c r="E24" i="4"/>
  <c r="D24" i="4"/>
  <c r="C24" i="4"/>
  <c r="J23" i="4"/>
  <c r="I23" i="4"/>
  <c r="H23" i="4"/>
  <c r="G23" i="4"/>
  <c r="F23" i="4"/>
  <c r="E23" i="4"/>
  <c r="D23" i="4"/>
  <c r="C23" i="4"/>
  <c r="J22" i="4"/>
  <c r="I22" i="4"/>
  <c r="H22" i="4"/>
  <c r="G22" i="4"/>
  <c r="F22" i="4"/>
  <c r="E22" i="4"/>
  <c r="D22" i="4"/>
  <c r="C22" i="4"/>
  <c r="J21" i="4"/>
  <c r="I21" i="4"/>
  <c r="H21" i="4"/>
  <c r="G21" i="4"/>
  <c r="F21" i="4"/>
  <c r="E21" i="4"/>
  <c r="D21" i="4"/>
  <c r="C21" i="4"/>
  <c r="J20" i="4"/>
  <c r="I20" i="4"/>
  <c r="H20" i="4"/>
  <c r="G20" i="4"/>
  <c r="F20" i="4"/>
  <c r="E20" i="4"/>
  <c r="D20" i="4"/>
  <c r="C20" i="4"/>
  <c r="J19" i="4"/>
  <c r="I19" i="4"/>
  <c r="H19" i="4"/>
  <c r="G19" i="4"/>
  <c r="F19" i="4"/>
  <c r="E19" i="4"/>
  <c r="D19" i="4"/>
  <c r="C19" i="4"/>
  <c r="J18" i="4"/>
  <c r="I18" i="4"/>
  <c r="H18" i="4"/>
  <c r="G18" i="4"/>
  <c r="F18" i="4"/>
  <c r="E18" i="4"/>
  <c r="D18" i="4"/>
  <c r="C18" i="4"/>
  <c r="J17" i="4"/>
  <c r="I17" i="4"/>
  <c r="H17" i="4"/>
  <c r="G17" i="4"/>
  <c r="F17" i="4"/>
  <c r="E17" i="4"/>
  <c r="D17" i="4"/>
  <c r="C17" i="4"/>
  <c r="J14" i="4"/>
  <c r="I14" i="4"/>
  <c r="H14" i="4"/>
  <c r="G14" i="4"/>
  <c r="F14" i="4"/>
  <c r="E14" i="4"/>
  <c r="D14" i="4"/>
  <c r="C14" i="4"/>
  <c r="J12" i="4"/>
  <c r="J13" i="4" s="1"/>
  <c r="I12" i="4"/>
  <c r="I13" i="4" s="1"/>
  <c r="H12" i="4"/>
  <c r="H13" i="4" s="1"/>
  <c r="G12" i="4"/>
  <c r="G13" i="4" s="1"/>
  <c r="F12" i="4"/>
  <c r="F13" i="4" s="1"/>
  <c r="E12" i="4"/>
  <c r="D12" i="4"/>
  <c r="D13" i="4" s="1"/>
  <c r="C12" i="4"/>
  <c r="C13" i="4" s="1"/>
  <c r="J9" i="4"/>
  <c r="I9" i="4"/>
  <c r="H9" i="4"/>
  <c r="G9" i="4"/>
  <c r="F9" i="4"/>
  <c r="E9" i="4"/>
  <c r="D9" i="4"/>
  <c r="C9" i="4"/>
  <c r="J7" i="4"/>
  <c r="J8" i="4" s="1"/>
  <c r="I7" i="4"/>
  <c r="I8" i="4" s="1"/>
  <c r="H7" i="4"/>
  <c r="H8" i="4" s="1"/>
  <c r="G7" i="4"/>
  <c r="G8" i="4" s="1"/>
  <c r="F7" i="4"/>
  <c r="F8" i="4" s="1"/>
  <c r="E7" i="4"/>
  <c r="E8" i="4" s="1"/>
  <c r="D7" i="4"/>
  <c r="D8" i="4" s="1"/>
  <c r="C7" i="4"/>
  <c r="C8" i="4" s="1"/>
  <c r="J5" i="4"/>
  <c r="I5" i="4"/>
  <c r="H5" i="4"/>
  <c r="G5" i="4"/>
  <c r="F5" i="4"/>
  <c r="E5" i="4"/>
  <c r="D5" i="4"/>
  <c r="C5" i="4"/>
  <c r="J53" i="3"/>
  <c r="I53" i="3"/>
  <c r="H53" i="3"/>
  <c r="G53" i="3"/>
  <c r="F53" i="3"/>
  <c r="E53" i="3"/>
  <c r="D53" i="3"/>
  <c r="C53" i="3"/>
  <c r="J51" i="3"/>
  <c r="J52" i="3" s="1"/>
  <c r="I51" i="3"/>
  <c r="I52" i="3" s="1"/>
  <c r="H51" i="3"/>
  <c r="H52" i="3" s="1"/>
  <c r="G51" i="3"/>
  <c r="G52" i="3" s="1"/>
  <c r="F51" i="3"/>
  <c r="F52" i="3" s="1"/>
  <c r="E51" i="3"/>
  <c r="E52" i="3" s="1"/>
  <c r="D51" i="3"/>
  <c r="D52" i="3" s="1"/>
  <c r="C51" i="3"/>
  <c r="C52" i="3" s="1"/>
  <c r="J48" i="3"/>
  <c r="I48" i="3"/>
  <c r="H48" i="3"/>
  <c r="G48" i="3"/>
  <c r="F48" i="3"/>
  <c r="E48" i="3"/>
  <c r="D48" i="3"/>
  <c r="C48" i="3"/>
  <c r="J46" i="3"/>
  <c r="J47" i="3" s="1"/>
  <c r="I46" i="3"/>
  <c r="I47" i="3" s="1"/>
  <c r="H46" i="3"/>
  <c r="H47" i="3" s="1"/>
  <c r="G46" i="3"/>
  <c r="G47" i="3" s="1"/>
  <c r="F46" i="3"/>
  <c r="F47" i="3" s="1"/>
  <c r="E46" i="3"/>
  <c r="E47" i="3" s="1"/>
  <c r="D46" i="3"/>
  <c r="D47" i="3" s="1"/>
  <c r="C46" i="3"/>
  <c r="C47" i="3" s="1"/>
  <c r="J42" i="3"/>
  <c r="I42" i="3"/>
  <c r="H42" i="3"/>
  <c r="G42" i="3"/>
  <c r="F42" i="3"/>
  <c r="E42" i="3"/>
  <c r="D42" i="3"/>
  <c r="C42" i="3"/>
  <c r="J40" i="3"/>
  <c r="J44" i="3" s="1"/>
  <c r="I40" i="3"/>
  <c r="I44" i="3" s="1"/>
  <c r="H40" i="3"/>
  <c r="H44" i="3" s="1"/>
  <c r="G40" i="3"/>
  <c r="G44" i="3" s="1"/>
  <c r="F40" i="3"/>
  <c r="F44" i="3" s="1"/>
  <c r="E40" i="3"/>
  <c r="E44" i="3" s="1"/>
  <c r="D40" i="3"/>
  <c r="D44" i="3" s="1"/>
  <c r="C40" i="3"/>
  <c r="C44" i="3" s="1"/>
  <c r="J36" i="3"/>
  <c r="I36" i="3"/>
  <c r="H36" i="3"/>
  <c r="G36" i="3"/>
  <c r="F36" i="3"/>
  <c r="E36" i="3"/>
  <c r="D36" i="3"/>
  <c r="C36" i="3"/>
  <c r="J34" i="3"/>
  <c r="J38" i="3" s="1"/>
  <c r="I34" i="3"/>
  <c r="I38" i="3" s="1"/>
  <c r="H34" i="3"/>
  <c r="H38" i="3" s="1"/>
  <c r="G34" i="3"/>
  <c r="G38" i="3" s="1"/>
  <c r="F34" i="3"/>
  <c r="E34" i="3"/>
  <c r="E38" i="3" s="1"/>
  <c r="D34" i="3"/>
  <c r="D38" i="3" s="1"/>
  <c r="C34" i="3"/>
  <c r="C38" i="3" s="1"/>
  <c r="J32" i="3"/>
  <c r="I32" i="3"/>
  <c r="H32" i="3"/>
  <c r="G32" i="3"/>
  <c r="F32" i="3"/>
  <c r="E32" i="3"/>
  <c r="D32" i="3"/>
  <c r="C32" i="3"/>
  <c r="J31" i="3"/>
  <c r="I31" i="3"/>
  <c r="H31" i="3"/>
  <c r="G31" i="3"/>
  <c r="F31" i="3"/>
  <c r="E31" i="3"/>
  <c r="D31" i="3"/>
  <c r="C31" i="3"/>
  <c r="J28" i="3"/>
  <c r="I28" i="3"/>
  <c r="H28" i="3"/>
  <c r="G28" i="3"/>
  <c r="F28" i="3"/>
  <c r="E28" i="3"/>
  <c r="D28" i="3"/>
  <c r="C28" i="3"/>
  <c r="J26" i="3"/>
  <c r="J27" i="3" s="1"/>
  <c r="I26" i="3"/>
  <c r="I27" i="3" s="1"/>
  <c r="H26" i="3"/>
  <c r="H27" i="3" s="1"/>
  <c r="G26" i="3"/>
  <c r="G27" i="3" s="1"/>
  <c r="F26" i="3"/>
  <c r="F27" i="3" s="1"/>
  <c r="E26" i="3"/>
  <c r="E27" i="3" s="1"/>
  <c r="D26" i="3"/>
  <c r="D27" i="3" s="1"/>
  <c r="C26" i="3"/>
  <c r="C27" i="3" s="1"/>
  <c r="J24" i="3"/>
  <c r="I24" i="3"/>
  <c r="H24" i="3"/>
  <c r="G24" i="3"/>
  <c r="F24" i="3"/>
  <c r="E24" i="3"/>
  <c r="D24" i="3"/>
  <c r="C24" i="3"/>
  <c r="J23" i="3"/>
  <c r="I23" i="3"/>
  <c r="H23" i="3"/>
  <c r="G23" i="3"/>
  <c r="F23" i="3"/>
  <c r="E23" i="3"/>
  <c r="D23" i="3"/>
  <c r="C23" i="3"/>
  <c r="J22" i="3"/>
  <c r="I22" i="3"/>
  <c r="H22" i="3"/>
  <c r="G22" i="3"/>
  <c r="F22" i="3"/>
  <c r="E22" i="3"/>
  <c r="D22" i="3"/>
  <c r="C22" i="3"/>
  <c r="J21" i="3"/>
  <c r="I21" i="3"/>
  <c r="H21" i="3"/>
  <c r="G21" i="3"/>
  <c r="F21" i="3"/>
  <c r="E21" i="3"/>
  <c r="D21" i="3"/>
  <c r="C21" i="3"/>
  <c r="J20" i="3"/>
  <c r="I20" i="3"/>
  <c r="H20" i="3"/>
  <c r="G20" i="3"/>
  <c r="F20" i="3"/>
  <c r="E20" i="3"/>
  <c r="D20" i="3"/>
  <c r="C20" i="3"/>
  <c r="J19" i="3"/>
  <c r="I19" i="3"/>
  <c r="H19" i="3"/>
  <c r="G19" i="3"/>
  <c r="F19" i="3"/>
  <c r="E19" i="3"/>
  <c r="D19" i="3"/>
  <c r="C19" i="3"/>
  <c r="J18" i="3"/>
  <c r="I18" i="3"/>
  <c r="H18" i="3"/>
  <c r="G18" i="3"/>
  <c r="F18" i="3"/>
  <c r="E18" i="3"/>
  <c r="D18" i="3"/>
  <c r="C18" i="3"/>
  <c r="J17" i="3"/>
  <c r="I17" i="3"/>
  <c r="H17" i="3"/>
  <c r="G17" i="3"/>
  <c r="F17" i="3"/>
  <c r="E17" i="3"/>
  <c r="D17" i="3"/>
  <c r="C17" i="3"/>
  <c r="J14" i="3"/>
  <c r="I14" i="3"/>
  <c r="H14" i="3"/>
  <c r="G14" i="3"/>
  <c r="F14" i="3"/>
  <c r="E14" i="3"/>
  <c r="D14" i="3"/>
  <c r="C14" i="3"/>
  <c r="J12" i="3"/>
  <c r="J13" i="3" s="1"/>
  <c r="I12" i="3"/>
  <c r="I13" i="3" s="1"/>
  <c r="H12" i="3"/>
  <c r="H13" i="3" s="1"/>
  <c r="G12" i="3"/>
  <c r="G13" i="3" s="1"/>
  <c r="F12" i="3"/>
  <c r="F13" i="3" s="1"/>
  <c r="E12" i="3"/>
  <c r="E13" i="3" s="1"/>
  <c r="D12" i="3"/>
  <c r="D13" i="3" s="1"/>
  <c r="C12" i="3"/>
  <c r="C13" i="3" s="1"/>
  <c r="J9" i="3"/>
  <c r="I9" i="3"/>
  <c r="H9" i="3"/>
  <c r="G9" i="3"/>
  <c r="F9" i="3"/>
  <c r="E9" i="3"/>
  <c r="D9" i="3"/>
  <c r="C9" i="3"/>
  <c r="J7" i="3"/>
  <c r="J8" i="3" s="1"/>
  <c r="I7" i="3"/>
  <c r="I8" i="3" s="1"/>
  <c r="H7" i="3"/>
  <c r="H8" i="3" s="1"/>
  <c r="G7" i="3"/>
  <c r="G8" i="3" s="1"/>
  <c r="F7" i="3"/>
  <c r="F8" i="3" s="1"/>
  <c r="E7" i="3"/>
  <c r="E8" i="3" s="1"/>
  <c r="D7" i="3"/>
  <c r="D8" i="3" s="1"/>
  <c r="C7" i="3"/>
  <c r="C8" i="3" s="1"/>
  <c r="J5" i="3"/>
  <c r="I5" i="3"/>
  <c r="H5" i="3"/>
  <c r="G5" i="3"/>
  <c r="F5" i="3"/>
  <c r="E5" i="3"/>
  <c r="D5" i="3"/>
  <c r="C5" i="3"/>
  <c r="E13" i="4" l="1"/>
  <c r="D10" i="3"/>
  <c r="D15" i="3"/>
  <c r="D29" i="3"/>
  <c r="D37" i="3"/>
  <c r="D43" i="3"/>
  <c r="D49" i="3"/>
  <c r="D54" i="3"/>
  <c r="D10" i="4"/>
  <c r="D15" i="4"/>
  <c r="D36" i="4"/>
  <c r="D38" i="4"/>
  <c r="D40" i="4"/>
  <c r="D42" i="4"/>
  <c r="D45" i="4"/>
  <c r="D47" i="4"/>
  <c r="D49" i="4"/>
  <c r="D51" i="4"/>
  <c r="D56" i="4"/>
  <c r="D61" i="4"/>
  <c r="D22" i="5"/>
  <c r="D24" i="5"/>
  <c r="D27" i="5"/>
  <c r="D29" i="5"/>
  <c r="E10" i="3"/>
  <c r="E29" i="3"/>
  <c r="E37" i="3"/>
  <c r="E43" i="3"/>
  <c r="E49" i="3"/>
  <c r="E54" i="3"/>
  <c r="E10" i="4"/>
  <c r="E15" i="4"/>
  <c r="E36" i="4"/>
  <c r="E38" i="4"/>
  <c r="E40" i="4"/>
  <c r="E42" i="4"/>
  <c r="E45" i="4"/>
  <c r="E47" i="4"/>
  <c r="E49" i="4"/>
  <c r="E51" i="4"/>
  <c r="E56" i="4"/>
  <c r="E61" i="4"/>
  <c r="E22" i="5"/>
  <c r="E24" i="5"/>
  <c r="E27" i="5"/>
  <c r="E29" i="5"/>
  <c r="F10" i="7"/>
  <c r="E15" i="3"/>
  <c r="F10" i="3"/>
  <c r="F15" i="3"/>
  <c r="F29" i="3"/>
  <c r="F35" i="3"/>
  <c r="F37" i="3"/>
  <c r="F43" i="3"/>
  <c r="F49" i="3"/>
  <c r="F54" i="3"/>
  <c r="F10" i="4"/>
  <c r="F15" i="4"/>
  <c r="F36" i="4"/>
  <c r="F38" i="4"/>
  <c r="F40" i="4"/>
  <c r="F42" i="4"/>
  <c r="F45" i="4"/>
  <c r="F47" i="4"/>
  <c r="F49" i="4"/>
  <c r="F51" i="4"/>
  <c r="F56" i="4"/>
  <c r="F61" i="4"/>
  <c r="F22" i="5"/>
  <c r="F24" i="5"/>
  <c r="F27" i="5"/>
  <c r="F29" i="5"/>
  <c r="G21" i="8"/>
  <c r="G26" i="8"/>
  <c r="G15" i="3"/>
  <c r="G29" i="3"/>
  <c r="G37" i="3"/>
  <c r="G43" i="3"/>
  <c r="G49" i="3"/>
  <c r="G54" i="3"/>
  <c r="G10" i="4"/>
  <c r="G15" i="4"/>
  <c r="G36" i="4"/>
  <c r="G38" i="4"/>
  <c r="G40" i="4"/>
  <c r="G42" i="4"/>
  <c r="G45" i="4"/>
  <c r="G47" i="4"/>
  <c r="G49" i="4"/>
  <c r="G51" i="4"/>
  <c r="G56" i="4"/>
  <c r="G61" i="4"/>
  <c r="G22" i="5"/>
  <c r="G24" i="5"/>
  <c r="G27" i="5"/>
  <c r="G29" i="5"/>
  <c r="H10" i="7"/>
  <c r="G10" i="3"/>
  <c r="H10" i="3"/>
  <c r="H15" i="3"/>
  <c r="H29" i="3"/>
  <c r="H37" i="3"/>
  <c r="H43" i="3"/>
  <c r="H49" i="3"/>
  <c r="H54" i="3"/>
  <c r="H10" i="4"/>
  <c r="H15" i="4"/>
  <c r="H36" i="4"/>
  <c r="H38" i="4"/>
  <c r="H40" i="4"/>
  <c r="H42" i="4"/>
  <c r="H45" i="4"/>
  <c r="H47" i="4"/>
  <c r="H49" i="4"/>
  <c r="H51" i="4"/>
  <c r="H56" i="4"/>
  <c r="H61" i="4"/>
  <c r="H22" i="5"/>
  <c r="H24" i="5"/>
  <c r="H27" i="5"/>
  <c r="H29" i="5"/>
  <c r="I10" i="7"/>
  <c r="I15" i="3"/>
  <c r="I29" i="3"/>
  <c r="I37" i="3"/>
  <c r="I43" i="3"/>
  <c r="I49" i="3"/>
  <c r="I54" i="3"/>
  <c r="I10" i="4"/>
  <c r="I15" i="4"/>
  <c r="I36" i="4"/>
  <c r="I38" i="4"/>
  <c r="I40" i="4"/>
  <c r="I42" i="4"/>
  <c r="I45" i="4"/>
  <c r="I47" i="4"/>
  <c r="I49" i="4"/>
  <c r="I51" i="4"/>
  <c r="I56" i="4"/>
  <c r="I61" i="4"/>
  <c r="I22" i="5"/>
  <c r="I24" i="5"/>
  <c r="I27" i="5"/>
  <c r="I29" i="5"/>
  <c r="J10" i="3"/>
  <c r="J15" i="3"/>
  <c r="J29" i="3"/>
  <c r="J37" i="3"/>
  <c r="J43" i="3"/>
  <c r="J49" i="3"/>
  <c r="J54" i="3"/>
  <c r="J10" i="4"/>
  <c r="J15" i="4"/>
  <c r="J36" i="4"/>
  <c r="J38" i="4"/>
  <c r="J40" i="4"/>
  <c r="J42" i="4"/>
  <c r="J45" i="4"/>
  <c r="J47" i="4"/>
  <c r="J49" i="4"/>
  <c r="J51" i="4"/>
  <c r="J56" i="4"/>
  <c r="J61" i="4"/>
  <c r="J22" i="5"/>
  <c r="J24" i="5"/>
  <c r="J27" i="5"/>
  <c r="J29" i="5"/>
  <c r="C10" i="7"/>
  <c r="C21" i="8"/>
  <c r="I10" i="3"/>
  <c r="C10" i="3"/>
  <c r="C15" i="3"/>
  <c r="C29" i="3"/>
  <c r="C37" i="3"/>
  <c r="C43" i="3"/>
  <c r="C49" i="3"/>
  <c r="C54" i="3"/>
  <c r="C10" i="4"/>
  <c r="C15" i="4"/>
  <c r="C36" i="4"/>
  <c r="C38" i="4"/>
  <c r="C40" i="4"/>
  <c r="C42" i="4"/>
  <c r="C45" i="4"/>
  <c r="C47" i="4"/>
  <c r="C49" i="4"/>
  <c r="C51" i="4"/>
  <c r="C56" i="4"/>
  <c r="C61" i="4"/>
  <c r="C22" i="5"/>
  <c r="C24" i="5"/>
  <c r="C27" i="5"/>
  <c r="C29" i="5"/>
  <c r="D10" i="7"/>
  <c r="D21" i="8"/>
  <c r="D26" i="8"/>
  <c r="G16" i="8"/>
  <c r="C11" i="8"/>
  <c r="C16" i="8"/>
  <c r="D19" i="8"/>
  <c r="E11" i="8"/>
  <c r="E16" i="8"/>
  <c r="E21" i="8"/>
  <c r="E26" i="8"/>
  <c r="C19" i="8"/>
  <c r="D11" i="8"/>
  <c r="D16" i="8"/>
  <c r="F11" i="8"/>
  <c r="F16" i="8"/>
  <c r="F21" i="8"/>
  <c r="F26" i="8"/>
  <c r="G19" i="8"/>
  <c r="H21" i="8"/>
  <c r="H26" i="8"/>
  <c r="G11" i="8"/>
  <c r="G24" i="8"/>
  <c r="H16" i="8"/>
  <c r="I21" i="8"/>
  <c r="I26" i="8"/>
  <c r="H11" i="8"/>
  <c r="I11" i="8"/>
  <c r="I16" i="8"/>
  <c r="J11" i="8"/>
  <c r="J16" i="8"/>
  <c r="J21" i="8"/>
  <c r="J26" i="8"/>
  <c r="C26" i="8"/>
  <c r="C35" i="3"/>
  <c r="C41" i="3"/>
  <c r="D35" i="3"/>
  <c r="D41" i="3"/>
  <c r="E35" i="3"/>
  <c r="E41" i="3"/>
  <c r="F38" i="3"/>
  <c r="F41" i="3"/>
  <c r="G35" i="3"/>
  <c r="G41" i="3"/>
  <c r="H35" i="3"/>
  <c r="H41" i="3"/>
  <c r="I35" i="3"/>
  <c r="I41" i="3"/>
  <c r="J35" i="3"/>
  <c r="J41" i="3"/>
  <c r="C31" i="5" l="1"/>
  <c r="D31" i="5"/>
  <c r="E31" i="5"/>
  <c r="F31" i="5"/>
  <c r="G31" i="5"/>
  <c r="H31" i="5"/>
  <c r="I31" i="5"/>
  <c r="J31" i="5"/>
  <c r="C32" i="5"/>
  <c r="D32" i="5"/>
  <c r="E32" i="5"/>
  <c r="F32" i="5"/>
  <c r="G32" i="5"/>
  <c r="H32" i="5"/>
  <c r="I32" i="5"/>
  <c r="J32" i="5"/>
  <c r="C33" i="5"/>
  <c r="D33" i="5"/>
  <c r="E33" i="5"/>
  <c r="F33" i="5"/>
  <c r="G33" i="5"/>
  <c r="H33" i="5"/>
  <c r="I33" i="5"/>
  <c r="J33" i="5"/>
  <c r="C34" i="5"/>
  <c r="D34" i="5"/>
  <c r="E34" i="5"/>
  <c r="F34" i="5"/>
  <c r="G34" i="5"/>
  <c r="H34" i="5"/>
  <c r="I34" i="5"/>
  <c r="J34" i="5"/>
  <c r="C35" i="5"/>
  <c r="D35" i="5"/>
  <c r="E35" i="5"/>
  <c r="F35" i="5"/>
  <c r="G35" i="5"/>
  <c r="H35" i="5"/>
  <c r="I35" i="5"/>
  <c r="J35" i="5"/>
  <c r="C36" i="5"/>
  <c r="D36" i="5"/>
  <c r="E36" i="5"/>
  <c r="F36" i="5"/>
  <c r="G36" i="5"/>
  <c r="H36" i="5"/>
  <c r="I36" i="5"/>
  <c r="J36" i="5"/>
  <c r="C37" i="5"/>
  <c r="D37" i="5"/>
  <c r="E37" i="5"/>
  <c r="F37" i="5"/>
  <c r="G37" i="5"/>
  <c r="H37" i="5"/>
  <c r="I37" i="5"/>
  <c r="J37" i="5"/>
  <c r="C38" i="5"/>
  <c r="D38" i="5"/>
  <c r="E38" i="5"/>
  <c r="F38" i="5"/>
  <c r="G38" i="5"/>
  <c r="H38" i="5"/>
  <c r="I38" i="5"/>
  <c r="J38" i="5"/>
  <c r="C39" i="5"/>
  <c r="D39" i="5"/>
  <c r="E39" i="5"/>
  <c r="F39" i="5"/>
  <c r="G39" i="5"/>
  <c r="H39" i="5"/>
  <c r="I39" i="5"/>
  <c r="J39" i="5"/>
  <c r="C40" i="5"/>
  <c r="D40" i="5"/>
  <c r="E40" i="5"/>
  <c r="F40" i="5"/>
  <c r="G40" i="5"/>
  <c r="H40" i="5"/>
  <c r="I40" i="5"/>
  <c r="J40" i="5"/>
</calcChain>
</file>

<file path=xl/sharedStrings.xml><?xml version="1.0" encoding="utf-8"?>
<sst xmlns="http://schemas.openxmlformats.org/spreadsheetml/2006/main" count="12442" uniqueCount="1040">
  <si>
    <t>JOPACC Payment Systems Quarterly Report - Consolidated Dataset</t>
  </si>
  <si>
    <t>Source: Jordan Payments &amp; Clearing Company (JOPACC) "Payment Systems Quarterly Report" PDFs for Q3 2024, Q4 2024, Q1 2025, Q2 2025, Q3 2025, Q4 2025, Q1 2026 and Q2 2026.</t>
  </si>
  <si>
    <t>Sheets in this workbook:</t>
  </si>
  <si>
    <t xml:space="preserve">  • CliQ - instant/person-to-person payments (users + transactions)</t>
  </si>
  <si>
    <t xml:space="preserve">  • JoMoPay - mobile wallet payments (users + transactions)</t>
  </si>
  <si>
    <t xml:space="preserve">  • eFAWATEERcom - bill payment platform (users + transactions + billers)</t>
  </si>
  <si>
    <t xml:space="preserve">  • ACH - Automated Clearing House (JOD + foreign-currency transactions)</t>
  </si>
  <si>
    <t xml:space="preserve">  • ECCU - Electronic Cheque Clearing Unit (cheques + returned cheques)</t>
  </si>
  <si>
    <t xml:space="preserve">  • CliQ_JoMoPay_Interop - cross-system money-transfer interoperability</t>
  </si>
  <si>
    <t>Layout:</t>
  </si>
  <si>
    <t xml:space="preserve">  Each sheet lists one metric per row (grouped under shaded section headers) with the eight quarters running left-to-right in columns C:J. Counts and JOD values are stored as raw numbers (not text with "M"/"B" suffixes) so they can be charted, filtered, or fed into further formulas directly.</t>
  </si>
  <si>
    <t xml:space="preserve">  Percentage rows are stored as true Excel percentages (e.g. 96.3%), and light-grey "Check" rows use live formulas (e.g. Money Transfer + Purchases) to verify that the component figures reconcile with the reported totals.</t>
  </si>
  <si>
    <t>Data-quality notes:</t>
  </si>
  <si>
    <t xml:space="preserve">  • Where a quarter's breakdown appears in more than one source report (as both a "current" and a "comparison" quarter), the figures from the report where that quarter is the CURRENT one were used, and cross-checked for consistency against the neighbouring reports.</t>
  </si>
  <si>
    <t xml:space="preserve">  • eFAWATEER.com's per-biller VALUE (JOD) breakdown is now included on the eFAWATEERcom sheet, pulled live from Data. Caution: the "Government Service" figure was flagged as inconsistent between consecutive source PDFs (varies from ~₤700M to ~₤2.5B for what should be the same quarter) - likely a charting artifact in JOPACC's originals. The per-biller transaction COUNT reconciles cleanly against reported totals.</t>
  </si>
  <si>
    <t xml:space="preserve">  • All other figures reconcile against the "Total Over the Quarters" bar-chart figures printed in every report and against each other across consecutive reports.</t>
  </si>
  <si>
    <t>Dynamic version notes:</t>
  </si>
  <si>
    <t xml:space="preserve">  • This workbook now pulls every figure live from the "Data" sheet (the tidy quarterly extraction) via SUMIFS formulas, instead of hardcoded numbers.</t>
  </si>
  <si>
    <t xml:space="preserve">  • Edit or add rows in Data and every system sheet recalculates automatically - no more copy/pasting numbers by hand.</t>
  </si>
  <si>
    <t xml:space="preserve">  • Percentage rows are calculated in-sheet (e.g. count ÷ total, or part ÷ (part+part)), not pulled from Data, since Data stores raw counts/values only.</t>
  </si>
  <si>
    <t xml:space="preserve">  • A few cells now differ slightly from the original static workbook: those were manual transcription slips in the old file, corrected automatically now that formulas read straight from Data.</t>
  </si>
  <si>
    <t>report_period</t>
  </si>
  <si>
    <t>system</t>
  </si>
  <si>
    <t>page</t>
  </si>
  <si>
    <t>content_type</t>
  </si>
  <si>
    <t>extracted_from</t>
  </si>
  <si>
    <t>metric</t>
  </si>
  <si>
    <t>system_title</t>
  </si>
  <si>
    <t>dimension_L1</t>
  </si>
  <si>
    <t>dimension_L2</t>
  </si>
  <si>
    <t>event_period</t>
  </si>
  <si>
    <t>period_scope</t>
  </si>
  <si>
    <t>value</t>
  </si>
  <si>
    <t>unit</t>
  </si>
  <si>
    <t>raw_text</t>
  </si>
  <si>
    <t>chart_labeled</t>
  </si>
  <si>
    <t>reading_rank</t>
  </si>
  <si>
    <t>note</t>
  </si>
  <si>
    <t>2024-Q3</t>
  </si>
  <si>
    <t>cliq</t>
  </si>
  <si>
    <t>category</t>
  </si>
  <si>
    <t>category_chart</t>
  </si>
  <si>
    <t>Number of Users</t>
  </si>
  <si>
    <t>Users</t>
  </si>
  <si>
    <t>18-30</t>
  </si>
  <si>
    <t>native</t>
  </si>
  <si>
    <t>count</t>
  </si>
  <si>
    <t>591.0 K</t>
  </si>
  <si>
    <t>31-40</t>
  </si>
  <si>
    <t>409.2 K</t>
  </si>
  <si>
    <t>41-50</t>
  </si>
  <si>
    <t>267.1 K</t>
  </si>
  <si>
    <t>51-60</t>
  </si>
  <si>
    <t>162.5 K</t>
  </si>
  <si>
    <t>61-70</t>
  </si>
  <si>
    <t>71.1 K</t>
  </si>
  <si>
    <t>71-80</t>
  </si>
  <si>
    <t>18.1 K</t>
  </si>
  <si>
    <t>81-90</t>
  </si>
  <si>
    <t>3.7 K</t>
  </si>
  <si>
    <t>&lt;18</t>
  </si>
  <si>
    <t>5.8 K</t>
  </si>
  <si>
    <t>Female</t>
  </si>
  <si>
    <t>541.3 K</t>
  </si>
  <si>
    <t>Individual</t>
  </si>
  <si>
    <t>1.53 M</t>
  </si>
  <si>
    <t>Jordanian</t>
  </si>
  <si>
    <t>1.50 M</t>
  </si>
  <si>
    <t>Legal (entities)</t>
  </si>
  <si>
    <t>26.5 K</t>
  </si>
  <si>
    <t>Male</t>
  </si>
  <si>
    <t>973.4 K</t>
  </si>
  <si>
    <t>Non-Jordanian</t>
  </si>
  <si>
    <t>55.0 K</t>
  </si>
  <si>
    <t>chart_point</t>
  </si>
  <si>
    <t>trend_chart</t>
  </si>
  <si>
    <t>2024-Q1</t>
  </si>
  <si>
    <t>trailing_chart_point</t>
  </si>
  <si>
    <t>1.33 M</t>
  </si>
  <si>
    <t>TRUE</t>
  </si>
  <si>
    <t>newest</t>
  </si>
  <si>
    <t>no native/stat_box reading of 2024-Q1 exists anywhere in this corpus (its own quarterly PDF wasn't part of this extraction) - marked newest as the earliest available trailing_chart_point reading of it, per §8 rule 4's fallback</t>
  </si>
  <si>
    <t>2024-Q2</t>
  </si>
  <si>
    <t>1.43 M</t>
  </si>
  <si>
    <t>no native/stat_box reading of 2024-Q2 exists anywhere in this corpus (its own quarterly PDF wasn't part of this extraction) - marked newest as the earliest available trailing_chart_point reading of it, per §8 rule 4's fallback</t>
  </si>
  <si>
    <t>kpi</t>
  </si>
  <si>
    <t>stat_box</t>
  </si>
  <si>
    <t>1.56 M</t>
  </si>
  <si>
    <t>2024-Q4</t>
  </si>
  <si>
    <t>626.0 K</t>
  </si>
  <si>
    <t>437.9 K</t>
  </si>
  <si>
    <t>289.3 K</t>
  </si>
  <si>
    <t>176.6 K</t>
  </si>
  <si>
    <t>78.1 K</t>
  </si>
  <si>
    <t>20.1 K</t>
  </si>
  <si>
    <t>4.0 K</t>
  </si>
  <si>
    <t>6.2 K</t>
  </si>
  <si>
    <t>583.1 K</t>
  </si>
  <si>
    <t>1.64 M</t>
  </si>
  <si>
    <t>1.61 M</t>
  </si>
  <si>
    <t>30.4 K</t>
  </si>
  <si>
    <t>1.04 M</t>
  </si>
  <si>
    <t>61.0 K</t>
  </si>
  <si>
    <t>restated</t>
  </si>
  <si>
    <t>see the 2024-Q3 report's reading of 2024-Q1, marked newest</t>
  </si>
  <si>
    <t>see the 2024-Q3 report's reading of 2024-Q2, marked newest</t>
  </si>
  <si>
    <t>1.67 M</t>
  </si>
  <si>
    <t>2025-Q1</t>
  </si>
  <si>
    <t>657.0 K</t>
  </si>
  <si>
    <t>465.9 K</t>
  </si>
  <si>
    <t>311.7 K</t>
  </si>
  <si>
    <t>190.7 K</t>
  </si>
  <si>
    <t>85.5 K</t>
  </si>
  <si>
    <t>22.1 K</t>
  </si>
  <si>
    <t>6.7 K</t>
  </si>
  <si>
    <t>623.2 K</t>
  </si>
  <si>
    <t>1.74 M</t>
  </si>
  <si>
    <t>1.71 M</t>
  </si>
  <si>
    <t>34.0 K</t>
  </si>
  <si>
    <t>1.11 M</t>
  </si>
  <si>
    <t>67.0 K</t>
  </si>
  <si>
    <t>1.78 M</t>
  </si>
  <si>
    <t>2025-Q2</t>
  </si>
  <si>
    <t>684.6 K</t>
  </si>
  <si>
    <t>490.0 K</t>
  </si>
  <si>
    <t>331.6 K</t>
  </si>
  <si>
    <t>203.5 K</t>
  </si>
  <si>
    <t>92.5 K</t>
  </si>
  <si>
    <t>24.2 K</t>
  </si>
  <si>
    <t>5.5 K</t>
  </si>
  <si>
    <t>8.6 K</t>
  </si>
  <si>
    <t>661.2 K</t>
  </si>
  <si>
    <t>1.84 M</t>
  </si>
  <si>
    <t>1.81 M</t>
  </si>
  <si>
    <t>37.6 K</t>
  </si>
  <si>
    <t>1.16 M</t>
  </si>
  <si>
    <t>71.8 K</t>
  </si>
  <si>
    <t>1.88 M</t>
  </si>
  <si>
    <t>2025-Q3</t>
  </si>
  <si>
    <t>729.7 K</t>
  </si>
  <si>
    <t>516.0 K</t>
  </si>
  <si>
    <t>354.3 K</t>
  </si>
  <si>
    <t>218.1 K</t>
  </si>
  <si>
    <t>99.8 K</t>
  </si>
  <si>
    <t>6.0 K</t>
  </si>
  <si>
    <t>9.2 K</t>
  </si>
  <si>
    <t>709.4 K</t>
  </si>
  <si>
    <t>1.95 M</t>
  </si>
  <si>
    <t>1.93 M</t>
  </si>
  <si>
    <t>55.3 K</t>
  </si>
  <si>
    <t>1.24 M</t>
  </si>
  <si>
    <t>78.0 K</t>
  </si>
  <si>
    <t>2.00 M</t>
  </si>
  <si>
    <t>2025-Q4</t>
  </si>
  <si>
    <t>775.5 K</t>
  </si>
  <si>
    <t>542.0 K</t>
  </si>
  <si>
    <t>375.4 K</t>
  </si>
  <si>
    <t>232.2 K</t>
  </si>
  <si>
    <t>107.1 K</t>
  </si>
  <si>
    <t>28.8 K</t>
  </si>
  <si>
    <t>6.4 K</t>
  </si>
  <si>
    <t>9.7 K</t>
  </si>
  <si>
    <t>763.6 K</t>
  </si>
  <si>
    <t>2.08 M</t>
  </si>
  <si>
    <t>2.04 M</t>
  </si>
  <si>
    <t>48.3 K</t>
  </si>
  <si>
    <t>1.30 M</t>
  </si>
  <si>
    <t>84.0 K</t>
  </si>
  <si>
    <t>2.13 M</t>
  </si>
  <si>
    <t>2026-Q1</t>
  </si>
  <si>
    <t>795.1 K</t>
  </si>
  <si>
    <t>567.0 K</t>
  </si>
  <si>
    <t>397.0 K</t>
  </si>
  <si>
    <t>246.2 K</t>
  </si>
  <si>
    <t>115.5 K</t>
  </si>
  <si>
    <t>31.5 K</t>
  </si>
  <si>
    <t>7.0 K</t>
  </si>
  <si>
    <t>10.4 K</t>
  </si>
  <si>
    <t>803.6 K</t>
  </si>
  <si>
    <t>2.17 M</t>
  </si>
  <si>
    <t>52.1 K</t>
  </si>
  <si>
    <t>1.35 M</t>
  </si>
  <si>
    <t>89.2 K</t>
  </si>
  <si>
    <t>2.22 M</t>
  </si>
  <si>
    <t>2026-Q2</t>
  </si>
  <si>
    <t>816.5 K</t>
  </si>
  <si>
    <t>589.0 K</t>
  </si>
  <si>
    <t>415.3 K</t>
  </si>
  <si>
    <t>258.4 K</t>
  </si>
  <si>
    <t>122.8 K</t>
  </si>
  <si>
    <t>8.4 K</t>
  </si>
  <si>
    <t>11.2 K</t>
  </si>
  <si>
    <t>840.9 K</t>
  </si>
  <si>
    <t>2.26 M</t>
  </si>
  <si>
    <t>56.0 K</t>
  </si>
  <si>
    <t>1.40 M</t>
  </si>
  <si>
    <t>94.5 K</t>
  </si>
  <si>
    <t>2.31 M</t>
  </si>
  <si>
    <t>Number of Transactions</t>
  </si>
  <si>
    <t>Transactions</t>
  </si>
  <si>
    <t>Money Transfer</t>
  </si>
  <si>
    <t>20.00 M</t>
  </si>
  <si>
    <t>Off Us</t>
  </si>
  <si>
    <t>10.97 M</t>
  </si>
  <si>
    <t>dimension_L2 nested inside the Money Transfer slice of transaction type</t>
  </si>
  <si>
    <t>On Us</t>
  </si>
  <si>
    <t>3.78 M</t>
  </si>
  <si>
    <t>Purchases</t>
  </si>
  <si>
    <t>3.21 M</t>
  </si>
  <si>
    <t>Value of Transactions</t>
  </si>
  <si>
    <t>JOD</t>
  </si>
  <si>
    <t>2.79 B JOD</t>
  </si>
  <si>
    <t>1.91 B JOD</t>
  </si>
  <si>
    <t>483.00 M JOD</t>
  </si>
  <si>
    <t>626.00 M JOD</t>
  </si>
  <si>
    <t>14.51 M</t>
  </si>
  <si>
    <t>18.39 M</t>
  </si>
  <si>
    <t>2.22 B JOD</t>
  </si>
  <si>
    <t>2.74 B JOD</t>
  </si>
  <si>
    <t>23.21 M</t>
  </si>
  <si>
    <t>3.42 B JOD</t>
  </si>
  <si>
    <t>23.90 M</t>
  </si>
  <si>
    <t>13.00 M</t>
  </si>
  <si>
    <t>4.52 M</t>
  </si>
  <si>
    <t>3.94 M</t>
  </si>
  <si>
    <t>3.03 B JOD</t>
  </si>
  <si>
    <t>2.07 B JOD</t>
  </si>
  <si>
    <t>530.00 M JOD</t>
  </si>
  <si>
    <t>702.00 M JOD</t>
  </si>
  <si>
    <t>27.85 M</t>
  </si>
  <si>
    <t>3.73 B JOD</t>
  </si>
  <si>
    <t>27.60 M</t>
  </si>
  <si>
    <t>14.74 M</t>
  </si>
  <si>
    <t>5.20 M</t>
  </si>
  <si>
    <t>4.70 M</t>
  </si>
  <si>
    <t>3.37 B JOD</t>
  </si>
  <si>
    <t>2.29 B JOD</t>
  </si>
  <si>
    <t>595.00 M JOD</t>
  </si>
  <si>
    <t>808.00 M JOD</t>
  </si>
  <si>
    <t>32.33 M</t>
  </si>
  <si>
    <t>4.17 B JOD</t>
  </si>
  <si>
    <t>32.50 M</t>
  </si>
  <si>
    <t>17.07 M</t>
  </si>
  <si>
    <t>6.09 M</t>
  </si>
  <si>
    <t>5.79 M</t>
  </si>
  <si>
    <t>2.52 B JOD</t>
  </si>
  <si>
    <t>668.00 M JOD</t>
  </si>
  <si>
    <t>994.00 M JOD</t>
  </si>
  <si>
    <t>38.33 M</t>
  </si>
  <si>
    <t>4.72 B JOD</t>
  </si>
  <si>
    <t>37.40 M</t>
  </si>
  <si>
    <t>19.26 M</t>
  </si>
  <si>
    <t>7.08 M</t>
  </si>
  <si>
    <t>9.21 M</t>
  </si>
  <si>
    <t>4.09 B JOD</t>
  </si>
  <si>
    <t>2.73 B JOD</t>
  </si>
  <si>
    <t>762.00 M JOD</t>
  </si>
  <si>
    <t>1.52 B JOD</t>
  </si>
  <si>
    <t>46.65 M</t>
  </si>
  <si>
    <t>5.61 B JOD</t>
  </si>
  <si>
    <t>40.70 M</t>
  </si>
  <si>
    <t>20.80 M</t>
  </si>
  <si>
    <t>7.70 M</t>
  </si>
  <si>
    <t>9.87 M</t>
  </si>
  <si>
    <t>4.00 B JOD</t>
  </si>
  <si>
    <t>2.68 B JOD</t>
  </si>
  <si>
    <t>735.00 M JOD</t>
  </si>
  <si>
    <t>1.47 B JOD</t>
  </si>
  <si>
    <t>50.61 M</t>
  </si>
  <si>
    <t>5.46 B JOD</t>
  </si>
  <si>
    <t>43.20 M</t>
  </si>
  <si>
    <t>21.91 M</t>
  </si>
  <si>
    <t>8.16 M</t>
  </si>
  <si>
    <t>10.11 M</t>
  </si>
  <si>
    <t>4.23 B JOD</t>
  </si>
  <si>
    <t>2.84 B JOD</t>
  </si>
  <si>
    <t>790.00 M JOD</t>
  </si>
  <si>
    <t>1.48 B JOD</t>
  </si>
  <si>
    <t>53.29 M</t>
  </si>
  <si>
    <t>5.71 B JOD</t>
  </si>
  <si>
    <t>49.50 M</t>
  </si>
  <si>
    <t>24.61 M</t>
  </si>
  <si>
    <t>9.28 M</t>
  </si>
  <si>
    <t>12.22 M</t>
  </si>
  <si>
    <t>4.48 B JOD</t>
  </si>
  <si>
    <t>2.97 B JOD</t>
  </si>
  <si>
    <t>840.00 M JOD</t>
  </si>
  <si>
    <t>1.69 B JOD</t>
  </si>
  <si>
    <t>61.72 M</t>
  </si>
  <si>
    <t>6.17 B JOD</t>
  </si>
  <si>
    <t>jomopay</t>
  </si>
  <si>
    <t>828.2 K</t>
  </si>
  <si>
    <t>603.2 K</t>
  </si>
  <si>
    <t>455.9 K</t>
  </si>
  <si>
    <t>285.1 K</t>
  </si>
  <si>
    <t>102.9 K</t>
  </si>
  <si>
    <t>34.4 K</t>
  </si>
  <si>
    <t>12.6 K</t>
  </si>
  <si>
    <t>1.4 K</t>
  </si>
  <si>
    <t>1.14 M</t>
  </si>
  <si>
    <t>2.05 M</t>
  </si>
  <si>
    <t>1.18 M</t>
  </si>
  <si>
    <t>280.0 K</t>
  </si>
  <si>
    <t>Number of Wallets</t>
  </si>
  <si>
    <t>Wallets</t>
  </si>
  <si>
    <t>Agent Wallet</t>
  </si>
  <si>
    <t>1,376</t>
  </si>
  <si>
    <t>Business Wallet</t>
  </si>
  <si>
    <t>1,088</t>
  </si>
  <si>
    <t>Government Wallet</t>
  </si>
  <si>
    <t>8</t>
  </si>
  <si>
    <t>Merchant Wallet</t>
  </si>
  <si>
    <t>4,122</t>
  </si>
  <si>
    <t>Personal Wallet</t>
  </si>
  <si>
    <t>2.24 M</t>
  </si>
  <si>
    <t>2.25 M</t>
  </si>
  <si>
    <t>2.29 M</t>
  </si>
  <si>
    <t>2.33 M</t>
  </si>
  <si>
    <t>971.4 K</t>
  </si>
  <si>
    <t>667.1 K</t>
  </si>
  <si>
    <t>502.8 K</t>
  </si>
  <si>
    <t>318.3 K</t>
  </si>
  <si>
    <t>118.7 K</t>
  </si>
  <si>
    <t>39.8 K</t>
  </si>
  <si>
    <t>14.4 K</t>
  </si>
  <si>
    <t>1.5 K</t>
  </si>
  <si>
    <t>1.26 M</t>
  </si>
  <si>
    <t>1.31 M</t>
  </si>
  <si>
    <t>300.0 K</t>
  </si>
  <si>
    <t>1,077</t>
  </si>
  <si>
    <t>1,149</t>
  </si>
  <si>
    <t>7</t>
  </si>
  <si>
    <t>3,415</t>
  </si>
  <si>
    <t>2.51 M</t>
  </si>
  <si>
    <t>2.59 M</t>
  </si>
  <si>
    <t>938.1 K</t>
  </si>
  <si>
    <t>668.5 K</t>
  </si>
  <si>
    <t>504.5 K</t>
  </si>
  <si>
    <t>317.0 K</t>
  </si>
  <si>
    <t>118.4 K</t>
  </si>
  <si>
    <t>36.9 K</t>
  </si>
  <si>
    <t>12.5 K</t>
  </si>
  <si>
    <t>1.3 K</t>
  </si>
  <si>
    <t>310.0 K</t>
  </si>
  <si>
    <t>918</t>
  </si>
  <si>
    <t>1,176</t>
  </si>
  <si>
    <t>6</t>
  </si>
  <si>
    <t>3,329</t>
  </si>
  <si>
    <t>2.52 M</t>
  </si>
  <si>
    <t>2.60 M</t>
  </si>
  <si>
    <t>951.5 K</t>
  </si>
  <si>
    <t>685.8 K</t>
  </si>
  <si>
    <t>518.8 K</t>
  </si>
  <si>
    <t>326.6 K</t>
  </si>
  <si>
    <t>123.0 K</t>
  </si>
  <si>
    <t>37.5 K</t>
  </si>
  <si>
    <t>13.9 K</t>
  </si>
  <si>
    <t>1.0 K</t>
  </si>
  <si>
    <t>1.29 M</t>
  </si>
  <si>
    <t>2.35 M</t>
  </si>
  <si>
    <t>1.36 M</t>
  </si>
  <si>
    <t>320.0 K</t>
  </si>
  <si>
    <t>962</t>
  </si>
  <si>
    <t>1,262</t>
  </si>
  <si>
    <t>3,465</t>
  </si>
  <si>
    <t>2.61 M</t>
  </si>
  <si>
    <t>2.67 M</t>
  </si>
  <si>
    <t>976.5 K</t>
  </si>
  <si>
    <t>693.6 K</t>
  </si>
  <si>
    <t>521.6 K</t>
  </si>
  <si>
    <t>325.5 K</t>
  </si>
  <si>
    <t>35.8 K</t>
  </si>
  <si>
    <t>12.7 K</t>
  </si>
  <si>
    <t>1.28 M</t>
  </si>
  <si>
    <t>2.37 M</t>
  </si>
  <si>
    <t>1.41 M</t>
  </si>
  <si>
    <t>330.0 K</t>
  </si>
  <si>
    <t>992</t>
  </si>
  <si>
    <t>1,388</t>
  </si>
  <si>
    <t>3,574</t>
  </si>
  <si>
    <t>2.70 M</t>
  </si>
  <si>
    <t>1.03 M</t>
  </si>
  <si>
    <t>719.7 K</t>
  </si>
  <si>
    <t>539.9 K</t>
  </si>
  <si>
    <t>338.7 K</t>
  </si>
  <si>
    <t>129.0 K</t>
  </si>
  <si>
    <t>13.0 K</t>
  </si>
  <si>
    <t>1.1 K</t>
  </si>
  <si>
    <t>1.32 M</t>
  </si>
  <si>
    <t>2.47 M</t>
  </si>
  <si>
    <t>1.49 M</t>
  </si>
  <si>
    <t>340.0 K</t>
  </si>
  <si>
    <t>1,045</t>
  </si>
  <si>
    <t>1,511</t>
  </si>
  <si>
    <t>3,716</t>
  </si>
  <si>
    <t>2.78 M</t>
  </si>
  <si>
    <t>2.81 M</t>
  </si>
  <si>
    <t>1.05 M</t>
  </si>
  <si>
    <t>746.0 K</t>
  </si>
  <si>
    <t>560.0 K</t>
  </si>
  <si>
    <t>352.1 K</t>
  </si>
  <si>
    <t>138.0 K</t>
  </si>
  <si>
    <t>13.3 K</t>
  </si>
  <si>
    <t>1.34 M</t>
  </si>
  <si>
    <t>2.55 M</t>
  </si>
  <si>
    <t>1.55 M</t>
  </si>
  <si>
    <t>360.0 K</t>
  </si>
  <si>
    <t>1,064</t>
  </si>
  <si>
    <t>1,662</t>
  </si>
  <si>
    <t>4,020</t>
  </si>
  <si>
    <t>2.88 M</t>
  </si>
  <si>
    <t>2.91 M</t>
  </si>
  <si>
    <t>1.08 M</t>
  </si>
  <si>
    <t>768.4 K</t>
  </si>
  <si>
    <t>577.5 K</t>
  </si>
  <si>
    <t>364.1 K</t>
  </si>
  <si>
    <t>145.0 K</t>
  </si>
  <si>
    <t>41.4 K</t>
  </si>
  <si>
    <t>15.0 K</t>
  </si>
  <si>
    <t>830</t>
  </si>
  <si>
    <t>1.37 M</t>
  </si>
  <si>
    <t>2.63 M</t>
  </si>
  <si>
    <t>1.62 M</t>
  </si>
  <si>
    <t>370.0 K</t>
  </si>
  <si>
    <t>2,035</t>
  </si>
  <si>
    <t>4,480</t>
  </si>
  <si>
    <t>2.95 M</t>
  </si>
  <si>
    <t>3.00 M</t>
  </si>
  <si>
    <t>Cash In</t>
  </si>
  <si>
    <t>339.0 K</t>
  </si>
  <si>
    <t>Cash Out</t>
  </si>
  <si>
    <t>517.0 K</t>
  </si>
  <si>
    <t>13.75 M</t>
  </si>
  <si>
    <t>4.50 M</t>
  </si>
  <si>
    <t>4.90 M</t>
  </si>
  <si>
    <t>583.0 K</t>
  </si>
  <si>
    <t>60.00 M JOD</t>
  </si>
  <si>
    <t>90.00 M JOD</t>
  </si>
  <si>
    <t>1.19 B JOD</t>
  </si>
  <si>
    <t>279.00 M JOD</t>
  </si>
  <si>
    <t>294.00 M JOD</t>
  </si>
  <si>
    <t>46.00 M JOD</t>
  </si>
  <si>
    <t>10.82 M</t>
  </si>
  <si>
    <t>13.38 M</t>
  </si>
  <si>
    <t>1.12 B JOD</t>
  </si>
  <si>
    <t>1.31 B JOD</t>
  </si>
  <si>
    <t>15.19 M</t>
  </si>
  <si>
    <t>1.38 B JOD</t>
  </si>
  <si>
    <t>367.0 K</t>
  </si>
  <si>
    <t>551.0 K</t>
  </si>
  <si>
    <t>15.89 M</t>
  </si>
  <si>
    <t>5.00 M</t>
  </si>
  <si>
    <t>5.60 M</t>
  </si>
  <si>
    <t>597.0 K</t>
  </si>
  <si>
    <t>57.00 M JOD</t>
  </si>
  <si>
    <t>88.00 M JOD</t>
  </si>
  <si>
    <t>1.21 B JOD</t>
  </si>
  <si>
    <t>272.00 M JOD</t>
  </si>
  <si>
    <t>280.00 M JOD</t>
  </si>
  <si>
    <t>45.00 M JOD</t>
  </si>
  <si>
    <t>17.41 M</t>
  </si>
  <si>
    <t>1.41 B JOD</t>
  </si>
  <si>
    <t>507.0 K</t>
  </si>
  <si>
    <t>18.14 M</t>
  </si>
  <si>
    <t>5.40 M</t>
  </si>
  <si>
    <t>6.70 M</t>
  </si>
  <si>
    <t>599.0 K</t>
  </si>
  <si>
    <t>54.00 M JOD</t>
  </si>
  <si>
    <t>80.00 M JOD</t>
  </si>
  <si>
    <t>1.29 B JOD</t>
  </si>
  <si>
    <t>274.00 M JOD</t>
  </si>
  <si>
    <t>314.00 M JOD</t>
  </si>
  <si>
    <t>16.00 M JOD</t>
  </si>
  <si>
    <t>19.59 M</t>
  </si>
  <si>
    <t>1.44 B JOD</t>
  </si>
  <si>
    <t>357.0 K</t>
  </si>
  <si>
    <t>498.0 K</t>
  </si>
  <si>
    <t>21.33 M</t>
  </si>
  <si>
    <t>6.20 M</t>
  </si>
  <si>
    <t>8.10 M</t>
  </si>
  <si>
    <t>1.00 M</t>
  </si>
  <si>
    <t>56.00 M JOD</t>
  </si>
  <si>
    <t>74.00 M JOD</t>
  </si>
  <si>
    <t>1.37 B JOD</t>
  </si>
  <si>
    <t>331.00 M JOD</t>
  </si>
  <si>
    <t>38.00 M JOD</t>
  </si>
  <si>
    <t>23.19 M</t>
  </si>
  <si>
    <t>1.54 B JOD</t>
  </si>
  <si>
    <t>329.0 K</t>
  </si>
  <si>
    <t>485.0 K</t>
  </si>
  <si>
    <t>24.80 M</t>
  </si>
  <si>
    <t>6.80 M</t>
  </si>
  <si>
    <t>9.90 M</t>
  </si>
  <si>
    <t>2.49 M</t>
  </si>
  <si>
    <t>52.00 M JOD</t>
  </si>
  <si>
    <t>1.46 B JOD</t>
  </si>
  <si>
    <t>286.00 M JOD</t>
  </si>
  <si>
    <t>366.00 M JOD</t>
  </si>
  <si>
    <t>137.00 M JOD</t>
  </si>
  <si>
    <t>28.10 M</t>
  </si>
  <si>
    <t>1.72 B JOD</t>
  </si>
  <si>
    <t>66.0 K</t>
  </si>
  <si>
    <t>227.0 K</t>
  </si>
  <si>
    <t>26.36 M</t>
  </si>
  <si>
    <t>7.20 M</t>
  </si>
  <si>
    <t>10.70 M</t>
  </si>
  <si>
    <t>4.51 M</t>
  </si>
  <si>
    <t>10.00 M JOD</t>
  </si>
  <si>
    <t>32.00 M JOD</t>
  </si>
  <si>
    <t>1.32 B JOD</t>
  </si>
  <si>
    <t>265.00 M JOD</t>
  </si>
  <si>
    <t>340.00 M JOD</t>
  </si>
  <si>
    <t>287.00 M JOD</t>
  </si>
  <si>
    <t>31.16 M</t>
  </si>
  <si>
    <t>1.65 B JOD</t>
  </si>
  <si>
    <t>62.0 K</t>
  </si>
  <si>
    <t>215.0 K</t>
  </si>
  <si>
    <t>29.95 M</t>
  </si>
  <si>
    <t>7.50 M</t>
  </si>
  <si>
    <t>13.50 M</t>
  </si>
  <si>
    <t>5.21 M</t>
  </si>
  <si>
    <t>11.00 M JOD</t>
  </si>
  <si>
    <t>30.00 M JOD</t>
  </si>
  <si>
    <t>1.40 B JOD</t>
  </si>
  <si>
    <t>278.00 M JOD</t>
  </si>
  <si>
    <t>402.00 M JOD</t>
  </si>
  <si>
    <t>347.00 M JOD</t>
  </si>
  <si>
    <t>35.43 M</t>
  </si>
  <si>
    <t>1.79 B JOD</t>
  </si>
  <si>
    <t>189.0 K</t>
  </si>
  <si>
    <t>36.05 M</t>
  </si>
  <si>
    <t>8.80 M</t>
  </si>
  <si>
    <t>16.70 M</t>
  </si>
  <si>
    <t>6.76 M</t>
  </si>
  <si>
    <t>28.00 M JOD</t>
  </si>
  <si>
    <t>296.00 M JOD</t>
  </si>
  <si>
    <t>427.00 M JOD</t>
  </si>
  <si>
    <t>414.00 M JOD</t>
  </si>
  <si>
    <t>43.06 M</t>
  </si>
  <si>
    <t>1.97 B JOD</t>
  </si>
  <si>
    <t>interoperability</t>
  </si>
  <si>
    <t>Number of Money Transfer Transactions</t>
  </si>
  <si>
    <t>Bank to mPSP</t>
  </si>
  <si>
    <t>25.04 M</t>
  </si>
  <si>
    <t>8.70 M</t>
  </si>
  <si>
    <t>mPSP to Bank</t>
  </si>
  <si>
    <t>4.30 M</t>
  </si>
  <si>
    <t>Value of Money Transfer Transactions</t>
  </si>
  <si>
    <t>401.00 M JOD</t>
  </si>
  <si>
    <t>3.20 B JOD</t>
  </si>
  <si>
    <t>777.00 M JOD</t>
  </si>
  <si>
    <t>615.00 M JOD</t>
  </si>
  <si>
    <t>22.32 M</t>
  </si>
  <si>
    <t>28.00 M</t>
  </si>
  <si>
    <t>2.82 B JOD</t>
  </si>
  <si>
    <t>3.39 B JOD</t>
  </si>
  <si>
    <t>33.74 M</t>
  </si>
  <si>
    <t>3.98 B JOD</t>
  </si>
  <si>
    <t>6.40 M</t>
  </si>
  <si>
    <t>29.67 M</t>
  </si>
  <si>
    <t>10.13 M</t>
  </si>
  <si>
    <t>422.00 M JOD</t>
  </si>
  <si>
    <t>3.43 B JOD</t>
  </si>
  <si>
    <t>810.00 M JOD</t>
  </si>
  <si>
    <t>661.00 M JOD</t>
  </si>
  <si>
    <t>39.80 M</t>
  </si>
  <si>
    <t>4.24 B JOD</t>
  </si>
  <si>
    <t>33.91 M</t>
  </si>
  <si>
    <t>11.86 M</t>
  </si>
  <si>
    <t>5.90 M</t>
  </si>
  <si>
    <t>478.00 M JOD</t>
  </si>
  <si>
    <t>3.74 B JOD</t>
  </si>
  <si>
    <t>909.00 M JOD</t>
  </si>
  <si>
    <t>698.00 M JOD</t>
  </si>
  <si>
    <t>45.77 M</t>
  </si>
  <si>
    <t>4.65 B JOD</t>
  </si>
  <si>
    <t>9.40 M</t>
  </si>
  <si>
    <t>39.70 M</t>
  </si>
  <si>
    <t>14.18 M</t>
  </si>
  <si>
    <t>7.10 M</t>
  </si>
  <si>
    <t>536.00 M JOD</t>
  </si>
  <si>
    <t>4.10 B JOD</t>
  </si>
  <si>
    <t>998.00 M JOD</t>
  </si>
  <si>
    <t>758.00 M JOD</t>
  </si>
  <si>
    <t>53.88 M</t>
  </si>
  <si>
    <t>5.09 B JOD</t>
  </si>
  <si>
    <t>11.10 M</t>
  </si>
  <si>
    <t>45.27 M</t>
  </si>
  <si>
    <t>16.96 M</t>
  </si>
  <si>
    <t>591.00 M JOD</t>
  </si>
  <si>
    <t>4.41 B JOD</t>
  </si>
  <si>
    <t>1.13 B JOD</t>
  </si>
  <si>
    <t>805.00 M JOD</t>
  </si>
  <si>
    <t>62.23 M</t>
  </si>
  <si>
    <t>5.54 B JOD</t>
  </si>
  <si>
    <t>12.20 M</t>
  </si>
  <si>
    <t>48.72 M</t>
  </si>
  <si>
    <t>18.38 M</t>
  </si>
  <si>
    <t>8.50 M</t>
  </si>
  <si>
    <t>580.00 M JOD</t>
  </si>
  <si>
    <t>1.08 B JOD</t>
  </si>
  <si>
    <t>712.00 M JOD</t>
  </si>
  <si>
    <t>67.09 M</t>
  </si>
  <si>
    <t>5.31 B JOD</t>
  </si>
  <si>
    <t>13.10 M</t>
  </si>
  <si>
    <t>51.49 M</t>
  </si>
  <si>
    <t>21.64 M</t>
  </si>
  <si>
    <t>8.90 M</t>
  </si>
  <si>
    <t>605.00 M JOD</t>
  </si>
  <si>
    <t>4.45 B JOD</t>
  </si>
  <si>
    <t>721.00 M JOD</t>
  </si>
  <si>
    <t>73.12 M</t>
  </si>
  <si>
    <t>5.63 B JOD</t>
  </si>
  <si>
    <t>15.60 M</t>
  </si>
  <si>
    <t>59.55 M</t>
  </si>
  <si>
    <t>26.00 M</t>
  </si>
  <si>
    <t>10.50 M</t>
  </si>
  <si>
    <t>669.00 M JOD</t>
  </si>
  <si>
    <t>4.73 B JOD</t>
  </si>
  <si>
    <t>1.27 B JOD</t>
  </si>
  <si>
    <t>794.00 M JOD</t>
  </si>
  <si>
    <t>85.55 M</t>
  </si>
  <si>
    <t>6.00 B JOD</t>
  </si>
  <si>
    <t>efawateercom</t>
  </si>
  <si>
    <t>Billers</t>
  </si>
  <si>
    <t>Associations and Organizations</t>
  </si>
  <si>
    <t>90.0 K</t>
  </si>
  <si>
    <t>present on the Number chart only, not the Value chart - standard §12</t>
  </si>
  <si>
    <t>Cash</t>
  </si>
  <si>
    <t>3.70 M</t>
  </si>
  <si>
    <t>Digital</t>
  </si>
  <si>
    <t>13.80 M</t>
  </si>
  <si>
    <t>Education</t>
  </si>
  <si>
    <t>440.0 K</t>
  </si>
  <si>
    <t>Financial Services</t>
  </si>
  <si>
    <t>900.0 K</t>
  </si>
  <si>
    <t>Gas And Energy</t>
  </si>
  <si>
    <t>70.0 K</t>
  </si>
  <si>
    <t>Government Service</t>
  </si>
  <si>
    <t>3.46 M</t>
  </si>
  <si>
    <t>Telecommunication</t>
  </si>
  <si>
    <t>5.68 M</t>
  </si>
  <si>
    <t>Trading and Services</t>
  </si>
  <si>
    <t>120.0 K</t>
  </si>
  <si>
    <t>Travel &amp; Transportation</t>
  </si>
  <si>
    <t>Wallets and PSPs</t>
  </si>
  <si>
    <t>1.59 M</t>
  </si>
  <si>
    <t>Water and Electricity</t>
  </si>
  <si>
    <t>4.71 M</t>
  </si>
  <si>
    <t>Banks</t>
  </si>
  <si>
    <t>38.60 M JOD</t>
  </si>
  <si>
    <t>present on the Value chart only, not the Number chart - standard §12</t>
  </si>
  <si>
    <t>709.00 M JOD</t>
  </si>
  <si>
    <t>2.80 B JOD</t>
  </si>
  <si>
    <t>139.70 M JOD</t>
  </si>
  <si>
    <t>126.40 M JOD</t>
  </si>
  <si>
    <t>39.20 M JOD</t>
  </si>
  <si>
    <t>2.15 B JOD</t>
  </si>
  <si>
    <t>90.60 M JOD</t>
  </si>
  <si>
    <t>35.30 M JOD</t>
  </si>
  <si>
    <t>20.90 M JOD</t>
  </si>
  <si>
    <t>635.40 M JOD</t>
  </si>
  <si>
    <t>222.20 M JOD</t>
  </si>
  <si>
    <t>15.55 M</t>
  </si>
  <si>
    <t>15.48 M</t>
  </si>
  <si>
    <t>4.22 M</t>
  </si>
  <si>
    <t>4.31 M</t>
  </si>
  <si>
    <t>3.13 B JOD</t>
  </si>
  <si>
    <t>3.12 B JOD</t>
  </si>
  <si>
    <t>17.43 M</t>
  </si>
  <si>
    <t>4.43 M</t>
  </si>
  <si>
    <t>3.52 B JOD</t>
  </si>
  <si>
    <t>100.0 K</t>
  </si>
  <si>
    <t>3.60 M</t>
  </si>
  <si>
    <t>14.00 M</t>
  </si>
  <si>
    <t>290.0 K</t>
  </si>
  <si>
    <t>920.0 K</t>
  </si>
  <si>
    <t>80.0 K</t>
  </si>
  <si>
    <t>3.37 M</t>
  </si>
  <si>
    <t>5.74 M</t>
  </si>
  <si>
    <t>110.0 K</t>
  </si>
  <si>
    <t>130.0 K</t>
  </si>
  <si>
    <t>1.58 M</t>
  </si>
  <si>
    <t>5.04 M</t>
  </si>
  <si>
    <t>37.70 M JOD</t>
  </si>
  <si>
    <t>655.00 M JOD</t>
  </si>
  <si>
    <t>92.80 M JOD</t>
  </si>
  <si>
    <t>135.10 M JOD</t>
  </si>
  <si>
    <t>45.50 M JOD</t>
  </si>
  <si>
    <t>2.09 B JOD</t>
  </si>
  <si>
    <t>92.50 M JOD</t>
  </si>
  <si>
    <t>38.90 M JOD</t>
  </si>
  <si>
    <t>16.20 M JOD</t>
  </si>
  <si>
    <t>646.90 M JOD</t>
  </si>
  <si>
    <t>201.60 M JOD</t>
  </si>
  <si>
    <t>17.61 M</t>
  </si>
  <si>
    <t>4.54 M</t>
  </si>
  <si>
    <t>150.0 K</t>
  </si>
  <si>
    <t>3.30 M</t>
  </si>
  <si>
    <t>870.0 K</t>
  </si>
  <si>
    <t>5.46 M</t>
  </si>
  <si>
    <t>4.74 M</t>
  </si>
  <si>
    <t>36.00 M JOD</t>
  </si>
  <si>
    <t>772.00 M JOD</t>
  </si>
  <si>
    <t>2.90 B JOD</t>
  </si>
  <si>
    <t>118.20 M JOD</t>
  </si>
  <si>
    <t>129.10 M JOD</t>
  </si>
  <si>
    <t>47.60 M JOD</t>
  </si>
  <si>
    <t>2.20 B JOD</t>
  </si>
  <si>
    <t>90.10 M JOD</t>
  </si>
  <si>
    <t>34.30 M JOD</t>
  </si>
  <si>
    <t>15.20 M JOD</t>
  </si>
  <si>
    <t>735.50 M JOD</t>
  </si>
  <si>
    <t>203.90 M JOD</t>
  </si>
  <si>
    <t>17.09 M</t>
  </si>
  <si>
    <t>4.65 M</t>
  </si>
  <si>
    <t>3.67 B JOD</t>
  </si>
  <si>
    <t>3.20 M</t>
  </si>
  <si>
    <t>15.20 M</t>
  </si>
  <si>
    <t>270.0 K</t>
  </si>
  <si>
    <t>990.0 K</t>
  </si>
  <si>
    <t>6.28 M</t>
  </si>
  <si>
    <t>160.0 K</t>
  </si>
  <si>
    <t>1.66 M</t>
  </si>
  <si>
    <t>5.28 M</t>
  </si>
  <si>
    <t>43.70 M JOD</t>
  </si>
  <si>
    <t>747.00 M JOD</t>
  </si>
  <si>
    <t>3.10 B JOD</t>
  </si>
  <si>
    <t>143.60 M JOD</t>
  </si>
  <si>
    <t>42.10 M JOD</t>
  </si>
  <si>
    <t>2.40 B JOD</t>
  </si>
  <si>
    <t>100.40 M JOD</t>
  </si>
  <si>
    <t>37.50 M JOD</t>
  </si>
  <si>
    <t>14.70 M JOD</t>
  </si>
  <si>
    <t>738.90 M JOD</t>
  </si>
  <si>
    <t>207.80 M JOD</t>
  </si>
  <si>
    <t>18.42 M</t>
  </si>
  <si>
    <t>4.76 M</t>
  </si>
  <si>
    <t>3.83 B JOD</t>
  </si>
  <si>
    <t>16.00 M</t>
  </si>
  <si>
    <t>570.0 K</t>
  </si>
  <si>
    <t>3.92 M</t>
  </si>
  <si>
    <t>6.25 M</t>
  </si>
  <si>
    <t>140.0 K</t>
  </si>
  <si>
    <t>190.0 K</t>
  </si>
  <si>
    <t>5.49 M</t>
  </si>
  <si>
    <t>875.00 M JOD</t>
  </si>
  <si>
    <t>175.40 M JOD</t>
  </si>
  <si>
    <t>143.80 M JOD</t>
  </si>
  <si>
    <t>40.40 M JOD</t>
  </si>
  <si>
    <t>2.30 B JOD</t>
  </si>
  <si>
    <t>100.30 M JOD</t>
  </si>
  <si>
    <t>44.00 M JOD</t>
  </si>
  <si>
    <t>21.30 M JOD</t>
  </si>
  <si>
    <t>871.30 M JOD</t>
  </si>
  <si>
    <t>261.30 M JOD</t>
  </si>
  <si>
    <t>19.67 M</t>
  </si>
  <si>
    <t>4.07 B JOD</t>
  </si>
  <si>
    <t>4.00 M</t>
  </si>
  <si>
    <t>970.0 K</t>
  </si>
  <si>
    <t>4.41 M</t>
  </si>
  <si>
    <t>6.32 M</t>
  </si>
  <si>
    <t>180.0 K</t>
  </si>
  <si>
    <t>5.65 M</t>
  </si>
  <si>
    <t>53.10 M JOD</t>
  </si>
  <si>
    <t>1.10 B JOD</t>
  </si>
  <si>
    <t>3.30 B JOD</t>
  </si>
  <si>
    <t>91.50 M JOD</t>
  </si>
  <si>
    <t>169.60 M JOD</t>
  </si>
  <si>
    <t>45.10 M JOD</t>
  </si>
  <si>
    <t>2.50 B JOD</t>
  </si>
  <si>
    <t>103.40 M JOD</t>
  </si>
  <si>
    <t>41.00 M JOD</t>
  </si>
  <si>
    <t>17.80 M JOD</t>
  </si>
  <si>
    <t>231.00 M JOD</t>
  </si>
  <si>
    <t>20.24 M</t>
  </si>
  <si>
    <t>4.42 B JOD</t>
  </si>
  <si>
    <t>470.0 K</t>
  </si>
  <si>
    <t>950.0 K</t>
  </si>
  <si>
    <t>4.59 M</t>
  </si>
  <si>
    <t>6.31 M</t>
  </si>
  <si>
    <t>1.68 M</t>
  </si>
  <si>
    <t>52.20 M JOD</t>
  </si>
  <si>
    <t>568.00 M JOD</t>
  </si>
  <si>
    <t>134.50 M JOD</t>
  </si>
  <si>
    <t>187.20 M JOD</t>
  </si>
  <si>
    <t>49.20 M JOD</t>
  </si>
  <si>
    <t>103.60 M JOD</t>
  </si>
  <si>
    <t>18.80 M JOD</t>
  </si>
  <si>
    <t>566.40 M JOD</t>
  </si>
  <si>
    <t>249.30 M JOD</t>
  </si>
  <si>
    <t>20.47 M</t>
  </si>
  <si>
    <t>5.17 M</t>
  </si>
  <si>
    <t>3.89 B JOD</t>
  </si>
  <si>
    <t>16.90 M</t>
  </si>
  <si>
    <t>940.0 K</t>
  </si>
  <si>
    <t>6.53 M</t>
  </si>
  <si>
    <t>170.0 K</t>
  </si>
  <si>
    <t>1.69 M</t>
  </si>
  <si>
    <t>5.82 M</t>
  </si>
  <si>
    <t>51.30 M JOD</t>
  </si>
  <si>
    <t>459.00 M JOD</t>
  </si>
  <si>
    <t>3.40 B JOD</t>
  </si>
  <si>
    <t>67.30 M JOD</t>
  </si>
  <si>
    <t>189.40 M JOD</t>
  </si>
  <si>
    <t>38.30 M JOD</t>
  </si>
  <si>
    <t>2.60 B JOD</t>
  </si>
  <si>
    <t>106.80 M JOD</t>
  </si>
  <si>
    <t>39.40 M JOD</t>
  </si>
  <si>
    <t>24.40 M JOD</t>
  </si>
  <si>
    <t>485.60 M JOD</t>
  </si>
  <si>
    <t>233.00 M JOD</t>
  </si>
  <si>
    <t>20.52 M</t>
  </si>
  <si>
    <t>5.29 M</t>
  </si>
  <si>
    <t>ach</t>
  </si>
  <si>
    <t>EUR</t>
  </si>
  <si>
    <t>901</t>
  </si>
  <si>
    <t>GBP</t>
  </si>
  <si>
    <t>116</t>
  </si>
  <si>
    <t>USD</t>
  </si>
  <si>
    <t>17,056</t>
  </si>
  <si>
    <t>€9.30 M</t>
  </si>
  <si>
    <t>£1.00 M</t>
  </si>
  <si>
    <t>$119.30 M</t>
  </si>
  <si>
    <t>Number of JOD Transactions</t>
  </si>
  <si>
    <t>2.82 M</t>
  </si>
  <si>
    <t>Value of JOD Transactions</t>
  </si>
  <si>
    <t>2.80 M</t>
  </si>
  <si>
    <t>2.36 B JOD</t>
  </si>
  <si>
    <t>941</t>
  </si>
  <si>
    <t>113</t>
  </si>
  <si>
    <t>17,543</t>
  </si>
  <si>
    <t>€8.20 M</t>
  </si>
  <si>
    <t>£900.0 K</t>
  </si>
  <si>
    <t>$117.20 M</t>
  </si>
  <si>
    <t>2.97 M</t>
  </si>
  <si>
    <t>2.42 B JOD</t>
  </si>
  <si>
    <t>1,003</t>
  </si>
  <si>
    <t>107</t>
  </si>
  <si>
    <t>16,918</t>
  </si>
  <si>
    <t>€8.90 M</t>
  </si>
  <si>
    <t>£1.10 M</t>
  </si>
  <si>
    <t>$113.00 M</t>
  </si>
  <si>
    <t>2.98 M</t>
  </si>
  <si>
    <t>2.41 B JOD</t>
  </si>
  <si>
    <t>844</t>
  </si>
  <si>
    <t>86</t>
  </si>
  <si>
    <t>17,236</t>
  </si>
  <si>
    <t>€7.90 M</t>
  </si>
  <si>
    <t>$110.00 M</t>
  </si>
  <si>
    <t>2.87 M</t>
  </si>
  <si>
    <t>2.35 B JOD</t>
  </si>
  <si>
    <t>989</t>
  </si>
  <si>
    <t>133</t>
  </si>
  <si>
    <t>17,556</t>
  </si>
  <si>
    <t>$123.00 M</t>
  </si>
  <si>
    <t>3.06 M</t>
  </si>
  <si>
    <t>2.61 B JOD</t>
  </si>
  <si>
    <t>922</t>
  </si>
  <si>
    <t>120</t>
  </si>
  <si>
    <t>18,897</t>
  </si>
  <si>
    <t>$122.00 M</t>
  </si>
  <si>
    <t>3.26 M</t>
  </si>
  <si>
    <t>2.63 B JOD</t>
  </si>
  <si>
    <t>828</t>
  </si>
  <si>
    <t>103</t>
  </si>
  <si>
    <t>16,863</t>
  </si>
  <si>
    <t>€7.80 M</t>
  </si>
  <si>
    <t>$112.00 M</t>
  </si>
  <si>
    <t>3.24 M</t>
  </si>
  <si>
    <t>2.69 B JOD</t>
  </si>
  <si>
    <t>898</t>
  </si>
  <si>
    <t>17,329</t>
  </si>
  <si>
    <t>€8.30 M</t>
  </si>
  <si>
    <t>$116.00 M</t>
  </si>
  <si>
    <t>3.29 M</t>
  </si>
  <si>
    <t>2.75 B JOD</t>
  </si>
  <si>
    <t>eccu</t>
  </si>
  <si>
    <t>Number of Cheques</t>
  </si>
  <si>
    <t>Cheques</t>
  </si>
  <si>
    <t>1.57 M</t>
  </si>
  <si>
    <t>Value of Cheques</t>
  </si>
  <si>
    <t>9.65 B JOD</t>
  </si>
  <si>
    <t>9.62 B JOD</t>
  </si>
  <si>
    <t>Number of Returned Cheques</t>
  </si>
  <si>
    <t>53.9 K</t>
  </si>
  <si>
    <t>10.41 B JOD</t>
  </si>
  <si>
    <t>Value of Returned Cheques</t>
  </si>
  <si>
    <t>389.30 M JOD</t>
  </si>
  <si>
    <t>1.70 M</t>
  </si>
  <si>
    <t>55.5 K</t>
  </si>
  <si>
    <t>10.61 B JOD</t>
  </si>
  <si>
    <t>367.60 M JOD</t>
  </si>
  <si>
    <t>46.0 K</t>
  </si>
  <si>
    <t>9.67 B JOD</t>
  </si>
  <si>
    <t>256.70 M JOD</t>
  </si>
  <si>
    <t>57.0 K</t>
  </si>
  <si>
    <t>9.92 B JOD</t>
  </si>
  <si>
    <t>324.90 M JOD</t>
  </si>
  <si>
    <t>49.0 K</t>
  </si>
  <si>
    <t>10.56 B JOD</t>
  </si>
  <si>
    <t>268.60 M JOD</t>
  </si>
  <si>
    <t>1.65 M</t>
  </si>
  <si>
    <t>51.0 K</t>
  </si>
  <si>
    <t>10.81 B JOD</t>
  </si>
  <si>
    <t>265.90 M JOD</t>
  </si>
  <si>
    <t>1.45 M</t>
  </si>
  <si>
    <t>45.8 K</t>
  </si>
  <si>
    <t>9.74 B JOD</t>
  </si>
  <si>
    <t>260.70 M JOD</t>
  </si>
  <si>
    <t>47.2 K</t>
  </si>
  <si>
    <t>9.99 B JOD</t>
  </si>
  <si>
    <t>275.00 M JOD</t>
  </si>
  <si>
    <t>CliQ (Instant Payments) - Quarterly Data (Q3 2024 - Q2 2026)</t>
  </si>
  <si>
    <t>Category</t>
  </si>
  <si>
    <t>Metric</t>
  </si>
  <si>
    <t>Q3 2024</t>
  </si>
  <si>
    <t>Q4 2024</t>
  </si>
  <si>
    <t>Q1 2025</t>
  </si>
  <si>
    <t>Q2 2025</t>
  </si>
  <si>
    <t>Q3 2025</t>
  </si>
  <si>
    <t>Q4 2025</t>
  </si>
  <si>
    <t>Q1 2026</t>
  </si>
  <si>
    <t>Q2 2026</t>
  </si>
  <si>
    <t>USERS</t>
  </si>
  <si>
    <t>Total Registered Users</t>
  </si>
  <si>
    <t>USERS BY NATIONALITY</t>
  </si>
  <si>
    <t>Nationality</t>
  </si>
  <si>
    <t>Jordanian (count)</t>
  </si>
  <si>
    <t>Jordanian (% of users)</t>
  </si>
  <si>
    <t>Non-Jordanian (count)</t>
  </si>
  <si>
    <t>Non-Jordanian (% of users)</t>
  </si>
  <si>
    <t>USERS BY GENDER</t>
  </si>
  <si>
    <t>Gender</t>
  </si>
  <si>
    <t>Male (count)</t>
  </si>
  <si>
    <t>Male (%)</t>
  </si>
  <si>
    <t>Female (count)</t>
  </si>
  <si>
    <t>Female (%)</t>
  </si>
  <si>
    <t>USERS BY AGE BRACKET (count)</t>
  </si>
  <si>
    <t>Age</t>
  </si>
  <si>
    <t>USERS BY TYPE</t>
  </si>
  <si>
    <t>User Type</t>
  </si>
  <si>
    <t>Individual (count)</t>
  </si>
  <si>
    <t>Individual (%)</t>
  </si>
  <si>
    <t>Legal / Entities (count)</t>
  </si>
  <si>
    <t>Legal / Entities (%)</t>
  </si>
  <si>
    <t>TRANSACTIONS - OVERVIEW</t>
  </si>
  <si>
    <t>Total Number of Transactions</t>
  </si>
  <si>
    <t>Total Value of Transactions (JOD)</t>
  </si>
  <si>
    <t>TRANSACTIONS BY TYPE (Number)</t>
  </si>
  <si>
    <t>Money Transfer (%)</t>
  </si>
  <si>
    <t>Purchases (%)</t>
  </si>
  <si>
    <t>Check</t>
  </si>
  <si>
    <t>Money Transfer + Purchases (should = Total Number)</t>
  </si>
  <si>
    <t>TRANSACTIONS BY TYPE (Value, JOD)</t>
  </si>
  <si>
    <t>Txn Type (JOD)</t>
  </si>
  <si>
    <t>Money Transfer (JOD)</t>
  </si>
  <si>
    <t>Purchases (JOD)</t>
  </si>
  <si>
    <t>Money Transfer + Purchases (JOD) (should = Total Value)</t>
  </si>
  <si>
    <t>MONEY TRANSFER BY DIRECTION (Number)</t>
  </si>
  <si>
    <t>On Us (same bank)</t>
  </si>
  <si>
    <t>On Us (%)</t>
  </si>
  <si>
    <t>Off Us (different banks)</t>
  </si>
  <si>
    <t>Off Us (%)</t>
  </si>
  <si>
    <t>MONEY TRANSFER BY DIRECTION (Value, JOD)</t>
  </si>
  <si>
    <t>Direction (JOD)</t>
  </si>
  <si>
    <t>On Us (JOD)</t>
  </si>
  <si>
    <t>Off Us (JOD)</t>
  </si>
  <si>
    <t>JoMoPay (Mobile Wallets) - Quarterly Data (Q3 2024 - Q2 2026)</t>
  </si>
  <si>
    <t>Jordanian (%)</t>
  </si>
  <si>
    <t>Non-Jordanian (%)</t>
  </si>
  <si>
    <t>USERS BY WALLET TYPE (count)</t>
  </si>
  <si>
    <t>Wallet Type</t>
  </si>
  <si>
    <t>Cash In (%)</t>
  </si>
  <si>
    <t>Cash Out (%)</t>
  </si>
  <si>
    <t>Cash In (JOD)</t>
  </si>
  <si>
    <t>Cash Out (JOD)</t>
  </si>
  <si>
    <t>On Us (same PSP)</t>
  </si>
  <si>
    <t>Off Us (different PSPs)</t>
  </si>
  <si>
    <t>eFAWATEER.com (Bill Payments) - Quarterly Data (Q3 2024 - Q2 2026)</t>
  </si>
  <si>
    <t>TRANSACTIONS BY BILLER TYPE (Number)</t>
  </si>
  <si>
    <t>Gas and Energy</t>
  </si>
  <si>
    <t>TRANSACTIONS BY PAYMENT METHOD (Number)</t>
  </si>
  <si>
    <t>Digital (%)</t>
  </si>
  <si>
    <t>Cash (%)</t>
  </si>
  <si>
    <t>TRANSACTIONS BY PAYMENT METHOD (Value, JOD)</t>
  </si>
  <si>
    <t>Payment Method (JOD)</t>
  </si>
  <si>
    <t>Digital (JOD)</t>
  </si>
  <si>
    <t>Cash (JOD)</t>
  </si>
  <si>
    <t>ACH (Automated Clearing House) - Quarterly Data (Q3 2024 - Q2 2026)</t>
  </si>
  <si>
    <t>JOD TRANSACTIONS - OVERVIEW</t>
  </si>
  <si>
    <t>Total Number of JOD Transactions</t>
  </si>
  <si>
    <t>Total Value of JOD Transactions (JOD)</t>
  </si>
  <si>
    <t>TRANSACTIONS BY FOREIGN CURRENCY (Number)</t>
  </si>
  <si>
    <t>TRANSACTIONS BY FOREIGN CURRENCY (Value, in millions of currency unit)</t>
  </si>
  <si>
    <t>Currency (Value)</t>
  </si>
  <si>
    <t>USD ($ millions)</t>
  </si>
  <si>
    <t>EUR (€ millions)</t>
  </si>
  <si>
    <t>GBP (£ millions)</t>
  </si>
  <si>
    <t>Note: JOD totals and USD/EUR/GBP transaction counts form a fully consistent chain across all eight source reports. Foreign-currency VALUE figures show minor rounding differences (&lt;10%) between consecutive reports; the current quarter's own report is used in each case.</t>
  </si>
  <si>
    <t>ECCU (Electronic Cheque Clearing Unit) - Quarterly Data (Q3 2024 - Q2 2026)</t>
  </si>
  <si>
    <t>CHEQUES - OVERVIEW</t>
  </si>
  <si>
    <t>Total Number of Cheques</t>
  </si>
  <si>
    <t>Total Value of Cheques (JOD)</t>
  </si>
  <si>
    <t>RETURNED CHEQUES</t>
  </si>
  <si>
    <t>Returned Cheques</t>
  </si>
  <si>
    <t>Value of Returned Cheques (JOD)</t>
  </si>
  <si>
    <t>Note: Returned cheques are due to Technical or Financial reasons, among others (per source reports; sub-reason breakdown is not published).</t>
  </si>
  <si>
    <t>CliQ &amp; JoMoPay Interoperability - Quarterly Data (Q3 2024 - Q2 2026)</t>
  </si>
  <si>
    <t>MONEY TRANSFER TRANSACTIONS - OVERVIEW</t>
  </si>
  <si>
    <t>Total Number of MT Transactions</t>
  </si>
  <si>
    <t>Total Value of MT Transactions (JOD)</t>
  </si>
  <si>
    <t>BY INSTITUTION (On Us / Off Us) - Number</t>
  </si>
  <si>
    <t>On Us (same financial institution)</t>
  </si>
  <si>
    <t>Off Us (different institutions)</t>
  </si>
  <si>
    <t>BY INSTITUTION (On Us / Off Us) - Value, JOD</t>
  </si>
  <si>
    <t>On/Off Us (JOD)</t>
  </si>
  <si>
    <t>BY DIRECTION (PSP&lt;-&gt;Bank) - Number</t>
  </si>
  <si>
    <t>mPSP to Bank (%)</t>
  </si>
  <si>
    <t>Bank to mPSP (%)</t>
  </si>
  <si>
    <t>BY DIRECTION (PSP&lt;-&gt;Bank) - Value, JOD</t>
  </si>
  <si>
    <t>mPSP to Bank (JOD)</t>
  </si>
  <si>
    <t>Bank to mPSP (JOD)</t>
  </si>
  <si>
    <t>Direction</t>
  </si>
  <si>
    <t>Currency</t>
  </si>
  <si>
    <t>Returned as % of Total Cheques</t>
  </si>
  <si>
    <t>Biller Type</t>
  </si>
  <si>
    <t>Payment Method</t>
  </si>
  <si>
    <t>Txn Type</t>
  </si>
  <si>
    <t>On/Off Us</t>
  </si>
  <si>
    <t>Row Labels</t>
  </si>
  <si>
    <t>Grand Total</t>
  </si>
  <si>
    <t>(All)</t>
  </si>
  <si>
    <t>Sum of value</t>
  </si>
  <si>
    <t>Column Labels</t>
  </si>
  <si>
    <t>(blank)</t>
  </si>
  <si>
    <t>TRANSACTIONS BY BILLER TYPE (Value, JOD)</t>
  </si>
  <si>
    <t>Biller Type (JOD)</t>
  </si>
  <si>
    <t>Banks</t>
  </si>
  <si>
    <t>Note: Per-biller VALUE (JOD) figures are pulled from the Data sheet. 'Banks' appears on the source Value chart only (not the Number chart), and 'Associations and Organizations' appears on the Number chart only. The source PDFs showed inconsistent 'Government Service' values across some quarterly reports (a likely charting artifact in JOPACC's originals), so treat that row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</si>
</sst>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charset val="1"/>
    </font>
    <font>
      <b/>
      <sz val="14"/>
      <color rgb="FFFFFFFF"/>
      <name val="Arial"/>
      <charset val="1"/>
    </font>
    <font>
      <sz val="10"/>
      <name val="Arial"/>
      <charset val="1"/>
    </font>
    <font>
      <b/>
      <sz val="10"/>
      <color rgb="FF0B1F3A"/>
      <name val="Arial"/>
      <charset val="1"/>
    </font>
    <font>
      <b/>
      <sz val="11"/>
      <name val="Cambria"/>
      <charset val="1"/>
    </font>
    <font>
      <b/>
      <sz val="11"/>
      <color rgb="FFFFFFFF"/>
      <name val="Cambria"/>
      <charset val="1"/>
    </font>
    <font>
      <b/>
      <sz val="10"/>
      <color rgb="FFFFFFFF"/>
      <name val="Arial"/>
      <charset val="1"/>
    </font>
    <font>
      <b/>
      <sz val="10"/>
      <name val="Arial"/>
      <charset val="1"/>
    </font>
    <font>
      <i/>
      <sz val="10"/>
      <color rgb="FF777777"/>
      <name val="Arial"/>
      <charset val="1"/>
    </font>
    <font>
      <i/>
      <sz val="9"/>
      <color rgb="FF777777"/>
      <name val="Arial"/>
      <charset val="1"/>
    </font>
    <font>
      <sz val="10"/>
      <name val="Arial"/>
      <family val="2"/>
    </font>
    <font>
      <sz val="8"/>
      <name val="Calibri"/>
      <family val="2"/>
      <charset val="1"/>
    </font>
  </fonts>
  <fills count="5">
    <fill>
      <patternFill patternType="none"/>
    </fill>
    <fill>
      <patternFill patternType="gray125"/>
    </fill>
    <fill>
      <patternFill patternType="solid">
        <fgColor rgb="FF0B1F3A"/>
        <bgColor rgb="FF0B1F3A"/>
      </patternFill>
    </fill>
    <fill>
      <patternFill patternType="solid">
        <fgColor rgb="FFE8730C"/>
        <bgColor rgb="FFE8730C"/>
      </patternFill>
    </fill>
    <fill>
      <patternFill patternType="solid">
        <fgColor rgb="FFEDEDED"/>
        <bgColor rgb="FFEDEDED"/>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xf numFmtId="0" fontId="5" fillId="2" borderId="0" xfId="0" applyFont="1" applyFill="1"/>
    <xf numFmtId="0" fontId="6" fillId="3" borderId="1" xfId="0" applyFont="1" applyFill="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xf>
    <xf numFmtId="0" fontId="2" fillId="0" borderId="1" xfId="0" applyFont="1" applyBorder="1" applyAlignment="1">
      <alignment horizontal="left" vertical="center" indent="1"/>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8" fillId="0" borderId="1" xfId="0" applyFont="1" applyBorder="1" applyAlignment="1">
      <alignment horizontal="left" vertical="center" indent="1"/>
    </xf>
    <xf numFmtId="3" fontId="8" fillId="0" borderId="1" xfId="0" applyNumberFormat="1" applyFont="1" applyBorder="1" applyAlignment="1">
      <alignment horizontal="right" vertical="center"/>
    </xf>
    <xf numFmtId="0" fontId="9" fillId="0" borderId="0" xfId="0" applyFont="1"/>
    <xf numFmtId="165" fontId="2" fillId="0" borderId="1" xfId="0" applyNumberFormat="1" applyFont="1" applyBorder="1" applyAlignment="1">
      <alignment horizontal="right" vertical="center"/>
    </xf>
    <xf numFmtId="0" fontId="10" fillId="0" borderId="1" xfId="0" applyFont="1" applyBorder="1" applyAlignment="1">
      <alignment horizontal="left" vertical="center" indent="1"/>
    </xf>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10" fontId="0" fillId="0" borderId="0" xfId="0" applyNumberFormat="1" applyAlignment="1">
      <alignment wrapText="1"/>
    </xf>
    <xf numFmtId="0" fontId="3" fillId="4" borderId="1" xfId="0" applyFont="1" applyFill="1" applyBorder="1" applyAlignment="1">
      <alignment horizontal="left" vertical="center" indent="1"/>
    </xf>
    <xf numFmtId="0" fontId="1" fillId="2" borderId="0" xfId="0" applyFont="1" applyFill="1" applyAlignment="1">
      <alignment horizontal="left" vertical="center" indent="1"/>
    </xf>
  </cellXfs>
  <cellStyles count="1">
    <cellStyle name="Normal" xfId="0" builtinId="0"/>
  </cellStyles>
  <dxfs count="1">
    <dxf>
      <font>
        <b/>
        <i val="0"/>
        <strike val="0"/>
        <condense val="0"/>
        <extend val="0"/>
        <outline val="0"/>
        <shadow val="0"/>
        <u val="none"/>
        <vertAlign val="baseline"/>
        <sz val="11"/>
        <color rgb="FFFFFFFF"/>
        <name val="Cambria"/>
        <charset val="1"/>
        <scheme val="none"/>
      </font>
      <fill>
        <patternFill patternType="solid">
          <fgColor rgb="FF0B1F3A"/>
          <bgColor rgb="FF0B1F3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B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[JoPACC_Quarterly_Report.xlsx]pivot!PivotTable1</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pivot!$B$6:$B$7</c:f>
              <c:strCache>
                <c:ptCount val="1"/>
                <c:pt idx="0">
                  <c:v>EUR</c:v>
                </c:pt>
              </c:strCache>
            </c:strRef>
          </c:tx>
          <c:spPr>
            <a:ln w="28575" cap="rnd">
              <a:solidFill>
                <a:schemeClr val="accent1"/>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pivot!$B$8:$B$16</c:f>
              <c:numCache>
                <c:formatCode>General</c:formatCode>
                <c:ptCount val="8"/>
                <c:pt idx="0">
                  <c:v>9300901</c:v>
                </c:pt>
                <c:pt idx="1">
                  <c:v>8200941</c:v>
                </c:pt>
                <c:pt idx="2">
                  <c:v>8901003</c:v>
                </c:pt>
                <c:pt idx="3">
                  <c:v>7900844</c:v>
                </c:pt>
                <c:pt idx="4">
                  <c:v>9300989</c:v>
                </c:pt>
                <c:pt idx="5">
                  <c:v>7900922</c:v>
                </c:pt>
                <c:pt idx="6">
                  <c:v>7800828</c:v>
                </c:pt>
                <c:pt idx="7">
                  <c:v>8300898</c:v>
                </c:pt>
              </c:numCache>
            </c:numRef>
          </c:val>
          <c:smooth val="0"/>
          <c:extLst>
            <c:ext xmlns:c16="http://schemas.microsoft.com/office/drawing/2014/chart" uri="{C3380CC4-5D6E-409C-BE32-E72D297353CC}">
              <c16:uniqueId val="{00000000-3050-4336-8B23-71E15D3EE360}"/>
            </c:ext>
          </c:extLst>
        </c:ser>
        <c:ser>
          <c:idx val="1"/>
          <c:order val="1"/>
          <c:tx>
            <c:strRef>
              <c:f>pivot!$C$6:$C$7</c:f>
              <c:strCache>
                <c:ptCount val="1"/>
                <c:pt idx="0">
                  <c:v>GBP</c:v>
                </c:pt>
              </c:strCache>
            </c:strRef>
          </c:tx>
          <c:spPr>
            <a:ln w="28575" cap="rnd">
              <a:solidFill>
                <a:schemeClr val="accent2"/>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pivot!$C$8:$C$16</c:f>
              <c:numCache>
                <c:formatCode>General</c:formatCode>
                <c:ptCount val="8"/>
                <c:pt idx="0">
                  <c:v>1000116</c:v>
                </c:pt>
                <c:pt idx="1">
                  <c:v>900113</c:v>
                </c:pt>
                <c:pt idx="2">
                  <c:v>1100107</c:v>
                </c:pt>
                <c:pt idx="3">
                  <c:v>900086</c:v>
                </c:pt>
                <c:pt idx="4">
                  <c:v>1100133</c:v>
                </c:pt>
                <c:pt idx="5">
                  <c:v>1000120</c:v>
                </c:pt>
                <c:pt idx="6">
                  <c:v>1000103</c:v>
                </c:pt>
                <c:pt idx="7">
                  <c:v>900113</c:v>
                </c:pt>
              </c:numCache>
            </c:numRef>
          </c:val>
          <c:smooth val="0"/>
          <c:extLst>
            <c:ext xmlns:c16="http://schemas.microsoft.com/office/drawing/2014/chart" uri="{C3380CC4-5D6E-409C-BE32-E72D297353CC}">
              <c16:uniqueId val="{00000001-2D31-4D11-86E5-82EE753852A7}"/>
            </c:ext>
          </c:extLst>
        </c:ser>
        <c:ser>
          <c:idx val="2"/>
          <c:order val="2"/>
          <c:tx>
            <c:strRef>
              <c:f>pivot!$D$6:$D$7</c:f>
              <c:strCache>
                <c:ptCount val="1"/>
                <c:pt idx="0">
                  <c:v>USD</c:v>
                </c:pt>
              </c:strCache>
            </c:strRef>
          </c:tx>
          <c:spPr>
            <a:ln w="28575" cap="rnd">
              <a:solidFill>
                <a:schemeClr val="accent3"/>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pivot!$D$8:$D$16</c:f>
              <c:numCache>
                <c:formatCode>General</c:formatCode>
                <c:ptCount val="8"/>
                <c:pt idx="0">
                  <c:v>119317056</c:v>
                </c:pt>
                <c:pt idx="1">
                  <c:v>117217543</c:v>
                </c:pt>
                <c:pt idx="2">
                  <c:v>113016918</c:v>
                </c:pt>
                <c:pt idx="3">
                  <c:v>110017236</c:v>
                </c:pt>
                <c:pt idx="4">
                  <c:v>123017556</c:v>
                </c:pt>
                <c:pt idx="5">
                  <c:v>122018897</c:v>
                </c:pt>
                <c:pt idx="6">
                  <c:v>112016863</c:v>
                </c:pt>
                <c:pt idx="7">
                  <c:v>116017329</c:v>
                </c:pt>
              </c:numCache>
            </c:numRef>
          </c:val>
          <c:smooth val="0"/>
          <c:extLst>
            <c:ext xmlns:c16="http://schemas.microsoft.com/office/drawing/2014/chart" uri="{C3380CC4-5D6E-409C-BE32-E72D297353CC}">
              <c16:uniqueId val="{00000002-2D31-4D11-86E5-82EE753852A7}"/>
            </c:ext>
          </c:extLst>
        </c:ser>
        <c:ser>
          <c:idx val="3"/>
          <c:order val="3"/>
          <c:tx>
            <c:strRef>
              <c:f>pivot!$E$6:$E$7</c:f>
              <c:strCache>
                <c:ptCount val="1"/>
                <c:pt idx="0">
                  <c:v>(blank)</c:v>
                </c:pt>
              </c:strCache>
            </c:strRef>
          </c:tx>
          <c:spPr>
            <a:ln w="28575" cap="rnd">
              <a:solidFill>
                <a:schemeClr val="accent4"/>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pivot!$E$8:$E$16</c:f>
              <c:numCache>
                <c:formatCode>General</c:formatCode>
                <c:ptCount val="8"/>
                <c:pt idx="0">
                  <c:v>2362800000</c:v>
                </c:pt>
                <c:pt idx="1">
                  <c:v>2422970000</c:v>
                </c:pt>
                <c:pt idx="2">
                  <c:v>2412980000</c:v>
                </c:pt>
                <c:pt idx="3">
                  <c:v>2352870000</c:v>
                </c:pt>
                <c:pt idx="4">
                  <c:v>2613060000</c:v>
                </c:pt>
                <c:pt idx="5">
                  <c:v>2633260000</c:v>
                </c:pt>
                <c:pt idx="6">
                  <c:v>2693240000</c:v>
                </c:pt>
                <c:pt idx="7">
                  <c:v>2753290000</c:v>
                </c:pt>
              </c:numCache>
            </c:numRef>
          </c:val>
          <c:smooth val="0"/>
          <c:extLst>
            <c:ext xmlns:c16="http://schemas.microsoft.com/office/drawing/2014/chart" uri="{C3380CC4-5D6E-409C-BE32-E72D297353CC}">
              <c16:uniqueId val="{00000003-2D31-4D11-86E5-82EE753852A7}"/>
            </c:ext>
          </c:extLst>
        </c:ser>
        <c:dLbls>
          <c:showLegendKey val="0"/>
          <c:showVal val="0"/>
          <c:showCatName val="0"/>
          <c:showSerName val="0"/>
          <c:showPercent val="0"/>
          <c:showBubbleSize val="0"/>
        </c:dLbls>
        <c:smooth val="0"/>
        <c:axId val="885384175"/>
        <c:axId val="950019679"/>
      </c:lineChart>
      <c:catAx>
        <c:axId val="885384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19679"/>
        <c:crosses val="autoZero"/>
        <c:auto val="1"/>
        <c:lblAlgn val="ctr"/>
        <c:lblOffset val="100"/>
        <c:noMultiLvlLbl val="0"/>
      </c:catAx>
      <c:valAx>
        <c:axId val="95001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38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181503</xdr:colOff>
      <xdr:row>16</xdr:row>
      <xdr:rowOff>53408</xdr:rowOff>
    </xdr:from>
    <xdr:to>
      <xdr:col>10</xdr:col>
      <xdr:colOff>454024</xdr:colOff>
      <xdr:row>26</xdr:row>
      <xdr:rowOff>158183</xdr:rowOff>
    </xdr:to>
    <mc:AlternateContent xmlns:mc="http://schemas.openxmlformats.org/markup-compatibility/2006" xmlns:a14="http://schemas.microsoft.com/office/drawing/2010/main">
      <mc:Choice Requires="a14">
        <xdr:graphicFrame macro="">
          <xdr:nvGraphicFramePr>
            <xdr:cNvPr id="2" name="system">
              <a:extLst>
                <a:ext uri="{FF2B5EF4-FFF2-40B4-BE49-F238E27FC236}">
                  <a16:creationId xmlns:a16="http://schemas.microsoft.com/office/drawing/2014/main" id="{DD545B2F-2D66-2255-4DA6-FAAAA2DF5B68}"/>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mlns="">
        <xdr:sp macro="" textlink="">
          <xdr:nvSpPr>
            <xdr:cNvPr id="0" name=""/>
            <xdr:cNvSpPr>
              <a:spLocks noTextEdit="1"/>
            </xdr:cNvSpPr>
          </xdr:nvSpPr>
          <xdr:spPr>
            <a:xfrm>
              <a:off x="5875336" y="3101408"/>
              <a:ext cx="1309688"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148960</xdr:colOff>
      <xdr:row>15</xdr:row>
      <xdr:rowOff>147675</xdr:rowOff>
    </xdr:from>
    <xdr:to>
      <xdr:col>13</xdr:col>
      <xdr:colOff>315118</xdr:colOff>
      <xdr:row>26</xdr:row>
      <xdr:rowOff>90525</xdr:rowOff>
    </xdr:to>
    <mc:AlternateContent xmlns:mc="http://schemas.openxmlformats.org/markup-compatibility/2006" xmlns:a14="http://schemas.microsoft.com/office/drawing/2010/main">
      <mc:Choice Requires="a14">
        <xdr:graphicFrame macro="">
          <xdr:nvGraphicFramePr>
            <xdr:cNvPr id="3" name="metric">
              <a:extLst>
                <a:ext uri="{FF2B5EF4-FFF2-40B4-BE49-F238E27FC236}">
                  <a16:creationId xmlns:a16="http://schemas.microsoft.com/office/drawing/2014/main" id="{2D49C41A-CB19-C891-A3F9-0A32F4A0CDEF}"/>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7980627" y="3005175"/>
              <a:ext cx="1795991"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63500</xdr:rowOff>
    </xdr:from>
    <xdr:to>
      <xdr:col>5</xdr:col>
      <xdr:colOff>0</xdr:colOff>
      <xdr:row>33</xdr:row>
      <xdr:rowOff>18065</xdr:rowOff>
    </xdr:to>
    <xdr:graphicFrame macro="">
      <xdr:nvGraphicFramePr>
        <xdr:cNvPr id="5" name="Chart 4">
          <a:extLst>
            <a:ext uri="{FF2B5EF4-FFF2-40B4-BE49-F238E27FC236}">
              <a16:creationId xmlns:a16="http://schemas.microsoft.com/office/drawing/2014/main" id="{F9852C85-1235-3C66-BC63-FBAC4ACF1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100541</xdr:colOff>
      <xdr:row>16</xdr:row>
      <xdr:rowOff>10584</xdr:rowOff>
    </xdr:from>
    <xdr:to>
      <xdr:col>7</xdr:col>
      <xdr:colOff>275167</xdr:colOff>
      <xdr:row>26</xdr:row>
      <xdr:rowOff>153459</xdr:rowOff>
    </xdr:to>
    <mc:AlternateContent xmlns:mc="http://schemas.openxmlformats.org/markup-compatibility/2006" xmlns:a14="http://schemas.microsoft.com/office/drawing/2010/main">
      <mc:Choice Requires="a14">
        <xdr:graphicFrame macro="">
          <xdr:nvGraphicFramePr>
            <xdr:cNvPr id="6" name="dimension_L1">
              <a:extLst>
                <a:ext uri="{FF2B5EF4-FFF2-40B4-BE49-F238E27FC236}">
                  <a16:creationId xmlns:a16="http://schemas.microsoft.com/office/drawing/2014/main" id="{E530A31B-8DBC-596D-36A0-748494B3A5B6}"/>
                </a:ext>
              </a:extLst>
            </xdr:cNvPr>
            <xdr:cNvGraphicFramePr/>
          </xdr:nvGraphicFramePr>
          <xdr:xfrm>
            <a:off x="0" y="0"/>
            <a:ext cx="0" cy="0"/>
          </xdr:xfrm>
          <a:graphic>
            <a:graphicData uri="http://schemas.microsoft.com/office/drawing/2010/slicer">
              <sle:slicer xmlns:sle="http://schemas.microsoft.com/office/drawing/2010/slicer" name="dimension_L1"/>
            </a:graphicData>
          </a:graphic>
        </xdr:graphicFrame>
      </mc:Choice>
      <mc:Fallback xmlns="">
        <xdr:sp macro="" textlink="">
          <xdr:nvSpPr>
            <xdr:cNvPr id="0" name=""/>
            <xdr:cNvSpPr>
              <a:spLocks noTextEdit="1"/>
            </xdr:cNvSpPr>
          </xdr:nvSpPr>
          <xdr:spPr>
            <a:xfrm>
              <a:off x="4090458" y="3058584"/>
              <a:ext cx="158221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mah AbuHammad" refreshedDate="46293.541600462966" createdVersion="8" refreshedVersion="8" minRefreshableVersion="3" recordCount="1058" xr:uid="{88718C2E-4574-4829-A589-73E4575146B0}">
  <cacheSource type="worksheet">
    <worksheetSource ref="A1:Q1059" sheet="Data"/>
  </cacheSource>
  <cacheFields count="17">
    <cacheField name="report_period" numFmtId="0">
      <sharedItems/>
    </cacheField>
    <cacheField name="system" numFmtId="0">
      <sharedItems count="6">
        <s v="cliq"/>
        <s v="jomopay"/>
        <s v="interoperability"/>
        <s v="efawateercom"/>
        <s v="ach"/>
        <s v="eccu"/>
      </sharedItems>
    </cacheField>
    <cacheField name="page" numFmtId="0">
      <sharedItems containsSemiMixedTypes="0" containsString="0" containsNumber="1" containsInteger="1" minValue="2" maxValue="9"/>
    </cacheField>
    <cacheField name="content_type" numFmtId="0">
      <sharedItems/>
    </cacheField>
    <cacheField name="extracted_from" numFmtId="0">
      <sharedItems/>
    </cacheField>
    <cacheField name="metric" numFmtId="0">
      <sharedItems count="12">
        <s v="Number of Users"/>
        <s v="Number of Transactions"/>
        <s v="Value of Transactions"/>
        <s v="Number of Wallets"/>
        <s v="Number of Money Transfer Transactions"/>
        <s v="Value of Money Transfer Transactions"/>
        <s v="Number of JOD Transactions"/>
        <s v="Value of JOD Transactions"/>
        <s v="Number of Cheques"/>
        <s v="Value of Cheques"/>
        <s v="Number of Returned Cheques"/>
        <s v="Value of Returned Cheques"/>
      </sharedItems>
    </cacheField>
    <cacheField name="system_title" numFmtId="0">
      <sharedItems/>
    </cacheField>
    <cacheField name="dimension_L1" numFmtId="0">
      <sharedItems containsBlank="1" count="44">
        <s v="18-30"/>
        <s v="31-40"/>
        <s v="41-50"/>
        <s v="51-60"/>
        <s v="61-70"/>
        <s v="71-80"/>
        <s v="81-90"/>
        <s v="&lt;18"/>
        <s v="Female"/>
        <s v="Individual"/>
        <s v="Jordanian"/>
        <s v="Legal (entities)"/>
        <s v="Male"/>
        <s v="Non-Jordanian"/>
        <m/>
        <s v="Money Transfer"/>
        <s v="Purchases"/>
        <s v="Agent Wallet"/>
        <s v="Business Wallet"/>
        <s v="Government Wallet"/>
        <s v="Merchant Wallet"/>
        <s v="Personal Wallet"/>
        <s v="Cash In"/>
        <s v="Cash Out"/>
        <s v="Bank to mPSP"/>
        <s v="Off Us"/>
        <s v="On Us"/>
        <s v="mPSP to Bank"/>
        <s v="Associations and Organizations"/>
        <s v="Cash"/>
        <s v="Digital"/>
        <s v="Education"/>
        <s v="Financial Services"/>
        <s v="Gas And Energy"/>
        <s v="Government Service"/>
        <s v="Telecommunication"/>
        <s v="Trading and Services"/>
        <s v="Travel &amp; Transportation"/>
        <s v="Wallets and PSPs"/>
        <s v="Water and Electricity"/>
        <s v="Banks"/>
        <s v="EUR"/>
        <s v="GBP"/>
        <s v="USD"/>
      </sharedItems>
    </cacheField>
    <cacheField name="dimension_L2" numFmtId="0">
      <sharedItems containsBlank="1"/>
    </cacheField>
    <cacheField name="event_period" numFmtId="0">
      <sharedItems count="10">
        <s v="2024-Q3"/>
        <s v="2024-Q1"/>
        <s v="2024-Q2"/>
        <s v="2024-Q4"/>
        <s v="2025-Q1"/>
        <s v="2025-Q2"/>
        <s v="2025-Q3"/>
        <s v="2025-Q4"/>
        <s v="2026-Q1"/>
        <s v="2026-Q2"/>
      </sharedItems>
    </cacheField>
    <cacheField name="period_scope" numFmtId="0">
      <sharedItems count="2">
        <s v="native"/>
        <s v="trailing_chart_point"/>
      </sharedItems>
    </cacheField>
    <cacheField name="value" numFmtId="0">
      <sharedItems containsSemiMixedTypes="0" containsString="0" containsNumber="1" containsInteger="1" minValue="6" maxValue="10810000000"/>
    </cacheField>
    <cacheField name="unit" numFmtId="0">
      <sharedItems/>
    </cacheField>
    <cacheField name="raw_text" numFmtId="0">
      <sharedItems/>
    </cacheField>
    <cacheField name="chart_labeled" numFmtId="0">
      <sharedItems containsBlank="1"/>
    </cacheField>
    <cacheField name="reading_rank" numFmtId="0">
      <sharedItems containsBlank="1"/>
    </cacheField>
    <cacheField name="note" numFmtId="0">
      <sharedItems containsBlank="1"/>
    </cacheField>
  </cacheFields>
  <extLst>
    <ext xmlns:x14="http://schemas.microsoft.com/office/spreadsheetml/2009/9/main" uri="{725AE2AE-9491-48be-B2B4-4EB974FC3084}">
      <x14:pivotCacheDefinition pivotCacheId="21932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8">
  <r>
    <s v="2024-Q3"/>
    <x v="0"/>
    <n v="2"/>
    <s v="category"/>
    <s v="category_chart"/>
    <x v="0"/>
    <s v="Users"/>
    <x v="0"/>
    <m/>
    <x v="0"/>
    <x v="0"/>
    <n v="591000"/>
    <s v="count"/>
    <s v="591.0 K"/>
    <m/>
    <m/>
    <m/>
  </r>
  <r>
    <s v="2024-Q3"/>
    <x v="0"/>
    <n v="2"/>
    <s v="category"/>
    <s v="category_chart"/>
    <x v="0"/>
    <s v="Users"/>
    <x v="1"/>
    <m/>
    <x v="0"/>
    <x v="0"/>
    <n v="409200"/>
    <s v="count"/>
    <s v="409.2 K"/>
    <m/>
    <m/>
    <m/>
  </r>
  <r>
    <s v="2024-Q3"/>
    <x v="0"/>
    <n v="2"/>
    <s v="category"/>
    <s v="category_chart"/>
    <x v="0"/>
    <s v="Users"/>
    <x v="2"/>
    <m/>
    <x v="0"/>
    <x v="0"/>
    <n v="267100"/>
    <s v="count"/>
    <s v="267.1 K"/>
    <m/>
    <m/>
    <m/>
  </r>
  <r>
    <s v="2024-Q3"/>
    <x v="0"/>
    <n v="2"/>
    <s v="category"/>
    <s v="category_chart"/>
    <x v="0"/>
    <s v="Users"/>
    <x v="3"/>
    <m/>
    <x v="0"/>
    <x v="0"/>
    <n v="162500"/>
    <s v="count"/>
    <s v="162.5 K"/>
    <m/>
    <m/>
    <m/>
  </r>
  <r>
    <s v="2024-Q3"/>
    <x v="0"/>
    <n v="2"/>
    <s v="category"/>
    <s v="category_chart"/>
    <x v="0"/>
    <s v="Users"/>
    <x v="4"/>
    <m/>
    <x v="0"/>
    <x v="0"/>
    <n v="71100"/>
    <s v="count"/>
    <s v="71.1 K"/>
    <m/>
    <m/>
    <m/>
  </r>
  <r>
    <s v="2024-Q3"/>
    <x v="0"/>
    <n v="2"/>
    <s v="category"/>
    <s v="category_chart"/>
    <x v="0"/>
    <s v="Users"/>
    <x v="5"/>
    <m/>
    <x v="0"/>
    <x v="0"/>
    <n v="18100"/>
    <s v="count"/>
    <s v="18.1 K"/>
    <m/>
    <m/>
    <m/>
  </r>
  <r>
    <s v="2024-Q3"/>
    <x v="0"/>
    <n v="2"/>
    <s v="category"/>
    <s v="category_chart"/>
    <x v="0"/>
    <s v="Users"/>
    <x v="6"/>
    <m/>
    <x v="0"/>
    <x v="0"/>
    <n v="3700"/>
    <s v="count"/>
    <s v="3.7 K"/>
    <m/>
    <m/>
    <m/>
  </r>
  <r>
    <s v="2024-Q3"/>
    <x v="0"/>
    <n v="2"/>
    <s v="category"/>
    <s v="category_chart"/>
    <x v="0"/>
    <s v="Users"/>
    <x v="7"/>
    <m/>
    <x v="0"/>
    <x v="0"/>
    <n v="5800"/>
    <s v="count"/>
    <s v="5.8 K"/>
    <m/>
    <m/>
    <m/>
  </r>
  <r>
    <s v="2024-Q3"/>
    <x v="0"/>
    <n v="2"/>
    <s v="category"/>
    <s v="category_chart"/>
    <x v="0"/>
    <s v="Users"/>
    <x v="8"/>
    <m/>
    <x v="0"/>
    <x v="0"/>
    <n v="541300"/>
    <s v="count"/>
    <s v="541.3 K"/>
    <m/>
    <m/>
    <m/>
  </r>
  <r>
    <s v="2024-Q3"/>
    <x v="0"/>
    <n v="2"/>
    <s v="category"/>
    <s v="category_chart"/>
    <x v="0"/>
    <s v="Users"/>
    <x v="9"/>
    <m/>
    <x v="0"/>
    <x v="0"/>
    <n v="1530000"/>
    <s v="count"/>
    <s v="1.53 M"/>
    <m/>
    <m/>
    <m/>
  </r>
  <r>
    <s v="2024-Q3"/>
    <x v="0"/>
    <n v="2"/>
    <s v="category"/>
    <s v="category_chart"/>
    <x v="0"/>
    <s v="Users"/>
    <x v="10"/>
    <m/>
    <x v="0"/>
    <x v="0"/>
    <n v="1500000"/>
    <s v="count"/>
    <s v="1.50 M"/>
    <m/>
    <m/>
    <m/>
  </r>
  <r>
    <s v="2024-Q3"/>
    <x v="0"/>
    <n v="2"/>
    <s v="category"/>
    <s v="category_chart"/>
    <x v="0"/>
    <s v="Users"/>
    <x v="11"/>
    <m/>
    <x v="0"/>
    <x v="0"/>
    <n v="26500"/>
    <s v="count"/>
    <s v="26.5 K"/>
    <m/>
    <m/>
    <m/>
  </r>
  <r>
    <s v="2024-Q3"/>
    <x v="0"/>
    <n v="2"/>
    <s v="category"/>
    <s v="category_chart"/>
    <x v="0"/>
    <s v="Users"/>
    <x v="12"/>
    <m/>
    <x v="0"/>
    <x v="0"/>
    <n v="973400"/>
    <s v="count"/>
    <s v="973.4 K"/>
    <m/>
    <m/>
    <m/>
  </r>
  <r>
    <s v="2024-Q3"/>
    <x v="0"/>
    <n v="2"/>
    <s v="category"/>
    <s v="category_chart"/>
    <x v="0"/>
    <s v="Users"/>
    <x v="13"/>
    <m/>
    <x v="0"/>
    <x v="0"/>
    <n v="55000"/>
    <s v="count"/>
    <s v="55.0 K"/>
    <m/>
    <m/>
    <m/>
  </r>
  <r>
    <s v="2024-Q3"/>
    <x v="0"/>
    <n v="2"/>
    <s v="chart_point"/>
    <s v="trend_chart"/>
    <x v="0"/>
    <s v="Users"/>
    <x v="14"/>
    <m/>
    <x v="1"/>
    <x v="1"/>
    <n v="1330000"/>
    <s v="count"/>
    <s v="1.33 M"/>
    <s v="TRUE"/>
    <s v="newest"/>
    <s v="no native/stat_box reading of 2024-Q1 exists anywhere in this corpus (its own quarterly PDF wasn't part of this extraction) - marked newest as the earliest available trailing_chart_point reading of it, per §8 rule 4's fallback"/>
  </r>
  <r>
    <s v="2024-Q3"/>
    <x v="0"/>
    <n v="2"/>
    <s v="chart_point"/>
    <s v="trend_chart"/>
    <x v="0"/>
    <s v="Users"/>
    <x v="14"/>
    <m/>
    <x v="2"/>
    <x v="1"/>
    <n v="1430000"/>
    <s v="count"/>
    <s v="1.43 M"/>
    <s v="TRUE"/>
    <s v="newest"/>
    <s v="no native/stat_box reading of 2024-Q2 exists anywhere in this corpus (its own quarterly PDF wasn't part of this extraction) - marked newest as the earliest available trailing_chart_point reading of it, per §8 rule 4's fallback"/>
  </r>
  <r>
    <s v="2024-Q3"/>
    <x v="0"/>
    <n v="2"/>
    <s v="kpi"/>
    <s v="stat_box"/>
    <x v="0"/>
    <s v="Users"/>
    <x v="14"/>
    <m/>
    <x v="0"/>
    <x v="0"/>
    <n v="1560000"/>
    <s v="count"/>
    <s v="1.56 M"/>
    <m/>
    <m/>
    <m/>
  </r>
  <r>
    <s v="2024-Q4"/>
    <x v="0"/>
    <n v="2"/>
    <s v="category"/>
    <s v="category_chart"/>
    <x v="0"/>
    <s v="Users"/>
    <x v="0"/>
    <m/>
    <x v="3"/>
    <x v="0"/>
    <n v="626000"/>
    <s v="count"/>
    <s v="626.0 K"/>
    <m/>
    <m/>
    <m/>
  </r>
  <r>
    <s v="2024-Q4"/>
    <x v="0"/>
    <n v="2"/>
    <s v="category"/>
    <s v="category_chart"/>
    <x v="0"/>
    <s v="Users"/>
    <x v="1"/>
    <m/>
    <x v="3"/>
    <x v="0"/>
    <n v="437900"/>
    <s v="count"/>
    <s v="437.9 K"/>
    <m/>
    <m/>
    <m/>
  </r>
  <r>
    <s v="2024-Q4"/>
    <x v="0"/>
    <n v="2"/>
    <s v="category"/>
    <s v="category_chart"/>
    <x v="0"/>
    <s v="Users"/>
    <x v="2"/>
    <m/>
    <x v="3"/>
    <x v="0"/>
    <n v="289300"/>
    <s v="count"/>
    <s v="289.3 K"/>
    <m/>
    <m/>
    <m/>
  </r>
  <r>
    <s v="2024-Q4"/>
    <x v="0"/>
    <n v="2"/>
    <s v="category"/>
    <s v="category_chart"/>
    <x v="0"/>
    <s v="Users"/>
    <x v="3"/>
    <m/>
    <x v="3"/>
    <x v="0"/>
    <n v="176600"/>
    <s v="count"/>
    <s v="176.6 K"/>
    <m/>
    <m/>
    <m/>
  </r>
  <r>
    <s v="2024-Q4"/>
    <x v="0"/>
    <n v="2"/>
    <s v="category"/>
    <s v="category_chart"/>
    <x v="0"/>
    <s v="Users"/>
    <x v="4"/>
    <m/>
    <x v="3"/>
    <x v="0"/>
    <n v="78100"/>
    <s v="count"/>
    <s v="78.1 K"/>
    <m/>
    <m/>
    <m/>
  </r>
  <r>
    <s v="2024-Q4"/>
    <x v="0"/>
    <n v="2"/>
    <s v="category"/>
    <s v="category_chart"/>
    <x v="0"/>
    <s v="Users"/>
    <x v="5"/>
    <m/>
    <x v="3"/>
    <x v="0"/>
    <n v="20100"/>
    <s v="count"/>
    <s v="20.1 K"/>
    <m/>
    <m/>
    <m/>
  </r>
  <r>
    <s v="2024-Q4"/>
    <x v="0"/>
    <n v="2"/>
    <s v="category"/>
    <s v="category_chart"/>
    <x v="0"/>
    <s v="Users"/>
    <x v="6"/>
    <m/>
    <x v="3"/>
    <x v="0"/>
    <n v="4000"/>
    <s v="count"/>
    <s v="4.0 K"/>
    <m/>
    <m/>
    <m/>
  </r>
  <r>
    <s v="2024-Q4"/>
    <x v="0"/>
    <n v="2"/>
    <s v="category"/>
    <s v="category_chart"/>
    <x v="0"/>
    <s v="Users"/>
    <x v="7"/>
    <m/>
    <x v="3"/>
    <x v="0"/>
    <n v="6200"/>
    <s v="count"/>
    <s v="6.2 K"/>
    <m/>
    <m/>
    <m/>
  </r>
  <r>
    <s v="2024-Q4"/>
    <x v="0"/>
    <n v="2"/>
    <s v="category"/>
    <s v="category_chart"/>
    <x v="0"/>
    <s v="Users"/>
    <x v="8"/>
    <m/>
    <x v="3"/>
    <x v="0"/>
    <n v="583100"/>
    <s v="count"/>
    <s v="583.1 K"/>
    <m/>
    <m/>
    <m/>
  </r>
  <r>
    <s v="2024-Q4"/>
    <x v="0"/>
    <n v="2"/>
    <s v="category"/>
    <s v="category_chart"/>
    <x v="0"/>
    <s v="Users"/>
    <x v="9"/>
    <m/>
    <x v="3"/>
    <x v="0"/>
    <n v="1640000"/>
    <s v="count"/>
    <s v="1.64 M"/>
    <m/>
    <m/>
    <m/>
  </r>
  <r>
    <s v="2024-Q4"/>
    <x v="0"/>
    <n v="2"/>
    <s v="category"/>
    <s v="category_chart"/>
    <x v="0"/>
    <s v="Users"/>
    <x v="10"/>
    <m/>
    <x v="3"/>
    <x v="0"/>
    <n v="1610000"/>
    <s v="count"/>
    <s v="1.61 M"/>
    <m/>
    <m/>
    <m/>
  </r>
  <r>
    <s v="2024-Q4"/>
    <x v="0"/>
    <n v="2"/>
    <s v="category"/>
    <s v="category_chart"/>
    <x v="0"/>
    <s v="Users"/>
    <x v="11"/>
    <m/>
    <x v="3"/>
    <x v="0"/>
    <n v="30400"/>
    <s v="count"/>
    <s v="30.4 K"/>
    <m/>
    <m/>
    <m/>
  </r>
  <r>
    <s v="2024-Q4"/>
    <x v="0"/>
    <n v="2"/>
    <s v="category"/>
    <s v="category_chart"/>
    <x v="0"/>
    <s v="Users"/>
    <x v="12"/>
    <m/>
    <x v="3"/>
    <x v="0"/>
    <n v="1040000"/>
    <s v="count"/>
    <s v="1.04 M"/>
    <m/>
    <m/>
    <m/>
  </r>
  <r>
    <s v="2024-Q4"/>
    <x v="0"/>
    <n v="2"/>
    <s v="category"/>
    <s v="category_chart"/>
    <x v="0"/>
    <s v="Users"/>
    <x v="13"/>
    <m/>
    <x v="3"/>
    <x v="0"/>
    <n v="61000"/>
    <s v="count"/>
    <s v="61.0 K"/>
    <m/>
    <m/>
    <m/>
  </r>
  <r>
    <s v="2024-Q4"/>
    <x v="0"/>
    <n v="2"/>
    <s v="chart_point"/>
    <s v="trend_chart"/>
    <x v="0"/>
    <s v="Users"/>
    <x v="14"/>
    <m/>
    <x v="1"/>
    <x v="1"/>
    <n v="1330000"/>
    <s v="count"/>
    <s v="1.33 M"/>
    <s v="TRUE"/>
    <s v="restated"/>
    <s v="see the 2024-Q3 report's reading of 2024-Q1, marked newest"/>
  </r>
  <r>
    <s v="2024-Q4"/>
    <x v="0"/>
    <n v="2"/>
    <s v="chart_point"/>
    <s v="trend_chart"/>
    <x v="0"/>
    <s v="Users"/>
    <x v="14"/>
    <m/>
    <x v="2"/>
    <x v="1"/>
    <n v="1430000"/>
    <s v="count"/>
    <s v="1.43 M"/>
    <s v="TRUE"/>
    <s v="restated"/>
    <s v="see the 2024-Q3 report's reading of 2024-Q2, marked newest"/>
  </r>
  <r>
    <s v="2024-Q4"/>
    <x v="0"/>
    <n v="2"/>
    <s v="chart_point"/>
    <s v="trend_chart"/>
    <x v="0"/>
    <s v="Users"/>
    <x v="14"/>
    <m/>
    <x v="0"/>
    <x v="1"/>
    <n v="1560000"/>
    <s v="count"/>
    <s v="1.56 M"/>
    <s v="TRUE"/>
    <s v="restated"/>
    <m/>
  </r>
  <r>
    <s v="2024-Q4"/>
    <x v="0"/>
    <n v="2"/>
    <s v="kpi"/>
    <s v="stat_box"/>
    <x v="0"/>
    <s v="Users"/>
    <x v="14"/>
    <m/>
    <x v="3"/>
    <x v="0"/>
    <n v="1670000"/>
    <s v="count"/>
    <s v="1.67 M"/>
    <m/>
    <m/>
    <m/>
  </r>
  <r>
    <s v="2025-Q1"/>
    <x v="0"/>
    <n v="2"/>
    <s v="category"/>
    <s v="category_chart"/>
    <x v="0"/>
    <s v="Users"/>
    <x v="0"/>
    <m/>
    <x v="4"/>
    <x v="0"/>
    <n v="657000"/>
    <s v="count"/>
    <s v="657.0 K"/>
    <m/>
    <m/>
    <m/>
  </r>
  <r>
    <s v="2025-Q1"/>
    <x v="0"/>
    <n v="2"/>
    <s v="category"/>
    <s v="category_chart"/>
    <x v="0"/>
    <s v="Users"/>
    <x v="1"/>
    <m/>
    <x v="4"/>
    <x v="0"/>
    <n v="465900"/>
    <s v="count"/>
    <s v="465.9 K"/>
    <m/>
    <m/>
    <m/>
  </r>
  <r>
    <s v="2025-Q1"/>
    <x v="0"/>
    <n v="2"/>
    <s v="category"/>
    <s v="category_chart"/>
    <x v="0"/>
    <s v="Users"/>
    <x v="2"/>
    <m/>
    <x v="4"/>
    <x v="0"/>
    <n v="311700"/>
    <s v="count"/>
    <s v="311.7 K"/>
    <m/>
    <m/>
    <m/>
  </r>
  <r>
    <s v="2025-Q1"/>
    <x v="0"/>
    <n v="2"/>
    <s v="category"/>
    <s v="category_chart"/>
    <x v="0"/>
    <s v="Users"/>
    <x v="3"/>
    <m/>
    <x v="4"/>
    <x v="0"/>
    <n v="190700"/>
    <s v="count"/>
    <s v="190.7 K"/>
    <m/>
    <m/>
    <m/>
  </r>
  <r>
    <s v="2025-Q1"/>
    <x v="0"/>
    <n v="2"/>
    <s v="category"/>
    <s v="category_chart"/>
    <x v="0"/>
    <s v="Users"/>
    <x v="4"/>
    <m/>
    <x v="4"/>
    <x v="0"/>
    <n v="85500"/>
    <s v="count"/>
    <s v="85.5 K"/>
    <m/>
    <m/>
    <m/>
  </r>
  <r>
    <s v="2025-Q1"/>
    <x v="0"/>
    <n v="2"/>
    <s v="category"/>
    <s v="category_chart"/>
    <x v="0"/>
    <s v="Users"/>
    <x v="5"/>
    <m/>
    <x v="4"/>
    <x v="0"/>
    <n v="22100"/>
    <s v="count"/>
    <s v="22.1 K"/>
    <m/>
    <m/>
    <m/>
  </r>
  <r>
    <s v="2025-Q1"/>
    <x v="0"/>
    <n v="2"/>
    <s v="category"/>
    <s v="category_chart"/>
    <x v="0"/>
    <s v="Users"/>
    <x v="6"/>
    <m/>
    <x v="4"/>
    <x v="0"/>
    <n v="4000"/>
    <s v="count"/>
    <s v="4.0 K"/>
    <m/>
    <m/>
    <m/>
  </r>
  <r>
    <s v="2025-Q1"/>
    <x v="0"/>
    <n v="2"/>
    <s v="category"/>
    <s v="category_chart"/>
    <x v="0"/>
    <s v="Users"/>
    <x v="7"/>
    <m/>
    <x v="4"/>
    <x v="0"/>
    <n v="6700"/>
    <s v="count"/>
    <s v="6.7 K"/>
    <m/>
    <m/>
    <m/>
  </r>
  <r>
    <s v="2025-Q1"/>
    <x v="0"/>
    <n v="2"/>
    <s v="category"/>
    <s v="category_chart"/>
    <x v="0"/>
    <s v="Users"/>
    <x v="8"/>
    <m/>
    <x v="4"/>
    <x v="0"/>
    <n v="623200"/>
    <s v="count"/>
    <s v="623.2 K"/>
    <m/>
    <m/>
    <m/>
  </r>
  <r>
    <s v="2025-Q1"/>
    <x v="0"/>
    <n v="2"/>
    <s v="category"/>
    <s v="category_chart"/>
    <x v="0"/>
    <s v="Users"/>
    <x v="9"/>
    <m/>
    <x v="4"/>
    <x v="0"/>
    <n v="1740000"/>
    <s v="count"/>
    <s v="1.74 M"/>
    <m/>
    <m/>
    <m/>
  </r>
  <r>
    <s v="2025-Q1"/>
    <x v="0"/>
    <n v="2"/>
    <s v="category"/>
    <s v="category_chart"/>
    <x v="0"/>
    <s v="Users"/>
    <x v="10"/>
    <m/>
    <x v="4"/>
    <x v="0"/>
    <n v="1710000"/>
    <s v="count"/>
    <s v="1.71 M"/>
    <m/>
    <m/>
    <m/>
  </r>
  <r>
    <s v="2025-Q1"/>
    <x v="0"/>
    <n v="2"/>
    <s v="category"/>
    <s v="category_chart"/>
    <x v="0"/>
    <s v="Users"/>
    <x v="11"/>
    <m/>
    <x v="4"/>
    <x v="0"/>
    <n v="34000"/>
    <s v="count"/>
    <s v="34.0 K"/>
    <m/>
    <m/>
    <m/>
  </r>
  <r>
    <s v="2025-Q1"/>
    <x v="0"/>
    <n v="2"/>
    <s v="category"/>
    <s v="category_chart"/>
    <x v="0"/>
    <s v="Users"/>
    <x v="12"/>
    <m/>
    <x v="4"/>
    <x v="0"/>
    <n v="1110000"/>
    <s v="count"/>
    <s v="1.11 M"/>
    <m/>
    <m/>
    <m/>
  </r>
  <r>
    <s v="2025-Q1"/>
    <x v="0"/>
    <n v="2"/>
    <s v="category"/>
    <s v="category_chart"/>
    <x v="0"/>
    <s v="Users"/>
    <x v="13"/>
    <m/>
    <x v="4"/>
    <x v="0"/>
    <n v="67000"/>
    <s v="count"/>
    <s v="67.0 K"/>
    <m/>
    <m/>
    <m/>
  </r>
  <r>
    <s v="2025-Q1"/>
    <x v="0"/>
    <n v="2"/>
    <s v="chart_point"/>
    <s v="trend_chart"/>
    <x v="0"/>
    <s v="Users"/>
    <x v="14"/>
    <m/>
    <x v="3"/>
    <x v="1"/>
    <n v="1670000"/>
    <s v="count"/>
    <s v="1.67 M"/>
    <s v="TRUE"/>
    <s v="restated"/>
    <m/>
  </r>
  <r>
    <s v="2025-Q1"/>
    <x v="0"/>
    <n v="2"/>
    <s v="kpi"/>
    <s v="stat_box"/>
    <x v="0"/>
    <s v="Users"/>
    <x v="14"/>
    <m/>
    <x v="4"/>
    <x v="0"/>
    <n v="1780000"/>
    <s v="count"/>
    <s v="1.78 M"/>
    <m/>
    <m/>
    <m/>
  </r>
  <r>
    <s v="2025-Q2"/>
    <x v="0"/>
    <n v="2"/>
    <s v="category"/>
    <s v="category_chart"/>
    <x v="0"/>
    <s v="Users"/>
    <x v="0"/>
    <m/>
    <x v="5"/>
    <x v="0"/>
    <n v="684600"/>
    <s v="count"/>
    <s v="684.6 K"/>
    <m/>
    <m/>
    <m/>
  </r>
  <r>
    <s v="2025-Q2"/>
    <x v="0"/>
    <n v="2"/>
    <s v="category"/>
    <s v="category_chart"/>
    <x v="0"/>
    <s v="Users"/>
    <x v="1"/>
    <m/>
    <x v="5"/>
    <x v="0"/>
    <n v="490000"/>
    <s v="count"/>
    <s v="490.0 K"/>
    <m/>
    <m/>
    <m/>
  </r>
  <r>
    <s v="2025-Q2"/>
    <x v="0"/>
    <n v="2"/>
    <s v="category"/>
    <s v="category_chart"/>
    <x v="0"/>
    <s v="Users"/>
    <x v="2"/>
    <m/>
    <x v="5"/>
    <x v="0"/>
    <n v="331600"/>
    <s v="count"/>
    <s v="331.6 K"/>
    <m/>
    <m/>
    <m/>
  </r>
  <r>
    <s v="2025-Q2"/>
    <x v="0"/>
    <n v="2"/>
    <s v="category"/>
    <s v="category_chart"/>
    <x v="0"/>
    <s v="Users"/>
    <x v="3"/>
    <m/>
    <x v="5"/>
    <x v="0"/>
    <n v="203500"/>
    <s v="count"/>
    <s v="203.5 K"/>
    <m/>
    <m/>
    <m/>
  </r>
  <r>
    <s v="2025-Q2"/>
    <x v="0"/>
    <n v="2"/>
    <s v="category"/>
    <s v="category_chart"/>
    <x v="0"/>
    <s v="Users"/>
    <x v="4"/>
    <m/>
    <x v="5"/>
    <x v="0"/>
    <n v="92500"/>
    <s v="count"/>
    <s v="92.5 K"/>
    <m/>
    <m/>
    <m/>
  </r>
  <r>
    <s v="2025-Q2"/>
    <x v="0"/>
    <n v="2"/>
    <s v="category"/>
    <s v="category_chart"/>
    <x v="0"/>
    <s v="Users"/>
    <x v="5"/>
    <m/>
    <x v="5"/>
    <x v="0"/>
    <n v="24200"/>
    <s v="count"/>
    <s v="24.2 K"/>
    <m/>
    <m/>
    <m/>
  </r>
  <r>
    <s v="2025-Q2"/>
    <x v="0"/>
    <n v="2"/>
    <s v="category"/>
    <s v="category_chart"/>
    <x v="0"/>
    <s v="Users"/>
    <x v="6"/>
    <m/>
    <x v="5"/>
    <x v="0"/>
    <n v="5500"/>
    <s v="count"/>
    <s v="5.5 K"/>
    <m/>
    <m/>
    <m/>
  </r>
  <r>
    <s v="2025-Q2"/>
    <x v="0"/>
    <n v="2"/>
    <s v="category"/>
    <s v="category_chart"/>
    <x v="0"/>
    <s v="Users"/>
    <x v="7"/>
    <m/>
    <x v="5"/>
    <x v="0"/>
    <n v="8600"/>
    <s v="count"/>
    <s v="8.6 K"/>
    <m/>
    <m/>
    <m/>
  </r>
  <r>
    <s v="2025-Q2"/>
    <x v="0"/>
    <n v="2"/>
    <s v="category"/>
    <s v="category_chart"/>
    <x v="0"/>
    <s v="Users"/>
    <x v="8"/>
    <m/>
    <x v="5"/>
    <x v="0"/>
    <n v="661200"/>
    <s v="count"/>
    <s v="661.2 K"/>
    <m/>
    <m/>
    <m/>
  </r>
  <r>
    <s v="2025-Q2"/>
    <x v="0"/>
    <n v="2"/>
    <s v="category"/>
    <s v="category_chart"/>
    <x v="0"/>
    <s v="Users"/>
    <x v="9"/>
    <m/>
    <x v="5"/>
    <x v="0"/>
    <n v="1840000"/>
    <s v="count"/>
    <s v="1.84 M"/>
    <m/>
    <m/>
    <m/>
  </r>
  <r>
    <s v="2025-Q2"/>
    <x v="0"/>
    <n v="2"/>
    <s v="category"/>
    <s v="category_chart"/>
    <x v="0"/>
    <s v="Users"/>
    <x v="10"/>
    <m/>
    <x v="5"/>
    <x v="0"/>
    <n v="1810000"/>
    <s v="count"/>
    <s v="1.81 M"/>
    <m/>
    <m/>
    <m/>
  </r>
  <r>
    <s v="2025-Q2"/>
    <x v="0"/>
    <n v="2"/>
    <s v="category"/>
    <s v="category_chart"/>
    <x v="0"/>
    <s v="Users"/>
    <x v="11"/>
    <m/>
    <x v="5"/>
    <x v="0"/>
    <n v="37600"/>
    <s v="count"/>
    <s v="37.6 K"/>
    <m/>
    <m/>
    <m/>
  </r>
  <r>
    <s v="2025-Q2"/>
    <x v="0"/>
    <n v="2"/>
    <s v="category"/>
    <s v="category_chart"/>
    <x v="0"/>
    <s v="Users"/>
    <x v="12"/>
    <m/>
    <x v="5"/>
    <x v="0"/>
    <n v="1160000"/>
    <s v="count"/>
    <s v="1.16 M"/>
    <m/>
    <m/>
    <m/>
  </r>
  <r>
    <s v="2025-Q2"/>
    <x v="0"/>
    <n v="2"/>
    <s v="category"/>
    <s v="category_chart"/>
    <x v="0"/>
    <s v="Users"/>
    <x v="13"/>
    <m/>
    <x v="5"/>
    <x v="0"/>
    <n v="71800"/>
    <s v="count"/>
    <s v="71.8 K"/>
    <m/>
    <m/>
    <m/>
  </r>
  <r>
    <s v="2025-Q2"/>
    <x v="0"/>
    <n v="2"/>
    <s v="chart_point"/>
    <s v="trend_chart"/>
    <x v="0"/>
    <s v="Users"/>
    <x v="14"/>
    <m/>
    <x v="4"/>
    <x v="1"/>
    <n v="1780000"/>
    <s v="count"/>
    <s v="1.78 M"/>
    <s v="TRUE"/>
    <s v="restated"/>
    <m/>
  </r>
  <r>
    <s v="2025-Q2"/>
    <x v="0"/>
    <n v="2"/>
    <s v="kpi"/>
    <s v="stat_box"/>
    <x v="0"/>
    <s v="Users"/>
    <x v="14"/>
    <m/>
    <x v="5"/>
    <x v="0"/>
    <n v="1880000"/>
    <s v="count"/>
    <s v="1.88 M"/>
    <m/>
    <m/>
    <m/>
  </r>
  <r>
    <s v="2025-Q3"/>
    <x v="0"/>
    <n v="2"/>
    <s v="category"/>
    <s v="category_chart"/>
    <x v="0"/>
    <s v="Users"/>
    <x v="0"/>
    <m/>
    <x v="6"/>
    <x v="0"/>
    <n v="729700"/>
    <s v="count"/>
    <s v="729.7 K"/>
    <m/>
    <m/>
    <m/>
  </r>
  <r>
    <s v="2025-Q3"/>
    <x v="0"/>
    <n v="2"/>
    <s v="category"/>
    <s v="category_chart"/>
    <x v="0"/>
    <s v="Users"/>
    <x v="1"/>
    <m/>
    <x v="6"/>
    <x v="0"/>
    <n v="516000"/>
    <s v="count"/>
    <s v="516.0 K"/>
    <m/>
    <m/>
    <m/>
  </r>
  <r>
    <s v="2025-Q3"/>
    <x v="0"/>
    <n v="2"/>
    <s v="category"/>
    <s v="category_chart"/>
    <x v="0"/>
    <s v="Users"/>
    <x v="2"/>
    <m/>
    <x v="6"/>
    <x v="0"/>
    <n v="354300"/>
    <s v="count"/>
    <s v="354.3 K"/>
    <m/>
    <m/>
    <m/>
  </r>
  <r>
    <s v="2025-Q3"/>
    <x v="0"/>
    <n v="2"/>
    <s v="category"/>
    <s v="category_chart"/>
    <x v="0"/>
    <s v="Users"/>
    <x v="3"/>
    <m/>
    <x v="6"/>
    <x v="0"/>
    <n v="218100"/>
    <s v="count"/>
    <s v="218.1 K"/>
    <m/>
    <m/>
    <m/>
  </r>
  <r>
    <s v="2025-Q3"/>
    <x v="0"/>
    <n v="2"/>
    <s v="category"/>
    <s v="category_chart"/>
    <x v="0"/>
    <s v="Users"/>
    <x v="4"/>
    <m/>
    <x v="6"/>
    <x v="0"/>
    <n v="99800"/>
    <s v="count"/>
    <s v="99.8 K"/>
    <m/>
    <m/>
    <m/>
  </r>
  <r>
    <s v="2025-Q3"/>
    <x v="0"/>
    <n v="2"/>
    <s v="category"/>
    <s v="category_chart"/>
    <x v="0"/>
    <s v="Users"/>
    <x v="5"/>
    <m/>
    <x v="6"/>
    <x v="0"/>
    <n v="26500"/>
    <s v="count"/>
    <s v="26.5 K"/>
    <m/>
    <m/>
    <m/>
  </r>
  <r>
    <s v="2025-Q3"/>
    <x v="0"/>
    <n v="2"/>
    <s v="category"/>
    <s v="category_chart"/>
    <x v="0"/>
    <s v="Users"/>
    <x v="6"/>
    <m/>
    <x v="6"/>
    <x v="0"/>
    <n v="6000"/>
    <s v="count"/>
    <s v="6.0 K"/>
    <m/>
    <m/>
    <m/>
  </r>
  <r>
    <s v="2025-Q3"/>
    <x v="0"/>
    <n v="2"/>
    <s v="category"/>
    <s v="category_chart"/>
    <x v="0"/>
    <s v="Users"/>
    <x v="7"/>
    <m/>
    <x v="6"/>
    <x v="0"/>
    <n v="9200"/>
    <s v="count"/>
    <s v="9.2 K"/>
    <m/>
    <m/>
    <m/>
  </r>
  <r>
    <s v="2025-Q3"/>
    <x v="0"/>
    <n v="2"/>
    <s v="category"/>
    <s v="category_chart"/>
    <x v="0"/>
    <s v="Users"/>
    <x v="8"/>
    <m/>
    <x v="6"/>
    <x v="0"/>
    <n v="709400"/>
    <s v="count"/>
    <s v="709.4 K"/>
    <m/>
    <m/>
    <m/>
  </r>
  <r>
    <s v="2025-Q3"/>
    <x v="0"/>
    <n v="2"/>
    <s v="category"/>
    <s v="category_chart"/>
    <x v="0"/>
    <s v="Users"/>
    <x v="9"/>
    <m/>
    <x v="6"/>
    <x v="0"/>
    <n v="1950000"/>
    <s v="count"/>
    <s v="1.95 M"/>
    <m/>
    <m/>
    <m/>
  </r>
  <r>
    <s v="2025-Q3"/>
    <x v="0"/>
    <n v="2"/>
    <s v="category"/>
    <s v="category_chart"/>
    <x v="0"/>
    <s v="Users"/>
    <x v="10"/>
    <m/>
    <x v="6"/>
    <x v="0"/>
    <n v="1930000"/>
    <s v="count"/>
    <s v="1.93 M"/>
    <m/>
    <m/>
    <m/>
  </r>
  <r>
    <s v="2025-Q3"/>
    <x v="0"/>
    <n v="2"/>
    <s v="category"/>
    <s v="category_chart"/>
    <x v="0"/>
    <s v="Users"/>
    <x v="11"/>
    <m/>
    <x v="6"/>
    <x v="0"/>
    <n v="55300"/>
    <s v="count"/>
    <s v="55.3 K"/>
    <m/>
    <m/>
    <m/>
  </r>
  <r>
    <s v="2025-Q3"/>
    <x v="0"/>
    <n v="2"/>
    <s v="category"/>
    <s v="category_chart"/>
    <x v="0"/>
    <s v="Users"/>
    <x v="12"/>
    <m/>
    <x v="6"/>
    <x v="0"/>
    <n v="1240000"/>
    <s v="count"/>
    <s v="1.24 M"/>
    <m/>
    <m/>
    <m/>
  </r>
  <r>
    <s v="2025-Q3"/>
    <x v="0"/>
    <n v="2"/>
    <s v="category"/>
    <s v="category_chart"/>
    <x v="0"/>
    <s v="Users"/>
    <x v="13"/>
    <m/>
    <x v="6"/>
    <x v="0"/>
    <n v="78000"/>
    <s v="count"/>
    <s v="78.0 K"/>
    <m/>
    <m/>
    <m/>
  </r>
  <r>
    <s v="2025-Q3"/>
    <x v="0"/>
    <n v="2"/>
    <s v="chart_point"/>
    <s v="trend_chart"/>
    <x v="0"/>
    <s v="Users"/>
    <x v="14"/>
    <m/>
    <x v="4"/>
    <x v="1"/>
    <n v="1780000"/>
    <s v="count"/>
    <s v="1.78 M"/>
    <s v="TRUE"/>
    <s v="restated"/>
    <m/>
  </r>
  <r>
    <s v="2025-Q3"/>
    <x v="0"/>
    <n v="2"/>
    <s v="chart_point"/>
    <s v="trend_chart"/>
    <x v="0"/>
    <s v="Users"/>
    <x v="14"/>
    <m/>
    <x v="5"/>
    <x v="1"/>
    <n v="1880000"/>
    <s v="count"/>
    <s v="1.88 M"/>
    <s v="TRUE"/>
    <s v="restated"/>
    <m/>
  </r>
  <r>
    <s v="2025-Q3"/>
    <x v="0"/>
    <n v="2"/>
    <s v="kpi"/>
    <s v="stat_box"/>
    <x v="0"/>
    <s v="Users"/>
    <x v="14"/>
    <m/>
    <x v="6"/>
    <x v="0"/>
    <n v="2000000"/>
    <s v="count"/>
    <s v="2.00 M"/>
    <m/>
    <m/>
    <m/>
  </r>
  <r>
    <s v="2025-Q4"/>
    <x v="0"/>
    <n v="2"/>
    <s v="category"/>
    <s v="category_chart"/>
    <x v="0"/>
    <s v="Users"/>
    <x v="0"/>
    <m/>
    <x v="7"/>
    <x v="0"/>
    <n v="775500"/>
    <s v="count"/>
    <s v="775.5 K"/>
    <m/>
    <m/>
    <m/>
  </r>
  <r>
    <s v="2025-Q4"/>
    <x v="0"/>
    <n v="2"/>
    <s v="category"/>
    <s v="category_chart"/>
    <x v="0"/>
    <s v="Users"/>
    <x v="1"/>
    <m/>
    <x v="7"/>
    <x v="0"/>
    <n v="542000"/>
    <s v="count"/>
    <s v="542.0 K"/>
    <m/>
    <m/>
    <m/>
  </r>
  <r>
    <s v="2025-Q4"/>
    <x v="0"/>
    <n v="2"/>
    <s v="category"/>
    <s v="category_chart"/>
    <x v="0"/>
    <s v="Users"/>
    <x v="2"/>
    <m/>
    <x v="7"/>
    <x v="0"/>
    <n v="375400"/>
    <s v="count"/>
    <s v="375.4 K"/>
    <m/>
    <m/>
    <m/>
  </r>
  <r>
    <s v="2025-Q4"/>
    <x v="0"/>
    <n v="2"/>
    <s v="category"/>
    <s v="category_chart"/>
    <x v="0"/>
    <s v="Users"/>
    <x v="3"/>
    <m/>
    <x v="7"/>
    <x v="0"/>
    <n v="232200"/>
    <s v="count"/>
    <s v="232.2 K"/>
    <m/>
    <m/>
    <m/>
  </r>
  <r>
    <s v="2025-Q4"/>
    <x v="0"/>
    <n v="2"/>
    <s v="category"/>
    <s v="category_chart"/>
    <x v="0"/>
    <s v="Users"/>
    <x v="4"/>
    <m/>
    <x v="7"/>
    <x v="0"/>
    <n v="107100"/>
    <s v="count"/>
    <s v="107.1 K"/>
    <m/>
    <m/>
    <m/>
  </r>
  <r>
    <s v="2025-Q4"/>
    <x v="0"/>
    <n v="2"/>
    <s v="category"/>
    <s v="category_chart"/>
    <x v="0"/>
    <s v="Users"/>
    <x v="5"/>
    <m/>
    <x v="7"/>
    <x v="0"/>
    <n v="28800"/>
    <s v="count"/>
    <s v="28.8 K"/>
    <m/>
    <m/>
    <m/>
  </r>
  <r>
    <s v="2025-Q4"/>
    <x v="0"/>
    <n v="2"/>
    <s v="category"/>
    <s v="category_chart"/>
    <x v="0"/>
    <s v="Users"/>
    <x v="6"/>
    <m/>
    <x v="7"/>
    <x v="0"/>
    <n v="6400"/>
    <s v="count"/>
    <s v="6.4 K"/>
    <m/>
    <m/>
    <m/>
  </r>
  <r>
    <s v="2025-Q4"/>
    <x v="0"/>
    <n v="2"/>
    <s v="category"/>
    <s v="category_chart"/>
    <x v="0"/>
    <s v="Users"/>
    <x v="7"/>
    <m/>
    <x v="7"/>
    <x v="0"/>
    <n v="9700"/>
    <s v="count"/>
    <s v="9.7 K"/>
    <m/>
    <m/>
    <m/>
  </r>
  <r>
    <s v="2025-Q4"/>
    <x v="0"/>
    <n v="2"/>
    <s v="category"/>
    <s v="category_chart"/>
    <x v="0"/>
    <s v="Users"/>
    <x v="8"/>
    <m/>
    <x v="7"/>
    <x v="0"/>
    <n v="763600"/>
    <s v="count"/>
    <s v="763.6 K"/>
    <m/>
    <m/>
    <m/>
  </r>
  <r>
    <s v="2025-Q4"/>
    <x v="0"/>
    <n v="2"/>
    <s v="category"/>
    <s v="category_chart"/>
    <x v="0"/>
    <s v="Users"/>
    <x v="9"/>
    <m/>
    <x v="7"/>
    <x v="0"/>
    <n v="2080000"/>
    <s v="count"/>
    <s v="2.08 M"/>
    <m/>
    <m/>
    <m/>
  </r>
  <r>
    <s v="2025-Q4"/>
    <x v="0"/>
    <n v="2"/>
    <s v="category"/>
    <s v="category_chart"/>
    <x v="0"/>
    <s v="Users"/>
    <x v="10"/>
    <m/>
    <x v="7"/>
    <x v="0"/>
    <n v="2040000"/>
    <s v="count"/>
    <s v="2.04 M"/>
    <m/>
    <m/>
    <m/>
  </r>
  <r>
    <s v="2025-Q4"/>
    <x v="0"/>
    <n v="2"/>
    <s v="category"/>
    <s v="category_chart"/>
    <x v="0"/>
    <s v="Users"/>
    <x v="11"/>
    <m/>
    <x v="7"/>
    <x v="0"/>
    <n v="48300"/>
    <s v="count"/>
    <s v="48.3 K"/>
    <m/>
    <m/>
    <m/>
  </r>
  <r>
    <s v="2025-Q4"/>
    <x v="0"/>
    <n v="2"/>
    <s v="category"/>
    <s v="category_chart"/>
    <x v="0"/>
    <s v="Users"/>
    <x v="12"/>
    <m/>
    <x v="7"/>
    <x v="0"/>
    <n v="1300000"/>
    <s v="count"/>
    <s v="1.30 M"/>
    <m/>
    <m/>
    <m/>
  </r>
  <r>
    <s v="2025-Q4"/>
    <x v="0"/>
    <n v="2"/>
    <s v="category"/>
    <s v="category_chart"/>
    <x v="0"/>
    <s v="Users"/>
    <x v="13"/>
    <m/>
    <x v="7"/>
    <x v="0"/>
    <n v="84000"/>
    <s v="count"/>
    <s v="84.0 K"/>
    <m/>
    <m/>
    <m/>
  </r>
  <r>
    <s v="2025-Q4"/>
    <x v="0"/>
    <n v="2"/>
    <s v="chart_point"/>
    <s v="trend_chart"/>
    <x v="0"/>
    <s v="Users"/>
    <x v="14"/>
    <m/>
    <x v="4"/>
    <x v="1"/>
    <n v="1780000"/>
    <s v="count"/>
    <s v="1.78 M"/>
    <s v="TRUE"/>
    <s v="restated"/>
    <m/>
  </r>
  <r>
    <s v="2025-Q4"/>
    <x v="0"/>
    <n v="2"/>
    <s v="chart_point"/>
    <s v="trend_chart"/>
    <x v="0"/>
    <s v="Users"/>
    <x v="14"/>
    <m/>
    <x v="5"/>
    <x v="1"/>
    <n v="1880000"/>
    <s v="count"/>
    <s v="1.88 M"/>
    <s v="TRUE"/>
    <s v="restated"/>
    <m/>
  </r>
  <r>
    <s v="2025-Q4"/>
    <x v="0"/>
    <n v="2"/>
    <s v="chart_point"/>
    <s v="trend_chart"/>
    <x v="0"/>
    <s v="Users"/>
    <x v="14"/>
    <m/>
    <x v="6"/>
    <x v="1"/>
    <n v="2000000"/>
    <s v="count"/>
    <s v="2.00 M"/>
    <s v="TRUE"/>
    <s v="restated"/>
    <m/>
  </r>
  <r>
    <s v="2025-Q4"/>
    <x v="0"/>
    <n v="2"/>
    <s v="kpi"/>
    <s v="stat_box"/>
    <x v="0"/>
    <s v="Users"/>
    <x v="14"/>
    <m/>
    <x v="7"/>
    <x v="0"/>
    <n v="2130000"/>
    <s v="count"/>
    <s v="2.13 M"/>
    <m/>
    <m/>
    <m/>
  </r>
  <r>
    <s v="2026-Q1"/>
    <x v="0"/>
    <n v="2"/>
    <s v="category"/>
    <s v="category_chart"/>
    <x v="0"/>
    <s v="Users"/>
    <x v="0"/>
    <m/>
    <x v="8"/>
    <x v="0"/>
    <n v="795100"/>
    <s v="count"/>
    <s v="795.1 K"/>
    <m/>
    <m/>
    <m/>
  </r>
  <r>
    <s v="2026-Q1"/>
    <x v="0"/>
    <n v="2"/>
    <s v="category"/>
    <s v="category_chart"/>
    <x v="0"/>
    <s v="Users"/>
    <x v="1"/>
    <m/>
    <x v="8"/>
    <x v="0"/>
    <n v="567000"/>
    <s v="count"/>
    <s v="567.0 K"/>
    <m/>
    <m/>
    <m/>
  </r>
  <r>
    <s v="2026-Q1"/>
    <x v="0"/>
    <n v="2"/>
    <s v="category"/>
    <s v="category_chart"/>
    <x v="0"/>
    <s v="Users"/>
    <x v="2"/>
    <m/>
    <x v="8"/>
    <x v="0"/>
    <n v="397000"/>
    <s v="count"/>
    <s v="397.0 K"/>
    <m/>
    <m/>
    <m/>
  </r>
  <r>
    <s v="2026-Q1"/>
    <x v="0"/>
    <n v="2"/>
    <s v="category"/>
    <s v="category_chart"/>
    <x v="0"/>
    <s v="Users"/>
    <x v="3"/>
    <m/>
    <x v="8"/>
    <x v="0"/>
    <n v="246200"/>
    <s v="count"/>
    <s v="246.2 K"/>
    <m/>
    <m/>
    <m/>
  </r>
  <r>
    <s v="2026-Q1"/>
    <x v="0"/>
    <n v="2"/>
    <s v="category"/>
    <s v="category_chart"/>
    <x v="0"/>
    <s v="Users"/>
    <x v="4"/>
    <m/>
    <x v="8"/>
    <x v="0"/>
    <n v="115500"/>
    <s v="count"/>
    <s v="115.5 K"/>
    <m/>
    <m/>
    <m/>
  </r>
  <r>
    <s v="2026-Q1"/>
    <x v="0"/>
    <n v="2"/>
    <s v="category"/>
    <s v="category_chart"/>
    <x v="0"/>
    <s v="Users"/>
    <x v="5"/>
    <m/>
    <x v="8"/>
    <x v="0"/>
    <n v="31500"/>
    <s v="count"/>
    <s v="31.5 K"/>
    <m/>
    <m/>
    <m/>
  </r>
  <r>
    <s v="2026-Q1"/>
    <x v="0"/>
    <n v="2"/>
    <s v="category"/>
    <s v="category_chart"/>
    <x v="0"/>
    <s v="Users"/>
    <x v="6"/>
    <m/>
    <x v="8"/>
    <x v="0"/>
    <n v="7000"/>
    <s v="count"/>
    <s v="7.0 K"/>
    <m/>
    <m/>
    <m/>
  </r>
  <r>
    <s v="2026-Q1"/>
    <x v="0"/>
    <n v="2"/>
    <s v="category"/>
    <s v="category_chart"/>
    <x v="0"/>
    <s v="Users"/>
    <x v="7"/>
    <m/>
    <x v="8"/>
    <x v="0"/>
    <n v="10400"/>
    <s v="count"/>
    <s v="10.4 K"/>
    <m/>
    <m/>
    <m/>
  </r>
  <r>
    <s v="2026-Q1"/>
    <x v="0"/>
    <n v="2"/>
    <s v="category"/>
    <s v="category_chart"/>
    <x v="0"/>
    <s v="Users"/>
    <x v="8"/>
    <m/>
    <x v="8"/>
    <x v="0"/>
    <n v="803600"/>
    <s v="count"/>
    <s v="803.6 K"/>
    <m/>
    <m/>
    <m/>
  </r>
  <r>
    <s v="2026-Q1"/>
    <x v="0"/>
    <n v="2"/>
    <s v="category"/>
    <s v="category_chart"/>
    <x v="0"/>
    <s v="Users"/>
    <x v="9"/>
    <m/>
    <x v="8"/>
    <x v="0"/>
    <n v="2170000"/>
    <s v="count"/>
    <s v="2.17 M"/>
    <m/>
    <m/>
    <m/>
  </r>
  <r>
    <s v="2026-Q1"/>
    <x v="0"/>
    <n v="2"/>
    <s v="category"/>
    <s v="category_chart"/>
    <x v="0"/>
    <s v="Users"/>
    <x v="10"/>
    <m/>
    <x v="8"/>
    <x v="0"/>
    <n v="2130000"/>
    <s v="count"/>
    <s v="2.13 M"/>
    <m/>
    <m/>
    <m/>
  </r>
  <r>
    <s v="2026-Q1"/>
    <x v="0"/>
    <n v="2"/>
    <s v="category"/>
    <s v="category_chart"/>
    <x v="0"/>
    <s v="Users"/>
    <x v="11"/>
    <m/>
    <x v="8"/>
    <x v="0"/>
    <n v="52100"/>
    <s v="count"/>
    <s v="52.1 K"/>
    <m/>
    <m/>
    <m/>
  </r>
  <r>
    <s v="2026-Q1"/>
    <x v="0"/>
    <n v="2"/>
    <s v="category"/>
    <s v="category_chart"/>
    <x v="0"/>
    <s v="Users"/>
    <x v="12"/>
    <m/>
    <x v="8"/>
    <x v="0"/>
    <n v="1350000"/>
    <s v="count"/>
    <s v="1.35 M"/>
    <m/>
    <m/>
    <m/>
  </r>
  <r>
    <s v="2026-Q1"/>
    <x v="0"/>
    <n v="2"/>
    <s v="category"/>
    <s v="category_chart"/>
    <x v="0"/>
    <s v="Users"/>
    <x v="13"/>
    <m/>
    <x v="8"/>
    <x v="0"/>
    <n v="89200"/>
    <s v="count"/>
    <s v="89.2 K"/>
    <m/>
    <m/>
    <m/>
  </r>
  <r>
    <s v="2026-Q1"/>
    <x v="0"/>
    <n v="2"/>
    <s v="chart_point"/>
    <s v="trend_chart"/>
    <x v="0"/>
    <s v="Users"/>
    <x v="14"/>
    <m/>
    <x v="7"/>
    <x v="1"/>
    <n v="2130000"/>
    <s v="count"/>
    <s v="2.13 M"/>
    <s v="TRUE"/>
    <s v="restated"/>
    <m/>
  </r>
  <r>
    <s v="2026-Q1"/>
    <x v="0"/>
    <n v="2"/>
    <s v="kpi"/>
    <s v="stat_box"/>
    <x v="0"/>
    <s v="Users"/>
    <x v="14"/>
    <m/>
    <x v="8"/>
    <x v="0"/>
    <n v="2220000"/>
    <s v="count"/>
    <s v="2.22 M"/>
    <m/>
    <m/>
    <m/>
  </r>
  <r>
    <s v="2026-Q2"/>
    <x v="0"/>
    <n v="2"/>
    <s v="category"/>
    <s v="category_chart"/>
    <x v="0"/>
    <s v="Users"/>
    <x v="0"/>
    <m/>
    <x v="9"/>
    <x v="0"/>
    <n v="816500"/>
    <s v="count"/>
    <s v="816.5 K"/>
    <m/>
    <m/>
    <m/>
  </r>
  <r>
    <s v="2026-Q2"/>
    <x v="0"/>
    <n v="2"/>
    <s v="category"/>
    <s v="category_chart"/>
    <x v="0"/>
    <s v="Users"/>
    <x v="1"/>
    <m/>
    <x v="9"/>
    <x v="0"/>
    <n v="589000"/>
    <s v="count"/>
    <s v="589.0 K"/>
    <m/>
    <m/>
    <m/>
  </r>
  <r>
    <s v="2026-Q2"/>
    <x v="0"/>
    <n v="2"/>
    <s v="category"/>
    <s v="category_chart"/>
    <x v="0"/>
    <s v="Users"/>
    <x v="2"/>
    <m/>
    <x v="9"/>
    <x v="0"/>
    <n v="415300"/>
    <s v="count"/>
    <s v="415.3 K"/>
    <m/>
    <m/>
    <m/>
  </r>
  <r>
    <s v="2026-Q2"/>
    <x v="0"/>
    <n v="2"/>
    <s v="category"/>
    <s v="category_chart"/>
    <x v="0"/>
    <s v="Users"/>
    <x v="3"/>
    <m/>
    <x v="9"/>
    <x v="0"/>
    <n v="258400"/>
    <s v="count"/>
    <s v="258.4 K"/>
    <m/>
    <m/>
    <m/>
  </r>
  <r>
    <s v="2026-Q2"/>
    <x v="0"/>
    <n v="2"/>
    <s v="category"/>
    <s v="category_chart"/>
    <x v="0"/>
    <s v="Users"/>
    <x v="4"/>
    <m/>
    <x v="9"/>
    <x v="0"/>
    <n v="122800"/>
    <s v="count"/>
    <s v="122.8 K"/>
    <m/>
    <m/>
    <m/>
  </r>
  <r>
    <s v="2026-Q2"/>
    <x v="0"/>
    <n v="2"/>
    <s v="category"/>
    <s v="category_chart"/>
    <x v="0"/>
    <s v="Users"/>
    <x v="5"/>
    <m/>
    <x v="9"/>
    <x v="0"/>
    <n v="34000"/>
    <s v="count"/>
    <s v="34.0 K"/>
    <m/>
    <m/>
    <m/>
  </r>
  <r>
    <s v="2026-Q2"/>
    <x v="0"/>
    <n v="2"/>
    <s v="category"/>
    <s v="category_chart"/>
    <x v="0"/>
    <s v="Users"/>
    <x v="6"/>
    <m/>
    <x v="9"/>
    <x v="0"/>
    <n v="8400"/>
    <s v="count"/>
    <s v="8.4 K"/>
    <m/>
    <m/>
    <m/>
  </r>
  <r>
    <s v="2026-Q2"/>
    <x v="0"/>
    <n v="2"/>
    <s v="category"/>
    <s v="category_chart"/>
    <x v="0"/>
    <s v="Users"/>
    <x v="7"/>
    <m/>
    <x v="9"/>
    <x v="0"/>
    <n v="11200"/>
    <s v="count"/>
    <s v="11.2 K"/>
    <m/>
    <m/>
    <m/>
  </r>
  <r>
    <s v="2026-Q2"/>
    <x v="0"/>
    <n v="2"/>
    <s v="category"/>
    <s v="category_chart"/>
    <x v="0"/>
    <s v="Users"/>
    <x v="8"/>
    <m/>
    <x v="9"/>
    <x v="0"/>
    <n v="840900"/>
    <s v="count"/>
    <s v="840.9 K"/>
    <m/>
    <m/>
    <m/>
  </r>
  <r>
    <s v="2026-Q2"/>
    <x v="0"/>
    <n v="2"/>
    <s v="category"/>
    <s v="category_chart"/>
    <x v="0"/>
    <s v="Users"/>
    <x v="9"/>
    <m/>
    <x v="9"/>
    <x v="0"/>
    <n v="2260000"/>
    <s v="count"/>
    <s v="2.26 M"/>
    <m/>
    <m/>
    <m/>
  </r>
  <r>
    <s v="2026-Q2"/>
    <x v="0"/>
    <n v="2"/>
    <s v="category"/>
    <s v="category_chart"/>
    <x v="0"/>
    <s v="Users"/>
    <x v="10"/>
    <m/>
    <x v="9"/>
    <x v="0"/>
    <n v="2220000"/>
    <s v="count"/>
    <s v="2.22 M"/>
    <m/>
    <m/>
    <m/>
  </r>
  <r>
    <s v="2026-Q2"/>
    <x v="0"/>
    <n v="2"/>
    <s v="category"/>
    <s v="category_chart"/>
    <x v="0"/>
    <s v="Users"/>
    <x v="11"/>
    <m/>
    <x v="9"/>
    <x v="0"/>
    <n v="56000"/>
    <s v="count"/>
    <s v="56.0 K"/>
    <m/>
    <m/>
    <m/>
  </r>
  <r>
    <s v="2026-Q2"/>
    <x v="0"/>
    <n v="2"/>
    <s v="category"/>
    <s v="category_chart"/>
    <x v="0"/>
    <s v="Users"/>
    <x v="12"/>
    <m/>
    <x v="9"/>
    <x v="0"/>
    <n v="1400000"/>
    <s v="count"/>
    <s v="1.40 M"/>
    <m/>
    <m/>
    <m/>
  </r>
  <r>
    <s v="2026-Q2"/>
    <x v="0"/>
    <n v="2"/>
    <s v="category"/>
    <s v="category_chart"/>
    <x v="0"/>
    <s v="Users"/>
    <x v="13"/>
    <m/>
    <x v="9"/>
    <x v="0"/>
    <n v="94500"/>
    <s v="count"/>
    <s v="94.5 K"/>
    <m/>
    <m/>
    <m/>
  </r>
  <r>
    <s v="2026-Q2"/>
    <x v="0"/>
    <n v="2"/>
    <s v="chart_point"/>
    <s v="trend_chart"/>
    <x v="0"/>
    <s v="Users"/>
    <x v="14"/>
    <m/>
    <x v="8"/>
    <x v="1"/>
    <n v="2220000"/>
    <s v="count"/>
    <s v="2.22 M"/>
    <s v="TRUE"/>
    <s v="restated"/>
    <m/>
  </r>
  <r>
    <s v="2026-Q2"/>
    <x v="0"/>
    <n v="2"/>
    <s v="kpi"/>
    <s v="stat_box"/>
    <x v="0"/>
    <s v="Users"/>
    <x v="14"/>
    <m/>
    <x v="9"/>
    <x v="0"/>
    <n v="2310000"/>
    <s v="count"/>
    <s v="2.31 M"/>
    <m/>
    <m/>
    <m/>
  </r>
  <r>
    <s v="2024-Q3"/>
    <x v="0"/>
    <n v="3"/>
    <s v="category"/>
    <s v="category_chart"/>
    <x v="1"/>
    <s v="Transactions"/>
    <x v="15"/>
    <m/>
    <x v="0"/>
    <x v="0"/>
    <n v="20000000"/>
    <s v="count"/>
    <s v="20.00 M"/>
    <m/>
    <m/>
    <m/>
  </r>
  <r>
    <s v="2024-Q3"/>
    <x v="0"/>
    <n v="3"/>
    <s v="category"/>
    <s v="category_chart"/>
    <x v="1"/>
    <s v="Transactions"/>
    <x v="15"/>
    <s v="Off Us"/>
    <x v="0"/>
    <x v="0"/>
    <n v="10970000"/>
    <s v="count"/>
    <s v="10.97 M"/>
    <m/>
    <m/>
    <s v="dimension_L2 nested inside the Money Transfer slice of transaction type"/>
  </r>
  <r>
    <s v="2024-Q3"/>
    <x v="0"/>
    <n v="3"/>
    <s v="category"/>
    <s v="category_chart"/>
    <x v="1"/>
    <s v="Transactions"/>
    <x v="15"/>
    <s v="On Us"/>
    <x v="0"/>
    <x v="0"/>
    <n v="3780000"/>
    <s v="count"/>
    <s v="3.78 M"/>
    <m/>
    <m/>
    <s v="dimension_L2 nested inside the Money Transfer slice of transaction type"/>
  </r>
  <r>
    <s v="2024-Q3"/>
    <x v="0"/>
    <n v="3"/>
    <s v="category"/>
    <s v="category_chart"/>
    <x v="1"/>
    <s v="Transactions"/>
    <x v="16"/>
    <m/>
    <x v="0"/>
    <x v="0"/>
    <n v="3210000"/>
    <s v="count"/>
    <s v="3.21 M"/>
    <m/>
    <m/>
    <m/>
  </r>
  <r>
    <s v="2024-Q3"/>
    <x v="0"/>
    <n v="3"/>
    <s v="category"/>
    <s v="category_chart"/>
    <x v="2"/>
    <s v="Transactions"/>
    <x v="15"/>
    <m/>
    <x v="0"/>
    <x v="0"/>
    <n v="2790000000"/>
    <s v="JOD"/>
    <s v="2.79 B JOD"/>
    <m/>
    <m/>
    <m/>
  </r>
  <r>
    <s v="2024-Q3"/>
    <x v="0"/>
    <n v="3"/>
    <s v="category"/>
    <s v="category_chart"/>
    <x v="2"/>
    <s v="Transactions"/>
    <x v="15"/>
    <s v="Off Us"/>
    <x v="0"/>
    <x v="0"/>
    <n v="1910000000"/>
    <s v="JOD"/>
    <s v="1.91 B JOD"/>
    <m/>
    <m/>
    <s v="dimension_L2 nested inside the Money Transfer slice of transaction type"/>
  </r>
  <r>
    <s v="2024-Q3"/>
    <x v="0"/>
    <n v="3"/>
    <s v="category"/>
    <s v="category_chart"/>
    <x v="2"/>
    <s v="Transactions"/>
    <x v="15"/>
    <s v="On Us"/>
    <x v="0"/>
    <x v="0"/>
    <n v="483000000"/>
    <s v="JOD"/>
    <s v="483.00 M JOD"/>
    <m/>
    <m/>
    <s v="dimension_L2 nested inside the Money Transfer slice of transaction type"/>
  </r>
  <r>
    <s v="2024-Q3"/>
    <x v="0"/>
    <n v="3"/>
    <s v="category"/>
    <s v="category_chart"/>
    <x v="2"/>
    <s v="Transactions"/>
    <x v="16"/>
    <m/>
    <x v="0"/>
    <x v="0"/>
    <n v="626000000"/>
    <s v="JOD"/>
    <s v="626.00 M JOD"/>
    <m/>
    <m/>
    <m/>
  </r>
  <r>
    <s v="2024-Q3"/>
    <x v="0"/>
    <n v="3"/>
    <s v="chart_point"/>
    <s v="trend_chart"/>
    <x v="1"/>
    <s v="Transactions"/>
    <x v="14"/>
    <m/>
    <x v="1"/>
    <x v="1"/>
    <n v="14510000"/>
    <s v="count"/>
    <s v="14.51 M"/>
    <s v="TRUE"/>
    <s v="newest"/>
    <s v="no native/stat_box reading of 2024-Q1 exists anywhere in this corpus (its own quarterly PDF wasn't part of this extraction) - marked newest as the earliest available trailing_chart_point reading of it, per §8 rule 4's fallback"/>
  </r>
  <r>
    <s v="2024-Q3"/>
    <x v="0"/>
    <n v="3"/>
    <s v="chart_point"/>
    <s v="trend_chart"/>
    <x v="1"/>
    <s v="Transactions"/>
    <x v="14"/>
    <m/>
    <x v="2"/>
    <x v="1"/>
    <n v="18390000"/>
    <s v="count"/>
    <s v="18.39 M"/>
    <s v="TRUE"/>
    <s v="newest"/>
    <s v="no native/stat_box reading of 2024-Q2 exists anywhere in this corpus (its own quarterly PDF wasn't part of this extraction) - marked newest as the earliest available trailing_chart_point reading of it, per §8 rule 4's fallback"/>
  </r>
  <r>
    <s v="2024-Q3"/>
    <x v="0"/>
    <n v="3"/>
    <s v="chart_point"/>
    <s v="trend_chart"/>
    <x v="2"/>
    <s v="Transactions"/>
    <x v="14"/>
    <m/>
    <x v="1"/>
    <x v="1"/>
    <n v="2220000000"/>
    <s v="JOD"/>
    <s v="2.22 B JOD"/>
    <s v="TRUE"/>
    <s v="newest"/>
    <s v="no native/stat_box reading of 2024-Q1 exists anywhere in this corpus (its own quarterly PDF wasn't part of this extraction) - marked newest as the earliest available trailing_chart_point reading of it, per §8 rule 4's fallback"/>
  </r>
  <r>
    <s v="2024-Q3"/>
    <x v="0"/>
    <n v="3"/>
    <s v="chart_point"/>
    <s v="trend_chart"/>
    <x v="2"/>
    <s v="Transactions"/>
    <x v="14"/>
    <m/>
    <x v="2"/>
    <x v="1"/>
    <n v="2740000000"/>
    <s v="JOD"/>
    <s v="2.74 B JOD"/>
    <s v="TRUE"/>
    <s v="newest"/>
    <s v="no native/stat_box reading of 2024-Q2 exists anywhere in this corpus (its own quarterly PDF wasn't part of this extraction) - marked newest as the earliest available trailing_chart_point reading of it, per §8 rule 4's fallback"/>
  </r>
  <r>
    <s v="2024-Q3"/>
    <x v="0"/>
    <n v="3"/>
    <s v="kpi"/>
    <s v="stat_box"/>
    <x v="1"/>
    <s v="Transactions"/>
    <x v="14"/>
    <m/>
    <x v="0"/>
    <x v="0"/>
    <n v="23210000"/>
    <s v="count"/>
    <s v="23.21 M"/>
    <m/>
    <m/>
    <m/>
  </r>
  <r>
    <s v="2024-Q3"/>
    <x v="0"/>
    <n v="3"/>
    <s v="kpi"/>
    <s v="stat_box"/>
    <x v="2"/>
    <s v="Transactions"/>
    <x v="14"/>
    <m/>
    <x v="0"/>
    <x v="0"/>
    <n v="3420000000"/>
    <s v="JOD"/>
    <s v="3.42 B JOD"/>
    <m/>
    <m/>
    <m/>
  </r>
  <r>
    <s v="2024-Q4"/>
    <x v="0"/>
    <n v="3"/>
    <s v="category"/>
    <s v="category_chart"/>
    <x v="1"/>
    <s v="Transactions"/>
    <x v="15"/>
    <m/>
    <x v="3"/>
    <x v="0"/>
    <n v="23900000"/>
    <s v="count"/>
    <s v="23.90 M"/>
    <m/>
    <m/>
    <m/>
  </r>
  <r>
    <s v="2024-Q4"/>
    <x v="0"/>
    <n v="3"/>
    <s v="category"/>
    <s v="category_chart"/>
    <x v="1"/>
    <s v="Transactions"/>
    <x v="15"/>
    <s v="Off Us"/>
    <x v="3"/>
    <x v="0"/>
    <n v="13000000"/>
    <s v="count"/>
    <s v="13.00 M"/>
    <m/>
    <m/>
    <s v="dimension_L2 nested inside the Money Transfer slice of transaction type"/>
  </r>
  <r>
    <s v="2024-Q4"/>
    <x v="0"/>
    <n v="3"/>
    <s v="category"/>
    <s v="category_chart"/>
    <x v="1"/>
    <s v="Transactions"/>
    <x v="15"/>
    <s v="On Us"/>
    <x v="3"/>
    <x v="0"/>
    <n v="4520000"/>
    <s v="count"/>
    <s v="4.52 M"/>
    <m/>
    <m/>
    <s v="dimension_L2 nested inside the Money Transfer slice of transaction type"/>
  </r>
  <r>
    <s v="2024-Q4"/>
    <x v="0"/>
    <n v="3"/>
    <s v="category"/>
    <s v="category_chart"/>
    <x v="1"/>
    <s v="Transactions"/>
    <x v="16"/>
    <m/>
    <x v="3"/>
    <x v="0"/>
    <n v="3940000"/>
    <s v="count"/>
    <s v="3.94 M"/>
    <m/>
    <m/>
    <m/>
  </r>
  <r>
    <s v="2024-Q4"/>
    <x v="0"/>
    <n v="3"/>
    <s v="category"/>
    <s v="category_chart"/>
    <x v="2"/>
    <s v="Transactions"/>
    <x v="15"/>
    <m/>
    <x v="3"/>
    <x v="0"/>
    <n v="3030000000"/>
    <s v="JOD"/>
    <s v="3.03 B JOD"/>
    <m/>
    <m/>
    <m/>
  </r>
  <r>
    <s v="2024-Q4"/>
    <x v="0"/>
    <n v="3"/>
    <s v="category"/>
    <s v="category_chart"/>
    <x v="2"/>
    <s v="Transactions"/>
    <x v="15"/>
    <s v="Off Us"/>
    <x v="3"/>
    <x v="0"/>
    <n v="2070000000"/>
    <s v="JOD"/>
    <s v="2.07 B JOD"/>
    <m/>
    <m/>
    <s v="dimension_L2 nested inside the Money Transfer slice of transaction type"/>
  </r>
  <r>
    <s v="2024-Q4"/>
    <x v="0"/>
    <n v="3"/>
    <s v="category"/>
    <s v="category_chart"/>
    <x v="2"/>
    <s v="Transactions"/>
    <x v="15"/>
    <s v="On Us"/>
    <x v="3"/>
    <x v="0"/>
    <n v="530000000"/>
    <s v="JOD"/>
    <s v="530.00 M JOD"/>
    <m/>
    <m/>
    <s v="dimension_L2 nested inside the Money Transfer slice of transaction type"/>
  </r>
  <r>
    <s v="2024-Q4"/>
    <x v="0"/>
    <n v="3"/>
    <s v="category"/>
    <s v="category_chart"/>
    <x v="2"/>
    <s v="Transactions"/>
    <x v="16"/>
    <m/>
    <x v="3"/>
    <x v="0"/>
    <n v="702000000"/>
    <s v="JOD"/>
    <s v="702.00 M JOD"/>
    <m/>
    <m/>
    <m/>
  </r>
  <r>
    <s v="2024-Q4"/>
    <x v="0"/>
    <n v="3"/>
    <s v="chart_point"/>
    <s v="trend_chart"/>
    <x v="1"/>
    <s v="Transactions"/>
    <x v="14"/>
    <m/>
    <x v="1"/>
    <x v="1"/>
    <n v="14510000"/>
    <s v="count"/>
    <s v="14.51 M"/>
    <s v="TRUE"/>
    <s v="restated"/>
    <s v="see the 2024-Q3 report's reading of 2024-Q1, marked newest"/>
  </r>
  <r>
    <s v="2024-Q4"/>
    <x v="0"/>
    <n v="3"/>
    <s v="chart_point"/>
    <s v="trend_chart"/>
    <x v="1"/>
    <s v="Transactions"/>
    <x v="14"/>
    <m/>
    <x v="2"/>
    <x v="1"/>
    <n v="18390000"/>
    <s v="count"/>
    <s v="18.39 M"/>
    <s v="TRUE"/>
    <s v="restated"/>
    <s v="see the 2024-Q3 report's reading of 2024-Q2, marked newest"/>
  </r>
  <r>
    <s v="2024-Q4"/>
    <x v="0"/>
    <n v="3"/>
    <s v="chart_point"/>
    <s v="trend_chart"/>
    <x v="1"/>
    <s v="Transactions"/>
    <x v="14"/>
    <m/>
    <x v="0"/>
    <x v="1"/>
    <n v="23210000"/>
    <s v="count"/>
    <s v="23.21 M"/>
    <s v="TRUE"/>
    <s v="restated"/>
    <m/>
  </r>
  <r>
    <s v="2024-Q4"/>
    <x v="0"/>
    <n v="3"/>
    <s v="chart_point"/>
    <s v="trend_chart"/>
    <x v="2"/>
    <s v="Transactions"/>
    <x v="14"/>
    <m/>
    <x v="1"/>
    <x v="1"/>
    <n v="2220000000"/>
    <s v="JOD"/>
    <s v="2.22 B JOD"/>
    <s v="TRUE"/>
    <s v="restated"/>
    <s v="see the 2024-Q3 report's reading of 2024-Q1, marked newest"/>
  </r>
  <r>
    <s v="2024-Q4"/>
    <x v="0"/>
    <n v="3"/>
    <s v="chart_point"/>
    <s v="trend_chart"/>
    <x v="2"/>
    <s v="Transactions"/>
    <x v="14"/>
    <m/>
    <x v="2"/>
    <x v="1"/>
    <n v="2740000000"/>
    <s v="JOD"/>
    <s v="2.74 B JOD"/>
    <s v="TRUE"/>
    <s v="restated"/>
    <s v="see the 2024-Q3 report's reading of 2024-Q2, marked newest"/>
  </r>
  <r>
    <s v="2024-Q4"/>
    <x v="0"/>
    <n v="3"/>
    <s v="chart_point"/>
    <s v="trend_chart"/>
    <x v="2"/>
    <s v="Transactions"/>
    <x v="14"/>
    <m/>
    <x v="0"/>
    <x v="1"/>
    <n v="3420000000"/>
    <s v="JOD"/>
    <s v="3.42 B JOD"/>
    <s v="TRUE"/>
    <s v="restated"/>
    <m/>
  </r>
  <r>
    <s v="2024-Q4"/>
    <x v="0"/>
    <n v="3"/>
    <s v="kpi"/>
    <s v="stat_box"/>
    <x v="1"/>
    <s v="Transactions"/>
    <x v="14"/>
    <m/>
    <x v="3"/>
    <x v="0"/>
    <n v="27850000"/>
    <s v="count"/>
    <s v="27.85 M"/>
    <m/>
    <m/>
    <m/>
  </r>
  <r>
    <s v="2024-Q4"/>
    <x v="0"/>
    <n v="3"/>
    <s v="kpi"/>
    <s v="stat_box"/>
    <x v="2"/>
    <s v="Transactions"/>
    <x v="14"/>
    <m/>
    <x v="3"/>
    <x v="0"/>
    <n v="3730000000"/>
    <s v="JOD"/>
    <s v="3.73 B JOD"/>
    <m/>
    <m/>
    <m/>
  </r>
  <r>
    <s v="2025-Q1"/>
    <x v="0"/>
    <n v="3"/>
    <s v="category"/>
    <s v="category_chart"/>
    <x v="1"/>
    <s v="Transactions"/>
    <x v="15"/>
    <m/>
    <x v="4"/>
    <x v="0"/>
    <n v="27600000"/>
    <s v="count"/>
    <s v="27.60 M"/>
    <m/>
    <m/>
    <m/>
  </r>
  <r>
    <s v="2025-Q1"/>
    <x v="0"/>
    <n v="3"/>
    <s v="category"/>
    <s v="category_chart"/>
    <x v="1"/>
    <s v="Transactions"/>
    <x v="15"/>
    <s v="Off Us"/>
    <x v="4"/>
    <x v="0"/>
    <n v="14740000"/>
    <s v="count"/>
    <s v="14.74 M"/>
    <m/>
    <m/>
    <s v="dimension_L2 nested inside the Money Transfer slice of transaction type"/>
  </r>
  <r>
    <s v="2025-Q1"/>
    <x v="0"/>
    <n v="3"/>
    <s v="category"/>
    <s v="category_chart"/>
    <x v="1"/>
    <s v="Transactions"/>
    <x v="15"/>
    <s v="On Us"/>
    <x v="4"/>
    <x v="0"/>
    <n v="5200000"/>
    <s v="count"/>
    <s v="5.20 M"/>
    <m/>
    <m/>
    <s v="dimension_L2 nested inside the Money Transfer slice of transaction type"/>
  </r>
  <r>
    <s v="2025-Q1"/>
    <x v="0"/>
    <n v="3"/>
    <s v="category"/>
    <s v="category_chart"/>
    <x v="1"/>
    <s v="Transactions"/>
    <x v="16"/>
    <m/>
    <x v="4"/>
    <x v="0"/>
    <n v="4700000"/>
    <s v="count"/>
    <s v="4.70 M"/>
    <m/>
    <m/>
    <m/>
  </r>
  <r>
    <s v="2025-Q1"/>
    <x v="0"/>
    <n v="3"/>
    <s v="category"/>
    <s v="category_chart"/>
    <x v="2"/>
    <s v="Transactions"/>
    <x v="15"/>
    <m/>
    <x v="4"/>
    <x v="0"/>
    <n v="3370000000"/>
    <s v="JOD"/>
    <s v="3.37 B JOD"/>
    <m/>
    <m/>
    <m/>
  </r>
  <r>
    <s v="2025-Q1"/>
    <x v="0"/>
    <n v="3"/>
    <s v="category"/>
    <s v="category_chart"/>
    <x v="2"/>
    <s v="Transactions"/>
    <x v="15"/>
    <s v="Off Us"/>
    <x v="4"/>
    <x v="0"/>
    <n v="2290000000"/>
    <s v="JOD"/>
    <s v="2.29 B JOD"/>
    <m/>
    <m/>
    <s v="dimension_L2 nested inside the Money Transfer slice of transaction type"/>
  </r>
  <r>
    <s v="2025-Q1"/>
    <x v="0"/>
    <n v="3"/>
    <s v="category"/>
    <s v="category_chart"/>
    <x v="2"/>
    <s v="Transactions"/>
    <x v="15"/>
    <s v="On Us"/>
    <x v="4"/>
    <x v="0"/>
    <n v="595000000"/>
    <s v="JOD"/>
    <s v="595.00 M JOD"/>
    <m/>
    <m/>
    <s v="dimension_L2 nested inside the Money Transfer slice of transaction type"/>
  </r>
  <r>
    <s v="2025-Q1"/>
    <x v="0"/>
    <n v="3"/>
    <s v="category"/>
    <s v="category_chart"/>
    <x v="2"/>
    <s v="Transactions"/>
    <x v="16"/>
    <m/>
    <x v="4"/>
    <x v="0"/>
    <n v="808000000"/>
    <s v="JOD"/>
    <s v="808.00 M JOD"/>
    <m/>
    <m/>
    <m/>
  </r>
  <r>
    <s v="2025-Q1"/>
    <x v="0"/>
    <n v="3"/>
    <s v="chart_point"/>
    <s v="trend_chart"/>
    <x v="1"/>
    <s v="Transactions"/>
    <x v="14"/>
    <m/>
    <x v="3"/>
    <x v="1"/>
    <n v="27850000"/>
    <s v="count"/>
    <s v="27.85 M"/>
    <s v="TRUE"/>
    <s v="restated"/>
    <m/>
  </r>
  <r>
    <s v="2025-Q1"/>
    <x v="0"/>
    <n v="3"/>
    <s v="chart_point"/>
    <s v="trend_chart"/>
    <x v="2"/>
    <s v="Transactions"/>
    <x v="14"/>
    <m/>
    <x v="3"/>
    <x v="1"/>
    <n v="3730000000"/>
    <s v="JOD"/>
    <s v="3.73 B JOD"/>
    <s v="TRUE"/>
    <s v="restated"/>
    <m/>
  </r>
  <r>
    <s v="2025-Q1"/>
    <x v="0"/>
    <n v="3"/>
    <s v="kpi"/>
    <s v="stat_box"/>
    <x v="1"/>
    <s v="Transactions"/>
    <x v="14"/>
    <m/>
    <x v="4"/>
    <x v="0"/>
    <n v="32330000"/>
    <s v="count"/>
    <s v="32.33 M"/>
    <m/>
    <m/>
    <m/>
  </r>
  <r>
    <s v="2025-Q1"/>
    <x v="0"/>
    <n v="3"/>
    <s v="kpi"/>
    <s v="stat_box"/>
    <x v="2"/>
    <s v="Transactions"/>
    <x v="14"/>
    <m/>
    <x v="4"/>
    <x v="0"/>
    <n v="4170000000"/>
    <s v="JOD"/>
    <s v="4.17 B JOD"/>
    <m/>
    <m/>
    <m/>
  </r>
  <r>
    <s v="2025-Q2"/>
    <x v="0"/>
    <n v="3"/>
    <s v="category"/>
    <s v="category_chart"/>
    <x v="1"/>
    <s v="Transactions"/>
    <x v="15"/>
    <m/>
    <x v="5"/>
    <x v="0"/>
    <n v="32500000"/>
    <s v="count"/>
    <s v="32.50 M"/>
    <m/>
    <m/>
    <m/>
  </r>
  <r>
    <s v="2025-Q2"/>
    <x v="0"/>
    <n v="3"/>
    <s v="category"/>
    <s v="category_chart"/>
    <x v="1"/>
    <s v="Transactions"/>
    <x v="15"/>
    <s v="Off Us"/>
    <x v="5"/>
    <x v="0"/>
    <n v="17070000"/>
    <s v="count"/>
    <s v="17.07 M"/>
    <m/>
    <m/>
    <s v="dimension_L2 nested inside the Money Transfer slice of transaction type"/>
  </r>
  <r>
    <s v="2025-Q2"/>
    <x v="0"/>
    <n v="3"/>
    <s v="category"/>
    <s v="category_chart"/>
    <x v="1"/>
    <s v="Transactions"/>
    <x v="15"/>
    <s v="On Us"/>
    <x v="5"/>
    <x v="0"/>
    <n v="6090000"/>
    <s v="count"/>
    <s v="6.09 M"/>
    <m/>
    <m/>
    <s v="dimension_L2 nested inside the Money Transfer slice of transaction type"/>
  </r>
  <r>
    <s v="2025-Q2"/>
    <x v="0"/>
    <n v="3"/>
    <s v="category"/>
    <s v="category_chart"/>
    <x v="1"/>
    <s v="Transactions"/>
    <x v="16"/>
    <m/>
    <x v="5"/>
    <x v="0"/>
    <n v="5790000"/>
    <s v="count"/>
    <s v="5.79 M"/>
    <m/>
    <m/>
    <m/>
  </r>
  <r>
    <s v="2025-Q2"/>
    <x v="0"/>
    <n v="3"/>
    <s v="category"/>
    <s v="category_chart"/>
    <x v="2"/>
    <s v="Transactions"/>
    <x v="15"/>
    <m/>
    <x v="5"/>
    <x v="0"/>
    <n v="3730000000"/>
    <s v="JOD"/>
    <s v="3.73 B JOD"/>
    <m/>
    <m/>
    <m/>
  </r>
  <r>
    <s v="2025-Q2"/>
    <x v="0"/>
    <n v="3"/>
    <s v="category"/>
    <s v="category_chart"/>
    <x v="2"/>
    <s v="Transactions"/>
    <x v="15"/>
    <s v="Off Us"/>
    <x v="5"/>
    <x v="0"/>
    <n v="2520000000"/>
    <s v="JOD"/>
    <s v="2.52 B JOD"/>
    <m/>
    <m/>
    <s v="dimension_L2 nested inside the Money Transfer slice of transaction type"/>
  </r>
  <r>
    <s v="2025-Q2"/>
    <x v="0"/>
    <n v="3"/>
    <s v="category"/>
    <s v="category_chart"/>
    <x v="2"/>
    <s v="Transactions"/>
    <x v="15"/>
    <s v="On Us"/>
    <x v="5"/>
    <x v="0"/>
    <n v="668000000"/>
    <s v="JOD"/>
    <s v="668.00 M JOD"/>
    <m/>
    <m/>
    <s v="dimension_L2 nested inside the Money Transfer slice of transaction type"/>
  </r>
  <r>
    <s v="2025-Q2"/>
    <x v="0"/>
    <n v="3"/>
    <s v="category"/>
    <s v="category_chart"/>
    <x v="2"/>
    <s v="Transactions"/>
    <x v="16"/>
    <m/>
    <x v="5"/>
    <x v="0"/>
    <n v="994000000"/>
    <s v="JOD"/>
    <s v="994.00 M JOD"/>
    <m/>
    <m/>
    <m/>
  </r>
  <r>
    <s v="2025-Q2"/>
    <x v="0"/>
    <n v="3"/>
    <s v="chart_point"/>
    <s v="trend_chart"/>
    <x v="1"/>
    <s v="Transactions"/>
    <x v="14"/>
    <m/>
    <x v="4"/>
    <x v="1"/>
    <n v="32330000"/>
    <s v="count"/>
    <s v="32.33 M"/>
    <s v="TRUE"/>
    <s v="restated"/>
    <m/>
  </r>
  <r>
    <s v="2025-Q2"/>
    <x v="0"/>
    <n v="3"/>
    <s v="chart_point"/>
    <s v="trend_chart"/>
    <x v="2"/>
    <s v="Transactions"/>
    <x v="14"/>
    <m/>
    <x v="4"/>
    <x v="1"/>
    <n v="4170000000"/>
    <s v="JOD"/>
    <s v="4.17 B JOD"/>
    <s v="TRUE"/>
    <s v="restated"/>
    <m/>
  </r>
  <r>
    <s v="2025-Q2"/>
    <x v="0"/>
    <n v="3"/>
    <s v="kpi"/>
    <s v="stat_box"/>
    <x v="1"/>
    <s v="Transactions"/>
    <x v="14"/>
    <m/>
    <x v="5"/>
    <x v="0"/>
    <n v="38330000"/>
    <s v="count"/>
    <s v="38.33 M"/>
    <m/>
    <m/>
    <m/>
  </r>
  <r>
    <s v="2025-Q2"/>
    <x v="0"/>
    <n v="3"/>
    <s v="kpi"/>
    <s v="stat_box"/>
    <x v="2"/>
    <s v="Transactions"/>
    <x v="14"/>
    <m/>
    <x v="5"/>
    <x v="0"/>
    <n v="4720000000"/>
    <s v="JOD"/>
    <s v="4.72 B JOD"/>
    <m/>
    <m/>
    <m/>
  </r>
  <r>
    <s v="2025-Q3"/>
    <x v="0"/>
    <n v="3"/>
    <s v="category"/>
    <s v="category_chart"/>
    <x v="1"/>
    <s v="Transactions"/>
    <x v="15"/>
    <m/>
    <x v="6"/>
    <x v="0"/>
    <n v="37400000"/>
    <s v="count"/>
    <s v="37.40 M"/>
    <m/>
    <m/>
    <m/>
  </r>
  <r>
    <s v="2025-Q3"/>
    <x v="0"/>
    <n v="3"/>
    <s v="category"/>
    <s v="category_chart"/>
    <x v="1"/>
    <s v="Transactions"/>
    <x v="15"/>
    <s v="Off Us"/>
    <x v="6"/>
    <x v="0"/>
    <n v="19260000"/>
    <s v="count"/>
    <s v="19.26 M"/>
    <m/>
    <m/>
    <s v="dimension_L2 nested inside the Money Transfer slice of transaction type"/>
  </r>
  <r>
    <s v="2025-Q3"/>
    <x v="0"/>
    <n v="3"/>
    <s v="category"/>
    <s v="category_chart"/>
    <x v="1"/>
    <s v="Transactions"/>
    <x v="15"/>
    <s v="On Us"/>
    <x v="6"/>
    <x v="0"/>
    <n v="7080000"/>
    <s v="count"/>
    <s v="7.08 M"/>
    <m/>
    <m/>
    <s v="dimension_L2 nested inside the Money Transfer slice of transaction type"/>
  </r>
  <r>
    <s v="2025-Q3"/>
    <x v="0"/>
    <n v="3"/>
    <s v="category"/>
    <s v="category_chart"/>
    <x v="1"/>
    <s v="Transactions"/>
    <x v="16"/>
    <m/>
    <x v="6"/>
    <x v="0"/>
    <n v="9210000"/>
    <s v="count"/>
    <s v="9.21 M"/>
    <m/>
    <m/>
    <m/>
  </r>
  <r>
    <s v="2025-Q3"/>
    <x v="0"/>
    <n v="3"/>
    <s v="category"/>
    <s v="category_chart"/>
    <x v="2"/>
    <s v="Transactions"/>
    <x v="15"/>
    <m/>
    <x v="6"/>
    <x v="0"/>
    <n v="4090000000"/>
    <s v="JOD"/>
    <s v="4.09 B JOD"/>
    <m/>
    <m/>
    <m/>
  </r>
  <r>
    <s v="2025-Q3"/>
    <x v="0"/>
    <n v="3"/>
    <s v="category"/>
    <s v="category_chart"/>
    <x v="2"/>
    <s v="Transactions"/>
    <x v="15"/>
    <s v="Off Us"/>
    <x v="6"/>
    <x v="0"/>
    <n v="2730000000"/>
    <s v="JOD"/>
    <s v="2.73 B JOD"/>
    <m/>
    <m/>
    <s v="dimension_L2 nested inside the Money Transfer slice of transaction type"/>
  </r>
  <r>
    <s v="2025-Q3"/>
    <x v="0"/>
    <n v="3"/>
    <s v="category"/>
    <s v="category_chart"/>
    <x v="2"/>
    <s v="Transactions"/>
    <x v="15"/>
    <s v="On Us"/>
    <x v="6"/>
    <x v="0"/>
    <n v="762000000"/>
    <s v="JOD"/>
    <s v="762.00 M JOD"/>
    <m/>
    <m/>
    <s v="dimension_L2 nested inside the Money Transfer slice of transaction type"/>
  </r>
  <r>
    <s v="2025-Q3"/>
    <x v="0"/>
    <n v="3"/>
    <s v="category"/>
    <s v="category_chart"/>
    <x v="2"/>
    <s v="Transactions"/>
    <x v="16"/>
    <m/>
    <x v="6"/>
    <x v="0"/>
    <n v="1520000000"/>
    <s v="JOD"/>
    <s v="1.52 B JOD"/>
    <m/>
    <m/>
    <m/>
  </r>
  <r>
    <s v="2025-Q3"/>
    <x v="0"/>
    <n v="3"/>
    <s v="chart_point"/>
    <s v="trend_chart"/>
    <x v="1"/>
    <s v="Transactions"/>
    <x v="14"/>
    <m/>
    <x v="4"/>
    <x v="1"/>
    <n v="32330000"/>
    <s v="count"/>
    <s v="32.33 M"/>
    <s v="TRUE"/>
    <s v="restated"/>
    <m/>
  </r>
  <r>
    <s v="2025-Q3"/>
    <x v="0"/>
    <n v="3"/>
    <s v="chart_point"/>
    <s v="trend_chart"/>
    <x v="1"/>
    <s v="Transactions"/>
    <x v="14"/>
    <m/>
    <x v="5"/>
    <x v="1"/>
    <n v="38330000"/>
    <s v="count"/>
    <s v="38.33 M"/>
    <s v="TRUE"/>
    <s v="restated"/>
    <m/>
  </r>
  <r>
    <s v="2025-Q3"/>
    <x v="0"/>
    <n v="3"/>
    <s v="chart_point"/>
    <s v="trend_chart"/>
    <x v="2"/>
    <s v="Transactions"/>
    <x v="14"/>
    <m/>
    <x v="4"/>
    <x v="1"/>
    <n v="4170000000"/>
    <s v="JOD"/>
    <s v="4.17 B JOD"/>
    <s v="TRUE"/>
    <s v="restated"/>
    <m/>
  </r>
  <r>
    <s v="2025-Q3"/>
    <x v="0"/>
    <n v="3"/>
    <s v="chart_point"/>
    <s v="trend_chart"/>
    <x v="2"/>
    <s v="Transactions"/>
    <x v="14"/>
    <m/>
    <x v="5"/>
    <x v="1"/>
    <n v="4720000000"/>
    <s v="JOD"/>
    <s v="4.72 B JOD"/>
    <s v="TRUE"/>
    <s v="restated"/>
    <m/>
  </r>
  <r>
    <s v="2025-Q3"/>
    <x v="0"/>
    <n v="3"/>
    <s v="kpi"/>
    <s v="stat_box"/>
    <x v="1"/>
    <s v="Transactions"/>
    <x v="14"/>
    <m/>
    <x v="6"/>
    <x v="0"/>
    <n v="46650000"/>
    <s v="count"/>
    <s v="46.65 M"/>
    <m/>
    <m/>
    <m/>
  </r>
  <r>
    <s v="2025-Q3"/>
    <x v="0"/>
    <n v="3"/>
    <s v="kpi"/>
    <s v="stat_box"/>
    <x v="2"/>
    <s v="Transactions"/>
    <x v="14"/>
    <m/>
    <x v="6"/>
    <x v="0"/>
    <n v="5610000000"/>
    <s v="JOD"/>
    <s v="5.61 B JOD"/>
    <m/>
    <m/>
    <m/>
  </r>
  <r>
    <s v="2025-Q4"/>
    <x v="0"/>
    <n v="3"/>
    <s v="category"/>
    <s v="category_chart"/>
    <x v="1"/>
    <s v="Transactions"/>
    <x v="15"/>
    <m/>
    <x v="7"/>
    <x v="0"/>
    <n v="40700000"/>
    <s v="count"/>
    <s v="40.70 M"/>
    <m/>
    <m/>
    <m/>
  </r>
  <r>
    <s v="2025-Q4"/>
    <x v="0"/>
    <n v="3"/>
    <s v="category"/>
    <s v="category_chart"/>
    <x v="1"/>
    <s v="Transactions"/>
    <x v="15"/>
    <s v="Off Us"/>
    <x v="7"/>
    <x v="0"/>
    <n v="20800000"/>
    <s v="count"/>
    <s v="20.80 M"/>
    <m/>
    <m/>
    <s v="dimension_L2 nested inside the Money Transfer slice of transaction type"/>
  </r>
  <r>
    <s v="2025-Q4"/>
    <x v="0"/>
    <n v="3"/>
    <s v="category"/>
    <s v="category_chart"/>
    <x v="1"/>
    <s v="Transactions"/>
    <x v="15"/>
    <s v="On Us"/>
    <x v="7"/>
    <x v="0"/>
    <n v="7700000"/>
    <s v="count"/>
    <s v="7.70 M"/>
    <m/>
    <m/>
    <s v="dimension_L2 nested inside the Money Transfer slice of transaction type"/>
  </r>
  <r>
    <s v="2025-Q4"/>
    <x v="0"/>
    <n v="3"/>
    <s v="category"/>
    <s v="category_chart"/>
    <x v="1"/>
    <s v="Transactions"/>
    <x v="16"/>
    <m/>
    <x v="7"/>
    <x v="0"/>
    <n v="9870000"/>
    <s v="count"/>
    <s v="9.87 M"/>
    <m/>
    <m/>
    <m/>
  </r>
  <r>
    <s v="2025-Q4"/>
    <x v="0"/>
    <n v="3"/>
    <s v="category"/>
    <s v="category_chart"/>
    <x v="2"/>
    <s v="Transactions"/>
    <x v="15"/>
    <m/>
    <x v="7"/>
    <x v="0"/>
    <n v="4000000000"/>
    <s v="JOD"/>
    <s v="4.00 B JOD"/>
    <m/>
    <m/>
    <m/>
  </r>
  <r>
    <s v="2025-Q4"/>
    <x v="0"/>
    <n v="3"/>
    <s v="category"/>
    <s v="category_chart"/>
    <x v="2"/>
    <s v="Transactions"/>
    <x v="15"/>
    <s v="Off Us"/>
    <x v="7"/>
    <x v="0"/>
    <n v="2680000000"/>
    <s v="JOD"/>
    <s v="2.68 B JOD"/>
    <m/>
    <m/>
    <s v="dimension_L2 nested inside the Money Transfer slice of transaction type"/>
  </r>
  <r>
    <s v="2025-Q4"/>
    <x v="0"/>
    <n v="3"/>
    <s v="category"/>
    <s v="category_chart"/>
    <x v="2"/>
    <s v="Transactions"/>
    <x v="15"/>
    <s v="On Us"/>
    <x v="7"/>
    <x v="0"/>
    <n v="735000000"/>
    <s v="JOD"/>
    <s v="735.00 M JOD"/>
    <m/>
    <m/>
    <s v="dimension_L2 nested inside the Money Transfer slice of transaction type"/>
  </r>
  <r>
    <s v="2025-Q4"/>
    <x v="0"/>
    <n v="3"/>
    <s v="category"/>
    <s v="category_chart"/>
    <x v="2"/>
    <s v="Transactions"/>
    <x v="16"/>
    <m/>
    <x v="7"/>
    <x v="0"/>
    <n v="1470000000"/>
    <s v="JOD"/>
    <s v="1.47 B JOD"/>
    <m/>
    <m/>
    <m/>
  </r>
  <r>
    <s v="2025-Q4"/>
    <x v="0"/>
    <n v="3"/>
    <s v="chart_point"/>
    <s v="trend_chart"/>
    <x v="1"/>
    <s v="Transactions"/>
    <x v="14"/>
    <m/>
    <x v="4"/>
    <x v="1"/>
    <n v="32330000"/>
    <s v="count"/>
    <s v="32.33 M"/>
    <s v="TRUE"/>
    <s v="restated"/>
    <m/>
  </r>
  <r>
    <s v="2025-Q4"/>
    <x v="0"/>
    <n v="3"/>
    <s v="chart_point"/>
    <s v="trend_chart"/>
    <x v="1"/>
    <s v="Transactions"/>
    <x v="14"/>
    <m/>
    <x v="5"/>
    <x v="1"/>
    <n v="38330000"/>
    <s v="count"/>
    <s v="38.33 M"/>
    <s v="TRUE"/>
    <s v="restated"/>
    <m/>
  </r>
  <r>
    <s v="2025-Q4"/>
    <x v="0"/>
    <n v="3"/>
    <s v="chart_point"/>
    <s v="trend_chart"/>
    <x v="1"/>
    <s v="Transactions"/>
    <x v="14"/>
    <m/>
    <x v="6"/>
    <x v="1"/>
    <n v="46650000"/>
    <s v="count"/>
    <s v="46.65 M"/>
    <s v="TRUE"/>
    <s v="restated"/>
    <m/>
  </r>
  <r>
    <s v="2025-Q4"/>
    <x v="0"/>
    <n v="3"/>
    <s v="chart_point"/>
    <s v="trend_chart"/>
    <x v="2"/>
    <s v="Transactions"/>
    <x v="14"/>
    <m/>
    <x v="4"/>
    <x v="1"/>
    <n v="4170000000"/>
    <s v="JOD"/>
    <s v="4.17 B JOD"/>
    <s v="TRUE"/>
    <s v="restated"/>
    <m/>
  </r>
  <r>
    <s v="2025-Q4"/>
    <x v="0"/>
    <n v="3"/>
    <s v="chart_point"/>
    <s v="trend_chart"/>
    <x v="2"/>
    <s v="Transactions"/>
    <x v="14"/>
    <m/>
    <x v="5"/>
    <x v="1"/>
    <n v="4720000000"/>
    <s v="JOD"/>
    <s v="4.72 B JOD"/>
    <s v="TRUE"/>
    <s v="restated"/>
    <m/>
  </r>
  <r>
    <s v="2025-Q4"/>
    <x v="0"/>
    <n v="3"/>
    <s v="chart_point"/>
    <s v="trend_chart"/>
    <x v="2"/>
    <s v="Transactions"/>
    <x v="14"/>
    <m/>
    <x v="6"/>
    <x v="1"/>
    <n v="5610000000"/>
    <s v="JOD"/>
    <s v="5.61 B JOD"/>
    <s v="TRUE"/>
    <s v="restated"/>
    <m/>
  </r>
  <r>
    <s v="2025-Q4"/>
    <x v="0"/>
    <n v="3"/>
    <s v="kpi"/>
    <s v="stat_box"/>
    <x v="1"/>
    <s v="Transactions"/>
    <x v="14"/>
    <m/>
    <x v="7"/>
    <x v="0"/>
    <n v="50610000"/>
    <s v="count"/>
    <s v="50.61 M"/>
    <m/>
    <m/>
    <m/>
  </r>
  <r>
    <s v="2025-Q4"/>
    <x v="0"/>
    <n v="3"/>
    <s v="kpi"/>
    <s v="stat_box"/>
    <x v="2"/>
    <s v="Transactions"/>
    <x v="14"/>
    <m/>
    <x v="7"/>
    <x v="0"/>
    <n v="5460000000"/>
    <s v="JOD"/>
    <s v="5.46 B JOD"/>
    <m/>
    <m/>
    <m/>
  </r>
  <r>
    <s v="2026-Q1"/>
    <x v="0"/>
    <n v="3"/>
    <s v="category"/>
    <s v="category_chart"/>
    <x v="1"/>
    <s v="Transactions"/>
    <x v="15"/>
    <m/>
    <x v="8"/>
    <x v="0"/>
    <n v="43200000"/>
    <s v="count"/>
    <s v="43.20 M"/>
    <m/>
    <m/>
    <m/>
  </r>
  <r>
    <s v="2026-Q1"/>
    <x v="0"/>
    <n v="3"/>
    <s v="category"/>
    <s v="category_chart"/>
    <x v="1"/>
    <s v="Transactions"/>
    <x v="15"/>
    <s v="Off Us"/>
    <x v="8"/>
    <x v="0"/>
    <n v="21910000"/>
    <s v="count"/>
    <s v="21.91 M"/>
    <m/>
    <m/>
    <s v="dimension_L2 nested inside the Money Transfer slice of transaction type"/>
  </r>
  <r>
    <s v="2026-Q1"/>
    <x v="0"/>
    <n v="3"/>
    <s v="category"/>
    <s v="category_chart"/>
    <x v="1"/>
    <s v="Transactions"/>
    <x v="15"/>
    <s v="On Us"/>
    <x v="8"/>
    <x v="0"/>
    <n v="8160000"/>
    <s v="count"/>
    <s v="8.16 M"/>
    <m/>
    <m/>
    <s v="dimension_L2 nested inside the Money Transfer slice of transaction type"/>
  </r>
  <r>
    <s v="2026-Q1"/>
    <x v="0"/>
    <n v="3"/>
    <s v="category"/>
    <s v="category_chart"/>
    <x v="1"/>
    <s v="Transactions"/>
    <x v="16"/>
    <m/>
    <x v="8"/>
    <x v="0"/>
    <n v="10110000"/>
    <s v="count"/>
    <s v="10.11 M"/>
    <m/>
    <m/>
    <m/>
  </r>
  <r>
    <s v="2026-Q1"/>
    <x v="0"/>
    <n v="3"/>
    <s v="category"/>
    <s v="category_chart"/>
    <x v="2"/>
    <s v="Transactions"/>
    <x v="15"/>
    <m/>
    <x v="8"/>
    <x v="0"/>
    <n v="4230000000"/>
    <s v="JOD"/>
    <s v="4.23 B JOD"/>
    <m/>
    <m/>
    <m/>
  </r>
  <r>
    <s v="2026-Q1"/>
    <x v="0"/>
    <n v="3"/>
    <s v="category"/>
    <s v="category_chart"/>
    <x v="2"/>
    <s v="Transactions"/>
    <x v="15"/>
    <s v="Off Us"/>
    <x v="8"/>
    <x v="0"/>
    <n v="2840000000"/>
    <s v="JOD"/>
    <s v="2.84 B JOD"/>
    <m/>
    <m/>
    <s v="dimension_L2 nested inside the Money Transfer slice of transaction type"/>
  </r>
  <r>
    <s v="2026-Q1"/>
    <x v="0"/>
    <n v="3"/>
    <s v="category"/>
    <s v="category_chart"/>
    <x v="2"/>
    <s v="Transactions"/>
    <x v="15"/>
    <s v="On Us"/>
    <x v="8"/>
    <x v="0"/>
    <n v="790000000"/>
    <s v="JOD"/>
    <s v="790.00 M JOD"/>
    <m/>
    <m/>
    <s v="dimension_L2 nested inside the Money Transfer slice of transaction type"/>
  </r>
  <r>
    <s v="2026-Q1"/>
    <x v="0"/>
    <n v="3"/>
    <s v="category"/>
    <s v="category_chart"/>
    <x v="2"/>
    <s v="Transactions"/>
    <x v="16"/>
    <m/>
    <x v="8"/>
    <x v="0"/>
    <n v="1480000000"/>
    <s v="JOD"/>
    <s v="1.48 B JOD"/>
    <m/>
    <m/>
    <m/>
  </r>
  <r>
    <s v="2026-Q1"/>
    <x v="0"/>
    <n v="3"/>
    <s v="chart_point"/>
    <s v="trend_chart"/>
    <x v="1"/>
    <s v="Transactions"/>
    <x v="14"/>
    <m/>
    <x v="7"/>
    <x v="1"/>
    <n v="50610000"/>
    <s v="count"/>
    <s v="50.61 M"/>
    <s v="TRUE"/>
    <s v="restated"/>
    <m/>
  </r>
  <r>
    <s v="2026-Q1"/>
    <x v="0"/>
    <n v="3"/>
    <s v="chart_point"/>
    <s v="trend_chart"/>
    <x v="2"/>
    <s v="Transactions"/>
    <x v="14"/>
    <m/>
    <x v="7"/>
    <x v="1"/>
    <n v="5460000000"/>
    <s v="JOD"/>
    <s v="5.46 B JOD"/>
    <s v="TRUE"/>
    <s v="restated"/>
    <m/>
  </r>
  <r>
    <s v="2026-Q1"/>
    <x v="0"/>
    <n v="3"/>
    <s v="kpi"/>
    <s v="stat_box"/>
    <x v="1"/>
    <s v="Transactions"/>
    <x v="14"/>
    <m/>
    <x v="8"/>
    <x v="0"/>
    <n v="53290000"/>
    <s v="count"/>
    <s v="53.29 M"/>
    <m/>
    <m/>
    <m/>
  </r>
  <r>
    <s v="2026-Q1"/>
    <x v="0"/>
    <n v="3"/>
    <s v="kpi"/>
    <s v="stat_box"/>
    <x v="2"/>
    <s v="Transactions"/>
    <x v="14"/>
    <m/>
    <x v="8"/>
    <x v="0"/>
    <n v="5710000000"/>
    <s v="JOD"/>
    <s v="5.71 B JOD"/>
    <m/>
    <m/>
    <m/>
  </r>
  <r>
    <s v="2026-Q2"/>
    <x v="0"/>
    <n v="3"/>
    <s v="category"/>
    <s v="category_chart"/>
    <x v="1"/>
    <s v="Transactions"/>
    <x v="15"/>
    <m/>
    <x v="9"/>
    <x v="0"/>
    <n v="49500000"/>
    <s v="count"/>
    <s v="49.50 M"/>
    <m/>
    <m/>
    <m/>
  </r>
  <r>
    <s v="2026-Q2"/>
    <x v="0"/>
    <n v="3"/>
    <s v="category"/>
    <s v="category_chart"/>
    <x v="1"/>
    <s v="Transactions"/>
    <x v="15"/>
    <s v="Off Us"/>
    <x v="9"/>
    <x v="0"/>
    <n v="24610000"/>
    <s v="count"/>
    <s v="24.61 M"/>
    <m/>
    <m/>
    <s v="dimension_L2 nested inside the Money Transfer slice of transaction type"/>
  </r>
  <r>
    <s v="2026-Q2"/>
    <x v="0"/>
    <n v="3"/>
    <s v="category"/>
    <s v="category_chart"/>
    <x v="1"/>
    <s v="Transactions"/>
    <x v="15"/>
    <s v="On Us"/>
    <x v="9"/>
    <x v="0"/>
    <n v="9280000"/>
    <s v="count"/>
    <s v="9.28 M"/>
    <m/>
    <m/>
    <s v="dimension_L2 nested inside the Money Transfer slice of transaction type"/>
  </r>
  <r>
    <s v="2026-Q2"/>
    <x v="0"/>
    <n v="3"/>
    <s v="category"/>
    <s v="category_chart"/>
    <x v="1"/>
    <s v="Transactions"/>
    <x v="16"/>
    <m/>
    <x v="9"/>
    <x v="0"/>
    <n v="12220000"/>
    <s v="count"/>
    <s v="12.22 M"/>
    <m/>
    <m/>
    <m/>
  </r>
  <r>
    <s v="2026-Q2"/>
    <x v="0"/>
    <n v="3"/>
    <s v="category"/>
    <s v="category_chart"/>
    <x v="2"/>
    <s v="Transactions"/>
    <x v="15"/>
    <m/>
    <x v="9"/>
    <x v="0"/>
    <n v="4480000000"/>
    <s v="JOD"/>
    <s v="4.48 B JOD"/>
    <m/>
    <m/>
    <m/>
  </r>
  <r>
    <s v="2026-Q2"/>
    <x v="0"/>
    <n v="3"/>
    <s v="category"/>
    <s v="category_chart"/>
    <x v="2"/>
    <s v="Transactions"/>
    <x v="15"/>
    <s v="Off Us"/>
    <x v="9"/>
    <x v="0"/>
    <n v="2970000000"/>
    <s v="JOD"/>
    <s v="2.97 B JOD"/>
    <m/>
    <m/>
    <s v="dimension_L2 nested inside the Money Transfer slice of transaction type"/>
  </r>
  <r>
    <s v="2026-Q2"/>
    <x v="0"/>
    <n v="3"/>
    <s v="category"/>
    <s v="category_chart"/>
    <x v="2"/>
    <s v="Transactions"/>
    <x v="15"/>
    <s v="On Us"/>
    <x v="9"/>
    <x v="0"/>
    <n v="840000000"/>
    <s v="JOD"/>
    <s v="840.00 M JOD"/>
    <m/>
    <m/>
    <s v="dimension_L2 nested inside the Money Transfer slice of transaction type"/>
  </r>
  <r>
    <s v="2026-Q2"/>
    <x v="0"/>
    <n v="3"/>
    <s v="category"/>
    <s v="category_chart"/>
    <x v="2"/>
    <s v="Transactions"/>
    <x v="16"/>
    <m/>
    <x v="9"/>
    <x v="0"/>
    <n v="1690000000"/>
    <s v="JOD"/>
    <s v="1.69 B JOD"/>
    <m/>
    <m/>
    <m/>
  </r>
  <r>
    <s v="2026-Q2"/>
    <x v="0"/>
    <n v="3"/>
    <s v="chart_point"/>
    <s v="trend_chart"/>
    <x v="1"/>
    <s v="Transactions"/>
    <x v="14"/>
    <m/>
    <x v="8"/>
    <x v="1"/>
    <n v="53290000"/>
    <s v="count"/>
    <s v="53.29 M"/>
    <s v="TRUE"/>
    <s v="restated"/>
    <m/>
  </r>
  <r>
    <s v="2026-Q2"/>
    <x v="0"/>
    <n v="3"/>
    <s v="chart_point"/>
    <s v="trend_chart"/>
    <x v="2"/>
    <s v="Transactions"/>
    <x v="14"/>
    <m/>
    <x v="8"/>
    <x v="1"/>
    <n v="5710000000"/>
    <s v="JOD"/>
    <s v="5.71 B JOD"/>
    <s v="TRUE"/>
    <s v="restated"/>
    <m/>
  </r>
  <r>
    <s v="2026-Q2"/>
    <x v="0"/>
    <n v="3"/>
    <s v="kpi"/>
    <s v="stat_box"/>
    <x v="1"/>
    <s v="Transactions"/>
    <x v="14"/>
    <m/>
    <x v="9"/>
    <x v="0"/>
    <n v="61720000"/>
    <s v="count"/>
    <s v="61.72 M"/>
    <m/>
    <m/>
    <m/>
  </r>
  <r>
    <s v="2026-Q2"/>
    <x v="0"/>
    <n v="3"/>
    <s v="kpi"/>
    <s v="stat_box"/>
    <x v="2"/>
    <s v="Transactions"/>
    <x v="14"/>
    <m/>
    <x v="9"/>
    <x v="0"/>
    <n v="6170000000"/>
    <s v="JOD"/>
    <s v="6.17 B JOD"/>
    <m/>
    <m/>
    <m/>
  </r>
  <r>
    <s v="2024-Q3"/>
    <x v="1"/>
    <n v="4"/>
    <s v="category"/>
    <s v="category_chart"/>
    <x v="0"/>
    <s v="Users"/>
    <x v="0"/>
    <m/>
    <x v="0"/>
    <x v="0"/>
    <n v="828200"/>
    <s v="count"/>
    <s v="828.2 K"/>
    <m/>
    <m/>
    <m/>
  </r>
  <r>
    <s v="2024-Q3"/>
    <x v="1"/>
    <n v="4"/>
    <s v="category"/>
    <s v="category_chart"/>
    <x v="0"/>
    <s v="Users"/>
    <x v="1"/>
    <m/>
    <x v="0"/>
    <x v="0"/>
    <n v="603200"/>
    <s v="count"/>
    <s v="603.2 K"/>
    <m/>
    <m/>
    <m/>
  </r>
  <r>
    <s v="2024-Q3"/>
    <x v="1"/>
    <n v="4"/>
    <s v="category"/>
    <s v="category_chart"/>
    <x v="0"/>
    <s v="Users"/>
    <x v="2"/>
    <m/>
    <x v="0"/>
    <x v="0"/>
    <n v="455900"/>
    <s v="count"/>
    <s v="455.9 K"/>
    <m/>
    <m/>
    <m/>
  </r>
  <r>
    <s v="2024-Q3"/>
    <x v="1"/>
    <n v="4"/>
    <s v="category"/>
    <s v="category_chart"/>
    <x v="0"/>
    <s v="Users"/>
    <x v="3"/>
    <m/>
    <x v="0"/>
    <x v="0"/>
    <n v="285100"/>
    <s v="count"/>
    <s v="285.1 K"/>
    <m/>
    <m/>
    <m/>
  </r>
  <r>
    <s v="2024-Q3"/>
    <x v="1"/>
    <n v="4"/>
    <s v="category"/>
    <s v="category_chart"/>
    <x v="0"/>
    <s v="Users"/>
    <x v="4"/>
    <m/>
    <x v="0"/>
    <x v="0"/>
    <n v="102900"/>
    <s v="count"/>
    <s v="102.9 K"/>
    <m/>
    <m/>
    <m/>
  </r>
  <r>
    <s v="2024-Q3"/>
    <x v="1"/>
    <n v="4"/>
    <s v="category"/>
    <s v="category_chart"/>
    <x v="0"/>
    <s v="Users"/>
    <x v="5"/>
    <m/>
    <x v="0"/>
    <x v="0"/>
    <n v="34400"/>
    <s v="count"/>
    <s v="34.4 K"/>
    <m/>
    <m/>
    <m/>
  </r>
  <r>
    <s v="2024-Q3"/>
    <x v="1"/>
    <n v="4"/>
    <s v="category"/>
    <s v="category_chart"/>
    <x v="0"/>
    <s v="Users"/>
    <x v="6"/>
    <m/>
    <x v="0"/>
    <x v="0"/>
    <n v="12600"/>
    <s v="count"/>
    <s v="12.6 K"/>
    <m/>
    <m/>
    <m/>
  </r>
  <r>
    <s v="2024-Q3"/>
    <x v="1"/>
    <n v="4"/>
    <s v="category"/>
    <s v="category_chart"/>
    <x v="0"/>
    <s v="Users"/>
    <x v="7"/>
    <m/>
    <x v="0"/>
    <x v="0"/>
    <n v="1400"/>
    <s v="count"/>
    <s v="1.4 K"/>
    <m/>
    <m/>
    <m/>
  </r>
  <r>
    <s v="2024-Q3"/>
    <x v="1"/>
    <n v="4"/>
    <s v="category"/>
    <s v="category_chart"/>
    <x v="0"/>
    <s v="Users"/>
    <x v="8"/>
    <m/>
    <x v="0"/>
    <x v="0"/>
    <n v="1140000"/>
    <s v="count"/>
    <s v="1.14 M"/>
    <m/>
    <m/>
    <m/>
  </r>
  <r>
    <s v="2024-Q3"/>
    <x v="1"/>
    <n v="4"/>
    <s v="category"/>
    <s v="category_chart"/>
    <x v="0"/>
    <s v="Users"/>
    <x v="10"/>
    <m/>
    <x v="0"/>
    <x v="0"/>
    <n v="2050000"/>
    <s v="count"/>
    <s v="2.05 M"/>
    <m/>
    <m/>
    <m/>
  </r>
  <r>
    <s v="2024-Q3"/>
    <x v="1"/>
    <n v="4"/>
    <s v="category"/>
    <s v="category_chart"/>
    <x v="0"/>
    <s v="Users"/>
    <x v="12"/>
    <m/>
    <x v="0"/>
    <x v="0"/>
    <n v="1180000"/>
    <s v="count"/>
    <s v="1.18 M"/>
    <m/>
    <m/>
    <m/>
  </r>
  <r>
    <s v="2024-Q3"/>
    <x v="1"/>
    <n v="4"/>
    <s v="category"/>
    <s v="category_chart"/>
    <x v="0"/>
    <s v="Users"/>
    <x v="13"/>
    <m/>
    <x v="0"/>
    <x v="0"/>
    <n v="280000"/>
    <s v="count"/>
    <s v="280.0 K"/>
    <m/>
    <m/>
    <m/>
  </r>
  <r>
    <s v="2024-Q3"/>
    <x v="1"/>
    <n v="4"/>
    <s v="category"/>
    <s v="category_chart"/>
    <x v="3"/>
    <s v="Wallets"/>
    <x v="17"/>
    <m/>
    <x v="0"/>
    <x v="0"/>
    <n v="1376"/>
    <s v="count"/>
    <s v="1,376"/>
    <m/>
    <m/>
    <m/>
  </r>
  <r>
    <s v="2024-Q3"/>
    <x v="1"/>
    <n v="4"/>
    <s v="category"/>
    <s v="category_chart"/>
    <x v="3"/>
    <s v="Wallets"/>
    <x v="18"/>
    <m/>
    <x v="0"/>
    <x v="0"/>
    <n v="1088"/>
    <s v="count"/>
    <s v="1,088"/>
    <m/>
    <m/>
    <m/>
  </r>
  <r>
    <s v="2024-Q3"/>
    <x v="1"/>
    <n v="4"/>
    <s v="category"/>
    <s v="category_chart"/>
    <x v="3"/>
    <s v="Wallets"/>
    <x v="19"/>
    <m/>
    <x v="0"/>
    <x v="0"/>
    <n v="8"/>
    <s v="count"/>
    <s v="8"/>
    <m/>
    <m/>
    <m/>
  </r>
  <r>
    <s v="2024-Q3"/>
    <x v="1"/>
    <n v="4"/>
    <s v="category"/>
    <s v="category_chart"/>
    <x v="3"/>
    <s v="Wallets"/>
    <x v="20"/>
    <m/>
    <x v="0"/>
    <x v="0"/>
    <n v="4122"/>
    <s v="count"/>
    <s v="4,122"/>
    <m/>
    <m/>
    <m/>
  </r>
  <r>
    <s v="2024-Q3"/>
    <x v="1"/>
    <n v="4"/>
    <s v="category"/>
    <s v="category_chart"/>
    <x v="3"/>
    <s v="Wallets"/>
    <x v="21"/>
    <m/>
    <x v="0"/>
    <x v="0"/>
    <n v="2240000"/>
    <s v="count"/>
    <s v="2.24 M"/>
    <m/>
    <m/>
    <m/>
  </r>
  <r>
    <s v="2024-Q3"/>
    <x v="1"/>
    <n v="4"/>
    <s v="chart_point"/>
    <s v="trend_chart"/>
    <x v="0"/>
    <s v="Users"/>
    <x v="14"/>
    <m/>
    <x v="1"/>
    <x v="1"/>
    <n v="2250000"/>
    <s v="count"/>
    <s v="2.25 M"/>
    <s v="TRUE"/>
    <s v="newest"/>
    <s v="no native/stat_box reading of 2024-Q1 exists anywhere in this corpus (its own quarterly PDF wasn't part of this extraction) - marked newest as the earliest available trailing_chart_point reading of it, per §8 rule 4's fallback"/>
  </r>
  <r>
    <s v="2024-Q3"/>
    <x v="1"/>
    <n v="4"/>
    <s v="chart_point"/>
    <s v="trend_chart"/>
    <x v="0"/>
    <s v="Users"/>
    <x v="14"/>
    <m/>
    <x v="2"/>
    <x v="1"/>
    <n v="2290000"/>
    <s v="count"/>
    <s v="2.29 M"/>
    <s v="TRUE"/>
    <s v="newest"/>
    <s v="no native/stat_box reading of 2024-Q2 exists anywhere in this corpus (its own quarterly PDF wasn't part of this extraction) - marked newest as the earliest available trailing_chart_point reading of it, per §8 rule 4's fallback"/>
  </r>
  <r>
    <s v="2024-Q3"/>
    <x v="1"/>
    <n v="4"/>
    <s v="kpi"/>
    <s v="stat_box"/>
    <x v="0"/>
    <s v="Users"/>
    <x v="14"/>
    <m/>
    <x v="0"/>
    <x v="0"/>
    <n v="2330000"/>
    <s v="count"/>
    <s v="2.33 M"/>
    <m/>
    <m/>
    <m/>
  </r>
  <r>
    <s v="2024-Q4"/>
    <x v="1"/>
    <n v="4"/>
    <s v="category"/>
    <s v="category_chart"/>
    <x v="0"/>
    <s v="Users"/>
    <x v="0"/>
    <m/>
    <x v="3"/>
    <x v="0"/>
    <n v="971400"/>
    <s v="count"/>
    <s v="971.4 K"/>
    <m/>
    <m/>
    <m/>
  </r>
  <r>
    <s v="2024-Q4"/>
    <x v="1"/>
    <n v="4"/>
    <s v="category"/>
    <s v="category_chart"/>
    <x v="0"/>
    <s v="Users"/>
    <x v="1"/>
    <m/>
    <x v="3"/>
    <x v="0"/>
    <n v="667100"/>
    <s v="count"/>
    <s v="667.1 K"/>
    <m/>
    <m/>
    <m/>
  </r>
  <r>
    <s v="2024-Q4"/>
    <x v="1"/>
    <n v="4"/>
    <s v="category"/>
    <s v="category_chart"/>
    <x v="0"/>
    <s v="Users"/>
    <x v="2"/>
    <m/>
    <x v="3"/>
    <x v="0"/>
    <n v="502800"/>
    <s v="count"/>
    <s v="502.8 K"/>
    <m/>
    <m/>
    <m/>
  </r>
  <r>
    <s v="2024-Q4"/>
    <x v="1"/>
    <n v="4"/>
    <s v="category"/>
    <s v="category_chart"/>
    <x v="0"/>
    <s v="Users"/>
    <x v="3"/>
    <m/>
    <x v="3"/>
    <x v="0"/>
    <n v="318300"/>
    <s v="count"/>
    <s v="318.3 K"/>
    <m/>
    <m/>
    <m/>
  </r>
  <r>
    <s v="2024-Q4"/>
    <x v="1"/>
    <n v="4"/>
    <s v="category"/>
    <s v="category_chart"/>
    <x v="0"/>
    <s v="Users"/>
    <x v="4"/>
    <m/>
    <x v="3"/>
    <x v="0"/>
    <n v="118700"/>
    <s v="count"/>
    <s v="118.7 K"/>
    <m/>
    <m/>
    <m/>
  </r>
  <r>
    <s v="2024-Q4"/>
    <x v="1"/>
    <n v="4"/>
    <s v="category"/>
    <s v="category_chart"/>
    <x v="0"/>
    <s v="Users"/>
    <x v="5"/>
    <m/>
    <x v="3"/>
    <x v="0"/>
    <n v="39800"/>
    <s v="count"/>
    <s v="39.8 K"/>
    <m/>
    <m/>
    <m/>
  </r>
  <r>
    <s v="2024-Q4"/>
    <x v="1"/>
    <n v="4"/>
    <s v="category"/>
    <s v="category_chart"/>
    <x v="0"/>
    <s v="Users"/>
    <x v="6"/>
    <m/>
    <x v="3"/>
    <x v="0"/>
    <n v="14400"/>
    <s v="count"/>
    <s v="14.4 K"/>
    <m/>
    <m/>
    <m/>
  </r>
  <r>
    <s v="2024-Q4"/>
    <x v="1"/>
    <n v="4"/>
    <s v="category"/>
    <s v="category_chart"/>
    <x v="0"/>
    <s v="Users"/>
    <x v="7"/>
    <m/>
    <x v="3"/>
    <x v="0"/>
    <n v="1500"/>
    <s v="count"/>
    <s v="1.5 K"/>
    <m/>
    <m/>
    <m/>
  </r>
  <r>
    <s v="2024-Q4"/>
    <x v="1"/>
    <n v="4"/>
    <s v="category"/>
    <s v="category_chart"/>
    <x v="0"/>
    <s v="Users"/>
    <x v="8"/>
    <m/>
    <x v="3"/>
    <x v="0"/>
    <n v="1260000"/>
    <s v="count"/>
    <s v="1.26 M"/>
    <m/>
    <m/>
    <m/>
  </r>
  <r>
    <s v="2024-Q4"/>
    <x v="1"/>
    <n v="4"/>
    <s v="category"/>
    <s v="category_chart"/>
    <x v="0"/>
    <s v="Users"/>
    <x v="10"/>
    <m/>
    <x v="3"/>
    <x v="0"/>
    <n v="2290000"/>
    <s v="count"/>
    <s v="2.29 M"/>
    <m/>
    <m/>
    <m/>
  </r>
  <r>
    <s v="2024-Q4"/>
    <x v="1"/>
    <n v="4"/>
    <s v="category"/>
    <s v="category_chart"/>
    <x v="0"/>
    <s v="Users"/>
    <x v="12"/>
    <m/>
    <x v="3"/>
    <x v="0"/>
    <n v="1310000"/>
    <s v="count"/>
    <s v="1.31 M"/>
    <m/>
    <m/>
    <m/>
  </r>
  <r>
    <s v="2024-Q4"/>
    <x v="1"/>
    <n v="4"/>
    <s v="category"/>
    <s v="category_chart"/>
    <x v="0"/>
    <s v="Users"/>
    <x v="13"/>
    <m/>
    <x v="3"/>
    <x v="0"/>
    <n v="300000"/>
    <s v="count"/>
    <s v="300.0 K"/>
    <m/>
    <m/>
    <m/>
  </r>
  <r>
    <s v="2024-Q4"/>
    <x v="1"/>
    <n v="4"/>
    <s v="category"/>
    <s v="category_chart"/>
    <x v="3"/>
    <s v="Wallets"/>
    <x v="17"/>
    <m/>
    <x v="3"/>
    <x v="0"/>
    <n v="1077"/>
    <s v="count"/>
    <s v="1,077"/>
    <m/>
    <m/>
    <m/>
  </r>
  <r>
    <s v="2024-Q4"/>
    <x v="1"/>
    <n v="4"/>
    <s v="category"/>
    <s v="category_chart"/>
    <x v="3"/>
    <s v="Wallets"/>
    <x v="18"/>
    <m/>
    <x v="3"/>
    <x v="0"/>
    <n v="1149"/>
    <s v="count"/>
    <s v="1,149"/>
    <m/>
    <m/>
    <m/>
  </r>
  <r>
    <s v="2024-Q4"/>
    <x v="1"/>
    <n v="4"/>
    <s v="category"/>
    <s v="category_chart"/>
    <x v="3"/>
    <s v="Wallets"/>
    <x v="19"/>
    <m/>
    <x v="3"/>
    <x v="0"/>
    <n v="7"/>
    <s v="count"/>
    <s v="7"/>
    <m/>
    <m/>
    <m/>
  </r>
  <r>
    <s v="2024-Q4"/>
    <x v="1"/>
    <n v="4"/>
    <s v="category"/>
    <s v="category_chart"/>
    <x v="3"/>
    <s v="Wallets"/>
    <x v="20"/>
    <m/>
    <x v="3"/>
    <x v="0"/>
    <n v="3415"/>
    <s v="count"/>
    <s v="3,415"/>
    <m/>
    <m/>
    <m/>
  </r>
  <r>
    <s v="2024-Q4"/>
    <x v="1"/>
    <n v="4"/>
    <s v="category"/>
    <s v="category_chart"/>
    <x v="3"/>
    <s v="Wallets"/>
    <x v="21"/>
    <m/>
    <x v="3"/>
    <x v="0"/>
    <n v="2510000"/>
    <s v="count"/>
    <s v="2.51 M"/>
    <m/>
    <m/>
    <m/>
  </r>
  <r>
    <s v="2024-Q4"/>
    <x v="1"/>
    <n v="4"/>
    <s v="chart_point"/>
    <s v="trend_chart"/>
    <x v="0"/>
    <s v="Users"/>
    <x v="14"/>
    <m/>
    <x v="1"/>
    <x v="1"/>
    <n v="2250000"/>
    <s v="count"/>
    <s v="2.25 M"/>
    <s v="TRUE"/>
    <s v="restated"/>
    <s v="see the 2024-Q3 report's reading of 2024-Q1, marked newest"/>
  </r>
  <r>
    <s v="2024-Q4"/>
    <x v="1"/>
    <n v="4"/>
    <s v="chart_point"/>
    <s v="trend_chart"/>
    <x v="0"/>
    <s v="Users"/>
    <x v="14"/>
    <m/>
    <x v="2"/>
    <x v="1"/>
    <n v="2290000"/>
    <s v="count"/>
    <s v="2.29 M"/>
    <s v="TRUE"/>
    <s v="restated"/>
    <s v="see the 2024-Q3 report's reading of 2024-Q2, marked newest"/>
  </r>
  <r>
    <s v="2024-Q4"/>
    <x v="1"/>
    <n v="4"/>
    <s v="chart_point"/>
    <s v="trend_chart"/>
    <x v="0"/>
    <s v="Users"/>
    <x v="14"/>
    <m/>
    <x v="0"/>
    <x v="1"/>
    <n v="2330000"/>
    <s v="count"/>
    <s v="2.33 M"/>
    <s v="TRUE"/>
    <s v="restated"/>
    <m/>
  </r>
  <r>
    <s v="2024-Q4"/>
    <x v="1"/>
    <n v="4"/>
    <s v="kpi"/>
    <s v="stat_box"/>
    <x v="0"/>
    <s v="Users"/>
    <x v="14"/>
    <m/>
    <x v="3"/>
    <x v="0"/>
    <n v="2590000"/>
    <s v="count"/>
    <s v="2.59 M"/>
    <m/>
    <m/>
    <m/>
  </r>
  <r>
    <s v="2025-Q1"/>
    <x v="1"/>
    <n v="4"/>
    <s v="category"/>
    <s v="category_chart"/>
    <x v="0"/>
    <s v="Users"/>
    <x v="0"/>
    <m/>
    <x v="4"/>
    <x v="0"/>
    <n v="938100"/>
    <s v="count"/>
    <s v="938.1 K"/>
    <m/>
    <m/>
    <m/>
  </r>
  <r>
    <s v="2025-Q1"/>
    <x v="1"/>
    <n v="4"/>
    <s v="category"/>
    <s v="category_chart"/>
    <x v="0"/>
    <s v="Users"/>
    <x v="1"/>
    <m/>
    <x v="4"/>
    <x v="0"/>
    <n v="668500"/>
    <s v="count"/>
    <s v="668.5 K"/>
    <m/>
    <m/>
    <m/>
  </r>
  <r>
    <s v="2025-Q1"/>
    <x v="1"/>
    <n v="4"/>
    <s v="category"/>
    <s v="category_chart"/>
    <x v="0"/>
    <s v="Users"/>
    <x v="2"/>
    <m/>
    <x v="4"/>
    <x v="0"/>
    <n v="504500"/>
    <s v="count"/>
    <s v="504.5 K"/>
    <m/>
    <m/>
    <m/>
  </r>
  <r>
    <s v="2025-Q1"/>
    <x v="1"/>
    <n v="4"/>
    <s v="category"/>
    <s v="category_chart"/>
    <x v="0"/>
    <s v="Users"/>
    <x v="3"/>
    <m/>
    <x v="4"/>
    <x v="0"/>
    <n v="317000"/>
    <s v="count"/>
    <s v="317.0 K"/>
    <m/>
    <m/>
    <m/>
  </r>
  <r>
    <s v="2025-Q1"/>
    <x v="1"/>
    <n v="4"/>
    <s v="category"/>
    <s v="category_chart"/>
    <x v="0"/>
    <s v="Users"/>
    <x v="4"/>
    <m/>
    <x v="4"/>
    <x v="0"/>
    <n v="118400"/>
    <s v="count"/>
    <s v="118.4 K"/>
    <m/>
    <m/>
    <m/>
  </r>
  <r>
    <s v="2025-Q1"/>
    <x v="1"/>
    <n v="4"/>
    <s v="category"/>
    <s v="category_chart"/>
    <x v="0"/>
    <s v="Users"/>
    <x v="5"/>
    <m/>
    <x v="4"/>
    <x v="0"/>
    <n v="36900"/>
    <s v="count"/>
    <s v="36.9 K"/>
    <m/>
    <m/>
    <m/>
  </r>
  <r>
    <s v="2025-Q1"/>
    <x v="1"/>
    <n v="4"/>
    <s v="category"/>
    <s v="category_chart"/>
    <x v="0"/>
    <s v="Users"/>
    <x v="6"/>
    <m/>
    <x v="4"/>
    <x v="0"/>
    <n v="12500"/>
    <s v="count"/>
    <s v="12.5 K"/>
    <m/>
    <m/>
    <m/>
  </r>
  <r>
    <s v="2025-Q1"/>
    <x v="1"/>
    <n v="4"/>
    <s v="category"/>
    <s v="category_chart"/>
    <x v="0"/>
    <s v="Users"/>
    <x v="7"/>
    <m/>
    <x v="4"/>
    <x v="0"/>
    <n v="1300"/>
    <s v="count"/>
    <s v="1.3 K"/>
    <m/>
    <m/>
    <m/>
  </r>
  <r>
    <s v="2025-Q1"/>
    <x v="1"/>
    <n v="4"/>
    <s v="category"/>
    <s v="category_chart"/>
    <x v="0"/>
    <s v="Users"/>
    <x v="8"/>
    <m/>
    <x v="4"/>
    <x v="0"/>
    <n v="1300000"/>
    <s v="count"/>
    <s v="1.30 M"/>
    <m/>
    <m/>
    <m/>
  </r>
  <r>
    <s v="2025-Q1"/>
    <x v="1"/>
    <n v="4"/>
    <s v="category"/>
    <s v="category_chart"/>
    <x v="0"/>
    <s v="Users"/>
    <x v="10"/>
    <m/>
    <x v="4"/>
    <x v="0"/>
    <n v="2290000"/>
    <s v="count"/>
    <s v="2.29 M"/>
    <m/>
    <m/>
    <m/>
  </r>
  <r>
    <s v="2025-Q1"/>
    <x v="1"/>
    <n v="4"/>
    <s v="category"/>
    <s v="category_chart"/>
    <x v="0"/>
    <s v="Users"/>
    <x v="12"/>
    <m/>
    <x v="4"/>
    <x v="0"/>
    <n v="1300000"/>
    <s v="count"/>
    <s v="1.30 M"/>
    <m/>
    <m/>
    <m/>
  </r>
  <r>
    <s v="2025-Q1"/>
    <x v="1"/>
    <n v="4"/>
    <s v="category"/>
    <s v="category_chart"/>
    <x v="0"/>
    <s v="Users"/>
    <x v="13"/>
    <m/>
    <x v="4"/>
    <x v="0"/>
    <n v="310000"/>
    <s v="count"/>
    <s v="310.0 K"/>
    <m/>
    <m/>
    <m/>
  </r>
  <r>
    <s v="2025-Q1"/>
    <x v="1"/>
    <n v="4"/>
    <s v="category"/>
    <s v="category_chart"/>
    <x v="3"/>
    <s v="Wallets"/>
    <x v="17"/>
    <m/>
    <x v="4"/>
    <x v="0"/>
    <n v="918"/>
    <s v="count"/>
    <s v="918"/>
    <m/>
    <m/>
    <m/>
  </r>
  <r>
    <s v="2025-Q1"/>
    <x v="1"/>
    <n v="4"/>
    <s v="category"/>
    <s v="category_chart"/>
    <x v="3"/>
    <s v="Wallets"/>
    <x v="18"/>
    <m/>
    <x v="4"/>
    <x v="0"/>
    <n v="1176"/>
    <s v="count"/>
    <s v="1,176"/>
    <m/>
    <m/>
    <m/>
  </r>
  <r>
    <s v="2025-Q1"/>
    <x v="1"/>
    <n v="4"/>
    <s v="category"/>
    <s v="category_chart"/>
    <x v="3"/>
    <s v="Wallets"/>
    <x v="19"/>
    <m/>
    <x v="4"/>
    <x v="0"/>
    <n v="6"/>
    <s v="count"/>
    <s v="6"/>
    <m/>
    <m/>
    <m/>
  </r>
  <r>
    <s v="2025-Q1"/>
    <x v="1"/>
    <n v="4"/>
    <s v="category"/>
    <s v="category_chart"/>
    <x v="3"/>
    <s v="Wallets"/>
    <x v="20"/>
    <m/>
    <x v="4"/>
    <x v="0"/>
    <n v="3329"/>
    <s v="count"/>
    <s v="3,329"/>
    <m/>
    <m/>
    <m/>
  </r>
  <r>
    <s v="2025-Q1"/>
    <x v="1"/>
    <n v="4"/>
    <s v="category"/>
    <s v="category_chart"/>
    <x v="3"/>
    <s v="Wallets"/>
    <x v="21"/>
    <m/>
    <x v="4"/>
    <x v="0"/>
    <n v="2520000"/>
    <s v="count"/>
    <s v="2.52 M"/>
    <m/>
    <m/>
    <m/>
  </r>
  <r>
    <s v="2025-Q1"/>
    <x v="1"/>
    <n v="4"/>
    <s v="chart_point"/>
    <s v="trend_chart"/>
    <x v="0"/>
    <s v="Users"/>
    <x v="14"/>
    <m/>
    <x v="3"/>
    <x v="1"/>
    <n v="2590000"/>
    <s v="count"/>
    <s v="2.59 M"/>
    <s v="TRUE"/>
    <s v="restated"/>
    <m/>
  </r>
  <r>
    <s v="2025-Q1"/>
    <x v="1"/>
    <n v="4"/>
    <s v="kpi"/>
    <s v="stat_box"/>
    <x v="0"/>
    <s v="Users"/>
    <x v="14"/>
    <m/>
    <x v="4"/>
    <x v="0"/>
    <n v="2600000"/>
    <s v="count"/>
    <s v="2.60 M"/>
    <m/>
    <m/>
    <m/>
  </r>
  <r>
    <s v="2025-Q2"/>
    <x v="1"/>
    <n v="4"/>
    <s v="category"/>
    <s v="category_chart"/>
    <x v="0"/>
    <s v="Users"/>
    <x v="0"/>
    <m/>
    <x v="5"/>
    <x v="0"/>
    <n v="951500"/>
    <s v="count"/>
    <s v="951.5 K"/>
    <m/>
    <m/>
    <m/>
  </r>
  <r>
    <s v="2025-Q2"/>
    <x v="1"/>
    <n v="4"/>
    <s v="category"/>
    <s v="category_chart"/>
    <x v="0"/>
    <s v="Users"/>
    <x v="1"/>
    <m/>
    <x v="5"/>
    <x v="0"/>
    <n v="685800"/>
    <s v="count"/>
    <s v="685.8 K"/>
    <m/>
    <m/>
    <m/>
  </r>
  <r>
    <s v="2025-Q2"/>
    <x v="1"/>
    <n v="4"/>
    <s v="category"/>
    <s v="category_chart"/>
    <x v="0"/>
    <s v="Users"/>
    <x v="2"/>
    <m/>
    <x v="5"/>
    <x v="0"/>
    <n v="518800"/>
    <s v="count"/>
    <s v="518.8 K"/>
    <m/>
    <m/>
    <m/>
  </r>
  <r>
    <s v="2025-Q2"/>
    <x v="1"/>
    <n v="4"/>
    <s v="category"/>
    <s v="category_chart"/>
    <x v="0"/>
    <s v="Users"/>
    <x v="3"/>
    <m/>
    <x v="5"/>
    <x v="0"/>
    <n v="326600"/>
    <s v="count"/>
    <s v="326.6 K"/>
    <m/>
    <m/>
    <m/>
  </r>
  <r>
    <s v="2025-Q2"/>
    <x v="1"/>
    <n v="4"/>
    <s v="category"/>
    <s v="category_chart"/>
    <x v="0"/>
    <s v="Users"/>
    <x v="4"/>
    <m/>
    <x v="5"/>
    <x v="0"/>
    <n v="123000"/>
    <s v="count"/>
    <s v="123.0 K"/>
    <m/>
    <m/>
    <m/>
  </r>
  <r>
    <s v="2025-Q2"/>
    <x v="1"/>
    <n v="4"/>
    <s v="category"/>
    <s v="category_chart"/>
    <x v="0"/>
    <s v="Users"/>
    <x v="5"/>
    <m/>
    <x v="5"/>
    <x v="0"/>
    <n v="37500"/>
    <s v="count"/>
    <s v="37.5 K"/>
    <m/>
    <m/>
    <m/>
  </r>
  <r>
    <s v="2025-Q2"/>
    <x v="1"/>
    <n v="4"/>
    <s v="category"/>
    <s v="category_chart"/>
    <x v="0"/>
    <s v="Users"/>
    <x v="6"/>
    <m/>
    <x v="5"/>
    <x v="0"/>
    <n v="13900"/>
    <s v="count"/>
    <s v="13.9 K"/>
    <m/>
    <m/>
    <m/>
  </r>
  <r>
    <s v="2025-Q2"/>
    <x v="1"/>
    <n v="4"/>
    <s v="category"/>
    <s v="category_chart"/>
    <x v="0"/>
    <s v="Users"/>
    <x v="7"/>
    <m/>
    <x v="5"/>
    <x v="0"/>
    <n v="1000"/>
    <s v="count"/>
    <s v="1.0 K"/>
    <m/>
    <m/>
    <m/>
  </r>
  <r>
    <s v="2025-Q2"/>
    <x v="1"/>
    <n v="4"/>
    <s v="category"/>
    <s v="category_chart"/>
    <x v="0"/>
    <s v="Users"/>
    <x v="8"/>
    <m/>
    <x v="5"/>
    <x v="0"/>
    <n v="1290000"/>
    <s v="count"/>
    <s v="1.29 M"/>
    <m/>
    <m/>
    <m/>
  </r>
  <r>
    <s v="2025-Q2"/>
    <x v="1"/>
    <n v="4"/>
    <s v="category"/>
    <s v="category_chart"/>
    <x v="0"/>
    <s v="Users"/>
    <x v="10"/>
    <m/>
    <x v="5"/>
    <x v="0"/>
    <n v="2350000"/>
    <s v="count"/>
    <s v="2.35 M"/>
    <m/>
    <m/>
    <m/>
  </r>
  <r>
    <s v="2025-Q2"/>
    <x v="1"/>
    <n v="4"/>
    <s v="category"/>
    <s v="category_chart"/>
    <x v="0"/>
    <s v="Users"/>
    <x v="12"/>
    <m/>
    <x v="5"/>
    <x v="0"/>
    <n v="1360000"/>
    <s v="count"/>
    <s v="1.36 M"/>
    <m/>
    <m/>
    <m/>
  </r>
  <r>
    <s v="2025-Q2"/>
    <x v="1"/>
    <n v="4"/>
    <s v="category"/>
    <s v="category_chart"/>
    <x v="0"/>
    <s v="Users"/>
    <x v="13"/>
    <m/>
    <x v="5"/>
    <x v="0"/>
    <n v="320000"/>
    <s v="count"/>
    <s v="320.0 K"/>
    <m/>
    <m/>
    <m/>
  </r>
  <r>
    <s v="2025-Q2"/>
    <x v="1"/>
    <n v="4"/>
    <s v="category"/>
    <s v="category_chart"/>
    <x v="3"/>
    <s v="Wallets"/>
    <x v="17"/>
    <m/>
    <x v="5"/>
    <x v="0"/>
    <n v="962"/>
    <s v="count"/>
    <s v="962"/>
    <m/>
    <m/>
    <m/>
  </r>
  <r>
    <s v="2025-Q2"/>
    <x v="1"/>
    <n v="4"/>
    <s v="category"/>
    <s v="category_chart"/>
    <x v="3"/>
    <s v="Wallets"/>
    <x v="18"/>
    <m/>
    <x v="5"/>
    <x v="0"/>
    <n v="1262"/>
    <s v="count"/>
    <s v="1,262"/>
    <m/>
    <m/>
    <m/>
  </r>
  <r>
    <s v="2025-Q2"/>
    <x v="1"/>
    <n v="4"/>
    <s v="category"/>
    <s v="category_chart"/>
    <x v="3"/>
    <s v="Wallets"/>
    <x v="19"/>
    <m/>
    <x v="5"/>
    <x v="0"/>
    <n v="7"/>
    <s v="count"/>
    <s v="7"/>
    <m/>
    <m/>
    <m/>
  </r>
  <r>
    <s v="2025-Q2"/>
    <x v="1"/>
    <n v="4"/>
    <s v="category"/>
    <s v="category_chart"/>
    <x v="3"/>
    <s v="Wallets"/>
    <x v="20"/>
    <m/>
    <x v="5"/>
    <x v="0"/>
    <n v="3465"/>
    <s v="count"/>
    <s v="3,465"/>
    <m/>
    <m/>
    <m/>
  </r>
  <r>
    <s v="2025-Q2"/>
    <x v="1"/>
    <n v="4"/>
    <s v="category"/>
    <s v="category_chart"/>
    <x v="3"/>
    <s v="Wallets"/>
    <x v="21"/>
    <m/>
    <x v="5"/>
    <x v="0"/>
    <n v="2610000"/>
    <s v="count"/>
    <s v="2.61 M"/>
    <m/>
    <m/>
    <m/>
  </r>
  <r>
    <s v="2025-Q2"/>
    <x v="1"/>
    <n v="4"/>
    <s v="chart_point"/>
    <s v="trend_chart"/>
    <x v="0"/>
    <s v="Users"/>
    <x v="14"/>
    <m/>
    <x v="4"/>
    <x v="1"/>
    <n v="2600000"/>
    <s v="count"/>
    <s v="2.60 M"/>
    <s v="TRUE"/>
    <s v="restated"/>
    <m/>
  </r>
  <r>
    <s v="2025-Q2"/>
    <x v="1"/>
    <n v="4"/>
    <s v="kpi"/>
    <s v="stat_box"/>
    <x v="0"/>
    <s v="Users"/>
    <x v="14"/>
    <m/>
    <x v="5"/>
    <x v="0"/>
    <n v="2670000"/>
    <s v="count"/>
    <s v="2.67 M"/>
    <m/>
    <m/>
    <m/>
  </r>
  <r>
    <s v="2025-Q3"/>
    <x v="1"/>
    <n v="4"/>
    <s v="category"/>
    <s v="category_chart"/>
    <x v="0"/>
    <s v="Users"/>
    <x v="0"/>
    <m/>
    <x v="6"/>
    <x v="0"/>
    <n v="976500"/>
    <s v="count"/>
    <s v="976.5 K"/>
    <m/>
    <m/>
    <m/>
  </r>
  <r>
    <s v="2025-Q3"/>
    <x v="1"/>
    <n v="4"/>
    <s v="category"/>
    <s v="category_chart"/>
    <x v="0"/>
    <s v="Users"/>
    <x v="1"/>
    <m/>
    <x v="6"/>
    <x v="0"/>
    <n v="693600"/>
    <s v="count"/>
    <s v="693.6 K"/>
    <m/>
    <m/>
    <m/>
  </r>
  <r>
    <s v="2025-Q3"/>
    <x v="1"/>
    <n v="4"/>
    <s v="category"/>
    <s v="category_chart"/>
    <x v="0"/>
    <s v="Users"/>
    <x v="2"/>
    <m/>
    <x v="6"/>
    <x v="0"/>
    <n v="521600"/>
    <s v="count"/>
    <s v="521.6 K"/>
    <m/>
    <m/>
    <m/>
  </r>
  <r>
    <s v="2025-Q3"/>
    <x v="1"/>
    <n v="4"/>
    <s v="category"/>
    <s v="category_chart"/>
    <x v="0"/>
    <s v="Users"/>
    <x v="3"/>
    <m/>
    <x v="6"/>
    <x v="0"/>
    <n v="325500"/>
    <s v="count"/>
    <s v="325.5 K"/>
    <m/>
    <m/>
    <m/>
  </r>
  <r>
    <s v="2025-Q3"/>
    <x v="1"/>
    <n v="4"/>
    <s v="category"/>
    <s v="category_chart"/>
    <x v="0"/>
    <s v="Users"/>
    <x v="4"/>
    <m/>
    <x v="6"/>
    <x v="0"/>
    <n v="123000"/>
    <s v="count"/>
    <s v="123.0 K"/>
    <m/>
    <m/>
    <m/>
  </r>
  <r>
    <s v="2025-Q3"/>
    <x v="1"/>
    <n v="4"/>
    <s v="category"/>
    <s v="category_chart"/>
    <x v="0"/>
    <s v="Users"/>
    <x v="5"/>
    <m/>
    <x v="6"/>
    <x v="0"/>
    <n v="35800"/>
    <s v="count"/>
    <s v="35.8 K"/>
    <m/>
    <m/>
    <m/>
  </r>
  <r>
    <s v="2025-Q3"/>
    <x v="1"/>
    <n v="4"/>
    <s v="category"/>
    <s v="category_chart"/>
    <x v="0"/>
    <s v="Users"/>
    <x v="6"/>
    <m/>
    <x v="6"/>
    <x v="0"/>
    <n v="12700"/>
    <s v="count"/>
    <s v="12.7 K"/>
    <m/>
    <m/>
    <m/>
  </r>
  <r>
    <s v="2025-Q3"/>
    <x v="1"/>
    <n v="4"/>
    <s v="category"/>
    <s v="category_chart"/>
    <x v="0"/>
    <s v="Users"/>
    <x v="7"/>
    <m/>
    <x v="6"/>
    <x v="0"/>
    <n v="1000"/>
    <s v="count"/>
    <s v="1.0 K"/>
    <m/>
    <m/>
    <m/>
  </r>
  <r>
    <s v="2025-Q3"/>
    <x v="1"/>
    <n v="4"/>
    <s v="category"/>
    <s v="category_chart"/>
    <x v="0"/>
    <s v="Users"/>
    <x v="8"/>
    <m/>
    <x v="6"/>
    <x v="0"/>
    <n v="1280000"/>
    <s v="count"/>
    <s v="1.28 M"/>
    <m/>
    <m/>
    <m/>
  </r>
  <r>
    <s v="2025-Q3"/>
    <x v="1"/>
    <n v="4"/>
    <s v="category"/>
    <s v="category_chart"/>
    <x v="0"/>
    <s v="Users"/>
    <x v="10"/>
    <m/>
    <x v="6"/>
    <x v="0"/>
    <n v="2370000"/>
    <s v="count"/>
    <s v="2.37 M"/>
    <m/>
    <m/>
    <m/>
  </r>
  <r>
    <s v="2025-Q3"/>
    <x v="1"/>
    <n v="4"/>
    <s v="category"/>
    <s v="category_chart"/>
    <x v="0"/>
    <s v="Users"/>
    <x v="12"/>
    <m/>
    <x v="6"/>
    <x v="0"/>
    <n v="1410000"/>
    <s v="count"/>
    <s v="1.41 M"/>
    <m/>
    <m/>
    <m/>
  </r>
  <r>
    <s v="2025-Q3"/>
    <x v="1"/>
    <n v="4"/>
    <s v="category"/>
    <s v="category_chart"/>
    <x v="0"/>
    <s v="Users"/>
    <x v="13"/>
    <m/>
    <x v="6"/>
    <x v="0"/>
    <n v="330000"/>
    <s v="count"/>
    <s v="330.0 K"/>
    <m/>
    <m/>
    <m/>
  </r>
  <r>
    <s v="2025-Q3"/>
    <x v="1"/>
    <n v="4"/>
    <s v="category"/>
    <s v="category_chart"/>
    <x v="3"/>
    <s v="Wallets"/>
    <x v="17"/>
    <m/>
    <x v="6"/>
    <x v="0"/>
    <n v="992"/>
    <s v="count"/>
    <s v="992"/>
    <m/>
    <m/>
    <m/>
  </r>
  <r>
    <s v="2025-Q3"/>
    <x v="1"/>
    <n v="4"/>
    <s v="category"/>
    <s v="category_chart"/>
    <x v="3"/>
    <s v="Wallets"/>
    <x v="18"/>
    <m/>
    <x v="6"/>
    <x v="0"/>
    <n v="1388"/>
    <s v="count"/>
    <s v="1,388"/>
    <m/>
    <m/>
    <m/>
  </r>
  <r>
    <s v="2025-Q3"/>
    <x v="1"/>
    <n v="4"/>
    <s v="category"/>
    <s v="category_chart"/>
    <x v="3"/>
    <s v="Wallets"/>
    <x v="19"/>
    <m/>
    <x v="6"/>
    <x v="0"/>
    <n v="7"/>
    <s v="count"/>
    <s v="7"/>
    <m/>
    <m/>
    <m/>
  </r>
  <r>
    <s v="2025-Q3"/>
    <x v="1"/>
    <n v="4"/>
    <s v="category"/>
    <s v="category_chart"/>
    <x v="3"/>
    <s v="Wallets"/>
    <x v="20"/>
    <m/>
    <x v="6"/>
    <x v="0"/>
    <n v="3574"/>
    <s v="count"/>
    <s v="3,574"/>
    <m/>
    <m/>
    <m/>
  </r>
  <r>
    <s v="2025-Q3"/>
    <x v="1"/>
    <n v="4"/>
    <s v="category"/>
    <s v="category_chart"/>
    <x v="3"/>
    <s v="Wallets"/>
    <x v="21"/>
    <m/>
    <x v="6"/>
    <x v="0"/>
    <n v="2670000"/>
    <s v="count"/>
    <s v="2.67 M"/>
    <m/>
    <m/>
    <m/>
  </r>
  <r>
    <s v="2025-Q3"/>
    <x v="1"/>
    <n v="4"/>
    <s v="chart_point"/>
    <s v="trend_chart"/>
    <x v="0"/>
    <s v="Users"/>
    <x v="14"/>
    <m/>
    <x v="4"/>
    <x v="1"/>
    <n v="2600000"/>
    <s v="count"/>
    <s v="2.60 M"/>
    <s v="TRUE"/>
    <s v="restated"/>
    <m/>
  </r>
  <r>
    <s v="2025-Q3"/>
    <x v="1"/>
    <n v="4"/>
    <s v="chart_point"/>
    <s v="trend_chart"/>
    <x v="0"/>
    <s v="Users"/>
    <x v="14"/>
    <m/>
    <x v="5"/>
    <x v="1"/>
    <n v="2670000"/>
    <s v="count"/>
    <s v="2.67 M"/>
    <s v="TRUE"/>
    <s v="restated"/>
    <m/>
  </r>
  <r>
    <s v="2025-Q3"/>
    <x v="1"/>
    <n v="4"/>
    <s v="kpi"/>
    <s v="stat_box"/>
    <x v="0"/>
    <s v="Users"/>
    <x v="14"/>
    <m/>
    <x v="6"/>
    <x v="0"/>
    <n v="2700000"/>
    <s v="count"/>
    <s v="2.70 M"/>
    <m/>
    <m/>
    <m/>
  </r>
  <r>
    <s v="2025-Q4"/>
    <x v="1"/>
    <n v="4"/>
    <s v="category"/>
    <s v="category_chart"/>
    <x v="0"/>
    <s v="Users"/>
    <x v="0"/>
    <m/>
    <x v="7"/>
    <x v="0"/>
    <n v="1030000"/>
    <s v="count"/>
    <s v="1.03 M"/>
    <m/>
    <m/>
    <m/>
  </r>
  <r>
    <s v="2025-Q4"/>
    <x v="1"/>
    <n v="4"/>
    <s v="category"/>
    <s v="category_chart"/>
    <x v="0"/>
    <s v="Users"/>
    <x v="1"/>
    <m/>
    <x v="7"/>
    <x v="0"/>
    <n v="719700"/>
    <s v="count"/>
    <s v="719.7 K"/>
    <m/>
    <m/>
    <m/>
  </r>
  <r>
    <s v="2025-Q4"/>
    <x v="1"/>
    <n v="4"/>
    <s v="category"/>
    <s v="category_chart"/>
    <x v="0"/>
    <s v="Users"/>
    <x v="2"/>
    <m/>
    <x v="7"/>
    <x v="0"/>
    <n v="539900"/>
    <s v="count"/>
    <s v="539.9 K"/>
    <m/>
    <m/>
    <m/>
  </r>
  <r>
    <s v="2025-Q4"/>
    <x v="1"/>
    <n v="4"/>
    <s v="category"/>
    <s v="category_chart"/>
    <x v="0"/>
    <s v="Users"/>
    <x v="3"/>
    <m/>
    <x v="7"/>
    <x v="0"/>
    <n v="338700"/>
    <s v="count"/>
    <s v="338.7 K"/>
    <m/>
    <m/>
    <m/>
  </r>
  <r>
    <s v="2025-Q4"/>
    <x v="1"/>
    <n v="4"/>
    <s v="category"/>
    <s v="category_chart"/>
    <x v="0"/>
    <s v="Users"/>
    <x v="4"/>
    <m/>
    <x v="7"/>
    <x v="0"/>
    <n v="129000"/>
    <s v="count"/>
    <s v="129.0 K"/>
    <m/>
    <m/>
    <m/>
  </r>
  <r>
    <s v="2025-Q4"/>
    <x v="1"/>
    <n v="4"/>
    <s v="category"/>
    <s v="category_chart"/>
    <x v="0"/>
    <s v="Users"/>
    <x v="5"/>
    <m/>
    <x v="7"/>
    <x v="0"/>
    <n v="37600"/>
    <s v="count"/>
    <s v="37.6 K"/>
    <m/>
    <m/>
    <m/>
  </r>
  <r>
    <s v="2025-Q4"/>
    <x v="1"/>
    <n v="4"/>
    <s v="category"/>
    <s v="category_chart"/>
    <x v="0"/>
    <s v="Users"/>
    <x v="6"/>
    <m/>
    <x v="7"/>
    <x v="0"/>
    <n v="13000"/>
    <s v="count"/>
    <s v="13.0 K"/>
    <m/>
    <m/>
    <m/>
  </r>
  <r>
    <s v="2025-Q4"/>
    <x v="1"/>
    <n v="4"/>
    <s v="category"/>
    <s v="category_chart"/>
    <x v="0"/>
    <s v="Users"/>
    <x v="7"/>
    <m/>
    <x v="7"/>
    <x v="0"/>
    <n v="1100"/>
    <s v="count"/>
    <s v="1.1 K"/>
    <m/>
    <m/>
    <m/>
  </r>
  <r>
    <s v="2025-Q4"/>
    <x v="1"/>
    <n v="4"/>
    <s v="category"/>
    <s v="category_chart"/>
    <x v="0"/>
    <s v="Users"/>
    <x v="8"/>
    <m/>
    <x v="7"/>
    <x v="0"/>
    <n v="1320000"/>
    <s v="count"/>
    <s v="1.32 M"/>
    <m/>
    <m/>
    <m/>
  </r>
  <r>
    <s v="2025-Q4"/>
    <x v="1"/>
    <n v="4"/>
    <s v="category"/>
    <s v="category_chart"/>
    <x v="0"/>
    <s v="Users"/>
    <x v="10"/>
    <m/>
    <x v="7"/>
    <x v="0"/>
    <n v="2470000"/>
    <s v="count"/>
    <s v="2.47 M"/>
    <m/>
    <m/>
    <m/>
  </r>
  <r>
    <s v="2025-Q4"/>
    <x v="1"/>
    <n v="4"/>
    <s v="category"/>
    <s v="category_chart"/>
    <x v="0"/>
    <s v="Users"/>
    <x v="12"/>
    <m/>
    <x v="7"/>
    <x v="0"/>
    <n v="1490000"/>
    <s v="count"/>
    <s v="1.49 M"/>
    <m/>
    <m/>
    <m/>
  </r>
  <r>
    <s v="2025-Q4"/>
    <x v="1"/>
    <n v="4"/>
    <s v="category"/>
    <s v="category_chart"/>
    <x v="0"/>
    <s v="Users"/>
    <x v="13"/>
    <m/>
    <x v="7"/>
    <x v="0"/>
    <n v="340000"/>
    <s v="count"/>
    <s v="340.0 K"/>
    <m/>
    <m/>
    <m/>
  </r>
  <r>
    <s v="2025-Q4"/>
    <x v="1"/>
    <n v="4"/>
    <s v="category"/>
    <s v="category_chart"/>
    <x v="3"/>
    <s v="Wallets"/>
    <x v="17"/>
    <m/>
    <x v="7"/>
    <x v="0"/>
    <n v="1045"/>
    <s v="count"/>
    <s v="1,045"/>
    <m/>
    <m/>
    <m/>
  </r>
  <r>
    <s v="2025-Q4"/>
    <x v="1"/>
    <n v="4"/>
    <s v="category"/>
    <s v="category_chart"/>
    <x v="3"/>
    <s v="Wallets"/>
    <x v="18"/>
    <m/>
    <x v="7"/>
    <x v="0"/>
    <n v="1511"/>
    <s v="count"/>
    <s v="1,511"/>
    <m/>
    <m/>
    <m/>
  </r>
  <r>
    <s v="2025-Q4"/>
    <x v="1"/>
    <n v="4"/>
    <s v="category"/>
    <s v="category_chart"/>
    <x v="3"/>
    <s v="Wallets"/>
    <x v="19"/>
    <m/>
    <x v="7"/>
    <x v="0"/>
    <n v="8"/>
    <s v="count"/>
    <s v="8"/>
    <m/>
    <m/>
    <m/>
  </r>
  <r>
    <s v="2025-Q4"/>
    <x v="1"/>
    <n v="4"/>
    <s v="category"/>
    <s v="category_chart"/>
    <x v="3"/>
    <s v="Wallets"/>
    <x v="20"/>
    <m/>
    <x v="7"/>
    <x v="0"/>
    <n v="3716"/>
    <s v="count"/>
    <s v="3,716"/>
    <m/>
    <m/>
    <m/>
  </r>
  <r>
    <s v="2025-Q4"/>
    <x v="1"/>
    <n v="4"/>
    <s v="category"/>
    <s v="category_chart"/>
    <x v="3"/>
    <s v="Wallets"/>
    <x v="21"/>
    <m/>
    <x v="7"/>
    <x v="0"/>
    <n v="2780000"/>
    <s v="count"/>
    <s v="2.78 M"/>
    <m/>
    <m/>
    <m/>
  </r>
  <r>
    <s v="2025-Q4"/>
    <x v="1"/>
    <n v="4"/>
    <s v="chart_point"/>
    <s v="trend_chart"/>
    <x v="0"/>
    <s v="Users"/>
    <x v="14"/>
    <m/>
    <x v="4"/>
    <x v="1"/>
    <n v="2600000"/>
    <s v="count"/>
    <s v="2.60 M"/>
    <s v="TRUE"/>
    <s v="restated"/>
    <m/>
  </r>
  <r>
    <s v="2025-Q4"/>
    <x v="1"/>
    <n v="4"/>
    <s v="chart_point"/>
    <s v="trend_chart"/>
    <x v="0"/>
    <s v="Users"/>
    <x v="14"/>
    <m/>
    <x v="5"/>
    <x v="1"/>
    <n v="2670000"/>
    <s v="count"/>
    <s v="2.67 M"/>
    <s v="TRUE"/>
    <s v="restated"/>
    <m/>
  </r>
  <r>
    <s v="2025-Q4"/>
    <x v="1"/>
    <n v="4"/>
    <s v="chart_point"/>
    <s v="trend_chart"/>
    <x v="0"/>
    <s v="Users"/>
    <x v="14"/>
    <m/>
    <x v="6"/>
    <x v="1"/>
    <n v="2700000"/>
    <s v="count"/>
    <s v="2.70 M"/>
    <s v="TRUE"/>
    <s v="restated"/>
    <m/>
  </r>
  <r>
    <s v="2025-Q4"/>
    <x v="1"/>
    <n v="4"/>
    <s v="kpi"/>
    <s v="stat_box"/>
    <x v="0"/>
    <s v="Users"/>
    <x v="14"/>
    <m/>
    <x v="7"/>
    <x v="0"/>
    <n v="2810000"/>
    <s v="count"/>
    <s v="2.81 M"/>
    <m/>
    <m/>
    <m/>
  </r>
  <r>
    <s v="2026-Q1"/>
    <x v="1"/>
    <n v="4"/>
    <s v="category"/>
    <s v="category_chart"/>
    <x v="0"/>
    <s v="Users"/>
    <x v="0"/>
    <m/>
    <x v="8"/>
    <x v="0"/>
    <n v="1050000"/>
    <s v="count"/>
    <s v="1.05 M"/>
    <m/>
    <m/>
    <m/>
  </r>
  <r>
    <s v="2026-Q1"/>
    <x v="1"/>
    <n v="4"/>
    <s v="category"/>
    <s v="category_chart"/>
    <x v="0"/>
    <s v="Users"/>
    <x v="1"/>
    <m/>
    <x v="8"/>
    <x v="0"/>
    <n v="746000"/>
    <s v="count"/>
    <s v="746.0 K"/>
    <m/>
    <m/>
    <m/>
  </r>
  <r>
    <s v="2026-Q1"/>
    <x v="1"/>
    <n v="4"/>
    <s v="category"/>
    <s v="category_chart"/>
    <x v="0"/>
    <s v="Users"/>
    <x v="2"/>
    <m/>
    <x v="8"/>
    <x v="0"/>
    <n v="560000"/>
    <s v="count"/>
    <s v="560.0 K"/>
    <m/>
    <m/>
    <m/>
  </r>
  <r>
    <s v="2026-Q1"/>
    <x v="1"/>
    <n v="4"/>
    <s v="category"/>
    <s v="category_chart"/>
    <x v="0"/>
    <s v="Users"/>
    <x v="3"/>
    <m/>
    <x v="8"/>
    <x v="0"/>
    <n v="352100"/>
    <s v="count"/>
    <s v="352.1 K"/>
    <m/>
    <m/>
    <m/>
  </r>
  <r>
    <s v="2026-Q1"/>
    <x v="1"/>
    <n v="4"/>
    <s v="category"/>
    <s v="category_chart"/>
    <x v="0"/>
    <s v="Users"/>
    <x v="4"/>
    <m/>
    <x v="8"/>
    <x v="0"/>
    <n v="138000"/>
    <s v="count"/>
    <s v="138.0 K"/>
    <m/>
    <m/>
    <m/>
  </r>
  <r>
    <s v="2026-Q1"/>
    <x v="1"/>
    <n v="4"/>
    <s v="category"/>
    <s v="category_chart"/>
    <x v="0"/>
    <s v="Users"/>
    <x v="5"/>
    <m/>
    <x v="8"/>
    <x v="0"/>
    <n v="39800"/>
    <s v="count"/>
    <s v="39.8 K"/>
    <m/>
    <m/>
    <m/>
  </r>
  <r>
    <s v="2026-Q1"/>
    <x v="1"/>
    <n v="4"/>
    <s v="category"/>
    <s v="category_chart"/>
    <x v="0"/>
    <s v="Users"/>
    <x v="6"/>
    <m/>
    <x v="8"/>
    <x v="0"/>
    <n v="13300"/>
    <s v="count"/>
    <s v="13.3 K"/>
    <m/>
    <m/>
    <m/>
  </r>
  <r>
    <s v="2026-Q1"/>
    <x v="1"/>
    <n v="4"/>
    <s v="category"/>
    <s v="category_chart"/>
    <x v="0"/>
    <s v="Users"/>
    <x v="7"/>
    <m/>
    <x v="8"/>
    <x v="0"/>
    <n v="1000"/>
    <s v="count"/>
    <s v="1.0 K"/>
    <m/>
    <m/>
    <m/>
  </r>
  <r>
    <s v="2026-Q1"/>
    <x v="1"/>
    <n v="4"/>
    <s v="category"/>
    <s v="category_chart"/>
    <x v="0"/>
    <s v="Users"/>
    <x v="8"/>
    <m/>
    <x v="8"/>
    <x v="0"/>
    <n v="1340000"/>
    <s v="count"/>
    <s v="1.34 M"/>
    <m/>
    <m/>
    <m/>
  </r>
  <r>
    <s v="2026-Q1"/>
    <x v="1"/>
    <n v="4"/>
    <s v="category"/>
    <s v="category_chart"/>
    <x v="0"/>
    <s v="Users"/>
    <x v="10"/>
    <m/>
    <x v="8"/>
    <x v="0"/>
    <n v="2550000"/>
    <s v="count"/>
    <s v="2.55 M"/>
    <m/>
    <m/>
    <m/>
  </r>
  <r>
    <s v="2026-Q1"/>
    <x v="1"/>
    <n v="4"/>
    <s v="category"/>
    <s v="category_chart"/>
    <x v="0"/>
    <s v="Users"/>
    <x v="12"/>
    <m/>
    <x v="8"/>
    <x v="0"/>
    <n v="1550000"/>
    <s v="count"/>
    <s v="1.55 M"/>
    <m/>
    <m/>
    <m/>
  </r>
  <r>
    <s v="2026-Q1"/>
    <x v="1"/>
    <n v="4"/>
    <s v="category"/>
    <s v="category_chart"/>
    <x v="0"/>
    <s v="Users"/>
    <x v="13"/>
    <m/>
    <x v="8"/>
    <x v="0"/>
    <n v="360000"/>
    <s v="count"/>
    <s v="360.0 K"/>
    <m/>
    <m/>
    <m/>
  </r>
  <r>
    <s v="2026-Q1"/>
    <x v="1"/>
    <n v="4"/>
    <s v="category"/>
    <s v="category_chart"/>
    <x v="3"/>
    <s v="Wallets"/>
    <x v="17"/>
    <m/>
    <x v="8"/>
    <x v="0"/>
    <n v="1064"/>
    <s v="count"/>
    <s v="1,064"/>
    <m/>
    <m/>
    <m/>
  </r>
  <r>
    <s v="2026-Q1"/>
    <x v="1"/>
    <n v="4"/>
    <s v="category"/>
    <s v="category_chart"/>
    <x v="3"/>
    <s v="Wallets"/>
    <x v="18"/>
    <m/>
    <x v="8"/>
    <x v="0"/>
    <n v="1662"/>
    <s v="count"/>
    <s v="1,662"/>
    <m/>
    <m/>
    <m/>
  </r>
  <r>
    <s v="2026-Q1"/>
    <x v="1"/>
    <n v="4"/>
    <s v="category"/>
    <s v="category_chart"/>
    <x v="3"/>
    <s v="Wallets"/>
    <x v="19"/>
    <m/>
    <x v="8"/>
    <x v="0"/>
    <n v="8"/>
    <s v="count"/>
    <s v="8"/>
    <m/>
    <m/>
    <m/>
  </r>
  <r>
    <s v="2026-Q1"/>
    <x v="1"/>
    <n v="4"/>
    <s v="category"/>
    <s v="category_chart"/>
    <x v="3"/>
    <s v="Wallets"/>
    <x v="20"/>
    <m/>
    <x v="8"/>
    <x v="0"/>
    <n v="4020"/>
    <s v="count"/>
    <s v="4,020"/>
    <m/>
    <m/>
    <m/>
  </r>
  <r>
    <s v="2026-Q1"/>
    <x v="1"/>
    <n v="4"/>
    <s v="category"/>
    <s v="category_chart"/>
    <x v="3"/>
    <s v="Wallets"/>
    <x v="21"/>
    <m/>
    <x v="8"/>
    <x v="0"/>
    <n v="2880000"/>
    <s v="count"/>
    <s v="2.88 M"/>
    <m/>
    <m/>
    <m/>
  </r>
  <r>
    <s v="2026-Q1"/>
    <x v="1"/>
    <n v="4"/>
    <s v="chart_point"/>
    <s v="trend_chart"/>
    <x v="0"/>
    <s v="Users"/>
    <x v="14"/>
    <m/>
    <x v="7"/>
    <x v="1"/>
    <n v="2810000"/>
    <s v="count"/>
    <s v="2.81 M"/>
    <s v="TRUE"/>
    <s v="restated"/>
    <m/>
  </r>
  <r>
    <s v="2026-Q1"/>
    <x v="1"/>
    <n v="4"/>
    <s v="kpi"/>
    <s v="stat_box"/>
    <x v="0"/>
    <s v="Users"/>
    <x v="14"/>
    <m/>
    <x v="8"/>
    <x v="0"/>
    <n v="2910000"/>
    <s v="count"/>
    <s v="2.91 M"/>
    <m/>
    <m/>
    <m/>
  </r>
  <r>
    <s v="2026-Q2"/>
    <x v="1"/>
    <n v="4"/>
    <s v="category"/>
    <s v="category_chart"/>
    <x v="0"/>
    <s v="Users"/>
    <x v="0"/>
    <m/>
    <x v="9"/>
    <x v="0"/>
    <n v="1080000"/>
    <s v="count"/>
    <s v="1.08 M"/>
    <m/>
    <m/>
    <m/>
  </r>
  <r>
    <s v="2026-Q2"/>
    <x v="1"/>
    <n v="4"/>
    <s v="category"/>
    <s v="category_chart"/>
    <x v="0"/>
    <s v="Users"/>
    <x v="1"/>
    <m/>
    <x v="9"/>
    <x v="0"/>
    <n v="768400"/>
    <s v="count"/>
    <s v="768.4 K"/>
    <m/>
    <m/>
    <m/>
  </r>
  <r>
    <s v="2026-Q2"/>
    <x v="1"/>
    <n v="4"/>
    <s v="category"/>
    <s v="category_chart"/>
    <x v="0"/>
    <s v="Users"/>
    <x v="2"/>
    <m/>
    <x v="9"/>
    <x v="0"/>
    <n v="577500"/>
    <s v="count"/>
    <s v="577.5 K"/>
    <m/>
    <m/>
    <m/>
  </r>
  <r>
    <s v="2026-Q2"/>
    <x v="1"/>
    <n v="4"/>
    <s v="category"/>
    <s v="category_chart"/>
    <x v="0"/>
    <s v="Users"/>
    <x v="3"/>
    <m/>
    <x v="9"/>
    <x v="0"/>
    <n v="364100"/>
    <s v="count"/>
    <s v="364.1 K"/>
    <m/>
    <m/>
    <m/>
  </r>
  <r>
    <s v="2026-Q2"/>
    <x v="1"/>
    <n v="4"/>
    <s v="category"/>
    <s v="category_chart"/>
    <x v="0"/>
    <s v="Users"/>
    <x v="4"/>
    <m/>
    <x v="9"/>
    <x v="0"/>
    <n v="145000"/>
    <s v="count"/>
    <s v="145.0 K"/>
    <m/>
    <m/>
    <m/>
  </r>
  <r>
    <s v="2026-Q2"/>
    <x v="1"/>
    <n v="4"/>
    <s v="category"/>
    <s v="category_chart"/>
    <x v="0"/>
    <s v="Users"/>
    <x v="5"/>
    <m/>
    <x v="9"/>
    <x v="0"/>
    <n v="41400"/>
    <s v="count"/>
    <s v="41.4 K"/>
    <m/>
    <m/>
    <m/>
  </r>
  <r>
    <s v="2026-Q2"/>
    <x v="1"/>
    <n v="4"/>
    <s v="category"/>
    <s v="category_chart"/>
    <x v="0"/>
    <s v="Users"/>
    <x v="6"/>
    <m/>
    <x v="9"/>
    <x v="0"/>
    <n v="15000"/>
    <s v="count"/>
    <s v="15.0 K"/>
    <m/>
    <m/>
    <m/>
  </r>
  <r>
    <s v="2026-Q2"/>
    <x v="1"/>
    <n v="4"/>
    <s v="category"/>
    <s v="category_chart"/>
    <x v="0"/>
    <s v="Users"/>
    <x v="7"/>
    <m/>
    <x v="9"/>
    <x v="0"/>
    <n v="830"/>
    <s v="count"/>
    <s v="830"/>
    <m/>
    <m/>
    <m/>
  </r>
  <r>
    <s v="2026-Q2"/>
    <x v="1"/>
    <n v="4"/>
    <s v="category"/>
    <s v="category_chart"/>
    <x v="0"/>
    <s v="Users"/>
    <x v="8"/>
    <m/>
    <x v="9"/>
    <x v="0"/>
    <n v="1370000"/>
    <s v="count"/>
    <s v="1.37 M"/>
    <m/>
    <m/>
    <m/>
  </r>
  <r>
    <s v="2026-Q2"/>
    <x v="1"/>
    <n v="4"/>
    <s v="category"/>
    <s v="category_chart"/>
    <x v="0"/>
    <s v="Users"/>
    <x v="10"/>
    <m/>
    <x v="9"/>
    <x v="0"/>
    <n v="2630000"/>
    <s v="count"/>
    <s v="2.63 M"/>
    <m/>
    <m/>
    <m/>
  </r>
  <r>
    <s v="2026-Q2"/>
    <x v="1"/>
    <n v="4"/>
    <s v="category"/>
    <s v="category_chart"/>
    <x v="0"/>
    <s v="Users"/>
    <x v="12"/>
    <m/>
    <x v="9"/>
    <x v="0"/>
    <n v="1620000"/>
    <s v="count"/>
    <s v="1.62 M"/>
    <m/>
    <m/>
    <m/>
  </r>
  <r>
    <s v="2026-Q2"/>
    <x v="1"/>
    <n v="4"/>
    <s v="category"/>
    <s v="category_chart"/>
    <x v="0"/>
    <s v="Users"/>
    <x v="13"/>
    <m/>
    <x v="9"/>
    <x v="0"/>
    <n v="370000"/>
    <s v="count"/>
    <s v="370.0 K"/>
    <m/>
    <m/>
    <m/>
  </r>
  <r>
    <s v="2026-Q2"/>
    <x v="1"/>
    <n v="4"/>
    <s v="category"/>
    <s v="category_chart"/>
    <x v="3"/>
    <s v="Wallets"/>
    <x v="17"/>
    <m/>
    <x v="9"/>
    <x v="0"/>
    <n v="1077"/>
    <s v="count"/>
    <s v="1,077"/>
    <m/>
    <m/>
    <m/>
  </r>
  <r>
    <s v="2026-Q2"/>
    <x v="1"/>
    <n v="4"/>
    <s v="category"/>
    <s v="category_chart"/>
    <x v="3"/>
    <s v="Wallets"/>
    <x v="18"/>
    <m/>
    <x v="9"/>
    <x v="0"/>
    <n v="2035"/>
    <s v="count"/>
    <s v="2,035"/>
    <m/>
    <m/>
    <m/>
  </r>
  <r>
    <s v="2026-Q2"/>
    <x v="1"/>
    <n v="4"/>
    <s v="category"/>
    <s v="category_chart"/>
    <x v="3"/>
    <s v="Wallets"/>
    <x v="19"/>
    <m/>
    <x v="9"/>
    <x v="0"/>
    <n v="8"/>
    <s v="count"/>
    <s v="8"/>
    <m/>
    <m/>
    <m/>
  </r>
  <r>
    <s v="2026-Q2"/>
    <x v="1"/>
    <n v="4"/>
    <s v="category"/>
    <s v="category_chart"/>
    <x v="3"/>
    <s v="Wallets"/>
    <x v="20"/>
    <m/>
    <x v="9"/>
    <x v="0"/>
    <n v="4480"/>
    <s v="count"/>
    <s v="4,480"/>
    <m/>
    <m/>
    <m/>
  </r>
  <r>
    <s v="2026-Q2"/>
    <x v="1"/>
    <n v="4"/>
    <s v="category"/>
    <s v="category_chart"/>
    <x v="3"/>
    <s v="Wallets"/>
    <x v="21"/>
    <m/>
    <x v="9"/>
    <x v="0"/>
    <n v="2950000"/>
    <s v="count"/>
    <s v="2.95 M"/>
    <m/>
    <m/>
    <m/>
  </r>
  <r>
    <s v="2026-Q2"/>
    <x v="1"/>
    <n v="4"/>
    <s v="chart_point"/>
    <s v="trend_chart"/>
    <x v="0"/>
    <s v="Users"/>
    <x v="14"/>
    <m/>
    <x v="8"/>
    <x v="1"/>
    <n v="2910000"/>
    <s v="count"/>
    <s v="2.91 M"/>
    <s v="TRUE"/>
    <s v="restated"/>
    <m/>
  </r>
  <r>
    <s v="2026-Q2"/>
    <x v="1"/>
    <n v="4"/>
    <s v="kpi"/>
    <s v="stat_box"/>
    <x v="0"/>
    <s v="Users"/>
    <x v="14"/>
    <m/>
    <x v="9"/>
    <x v="0"/>
    <n v="3000000"/>
    <s v="count"/>
    <s v="3.00 M"/>
    <m/>
    <m/>
    <m/>
  </r>
  <r>
    <s v="2024-Q3"/>
    <x v="1"/>
    <n v="5"/>
    <s v="category"/>
    <s v="category_chart"/>
    <x v="1"/>
    <s v="Transactions"/>
    <x v="22"/>
    <m/>
    <x v="0"/>
    <x v="0"/>
    <n v="339000"/>
    <s v="count"/>
    <s v="339.0 K"/>
    <m/>
    <m/>
    <m/>
  </r>
  <r>
    <s v="2024-Q3"/>
    <x v="1"/>
    <n v="5"/>
    <s v="category"/>
    <s v="category_chart"/>
    <x v="1"/>
    <s v="Transactions"/>
    <x v="23"/>
    <m/>
    <x v="0"/>
    <x v="0"/>
    <n v="517000"/>
    <s v="count"/>
    <s v="517.0 K"/>
    <m/>
    <m/>
    <m/>
  </r>
  <r>
    <s v="2024-Q3"/>
    <x v="1"/>
    <n v="5"/>
    <s v="category"/>
    <s v="category_chart"/>
    <x v="1"/>
    <s v="Transactions"/>
    <x v="15"/>
    <m/>
    <x v="0"/>
    <x v="0"/>
    <n v="13750000"/>
    <s v="count"/>
    <s v="13.75 M"/>
    <m/>
    <m/>
    <m/>
  </r>
  <r>
    <s v="2024-Q3"/>
    <x v="1"/>
    <n v="5"/>
    <s v="category"/>
    <s v="category_chart"/>
    <x v="1"/>
    <s v="Transactions"/>
    <x v="15"/>
    <s v="Off Us"/>
    <x v="0"/>
    <x v="0"/>
    <n v="4500000"/>
    <s v="count"/>
    <s v="4.50 M"/>
    <m/>
    <m/>
    <s v="dimension_L2 nested inside the Money Transfer slice of transaction type"/>
  </r>
  <r>
    <s v="2024-Q3"/>
    <x v="1"/>
    <n v="5"/>
    <s v="category"/>
    <s v="category_chart"/>
    <x v="1"/>
    <s v="Transactions"/>
    <x v="15"/>
    <s v="On Us"/>
    <x v="0"/>
    <x v="0"/>
    <n v="4900000"/>
    <s v="count"/>
    <s v="4.90 M"/>
    <m/>
    <m/>
    <s v="dimension_L2 nested inside the Money Transfer slice of transaction type"/>
  </r>
  <r>
    <s v="2024-Q3"/>
    <x v="1"/>
    <n v="5"/>
    <s v="category"/>
    <s v="category_chart"/>
    <x v="1"/>
    <s v="Transactions"/>
    <x v="16"/>
    <m/>
    <x v="0"/>
    <x v="0"/>
    <n v="583000"/>
    <s v="count"/>
    <s v="583.0 K"/>
    <m/>
    <m/>
    <m/>
  </r>
  <r>
    <s v="2024-Q3"/>
    <x v="1"/>
    <n v="5"/>
    <s v="category"/>
    <s v="category_chart"/>
    <x v="2"/>
    <s v="Transactions"/>
    <x v="22"/>
    <m/>
    <x v="0"/>
    <x v="0"/>
    <n v="60000000"/>
    <s v="JOD"/>
    <s v="60.00 M JOD"/>
    <m/>
    <m/>
    <m/>
  </r>
  <r>
    <s v="2024-Q3"/>
    <x v="1"/>
    <n v="5"/>
    <s v="category"/>
    <s v="category_chart"/>
    <x v="2"/>
    <s v="Transactions"/>
    <x v="23"/>
    <m/>
    <x v="0"/>
    <x v="0"/>
    <n v="90000000"/>
    <s v="JOD"/>
    <s v="90.00 M JOD"/>
    <m/>
    <m/>
    <m/>
  </r>
  <r>
    <s v="2024-Q3"/>
    <x v="1"/>
    <n v="5"/>
    <s v="category"/>
    <s v="category_chart"/>
    <x v="2"/>
    <s v="Transactions"/>
    <x v="15"/>
    <m/>
    <x v="0"/>
    <x v="0"/>
    <n v="1190000000"/>
    <s v="JOD"/>
    <s v="1.19 B JOD"/>
    <m/>
    <m/>
    <m/>
  </r>
  <r>
    <s v="2024-Q3"/>
    <x v="1"/>
    <n v="5"/>
    <s v="category"/>
    <s v="category_chart"/>
    <x v="2"/>
    <s v="Transactions"/>
    <x v="15"/>
    <s v="Off Us"/>
    <x v="0"/>
    <x v="0"/>
    <n v="279000000"/>
    <s v="JOD"/>
    <s v="279.00 M JOD"/>
    <m/>
    <m/>
    <s v="dimension_L2 nested inside the Money Transfer slice of transaction type"/>
  </r>
  <r>
    <s v="2024-Q3"/>
    <x v="1"/>
    <n v="5"/>
    <s v="category"/>
    <s v="category_chart"/>
    <x v="2"/>
    <s v="Transactions"/>
    <x v="15"/>
    <s v="On Us"/>
    <x v="0"/>
    <x v="0"/>
    <n v="294000000"/>
    <s v="JOD"/>
    <s v="294.00 M JOD"/>
    <m/>
    <m/>
    <s v="dimension_L2 nested inside the Money Transfer slice of transaction type"/>
  </r>
  <r>
    <s v="2024-Q3"/>
    <x v="1"/>
    <n v="5"/>
    <s v="category"/>
    <s v="category_chart"/>
    <x v="2"/>
    <s v="Transactions"/>
    <x v="16"/>
    <m/>
    <x v="0"/>
    <x v="0"/>
    <n v="46000000"/>
    <s v="JOD"/>
    <s v="46.00 M JOD"/>
    <m/>
    <m/>
    <m/>
  </r>
  <r>
    <s v="2024-Q3"/>
    <x v="1"/>
    <n v="5"/>
    <s v="chart_point"/>
    <s v="trend_chart"/>
    <x v="1"/>
    <s v="Transactions"/>
    <x v="14"/>
    <m/>
    <x v="1"/>
    <x v="1"/>
    <n v="10820000"/>
    <s v="count"/>
    <s v="10.82 M"/>
    <s v="TRUE"/>
    <s v="newest"/>
    <s v="no native/stat_box reading of 2024-Q1 exists anywhere in this corpus (its own quarterly PDF wasn't part of this extraction) - marked newest as the earliest available trailing_chart_point reading of it, per §8 rule 4's fallback"/>
  </r>
  <r>
    <s v="2024-Q3"/>
    <x v="1"/>
    <n v="5"/>
    <s v="chart_point"/>
    <s v="trend_chart"/>
    <x v="1"/>
    <s v="Transactions"/>
    <x v="14"/>
    <m/>
    <x v="2"/>
    <x v="1"/>
    <n v="13380000"/>
    <s v="count"/>
    <s v="13.38 M"/>
    <s v="TRUE"/>
    <s v="newest"/>
    <s v="no native/stat_box reading of 2024-Q2 exists anywhere in this corpus (its own quarterly PDF wasn't part of this extraction) - marked newest as the earliest available trailing_chart_point reading of it, per §8 rule 4's fallback"/>
  </r>
  <r>
    <s v="2024-Q3"/>
    <x v="1"/>
    <n v="5"/>
    <s v="chart_point"/>
    <s v="trend_chart"/>
    <x v="2"/>
    <s v="Transactions"/>
    <x v="14"/>
    <m/>
    <x v="1"/>
    <x v="1"/>
    <n v="1120000000"/>
    <s v="JOD"/>
    <s v="1.12 B JOD"/>
    <s v="TRUE"/>
    <s v="newest"/>
    <s v="no native/stat_box reading of 2024-Q1 exists anywhere in this corpus (its own quarterly PDF wasn't part of this extraction) - marked newest as the earliest available trailing_chart_point reading of it, per §8 rule 4's fallback"/>
  </r>
  <r>
    <s v="2024-Q3"/>
    <x v="1"/>
    <n v="5"/>
    <s v="chart_point"/>
    <s v="trend_chart"/>
    <x v="2"/>
    <s v="Transactions"/>
    <x v="14"/>
    <m/>
    <x v="2"/>
    <x v="1"/>
    <n v="1310000000"/>
    <s v="JOD"/>
    <s v="1.31 B JOD"/>
    <s v="TRUE"/>
    <s v="newest"/>
    <s v="no native/stat_box reading of 2024-Q2 exists anywhere in this corpus (its own quarterly PDF wasn't part of this extraction) - marked newest as the earliest available trailing_chart_point reading of it, per §8 rule 4's fallback"/>
  </r>
  <r>
    <s v="2024-Q3"/>
    <x v="1"/>
    <n v="5"/>
    <s v="kpi"/>
    <s v="stat_box"/>
    <x v="1"/>
    <s v="Transactions"/>
    <x v="14"/>
    <m/>
    <x v="0"/>
    <x v="0"/>
    <n v="15190000"/>
    <s v="count"/>
    <s v="15.19 M"/>
    <m/>
    <m/>
    <m/>
  </r>
  <r>
    <s v="2024-Q3"/>
    <x v="1"/>
    <n v="5"/>
    <s v="kpi"/>
    <s v="stat_box"/>
    <x v="2"/>
    <s v="Transactions"/>
    <x v="14"/>
    <m/>
    <x v="0"/>
    <x v="0"/>
    <n v="1380000000"/>
    <s v="JOD"/>
    <s v="1.38 B JOD"/>
    <m/>
    <m/>
    <m/>
  </r>
  <r>
    <s v="2024-Q4"/>
    <x v="1"/>
    <n v="5"/>
    <s v="category"/>
    <s v="category_chart"/>
    <x v="1"/>
    <s v="Transactions"/>
    <x v="22"/>
    <m/>
    <x v="3"/>
    <x v="0"/>
    <n v="367000"/>
    <s v="count"/>
    <s v="367.0 K"/>
    <m/>
    <m/>
    <m/>
  </r>
  <r>
    <s v="2024-Q4"/>
    <x v="1"/>
    <n v="5"/>
    <s v="category"/>
    <s v="category_chart"/>
    <x v="1"/>
    <s v="Transactions"/>
    <x v="23"/>
    <m/>
    <x v="3"/>
    <x v="0"/>
    <n v="551000"/>
    <s v="count"/>
    <s v="551.0 K"/>
    <m/>
    <m/>
    <m/>
  </r>
  <r>
    <s v="2024-Q4"/>
    <x v="1"/>
    <n v="5"/>
    <s v="category"/>
    <s v="category_chart"/>
    <x v="1"/>
    <s v="Transactions"/>
    <x v="15"/>
    <m/>
    <x v="3"/>
    <x v="0"/>
    <n v="15890000"/>
    <s v="count"/>
    <s v="15.89 M"/>
    <m/>
    <m/>
    <m/>
  </r>
  <r>
    <s v="2024-Q4"/>
    <x v="1"/>
    <n v="5"/>
    <s v="category"/>
    <s v="category_chart"/>
    <x v="1"/>
    <s v="Transactions"/>
    <x v="15"/>
    <s v="Off Us"/>
    <x v="3"/>
    <x v="0"/>
    <n v="5000000"/>
    <s v="count"/>
    <s v="5.00 M"/>
    <m/>
    <m/>
    <s v="dimension_L2 nested inside the Money Transfer slice of transaction type"/>
  </r>
  <r>
    <s v="2024-Q4"/>
    <x v="1"/>
    <n v="5"/>
    <s v="category"/>
    <s v="category_chart"/>
    <x v="1"/>
    <s v="Transactions"/>
    <x v="15"/>
    <s v="On Us"/>
    <x v="3"/>
    <x v="0"/>
    <n v="5600000"/>
    <s v="count"/>
    <s v="5.60 M"/>
    <m/>
    <m/>
    <s v="dimension_L2 nested inside the Money Transfer slice of transaction type"/>
  </r>
  <r>
    <s v="2024-Q4"/>
    <x v="1"/>
    <n v="5"/>
    <s v="category"/>
    <s v="category_chart"/>
    <x v="1"/>
    <s v="Transactions"/>
    <x v="16"/>
    <m/>
    <x v="3"/>
    <x v="0"/>
    <n v="597000"/>
    <s v="count"/>
    <s v="597.0 K"/>
    <m/>
    <m/>
    <m/>
  </r>
  <r>
    <s v="2024-Q4"/>
    <x v="1"/>
    <n v="5"/>
    <s v="category"/>
    <s v="category_chart"/>
    <x v="2"/>
    <s v="Transactions"/>
    <x v="22"/>
    <m/>
    <x v="3"/>
    <x v="0"/>
    <n v="57000000"/>
    <s v="JOD"/>
    <s v="57.00 M JOD"/>
    <m/>
    <m/>
    <m/>
  </r>
  <r>
    <s v="2024-Q4"/>
    <x v="1"/>
    <n v="5"/>
    <s v="category"/>
    <s v="category_chart"/>
    <x v="2"/>
    <s v="Transactions"/>
    <x v="23"/>
    <m/>
    <x v="3"/>
    <x v="0"/>
    <n v="88000000"/>
    <s v="JOD"/>
    <s v="88.00 M JOD"/>
    <m/>
    <m/>
    <m/>
  </r>
  <r>
    <s v="2024-Q4"/>
    <x v="1"/>
    <n v="5"/>
    <s v="category"/>
    <s v="category_chart"/>
    <x v="2"/>
    <s v="Transactions"/>
    <x v="15"/>
    <m/>
    <x v="3"/>
    <x v="0"/>
    <n v="1210000000"/>
    <s v="JOD"/>
    <s v="1.21 B JOD"/>
    <m/>
    <m/>
    <m/>
  </r>
  <r>
    <s v="2024-Q4"/>
    <x v="1"/>
    <n v="5"/>
    <s v="category"/>
    <s v="category_chart"/>
    <x v="2"/>
    <s v="Transactions"/>
    <x v="15"/>
    <s v="Off Us"/>
    <x v="3"/>
    <x v="0"/>
    <n v="272000000"/>
    <s v="JOD"/>
    <s v="272.00 M JOD"/>
    <m/>
    <m/>
    <s v="dimension_L2 nested inside the Money Transfer slice of transaction type"/>
  </r>
  <r>
    <s v="2024-Q4"/>
    <x v="1"/>
    <n v="5"/>
    <s v="category"/>
    <s v="category_chart"/>
    <x v="2"/>
    <s v="Transactions"/>
    <x v="15"/>
    <s v="On Us"/>
    <x v="3"/>
    <x v="0"/>
    <n v="280000000"/>
    <s v="JOD"/>
    <s v="280.00 M JOD"/>
    <m/>
    <m/>
    <s v="dimension_L2 nested inside the Money Transfer slice of transaction type"/>
  </r>
  <r>
    <s v="2024-Q4"/>
    <x v="1"/>
    <n v="5"/>
    <s v="category"/>
    <s v="category_chart"/>
    <x v="2"/>
    <s v="Transactions"/>
    <x v="16"/>
    <m/>
    <x v="3"/>
    <x v="0"/>
    <n v="45000000"/>
    <s v="JOD"/>
    <s v="45.00 M JOD"/>
    <m/>
    <m/>
    <m/>
  </r>
  <r>
    <s v="2024-Q4"/>
    <x v="1"/>
    <n v="5"/>
    <s v="chart_point"/>
    <s v="trend_chart"/>
    <x v="1"/>
    <s v="Transactions"/>
    <x v="14"/>
    <m/>
    <x v="1"/>
    <x v="1"/>
    <n v="10820000"/>
    <s v="count"/>
    <s v="10.82 M"/>
    <s v="TRUE"/>
    <s v="restated"/>
    <s v="see the 2024-Q3 report's reading of 2024-Q1, marked newest"/>
  </r>
  <r>
    <s v="2024-Q4"/>
    <x v="1"/>
    <n v="5"/>
    <s v="chart_point"/>
    <s v="trend_chart"/>
    <x v="1"/>
    <s v="Transactions"/>
    <x v="14"/>
    <m/>
    <x v="2"/>
    <x v="1"/>
    <n v="13380000"/>
    <s v="count"/>
    <s v="13.38 M"/>
    <s v="TRUE"/>
    <s v="restated"/>
    <s v="see the 2024-Q3 report's reading of 2024-Q2, marked newest"/>
  </r>
  <r>
    <s v="2024-Q4"/>
    <x v="1"/>
    <n v="5"/>
    <s v="chart_point"/>
    <s v="trend_chart"/>
    <x v="1"/>
    <s v="Transactions"/>
    <x v="14"/>
    <m/>
    <x v="0"/>
    <x v="1"/>
    <n v="15190000"/>
    <s v="count"/>
    <s v="15.19 M"/>
    <s v="TRUE"/>
    <s v="restated"/>
    <m/>
  </r>
  <r>
    <s v="2024-Q4"/>
    <x v="1"/>
    <n v="5"/>
    <s v="chart_point"/>
    <s v="trend_chart"/>
    <x v="2"/>
    <s v="Transactions"/>
    <x v="14"/>
    <m/>
    <x v="1"/>
    <x v="1"/>
    <n v="1120000000"/>
    <s v="JOD"/>
    <s v="1.12 B JOD"/>
    <s v="TRUE"/>
    <s v="restated"/>
    <s v="see the 2024-Q3 report's reading of 2024-Q1, marked newest"/>
  </r>
  <r>
    <s v="2024-Q4"/>
    <x v="1"/>
    <n v="5"/>
    <s v="chart_point"/>
    <s v="trend_chart"/>
    <x v="2"/>
    <s v="Transactions"/>
    <x v="14"/>
    <m/>
    <x v="2"/>
    <x v="1"/>
    <n v="1310000000"/>
    <s v="JOD"/>
    <s v="1.31 B JOD"/>
    <s v="TRUE"/>
    <s v="restated"/>
    <s v="see the 2024-Q3 report's reading of 2024-Q2, marked newest"/>
  </r>
  <r>
    <s v="2024-Q4"/>
    <x v="1"/>
    <n v="5"/>
    <s v="chart_point"/>
    <s v="trend_chart"/>
    <x v="2"/>
    <s v="Transactions"/>
    <x v="14"/>
    <m/>
    <x v="0"/>
    <x v="1"/>
    <n v="1380000000"/>
    <s v="JOD"/>
    <s v="1.38 B JOD"/>
    <s v="TRUE"/>
    <s v="restated"/>
    <m/>
  </r>
  <r>
    <s v="2024-Q4"/>
    <x v="1"/>
    <n v="5"/>
    <s v="kpi"/>
    <s v="stat_box"/>
    <x v="1"/>
    <s v="Transactions"/>
    <x v="14"/>
    <m/>
    <x v="3"/>
    <x v="0"/>
    <n v="17410000"/>
    <s v="count"/>
    <s v="17.41 M"/>
    <m/>
    <m/>
    <m/>
  </r>
  <r>
    <s v="2024-Q4"/>
    <x v="1"/>
    <n v="5"/>
    <s v="kpi"/>
    <s v="stat_box"/>
    <x v="2"/>
    <s v="Transactions"/>
    <x v="14"/>
    <m/>
    <x v="3"/>
    <x v="0"/>
    <n v="1410000000"/>
    <s v="JOD"/>
    <s v="1.41 B JOD"/>
    <m/>
    <m/>
    <m/>
  </r>
  <r>
    <s v="2025-Q1"/>
    <x v="1"/>
    <n v="5"/>
    <s v="category"/>
    <s v="category_chart"/>
    <x v="1"/>
    <s v="Transactions"/>
    <x v="22"/>
    <m/>
    <x v="4"/>
    <x v="0"/>
    <n v="340000"/>
    <s v="count"/>
    <s v="340.0 K"/>
    <m/>
    <m/>
    <m/>
  </r>
  <r>
    <s v="2025-Q1"/>
    <x v="1"/>
    <n v="5"/>
    <s v="category"/>
    <s v="category_chart"/>
    <x v="1"/>
    <s v="Transactions"/>
    <x v="23"/>
    <m/>
    <x v="4"/>
    <x v="0"/>
    <n v="507000"/>
    <s v="count"/>
    <s v="507.0 K"/>
    <m/>
    <m/>
    <m/>
  </r>
  <r>
    <s v="2025-Q1"/>
    <x v="1"/>
    <n v="5"/>
    <s v="category"/>
    <s v="category_chart"/>
    <x v="1"/>
    <s v="Transactions"/>
    <x v="15"/>
    <m/>
    <x v="4"/>
    <x v="0"/>
    <n v="18140000"/>
    <s v="count"/>
    <s v="18.14 M"/>
    <m/>
    <m/>
    <m/>
  </r>
  <r>
    <s v="2025-Q1"/>
    <x v="1"/>
    <n v="5"/>
    <s v="category"/>
    <s v="category_chart"/>
    <x v="1"/>
    <s v="Transactions"/>
    <x v="15"/>
    <s v="Off Us"/>
    <x v="4"/>
    <x v="0"/>
    <n v="5400000"/>
    <s v="count"/>
    <s v="5.40 M"/>
    <m/>
    <m/>
    <s v="dimension_L2 nested inside the Money Transfer slice of transaction type"/>
  </r>
  <r>
    <s v="2025-Q1"/>
    <x v="1"/>
    <n v="5"/>
    <s v="category"/>
    <s v="category_chart"/>
    <x v="1"/>
    <s v="Transactions"/>
    <x v="15"/>
    <s v="On Us"/>
    <x v="4"/>
    <x v="0"/>
    <n v="6700000"/>
    <s v="count"/>
    <s v="6.70 M"/>
    <m/>
    <m/>
    <s v="dimension_L2 nested inside the Money Transfer slice of transaction type"/>
  </r>
  <r>
    <s v="2025-Q1"/>
    <x v="1"/>
    <n v="5"/>
    <s v="category"/>
    <s v="category_chart"/>
    <x v="1"/>
    <s v="Transactions"/>
    <x v="16"/>
    <m/>
    <x v="4"/>
    <x v="0"/>
    <n v="599000"/>
    <s v="count"/>
    <s v="599.0 K"/>
    <m/>
    <m/>
    <m/>
  </r>
  <r>
    <s v="2025-Q1"/>
    <x v="1"/>
    <n v="5"/>
    <s v="category"/>
    <s v="category_chart"/>
    <x v="2"/>
    <s v="Transactions"/>
    <x v="22"/>
    <m/>
    <x v="4"/>
    <x v="0"/>
    <n v="54000000"/>
    <s v="JOD"/>
    <s v="54.00 M JOD"/>
    <m/>
    <m/>
    <m/>
  </r>
  <r>
    <s v="2025-Q1"/>
    <x v="1"/>
    <n v="5"/>
    <s v="category"/>
    <s v="category_chart"/>
    <x v="2"/>
    <s v="Transactions"/>
    <x v="23"/>
    <m/>
    <x v="4"/>
    <x v="0"/>
    <n v="80000000"/>
    <s v="JOD"/>
    <s v="80.00 M JOD"/>
    <m/>
    <m/>
    <m/>
  </r>
  <r>
    <s v="2025-Q1"/>
    <x v="1"/>
    <n v="5"/>
    <s v="category"/>
    <s v="category_chart"/>
    <x v="2"/>
    <s v="Transactions"/>
    <x v="15"/>
    <m/>
    <x v="4"/>
    <x v="0"/>
    <n v="1290000000"/>
    <s v="JOD"/>
    <s v="1.29 B JOD"/>
    <m/>
    <m/>
    <m/>
  </r>
  <r>
    <s v="2025-Q1"/>
    <x v="1"/>
    <n v="5"/>
    <s v="category"/>
    <s v="category_chart"/>
    <x v="2"/>
    <s v="Transactions"/>
    <x v="15"/>
    <s v="Off Us"/>
    <x v="4"/>
    <x v="0"/>
    <n v="274000000"/>
    <s v="JOD"/>
    <s v="274.00 M JOD"/>
    <m/>
    <m/>
    <s v="dimension_L2 nested inside the Money Transfer slice of transaction type"/>
  </r>
  <r>
    <s v="2025-Q1"/>
    <x v="1"/>
    <n v="5"/>
    <s v="category"/>
    <s v="category_chart"/>
    <x v="2"/>
    <s v="Transactions"/>
    <x v="15"/>
    <s v="On Us"/>
    <x v="4"/>
    <x v="0"/>
    <n v="314000000"/>
    <s v="JOD"/>
    <s v="314.00 M JOD"/>
    <m/>
    <m/>
    <s v="dimension_L2 nested inside the Money Transfer slice of transaction type"/>
  </r>
  <r>
    <s v="2025-Q1"/>
    <x v="1"/>
    <n v="5"/>
    <s v="category"/>
    <s v="category_chart"/>
    <x v="2"/>
    <s v="Transactions"/>
    <x v="16"/>
    <m/>
    <x v="4"/>
    <x v="0"/>
    <n v="16000000"/>
    <s v="JOD"/>
    <s v="16.00 M JOD"/>
    <m/>
    <m/>
    <m/>
  </r>
  <r>
    <s v="2025-Q1"/>
    <x v="1"/>
    <n v="5"/>
    <s v="chart_point"/>
    <s v="trend_chart"/>
    <x v="1"/>
    <s v="Transactions"/>
    <x v="14"/>
    <m/>
    <x v="3"/>
    <x v="1"/>
    <n v="17410000"/>
    <s v="count"/>
    <s v="17.41 M"/>
    <s v="TRUE"/>
    <s v="restated"/>
    <m/>
  </r>
  <r>
    <s v="2025-Q1"/>
    <x v="1"/>
    <n v="5"/>
    <s v="chart_point"/>
    <s v="trend_chart"/>
    <x v="2"/>
    <s v="Transactions"/>
    <x v="14"/>
    <m/>
    <x v="3"/>
    <x v="1"/>
    <n v="1410000000"/>
    <s v="JOD"/>
    <s v="1.41 B JOD"/>
    <s v="TRUE"/>
    <s v="restated"/>
    <m/>
  </r>
  <r>
    <s v="2025-Q1"/>
    <x v="1"/>
    <n v="5"/>
    <s v="kpi"/>
    <s v="stat_box"/>
    <x v="1"/>
    <s v="Transactions"/>
    <x v="14"/>
    <m/>
    <x v="4"/>
    <x v="0"/>
    <n v="19590000"/>
    <s v="count"/>
    <s v="19.59 M"/>
    <m/>
    <m/>
    <m/>
  </r>
  <r>
    <s v="2025-Q1"/>
    <x v="1"/>
    <n v="5"/>
    <s v="kpi"/>
    <s v="stat_box"/>
    <x v="2"/>
    <s v="Transactions"/>
    <x v="14"/>
    <m/>
    <x v="4"/>
    <x v="0"/>
    <n v="1440000000"/>
    <s v="JOD"/>
    <s v="1.44 B JOD"/>
    <m/>
    <m/>
    <m/>
  </r>
  <r>
    <s v="2025-Q2"/>
    <x v="1"/>
    <n v="5"/>
    <s v="category"/>
    <s v="category_chart"/>
    <x v="1"/>
    <s v="Transactions"/>
    <x v="22"/>
    <m/>
    <x v="5"/>
    <x v="0"/>
    <n v="357000"/>
    <s v="count"/>
    <s v="357.0 K"/>
    <m/>
    <m/>
    <m/>
  </r>
  <r>
    <s v="2025-Q2"/>
    <x v="1"/>
    <n v="5"/>
    <s v="category"/>
    <s v="category_chart"/>
    <x v="1"/>
    <s v="Transactions"/>
    <x v="23"/>
    <m/>
    <x v="5"/>
    <x v="0"/>
    <n v="498000"/>
    <s v="count"/>
    <s v="498.0 K"/>
    <m/>
    <m/>
    <m/>
  </r>
  <r>
    <s v="2025-Q2"/>
    <x v="1"/>
    <n v="5"/>
    <s v="category"/>
    <s v="category_chart"/>
    <x v="1"/>
    <s v="Transactions"/>
    <x v="15"/>
    <m/>
    <x v="5"/>
    <x v="0"/>
    <n v="21330000"/>
    <s v="count"/>
    <s v="21.33 M"/>
    <m/>
    <m/>
    <m/>
  </r>
  <r>
    <s v="2025-Q2"/>
    <x v="1"/>
    <n v="5"/>
    <s v="category"/>
    <s v="category_chart"/>
    <x v="1"/>
    <s v="Transactions"/>
    <x v="15"/>
    <s v="Off Us"/>
    <x v="5"/>
    <x v="0"/>
    <n v="6200000"/>
    <s v="count"/>
    <s v="6.20 M"/>
    <m/>
    <m/>
    <s v="dimension_L2 nested inside the Money Transfer slice of transaction type"/>
  </r>
  <r>
    <s v="2025-Q2"/>
    <x v="1"/>
    <n v="5"/>
    <s v="category"/>
    <s v="category_chart"/>
    <x v="1"/>
    <s v="Transactions"/>
    <x v="15"/>
    <s v="On Us"/>
    <x v="5"/>
    <x v="0"/>
    <n v="8100000"/>
    <s v="count"/>
    <s v="8.10 M"/>
    <m/>
    <m/>
    <s v="dimension_L2 nested inside the Money Transfer slice of transaction type"/>
  </r>
  <r>
    <s v="2025-Q2"/>
    <x v="1"/>
    <n v="5"/>
    <s v="category"/>
    <s v="category_chart"/>
    <x v="1"/>
    <s v="Transactions"/>
    <x v="16"/>
    <m/>
    <x v="5"/>
    <x v="0"/>
    <n v="1005000"/>
    <s v="count"/>
    <s v="1.00 M"/>
    <m/>
    <m/>
    <m/>
  </r>
  <r>
    <s v="2025-Q2"/>
    <x v="1"/>
    <n v="5"/>
    <s v="category"/>
    <s v="category_chart"/>
    <x v="2"/>
    <s v="Transactions"/>
    <x v="22"/>
    <m/>
    <x v="5"/>
    <x v="0"/>
    <n v="56000000"/>
    <s v="JOD"/>
    <s v="56.00 M JOD"/>
    <m/>
    <m/>
    <m/>
  </r>
  <r>
    <s v="2025-Q2"/>
    <x v="1"/>
    <n v="5"/>
    <s v="category"/>
    <s v="category_chart"/>
    <x v="2"/>
    <s v="Transactions"/>
    <x v="23"/>
    <m/>
    <x v="5"/>
    <x v="0"/>
    <n v="74000000"/>
    <s v="JOD"/>
    <s v="74.00 M JOD"/>
    <m/>
    <m/>
    <m/>
  </r>
  <r>
    <s v="2025-Q2"/>
    <x v="1"/>
    <n v="5"/>
    <s v="category"/>
    <s v="category_chart"/>
    <x v="2"/>
    <s v="Transactions"/>
    <x v="15"/>
    <m/>
    <x v="5"/>
    <x v="0"/>
    <n v="1370000000"/>
    <s v="JOD"/>
    <s v="1.37 B JOD"/>
    <m/>
    <m/>
    <m/>
  </r>
  <r>
    <s v="2025-Q2"/>
    <x v="1"/>
    <n v="5"/>
    <s v="category"/>
    <s v="category_chart"/>
    <x v="2"/>
    <s v="Transactions"/>
    <x v="15"/>
    <s v="Off Us"/>
    <x v="5"/>
    <x v="0"/>
    <n v="280000000"/>
    <s v="JOD"/>
    <s v="280.00 M JOD"/>
    <m/>
    <m/>
    <s v="dimension_L2 nested inside the Money Transfer slice of transaction type"/>
  </r>
  <r>
    <s v="2025-Q2"/>
    <x v="1"/>
    <n v="5"/>
    <s v="category"/>
    <s v="category_chart"/>
    <x v="2"/>
    <s v="Transactions"/>
    <x v="15"/>
    <s v="On Us"/>
    <x v="5"/>
    <x v="0"/>
    <n v="331000000"/>
    <s v="JOD"/>
    <s v="331.00 M JOD"/>
    <m/>
    <m/>
    <s v="dimension_L2 nested inside the Money Transfer slice of transaction type"/>
  </r>
  <r>
    <s v="2025-Q2"/>
    <x v="1"/>
    <n v="5"/>
    <s v="category"/>
    <s v="category_chart"/>
    <x v="2"/>
    <s v="Transactions"/>
    <x v="16"/>
    <m/>
    <x v="5"/>
    <x v="0"/>
    <n v="38000000"/>
    <s v="JOD"/>
    <s v="38.00 M JOD"/>
    <m/>
    <m/>
    <m/>
  </r>
  <r>
    <s v="2025-Q2"/>
    <x v="1"/>
    <n v="5"/>
    <s v="chart_point"/>
    <s v="trend_chart"/>
    <x v="1"/>
    <s v="Transactions"/>
    <x v="14"/>
    <m/>
    <x v="4"/>
    <x v="1"/>
    <n v="19590000"/>
    <s v="count"/>
    <s v="19.59 M"/>
    <s v="TRUE"/>
    <s v="restated"/>
    <m/>
  </r>
  <r>
    <s v="2025-Q2"/>
    <x v="1"/>
    <n v="5"/>
    <s v="chart_point"/>
    <s v="trend_chart"/>
    <x v="2"/>
    <s v="Transactions"/>
    <x v="14"/>
    <m/>
    <x v="4"/>
    <x v="1"/>
    <n v="1440000000"/>
    <s v="JOD"/>
    <s v="1.44 B JOD"/>
    <s v="TRUE"/>
    <s v="restated"/>
    <m/>
  </r>
  <r>
    <s v="2025-Q2"/>
    <x v="1"/>
    <n v="5"/>
    <s v="kpi"/>
    <s v="stat_box"/>
    <x v="1"/>
    <s v="Transactions"/>
    <x v="14"/>
    <m/>
    <x v="5"/>
    <x v="0"/>
    <n v="23190000"/>
    <s v="count"/>
    <s v="23.19 M"/>
    <m/>
    <m/>
    <m/>
  </r>
  <r>
    <s v="2025-Q2"/>
    <x v="1"/>
    <n v="5"/>
    <s v="kpi"/>
    <s v="stat_box"/>
    <x v="2"/>
    <s v="Transactions"/>
    <x v="14"/>
    <m/>
    <x v="5"/>
    <x v="0"/>
    <n v="1540000000"/>
    <s v="JOD"/>
    <s v="1.54 B JOD"/>
    <m/>
    <m/>
    <m/>
  </r>
  <r>
    <s v="2025-Q3"/>
    <x v="1"/>
    <n v="5"/>
    <s v="category"/>
    <s v="category_chart"/>
    <x v="1"/>
    <s v="Transactions"/>
    <x v="22"/>
    <m/>
    <x v="6"/>
    <x v="0"/>
    <n v="329000"/>
    <s v="count"/>
    <s v="329.0 K"/>
    <m/>
    <m/>
    <m/>
  </r>
  <r>
    <s v="2025-Q3"/>
    <x v="1"/>
    <n v="5"/>
    <s v="category"/>
    <s v="category_chart"/>
    <x v="1"/>
    <s v="Transactions"/>
    <x v="23"/>
    <m/>
    <x v="6"/>
    <x v="0"/>
    <n v="485000"/>
    <s v="count"/>
    <s v="485.0 K"/>
    <m/>
    <m/>
    <m/>
  </r>
  <r>
    <s v="2025-Q3"/>
    <x v="1"/>
    <n v="5"/>
    <s v="category"/>
    <s v="category_chart"/>
    <x v="1"/>
    <s v="Transactions"/>
    <x v="15"/>
    <m/>
    <x v="6"/>
    <x v="0"/>
    <n v="24800000"/>
    <s v="count"/>
    <s v="24.80 M"/>
    <m/>
    <m/>
    <m/>
  </r>
  <r>
    <s v="2025-Q3"/>
    <x v="1"/>
    <n v="5"/>
    <s v="category"/>
    <s v="category_chart"/>
    <x v="1"/>
    <s v="Transactions"/>
    <x v="15"/>
    <s v="Off Us"/>
    <x v="6"/>
    <x v="0"/>
    <n v="6800000"/>
    <s v="count"/>
    <s v="6.80 M"/>
    <m/>
    <m/>
    <s v="dimension_L2 nested inside the Money Transfer slice of transaction type"/>
  </r>
  <r>
    <s v="2025-Q3"/>
    <x v="1"/>
    <n v="5"/>
    <s v="category"/>
    <s v="category_chart"/>
    <x v="1"/>
    <s v="Transactions"/>
    <x v="15"/>
    <s v="On Us"/>
    <x v="6"/>
    <x v="0"/>
    <n v="9900000"/>
    <s v="count"/>
    <s v="9.90 M"/>
    <m/>
    <m/>
    <s v="dimension_L2 nested inside the Money Transfer slice of transaction type"/>
  </r>
  <r>
    <s v="2025-Q3"/>
    <x v="1"/>
    <n v="5"/>
    <s v="category"/>
    <s v="category_chart"/>
    <x v="1"/>
    <s v="Transactions"/>
    <x v="16"/>
    <m/>
    <x v="6"/>
    <x v="0"/>
    <n v="2490000"/>
    <s v="count"/>
    <s v="2.49 M"/>
    <m/>
    <m/>
    <m/>
  </r>
  <r>
    <s v="2025-Q3"/>
    <x v="1"/>
    <n v="5"/>
    <s v="category"/>
    <s v="category_chart"/>
    <x v="2"/>
    <s v="Transactions"/>
    <x v="22"/>
    <m/>
    <x v="6"/>
    <x v="0"/>
    <n v="52000000"/>
    <s v="JOD"/>
    <s v="52.00 M JOD"/>
    <m/>
    <m/>
    <m/>
  </r>
  <r>
    <s v="2025-Q3"/>
    <x v="1"/>
    <n v="5"/>
    <s v="category"/>
    <s v="category_chart"/>
    <x v="2"/>
    <s v="Transactions"/>
    <x v="23"/>
    <m/>
    <x v="6"/>
    <x v="0"/>
    <n v="74000000"/>
    <s v="JOD"/>
    <s v="74.00 M JOD"/>
    <m/>
    <m/>
    <m/>
  </r>
  <r>
    <s v="2025-Q3"/>
    <x v="1"/>
    <n v="5"/>
    <s v="category"/>
    <s v="category_chart"/>
    <x v="2"/>
    <s v="Transactions"/>
    <x v="15"/>
    <m/>
    <x v="6"/>
    <x v="0"/>
    <n v="1460000000"/>
    <s v="JOD"/>
    <s v="1.46 B JOD"/>
    <m/>
    <m/>
    <m/>
  </r>
  <r>
    <s v="2025-Q3"/>
    <x v="1"/>
    <n v="5"/>
    <s v="category"/>
    <s v="category_chart"/>
    <x v="2"/>
    <s v="Transactions"/>
    <x v="15"/>
    <s v="Off Us"/>
    <x v="6"/>
    <x v="0"/>
    <n v="286000000"/>
    <s v="JOD"/>
    <s v="286.00 M JOD"/>
    <m/>
    <m/>
    <s v="dimension_L2 nested inside the Money Transfer slice of transaction type"/>
  </r>
  <r>
    <s v="2025-Q3"/>
    <x v="1"/>
    <n v="5"/>
    <s v="category"/>
    <s v="category_chart"/>
    <x v="2"/>
    <s v="Transactions"/>
    <x v="15"/>
    <s v="On Us"/>
    <x v="6"/>
    <x v="0"/>
    <n v="366000000"/>
    <s v="JOD"/>
    <s v="366.00 M JOD"/>
    <m/>
    <m/>
    <s v="dimension_L2 nested inside the Money Transfer slice of transaction type"/>
  </r>
  <r>
    <s v="2025-Q3"/>
    <x v="1"/>
    <n v="5"/>
    <s v="category"/>
    <s v="category_chart"/>
    <x v="2"/>
    <s v="Transactions"/>
    <x v="16"/>
    <m/>
    <x v="6"/>
    <x v="0"/>
    <n v="137000000"/>
    <s v="JOD"/>
    <s v="137.00 M JOD"/>
    <m/>
    <m/>
    <m/>
  </r>
  <r>
    <s v="2025-Q3"/>
    <x v="1"/>
    <n v="5"/>
    <s v="chart_point"/>
    <s v="trend_chart"/>
    <x v="1"/>
    <s v="Transactions"/>
    <x v="14"/>
    <m/>
    <x v="4"/>
    <x v="1"/>
    <n v="19590000"/>
    <s v="count"/>
    <s v="19.59 M"/>
    <s v="TRUE"/>
    <s v="restated"/>
    <m/>
  </r>
  <r>
    <s v="2025-Q3"/>
    <x v="1"/>
    <n v="5"/>
    <s v="chart_point"/>
    <s v="trend_chart"/>
    <x v="1"/>
    <s v="Transactions"/>
    <x v="14"/>
    <m/>
    <x v="5"/>
    <x v="1"/>
    <n v="23190000"/>
    <s v="count"/>
    <s v="23.19 M"/>
    <s v="TRUE"/>
    <s v="restated"/>
    <m/>
  </r>
  <r>
    <s v="2025-Q3"/>
    <x v="1"/>
    <n v="5"/>
    <s v="chart_point"/>
    <s v="trend_chart"/>
    <x v="2"/>
    <s v="Transactions"/>
    <x v="14"/>
    <m/>
    <x v="4"/>
    <x v="1"/>
    <n v="1440000000"/>
    <s v="JOD"/>
    <s v="1.44 B JOD"/>
    <s v="TRUE"/>
    <s v="restated"/>
    <m/>
  </r>
  <r>
    <s v="2025-Q3"/>
    <x v="1"/>
    <n v="5"/>
    <s v="chart_point"/>
    <s v="trend_chart"/>
    <x v="2"/>
    <s v="Transactions"/>
    <x v="14"/>
    <m/>
    <x v="5"/>
    <x v="1"/>
    <n v="1540000000"/>
    <s v="JOD"/>
    <s v="1.54 B JOD"/>
    <s v="TRUE"/>
    <s v="restated"/>
    <m/>
  </r>
  <r>
    <s v="2025-Q3"/>
    <x v="1"/>
    <n v="5"/>
    <s v="kpi"/>
    <s v="stat_box"/>
    <x v="1"/>
    <s v="Transactions"/>
    <x v="14"/>
    <m/>
    <x v="6"/>
    <x v="0"/>
    <n v="28100000"/>
    <s v="count"/>
    <s v="28.10 M"/>
    <m/>
    <m/>
    <m/>
  </r>
  <r>
    <s v="2025-Q3"/>
    <x v="1"/>
    <n v="5"/>
    <s v="kpi"/>
    <s v="stat_box"/>
    <x v="2"/>
    <s v="Transactions"/>
    <x v="14"/>
    <m/>
    <x v="6"/>
    <x v="0"/>
    <n v="1720000000"/>
    <s v="JOD"/>
    <s v="1.72 B JOD"/>
    <m/>
    <m/>
    <m/>
  </r>
  <r>
    <s v="2025-Q4"/>
    <x v="1"/>
    <n v="5"/>
    <s v="category"/>
    <s v="category_chart"/>
    <x v="1"/>
    <s v="Transactions"/>
    <x v="22"/>
    <m/>
    <x v="7"/>
    <x v="0"/>
    <n v="66000"/>
    <s v="count"/>
    <s v="66.0 K"/>
    <m/>
    <m/>
    <m/>
  </r>
  <r>
    <s v="2025-Q4"/>
    <x v="1"/>
    <n v="5"/>
    <s v="category"/>
    <s v="category_chart"/>
    <x v="1"/>
    <s v="Transactions"/>
    <x v="23"/>
    <m/>
    <x v="7"/>
    <x v="0"/>
    <n v="227000"/>
    <s v="count"/>
    <s v="227.0 K"/>
    <m/>
    <m/>
    <m/>
  </r>
  <r>
    <s v="2025-Q4"/>
    <x v="1"/>
    <n v="5"/>
    <s v="category"/>
    <s v="category_chart"/>
    <x v="1"/>
    <s v="Transactions"/>
    <x v="15"/>
    <m/>
    <x v="7"/>
    <x v="0"/>
    <n v="26360000"/>
    <s v="count"/>
    <s v="26.36 M"/>
    <m/>
    <m/>
    <m/>
  </r>
  <r>
    <s v="2025-Q4"/>
    <x v="1"/>
    <n v="5"/>
    <s v="category"/>
    <s v="category_chart"/>
    <x v="1"/>
    <s v="Transactions"/>
    <x v="15"/>
    <s v="Off Us"/>
    <x v="7"/>
    <x v="0"/>
    <n v="7200000"/>
    <s v="count"/>
    <s v="7.20 M"/>
    <m/>
    <m/>
    <s v="dimension_L2 nested inside the Money Transfer slice of transaction type"/>
  </r>
  <r>
    <s v="2025-Q4"/>
    <x v="1"/>
    <n v="5"/>
    <s v="category"/>
    <s v="category_chart"/>
    <x v="1"/>
    <s v="Transactions"/>
    <x v="15"/>
    <s v="On Us"/>
    <x v="7"/>
    <x v="0"/>
    <n v="10700000"/>
    <s v="count"/>
    <s v="10.70 M"/>
    <m/>
    <m/>
    <s v="dimension_L2 nested inside the Money Transfer slice of transaction type"/>
  </r>
  <r>
    <s v="2025-Q4"/>
    <x v="1"/>
    <n v="5"/>
    <s v="category"/>
    <s v="category_chart"/>
    <x v="1"/>
    <s v="Transactions"/>
    <x v="16"/>
    <m/>
    <x v="7"/>
    <x v="0"/>
    <n v="4510000"/>
    <s v="count"/>
    <s v="4.51 M"/>
    <m/>
    <m/>
    <m/>
  </r>
  <r>
    <s v="2025-Q4"/>
    <x v="1"/>
    <n v="5"/>
    <s v="category"/>
    <s v="category_chart"/>
    <x v="2"/>
    <s v="Transactions"/>
    <x v="22"/>
    <m/>
    <x v="7"/>
    <x v="0"/>
    <n v="10000000"/>
    <s v="JOD"/>
    <s v="10.00 M JOD"/>
    <m/>
    <m/>
    <m/>
  </r>
  <r>
    <s v="2025-Q4"/>
    <x v="1"/>
    <n v="5"/>
    <s v="category"/>
    <s v="category_chart"/>
    <x v="2"/>
    <s v="Transactions"/>
    <x v="23"/>
    <m/>
    <x v="7"/>
    <x v="0"/>
    <n v="32000000"/>
    <s v="JOD"/>
    <s v="32.00 M JOD"/>
    <m/>
    <m/>
    <m/>
  </r>
  <r>
    <s v="2025-Q4"/>
    <x v="1"/>
    <n v="5"/>
    <s v="category"/>
    <s v="category_chart"/>
    <x v="2"/>
    <s v="Transactions"/>
    <x v="15"/>
    <m/>
    <x v="7"/>
    <x v="0"/>
    <n v="1320000000"/>
    <s v="JOD"/>
    <s v="1.32 B JOD"/>
    <m/>
    <m/>
    <m/>
  </r>
  <r>
    <s v="2025-Q4"/>
    <x v="1"/>
    <n v="5"/>
    <s v="category"/>
    <s v="category_chart"/>
    <x v="2"/>
    <s v="Transactions"/>
    <x v="15"/>
    <s v="Off Us"/>
    <x v="7"/>
    <x v="0"/>
    <n v="265000000"/>
    <s v="JOD"/>
    <s v="265.00 M JOD"/>
    <m/>
    <m/>
    <s v="dimension_L2 nested inside the Money Transfer slice of transaction type"/>
  </r>
  <r>
    <s v="2025-Q4"/>
    <x v="1"/>
    <n v="5"/>
    <s v="category"/>
    <s v="category_chart"/>
    <x v="2"/>
    <s v="Transactions"/>
    <x v="15"/>
    <s v="On Us"/>
    <x v="7"/>
    <x v="0"/>
    <n v="340000000"/>
    <s v="JOD"/>
    <s v="340.00 M JOD"/>
    <m/>
    <m/>
    <s v="dimension_L2 nested inside the Money Transfer slice of transaction type"/>
  </r>
  <r>
    <s v="2025-Q4"/>
    <x v="1"/>
    <n v="5"/>
    <s v="category"/>
    <s v="category_chart"/>
    <x v="2"/>
    <s v="Transactions"/>
    <x v="16"/>
    <m/>
    <x v="7"/>
    <x v="0"/>
    <n v="287000000"/>
    <s v="JOD"/>
    <s v="287.00 M JOD"/>
    <m/>
    <m/>
    <m/>
  </r>
  <r>
    <s v="2025-Q4"/>
    <x v="1"/>
    <n v="5"/>
    <s v="chart_point"/>
    <s v="trend_chart"/>
    <x v="1"/>
    <s v="Transactions"/>
    <x v="14"/>
    <m/>
    <x v="4"/>
    <x v="1"/>
    <n v="19590000"/>
    <s v="count"/>
    <s v="19.59 M"/>
    <s v="TRUE"/>
    <s v="restated"/>
    <m/>
  </r>
  <r>
    <s v="2025-Q4"/>
    <x v="1"/>
    <n v="5"/>
    <s v="chart_point"/>
    <s v="trend_chart"/>
    <x v="1"/>
    <s v="Transactions"/>
    <x v="14"/>
    <m/>
    <x v="5"/>
    <x v="1"/>
    <n v="23190000"/>
    <s v="count"/>
    <s v="23.19 M"/>
    <s v="TRUE"/>
    <s v="restated"/>
    <m/>
  </r>
  <r>
    <s v="2025-Q4"/>
    <x v="1"/>
    <n v="5"/>
    <s v="chart_point"/>
    <s v="trend_chart"/>
    <x v="1"/>
    <s v="Transactions"/>
    <x v="14"/>
    <m/>
    <x v="6"/>
    <x v="1"/>
    <n v="28100000"/>
    <s v="count"/>
    <s v="28.10 M"/>
    <s v="TRUE"/>
    <s v="restated"/>
    <m/>
  </r>
  <r>
    <s v="2025-Q4"/>
    <x v="1"/>
    <n v="5"/>
    <s v="chart_point"/>
    <s v="trend_chart"/>
    <x v="2"/>
    <s v="Transactions"/>
    <x v="14"/>
    <m/>
    <x v="4"/>
    <x v="1"/>
    <n v="1440000000"/>
    <s v="JOD"/>
    <s v="1.44 B JOD"/>
    <s v="TRUE"/>
    <s v="restated"/>
    <m/>
  </r>
  <r>
    <s v="2025-Q4"/>
    <x v="1"/>
    <n v="5"/>
    <s v="chart_point"/>
    <s v="trend_chart"/>
    <x v="2"/>
    <s v="Transactions"/>
    <x v="14"/>
    <m/>
    <x v="5"/>
    <x v="1"/>
    <n v="1540000000"/>
    <s v="JOD"/>
    <s v="1.54 B JOD"/>
    <s v="TRUE"/>
    <s v="restated"/>
    <m/>
  </r>
  <r>
    <s v="2025-Q4"/>
    <x v="1"/>
    <n v="5"/>
    <s v="chart_point"/>
    <s v="trend_chart"/>
    <x v="2"/>
    <s v="Transactions"/>
    <x v="14"/>
    <m/>
    <x v="6"/>
    <x v="1"/>
    <n v="1720000000"/>
    <s v="JOD"/>
    <s v="1.72 B JOD"/>
    <s v="TRUE"/>
    <s v="restated"/>
    <m/>
  </r>
  <r>
    <s v="2025-Q4"/>
    <x v="1"/>
    <n v="5"/>
    <s v="kpi"/>
    <s v="stat_box"/>
    <x v="1"/>
    <s v="Transactions"/>
    <x v="14"/>
    <m/>
    <x v="7"/>
    <x v="0"/>
    <n v="31160000"/>
    <s v="count"/>
    <s v="31.16 M"/>
    <m/>
    <m/>
    <m/>
  </r>
  <r>
    <s v="2025-Q4"/>
    <x v="1"/>
    <n v="5"/>
    <s v="kpi"/>
    <s v="stat_box"/>
    <x v="2"/>
    <s v="Transactions"/>
    <x v="14"/>
    <m/>
    <x v="7"/>
    <x v="0"/>
    <n v="1650000000"/>
    <s v="JOD"/>
    <s v="1.65 B JOD"/>
    <m/>
    <m/>
    <m/>
  </r>
  <r>
    <s v="2026-Q1"/>
    <x v="1"/>
    <n v="5"/>
    <s v="category"/>
    <s v="category_chart"/>
    <x v="1"/>
    <s v="Transactions"/>
    <x v="22"/>
    <m/>
    <x v="8"/>
    <x v="0"/>
    <n v="62000"/>
    <s v="count"/>
    <s v="62.0 K"/>
    <m/>
    <m/>
    <m/>
  </r>
  <r>
    <s v="2026-Q1"/>
    <x v="1"/>
    <n v="5"/>
    <s v="category"/>
    <s v="category_chart"/>
    <x v="1"/>
    <s v="Transactions"/>
    <x v="23"/>
    <m/>
    <x v="8"/>
    <x v="0"/>
    <n v="215000"/>
    <s v="count"/>
    <s v="215.0 K"/>
    <m/>
    <m/>
    <m/>
  </r>
  <r>
    <s v="2026-Q1"/>
    <x v="1"/>
    <n v="5"/>
    <s v="category"/>
    <s v="category_chart"/>
    <x v="1"/>
    <s v="Transactions"/>
    <x v="15"/>
    <m/>
    <x v="8"/>
    <x v="0"/>
    <n v="29950000"/>
    <s v="count"/>
    <s v="29.95 M"/>
    <m/>
    <m/>
    <m/>
  </r>
  <r>
    <s v="2026-Q1"/>
    <x v="1"/>
    <n v="5"/>
    <s v="category"/>
    <s v="category_chart"/>
    <x v="1"/>
    <s v="Transactions"/>
    <x v="15"/>
    <s v="Off Us"/>
    <x v="8"/>
    <x v="0"/>
    <n v="7500000"/>
    <s v="count"/>
    <s v="7.50 M"/>
    <m/>
    <m/>
    <s v="dimension_L2 nested inside the Money Transfer slice of transaction type"/>
  </r>
  <r>
    <s v="2026-Q1"/>
    <x v="1"/>
    <n v="5"/>
    <s v="category"/>
    <s v="category_chart"/>
    <x v="1"/>
    <s v="Transactions"/>
    <x v="15"/>
    <s v="On Us"/>
    <x v="8"/>
    <x v="0"/>
    <n v="13500000"/>
    <s v="count"/>
    <s v="13.50 M"/>
    <m/>
    <m/>
    <s v="dimension_L2 nested inside the Money Transfer slice of transaction type"/>
  </r>
  <r>
    <s v="2026-Q1"/>
    <x v="1"/>
    <n v="5"/>
    <s v="category"/>
    <s v="category_chart"/>
    <x v="1"/>
    <s v="Transactions"/>
    <x v="16"/>
    <m/>
    <x v="8"/>
    <x v="0"/>
    <n v="5210000"/>
    <s v="count"/>
    <s v="5.21 M"/>
    <m/>
    <m/>
    <m/>
  </r>
  <r>
    <s v="2026-Q1"/>
    <x v="1"/>
    <n v="5"/>
    <s v="category"/>
    <s v="category_chart"/>
    <x v="2"/>
    <s v="Transactions"/>
    <x v="22"/>
    <m/>
    <x v="8"/>
    <x v="0"/>
    <n v="11000000"/>
    <s v="JOD"/>
    <s v="11.00 M JOD"/>
    <m/>
    <m/>
    <m/>
  </r>
  <r>
    <s v="2026-Q1"/>
    <x v="1"/>
    <n v="5"/>
    <s v="category"/>
    <s v="category_chart"/>
    <x v="2"/>
    <s v="Transactions"/>
    <x v="23"/>
    <m/>
    <x v="8"/>
    <x v="0"/>
    <n v="30000000"/>
    <s v="JOD"/>
    <s v="30.00 M JOD"/>
    <m/>
    <m/>
    <m/>
  </r>
  <r>
    <s v="2026-Q1"/>
    <x v="1"/>
    <n v="5"/>
    <s v="category"/>
    <s v="category_chart"/>
    <x v="2"/>
    <s v="Transactions"/>
    <x v="15"/>
    <m/>
    <x v="8"/>
    <x v="0"/>
    <n v="1400000000"/>
    <s v="JOD"/>
    <s v="1.40 B JOD"/>
    <m/>
    <m/>
    <m/>
  </r>
  <r>
    <s v="2026-Q1"/>
    <x v="1"/>
    <n v="5"/>
    <s v="category"/>
    <s v="category_chart"/>
    <x v="2"/>
    <s v="Transactions"/>
    <x v="15"/>
    <s v="Off Us"/>
    <x v="8"/>
    <x v="0"/>
    <n v="278000000"/>
    <s v="JOD"/>
    <s v="278.00 M JOD"/>
    <m/>
    <m/>
    <s v="dimension_L2 nested inside the Money Transfer slice of transaction type"/>
  </r>
  <r>
    <s v="2026-Q1"/>
    <x v="1"/>
    <n v="5"/>
    <s v="category"/>
    <s v="category_chart"/>
    <x v="2"/>
    <s v="Transactions"/>
    <x v="15"/>
    <s v="On Us"/>
    <x v="8"/>
    <x v="0"/>
    <n v="402000000"/>
    <s v="JOD"/>
    <s v="402.00 M JOD"/>
    <m/>
    <m/>
    <s v="dimension_L2 nested inside the Money Transfer slice of transaction type"/>
  </r>
  <r>
    <s v="2026-Q1"/>
    <x v="1"/>
    <n v="5"/>
    <s v="category"/>
    <s v="category_chart"/>
    <x v="2"/>
    <s v="Transactions"/>
    <x v="16"/>
    <m/>
    <x v="8"/>
    <x v="0"/>
    <n v="347000000"/>
    <s v="JOD"/>
    <s v="347.00 M JOD"/>
    <m/>
    <m/>
    <m/>
  </r>
  <r>
    <s v="2026-Q1"/>
    <x v="1"/>
    <n v="5"/>
    <s v="chart_point"/>
    <s v="trend_chart"/>
    <x v="1"/>
    <s v="Transactions"/>
    <x v="14"/>
    <m/>
    <x v="7"/>
    <x v="1"/>
    <n v="31160000"/>
    <s v="count"/>
    <s v="31.16 M"/>
    <s v="TRUE"/>
    <s v="restated"/>
    <m/>
  </r>
  <r>
    <s v="2026-Q1"/>
    <x v="1"/>
    <n v="5"/>
    <s v="chart_point"/>
    <s v="trend_chart"/>
    <x v="2"/>
    <s v="Transactions"/>
    <x v="14"/>
    <m/>
    <x v="7"/>
    <x v="1"/>
    <n v="1650000000"/>
    <s v="JOD"/>
    <s v="1.65 B JOD"/>
    <s v="TRUE"/>
    <s v="restated"/>
    <m/>
  </r>
  <r>
    <s v="2026-Q1"/>
    <x v="1"/>
    <n v="5"/>
    <s v="kpi"/>
    <s v="stat_box"/>
    <x v="1"/>
    <s v="Transactions"/>
    <x v="14"/>
    <m/>
    <x v="8"/>
    <x v="0"/>
    <n v="35430000"/>
    <s v="count"/>
    <s v="35.43 M"/>
    <m/>
    <m/>
    <m/>
  </r>
  <r>
    <s v="2026-Q1"/>
    <x v="1"/>
    <n v="5"/>
    <s v="kpi"/>
    <s v="stat_box"/>
    <x v="2"/>
    <s v="Transactions"/>
    <x v="14"/>
    <m/>
    <x v="8"/>
    <x v="0"/>
    <n v="1790000000"/>
    <s v="JOD"/>
    <s v="1.79 B JOD"/>
    <m/>
    <m/>
    <m/>
  </r>
  <r>
    <s v="2026-Q2"/>
    <x v="1"/>
    <n v="5"/>
    <s v="category"/>
    <s v="category_chart"/>
    <x v="1"/>
    <s v="Transactions"/>
    <x v="22"/>
    <m/>
    <x v="9"/>
    <x v="0"/>
    <n v="62000"/>
    <s v="count"/>
    <s v="62.0 K"/>
    <m/>
    <m/>
    <m/>
  </r>
  <r>
    <s v="2026-Q2"/>
    <x v="1"/>
    <n v="5"/>
    <s v="category"/>
    <s v="category_chart"/>
    <x v="1"/>
    <s v="Transactions"/>
    <x v="23"/>
    <m/>
    <x v="9"/>
    <x v="0"/>
    <n v="189000"/>
    <s v="count"/>
    <s v="189.0 K"/>
    <m/>
    <m/>
    <m/>
  </r>
  <r>
    <s v="2026-Q2"/>
    <x v="1"/>
    <n v="5"/>
    <s v="category"/>
    <s v="category_chart"/>
    <x v="1"/>
    <s v="Transactions"/>
    <x v="15"/>
    <m/>
    <x v="9"/>
    <x v="0"/>
    <n v="36050000"/>
    <s v="count"/>
    <s v="36.05 M"/>
    <m/>
    <m/>
    <m/>
  </r>
  <r>
    <s v="2026-Q2"/>
    <x v="1"/>
    <n v="5"/>
    <s v="category"/>
    <s v="category_chart"/>
    <x v="1"/>
    <s v="Transactions"/>
    <x v="15"/>
    <s v="Off Us"/>
    <x v="9"/>
    <x v="0"/>
    <n v="8800000"/>
    <s v="count"/>
    <s v="8.80 M"/>
    <m/>
    <m/>
    <s v="dimension_L2 nested inside the Money Transfer slice of transaction type"/>
  </r>
  <r>
    <s v="2026-Q2"/>
    <x v="1"/>
    <n v="5"/>
    <s v="category"/>
    <s v="category_chart"/>
    <x v="1"/>
    <s v="Transactions"/>
    <x v="15"/>
    <s v="On Us"/>
    <x v="9"/>
    <x v="0"/>
    <n v="16700000"/>
    <s v="count"/>
    <s v="16.70 M"/>
    <m/>
    <m/>
    <s v="dimension_L2 nested inside the Money Transfer slice of transaction type"/>
  </r>
  <r>
    <s v="2026-Q2"/>
    <x v="1"/>
    <n v="5"/>
    <s v="category"/>
    <s v="category_chart"/>
    <x v="1"/>
    <s v="Transactions"/>
    <x v="16"/>
    <m/>
    <x v="9"/>
    <x v="0"/>
    <n v="6760000"/>
    <s v="count"/>
    <s v="6.76 M"/>
    <m/>
    <m/>
    <m/>
  </r>
  <r>
    <s v="2026-Q2"/>
    <x v="1"/>
    <n v="5"/>
    <s v="category"/>
    <s v="category_chart"/>
    <x v="2"/>
    <s v="Transactions"/>
    <x v="22"/>
    <m/>
    <x v="9"/>
    <x v="0"/>
    <n v="11000000"/>
    <s v="JOD"/>
    <s v="11.00 M JOD"/>
    <m/>
    <m/>
    <m/>
  </r>
  <r>
    <s v="2026-Q2"/>
    <x v="1"/>
    <n v="5"/>
    <s v="category"/>
    <s v="category_chart"/>
    <x v="2"/>
    <s v="Transactions"/>
    <x v="23"/>
    <m/>
    <x v="9"/>
    <x v="0"/>
    <n v="28000000"/>
    <s v="JOD"/>
    <s v="28.00 M JOD"/>
    <m/>
    <m/>
    <m/>
  </r>
  <r>
    <s v="2026-Q2"/>
    <x v="1"/>
    <n v="5"/>
    <s v="category"/>
    <s v="category_chart"/>
    <x v="2"/>
    <s v="Transactions"/>
    <x v="15"/>
    <m/>
    <x v="9"/>
    <x v="0"/>
    <n v="1520000000"/>
    <s v="JOD"/>
    <s v="1.52 B JOD"/>
    <m/>
    <m/>
    <m/>
  </r>
  <r>
    <s v="2026-Q2"/>
    <x v="1"/>
    <n v="5"/>
    <s v="category"/>
    <s v="category_chart"/>
    <x v="2"/>
    <s v="Transactions"/>
    <x v="15"/>
    <s v="Off Us"/>
    <x v="9"/>
    <x v="0"/>
    <n v="296000000"/>
    <s v="JOD"/>
    <s v="296.00 M JOD"/>
    <m/>
    <m/>
    <s v="dimension_L2 nested inside the Money Transfer slice of transaction type"/>
  </r>
  <r>
    <s v="2026-Q2"/>
    <x v="1"/>
    <n v="5"/>
    <s v="category"/>
    <s v="category_chart"/>
    <x v="2"/>
    <s v="Transactions"/>
    <x v="15"/>
    <s v="On Us"/>
    <x v="9"/>
    <x v="0"/>
    <n v="427000000"/>
    <s v="JOD"/>
    <s v="427.00 M JOD"/>
    <m/>
    <m/>
    <s v="dimension_L2 nested inside the Money Transfer slice of transaction type"/>
  </r>
  <r>
    <s v="2026-Q2"/>
    <x v="1"/>
    <n v="5"/>
    <s v="category"/>
    <s v="category_chart"/>
    <x v="2"/>
    <s v="Transactions"/>
    <x v="16"/>
    <m/>
    <x v="9"/>
    <x v="0"/>
    <n v="414000000"/>
    <s v="JOD"/>
    <s v="414.00 M JOD"/>
    <m/>
    <m/>
    <m/>
  </r>
  <r>
    <s v="2026-Q2"/>
    <x v="1"/>
    <n v="5"/>
    <s v="chart_point"/>
    <s v="trend_chart"/>
    <x v="1"/>
    <s v="Transactions"/>
    <x v="14"/>
    <m/>
    <x v="8"/>
    <x v="1"/>
    <n v="35430000"/>
    <s v="count"/>
    <s v="35.43 M"/>
    <s v="TRUE"/>
    <s v="restated"/>
    <m/>
  </r>
  <r>
    <s v="2026-Q2"/>
    <x v="1"/>
    <n v="5"/>
    <s v="chart_point"/>
    <s v="trend_chart"/>
    <x v="2"/>
    <s v="Transactions"/>
    <x v="14"/>
    <m/>
    <x v="8"/>
    <x v="1"/>
    <n v="1790000000"/>
    <s v="JOD"/>
    <s v="1.79 B JOD"/>
    <s v="TRUE"/>
    <s v="restated"/>
    <m/>
  </r>
  <r>
    <s v="2026-Q2"/>
    <x v="1"/>
    <n v="5"/>
    <s v="kpi"/>
    <s v="stat_box"/>
    <x v="1"/>
    <s v="Transactions"/>
    <x v="14"/>
    <m/>
    <x v="9"/>
    <x v="0"/>
    <n v="43060000"/>
    <s v="count"/>
    <s v="43.06 M"/>
    <m/>
    <m/>
    <m/>
  </r>
  <r>
    <s v="2026-Q2"/>
    <x v="1"/>
    <n v="5"/>
    <s v="kpi"/>
    <s v="stat_box"/>
    <x v="2"/>
    <s v="Transactions"/>
    <x v="14"/>
    <m/>
    <x v="9"/>
    <x v="0"/>
    <n v="1970000000"/>
    <s v="JOD"/>
    <s v="1.97 B JOD"/>
    <m/>
    <m/>
    <m/>
  </r>
  <r>
    <s v="2024-Q3"/>
    <x v="2"/>
    <n v="6"/>
    <s v="category"/>
    <s v="category_chart"/>
    <x v="4"/>
    <s v="Transactions"/>
    <x v="24"/>
    <m/>
    <x v="0"/>
    <x v="0"/>
    <n v="5200000"/>
    <s v="count"/>
    <s v="5.20 M"/>
    <m/>
    <m/>
    <m/>
  </r>
  <r>
    <s v="2024-Q3"/>
    <x v="2"/>
    <n v="6"/>
    <s v="category"/>
    <s v="category_chart"/>
    <x v="4"/>
    <s v="Transactions"/>
    <x v="25"/>
    <m/>
    <x v="0"/>
    <x v="0"/>
    <n v="25040000"/>
    <s v="count"/>
    <s v="25.04 M"/>
    <m/>
    <m/>
    <m/>
  </r>
  <r>
    <s v="2024-Q3"/>
    <x v="2"/>
    <n v="6"/>
    <s v="category"/>
    <s v="category_chart"/>
    <x v="4"/>
    <s v="Transactions"/>
    <x v="26"/>
    <m/>
    <x v="0"/>
    <x v="0"/>
    <n v="8700000"/>
    <s v="count"/>
    <s v="8.70 M"/>
    <m/>
    <m/>
    <m/>
  </r>
  <r>
    <s v="2024-Q3"/>
    <x v="2"/>
    <n v="6"/>
    <s v="category"/>
    <s v="category_chart"/>
    <x v="4"/>
    <s v="Transactions"/>
    <x v="27"/>
    <m/>
    <x v="0"/>
    <x v="0"/>
    <n v="4300000"/>
    <s v="count"/>
    <s v="4.30 M"/>
    <m/>
    <m/>
    <m/>
  </r>
  <r>
    <s v="2024-Q3"/>
    <x v="2"/>
    <n v="6"/>
    <s v="category"/>
    <s v="category_chart"/>
    <x v="5"/>
    <s v="Transactions"/>
    <x v="24"/>
    <m/>
    <x v="0"/>
    <x v="0"/>
    <n v="401000000"/>
    <s v="JOD"/>
    <s v="401.00 M JOD"/>
    <m/>
    <m/>
    <m/>
  </r>
  <r>
    <s v="2024-Q3"/>
    <x v="2"/>
    <n v="6"/>
    <s v="category"/>
    <s v="category_chart"/>
    <x v="5"/>
    <s v="Transactions"/>
    <x v="25"/>
    <m/>
    <x v="0"/>
    <x v="0"/>
    <n v="3200000000"/>
    <s v="JOD"/>
    <s v="3.20 B JOD"/>
    <m/>
    <m/>
    <m/>
  </r>
  <r>
    <s v="2024-Q3"/>
    <x v="2"/>
    <n v="6"/>
    <s v="category"/>
    <s v="category_chart"/>
    <x v="5"/>
    <s v="Transactions"/>
    <x v="26"/>
    <m/>
    <x v="0"/>
    <x v="0"/>
    <n v="777000000"/>
    <s v="JOD"/>
    <s v="777.00 M JOD"/>
    <m/>
    <m/>
    <m/>
  </r>
  <r>
    <s v="2024-Q3"/>
    <x v="2"/>
    <n v="6"/>
    <s v="category"/>
    <s v="category_chart"/>
    <x v="5"/>
    <s v="Transactions"/>
    <x v="27"/>
    <m/>
    <x v="0"/>
    <x v="0"/>
    <n v="615000000"/>
    <s v="JOD"/>
    <s v="615.00 M JOD"/>
    <m/>
    <m/>
    <m/>
  </r>
  <r>
    <s v="2024-Q3"/>
    <x v="2"/>
    <n v="6"/>
    <s v="chart_point"/>
    <s v="trend_chart"/>
    <x v="4"/>
    <s v="Transactions"/>
    <x v="14"/>
    <m/>
    <x v="1"/>
    <x v="1"/>
    <n v="22320000"/>
    <s v="count"/>
    <s v="22.32 M"/>
    <s v="TRUE"/>
    <s v="newest"/>
    <s v="no native/stat_box reading of 2024-Q1 exists anywhere in this corpus (its own quarterly PDF wasn't part of this extraction) - marked newest as the earliest available trailing_chart_point reading of it, per §8 rule 4's fallback"/>
  </r>
  <r>
    <s v="2024-Q3"/>
    <x v="2"/>
    <n v="6"/>
    <s v="chart_point"/>
    <s v="trend_chart"/>
    <x v="4"/>
    <s v="Transactions"/>
    <x v="14"/>
    <m/>
    <x v="2"/>
    <x v="1"/>
    <n v="28000000"/>
    <s v="count"/>
    <s v="28.00 M"/>
    <s v="TRUE"/>
    <s v="newest"/>
    <s v="no native/stat_box reading of 2024-Q2 exists anywhere in this corpus (its own quarterly PDF wasn't part of this extraction) - marked newest as the earliest available trailing_chart_point reading of it, per §8 rule 4's fallback"/>
  </r>
  <r>
    <s v="2024-Q3"/>
    <x v="2"/>
    <n v="6"/>
    <s v="chart_point"/>
    <s v="trend_chart"/>
    <x v="5"/>
    <s v="Transactions"/>
    <x v="14"/>
    <m/>
    <x v="1"/>
    <x v="1"/>
    <n v="2820000000"/>
    <s v="JOD"/>
    <s v="2.82 B JOD"/>
    <s v="TRUE"/>
    <s v="newest"/>
    <s v="no native/stat_box reading of 2024-Q1 exists anywhere in this corpus (its own quarterly PDF wasn't part of this extraction) - marked newest as the earliest available trailing_chart_point reading of it, per §8 rule 4's fallback"/>
  </r>
  <r>
    <s v="2024-Q3"/>
    <x v="2"/>
    <n v="6"/>
    <s v="chart_point"/>
    <s v="trend_chart"/>
    <x v="5"/>
    <s v="Transactions"/>
    <x v="14"/>
    <m/>
    <x v="2"/>
    <x v="1"/>
    <n v="3390000000"/>
    <s v="JOD"/>
    <s v="3.39 B JOD"/>
    <s v="TRUE"/>
    <s v="newest"/>
    <s v="no native/stat_box reading of 2024-Q2 exists anywhere in this corpus (its own quarterly PDF wasn't part of this extraction) - marked newest as the earliest available trailing_chart_point reading of it, per §8 rule 4's fallback"/>
  </r>
  <r>
    <s v="2024-Q3"/>
    <x v="2"/>
    <n v="6"/>
    <s v="kpi"/>
    <s v="stat_box"/>
    <x v="4"/>
    <s v="Transactions"/>
    <x v="14"/>
    <m/>
    <x v="0"/>
    <x v="0"/>
    <n v="33740000"/>
    <s v="count"/>
    <s v="33.74 M"/>
    <m/>
    <m/>
    <m/>
  </r>
  <r>
    <s v="2024-Q3"/>
    <x v="2"/>
    <n v="6"/>
    <s v="kpi"/>
    <s v="stat_box"/>
    <x v="5"/>
    <s v="Transactions"/>
    <x v="14"/>
    <m/>
    <x v="0"/>
    <x v="0"/>
    <n v="3980000000"/>
    <s v="JOD"/>
    <s v="3.98 B JOD"/>
    <m/>
    <m/>
    <m/>
  </r>
  <r>
    <s v="2024-Q4"/>
    <x v="2"/>
    <n v="6"/>
    <s v="category"/>
    <s v="category_chart"/>
    <x v="4"/>
    <s v="Transactions"/>
    <x v="24"/>
    <m/>
    <x v="3"/>
    <x v="0"/>
    <n v="6400000"/>
    <s v="count"/>
    <s v="6.40 M"/>
    <m/>
    <m/>
    <m/>
  </r>
  <r>
    <s v="2024-Q4"/>
    <x v="2"/>
    <n v="6"/>
    <s v="category"/>
    <s v="category_chart"/>
    <x v="4"/>
    <s v="Transactions"/>
    <x v="25"/>
    <m/>
    <x v="3"/>
    <x v="0"/>
    <n v="29670000"/>
    <s v="count"/>
    <s v="29.67 M"/>
    <m/>
    <m/>
    <m/>
  </r>
  <r>
    <s v="2024-Q4"/>
    <x v="2"/>
    <n v="6"/>
    <s v="category"/>
    <s v="category_chart"/>
    <x v="4"/>
    <s v="Transactions"/>
    <x v="26"/>
    <m/>
    <x v="3"/>
    <x v="0"/>
    <n v="10130000"/>
    <s v="count"/>
    <s v="10.13 M"/>
    <m/>
    <m/>
    <m/>
  </r>
  <r>
    <s v="2024-Q4"/>
    <x v="2"/>
    <n v="6"/>
    <s v="category"/>
    <s v="category_chart"/>
    <x v="4"/>
    <s v="Transactions"/>
    <x v="27"/>
    <m/>
    <x v="3"/>
    <x v="0"/>
    <n v="5200000"/>
    <s v="count"/>
    <s v="5.20 M"/>
    <m/>
    <m/>
    <m/>
  </r>
  <r>
    <s v="2024-Q4"/>
    <x v="2"/>
    <n v="6"/>
    <s v="category"/>
    <s v="category_chart"/>
    <x v="5"/>
    <s v="Transactions"/>
    <x v="24"/>
    <m/>
    <x v="3"/>
    <x v="0"/>
    <n v="422000000"/>
    <s v="JOD"/>
    <s v="422.00 M JOD"/>
    <m/>
    <m/>
    <m/>
  </r>
  <r>
    <s v="2024-Q4"/>
    <x v="2"/>
    <n v="6"/>
    <s v="category"/>
    <s v="category_chart"/>
    <x v="5"/>
    <s v="Transactions"/>
    <x v="25"/>
    <m/>
    <x v="3"/>
    <x v="0"/>
    <n v="3430000000"/>
    <s v="JOD"/>
    <s v="3.43 B JOD"/>
    <m/>
    <m/>
    <m/>
  </r>
  <r>
    <s v="2024-Q4"/>
    <x v="2"/>
    <n v="6"/>
    <s v="category"/>
    <s v="category_chart"/>
    <x v="5"/>
    <s v="Transactions"/>
    <x v="26"/>
    <m/>
    <x v="3"/>
    <x v="0"/>
    <n v="810000000"/>
    <s v="JOD"/>
    <s v="810.00 M JOD"/>
    <m/>
    <m/>
    <m/>
  </r>
  <r>
    <s v="2024-Q4"/>
    <x v="2"/>
    <n v="6"/>
    <s v="category"/>
    <s v="category_chart"/>
    <x v="5"/>
    <s v="Transactions"/>
    <x v="27"/>
    <m/>
    <x v="3"/>
    <x v="0"/>
    <n v="661000000"/>
    <s v="JOD"/>
    <s v="661.00 M JOD"/>
    <m/>
    <m/>
    <m/>
  </r>
  <r>
    <s v="2024-Q4"/>
    <x v="2"/>
    <n v="6"/>
    <s v="chart_point"/>
    <s v="trend_chart"/>
    <x v="4"/>
    <s v="Transactions"/>
    <x v="14"/>
    <m/>
    <x v="1"/>
    <x v="1"/>
    <n v="22320000"/>
    <s v="count"/>
    <s v="22.32 M"/>
    <s v="TRUE"/>
    <s v="restated"/>
    <s v="see the 2024-Q3 report's reading of 2024-Q1, marked newest"/>
  </r>
  <r>
    <s v="2024-Q4"/>
    <x v="2"/>
    <n v="6"/>
    <s v="chart_point"/>
    <s v="trend_chart"/>
    <x v="4"/>
    <s v="Transactions"/>
    <x v="14"/>
    <m/>
    <x v="2"/>
    <x v="1"/>
    <n v="28000000"/>
    <s v="count"/>
    <s v="28.00 M"/>
    <s v="TRUE"/>
    <s v="restated"/>
    <s v="see the 2024-Q3 report's reading of 2024-Q2, marked newest"/>
  </r>
  <r>
    <s v="2024-Q4"/>
    <x v="2"/>
    <n v="6"/>
    <s v="chart_point"/>
    <s v="trend_chart"/>
    <x v="4"/>
    <s v="Transactions"/>
    <x v="14"/>
    <m/>
    <x v="0"/>
    <x v="1"/>
    <n v="33740000"/>
    <s v="count"/>
    <s v="33.74 M"/>
    <s v="TRUE"/>
    <s v="restated"/>
    <m/>
  </r>
  <r>
    <s v="2024-Q4"/>
    <x v="2"/>
    <n v="6"/>
    <s v="chart_point"/>
    <s v="trend_chart"/>
    <x v="5"/>
    <s v="Transactions"/>
    <x v="14"/>
    <m/>
    <x v="1"/>
    <x v="1"/>
    <n v="2820000000"/>
    <s v="JOD"/>
    <s v="2.82 B JOD"/>
    <s v="TRUE"/>
    <s v="restated"/>
    <s v="see the 2024-Q3 report's reading of 2024-Q1, marked newest"/>
  </r>
  <r>
    <s v="2024-Q4"/>
    <x v="2"/>
    <n v="6"/>
    <s v="chart_point"/>
    <s v="trend_chart"/>
    <x v="5"/>
    <s v="Transactions"/>
    <x v="14"/>
    <m/>
    <x v="2"/>
    <x v="1"/>
    <n v="3390000000"/>
    <s v="JOD"/>
    <s v="3.39 B JOD"/>
    <s v="TRUE"/>
    <s v="restated"/>
    <s v="see the 2024-Q3 report's reading of 2024-Q2, marked newest"/>
  </r>
  <r>
    <s v="2024-Q4"/>
    <x v="2"/>
    <n v="6"/>
    <s v="chart_point"/>
    <s v="trend_chart"/>
    <x v="5"/>
    <s v="Transactions"/>
    <x v="14"/>
    <m/>
    <x v="0"/>
    <x v="1"/>
    <n v="3980000000"/>
    <s v="JOD"/>
    <s v="3.98 B JOD"/>
    <s v="TRUE"/>
    <s v="restated"/>
    <m/>
  </r>
  <r>
    <s v="2024-Q4"/>
    <x v="2"/>
    <n v="6"/>
    <s v="kpi"/>
    <s v="stat_box"/>
    <x v="4"/>
    <s v="Transactions"/>
    <x v="14"/>
    <m/>
    <x v="3"/>
    <x v="0"/>
    <n v="39800000"/>
    <s v="count"/>
    <s v="39.80 M"/>
    <m/>
    <m/>
    <m/>
  </r>
  <r>
    <s v="2024-Q4"/>
    <x v="2"/>
    <n v="6"/>
    <s v="kpi"/>
    <s v="stat_box"/>
    <x v="5"/>
    <s v="Transactions"/>
    <x v="14"/>
    <m/>
    <x v="3"/>
    <x v="0"/>
    <n v="4240000000"/>
    <s v="JOD"/>
    <s v="4.24 B JOD"/>
    <m/>
    <m/>
    <m/>
  </r>
  <r>
    <s v="2025-Q1"/>
    <x v="2"/>
    <n v="6"/>
    <s v="category"/>
    <s v="category_chart"/>
    <x v="4"/>
    <s v="Transactions"/>
    <x v="24"/>
    <m/>
    <x v="4"/>
    <x v="0"/>
    <n v="7700000"/>
    <s v="count"/>
    <s v="7.70 M"/>
    <m/>
    <m/>
    <m/>
  </r>
  <r>
    <s v="2025-Q1"/>
    <x v="2"/>
    <n v="6"/>
    <s v="category"/>
    <s v="category_chart"/>
    <x v="4"/>
    <s v="Transactions"/>
    <x v="25"/>
    <m/>
    <x v="4"/>
    <x v="0"/>
    <n v="33910000"/>
    <s v="count"/>
    <s v="33.91 M"/>
    <m/>
    <m/>
    <m/>
  </r>
  <r>
    <s v="2025-Q1"/>
    <x v="2"/>
    <n v="6"/>
    <s v="category"/>
    <s v="category_chart"/>
    <x v="4"/>
    <s v="Transactions"/>
    <x v="26"/>
    <m/>
    <x v="4"/>
    <x v="0"/>
    <n v="11860000"/>
    <s v="count"/>
    <s v="11.86 M"/>
    <m/>
    <m/>
    <m/>
  </r>
  <r>
    <s v="2025-Q1"/>
    <x v="2"/>
    <n v="6"/>
    <s v="category"/>
    <s v="category_chart"/>
    <x v="4"/>
    <s v="Transactions"/>
    <x v="27"/>
    <m/>
    <x v="4"/>
    <x v="0"/>
    <n v="5900000"/>
    <s v="count"/>
    <s v="5.90 M"/>
    <m/>
    <m/>
    <m/>
  </r>
  <r>
    <s v="2025-Q1"/>
    <x v="2"/>
    <n v="6"/>
    <s v="category"/>
    <s v="category_chart"/>
    <x v="5"/>
    <s v="Transactions"/>
    <x v="24"/>
    <m/>
    <x v="4"/>
    <x v="0"/>
    <n v="478000000"/>
    <s v="JOD"/>
    <s v="478.00 M JOD"/>
    <m/>
    <m/>
    <m/>
  </r>
  <r>
    <s v="2025-Q1"/>
    <x v="2"/>
    <n v="6"/>
    <s v="category"/>
    <s v="category_chart"/>
    <x v="5"/>
    <s v="Transactions"/>
    <x v="25"/>
    <m/>
    <x v="4"/>
    <x v="0"/>
    <n v="3740000000"/>
    <s v="JOD"/>
    <s v="3.74 B JOD"/>
    <m/>
    <m/>
    <m/>
  </r>
  <r>
    <s v="2025-Q1"/>
    <x v="2"/>
    <n v="6"/>
    <s v="category"/>
    <s v="category_chart"/>
    <x v="5"/>
    <s v="Transactions"/>
    <x v="26"/>
    <m/>
    <x v="4"/>
    <x v="0"/>
    <n v="909000000"/>
    <s v="JOD"/>
    <s v="909.00 M JOD"/>
    <m/>
    <m/>
    <m/>
  </r>
  <r>
    <s v="2025-Q1"/>
    <x v="2"/>
    <n v="6"/>
    <s v="category"/>
    <s v="category_chart"/>
    <x v="5"/>
    <s v="Transactions"/>
    <x v="27"/>
    <m/>
    <x v="4"/>
    <x v="0"/>
    <n v="698000000"/>
    <s v="JOD"/>
    <s v="698.00 M JOD"/>
    <m/>
    <m/>
    <m/>
  </r>
  <r>
    <s v="2025-Q1"/>
    <x v="2"/>
    <n v="6"/>
    <s v="chart_point"/>
    <s v="trend_chart"/>
    <x v="4"/>
    <s v="Transactions"/>
    <x v="14"/>
    <m/>
    <x v="3"/>
    <x v="1"/>
    <n v="39800000"/>
    <s v="count"/>
    <s v="39.80 M"/>
    <s v="TRUE"/>
    <s v="restated"/>
    <m/>
  </r>
  <r>
    <s v="2025-Q1"/>
    <x v="2"/>
    <n v="6"/>
    <s v="chart_point"/>
    <s v="trend_chart"/>
    <x v="5"/>
    <s v="Transactions"/>
    <x v="14"/>
    <m/>
    <x v="3"/>
    <x v="1"/>
    <n v="4240000000"/>
    <s v="JOD"/>
    <s v="4.24 B JOD"/>
    <s v="TRUE"/>
    <s v="restated"/>
    <m/>
  </r>
  <r>
    <s v="2025-Q1"/>
    <x v="2"/>
    <n v="6"/>
    <s v="kpi"/>
    <s v="stat_box"/>
    <x v="4"/>
    <s v="Transactions"/>
    <x v="14"/>
    <m/>
    <x v="4"/>
    <x v="0"/>
    <n v="45770000"/>
    <s v="count"/>
    <s v="45.77 M"/>
    <m/>
    <m/>
    <m/>
  </r>
  <r>
    <s v="2025-Q1"/>
    <x v="2"/>
    <n v="6"/>
    <s v="kpi"/>
    <s v="stat_box"/>
    <x v="5"/>
    <s v="Transactions"/>
    <x v="14"/>
    <m/>
    <x v="4"/>
    <x v="0"/>
    <n v="4650000000"/>
    <s v="JOD"/>
    <s v="4.65 B JOD"/>
    <m/>
    <m/>
    <m/>
  </r>
  <r>
    <s v="2025-Q2"/>
    <x v="2"/>
    <n v="6"/>
    <s v="category"/>
    <s v="category_chart"/>
    <x v="4"/>
    <s v="Transactions"/>
    <x v="24"/>
    <m/>
    <x v="5"/>
    <x v="0"/>
    <n v="9400000"/>
    <s v="count"/>
    <s v="9.40 M"/>
    <m/>
    <m/>
    <m/>
  </r>
  <r>
    <s v="2025-Q2"/>
    <x v="2"/>
    <n v="6"/>
    <s v="category"/>
    <s v="category_chart"/>
    <x v="4"/>
    <s v="Transactions"/>
    <x v="25"/>
    <m/>
    <x v="5"/>
    <x v="0"/>
    <n v="39700000"/>
    <s v="count"/>
    <s v="39.70 M"/>
    <m/>
    <m/>
    <m/>
  </r>
  <r>
    <s v="2025-Q2"/>
    <x v="2"/>
    <n v="6"/>
    <s v="category"/>
    <s v="category_chart"/>
    <x v="4"/>
    <s v="Transactions"/>
    <x v="26"/>
    <m/>
    <x v="5"/>
    <x v="0"/>
    <n v="14180000"/>
    <s v="count"/>
    <s v="14.18 M"/>
    <m/>
    <m/>
    <m/>
  </r>
  <r>
    <s v="2025-Q2"/>
    <x v="2"/>
    <n v="6"/>
    <s v="category"/>
    <s v="category_chart"/>
    <x v="4"/>
    <s v="Transactions"/>
    <x v="27"/>
    <m/>
    <x v="5"/>
    <x v="0"/>
    <n v="7100000"/>
    <s v="count"/>
    <s v="7.10 M"/>
    <m/>
    <m/>
    <m/>
  </r>
  <r>
    <s v="2025-Q2"/>
    <x v="2"/>
    <n v="6"/>
    <s v="category"/>
    <s v="category_chart"/>
    <x v="5"/>
    <s v="Transactions"/>
    <x v="24"/>
    <m/>
    <x v="5"/>
    <x v="0"/>
    <n v="536000000"/>
    <s v="JOD"/>
    <s v="536.00 M JOD"/>
    <m/>
    <m/>
    <m/>
  </r>
  <r>
    <s v="2025-Q2"/>
    <x v="2"/>
    <n v="6"/>
    <s v="category"/>
    <s v="category_chart"/>
    <x v="5"/>
    <s v="Transactions"/>
    <x v="25"/>
    <m/>
    <x v="5"/>
    <x v="0"/>
    <n v="4100000000"/>
    <s v="JOD"/>
    <s v="4.10 B JOD"/>
    <m/>
    <m/>
    <m/>
  </r>
  <r>
    <s v="2025-Q2"/>
    <x v="2"/>
    <n v="6"/>
    <s v="category"/>
    <s v="category_chart"/>
    <x v="5"/>
    <s v="Transactions"/>
    <x v="26"/>
    <m/>
    <x v="5"/>
    <x v="0"/>
    <n v="998000000"/>
    <s v="JOD"/>
    <s v="998.00 M JOD"/>
    <m/>
    <m/>
    <m/>
  </r>
  <r>
    <s v="2025-Q2"/>
    <x v="2"/>
    <n v="6"/>
    <s v="category"/>
    <s v="category_chart"/>
    <x v="5"/>
    <s v="Transactions"/>
    <x v="27"/>
    <m/>
    <x v="5"/>
    <x v="0"/>
    <n v="758000000"/>
    <s v="JOD"/>
    <s v="758.00 M JOD"/>
    <m/>
    <m/>
    <m/>
  </r>
  <r>
    <s v="2025-Q2"/>
    <x v="2"/>
    <n v="6"/>
    <s v="chart_point"/>
    <s v="trend_chart"/>
    <x v="4"/>
    <s v="Transactions"/>
    <x v="14"/>
    <m/>
    <x v="4"/>
    <x v="1"/>
    <n v="45770000"/>
    <s v="count"/>
    <s v="45.77 M"/>
    <s v="TRUE"/>
    <s v="restated"/>
    <m/>
  </r>
  <r>
    <s v="2025-Q2"/>
    <x v="2"/>
    <n v="6"/>
    <s v="chart_point"/>
    <s v="trend_chart"/>
    <x v="5"/>
    <s v="Transactions"/>
    <x v="14"/>
    <m/>
    <x v="4"/>
    <x v="1"/>
    <n v="4650000000"/>
    <s v="JOD"/>
    <s v="4.65 B JOD"/>
    <s v="TRUE"/>
    <s v="restated"/>
    <m/>
  </r>
  <r>
    <s v="2025-Q2"/>
    <x v="2"/>
    <n v="6"/>
    <s v="kpi"/>
    <s v="stat_box"/>
    <x v="4"/>
    <s v="Transactions"/>
    <x v="14"/>
    <m/>
    <x v="5"/>
    <x v="0"/>
    <n v="53880000"/>
    <s v="count"/>
    <s v="53.88 M"/>
    <m/>
    <m/>
    <m/>
  </r>
  <r>
    <s v="2025-Q2"/>
    <x v="2"/>
    <n v="6"/>
    <s v="kpi"/>
    <s v="stat_box"/>
    <x v="5"/>
    <s v="Transactions"/>
    <x v="14"/>
    <m/>
    <x v="5"/>
    <x v="0"/>
    <n v="5090000000"/>
    <s v="JOD"/>
    <s v="5.09 B JOD"/>
    <m/>
    <m/>
    <m/>
  </r>
  <r>
    <s v="2025-Q3"/>
    <x v="2"/>
    <n v="6"/>
    <s v="category"/>
    <s v="category_chart"/>
    <x v="4"/>
    <s v="Transactions"/>
    <x v="24"/>
    <m/>
    <x v="6"/>
    <x v="0"/>
    <n v="11100000"/>
    <s v="count"/>
    <s v="11.10 M"/>
    <m/>
    <m/>
    <m/>
  </r>
  <r>
    <s v="2025-Q3"/>
    <x v="2"/>
    <n v="6"/>
    <s v="category"/>
    <s v="category_chart"/>
    <x v="4"/>
    <s v="Transactions"/>
    <x v="25"/>
    <m/>
    <x v="6"/>
    <x v="0"/>
    <n v="45270000"/>
    <s v="count"/>
    <s v="45.27 M"/>
    <m/>
    <m/>
    <m/>
  </r>
  <r>
    <s v="2025-Q3"/>
    <x v="2"/>
    <n v="6"/>
    <s v="category"/>
    <s v="category_chart"/>
    <x v="4"/>
    <s v="Transactions"/>
    <x v="26"/>
    <m/>
    <x v="6"/>
    <x v="0"/>
    <n v="16960000"/>
    <s v="count"/>
    <s v="16.96 M"/>
    <m/>
    <m/>
    <m/>
  </r>
  <r>
    <s v="2025-Q3"/>
    <x v="2"/>
    <n v="6"/>
    <s v="category"/>
    <s v="category_chart"/>
    <x v="4"/>
    <s v="Transactions"/>
    <x v="27"/>
    <m/>
    <x v="6"/>
    <x v="0"/>
    <n v="8100000"/>
    <s v="count"/>
    <s v="8.10 M"/>
    <m/>
    <m/>
    <m/>
  </r>
  <r>
    <s v="2025-Q3"/>
    <x v="2"/>
    <n v="6"/>
    <s v="category"/>
    <s v="category_chart"/>
    <x v="5"/>
    <s v="Transactions"/>
    <x v="24"/>
    <m/>
    <x v="6"/>
    <x v="0"/>
    <n v="591000000"/>
    <s v="JOD"/>
    <s v="591.00 M JOD"/>
    <m/>
    <m/>
    <m/>
  </r>
  <r>
    <s v="2025-Q3"/>
    <x v="2"/>
    <n v="6"/>
    <s v="category"/>
    <s v="category_chart"/>
    <x v="5"/>
    <s v="Transactions"/>
    <x v="25"/>
    <m/>
    <x v="6"/>
    <x v="0"/>
    <n v="4410000000"/>
    <s v="JOD"/>
    <s v="4.41 B JOD"/>
    <m/>
    <m/>
    <m/>
  </r>
  <r>
    <s v="2025-Q3"/>
    <x v="2"/>
    <n v="6"/>
    <s v="category"/>
    <s v="category_chart"/>
    <x v="5"/>
    <s v="Transactions"/>
    <x v="26"/>
    <m/>
    <x v="6"/>
    <x v="0"/>
    <n v="1130000000"/>
    <s v="JOD"/>
    <s v="1.13 B JOD"/>
    <m/>
    <m/>
    <m/>
  </r>
  <r>
    <s v="2025-Q3"/>
    <x v="2"/>
    <n v="6"/>
    <s v="category"/>
    <s v="category_chart"/>
    <x v="5"/>
    <s v="Transactions"/>
    <x v="27"/>
    <m/>
    <x v="6"/>
    <x v="0"/>
    <n v="805000000"/>
    <s v="JOD"/>
    <s v="805.00 M JOD"/>
    <m/>
    <m/>
    <m/>
  </r>
  <r>
    <s v="2025-Q3"/>
    <x v="2"/>
    <n v="6"/>
    <s v="chart_point"/>
    <s v="trend_chart"/>
    <x v="4"/>
    <s v="Transactions"/>
    <x v="14"/>
    <m/>
    <x v="4"/>
    <x v="1"/>
    <n v="45770000"/>
    <s v="count"/>
    <s v="45.77 M"/>
    <s v="TRUE"/>
    <s v="restated"/>
    <m/>
  </r>
  <r>
    <s v="2025-Q3"/>
    <x v="2"/>
    <n v="6"/>
    <s v="chart_point"/>
    <s v="trend_chart"/>
    <x v="4"/>
    <s v="Transactions"/>
    <x v="14"/>
    <m/>
    <x v="5"/>
    <x v="1"/>
    <n v="53880000"/>
    <s v="count"/>
    <s v="53.88 M"/>
    <s v="TRUE"/>
    <s v="restated"/>
    <m/>
  </r>
  <r>
    <s v="2025-Q3"/>
    <x v="2"/>
    <n v="6"/>
    <s v="chart_point"/>
    <s v="trend_chart"/>
    <x v="5"/>
    <s v="Transactions"/>
    <x v="14"/>
    <m/>
    <x v="4"/>
    <x v="1"/>
    <n v="4650000000"/>
    <s v="JOD"/>
    <s v="4.65 B JOD"/>
    <s v="TRUE"/>
    <s v="restated"/>
    <m/>
  </r>
  <r>
    <s v="2025-Q3"/>
    <x v="2"/>
    <n v="6"/>
    <s v="chart_point"/>
    <s v="trend_chart"/>
    <x v="5"/>
    <s v="Transactions"/>
    <x v="14"/>
    <m/>
    <x v="5"/>
    <x v="1"/>
    <n v="5090000000"/>
    <s v="JOD"/>
    <s v="5.09 B JOD"/>
    <s v="TRUE"/>
    <s v="restated"/>
    <m/>
  </r>
  <r>
    <s v="2025-Q3"/>
    <x v="2"/>
    <n v="6"/>
    <s v="kpi"/>
    <s v="stat_box"/>
    <x v="4"/>
    <s v="Transactions"/>
    <x v="14"/>
    <m/>
    <x v="6"/>
    <x v="0"/>
    <n v="62230000"/>
    <s v="count"/>
    <s v="62.23 M"/>
    <m/>
    <m/>
    <m/>
  </r>
  <r>
    <s v="2025-Q3"/>
    <x v="2"/>
    <n v="6"/>
    <s v="kpi"/>
    <s v="stat_box"/>
    <x v="5"/>
    <s v="Transactions"/>
    <x v="14"/>
    <m/>
    <x v="6"/>
    <x v="0"/>
    <n v="5540000000"/>
    <s v="JOD"/>
    <s v="5.54 B JOD"/>
    <m/>
    <m/>
    <m/>
  </r>
  <r>
    <s v="2025-Q4"/>
    <x v="2"/>
    <n v="6"/>
    <s v="category"/>
    <s v="category_chart"/>
    <x v="4"/>
    <s v="Transactions"/>
    <x v="24"/>
    <m/>
    <x v="7"/>
    <x v="0"/>
    <n v="12200000"/>
    <s v="count"/>
    <s v="12.20 M"/>
    <m/>
    <m/>
    <m/>
  </r>
  <r>
    <s v="2025-Q4"/>
    <x v="2"/>
    <n v="6"/>
    <s v="category"/>
    <s v="category_chart"/>
    <x v="4"/>
    <s v="Transactions"/>
    <x v="25"/>
    <m/>
    <x v="7"/>
    <x v="0"/>
    <n v="48720000"/>
    <s v="count"/>
    <s v="48.72 M"/>
    <m/>
    <m/>
    <m/>
  </r>
  <r>
    <s v="2025-Q4"/>
    <x v="2"/>
    <n v="6"/>
    <s v="category"/>
    <s v="category_chart"/>
    <x v="4"/>
    <s v="Transactions"/>
    <x v="26"/>
    <m/>
    <x v="7"/>
    <x v="0"/>
    <n v="18380000"/>
    <s v="count"/>
    <s v="18.38 M"/>
    <m/>
    <m/>
    <m/>
  </r>
  <r>
    <s v="2025-Q4"/>
    <x v="2"/>
    <n v="6"/>
    <s v="category"/>
    <s v="category_chart"/>
    <x v="4"/>
    <s v="Transactions"/>
    <x v="27"/>
    <m/>
    <x v="7"/>
    <x v="0"/>
    <n v="8500000"/>
    <s v="count"/>
    <s v="8.50 M"/>
    <m/>
    <m/>
    <m/>
  </r>
  <r>
    <s v="2025-Q4"/>
    <x v="2"/>
    <n v="6"/>
    <s v="category"/>
    <s v="category_chart"/>
    <x v="5"/>
    <s v="Transactions"/>
    <x v="24"/>
    <m/>
    <x v="7"/>
    <x v="0"/>
    <n v="580000000"/>
    <s v="JOD"/>
    <s v="580.00 M JOD"/>
    <m/>
    <m/>
    <m/>
  </r>
  <r>
    <s v="2025-Q4"/>
    <x v="2"/>
    <n v="6"/>
    <s v="category"/>
    <s v="category_chart"/>
    <x v="5"/>
    <s v="Transactions"/>
    <x v="25"/>
    <m/>
    <x v="7"/>
    <x v="0"/>
    <n v="4240000000"/>
    <s v="JOD"/>
    <s v="4.24 B JOD"/>
    <m/>
    <m/>
    <m/>
  </r>
  <r>
    <s v="2025-Q4"/>
    <x v="2"/>
    <n v="6"/>
    <s v="category"/>
    <s v="category_chart"/>
    <x v="5"/>
    <s v="Transactions"/>
    <x v="26"/>
    <m/>
    <x v="7"/>
    <x v="0"/>
    <n v="1080000000"/>
    <s v="JOD"/>
    <s v="1.08 B JOD"/>
    <m/>
    <m/>
    <m/>
  </r>
  <r>
    <s v="2025-Q4"/>
    <x v="2"/>
    <n v="6"/>
    <s v="category"/>
    <s v="category_chart"/>
    <x v="5"/>
    <s v="Transactions"/>
    <x v="27"/>
    <m/>
    <x v="7"/>
    <x v="0"/>
    <n v="712000000"/>
    <s v="JOD"/>
    <s v="712.00 M JOD"/>
    <m/>
    <m/>
    <m/>
  </r>
  <r>
    <s v="2025-Q4"/>
    <x v="2"/>
    <n v="6"/>
    <s v="chart_point"/>
    <s v="trend_chart"/>
    <x v="4"/>
    <s v="Transactions"/>
    <x v="14"/>
    <m/>
    <x v="4"/>
    <x v="1"/>
    <n v="45770000"/>
    <s v="count"/>
    <s v="45.77 M"/>
    <s v="TRUE"/>
    <s v="restated"/>
    <m/>
  </r>
  <r>
    <s v="2025-Q4"/>
    <x v="2"/>
    <n v="6"/>
    <s v="chart_point"/>
    <s v="trend_chart"/>
    <x v="4"/>
    <s v="Transactions"/>
    <x v="14"/>
    <m/>
    <x v="5"/>
    <x v="1"/>
    <n v="53880000"/>
    <s v="count"/>
    <s v="53.88 M"/>
    <s v="TRUE"/>
    <s v="restated"/>
    <m/>
  </r>
  <r>
    <s v="2025-Q4"/>
    <x v="2"/>
    <n v="6"/>
    <s v="chart_point"/>
    <s v="trend_chart"/>
    <x v="4"/>
    <s v="Transactions"/>
    <x v="14"/>
    <m/>
    <x v="6"/>
    <x v="1"/>
    <n v="62230000"/>
    <s v="count"/>
    <s v="62.23 M"/>
    <s v="TRUE"/>
    <s v="restated"/>
    <m/>
  </r>
  <r>
    <s v="2025-Q4"/>
    <x v="2"/>
    <n v="6"/>
    <s v="chart_point"/>
    <s v="trend_chart"/>
    <x v="5"/>
    <s v="Transactions"/>
    <x v="14"/>
    <m/>
    <x v="4"/>
    <x v="1"/>
    <n v="4650000000"/>
    <s v="JOD"/>
    <s v="4.65 B JOD"/>
    <s v="TRUE"/>
    <s v="restated"/>
    <m/>
  </r>
  <r>
    <s v="2025-Q4"/>
    <x v="2"/>
    <n v="6"/>
    <s v="chart_point"/>
    <s v="trend_chart"/>
    <x v="5"/>
    <s v="Transactions"/>
    <x v="14"/>
    <m/>
    <x v="5"/>
    <x v="1"/>
    <n v="5090000000"/>
    <s v="JOD"/>
    <s v="5.09 B JOD"/>
    <s v="TRUE"/>
    <s v="restated"/>
    <m/>
  </r>
  <r>
    <s v="2025-Q4"/>
    <x v="2"/>
    <n v="6"/>
    <s v="chart_point"/>
    <s v="trend_chart"/>
    <x v="5"/>
    <s v="Transactions"/>
    <x v="14"/>
    <m/>
    <x v="6"/>
    <x v="1"/>
    <n v="5540000000"/>
    <s v="JOD"/>
    <s v="5.54 B JOD"/>
    <s v="TRUE"/>
    <s v="restated"/>
    <m/>
  </r>
  <r>
    <s v="2025-Q4"/>
    <x v="2"/>
    <n v="6"/>
    <s v="kpi"/>
    <s v="stat_box"/>
    <x v="4"/>
    <s v="Transactions"/>
    <x v="14"/>
    <m/>
    <x v="7"/>
    <x v="0"/>
    <n v="67090000"/>
    <s v="count"/>
    <s v="67.09 M"/>
    <m/>
    <m/>
    <m/>
  </r>
  <r>
    <s v="2025-Q4"/>
    <x v="2"/>
    <n v="6"/>
    <s v="kpi"/>
    <s v="stat_box"/>
    <x v="5"/>
    <s v="Transactions"/>
    <x v="14"/>
    <m/>
    <x v="7"/>
    <x v="0"/>
    <n v="5310000000"/>
    <s v="JOD"/>
    <s v="5.31 B JOD"/>
    <m/>
    <m/>
    <m/>
  </r>
  <r>
    <s v="2026-Q1"/>
    <x v="2"/>
    <n v="6"/>
    <s v="category"/>
    <s v="category_chart"/>
    <x v="4"/>
    <s v="Transactions"/>
    <x v="24"/>
    <m/>
    <x v="8"/>
    <x v="0"/>
    <n v="13100000"/>
    <s v="count"/>
    <s v="13.10 M"/>
    <m/>
    <m/>
    <m/>
  </r>
  <r>
    <s v="2026-Q1"/>
    <x v="2"/>
    <n v="6"/>
    <s v="category"/>
    <s v="category_chart"/>
    <x v="4"/>
    <s v="Transactions"/>
    <x v="25"/>
    <m/>
    <x v="8"/>
    <x v="0"/>
    <n v="51490000"/>
    <s v="count"/>
    <s v="51.49 M"/>
    <m/>
    <m/>
    <m/>
  </r>
  <r>
    <s v="2026-Q1"/>
    <x v="2"/>
    <n v="6"/>
    <s v="category"/>
    <s v="category_chart"/>
    <x v="4"/>
    <s v="Transactions"/>
    <x v="26"/>
    <m/>
    <x v="8"/>
    <x v="0"/>
    <n v="21640000"/>
    <s v="count"/>
    <s v="21.64 M"/>
    <m/>
    <m/>
    <m/>
  </r>
  <r>
    <s v="2026-Q1"/>
    <x v="2"/>
    <n v="6"/>
    <s v="category"/>
    <s v="category_chart"/>
    <x v="4"/>
    <s v="Transactions"/>
    <x v="27"/>
    <m/>
    <x v="8"/>
    <x v="0"/>
    <n v="8900000"/>
    <s v="count"/>
    <s v="8.90 M"/>
    <m/>
    <m/>
    <m/>
  </r>
  <r>
    <s v="2026-Q1"/>
    <x v="2"/>
    <n v="6"/>
    <s v="category"/>
    <s v="category_chart"/>
    <x v="5"/>
    <s v="Transactions"/>
    <x v="24"/>
    <m/>
    <x v="8"/>
    <x v="0"/>
    <n v="605000000"/>
    <s v="JOD"/>
    <s v="605.00 M JOD"/>
    <m/>
    <m/>
    <m/>
  </r>
  <r>
    <s v="2026-Q1"/>
    <x v="2"/>
    <n v="6"/>
    <s v="category"/>
    <s v="category_chart"/>
    <x v="5"/>
    <s v="Transactions"/>
    <x v="25"/>
    <m/>
    <x v="8"/>
    <x v="0"/>
    <n v="4450000000"/>
    <s v="JOD"/>
    <s v="4.45 B JOD"/>
    <m/>
    <m/>
    <m/>
  </r>
  <r>
    <s v="2026-Q1"/>
    <x v="2"/>
    <n v="6"/>
    <s v="category"/>
    <s v="category_chart"/>
    <x v="5"/>
    <s v="Transactions"/>
    <x v="26"/>
    <m/>
    <x v="8"/>
    <x v="0"/>
    <n v="1190000000"/>
    <s v="JOD"/>
    <s v="1.19 B JOD"/>
    <m/>
    <m/>
    <m/>
  </r>
  <r>
    <s v="2026-Q1"/>
    <x v="2"/>
    <n v="6"/>
    <s v="category"/>
    <s v="category_chart"/>
    <x v="5"/>
    <s v="Transactions"/>
    <x v="27"/>
    <m/>
    <x v="8"/>
    <x v="0"/>
    <n v="721000000"/>
    <s v="JOD"/>
    <s v="721.00 M JOD"/>
    <m/>
    <m/>
    <m/>
  </r>
  <r>
    <s v="2026-Q1"/>
    <x v="2"/>
    <n v="6"/>
    <s v="chart_point"/>
    <s v="trend_chart"/>
    <x v="4"/>
    <s v="Transactions"/>
    <x v="14"/>
    <m/>
    <x v="7"/>
    <x v="1"/>
    <n v="67090000"/>
    <s v="count"/>
    <s v="67.09 M"/>
    <s v="TRUE"/>
    <s v="restated"/>
    <m/>
  </r>
  <r>
    <s v="2026-Q1"/>
    <x v="2"/>
    <n v="6"/>
    <s v="chart_point"/>
    <s v="trend_chart"/>
    <x v="5"/>
    <s v="Transactions"/>
    <x v="14"/>
    <m/>
    <x v="7"/>
    <x v="1"/>
    <n v="5310000000"/>
    <s v="JOD"/>
    <s v="5.31 B JOD"/>
    <s v="TRUE"/>
    <s v="restated"/>
    <m/>
  </r>
  <r>
    <s v="2026-Q1"/>
    <x v="2"/>
    <n v="6"/>
    <s v="kpi"/>
    <s v="stat_box"/>
    <x v="4"/>
    <s v="Transactions"/>
    <x v="14"/>
    <m/>
    <x v="8"/>
    <x v="0"/>
    <n v="73120000"/>
    <s v="count"/>
    <s v="73.12 M"/>
    <m/>
    <m/>
    <m/>
  </r>
  <r>
    <s v="2026-Q1"/>
    <x v="2"/>
    <n v="6"/>
    <s v="kpi"/>
    <s v="stat_box"/>
    <x v="5"/>
    <s v="Transactions"/>
    <x v="14"/>
    <m/>
    <x v="8"/>
    <x v="0"/>
    <n v="5630000000"/>
    <s v="JOD"/>
    <s v="5.63 B JOD"/>
    <m/>
    <m/>
    <m/>
  </r>
  <r>
    <s v="2026-Q2"/>
    <x v="2"/>
    <n v="6"/>
    <s v="category"/>
    <s v="category_chart"/>
    <x v="4"/>
    <s v="Transactions"/>
    <x v="24"/>
    <m/>
    <x v="9"/>
    <x v="0"/>
    <n v="15600000"/>
    <s v="count"/>
    <s v="15.60 M"/>
    <m/>
    <m/>
    <m/>
  </r>
  <r>
    <s v="2026-Q2"/>
    <x v="2"/>
    <n v="6"/>
    <s v="category"/>
    <s v="category_chart"/>
    <x v="4"/>
    <s v="Transactions"/>
    <x v="25"/>
    <m/>
    <x v="9"/>
    <x v="0"/>
    <n v="59550000"/>
    <s v="count"/>
    <s v="59.55 M"/>
    <m/>
    <m/>
    <m/>
  </r>
  <r>
    <s v="2026-Q2"/>
    <x v="2"/>
    <n v="6"/>
    <s v="category"/>
    <s v="category_chart"/>
    <x v="4"/>
    <s v="Transactions"/>
    <x v="26"/>
    <m/>
    <x v="9"/>
    <x v="0"/>
    <n v="26000000"/>
    <s v="count"/>
    <s v="26.00 M"/>
    <m/>
    <m/>
    <m/>
  </r>
  <r>
    <s v="2026-Q2"/>
    <x v="2"/>
    <n v="6"/>
    <s v="category"/>
    <s v="category_chart"/>
    <x v="4"/>
    <s v="Transactions"/>
    <x v="27"/>
    <m/>
    <x v="9"/>
    <x v="0"/>
    <n v="10500000"/>
    <s v="count"/>
    <s v="10.50 M"/>
    <m/>
    <m/>
    <m/>
  </r>
  <r>
    <s v="2026-Q2"/>
    <x v="2"/>
    <n v="6"/>
    <s v="category"/>
    <s v="category_chart"/>
    <x v="5"/>
    <s v="Transactions"/>
    <x v="24"/>
    <m/>
    <x v="9"/>
    <x v="0"/>
    <n v="669000000"/>
    <s v="JOD"/>
    <s v="669.00 M JOD"/>
    <m/>
    <m/>
    <m/>
  </r>
  <r>
    <s v="2026-Q2"/>
    <x v="2"/>
    <n v="6"/>
    <s v="category"/>
    <s v="category_chart"/>
    <x v="5"/>
    <s v="Transactions"/>
    <x v="25"/>
    <m/>
    <x v="9"/>
    <x v="0"/>
    <n v="4730000000"/>
    <s v="JOD"/>
    <s v="4.73 B JOD"/>
    <m/>
    <m/>
    <m/>
  </r>
  <r>
    <s v="2026-Q2"/>
    <x v="2"/>
    <n v="6"/>
    <s v="category"/>
    <s v="category_chart"/>
    <x v="5"/>
    <s v="Transactions"/>
    <x v="26"/>
    <m/>
    <x v="9"/>
    <x v="0"/>
    <n v="1270000000"/>
    <s v="JOD"/>
    <s v="1.27 B JOD"/>
    <m/>
    <m/>
    <m/>
  </r>
  <r>
    <s v="2026-Q2"/>
    <x v="2"/>
    <n v="6"/>
    <s v="category"/>
    <s v="category_chart"/>
    <x v="5"/>
    <s v="Transactions"/>
    <x v="27"/>
    <m/>
    <x v="9"/>
    <x v="0"/>
    <n v="794000000"/>
    <s v="JOD"/>
    <s v="794.00 M JOD"/>
    <m/>
    <m/>
    <m/>
  </r>
  <r>
    <s v="2026-Q2"/>
    <x v="2"/>
    <n v="6"/>
    <s v="chart_point"/>
    <s v="trend_chart"/>
    <x v="4"/>
    <s v="Transactions"/>
    <x v="14"/>
    <m/>
    <x v="8"/>
    <x v="1"/>
    <n v="73120000"/>
    <s v="count"/>
    <s v="73.12 M"/>
    <s v="TRUE"/>
    <s v="restated"/>
    <m/>
  </r>
  <r>
    <s v="2026-Q2"/>
    <x v="2"/>
    <n v="6"/>
    <s v="chart_point"/>
    <s v="trend_chart"/>
    <x v="5"/>
    <s v="Transactions"/>
    <x v="14"/>
    <m/>
    <x v="8"/>
    <x v="1"/>
    <n v="5630000000"/>
    <s v="JOD"/>
    <s v="5.63 B JOD"/>
    <s v="TRUE"/>
    <s v="restated"/>
    <m/>
  </r>
  <r>
    <s v="2026-Q2"/>
    <x v="2"/>
    <n v="6"/>
    <s v="kpi"/>
    <s v="stat_box"/>
    <x v="4"/>
    <s v="Transactions"/>
    <x v="14"/>
    <m/>
    <x v="9"/>
    <x v="0"/>
    <n v="85550000"/>
    <s v="count"/>
    <s v="85.55 M"/>
    <m/>
    <m/>
    <m/>
  </r>
  <r>
    <s v="2026-Q2"/>
    <x v="2"/>
    <n v="6"/>
    <s v="kpi"/>
    <s v="stat_box"/>
    <x v="5"/>
    <s v="Transactions"/>
    <x v="14"/>
    <m/>
    <x v="9"/>
    <x v="0"/>
    <n v="6000000000"/>
    <s v="JOD"/>
    <s v="6.00 B JOD"/>
    <m/>
    <m/>
    <m/>
  </r>
  <r>
    <s v="2024-Q3"/>
    <x v="3"/>
    <n v="7"/>
    <s v="category"/>
    <s v="category_chart"/>
    <x v="1"/>
    <s v="Billers"/>
    <x v="28"/>
    <m/>
    <x v="0"/>
    <x v="0"/>
    <n v="90000"/>
    <s v="count"/>
    <s v="90.0 K"/>
    <m/>
    <m/>
    <s v="present on the Number chart only, not the Value chart - standard §12"/>
  </r>
  <r>
    <s v="2024-Q3"/>
    <x v="3"/>
    <n v="7"/>
    <s v="category"/>
    <s v="category_chart"/>
    <x v="1"/>
    <s v="Transactions"/>
    <x v="29"/>
    <m/>
    <x v="0"/>
    <x v="0"/>
    <n v="3700000"/>
    <s v="count"/>
    <s v="3.70 M"/>
    <m/>
    <m/>
    <m/>
  </r>
  <r>
    <s v="2024-Q3"/>
    <x v="3"/>
    <n v="7"/>
    <s v="category"/>
    <s v="category_chart"/>
    <x v="1"/>
    <s v="Transactions"/>
    <x v="30"/>
    <m/>
    <x v="0"/>
    <x v="0"/>
    <n v="13800000"/>
    <s v="count"/>
    <s v="13.80 M"/>
    <m/>
    <m/>
    <m/>
  </r>
  <r>
    <s v="2024-Q3"/>
    <x v="3"/>
    <n v="7"/>
    <s v="category"/>
    <s v="category_chart"/>
    <x v="1"/>
    <s v="Billers"/>
    <x v="31"/>
    <m/>
    <x v="0"/>
    <x v="0"/>
    <n v="440000"/>
    <s v="count"/>
    <s v="440.0 K"/>
    <m/>
    <m/>
    <m/>
  </r>
  <r>
    <s v="2024-Q3"/>
    <x v="3"/>
    <n v="7"/>
    <s v="category"/>
    <s v="category_chart"/>
    <x v="1"/>
    <s v="Billers"/>
    <x v="32"/>
    <m/>
    <x v="0"/>
    <x v="0"/>
    <n v="900000"/>
    <s v="count"/>
    <s v="900.0 K"/>
    <m/>
    <m/>
    <m/>
  </r>
  <r>
    <s v="2024-Q3"/>
    <x v="3"/>
    <n v="7"/>
    <s v="category"/>
    <s v="category_chart"/>
    <x v="1"/>
    <s v="Billers"/>
    <x v="33"/>
    <m/>
    <x v="0"/>
    <x v="0"/>
    <n v="70000"/>
    <s v="count"/>
    <s v="70.0 K"/>
    <m/>
    <m/>
    <m/>
  </r>
  <r>
    <s v="2024-Q3"/>
    <x v="3"/>
    <n v="7"/>
    <s v="category"/>
    <s v="category_chart"/>
    <x v="1"/>
    <s v="Billers"/>
    <x v="34"/>
    <m/>
    <x v="0"/>
    <x v="0"/>
    <n v="3460000"/>
    <s v="count"/>
    <s v="3.46 M"/>
    <m/>
    <m/>
    <m/>
  </r>
  <r>
    <s v="2024-Q3"/>
    <x v="3"/>
    <n v="7"/>
    <s v="category"/>
    <s v="category_chart"/>
    <x v="1"/>
    <s v="Billers"/>
    <x v="35"/>
    <m/>
    <x v="0"/>
    <x v="0"/>
    <n v="5680000"/>
    <s v="count"/>
    <s v="5.68 M"/>
    <m/>
    <m/>
    <m/>
  </r>
  <r>
    <s v="2024-Q3"/>
    <x v="3"/>
    <n v="7"/>
    <s v="category"/>
    <s v="category_chart"/>
    <x v="1"/>
    <s v="Billers"/>
    <x v="36"/>
    <m/>
    <x v="0"/>
    <x v="0"/>
    <n v="120000"/>
    <s v="count"/>
    <s v="120.0 K"/>
    <m/>
    <m/>
    <m/>
  </r>
  <r>
    <s v="2024-Q3"/>
    <x v="3"/>
    <n v="7"/>
    <s v="category"/>
    <s v="category_chart"/>
    <x v="1"/>
    <s v="Billers"/>
    <x v="37"/>
    <m/>
    <x v="0"/>
    <x v="0"/>
    <n v="120000"/>
    <s v="count"/>
    <s v="120.0 K"/>
    <m/>
    <m/>
    <m/>
  </r>
  <r>
    <s v="2024-Q3"/>
    <x v="3"/>
    <n v="7"/>
    <s v="category"/>
    <s v="category_chart"/>
    <x v="1"/>
    <s v="Billers"/>
    <x v="38"/>
    <m/>
    <x v="0"/>
    <x v="0"/>
    <n v="1590000"/>
    <s v="count"/>
    <s v="1.59 M"/>
    <m/>
    <m/>
    <m/>
  </r>
  <r>
    <s v="2024-Q3"/>
    <x v="3"/>
    <n v="7"/>
    <s v="category"/>
    <s v="category_chart"/>
    <x v="1"/>
    <s v="Billers"/>
    <x v="39"/>
    <m/>
    <x v="0"/>
    <x v="0"/>
    <n v="4710000"/>
    <s v="count"/>
    <s v="4.71 M"/>
    <m/>
    <m/>
    <m/>
  </r>
  <r>
    <s v="2024-Q3"/>
    <x v="3"/>
    <n v="7"/>
    <s v="category"/>
    <s v="category_chart"/>
    <x v="2"/>
    <s v="Billers"/>
    <x v="40"/>
    <m/>
    <x v="0"/>
    <x v="0"/>
    <n v="38600000"/>
    <s v="JOD"/>
    <s v="38.60 M JOD"/>
    <m/>
    <m/>
    <s v="present on the Value chart only, not the Number chart - standard §12"/>
  </r>
  <r>
    <s v="2024-Q3"/>
    <x v="3"/>
    <n v="7"/>
    <s v="category"/>
    <s v="category_chart"/>
    <x v="2"/>
    <s v="Transactions"/>
    <x v="29"/>
    <m/>
    <x v="0"/>
    <x v="0"/>
    <n v="709000000"/>
    <s v="JOD"/>
    <s v="709.00 M JOD"/>
    <m/>
    <m/>
    <m/>
  </r>
  <r>
    <s v="2024-Q3"/>
    <x v="3"/>
    <n v="7"/>
    <s v="category"/>
    <s v="category_chart"/>
    <x v="2"/>
    <s v="Transactions"/>
    <x v="30"/>
    <m/>
    <x v="0"/>
    <x v="0"/>
    <n v="2800000000"/>
    <s v="JOD"/>
    <s v="2.80 B JOD"/>
    <m/>
    <m/>
    <m/>
  </r>
  <r>
    <s v="2024-Q3"/>
    <x v="3"/>
    <n v="7"/>
    <s v="category"/>
    <s v="category_chart"/>
    <x v="2"/>
    <s v="Billers"/>
    <x v="31"/>
    <m/>
    <x v="0"/>
    <x v="0"/>
    <n v="139700000"/>
    <s v="JOD"/>
    <s v="139.70 M JOD"/>
    <m/>
    <m/>
    <m/>
  </r>
  <r>
    <s v="2024-Q3"/>
    <x v="3"/>
    <n v="7"/>
    <s v="category"/>
    <s v="category_chart"/>
    <x v="2"/>
    <s v="Billers"/>
    <x v="32"/>
    <m/>
    <x v="0"/>
    <x v="0"/>
    <n v="126400000"/>
    <s v="JOD"/>
    <s v="126.40 M JOD"/>
    <m/>
    <m/>
    <m/>
  </r>
  <r>
    <s v="2024-Q3"/>
    <x v="3"/>
    <n v="7"/>
    <s v="category"/>
    <s v="category_chart"/>
    <x v="2"/>
    <s v="Billers"/>
    <x v="33"/>
    <m/>
    <x v="0"/>
    <x v="0"/>
    <n v="39200000"/>
    <s v="JOD"/>
    <s v="39.20 M JOD"/>
    <m/>
    <m/>
    <m/>
  </r>
  <r>
    <s v="2024-Q3"/>
    <x v="3"/>
    <n v="7"/>
    <s v="category"/>
    <s v="category_chart"/>
    <x v="2"/>
    <s v="Billers"/>
    <x v="34"/>
    <m/>
    <x v="0"/>
    <x v="0"/>
    <n v="2146400000"/>
    <s v="JOD"/>
    <s v="2.15 B JOD"/>
    <m/>
    <m/>
    <m/>
  </r>
  <r>
    <s v="2024-Q3"/>
    <x v="3"/>
    <n v="7"/>
    <s v="category"/>
    <s v="category_chart"/>
    <x v="2"/>
    <s v="Billers"/>
    <x v="35"/>
    <m/>
    <x v="0"/>
    <x v="0"/>
    <n v="90600000"/>
    <s v="JOD"/>
    <s v="90.60 M JOD"/>
    <m/>
    <m/>
    <m/>
  </r>
  <r>
    <s v="2024-Q3"/>
    <x v="3"/>
    <n v="7"/>
    <s v="category"/>
    <s v="category_chart"/>
    <x v="2"/>
    <s v="Billers"/>
    <x v="36"/>
    <m/>
    <x v="0"/>
    <x v="0"/>
    <n v="35300000"/>
    <s v="JOD"/>
    <s v="35.30 M JOD"/>
    <m/>
    <m/>
    <m/>
  </r>
  <r>
    <s v="2024-Q3"/>
    <x v="3"/>
    <n v="7"/>
    <s v="category"/>
    <s v="category_chart"/>
    <x v="2"/>
    <s v="Billers"/>
    <x v="37"/>
    <m/>
    <x v="0"/>
    <x v="0"/>
    <n v="20900000"/>
    <s v="JOD"/>
    <s v="20.90 M JOD"/>
    <m/>
    <m/>
    <m/>
  </r>
  <r>
    <s v="2024-Q3"/>
    <x v="3"/>
    <n v="7"/>
    <s v="category"/>
    <s v="category_chart"/>
    <x v="2"/>
    <s v="Billers"/>
    <x v="38"/>
    <m/>
    <x v="0"/>
    <x v="0"/>
    <n v="635400000"/>
    <s v="JOD"/>
    <s v="635.40 M JOD"/>
    <m/>
    <m/>
    <m/>
  </r>
  <r>
    <s v="2024-Q3"/>
    <x v="3"/>
    <n v="7"/>
    <s v="category"/>
    <s v="category_chart"/>
    <x v="2"/>
    <s v="Billers"/>
    <x v="39"/>
    <m/>
    <x v="0"/>
    <x v="0"/>
    <n v="222200000"/>
    <s v="JOD"/>
    <s v="222.20 M JOD"/>
    <m/>
    <m/>
    <m/>
  </r>
  <r>
    <s v="2024-Q3"/>
    <x v="3"/>
    <n v="7"/>
    <s v="chart_point"/>
    <s v="trend_chart"/>
    <x v="1"/>
    <s v="Transactions"/>
    <x v="14"/>
    <m/>
    <x v="1"/>
    <x v="1"/>
    <n v="15550000"/>
    <s v="count"/>
    <s v="15.55 M"/>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1"/>
    <s v="Transactions"/>
    <x v="14"/>
    <m/>
    <x v="2"/>
    <x v="1"/>
    <n v="15480000"/>
    <s v="count"/>
    <s v="15.48 M"/>
    <s v="TRUE"/>
    <s v="newest"/>
    <s v="no native/stat_box reading of 2024-Q2 exists anywhere in this corpus (its own quarterly PDF wasn't part of this extraction) - marked newest as the earliest available trailing_chart_point reading of it, per §8 rule 4's fallback"/>
  </r>
  <r>
    <s v="2024-Q3"/>
    <x v="3"/>
    <n v="7"/>
    <s v="chart_point"/>
    <s v="trend_chart"/>
    <x v="0"/>
    <s v="Users"/>
    <x v="14"/>
    <m/>
    <x v="1"/>
    <x v="1"/>
    <n v="4220000"/>
    <s v="count"/>
    <s v="4.22 M"/>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0"/>
    <s v="Users"/>
    <x v="14"/>
    <m/>
    <x v="2"/>
    <x v="1"/>
    <n v="4310000"/>
    <s v="count"/>
    <s v="4.31 M"/>
    <s v="TRUE"/>
    <s v="newest"/>
    <s v="no native/stat_box reading of 2024-Q2 exists anywhere in this corpus (its own quarterly PDF wasn't part of this extraction) - marked newest as the earliest available trailing_chart_point reading of it, per §8 rule 4's fallback"/>
  </r>
  <r>
    <s v="2024-Q3"/>
    <x v="3"/>
    <n v="7"/>
    <s v="chart_point"/>
    <s v="trend_chart"/>
    <x v="2"/>
    <s v="Transactions"/>
    <x v="14"/>
    <m/>
    <x v="1"/>
    <x v="1"/>
    <n v="3130000000"/>
    <s v="JOD"/>
    <s v="3.13 B JOD"/>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2"/>
    <s v="Transactions"/>
    <x v="14"/>
    <m/>
    <x v="2"/>
    <x v="1"/>
    <n v="3120000000"/>
    <s v="JOD"/>
    <s v="3.12 B JOD"/>
    <s v="TRUE"/>
    <s v="newest"/>
    <s v="no native/stat_box reading of 2024-Q2 exists anywhere in this corpus (its own quarterly PDF wasn't part of this extraction) - marked newest as the earliest available trailing_chart_point reading of it, per §8 rule 4's fallback"/>
  </r>
  <r>
    <s v="2024-Q3"/>
    <x v="3"/>
    <n v="7"/>
    <s v="kpi"/>
    <s v="stat_box"/>
    <x v="1"/>
    <s v="Transactions"/>
    <x v="14"/>
    <m/>
    <x v="0"/>
    <x v="0"/>
    <n v="17430000"/>
    <s v="count"/>
    <s v="17.43 M"/>
    <m/>
    <m/>
    <m/>
  </r>
  <r>
    <s v="2024-Q3"/>
    <x v="3"/>
    <n v="7"/>
    <s v="kpi"/>
    <s v="stat_box"/>
    <x v="0"/>
    <s v="Users"/>
    <x v="14"/>
    <m/>
    <x v="0"/>
    <x v="0"/>
    <n v="4430000"/>
    <s v="count"/>
    <s v="4.43 M"/>
    <m/>
    <m/>
    <m/>
  </r>
  <r>
    <s v="2024-Q3"/>
    <x v="3"/>
    <n v="7"/>
    <s v="kpi"/>
    <s v="stat_box"/>
    <x v="2"/>
    <s v="Transactions"/>
    <x v="14"/>
    <m/>
    <x v="0"/>
    <x v="0"/>
    <n v="3520000000"/>
    <s v="JOD"/>
    <s v="3.52 B JOD"/>
    <m/>
    <m/>
    <m/>
  </r>
  <r>
    <s v="2024-Q4"/>
    <x v="3"/>
    <n v="7"/>
    <s v="category"/>
    <s v="category_chart"/>
    <x v="1"/>
    <s v="Billers"/>
    <x v="28"/>
    <m/>
    <x v="3"/>
    <x v="0"/>
    <n v="100000"/>
    <s v="count"/>
    <s v="100.0 K"/>
    <m/>
    <m/>
    <s v="present on the Number chart only, not the Value chart - standard §12"/>
  </r>
  <r>
    <s v="2024-Q4"/>
    <x v="3"/>
    <n v="7"/>
    <s v="category"/>
    <s v="category_chart"/>
    <x v="1"/>
    <s v="Transactions"/>
    <x v="29"/>
    <m/>
    <x v="3"/>
    <x v="0"/>
    <n v="3600000"/>
    <s v="count"/>
    <s v="3.60 M"/>
    <m/>
    <m/>
    <m/>
  </r>
  <r>
    <s v="2024-Q4"/>
    <x v="3"/>
    <n v="7"/>
    <s v="category"/>
    <s v="category_chart"/>
    <x v="1"/>
    <s v="Transactions"/>
    <x v="30"/>
    <m/>
    <x v="3"/>
    <x v="0"/>
    <n v="14000000"/>
    <s v="count"/>
    <s v="14.00 M"/>
    <m/>
    <m/>
    <m/>
  </r>
  <r>
    <s v="2024-Q4"/>
    <x v="3"/>
    <n v="7"/>
    <s v="category"/>
    <s v="category_chart"/>
    <x v="1"/>
    <s v="Billers"/>
    <x v="31"/>
    <m/>
    <x v="3"/>
    <x v="0"/>
    <n v="290000"/>
    <s v="count"/>
    <s v="290.0 K"/>
    <m/>
    <m/>
    <m/>
  </r>
  <r>
    <s v="2024-Q4"/>
    <x v="3"/>
    <n v="7"/>
    <s v="category"/>
    <s v="category_chart"/>
    <x v="1"/>
    <s v="Billers"/>
    <x v="32"/>
    <m/>
    <x v="3"/>
    <x v="0"/>
    <n v="920000"/>
    <s v="count"/>
    <s v="920.0 K"/>
    <m/>
    <m/>
    <m/>
  </r>
  <r>
    <s v="2024-Q4"/>
    <x v="3"/>
    <n v="7"/>
    <s v="category"/>
    <s v="category_chart"/>
    <x v="1"/>
    <s v="Billers"/>
    <x v="33"/>
    <m/>
    <x v="3"/>
    <x v="0"/>
    <n v="80000"/>
    <s v="count"/>
    <s v="80.0 K"/>
    <m/>
    <m/>
    <m/>
  </r>
  <r>
    <s v="2024-Q4"/>
    <x v="3"/>
    <n v="7"/>
    <s v="category"/>
    <s v="category_chart"/>
    <x v="1"/>
    <s v="Billers"/>
    <x v="34"/>
    <m/>
    <x v="3"/>
    <x v="0"/>
    <n v="3370000"/>
    <s v="count"/>
    <s v="3.37 M"/>
    <m/>
    <m/>
    <m/>
  </r>
  <r>
    <s v="2024-Q4"/>
    <x v="3"/>
    <n v="7"/>
    <s v="category"/>
    <s v="category_chart"/>
    <x v="1"/>
    <s v="Billers"/>
    <x v="35"/>
    <m/>
    <x v="3"/>
    <x v="0"/>
    <n v="5740000"/>
    <s v="count"/>
    <s v="5.74 M"/>
    <m/>
    <m/>
    <m/>
  </r>
  <r>
    <s v="2024-Q4"/>
    <x v="3"/>
    <n v="7"/>
    <s v="category"/>
    <s v="category_chart"/>
    <x v="1"/>
    <s v="Billers"/>
    <x v="36"/>
    <m/>
    <x v="3"/>
    <x v="0"/>
    <n v="110000"/>
    <s v="count"/>
    <s v="110.0 K"/>
    <m/>
    <m/>
    <m/>
  </r>
  <r>
    <s v="2024-Q4"/>
    <x v="3"/>
    <n v="7"/>
    <s v="category"/>
    <s v="category_chart"/>
    <x v="1"/>
    <s v="Billers"/>
    <x v="37"/>
    <m/>
    <x v="3"/>
    <x v="0"/>
    <n v="130000"/>
    <s v="count"/>
    <s v="130.0 K"/>
    <m/>
    <m/>
    <m/>
  </r>
  <r>
    <s v="2024-Q4"/>
    <x v="3"/>
    <n v="7"/>
    <s v="category"/>
    <s v="category_chart"/>
    <x v="1"/>
    <s v="Billers"/>
    <x v="38"/>
    <m/>
    <x v="3"/>
    <x v="0"/>
    <n v="1580000"/>
    <s v="count"/>
    <s v="1.58 M"/>
    <m/>
    <m/>
    <m/>
  </r>
  <r>
    <s v="2024-Q4"/>
    <x v="3"/>
    <n v="7"/>
    <s v="category"/>
    <s v="category_chart"/>
    <x v="1"/>
    <s v="Billers"/>
    <x v="39"/>
    <m/>
    <x v="3"/>
    <x v="0"/>
    <n v="5040000"/>
    <s v="count"/>
    <s v="5.04 M"/>
    <m/>
    <m/>
    <m/>
  </r>
  <r>
    <s v="2024-Q4"/>
    <x v="3"/>
    <n v="7"/>
    <s v="category"/>
    <s v="category_chart"/>
    <x v="2"/>
    <s v="Billers"/>
    <x v="40"/>
    <m/>
    <x v="3"/>
    <x v="0"/>
    <n v="37700000"/>
    <s v="JOD"/>
    <s v="37.70 M JOD"/>
    <m/>
    <m/>
    <s v="present on the Value chart only, not the Number chart - standard §12"/>
  </r>
  <r>
    <s v="2024-Q4"/>
    <x v="3"/>
    <n v="7"/>
    <s v="category"/>
    <s v="category_chart"/>
    <x v="2"/>
    <s v="Transactions"/>
    <x v="29"/>
    <m/>
    <x v="3"/>
    <x v="0"/>
    <n v="655000000"/>
    <s v="JOD"/>
    <s v="655.00 M JOD"/>
    <m/>
    <m/>
    <m/>
  </r>
  <r>
    <s v="2024-Q4"/>
    <x v="3"/>
    <n v="7"/>
    <s v="category"/>
    <s v="category_chart"/>
    <x v="2"/>
    <s v="Transactions"/>
    <x v="30"/>
    <m/>
    <x v="3"/>
    <x v="0"/>
    <n v="2800000000"/>
    <s v="JOD"/>
    <s v="2.80 B JOD"/>
    <m/>
    <m/>
    <m/>
  </r>
  <r>
    <s v="2024-Q4"/>
    <x v="3"/>
    <n v="7"/>
    <s v="category"/>
    <s v="category_chart"/>
    <x v="2"/>
    <s v="Billers"/>
    <x v="31"/>
    <m/>
    <x v="3"/>
    <x v="0"/>
    <n v="92800000"/>
    <s v="JOD"/>
    <s v="92.80 M JOD"/>
    <m/>
    <m/>
    <m/>
  </r>
  <r>
    <s v="2024-Q4"/>
    <x v="3"/>
    <n v="7"/>
    <s v="category"/>
    <s v="category_chart"/>
    <x v="2"/>
    <s v="Billers"/>
    <x v="32"/>
    <m/>
    <x v="3"/>
    <x v="0"/>
    <n v="135100000"/>
    <s v="JOD"/>
    <s v="135.10 M JOD"/>
    <m/>
    <m/>
    <m/>
  </r>
  <r>
    <s v="2024-Q4"/>
    <x v="3"/>
    <n v="7"/>
    <s v="category"/>
    <s v="category_chart"/>
    <x v="2"/>
    <s v="Billers"/>
    <x v="33"/>
    <m/>
    <x v="3"/>
    <x v="0"/>
    <n v="45500000"/>
    <s v="JOD"/>
    <s v="45.50 M JOD"/>
    <m/>
    <m/>
    <m/>
  </r>
  <r>
    <s v="2024-Q4"/>
    <x v="3"/>
    <n v="7"/>
    <s v="category"/>
    <s v="category_chart"/>
    <x v="2"/>
    <s v="Billers"/>
    <x v="34"/>
    <m/>
    <x v="3"/>
    <x v="0"/>
    <n v="2093100000"/>
    <s v="JOD"/>
    <s v="2.09 B JOD"/>
    <m/>
    <m/>
    <m/>
  </r>
  <r>
    <s v="2024-Q4"/>
    <x v="3"/>
    <n v="7"/>
    <s v="category"/>
    <s v="category_chart"/>
    <x v="2"/>
    <s v="Billers"/>
    <x v="35"/>
    <m/>
    <x v="3"/>
    <x v="0"/>
    <n v="92500000"/>
    <s v="JOD"/>
    <s v="92.50 M JOD"/>
    <m/>
    <m/>
    <m/>
  </r>
  <r>
    <s v="2024-Q4"/>
    <x v="3"/>
    <n v="7"/>
    <s v="category"/>
    <s v="category_chart"/>
    <x v="2"/>
    <s v="Billers"/>
    <x v="36"/>
    <m/>
    <x v="3"/>
    <x v="0"/>
    <n v="38900000"/>
    <s v="JOD"/>
    <s v="38.90 M JOD"/>
    <m/>
    <m/>
    <m/>
  </r>
  <r>
    <s v="2024-Q4"/>
    <x v="3"/>
    <n v="7"/>
    <s v="category"/>
    <s v="category_chart"/>
    <x v="2"/>
    <s v="Billers"/>
    <x v="37"/>
    <m/>
    <x v="3"/>
    <x v="0"/>
    <n v="16200000"/>
    <s v="JOD"/>
    <s v="16.20 M JOD"/>
    <m/>
    <m/>
    <m/>
  </r>
  <r>
    <s v="2024-Q4"/>
    <x v="3"/>
    <n v="7"/>
    <s v="category"/>
    <s v="category_chart"/>
    <x v="2"/>
    <s v="Billers"/>
    <x v="38"/>
    <m/>
    <x v="3"/>
    <x v="0"/>
    <n v="646900000"/>
    <s v="JOD"/>
    <s v="646.90 M JOD"/>
    <m/>
    <m/>
    <m/>
  </r>
  <r>
    <s v="2024-Q4"/>
    <x v="3"/>
    <n v="7"/>
    <s v="category"/>
    <s v="category_chart"/>
    <x v="2"/>
    <s v="Billers"/>
    <x v="39"/>
    <m/>
    <x v="3"/>
    <x v="0"/>
    <n v="201600000"/>
    <s v="JOD"/>
    <s v="201.60 M JOD"/>
    <m/>
    <m/>
    <m/>
  </r>
  <r>
    <s v="2024-Q4"/>
    <x v="3"/>
    <n v="7"/>
    <s v="chart_point"/>
    <s v="trend_chart"/>
    <x v="1"/>
    <s v="Transactions"/>
    <x v="14"/>
    <m/>
    <x v="1"/>
    <x v="1"/>
    <n v="15550000"/>
    <s v="count"/>
    <s v="15.55 M"/>
    <s v="TRUE"/>
    <s v="restated"/>
    <s v="see the 2024-Q3 report's reading of 2024-Q1, marked newest"/>
  </r>
  <r>
    <s v="2024-Q4"/>
    <x v="3"/>
    <n v="7"/>
    <s v="chart_point"/>
    <s v="trend_chart"/>
    <x v="1"/>
    <s v="Transactions"/>
    <x v="14"/>
    <m/>
    <x v="2"/>
    <x v="1"/>
    <n v="15480000"/>
    <s v="count"/>
    <s v="15.48 M"/>
    <s v="TRUE"/>
    <s v="restated"/>
    <s v="see the 2024-Q3 report's reading of 2024-Q2, marked newest"/>
  </r>
  <r>
    <s v="2024-Q4"/>
    <x v="3"/>
    <n v="7"/>
    <s v="chart_point"/>
    <s v="trend_chart"/>
    <x v="1"/>
    <s v="Transactions"/>
    <x v="14"/>
    <m/>
    <x v="0"/>
    <x v="1"/>
    <n v="17430000"/>
    <s v="count"/>
    <s v="17.43 M"/>
    <s v="TRUE"/>
    <s v="restated"/>
    <m/>
  </r>
  <r>
    <s v="2024-Q4"/>
    <x v="3"/>
    <n v="7"/>
    <s v="chart_point"/>
    <s v="trend_chart"/>
    <x v="0"/>
    <s v="Users"/>
    <x v="14"/>
    <m/>
    <x v="1"/>
    <x v="1"/>
    <n v="4220000"/>
    <s v="count"/>
    <s v="4.22 M"/>
    <s v="TRUE"/>
    <s v="restated"/>
    <s v="see the 2024-Q3 report's reading of 2024-Q1, marked newest"/>
  </r>
  <r>
    <s v="2024-Q4"/>
    <x v="3"/>
    <n v="7"/>
    <s v="chart_point"/>
    <s v="trend_chart"/>
    <x v="0"/>
    <s v="Users"/>
    <x v="14"/>
    <m/>
    <x v="2"/>
    <x v="1"/>
    <n v="4310000"/>
    <s v="count"/>
    <s v="4.31 M"/>
    <s v="TRUE"/>
    <s v="restated"/>
    <s v="see the 2024-Q3 report's reading of 2024-Q2, marked newest"/>
  </r>
  <r>
    <s v="2024-Q4"/>
    <x v="3"/>
    <n v="7"/>
    <s v="chart_point"/>
    <s v="trend_chart"/>
    <x v="0"/>
    <s v="Users"/>
    <x v="14"/>
    <m/>
    <x v="0"/>
    <x v="1"/>
    <n v="4430000"/>
    <s v="count"/>
    <s v="4.43 M"/>
    <s v="TRUE"/>
    <s v="restated"/>
    <m/>
  </r>
  <r>
    <s v="2024-Q4"/>
    <x v="3"/>
    <n v="7"/>
    <s v="chart_point"/>
    <s v="trend_chart"/>
    <x v="2"/>
    <s v="Transactions"/>
    <x v="14"/>
    <m/>
    <x v="1"/>
    <x v="1"/>
    <n v="3130000000"/>
    <s v="JOD"/>
    <s v="3.13 B JOD"/>
    <s v="TRUE"/>
    <s v="restated"/>
    <s v="see the 2024-Q3 report's reading of 2024-Q1, marked newest"/>
  </r>
  <r>
    <s v="2024-Q4"/>
    <x v="3"/>
    <n v="7"/>
    <s v="chart_point"/>
    <s v="trend_chart"/>
    <x v="2"/>
    <s v="Transactions"/>
    <x v="14"/>
    <m/>
    <x v="2"/>
    <x v="1"/>
    <n v="3120000000"/>
    <s v="JOD"/>
    <s v="3.12 B JOD"/>
    <s v="TRUE"/>
    <s v="restated"/>
    <s v="see the 2024-Q3 report's reading of 2024-Q2, marked newest"/>
  </r>
  <r>
    <s v="2024-Q4"/>
    <x v="3"/>
    <n v="7"/>
    <s v="chart_point"/>
    <s v="trend_chart"/>
    <x v="2"/>
    <s v="Transactions"/>
    <x v="14"/>
    <m/>
    <x v="0"/>
    <x v="1"/>
    <n v="3520000000"/>
    <s v="JOD"/>
    <s v="3.52 B JOD"/>
    <s v="TRUE"/>
    <s v="restated"/>
    <m/>
  </r>
  <r>
    <s v="2024-Q4"/>
    <x v="3"/>
    <n v="7"/>
    <s v="kpi"/>
    <s v="stat_box"/>
    <x v="1"/>
    <s v="Transactions"/>
    <x v="14"/>
    <m/>
    <x v="3"/>
    <x v="0"/>
    <n v="17610000"/>
    <s v="count"/>
    <s v="17.61 M"/>
    <m/>
    <m/>
    <m/>
  </r>
  <r>
    <s v="2024-Q4"/>
    <x v="3"/>
    <n v="7"/>
    <s v="kpi"/>
    <s v="stat_box"/>
    <x v="0"/>
    <s v="Users"/>
    <x v="14"/>
    <m/>
    <x v="3"/>
    <x v="0"/>
    <n v="4540000"/>
    <s v="count"/>
    <s v="4.54 M"/>
    <m/>
    <m/>
    <m/>
  </r>
  <r>
    <s v="2024-Q4"/>
    <x v="3"/>
    <n v="7"/>
    <s v="kpi"/>
    <s v="stat_box"/>
    <x v="2"/>
    <s v="Transactions"/>
    <x v="14"/>
    <m/>
    <x v="3"/>
    <x v="0"/>
    <n v="3420000000"/>
    <s v="JOD"/>
    <s v="3.42 B JOD"/>
    <m/>
    <m/>
    <m/>
  </r>
  <r>
    <s v="2025-Q1"/>
    <x v="3"/>
    <n v="7"/>
    <s v="category"/>
    <s v="category_chart"/>
    <x v="1"/>
    <s v="Billers"/>
    <x v="28"/>
    <m/>
    <x v="4"/>
    <x v="0"/>
    <n v="150000"/>
    <s v="count"/>
    <s v="150.0 K"/>
    <m/>
    <m/>
    <s v="present on the Number chart only, not the Value chart - standard §12"/>
  </r>
  <r>
    <s v="2025-Q1"/>
    <x v="3"/>
    <n v="7"/>
    <s v="category"/>
    <s v="category_chart"/>
    <x v="1"/>
    <s v="Transactions"/>
    <x v="29"/>
    <m/>
    <x v="4"/>
    <x v="0"/>
    <n v="3300000"/>
    <s v="count"/>
    <s v="3.30 M"/>
    <m/>
    <m/>
    <m/>
  </r>
  <r>
    <s v="2025-Q1"/>
    <x v="3"/>
    <n v="7"/>
    <s v="category"/>
    <s v="category_chart"/>
    <x v="1"/>
    <s v="Transactions"/>
    <x v="30"/>
    <m/>
    <x v="4"/>
    <x v="0"/>
    <n v="13800000"/>
    <s v="count"/>
    <s v="13.80 M"/>
    <m/>
    <m/>
    <m/>
  </r>
  <r>
    <s v="2025-Q1"/>
    <x v="3"/>
    <n v="7"/>
    <s v="category"/>
    <s v="category_chart"/>
    <x v="1"/>
    <s v="Billers"/>
    <x v="31"/>
    <m/>
    <x v="4"/>
    <x v="0"/>
    <n v="360000"/>
    <s v="count"/>
    <s v="360.0 K"/>
    <m/>
    <m/>
    <m/>
  </r>
  <r>
    <s v="2025-Q1"/>
    <x v="3"/>
    <n v="7"/>
    <s v="category"/>
    <s v="category_chart"/>
    <x v="1"/>
    <s v="Billers"/>
    <x v="32"/>
    <m/>
    <x v="4"/>
    <x v="0"/>
    <n v="870000"/>
    <s v="count"/>
    <s v="870.0 K"/>
    <m/>
    <m/>
    <m/>
  </r>
  <r>
    <s v="2025-Q1"/>
    <x v="3"/>
    <n v="7"/>
    <s v="category"/>
    <s v="category_chart"/>
    <x v="1"/>
    <s v="Billers"/>
    <x v="33"/>
    <m/>
    <x v="4"/>
    <x v="0"/>
    <n v="80000"/>
    <s v="count"/>
    <s v="80.0 K"/>
    <m/>
    <m/>
    <m/>
  </r>
  <r>
    <s v="2025-Q1"/>
    <x v="3"/>
    <n v="7"/>
    <s v="category"/>
    <s v="category_chart"/>
    <x v="1"/>
    <s v="Billers"/>
    <x v="34"/>
    <m/>
    <x v="4"/>
    <x v="0"/>
    <n v="3460000"/>
    <s v="count"/>
    <s v="3.46 M"/>
    <m/>
    <m/>
    <m/>
  </r>
  <r>
    <s v="2025-Q1"/>
    <x v="3"/>
    <n v="7"/>
    <s v="category"/>
    <s v="category_chart"/>
    <x v="1"/>
    <s v="Billers"/>
    <x v="35"/>
    <m/>
    <x v="4"/>
    <x v="0"/>
    <n v="5460000"/>
    <s v="count"/>
    <s v="5.46 M"/>
    <m/>
    <m/>
    <m/>
  </r>
  <r>
    <s v="2025-Q1"/>
    <x v="3"/>
    <n v="7"/>
    <s v="category"/>
    <s v="category_chart"/>
    <x v="1"/>
    <s v="Billers"/>
    <x v="36"/>
    <m/>
    <x v="4"/>
    <x v="0"/>
    <n v="100000"/>
    <s v="count"/>
    <s v="100.0 K"/>
    <m/>
    <m/>
    <m/>
  </r>
  <r>
    <s v="2025-Q1"/>
    <x v="3"/>
    <n v="7"/>
    <s v="category"/>
    <s v="category_chart"/>
    <x v="1"/>
    <s v="Billers"/>
    <x v="37"/>
    <m/>
    <x v="4"/>
    <x v="0"/>
    <n v="120000"/>
    <s v="count"/>
    <s v="120.0 K"/>
    <m/>
    <m/>
    <m/>
  </r>
  <r>
    <s v="2025-Q1"/>
    <x v="3"/>
    <n v="7"/>
    <s v="category"/>
    <s v="category_chart"/>
    <x v="1"/>
    <s v="Billers"/>
    <x v="38"/>
    <m/>
    <x v="4"/>
    <x v="0"/>
    <n v="1500000"/>
    <s v="count"/>
    <s v="1.50 M"/>
    <m/>
    <m/>
    <m/>
  </r>
  <r>
    <s v="2025-Q1"/>
    <x v="3"/>
    <n v="7"/>
    <s v="category"/>
    <s v="category_chart"/>
    <x v="1"/>
    <s v="Billers"/>
    <x v="39"/>
    <m/>
    <x v="4"/>
    <x v="0"/>
    <n v="4740000"/>
    <s v="count"/>
    <s v="4.74 M"/>
    <m/>
    <m/>
    <m/>
  </r>
  <r>
    <s v="2025-Q1"/>
    <x v="3"/>
    <n v="7"/>
    <s v="category"/>
    <s v="category_chart"/>
    <x v="2"/>
    <s v="Billers"/>
    <x v="40"/>
    <m/>
    <x v="4"/>
    <x v="0"/>
    <n v="36000000"/>
    <s v="JOD"/>
    <s v="36.00 M JOD"/>
    <m/>
    <m/>
    <s v="present on the Value chart only, not the Number chart - standard §12"/>
  </r>
  <r>
    <s v="2025-Q1"/>
    <x v="3"/>
    <n v="7"/>
    <s v="category"/>
    <s v="category_chart"/>
    <x v="2"/>
    <s v="Transactions"/>
    <x v="29"/>
    <m/>
    <x v="4"/>
    <x v="0"/>
    <n v="772000000"/>
    <s v="JOD"/>
    <s v="772.00 M JOD"/>
    <m/>
    <m/>
    <m/>
  </r>
  <r>
    <s v="2025-Q1"/>
    <x v="3"/>
    <n v="7"/>
    <s v="category"/>
    <s v="category_chart"/>
    <x v="2"/>
    <s v="Transactions"/>
    <x v="30"/>
    <m/>
    <x v="4"/>
    <x v="0"/>
    <n v="2900000000"/>
    <s v="JOD"/>
    <s v="2.90 B JOD"/>
    <m/>
    <m/>
    <m/>
  </r>
  <r>
    <s v="2025-Q1"/>
    <x v="3"/>
    <n v="7"/>
    <s v="category"/>
    <s v="category_chart"/>
    <x v="2"/>
    <s v="Billers"/>
    <x v="31"/>
    <m/>
    <x v="4"/>
    <x v="0"/>
    <n v="118200000"/>
    <s v="JOD"/>
    <s v="118.20 M JOD"/>
    <m/>
    <m/>
    <m/>
  </r>
  <r>
    <s v="2025-Q1"/>
    <x v="3"/>
    <n v="7"/>
    <s v="category"/>
    <s v="category_chart"/>
    <x v="2"/>
    <s v="Billers"/>
    <x v="32"/>
    <m/>
    <x v="4"/>
    <x v="0"/>
    <n v="129100000"/>
    <s v="JOD"/>
    <s v="129.10 M JOD"/>
    <m/>
    <m/>
    <m/>
  </r>
  <r>
    <s v="2025-Q1"/>
    <x v="3"/>
    <n v="7"/>
    <s v="category"/>
    <s v="category_chart"/>
    <x v="2"/>
    <s v="Billers"/>
    <x v="33"/>
    <m/>
    <x v="4"/>
    <x v="0"/>
    <n v="47600000"/>
    <s v="JOD"/>
    <s v="47.60 M JOD"/>
    <m/>
    <m/>
    <m/>
  </r>
  <r>
    <s v="2025-Q1"/>
    <x v="3"/>
    <n v="7"/>
    <s v="category"/>
    <s v="category_chart"/>
    <x v="2"/>
    <s v="Billers"/>
    <x v="34"/>
    <m/>
    <x v="4"/>
    <x v="0"/>
    <n v="2200000000"/>
    <s v="JOD"/>
    <s v="2.20 B JOD"/>
    <m/>
    <m/>
    <m/>
  </r>
  <r>
    <s v="2025-Q1"/>
    <x v="3"/>
    <n v="7"/>
    <s v="category"/>
    <s v="category_chart"/>
    <x v="2"/>
    <s v="Billers"/>
    <x v="35"/>
    <m/>
    <x v="4"/>
    <x v="0"/>
    <n v="90100000"/>
    <s v="JOD"/>
    <s v="90.10 M JOD"/>
    <m/>
    <m/>
    <m/>
  </r>
  <r>
    <s v="2025-Q1"/>
    <x v="3"/>
    <n v="7"/>
    <s v="category"/>
    <s v="category_chart"/>
    <x v="2"/>
    <s v="Billers"/>
    <x v="36"/>
    <m/>
    <x v="4"/>
    <x v="0"/>
    <n v="34300000"/>
    <s v="JOD"/>
    <s v="34.30 M JOD"/>
    <m/>
    <m/>
    <m/>
  </r>
  <r>
    <s v="2025-Q1"/>
    <x v="3"/>
    <n v="7"/>
    <s v="category"/>
    <s v="category_chart"/>
    <x v="2"/>
    <s v="Billers"/>
    <x v="37"/>
    <m/>
    <x v="4"/>
    <x v="0"/>
    <n v="15200000"/>
    <s v="JOD"/>
    <s v="15.20 M JOD"/>
    <m/>
    <m/>
    <m/>
  </r>
  <r>
    <s v="2025-Q1"/>
    <x v="3"/>
    <n v="7"/>
    <s v="category"/>
    <s v="category_chart"/>
    <x v="2"/>
    <s v="Billers"/>
    <x v="38"/>
    <m/>
    <x v="4"/>
    <x v="0"/>
    <n v="735500000"/>
    <s v="JOD"/>
    <s v="735.50 M JOD"/>
    <m/>
    <m/>
    <m/>
  </r>
  <r>
    <s v="2025-Q1"/>
    <x v="3"/>
    <n v="7"/>
    <s v="category"/>
    <s v="category_chart"/>
    <x v="2"/>
    <s v="Billers"/>
    <x v="39"/>
    <m/>
    <x v="4"/>
    <x v="0"/>
    <n v="203900000"/>
    <s v="JOD"/>
    <s v="203.90 M JOD"/>
    <m/>
    <m/>
    <m/>
  </r>
  <r>
    <s v="2025-Q1"/>
    <x v="3"/>
    <n v="7"/>
    <s v="chart_point"/>
    <s v="trend_chart"/>
    <x v="1"/>
    <s v="Transactions"/>
    <x v="14"/>
    <m/>
    <x v="3"/>
    <x v="1"/>
    <n v="17610000"/>
    <s v="count"/>
    <s v="17.61 M"/>
    <s v="TRUE"/>
    <s v="restated"/>
    <m/>
  </r>
  <r>
    <s v="2025-Q1"/>
    <x v="3"/>
    <n v="7"/>
    <s v="chart_point"/>
    <s v="trend_chart"/>
    <x v="0"/>
    <s v="Users"/>
    <x v="14"/>
    <m/>
    <x v="3"/>
    <x v="1"/>
    <n v="4540000"/>
    <s v="count"/>
    <s v="4.54 M"/>
    <s v="TRUE"/>
    <s v="restated"/>
    <m/>
  </r>
  <r>
    <s v="2025-Q1"/>
    <x v="3"/>
    <n v="7"/>
    <s v="chart_point"/>
    <s v="trend_chart"/>
    <x v="2"/>
    <s v="Transactions"/>
    <x v="14"/>
    <m/>
    <x v="3"/>
    <x v="1"/>
    <n v="3420000000"/>
    <s v="JOD"/>
    <s v="3.42 B JOD"/>
    <s v="TRUE"/>
    <s v="restated"/>
    <m/>
  </r>
  <r>
    <s v="2025-Q1"/>
    <x v="3"/>
    <n v="7"/>
    <s v="kpi"/>
    <s v="stat_box"/>
    <x v="1"/>
    <s v="Transactions"/>
    <x v="14"/>
    <m/>
    <x v="4"/>
    <x v="0"/>
    <n v="17090000"/>
    <s v="count"/>
    <s v="17.09 M"/>
    <m/>
    <m/>
    <m/>
  </r>
  <r>
    <s v="2025-Q1"/>
    <x v="3"/>
    <n v="7"/>
    <s v="kpi"/>
    <s v="stat_box"/>
    <x v="0"/>
    <s v="Users"/>
    <x v="14"/>
    <m/>
    <x v="4"/>
    <x v="0"/>
    <n v="4650000"/>
    <s v="count"/>
    <s v="4.65 M"/>
    <m/>
    <m/>
    <m/>
  </r>
  <r>
    <s v="2025-Q1"/>
    <x v="3"/>
    <n v="7"/>
    <s v="kpi"/>
    <s v="stat_box"/>
    <x v="2"/>
    <s v="Transactions"/>
    <x v="14"/>
    <m/>
    <x v="4"/>
    <x v="0"/>
    <n v="3670000000"/>
    <s v="JOD"/>
    <s v="3.67 B JOD"/>
    <m/>
    <m/>
    <m/>
  </r>
  <r>
    <s v="2025-Q2"/>
    <x v="3"/>
    <n v="7"/>
    <s v="category"/>
    <s v="category_chart"/>
    <x v="1"/>
    <s v="Billers"/>
    <x v="28"/>
    <m/>
    <x v="5"/>
    <x v="0"/>
    <n v="100000"/>
    <s v="count"/>
    <s v="100.0 K"/>
    <m/>
    <m/>
    <s v="present on the Number chart only, not the Value chart - standard §12"/>
  </r>
  <r>
    <s v="2025-Q2"/>
    <x v="3"/>
    <n v="7"/>
    <s v="category"/>
    <s v="category_chart"/>
    <x v="1"/>
    <s v="Transactions"/>
    <x v="29"/>
    <m/>
    <x v="5"/>
    <x v="0"/>
    <n v="3200000"/>
    <s v="count"/>
    <s v="3.20 M"/>
    <m/>
    <m/>
    <m/>
  </r>
  <r>
    <s v="2025-Q2"/>
    <x v="3"/>
    <n v="7"/>
    <s v="category"/>
    <s v="category_chart"/>
    <x v="1"/>
    <s v="Transactions"/>
    <x v="30"/>
    <m/>
    <x v="5"/>
    <x v="0"/>
    <n v="15200000"/>
    <s v="count"/>
    <s v="15.20 M"/>
    <m/>
    <m/>
    <m/>
  </r>
  <r>
    <s v="2025-Q2"/>
    <x v="3"/>
    <n v="7"/>
    <s v="category"/>
    <s v="category_chart"/>
    <x v="1"/>
    <s v="Billers"/>
    <x v="31"/>
    <m/>
    <x v="5"/>
    <x v="0"/>
    <n v="270000"/>
    <s v="count"/>
    <s v="270.0 K"/>
    <m/>
    <m/>
    <m/>
  </r>
  <r>
    <s v="2025-Q2"/>
    <x v="3"/>
    <n v="7"/>
    <s v="category"/>
    <s v="category_chart"/>
    <x v="1"/>
    <s v="Billers"/>
    <x v="32"/>
    <m/>
    <x v="5"/>
    <x v="0"/>
    <n v="990000"/>
    <s v="count"/>
    <s v="990.0 K"/>
    <m/>
    <m/>
    <m/>
  </r>
  <r>
    <s v="2025-Q2"/>
    <x v="3"/>
    <n v="7"/>
    <s v="category"/>
    <s v="category_chart"/>
    <x v="1"/>
    <s v="Billers"/>
    <x v="33"/>
    <m/>
    <x v="5"/>
    <x v="0"/>
    <n v="90000"/>
    <s v="count"/>
    <s v="90.0 K"/>
    <m/>
    <m/>
    <m/>
  </r>
  <r>
    <s v="2025-Q2"/>
    <x v="3"/>
    <n v="7"/>
    <s v="category"/>
    <s v="category_chart"/>
    <x v="1"/>
    <s v="Billers"/>
    <x v="34"/>
    <m/>
    <x v="5"/>
    <x v="0"/>
    <n v="3210000"/>
    <s v="count"/>
    <s v="3.21 M"/>
    <m/>
    <m/>
    <m/>
  </r>
  <r>
    <s v="2025-Q2"/>
    <x v="3"/>
    <n v="7"/>
    <s v="category"/>
    <s v="category_chart"/>
    <x v="1"/>
    <s v="Billers"/>
    <x v="35"/>
    <m/>
    <x v="5"/>
    <x v="0"/>
    <n v="6280000"/>
    <s v="count"/>
    <s v="6.28 M"/>
    <m/>
    <m/>
    <m/>
  </r>
  <r>
    <s v="2025-Q2"/>
    <x v="3"/>
    <n v="7"/>
    <s v="category"/>
    <s v="category_chart"/>
    <x v="1"/>
    <s v="Billers"/>
    <x v="36"/>
    <m/>
    <x v="5"/>
    <x v="0"/>
    <n v="110000"/>
    <s v="count"/>
    <s v="110.0 K"/>
    <m/>
    <m/>
    <m/>
  </r>
  <r>
    <s v="2025-Q2"/>
    <x v="3"/>
    <n v="7"/>
    <s v="category"/>
    <s v="category_chart"/>
    <x v="1"/>
    <s v="Billers"/>
    <x v="37"/>
    <m/>
    <x v="5"/>
    <x v="0"/>
    <n v="160000"/>
    <s v="count"/>
    <s v="160.0 K"/>
    <m/>
    <m/>
    <m/>
  </r>
  <r>
    <s v="2025-Q2"/>
    <x v="3"/>
    <n v="7"/>
    <s v="category"/>
    <s v="category_chart"/>
    <x v="1"/>
    <s v="Billers"/>
    <x v="38"/>
    <m/>
    <x v="5"/>
    <x v="0"/>
    <n v="1660000"/>
    <s v="count"/>
    <s v="1.66 M"/>
    <m/>
    <m/>
    <m/>
  </r>
  <r>
    <s v="2025-Q2"/>
    <x v="3"/>
    <n v="7"/>
    <s v="category"/>
    <s v="category_chart"/>
    <x v="1"/>
    <s v="Billers"/>
    <x v="39"/>
    <m/>
    <x v="5"/>
    <x v="0"/>
    <n v="5280000"/>
    <s v="count"/>
    <s v="5.28 M"/>
    <m/>
    <m/>
    <m/>
  </r>
  <r>
    <s v="2025-Q2"/>
    <x v="3"/>
    <n v="7"/>
    <s v="category"/>
    <s v="category_chart"/>
    <x v="2"/>
    <s v="Billers"/>
    <x v="40"/>
    <m/>
    <x v="5"/>
    <x v="0"/>
    <n v="43700000"/>
    <s v="JOD"/>
    <s v="43.70 M JOD"/>
    <m/>
    <m/>
    <s v="present on the Value chart only, not the Number chart - standard §12"/>
  </r>
  <r>
    <s v="2025-Q2"/>
    <x v="3"/>
    <n v="7"/>
    <s v="category"/>
    <s v="category_chart"/>
    <x v="2"/>
    <s v="Transactions"/>
    <x v="29"/>
    <m/>
    <x v="5"/>
    <x v="0"/>
    <n v="747000000"/>
    <s v="JOD"/>
    <s v="747.00 M JOD"/>
    <m/>
    <m/>
    <m/>
  </r>
  <r>
    <s v="2025-Q2"/>
    <x v="3"/>
    <n v="7"/>
    <s v="category"/>
    <s v="category_chart"/>
    <x v="2"/>
    <s v="Transactions"/>
    <x v="30"/>
    <m/>
    <x v="5"/>
    <x v="0"/>
    <n v="3100000000"/>
    <s v="JOD"/>
    <s v="3.10 B JOD"/>
    <m/>
    <m/>
    <m/>
  </r>
  <r>
    <s v="2025-Q2"/>
    <x v="3"/>
    <n v="7"/>
    <s v="category"/>
    <s v="category_chart"/>
    <x v="2"/>
    <s v="Billers"/>
    <x v="31"/>
    <m/>
    <x v="5"/>
    <x v="0"/>
    <n v="54000000"/>
    <s v="JOD"/>
    <s v="54.00 M JOD"/>
    <m/>
    <m/>
    <m/>
  </r>
  <r>
    <s v="2025-Q2"/>
    <x v="3"/>
    <n v="7"/>
    <s v="category"/>
    <s v="category_chart"/>
    <x v="2"/>
    <s v="Billers"/>
    <x v="32"/>
    <m/>
    <x v="5"/>
    <x v="0"/>
    <n v="143600000"/>
    <s v="JOD"/>
    <s v="143.60 M JOD"/>
    <m/>
    <m/>
    <m/>
  </r>
  <r>
    <s v="2025-Q2"/>
    <x v="3"/>
    <n v="7"/>
    <s v="category"/>
    <s v="category_chart"/>
    <x v="2"/>
    <s v="Billers"/>
    <x v="33"/>
    <m/>
    <x v="5"/>
    <x v="0"/>
    <n v="42100000"/>
    <s v="JOD"/>
    <s v="42.10 M JOD"/>
    <m/>
    <m/>
    <m/>
  </r>
  <r>
    <s v="2025-Q2"/>
    <x v="3"/>
    <n v="7"/>
    <s v="category"/>
    <s v="category_chart"/>
    <x v="2"/>
    <s v="Billers"/>
    <x v="34"/>
    <m/>
    <x v="5"/>
    <x v="0"/>
    <n v="2400000000"/>
    <s v="JOD"/>
    <s v="2.40 B JOD"/>
    <m/>
    <m/>
    <m/>
  </r>
  <r>
    <s v="2025-Q2"/>
    <x v="3"/>
    <n v="7"/>
    <s v="category"/>
    <s v="category_chart"/>
    <x v="2"/>
    <s v="Billers"/>
    <x v="35"/>
    <m/>
    <x v="5"/>
    <x v="0"/>
    <n v="100400000"/>
    <s v="JOD"/>
    <s v="100.40 M JOD"/>
    <m/>
    <m/>
    <m/>
  </r>
  <r>
    <s v="2025-Q2"/>
    <x v="3"/>
    <n v="7"/>
    <s v="category"/>
    <s v="category_chart"/>
    <x v="2"/>
    <s v="Billers"/>
    <x v="36"/>
    <m/>
    <x v="5"/>
    <x v="0"/>
    <n v="37500000"/>
    <s v="JOD"/>
    <s v="37.50 M JOD"/>
    <m/>
    <m/>
    <m/>
  </r>
  <r>
    <s v="2025-Q2"/>
    <x v="3"/>
    <n v="7"/>
    <s v="category"/>
    <s v="category_chart"/>
    <x v="2"/>
    <s v="Billers"/>
    <x v="37"/>
    <m/>
    <x v="5"/>
    <x v="0"/>
    <n v="14700000"/>
    <s v="JOD"/>
    <s v="14.70 M JOD"/>
    <m/>
    <m/>
    <m/>
  </r>
  <r>
    <s v="2025-Q2"/>
    <x v="3"/>
    <n v="7"/>
    <s v="category"/>
    <s v="category_chart"/>
    <x v="2"/>
    <s v="Billers"/>
    <x v="38"/>
    <m/>
    <x v="5"/>
    <x v="0"/>
    <n v="738900000"/>
    <s v="JOD"/>
    <s v="738.90 M JOD"/>
    <m/>
    <m/>
    <m/>
  </r>
  <r>
    <s v="2025-Q2"/>
    <x v="3"/>
    <n v="7"/>
    <s v="category"/>
    <s v="category_chart"/>
    <x v="2"/>
    <s v="Billers"/>
    <x v="39"/>
    <m/>
    <x v="5"/>
    <x v="0"/>
    <n v="207800000"/>
    <s v="JOD"/>
    <s v="207.80 M JOD"/>
    <m/>
    <m/>
    <m/>
  </r>
  <r>
    <s v="2025-Q2"/>
    <x v="3"/>
    <n v="7"/>
    <s v="chart_point"/>
    <s v="trend_chart"/>
    <x v="1"/>
    <s v="Transactions"/>
    <x v="14"/>
    <m/>
    <x v="4"/>
    <x v="1"/>
    <n v="17090000"/>
    <s v="count"/>
    <s v="17.09 M"/>
    <s v="TRUE"/>
    <s v="restated"/>
    <m/>
  </r>
  <r>
    <s v="2025-Q2"/>
    <x v="3"/>
    <n v="7"/>
    <s v="chart_point"/>
    <s v="trend_chart"/>
    <x v="0"/>
    <s v="Users"/>
    <x v="14"/>
    <m/>
    <x v="4"/>
    <x v="1"/>
    <n v="4650000"/>
    <s v="count"/>
    <s v="4.65 M"/>
    <s v="TRUE"/>
    <s v="restated"/>
    <m/>
  </r>
  <r>
    <s v="2025-Q2"/>
    <x v="3"/>
    <n v="7"/>
    <s v="chart_point"/>
    <s v="trend_chart"/>
    <x v="2"/>
    <s v="Transactions"/>
    <x v="14"/>
    <m/>
    <x v="4"/>
    <x v="1"/>
    <n v="3670000000"/>
    <s v="JOD"/>
    <s v="3.67 B JOD"/>
    <s v="TRUE"/>
    <s v="restated"/>
    <m/>
  </r>
  <r>
    <s v="2025-Q2"/>
    <x v="3"/>
    <n v="7"/>
    <s v="kpi"/>
    <s v="stat_box"/>
    <x v="1"/>
    <s v="Transactions"/>
    <x v="14"/>
    <m/>
    <x v="5"/>
    <x v="0"/>
    <n v="18420000"/>
    <s v="count"/>
    <s v="18.42 M"/>
    <m/>
    <m/>
    <m/>
  </r>
  <r>
    <s v="2025-Q2"/>
    <x v="3"/>
    <n v="7"/>
    <s v="kpi"/>
    <s v="stat_box"/>
    <x v="0"/>
    <s v="Users"/>
    <x v="14"/>
    <m/>
    <x v="5"/>
    <x v="0"/>
    <n v="4760000"/>
    <s v="count"/>
    <s v="4.76 M"/>
    <m/>
    <m/>
    <m/>
  </r>
  <r>
    <s v="2025-Q2"/>
    <x v="3"/>
    <n v="7"/>
    <s v="kpi"/>
    <s v="stat_box"/>
    <x v="2"/>
    <s v="Transactions"/>
    <x v="14"/>
    <m/>
    <x v="5"/>
    <x v="0"/>
    <n v="3830000000"/>
    <s v="JOD"/>
    <s v="3.83 B JOD"/>
    <m/>
    <m/>
    <m/>
  </r>
  <r>
    <s v="2025-Q3"/>
    <x v="3"/>
    <n v="7"/>
    <s v="category"/>
    <s v="category_chart"/>
    <x v="1"/>
    <s v="Billers"/>
    <x v="28"/>
    <m/>
    <x v="6"/>
    <x v="0"/>
    <n v="100000"/>
    <s v="count"/>
    <s v="100.0 K"/>
    <m/>
    <m/>
    <s v="present on the Number chart only, not the Value chart - standard §12"/>
  </r>
  <r>
    <s v="2025-Q3"/>
    <x v="3"/>
    <n v="7"/>
    <s v="category"/>
    <s v="category_chart"/>
    <x v="1"/>
    <s v="Transactions"/>
    <x v="29"/>
    <m/>
    <x v="6"/>
    <x v="0"/>
    <n v="3600000"/>
    <s v="count"/>
    <s v="3.60 M"/>
    <m/>
    <m/>
    <m/>
  </r>
  <r>
    <s v="2025-Q3"/>
    <x v="3"/>
    <n v="7"/>
    <s v="category"/>
    <s v="category_chart"/>
    <x v="1"/>
    <s v="Transactions"/>
    <x v="30"/>
    <m/>
    <x v="6"/>
    <x v="0"/>
    <n v="16000000"/>
    <s v="count"/>
    <s v="16.00 M"/>
    <m/>
    <m/>
    <m/>
  </r>
  <r>
    <s v="2025-Q3"/>
    <x v="3"/>
    <n v="7"/>
    <s v="category"/>
    <s v="category_chart"/>
    <x v="1"/>
    <s v="Billers"/>
    <x v="31"/>
    <m/>
    <x v="6"/>
    <x v="0"/>
    <n v="570000"/>
    <s v="count"/>
    <s v="570.0 K"/>
    <m/>
    <m/>
    <m/>
  </r>
  <r>
    <s v="2025-Q3"/>
    <x v="3"/>
    <n v="7"/>
    <s v="category"/>
    <s v="category_chart"/>
    <x v="1"/>
    <s v="Billers"/>
    <x v="32"/>
    <m/>
    <x v="6"/>
    <x v="0"/>
    <n v="920000"/>
    <s v="count"/>
    <s v="920.0 K"/>
    <m/>
    <m/>
    <m/>
  </r>
  <r>
    <s v="2025-Q3"/>
    <x v="3"/>
    <n v="7"/>
    <s v="category"/>
    <s v="category_chart"/>
    <x v="1"/>
    <s v="Billers"/>
    <x v="33"/>
    <m/>
    <x v="6"/>
    <x v="0"/>
    <n v="100000"/>
    <s v="count"/>
    <s v="100.0 K"/>
    <m/>
    <m/>
    <m/>
  </r>
  <r>
    <s v="2025-Q3"/>
    <x v="3"/>
    <n v="7"/>
    <s v="category"/>
    <s v="category_chart"/>
    <x v="1"/>
    <s v="Billers"/>
    <x v="34"/>
    <m/>
    <x v="6"/>
    <x v="0"/>
    <n v="3920000"/>
    <s v="count"/>
    <s v="3.92 M"/>
    <m/>
    <m/>
    <m/>
  </r>
  <r>
    <s v="2025-Q3"/>
    <x v="3"/>
    <n v="7"/>
    <s v="category"/>
    <s v="category_chart"/>
    <x v="1"/>
    <s v="Billers"/>
    <x v="35"/>
    <m/>
    <x v="6"/>
    <x v="0"/>
    <n v="6250000"/>
    <s v="count"/>
    <s v="6.25 M"/>
    <m/>
    <m/>
    <m/>
  </r>
  <r>
    <s v="2025-Q3"/>
    <x v="3"/>
    <n v="7"/>
    <s v="category"/>
    <s v="category_chart"/>
    <x v="1"/>
    <s v="Billers"/>
    <x v="36"/>
    <m/>
    <x v="6"/>
    <x v="0"/>
    <n v="140000"/>
    <s v="count"/>
    <s v="140.0 K"/>
    <m/>
    <m/>
    <m/>
  </r>
  <r>
    <s v="2025-Q3"/>
    <x v="3"/>
    <n v="7"/>
    <s v="category"/>
    <s v="category_chart"/>
    <x v="1"/>
    <s v="Billers"/>
    <x v="37"/>
    <m/>
    <x v="6"/>
    <x v="0"/>
    <n v="190000"/>
    <s v="count"/>
    <s v="190.0 K"/>
    <m/>
    <m/>
    <m/>
  </r>
  <r>
    <s v="2025-Q3"/>
    <x v="3"/>
    <n v="7"/>
    <s v="category"/>
    <s v="category_chart"/>
    <x v="1"/>
    <s v="Billers"/>
    <x v="38"/>
    <m/>
    <x v="6"/>
    <x v="0"/>
    <n v="1710000"/>
    <s v="count"/>
    <s v="1.71 M"/>
    <m/>
    <m/>
    <m/>
  </r>
  <r>
    <s v="2025-Q3"/>
    <x v="3"/>
    <n v="7"/>
    <s v="category"/>
    <s v="category_chart"/>
    <x v="1"/>
    <s v="Billers"/>
    <x v="39"/>
    <m/>
    <x v="6"/>
    <x v="0"/>
    <n v="5490000"/>
    <s v="count"/>
    <s v="5.49 M"/>
    <m/>
    <m/>
    <m/>
  </r>
  <r>
    <s v="2025-Q3"/>
    <x v="3"/>
    <n v="7"/>
    <s v="category"/>
    <s v="category_chart"/>
    <x v="2"/>
    <s v="Billers"/>
    <x v="40"/>
    <m/>
    <x v="6"/>
    <x v="0"/>
    <n v="46000000"/>
    <s v="JOD"/>
    <s v="46.00 M JOD"/>
    <m/>
    <m/>
    <s v="present on the Value chart only, not the Number chart - standard §12"/>
  </r>
  <r>
    <s v="2025-Q3"/>
    <x v="3"/>
    <n v="7"/>
    <s v="category"/>
    <s v="category_chart"/>
    <x v="2"/>
    <s v="Transactions"/>
    <x v="29"/>
    <m/>
    <x v="6"/>
    <x v="0"/>
    <n v="875000000"/>
    <s v="JOD"/>
    <s v="875.00 M JOD"/>
    <m/>
    <m/>
    <m/>
  </r>
  <r>
    <s v="2025-Q3"/>
    <x v="3"/>
    <n v="7"/>
    <s v="category"/>
    <s v="category_chart"/>
    <x v="2"/>
    <s v="Transactions"/>
    <x v="30"/>
    <m/>
    <x v="6"/>
    <x v="0"/>
    <n v="3200000000"/>
    <s v="JOD"/>
    <s v="3.20 B JOD"/>
    <m/>
    <m/>
    <m/>
  </r>
  <r>
    <s v="2025-Q3"/>
    <x v="3"/>
    <n v="7"/>
    <s v="category"/>
    <s v="category_chart"/>
    <x v="2"/>
    <s v="Billers"/>
    <x v="31"/>
    <m/>
    <x v="6"/>
    <x v="0"/>
    <n v="175400000"/>
    <s v="JOD"/>
    <s v="175.40 M JOD"/>
    <m/>
    <m/>
    <m/>
  </r>
  <r>
    <s v="2025-Q3"/>
    <x v="3"/>
    <n v="7"/>
    <s v="category"/>
    <s v="category_chart"/>
    <x v="2"/>
    <s v="Billers"/>
    <x v="32"/>
    <m/>
    <x v="6"/>
    <x v="0"/>
    <n v="143800000"/>
    <s v="JOD"/>
    <s v="143.80 M JOD"/>
    <m/>
    <m/>
    <m/>
  </r>
  <r>
    <s v="2025-Q3"/>
    <x v="3"/>
    <n v="7"/>
    <s v="category"/>
    <s v="category_chart"/>
    <x v="2"/>
    <s v="Billers"/>
    <x v="33"/>
    <m/>
    <x v="6"/>
    <x v="0"/>
    <n v="40400000"/>
    <s v="JOD"/>
    <s v="40.40 M JOD"/>
    <m/>
    <m/>
    <m/>
  </r>
  <r>
    <s v="2025-Q3"/>
    <x v="3"/>
    <n v="7"/>
    <s v="category"/>
    <s v="category_chart"/>
    <x v="2"/>
    <s v="Billers"/>
    <x v="34"/>
    <m/>
    <x v="6"/>
    <x v="0"/>
    <n v="2300000000"/>
    <s v="JOD"/>
    <s v="2.30 B JOD"/>
    <m/>
    <m/>
    <m/>
  </r>
  <r>
    <s v="2025-Q3"/>
    <x v="3"/>
    <n v="7"/>
    <s v="category"/>
    <s v="category_chart"/>
    <x v="2"/>
    <s v="Billers"/>
    <x v="35"/>
    <m/>
    <x v="6"/>
    <x v="0"/>
    <n v="100300000"/>
    <s v="JOD"/>
    <s v="100.30 M JOD"/>
    <m/>
    <m/>
    <m/>
  </r>
  <r>
    <s v="2025-Q3"/>
    <x v="3"/>
    <n v="7"/>
    <s v="category"/>
    <s v="category_chart"/>
    <x v="2"/>
    <s v="Billers"/>
    <x v="36"/>
    <m/>
    <x v="6"/>
    <x v="0"/>
    <n v="44000000"/>
    <s v="JOD"/>
    <s v="44.00 M JOD"/>
    <m/>
    <m/>
    <m/>
  </r>
  <r>
    <s v="2025-Q3"/>
    <x v="3"/>
    <n v="7"/>
    <s v="category"/>
    <s v="category_chart"/>
    <x v="2"/>
    <s v="Billers"/>
    <x v="37"/>
    <m/>
    <x v="6"/>
    <x v="0"/>
    <n v="21300000"/>
    <s v="JOD"/>
    <s v="21.30 M JOD"/>
    <m/>
    <m/>
    <m/>
  </r>
  <r>
    <s v="2025-Q3"/>
    <x v="3"/>
    <n v="7"/>
    <s v="category"/>
    <s v="category_chart"/>
    <x v="2"/>
    <s v="Billers"/>
    <x v="38"/>
    <m/>
    <x v="6"/>
    <x v="0"/>
    <n v="871300000"/>
    <s v="JOD"/>
    <s v="871.30 M JOD"/>
    <m/>
    <m/>
    <m/>
  </r>
  <r>
    <s v="2025-Q3"/>
    <x v="3"/>
    <n v="7"/>
    <s v="category"/>
    <s v="category_chart"/>
    <x v="2"/>
    <s v="Billers"/>
    <x v="39"/>
    <m/>
    <x v="6"/>
    <x v="0"/>
    <n v="261300000"/>
    <s v="JOD"/>
    <s v="261.30 M JOD"/>
    <m/>
    <m/>
    <m/>
  </r>
  <r>
    <s v="2025-Q3"/>
    <x v="3"/>
    <n v="7"/>
    <s v="chart_point"/>
    <s v="trend_chart"/>
    <x v="1"/>
    <s v="Transactions"/>
    <x v="14"/>
    <m/>
    <x v="4"/>
    <x v="1"/>
    <n v="17090000"/>
    <s v="count"/>
    <s v="17.09 M"/>
    <s v="TRUE"/>
    <s v="restated"/>
    <m/>
  </r>
  <r>
    <s v="2025-Q3"/>
    <x v="3"/>
    <n v="7"/>
    <s v="chart_point"/>
    <s v="trend_chart"/>
    <x v="1"/>
    <s v="Transactions"/>
    <x v="14"/>
    <m/>
    <x v="5"/>
    <x v="1"/>
    <n v="18420000"/>
    <s v="count"/>
    <s v="18.42 M"/>
    <s v="TRUE"/>
    <s v="restated"/>
    <m/>
  </r>
  <r>
    <s v="2025-Q3"/>
    <x v="3"/>
    <n v="7"/>
    <s v="chart_point"/>
    <s v="trend_chart"/>
    <x v="0"/>
    <s v="Users"/>
    <x v="14"/>
    <m/>
    <x v="4"/>
    <x v="1"/>
    <n v="4650000"/>
    <s v="count"/>
    <s v="4.65 M"/>
    <s v="TRUE"/>
    <s v="restated"/>
    <m/>
  </r>
  <r>
    <s v="2025-Q3"/>
    <x v="3"/>
    <n v="7"/>
    <s v="chart_point"/>
    <s v="trend_chart"/>
    <x v="0"/>
    <s v="Users"/>
    <x v="14"/>
    <m/>
    <x v="5"/>
    <x v="1"/>
    <n v="4760000"/>
    <s v="count"/>
    <s v="4.76 M"/>
    <s v="TRUE"/>
    <s v="restated"/>
    <m/>
  </r>
  <r>
    <s v="2025-Q3"/>
    <x v="3"/>
    <n v="7"/>
    <s v="chart_point"/>
    <s v="trend_chart"/>
    <x v="2"/>
    <s v="Transactions"/>
    <x v="14"/>
    <m/>
    <x v="4"/>
    <x v="1"/>
    <n v="3670000000"/>
    <s v="JOD"/>
    <s v="3.67 B JOD"/>
    <s v="TRUE"/>
    <s v="restated"/>
    <m/>
  </r>
  <r>
    <s v="2025-Q3"/>
    <x v="3"/>
    <n v="7"/>
    <s v="chart_point"/>
    <s v="trend_chart"/>
    <x v="2"/>
    <s v="Transactions"/>
    <x v="14"/>
    <m/>
    <x v="5"/>
    <x v="1"/>
    <n v="3830000000"/>
    <s v="JOD"/>
    <s v="3.83 B JOD"/>
    <s v="TRUE"/>
    <s v="restated"/>
    <m/>
  </r>
  <r>
    <s v="2025-Q3"/>
    <x v="3"/>
    <n v="7"/>
    <s v="kpi"/>
    <s v="stat_box"/>
    <x v="1"/>
    <s v="Transactions"/>
    <x v="14"/>
    <m/>
    <x v="6"/>
    <x v="0"/>
    <n v="19670000"/>
    <s v="count"/>
    <s v="19.67 M"/>
    <m/>
    <m/>
    <m/>
  </r>
  <r>
    <s v="2025-Q3"/>
    <x v="3"/>
    <n v="7"/>
    <s v="kpi"/>
    <s v="stat_box"/>
    <x v="0"/>
    <s v="Users"/>
    <x v="14"/>
    <m/>
    <x v="6"/>
    <x v="0"/>
    <n v="4900000"/>
    <s v="count"/>
    <s v="4.90 M"/>
    <m/>
    <m/>
    <m/>
  </r>
  <r>
    <s v="2025-Q3"/>
    <x v="3"/>
    <n v="7"/>
    <s v="kpi"/>
    <s v="stat_box"/>
    <x v="2"/>
    <s v="Transactions"/>
    <x v="14"/>
    <m/>
    <x v="6"/>
    <x v="0"/>
    <n v="4070000000"/>
    <s v="JOD"/>
    <s v="4.07 B JOD"/>
    <m/>
    <m/>
    <m/>
  </r>
  <r>
    <s v="2025-Q4"/>
    <x v="3"/>
    <n v="7"/>
    <s v="category"/>
    <s v="category_chart"/>
    <x v="1"/>
    <s v="Billers"/>
    <x v="28"/>
    <m/>
    <x v="7"/>
    <x v="0"/>
    <n v="110000"/>
    <s v="count"/>
    <s v="110.0 K"/>
    <m/>
    <m/>
    <s v="present on the Number chart only, not the Value chart - standard §12"/>
  </r>
  <r>
    <s v="2025-Q4"/>
    <x v="3"/>
    <n v="7"/>
    <s v="category"/>
    <s v="category_chart"/>
    <x v="1"/>
    <s v="Transactions"/>
    <x v="29"/>
    <m/>
    <x v="7"/>
    <x v="0"/>
    <n v="4000000"/>
    <s v="count"/>
    <s v="4.00 M"/>
    <m/>
    <m/>
    <m/>
  </r>
  <r>
    <s v="2025-Q4"/>
    <x v="3"/>
    <n v="7"/>
    <s v="category"/>
    <s v="category_chart"/>
    <x v="1"/>
    <s v="Transactions"/>
    <x v="30"/>
    <m/>
    <x v="7"/>
    <x v="0"/>
    <n v="16000000"/>
    <s v="count"/>
    <s v="16.00 M"/>
    <m/>
    <m/>
    <m/>
  </r>
  <r>
    <s v="2025-Q4"/>
    <x v="3"/>
    <n v="7"/>
    <s v="category"/>
    <s v="category_chart"/>
    <x v="1"/>
    <s v="Billers"/>
    <x v="31"/>
    <m/>
    <x v="7"/>
    <x v="0"/>
    <n v="360000"/>
    <s v="count"/>
    <s v="360.0 K"/>
    <m/>
    <m/>
    <m/>
  </r>
  <r>
    <s v="2025-Q4"/>
    <x v="3"/>
    <n v="7"/>
    <s v="category"/>
    <s v="category_chart"/>
    <x v="1"/>
    <s v="Billers"/>
    <x v="32"/>
    <m/>
    <x v="7"/>
    <x v="0"/>
    <n v="970000"/>
    <s v="count"/>
    <s v="970.0 K"/>
    <m/>
    <m/>
    <m/>
  </r>
  <r>
    <s v="2025-Q4"/>
    <x v="3"/>
    <n v="7"/>
    <s v="category"/>
    <s v="category_chart"/>
    <x v="1"/>
    <s v="Billers"/>
    <x v="33"/>
    <m/>
    <x v="7"/>
    <x v="0"/>
    <n v="110000"/>
    <s v="count"/>
    <s v="110.0 K"/>
    <m/>
    <m/>
    <m/>
  </r>
  <r>
    <s v="2025-Q4"/>
    <x v="3"/>
    <n v="7"/>
    <s v="category"/>
    <s v="category_chart"/>
    <x v="1"/>
    <s v="Billers"/>
    <x v="34"/>
    <m/>
    <x v="7"/>
    <x v="0"/>
    <n v="4410000"/>
    <s v="count"/>
    <s v="4.41 M"/>
    <m/>
    <m/>
    <m/>
  </r>
  <r>
    <s v="2025-Q4"/>
    <x v="3"/>
    <n v="7"/>
    <s v="category"/>
    <s v="category_chart"/>
    <x v="1"/>
    <s v="Billers"/>
    <x v="35"/>
    <m/>
    <x v="7"/>
    <x v="0"/>
    <n v="6320000"/>
    <s v="count"/>
    <s v="6.32 M"/>
    <m/>
    <m/>
    <m/>
  </r>
  <r>
    <s v="2025-Q4"/>
    <x v="3"/>
    <n v="7"/>
    <s v="category"/>
    <s v="category_chart"/>
    <x v="1"/>
    <s v="Billers"/>
    <x v="36"/>
    <m/>
    <x v="7"/>
    <x v="0"/>
    <n v="140000"/>
    <s v="count"/>
    <s v="140.0 K"/>
    <m/>
    <m/>
    <m/>
  </r>
  <r>
    <s v="2025-Q4"/>
    <x v="3"/>
    <n v="7"/>
    <s v="category"/>
    <s v="category_chart"/>
    <x v="1"/>
    <s v="Billers"/>
    <x v="37"/>
    <m/>
    <x v="7"/>
    <x v="0"/>
    <n v="180000"/>
    <s v="count"/>
    <s v="180.0 K"/>
    <m/>
    <m/>
    <m/>
  </r>
  <r>
    <s v="2025-Q4"/>
    <x v="3"/>
    <n v="7"/>
    <s v="category"/>
    <s v="category_chart"/>
    <x v="1"/>
    <s v="Billers"/>
    <x v="38"/>
    <m/>
    <x v="7"/>
    <x v="0"/>
    <n v="1740000"/>
    <s v="count"/>
    <s v="1.74 M"/>
    <m/>
    <m/>
    <m/>
  </r>
  <r>
    <s v="2025-Q4"/>
    <x v="3"/>
    <n v="7"/>
    <s v="category"/>
    <s v="category_chart"/>
    <x v="1"/>
    <s v="Billers"/>
    <x v="39"/>
    <m/>
    <x v="7"/>
    <x v="0"/>
    <n v="5650000"/>
    <s v="count"/>
    <s v="5.65 M"/>
    <m/>
    <m/>
    <m/>
  </r>
  <r>
    <s v="2025-Q4"/>
    <x v="3"/>
    <n v="7"/>
    <s v="category"/>
    <s v="category_chart"/>
    <x v="2"/>
    <s v="Billers"/>
    <x v="40"/>
    <m/>
    <x v="7"/>
    <x v="0"/>
    <n v="53100000"/>
    <s v="JOD"/>
    <s v="53.10 M JOD"/>
    <m/>
    <m/>
    <s v="present on the Value chart only, not the Number chart - standard §12"/>
  </r>
  <r>
    <s v="2025-Q4"/>
    <x v="3"/>
    <n v="7"/>
    <s v="category"/>
    <s v="category_chart"/>
    <x v="2"/>
    <s v="Transactions"/>
    <x v="29"/>
    <m/>
    <x v="7"/>
    <x v="0"/>
    <n v="1100000000"/>
    <s v="JOD"/>
    <s v="1.10 B JOD"/>
    <m/>
    <m/>
    <m/>
  </r>
  <r>
    <s v="2025-Q4"/>
    <x v="3"/>
    <n v="7"/>
    <s v="category"/>
    <s v="category_chart"/>
    <x v="2"/>
    <s v="Transactions"/>
    <x v="30"/>
    <m/>
    <x v="7"/>
    <x v="0"/>
    <n v="3300000000"/>
    <s v="JOD"/>
    <s v="3.30 B JOD"/>
    <m/>
    <m/>
    <m/>
  </r>
  <r>
    <s v="2025-Q4"/>
    <x v="3"/>
    <n v="7"/>
    <s v="category"/>
    <s v="category_chart"/>
    <x v="2"/>
    <s v="Billers"/>
    <x v="31"/>
    <m/>
    <x v="7"/>
    <x v="0"/>
    <n v="91500000"/>
    <s v="JOD"/>
    <s v="91.50 M JOD"/>
    <m/>
    <m/>
    <m/>
  </r>
  <r>
    <s v="2025-Q4"/>
    <x v="3"/>
    <n v="7"/>
    <s v="category"/>
    <s v="category_chart"/>
    <x v="2"/>
    <s v="Billers"/>
    <x v="32"/>
    <m/>
    <x v="7"/>
    <x v="0"/>
    <n v="169600000"/>
    <s v="JOD"/>
    <s v="169.60 M JOD"/>
    <m/>
    <m/>
    <m/>
  </r>
  <r>
    <s v="2025-Q4"/>
    <x v="3"/>
    <n v="7"/>
    <s v="category"/>
    <s v="category_chart"/>
    <x v="2"/>
    <s v="Billers"/>
    <x v="33"/>
    <m/>
    <x v="7"/>
    <x v="0"/>
    <n v="45100000"/>
    <s v="JOD"/>
    <s v="45.10 M JOD"/>
    <m/>
    <m/>
    <m/>
  </r>
  <r>
    <s v="2025-Q4"/>
    <x v="3"/>
    <n v="7"/>
    <s v="category"/>
    <s v="category_chart"/>
    <x v="2"/>
    <s v="Billers"/>
    <x v="34"/>
    <m/>
    <x v="7"/>
    <x v="0"/>
    <n v="2500000000"/>
    <s v="JOD"/>
    <s v="2.50 B JOD"/>
    <m/>
    <m/>
    <m/>
  </r>
  <r>
    <s v="2025-Q4"/>
    <x v="3"/>
    <n v="7"/>
    <s v="category"/>
    <s v="category_chart"/>
    <x v="2"/>
    <s v="Billers"/>
    <x v="35"/>
    <m/>
    <x v="7"/>
    <x v="0"/>
    <n v="103400000"/>
    <s v="JOD"/>
    <s v="103.40 M JOD"/>
    <m/>
    <m/>
    <m/>
  </r>
  <r>
    <s v="2025-Q4"/>
    <x v="3"/>
    <n v="7"/>
    <s v="category"/>
    <s v="category_chart"/>
    <x v="2"/>
    <s v="Billers"/>
    <x v="36"/>
    <m/>
    <x v="7"/>
    <x v="0"/>
    <n v="41000000"/>
    <s v="JOD"/>
    <s v="41.00 M JOD"/>
    <m/>
    <m/>
    <m/>
  </r>
  <r>
    <s v="2025-Q4"/>
    <x v="3"/>
    <n v="7"/>
    <s v="category"/>
    <s v="category_chart"/>
    <x v="2"/>
    <s v="Billers"/>
    <x v="37"/>
    <m/>
    <x v="7"/>
    <x v="0"/>
    <n v="17800000"/>
    <s v="JOD"/>
    <s v="17.80 M JOD"/>
    <m/>
    <m/>
    <m/>
  </r>
  <r>
    <s v="2025-Q4"/>
    <x v="3"/>
    <n v="7"/>
    <s v="category"/>
    <s v="category_chart"/>
    <x v="2"/>
    <s v="Billers"/>
    <x v="38"/>
    <m/>
    <x v="7"/>
    <x v="0"/>
    <n v="1100000000"/>
    <s v="JOD"/>
    <s v="1.10 B JOD"/>
    <m/>
    <m/>
    <m/>
  </r>
  <r>
    <s v="2025-Q4"/>
    <x v="3"/>
    <n v="7"/>
    <s v="category"/>
    <s v="category_chart"/>
    <x v="2"/>
    <s v="Billers"/>
    <x v="39"/>
    <m/>
    <x v="7"/>
    <x v="0"/>
    <n v="231000000"/>
    <s v="JOD"/>
    <s v="231.00 M JOD"/>
    <m/>
    <m/>
    <m/>
  </r>
  <r>
    <s v="2025-Q4"/>
    <x v="3"/>
    <n v="7"/>
    <s v="chart_point"/>
    <s v="trend_chart"/>
    <x v="1"/>
    <s v="Transactions"/>
    <x v="14"/>
    <m/>
    <x v="4"/>
    <x v="1"/>
    <n v="17090000"/>
    <s v="count"/>
    <s v="17.09 M"/>
    <s v="TRUE"/>
    <s v="restated"/>
    <m/>
  </r>
  <r>
    <s v="2025-Q4"/>
    <x v="3"/>
    <n v="7"/>
    <s v="chart_point"/>
    <s v="trend_chart"/>
    <x v="1"/>
    <s v="Transactions"/>
    <x v="14"/>
    <m/>
    <x v="5"/>
    <x v="1"/>
    <n v="18420000"/>
    <s v="count"/>
    <s v="18.42 M"/>
    <s v="TRUE"/>
    <s v="restated"/>
    <m/>
  </r>
  <r>
    <s v="2025-Q4"/>
    <x v="3"/>
    <n v="7"/>
    <s v="chart_point"/>
    <s v="trend_chart"/>
    <x v="1"/>
    <s v="Transactions"/>
    <x v="14"/>
    <m/>
    <x v="6"/>
    <x v="1"/>
    <n v="19670000"/>
    <s v="count"/>
    <s v="19.67 M"/>
    <s v="TRUE"/>
    <s v="restated"/>
    <m/>
  </r>
  <r>
    <s v="2025-Q4"/>
    <x v="3"/>
    <n v="7"/>
    <s v="chart_point"/>
    <s v="trend_chart"/>
    <x v="0"/>
    <s v="Users"/>
    <x v="14"/>
    <m/>
    <x v="4"/>
    <x v="1"/>
    <n v="4650000"/>
    <s v="count"/>
    <s v="4.65 M"/>
    <s v="TRUE"/>
    <s v="restated"/>
    <m/>
  </r>
  <r>
    <s v="2025-Q4"/>
    <x v="3"/>
    <n v="7"/>
    <s v="chart_point"/>
    <s v="trend_chart"/>
    <x v="0"/>
    <s v="Users"/>
    <x v="14"/>
    <m/>
    <x v="5"/>
    <x v="1"/>
    <n v="4760000"/>
    <s v="count"/>
    <s v="4.76 M"/>
    <s v="TRUE"/>
    <s v="restated"/>
    <m/>
  </r>
  <r>
    <s v="2025-Q4"/>
    <x v="3"/>
    <n v="7"/>
    <s v="chart_point"/>
    <s v="trend_chart"/>
    <x v="0"/>
    <s v="Users"/>
    <x v="14"/>
    <m/>
    <x v="6"/>
    <x v="1"/>
    <n v="4900000"/>
    <s v="count"/>
    <s v="4.90 M"/>
    <s v="TRUE"/>
    <s v="restated"/>
    <m/>
  </r>
  <r>
    <s v="2025-Q4"/>
    <x v="3"/>
    <n v="7"/>
    <s v="chart_point"/>
    <s v="trend_chart"/>
    <x v="2"/>
    <s v="Transactions"/>
    <x v="14"/>
    <m/>
    <x v="4"/>
    <x v="1"/>
    <n v="3670000000"/>
    <s v="JOD"/>
    <s v="3.67 B JOD"/>
    <s v="TRUE"/>
    <s v="restated"/>
    <m/>
  </r>
  <r>
    <s v="2025-Q4"/>
    <x v="3"/>
    <n v="7"/>
    <s v="chart_point"/>
    <s v="trend_chart"/>
    <x v="2"/>
    <s v="Transactions"/>
    <x v="14"/>
    <m/>
    <x v="5"/>
    <x v="1"/>
    <n v="3830000000"/>
    <s v="JOD"/>
    <s v="3.83 B JOD"/>
    <s v="TRUE"/>
    <s v="restated"/>
    <m/>
  </r>
  <r>
    <s v="2025-Q4"/>
    <x v="3"/>
    <n v="7"/>
    <s v="chart_point"/>
    <s v="trend_chart"/>
    <x v="2"/>
    <s v="Transactions"/>
    <x v="14"/>
    <m/>
    <x v="6"/>
    <x v="1"/>
    <n v="4070000000"/>
    <s v="JOD"/>
    <s v="4.07 B JOD"/>
    <s v="TRUE"/>
    <s v="restated"/>
    <m/>
  </r>
  <r>
    <s v="2025-Q4"/>
    <x v="3"/>
    <n v="7"/>
    <s v="kpi"/>
    <s v="stat_box"/>
    <x v="1"/>
    <s v="Transactions"/>
    <x v="14"/>
    <m/>
    <x v="7"/>
    <x v="0"/>
    <n v="20240000"/>
    <s v="count"/>
    <s v="20.24 M"/>
    <m/>
    <m/>
    <m/>
  </r>
  <r>
    <s v="2025-Q4"/>
    <x v="3"/>
    <n v="7"/>
    <s v="kpi"/>
    <s v="stat_box"/>
    <x v="0"/>
    <s v="Users"/>
    <x v="14"/>
    <m/>
    <x v="7"/>
    <x v="0"/>
    <n v="5040000"/>
    <s v="count"/>
    <s v="5.04 M"/>
    <m/>
    <m/>
    <m/>
  </r>
  <r>
    <s v="2025-Q4"/>
    <x v="3"/>
    <n v="7"/>
    <s v="kpi"/>
    <s v="stat_box"/>
    <x v="2"/>
    <s v="Transactions"/>
    <x v="14"/>
    <m/>
    <x v="7"/>
    <x v="0"/>
    <n v="4420000000"/>
    <s v="JOD"/>
    <s v="4.42 B JOD"/>
    <m/>
    <m/>
    <m/>
  </r>
  <r>
    <s v="2026-Q1"/>
    <x v="3"/>
    <n v="7"/>
    <s v="category"/>
    <s v="category_chart"/>
    <x v="1"/>
    <s v="Billers"/>
    <x v="28"/>
    <m/>
    <x v="8"/>
    <x v="0"/>
    <n v="160000"/>
    <s v="count"/>
    <s v="160.0 K"/>
    <m/>
    <m/>
    <s v="present on the Number chart only, not the Value chart - standard §12"/>
  </r>
  <r>
    <s v="2026-Q1"/>
    <x v="3"/>
    <n v="7"/>
    <s v="category"/>
    <s v="category_chart"/>
    <x v="1"/>
    <s v="Transactions"/>
    <x v="29"/>
    <m/>
    <x v="8"/>
    <x v="0"/>
    <n v="3700000"/>
    <s v="count"/>
    <s v="3.70 M"/>
    <m/>
    <m/>
    <m/>
  </r>
  <r>
    <s v="2026-Q1"/>
    <x v="3"/>
    <n v="7"/>
    <s v="category"/>
    <s v="category_chart"/>
    <x v="1"/>
    <s v="Transactions"/>
    <x v="30"/>
    <m/>
    <x v="8"/>
    <x v="0"/>
    <n v="16700000"/>
    <s v="count"/>
    <s v="16.70 M"/>
    <m/>
    <m/>
    <m/>
  </r>
  <r>
    <s v="2026-Q1"/>
    <x v="3"/>
    <n v="7"/>
    <s v="category"/>
    <s v="category_chart"/>
    <x v="1"/>
    <s v="Billers"/>
    <x v="31"/>
    <m/>
    <x v="8"/>
    <x v="0"/>
    <n v="470000"/>
    <s v="count"/>
    <s v="470.0 K"/>
    <m/>
    <m/>
    <m/>
  </r>
  <r>
    <s v="2026-Q1"/>
    <x v="3"/>
    <n v="7"/>
    <s v="category"/>
    <s v="category_chart"/>
    <x v="1"/>
    <s v="Billers"/>
    <x v="32"/>
    <m/>
    <x v="8"/>
    <x v="0"/>
    <n v="950000"/>
    <s v="count"/>
    <s v="950.0 K"/>
    <m/>
    <m/>
    <m/>
  </r>
  <r>
    <s v="2026-Q1"/>
    <x v="3"/>
    <n v="7"/>
    <s v="category"/>
    <s v="category_chart"/>
    <x v="1"/>
    <s v="Billers"/>
    <x v="33"/>
    <m/>
    <x v="8"/>
    <x v="0"/>
    <n v="110000"/>
    <s v="count"/>
    <s v="110.0 K"/>
    <m/>
    <m/>
    <m/>
  </r>
  <r>
    <s v="2026-Q1"/>
    <x v="3"/>
    <n v="7"/>
    <s v="category"/>
    <s v="category_chart"/>
    <x v="1"/>
    <s v="Billers"/>
    <x v="34"/>
    <m/>
    <x v="8"/>
    <x v="0"/>
    <n v="4590000"/>
    <s v="count"/>
    <s v="4.59 M"/>
    <m/>
    <m/>
    <m/>
  </r>
  <r>
    <s v="2026-Q1"/>
    <x v="3"/>
    <n v="7"/>
    <s v="category"/>
    <s v="category_chart"/>
    <x v="1"/>
    <s v="Billers"/>
    <x v="35"/>
    <m/>
    <x v="8"/>
    <x v="0"/>
    <n v="6310000"/>
    <s v="count"/>
    <s v="6.31 M"/>
    <m/>
    <m/>
    <m/>
  </r>
  <r>
    <s v="2026-Q1"/>
    <x v="3"/>
    <n v="7"/>
    <s v="category"/>
    <s v="category_chart"/>
    <x v="1"/>
    <s v="Billers"/>
    <x v="36"/>
    <m/>
    <x v="8"/>
    <x v="0"/>
    <n v="80000"/>
    <s v="count"/>
    <s v="80.0 K"/>
    <m/>
    <m/>
    <m/>
  </r>
  <r>
    <s v="2026-Q1"/>
    <x v="3"/>
    <n v="7"/>
    <s v="category"/>
    <s v="category_chart"/>
    <x v="1"/>
    <s v="Billers"/>
    <x v="37"/>
    <m/>
    <x v="8"/>
    <x v="0"/>
    <n v="160000"/>
    <s v="count"/>
    <s v="160.0 K"/>
    <m/>
    <m/>
    <m/>
  </r>
  <r>
    <s v="2026-Q1"/>
    <x v="3"/>
    <n v="7"/>
    <s v="category"/>
    <s v="category_chart"/>
    <x v="1"/>
    <s v="Billers"/>
    <x v="38"/>
    <m/>
    <x v="8"/>
    <x v="0"/>
    <n v="1680000"/>
    <s v="count"/>
    <s v="1.68 M"/>
    <m/>
    <m/>
    <m/>
  </r>
  <r>
    <s v="2026-Q1"/>
    <x v="3"/>
    <n v="7"/>
    <s v="category"/>
    <s v="category_chart"/>
    <x v="1"/>
    <s v="Billers"/>
    <x v="39"/>
    <m/>
    <x v="8"/>
    <x v="0"/>
    <n v="5680000"/>
    <s v="count"/>
    <s v="5.68 M"/>
    <m/>
    <m/>
    <m/>
  </r>
  <r>
    <s v="2026-Q1"/>
    <x v="3"/>
    <n v="7"/>
    <s v="category"/>
    <s v="category_chart"/>
    <x v="2"/>
    <s v="Billers"/>
    <x v="40"/>
    <m/>
    <x v="8"/>
    <x v="0"/>
    <n v="52200000"/>
    <s v="JOD"/>
    <s v="52.20 M JOD"/>
    <m/>
    <m/>
    <s v="present on the Value chart only, not the Number chart - standard §12"/>
  </r>
  <r>
    <s v="2026-Q1"/>
    <x v="3"/>
    <n v="7"/>
    <s v="category"/>
    <s v="category_chart"/>
    <x v="2"/>
    <s v="Transactions"/>
    <x v="29"/>
    <m/>
    <x v="8"/>
    <x v="0"/>
    <n v="568000000"/>
    <s v="JOD"/>
    <s v="568.00 M JOD"/>
    <m/>
    <m/>
    <m/>
  </r>
  <r>
    <s v="2026-Q1"/>
    <x v="3"/>
    <n v="7"/>
    <s v="category"/>
    <s v="category_chart"/>
    <x v="2"/>
    <s v="Transactions"/>
    <x v="30"/>
    <m/>
    <x v="8"/>
    <x v="0"/>
    <n v="3300000000"/>
    <s v="JOD"/>
    <s v="3.30 B JOD"/>
    <m/>
    <m/>
    <m/>
  </r>
  <r>
    <s v="2026-Q1"/>
    <x v="3"/>
    <n v="7"/>
    <s v="category"/>
    <s v="category_chart"/>
    <x v="2"/>
    <s v="Billers"/>
    <x v="31"/>
    <m/>
    <x v="8"/>
    <x v="0"/>
    <n v="134500000"/>
    <s v="JOD"/>
    <s v="134.50 M JOD"/>
    <m/>
    <m/>
    <m/>
  </r>
  <r>
    <s v="2026-Q1"/>
    <x v="3"/>
    <n v="7"/>
    <s v="category"/>
    <s v="category_chart"/>
    <x v="2"/>
    <s v="Billers"/>
    <x v="32"/>
    <m/>
    <x v="8"/>
    <x v="0"/>
    <n v="187200000"/>
    <s v="JOD"/>
    <s v="187.20 M JOD"/>
    <m/>
    <m/>
    <m/>
  </r>
  <r>
    <s v="2026-Q1"/>
    <x v="3"/>
    <n v="7"/>
    <s v="category"/>
    <s v="category_chart"/>
    <x v="2"/>
    <s v="Billers"/>
    <x v="33"/>
    <m/>
    <x v="8"/>
    <x v="0"/>
    <n v="49200000"/>
    <s v="JOD"/>
    <s v="49.20 M JOD"/>
    <m/>
    <m/>
    <m/>
  </r>
  <r>
    <s v="2026-Q1"/>
    <x v="3"/>
    <n v="7"/>
    <s v="category"/>
    <s v="category_chart"/>
    <x v="2"/>
    <s v="Billers"/>
    <x v="34"/>
    <m/>
    <x v="8"/>
    <x v="0"/>
    <n v="2500000000"/>
    <s v="JOD"/>
    <s v="2.50 B JOD"/>
    <m/>
    <m/>
    <m/>
  </r>
  <r>
    <s v="2026-Q1"/>
    <x v="3"/>
    <n v="7"/>
    <s v="category"/>
    <s v="category_chart"/>
    <x v="2"/>
    <s v="Billers"/>
    <x v="35"/>
    <m/>
    <x v="8"/>
    <x v="0"/>
    <n v="103600000"/>
    <s v="JOD"/>
    <s v="103.60 M JOD"/>
    <m/>
    <m/>
    <m/>
  </r>
  <r>
    <s v="2026-Q1"/>
    <x v="3"/>
    <n v="7"/>
    <s v="category"/>
    <s v="category_chart"/>
    <x v="2"/>
    <s v="Billers"/>
    <x v="36"/>
    <m/>
    <x v="8"/>
    <x v="0"/>
    <n v="36000000"/>
    <s v="JOD"/>
    <s v="36.00 M JOD"/>
    <m/>
    <m/>
    <m/>
  </r>
  <r>
    <s v="2026-Q1"/>
    <x v="3"/>
    <n v="7"/>
    <s v="category"/>
    <s v="category_chart"/>
    <x v="2"/>
    <s v="Billers"/>
    <x v="37"/>
    <m/>
    <x v="8"/>
    <x v="0"/>
    <n v="18800000"/>
    <s v="JOD"/>
    <s v="18.80 M JOD"/>
    <m/>
    <m/>
    <m/>
  </r>
  <r>
    <s v="2026-Q1"/>
    <x v="3"/>
    <n v="7"/>
    <s v="category"/>
    <s v="category_chart"/>
    <x v="2"/>
    <s v="Billers"/>
    <x v="38"/>
    <m/>
    <x v="8"/>
    <x v="0"/>
    <n v="566400000"/>
    <s v="JOD"/>
    <s v="566.40 M JOD"/>
    <m/>
    <m/>
    <m/>
  </r>
  <r>
    <s v="2026-Q1"/>
    <x v="3"/>
    <n v="7"/>
    <s v="category"/>
    <s v="category_chart"/>
    <x v="2"/>
    <s v="Billers"/>
    <x v="39"/>
    <m/>
    <x v="8"/>
    <x v="0"/>
    <n v="249300000"/>
    <s v="JOD"/>
    <s v="249.30 M JOD"/>
    <m/>
    <m/>
    <m/>
  </r>
  <r>
    <s v="2026-Q1"/>
    <x v="3"/>
    <n v="7"/>
    <s v="chart_point"/>
    <s v="trend_chart"/>
    <x v="1"/>
    <s v="Transactions"/>
    <x v="14"/>
    <m/>
    <x v="7"/>
    <x v="1"/>
    <n v="20240000"/>
    <s v="count"/>
    <s v="20.24 M"/>
    <s v="TRUE"/>
    <s v="restated"/>
    <m/>
  </r>
  <r>
    <s v="2026-Q1"/>
    <x v="3"/>
    <n v="7"/>
    <s v="chart_point"/>
    <s v="trend_chart"/>
    <x v="0"/>
    <s v="Users"/>
    <x v="14"/>
    <m/>
    <x v="7"/>
    <x v="1"/>
    <n v="5040000"/>
    <s v="count"/>
    <s v="5.04 M"/>
    <s v="TRUE"/>
    <s v="restated"/>
    <m/>
  </r>
  <r>
    <s v="2026-Q1"/>
    <x v="3"/>
    <n v="7"/>
    <s v="chart_point"/>
    <s v="trend_chart"/>
    <x v="2"/>
    <s v="Transactions"/>
    <x v="14"/>
    <m/>
    <x v="7"/>
    <x v="1"/>
    <n v="4420000000"/>
    <s v="JOD"/>
    <s v="4.42 B JOD"/>
    <s v="TRUE"/>
    <s v="restated"/>
    <m/>
  </r>
  <r>
    <s v="2026-Q1"/>
    <x v="3"/>
    <n v="7"/>
    <s v="kpi"/>
    <s v="stat_box"/>
    <x v="1"/>
    <s v="Transactions"/>
    <x v="14"/>
    <m/>
    <x v="8"/>
    <x v="0"/>
    <n v="20470000"/>
    <s v="count"/>
    <s v="20.47 M"/>
    <m/>
    <m/>
    <m/>
  </r>
  <r>
    <s v="2026-Q1"/>
    <x v="3"/>
    <n v="7"/>
    <s v="kpi"/>
    <s v="stat_box"/>
    <x v="0"/>
    <s v="Users"/>
    <x v="14"/>
    <m/>
    <x v="8"/>
    <x v="0"/>
    <n v="5170000"/>
    <s v="count"/>
    <s v="5.17 M"/>
    <m/>
    <m/>
    <m/>
  </r>
  <r>
    <s v="2026-Q1"/>
    <x v="3"/>
    <n v="7"/>
    <s v="kpi"/>
    <s v="stat_box"/>
    <x v="2"/>
    <s v="Transactions"/>
    <x v="14"/>
    <m/>
    <x v="8"/>
    <x v="0"/>
    <n v="3890000000"/>
    <s v="JOD"/>
    <s v="3.89 B JOD"/>
    <m/>
    <m/>
    <m/>
  </r>
  <r>
    <s v="2026-Q2"/>
    <x v="3"/>
    <n v="7"/>
    <s v="category"/>
    <s v="category_chart"/>
    <x v="1"/>
    <s v="Billers"/>
    <x v="28"/>
    <m/>
    <x v="9"/>
    <x v="0"/>
    <n v="110000"/>
    <s v="count"/>
    <s v="110.0 K"/>
    <m/>
    <m/>
    <s v="present on the Number chart only, not the Value chart - standard §12"/>
  </r>
  <r>
    <s v="2026-Q2"/>
    <x v="3"/>
    <n v="7"/>
    <s v="category"/>
    <s v="category_chart"/>
    <x v="1"/>
    <s v="Transactions"/>
    <x v="29"/>
    <m/>
    <x v="9"/>
    <x v="0"/>
    <n v="3600000"/>
    <s v="count"/>
    <s v="3.60 M"/>
    <m/>
    <m/>
    <m/>
  </r>
  <r>
    <s v="2026-Q2"/>
    <x v="3"/>
    <n v="7"/>
    <s v="category"/>
    <s v="category_chart"/>
    <x v="1"/>
    <s v="Transactions"/>
    <x v="30"/>
    <m/>
    <x v="9"/>
    <x v="0"/>
    <n v="16900000"/>
    <s v="count"/>
    <s v="16.90 M"/>
    <m/>
    <m/>
    <m/>
  </r>
  <r>
    <s v="2026-Q2"/>
    <x v="3"/>
    <n v="7"/>
    <s v="category"/>
    <s v="category_chart"/>
    <x v="1"/>
    <s v="Billers"/>
    <x v="31"/>
    <m/>
    <x v="9"/>
    <x v="0"/>
    <n v="340000"/>
    <s v="count"/>
    <s v="340.0 K"/>
    <m/>
    <m/>
    <m/>
  </r>
  <r>
    <s v="2026-Q2"/>
    <x v="3"/>
    <n v="7"/>
    <s v="category"/>
    <s v="category_chart"/>
    <x v="1"/>
    <s v="Billers"/>
    <x v="32"/>
    <m/>
    <x v="9"/>
    <x v="0"/>
    <n v="940000"/>
    <s v="count"/>
    <s v="940.0 K"/>
    <m/>
    <m/>
    <m/>
  </r>
  <r>
    <s v="2026-Q2"/>
    <x v="3"/>
    <n v="7"/>
    <s v="category"/>
    <s v="category_chart"/>
    <x v="1"/>
    <s v="Billers"/>
    <x v="33"/>
    <m/>
    <x v="9"/>
    <x v="0"/>
    <n v="110000"/>
    <s v="count"/>
    <s v="110.0 K"/>
    <m/>
    <m/>
    <m/>
  </r>
  <r>
    <s v="2026-Q2"/>
    <x v="3"/>
    <n v="7"/>
    <s v="category"/>
    <s v="category_chart"/>
    <x v="1"/>
    <s v="Billers"/>
    <x v="34"/>
    <m/>
    <x v="9"/>
    <x v="0"/>
    <n v="4430000"/>
    <s v="count"/>
    <s v="4.43 M"/>
    <m/>
    <m/>
    <m/>
  </r>
  <r>
    <s v="2026-Q2"/>
    <x v="3"/>
    <n v="7"/>
    <s v="category"/>
    <s v="category_chart"/>
    <x v="1"/>
    <s v="Billers"/>
    <x v="35"/>
    <m/>
    <x v="9"/>
    <x v="0"/>
    <n v="6530000"/>
    <s v="count"/>
    <s v="6.53 M"/>
    <m/>
    <m/>
    <m/>
  </r>
  <r>
    <s v="2026-Q2"/>
    <x v="3"/>
    <n v="7"/>
    <s v="category"/>
    <s v="category_chart"/>
    <x v="1"/>
    <s v="Billers"/>
    <x v="36"/>
    <m/>
    <x v="9"/>
    <x v="0"/>
    <n v="90000"/>
    <s v="count"/>
    <s v="90.0 K"/>
    <m/>
    <m/>
    <m/>
  </r>
  <r>
    <s v="2026-Q2"/>
    <x v="3"/>
    <n v="7"/>
    <s v="category"/>
    <s v="category_chart"/>
    <x v="1"/>
    <s v="Billers"/>
    <x v="37"/>
    <m/>
    <x v="9"/>
    <x v="0"/>
    <n v="170000"/>
    <s v="count"/>
    <s v="170.0 K"/>
    <m/>
    <m/>
    <m/>
  </r>
  <r>
    <s v="2026-Q2"/>
    <x v="3"/>
    <n v="7"/>
    <s v="category"/>
    <s v="category_chart"/>
    <x v="1"/>
    <s v="Billers"/>
    <x v="38"/>
    <m/>
    <x v="9"/>
    <x v="0"/>
    <n v="1690000"/>
    <s v="count"/>
    <s v="1.69 M"/>
    <m/>
    <m/>
    <m/>
  </r>
  <r>
    <s v="2026-Q2"/>
    <x v="3"/>
    <n v="7"/>
    <s v="category"/>
    <s v="category_chart"/>
    <x v="1"/>
    <s v="Billers"/>
    <x v="39"/>
    <m/>
    <x v="9"/>
    <x v="0"/>
    <n v="5820000"/>
    <s v="count"/>
    <s v="5.82 M"/>
    <m/>
    <m/>
    <m/>
  </r>
  <r>
    <s v="2026-Q2"/>
    <x v="3"/>
    <n v="7"/>
    <s v="category"/>
    <s v="category_chart"/>
    <x v="2"/>
    <s v="Billers"/>
    <x v="40"/>
    <m/>
    <x v="9"/>
    <x v="0"/>
    <n v="51300000"/>
    <s v="JOD"/>
    <s v="51.30 M JOD"/>
    <m/>
    <m/>
    <s v="present on the Value chart only, not the Number chart - standard §12"/>
  </r>
  <r>
    <s v="2026-Q2"/>
    <x v="3"/>
    <n v="7"/>
    <s v="category"/>
    <s v="category_chart"/>
    <x v="2"/>
    <s v="Transactions"/>
    <x v="29"/>
    <m/>
    <x v="9"/>
    <x v="0"/>
    <n v="459000000"/>
    <s v="JOD"/>
    <s v="459.00 M JOD"/>
    <m/>
    <m/>
    <m/>
  </r>
  <r>
    <s v="2026-Q2"/>
    <x v="3"/>
    <n v="7"/>
    <s v="category"/>
    <s v="category_chart"/>
    <x v="2"/>
    <s v="Transactions"/>
    <x v="30"/>
    <m/>
    <x v="9"/>
    <x v="0"/>
    <n v="3400000000"/>
    <s v="JOD"/>
    <s v="3.40 B JOD"/>
    <m/>
    <m/>
    <m/>
  </r>
  <r>
    <s v="2026-Q2"/>
    <x v="3"/>
    <n v="7"/>
    <s v="category"/>
    <s v="category_chart"/>
    <x v="2"/>
    <s v="Billers"/>
    <x v="31"/>
    <m/>
    <x v="9"/>
    <x v="0"/>
    <n v="67300000"/>
    <s v="JOD"/>
    <s v="67.30 M JOD"/>
    <m/>
    <m/>
    <m/>
  </r>
  <r>
    <s v="2026-Q2"/>
    <x v="3"/>
    <n v="7"/>
    <s v="category"/>
    <s v="category_chart"/>
    <x v="2"/>
    <s v="Billers"/>
    <x v="32"/>
    <m/>
    <x v="9"/>
    <x v="0"/>
    <n v="189400000"/>
    <s v="JOD"/>
    <s v="189.40 M JOD"/>
    <m/>
    <m/>
    <m/>
  </r>
  <r>
    <s v="2026-Q2"/>
    <x v="3"/>
    <n v="7"/>
    <s v="category"/>
    <s v="category_chart"/>
    <x v="2"/>
    <s v="Billers"/>
    <x v="33"/>
    <m/>
    <x v="9"/>
    <x v="0"/>
    <n v="38300000"/>
    <s v="JOD"/>
    <s v="38.30 M JOD"/>
    <m/>
    <m/>
    <m/>
  </r>
  <r>
    <s v="2026-Q2"/>
    <x v="3"/>
    <n v="7"/>
    <s v="category"/>
    <s v="category_chart"/>
    <x v="2"/>
    <s v="Billers"/>
    <x v="34"/>
    <m/>
    <x v="9"/>
    <x v="0"/>
    <n v="2600000000"/>
    <s v="JOD"/>
    <s v="2.60 B JOD"/>
    <m/>
    <m/>
    <m/>
  </r>
  <r>
    <s v="2026-Q2"/>
    <x v="3"/>
    <n v="7"/>
    <s v="category"/>
    <s v="category_chart"/>
    <x v="2"/>
    <s v="Billers"/>
    <x v="35"/>
    <m/>
    <x v="9"/>
    <x v="0"/>
    <n v="106800000"/>
    <s v="JOD"/>
    <s v="106.80 M JOD"/>
    <m/>
    <m/>
    <m/>
  </r>
  <r>
    <s v="2026-Q2"/>
    <x v="3"/>
    <n v="7"/>
    <s v="category"/>
    <s v="category_chart"/>
    <x v="2"/>
    <s v="Billers"/>
    <x v="36"/>
    <m/>
    <x v="9"/>
    <x v="0"/>
    <n v="39400000"/>
    <s v="JOD"/>
    <s v="39.40 M JOD"/>
    <m/>
    <m/>
    <m/>
  </r>
  <r>
    <s v="2026-Q2"/>
    <x v="3"/>
    <n v="7"/>
    <s v="category"/>
    <s v="category_chart"/>
    <x v="2"/>
    <s v="Billers"/>
    <x v="37"/>
    <m/>
    <x v="9"/>
    <x v="0"/>
    <n v="24400000"/>
    <s v="JOD"/>
    <s v="24.40 M JOD"/>
    <m/>
    <m/>
    <m/>
  </r>
  <r>
    <s v="2026-Q2"/>
    <x v="3"/>
    <n v="7"/>
    <s v="category"/>
    <s v="category_chart"/>
    <x v="2"/>
    <s v="Billers"/>
    <x v="38"/>
    <m/>
    <x v="9"/>
    <x v="0"/>
    <n v="485600000"/>
    <s v="JOD"/>
    <s v="485.60 M JOD"/>
    <m/>
    <m/>
    <m/>
  </r>
  <r>
    <s v="2026-Q2"/>
    <x v="3"/>
    <n v="7"/>
    <s v="category"/>
    <s v="category_chart"/>
    <x v="2"/>
    <s v="Billers"/>
    <x v="39"/>
    <m/>
    <x v="9"/>
    <x v="0"/>
    <n v="233000000"/>
    <s v="JOD"/>
    <s v="233.00 M JOD"/>
    <m/>
    <m/>
    <m/>
  </r>
  <r>
    <s v="2026-Q2"/>
    <x v="3"/>
    <n v="7"/>
    <s v="chart_point"/>
    <s v="trend_chart"/>
    <x v="1"/>
    <s v="Transactions"/>
    <x v="14"/>
    <m/>
    <x v="8"/>
    <x v="1"/>
    <n v="20470000"/>
    <s v="count"/>
    <s v="20.47 M"/>
    <s v="TRUE"/>
    <s v="restated"/>
    <m/>
  </r>
  <r>
    <s v="2026-Q2"/>
    <x v="3"/>
    <n v="7"/>
    <s v="chart_point"/>
    <s v="trend_chart"/>
    <x v="0"/>
    <s v="Users"/>
    <x v="14"/>
    <m/>
    <x v="8"/>
    <x v="1"/>
    <n v="5170000"/>
    <s v="count"/>
    <s v="5.17 M"/>
    <s v="TRUE"/>
    <s v="restated"/>
    <m/>
  </r>
  <r>
    <s v="2026-Q2"/>
    <x v="3"/>
    <n v="7"/>
    <s v="chart_point"/>
    <s v="trend_chart"/>
    <x v="2"/>
    <s v="Transactions"/>
    <x v="14"/>
    <m/>
    <x v="8"/>
    <x v="1"/>
    <n v="3890000000"/>
    <s v="JOD"/>
    <s v="3.89 B JOD"/>
    <s v="TRUE"/>
    <s v="restated"/>
    <m/>
  </r>
  <r>
    <s v="2026-Q2"/>
    <x v="3"/>
    <n v="7"/>
    <s v="kpi"/>
    <s v="stat_box"/>
    <x v="1"/>
    <s v="Transactions"/>
    <x v="14"/>
    <m/>
    <x v="9"/>
    <x v="0"/>
    <n v="20520000"/>
    <s v="count"/>
    <s v="20.52 M"/>
    <m/>
    <m/>
    <m/>
  </r>
  <r>
    <s v="2026-Q2"/>
    <x v="3"/>
    <n v="7"/>
    <s v="kpi"/>
    <s v="stat_box"/>
    <x v="0"/>
    <s v="Users"/>
    <x v="14"/>
    <m/>
    <x v="9"/>
    <x v="0"/>
    <n v="5290000"/>
    <s v="count"/>
    <s v="5.29 M"/>
    <m/>
    <m/>
    <m/>
  </r>
  <r>
    <s v="2026-Q2"/>
    <x v="3"/>
    <n v="7"/>
    <s v="kpi"/>
    <s v="stat_box"/>
    <x v="2"/>
    <s v="Transactions"/>
    <x v="14"/>
    <m/>
    <x v="9"/>
    <x v="0"/>
    <n v="3890000000"/>
    <s v="JOD"/>
    <s v="3.89 B JOD"/>
    <m/>
    <m/>
    <m/>
  </r>
  <r>
    <s v="2024-Q3"/>
    <x v="4"/>
    <n v="8"/>
    <s v="category"/>
    <s v="category_chart"/>
    <x v="1"/>
    <s v="Transactions"/>
    <x v="41"/>
    <m/>
    <x v="0"/>
    <x v="0"/>
    <n v="901"/>
    <s v="count"/>
    <s v="901"/>
    <m/>
    <m/>
    <m/>
  </r>
  <r>
    <s v="2024-Q3"/>
    <x v="4"/>
    <n v="8"/>
    <s v="category"/>
    <s v="category_chart"/>
    <x v="1"/>
    <s v="Transactions"/>
    <x v="42"/>
    <m/>
    <x v="0"/>
    <x v="0"/>
    <n v="116"/>
    <s v="count"/>
    <s v="116"/>
    <m/>
    <m/>
    <m/>
  </r>
  <r>
    <s v="2024-Q3"/>
    <x v="4"/>
    <n v="8"/>
    <s v="category"/>
    <s v="category_chart"/>
    <x v="1"/>
    <s v="Transactions"/>
    <x v="43"/>
    <m/>
    <x v="0"/>
    <x v="0"/>
    <n v="17056"/>
    <s v="count"/>
    <s v="17,056"/>
    <m/>
    <m/>
    <m/>
  </r>
  <r>
    <s v="2024-Q3"/>
    <x v="4"/>
    <n v="8"/>
    <s v="category"/>
    <s v="category_chart"/>
    <x v="2"/>
    <s v="Transactions"/>
    <x v="41"/>
    <m/>
    <x v="0"/>
    <x v="0"/>
    <n v="9300000"/>
    <s v="EUR"/>
    <s v="€9.30 M"/>
    <m/>
    <m/>
    <m/>
  </r>
  <r>
    <s v="2024-Q3"/>
    <x v="4"/>
    <n v="8"/>
    <s v="category"/>
    <s v="category_chart"/>
    <x v="2"/>
    <s v="Transactions"/>
    <x v="42"/>
    <m/>
    <x v="0"/>
    <x v="0"/>
    <n v="1000000"/>
    <s v="GBP"/>
    <s v="£1.00 M"/>
    <m/>
    <m/>
    <m/>
  </r>
  <r>
    <s v="2024-Q3"/>
    <x v="4"/>
    <n v="8"/>
    <s v="category"/>
    <s v="category_chart"/>
    <x v="2"/>
    <s v="Transactions"/>
    <x v="43"/>
    <m/>
    <x v="0"/>
    <x v="0"/>
    <n v="119300000"/>
    <s v="USD"/>
    <s v="$119.30 M"/>
    <m/>
    <m/>
    <m/>
  </r>
  <r>
    <s v="2024-Q3"/>
    <x v="4"/>
    <n v="8"/>
    <s v="chart_point"/>
    <s v="trend_chart"/>
    <x v="6"/>
    <s v="Transactions"/>
    <x v="14"/>
    <m/>
    <x v="1"/>
    <x v="1"/>
    <n v="2700000"/>
    <s v="count"/>
    <s v="2.70 M"/>
    <s v="TRUE"/>
    <s v="newest"/>
    <s v="no native/stat_box reading of 2024-Q1 exists anywhere in this corpus (its own quarterly PDF wasn't part of this extraction) - marked newest as the earliest available trailing_chart_point reading of it, per §8 rule 4's fallback"/>
  </r>
  <r>
    <s v="2024-Q3"/>
    <x v="4"/>
    <n v="8"/>
    <s v="chart_point"/>
    <s v="trend_chart"/>
    <x v="6"/>
    <s v="Transactions"/>
    <x v="14"/>
    <m/>
    <x v="2"/>
    <x v="1"/>
    <n v="2820000"/>
    <s v="count"/>
    <s v="2.82 M"/>
    <s v="TRUE"/>
    <s v="newest"/>
    <s v="no native/stat_box reading of 2024-Q2 exists anywhere in this corpus (its own quarterly PDF wasn't part of this extraction) - marked newest as the earliest available trailing_chart_point reading of it, per §8 rule 4's fallback"/>
  </r>
  <r>
    <s v="2024-Q3"/>
    <x v="4"/>
    <n v="8"/>
    <s v="chart_point"/>
    <s v="trend_chart"/>
    <x v="7"/>
    <s v="Transactions"/>
    <x v="14"/>
    <m/>
    <x v="1"/>
    <x v="1"/>
    <n v="2150000000"/>
    <s v="JOD"/>
    <s v="2.15 B JOD"/>
    <s v="TRUE"/>
    <s v="newest"/>
    <s v="no native/stat_box reading of 2024-Q1 exists anywhere in this corpus (its own quarterly PDF wasn't part of this extraction) - marked newest as the earliest available trailing_chart_point reading of it, per §8 rule 4's fallback"/>
  </r>
  <r>
    <s v="2024-Q3"/>
    <x v="4"/>
    <n v="8"/>
    <s v="chart_point"/>
    <s v="trend_chart"/>
    <x v="7"/>
    <s v="Transactions"/>
    <x v="14"/>
    <m/>
    <x v="2"/>
    <x v="1"/>
    <n v="2200000000"/>
    <s v="JOD"/>
    <s v="2.20 B JOD"/>
    <s v="TRUE"/>
    <s v="newest"/>
    <s v="no native/stat_box reading of 2024-Q2 exists anywhere in this corpus (its own quarterly PDF wasn't part of this extraction) - marked newest as the earliest available trailing_chart_point reading of it, per §8 rule 4's fallback"/>
  </r>
  <r>
    <s v="2024-Q3"/>
    <x v="4"/>
    <n v="8"/>
    <s v="kpi"/>
    <s v="stat_box"/>
    <x v="6"/>
    <s v="Transactions"/>
    <x v="14"/>
    <m/>
    <x v="0"/>
    <x v="0"/>
    <n v="2800000"/>
    <s v="count"/>
    <s v="2.80 M"/>
    <m/>
    <m/>
    <m/>
  </r>
  <r>
    <s v="2024-Q3"/>
    <x v="4"/>
    <n v="8"/>
    <s v="kpi"/>
    <s v="stat_box"/>
    <x v="7"/>
    <s v="Transactions"/>
    <x v="14"/>
    <m/>
    <x v="0"/>
    <x v="0"/>
    <n v="2360000000"/>
    <s v="JOD"/>
    <s v="2.36 B JOD"/>
    <m/>
    <m/>
    <m/>
  </r>
  <r>
    <s v="2024-Q4"/>
    <x v="4"/>
    <n v="8"/>
    <s v="category"/>
    <s v="category_chart"/>
    <x v="1"/>
    <s v="Transactions"/>
    <x v="41"/>
    <m/>
    <x v="3"/>
    <x v="0"/>
    <n v="941"/>
    <s v="count"/>
    <s v="941"/>
    <m/>
    <m/>
    <m/>
  </r>
  <r>
    <s v="2024-Q4"/>
    <x v="4"/>
    <n v="8"/>
    <s v="category"/>
    <s v="category_chart"/>
    <x v="1"/>
    <s v="Transactions"/>
    <x v="42"/>
    <m/>
    <x v="3"/>
    <x v="0"/>
    <n v="113"/>
    <s v="count"/>
    <s v="113"/>
    <m/>
    <m/>
    <m/>
  </r>
  <r>
    <s v="2024-Q4"/>
    <x v="4"/>
    <n v="8"/>
    <s v="category"/>
    <s v="category_chart"/>
    <x v="1"/>
    <s v="Transactions"/>
    <x v="43"/>
    <m/>
    <x v="3"/>
    <x v="0"/>
    <n v="17543"/>
    <s v="count"/>
    <s v="17,543"/>
    <m/>
    <m/>
    <m/>
  </r>
  <r>
    <s v="2024-Q4"/>
    <x v="4"/>
    <n v="8"/>
    <s v="category"/>
    <s v="category_chart"/>
    <x v="2"/>
    <s v="Transactions"/>
    <x v="41"/>
    <m/>
    <x v="3"/>
    <x v="0"/>
    <n v="8200000"/>
    <s v="EUR"/>
    <s v="€8.20 M"/>
    <m/>
    <m/>
    <m/>
  </r>
  <r>
    <s v="2024-Q4"/>
    <x v="4"/>
    <n v="8"/>
    <s v="category"/>
    <s v="category_chart"/>
    <x v="2"/>
    <s v="Transactions"/>
    <x v="42"/>
    <m/>
    <x v="3"/>
    <x v="0"/>
    <n v="900000"/>
    <s v="GBP"/>
    <s v="£900.0 K"/>
    <m/>
    <m/>
    <m/>
  </r>
  <r>
    <s v="2024-Q4"/>
    <x v="4"/>
    <n v="8"/>
    <s v="category"/>
    <s v="category_chart"/>
    <x v="2"/>
    <s v="Transactions"/>
    <x v="43"/>
    <m/>
    <x v="3"/>
    <x v="0"/>
    <n v="117200000"/>
    <s v="USD"/>
    <s v="$117.20 M"/>
    <m/>
    <m/>
    <m/>
  </r>
  <r>
    <s v="2024-Q4"/>
    <x v="4"/>
    <n v="8"/>
    <s v="chart_point"/>
    <s v="trend_chart"/>
    <x v="6"/>
    <s v="Transactions"/>
    <x v="14"/>
    <m/>
    <x v="1"/>
    <x v="1"/>
    <n v="2700000"/>
    <s v="count"/>
    <s v="2.70 M"/>
    <s v="TRUE"/>
    <s v="restated"/>
    <s v="see the 2024-Q3 report's reading of 2024-Q1, marked newest"/>
  </r>
  <r>
    <s v="2024-Q4"/>
    <x v="4"/>
    <n v="8"/>
    <s v="chart_point"/>
    <s v="trend_chart"/>
    <x v="6"/>
    <s v="Transactions"/>
    <x v="14"/>
    <m/>
    <x v="2"/>
    <x v="1"/>
    <n v="2820000"/>
    <s v="count"/>
    <s v="2.82 M"/>
    <s v="TRUE"/>
    <s v="restated"/>
    <s v="see the 2024-Q3 report's reading of 2024-Q2, marked newest"/>
  </r>
  <r>
    <s v="2024-Q4"/>
    <x v="4"/>
    <n v="8"/>
    <s v="chart_point"/>
    <s v="trend_chart"/>
    <x v="6"/>
    <s v="Transactions"/>
    <x v="14"/>
    <m/>
    <x v="0"/>
    <x v="1"/>
    <n v="2800000"/>
    <s v="count"/>
    <s v="2.80 M"/>
    <s v="TRUE"/>
    <s v="restated"/>
    <m/>
  </r>
  <r>
    <s v="2024-Q4"/>
    <x v="4"/>
    <n v="8"/>
    <s v="chart_point"/>
    <s v="trend_chart"/>
    <x v="7"/>
    <s v="Transactions"/>
    <x v="14"/>
    <m/>
    <x v="1"/>
    <x v="1"/>
    <n v="2150000000"/>
    <s v="JOD"/>
    <s v="2.15 B JOD"/>
    <s v="TRUE"/>
    <s v="restated"/>
    <s v="see the 2024-Q3 report's reading of 2024-Q1, marked newest"/>
  </r>
  <r>
    <s v="2024-Q4"/>
    <x v="4"/>
    <n v="8"/>
    <s v="chart_point"/>
    <s v="trend_chart"/>
    <x v="7"/>
    <s v="Transactions"/>
    <x v="14"/>
    <m/>
    <x v="2"/>
    <x v="1"/>
    <n v="2200000000"/>
    <s v="JOD"/>
    <s v="2.20 B JOD"/>
    <s v="TRUE"/>
    <s v="restated"/>
    <s v="see the 2024-Q3 report's reading of 2024-Q2, marked newest"/>
  </r>
  <r>
    <s v="2024-Q4"/>
    <x v="4"/>
    <n v="8"/>
    <s v="chart_point"/>
    <s v="trend_chart"/>
    <x v="7"/>
    <s v="Transactions"/>
    <x v="14"/>
    <m/>
    <x v="0"/>
    <x v="1"/>
    <n v="2360000000"/>
    <s v="JOD"/>
    <s v="2.36 B JOD"/>
    <s v="TRUE"/>
    <s v="restated"/>
    <m/>
  </r>
  <r>
    <s v="2024-Q4"/>
    <x v="4"/>
    <n v="8"/>
    <s v="kpi"/>
    <s v="stat_box"/>
    <x v="6"/>
    <s v="Transactions"/>
    <x v="14"/>
    <m/>
    <x v="3"/>
    <x v="0"/>
    <n v="2970000"/>
    <s v="count"/>
    <s v="2.97 M"/>
    <m/>
    <m/>
    <m/>
  </r>
  <r>
    <s v="2024-Q4"/>
    <x v="4"/>
    <n v="8"/>
    <s v="kpi"/>
    <s v="stat_box"/>
    <x v="7"/>
    <s v="Transactions"/>
    <x v="14"/>
    <m/>
    <x v="3"/>
    <x v="0"/>
    <n v="2420000000"/>
    <s v="JOD"/>
    <s v="2.42 B JOD"/>
    <m/>
    <m/>
    <m/>
  </r>
  <r>
    <s v="2025-Q1"/>
    <x v="4"/>
    <n v="8"/>
    <s v="category"/>
    <s v="category_chart"/>
    <x v="1"/>
    <s v="Transactions"/>
    <x v="41"/>
    <m/>
    <x v="4"/>
    <x v="0"/>
    <n v="1003"/>
    <s v="count"/>
    <s v="1,003"/>
    <m/>
    <m/>
    <m/>
  </r>
  <r>
    <s v="2025-Q1"/>
    <x v="4"/>
    <n v="8"/>
    <s v="category"/>
    <s v="category_chart"/>
    <x v="1"/>
    <s v="Transactions"/>
    <x v="42"/>
    <m/>
    <x v="4"/>
    <x v="0"/>
    <n v="107"/>
    <s v="count"/>
    <s v="107"/>
    <m/>
    <m/>
    <m/>
  </r>
  <r>
    <s v="2025-Q1"/>
    <x v="4"/>
    <n v="8"/>
    <s v="category"/>
    <s v="category_chart"/>
    <x v="1"/>
    <s v="Transactions"/>
    <x v="43"/>
    <m/>
    <x v="4"/>
    <x v="0"/>
    <n v="16918"/>
    <s v="count"/>
    <s v="16,918"/>
    <m/>
    <m/>
    <m/>
  </r>
  <r>
    <s v="2025-Q1"/>
    <x v="4"/>
    <n v="8"/>
    <s v="category"/>
    <s v="category_chart"/>
    <x v="2"/>
    <s v="Transactions"/>
    <x v="41"/>
    <m/>
    <x v="4"/>
    <x v="0"/>
    <n v="8900000"/>
    <s v="EUR"/>
    <s v="€8.90 M"/>
    <m/>
    <m/>
    <m/>
  </r>
  <r>
    <s v="2025-Q1"/>
    <x v="4"/>
    <n v="8"/>
    <s v="category"/>
    <s v="category_chart"/>
    <x v="2"/>
    <s v="Transactions"/>
    <x v="42"/>
    <m/>
    <x v="4"/>
    <x v="0"/>
    <n v="1100000"/>
    <s v="GBP"/>
    <s v="£1.10 M"/>
    <m/>
    <m/>
    <m/>
  </r>
  <r>
    <s v="2025-Q1"/>
    <x v="4"/>
    <n v="8"/>
    <s v="category"/>
    <s v="category_chart"/>
    <x v="2"/>
    <s v="Transactions"/>
    <x v="43"/>
    <m/>
    <x v="4"/>
    <x v="0"/>
    <n v="113000000"/>
    <s v="USD"/>
    <s v="$113.00 M"/>
    <m/>
    <m/>
    <m/>
  </r>
  <r>
    <s v="2025-Q1"/>
    <x v="4"/>
    <n v="8"/>
    <s v="chart_point"/>
    <s v="trend_chart"/>
    <x v="6"/>
    <s v="Transactions"/>
    <x v="14"/>
    <m/>
    <x v="3"/>
    <x v="1"/>
    <n v="2970000"/>
    <s v="count"/>
    <s v="2.97 M"/>
    <s v="TRUE"/>
    <s v="restated"/>
    <m/>
  </r>
  <r>
    <s v="2025-Q1"/>
    <x v="4"/>
    <n v="8"/>
    <s v="chart_point"/>
    <s v="trend_chart"/>
    <x v="7"/>
    <s v="Transactions"/>
    <x v="14"/>
    <m/>
    <x v="3"/>
    <x v="1"/>
    <n v="2420000000"/>
    <s v="JOD"/>
    <s v="2.42 B JOD"/>
    <s v="TRUE"/>
    <s v="restated"/>
    <m/>
  </r>
  <r>
    <s v="2025-Q1"/>
    <x v="4"/>
    <n v="8"/>
    <s v="kpi"/>
    <s v="stat_box"/>
    <x v="6"/>
    <s v="Transactions"/>
    <x v="14"/>
    <m/>
    <x v="4"/>
    <x v="0"/>
    <n v="2980000"/>
    <s v="count"/>
    <s v="2.98 M"/>
    <m/>
    <m/>
    <m/>
  </r>
  <r>
    <s v="2025-Q1"/>
    <x v="4"/>
    <n v="8"/>
    <s v="kpi"/>
    <s v="stat_box"/>
    <x v="7"/>
    <s v="Transactions"/>
    <x v="14"/>
    <m/>
    <x v="4"/>
    <x v="0"/>
    <n v="2410000000"/>
    <s v="JOD"/>
    <s v="2.41 B JOD"/>
    <m/>
    <m/>
    <m/>
  </r>
  <r>
    <s v="2025-Q2"/>
    <x v="4"/>
    <n v="8"/>
    <s v="category"/>
    <s v="category_chart"/>
    <x v="1"/>
    <s v="Transactions"/>
    <x v="41"/>
    <m/>
    <x v="5"/>
    <x v="0"/>
    <n v="844"/>
    <s v="count"/>
    <s v="844"/>
    <m/>
    <m/>
    <m/>
  </r>
  <r>
    <s v="2025-Q2"/>
    <x v="4"/>
    <n v="8"/>
    <s v="category"/>
    <s v="category_chart"/>
    <x v="1"/>
    <s v="Transactions"/>
    <x v="42"/>
    <m/>
    <x v="5"/>
    <x v="0"/>
    <n v="86"/>
    <s v="count"/>
    <s v="86"/>
    <m/>
    <m/>
    <m/>
  </r>
  <r>
    <s v="2025-Q2"/>
    <x v="4"/>
    <n v="8"/>
    <s v="category"/>
    <s v="category_chart"/>
    <x v="1"/>
    <s v="Transactions"/>
    <x v="43"/>
    <m/>
    <x v="5"/>
    <x v="0"/>
    <n v="17236"/>
    <s v="count"/>
    <s v="17,236"/>
    <m/>
    <m/>
    <m/>
  </r>
  <r>
    <s v="2025-Q2"/>
    <x v="4"/>
    <n v="8"/>
    <s v="category"/>
    <s v="category_chart"/>
    <x v="2"/>
    <s v="Transactions"/>
    <x v="41"/>
    <m/>
    <x v="5"/>
    <x v="0"/>
    <n v="7900000"/>
    <s v="EUR"/>
    <s v="€7.90 M"/>
    <m/>
    <m/>
    <m/>
  </r>
  <r>
    <s v="2025-Q2"/>
    <x v="4"/>
    <n v="8"/>
    <s v="category"/>
    <s v="category_chart"/>
    <x v="2"/>
    <s v="Transactions"/>
    <x v="42"/>
    <m/>
    <x v="5"/>
    <x v="0"/>
    <n v="900000"/>
    <s v="GBP"/>
    <s v="£900.0 K"/>
    <m/>
    <m/>
    <m/>
  </r>
  <r>
    <s v="2025-Q2"/>
    <x v="4"/>
    <n v="8"/>
    <s v="category"/>
    <s v="category_chart"/>
    <x v="2"/>
    <s v="Transactions"/>
    <x v="43"/>
    <m/>
    <x v="5"/>
    <x v="0"/>
    <n v="110000000"/>
    <s v="USD"/>
    <s v="$110.00 M"/>
    <m/>
    <m/>
    <m/>
  </r>
  <r>
    <s v="2025-Q2"/>
    <x v="4"/>
    <n v="8"/>
    <s v="chart_point"/>
    <s v="trend_chart"/>
    <x v="6"/>
    <s v="Transactions"/>
    <x v="14"/>
    <m/>
    <x v="4"/>
    <x v="1"/>
    <n v="2980000"/>
    <s v="count"/>
    <s v="2.98 M"/>
    <s v="TRUE"/>
    <s v="restated"/>
    <m/>
  </r>
  <r>
    <s v="2025-Q2"/>
    <x v="4"/>
    <n v="8"/>
    <s v="chart_point"/>
    <s v="trend_chart"/>
    <x v="7"/>
    <s v="Transactions"/>
    <x v="14"/>
    <m/>
    <x v="4"/>
    <x v="1"/>
    <n v="2410000000"/>
    <s v="JOD"/>
    <s v="2.41 B JOD"/>
    <s v="TRUE"/>
    <s v="restated"/>
    <m/>
  </r>
  <r>
    <s v="2025-Q2"/>
    <x v="4"/>
    <n v="8"/>
    <s v="kpi"/>
    <s v="stat_box"/>
    <x v="6"/>
    <s v="Transactions"/>
    <x v="14"/>
    <m/>
    <x v="5"/>
    <x v="0"/>
    <n v="2870000"/>
    <s v="count"/>
    <s v="2.87 M"/>
    <m/>
    <m/>
    <m/>
  </r>
  <r>
    <s v="2025-Q2"/>
    <x v="4"/>
    <n v="8"/>
    <s v="kpi"/>
    <s v="stat_box"/>
    <x v="7"/>
    <s v="Transactions"/>
    <x v="14"/>
    <m/>
    <x v="5"/>
    <x v="0"/>
    <n v="2350000000"/>
    <s v="JOD"/>
    <s v="2.35 B JOD"/>
    <m/>
    <m/>
    <m/>
  </r>
  <r>
    <s v="2025-Q3"/>
    <x v="4"/>
    <n v="8"/>
    <s v="category"/>
    <s v="category_chart"/>
    <x v="1"/>
    <s v="Transactions"/>
    <x v="41"/>
    <m/>
    <x v="6"/>
    <x v="0"/>
    <n v="989"/>
    <s v="count"/>
    <s v="989"/>
    <m/>
    <m/>
    <m/>
  </r>
  <r>
    <s v="2025-Q3"/>
    <x v="4"/>
    <n v="8"/>
    <s v="category"/>
    <s v="category_chart"/>
    <x v="1"/>
    <s v="Transactions"/>
    <x v="42"/>
    <m/>
    <x v="6"/>
    <x v="0"/>
    <n v="133"/>
    <s v="count"/>
    <s v="133"/>
    <m/>
    <m/>
    <m/>
  </r>
  <r>
    <s v="2025-Q3"/>
    <x v="4"/>
    <n v="8"/>
    <s v="category"/>
    <s v="category_chart"/>
    <x v="1"/>
    <s v="Transactions"/>
    <x v="43"/>
    <m/>
    <x v="6"/>
    <x v="0"/>
    <n v="17556"/>
    <s v="count"/>
    <s v="17,556"/>
    <m/>
    <m/>
    <m/>
  </r>
  <r>
    <s v="2025-Q3"/>
    <x v="4"/>
    <n v="8"/>
    <s v="category"/>
    <s v="category_chart"/>
    <x v="2"/>
    <s v="Transactions"/>
    <x v="41"/>
    <m/>
    <x v="6"/>
    <x v="0"/>
    <n v="9300000"/>
    <s v="EUR"/>
    <s v="€9.30 M"/>
    <m/>
    <m/>
    <m/>
  </r>
  <r>
    <s v="2025-Q3"/>
    <x v="4"/>
    <n v="8"/>
    <s v="category"/>
    <s v="category_chart"/>
    <x v="2"/>
    <s v="Transactions"/>
    <x v="42"/>
    <m/>
    <x v="6"/>
    <x v="0"/>
    <n v="1100000"/>
    <s v="GBP"/>
    <s v="£1.10 M"/>
    <m/>
    <m/>
    <m/>
  </r>
  <r>
    <s v="2025-Q3"/>
    <x v="4"/>
    <n v="8"/>
    <s v="category"/>
    <s v="category_chart"/>
    <x v="2"/>
    <s v="Transactions"/>
    <x v="43"/>
    <m/>
    <x v="6"/>
    <x v="0"/>
    <n v="123000000"/>
    <s v="USD"/>
    <s v="$123.00 M"/>
    <m/>
    <m/>
    <m/>
  </r>
  <r>
    <s v="2025-Q3"/>
    <x v="4"/>
    <n v="8"/>
    <s v="chart_point"/>
    <s v="trend_chart"/>
    <x v="6"/>
    <s v="Transactions"/>
    <x v="14"/>
    <m/>
    <x v="4"/>
    <x v="1"/>
    <n v="2980000"/>
    <s v="count"/>
    <s v="2.98 M"/>
    <s v="TRUE"/>
    <s v="restated"/>
    <m/>
  </r>
  <r>
    <s v="2025-Q3"/>
    <x v="4"/>
    <n v="8"/>
    <s v="chart_point"/>
    <s v="trend_chart"/>
    <x v="6"/>
    <s v="Transactions"/>
    <x v="14"/>
    <m/>
    <x v="5"/>
    <x v="1"/>
    <n v="2870000"/>
    <s v="count"/>
    <s v="2.87 M"/>
    <s v="TRUE"/>
    <s v="restated"/>
    <m/>
  </r>
  <r>
    <s v="2025-Q3"/>
    <x v="4"/>
    <n v="8"/>
    <s v="chart_point"/>
    <s v="trend_chart"/>
    <x v="7"/>
    <s v="Transactions"/>
    <x v="14"/>
    <m/>
    <x v="4"/>
    <x v="1"/>
    <n v="2410000000"/>
    <s v="JOD"/>
    <s v="2.41 B JOD"/>
    <s v="TRUE"/>
    <s v="restated"/>
    <m/>
  </r>
  <r>
    <s v="2025-Q3"/>
    <x v="4"/>
    <n v="8"/>
    <s v="chart_point"/>
    <s v="trend_chart"/>
    <x v="7"/>
    <s v="Transactions"/>
    <x v="14"/>
    <m/>
    <x v="5"/>
    <x v="1"/>
    <n v="2350000000"/>
    <s v="JOD"/>
    <s v="2.35 B JOD"/>
    <s v="TRUE"/>
    <s v="restated"/>
    <m/>
  </r>
  <r>
    <s v="2025-Q3"/>
    <x v="4"/>
    <n v="8"/>
    <s v="kpi"/>
    <s v="stat_box"/>
    <x v="6"/>
    <s v="Transactions"/>
    <x v="14"/>
    <m/>
    <x v="6"/>
    <x v="0"/>
    <n v="3060000"/>
    <s v="count"/>
    <s v="3.06 M"/>
    <m/>
    <m/>
    <m/>
  </r>
  <r>
    <s v="2025-Q3"/>
    <x v="4"/>
    <n v="8"/>
    <s v="kpi"/>
    <s v="stat_box"/>
    <x v="7"/>
    <s v="Transactions"/>
    <x v="14"/>
    <m/>
    <x v="6"/>
    <x v="0"/>
    <n v="2610000000"/>
    <s v="JOD"/>
    <s v="2.61 B JOD"/>
    <m/>
    <m/>
    <m/>
  </r>
  <r>
    <s v="2025-Q4"/>
    <x v="4"/>
    <n v="8"/>
    <s v="category"/>
    <s v="category_chart"/>
    <x v="1"/>
    <s v="Transactions"/>
    <x v="41"/>
    <m/>
    <x v="7"/>
    <x v="0"/>
    <n v="922"/>
    <s v="count"/>
    <s v="922"/>
    <m/>
    <m/>
    <m/>
  </r>
  <r>
    <s v="2025-Q4"/>
    <x v="4"/>
    <n v="8"/>
    <s v="category"/>
    <s v="category_chart"/>
    <x v="1"/>
    <s v="Transactions"/>
    <x v="42"/>
    <m/>
    <x v="7"/>
    <x v="0"/>
    <n v="120"/>
    <s v="count"/>
    <s v="120"/>
    <m/>
    <m/>
    <m/>
  </r>
  <r>
    <s v="2025-Q4"/>
    <x v="4"/>
    <n v="8"/>
    <s v="category"/>
    <s v="category_chart"/>
    <x v="1"/>
    <s v="Transactions"/>
    <x v="43"/>
    <m/>
    <x v="7"/>
    <x v="0"/>
    <n v="18897"/>
    <s v="count"/>
    <s v="18,897"/>
    <m/>
    <m/>
    <m/>
  </r>
  <r>
    <s v="2025-Q4"/>
    <x v="4"/>
    <n v="8"/>
    <s v="category"/>
    <s v="category_chart"/>
    <x v="2"/>
    <s v="Transactions"/>
    <x v="41"/>
    <m/>
    <x v="7"/>
    <x v="0"/>
    <n v="7900000"/>
    <s v="EUR"/>
    <s v="€7.90 M"/>
    <m/>
    <m/>
    <m/>
  </r>
  <r>
    <s v="2025-Q4"/>
    <x v="4"/>
    <n v="8"/>
    <s v="category"/>
    <s v="category_chart"/>
    <x v="2"/>
    <s v="Transactions"/>
    <x v="42"/>
    <m/>
    <x v="7"/>
    <x v="0"/>
    <n v="1000000"/>
    <s v="GBP"/>
    <s v="£1.00 M"/>
    <m/>
    <m/>
    <m/>
  </r>
  <r>
    <s v="2025-Q4"/>
    <x v="4"/>
    <n v="8"/>
    <s v="category"/>
    <s v="category_chart"/>
    <x v="2"/>
    <s v="Transactions"/>
    <x v="43"/>
    <m/>
    <x v="7"/>
    <x v="0"/>
    <n v="122000000"/>
    <s v="USD"/>
    <s v="$122.00 M"/>
    <m/>
    <m/>
    <m/>
  </r>
  <r>
    <s v="2025-Q4"/>
    <x v="4"/>
    <n v="8"/>
    <s v="chart_point"/>
    <s v="trend_chart"/>
    <x v="6"/>
    <s v="Transactions"/>
    <x v="14"/>
    <m/>
    <x v="4"/>
    <x v="1"/>
    <n v="2980000"/>
    <s v="count"/>
    <s v="2.98 M"/>
    <s v="TRUE"/>
    <s v="restated"/>
    <m/>
  </r>
  <r>
    <s v="2025-Q4"/>
    <x v="4"/>
    <n v="8"/>
    <s v="chart_point"/>
    <s v="trend_chart"/>
    <x v="6"/>
    <s v="Transactions"/>
    <x v="14"/>
    <m/>
    <x v="5"/>
    <x v="1"/>
    <n v="2870000"/>
    <s v="count"/>
    <s v="2.87 M"/>
    <s v="TRUE"/>
    <s v="restated"/>
    <m/>
  </r>
  <r>
    <s v="2025-Q4"/>
    <x v="4"/>
    <n v="8"/>
    <s v="chart_point"/>
    <s v="trend_chart"/>
    <x v="6"/>
    <s v="Transactions"/>
    <x v="14"/>
    <m/>
    <x v="6"/>
    <x v="1"/>
    <n v="3060000"/>
    <s v="count"/>
    <s v="3.06 M"/>
    <s v="TRUE"/>
    <s v="restated"/>
    <m/>
  </r>
  <r>
    <s v="2025-Q4"/>
    <x v="4"/>
    <n v="8"/>
    <s v="chart_point"/>
    <s v="trend_chart"/>
    <x v="7"/>
    <s v="Transactions"/>
    <x v="14"/>
    <m/>
    <x v="4"/>
    <x v="1"/>
    <n v="2410000000"/>
    <s v="JOD"/>
    <s v="2.41 B JOD"/>
    <s v="TRUE"/>
    <s v="restated"/>
    <m/>
  </r>
  <r>
    <s v="2025-Q4"/>
    <x v="4"/>
    <n v="8"/>
    <s v="chart_point"/>
    <s v="trend_chart"/>
    <x v="7"/>
    <s v="Transactions"/>
    <x v="14"/>
    <m/>
    <x v="5"/>
    <x v="1"/>
    <n v="2350000000"/>
    <s v="JOD"/>
    <s v="2.35 B JOD"/>
    <s v="TRUE"/>
    <s v="restated"/>
    <m/>
  </r>
  <r>
    <s v="2025-Q4"/>
    <x v="4"/>
    <n v="8"/>
    <s v="chart_point"/>
    <s v="trend_chart"/>
    <x v="7"/>
    <s v="Transactions"/>
    <x v="14"/>
    <m/>
    <x v="6"/>
    <x v="1"/>
    <n v="2610000000"/>
    <s v="JOD"/>
    <s v="2.61 B JOD"/>
    <s v="TRUE"/>
    <s v="restated"/>
    <m/>
  </r>
  <r>
    <s v="2025-Q4"/>
    <x v="4"/>
    <n v="8"/>
    <s v="kpi"/>
    <s v="stat_box"/>
    <x v="6"/>
    <s v="Transactions"/>
    <x v="14"/>
    <m/>
    <x v="7"/>
    <x v="0"/>
    <n v="3260000"/>
    <s v="count"/>
    <s v="3.26 M"/>
    <m/>
    <m/>
    <m/>
  </r>
  <r>
    <s v="2025-Q4"/>
    <x v="4"/>
    <n v="8"/>
    <s v="kpi"/>
    <s v="stat_box"/>
    <x v="7"/>
    <s v="Transactions"/>
    <x v="14"/>
    <m/>
    <x v="7"/>
    <x v="0"/>
    <n v="2630000000"/>
    <s v="JOD"/>
    <s v="2.63 B JOD"/>
    <m/>
    <m/>
    <m/>
  </r>
  <r>
    <s v="2026-Q1"/>
    <x v="4"/>
    <n v="8"/>
    <s v="category"/>
    <s v="category_chart"/>
    <x v="1"/>
    <s v="Transactions"/>
    <x v="41"/>
    <m/>
    <x v="8"/>
    <x v="0"/>
    <n v="828"/>
    <s v="count"/>
    <s v="828"/>
    <m/>
    <m/>
    <m/>
  </r>
  <r>
    <s v="2026-Q1"/>
    <x v="4"/>
    <n v="8"/>
    <s v="category"/>
    <s v="category_chart"/>
    <x v="1"/>
    <s v="Transactions"/>
    <x v="42"/>
    <m/>
    <x v="8"/>
    <x v="0"/>
    <n v="103"/>
    <s v="count"/>
    <s v="103"/>
    <m/>
    <m/>
    <m/>
  </r>
  <r>
    <s v="2026-Q1"/>
    <x v="4"/>
    <n v="8"/>
    <s v="category"/>
    <s v="category_chart"/>
    <x v="1"/>
    <s v="Transactions"/>
    <x v="43"/>
    <m/>
    <x v="8"/>
    <x v="0"/>
    <n v="16863"/>
    <s v="count"/>
    <s v="16,863"/>
    <m/>
    <m/>
    <m/>
  </r>
  <r>
    <s v="2026-Q1"/>
    <x v="4"/>
    <n v="8"/>
    <s v="category"/>
    <s v="category_chart"/>
    <x v="2"/>
    <s v="Transactions"/>
    <x v="41"/>
    <m/>
    <x v="8"/>
    <x v="0"/>
    <n v="7800000"/>
    <s v="EUR"/>
    <s v="€7.80 M"/>
    <m/>
    <m/>
    <m/>
  </r>
  <r>
    <s v="2026-Q1"/>
    <x v="4"/>
    <n v="8"/>
    <s v="category"/>
    <s v="category_chart"/>
    <x v="2"/>
    <s v="Transactions"/>
    <x v="42"/>
    <m/>
    <x v="8"/>
    <x v="0"/>
    <n v="1000000"/>
    <s v="GBP"/>
    <s v="£1.00 M"/>
    <m/>
    <m/>
    <m/>
  </r>
  <r>
    <s v="2026-Q1"/>
    <x v="4"/>
    <n v="8"/>
    <s v="category"/>
    <s v="category_chart"/>
    <x v="2"/>
    <s v="Transactions"/>
    <x v="43"/>
    <m/>
    <x v="8"/>
    <x v="0"/>
    <n v="112000000"/>
    <s v="USD"/>
    <s v="$112.00 M"/>
    <m/>
    <m/>
    <m/>
  </r>
  <r>
    <s v="2026-Q1"/>
    <x v="4"/>
    <n v="8"/>
    <s v="chart_point"/>
    <s v="trend_chart"/>
    <x v="6"/>
    <s v="Transactions"/>
    <x v="14"/>
    <m/>
    <x v="7"/>
    <x v="1"/>
    <n v="3260000"/>
    <s v="count"/>
    <s v="3.26 M"/>
    <s v="TRUE"/>
    <s v="restated"/>
    <m/>
  </r>
  <r>
    <s v="2026-Q1"/>
    <x v="4"/>
    <n v="8"/>
    <s v="chart_point"/>
    <s v="trend_chart"/>
    <x v="7"/>
    <s v="Transactions"/>
    <x v="14"/>
    <m/>
    <x v="7"/>
    <x v="1"/>
    <n v="2630000000"/>
    <s v="JOD"/>
    <s v="2.63 B JOD"/>
    <s v="TRUE"/>
    <s v="restated"/>
    <m/>
  </r>
  <r>
    <s v="2026-Q1"/>
    <x v="4"/>
    <n v="8"/>
    <s v="kpi"/>
    <s v="stat_box"/>
    <x v="6"/>
    <s v="Transactions"/>
    <x v="14"/>
    <m/>
    <x v="8"/>
    <x v="0"/>
    <n v="3240000"/>
    <s v="count"/>
    <s v="3.24 M"/>
    <m/>
    <m/>
    <m/>
  </r>
  <r>
    <s v="2026-Q1"/>
    <x v="4"/>
    <n v="8"/>
    <s v="kpi"/>
    <s v="stat_box"/>
    <x v="7"/>
    <s v="Transactions"/>
    <x v="14"/>
    <m/>
    <x v="8"/>
    <x v="0"/>
    <n v="2690000000"/>
    <s v="JOD"/>
    <s v="2.69 B JOD"/>
    <m/>
    <m/>
    <m/>
  </r>
  <r>
    <s v="2026-Q2"/>
    <x v="4"/>
    <n v="8"/>
    <s v="category"/>
    <s v="category_chart"/>
    <x v="1"/>
    <s v="Transactions"/>
    <x v="41"/>
    <m/>
    <x v="9"/>
    <x v="0"/>
    <n v="898"/>
    <s v="count"/>
    <s v="898"/>
    <m/>
    <m/>
    <m/>
  </r>
  <r>
    <s v="2026-Q2"/>
    <x v="4"/>
    <n v="8"/>
    <s v="category"/>
    <s v="category_chart"/>
    <x v="1"/>
    <s v="Transactions"/>
    <x v="42"/>
    <m/>
    <x v="9"/>
    <x v="0"/>
    <n v="113"/>
    <s v="count"/>
    <s v="113"/>
    <m/>
    <m/>
    <m/>
  </r>
  <r>
    <s v="2026-Q2"/>
    <x v="4"/>
    <n v="8"/>
    <s v="category"/>
    <s v="category_chart"/>
    <x v="1"/>
    <s v="Transactions"/>
    <x v="43"/>
    <m/>
    <x v="9"/>
    <x v="0"/>
    <n v="17329"/>
    <s v="count"/>
    <s v="17,329"/>
    <m/>
    <m/>
    <m/>
  </r>
  <r>
    <s v="2026-Q2"/>
    <x v="4"/>
    <n v="8"/>
    <s v="category"/>
    <s v="category_chart"/>
    <x v="2"/>
    <s v="Transactions"/>
    <x v="41"/>
    <m/>
    <x v="9"/>
    <x v="0"/>
    <n v="8300000"/>
    <s v="EUR"/>
    <s v="€8.30 M"/>
    <m/>
    <m/>
    <m/>
  </r>
  <r>
    <s v="2026-Q2"/>
    <x v="4"/>
    <n v="8"/>
    <s v="category"/>
    <s v="category_chart"/>
    <x v="2"/>
    <s v="Transactions"/>
    <x v="42"/>
    <m/>
    <x v="9"/>
    <x v="0"/>
    <n v="900000"/>
    <s v="GBP"/>
    <s v="£900.0 K"/>
    <m/>
    <m/>
    <m/>
  </r>
  <r>
    <s v="2026-Q2"/>
    <x v="4"/>
    <n v="8"/>
    <s v="category"/>
    <s v="category_chart"/>
    <x v="2"/>
    <s v="Transactions"/>
    <x v="43"/>
    <m/>
    <x v="9"/>
    <x v="0"/>
    <n v="116000000"/>
    <s v="USD"/>
    <s v="$116.00 M"/>
    <m/>
    <m/>
    <m/>
  </r>
  <r>
    <s v="2026-Q2"/>
    <x v="4"/>
    <n v="8"/>
    <s v="chart_point"/>
    <s v="trend_chart"/>
    <x v="6"/>
    <s v="Transactions"/>
    <x v="14"/>
    <m/>
    <x v="8"/>
    <x v="1"/>
    <n v="3240000"/>
    <s v="count"/>
    <s v="3.24 M"/>
    <s v="TRUE"/>
    <s v="restated"/>
    <m/>
  </r>
  <r>
    <s v="2026-Q2"/>
    <x v="4"/>
    <n v="8"/>
    <s v="chart_point"/>
    <s v="trend_chart"/>
    <x v="7"/>
    <s v="Transactions"/>
    <x v="14"/>
    <m/>
    <x v="8"/>
    <x v="1"/>
    <n v="2690000000"/>
    <s v="JOD"/>
    <s v="2.69 B JOD"/>
    <s v="TRUE"/>
    <s v="restated"/>
    <m/>
  </r>
  <r>
    <s v="2026-Q2"/>
    <x v="4"/>
    <n v="8"/>
    <s v="kpi"/>
    <s v="stat_box"/>
    <x v="6"/>
    <s v="Transactions"/>
    <x v="14"/>
    <m/>
    <x v="9"/>
    <x v="0"/>
    <n v="3290000"/>
    <s v="count"/>
    <s v="3.29 M"/>
    <m/>
    <m/>
    <m/>
  </r>
  <r>
    <s v="2026-Q2"/>
    <x v="4"/>
    <n v="8"/>
    <s v="kpi"/>
    <s v="stat_box"/>
    <x v="7"/>
    <s v="Transactions"/>
    <x v="14"/>
    <m/>
    <x v="9"/>
    <x v="0"/>
    <n v="2750000000"/>
    <s v="JOD"/>
    <s v="2.75 B JOD"/>
    <m/>
    <m/>
    <m/>
  </r>
  <r>
    <s v="2024-Q3"/>
    <x v="5"/>
    <n v="9"/>
    <s v="chart_point"/>
    <s v="trend_chart"/>
    <x v="8"/>
    <s v="Cheques"/>
    <x v="14"/>
    <m/>
    <x v="1"/>
    <x v="1"/>
    <n v="1570000"/>
    <s v="count"/>
    <s v="1.57 M"/>
    <s v="TRUE"/>
    <s v="newest"/>
    <s v="no native/stat_box reading of 2024-Q1 exists anywhere in this corpus (its own quarterly PDF wasn't part of this extraction) - marked newest as the earliest available trailing_chart_point reading of it, per §8 rule 4's fallback"/>
  </r>
  <r>
    <s v="2024-Q3"/>
    <x v="5"/>
    <n v="9"/>
    <s v="chart_point"/>
    <s v="trend_chart"/>
    <x v="8"/>
    <s v="Cheques"/>
    <x v="14"/>
    <m/>
    <x v="2"/>
    <x v="1"/>
    <n v="1570000"/>
    <s v="count"/>
    <s v="1.57 M"/>
    <s v="TRUE"/>
    <s v="newest"/>
    <s v="no native/stat_box reading of 2024-Q2 exists anywhere in this corpus (its own quarterly PDF wasn't part of this extraction) - marked newest as the earliest available trailing_chart_point reading of it, per §8 rule 4's fallback"/>
  </r>
  <r>
    <s v="2024-Q3"/>
    <x v="5"/>
    <n v="9"/>
    <s v="chart_point"/>
    <s v="trend_chart"/>
    <x v="9"/>
    <s v="Cheques"/>
    <x v="14"/>
    <m/>
    <x v="1"/>
    <x v="1"/>
    <n v="9650000000"/>
    <s v="JOD"/>
    <s v="9.65 B JOD"/>
    <s v="TRUE"/>
    <s v="newest"/>
    <s v="no native/stat_box reading of 2024-Q1 exists anywhere in this corpus (its own quarterly PDF wasn't part of this extraction) - marked newest as the earliest available trailing_chart_point reading of it, per §8 rule 4's fallback"/>
  </r>
  <r>
    <s v="2024-Q3"/>
    <x v="5"/>
    <n v="9"/>
    <s v="chart_point"/>
    <s v="trend_chart"/>
    <x v="9"/>
    <s v="Cheques"/>
    <x v="14"/>
    <m/>
    <x v="2"/>
    <x v="1"/>
    <n v="9620000000"/>
    <s v="JOD"/>
    <s v="9.62 B JOD"/>
    <s v="TRUE"/>
    <s v="newest"/>
    <s v="no native/stat_box reading of 2024-Q2 exists anywhere in this corpus (its own quarterly PDF wasn't part of this extraction) - marked newest as the earliest available trailing_chart_point reading of it, per §8 rule 4's fallback"/>
  </r>
  <r>
    <s v="2024-Q3"/>
    <x v="5"/>
    <n v="9"/>
    <s v="kpi"/>
    <s v="stat_box"/>
    <x v="8"/>
    <s v="Cheques"/>
    <x v="14"/>
    <m/>
    <x v="0"/>
    <x v="0"/>
    <n v="1670000"/>
    <s v="count"/>
    <s v="1.67 M"/>
    <m/>
    <m/>
    <m/>
  </r>
  <r>
    <s v="2024-Q3"/>
    <x v="5"/>
    <n v="9"/>
    <s v="kpi"/>
    <s v="category_chart"/>
    <x v="10"/>
    <s v="Cheques"/>
    <x v="14"/>
    <m/>
    <x v="0"/>
    <x v="0"/>
    <n v="53900"/>
    <s v="count"/>
    <s v="53.9 K"/>
    <m/>
    <m/>
    <m/>
  </r>
  <r>
    <s v="2024-Q3"/>
    <x v="5"/>
    <n v="9"/>
    <s v="kpi"/>
    <s v="stat_box"/>
    <x v="9"/>
    <s v="Cheques"/>
    <x v="14"/>
    <m/>
    <x v="0"/>
    <x v="0"/>
    <n v="10410000000"/>
    <s v="JOD"/>
    <s v="10.41 B JOD"/>
    <m/>
    <m/>
    <m/>
  </r>
  <r>
    <s v="2024-Q3"/>
    <x v="5"/>
    <n v="9"/>
    <s v="kpi"/>
    <s v="category_chart"/>
    <x v="11"/>
    <s v="Cheques"/>
    <x v="14"/>
    <m/>
    <x v="0"/>
    <x v="0"/>
    <n v="389300000"/>
    <s v="JOD"/>
    <s v="389.30 M JOD"/>
    <m/>
    <m/>
    <m/>
  </r>
  <r>
    <s v="2024-Q4"/>
    <x v="5"/>
    <n v="9"/>
    <s v="chart_point"/>
    <s v="trend_chart"/>
    <x v="8"/>
    <s v="Cheques"/>
    <x v="14"/>
    <m/>
    <x v="1"/>
    <x v="1"/>
    <n v="1570000"/>
    <s v="count"/>
    <s v="1.57 M"/>
    <s v="TRUE"/>
    <s v="restated"/>
    <s v="see the 2024-Q3 report's reading of 2024-Q1, marked newest"/>
  </r>
  <r>
    <s v="2024-Q4"/>
    <x v="5"/>
    <n v="9"/>
    <s v="chart_point"/>
    <s v="trend_chart"/>
    <x v="8"/>
    <s v="Cheques"/>
    <x v="14"/>
    <m/>
    <x v="2"/>
    <x v="1"/>
    <n v="1570000"/>
    <s v="count"/>
    <s v="1.57 M"/>
    <s v="TRUE"/>
    <s v="restated"/>
    <s v="see the 2024-Q3 report's reading of 2024-Q2, marked newest"/>
  </r>
  <r>
    <s v="2024-Q4"/>
    <x v="5"/>
    <n v="9"/>
    <s v="chart_point"/>
    <s v="trend_chart"/>
    <x v="8"/>
    <s v="Cheques"/>
    <x v="14"/>
    <m/>
    <x v="0"/>
    <x v="1"/>
    <n v="1670000"/>
    <s v="count"/>
    <s v="1.67 M"/>
    <s v="TRUE"/>
    <s v="restated"/>
    <m/>
  </r>
  <r>
    <s v="2024-Q4"/>
    <x v="5"/>
    <n v="9"/>
    <s v="chart_point"/>
    <s v="trend_chart"/>
    <x v="9"/>
    <s v="Cheques"/>
    <x v="14"/>
    <m/>
    <x v="1"/>
    <x v="1"/>
    <n v="9650000000"/>
    <s v="JOD"/>
    <s v="9.65 B JOD"/>
    <s v="TRUE"/>
    <s v="restated"/>
    <s v="see the 2024-Q3 report's reading of 2024-Q1, marked newest"/>
  </r>
  <r>
    <s v="2024-Q4"/>
    <x v="5"/>
    <n v="9"/>
    <s v="chart_point"/>
    <s v="trend_chart"/>
    <x v="9"/>
    <s v="Cheques"/>
    <x v="14"/>
    <m/>
    <x v="2"/>
    <x v="1"/>
    <n v="9620000000"/>
    <s v="JOD"/>
    <s v="9.62 B JOD"/>
    <s v="TRUE"/>
    <s v="restated"/>
    <s v="see the 2024-Q3 report's reading of 2024-Q2, marked newest"/>
  </r>
  <r>
    <s v="2024-Q4"/>
    <x v="5"/>
    <n v="9"/>
    <s v="chart_point"/>
    <s v="trend_chart"/>
    <x v="9"/>
    <s v="Cheques"/>
    <x v="14"/>
    <m/>
    <x v="0"/>
    <x v="1"/>
    <n v="10410000000"/>
    <s v="JOD"/>
    <s v="10.41 B JOD"/>
    <s v="TRUE"/>
    <s v="restated"/>
    <m/>
  </r>
  <r>
    <s v="2024-Q4"/>
    <x v="5"/>
    <n v="9"/>
    <s v="kpi"/>
    <s v="stat_box"/>
    <x v="8"/>
    <s v="Cheques"/>
    <x v="14"/>
    <m/>
    <x v="3"/>
    <x v="0"/>
    <n v="1700000"/>
    <s v="count"/>
    <s v="1.70 M"/>
    <m/>
    <m/>
    <m/>
  </r>
  <r>
    <s v="2024-Q4"/>
    <x v="5"/>
    <n v="9"/>
    <s v="kpi"/>
    <s v="category_chart"/>
    <x v="10"/>
    <s v="Cheques"/>
    <x v="14"/>
    <m/>
    <x v="3"/>
    <x v="0"/>
    <n v="55500"/>
    <s v="count"/>
    <s v="55.5 K"/>
    <m/>
    <m/>
    <m/>
  </r>
  <r>
    <s v="2024-Q4"/>
    <x v="5"/>
    <n v="9"/>
    <s v="kpi"/>
    <s v="stat_box"/>
    <x v="9"/>
    <s v="Cheques"/>
    <x v="14"/>
    <m/>
    <x v="3"/>
    <x v="0"/>
    <n v="10610000000"/>
    <s v="JOD"/>
    <s v="10.61 B JOD"/>
    <m/>
    <m/>
    <m/>
  </r>
  <r>
    <s v="2024-Q4"/>
    <x v="5"/>
    <n v="9"/>
    <s v="kpi"/>
    <s v="category_chart"/>
    <x v="11"/>
    <s v="Cheques"/>
    <x v="14"/>
    <m/>
    <x v="3"/>
    <x v="0"/>
    <n v="367600000"/>
    <s v="JOD"/>
    <s v="367.60 M JOD"/>
    <m/>
    <m/>
    <m/>
  </r>
  <r>
    <s v="2025-Q1"/>
    <x v="5"/>
    <n v="9"/>
    <s v="chart_point"/>
    <s v="trend_chart"/>
    <x v="8"/>
    <s v="Cheques"/>
    <x v="14"/>
    <m/>
    <x v="3"/>
    <x v="1"/>
    <n v="1700000"/>
    <s v="count"/>
    <s v="1.70 M"/>
    <s v="TRUE"/>
    <s v="restated"/>
    <m/>
  </r>
  <r>
    <s v="2025-Q1"/>
    <x v="5"/>
    <n v="9"/>
    <s v="chart_point"/>
    <s v="trend_chart"/>
    <x v="9"/>
    <s v="Cheques"/>
    <x v="14"/>
    <m/>
    <x v="3"/>
    <x v="1"/>
    <n v="10610000000"/>
    <s v="JOD"/>
    <s v="10.61 B JOD"/>
    <s v="TRUE"/>
    <s v="restated"/>
    <m/>
  </r>
  <r>
    <s v="2025-Q1"/>
    <x v="5"/>
    <n v="9"/>
    <s v="kpi"/>
    <s v="stat_box"/>
    <x v="8"/>
    <s v="Cheques"/>
    <x v="14"/>
    <m/>
    <x v="4"/>
    <x v="0"/>
    <n v="1430000"/>
    <s v="count"/>
    <s v="1.43 M"/>
    <m/>
    <m/>
    <m/>
  </r>
  <r>
    <s v="2025-Q1"/>
    <x v="5"/>
    <n v="9"/>
    <s v="kpi"/>
    <s v="category_chart"/>
    <x v="10"/>
    <s v="Cheques"/>
    <x v="14"/>
    <m/>
    <x v="4"/>
    <x v="0"/>
    <n v="46000"/>
    <s v="count"/>
    <s v="46.0 K"/>
    <m/>
    <m/>
    <m/>
  </r>
  <r>
    <s v="2025-Q1"/>
    <x v="5"/>
    <n v="9"/>
    <s v="kpi"/>
    <s v="stat_box"/>
    <x v="9"/>
    <s v="Cheques"/>
    <x v="14"/>
    <m/>
    <x v="4"/>
    <x v="0"/>
    <n v="9670000000"/>
    <s v="JOD"/>
    <s v="9.67 B JOD"/>
    <m/>
    <m/>
    <m/>
  </r>
  <r>
    <s v="2025-Q1"/>
    <x v="5"/>
    <n v="9"/>
    <s v="kpi"/>
    <s v="category_chart"/>
    <x v="11"/>
    <s v="Cheques"/>
    <x v="14"/>
    <m/>
    <x v="4"/>
    <x v="0"/>
    <n v="256700000"/>
    <s v="JOD"/>
    <s v="256.70 M JOD"/>
    <m/>
    <m/>
    <m/>
  </r>
  <r>
    <s v="2025-Q2"/>
    <x v="5"/>
    <n v="9"/>
    <s v="chart_point"/>
    <s v="trend_chart"/>
    <x v="8"/>
    <s v="Cheques"/>
    <x v="14"/>
    <m/>
    <x v="4"/>
    <x v="1"/>
    <n v="1430000"/>
    <s v="count"/>
    <s v="1.43 M"/>
    <s v="TRUE"/>
    <s v="restated"/>
    <m/>
  </r>
  <r>
    <s v="2025-Q2"/>
    <x v="5"/>
    <n v="9"/>
    <s v="chart_point"/>
    <s v="trend_chart"/>
    <x v="9"/>
    <s v="Cheques"/>
    <x v="14"/>
    <m/>
    <x v="4"/>
    <x v="1"/>
    <n v="9670000000"/>
    <s v="JOD"/>
    <s v="9.67 B JOD"/>
    <s v="TRUE"/>
    <s v="restated"/>
    <m/>
  </r>
  <r>
    <s v="2025-Q2"/>
    <x v="5"/>
    <n v="9"/>
    <s v="kpi"/>
    <s v="stat_box"/>
    <x v="8"/>
    <s v="Cheques"/>
    <x v="14"/>
    <m/>
    <x v="5"/>
    <x v="0"/>
    <n v="1590000"/>
    <s v="count"/>
    <s v="1.59 M"/>
    <m/>
    <m/>
    <m/>
  </r>
  <r>
    <s v="2025-Q2"/>
    <x v="5"/>
    <n v="9"/>
    <s v="kpi"/>
    <s v="category_chart"/>
    <x v="10"/>
    <s v="Cheques"/>
    <x v="14"/>
    <m/>
    <x v="5"/>
    <x v="0"/>
    <n v="57000"/>
    <s v="count"/>
    <s v="57.0 K"/>
    <m/>
    <m/>
    <m/>
  </r>
  <r>
    <s v="2025-Q2"/>
    <x v="5"/>
    <n v="9"/>
    <s v="kpi"/>
    <s v="stat_box"/>
    <x v="9"/>
    <s v="Cheques"/>
    <x v="14"/>
    <m/>
    <x v="5"/>
    <x v="0"/>
    <n v="9920000000"/>
    <s v="JOD"/>
    <s v="9.92 B JOD"/>
    <m/>
    <m/>
    <m/>
  </r>
  <r>
    <s v="2025-Q2"/>
    <x v="5"/>
    <n v="9"/>
    <s v="kpi"/>
    <s v="category_chart"/>
    <x v="11"/>
    <s v="Cheques"/>
    <x v="14"/>
    <m/>
    <x v="5"/>
    <x v="0"/>
    <n v="324900000"/>
    <s v="JOD"/>
    <s v="324.90 M JOD"/>
    <m/>
    <m/>
    <m/>
  </r>
  <r>
    <s v="2025-Q3"/>
    <x v="5"/>
    <n v="9"/>
    <s v="chart_point"/>
    <s v="trend_chart"/>
    <x v="8"/>
    <s v="Cheques"/>
    <x v="14"/>
    <m/>
    <x v="4"/>
    <x v="1"/>
    <n v="1430000"/>
    <s v="count"/>
    <s v="1.43 M"/>
    <s v="TRUE"/>
    <s v="restated"/>
    <m/>
  </r>
  <r>
    <s v="2025-Q3"/>
    <x v="5"/>
    <n v="9"/>
    <s v="chart_point"/>
    <s v="trend_chart"/>
    <x v="8"/>
    <s v="Cheques"/>
    <x v="14"/>
    <m/>
    <x v="5"/>
    <x v="1"/>
    <n v="1590000"/>
    <s v="count"/>
    <s v="1.59 M"/>
    <s v="TRUE"/>
    <s v="restated"/>
    <m/>
  </r>
  <r>
    <s v="2025-Q3"/>
    <x v="5"/>
    <n v="9"/>
    <s v="chart_point"/>
    <s v="trend_chart"/>
    <x v="9"/>
    <s v="Cheques"/>
    <x v="14"/>
    <m/>
    <x v="4"/>
    <x v="1"/>
    <n v="9670000000"/>
    <s v="JOD"/>
    <s v="9.67 B JOD"/>
    <s v="TRUE"/>
    <s v="restated"/>
    <m/>
  </r>
  <r>
    <s v="2025-Q3"/>
    <x v="5"/>
    <n v="9"/>
    <s v="chart_point"/>
    <s v="trend_chart"/>
    <x v="9"/>
    <s v="Cheques"/>
    <x v="14"/>
    <m/>
    <x v="5"/>
    <x v="1"/>
    <n v="9920000000"/>
    <s v="JOD"/>
    <s v="9.92 B JOD"/>
    <s v="TRUE"/>
    <s v="restated"/>
    <m/>
  </r>
  <r>
    <s v="2025-Q3"/>
    <x v="5"/>
    <n v="9"/>
    <s v="kpi"/>
    <s v="stat_box"/>
    <x v="8"/>
    <s v="Cheques"/>
    <x v="14"/>
    <m/>
    <x v="6"/>
    <x v="0"/>
    <n v="1610000"/>
    <s v="count"/>
    <s v="1.61 M"/>
    <m/>
    <m/>
    <m/>
  </r>
  <r>
    <s v="2025-Q3"/>
    <x v="5"/>
    <n v="9"/>
    <s v="kpi"/>
    <s v="category_chart"/>
    <x v="10"/>
    <s v="Cheques"/>
    <x v="14"/>
    <m/>
    <x v="6"/>
    <x v="0"/>
    <n v="49000"/>
    <s v="count"/>
    <s v="49.0 K"/>
    <m/>
    <m/>
    <m/>
  </r>
  <r>
    <s v="2025-Q3"/>
    <x v="5"/>
    <n v="9"/>
    <s v="kpi"/>
    <s v="stat_box"/>
    <x v="9"/>
    <s v="Cheques"/>
    <x v="14"/>
    <m/>
    <x v="6"/>
    <x v="0"/>
    <n v="10560000000"/>
    <s v="JOD"/>
    <s v="10.56 B JOD"/>
    <m/>
    <m/>
    <m/>
  </r>
  <r>
    <s v="2025-Q3"/>
    <x v="5"/>
    <n v="9"/>
    <s v="kpi"/>
    <s v="category_chart"/>
    <x v="11"/>
    <s v="Cheques"/>
    <x v="14"/>
    <m/>
    <x v="6"/>
    <x v="0"/>
    <n v="268600000"/>
    <s v="JOD"/>
    <s v="268.60 M JOD"/>
    <m/>
    <m/>
    <m/>
  </r>
  <r>
    <s v="2025-Q4"/>
    <x v="5"/>
    <n v="9"/>
    <s v="chart_point"/>
    <s v="trend_chart"/>
    <x v="8"/>
    <s v="Cheques"/>
    <x v="14"/>
    <m/>
    <x v="4"/>
    <x v="1"/>
    <n v="1430000"/>
    <s v="count"/>
    <s v="1.43 M"/>
    <s v="TRUE"/>
    <s v="restated"/>
    <m/>
  </r>
  <r>
    <s v="2025-Q4"/>
    <x v="5"/>
    <n v="9"/>
    <s v="chart_point"/>
    <s v="trend_chart"/>
    <x v="8"/>
    <s v="Cheques"/>
    <x v="14"/>
    <m/>
    <x v="5"/>
    <x v="1"/>
    <n v="1590000"/>
    <s v="count"/>
    <s v="1.59 M"/>
    <s v="TRUE"/>
    <s v="restated"/>
    <m/>
  </r>
  <r>
    <s v="2025-Q4"/>
    <x v="5"/>
    <n v="9"/>
    <s v="chart_point"/>
    <s v="trend_chart"/>
    <x v="8"/>
    <s v="Cheques"/>
    <x v="14"/>
    <m/>
    <x v="6"/>
    <x v="1"/>
    <n v="1610000"/>
    <s v="count"/>
    <s v="1.61 M"/>
    <s v="TRUE"/>
    <s v="restated"/>
    <m/>
  </r>
  <r>
    <s v="2025-Q4"/>
    <x v="5"/>
    <n v="9"/>
    <s v="chart_point"/>
    <s v="trend_chart"/>
    <x v="9"/>
    <s v="Cheques"/>
    <x v="14"/>
    <m/>
    <x v="4"/>
    <x v="1"/>
    <n v="9670000000"/>
    <s v="JOD"/>
    <s v="9.67 B JOD"/>
    <s v="TRUE"/>
    <s v="restated"/>
    <m/>
  </r>
  <r>
    <s v="2025-Q4"/>
    <x v="5"/>
    <n v="9"/>
    <s v="chart_point"/>
    <s v="trend_chart"/>
    <x v="9"/>
    <s v="Cheques"/>
    <x v="14"/>
    <m/>
    <x v="5"/>
    <x v="1"/>
    <n v="9920000000"/>
    <s v="JOD"/>
    <s v="9.92 B JOD"/>
    <s v="TRUE"/>
    <s v="restated"/>
    <m/>
  </r>
  <r>
    <s v="2025-Q4"/>
    <x v="5"/>
    <n v="9"/>
    <s v="chart_point"/>
    <s v="trend_chart"/>
    <x v="9"/>
    <s v="Cheques"/>
    <x v="14"/>
    <m/>
    <x v="6"/>
    <x v="1"/>
    <n v="10560000000"/>
    <s v="JOD"/>
    <s v="10.56 B JOD"/>
    <s v="TRUE"/>
    <s v="restated"/>
    <m/>
  </r>
  <r>
    <s v="2025-Q4"/>
    <x v="5"/>
    <n v="9"/>
    <s v="kpi"/>
    <s v="stat_box"/>
    <x v="8"/>
    <s v="Cheques"/>
    <x v="14"/>
    <m/>
    <x v="7"/>
    <x v="0"/>
    <n v="1650000"/>
    <s v="count"/>
    <s v="1.65 M"/>
    <m/>
    <m/>
    <m/>
  </r>
  <r>
    <s v="2025-Q4"/>
    <x v="5"/>
    <n v="9"/>
    <s v="kpi"/>
    <s v="category_chart"/>
    <x v="10"/>
    <s v="Cheques"/>
    <x v="14"/>
    <m/>
    <x v="7"/>
    <x v="0"/>
    <n v="51000"/>
    <s v="count"/>
    <s v="51.0 K"/>
    <m/>
    <m/>
    <m/>
  </r>
  <r>
    <s v="2025-Q4"/>
    <x v="5"/>
    <n v="9"/>
    <s v="kpi"/>
    <s v="stat_box"/>
    <x v="9"/>
    <s v="Cheques"/>
    <x v="14"/>
    <m/>
    <x v="7"/>
    <x v="0"/>
    <n v="10810000000"/>
    <s v="JOD"/>
    <s v="10.81 B JOD"/>
    <m/>
    <m/>
    <m/>
  </r>
  <r>
    <s v="2025-Q4"/>
    <x v="5"/>
    <n v="9"/>
    <s v="kpi"/>
    <s v="category_chart"/>
    <x v="11"/>
    <s v="Cheques"/>
    <x v="14"/>
    <m/>
    <x v="7"/>
    <x v="0"/>
    <n v="265900000"/>
    <s v="JOD"/>
    <s v="265.90 M JOD"/>
    <m/>
    <m/>
    <m/>
  </r>
  <r>
    <s v="2026-Q1"/>
    <x v="5"/>
    <n v="9"/>
    <s v="chart_point"/>
    <s v="trend_chart"/>
    <x v="8"/>
    <s v="Cheques"/>
    <x v="14"/>
    <m/>
    <x v="7"/>
    <x v="1"/>
    <n v="1650000"/>
    <s v="count"/>
    <s v="1.65 M"/>
    <s v="TRUE"/>
    <s v="restated"/>
    <m/>
  </r>
  <r>
    <s v="2026-Q1"/>
    <x v="5"/>
    <n v="9"/>
    <s v="chart_point"/>
    <s v="trend_chart"/>
    <x v="9"/>
    <s v="Cheques"/>
    <x v="14"/>
    <m/>
    <x v="7"/>
    <x v="1"/>
    <n v="10810000000"/>
    <s v="JOD"/>
    <s v="10.81 B JOD"/>
    <s v="TRUE"/>
    <s v="restated"/>
    <m/>
  </r>
  <r>
    <s v="2026-Q1"/>
    <x v="5"/>
    <n v="9"/>
    <s v="kpi"/>
    <s v="stat_box"/>
    <x v="8"/>
    <s v="Cheques"/>
    <x v="14"/>
    <m/>
    <x v="8"/>
    <x v="0"/>
    <n v="1450000"/>
    <s v="count"/>
    <s v="1.45 M"/>
    <m/>
    <m/>
    <m/>
  </r>
  <r>
    <s v="2026-Q1"/>
    <x v="5"/>
    <n v="9"/>
    <s v="kpi"/>
    <s v="category_chart"/>
    <x v="10"/>
    <s v="Cheques"/>
    <x v="14"/>
    <m/>
    <x v="8"/>
    <x v="0"/>
    <n v="45800"/>
    <s v="count"/>
    <s v="45.8 K"/>
    <m/>
    <m/>
    <m/>
  </r>
  <r>
    <s v="2026-Q1"/>
    <x v="5"/>
    <n v="9"/>
    <s v="kpi"/>
    <s v="stat_box"/>
    <x v="9"/>
    <s v="Cheques"/>
    <x v="14"/>
    <m/>
    <x v="8"/>
    <x v="0"/>
    <n v="9740000000"/>
    <s v="JOD"/>
    <s v="9.74 B JOD"/>
    <m/>
    <m/>
    <m/>
  </r>
  <r>
    <s v="2026-Q1"/>
    <x v="5"/>
    <n v="9"/>
    <s v="kpi"/>
    <s v="category_chart"/>
    <x v="11"/>
    <s v="Cheques"/>
    <x v="14"/>
    <m/>
    <x v="8"/>
    <x v="0"/>
    <n v="260700000"/>
    <s v="JOD"/>
    <s v="260.70 M JOD"/>
    <m/>
    <m/>
    <m/>
  </r>
  <r>
    <s v="2026-Q2"/>
    <x v="5"/>
    <n v="9"/>
    <s v="chart_point"/>
    <s v="trend_chart"/>
    <x v="8"/>
    <s v="Cheques"/>
    <x v="14"/>
    <m/>
    <x v="8"/>
    <x v="1"/>
    <n v="1450000"/>
    <s v="count"/>
    <s v="1.45 M"/>
    <s v="TRUE"/>
    <s v="restated"/>
    <m/>
  </r>
  <r>
    <s v="2026-Q2"/>
    <x v="5"/>
    <n v="9"/>
    <s v="chart_point"/>
    <s v="trend_chart"/>
    <x v="9"/>
    <s v="Cheques"/>
    <x v="14"/>
    <m/>
    <x v="8"/>
    <x v="1"/>
    <n v="9740000000"/>
    <s v="JOD"/>
    <s v="9.74 B JOD"/>
    <s v="TRUE"/>
    <s v="restated"/>
    <m/>
  </r>
  <r>
    <s v="2026-Q2"/>
    <x v="5"/>
    <n v="9"/>
    <s v="kpi"/>
    <s v="stat_box"/>
    <x v="8"/>
    <s v="Cheques"/>
    <x v="14"/>
    <m/>
    <x v="9"/>
    <x v="0"/>
    <n v="1500000"/>
    <s v="count"/>
    <s v="1.50 M"/>
    <m/>
    <m/>
    <m/>
  </r>
  <r>
    <s v="2026-Q2"/>
    <x v="5"/>
    <n v="9"/>
    <s v="kpi"/>
    <s v="category_chart"/>
    <x v="10"/>
    <s v="Cheques"/>
    <x v="14"/>
    <m/>
    <x v="9"/>
    <x v="0"/>
    <n v="47200"/>
    <s v="count"/>
    <s v="47.2 K"/>
    <m/>
    <m/>
    <m/>
  </r>
  <r>
    <s v="2026-Q2"/>
    <x v="5"/>
    <n v="9"/>
    <s v="kpi"/>
    <s v="stat_box"/>
    <x v="9"/>
    <s v="Cheques"/>
    <x v="14"/>
    <m/>
    <x v="9"/>
    <x v="0"/>
    <n v="9990000000"/>
    <s v="JOD"/>
    <s v="9.99 B JOD"/>
    <m/>
    <m/>
    <m/>
  </r>
  <r>
    <s v="2026-Q2"/>
    <x v="5"/>
    <n v="9"/>
    <s v="kpi"/>
    <s v="category_chart"/>
    <x v="11"/>
    <s v="Cheques"/>
    <x v="14"/>
    <m/>
    <x v="9"/>
    <x v="0"/>
    <n v="275000000"/>
    <s v="JOD"/>
    <s v="275.00 M JOD"/>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27810-2C26-45A3-9B2A-6248B44009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F16" firstHeaderRow="1" firstDataRow="2" firstDataCol="1" rowPageCount="3" colPageCount="1"/>
  <pivotFields count="17">
    <pivotField showAll="0"/>
    <pivotField axis="axisPage" multipleItemSelectionAllowed="1" showAll="0">
      <items count="7">
        <item x="4"/>
        <item h="1" x="0"/>
        <item h="1" x="5"/>
        <item h="1" x="3"/>
        <item h="1" x="2"/>
        <item h="1" x="1"/>
        <item t="default"/>
      </items>
    </pivotField>
    <pivotField showAll="0"/>
    <pivotField showAll="0"/>
    <pivotField showAll="0"/>
    <pivotField axis="axisPage" multipleItemSelectionAllowed="1" showAll="0">
      <items count="13">
        <item x="8"/>
        <item x="6"/>
        <item x="4"/>
        <item x="10"/>
        <item x="1"/>
        <item x="0"/>
        <item x="3"/>
        <item x="9"/>
        <item x="7"/>
        <item x="5"/>
        <item x="11"/>
        <item x="2"/>
        <item t="default"/>
      </items>
    </pivotField>
    <pivotField showAll="0"/>
    <pivotField axis="axisCol" multipleItemSelectionAllowed="1" showAll="0">
      <items count="45">
        <item x="7"/>
        <item x="0"/>
        <item x="1"/>
        <item x="2"/>
        <item x="3"/>
        <item x="4"/>
        <item x="5"/>
        <item x="6"/>
        <item x="17"/>
        <item x="28"/>
        <item x="24"/>
        <item x="40"/>
        <item x="18"/>
        <item x="29"/>
        <item x="22"/>
        <item x="23"/>
        <item x="30"/>
        <item x="31"/>
        <item x="41"/>
        <item x="8"/>
        <item x="32"/>
        <item x="33"/>
        <item x="42"/>
        <item x="34"/>
        <item x="19"/>
        <item x="9"/>
        <item x="10"/>
        <item x="11"/>
        <item x="12"/>
        <item x="20"/>
        <item x="15"/>
        <item x="27"/>
        <item x="13"/>
        <item x="25"/>
        <item x="26"/>
        <item x="21"/>
        <item x="16"/>
        <item x="35"/>
        <item x="36"/>
        <item x="37"/>
        <item x="43"/>
        <item x="38"/>
        <item x="39"/>
        <item x="14"/>
        <item t="default"/>
      </items>
    </pivotField>
    <pivotField showAll="0"/>
    <pivotField axis="axisRow" showAll="0">
      <items count="11">
        <item x="1"/>
        <item x="2"/>
        <item x="0"/>
        <item x="3"/>
        <item x="4"/>
        <item x="5"/>
        <item x="6"/>
        <item x="7"/>
        <item x="8"/>
        <item x="9"/>
        <item t="default"/>
      </items>
    </pivotField>
    <pivotField axis="axisPage" showAll="0">
      <items count="3">
        <item x="0"/>
        <item x="1"/>
        <item t="default"/>
      </items>
    </pivotField>
    <pivotField dataField="1" showAll="0"/>
    <pivotField showAll="0"/>
    <pivotField showAll="0"/>
    <pivotField showAll="0"/>
    <pivotField showAll="0"/>
    <pivotField showAll="0"/>
  </pivotFields>
  <rowFields count="1">
    <field x="9"/>
  </rowFields>
  <rowItems count="9">
    <i>
      <x v="2"/>
    </i>
    <i>
      <x v="3"/>
    </i>
    <i>
      <x v="4"/>
    </i>
    <i>
      <x v="5"/>
    </i>
    <i>
      <x v="6"/>
    </i>
    <i>
      <x v="7"/>
    </i>
    <i>
      <x v="8"/>
    </i>
    <i>
      <x v="9"/>
    </i>
    <i t="grand">
      <x/>
    </i>
  </rowItems>
  <colFields count="1">
    <field x="7"/>
  </colFields>
  <colItems count="5">
    <i>
      <x v="18"/>
    </i>
    <i>
      <x v="22"/>
    </i>
    <i>
      <x v="40"/>
    </i>
    <i>
      <x v="43"/>
    </i>
    <i t="grand">
      <x/>
    </i>
  </colItems>
  <pageFields count="3">
    <pageField fld="10" item="0" hier="-1"/>
    <pageField fld="1" hier="-1"/>
    <pageField fld="5" hier="-1"/>
  </pageFields>
  <dataFields count="1">
    <dataField name="Sum of value" fld="11" baseField="0" baseItem="0"/>
  </dataFields>
  <chartFormats count="45">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7" format="4" series="1">
      <pivotArea type="data" outline="0" fieldPosition="0">
        <references count="2">
          <reference field="4294967294" count="1" selected="0">
            <x v="0"/>
          </reference>
          <reference field="7" count="1" selected="0">
            <x v="4"/>
          </reference>
        </references>
      </pivotArea>
    </chartFormat>
    <chartFormat chart="7" format="5" series="1">
      <pivotArea type="data" outline="0" fieldPosition="0">
        <references count="2">
          <reference field="4294967294" count="1" selected="0">
            <x v="0"/>
          </reference>
          <reference field="7" count="1" selected="0">
            <x v="5"/>
          </reference>
        </references>
      </pivotArea>
    </chartFormat>
    <chartFormat chart="7" format="6" series="1">
      <pivotArea type="data" outline="0" fieldPosition="0">
        <references count="2">
          <reference field="4294967294" count="1" selected="0">
            <x v="0"/>
          </reference>
          <reference field="7" count="1" selected="0">
            <x v="6"/>
          </reference>
        </references>
      </pivotArea>
    </chartFormat>
    <chartFormat chart="7" format="7" series="1">
      <pivotArea type="data" outline="0" fieldPosition="0">
        <references count="2">
          <reference field="4294967294" count="1" selected="0">
            <x v="0"/>
          </reference>
          <reference field="7" count="1" selected="0">
            <x v="7"/>
          </reference>
        </references>
      </pivotArea>
    </chartFormat>
    <chartFormat chart="7" format="8" series="1">
      <pivotArea type="data" outline="0" fieldPosition="0">
        <references count="2">
          <reference field="4294967294" count="1" selected="0">
            <x v="0"/>
          </reference>
          <reference field="7" count="1" selected="0">
            <x v="19"/>
          </reference>
        </references>
      </pivotArea>
    </chartFormat>
    <chartFormat chart="7" format="9" series="1">
      <pivotArea type="data" outline="0" fieldPosition="0">
        <references count="2">
          <reference field="4294967294" count="1" selected="0">
            <x v="0"/>
          </reference>
          <reference field="7" count="1" selected="0">
            <x v="25"/>
          </reference>
        </references>
      </pivotArea>
    </chartFormat>
    <chartFormat chart="7" format="10" series="1">
      <pivotArea type="data" outline="0" fieldPosition="0">
        <references count="2">
          <reference field="4294967294" count="1" selected="0">
            <x v="0"/>
          </reference>
          <reference field="7" count="1" selected="0">
            <x v="26"/>
          </reference>
        </references>
      </pivotArea>
    </chartFormat>
    <chartFormat chart="7" format="11" series="1">
      <pivotArea type="data" outline="0" fieldPosition="0">
        <references count="2">
          <reference field="4294967294" count="1" selected="0">
            <x v="0"/>
          </reference>
          <reference field="7" count="1" selected="0">
            <x v="27"/>
          </reference>
        </references>
      </pivotArea>
    </chartFormat>
    <chartFormat chart="7" format="12" series="1">
      <pivotArea type="data" outline="0" fieldPosition="0">
        <references count="2">
          <reference field="4294967294" count="1" selected="0">
            <x v="0"/>
          </reference>
          <reference field="7" count="1" selected="0">
            <x v="28"/>
          </reference>
        </references>
      </pivotArea>
    </chartFormat>
    <chartFormat chart="7" format="13" series="1">
      <pivotArea type="data" outline="0" fieldPosition="0">
        <references count="2">
          <reference field="4294967294" count="1" selected="0">
            <x v="0"/>
          </reference>
          <reference field="7" count="1" selected="0">
            <x v="32"/>
          </reference>
        </references>
      </pivotArea>
    </chartFormat>
    <chartFormat chart="7" format="14" series="1">
      <pivotArea type="data" outline="0" fieldPosition="0">
        <references count="2">
          <reference field="4294967294" count="1" selected="0">
            <x v="0"/>
          </reference>
          <reference field="7" count="1" selected="0">
            <x v="43"/>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2">
          <reference field="4294967294" count="1" selected="0">
            <x v="0"/>
          </reference>
          <reference field="7" count="1" selected="0">
            <x v="31"/>
          </reference>
        </references>
      </pivotArea>
    </chartFormat>
    <chartFormat chart="7" format="17" series="1">
      <pivotArea type="data" outline="0" fieldPosition="0">
        <references count="2">
          <reference field="4294967294" count="1" selected="0">
            <x v="0"/>
          </reference>
          <reference field="7" count="1" selected="0">
            <x v="33"/>
          </reference>
        </references>
      </pivotArea>
    </chartFormat>
    <chartFormat chart="7" format="18" series="1">
      <pivotArea type="data" outline="0" fieldPosition="0">
        <references count="2">
          <reference field="4294967294" count="1" selected="0">
            <x v="0"/>
          </reference>
          <reference field="7" count="1" selected="0">
            <x v="34"/>
          </reference>
        </references>
      </pivotArea>
    </chartFormat>
    <chartFormat chart="7" format="19" series="1">
      <pivotArea type="data" outline="0" fieldPosition="0">
        <references count="2">
          <reference field="4294967294" count="1" selected="0">
            <x v="0"/>
          </reference>
          <reference field="7" count="1" selected="0">
            <x v="8"/>
          </reference>
        </references>
      </pivotArea>
    </chartFormat>
    <chartFormat chart="7" format="20" series="1">
      <pivotArea type="data" outline="0" fieldPosition="0">
        <references count="2">
          <reference field="4294967294" count="1" selected="0">
            <x v="0"/>
          </reference>
          <reference field="7" count="1" selected="0">
            <x v="9"/>
          </reference>
        </references>
      </pivotArea>
    </chartFormat>
    <chartFormat chart="7" format="21" series="1">
      <pivotArea type="data" outline="0" fieldPosition="0">
        <references count="2">
          <reference field="4294967294" count="1" selected="0">
            <x v="0"/>
          </reference>
          <reference field="7" count="1" selected="0">
            <x v="10"/>
          </reference>
        </references>
      </pivotArea>
    </chartFormat>
    <chartFormat chart="7" format="22" series="1">
      <pivotArea type="data" outline="0" fieldPosition="0">
        <references count="2">
          <reference field="4294967294" count="1" selected="0">
            <x v="0"/>
          </reference>
          <reference field="7" count="1" selected="0">
            <x v="11"/>
          </reference>
        </references>
      </pivotArea>
    </chartFormat>
    <chartFormat chart="7" format="23" series="1">
      <pivotArea type="data" outline="0" fieldPosition="0">
        <references count="2">
          <reference field="4294967294" count="1" selected="0">
            <x v="0"/>
          </reference>
          <reference field="7" count="1" selected="0">
            <x v="12"/>
          </reference>
        </references>
      </pivotArea>
    </chartFormat>
    <chartFormat chart="7" format="24" series="1">
      <pivotArea type="data" outline="0" fieldPosition="0">
        <references count="2">
          <reference field="4294967294" count="1" selected="0">
            <x v="0"/>
          </reference>
          <reference field="7" count="1" selected="0">
            <x v="13"/>
          </reference>
        </references>
      </pivotArea>
    </chartFormat>
    <chartFormat chart="7" format="25" series="1">
      <pivotArea type="data" outline="0" fieldPosition="0">
        <references count="2">
          <reference field="4294967294" count="1" selected="0">
            <x v="0"/>
          </reference>
          <reference field="7" count="1" selected="0">
            <x v="14"/>
          </reference>
        </references>
      </pivotArea>
    </chartFormat>
    <chartFormat chart="7" format="26" series="1">
      <pivotArea type="data" outline="0" fieldPosition="0">
        <references count="2">
          <reference field="4294967294" count="1" selected="0">
            <x v="0"/>
          </reference>
          <reference field="7" count="1" selected="0">
            <x v="15"/>
          </reference>
        </references>
      </pivotArea>
    </chartFormat>
    <chartFormat chart="7" format="27" series="1">
      <pivotArea type="data" outline="0" fieldPosition="0">
        <references count="2">
          <reference field="4294967294" count="1" selected="0">
            <x v="0"/>
          </reference>
          <reference field="7" count="1" selected="0">
            <x v="16"/>
          </reference>
        </references>
      </pivotArea>
    </chartFormat>
    <chartFormat chart="7" format="28" series="1">
      <pivotArea type="data" outline="0" fieldPosition="0">
        <references count="2">
          <reference field="4294967294" count="1" selected="0">
            <x v="0"/>
          </reference>
          <reference field="7" count="1" selected="0">
            <x v="17"/>
          </reference>
        </references>
      </pivotArea>
    </chartFormat>
    <chartFormat chart="7" format="29" series="1">
      <pivotArea type="data" outline="0" fieldPosition="0">
        <references count="2">
          <reference field="4294967294" count="1" selected="0">
            <x v="0"/>
          </reference>
          <reference field="7" count="1" selected="0">
            <x v="18"/>
          </reference>
        </references>
      </pivotArea>
    </chartFormat>
    <chartFormat chart="7" format="30" series="1">
      <pivotArea type="data" outline="0" fieldPosition="0">
        <references count="2">
          <reference field="4294967294" count="1" selected="0">
            <x v="0"/>
          </reference>
          <reference field="7" count="1" selected="0">
            <x v="20"/>
          </reference>
        </references>
      </pivotArea>
    </chartFormat>
    <chartFormat chart="7" format="31" series="1">
      <pivotArea type="data" outline="0" fieldPosition="0">
        <references count="2">
          <reference field="4294967294" count="1" selected="0">
            <x v="0"/>
          </reference>
          <reference field="7" count="1" selected="0">
            <x v="21"/>
          </reference>
        </references>
      </pivotArea>
    </chartFormat>
    <chartFormat chart="7" format="32" series="1">
      <pivotArea type="data" outline="0" fieldPosition="0">
        <references count="2">
          <reference field="4294967294" count="1" selected="0">
            <x v="0"/>
          </reference>
          <reference field="7" count="1" selected="0">
            <x v="22"/>
          </reference>
        </references>
      </pivotArea>
    </chartFormat>
    <chartFormat chart="7" format="33" series="1">
      <pivotArea type="data" outline="0" fieldPosition="0">
        <references count="2">
          <reference field="4294967294" count="1" selected="0">
            <x v="0"/>
          </reference>
          <reference field="7" count="1" selected="0">
            <x v="23"/>
          </reference>
        </references>
      </pivotArea>
    </chartFormat>
    <chartFormat chart="7" format="34" series="1">
      <pivotArea type="data" outline="0" fieldPosition="0">
        <references count="2">
          <reference field="4294967294" count="1" selected="0">
            <x v="0"/>
          </reference>
          <reference field="7" count="1" selected="0">
            <x v="24"/>
          </reference>
        </references>
      </pivotArea>
    </chartFormat>
    <chartFormat chart="7" format="35" series="1">
      <pivotArea type="data" outline="0" fieldPosition="0">
        <references count="2">
          <reference field="4294967294" count="1" selected="0">
            <x v="0"/>
          </reference>
          <reference field="7" count="1" selected="0">
            <x v="29"/>
          </reference>
        </references>
      </pivotArea>
    </chartFormat>
    <chartFormat chart="7" format="36" series="1">
      <pivotArea type="data" outline="0" fieldPosition="0">
        <references count="2">
          <reference field="4294967294" count="1" selected="0">
            <x v="0"/>
          </reference>
          <reference field="7" count="1" selected="0">
            <x v="30"/>
          </reference>
        </references>
      </pivotArea>
    </chartFormat>
    <chartFormat chart="7" format="37" series="1">
      <pivotArea type="data" outline="0" fieldPosition="0">
        <references count="2">
          <reference field="4294967294" count="1" selected="0">
            <x v="0"/>
          </reference>
          <reference field="7" count="1" selected="0">
            <x v="35"/>
          </reference>
        </references>
      </pivotArea>
    </chartFormat>
    <chartFormat chart="7" format="38" series="1">
      <pivotArea type="data" outline="0" fieldPosition="0">
        <references count="2">
          <reference field="4294967294" count="1" selected="0">
            <x v="0"/>
          </reference>
          <reference field="7" count="1" selected="0">
            <x v="36"/>
          </reference>
        </references>
      </pivotArea>
    </chartFormat>
    <chartFormat chart="7" format="39" series="1">
      <pivotArea type="data" outline="0" fieldPosition="0">
        <references count="2">
          <reference field="4294967294" count="1" selected="0">
            <x v="0"/>
          </reference>
          <reference field="7" count="1" selected="0">
            <x v="37"/>
          </reference>
        </references>
      </pivotArea>
    </chartFormat>
    <chartFormat chart="7" format="40" series="1">
      <pivotArea type="data" outline="0" fieldPosition="0">
        <references count="2">
          <reference field="4294967294" count="1" selected="0">
            <x v="0"/>
          </reference>
          <reference field="7" count="1" selected="0">
            <x v="38"/>
          </reference>
        </references>
      </pivotArea>
    </chartFormat>
    <chartFormat chart="7" format="41" series="1">
      <pivotArea type="data" outline="0" fieldPosition="0">
        <references count="2">
          <reference field="4294967294" count="1" selected="0">
            <x v="0"/>
          </reference>
          <reference field="7" count="1" selected="0">
            <x v="39"/>
          </reference>
        </references>
      </pivotArea>
    </chartFormat>
    <chartFormat chart="7" format="42" series="1">
      <pivotArea type="data" outline="0" fieldPosition="0">
        <references count="2">
          <reference field="4294967294" count="1" selected="0">
            <x v="0"/>
          </reference>
          <reference field="7" count="1" selected="0">
            <x v="40"/>
          </reference>
        </references>
      </pivotArea>
    </chartFormat>
    <chartFormat chart="7" format="43" series="1">
      <pivotArea type="data" outline="0" fieldPosition="0">
        <references count="2">
          <reference field="4294967294" count="1" selected="0">
            <x v="0"/>
          </reference>
          <reference field="7" count="1" selected="0">
            <x v="41"/>
          </reference>
        </references>
      </pivotArea>
    </chartFormat>
    <chartFormat chart="7" format="44" series="1">
      <pivotArea type="data" outline="0" fieldPosition="0">
        <references count="2">
          <reference field="4294967294" count="1" selected="0">
            <x v="0"/>
          </reference>
          <reference field="7" count="1" selected="0">
            <x v="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4FE9D3B5-3CBC-409A-9B13-E8E2BD94C992}" sourceName="system">
  <pivotTables>
    <pivotTable tabId="9" name="PivotTable1"/>
  </pivotTables>
  <data>
    <tabular pivotCacheId="219321859">
      <items count="6">
        <i x="4" s="1"/>
        <i x="0"/>
        <i x="5"/>
        <i x="3"/>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787D1682-92FF-4680-B3B3-8436F52EB43C}" sourceName="metric">
  <pivotTables>
    <pivotTable tabId="9" name="PivotTable1"/>
  </pivotTables>
  <data>
    <tabular pivotCacheId="219321859">
      <items count="12">
        <i x="6" s="1"/>
        <i x="1" s="1"/>
        <i x="7" s="1"/>
        <i x="2" s="1"/>
        <i x="8" s="1" nd="1"/>
        <i x="4" s="1" nd="1"/>
        <i x="10" s="1" nd="1"/>
        <i x="0" s="1" nd="1"/>
        <i x="3" s="1" nd="1"/>
        <i x="9" s="1" nd="1"/>
        <i x="5"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_L1" xr10:uid="{D4480F7A-8533-4D4F-84C2-B2F563BD5FA1}" sourceName="dimension_L1">
  <pivotTables>
    <pivotTable tabId="9" name="PivotTable1"/>
  </pivotTables>
  <data>
    <tabular pivotCacheId="219321859">
      <items count="44">
        <i x="41" s="1"/>
        <i x="42" s="1"/>
        <i x="43" s="1"/>
        <i x="14" s="1"/>
        <i x="7" s="1" nd="1"/>
        <i x="0" s="1" nd="1"/>
        <i x="1" s="1" nd="1"/>
        <i x="2" s="1" nd="1"/>
        <i x="3" s="1" nd="1"/>
        <i x="4" s="1" nd="1"/>
        <i x="5" s="1" nd="1"/>
        <i x="6" s="1" nd="1"/>
        <i x="17" s="1" nd="1"/>
        <i x="28" s="1" nd="1"/>
        <i x="24" s="1" nd="1"/>
        <i x="40" s="1" nd="1"/>
        <i x="18" s="1" nd="1"/>
        <i x="29" s="1" nd="1"/>
        <i x="22" s="1" nd="1"/>
        <i x="23" s="1" nd="1"/>
        <i x="30" s="1" nd="1"/>
        <i x="31" s="1" nd="1"/>
        <i x="8" s="1" nd="1"/>
        <i x="32" s="1" nd="1"/>
        <i x="33" s="1" nd="1"/>
        <i x="34" s="1" nd="1"/>
        <i x="19" s="1" nd="1"/>
        <i x="9" s="1" nd="1"/>
        <i x="10" s="1" nd="1"/>
        <i x="11" s="1" nd="1"/>
        <i x="12" s="1" nd="1"/>
        <i x="20" s="1" nd="1"/>
        <i x="15" s="1" nd="1"/>
        <i x="27" s="1" nd="1"/>
        <i x="13" s="1" nd="1"/>
        <i x="25" s="1" nd="1"/>
        <i x="26" s="1" nd="1"/>
        <i x="21" s="1" nd="1"/>
        <i x="16" s="1" nd="1"/>
        <i x="35" s="1" nd="1"/>
        <i x="36" s="1" nd="1"/>
        <i x="37" s="1" nd="1"/>
        <i x="38" s="1" nd="1"/>
        <i x="3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CF637AE0-FDDB-4B44-8B83-00F3525F6841}" cache="Slicer_system" caption="system" rowHeight="241300"/>
  <slicer name="metric" xr10:uid="{5FDDD37E-21E6-4200-A7BE-D58C58C2F356}" cache="Slicer_metric" caption="metric" rowHeight="241300"/>
  <slicer name="dimension_L1" xr10:uid="{06F197AB-6125-431F-A7BA-DB3A11479D0C}" cache="Slicer_dimension_L1" caption="dimension_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3084A-7EF3-44E6-8158-05B86666B328}" name="Table1" displayName="Table1" ref="A1:Q1059" totalsRowShown="0" headerRowDxfId="0">
  <autoFilter ref="A1:Q1059" xr:uid="{2D33084A-7EF3-44E6-8158-05B86666B328}">
    <filterColumn colId="1">
      <filters>
        <filter val="efawateercom"/>
      </filters>
    </filterColumn>
  </autoFilter>
  <tableColumns count="17">
    <tableColumn id="1" xr3:uid="{B6F1FF03-1925-47EA-9537-E517808AEBBC}" name="report_period"/>
    <tableColumn id="2" xr3:uid="{52936C9C-05AA-46F6-894A-637DE46C791E}" name="system"/>
    <tableColumn id="3" xr3:uid="{CF12A6E8-D2A4-469C-8A1F-2A9CE443049C}" name="page"/>
    <tableColumn id="4" xr3:uid="{77BBE6D5-D77C-4477-8051-47FF35F28BCA}" name="content_type"/>
    <tableColumn id="5" xr3:uid="{06545ACA-E6E7-41CD-9AAA-0B678F10302F}" name="extracted_from"/>
    <tableColumn id="6" xr3:uid="{34F37ED2-A15C-46C4-A38E-EB01D22A1076}" name="metric"/>
    <tableColumn id="7" xr3:uid="{2BDB978B-9024-4CEA-9183-64C5DE953F94}" name="system_title"/>
    <tableColumn id="8" xr3:uid="{5BAF7432-60B0-49F6-94C9-EA07DCFE702B}" name="dimension_L1"/>
    <tableColumn id="9" xr3:uid="{3F61EB82-B8F1-4685-B944-70054C438474}" name="dimension_L2"/>
    <tableColumn id="10" xr3:uid="{1228E8DA-2E93-4AA7-866E-074F973245F5}" name="event_period"/>
    <tableColumn id="11" xr3:uid="{B05220CF-793F-47D3-A73B-79FCD6C7D1DB}" name="period_scope"/>
    <tableColumn id="12" xr3:uid="{39B978DD-9B9A-4084-8BF4-A4C60B033F5C}" name="value"/>
    <tableColumn id="13" xr3:uid="{8BB1DF4B-4CF9-4F32-A7B5-83D015DA8AEF}" name="unit"/>
    <tableColumn id="14" xr3:uid="{243BCEDB-6735-4D59-92D2-EE4791D17034}" name="raw_text"/>
    <tableColumn id="15" xr3:uid="{1061B041-8B01-4868-82F2-FA2285E98690}" name="chart_labeled"/>
    <tableColumn id="16" xr3:uid="{D0EF698D-05F5-40FA-A03B-0231E2EC9822}" name="reading_rank"/>
    <tableColumn id="17" xr3:uid="{2E8EF63B-F2AB-4CFE-AC2E-BFD073AD8705}" name="note"/>
  </tableColumns>
  <tableStyleInfo name="TableStyleMedium1"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0B1F3A"/>
      </a:dk2>
      <a:lt2>
        <a:srgbClr val="EDEDED"/>
      </a:lt2>
      <a:accent1>
        <a:srgbClr val="E8730C"/>
      </a:accent1>
      <a:accent2>
        <a:srgbClr val="0B1F3A"/>
      </a:accent2>
      <a:accent3>
        <a:srgbClr val="BFBFBF"/>
      </a:accent3>
      <a:accent4>
        <a:srgbClr val="B85A08"/>
      </a:accent4>
      <a:accent5>
        <a:srgbClr val="1B3A66"/>
      </a:accent5>
      <a:accent6>
        <a:srgbClr val="D9D9D9"/>
      </a:accent6>
      <a:hlink>
        <a:srgbClr val="E8730C"/>
      </a:hlink>
      <a:folHlink>
        <a:srgbClr val="7F7F7F"/>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topLeftCell="A10" zoomScaleNormal="100" workbookViewId="0"/>
  </sheetViews>
  <sheetFormatPr defaultColWidth="8.7109375" defaultRowHeight="15" x14ac:dyDescent="0.25"/>
  <cols>
    <col min="1" max="1" width="100" customWidth="1"/>
  </cols>
  <sheetData>
    <row r="1" spans="1:1" ht="24" customHeight="1" x14ac:dyDescent="0.25">
      <c r="A1" s="1" t="s">
        <v>0</v>
      </c>
    </row>
    <row r="2" spans="1:1" ht="7.5" customHeight="1" x14ac:dyDescent="0.25">
      <c r="A2" s="2"/>
    </row>
    <row r="3" spans="1:1" ht="15.75" customHeight="1" x14ac:dyDescent="0.25">
      <c r="A3" s="2" t="s">
        <v>1</v>
      </c>
    </row>
    <row r="4" spans="1:1" ht="7.5" customHeight="1" x14ac:dyDescent="0.25">
      <c r="A4" s="2"/>
    </row>
    <row r="5" spans="1:1" ht="15.75" customHeight="1" x14ac:dyDescent="0.25">
      <c r="A5" s="3" t="s">
        <v>2</v>
      </c>
    </row>
    <row r="6" spans="1:1" ht="15.75" customHeight="1" x14ac:dyDescent="0.25">
      <c r="A6" s="2" t="s">
        <v>3</v>
      </c>
    </row>
    <row r="7" spans="1:1" ht="15.75" customHeight="1" x14ac:dyDescent="0.25">
      <c r="A7" s="2" t="s">
        <v>4</v>
      </c>
    </row>
    <row r="8" spans="1:1" ht="15.75" customHeight="1" x14ac:dyDescent="0.25">
      <c r="A8" s="2" t="s">
        <v>5</v>
      </c>
    </row>
    <row r="9" spans="1:1" ht="15.75" customHeight="1" x14ac:dyDescent="0.25">
      <c r="A9" s="2" t="s">
        <v>6</v>
      </c>
    </row>
    <row r="10" spans="1:1" ht="15.75" customHeight="1" x14ac:dyDescent="0.25">
      <c r="A10" s="2" t="s">
        <v>7</v>
      </c>
    </row>
    <row r="11" spans="1:1" ht="15.75" customHeight="1" x14ac:dyDescent="0.25">
      <c r="A11" s="2" t="s">
        <v>8</v>
      </c>
    </row>
    <row r="12" spans="1:1" ht="7.5" customHeight="1" x14ac:dyDescent="0.25">
      <c r="A12" s="2"/>
    </row>
    <row r="13" spans="1:1" ht="15.75" customHeight="1" x14ac:dyDescent="0.25">
      <c r="A13" s="3" t="s">
        <v>9</v>
      </c>
    </row>
    <row r="14" spans="1:1" ht="15.75" customHeight="1" x14ac:dyDescent="0.25">
      <c r="A14" s="2" t="s">
        <v>10</v>
      </c>
    </row>
    <row r="15" spans="1:1" ht="15.75" customHeight="1" x14ac:dyDescent="0.25">
      <c r="A15" s="2" t="s">
        <v>11</v>
      </c>
    </row>
    <row r="16" spans="1:1" ht="7.5" customHeight="1" x14ac:dyDescent="0.25">
      <c r="A16" s="2"/>
    </row>
    <row r="17" spans="1:1" ht="15.75" customHeight="1" x14ac:dyDescent="0.25">
      <c r="A17" s="3" t="s">
        <v>12</v>
      </c>
    </row>
    <row r="18" spans="1:1" ht="15.75" customHeight="1" x14ac:dyDescent="0.25">
      <c r="A18" s="2" t="s">
        <v>13</v>
      </c>
    </row>
    <row r="19" spans="1:1" ht="15.75" customHeight="1" x14ac:dyDescent="0.25">
      <c r="A19" s="2" t="s">
        <v>14</v>
      </c>
    </row>
    <row r="20" spans="1:1" ht="15.75" customHeight="1" x14ac:dyDescent="0.25">
      <c r="A20" s="2" t="s">
        <v>15</v>
      </c>
    </row>
    <row r="22" spans="1:1" x14ac:dyDescent="0.25">
      <c r="A22" s="4" t="s">
        <v>16</v>
      </c>
    </row>
    <row r="23" spans="1:1" x14ac:dyDescent="0.25">
      <c r="A23" t="s">
        <v>17</v>
      </c>
    </row>
    <row r="24" spans="1:1" x14ac:dyDescent="0.25">
      <c r="A24" t="s">
        <v>18</v>
      </c>
    </row>
    <row r="25" spans="1:1" x14ac:dyDescent="0.25">
      <c r="A25" t="s">
        <v>19</v>
      </c>
    </row>
    <row r="26" spans="1:1" x14ac:dyDescent="0.25">
      <c r="A26"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59"/>
  <sheetViews>
    <sheetView topLeftCell="E1" zoomScaleNormal="100" workbookViewId="0">
      <pane ySplit="1" topLeftCell="A872" activePane="bottomLeft" state="frozen"/>
      <selection pane="bottomLeft" activeCell="F898" sqref="F898"/>
    </sheetView>
  </sheetViews>
  <sheetFormatPr defaultColWidth="8.7109375" defaultRowHeight="15" x14ac:dyDescent="0.25"/>
  <cols>
    <col min="1" max="1" width="17.140625" customWidth="1"/>
    <col min="2" max="2" width="10" customWidth="1"/>
    <col min="3" max="3" width="7.85546875" customWidth="1"/>
    <col min="4" max="4" width="15.7109375" customWidth="1"/>
    <col min="5" max="5" width="18.140625" customWidth="1"/>
    <col min="6" max="6" width="26" customWidth="1"/>
    <col min="7" max="7" width="14.85546875" customWidth="1"/>
    <col min="8" max="8" width="20" customWidth="1"/>
    <col min="9" max="9" width="17" customWidth="1"/>
    <col min="10" max="10" width="16.140625" customWidth="1"/>
    <col min="11" max="11" width="20" customWidth="1"/>
    <col min="12" max="12" width="14" customWidth="1"/>
    <col min="13" max="13" width="8" customWidth="1"/>
    <col min="14" max="14" width="12" customWidth="1"/>
    <col min="15" max="15" width="16.5703125" customWidth="1"/>
    <col min="16" max="16" width="16.42578125" customWidth="1"/>
    <col min="17" max="17" width="40" customWidth="1"/>
  </cols>
  <sheetData>
    <row r="1" spans="1:17" ht="15" customHeight="1" x14ac:dyDescent="0.25">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row>
    <row r="2" spans="1:17" ht="15" hidden="1" customHeight="1" x14ac:dyDescent="0.25">
      <c r="A2" t="s">
        <v>38</v>
      </c>
      <c r="B2" t="s">
        <v>39</v>
      </c>
      <c r="C2">
        <v>2</v>
      </c>
      <c r="D2" t="s">
        <v>40</v>
      </c>
      <c r="E2" t="s">
        <v>41</v>
      </c>
      <c r="F2" t="s">
        <v>42</v>
      </c>
      <c r="G2" t="s">
        <v>43</v>
      </c>
      <c r="H2" t="s">
        <v>44</v>
      </c>
      <c r="J2" t="s">
        <v>38</v>
      </c>
      <c r="K2" t="s">
        <v>45</v>
      </c>
      <c r="L2">
        <v>591000</v>
      </c>
      <c r="M2" t="s">
        <v>46</v>
      </c>
      <c r="N2" t="s">
        <v>47</v>
      </c>
    </row>
    <row r="3" spans="1:17" ht="15" hidden="1" customHeight="1" x14ac:dyDescent="0.25">
      <c r="A3" t="s">
        <v>38</v>
      </c>
      <c r="B3" t="s">
        <v>39</v>
      </c>
      <c r="C3">
        <v>2</v>
      </c>
      <c r="D3" t="s">
        <v>40</v>
      </c>
      <c r="E3" t="s">
        <v>41</v>
      </c>
      <c r="F3" t="s">
        <v>42</v>
      </c>
      <c r="G3" t="s">
        <v>43</v>
      </c>
      <c r="H3" t="s">
        <v>48</v>
      </c>
      <c r="J3" t="s">
        <v>38</v>
      </c>
      <c r="K3" t="s">
        <v>45</v>
      </c>
      <c r="L3">
        <v>409200</v>
      </c>
      <c r="M3" t="s">
        <v>46</v>
      </c>
      <c r="N3" t="s">
        <v>49</v>
      </c>
    </row>
    <row r="4" spans="1:17" ht="15" hidden="1" customHeight="1" x14ac:dyDescent="0.25">
      <c r="A4" t="s">
        <v>38</v>
      </c>
      <c r="B4" t="s">
        <v>39</v>
      </c>
      <c r="C4">
        <v>2</v>
      </c>
      <c r="D4" t="s">
        <v>40</v>
      </c>
      <c r="E4" t="s">
        <v>41</v>
      </c>
      <c r="F4" t="s">
        <v>42</v>
      </c>
      <c r="G4" t="s">
        <v>43</v>
      </c>
      <c r="H4" t="s">
        <v>50</v>
      </c>
      <c r="J4" t="s">
        <v>38</v>
      </c>
      <c r="K4" t="s">
        <v>45</v>
      </c>
      <c r="L4">
        <v>267100</v>
      </c>
      <c r="M4" t="s">
        <v>46</v>
      </c>
      <c r="N4" t="s">
        <v>51</v>
      </c>
    </row>
    <row r="5" spans="1:17" ht="15" hidden="1" customHeight="1" x14ac:dyDescent="0.25">
      <c r="A5" t="s">
        <v>38</v>
      </c>
      <c r="B5" t="s">
        <v>39</v>
      </c>
      <c r="C5">
        <v>2</v>
      </c>
      <c r="D5" t="s">
        <v>40</v>
      </c>
      <c r="E5" t="s">
        <v>41</v>
      </c>
      <c r="F5" t="s">
        <v>42</v>
      </c>
      <c r="G5" t="s">
        <v>43</v>
      </c>
      <c r="H5" t="s">
        <v>52</v>
      </c>
      <c r="J5" t="s">
        <v>38</v>
      </c>
      <c r="K5" t="s">
        <v>45</v>
      </c>
      <c r="L5">
        <v>162500</v>
      </c>
      <c r="M5" t="s">
        <v>46</v>
      </c>
      <c r="N5" t="s">
        <v>53</v>
      </c>
    </row>
    <row r="6" spans="1:17" ht="15" hidden="1" customHeight="1" x14ac:dyDescent="0.25">
      <c r="A6" t="s">
        <v>38</v>
      </c>
      <c r="B6" t="s">
        <v>39</v>
      </c>
      <c r="C6">
        <v>2</v>
      </c>
      <c r="D6" t="s">
        <v>40</v>
      </c>
      <c r="E6" t="s">
        <v>41</v>
      </c>
      <c r="F6" t="s">
        <v>42</v>
      </c>
      <c r="G6" t="s">
        <v>43</v>
      </c>
      <c r="H6" t="s">
        <v>54</v>
      </c>
      <c r="J6" t="s">
        <v>38</v>
      </c>
      <c r="K6" t="s">
        <v>45</v>
      </c>
      <c r="L6">
        <v>71100</v>
      </c>
      <c r="M6" t="s">
        <v>46</v>
      </c>
      <c r="N6" t="s">
        <v>55</v>
      </c>
    </row>
    <row r="7" spans="1:17" ht="15" hidden="1" customHeight="1" x14ac:dyDescent="0.25">
      <c r="A7" t="s">
        <v>38</v>
      </c>
      <c r="B7" t="s">
        <v>39</v>
      </c>
      <c r="C7">
        <v>2</v>
      </c>
      <c r="D7" t="s">
        <v>40</v>
      </c>
      <c r="E7" t="s">
        <v>41</v>
      </c>
      <c r="F7" t="s">
        <v>42</v>
      </c>
      <c r="G7" t="s">
        <v>43</v>
      </c>
      <c r="H7" t="s">
        <v>56</v>
      </c>
      <c r="J7" t="s">
        <v>38</v>
      </c>
      <c r="K7" t="s">
        <v>45</v>
      </c>
      <c r="L7">
        <v>18100</v>
      </c>
      <c r="M7" t="s">
        <v>46</v>
      </c>
      <c r="N7" t="s">
        <v>57</v>
      </c>
    </row>
    <row r="8" spans="1:17" ht="15" hidden="1" customHeight="1" x14ac:dyDescent="0.25">
      <c r="A8" t="s">
        <v>38</v>
      </c>
      <c r="B8" t="s">
        <v>39</v>
      </c>
      <c r="C8">
        <v>2</v>
      </c>
      <c r="D8" t="s">
        <v>40</v>
      </c>
      <c r="E8" t="s">
        <v>41</v>
      </c>
      <c r="F8" t="s">
        <v>42</v>
      </c>
      <c r="G8" t="s">
        <v>43</v>
      </c>
      <c r="H8" t="s">
        <v>58</v>
      </c>
      <c r="J8" t="s">
        <v>38</v>
      </c>
      <c r="K8" t="s">
        <v>45</v>
      </c>
      <c r="L8">
        <v>3700</v>
      </c>
      <c r="M8" t="s">
        <v>46</v>
      </c>
      <c r="N8" t="s">
        <v>59</v>
      </c>
    </row>
    <row r="9" spans="1:17" ht="15" hidden="1" customHeight="1" x14ac:dyDescent="0.25">
      <c r="A9" t="s">
        <v>38</v>
      </c>
      <c r="B9" t="s">
        <v>39</v>
      </c>
      <c r="C9">
        <v>2</v>
      </c>
      <c r="D9" t="s">
        <v>40</v>
      </c>
      <c r="E9" t="s">
        <v>41</v>
      </c>
      <c r="F9" t="s">
        <v>42</v>
      </c>
      <c r="G9" t="s">
        <v>43</v>
      </c>
      <c r="H9" t="s">
        <v>60</v>
      </c>
      <c r="J9" t="s">
        <v>38</v>
      </c>
      <c r="K9" t="s">
        <v>45</v>
      </c>
      <c r="L9">
        <v>5800</v>
      </c>
      <c r="M9" t="s">
        <v>46</v>
      </c>
      <c r="N9" t="s">
        <v>61</v>
      </c>
    </row>
    <row r="10" spans="1:17" ht="15" hidden="1" customHeight="1" x14ac:dyDescent="0.25">
      <c r="A10" t="s">
        <v>38</v>
      </c>
      <c r="B10" t="s">
        <v>39</v>
      </c>
      <c r="C10">
        <v>2</v>
      </c>
      <c r="D10" t="s">
        <v>40</v>
      </c>
      <c r="E10" t="s">
        <v>41</v>
      </c>
      <c r="F10" t="s">
        <v>42</v>
      </c>
      <c r="G10" t="s">
        <v>43</v>
      </c>
      <c r="H10" t="s">
        <v>62</v>
      </c>
      <c r="J10" t="s">
        <v>38</v>
      </c>
      <c r="K10" t="s">
        <v>45</v>
      </c>
      <c r="L10">
        <v>541300</v>
      </c>
      <c r="M10" t="s">
        <v>46</v>
      </c>
      <c r="N10" t="s">
        <v>63</v>
      </c>
    </row>
    <row r="11" spans="1:17" ht="15" hidden="1" customHeight="1" x14ac:dyDescent="0.25">
      <c r="A11" t="s">
        <v>38</v>
      </c>
      <c r="B11" t="s">
        <v>39</v>
      </c>
      <c r="C11">
        <v>2</v>
      </c>
      <c r="D11" t="s">
        <v>40</v>
      </c>
      <c r="E11" t="s">
        <v>41</v>
      </c>
      <c r="F11" t="s">
        <v>42</v>
      </c>
      <c r="G11" t="s">
        <v>43</v>
      </c>
      <c r="H11" t="s">
        <v>64</v>
      </c>
      <c r="J11" t="s">
        <v>38</v>
      </c>
      <c r="K11" t="s">
        <v>45</v>
      </c>
      <c r="L11">
        <v>1530000</v>
      </c>
      <c r="M11" t="s">
        <v>46</v>
      </c>
      <c r="N11" t="s">
        <v>65</v>
      </c>
    </row>
    <row r="12" spans="1:17" ht="15" hidden="1" customHeight="1" x14ac:dyDescent="0.25">
      <c r="A12" t="s">
        <v>38</v>
      </c>
      <c r="B12" t="s">
        <v>39</v>
      </c>
      <c r="C12">
        <v>2</v>
      </c>
      <c r="D12" t="s">
        <v>40</v>
      </c>
      <c r="E12" t="s">
        <v>41</v>
      </c>
      <c r="F12" t="s">
        <v>42</v>
      </c>
      <c r="G12" t="s">
        <v>43</v>
      </c>
      <c r="H12" t="s">
        <v>66</v>
      </c>
      <c r="J12" t="s">
        <v>38</v>
      </c>
      <c r="K12" t="s">
        <v>45</v>
      </c>
      <c r="L12">
        <v>1500000</v>
      </c>
      <c r="M12" t="s">
        <v>46</v>
      </c>
      <c r="N12" t="s">
        <v>67</v>
      </c>
    </row>
    <row r="13" spans="1:17" ht="15" hidden="1" customHeight="1" x14ac:dyDescent="0.25">
      <c r="A13" t="s">
        <v>38</v>
      </c>
      <c r="B13" t="s">
        <v>39</v>
      </c>
      <c r="C13">
        <v>2</v>
      </c>
      <c r="D13" t="s">
        <v>40</v>
      </c>
      <c r="E13" t="s">
        <v>41</v>
      </c>
      <c r="F13" t="s">
        <v>42</v>
      </c>
      <c r="G13" t="s">
        <v>43</v>
      </c>
      <c r="H13" t="s">
        <v>68</v>
      </c>
      <c r="J13" t="s">
        <v>38</v>
      </c>
      <c r="K13" t="s">
        <v>45</v>
      </c>
      <c r="L13">
        <v>26500</v>
      </c>
      <c r="M13" t="s">
        <v>46</v>
      </c>
      <c r="N13" t="s">
        <v>69</v>
      </c>
    </row>
    <row r="14" spans="1:17" ht="15" hidden="1" customHeight="1" x14ac:dyDescent="0.25">
      <c r="A14" t="s">
        <v>38</v>
      </c>
      <c r="B14" t="s">
        <v>39</v>
      </c>
      <c r="C14">
        <v>2</v>
      </c>
      <c r="D14" t="s">
        <v>40</v>
      </c>
      <c r="E14" t="s">
        <v>41</v>
      </c>
      <c r="F14" t="s">
        <v>42</v>
      </c>
      <c r="G14" t="s">
        <v>43</v>
      </c>
      <c r="H14" t="s">
        <v>70</v>
      </c>
      <c r="J14" t="s">
        <v>38</v>
      </c>
      <c r="K14" t="s">
        <v>45</v>
      </c>
      <c r="L14">
        <v>973400</v>
      </c>
      <c r="M14" t="s">
        <v>46</v>
      </c>
      <c r="N14" t="s">
        <v>71</v>
      </c>
    </row>
    <row r="15" spans="1:17" ht="15" hidden="1" customHeight="1" x14ac:dyDescent="0.25">
      <c r="A15" t="s">
        <v>38</v>
      </c>
      <c r="B15" t="s">
        <v>39</v>
      </c>
      <c r="C15">
        <v>2</v>
      </c>
      <c r="D15" t="s">
        <v>40</v>
      </c>
      <c r="E15" t="s">
        <v>41</v>
      </c>
      <c r="F15" t="s">
        <v>42</v>
      </c>
      <c r="G15" t="s">
        <v>43</v>
      </c>
      <c r="H15" t="s">
        <v>72</v>
      </c>
      <c r="J15" t="s">
        <v>38</v>
      </c>
      <c r="K15" t="s">
        <v>45</v>
      </c>
      <c r="L15">
        <v>55000</v>
      </c>
      <c r="M15" t="s">
        <v>46</v>
      </c>
      <c r="N15" t="s">
        <v>73</v>
      </c>
    </row>
    <row r="16" spans="1:17" ht="15" hidden="1" customHeight="1" x14ac:dyDescent="0.25">
      <c r="A16" t="s">
        <v>38</v>
      </c>
      <c r="B16" t="s">
        <v>39</v>
      </c>
      <c r="C16">
        <v>2</v>
      </c>
      <c r="D16" t="s">
        <v>74</v>
      </c>
      <c r="E16" t="s">
        <v>75</v>
      </c>
      <c r="F16" t="s">
        <v>42</v>
      </c>
      <c r="G16" t="s">
        <v>43</v>
      </c>
      <c r="J16" t="s">
        <v>76</v>
      </c>
      <c r="K16" t="s">
        <v>77</v>
      </c>
      <c r="L16">
        <v>1330000</v>
      </c>
      <c r="M16" t="s">
        <v>46</v>
      </c>
      <c r="N16" t="s">
        <v>78</v>
      </c>
      <c r="O16" t="s">
        <v>79</v>
      </c>
      <c r="P16" t="s">
        <v>80</v>
      </c>
      <c r="Q16" t="s">
        <v>81</v>
      </c>
    </row>
    <row r="17" spans="1:17" ht="15" hidden="1" customHeight="1" x14ac:dyDescent="0.25">
      <c r="A17" t="s">
        <v>38</v>
      </c>
      <c r="B17" t="s">
        <v>39</v>
      </c>
      <c r="C17">
        <v>2</v>
      </c>
      <c r="D17" t="s">
        <v>74</v>
      </c>
      <c r="E17" t="s">
        <v>75</v>
      </c>
      <c r="F17" t="s">
        <v>42</v>
      </c>
      <c r="G17" t="s">
        <v>43</v>
      </c>
      <c r="J17" t="s">
        <v>82</v>
      </c>
      <c r="K17" t="s">
        <v>77</v>
      </c>
      <c r="L17">
        <v>1430000</v>
      </c>
      <c r="M17" t="s">
        <v>46</v>
      </c>
      <c r="N17" t="s">
        <v>83</v>
      </c>
      <c r="O17" t="s">
        <v>79</v>
      </c>
      <c r="P17" t="s">
        <v>80</v>
      </c>
      <c r="Q17" t="s">
        <v>84</v>
      </c>
    </row>
    <row r="18" spans="1:17" ht="15" hidden="1" customHeight="1" x14ac:dyDescent="0.25">
      <c r="A18" t="s">
        <v>38</v>
      </c>
      <c r="B18" t="s">
        <v>39</v>
      </c>
      <c r="C18">
        <v>2</v>
      </c>
      <c r="D18" t="s">
        <v>85</v>
      </c>
      <c r="E18" t="s">
        <v>86</v>
      </c>
      <c r="F18" t="s">
        <v>42</v>
      </c>
      <c r="G18" t="s">
        <v>43</v>
      </c>
      <c r="J18" t="s">
        <v>38</v>
      </c>
      <c r="K18" t="s">
        <v>45</v>
      </c>
      <c r="L18">
        <v>1560000</v>
      </c>
      <c r="M18" t="s">
        <v>46</v>
      </c>
      <c r="N18" t="s">
        <v>87</v>
      </c>
    </row>
    <row r="19" spans="1:17" ht="15" hidden="1" customHeight="1" x14ac:dyDescent="0.25">
      <c r="A19" t="s">
        <v>88</v>
      </c>
      <c r="B19" t="s">
        <v>39</v>
      </c>
      <c r="C19">
        <v>2</v>
      </c>
      <c r="D19" t="s">
        <v>40</v>
      </c>
      <c r="E19" t="s">
        <v>41</v>
      </c>
      <c r="F19" t="s">
        <v>42</v>
      </c>
      <c r="G19" t="s">
        <v>43</v>
      </c>
      <c r="H19" t="s">
        <v>44</v>
      </c>
      <c r="J19" t="s">
        <v>88</v>
      </c>
      <c r="K19" t="s">
        <v>45</v>
      </c>
      <c r="L19">
        <v>626000</v>
      </c>
      <c r="M19" t="s">
        <v>46</v>
      </c>
      <c r="N19" t="s">
        <v>89</v>
      </c>
    </row>
    <row r="20" spans="1:17" ht="15" hidden="1" customHeight="1" x14ac:dyDescent="0.25">
      <c r="A20" t="s">
        <v>88</v>
      </c>
      <c r="B20" t="s">
        <v>39</v>
      </c>
      <c r="C20">
        <v>2</v>
      </c>
      <c r="D20" t="s">
        <v>40</v>
      </c>
      <c r="E20" t="s">
        <v>41</v>
      </c>
      <c r="F20" t="s">
        <v>42</v>
      </c>
      <c r="G20" t="s">
        <v>43</v>
      </c>
      <c r="H20" t="s">
        <v>48</v>
      </c>
      <c r="J20" t="s">
        <v>88</v>
      </c>
      <c r="K20" t="s">
        <v>45</v>
      </c>
      <c r="L20">
        <v>437900</v>
      </c>
      <c r="M20" t="s">
        <v>46</v>
      </c>
      <c r="N20" t="s">
        <v>90</v>
      </c>
    </row>
    <row r="21" spans="1:17" ht="15" hidden="1" customHeight="1" x14ac:dyDescent="0.25">
      <c r="A21" t="s">
        <v>88</v>
      </c>
      <c r="B21" t="s">
        <v>39</v>
      </c>
      <c r="C21">
        <v>2</v>
      </c>
      <c r="D21" t="s">
        <v>40</v>
      </c>
      <c r="E21" t="s">
        <v>41</v>
      </c>
      <c r="F21" t="s">
        <v>42</v>
      </c>
      <c r="G21" t="s">
        <v>43</v>
      </c>
      <c r="H21" t="s">
        <v>50</v>
      </c>
      <c r="J21" t="s">
        <v>88</v>
      </c>
      <c r="K21" t="s">
        <v>45</v>
      </c>
      <c r="L21">
        <v>289300</v>
      </c>
      <c r="M21" t="s">
        <v>46</v>
      </c>
      <c r="N21" t="s">
        <v>91</v>
      </c>
    </row>
    <row r="22" spans="1:17" ht="15" hidden="1" customHeight="1" x14ac:dyDescent="0.25">
      <c r="A22" t="s">
        <v>88</v>
      </c>
      <c r="B22" t="s">
        <v>39</v>
      </c>
      <c r="C22">
        <v>2</v>
      </c>
      <c r="D22" t="s">
        <v>40</v>
      </c>
      <c r="E22" t="s">
        <v>41</v>
      </c>
      <c r="F22" t="s">
        <v>42</v>
      </c>
      <c r="G22" t="s">
        <v>43</v>
      </c>
      <c r="H22" t="s">
        <v>52</v>
      </c>
      <c r="J22" t="s">
        <v>88</v>
      </c>
      <c r="K22" t="s">
        <v>45</v>
      </c>
      <c r="L22">
        <v>176600</v>
      </c>
      <c r="M22" t="s">
        <v>46</v>
      </c>
      <c r="N22" t="s">
        <v>92</v>
      </c>
    </row>
    <row r="23" spans="1:17" ht="15" hidden="1" customHeight="1" x14ac:dyDescent="0.25">
      <c r="A23" t="s">
        <v>88</v>
      </c>
      <c r="B23" t="s">
        <v>39</v>
      </c>
      <c r="C23">
        <v>2</v>
      </c>
      <c r="D23" t="s">
        <v>40</v>
      </c>
      <c r="E23" t="s">
        <v>41</v>
      </c>
      <c r="F23" t="s">
        <v>42</v>
      </c>
      <c r="G23" t="s">
        <v>43</v>
      </c>
      <c r="H23" t="s">
        <v>54</v>
      </c>
      <c r="J23" t="s">
        <v>88</v>
      </c>
      <c r="K23" t="s">
        <v>45</v>
      </c>
      <c r="L23">
        <v>78100</v>
      </c>
      <c r="M23" t="s">
        <v>46</v>
      </c>
      <c r="N23" t="s">
        <v>93</v>
      </c>
    </row>
    <row r="24" spans="1:17" ht="15" hidden="1" customHeight="1" x14ac:dyDescent="0.25">
      <c r="A24" t="s">
        <v>88</v>
      </c>
      <c r="B24" t="s">
        <v>39</v>
      </c>
      <c r="C24">
        <v>2</v>
      </c>
      <c r="D24" t="s">
        <v>40</v>
      </c>
      <c r="E24" t="s">
        <v>41</v>
      </c>
      <c r="F24" t="s">
        <v>42</v>
      </c>
      <c r="G24" t="s">
        <v>43</v>
      </c>
      <c r="H24" t="s">
        <v>56</v>
      </c>
      <c r="J24" t="s">
        <v>88</v>
      </c>
      <c r="K24" t="s">
        <v>45</v>
      </c>
      <c r="L24">
        <v>20100</v>
      </c>
      <c r="M24" t="s">
        <v>46</v>
      </c>
      <c r="N24" t="s">
        <v>94</v>
      </c>
    </row>
    <row r="25" spans="1:17" ht="15" hidden="1" customHeight="1" x14ac:dyDescent="0.25">
      <c r="A25" t="s">
        <v>88</v>
      </c>
      <c r="B25" t="s">
        <v>39</v>
      </c>
      <c r="C25">
        <v>2</v>
      </c>
      <c r="D25" t="s">
        <v>40</v>
      </c>
      <c r="E25" t="s">
        <v>41</v>
      </c>
      <c r="F25" t="s">
        <v>42</v>
      </c>
      <c r="G25" t="s">
        <v>43</v>
      </c>
      <c r="H25" t="s">
        <v>58</v>
      </c>
      <c r="J25" t="s">
        <v>88</v>
      </c>
      <c r="K25" t="s">
        <v>45</v>
      </c>
      <c r="L25">
        <v>4000</v>
      </c>
      <c r="M25" t="s">
        <v>46</v>
      </c>
      <c r="N25" t="s">
        <v>95</v>
      </c>
    </row>
    <row r="26" spans="1:17" ht="15" hidden="1" customHeight="1" x14ac:dyDescent="0.25">
      <c r="A26" t="s">
        <v>88</v>
      </c>
      <c r="B26" t="s">
        <v>39</v>
      </c>
      <c r="C26">
        <v>2</v>
      </c>
      <c r="D26" t="s">
        <v>40</v>
      </c>
      <c r="E26" t="s">
        <v>41</v>
      </c>
      <c r="F26" t="s">
        <v>42</v>
      </c>
      <c r="G26" t="s">
        <v>43</v>
      </c>
      <c r="H26" t="s">
        <v>60</v>
      </c>
      <c r="J26" t="s">
        <v>88</v>
      </c>
      <c r="K26" t="s">
        <v>45</v>
      </c>
      <c r="L26">
        <v>6200</v>
      </c>
      <c r="M26" t="s">
        <v>46</v>
      </c>
      <c r="N26" t="s">
        <v>96</v>
      </c>
    </row>
    <row r="27" spans="1:17" ht="15" hidden="1" customHeight="1" x14ac:dyDescent="0.25">
      <c r="A27" t="s">
        <v>88</v>
      </c>
      <c r="B27" t="s">
        <v>39</v>
      </c>
      <c r="C27">
        <v>2</v>
      </c>
      <c r="D27" t="s">
        <v>40</v>
      </c>
      <c r="E27" t="s">
        <v>41</v>
      </c>
      <c r="F27" t="s">
        <v>42</v>
      </c>
      <c r="G27" t="s">
        <v>43</v>
      </c>
      <c r="H27" t="s">
        <v>62</v>
      </c>
      <c r="J27" t="s">
        <v>88</v>
      </c>
      <c r="K27" t="s">
        <v>45</v>
      </c>
      <c r="L27">
        <v>583100</v>
      </c>
      <c r="M27" t="s">
        <v>46</v>
      </c>
      <c r="N27" t="s">
        <v>97</v>
      </c>
    </row>
    <row r="28" spans="1:17" ht="15" hidden="1" customHeight="1" x14ac:dyDescent="0.25">
      <c r="A28" t="s">
        <v>88</v>
      </c>
      <c r="B28" t="s">
        <v>39</v>
      </c>
      <c r="C28">
        <v>2</v>
      </c>
      <c r="D28" t="s">
        <v>40</v>
      </c>
      <c r="E28" t="s">
        <v>41</v>
      </c>
      <c r="F28" t="s">
        <v>42</v>
      </c>
      <c r="G28" t="s">
        <v>43</v>
      </c>
      <c r="H28" t="s">
        <v>64</v>
      </c>
      <c r="J28" t="s">
        <v>88</v>
      </c>
      <c r="K28" t="s">
        <v>45</v>
      </c>
      <c r="L28">
        <v>1640000</v>
      </c>
      <c r="M28" t="s">
        <v>46</v>
      </c>
      <c r="N28" t="s">
        <v>98</v>
      </c>
    </row>
    <row r="29" spans="1:17" ht="15" hidden="1" customHeight="1" x14ac:dyDescent="0.25">
      <c r="A29" t="s">
        <v>88</v>
      </c>
      <c r="B29" t="s">
        <v>39</v>
      </c>
      <c r="C29">
        <v>2</v>
      </c>
      <c r="D29" t="s">
        <v>40</v>
      </c>
      <c r="E29" t="s">
        <v>41</v>
      </c>
      <c r="F29" t="s">
        <v>42</v>
      </c>
      <c r="G29" t="s">
        <v>43</v>
      </c>
      <c r="H29" t="s">
        <v>66</v>
      </c>
      <c r="J29" t="s">
        <v>88</v>
      </c>
      <c r="K29" t="s">
        <v>45</v>
      </c>
      <c r="L29">
        <v>1610000</v>
      </c>
      <c r="M29" t="s">
        <v>46</v>
      </c>
      <c r="N29" t="s">
        <v>99</v>
      </c>
    </row>
    <row r="30" spans="1:17" ht="15" hidden="1" customHeight="1" x14ac:dyDescent="0.25">
      <c r="A30" t="s">
        <v>88</v>
      </c>
      <c r="B30" t="s">
        <v>39</v>
      </c>
      <c r="C30">
        <v>2</v>
      </c>
      <c r="D30" t="s">
        <v>40</v>
      </c>
      <c r="E30" t="s">
        <v>41</v>
      </c>
      <c r="F30" t="s">
        <v>42</v>
      </c>
      <c r="G30" t="s">
        <v>43</v>
      </c>
      <c r="H30" t="s">
        <v>68</v>
      </c>
      <c r="J30" t="s">
        <v>88</v>
      </c>
      <c r="K30" t="s">
        <v>45</v>
      </c>
      <c r="L30">
        <v>30400</v>
      </c>
      <c r="M30" t="s">
        <v>46</v>
      </c>
      <c r="N30" t="s">
        <v>100</v>
      </c>
    </row>
    <row r="31" spans="1:17" ht="15" hidden="1" customHeight="1" x14ac:dyDescent="0.25">
      <c r="A31" t="s">
        <v>88</v>
      </c>
      <c r="B31" t="s">
        <v>39</v>
      </c>
      <c r="C31">
        <v>2</v>
      </c>
      <c r="D31" t="s">
        <v>40</v>
      </c>
      <c r="E31" t="s">
        <v>41</v>
      </c>
      <c r="F31" t="s">
        <v>42</v>
      </c>
      <c r="G31" t="s">
        <v>43</v>
      </c>
      <c r="H31" t="s">
        <v>70</v>
      </c>
      <c r="J31" t="s">
        <v>88</v>
      </c>
      <c r="K31" t="s">
        <v>45</v>
      </c>
      <c r="L31">
        <v>1040000</v>
      </c>
      <c r="M31" t="s">
        <v>46</v>
      </c>
      <c r="N31" t="s">
        <v>101</v>
      </c>
    </row>
    <row r="32" spans="1:17" ht="15" hidden="1" customHeight="1" x14ac:dyDescent="0.25">
      <c r="A32" t="s">
        <v>88</v>
      </c>
      <c r="B32" t="s">
        <v>39</v>
      </c>
      <c r="C32">
        <v>2</v>
      </c>
      <c r="D32" t="s">
        <v>40</v>
      </c>
      <c r="E32" t="s">
        <v>41</v>
      </c>
      <c r="F32" t="s">
        <v>42</v>
      </c>
      <c r="G32" t="s">
        <v>43</v>
      </c>
      <c r="H32" t="s">
        <v>72</v>
      </c>
      <c r="J32" t="s">
        <v>88</v>
      </c>
      <c r="K32" t="s">
        <v>45</v>
      </c>
      <c r="L32">
        <v>61000</v>
      </c>
      <c r="M32" t="s">
        <v>46</v>
      </c>
      <c r="N32" t="s">
        <v>102</v>
      </c>
    </row>
    <row r="33" spans="1:17" ht="15" hidden="1" customHeight="1" x14ac:dyDescent="0.25">
      <c r="A33" t="s">
        <v>88</v>
      </c>
      <c r="B33" t="s">
        <v>39</v>
      </c>
      <c r="C33">
        <v>2</v>
      </c>
      <c r="D33" t="s">
        <v>74</v>
      </c>
      <c r="E33" t="s">
        <v>75</v>
      </c>
      <c r="F33" t="s">
        <v>42</v>
      </c>
      <c r="G33" t="s">
        <v>43</v>
      </c>
      <c r="J33" t="s">
        <v>76</v>
      </c>
      <c r="K33" t="s">
        <v>77</v>
      </c>
      <c r="L33">
        <v>1330000</v>
      </c>
      <c r="M33" t="s">
        <v>46</v>
      </c>
      <c r="N33" t="s">
        <v>78</v>
      </c>
      <c r="O33" t="s">
        <v>79</v>
      </c>
      <c r="P33" t="s">
        <v>103</v>
      </c>
      <c r="Q33" t="s">
        <v>104</v>
      </c>
    </row>
    <row r="34" spans="1:17" ht="15" hidden="1" customHeight="1" x14ac:dyDescent="0.25">
      <c r="A34" t="s">
        <v>88</v>
      </c>
      <c r="B34" t="s">
        <v>39</v>
      </c>
      <c r="C34">
        <v>2</v>
      </c>
      <c r="D34" t="s">
        <v>74</v>
      </c>
      <c r="E34" t="s">
        <v>75</v>
      </c>
      <c r="F34" t="s">
        <v>42</v>
      </c>
      <c r="G34" t="s">
        <v>43</v>
      </c>
      <c r="J34" t="s">
        <v>82</v>
      </c>
      <c r="K34" t="s">
        <v>77</v>
      </c>
      <c r="L34">
        <v>1430000</v>
      </c>
      <c r="M34" t="s">
        <v>46</v>
      </c>
      <c r="N34" t="s">
        <v>83</v>
      </c>
      <c r="O34" t="s">
        <v>79</v>
      </c>
      <c r="P34" t="s">
        <v>103</v>
      </c>
      <c r="Q34" t="s">
        <v>105</v>
      </c>
    </row>
    <row r="35" spans="1:17" ht="15" hidden="1" customHeight="1" x14ac:dyDescent="0.25">
      <c r="A35" t="s">
        <v>88</v>
      </c>
      <c r="B35" t="s">
        <v>39</v>
      </c>
      <c r="C35">
        <v>2</v>
      </c>
      <c r="D35" t="s">
        <v>74</v>
      </c>
      <c r="E35" t="s">
        <v>75</v>
      </c>
      <c r="F35" t="s">
        <v>42</v>
      </c>
      <c r="G35" t="s">
        <v>43</v>
      </c>
      <c r="J35" t="s">
        <v>38</v>
      </c>
      <c r="K35" t="s">
        <v>77</v>
      </c>
      <c r="L35">
        <v>1560000</v>
      </c>
      <c r="M35" t="s">
        <v>46</v>
      </c>
      <c r="N35" t="s">
        <v>87</v>
      </c>
      <c r="O35" t="s">
        <v>79</v>
      </c>
      <c r="P35" t="s">
        <v>103</v>
      </c>
    </row>
    <row r="36" spans="1:17" ht="15" hidden="1" customHeight="1" x14ac:dyDescent="0.25">
      <c r="A36" t="s">
        <v>88</v>
      </c>
      <c r="B36" t="s">
        <v>39</v>
      </c>
      <c r="C36">
        <v>2</v>
      </c>
      <c r="D36" t="s">
        <v>85</v>
      </c>
      <c r="E36" t="s">
        <v>86</v>
      </c>
      <c r="F36" t="s">
        <v>42</v>
      </c>
      <c r="G36" t="s">
        <v>43</v>
      </c>
      <c r="J36" t="s">
        <v>88</v>
      </c>
      <c r="K36" t="s">
        <v>45</v>
      </c>
      <c r="L36">
        <v>1670000</v>
      </c>
      <c r="M36" t="s">
        <v>46</v>
      </c>
      <c r="N36" t="s">
        <v>106</v>
      </c>
    </row>
    <row r="37" spans="1:17" ht="15" hidden="1" customHeight="1" x14ac:dyDescent="0.25">
      <c r="A37" t="s">
        <v>107</v>
      </c>
      <c r="B37" t="s">
        <v>39</v>
      </c>
      <c r="C37">
        <v>2</v>
      </c>
      <c r="D37" t="s">
        <v>40</v>
      </c>
      <c r="E37" t="s">
        <v>41</v>
      </c>
      <c r="F37" t="s">
        <v>42</v>
      </c>
      <c r="G37" t="s">
        <v>43</v>
      </c>
      <c r="H37" t="s">
        <v>44</v>
      </c>
      <c r="J37" t="s">
        <v>107</v>
      </c>
      <c r="K37" t="s">
        <v>45</v>
      </c>
      <c r="L37">
        <v>657000</v>
      </c>
      <c r="M37" t="s">
        <v>46</v>
      </c>
      <c r="N37" t="s">
        <v>108</v>
      </c>
    </row>
    <row r="38" spans="1:17" ht="15" hidden="1" customHeight="1" x14ac:dyDescent="0.25">
      <c r="A38" t="s">
        <v>107</v>
      </c>
      <c r="B38" t="s">
        <v>39</v>
      </c>
      <c r="C38">
        <v>2</v>
      </c>
      <c r="D38" t="s">
        <v>40</v>
      </c>
      <c r="E38" t="s">
        <v>41</v>
      </c>
      <c r="F38" t="s">
        <v>42</v>
      </c>
      <c r="G38" t="s">
        <v>43</v>
      </c>
      <c r="H38" t="s">
        <v>48</v>
      </c>
      <c r="J38" t="s">
        <v>107</v>
      </c>
      <c r="K38" t="s">
        <v>45</v>
      </c>
      <c r="L38">
        <v>465900</v>
      </c>
      <c r="M38" t="s">
        <v>46</v>
      </c>
      <c r="N38" t="s">
        <v>109</v>
      </c>
    </row>
    <row r="39" spans="1:17" ht="15" hidden="1" customHeight="1" x14ac:dyDescent="0.25">
      <c r="A39" t="s">
        <v>107</v>
      </c>
      <c r="B39" t="s">
        <v>39</v>
      </c>
      <c r="C39">
        <v>2</v>
      </c>
      <c r="D39" t="s">
        <v>40</v>
      </c>
      <c r="E39" t="s">
        <v>41</v>
      </c>
      <c r="F39" t="s">
        <v>42</v>
      </c>
      <c r="G39" t="s">
        <v>43</v>
      </c>
      <c r="H39" t="s">
        <v>50</v>
      </c>
      <c r="J39" t="s">
        <v>107</v>
      </c>
      <c r="K39" t="s">
        <v>45</v>
      </c>
      <c r="L39">
        <v>311700</v>
      </c>
      <c r="M39" t="s">
        <v>46</v>
      </c>
      <c r="N39" t="s">
        <v>110</v>
      </c>
    </row>
    <row r="40" spans="1:17" ht="15" hidden="1" customHeight="1" x14ac:dyDescent="0.25">
      <c r="A40" t="s">
        <v>107</v>
      </c>
      <c r="B40" t="s">
        <v>39</v>
      </c>
      <c r="C40">
        <v>2</v>
      </c>
      <c r="D40" t="s">
        <v>40</v>
      </c>
      <c r="E40" t="s">
        <v>41</v>
      </c>
      <c r="F40" t="s">
        <v>42</v>
      </c>
      <c r="G40" t="s">
        <v>43</v>
      </c>
      <c r="H40" t="s">
        <v>52</v>
      </c>
      <c r="J40" t="s">
        <v>107</v>
      </c>
      <c r="K40" t="s">
        <v>45</v>
      </c>
      <c r="L40">
        <v>190700</v>
      </c>
      <c r="M40" t="s">
        <v>46</v>
      </c>
      <c r="N40" t="s">
        <v>111</v>
      </c>
    </row>
    <row r="41" spans="1:17" ht="15" hidden="1" customHeight="1" x14ac:dyDescent="0.25">
      <c r="A41" t="s">
        <v>107</v>
      </c>
      <c r="B41" t="s">
        <v>39</v>
      </c>
      <c r="C41">
        <v>2</v>
      </c>
      <c r="D41" t="s">
        <v>40</v>
      </c>
      <c r="E41" t="s">
        <v>41</v>
      </c>
      <c r="F41" t="s">
        <v>42</v>
      </c>
      <c r="G41" t="s">
        <v>43</v>
      </c>
      <c r="H41" t="s">
        <v>54</v>
      </c>
      <c r="J41" t="s">
        <v>107</v>
      </c>
      <c r="K41" t="s">
        <v>45</v>
      </c>
      <c r="L41">
        <v>85500</v>
      </c>
      <c r="M41" t="s">
        <v>46</v>
      </c>
      <c r="N41" t="s">
        <v>112</v>
      </c>
    </row>
    <row r="42" spans="1:17" ht="15" hidden="1" customHeight="1" x14ac:dyDescent="0.25">
      <c r="A42" t="s">
        <v>107</v>
      </c>
      <c r="B42" t="s">
        <v>39</v>
      </c>
      <c r="C42">
        <v>2</v>
      </c>
      <c r="D42" t="s">
        <v>40</v>
      </c>
      <c r="E42" t="s">
        <v>41</v>
      </c>
      <c r="F42" t="s">
        <v>42</v>
      </c>
      <c r="G42" t="s">
        <v>43</v>
      </c>
      <c r="H42" t="s">
        <v>56</v>
      </c>
      <c r="J42" t="s">
        <v>107</v>
      </c>
      <c r="K42" t="s">
        <v>45</v>
      </c>
      <c r="L42">
        <v>22100</v>
      </c>
      <c r="M42" t="s">
        <v>46</v>
      </c>
      <c r="N42" t="s">
        <v>113</v>
      </c>
    </row>
    <row r="43" spans="1:17" ht="15" hidden="1" customHeight="1" x14ac:dyDescent="0.25">
      <c r="A43" t="s">
        <v>107</v>
      </c>
      <c r="B43" t="s">
        <v>39</v>
      </c>
      <c r="C43">
        <v>2</v>
      </c>
      <c r="D43" t="s">
        <v>40</v>
      </c>
      <c r="E43" t="s">
        <v>41</v>
      </c>
      <c r="F43" t="s">
        <v>42</v>
      </c>
      <c r="G43" t="s">
        <v>43</v>
      </c>
      <c r="H43" t="s">
        <v>58</v>
      </c>
      <c r="J43" t="s">
        <v>107</v>
      </c>
      <c r="K43" t="s">
        <v>45</v>
      </c>
      <c r="L43">
        <v>4000</v>
      </c>
      <c r="M43" t="s">
        <v>46</v>
      </c>
      <c r="N43" t="s">
        <v>95</v>
      </c>
    </row>
    <row r="44" spans="1:17" ht="15" hidden="1" customHeight="1" x14ac:dyDescent="0.25">
      <c r="A44" t="s">
        <v>107</v>
      </c>
      <c r="B44" t="s">
        <v>39</v>
      </c>
      <c r="C44">
        <v>2</v>
      </c>
      <c r="D44" t="s">
        <v>40</v>
      </c>
      <c r="E44" t="s">
        <v>41</v>
      </c>
      <c r="F44" t="s">
        <v>42</v>
      </c>
      <c r="G44" t="s">
        <v>43</v>
      </c>
      <c r="H44" t="s">
        <v>60</v>
      </c>
      <c r="J44" t="s">
        <v>107</v>
      </c>
      <c r="K44" t="s">
        <v>45</v>
      </c>
      <c r="L44">
        <v>6700</v>
      </c>
      <c r="M44" t="s">
        <v>46</v>
      </c>
      <c r="N44" t="s">
        <v>114</v>
      </c>
    </row>
    <row r="45" spans="1:17" ht="15" hidden="1" customHeight="1" x14ac:dyDescent="0.25">
      <c r="A45" t="s">
        <v>107</v>
      </c>
      <c r="B45" t="s">
        <v>39</v>
      </c>
      <c r="C45">
        <v>2</v>
      </c>
      <c r="D45" t="s">
        <v>40</v>
      </c>
      <c r="E45" t="s">
        <v>41</v>
      </c>
      <c r="F45" t="s">
        <v>42</v>
      </c>
      <c r="G45" t="s">
        <v>43</v>
      </c>
      <c r="H45" t="s">
        <v>62</v>
      </c>
      <c r="J45" t="s">
        <v>107</v>
      </c>
      <c r="K45" t="s">
        <v>45</v>
      </c>
      <c r="L45">
        <v>623200</v>
      </c>
      <c r="M45" t="s">
        <v>46</v>
      </c>
      <c r="N45" t="s">
        <v>115</v>
      </c>
    </row>
    <row r="46" spans="1:17" ht="15" hidden="1" customHeight="1" x14ac:dyDescent="0.25">
      <c r="A46" t="s">
        <v>107</v>
      </c>
      <c r="B46" t="s">
        <v>39</v>
      </c>
      <c r="C46">
        <v>2</v>
      </c>
      <c r="D46" t="s">
        <v>40</v>
      </c>
      <c r="E46" t="s">
        <v>41</v>
      </c>
      <c r="F46" t="s">
        <v>42</v>
      </c>
      <c r="G46" t="s">
        <v>43</v>
      </c>
      <c r="H46" t="s">
        <v>64</v>
      </c>
      <c r="J46" t="s">
        <v>107</v>
      </c>
      <c r="K46" t="s">
        <v>45</v>
      </c>
      <c r="L46">
        <v>1740000</v>
      </c>
      <c r="M46" t="s">
        <v>46</v>
      </c>
      <c r="N46" t="s">
        <v>116</v>
      </c>
    </row>
    <row r="47" spans="1:17" ht="15" hidden="1" customHeight="1" x14ac:dyDescent="0.25">
      <c r="A47" t="s">
        <v>107</v>
      </c>
      <c r="B47" t="s">
        <v>39</v>
      </c>
      <c r="C47">
        <v>2</v>
      </c>
      <c r="D47" t="s">
        <v>40</v>
      </c>
      <c r="E47" t="s">
        <v>41</v>
      </c>
      <c r="F47" t="s">
        <v>42</v>
      </c>
      <c r="G47" t="s">
        <v>43</v>
      </c>
      <c r="H47" t="s">
        <v>66</v>
      </c>
      <c r="J47" t="s">
        <v>107</v>
      </c>
      <c r="K47" t="s">
        <v>45</v>
      </c>
      <c r="L47">
        <v>1710000</v>
      </c>
      <c r="M47" t="s">
        <v>46</v>
      </c>
      <c r="N47" t="s">
        <v>117</v>
      </c>
    </row>
    <row r="48" spans="1:17" ht="15" hidden="1" customHeight="1" x14ac:dyDescent="0.25">
      <c r="A48" t="s">
        <v>107</v>
      </c>
      <c r="B48" t="s">
        <v>39</v>
      </c>
      <c r="C48">
        <v>2</v>
      </c>
      <c r="D48" t="s">
        <v>40</v>
      </c>
      <c r="E48" t="s">
        <v>41</v>
      </c>
      <c r="F48" t="s">
        <v>42</v>
      </c>
      <c r="G48" t="s">
        <v>43</v>
      </c>
      <c r="H48" t="s">
        <v>68</v>
      </c>
      <c r="J48" t="s">
        <v>107</v>
      </c>
      <c r="K48" t="s">
        <v>45</v>
      </c>
      <c r="L48">
        <v>34000</v>
      </c>
      <c r="M48" t="s">
        <v>46</v>
      </c>
      <c r="N48" t="s">
        <v>118</v>
      </c>
    </row>
    <row r="49" spans="1:16" ht="15" hidden="1" customHeight="1" x14ac:dyDescent="0.25">
      <c r="A49" t="s">
        <v>107</v>
      </c>
      <c r="B49" t="s">
        <v>39</v>
      </c>
      <c r="C49">
        <v>2</v>
      </c>
      <c r="D49" t="s">
        <v>40</v>
      </c>
      <c r="E49" t="s">
        <v>41</v>
      </c>
      <c r="F49" t="s">
        <v>42</v>
      </c>
      <c r="G49" t="s">
        <v>43</v>
      </c>
      <c r="H49" t="s">
        <v>70</v>
      </c>
      <c r="J49" t="s">
        <v>107</v>
      </c>
      <c r="K49" t="s">
        <v>45</v>
      </c>
      <c r="L49">
        <v>1110000</v>
      </c>
      <c r="M49" t="s">
        <v>46</v>
      </c>
      <c r="N49" t="s">
        <v>119</v>
      </c>
    </row>
    <row r="50" spans="1:16" ht="15" hidden="1" customHeight="1" x14ac:dyDescent="0.25">
      <c r="A50" t="s">
        <v>107</v>
      </c>
      <c r="B50" t="s">
        <v>39</v>
      </c>
      <c r="C50">
        <v>2</v>
      </c>
      <c r="D50" t="s">
        <v>40</v>
      </c>
      <c r="E50" t="s">
        <v>41</v>
      </c>
      <c r="F50" t="s">
        <v>42</v>
      </c>
      <c r="G50" t="s">
        <v>43</v>
      </c>
      <c r="H50" t="s">
        <v>72</v>
      </c>
      <c r="J50" t="s">
        <v>107</v>
      </c>
      <c r="K50" t="s">
        <v>45</v>
      </c>
      <c r="L50">
        <v>67000</v>
      </c>
      <c r="M50" t="s">
        <v>46</v>
      </c>
      <c r="N50" t="s">
        <v>120</v>
      </c>
    </row>
    <row r="51" spans="1:16" ht="15" hidden="1" customHeight="1" x14ac:dyDescent="0.25">
      <c r="A51" t="s">
        <v>107</v>
      </c>
      <c r="B51" t="s">
        <v>39</v>
      </c>
      <c r="C51">
        <v>2</v>
      </c>
      <c r="D51" t="s">
        <v>74</v>
      </c>
      <c r="E51" t="s">
        <v>75</v>
      </c>
      <c r="F51" t="s">
        <v>42</v>
      </c>
      <c r="G51" t="s">
        <v>43</v>
      </c>
      <c r="J51" t="s">
        <v>88</v>
      </c>
      <c r="K51" t="s">
        <v>77</v>
      </c>
      <c r="L51">
        <v>1670000</v>
      </c>
      <c r="M51" t="s">
        <v>46</v>
      </c>
      <c r="N51" t="s">
        <v>106</v>
      </c>
      <c r="O51" t="s">
        <v>79</v>
      </c>
      <c r="P51" t="s">
        <v>103</v>
      </c>
    </row>
    <row r="52" spans="1:16" ht="15" hidden="1" customHeight="1" x14ac:dyDescent="0.25">
      <c r="A52" t="s">
        <v>107</v>
      </c>
      <c r="B52" t="s">
        <v>39</v>
      </c>
      <c r="C52">
        <v>2</v>
      </c>
      <c r="D52" t="s">
        <v>85</v>
      </c>
      <c r="E52" t="s">
        <v>86</v>
      </c>
      <c r="F52" t="s">
        <v>42</v>
      </c>
      <c r="G52" t="s">
        <v>43</v>
      </c>
      <c r="J52" t="s">
        <v>107</v>
      </c>
      <c r="K52" t="s">
        <v>45</v>
      </c>
      <c r="L52">
        <v>1780000</v>
      </c>
      <c r="M52" t="s">
        <v>46</v>
      </c>
      <c r="N52" t="s">
        <v>121</v>
      </c>
    </row>
    <row r="53" spans="1:16" ht="15" hidden="1" customHeight="1" x14ac:dyDescent="0.25">
      <c r="A53" t="s">
        <v>122</v>
      </c>
      <c r="B53" t="s">
        <v>39</v>
      </c>
      <c r="C53">
        <v>2</v>
      </c>
      <c r="D53" t="s">
        <v>40</v>
      </c>
      <c r="E53" t="s">
        <v>41</v>
      </c>
      <c r="F53" t="s">
        <v>42</v>
      </c>
      <c r="G53" t="s">
        <v>43</v>
      </c>
      <c r="H53" t="s">
        <v>44</v>
      </c>
      <c r="J53" t="s">
        <v>122</v>
      </c>
      <c r="K53" t="s">
        <v>45</v>
      </c>
      <c r="L53">
        <v>684600</v>
      </c>
      <c r="M53" t="s">
        <v>46</v>
      </c>
      <c r="N53" t="s">
        <v>123</v>
      </c>
    </row>
    <row r="54" spans="1:16" ht="15" hidden="1" customHeight="1" x14ac:dyDescent="0.25">
      <c r="A54" t="s">
        <v>122</v>
      </c>
      <c r="B54" t="s">
        <v>39</v>
      </c>
      <c r="C54">
        <v>2</v>
      </c>
      <c r="D54" t="s">
        <v>40</v>
      </c>
      <c r="E54" t="s">
        <v>41</v>
      </c>
      <c r="F54" t="s">
        <v>42</v>
      </c>
      <c r="G54" t="s">
        <v>43</v>
      </c>
      <c r="H54" t="s">
        <v>48</v>
      </c>
      <c r="J54" t="s">
        <v>122</v>
      </c>
      <c r="K54" t="s">
        <v>45</v>
      </c>
      <c r="L54">
        <v>490000</v>
      </c>
      <c r="M54" t="s">
        <v>46</v>
      </c>
      <c r="N54" t="s">
        <v>124</v>
      </c>
    </row>
    <row r="55" spans="1:16" ht="15" hidden="1" customHeight="1" x14ac:dyDescent="0.25">
      <c r="A55" t="s">
        <v>122</v>
      </c>
      <c r="B55" t="s">
        <v>39</v>
      </c>
      <c r="C55">
        <v>2</v>
      </c>
      <c r="D55" t="s">
        <v>40</v>
      </c>
      <c r="E55" t="s">
        <v>41</v>
      </c>
      <c r="F55" t="s">
        <v>42</v>
      </c>
      <c r="G55" t="s">
        <v>43</v>
      </c>
      <c r="H55" t="s">
        <v>50</v>
      </c>
      <c r="J55" t="s">
        <v>122</v>
      </c>
      <c r="K55" t="s">
        <v>45</v>
      </c>
      <c r="L55">
        <v>331600</v>
      </c>
      <c r="M55" t="s">
        <v>46</v>
      </c>
      <c r="N55" t="s">
        <v>125</v>
      </c>
    </row>
    <row r="56" spans="1:16" ht="15" hidden="1" customHeight="1" x14ac:dyDescent="0.25">
      <c r="A56" t="s">
        <v>122</v>
      </c>
      <c r="B56" t="s">
        <v>39</v>
      </c>
      <c r="C56">
        <v>2</v>
      </c>
      <c r="D56" t="s">
        <v>40</v>
      </c>
      <c r="E56" t="s">
        <v>41</v>
      </c>
      <c r="F56" t="s">
        <v>42</v>
      </c>
      <c r="G56" t="s">
        <v>43</v>
      </c>
      <c r="H56" t="s">
        <v>52</v>
      </c>
      <c r="J56" t="s">
        <v>122</v>
      </c>
      <c r="K56" t="s">
        <v>45</v>
      </c>
      <c r="L56">
        <v>203500</v>
      </c>
      <c r="M56" t="s">
        <v>46</v>
      </c>
      <c r="N56" t="s">
        <v>126</v>
      </c>
    </row>
    <row r="57" spans="1:16" ht="15" hidden="1" customHeight="1" x14ac:dyDescent="0.25">
      <c r="A57" t="s">
        <v>122</v>
      </c>
      <c r="B57" t="s">
        <v>39</v>
      </c>
      <c r="C57">
        <v>2</v>
      </c>
      <c r="D57" t="s">
        <v>40</v>
      </c>
      <c r="E57" t="s">
        <v>41</v>
      </c>
      <c r="F57" t="s">
        <v>42</v>
      </c>
      <c r="G57" t="s">
        <v>43</v>
      </c>
      <c r="H57" t="s">
        <v>54</v>
      </c>
      <c r="J57" t="s">
        <v>122</v>
      </c>
      <c r="K57" t="s">
        <v>45</v>
      </c>
      <c r="L57">
        <v>92500</v>
      </c>
      <c r="M57" t="s">
        <v>46</v>
      </c>
      <c r="N57" t="s">
        <v>127</v>
      </c>
    </row>
    <row r="58" spans="1:16" ht="15" hidden="1" customHeight="1" x14ac:dyDescent="0.25">
      <c r="A58" t="s">
        <v>122</v>
      </c>
      <c r="B58" t="s">
        <v>39</v>
      </c>
      <c r="C58">
        <v>2</v>
      </c>
      <c r="D58" t="s">
        <v>40</v>
      </c>
      <c r="E58" t="s">
        <v>41</v>
      </c>
      <c r="F58" t="s">
        <v>42</v>
      </c>
      <c r="G58" t="s">
        <v>43</v>
      </c>
      <c r="H58" t="s">
        <v>56</v>
      </c>
      <c r="J58" t="s">
        <v>122</v>
      </c>
      <c r="K58" t="s">
        <v>45</v>
      </c>
      <c r="L58">
        <v>24200</v>
      </c>
      <c r="M58" t="s">
        <v>46</v>
      </c>
      <c r="N58" t="s">
        <v>128</v>
      </c>
    </row>
    <row r="59" spans="1:16" ht="15" hidden="1" customHeight="1" x14ac:dyDescent="0.25">
      <c r="A59" t="s">
        <v>122</v>
      </c>
      <c r="B59" t="s">
        <v>39</v>
      </c>
      <c r="C59">
        <v>2</v>
      </c>
      <c r="D59" t="s">
        <v>40</v>
      </c>
      <c r="E59" t="s">
        <v>41</v>
      </c>
      <c r="F59" t="s">
        <v>42</v>
      </c>
      <c r="G59" t="s">
        <v>43</v>
      </c>
      <c r="H59" t="s">
        <v>58</v>
      </c>
      <c r="J59" t="s">
        <v>122</v>
      </c>
      <c r="K59" t="s">
        <v>45</v>
      </c>
      <c r="L59">
        <v>5500</v>
      </c>
      <c r="M59" t="s">
        <v>46</v>
      </c>
      <c r="N59" t="s">
        <v>129</v>
      </c>
    </row>
    <row r="60" spans="1:16" ht="15" hidden="1" customHeight="1" x14ac:dyDescent="0.25">
      <c r="A60" t="s">
        <v>122</v>
      </c>
      <c r="B60" t="s">
        <v>39</v>
      </c>
      <c r="C60">
        <v>2</v>
      </c>
      <c r="D60" t="s">
        <v>40</v>
      </c>
      <c r="E60" t="s">
        <v>41</v>
      </c>
      <c r="F60" t="s">
        <v>42</v>
      </c>
      <c r="G60" t="s">
        <v>43</v>
      </c>
      <c r="H60" t="s">
        <v>60</v>
      </c>
      <c r="J60" t="s">
        <v>122</v>
      </c>
      <c r="K60" t="s">
        <v>45</v>
      </c>
      <c r="L60">
        <v>8600</v>
      </c>
      <c r="M60" t="s">
        <v>46</v>
      </c>
      <c r="N60" t="s">
        <v>130</v>
      </c>
    </row>
    <row r="61" spans="1:16" ht="15" hidden="1" customHeight="1" x14ac:dyDescent="0.25">
      <c r="A61" t="s">
        <v>122</v>
      </c>
      <c r="B61" t="s">
        <v>39</v>
      </c>
      <c r="C61">
        <v>2</v>
      </c>
      <c r="D61" t="s">
        <v>40</v>
      </c>
      <c r="E61" t="s">
        <v>41</v>
      </c>
      <c r="F61" t="s">
        <v>42</v>
      </c>
      <c r="G61" t="s">
        <v>43</v>
      </c>
      <c r="H61" t="s">
        <v>62</v>
      </c>
      <c r="J61" t="s">
        <v>122</v>
      </c>
      <c r="K61" t="s">
        <v>45</v>
      </c>
      <c r="L61">
        <v>661200</v>
      </c>
      <c r="M61" t="s">
        <v>46</v>
      </c>
      <c r="N61" t="s">
        <v>131</v>
      </c>
    </row>
    <row r="62" spans="1:16" ht="15" hidden="1" customHeight="1" x14ac:dyDescent="0.25">
      <c r="A62" t="s">
        <v>122</v>
      </c>
      <c r="B62" t="s">
        <v>39</v>
      </c>
      <c r="C62">
        <v>2</v>
      </c>
      <c r="D62" t="s">
        <v>40</v>
      </c>
      <c r="E62" t="s">
        <v>41</v>
      </c>
      <c r="F62" t="s">
        <v>42</v>
      </c>
      <c r="G62" t="s">
        <v>43</v>
      </c>
      <c r="H62" t="s">
        <v>64</v>
      </c>
      <c r="J62" t="s">
        <v>122</v>
      </c>
      <c r="K62" t="s">
        <v>45</v>
      </c>
      <c r="L62">
        <v>1840000</v>
      </c>
      <c r="M62" t="s">
        <v>46</v>
      </c>
      <c r="N62" t="s">
        <v>132</v>
      </c>
    </row>
    <row r="63" spans="1:16" ht="15" hidden="1" customHeight="1" x14ac:dyDescent="0.25">
      <c r="A63" t="s">
        <v>122</v>
      </c>
      <c r="B63" t="s">
        <v>39</v>
      </c>
      <c r="C63">
        <v>2</v>
      </c>
      <c r="D63" t="s">
        <v>40</v>
      </c>
      <c r="E63" t="s">
        <v>41</v>
      </c>
      <c r="F63" t="s">
        <v>42</v>
      </c>
      <c r="G63" t="s">
        <v>43</v>
      </c>
      <c r="H63" t="s">
        <v>66</v>
      </c>
      <c r="J63" t="s">
        <v>122</v>
      </c>
      <c r="K63" t="s">
        <v>45</v>
      </c>
      <c r="L63">
        <v>1810000</v>
      </c>
      <c r="M63" t="s">
        <v>46</v>
      </c>
      <c r="N63" t="s">
        <v>133</v>
      </c>
    </row>
    <row r="64" spans="1:16" ht="15" hidden="1" customHeight="1" x14ac:dyDescent="0.25">
      <c r="A64" t="s">
        <v>122</v>
      </c>
      <c r="B64" t="s">
        <v>39</v>
      </c>
      <c r="C64">
        <v>2</v>
      </c>
      <c r="D64" t="s">
        <v>40</v>
      </c>
      <c r="E64" t="s">
        <v>41</v>
      </c>
      <c r="F64" t="s">
        <v>42</v>
      </c>
      <c r="G64" t="s">
        <v>43</v>
      </c>
      <c r="H64" t="s">
        <v>68</v>
      </c>
      <c r="J64" t="s">
        <v>122</v>
      </c>
      <c r="K64" t="s">
        <v>45</v>
      </c>
      <c r="L64">
        <v>37600</v>
      </c>
      <c r="M64" t="s">
        <v>46</v>
      </c>
      <c r="N64" t="s">
        <v>134</v>
      </c>
    </row>
    <row r="65" spans="1:16" ht="15" hidden="1" customHeight="1" x14ac:dyDescent="0.25">
      <c r="A65" t="s">
        <v>122</v>
      </c>
      <c r="B65" t="s">
        <v>39</v>
      </c>
      <c r="C65">
        <v>2</v>
      </c>
      <c r="D65" t="s">
        <v>40</v>
      </c>
      <c r="E65" t="s">
        <v>41</v>
      </c>
      <c r="F65" t="s">
        <v>42</v>
      </c>
      <c r="G65" t="s">
        <v>43</v>
      </c>
      <c r="H65" t="s">
        <v>70</v>
      </c>
      <c r="J65" t="s">
        <v>122</v>
      </c>
      <c r="K65" t="s">
        <v>45</v>
      </c>
      <c r="L65">
        <v>1160000</v>
      </c>
      <c r="M65" t="s">
        <v>46</v>
      </c>
      <c r="N65" t="s">
        <v>135</v>
      </c>
    </row>
    <row r="66" spans="1:16" ht="15" hidden="1" customHeight="1" x14ac:dyDescent="0.25">
      <c r="A66" t="s">
        <v>122</v>
      </c>
      <c r="B66" t="s">
        <v>39</v>
      </c>
      <c r="C66">
        <v>2</v>
      </c>
      <c r="D66" t="s">
        <v>40</v>
      </c>
      <c r="E66" t="s">
        <v>41</v>
      </c>
      <c r="F66" t="s">
        <v>42</v>
      </c>
      <c r="G66" t="s">
        <v>43</v>
      </c>
      <c r="H66" t="s">
        <v>72</v>
      </c>
      <c r="J66" t="s">
        <v>122</v>
      </c>
      <c r="K66" t="s">
        <v>45</v>
      </c>
      <c r="L66">
        <v>71800</v>
      </c>
      <c r="M66" t="s">
        <v>46</v>
      </c>
      <c r="N66" t="s">
        <v>136</v>
      </c>
    </row>
    <row r="67" spans="1:16" ht="15" hidden="1" customHeight="1" x14ac:dyDescent="0.25">
      <c r="A67" t="s">
        <v>122</v>
      </c>
      <c r="B67" t="s">
        <v>39</v>
      </c>
      <c r="C67">
        <v>2</v>
      </c>
      <c r="D67" t="s">
        <v>74</v>
      </c>
      <c r="E67" t="s">
        <v>75</v>
      </c>
      <c r="F67" t="s">
        <v>42</v>
      </c>
      <c r="G67" t="s">
        <v>43</v>
      </c>
      <c r="J67" t="s">
        <v>107</v>
      </c>
      <c r="K67" t="s">
        <v>77</v>
      </c>
      <c r="L67">
        <v>1780000</v>
      </c>
      <c r="M67" t="s">
        <v>46</v>
      </c>
      <c r="N67" t="s">
        <v>121</v>
      </c>
      <c r="O67" t="s">
        <v>79</v>
      </c>
      <c r="P67" t="s">
        <v>103</v>
      </c>
    </row>
    <row r="68" spans="1:16" ht="15" hidden="1" customHeight="1" x14ac:dyDescent="0.25">
      <c r="A68" t="s">
        <v>122</v>
      </c>
      <c r="B68" t="s">
        <v>39</v>
      </c>
      <c r="C68">
        <v>2</v>
      </c>
      <c r="D68" t="s">
        <v>85</v>
      </c>
      <c r="E68" t="s">
        <v>86</v>
      </c>
      <c r="F68" t="s">
        <v>42</v>
      </c>
      <c r="G68" t="s">
        <v>43</v>
      </c>
      <c r="J68" t="s">
        <v>122</v>
      </c>
      <c r="K68" t="s">
        <v>45</v>
      </c>
      <c r="L68">
        <v>1880000</v>
      </c>
      <c r="M68" t="s">
        <v>46</v>
      </c>
      <c r="N68" t="s">
        <v>137</v>
      </c>
    </row>
    <row r="69" spans="1:16" ht="15" hidden="1" customHeight="1" x14ac:dyDescent="0.25">
      <c r="A69" t="s">
        <v>138</v>
      </c>
      <c r="B69" t="s">
        <v>39</v>
      </c>
      <c r="C69">
        <v>2</v>
      </c>
      <c r="D69" t="s">
        <v>40</v>
      </c>
      <c r="E69" t="s">
        <v>41</v>
      </c>
      <c r="F69" t="s">
        <v>42</v>
      </c>
      <c r="G69" t="s">
        <v>43</v>
      </c>
      <c r="H69" t="s">
        <v>44</v>
      </c>
      <c r="J69" t="s">
        <v>138</v>
      </c>
      <c r="K69" t="s">
        <v>45</v>
      </c>
      <c r="L69">
        <v>729700</v>
      </c>
      <c r="M69" t="s">
        <v>46</v>
      </c>
      <c r="N69" t="s">
        <v>139</v>
      </c>
    </row>
    <row r="70" spans="1:16" ht="15" hidden="1" customHeight="1" x14ac:dyDescent="0.25">
      <c r="A70" t="s">
        <v>138</v>
      </c>
      <c r="B70" t="s">
        <v>39</v>
      </c>
      <c r="C70">
        <v>2</v>
      </c>
      <c r="D70" t="s">
        <v>40</v>
      </c>
      <c r="E70" t="s">
        <v>41</v>
      </c>
      <c r="F70" t="s">
        <v>42</v>
      </c>
      <c r="G70" t="s">
        <v>43</v>
      </c>
      <c r="H70" t="s">
        <v>48</v>
      </c>
      <c r="J70" t="s">
        <v>138</v>
      </c>
      <c r="K70" t="s">
        <v>45</v>
      </c>
      <c r="L70">
        <v>516000</v>
      </c>
      <c r="M70" t="s">
        <v>46</v>
      </c>
      <c r="N70" t="s">
        <v>140</v>
      </c>
    </row>
    <row r="71" spans="1:16" ht="15" hidden="1" customHeight="1" x14ac:dyDescent="0.25">
      <c r="A71" t="s">
        <v>138</v>
      </c>
      <c r="B71" t="s">
        <v>39</v>
      </c>
      <c r="C71">
        <v>2</v>
      </c>
      <c r="D71" t="s">
        <v>40</v>
      </c>
      <c r="E71" t="s">
        <v>41</v>
      </c>
      <c r="F71" t="s">
        <v>42</v>
      </c>
      <c r="G71" t="s">
        <v>43</v>
      </c>
      <c r="H71" t="s">
        <v>50</v>
      </c>
      <c r="J71" t="s">
        <v>138</v>
      </c>
      <c r="K71" t="s">
        <v>45</v>
      </c>
      <c r="L71">
        <v>354300</v>
      </c>
      <c r="M71" t="s">
        <v>46</v>
      </c>
      <c r="N71" t="s">
        <v>141</v>
      </c>
    </row>
    <row r="72" spans="1:16" ht="15" hidden="1" customHeight="1" x14ac:dyDescent="0.25">
      <c r="A72" t="s">
        <v>138</v>
      </c>
      <c r="B72" t="s">
        <v>39</v>
      </c>
      <c r="C72">
        <v>2</v>
      </c>
      <c r="D72" t="s">
        <v>40</v>
      </c>
      <c r="E72" t="s">
        <v>41</v>
      </c>
      <c r="F72" t="s">
        <v>42</v>
      </c>
      <c r="G72" t="s">
        <v>43</v>
      </c>
      <c r="H72" t="s">
        <v>52</v>
      </c>
      <c r="J72" t="s">
        <v>138</v>
      </c>
      <c r="K72" t="s">
        <v>45</v>
      </c>
      <c r="L72">
        <v>218100</v>
      </c>
      <c r="M72" t="s">
        <v>46</v>
      </c>
      <c r="N72" t="s">
        <v>142</v>
      </c>
    </row>
    <row r="73" spans="1:16" ht="15" hidden="1" customHeight="1" x14ac:dyDescent="0.25">
      <c r="A73" t="s">
        <v>138</v>
      </c>
      <c r="B73" t="s">
        <v>39</v>
      </c>
      <c r="C73">
        <v>2</v>
      </c>
      <c r="D73" t="s">
        <v>40</v>
      </c>
      <c r="E73" t="s">
        <v>41</v>
      </c>
      <c r="F73" t="s">
        <v>42</v>
      </c>
      <c r="G73" t="s">
        <v>43</v>
      </c>
      <c r="H73" t="s">
        <v>54</v>
      </c>
      <c r="J73" t="s">
        <v>138</v>
      </c>
      <c r="K73" t="s">
        <v>45</v>
      </c>
      <c r="L73">
        <v>99800</v>
      </c>
      <c r="M73" t="s">
        <v>46</v>
      </c>
      <c r="N73" t="s">
        <v>143</v>
      </c>
    </row>
    <row r="74" spans="1:16" ht="15" hidden="1" customHeight="1" x14ac:dyDescent="0.25">
      <c r="A74" t="s">
        <v>138</v>
      </c>
      <c r="B74" t="s">
        <v>39</v>
      </c>
      <c r="C74">
        <v>2</v>
      </c>
      <c r="D74" t="s">
        <v>40</v>
      </c>
      <c r="E74" t="s">
        <v>41</v>
      </c>
      <c r="F74" t="s">
        <v>42</v>
      </c>
      <c r="G74" t="s">
        <v>43</v>
      </c>
      <c r="H74" t="s">
        <v>56</v>
      </c>
      <c r="J74" t="s">
        <v>138</v>
      </c>
      <c r="K74" t="s">
        <v>45</v>
      </c>
      <c r="L74">
        <v>26500</v>
      </c>
      <c r="M74" t="s">
        <v>46</v>
      </c>
      <c r="N74" t="s">
        <v>69</v>
      </c>
    </row>
    <row r="75" spans="1:16" ht="15" hidden="1" customHeight="1" x14ac:dyDescent="0.25">
      <c r="A75" t="s">
        <v>138</v>
      </c>
      <c r="B75" t="s">
        <v>39</v>
      </c>
      <c r="C75">
        <v>2</v>
      </c>
      <c r="D75" t="s">
        <v>40</v>
      </c>
      <c r="E75" t="s">
        <v>41</v>
      </c>
      <c r="F75" t="s">
        <v>42</v>
      </c>
      <c r="G75" t="s">
        <v>43</v>
      </c>
      <c r="H75" t="s">
        <v>58</v>
      </c>
      <c r="J75" t="s">
        <v>138</v>
      </c>
      <c r="K75" t="s">
        <v>45</v>
      </c>
      <c r="L75">
        <v>6000</v>
      </c>
      <c r="M75" t="s">
        <v>46</v>
      </c>
      <c r="N75" t="s">
        <v>144</v>
      </c>
    </row>
    <row r="76" spans="1:16" ht="15" hidden="1" customHeight="1" x14ac:dyDescent="0.25">
      <c r="A76" t="s">
        <v>138</v>
      </c>
      <c r="B76" t="s">
        <v>39</v>
      </c>
      <c r="C76">
        <v>2</v>
      </c>
      <c r="D76" t="s">
        <v>40</v>
      </c>
      <c r="E76" t="s">
        <v>41</v>
      </c>
      <c r="F76" t="s">
        <v>42</v>
      </c>
      <c r="G76" t="s">
        <v>43</v>
      </c>
      <c r="H76" t="s">
        <v>60</v>
      </c>
      <c r="J76" t="s">
        <v>138</v>
      </c>
      <c r="K76" t="s">
        <v>45</v>
      </c>
      <c r="L76">
        <v>9200</v>
      </c>
      <c r="M76" t="s">
        <v>46</v>
      </c>
      <c r="N76" t="s">
        <v>145</v>
      </c>
    </row>
    <row r="77" spans="1:16" ht="15" hidden="1" customHeight="1" x14ac:dyDescent="0.25">
      <c r="A77" t="s">
        <v>138</v>
      </c>
      <c r="B77" t="s">
        <v>39</v>
      </c>
      <c r="C77">
        <v>2</v>
      </c>
      <c r="D77" t="s">
        <v>40</v>
      </c>
      <c r="E77" t="s">
        <v>41</v>
      </c>
      <c r="F77" t="s">
        <v>42</v>
      </c>
      <c r="G77" t="s">
        <v>43</v>
      </c>
      <c r="H77" t="s">
        <v>62</v>
      </c>
      <c r="J77" t="s">
        <v>138</v>
      </c>
      <c r="K77" t="s">
        <v>45</v>
      </c>
      <c r="L77">
        <v>709400</v>
      </c>
      <c r="M77" t="s">
        <v>46</v>
      </c>
      <c r="N77" t="s">
        <v>146</v>
      </c>
    </row>
    <row r="78" spans="1:16" ht="15" hidden="1" customHeight="1" x14ac:dyDescent="0.25">
      <c r="A78" t="s">
        <v>138</v>
      </c>
      <c r="B78" t="s">
        <v>39</v>
      </c>
      <c r="C78">
        <v>2</v>
      </c>
      <c r="D78" t="s">
        <v>40</v>
      </c>
      <c r="E78" t="s">
        <v>41</v>
      </c>
      <c r="F78" t="s">
        <v>42</v>
      </c>
      <c r="G78" t="s">
        <v>43</v>
      </c>
      <c r="H78" t="s">
        <v>64</v>
      </c>
      <c r="J78" t="s">
        <v>138</v>
      </c>
      <c r="K78" t="s">
        <v>45</v>
      </c>
      <c r="L78">
        <v>1950000</v>
      </c>
      <c r="M78" t="s">
        <v>46</v>
      </c>
      <c r="N78" t="s">
        <v>147</v>
      </c>
    </row>
    <row r="79" spans="1:16" ht="15" hidden="1" customHeight="1" x14ac:dyDescent="0.25">
      <c r="A79" t="s">
        <v>138</v>
      </c>
      <c r="B79" t="s">
        <v>39</v>
      </c>
      <c r="C79">
        <v>2</v>
      </c>
      <c r="D79" t="s">
        <v>40</v>
      </c>
      <c r="E79" t="s">
        <v>41</v>
      </c>
      <c r="F79" t="s">
        <v>42</v>
      </c>
      <c r="G79" t="s">
        <v>43</v>
      </c>
      <c r="H79" t="s">
        <v>66</v>
      </c>
      <c r="J79" t="s">
        <v>138</v>
      </c>
      <c r="K79" t="s">
        <v>45</v>
      </c>
      <c r="L79">
        <v>1930000</v>
      </c>
      <c r="M79" t="s">
        <v>46</v>
      </c>
      <c r="N79" t="s">
        <v>148</v>
      </c>
    </row>
    <row r="80" spans="1:16" ht="15" hidden="1" customHeight="1" x14ac:dyDescent="0.25">
      <c r="A80" t="s">
        <v>138</v>
      </c>
      <c r="B80" t="s">
        <v>39</v>
      </c>
      <c r="C80">
        <v>2</v>
      </c>
      <c r="D80" t="s">
        <v>40</v>
      </c>
      <c r="E80" t="s">
        <v>41</v>
      </c>
      <c r="F80" t="s">
        <v>42</v>
      </c>
      <c r="G80" t="s">
        <v>43</v>
      </c>
      <c r="H80" t="s">
        <v>68</v>
      </c>
      <c r="J80" t="s">
        <v>138</v>
      </c>
      <c r="K80" t="s">
        <v>45</v>
      </c>
      <c r="L80">
        <v>55300</v>
      </c>
      <c r="M80" t="s">
        <v>46</v>
      </c>
      <c r="N80" t="s">
        <v>149</v>
      </c>
    </row>
    <row r="81" spans="1:16" ht="15" hidden="1" customHeight="1" x14ac:dyDescent="0.25">
      <c r="A81" t="s">
        <v>138</v>
      </c>
      <c r="B81" t="s">
        <v>39</v>
      </c>
      <c r="C81">
        <v>2</v>
      </c>
      <c r="D81" t="s">
        <v>40</v>
      </c>
      <c r="E81" t="s">
        <v>41</v>
      </c>
      <c r="F81" t="s">
        <v>42</v>
      </c>
      <c r="G81" t="s">
        <v>43</v>
      </c>
      <c r="H81" t="s">
        <v>70</v>
      </c>
      <c r="J81" t="s">
        <v>138</v>
      </c>
      <c r="K81" t="s">
        <v>45</v>
      </c>
      <c r="L81">
        <v>1240000</v>
      </c>
      <c r="M81" t="s">
        <v>46</v>
      </c>
      <c r="N81" t="s">
        <v>150</v>
      </c>
    </row>
    <row r="82" spans="1:16" ht="15" hidden="1" customHeight="1" x14ac:dyDescent="0.25">
      <c r="A82" t="s">
        <v>138</v>
      </c>
      <c r="B82" t="s">
        <v>39</v>
      </c>
      <c r="C82">
        <v>2</v>
      </c>
      <c r="D82" t="s">
        <v>40</v>
      </c>
      <c r="E82" t="s">
        <v>41</v>
      </c>
      <c r="F82" t="s">
        <v>42</v>
      </c>
      <c r="G82" t="s">
        <v>43</v>
      </c>
      <c r="H82" t="s">
        <v>72</v>
      </c>
      <c r="J82" t="s">
        <v>138</v>
      </c>
      <c r="K82" t="s">
        <v>45</v>
      </c>
      <c r="L82">
        <v>78000</v>
      </c>
      <c r="M82" t="s">
        <v>46</v>
      </c>
      <c r="N82" t="s">
        <v>151</v>
      </c>
    </row>
    <row r="83" spans="1:16" ht="15" hidden="1" customHeight="1" x14ac:dyDescent="0.25">
      <c r="A83" t="s">
        <v>138</v>
      </c>
      <c r="B83" t="s">
        <v>39</v>
      </c>
      <c r="C83">
        <v>2</v>
      </c>
      <c r="D83" t="s">
        <v>74</v>
      </c>
      <c r="E83" t="s">
        <v>75</v>
      </c>
      <c r="F83" t="s">
        <v>42</v>
      </c>
      <c r="G83" t="s">
        <v>43</v>
      </c>
      <c r="J83" t="s">
        <v>107</v>
      </c>
      <c r="K83" t="s">
        <v>77</v>
      </c>
      <c r="L83">
        <v>1780000</v>
      </c>
      <c r="M83" t="s">
        <v>46</v>
      </c>
      <c r="N83" t="s">
        <v>121</v>
      </c>
      <c r="O83" t="s">
        <v>79</v>
      </c>
      <c r="P83" t="s">
        <v>103</v>
      </c>
    </row>
    <row r="84" spans="1:16" ht="15" hidden="1" customHeight="1" x14ac:dyDescent="0.25">
      <c r="A84" t="s">
        <v>138</v>
      </c>
      <c r="B84" t="s">
        <v>39</v>
      </c>
      <c r="C84">
        <v>2</v>
      </c>
      <c r="D84" t="s">
        <v>74</v>
      </c>
      <c r="E84" t="s">
        <v>75</v>
      </c>
      <c r="F84" t="s">
        <v>42</v>
      </c>
      <c r="G84" t="s">
        <v>43</v>
      </c>
      <c r="J84" t="s">
        <v>122</v>
      </c>
      <c r="K84" t="s">
        <v>77</v>
      </c>
      <c r="L84">
        <v>1880000</v>
      </c>
      <c r="M84" t="s">
        <v>46</v>
      </c>
      <c r="N84" t="s">
        <v>137</v>
      </c>
      <c r="O84" t="s">
        <v>79</v>
      </c>
      <c r="P84" t="s">
        <v>103</v>
      </c>
    </row>
    <row r="85" spans="1:16" ht="15" hidden="1" customHeight="1" x14ac:dyDescent="0.25">
      <c r="A85" t="s">
        <v>138</v>
      </c>
      <c r="B85" t="s">
        <v>39</v>
      </c>
      <c r="C85">
        <v>2</v>
      </c>
      <c r="D85" t="s">
        <v>85</v>
      </c>
      <c r="E85" t="s">
        <v>86</v>
      </c>
      <c r="F85" t="s">
        <v>42</v>
      </c>
      <c r="G85" t="s">
        <v>43</v>
      </c>
      <c r="J85" t="s">
        <v>138</v>
      </c>
      <c r="K85" t="s">
        <v>45</v>
      </c>
      <c r="L85">
        <v>2000000</v>
      </c>
      <c r="M85" t="s">
        <v>46</v>
      </c>
      <c r="N85" t="s">
        <v>152</v>
      </c>
    </row>
    <row r="86" spans="1:16" ht="15" hidden="1" customHeight="1" x14ac:dyDescent="0.25">
      <c r="A86" t="s">
        <v>153</v>
      </c>
      <c r="B86" t="s">
        <v>39</v>
      </c>
      <c r="C86">
        <v>2</v>
      </c>
      <c r="D86" t="s">
        <v>40</v>
      </c>
      <c r="E86" t="s">
        <v>41</v>
      </c>
      <c r="F86" t="s">
        <v>42</v>
      </c>
      <c r="G86" t="s">
        <v>43</v>
      </c>
      <c r="H86" t="s">
        <v>44</v>
      </c>
      <c r="J86" t="s">
        <v>153</v>
      </c>
      <c r="K86" t="s">
        <v>45</v>
      </c>
      <c r="L86">
        <v>775500</v>
      </c>
      <c r="M86" t="s">
        <v>46</v>
      </c>
      <c r="N86" t="s">
        <v>154</v>
      </c>
    </row>
    <row r="87" spans="1:16" ht="15" hidden="1" customHeight="1" x14ac:dyDescent="0.25">
      <c r="A87" t="s">
        <v>153</v>
      </c>
      <c r="B87" t="s">
        <v>39</v>
      </c>
      <c r="C87">
        <v>2</v>
      </c>
      <c r="D87" t="s">
        <v>40</v>
      </c>
      <c r="E87" t="s">
        <v>41</v>
      </c>
      <c r="F87" t="s">
        <v>42</v>
      </c>
      <c r="G87" t="s">
        <v>43</v>
      </c>
      <c r="H87" t="s">
        <v>48</v>
      </c>
      <c r="J87" t="s">
        <v>153</v>
      </c>
      <c r="K87" t="s">
        <v>45</v>
      </c>
      <c r="L87">
        <v>542000</v>
      </c>
      <c r="M87" t="s">
        <v>46</v>
      </c>
      <c r="N87" t="s">
        <v>155</v>
      </c>
    </row>
    <row r="88" spans="1:16" ht="15" hidden="1" customHeight="1" x14ac:dyDescent="0.25">
      <c r="A88" t="s">
        <v>153</v>
      </c>
      <c r="B88" t="s">
        <v>39</v>
      </c>
      <c r="C88">
        <v>2</v>
      </c>
      <c r="D88" t="s">
        <v>40</v>
      </c>
      <c r="E88" t="s">
        <v>41</v>
      </c>
      <c r="F88" t="s">
        <v>42</v>
      </c>
      <c r="G88" t="s">
        <v>43</v>
      </c>
      <c r="H88" t="s">
        <v>50</v>
      </c>
      <c r="J88" t="s">
        <v>153</v>
      </c>
      <c r="K88" t="s">
        <v>45</v>
      </c>
      <c r="L88">
        <v>375400</v>
      </c>
      <c r="M88" t="s">
        <v>46</v>
      </c>
      <c r="N88" t="s">
        <v>156</v>
      </c>
    </row>
    <row r="89" spans="1:16" ht="15" hidden="1" customHeight="1" x14ac:dyDescent="0.25">
      <c r="A89" t="s">
        <v>153</v>
      </c>
      <c r="B89" t="s">
        <v>39</v>
      </c>
      <c r="C89">
        <v>2</v>
      </c>
      <c r="D89" t="s">
        <v>40</v>
      </c>
      <c r="E89" t="s">
        <v>41</v>
      </c>
      <c r="F89" t="s">
        <v>42</v>
      </c>
      <c r="G89" t="s">
        <v>43</v>
      </c>
      <c r="H89" t="s">
        <v>52</v>
      </c>
      <c r="J89" t="s">
        <v>153</v>
      </c>
      <c r="K89" t="s">
        <v>45</v>
      </c>
      <c r="L89">
        <v>232200</v>
      </c>
      <c r="M89" t="s">
        <v>46</v>
      </c>
      <c r="N89" t="s">
        <v>157</v>
      </c>
    </row>
    <row r="90" spans="1:16" ht="15" hidden="1" customHeight="1" x14ac:dyDescent="0.25">
      <c r="A90" t="s">
        <v>153</v>
      </c>
      <c r="B90" t="s">
        <v>39</v>
      </c>
      <c r="C90">
        <v>2</v>
      </c>
      <c r="D90" t="s">
        <v>40</v>
      </c>
      <c r="E90" t="s">
        <v>41</v>
      </c>
      <c r="F90" t="s">
        <v>42</v>
      </c>
      <c r="G90" t="s">
        <v>43</v>
      </c>
      <c r="H90" t="s">
        <v>54</v>
      </c>
      <c r="J90" t="s">
        <v>153</v>
      </c>
      <c r="K90" t="s">
        <v>45</v>
      </c>
      <c r="L90">
        <v>107100</v>
      </c>
      <c r="M90" t="s">
        <v>46</v>
      </c>
      <c r="N90" t="s">
        <v>158</v>
      </c>
    </row>
    <row r="91" spans="1:16" ht="15" hidden="1" customHeight="1" x14ac:dyDescent="0.25">
      <c r="A91" t="s">
        <v>153</v>
      </c>
      <c r="B91" t="s">
        <v>39</v>
      </c>
      <c r="C91">
        <v>2</v>
      </c>
      <c r="D91" t="s">
        <v>40</v>
      </c>
      <c r="E91" t="s">
        <v>41</v>
      </c>
      <c r="F91" t="s">
        <v>42</v>
      </c>
      <c r="G91" t="s">
        <v>43</v>
      </c>
      <c r="H91" t="s">
        <v>56</v>
      </c>
      <c r="J91" t="s">
        <v>153</v>
      </c>
      <c r="K91" t="s">
        <v>45</v>
      </c>
      <c r="L91">
        <v>28800</v>
      </c>
      <c r="M91" t="s">
        <v>46</v>
      </c>
      <c r="N91" t="s">
        <v>159</v>
      </c>
    </row>
    <row r="92" spans="1:16" ht="15" hidden="1" customHeight="1" x14ac:dyDescent="0.25">
      <c r="A92" t="s">
        <v>153</v>
      </c>
      <c r="B92" t="s">
        <v>39</v>
      </c>
      <c r="C92">
        <v>2</v>
      </c>
      <c r="D92" t="s">
        <v>40</v>
      </c>
      <c r="E92" t="s">
        <v>41</v>
      </c>
      <c r="F92" t="s">
        <v>42</v>
      </c>
      <c r="G92" t="s">
        <v>43</v>
      </c>
      <c r="H92" t="s">
        <v>58</v>
      </c>
      <c r="J92" t="s">
        <v>153</v>
      </c>
      <c r="K92" t="s">
        <v>45</v>
      </c>
      <c r="L92">
        <v>6400</v>
      </c>
      <c r="M92" t="s">
        <v>46</v>
      </c>
      <c r="N92" t="s">
        <v>160</v>
      </c>
    </row>
    <row r="93" spans="1:16" ht="15" hidden="1" customHeight="1" x14ac:dyDescent="0.25">
      <c r="A93" t="s">
        <v>153</v>
      </c>
      <c r="B93" t="s">
        <v>39</v>
      </c>
      <c r="C93">
        <v>2</v>
      </c>
      <c r="D93" t="s">
        <v>40</v>
      </c>
      <c r="E93" t="s">
        <v>41</v>
      </c>
      <c r="F93" t="s">
        <v>42</v>
      </c>
      <c r="G93" t="s">
        <v>43</v>
      </c>
      <c r="H93" t="s">
        <v>60</v>
      </c>
      <c r="J93" t="s">
        <v>153</v>
      </c>
      <c r="K93" t="s">
        <v>45</v>
      </c>
      <c r="L93">
        <v>9700</v>
      </c>
      <c r="M93" t="s">
        <v>46</v>
      </c>
      <c r="N93" t="s">
        <v>161</v>
      </c>
    </row>
    <row r="94" spans="1:16" ht="15" hidden="1" customHeight="1" x14ac:dyDescent="0.25">
      <c r="A94" t="s">
        <v>153</v>
      </c>
      <c r="B94" t="s">
        <v>39</v>
      </c>
      <c r="C94">
        <v>2</v>
      </c>
      <c r="D94" t="s">
        <v>40</v>
      </c>
      <c r="E94" t="s">
        <v>41</v>
      </c>
      <c r="F94" t="s">
        <v>42</v>
      </c>
      <c r="G94" t="s">
        <v>43</v>
      </c>
      <c r="H94" t="s">
        <v>62</v>
      </c>
      <c r="J94" t="s">
        <v>153</v>
      </c>
      <c r="K94" t="s">
        <v>45</v>
      </c>
      <c r="L94">
        <v>763600</v>
      </c>
      <c r="M94" t="s">
        <v>46</v>
      </c>
      <c r="N94" t="s">
        <v>162</v>
      </c>
    </row>
    <row r="95" spans="1:16" ht="15" hidden="1" customHeight="1" x14ac:dyDescent="0.25">
      <c r="A95" t="s">
        <v>153</v>
      </c>
      <c r="B95" t="s">
        <v>39</v>
      </c>
      <c r="C95">
        <v>2</v>
      </c>
      <c r="D95" t="s">
        <v>40</v>
      </c>
      <c r="E95" t="s">
        <v>41</v>
      </c>
      <c r="F95" t="s">
        <v>42</v>
      </c>
      <c r="G95" t="s">
        <v>43</v>
      </c>
      <c r="H95" t="s">
        <v>64</v>
      </c>
      <c r="J95" t="s">
        <v>153</v>
      </c>
      <c r="K95" t="s">
        <v>45</v>
      </c>
      <c r="L95">
        <v>2080000</v>
      </c>
      <c r="M95" t="s">
        <v>46</v>
      </c>
      <c r="N95" t="s">
        <v>163</v>
      </c>
    </row>
    <row r="96" spans="1:16" ht="15" hidden="1" customHeight="1" x14ac:dyDescent="0.25">
      <c r="A96" t="s">
        <v>153</v>
      </c>
      <c r="B96" t="s">
        <v>39</v>
      </c>
      <c r="C96">
        <v>2</v>
      </c>
      <c r="D96" t="s">
        <v>40</v>
      </c>
      <c r="E96" t="s">
        <v>41</v>
      </c>
      <c r="F96" t="s">
        <v>42</v>
      </c>
      <c r="G96" t="s">
        <v>43</v>
      </c>
      <c r="H96" t="s">
        <v>66</v>
      </c>
      <c r="J96" t="s">
        <v>153</v>
      </c>
      <c r="K96" t="s">
        <v>45</v>
      </c>
      <c r="L96">
        <v>2040000</v>
      </c>
      <c r="M96" t="s">
        <v>46</v>
      </c>
      <c r="N96" t="s">
        <v>164</v>
      </c>
    </row>
    <row r="97" spans="1:16" ht="15" hidden="1" customHeight="1" x14ac:dyDescent="0.25">
      <c r="A97" t="s">
        <v>153</v>
      </c>
      <c r="B97" t="s">
        <v>39</v>
      </c>
      <c r="C97">
        <v>2</v>
      </c>
      <c r="D97" t="s">
        <v>40</v>
      </c>
      <c r="E97" t="s">
        <v>41</v>
      </c>
      <c r="F97" t="s">
        <v>42</v>
      </c>
      <c r="G97" t="s">
        <v>43</v>
      </c>
      <c r="H97" t="s">
        <v>68</v>
      </c>
      <c r="J97" t="s">
        <v>153</v>
      </c>
      <c r="K97" t="s">
        <v>45</v>
      </c>
      <c r="L97">
        <v>48300</v>
      </c>
      <c r="M97" t="s">
        <v>46</v>
      </c>
      <c r="N97" t="s">
        <v>165</v>
      </c>
    </row>
    <row r="98" spans="1:16" ht="15" hidden="1" customHeight="1" x14ac:dyDescent="0.25">
      <c r="A98" t="s">
        <v>153</v>
      </c>
      <c r="B98" t="s">
        <v>39</v>
      </c>
      <c r="C98">
        <v>2</v>
      </c>
      <c r="D98" t="s">
        <v>40</v>
      </c>
      <c r="E98" t="s">
        <v>41</v>
      </c>
      <c r="F98" t="s">
        <v>42</v>
      </c>
      <c r="G98" t="s">
        <v>43</v>
      </c>
      <c r="H98" t="s">
        <v>70</v>
      </c>
      <c r="J98" t="s">
        <v>153</v>
      </c>
      <c r="K98" t="s">
        <v>45</v>
      </c>
      <c r="L98">
        <v>1300000</v>
      </c>
      <c r="M98" t="s">
        <v>46</v>
      </c>
      <c r="N98" t="s">
        <v>166</v>
      </c>
    </row>
    <row r="99" spans="1:16" ht="15" hidden="1" customHeight="1" x14ac:dyDescent="0.25">
      <c r="A99" t="s">
        <v>153</v>
      </c>
      <c r="B99" t="s">
        <v>39</v>
      </c>
      <c r="C99">
        <v>2</v>
      </c>
      <c r="D99" t="s">
        <v>40</v>
      </c>
      <c r="E99" t="s">
        <v>41</v>
      </c>
      <c r="F99" t="s">
        <v>42</v>
      </c>
      <c r="G99" t="s">
        <v>43</v>
      </c>
      <c r="H99" t="s">
        <v>72</v>
      </c>
      <c r="J99" t="s">
        <v>153</v>
      </c>
      <c r="K99" t="s">
        <v>45</v>
      </c>
      <c r="L99">
        <v>84000</v>
      </c>
      <c r="M99" t="s">
        <v>46</v>
      </c>
      <c r="N99" t="s">
        <v>167</v>
      </c>
    </row>
    <row r="100" spans="1:16" ht="15" hidden="1" customHeight="1" x14ac:dyDescent="0.25">
      <c r="A100" t="s">
        <v>153</v>
      </c>
      <c r="B100" t="s">
        <v>39</v>
      </c>
      <c r="C100">
        <v>2</v>
      </c>
      <c r="D100" t="s">
        <v>74</v>
      </c>
      <c r="E100" t="s">
        <v>75</v>
      </c>
      <c r="F100" t="s">
        <v>42</v>
      </c>
      <c r="G100" t="s">
        <v>43</v>
      </c>
      <c r="J100" t="s">
        <v>107</v>
      </c>
      <c r="K100" t="s">
        <v>77</v>
      </c>
      <c r="L100">
        <v>1780000</v>
      </c>
      <c r="M100" t="s">
        <v>46</v>
      </c>
      <c r="N100" t="s">
        <v>121</v>
      </c>
      <c r="O100" t="s">
        <v>79</v>
      </c>
      <c r="P100" t="s">
        <v>103</v>
      </c>
    </row>
    <row r="101" spans="1:16" ht="15" hidden="1" customHeight="1" x14ac:dyDescent="0.25">
      <c r="A101" t="s">
        <v>153</v>
      </c>
      <c r="B101" t="s">
        <v>39</v>
      </c>
      <c r="C101">
        <v>2</v>
      </c>
      <c r="D101" t="s">
        <v>74</v>
      </c>
      <c r="E101" t="s">
        <v>75</v>
      </c>
      <c r="F101" t="s">
        <v>42</v>
      </c>
      <c r="G101" t="s">
        <v>43</v>
      </c>
      <c r="J101" t="s">
        <v>122</v>
      </c>
      <c r="K101" t="s">
        <v>77</v>
      </c>
      <c r="L101">
        <v>1880000</v>
      </c>
      <c r="M101" t="s">
        <v>46</v>
      </c>
      <c r="N101" t="s">
        <v>137</v>
      </c>
      <c r="O101" t="s">
        <v>79</v>
      </c>
      <c r="P101" t="s">
        <v>103</v>
      </c>
    </row>
    <row r="102" spans="1:16" ht="15" hidden="1" customHeight="1" x14ac:dyDescent="0.25">
      <c r="A102" t="s">
        <v>153</v>
      </c>
      <c r="B102" t="s">
        <v>39</v>
      </c>
      <c r="C102">
        <v>2</v>
      </c>
      <c r="D102" t="s">
        <v>74</v>
      </c>
      <c r="E102" t="s">
        <v>75</v>
      </c>
      <c r="F102" t="s">
        <v>42</v>
      </c>
      <c r="G102" t="s">
        <v>43</v>
      </c>
      <c r="J102" t="s">
        <v>138</v>
      </c>
      <c r="K102" t="s">
        <v>77</v>
      </c>
      <c r="L102">
        <v>2000000</v>
      </c>
      <c r="M102" t="s">
        <v>46</v>
      </c>
      <c r="N102" t="s">
        <v>152</v>
      </c>
      <c r="O102" t="s">
        <v>79</v>
      </c>
      <c r="P102" t="s">
        <v>103</v>
      </c>
    </row>
    <row r="103" spans="1:16" ht="15" hidden="1" customHeight="1" x14ac:dyDescent="0.25">
      <c r="A103" t="s">
        <v>153</v>
      </c>
      <c r="B103" t="s">
        <v>39</v>
      </c>
      <c r="C103">
        <v>2</v>
      </c>
      <c r="D103" t="s">
        <v>85</v>
      </c>
      <c r="E103" t="s">
        <v>86</v>
      </c>
      <c r="F103" t="s">
        <v>42</v>
      </c>
      <c r="G103" t="s">
        <v>43</v>
      </c>
      <c r="J103" t="s">
        <v>153</v>
      </c>
      <c r="K103" t="s">
        <v>45</v>
      </c>
      <c r="L103">
        <v>2130000</v>
      </c>
      <c r="M103" t="s">
        <v>46</v>
      </c>
      <c r="N103" t="s">
        <v>168</v>
      </c>
    </row>
    <row r="104" spans="1:16" ht="15" hidden="1" customHeight="1" x14ac:dyDescent="0.25">
      <c r="A104" t="s">
        <v>169</v>
      </c>
      <c r="B104" t="s">
        <v>39</v>
      </c>
      <c r="C104">
        <v>2</v>
      </c>
      <c r="D104" t="s">
        <v>40</v>
      </c>
      <c r="E104" t="s">
        <v>41</v>
      </c>
      <c r="F104" t="s">
        <v>42</v>
      </c>
      <c r="G104" t="s">
        <v>43</v>
      </c>
      <c r="H104" t="s">
        <v>44</v>
      </c>
      <c r="J104" t="s">
        <v>169</v>
      </c>
      <c r="K104" t="s">
        <v>45</v>
      </c>
      <c r="L104">
        <v>795100</v>
      </c>
      <c r="M104" t="s">
        <v>46</v>
      </c>
      <c r="N104" t="s">
        <v>170</v>
      </c>
    </row>
    <row r="105" spans="1:16" ht="15" hidden="1" customHeight="1" x14ac:dyDescent="0.25">
      <c r="A105" t="s">
        <v>169</v>
      </c>
      <c r="B105" t="s">
        <v>39</v>
      </c>
      <c r="C105">
        <v>2</v>
      </c>
      <c r="D105" t="s">
        <v>40</v>
      </c>
      <c r="E105" t="s">
        <v>41</v>
      </c>
      <c r="F105" t="s">
        <v>42</v>
      </c>
      <c r="G105" t="s">
        <v>43</v>
      </c>
      <c r="H105" t="s">
        <v>48</v>
      </c>
      <c r="J105" t="s">
        <v>169</v>
      </c>
      <c r="K105" t="s">
        <v>45</v>
      </c>
      <c r="L105">
        <v>567000</v>
      </c>
      <c r="M105" t="s">
        <v>46</v>
      </c>
      <c r="N105" t="s">
        <v>171</v>
      </c>
    </row>
    <row r="106" spans="1:16" ht="15" hidden="1" customHeight="1" x14ac:dyDescent="0.25">
      <c r="A106" t="s">
        <v>169</v>
      </c>
      <c r="B106" t="s">
        <v>39</v>
      </c>
      <c r="C106">
        <v>2</v>
      </c>
      <c r="D106" t="s">
        <v>40</v>
      </c>
      <c r="E106" t="s">
        <v>41</v>
      </c>
      <c r="F106" t="s">
        <v>42</v>
      </c>
      <c r="G106" t="s">
        <v>43</v>
      </c>
      <c r="H106" t="s">
        <v>50</v>
      </c>
      <c r="J106" t="s">
        <v>169</v>
      </c>
      <c r="K106" t="s">
        <v>45</v>
      </c>
      <c r="L106">
        <v>397000</v>
      </c>
      <c r="M106" t="s">
        <v>46</v>
      </c>
      <c r="N106" t="s">
        <v>172</v>
      </c>
    </row>
    <row r="107" spans="1:16" ht="15" hidden="1" customHeight="1" x14ac:dyDescent="0.25">
      <c r="A107" t="s">
        <v>169</v>
      </c>
      <c r="B107" t="s">
        <v>39</v>
      </c>
      <c r="C107">
        <v>2</v>
      </c>
      <c r="D107" t="s">
        <v>40</v>
      </c>
      <c r="E107" t="s">
        <v>41</v>
      </c>
      <c r="F107" t="s">
        <v>42</v>
      </c>
      <c r="G107" t="s">
        <v>43</v>
      </c>
      <c r="H107" t="s">
        <v>52</v>
      </c>
      <c r="J107" t="s">
        <v>169</v>
      </c>
      <c r="K107" t="s">
        <v>45</v>
      </c>
      <c r="L107">
        <v>246200</v>
      </c>
      <c r="M107" t="s">
        <v>46</v>
      </c>
      <c r="N107" t="s">
        <v>173</v>
      </c>
    </row>
    <row r="108" spans="1:16" ht="15" hidden="1" customHeight="1" x14ac:dyDescent="0.25">
      <c r="A108" t="s">
        <v>169</v>
      </c>
      <c r="B108" t="s">
        <v>39</v>
      </c>
      <c r="C108">
        <v>2</v>
      </c>
      <c r="D108" t="s">
        <v>40</v>
      </c>
      <c r="E108" t="s">
        <v>41</v>
      </c>
      <c r="F108" t="s">
        <v>42</v>
      </c>
      <c r="G108" t="s">
        <v>43</v>
      </c>
      <c r="H108" t="s">
        <v>54</v>
      </c>
      <c r="J108" t="s">
        <v>169</v>
      </c>
      <c r="K108" t="s">
        <v>45</v>
      </c>
      <c r="L108">
        <v>115500</v>
      </c>
      <c r="M108" t="s">
        <v>46</v>
      </c>
      <c r="N108" t="s">
        <v>174</v>
      </c>
    </row>
    <row r="109" spans="1:16" ht="15" hidden="1" customHeight="1" x14ac:dyDescent="0.25">
      <c r="A109" t="s">
        <v>169</v>
      </c>
      <c r="B109" t="s">
        <v>39</v>
      </c>
      <c r="C109">
        <v>2</v>
      </c>
      <c r="D109" t="s">
        <v>40</v>
      </c>
      <c r="E109" t="s">
        <v>41</v>
      </c>
      <c r="F109" t="s">
        <v>42</v>
      </c>
      <c r="G109" t="s">
        <v>43</v>
      </c>
      <c r="H109" t="s">
        <v>56</v>
      </c>
      <c r="J109" t="s">
        <v>169</v>
      </c>
      <c r="K109" t="s">
        <v>45</v>
      </c>
      <c r="L109">
        <v>31500</v>
      </c>
      <c r="M109" t="s">
        <v>46</v>
      </c>
      <c r="N109" t="s">
        <v>175</v>
      </c>
    </row>
    <row r="110" spans="1:16" ht="15" hidden="1" customHeight="1" x14ac:dyDescent="0.25">
      <c r="A110" t="s">
        <v>169</v>
      </c>
      <c r="B110" t="s">
        <v>39</v>
      </c>
      <c r="C110">
        <v>2</v>
      </c>
      <c r="D110" t="s">
        <v>40</v>
      </c>
      <c r="E110" t="s">
        <v>41</v>
      </c>
      <c r="F110" t="s">
        <v>42</v>
      </c>
      <c r="G110" t="s">
        <v>43</v>
      </c>
      <c r="H110" t="s">
        <v>58</v>
      </c>
      <c r="J110" t="s">
        <v>169</v>
      </c>
      <c r="K110" t="s">
        <v>45</v>
      </c>
      <c r="L110">
        <v>7000</v>
      </c>
      <c r="M110" t="s">
        <v>46</v>
      </c>
      <c r="N110" t="s">
        <v>176</v>
      </c>
    </row>
    <row r="111" spans="1:16" ht="15" hidden="1" customHeight="1" x14ac:dyDescent="0.25">
      <c r="A111" t="s">
        <v>169</v>
      </c>
      <c r="B111" t="s">
        <v>39</v>
      </c>
      <c r="C111">
        <v>2</v>
      </c>
      <c r="D111" t="s">
        <v>40</v>
      </c>
      <c r="E111" t="s">
        <v>41</v>
      </c>
      <c r="F111" t="s">
        <v>42</v>
      </c>
      <c r="G111" t="s">
        <v>43</v>
      </c>
      <c r="H111" t="s">
        <v>60</v>
      </c>
      <c r="J111" t="s">
        <v>169</v>
      </c>
      <c r="K111" t="s">
        <v>45</v>
      </c>
      <c r="L111">
        <v>10400</v>
      </c>
      <c r="M111" t="s">
        <v>46</v>
      </c>
      <c r="N111" t="s">
        <v>177</v>
      </c>
    </row>
    <row r="112" spans="1:16" ht="15" hidden="1" customHeight="1" x14ac:dyDescent="0.25">
      <c r="A112" t="s">
        <v>169</v>
      </c>
      <c r="B112" t="s">
        <v>39</v>
      </c>
      <c r="C112">
        <v>2</v>
      </c>
      <c r="D112" t="s">
        <v>40</v>
      </c>
      <c r="E112" t="s">
        <v>41</v>
      </c>
      <c r="F112" t="s">
        <v>42</v>
      </c>
      <c r="G112" t="s">
        <v>43</v>
      </c>
      <c r="H112" t="s">
        <v>62</v>
      </c>
      <c r="J112" t="s">
        <v>169</v>
      </c>
      <c r="K112" t="s">
        <v>45</v>
      </c>
      <c r="L112">
        <v>803600</v>
      </c>
      <c r="M112" t="s">
        <v>46</v>
      </c>
      <c r="N112" t="s">
        <v>178</v>
      </c>
    </row>
    <row r="113" spans="1:16" ht="15" hidden="1" customHeight="1" x14ac:dyDescent="0.25">
      <c r="A113" t="s">
        <v>169</v>
      </c>
      <c r="B113" t="s">
        <v>39</v>
      </c>
      <c r="C113">
        <v>2</v>
      </c>
      <c r="D113" t="s">
        <v>40</v>
      </c>
      <c r="E113" t="s">
        <v>41</v>
      </c>
      <c r="F113" t="s">
        <v>42</v>
      </c>
      <c r="G113" t="s">
        <v>43</v>
      </c>
      <c r="H113" t="s">
        <v>64</v>
      </c>
      <c r="J113" t="s">
        <v>169</v>
      </c>
      <c r="K113" t="s">
        <v>45</v>
      </c>
      <c r="L113">
        <v>2170000</v>
      </c>
      <c r="M113" t="s">
        <v>46</v>
      </c>
      <c r="N113" t="s">
        <v>179</v>
      </c>
    </row>
    <row r="114" spans="1:16" ht="15" hidden="1" customHeight="1" x14ac:dyDescent="0.25">
      <c r="A114" t="s">
        <v>169</v>
      </c>
      <c r="B114" t="s">
        <v>39</v>
      </c>
      <c r="C114">
        <v>2</v>
      </c>
      <c r="D114" t="s">
        <v>40</v>
      </c>
      <c r="E114" t="s">
        <v>41</v>
      </c>
      <c r="F114" t="s">
        <v>42</v>
      </c>
      <c r="G114" t="s">
        <v>43</v>
      </c>
      <c r="H114" t="s">
        <v>66</v>
      </c>
      <c r="J114" t="s">
        <v>169</v>
      </c>
      <c r="K114" t="s">
        <v>45</v>
      </c>
      <c r="L114">
        <v>2130000</v>
      </c>
      <c r="M114" t="s">
        <v>46</v>
      </c>
      <c r="N114" t="s">
        <v>168</v>
      </c>
    </row>
    <row r="115" spans="1:16" ht="15" hidden="1" customHeight="1" x14ac:dyDescent="0.25">
      <c r="A115" t="s">
        <v>169</v>
      </c>
      <c r="B115" t="s">
        <v>39</v>
      </c>
      <c r="C115">
        <v>2</v>
      </c>
      <c r="D115" t="s">
        <v>40</v>
      </c>
      <c r="E115" t="s">
        <v>41</v>
      </c>
      <c r="F115" t="s">
        <v>42</v>
      </c>
      <c r="G115" t="s">
        <v>43</v>
      </c>
      <c r="H115" t="s">
        <v>68</v>
      </c>
      <c r="J115" t="s">
        <v>169</v>
      </c>
      <c r="K115" t="s">
        <v>45</v>
      </c>
      <c r="L115">
        <v>52100</v>
      </c>
      <c r="M115" t="s">
        <v>46</v>
      </c>
      <c r="N115" t="s">
        <v>180</v>
      </c>
    </row>
    <row r="116" spans="1:16" ht="15" hidden="1" customHeight="1" x14ac:dyDescent="0.25">
      <c r="A116" t="s">
        <v>169</v>
      </c>
      <c r="B116" t="s">
        <v>39</v>
      </c>
      <c r="C116">
        <v>2</v>
      </c>
      <c r="D116" t="s">
        <v>40</v>
      </c>
      <c r="E116" t="s">
        <v>41</v>
      </c>
      <c r="F116" t="s">
        <v>42</v>
      </c>
      <c r="G116" t="s">
        <v>43</v>
      </c>
      <c r="H116" t="s">
        <v>70</v>
      </c>
      <c r="J116" t="s">
        <v>169</v>
      </c>
      <c r="K116" t="s">
        <v>45</v>
      </c>
      <c r="L116">
        <v>1350000</v>
      </c>
      <c r="M116" t="s">
        <v>46</v>
      </c>
      <c r="N116" t="s">
        <v>181</v>
      </c>
    </row>
    <row r="117" spans="1:16" ht="15" hidden="1" customHeight="1" x14ac:dyDescent="0.25">
      <c r="A117" t="s">
        <v>169</v>
      </c>
      <c r="B117" t="s">
        <v>39</v>
      </c>
      <c r="C117">
        <v>2</v>
      </c>
      <c r="D117" t="s">
        <v>40</v>
      </c>
      <c r="E117" t="s">
        <v>41</v>
      </c>
      <c r="F117" t="s">
        <v>42</v>
      </c>
      <c r="G117" t="s">
        <v>43</v>
      </c>
      <c r="H117" t="s">
        <v>72</v>
      </c>
      <c r="J117" t="s">
        <v>169</v>
      </c>
      <c r="K117" t="s">
        <v>45</v>
      </c>
      <c r="L117">
        <v>89200</v>
      </c>
      <c r="M117" t="s">
        <v>46</v>
      </c>
      <c r="N117" t="s">
        <v>182</v>
      </c>
    </row>
    <row r="118" spans="1:16" ht="15" hidden="1" customHeight="1" x14ac:dyDescent="0.25">
      <c r="A118" t="s">
        <v>169</v>
      </c>
      <c r="B118" t="s">
        <v>39</v>
      </c>
      <c r="C118">
        <v>2</v>
      </c>
      <c r="D118" t="s">
        <v>74</v>
      </c>
      <c r="E118" t="s">
        <v>75</v>
      </c>
      <c r="F118" t="s">
        <v>42</v>
      </c>
      <c r="G118" t="s">
        <v>43</v>
      </c>
      <c r="J118" t="s">
        <v>153</v>
      </c>
      <c r="K118" t="s">
        <v>77</v>
      </c>
      <c r="L118">
        <v>2130000</v>
      </c>
      <c r="M118" t="s">
        <v>46</v>
      </c>
      <c r="N118" t="s">
        <v>168</v>
      </c>
      <c r="O118" t="s">
        <v>79</v>
      </c>
      <c r="P118" t="s">
        <v>103</v>
      </c>
    </row>
    <row r="119" spans="1:16" ht="15" hidden="1" customHeight="1" x14ac:dyDescent="0.25">
      <c r="A119" t="s">
        <v>169</v>
      </c>
      <c r="B119" t="s">
        <v>39</v>
      </c>
      <c r="C119">
        <v>2</v>
      </c>
      <c r="D119" t="s">
        <v>85</v>
      </c>
      <c r="E119" t="s">
        <v>86</v>
      </c>
      <c r="F119" t="s">
        <v>42</v>
      </c>
      <c r="G119" t="s">
        <v>43</v>
      </c>
      <c r="J119" t="s">
        <v>169</v>
      </c>
      <c r="K119" t="s">
        <v>45</v>
      </c>
      <c r="L119">
        <v>2220000</v>
      </c>
      <c r="M119" t="s">
        <v>46</v>
      </c>
      <c r="N119" t="s">
        <v>183</v>
      </c>
    </row>
    <row r="120" spans="1:16" ht="15" hidden="1" customHeight="1" x14ac:dyDescent="0.25">
      <c r="A120" t="s">
        <v>184</v>
      </c>
      <c r="B120" t="s">
        <v>39</v>
      </c>
      <c r="C120">
        <v>2</v>
      </c>
      <c r="D120" t="s">
        <v>40</v>
      </c>
      <c r="E120" t="s">
        <v>41</v>
      </c>
      <c r="F120" t="s">
        <v>42</v>
      </c>
      <c r="G120" t="s">
        <v>43</v>
      </c>
      <c r="H120" t="s">
        <v>44</v>
      </c>
      <c r="J120" t="s">
        <v>184</v>
      </c>
      <c r="K120" t="s">
        <v>45</v>
      </c>
      <c r="L120">
        <v>816500</v>
      </c>
      <c r="M120" t="s">
        <v>46</v>
      </c>
      <c r="N120" t="s">
        <v>185</v>
      </c>
    </row>
    <row r="121" spans="1:16" ht="15" hidden="1" customHeight="1" x14ac:dyDescent="0.25">
      <c r="A121" t="s">
        <v>184</v>
      </c>
      <c r="B121" t="s">
        <v>39</v>
      </c>
      <c r="C121">
        <v>2</v>
      </c>
      <c r="D121" t="s">
        <v>40</v>
      </c>
      <c r="E121" t="s">
        <v>41</v>
      </c>
      <c r="F121" t="s">
        <v>42</v>
      </c>
      <c r="G121" t="s">
        <v>43</v>
      </c>
      <c r="H121" t="s">
        <v>48</v>
      </c>
      <c r="J121" t="s">
        <v>184</v>
      </c>
      <c r="K121" t="s">
        <v>45</v>
      </c>
      <c r="L121">
        <v>589000</v>
      </c>
      <c r="M121" t="s">
        <v>46</v>
      </c>
      <c r="N121" t="s">
        <v>186</v>
      </c>
    </row>
    <row r="122" spans="1:16" ht="15" hidden="1" customHeight="1" x14ac:dyDescent="0.25">
      <c r="A122" t="s">
        <v>184</v>
      </c>
      <c r="B122" t="s">
        <v>39</v>
      </c>
      <c r="C122">
        <v>2</v>
      </c>
      <c r="D122" t="s">
        <v>40</v>
      </c>
      <c r="E122" t="s">
        <v>41</v>
      </c>
      <c r="F122" t="s">
        <v>42</v>
      </c>
      <c r="G122" t="s">
        <v>43</v>
      </c>
      <c r="H122" t="s">
        <v>50</v>
      </c>
      <c r="J122" t="s">
        <v>184</v>
      </c>
      <c r="K122" t="s">
        <v>45</v>
      </c>
      <c r="L122">
        <v>415300</v>
      </c>
      <c r="M122" t="s">
        <v>46</v>
      </c>
      <c r="N122" t="s">
        <v>187</v>
      </c>
    </row>
    <row r="123" spans="1:16" ht="15" hidden="1" customHeight="1" x14ac:dyDescent="0.25">
      <c r="A123" t="s">
        <v>184</v>
      </c>
      <c r="B123" t="s">
        <v>39</v>
      </c>
      <c r="C123">
        <v>2</v>
      </c>
      <c r="D123" t="s">
        <v>40</v>
      </c>
      <c r="E123" t="s">
        <v>41</v>
      </c>
      <c r="F123" t="s">
        <v>42</v>
      </c>
      <c r="G123" t="s">
        <v>43</v>
      </c>
      <c r="H123" t="s">
        <v>52</v>
      </c>
      <c r="J123" t="s">
        <v>184</v>
      </c>
      <c r="K123" t="s">
        <v>45</v>
      </c>
      <c r="L123">
        <v>258400</v>
      </c>
      <c r="M123" t="s">
        <v>46</v>
      </c>
      <c r="N123" t="s">
        <v>188</v>
      </c>
    </row>
    <row r="124" spans="1:16" ht="15" hidden="1" customHeight="1" x14ac:dyDescent="0.25">
      <c r="A124" t="s">
        <v>184</v>
      </c>
      <c r="B124" t="s">
        <v>39</v>
      </c>
      <c r="C124">
        <v>2</v>
      </c>
      <c r="D124" t="s">
        <v>40</v>
      </c>
      <c r="E124" t="s">
        <v>41</v>
      </c>
      <c r="F124" t="s">
        <v>42</v>
      </c>
      <c r="G124" t="s">
        <v>43</v>
      </c>
      <c r="H124" t="s">
        <v>54</v>
      </c>
      <c r="J124" t="s">
        <v>184</v>
      </c>
      <c r="K124" t="s">
        <v>45</v>
      </c>
      <c r="L124">
        <v>122800</v>
      </c>
      <c r="M124" t="s">
        <v>46</v>
      </c>
      <c r="N124" t="s">
        <v>189</v>
      </c>
    </row>
    <row r="125" spans="1:16" ht="15" hidden="1" customHeight="1" x14ac:dyDescent="0.25">
      <c r="A125" t="s">
        <v>184</v>
      </c>
      <c r="B125" t="s">
        <v>39</v>
      </c>
      <c r="C125">
        <v>2</v>
      </c>
      <c r="D125" t="s">
        <v>40</v>
      </c>
      <c r="E125" t="s">
        <v>41</v>
      </c>
      <c r="F125" t="s">
        <v>42</v>
      </c>
      <c r="G125" t="s">
        <v>43</v>
      </c>
      <c r="H125" t="s">
        <v>56</v>
      </c>
      <c r="J125" t="s">
        <v>184</v>
      </c>
      <c r="K125" t="s">
        <v>45</v>
      </c>
      <c r="L125">
        <v>34000</v>
      </c>
      <c r="M125" t="s">
        <v>46</v>
      </c>
      <c r="N125" t="s">
        <v>118</v>
      </c>
    </row>
    <row r="126" spans="1:16" ht="15" hidden="1" customHeight="1" x14ac:dyDescent="0.25">
      <c r="A126" t="s">
        <v>184</v>
      </c>
      <c r="B126" t="s">
        <v>39</v>
      </c>
      <c r="C126">
        <v>2</v>
      </c>
      <c r="D126" t="s">
        <v>40</v>
      </c>
      <c r="E126" t="s">
        <v>41</v>
      </c>
      <c r="F126" t="s">
        <v>42</v>
      </c>
      <c r="G126" t="s">
        <v>43</v>
      </c>
      <c r="H126" t="s">
        <v>58</v>
      </c>
      <c r="J126" t="s">
        <v>184</v>
      </c>
      <c r="K126" t="s">
        <v>45</v>
      </c>
      <c r="L126">
        <v>8400</v>
      </c>
      <c r="M126" t="s">
        <v>46</v>
      </c>
      <c r="N126" t="s">
        <v>190</v>
      </c>
    </row>
    <row r="127" spans="1:16" ht="15" hidden="1" customHeight="1" x14ac:dyDescent="0.25">
      <c r="A127" t="s">
        <v>184</v>
      </c>
      <c r="B127" t="s">
        <v>39</v>
      </c>
      <c r="C127">
        <v>2</v>
      </c>
      <c r="D127" t="s">
        <v>40</v>
      </c>
      <c r="E127" t="s">
        <v>41</v>
      </c>
      <c r="F127" t="s">
        <v>42</v>
      </c>
      <c r="G127" t="s">
        <v>43</v>
      </c>
      <c r="H127" t="s">
        <v>60</v>
      </c>
      <c r="J127" t="s">
        <v>184</v>
      </c>
      <c r="K127" t="s">
        <v>45</v>
      </c>
      <c r="L127">
        <v>11200</v>
      </c>
      <c r="M127" t="s">
        <v>46</v>
      </c>
      <c r="N127" t="s">
        <v>191</v>
      </c>
    </row>
    <row r="128" spans="1:16" ht="15" hidden="1" customHeight="1" x14ac:dyDescent="0.25">
      <c r="A128" t="s">
        <v>184</v>
      </c>
      <c r="B128" t="s">
        <v>39</v>
      </c>
      <c r="C128">
        <v>2</v>
      </c>
      <c r="D128" t="s">
        <v>40</v>
      </c>
      <c r="E128" t="s">
        <v>41</v>
      </c>
      <c r="F128" t="s">
        <v>42</v>
      </c>
      <c r="G128" t="s">
        <v>43</v>
      </c>
      <c r="H128" t="s">
        <v>62</v>
      </c>
      <c r="J128" t="s">
        <v>184</v>
      </c>
      <c r="K128" t="s">
        <v>45</v>
      </c>
      <c r="L128">
        <v>840900</v>
      </c>
      <c r="M128" t="s">
        <v>46</v>
      </c>
      <c r="N128" t="s">
        <v>192</v>
      </c>
    </row>
    <row r="129" spans="1:17" ht="15" hidden="1" customHeight="1" x14ac:dyDescent="0.25">
      <c r="A129" t="s">
        <v>184</v>
      </c>
      <c r="B129" t="s">
        <v>39</v>
      </c>
      <c r="C129">
        <v>2</v>
      </c>
      <c r="D129" t="s">
        <v>40</v>
      </c>
      <c r="E129" t="s">
        <v>41</v>
      </c>
      <c r="F129" t="s">
        <v>42</v>
      </c>
      <c r="G129" t="s">
        <v>43</v>
      </c>
      <c r="H129" t="s">
        <v>64</v>
      </c>
      <c r="J129" t="s">
        <v>184</v>
      </c>
      <c r="K129" t="s">
        <v>45</v>
      </c>
      <c r="L129">
        <v>2260000</v>
      </c>
      <c r="M129" t="s">
        <v>46</v>
      </c>
      <c r="N129" t="s">
        <v>193</v>
      </c>
    </row>
    <row r="130" spans="1:17" ht="15" hidden="1" customHeight="1" x14ac:dyDescent="0.25">
      <c r="A130" t="s">
        <v>184</v>
      </c>
      <c r="B130" t="s">
        <v>39</v>
      </c>
      <c r="C130">
        <v>2</v>
      </c>
      <c r="D130" t="s">
        <v>40</v>
      </c>
      <c r="E130" t="s">
        <v>41</v>
      </c>
      <c r="F130" t="s">
        <v>42</v>
      </c>
      <c r="G130" t="s">
        <v>43</v>
      </c>
      <c r="H130" t="s">
        <v>66</v>
      </c>
      <c r="J130" t="s">
        <v>184</v>
      </c>
      <c r="K130" t="s">
        <v>45</v>
      </c>
      <c r="L130">
        <v>2220000</v>
      </c>
      <c r="M130" t="s">
        <v>46</v>
      </c>
      <c r="N130" t="s">
        <v>183</v>
      </c>
    </row>
    <row r="131" spans="1:17" ht="15" hidden="1" customHeight="1" x14ac:dyDescent="0.25">
      <c r="A131" t="s">
        <v>184</v>
      </c>
      <c r="B131" t="s">
        <v>39</v>
      </c>
      <c r="C131">
        <v>2</v>
      </c>
      <c r="D131" t="s">
        <v>40</v>
      </c>
      <c r="E131" t="s">
        <v>41</v>
      </c>
      <c r="F131" t="s">
        <v>42</v>
      </c>
      <c r="G131" t="s">
        <v>43</v>
      </c>
      <c r="H131" t="s">
        <v>68</v>
      </c>
      <c r="J131" t="s">
        <v>184</v>
      </c>
      <c r="K131" t="s">
        <v>45</v>
      </c>
      <c r="L131">
        <v>56000</v>
      </c>
      <c r="M131" t="s">
        <v>46</v>
      </c>
      <c r="N131" t="s">
        <v>194</v>
      </c>
    </row>
    <row r="132" spans="1:17" ht="15" hidden="1" customHeight="1" x14ac:dyDescent="0.25">
      <c r="A132" t="s">
        <v>184</v>
      </c>
      <c r="B132" t="s">
        <v>39</v>
      </c>
      <c r="C132">
        <v>2</v>
      </c>
      <c r="D132" t="s">
        <v>40</v>
      </c>
      <c r="E132" t="s">
        <v>41</v>
      </c>
      <c r="F132" t="s">
        <v>42</v>
      </c>
      <c r="G132" t="s">
        <v>43</v>
      </c>
      <c r="H132" t="s">
        <v>70</v>
      </c>
      <c r="J132" t="s">
        <v>184</v>
      </c>
      <c r="K132" t="s">
        <v>45</v>
      </c>
      <c r="L132">
        <v>1400000</v>
      </c>
      <c r="M132" t="s">
        <v>46</v>
      </c>
      <c r="N132" t="s">
        <v>195</v>
      </c>
    </row>
    <row r="133" spans="1:17" ht="15" hidden="1" customHeight="1" x14ac:dyDescent="0.25">
      <c r="A133" t="s">
        <v>184</v>
      </c>
      <c r="B133" t="s">
        <v>39</v>
      </c>
      <c r="C133">
        <v>2</v>
      </c>
      <c r="D133" t="s">
        <v>40</v>
      </c>
      <c r="E133" t="s">
        <v>41</v>
      </c>
      <c r="F133" t="s">
        <v>42</v>
      </c>
      <c r="G133" t="s">
        <v>43</v>
      </c>
      <c r="H133" t="s">
        <v>72</v>
      </c>
      <c r="J133" t="s">
        <v>184</v>
      </c>
      <c r="K133" t="s">
        <v>45</v>
      </c>
      <c r="L133">
        <v>94500</v>
      </c>
      <c r="M133" t="s">
        <v>46</v>
      </c>
      <c r="N133" t="s">
        <v>196</v>
      </c>
    </row>
    <row r="134" spans="1:17" ht="15" hidden="1" customHeight="1" x14ac:dyDescent="0.25">
      <c r="A134" t="s">
        <v>184</v>
      </c>
      <c r="B134" t="s">
        <v>39</v>
      </c>
      <c r="C134">
        <v>2</v>
      </c>
      <c r="D134" t="s">
        <v>74</v>
      </c>
      <c r="E134" t="s">
        <v>75</v>
      </c>
      <c r="F134" t="s">
        <v>42</v>
      </c>
      <c r="G134" t="s">
        <v>43</v>
      </c>
      <c r="J134" t="s">
        <v>169</v>
      </c>
      <c r="K134" t="s">
        <v>77</v>
      </c>
      <c r="L134">
        <v>2220000</v>
      </c>
      <c r="M134" t="s">
        <v>46</v>
      </c>
      <c r="N134" t="s">
        <v>183</v>
      </c>
      <c r="O134" t="s">
        <v>79</v>
      </c>
      <c r="P134" t="s">
        <v>103</v>
      </c>
    </row>
    <row r="135" spans="1:17" ht="15" hidden="1" customHeight="1" x14ac:dyDescent="0.25">
      <c r="A135" t="s">
        <v>184</v>
      </c>
      <c r="B135" t="s">
        <v>39</v>
      </c>
      <c r="C135">
        <v>2</v>
      </c>
      <c r="D135" t="s">
        <v>85</v>
      </c>
      <c r="E135" t="s">
        <v>86</v>
      </c>
      <c r="F135" t="s">
        <v>42</v>
      </c>
      <c r="G135" t="s">
        <v>43</v>
      </c>
      <c r="J135" t="s">
        <v>184</v>
      </c>
      <c r="K135" t="s">
        <v>45</v>
      </c>
      <c r="L135">
        <v>2310000</v>
      </c>
      <c r="M135" t="s">
        <v>46</v>
      </c>
      <c r="N135" t="s">
        <v>197</v>
      </c>
    </row>
    <row r="136" spans="1:17" ht="15" hidden="1" customHeight="1" x14ac:dyDescent="0.25">
      <c r="A136" t="s">
        <v>38</v>
      </c>
      <c r="B136" t="s">
        <v>39</v>
      </c>
      <c r="C136">
        <v>3</v>
      </c>
      <c r="D136" t="s">
        <v>40</v>
      </c>
      <c r="E136" t="s">
        <v>41</v>
      </c>
      <c r="F136" t="s">
        <v>198</v>
      </c>
      <c r="G136" t="s">
        <v>199</v>
      </c>
      <c r="H136" t="s">
        <v>200</v>
      </c>
      <c r="J136" t="s">
        <v>38</v>
      </c>
      <c r="K136" t="s">
        <v>45</v>
      </c>
      <c r="L136">
        <v>20000000</v>
      </c>
      <c r="M136" t="s">
        <v>46</v>
      </c>
      <c r="N136" t="s">
        <v>201</v>
      </c>
    </row>
    <row r="137" spans="1:17" ht="15" hidden="1" customHeight="1" x14ac:dyDescent="0.25">
      <c r="A137" t="s">
        <v>38</v>
      </c>
      <c r="B137" t="s">
        <v>39</v>
      </c>
      <c r="C137">
        <v>3</v>
      </c>
      <c r="D137" t="s">
        <v>40</v>
      </c>
      <c r="E137" t="s">
        <v>41</v>
      </c>
      <c r="F137" t="s">
        <v>198</v>
      </c>
      <c r="G137" t="s">
        <v>199</v>
      </c>
      <c r="H137" t="s">
        <v>200</v>
      </c>
      <c r="I137" t="s">
        <v>202</v>
      </c>
      <c r="J137" t="s">
        <v>38</v>
      </c>
      <c r="K137" t="s">
        <v>45</v>
      </c>
      <c r="L137">
        <v>10970000</v>
      </c>
      <c r="M137" t="s">
        <v>46</v>
      </c>
      <c r="N137" t="s">
        <v>203</v>
      </c>
      <c r="Q137" t="s">
        <v>204</v>
      </c>
    </row>
    <row r="138" spans="1:17" ht="15" hidden="1" customHeight="1" x14ac:dyDescent="0.25">
      <c r="A138" t="s">
        <v>38</v>
      </c>
      <c r="B138" t="s">
        <v>39</v>
      </c>
      <c r="C138">
        <v>3</v>
      </c>
      <c r="D138" t="s">
        <v>40</v>
      </c>
      <c r="E138" t="s">
        <v>41</v>
      </c>
      <c r="F138" t="s">
        <v>198</v>
      </c>
      <c r="G138" t="s">
        <v>199</v>
      </c>
      <c r="H138" t="s">
        <v>200</v>
      </c>
      <c r="I138" t="s">
        <v>205</v>
      </c>
      <c r="J138" t="s">
        <v>38</v>
      </c>
      <c r="K138" t="s">
        <v>45</v>
      </c>
      <c r="L138">
        <v>3780000</v>
      </c>
      <c r="M138" t="s">
        <v>46</v>
      </c>
      <c r="N138" t="s">
        <v>206</v>
      </c>
      <c r="Q138" t="s">
        <v>204</v>
      </c>
    </row>
    <row r="139" spans="1:17" ht="15" hidden="1" customHeight="1" x14ac:dyDescent="0.25">
      <c r="A139" t="s">
        <v>38</v>
      </c>
      <c r="B139" t="s">
        <v>39</v>
      </c>
      <c r="C139">
        <v>3</v>
      </c>
      <c r="D139" t="s">
        <v>40</v>
      </c>
      <c r="E139" t="s">
        <v>41</v>
      </c>
      <c r="F139" t="s">
        <v>198</v>
      </c>
      <c r="G139" t="s">
        <v>199</v>
      </c>
      <c r="H139" t="s">
        <v>207</v>
      </c>
      <c r="J139" t="s">
        <v>38</v>
      </c>
      <c r="K139" t="s">
        <v>45</v>
      </c>
      <c r="L139">
        <v>3210000</v>
      </c>
      <c r="M139" t="s">
        <v>46</v>
      </c>
      <c r="N139" t="s">
        <v>208</v>
      </c>
    </row>
    <row r="140" spans="1:17" ht="15" hidden="1" customHeight="1" x14ac:dyDescent="0.25">
      <c r="A140" t="s">
        <v>38</v>
      </c>
      <c r="B140" t="s">
        <v>39</v>
      </c>
      <c r="C140">
        <v>3</v>
      </c>
      <c r="D140" t="s">
        <v>40</v>
      </c>
      <c r="E140" t="s">
        <v>41</v>
      </c>
      <c r="F140" t="s">
        <v>209</v>
      </c>
      <c r="G140" t="s">
        <v>199</v>
      </c>
      <c r="H140" t="s">
        <v>200</v>
      </c>
      <c r="J140" t="s">
        <v>38</v>
      </c>
      <c r="K140" t="s">
        <v>45</v>
      </c>
      <c r="L140">
        <v>2790000000</v>
      </c>
      <c r="M140" t="s">
        <v>210</v>
      </c>
      <c r="N140" t="s">
        <v>211</v>
      </c>
    </row>
    <row r="141" spans="1:17" ht="15" hidden="1" customHeight="1" x14ac:dyDescent="0.25">
      <c r="A141" t="s">
        <v>38</v>
      </c>
      <c r="B141" t="s">
        <v>39</v>
      </c>
      <c r="C141">
        <v>3</v>
      </c>
      <c r="D141" t="s">
        <v>40</v>
      </c>
      <c r="E141" t="s">
        <v>41</v>
      </c>
      <c r="F141" t="s">
        <v>209</v>
      </c>
      <c r="G141" t="s">
        <v>199</v>
      </c>
      <c r="H141" t="s">
        <v>200</v>
      </c>
      <c r="I141" t="s">
        <v>202</v>
      </c>
      <c r="J141" t="s">
        <v>38</v>
      </c>
      <c r="K141" t="s">
        <v>45</v>
      </c>
      <c r="L141">
        <v>1910000000</v>
      </c>
      <c r="M141" t="s">
        <v>210</v>
      </c>
      <c r="N141" t="s">
        <v>212</v>
      </c>
      <c r="Q141" t="s">
        <v>204</v>
      </c>
    </row>
    <row r="142" spans="1:17" ht="15" hidden="1" customHeight="1" x14ac:dyDescent="0.25">
      <c r="A142" t="s">
        <v>38</v>
      </c>
      <c r="B142" t="s">
        <v>39</v>
      </c>
      <c r="C142">
        <v>3</v>
      </c>
      <c r="D142" t="s">
        <v>40</v>
      </c>
      <c r="E142" t="s">
        <v>41</v>
      </c>
      <c r="F142" t="s">
        <v>209</v>
      </c>
      <c r="G142" t="s">
        <v>199</v>
      </c>
      <c r="H142" t="s">
        <v>200</v>
      </c>
      <c r="I142" t="s">
        <v>205</v>
      </c>
      <c r="J142" t="s">
        <v>38</v>
      </c>
      <c r="K142" t="s">
        <v>45</v>
      </c>
      <c r="L142">
        <v>483000000</v>
      </c>
      <c r="M142" t="s">
        <v>210</v>
      </c>
      <c r="N142" t="s">
        <v>213</v>
      </c>
      <c r="Q142" t="s">
        <v>204</v>
      </c>
    </row>
    <row r="143" spans="1:17" ht="15" hidden="1" customHeight="1" x14ac:dyDescent="0.25">
      <c r="A143" t="s">
        <v>38</v>
      </c>
      <c r="B143" t="s">
        <v>39</v>
      </c>
      <c r="C143">
        <v>3</v>
      </c>
      <c r="D143" t="s">
        <v>40</v>
      </c>
      <c r="E143" t="s">
        <v>41</v>
      </c>
      <c r="F143" t="s">
        <v>209</v>
      </c>
      <c r="G143" t="s">
        <v>199</v>
      </c>
      <c r="H143" t="s">
        <v>207</v>
      </c>
      <c r="J143" t="s">
        <v>38</v>
      </c>
      <c r="K143" t="s">
        <v>45</v>
      </c>
      <c r="L143">
        <v>626000000</v>
      </c>
      <c r="M143" t="s">
        <v>210</v>
      </c>
      <c r="N143" t="s">
        <v>214</v>
      </c>
    </row>
    <row r="144" spans="1:17" ht="15" hidden="1" customHeight="1" x14ac:dyDescent="0.25">
      <c r="A144" t="s">
        <v>38</v>
      </c>
      <c r="B144" t="s">
        <v>39</v>
      </c>
      <c r="C144">
        <v>3</v>
      </c>
      <c r="D144" t="s">
        <v>74</v>
      </c>
      <c r="E144" t="s">
        <v>75</v>
      </c>
      <c r="F144" t="s">
        <v>198</v>
      </c>
      <c r="G144" t="s">
        <v>199</v>
      </c>
      <c r="J144" t="s">
        <v>76</v>
      </c>
      <c r="K144" t="s">
        <v>77</v>
      </c>
      <c r="L144">
        <v>14510000</v>
      </c>
      <c r="M144" t="s">
        <v>46</v>
      </c>
      <c r="N144" t="s">
        <v>215</v>
      </c>
      <c r="O144" t="s">
        <v>79</v>
      </c>
      <c r="P144" t="s">
        <v>80</v>
      </c>
      <c r="Q144" t="s">
        <v>81</v>
      </c>
    </row>
    <row r="145" spans="1:17" ht="15" hidden="1" customHeight="1" x14ac:dyDescent="0.25">
      <c r="A145" t="s">
        <v>38</v>
      </c>
      <c r="B145" t="s">
        <v>39</v>
      </c>
      <c r="C145">
        <v>3</v>
      </c>
      <c r="D145" t="s">
        <v>74</v>
      </c>
      <c r="E145" t="s">
        <v>75</v>
      </c>
      <c r="F145" t="s">
        <v>198</v>
      </c>
      <c r="G145" t="s">
        <v>199</v>
      </c>
      <c r="J145" t="s">
        <v>82</v>
      </c>
      <c r="K145" t="s">
        <v>77</v>
      </c>
      <c r="L145">
        <v>18390000</v>
      </c>
      <c r="M145" t="s">
        <v>46</v>
      </c>
      <c r="N145" t="s">
        <v>216</v>
      </c>
      <c r="O145" t="s">
        <v>79</v>
      </c>
      <c r="P145" t="s">
        <v>80</v>
      </c>
      <c r="Q145" t="s">
        <v>84</v>
      </c>
    </row>
    <row r="146" spans="1:17" ht="15" hidden="1" customHeight="1" x14ac:dyDescent="0.25">
      <c r="A146" t="s">
        <v>38</v>
      </c>
      <c r="B146" t="s">
        <v>39</v>
      </c>
      <c r="C146">
        <v>3</v>
      </c>
      <c r="D146" t="s">
        <v>74</v>
      </c>
      <c r="E146" t="s">
        <v>75</v>
      </c>
      <c r="F146" t="s">
        <v>209</v>
      </c>
      <c r="G146" t="s">
        <v>199</v>
      </c>
      <c r="J146" t="s">
        <v>76</v>
      </c>
      <c r="K146" t="s">
        <v>77</v>
      </c>
      <c r="L146">
        <v>2220000000</v>
      </c>
      <c r="M146" t="s">
        <v>210</v>
      </c>
      <c r="N146" t="s">
        <v>217</v>
      </c>
      <c r="O146" t="s">
        <v>79</v>
      </c>
      <c r="P146" t="s">
        <v>80</v>
      </c>
      <c r="Q146" t="s">
        <v>81</v>
      </c>
    </row>
    <row r="147" spans="1:17" ht="15" hidden="1" customHeight="1" x14ac:dyDescent="0.25">
      <c r="A147" t="s">
        <v>38</v>
      </c>
      <c r="B147" t="s">
        <v>39</v>
      </c>
      <c r="C147">
        <v>3</v>
      </c>
      <c r="D147" t="s">
        <v>74</v>
      </c>
      <c r="E147" t="s">
        <v>75</v>
      </c>
      <c r="F147" t="s">
        <v>209</v>
      </c>
      <c r="G147" t="s">
        <v>199</v>
      </c>
      <c r="J147" t="s">
        <v>82</v>
      </c>
      <c r="K147" t="s">
        <v>77</v>
      </c>
      <c r="L147">
        <v>2740000000</v>
      </c>
      <c r="M147" t="s">
        <v>210</v>
      </c>
      <c r="N147" t="s">
        <v>218</v>
      </c>
      <c r="O147" t="s">
        <v>79</v>
      </c>
      <c r="P147" t="s">
        <v>80</v>
      </c>
      <c r="Q147" t="s">
        <v>84</v>
      </c>
    </row>
    <row r="148" spans="1:17" ht="15" hidden="1" customHeight="1" x14ac:dyDescent="0.25">
      <c r="A148" t="s">
        <v>38</v>
      </c>
      <c r="B148" t="s">
        <v>39</v>
      </c>
      <c r="C148">
        <v>3</v>
      </c>
      <c r="D148" t="s">
        <v>85</v>
      </c>
      <c r="E148" t="s">
        <v>86</v>
      </c>
      <c r="F148" t="s">
        <v>198</v>
      </c>
      <c r="G148" t="s">
        <v>199</v>
      </c>
      <c r="J148" t="s">
        <v>38</v>
      </c>
      <c r="K148" t="s">
        <v>45</v>
      </c>
      <c r="L148">
        <v>23210000</v>
      </c>
      <c r="M148" t="s">
        <v>46</v>
      </c>
      <c r="N148" t="s">
        <v>219</v>
      </c>
    </row>
    <row r="149" spans="1:17" ht="15" hidden="1" customHeight="1" x14ac:dyDescent="0.25">
      <c r="A149" t="s">
        <v>38</v>
      </c>
      <c r="B149" t="s">
        <v>39</v>
      </c>
      <c r="C149">
        <v>3</v>
      </c>
      <c r="D149" t="s">
        <v>85</v>
      </c>
      <c r="E149" t="s">
        <v>86</v>
      </c>
      <c r="F149" t="s">
        <v>209</v>
      </c>
      <c r="G149" t="s">
        <v>199</v>
      </c>
      <c r="J149" t="s">
        <v>38</v>
      </c>
      <c r="K149" t="s">
        <v>45</v>
      </c>
      <c r="L149">
        <v>3420000000</v>
      </c>
      <c r="M149" t="s">
        <v>210</v>
      </c>
      <c r="N149" t="s">
        <v>220</v>
      </c>
    </row>
    <row r="150" spans="1:17" ht="15" hidden="1" customHeight="1" x14ac:dyDescent="0.25">
      <c r="A150" t="s">
        <v>88</v>
      </c>
      <c r="B150" t="s">
        <v>39</v>
      </c>
      <c r="C150">
        <v>3</v>
      </c>
      <c r="D150" t="s">
        <v>40</v>
      </c>
      <c r="E150" t="s">
        <v>41</v>
      </c>
      <c r="F150" t="s">
        <v>198</v>
      </c>
      <c r="G150" t="s">
        <v>199</v>
      </c>
      <c r="H150" t="s">
        <v>200</v>
      </c>
      <c r="J150" t="s">
        <v>88</v>
      </c>
      <c r="K150" t="s">
        <v>45</v>
      </c>
      <c r="L150">
        <v>23900000</v>
      </c>
      <c r="M150" t="s">
        <v>46</v>
      </c>
      <c r="N150" t="s">
        <v>221</v>
      </c>
    </row>
    <row r="151" spans="1:17" ht="15" hidden="1" customHeight="1" x14ac:dyDescent="0.25">
      <c r="A151" t="s">
        <v>88</v>
      </c>
      <c r="B151" t="s">
        <v>39</v>
      </c>
      <c r="C151">
        <v>3</v>
      </c>
      <c r="D151" t="s">
        <v>40</v>
      </c>
      <c r="E151" t="s">
        <v>41</v>
      </c>
      <c r="F151" t="s">
        <v>198</v>
      </c>
      <c r="G151" t="s">
        <v>199</v>
      </c>
      <c r="H151" t="s">
        <v>200</v>
      </c>
      <c r="I151" t="s">
        <v>202</v>
      </c>
      <c r="J151" t="s">
        <v>88</v>
      </c>
      <c r="K151" t="s">
        <v>45</v>
      </c>
      <c r="L151">
        <v>13000000</v>
      </c>
      <c r="M151" t="s">
        <v>46</v>
      </c>
      <c r="N151" t="s">
        <v>222</v>
      </c>
      <c r="Q151" t="s">
        <v>204</v>
      </c>
    </row>
    <row r="152" spans="1:17" ht="15" hidden="1" customHeight="1" x14ac:dyDescent="0.25">
      <c r="A152" t="s">
        <v>88</v>
      </c>
      <c r="B152" t="s">
        <v>39</v>
      </c>
      <c r="C152">
        <v>3</v>
      </c>
      <c r="D152" t="s">
        <v>40</v>
      </c>
      <c r="E152" t="s">
        <v>41</v>
      </c>
      <c r="F152" t="s">
        <v>198</v>
      </c>
      <c r="G152" t="s">
        <v>199</v>
      </c>
      <c r="H152" t="s">
        <v>200</v>
      </c>
      <c r="I152" t="s">
        <v>205</v>
      </c>
      <c r="J152" t="s">
        <v>88</v>
      </c>
      <c r="K152" t="s">
        <v>45</v>
      </c>
      <c r="L152">
        <v>4520000</v>
      </c>
      <c r="M152" t="s">
        <v>46</v>
      </c>
      <c r="N152" t="s">
        <v>223</v>
      </c>
      <c r="Q152" t="s">
        <v>204</v>
      </c>
    </row>
    <row r="153" spans="1:17" ht="15" hidden="1" customHeight="1" x14ac:dyDescent="0.25">
      <c r="A153" t="s">
        <v>88</v>
      </c>
      <c r="B153" t="s">
        <v>39</v>
      </c>
      <c r="C153">
        <v>3</v>
      </c>
      <c r="D153" t="s">
        <v>40</v>
      </c>
      <c r="E153" t="s">
        <v>41</v>
      </c>
      <c r="F153" t="s">
        <v>198</v>
      </c>
      <c r="G153" t="s">
        <v>199</v>
      </c>
      <c r="H153" t="s">
        <v>207</v>
      </c>
      <c r="J153" t="s">
        <v>88</v>
      </c>
      <c r="K153" t="s">
        <v>45</v>
      </c>
      <c r="L153">
        <v>3940000</v>
      </c>
      <c r="M153" t="s">
        <v>46</v>
      </c>
      <c r="N153" t="s">
        <v>224</v>
      </c>
    </row>
    <row r="154" spans="1:17" ht="15" hidden="1" customHeight="1" x14ac:dyDescent="0.25">
      <c r="A154" t="s">
        <v>88</v>
      </c>
      <c r="B154" t="s">
        <v>39</v>
      </c>
      <c r="C154">
        <v>3</v>
      </c>
      <c r="D154" t="s">
        <v>40</v>
      </c>
      <c r="E154" t="s">
        <v>41</v>
      </c>
      <c r="F154" t="s">
        <v>209</v>
      </c>
      <c r="G154" t="s">
        <v>199</v>
      </c>
      <c r="H154" t="s">
        <v>200</v>
      </c>
      <c r="J154" t="s">
        <v>88</v>
      </c>
      <c r="K154" t="s">
        <v>45</v>
      </c>
      <c r="L154">
        <v>3030000000</v>
      </c>
      <c r="M154" t="s">
        <v>210</v>
      </c>
      <c r="N154" t="s">
        <v>225</v>
      </c>
    </row>
    <row r="155" spans="1:17" ht="15" hidden="1" customHeight="1" x14ac:dyDescent="0.25">
      <c r="A155" t="s">
        <v>88</v>
      </c>
      <c r="B155" t="s">
        <v>39</v>
      </c>
      <c r="C155">
        <v>3</v>
      </c>
      <c r="D155" t="s">
        <v>40</v>
      </c>
      <c r="E155" t="s">
        <v>41</v>
      </c>
      <c r="F155" t="s">
        <v>209</v>
      </c>
      <c r="G155" t="s">
        <v>199</v>
      </c>
      <c r="H155" t="s">
        <v>200</v>
      </c>
      <c r="I155" t="s">
        <v>202</v>
      </c>
      <c r="J155" t="s">
        <v>88</v>
      </c>
      <c r="K155" t="s">
        <v>45</v>
      </c>
      <c r="L155">
        <v>2070000000</v>
      </c>
      <c r="M155" t="s">
        <v>210</v>
      </c>
      <c r="N155" t="s">
        <v>226</v>
      </c>
      <c r="Q155" t="s">
        <v>204</v>
      </c>
    </row>
    <row r="156" spans="1:17" ht="15" hidden="1" customHeight="1" x14ac:dyDescent="0.25">
      <c r="A156" t="s">
        <v>88</v>
      </c>
      <c r="B156" t="s">
        <v>39</v>
      </c>
      <c r="C156">
        <v>3</v>
      </c>
      <c r="D156" t="s">
        <v>40</v>
      </c>
      <c r="E156" t="s">
        <v>41</v>
      </c>
      <c r="F156" t="s">
        <v>209</v>
      </c>
      <c r="G156" t="s">
        <v>199</v>
      </c>
      <c r="H156" t="s">
        <v>200</v>
      </c>
      <c r="I156" t="s">
        <v>205</v>
      </c>
      <c r="J156" t="s">
        <v>88</v>
      </c>
      <c r="K156" t="s">
        <v>45</v>
      </c>
      <c r="L156">
        <v>530000000</v>
      </c>
      <c r="M156" t="s">
        <v>210</v>
      </c>
      <c r="N156" t="s">
        <v>227</v>
      </c>
      <c r="Q156" t="s">
        <v>204</v>
      </c>
    </row>
    <row r="157" spans="1:17" ht="15" hidden="1" customHeight="1" x14ac:dyDescent="0.25">
      <c r="A157" t="s">
        <v>88</v>
      </c>
      <c r="B157" t="s">
        <v>39</v>
      </c>
      <c r="C157">
        <v>3</v>
      </c>
      <c r="D157" t="s">
        <v>40</v>
      </c>
      <c r="E157" t="s">
        <v>41</v>
      </c>
      <c r="F157" t="s">
        <v>209</v>
      </c>
      <c r="G157" t="s">
        <v>199</v>
      </c>
      <c r="H157" t="s">
        <v>207</v>
      </c>
      <c r="J157" t="s">
        <v>88</v>
      </c>
      <c r="K157" t="s">
        <v>45</v>
      </c>
      <c r="L157">
        <v>702000000</v>
      </c>
      <c r="M157" t="s">
        <v>210</v>
      </c>
      <c r="N157" t="s">
        <v>228</v>
      </c>
    </row>
    <row r="158" spans="1:17" ht="15" hidden="1" customHeight="1" x14ac:dyDescent="0.25">
      <c r="A158" t="s">
        <v>88</v>
      </c>
      <c r="B158" t="s">
        <v>39</v>
      </c>
      <c r="C158">
        <v>3</v>
      </c>
      <c r="D158" t="s">
        <v>74</v>
      </c>
      <c r="E158" t="s">
        <v>75</v>
      </c>
      <c r="F158" t="s">
        <v>198</v>
      </c>
      <c r="G158" t="s">
        <v>199</v>
      </c>
      <c r="J158" t="s">
        <v>76</v>
      </c>
      <c r="K158" t="s">
        <v>77</v>
      </c>
      <c r="L158">
        <v>14510000</v>
      </c>
      <c r="M158" t="s">
        <v>46</v>
      </c>
      <c r="N158" t="s">
        <v>215</v>
      </c>
      <c r="O158" t="s">
        <v>79</v>
      </c>
      <c r="P158" t="s">
        <v>103</v>
      </c>
      <c r="Q158" t="s">
        <v>104</v>
      </c>
    </row>
    <row r="159" spans="1:17" ht="15" hidden="1" customHeight="1" x14ac:dyDescent="0.25">
      <c r="A159" t="s">
        <v>88</v>
      </c>
      <c r="B159" t="s">
        <v>39</v>
      </c>
      <c r="C159">
        <v>3</v>
      </c>
      <c r="D159" t="s">
        <v>74</v>
      </c>
      <c r="E159" t="s">
        <v>75</v>
      </c>
      <c r="F159" t="s">
        <v>198</v>
      </c>
      <c r="G159" t="s">
        <v>199</v>
      </c>
      <c r="J159" t="s">
        <v>82</v>
      </c>
      <c r="K159" t="s">
        <v>77</v>
      </c>
      <c r="L159">
        <v>18390000</v>
      </c>
      <c r="M159" t="s">
        <v>46</v>
      </c>
      <c r="N159" t="s">
        <v>216</v>
      </c>
      <c r="O159" t="s">
        <v>79</v>
      </c>
      <c r="P159" t="s">
        <v>103</v>
      </c>
      <c r="Q159" t="s">
        <v>105</v>
      </c>
    </row>
    <row r="160" spans="1:17" ht="15" hidden="1" customHeight="1" x14ac:dyDescent="0.25">
      <c r="A160" t="s">
        <v>88</v>
      </c>
      <c r="B160" t="s">
        <v>39</v>
      </c>
      <c r="C160">
        <v>3</v>
      </c>
      <c r="D160" t="s">
        <v>74</v>
      </c>
      <c r="E160" t="s">
        <v>75</v>
      </c>
      <c r="F160" t="s">
        <v>198</v>
      </c>
      <c r="G160" t="s">
        <v>199</v>
      </c>
      <c r="J160" t="s">
        <v>38</v>
      </c>
      <c r="K160" t="s">
        <v>77</v>
      </c>
      <c r="L160">
        <v>23210000</v>
      </c>
      <c r="M160" t="s">
        <v>46</v>
      </c>
      <c r="N160" t="s">
        <v>219</v>
      </c>
      <c r="O160" t="s">
        <v>79</v>
      </c>
      <c r="P160" t="s">
        <v>103</v>
      </c>
    </row>
    <row r="161" spans="1:17" ht="15" hidden="1" customHeight="1" x14ac:dyDescent="0.25">
      <c r="A161" t="s">
        <v>88</v>
      </c>
      <c r="B161" t="s">
        <v>39</v>
      </c>
      <c r="C161">
        <v>3</v>
      </c>
      <c r="D161" t="s">
        <v>74</v>
      </c>
      <c r="E161" t="s">
        <v>75</v>
      </c>
      <c r="F161" t="s">
        <v>209</v>
      </c>
      <c r="G161" t="s">
        <v>199</v>
      </c>
      <c r="J161" t="s">
        <v>76</v>
      </c>
      <c r="K161" t="s">
        <v>77</v>
      </c>
      <c r="L161">
        <v>2220000000</v>
      </c>
      <c r="M161" t="s">
        <v>210</v>
      </c>
      <c r="N161" t="s">
        <v>217</v>
      </c>
      <c r="O161" t="s">
        <v>79</v>
      </c>
      <c r="P161" t="s">
        <v>103</v>
      </c>
      <c r="Q161" t="s">
        <v>104</v>
      </c>
    </row>
    <row r="162" spans="1:17" ht="15" hidden="1" customHeight="1" x14ac:dyDescent="0.25">
      <c r="A162" t="s">
        <v>88</v>
      </c>
      <c r="B162" t="s">
        <v>39</v>
      </c>
      <c r="C162">
        <v>3</v>
      </c>
      <c r="D162" t="s">
        <v>74</v>
      </c>
      <c r="E162" t="s">
        <v>75</v>
      </c>
      <c r="F162" t="s">
        <v>209</v>
      </c>
      <c r="G162" t="s">
        <v>199</v>
      </c>
      <c r="J162" t="s">
        <v>82</v>
      </c>
      <c r="K162" t="s">
        <v>77</v>
      </c>
      <c r="L162">
        <v>2740000000</v>
      </c>
      <c r="M162" t="s">
        <v>210</v>
      </c>
      <c r="N162" t="s">
        <v>218</v>
      </c>
      <c r="O162" t="s">
        <v>79</v>
      </c>
      <c r="P162" t="s">
        <v>103</v>
      </c>
      <c r="Q162" t="s">
        <v>105</v>
      </c>
    </row>
    <row r="163" spans="1:17" ht="15" hidden="1" customHeight="1" x14ac:dyDescent="0.25">
      <c r="A163" t="s">
        <v>88</v>
      </c>
      <c r="B163" t="s">
        <v>39</v>
      </c>
      <c r="C163">
        <v>3</v>
      </c>
      <c r="D163" t="s">
        <v>74</v>
      </c>
      <c r="E163" t="s">
        <v>75</v>
      </c>
      <c r="F163" t="s">
        <v>209</v>
      </c>
      <c r="G163" t="s">
        <v>199</v>
      </c>
      <c r="J163" t="s">
        <v>38</v>
      </c>
      <c r="K163" t="s">
        <v>77</v>
      </c>
      <c r="L163">
        <v>3420000000</v>
      </c>
      <c r="M163" t="s">
        <v>210</v>
      </c>
      <c r="N163" t="s">
        <v>220</v>
      </c>
      <c r="O163" t="s">
        <v>79</v>
      </c>
      <c r="P163" t="s">
        <v>103</v>
      </c>
    </row>
    <row r="164" spans="1:17" ht="15" hidden="1" customHeight="1" x14ac:dyDescent="0.25">
      <c r="A164" t="s">
        <v>88</v>
      </c>
      <c r="B164" t="s">
        <v>39</v>
      </c>
      <c r="C164">
        <v>3</v>
      </c>
      <c r="D164" t="s">
        <v>85</v>
      </c>
      <c r="E164" t="s">
        <v>86</v>
      </c>
      <c r="F164" t="s">
        <v>198</v>
      </c>
      <c r="G164" t="s">
        <v>199</v>
      </c>
      <c r="J164" t="s">
        <v>88</v>
      </c>
      <c r="K164" t="s">
        <v>45</v>
      </c>
      <c r="L164">
        <v>27850000</v>
      </c>
      <c r="M164" t="s">
        <v>46</v>
      </c>
      <c r="N164" t="s">
        <v>229</v>
      </c>
    </row>
    <row r="165" spans="1:17" ht="15" hidden="1" customHeight="1" x14ac:dyDescent="0.25">
      <c r="A165" t="s">
        <v>88</v>
      </c>
      <c r="B165" t="s">
        <v>39</v>
      </c>
      <c r="C165">
        <v>3</v>
      </c>
      <c r="D165" t="s">
        <v>85</v>
      </c>
      <c r="E165" t="s">
        <v>86</v>
      </c>
      <c r="F165" t="s">
        <v>209</v>
      </c>
      <c r="G165" t="s">
        <v>199</v>
      </c>
      <c r="J165" t="s">
        <v>88</v>
      </c>
      <c r="K165" t="s">
        <v>45</v>
      </c>
      <c r="L165">
        <v>3730000000</v>
      </c>
      <c r="M165" t="s">
        <v>210</v>
      </c>
      <c r="N165" t="s">
        <v>230</v>
      </c>
    </row>
    <row r="166" spans="1:17" ht="15" hidden="1" customHeight="1" x14ac:dyDescent="0.25">
      <c r="A166" t="s">
        <v>107</v>
      </c>
      <c r="B166" t="s">
        <v>39</v>
      </c>
      <c r="C166">
        <v>3</v>
      </c>
      <c r="D166" t="s">
        <v>40</v>
      </c>
      <c r="E166" t="s">
        <v>41</v>
      </c>
      <c r="F166" t="s">
        <v>198</v>
      </c>
      <c r="G166" t="s">
        <v>199</v>
      </c>
      <c r="H166" t="s">
        <v>200</v>
      </c>
      <c r="J166" t="s">
        <v>107</v>
      </c>
      <c r="K166" t="s">
        <v>45</v>
      </c>
      <c r="L166">
        <v>27600000</v>
      </c>
      <c r="M166" t="s">
        <v>46</v>
      </c>
      <c r="N166" t="s">
        <v>231</v>
      </c>
    </row>
    <row r="167" spans="1:17" ht="15" hidden="1" customHeight="1" x14ac:dyDescent="0.25">
      <c r="A167" t="s">
        <v>107</v>
      </c>
      <c r="B167" t="s">
        <v>39</v>
      </c>
      <c r="C167">
        <v>3</v>
      </c>
      <c r="D167" t="s">
        <v>40</v>
      </c>
      <c r="E167" t="s">
        <v>41</v>
      </c>
      <c r="F167" t="s">
        <v>198</v>
      </c>
      <c r="G167" t="s">
        <v>199</v>
      </c>
      <c r="H167" t="s">
        <v>200</v>
      </c>
      <c r="I167" t="s">
        <v>202</v>
      </c>
      <c r="J167" t="s">
        <v>107</v>
      </c>
      <c r="K167" t="s">
        <v>45</v>
      </c>
      <c r="L167">
        <v>14740000</v>
      </c>
      <c r="M167" t="s">
        <v>46</v>
      </c>
      <c r="N167" t="s">
        <v>232</v>
      </c>
      <c r="Q167" t="s">
        <v>204</v>
      </c>
    </row>
    <row r="168" spans="1:17" ht="15" hidden="1" customHeight="1" x14ac:dyDescent="0.25">
      <c r="A168" t="s">
        <v>107</v>
      </c>
      <c r="B168" t="s">
        <v>39</v>
      </c>
      <c r="C168">
        <v>3</v>
      </c>
      <c r="D168" t="s">
        <v>40</v>
      </c>
      <c r="E168" t="s">
        <v>41</v>
      </c>
      <c r="F168" t="s">
        <v>198</v>
      </c>
      <c r="G168" t="s">
        <v>199</v>
      </c>
      <c r="H168" t="s">
        <v>200</v>
      </c>
      <c r="I168" t="s">
        <v>205</v>
      </c>
      <c r="J168" t="s">
        <v>107</v>
      </c>
      <c r="K168" t="s">
        <v>45</v>
      </c>
      <c r="L168">
        <v>5200000</v>
      </c>
      <c r="M168" t="s">
        <v>46</v>
      </c>
      <c r="N168" t="s">
        <v>233</v>
      </c>
      <c r="Q168" t="s">
        <v>204</v>
      </c>
    </row>
    <row r="169" spans="1:17" ht="15" hidden="1" customHeight="1" x14ac:dyDescent="0.25">
      <c r="A169" t="s">
        <v>107</v>
      </c>
      <c r="B169" t="s">
        <v>39</v>
      </c>
      <c r="C169">
        <v>3</v>
      </c>
      <c r="D169" t="s">
        <v>40</v>
      </c>
      <c r="E169" t="s">
        <v>41</v>
      </c>
      <c r="F169" t="s">
        <v>198</v>
      </c>
      <c r="G169" t="s">
        <v>199</v>
      </c>
      <c r="H169" t="s">
        <v>207</v>
      </c>
      <c r="J169" t="s">
        <v>107</v>
      </c>
      <c r="K169" t="s">
        <v>45</v>
      </c>
      <c r="L169">
        <v>4700000</v>
      </c>
      <c r="M169" t="s">
        <v>46</v>
      </c>
      <c r="N169" t="s">
        <v>234</v>
      </c>
    </row>
    <row r="170" spans="1:17" ht="15" hidden="1" customHeight="1" x14ac:dyDescent="0.25">
      <c r="A170" t="s">
        <v>107</v>
      </c>
      <c r="B170" t="s">
        <v>39</v>
      </c>
      <c r="C170">
        <v>3</v>
      </c>
      <c r="D170" t="s">
        <v>40</v>
      </c>
      <c r="E170" t="s">
        <v>41</v>
      </c>
      <c r="F170" t="s">
        <v>209</v>
      </c>
      <c r="G170" t="s">
        <v>199</v>
      </c>
      <c r="H170" t="s">
        <v>200</v>
      </c>
      <c r="J170" t="s">
        <v>107</v>
      </c>
      <c r="K170" t="s">
        <v>45</v>
      </c>
      <c r="L170">
        <v>3370000000</v>
      </c>
      <c r="M170" t="s">
        <v>210</v>
      </c>
      <c r="N170" t="s">
        <v>235</v>
      </c>
    </row>
    <row r="171" spans="1:17" ht="15" hidden="1" customHeight="1" x14ac:dyDescent="0.25">
      <c r="A171" t="s">
        <v>107</v>
      </c>
      <c r="B171" t="s">
        <v>39</v>
      </c>
      <c r="C171">
        <v>3</v>
      </c>
      <c r="D171" t="s">
        <v>40</v>
      </c>
      <c r="E171" t="s">
        <v>41</v>
      </c>
      <c r="F171" t="s">
        <v>209</v>
      </c>
      <c r="G171" t="s">
        <v>199</v>
      </c>
      <c r="H171" t="s">
        <v>200</v>
      </c>
      <c r="I171" t="s">
        <v>202</v>
      </c>
      <c r="J171" t="s">
        <v>107</v>
      </c>
      <c r="K171" t="s">
        <v>45</v>
      </c>
      <c r="L171">
        <v>2290000000</v>
      </c>
      <c r="M171" t="s">
        <v>210</v>
      </c>
      <c r="N171" t="s">
        <v>236</v>
      </c>
      <c r="Q171" t="s">
        <v>204</v>
      </c>
    </row>
    <row r="172" spans="1:17" ht="15" hidden="1" customHeight="1" x14ac:dyDescent="0.25">
      <c r="A172" t="s">
        <v>107</v>
      </c>
      <c r="B172" t="s">
        <v>39</v>
      </c>
      <c r="C172">
        <v>3</v>
      </c>
      <c r="D172" t="s">
        <v>40</v>
      </c>
      <c r="E172" t="s">
        <v>41</v>
      </c>
      <c r="F172" t="s">
        <v>209</v>
      </c>
      <c r="G172" t="s">
        <v>199</v>
      </c>
      <c r="H172" t="s">
        <v>200</v>
      </c>
      <c r="I172" t="s">
        <v>205</v>
      </c>
      <c r="J172" t="s">
        <v>107</v>
      </c>
      <c r="K172" t="s">
        <v>45</v>
      </c>
      <c r="L172">
        <v>595000000</v>
      </c>
      <c r="M172" t="s">
        <v>210</v>
      </c>
      <c r="N172" t="s">
        <v>237</v>
      </c>
      <c r="Q172" t="s">
        <v>204</v>
      </c>
    </row>
    <row r="173" spans="1:17" ht="15" hidden="1" customHeight="1" x14ac:dyDescent="0.25">
      <c r="A173" t="s">
        <v>107</v>
      </c>
      <c r="B173" t="s">
        <v>39</v>
      </c>
      <c r="C173">
        <v>3</v>
      </c>
      <c r="D173" t="s">
        <v>40</v>
      </c>
      <c r="E173" t="s">
        <v>41</v>
      </c>
      <c r="F173" t="s">
        <v>209</v>
      </c>
      <c r="G173" t="s">
        <v>199</v>
      </c>
      <c r="H173" t="s">
        <v>207</v>
      </c>
      <c r="J173" t="s">
        <v>107</v>
      </c>
      <c r="K173" t="s">
        <v>45</v>
      </c>
      <c r="L173">
        <v>808000000</v>
      </c>
      <c r="M173" t="s">
        <v>210</v>
      </c>
      <c r="N173" t="s">
        <v>238</v>
      </c>
    </row>
    <row r="174" spans="1:17" ht="15" hidden="1" customHeight="1" x14ac:dyDescent="0.25">
      <c r="A174" t="s">
        <v>107</v>
      </c>
      <c r="B174" t="s">
        <v>39</v>
      </c>
      <c r="C174">
        <v>3</v>
      </c>
      <c r="D174" t="s">
        <v>74</v>
      </c>
      <c r="E174" t="s">
        <v>75</v>
      </c>
      <c r="F174" t="s">
        <v>198</v>
      </c>
      <c r="G174" t="s">
        <v>199</v>
      </c>
      <c r="J174" t="s">
        <v>88</v>
      </c>
      <c r="K174" t="s">
        <v>77</v>
      </c>
      <c r="L174">
        <v>27850000</v>
      </c>
      <c r="M174" t="s">
        <v>46</v>
      </c>
      <c r="N174" t="s">
        <v>229</v>
      </c>
      <c r="O174" t="s">
        <v>79</v>
      </c>
      <c r="P174" t="s">
        <v>103</v>
      </c>
    </row>
    <row r="175" spans="1:17" ht="15" hidden="1" customHeight="1" x14ac:dyDescent="0.25">
      <c r="A175" t="s">
        <v>107</v>
      </c>
      <c r="B175" t="s">
        <v>39</v>
      </c>
      <c r="C175">
        <v>3</v>
      </c>
      <c r="D175" t="s">
        <v>74</v>
      </c>
      <c r="E175" t="s">
        <v>75</v>
      </c>
      <c r="F175" t="s">
        <v>209</v>
      </c>
      <c r="G175" t="s">
        <v>199</v>
      </c>
      <c r="J175" t="s">
        <v>88</v>
      </c>
      <c r="K175" t="s">
        <v>77</v>
      </c>
      <c r="L175">
        <v>3730000000</v>
      </c>
      <c r="M175" t="s">
        <v>210</v>
      </c>
      <c r="N175" t="s">
        <v>230</v>
      </c>
      <c r="O175" t="s">
        <v>79</v>
      </c>
      <c r="P175" t="s">
        <v>103</v>
      </c>
    </row>
    <row r="176" spans="1:17" ht="15" hidden="1" customHeight="1" x14ac:dyDescent="0.25">
      <c r="A176" t="s">
        <v>107</v>
      </c>
      <c r="B176" t="s">
        <v>39</v>
      </c>
      <c r="C176">
        <v>3</v>
      </c>
      <c r="D176" t="s">
        <v>85</v>
      </c>
      <c r="E176" t="s">
        <v>86</v>
      </c>
      <c r="F176" t="s">
        <v>198</v>
      </c>
      <c r="G176" t="s">
        <v>199</v>
      </c>
      <c r="J176" t="s">
        <v>107</v>
      </c>
      <c r="K176" t="s">
        <v>45</v>
      </c>
      <c r="L176">
        <v>32330000</v>
      </c>
      <c r="M176" t="s">
        <v>46</v>
      </c>
      <c r="N176" t="s">
        <v>239</v>
      </c>
    </row>
    <row r="177" spans="1:17" ht="15" hidden="1" customHeight="1" x14ac:dyDescent="0.25">
      <c r="A177" t="s">
        <v>107</v>
      </c>
      <c r="B177" t="s">
        <v>39</v>
      </c>
      <c r="C177">
        <v>3</v>
      </c>
      <c r="D177" t="s">
        <v>85</v>
      </c>
      <c r="E177" t="s">
        <v>86</v>
      </c>
      <c r="F177" t="s">
        <v>209</v>
      </c>
      <c r="G177" t="s">
        <v>199</v>
      </c>
      <c r="J177" t="s">
        <v>107</v>
      </c>
      <c r="K177" t="s">
        <v>45</v>
      </c>
      <c r="L177">
        <v>4170000000</v>
      </c>
      <c r="M177" t="s">
        <v>210</v>
      </c>
      <c r="N177" t="s">
        <v>240</v>
      </c>
    </row>
    <row r="178" spans="1:17" ht="15" hidden="1" customHeight="1" x14ac:dyDescent="0.25">
      <c r="A178" t="s">
        <v>122</v>
      </c>
      <c r="B178" t="s">
        <v>39</v>
      </c>
      <c r="C178">
        <v>3</v>
      </c>
      <c r="D178" t="s">
        <v>40</v>
      </c>
      <c r="E178" t="s">
        <v>41</v>
      </c>
      <c r="F178" t="s">
        <v>198</v>
      </c>
      <c r="G178" t="s">
        <v>199</v>
      </c>
      <c r="H178" t="s">
        <v>200</v>
      </c>
      <c r="J178" t="s">
        <v>122</v>
      </c>
      <c r="K178" t="s">
        <v>45</v>
      </c>
      <c r="L178">
        <v>32500000</v>
      </c>
      <c r="M178" t="s">
        <v>46</v>
      </c>
      <c r="N178" t="s">
        <v>241</v>
      </c>
    </row>
    <row r="179" spans="1:17" ht="15" hidden="1" customHeight="1" x14ac:dyDescent="0.25">
      <c r="A179" t="s">
        <v>122</v>
      </c>
      <c r="B179" t="s">
        <v>39</v>
      </c>
      <c r="C179">
        <v>3</v>
      </c>
      <c r="D179" t="s">
        <v>40</v>
      </c>
      <c r="E179" t="s">
        <v>41</v>
      </c>
      <c r="F179" t="s">
        <v>198</v>
      </c>
      <c r="G179" t="s">
        <v>199</v>
      </c>
      <c r="H179" t="s">
        <v>200</v>
      </c>
      <c r="I179" t="s">
        <v>202</v>
      </c>
      <c r="J179" t="s">
        <v>122</v>
      </c>
      <c r="K179" t="s">
        <v>45</v>
      </c>
      <c r="L179">
        <v>17070000</v>
      </c>
      <c r="M179" t="s">
        <v>46</v>
      </c>
      <c r="N179" t="s">
        <v>242</v>
      </c>
      <c r="Q179" t="s">
        <v>204</v>
      </c>
    </row>
    <row r="180" spans="1:17" ht="15" hidden="1" customHeight="1" x14ac:dyDescent="0.25">
      <c r="A180" t="s">
        <v>122</v>
      </c>
      <c r="B180" t="s">
        <v>39</v>
      </c>
      <c r="C180">
        <v>3</v>
      </c>
      <c r="D180" t="s">
        <v>40</v>
      </c>
      <c r="E180" t="s">
        <v>41</v>
      </c>
      <c r="F180" t="s">
        <v>198</v>
      </c>
      <c r="G180" t="s">
        <v>199</v>
      </c>
      <c r="H180" t="s">
        <v>200</v>
      </c>
      <c r="I180" t="s">
        <v>205</v>
      </c>
      <c r="J180" t="s">
        <v>122</v>
      </c>
      <c r="K180" t="s">
        <v>45</v>
      </c>
      <c r="L180">
        <v>6090000</v>
      </c>
      <c r="M180" t="s">
        <v>46</v>
      </c>
      <c r="N180" t="s">
        <v>243</v>
      </c>
      <c r="Q180" t="s">
        <v>204</v>
      </c>
    </row>
    <row r="181" spans="1:17" ht="15" hidden="1" customHeight="1" x14ac:dyDescent="0.25">
      <c r="A181" t="s">
        <v>122</v>
      </c>
      <c r="B181" t="s">
        <v>39</v>
      </c>
      <c r="C181">
        <v>3</v>
      </c>
      <c r="D181" t="s">
        <v>40</v>
      </c>
      <c r="E181" t="s">
        <v>41</v>
      </c>
      <c r="F181" t="s">
        <v>198</v>
      </c>
      <c r="G181" t="s">
        <v>199</v>
      </c>
      <c r="H181" t="s">
        <v>207</v>
      </c>
      <c r="J181" t="s">
        <v>122</v>
      </c>
      <c r="K181" t="s">
        <v>45</v>
      </c>
      <c r="L181">
        <v>5790000</v>
      </c>
      <c r="M181" t="s">
        <v>46</v>
      </c>
      <c r="N181" t="s">
        <v>244</v>
      </c>
    </row>
    <row r="182" spans="1:17" ht="15" hidden="1" customHeight="1" x14ac:dyDescent="0.25">
      <c r="A182" t="s">
        <v>122</v>
      </c>
      <c r="B182" t="s">
        <v>39</v>
      </c>
      <c r="C182">
        <v>3</v>
      </c>
      <c r="D182" t="s">
        <v>40</v>
      </c>
      <c r="E182" t="s">
        <v>41</v>
      </c>
      <c r="F182" t="s">
        <v>209</v>
      </c>
      <c r="G182" t="s">
        <v>199</v>
      </c>
      <c r="H182" t="s">
        <v>200</v>
      </c>
      <c r="J182" t="s">
        <v>122</v>
      </c>
      <c r="K182" t="s">
        <v>45</v>
      </c>
      <c r="L182">
        <v>3730000000</v>
      </c>
      <c r="M182" t="s">
        <v>210</v>
      </c>
      <c r="N182" t="s">
        <v>230</v>
      </c>
    </row>
    <row r="183" spans="1:17" ht="15" hidden="1" customHeight="1" x14ac:dyDescent="0.25">
      <c r="A183" t="s">
        <v>122</v>
      </c>
      <c r="B183" t="s">
        <v>39</v>
      </c>
      <c r="C183">
        <v>3</v>
      </c>
      <c r="D183" t="s">
        <v>40</v>
      </c>
      <c r="E183" t="s">
        <v>41</v>
      </c>
      <c r="F183" t="s">
        <v>209</v>
      </c>
      <c r="G183" t="s">
        <v>199</v>
      </c>
      <c r="H183" t="s">
        <v>200</v>
      </c>
      <c r="I183" t="s">
        <v>202</v>
      </c>
      <c r="J183" t="s">
        <v>122</v>
      </c>
      <c r="K183" t="s">
        <v>45</v>
      </c>
      <c r="L183">
        <v>2520000000</v>
      </c>
      <c r="M183" t="s">
        <v>210</v>
      </c>
      <c r="N183" t="s">
        <v>245</v>
      </c>
      <c r="Q183" t="s">
        <v>204</v>
      </c>
    </row>
    <row r="184" spans="1:17" ht="15" hidden="1" customHeight="1" x14ac:dyDescent="0.25">
      <c r="A184" t="s">
        <v>122</v>
      </c>
      <c r="B184" t="s">
        <v>39</v>
      </c>
      <c r="C184">
        <v>3</v>
      </c>
      <c r="D184" t="s">
        <v>40</v>
      </c>
      <c r="E184" t="s">
        <v>41</v>
      </c>
      <c r="F184" t="s">
        <v>209</v>
      </c>
      <c r="G184" t="s">
        <v>199</v>
      </c>
      <c r="H184" t="s">
        <v>200</v>
      </c>
      <c r="I184" t="s">
        <v>205</v>
      </c>
      <c r="J184" t="s">
        <v>122</v>
      </c>
      <c r="K184" t="s">
        <v>45</v>
      </c>
      <c r="L184">
        <v>668000000</v>
      </c>
      <c r="M184" t="s">
        <v>210</v>
      </c>
      <c r="N184" t="s">
        <v>246</v>
      </c>
      <c r="Q184" t="s">
        <v>204</v>
      </c>
    </row>
    <row r="185" spans="1:17" ht="15" hidden="1" customHeight="1" x14ac:dyDescent="0.25">
      <c r="A185" t="s">
        <v>122</v>
      </c>
      <c r="B185" t="s">
        <v>39</v>
      </c>
      <c r="C185">
        <v>3</v>
      </c>
      <c r="D185" t="s">
        <v>40</v>
      </c>
      <c r="E185" t="s">
        <v>41</v>
      </c>
      <c r="F185" t="s">
        <v>209</v>
      </c>
      <c r="G185" t="s">
        <v>199</v>
      </c>
      <c r="H185" t="s">
        <v>207</v>
      </c>
      <c r="J185" t="s">
        <v>122</v>
      </c>
      <c r="K185" t="s">
        <v>45</v>
      </c>
      <c r="L185">
        <v>994000000</v>
      </c>
      <c r="M185" t="s">
        <v>210</v>
      </c>
      <c r="N185" t="s">
        <v>247</v>
      </c>
    </row>
    <row r="186" spans="1:17" ht="15" hidden="1" customHeight="1" x14ac:dyDescent="0.25">
      <c r="A186" t="s">
        <v>122</v>
      </c>
      <c r="B186" t="s">
        <v>39</v>
      </c>
      <c r="C186">
        <v>3</v>
      </c>
      <c r="D186" t="s">
        <v>74</v>
      </c>
      <c r="E186" t="s">
        <v>75</v>
      </c>
      <c r="F186" t="s">
        <v>198</v>
      </c>
      <c r="G186" t="s">
        <v>199</v>
      </c>
      <c r="J186" t="s">
        <v>107</v>
      </c>
      <c r="K186" t="s">
        <v>77</v>
      </c>
      <c r="L186">
        <v>32330000</v>
      </c>
      <c r="M186" t="s">
        <v>46</v>
      </c>
      <c r="N186" t="s">
        <v>239</v>
      </c>
      <c r="O186" t="s">
        <v>79</v>
      </c>
      <c r="P186" t="s">
        <v>103</v>
      </c>
    </row>
    <row r="187" spans="1:17" ht="15" hidden="1" customHeight="1" x14ac:dyDescent="0.25">
      <c r="A187" t="s">
        <v>122</v>
      </c>
      <c r="B187" t="s">
        <v>39</v>
      </c>
      <c r="C187">
        <v>3</v>
      </c>
      <c r="D187" t="s">
        <v>74</v>
      </c>
      <c r="E187" t="s">
        <v>75</v>
      </c>
      <c r="F187" t="s">
        <v>209</v>
      </c>
      <c r="G187" t="s">
        <v>199</v>
      </c>
      <c r="J187" t="s">
        <v>107</v>
      </c>
      <c r="K187" t="s">
        <v>77</v>
      </c>
      <c r="L187">
        <v>4170000000</v>
      </c>
      <c r="M187" t="s">
        <v>210</v>
      </c>
      <c r="N187" t="s">
        <v>240</v>
      </c>
      <c r="O187" t="s">
        <v>79</v>
      </c>
      <c r="P187" t="s">
        <v>103</v>
      </c>
    </row>
    <row r="188" spans="1:17" ht="15" hidden="1" customHeight="1" x14ac:dyDescent="0.25">
      <c r="A188" t="s">
        <v>122</v>
      </c>
      <c r="B188" t="s">
        <v>39</v>
      </c>
      <c r="C188">
        <v>3</v>
      </c>
      <c r="D188" t="s">
        <v>85</v>
      </c>
      <c r="E188" t="s">
        <v>86</v>
      </c>
      <c r="F188" t="s">
        <v>198</v>
      </c>
      <c r="G188" t="s">
        <v>199</v>
      </c>
      <c r="J188" t="s">
        <v>122</v>
      </c>
      <c r="K188" t="s">
        <v>45</v>
      </c>
      <c r="L188">
        <v>38330000</v>
      </c>
      <c r="M188" t="s">
        <v>46</v>
      </c>
      <c r="N188" t="s">
        <v>248</v>
      </c>
    </row>
    <row r="189" spans="1:17" ht="15" hidden="1" customHeight="1" x14ac:dyDescent="0.25">
      <c r="A189" t="s">
        <v>122</v>
      </c>
      <c r="B189" t="s">
        <v>39</v>
      </c>
      <c r="C189">
        <v>3</v>
      </c>
      <c r="D189" t="s">
        <v>85</v>
      </c>
      <c r="E189" t="s">
        <v>86</v>
      </c>
      <c r="F189" t="s">
        <v>209</v>
      </c>
      <c r="G189" t="s">
        <v>199</v>
      </c>
      <c r="J189" t="s">
        <v>122</v>
      </c>
      <c r="K189" t="s">
        <v>45</v>
      </c>
      <c r="L189">
        <v>4720000000</v>
      </c>
      <c r="M189" t="s">
        <v>210</v>
      </c>
      <c r="N189" t="s">
        <v>249</v>
      </c>
    </row>
    <row r="190" spans="1:17" ht="15" hidden="1" customHeight="1" x14ac:dyDescent="0.25">
      <c r="A190" t="s">
        <v>138</v>
      </c>
      <c r="B190" t="s">
        <v>39</v>
      </c>
      <c r="C190">
        <v>3</v>
      </c>
      <c r="D190" t="s">
        <v>40</v>
      </c>
      <c r="E190" t="s">
        <v>41</v>
      </c>
      <c r="F190" t="s">
        <v>198</v>
      </c>
      <c r="G190" t="s">
        <v>199</v>
      </c>
      <c r="H190" t="s">
        <v>200</v>
      </c>
      <c r="J190" t="s">
        <v>138</v>
      </c>
      <c r="K190" t="s">
        <v>45</v>
      </c>
      <c r="L190">
        <v>37400000</v>
      </c>
      <c r="M190" t="s">
        <v>46</v>
      </c>
      <c r="N190" t="s">
        <v>250</v>
      </c>
    </row>
    <row r="191" spans="1:17" ht="15" hidden="1" customHeight="1" x14ac:dyDescent="0.25">
      <c r="A191" t="s">
        <v>138</v>
      </c>
      <c r="B191" t="s">
        <v>39</v>
      </c>
      <c r="C191">
        <v>3</v>
      </c>
      <c r="D191" t="s">
        <v>40</v>
      </c>
      <c r="E191" t="s">
        <v>41</v>
      </c>
      <c r="F191" t="s">
        <v>198</v>
      </c>
      <c r="G191" t="s">
        <v>199</v>
      </c>
      <c r="H191" t="s">
        <v>200</v>
      </c>
      <c r="I191" t="s">
        <v>202</v>
      </c>
      <c r="J191" t="s">
        <v>138</v>
      </c>
      <c r="K191" t="s">
        <v>45</v>
      </c>
      <c r="L191">
        <v>19260000</v>
      </c>
      <c r="M191" t="s">
        <v>46</v>
      </c>
      <c r="N191" t="s">
        <v>251</v>
      </c>
      <c r="Q191" t="s">
        <v>204</v>
      </c>
    </row>
    <row r="192" spans="1:17" ht="15" hidden="1" customHeight="1" x14ac:dyDescent="0.25">
      <c r="A192" t="s">
        <v>138</v>
      </c>
      <c r="B192" t="s">
        <v>39</v>
      </c>
      <c r="C192">
        <v>3</v>
      </c>
      <c r="D192" t="s">
        <v>40</v>
      </c>
      <c r="E192" t="s">
        <v>41</v>
      </c>
      <c r="F192" t="s">
        <v>198</v>
      </c>
      <c r="G192" t="s">
        <v>199</v>
      </c>
      <c r="H192" t="s">
        <v>200</v>
      </c>
      <c r="I192" t="s">
        <v>205</v>
      </c>
      <c r="J192" t="s">
        <v>138</v>
      </c>
      <c r="K192" t="s">
        <v>45</v>
      </c>
      <c r="L192">
        <v>7080000</v>
      </c>
      <c r="M192" t="s">
        <v>46</v>
      </c>
      <c r="N192" t="s">
        <v>252</v>
      </c>
      <c r="Q192" t="s">
        <v>204</v>
      </c>
    </row>
    <row r="193" spans="1:17" ht="15" hidden="1" customHeight="1" x14ac:dyDescent="0.25">
      <c r="A193" t="s">
        <v>138</v>
      </c>
      <c r="B193" t="s">
        <v>39</v>
      </c>
      <c r="C193">
        <v>3</v>
      </c>
      <c r="D193" t="s">
        <v>40</v>
      </c>
      <c r="E193" t="s">
        <v>41</v>
      </c>
      <c r="F193" t="s">
        <v>198</v>
      </c>
      <c r="G193" t="s">
        <v>199</v>
      </c>
      <c r="H193" t="s">
        <v>207</v>
      </c>
      <c r="J193" t="s">
        <v>138</v>
      </c>
      <c r="K193" t="s">
        <v>45</v>
      </c>
      <c r="L193">
        <v>9210000</v>
      </c>
      <c r="M193" t="s">
        <v>46</v>
      </c>
      <c r="N193" t="s">
        <v>253</v>
      </c>
    </row>
    <row r="194" spans="1:17" ht="15" hidden="1" customHeight="1" x14ac:dyDescent="0.25">
      <c r="A194" t="s">
        <v>138</v>
      </c>
      <c r="B194" t="s">
        <v>39</v>
      </c>
      <c r="C194">
        <v>3</v>
      </c>
      <c r="D194" t="s">
        <v>40</v>
      </c>
      <c r="E194" t="s">
        <v>41</v>
      </c>
      <c r="F194" t="s">
        <v>209</v>
      </c>
      <c r="G194" t="s">
        <v>199</v>
      </c>
      <c r="H194" t="s">
        <v>200</v>
      </c>
      <c r="J194" t="s">
        <v>138</v>
      </c>
      <c r="K194" t="s">
        <v>45</v>
      </c>
      <c r="L194">
        <v>4090000000</v>
      </c>
      <c r="M194" t="s">
        <v>210</v>
      </c>
      <c r="N194" t="s">
        <v>254</v>
      </c>
    </row>
    <row r="195" spans="1:17" ht="15" hidden="1" customHeight="1" x14ac:dyDescent="0.25">
      <c r="A195" t="s">
        <v>138</v>
      </c>
      <c r="B195" t="s">
        <v>39</v>
      </c>
      <c r="C195">
        <v>3</v>
      </c>
      <c r="D195" t="s">
        <v>40</v>
      </c>
      <c r="E195" t="s">
        <v>41</v>
      </c>
      <c r="F195" t="s">
        <v>209</v>
      </c>
      <c r="G195" t="s">
        <v>199</v>
      </c>
      <c r="H195" t="s">
        <v>200</v>
      </c>
      <c r="I195" t="s">
        <v>202</v>
      </c>
      <c r="J195" t="s">
        <v>138</v>
      </c>
      <c r="K195" t="s">
        <v>45</v>
      </c>
      <c r="L195">
        <v>2730000000</v>
      </c>
      <c r="M195" t="s">
        <v>210</v>
      </c>
      <c r="N195" t="s">
        <v>255</v>
      </c>
      <c r="Q195" t="s">
        <v>204</v>
      </c>
    </row>
    <row r="196" spans="1:17" ht="15" hidden="1" customHeight="1" x14ac:dyDescent="0.25">
      <c r="A196" t="s">
        <v>138</v>
      </c>
      <c r="B196" t="s">
        <v>39</v>
      </c>
      <c r="C196">
        <v>3</v>
      </c>
      <c r="D196" t="s">
        <v>40</v>
      </c>
      <c r="E196" t="s">
        <v>41</v>
      </c>
      <c r="F196" t="s">
        <v>209</v>
      </c>
      <c r="G196" t="s">
        <v>199</v>
      </c>
      <c r="H196" t="s">
        <v>200</v>
      </c>
      <c r="I196" t="s">
        <v>205</v>
      </c>
      <c r="J196" t="s">
        <v>138</v>
      </c>
      <c r="K196" t="s">
        <v>45</v>
      </c>
      <c r="L196">
        <v>762000000</v>
      </c>
      <c r="M196" t="s">
        <v>210</v>
      </c>
      <c r="N196" t="s">
        <v>256</v>
      </c>
      <c r="Q196" t="s">
        <v>204</v>
      </c>
    </row>
    <row r="197" spans="1:17" ht="15" hidden="1" customHeight="1" x14ac:dyDescent="0.25">
      <c r="A197" t="s">
        <v>138</v>
      </c>
      <c r="B197" t="s">
        <v>39</v>
      </c>
      <c r="C197">
        <v>3</v>
      </c>
      <c r="D197" t="s">
        <v>40</v>
      </c>
      <c r="E197" t="s">
        <v>41</v>
      </c>
      <c r="F197" t="s">
        <v>209</v>
      </c>
      <c r="G197" t="s">
        <v>199</v>
      </c>
      <c r="H197" t="s">
        <v>207</v>
      </c>
      <c r="J197" t="s">
        <v>138</v>
      </c>
      <c r="K197" t="s">
        <v>45</v>
      </c>
      <c r="L197">
        <v>1520000000</v>
      </c>
      <c r="M197" t="s">
        <v>210</v>
      </c>
      <c r="N197" t="s">
        <v>257</v>
      </c>
    </row>
    <row r="198" spans="1:17" ht="15" hidden="1" customHeight="1" x14ac:dyDescent="0.25">
      <c r="A198" t="s">
        <v>138</v>
      </c>
      <c r="B198" t="s">
        <v>39</v>
      </c>
      <c r="C198">
        <v>3</v>
      </c>
      <c r="D198" t="s">
        <v>74</v>
      </c>
      <c r="E198" t="s">
        <v>75</v>
      </c>
      <c r="F198" t="s">
        <v>198</v>
      </c>
      <c r="G198" t="s">
        <v>199</v>
      </c>
      <c r="J198" t="s">
        <v>107</v>
      </c>
      <c r="K198" t="s">
        <v>77</v>
      </c>
      <c r="L198">
        <v>32330000</v>
      </c>
      <c r="M198" t="s">
        <v>46</v>
      </c>
      <c r="N198" t="s">
        <v>239</v>
      </c>
      <c r="O198" t="s">
        <v>79</v>
      </c>
      <c r="P198" t="s">
        <v>103</v>
      </c>
    </row>
    <row r="199" spans="1:17" ht="15" hidden="1" customHeight="1" x14ac:dyDescent="0.25">
      <c r="A199" t="s">
        <v>138</v>
      </c>
      <c r="B199" t="s">
        <v>39</v>
      </c>
      <c r="C199">
        <v>3</v>
      </c>
      <c r="D199" t="s">
        <v>74</v>
      </c>
      <c r="E199" t="s">
        <v>75</v>
      </c>
      <c r="F199" t="s">
        <v>198</v>
      </c>
      <c r="G199" t="s">
        <v>199</v>
      </c>
      <c r="J199" t="s">
        <v>122</v>
      </c>
      <c r="K199" t="s">
        <v>77</v>
      </c>
      <c r="L199">
        <v>38330000</v>
      </c>
      <c r="M199" t="s">
        <v>46</v>
      </c>
      <c r="N199" t="s">
        <v>248</v>
      </c>
      <c r="O199" t="s">
        <v>79</v>
      </c>
      <c r="P199" t="s">
        <v>103</v>
      </c>
    </row>
    <row r="200" spans="1:17" ht="15" hidden="1" customHeight="1" x14ac:dyDescent="0.25">
      <c r="A200" t="s">
        <v>138</v>
      </c>
      <c r="B200" t="s">
        <v>39</v>
      </c>
      <c r="C200">
        <v>3</v>
      </c>
      <c r="D200" t="s">
        <v>74</v>
      </c>
      <c r="E200" t="s">
        <v>75</v>
      </c>
      <c r="F200" t="s">
        <v>209</v>
      </c>
      <c r="G200" t="s">
        <v>199</v>
      </c>
      <c r="J200" t="s">
        <v>107</v>
      </c>
      <c r="K200" t="s">
        <v>77</v>
      </c>
      <c r="L200">
        <v>4170000000</v>
      </c>
      <c r="M200" t="s">
        <v>210</v>
      </c>
      <c r="N200" t="s">
        <v>240</v>
      </c>
      <c r="O200" t="s">
        <v>79</v>
      </c>
      <c r="P200" t="s">
        <v>103</v>
      </c>
    </row>
    <row r="201" spans="1:17" ht="15" hidden="1" customHeight="1" x14ac:dyDescent="0.25">
      <c r="A201" t="s">
        <v>138</v>
      </c>
      <c r="B201" t="s">
        <v>39</v>
      </c>
      <c r="C201">
        <v>3</v>
      </c>
      <c r="D201" t="s">
        <v>74</v>
      </c>
      <c r="E201" t="s">
        <v>75</v>
      </c>
      <c r="F201" t="s">
        <v>209</v>
      </c>
      <c r="G201" t="s">
        <v>199</v>
      </c>
      <c r="J201" t="s">
        <v>122</v>
      </c>
      <c r="K201" t="s">
        <v>77</v>
      </c>
      <c r="L201">
        <v>4720000000</v>
      </c>
      <c r="M201" t="s">
        <v>210</v>
      </c>
      <c r="N201" t="s">
        <v>249</v>
      </c>
      <c r="O201" t="s">
        <v>79</v>
      </c>
      <c r="P201" t="s">
        <v>103</v>
      </c>
    </row>
    <row r="202" spans="1:17" ht="15" hidden="1" customHeight="1" x14ac:dyDescent="0.25">
      <c r="A202" t="s">
        <v>138</v>
      </c>
      <c r="B202" t="s">
        <v>39</v>
      </c>
      <c r="C202">
        <v>3</v>
      </c>
      <c r="D202" t="s">
        <v>85</v>
      </c>
      <c r="E202" t="s">
        <v>86</v>
      </c>
      <c r="F202" t="s">
        <v>198</v>
      </c>
      <c r="G202" t="s">
        <v>199</v>
      </c>
      <c r="J202" t="s">
        <v>138</v>
      </c>
      <c r="K202" t="s">
        <v>45</v>
      </c>
      <c r="L202">
        <v>46650000</v>
      </c>
      <c r="M202" t="s">
        <v>46</v>
      </c>
      <c r="N202" t="s">
        <v>258</v>
      </c>
    </row>
    <row r="203" spans="1:17" ht="15" hidden="1" customHeight="1" x14ac:dyDescent="0.25">
      <c r="A203" t="s">
        <v>138</v>
      </c>
      <c r="B203" t="s">
        <v>39</v>
      </c>
      <c r="C203">
        <v>3</v>
      </c>
      <c r="D203" t="s">
        <v>85</v>
      </c>
      <c r="E203" t="s">
        <v>86</v>
      </c>
      <c r="F203" t="s">
        <v>209</v>
      </c>
      <c r="G203" t="s">
        <v>199</v>
      </c>
      <c r="J203" t="s">
        <v>138</v>
      </c>
      <c r="K203" t="s">
        <v>45</v>
      </c>
      <c r="L203">
        <v>5610000000</v>
      </c>
      <c r="M203" t="s">
        <v>210</v>
      </c>
      <c r="N203" t="s">
        <v>259</v>
      </c>
    </row>
    <row r="204" spans="1:17" ht="15" hidden="1" customHeight="1" x14ac:dyDescent="0.25">
      <c r="A204" t="s">
        <v>153</v>
      </c>
      <c r="B204" t="s">
        <v>39</v>
      </c>
      <c r="C204">
        <v>3</v>
      </c>
      <c r="D204" t="s">
        <v>40</v>
      </c>
      <c r="E204" t="s">
        <v>41</v>
      </c>
      <c r="F204" t="s">
        <v>198</v>
      </c>
      <c r="G204" t="s">
        <v>199</v>
      </c>
      <c r="H204" t="s">
        <v>200</v>
      </c>
      <c r="J204" t="s">
        <v>153</v>
      </c>
      <c r="K204" t="s">
        <v>45</v>
      </c>
      <c r="L204">
        <v>40700000</v>
      </c>
      <c r="M204" t="s">
        <v>46</v>
      </c>
      <c r="N204" t="s">
        <v>260</v>
      </c>
    </row>
    <row r="205" spans="1:17" ht="15" hidden="1" customHeight="1" x14ac:dyDescent="0.25">
      <c r="A205" t="s">
        <v>153</v>
      </c>
      <c r="B205" t="s">
        <v>39</v>
      </c>
      <c r="C205">
        <v>3</v>
      </c>
      <c r="D205" t="s">
        <v>40</v>
      </c>
      <c r="E205" t="s">
        <v>41</v>
      </c>
      <c r="F205" t="s">
        <v>198</v>
      </c>
      <c r="G205" t="s">
        <v>199</v>
      </c>
      <c r="H205" t="s">
        <v>200</v>
      </c>
      <c r="I205" t="s">
        <v>202</v>
      </c>
      <c r="J205" t="s">
        <v>153</v>
      </c>
      <c r="K205" t="s">
        <v>45</v>
      </c>
      <c r="L205">
        <v>20800000</v>
      </c>
      <c r="M205" t="s">
        <v>46</v>
      </c>
      <c r="N205" t="s">
        <v>261</v>
      </c>
      <c r="Q205" t="s">
        <v>204</v>
      </c>
    </row>
    <row r="206" spans="1:17" ht="15" hidden="1" customHeight="1" x14ac:dyDescent="0.25">
      <c r="A206" t="s">
        <v>153</v>
      </c>
      <c r="B206" t="s">
        <v>39</v>
      </c>
      <c r="C206">
        <v>3</v>
      </c>
      <c r="D206" t="s">
        <v>40</v>
      </c>
      <c r="E206" t="s">
        <v>41</v>
      </c>
      <c r="F206" t="s">
        <v>198</v>
      </c>
      <c r="G206" t="s">
        <v>199</v>
      </c>
      <c r="H206" t="s">
        <v>200</v>
      </c>
      <c r="I206" t="s">
        <v>205</v>
      </c>
      <c r="J206" t="s">
        <v>153</v>
      </c>
      <c r="K206" t="s">
        <v>45</v>
      </c>
      <c r="L206">
        <v>7700000</v>
      </c>
      <c r="M206" t="s">
        <v>46</v>
      </c>
      <c r="N206" t="s">
        <v>262</v>
      </c>
      <c r="Q206" t="s">
        <v>204</v>
      </c>
    </row>
    <row r="207" spans="1:17" ht="15" hidden="1" customHeight="1" x14ac:dyDescent="0.25">
      <c r="A207" t="s">
        <v>153</v>
      </c>
      <c r="B207" t="s">
        <v>39</v>
      </c>
      <c r="C207">
        <v>3</v>
      </c>
      <c r="D207" t="s">
        <v>40</v>
      </c>
      <c r="E207" t="s">
        <v>41</v>
      </c>
      <c r="F207" t="s">
        <v>198</v>
      </c>
      <c r="G207" t="s">
        <v>199</v>
      </c>
      <c r="H207" t="s">
        <v>207</v>
      </c>
      <c r="J207" t="s">
        <v>153</v>
      </c>
      <c r="K207" t="s">
        <v>45</v>
      </c>
      <c r="L207">
        <v>9870000</v>
      </c>
      <c r="M207" t="s">
        <v>46</v>
      </c>
      <c r="N207" t="s">
        <v>263</v>
      </c>
    </row>
    <row r="208" spans="1:17" ht="15" hidden="1" customHeight="1" x14ac:dyDescent="0.25">
      <c r="A208" t="s">
        <v>153</v>
      </c>
      <c r="B208" t="s">
        <v>39</v>
      </c>
      <c r="C208">
        <v>3</v>
      </c>
      <c r="D208" t="s">
        <v>40</v>
      </c>
      <c r="E208" t="s">
        <v>41</v>
      </c>
      <c r="F208" t="s">
        <v>209</v>
      </c>
      <c r="G208" t="s">
        <v>199</v>
      </c>
      <c r="H208" t="s">
        <v>200</v>
      </c>
      <c r="J208" t="s">
        <v>153</v>
      </c>
      <c r="K208" t="s">
        <v>45</v>
      </c>
      <c r="L208">
        <v>4000000000</v>
      </c>
      <c r="M208" t="s">
        <v>210</v>
      </c>
      <c r="N208" t="s">
        <v>264</v>
      </c>
    </row>
    <row r="209" spans="1:17" ht="15" hidden="1" customHeight="1" x14ac:dyDescent="0.25">
      <c r="A209" t="s">
        <v>153</v>
      </c>
      <c r="B209" t="s">
        <v>39</v>
      </c>
      <c r="C209">
        <v>3</v>
      </c>
      <c r="D209" t="s">
        <v>40</v>
      </c>
      <c r="E209" t="s">
        <v>41</v>
      </c>
      <c r="F209" t="s">
        <v>209</v>
      </c>
      <c r="G209" t="s">
        <v>199</v>
      </c>
      <c r="H209" t="s">
        <v>200</v>
      </c>
      <c r="I209" t="s">
        <v>202</v>
      </c>
      <c r="J209" t="s">
        <v>153</v>
      </c>
      <c r="K209" t="s">
        <v>45</v>
      </c>
      <c r="L209">
        <v>2680000000</v>
      </c>
      <c r="M209" t="s">
        <v>210</v>
      </c>
      <c r="N209" t="s">
        <v>265</v>
      </c>
      <c r="Q209" t="s">
        <v>204</v>
      </c>
    </row>
    <row r="210" spans="1:17" ht="15" hidden="1" customHeight="1" x14ac:dyDescent="0.25">
      <c r="A210" t="s">
        <v>153</v>
      </c>
      <c r="B210" t="s">
        <v>39</v>
      </c>
      <c r="C210">
        <v>3</v>
      </c>
      <c r="D210" t="s">
        <v>40</v>
      </c>
      <c r="E210" t="s">
        <v>41</v>
      </c>
      <c r="F210" t="s">
        <v>209</v>
      </c>
      <c r="G210" t="s">
        <v>199</v>
      </c>
      <c r="H210" t="s">
        <v>200</v>
      </c>
      <c r="I210" t="s">
        <v>205</v>
      </c>
      <c r="J210" t="s">
        <v>153</v>
      </c>
      <c r="K210" t="s">
        <v>45</v>
      </c>
      <c r="L210">
        <v>735000000</v>
      </c>
      <c r="M210" t="s">
        <v>210</v>
      </c>
      <c r="N210" t="s">
        <v>266</v>
      </c>
      <c r="Q210" t="s">
        <v>204</v>
      </c>
    </row>
    <row r="211" spans="1:17" ht="15" hidden="1" customHeight="1" x14ac:dyDescent="0.25">
      <c r="A211" t="s">
        <v>153</v>
      </c>
      <c r="B211" t="s">
        <v>39</v>
      </c>
      <c r="C211">
        <v>3</v>
      </c>
      <c r="D211" t="s">
        <v>40</v>
      </c>
      <c r="E211" t="s">
        <v>41</v>
      </c>
      <c r="F211" t="s">
        <v>209</v>
      </c>
      <c r="G211" t="s">
        <v>199</v>
      </c>
      <c r="H211" t="s">
        <v>207</v>
      </c>
      <c r="J211" t="s">
        <v>153</v>
      </c>
      <c r="K211" t="s">
        <v>45</v>
      </c>
      <c r="L211">
        <v>1470000000</v>
      </c>
      <c r="M211" t="s">
        <v>210</v>
      </c>
      <c r="N211" t="s">
        <v>267</v>
      </c>
    </row>
    <row r="212" spans="1:17" ht="15" hidden="1" customHeight="1" x14ac:dyDescent="0.25">
      <c r="A212" t="s">
        <v>153</v>
      </c>
      <c r="B212" t="s">
        <v>39</v>
      </c>
      <c r="C212">
        <v>3</v>
      </c>
      <c r="D212" t="s">
        <v>74</v>
      </c>
      <c r="E212" t="s">
        <v>75</v>
      </c>
      <c r="F212" t="s">
        <v>198</v>
      </c>
      <c r="G212" t="s">
        <v>199</v>
      </c>
      <c r="J212" t="s">
        <v>107</v>
      </c>
      <c r="K212" t="s">
        <v>77</v>
      </c>
      <c r="L212">
        <v>32330000</v>
      </c>
      <c r="M212" t="s">
        <v>46</v>
      </c>
      <c r="N212" t="s">
        <v>239</v>
      </c>
      <c r="O212" t="s">
        <v>79</v>
      </c>
      <c r="P212" t="s">
        <v>103</v>
      </c>
    </row>
    <row r="213" spans="1:17" ht="15" hidden="1" customHeight="1" x14ac:dyDescent="0.25">
      <c r="A213" t="s">
        <v>153</v>
      </c>
      <c r="B213" t="s">
        <v>39</v>
      </c>
      <c r="C213">
        <v>3</v>
      </c>
      <c r="D213" t="s">
        <v>74</v>
      </c>
      <c r="E213" t="s">
        <v>75</v>
      </c>
      <c r="F213" t="s">
        <v>198</v>
      </c>
      <c r="G213" t="s">
        <v>199</v>
      </c>
      <c r="J213" t="s">
        <v>122</v>
      </c>
      <c r="K213" t="s">
        <v>77</v>
      </c>
      <c r="L213">
        <v>38330000</v>
      </c>
      <c r="M213" t="s">
        <v>46</v>
      </c>
      <c r="N213" t="s">
        <v>248</v>
      </c>
      <c r="O213" t="s">
        <v>79</v>
      </c>
      <c r="P213" t="s">
        <v>103</v>
      </c>
    </row>
    <row r="214" spans="1:17" ht="15" hidden="1" customHeight="1" x14ac:dyDescent="0.25">
      <c r="A214" t="s">
        <v>153</v>
      </c>
      <c r="B214" t="s">
        <v>39</v>
      </c>
      <c r="C214">
        <v>3</v>
      </c>
      <c r="D214" t="s">
        <v>74</v>
      </c>
      <c r="E214" t="s">
        <v>75</v>
      </c>
      <c r="F214" t="s">
        <v>198</v>
      </c>
      <c r="G214" t="s">
        <v>199</v>
      </c>
      <c r="J214" t="s">
        <v>138</v>
      </c>
      <c r="K214" t="s">
        <v>77</v>
      </c>
      <c r="L214">
        <v>46650000</v>
      </c>
      <c r="M214" t="s">
        <v>46</v>
      </c>
      <c r="N214" t="s">
        <v>258</v>
      </c>
      <c r="O214" t="s">
        <v>79</v>
      </c>
      <c r="P214" t="s">
        <v>103</v>
      </c>
    </row>
    <row r="215" spans="1:17" ht="15" hidden="1" customHeight="1" x14ac:dyDescent="0.25">
      <c r="A215" t="s">
        <v>153</v>
      </c>
      <c r="B215" t="s">
        <v>39</v>
      </c>
      <c r="C215">
        <v>3</v>
      </c>
      <c r="D215" t="s">
        <v>74</v>
      </c>
      <c r="E215" t="s">
        <v>75</v>
      </c>
      <c r="F215" t="s">
        <v>209</v>
      </c>
      <c r="G215" t="s">
        <v>199</v>
      </c>
      <c r="J215" t="s">
        <v>107</v>
      </c>
      <c r="K215" t="s">
        <v>77</v>
      </c>
      <c r="L215">
        <v>4170000000</v>
      </c>
      <c r="M215" t="s">
        <v>210</v>
      </c>
      <c r="N215" t="s">
        <v>240</v>
      </c>
      <c r="O215" t="s">
        <v>79</v>
      </c>
      <c r="P215" t="s">
        <v>103</v>
      </c>
    </row>
    <row r="216" spans="1:17" ht="15" hidden="1" customHeight="1" x14ac:dyDescent="0.25">
      <c r="A216" t="s">
        <v>153</v>
      </c>
      <c r="B216" t="s">
        <v>39</v>
      </c>
      <c r="C216">
        <v>3</v>
      </c>
      <c r="D216" t="s">
        <v>74</v>
      </c>
      <c r="E216" t="s">
        <v>75</v>
      </c>
      <c r="F216" t="s">
        <v>209</v>
      </c>
      <c r="G216" t="s">
        <v>199</v>
      </c>
      <c r="J216" t="s">
        <v>122</v>
      </c>
      <c r="K216" t="s">
        <v>77</v>
      </c>
      <c r="L216">
        <v>4720000000</v>
      </c>
      <c r="M216" t="s">
        <v>210</v>
      </c>
      <c r="N216" t="s">
        <v>249</v>
      </c>
      <c r="O216" t="s">
        <v>79</v>
      </c>
      <c r="P216" t="s">
        <v>103</v>
      </c>
    </row>
    <row r="217" spans="1:17" ht="15" hidden="1" customHeight="1" x14ac:dyDescent="0.25">
      <c r="A217" t="s">
        <v>153</v>
      </c>
      <c r="B217" t="s">
        <v>39</v>
      </c>
      <c r="C217">
        <v>3</v>
      </c>
      <c r="D217" t="s">
        <v>74</v>
      </c>
      <c r="E217" t="s">
        <v>75</v>
      </c>
      <c r="F217" t="s">
        <v>209</v>
      </c>
      <c r="G217" t="s">
        <v>199</v>
      </c>
      <c r="J217" t="s">
        <v>138</v>
      </c>
      <c r="K217" t="s">
        <v>77</v>
      </c>
      <c r="L217">
        <v>5610000000</v>
      </c>
      <c r="M217" t="s">
        <v>210</v>
      </c>
      <c r="N217" t="s">
        <v>259</v>
      </c>
      <c r="O217" t="s">
        <v>79</v>
      </c>
      <c r="P217" t="s">
        <v>103</v>
      </c>
    </row>
    <row r="218" spans="1:17" ht="15" hidden="1" customHeight="1" x14ac:dyDescent="0.25">
      <c r="A218" t="s">
        <v>153</v>
      </c>
      <c r="B218" t="s">
        <v>39</v>
      </c>
      <c r="C218">
        <v>3</v>
      </c>
      <c r="D218" t="s">
        <v>85</v>
      </c>
      <c r="E218" t="s">
        <v>86</v>
      </c>
      <c r="F218" t="s">
        <v>198</v>
      </c>
      <c r="G218" t="s">
        <v>199</v>
      </c>
      <c r="J218" t="s">
        <v>153</v>
      </c>
      <c r="K218" t="s">
        <v>45</v>
      </c>
      <c r="L218">
        <v>50610000</v>
      </c>
      <c r="M218" t="s">
        <v>46</v>
      </c>
      <c r="N218" t="s">
        <v>268</v>
      </c>
    </row>
    <row r="219" spans="1:17" ht="15" hidden="1" customHeight="1" x14ac:dyDescent="0.25">
      <c r="A219" t="s">
        <v>153</v>
      </c>
      <c r="B219" t="s">
        <v>39</v>
      </c>
      <c r="C219">
        <v>3</v>
      </c>
      <c r="D219" t="s">
        <v>85</v>
      </c>
      <c r="E219" t="s">
        <v>86</v>
      </c>
      <c r="F219" t="s">
        <v>209</v>
      </c>
      <c r="G219" t="s">
        <v>199</v>
      </c>
      <c r="J219" t="s">
        <v>153</v>
      </c>
      <c r="K219" t="s">
        <v>45</v>
      </c>
      <c r="L219">
        <v>5460000000</v>
      </c>
      <c r="M219" t="s">
        <v>210</v>
      </c>
      <c r="N219" t="s">
        <v>269</v>
      </c>
    </row>
    <row r="220" spans="1:17" ht="15" hidden="1" customHeight="1" x14ac:dyDescent="0.25">
      <c r="A220" t="s">
        <v>169</v>
      </c>
      <c r="B220" t="s">
        <v>39</v>
      </c>
      <c r="C220">
        <v>3</v>
      </c>
      <c r="D220" t="s">
        <v>40</v>
      </c>
      <c r="E220" t="s">
        <v>41</v>
      </c>
      <c r="F220" t="s">
        <v>198</v>
      </c>
      <c r="G220" t="s">
        <v>199</v>
      </c>
      <c r="H220" t="s">
        <v>200</v>
      </c>
      <c r="J220" t="s">
        <v>169</v>
      </c>
      <c r="K220" t="s">
        <v>45</v>
      </c>
      <c r="L220">
        <v>43200000</v>
      </c>
      <c r="M220" t="s">
        <v>46</v>
      </c>
      <c r="N220" t="s">
        <v>270</v>
      </c>
    </row>
    <row r="221" spans="1:17" ht="15" hidden="1" customHeight="1" x14ac:dyDescent="0.25">
      <c r="A221" t="s">
        <v>169</v>
      </c>
      <c r="B221" t="s">
        <v>39</v>
      </c>
      <c r="C221">
        <v>3</v>
      </c>
      <c r="D221" t="s">
        <v>40</v>
      </c>
      <c r="E221" t="s">
        <v>41</v>
      </c>
      <c r="F221" t="s">
        <v>198</v>
      </c>
      <c r="G221" t="s">
        <v>199</v>
      </c>
      <c r="H221" t="s">
        <v>200</v>
      </c>
      <c r="I221" t="s">
        <v>202</v>
      </c>
      <c r="J221" t="s">
        <v>169</v>
      </c>
      <c r="K221" t="s">
        <v>45</v>
      </c>
      <c r="L221">
        <v>21910000</v>
      </c>
      <c r="M221" t="s">
        <v>46</v>
      </c>
      <c r="N221" t="s">
        <v>271</v>
      </c>
      <c r="Q221" t="s">
        <v>204</v>
      </c>
    </row>
    <row r="222" spans="1:17" ht="15" hidden="1" customHeight="1" x14ac:dyDescent="0.25">
      <c r="A222" t="s">
        <v>169</v>
      </c>
      <c r="B222" t="s">
        <v>39</v>
      </c>
      <c r="C222">
        <v>3</v>
      </c>
      <c r="D222" t="s">
        <v>40</v>
      </c>
      <c r="E222" t="s">
        <v>41</v>
      </c>
      <c r="F222" t="s">
        <v>198</v>
      </c>
      <c r="G222" t="s">
        <v>199</v>
      </c>
      <c r="H222" t="s">
        <v>200</v>
      </c>
      <c r="I222" t="s">
        <v>205</v>
      </c>
      <c r="J222" t="s">
        <v>169</v>
      </c>
      <c r="K222" t="s">
        <v>45</v>
      </c>
      <c r="L222">
        <v>8160000</v>
      </c>
      <c r="M222" t="s">
        <v>46</v>
      </c>
      <c r="N222" t="s">
        <v>272</v>
      </c>
      <c r="Q222" t="s">
        <v>204</v>
      </c>
    </row>
    <row r="223" spans="1:17" ht="15" hidden="1" customHeight="1" x14ac:dyDescent="0.25">
      <c r="A223" t="s">
        <v>169</v>
      </c>
      <c r="B223" t="s">
        <v>39</v>
      </c>
      <c r="C223">
        <v>3</v>
      </c>
      <c r="D223" t="s">
        <v>40</v>
      </c>
      <c r="E223" t="s">
        <v>41</v>
      </c>
      <c r="F223" t="s">
        <v>198</v>
      </c>
      <c r="G223" t="s">
        <v>199</v>
      </c>
      <c r="H223" t="s">
        <v>207</v>
      </c>
      <c r="J223" t="s">
        <v>169</v>
      </c>
      <c r="K223" t="s">
        <v>45</v>
      </c>
      <c r="L223">
        <v>10110000</v>
      </c>
      <c r="M223" t="s">
        <v>46</v>
      </c>
      <c r="N223" t="s">
        <v>273</v>
      </c>
    </row>
    <row r="224" spans="1:17" ht="15" hidden="1" customHeight="1" x14ac:dyDescent="0.25">
      <c r="A224" t="s">
        <v>169</v>
      </c>
      <c r="B224" t="s">
        <v>39</v>
      </c>
      <c r="C224">
        <v>3</v>
      </c>
      <c r="D224" t="s">
        <v>40</v>
      </c>
      <c r="E224" t="s">
        <v>41</v>
      </c>
      <c r="F224" t="s">
        <v>209</v>
      </c>
      <c r="G224" t="s">
        <v>199</v>
      </c>
      <c r="H224" t="s">
        <v>200</v>
      </c>
      <c r="J224" t="s">
        <v>169</v>
      </c>
      <c r="K224" t="s">
        <v>45</v>
      </c>
      <c r="L224">
        <v>4230000000</v>
      </c>
      <c r="M224" t="s">
        <v>210</v>
      </c>
      <c r="N224" t="s">
        <v>274</v>
      </c>
    </row>
    <row r="225" spans="1:17" ht="15" hidden="1" customHeight="1" x14ac:dyDescent="0.25">
      <c r="A225" t="s">
        <v>169</v>
      </c>
      <c r="B225" t="s">
        <v>39</v>
      </c>
      <c r="C225">
        <v>3</v>
      </c>
      <c r="D225" t="s">
        <v>40</v>
      </c>
      <c r="E225" t="s">
        <v>41</v>
      </c>
      <c r="F225" t="s">
        <v>209</v>
      </c>
      <c r="G225" t="s">
        <v>199</v>
      </c>
      <c r="H225" t="s">
        <v>200</v>
      </c>
      <c r="I225" t="s">
        <v>202</v>
      </c>
      <c r="J225" t="s">
        <v>169</v>
      </c>
      <c r="K225" t="s">
        <v>45</v>
      </c>
      <c r="L225">
        <v>2840000000</v>
      </c>
      <c r="M225" t="s">
        <v>210</v>
      </c>
      <c r="N225" t="s">
        <v>275</v>
      </c>
      <c r="Q225" t="s">
        <v>204</v>
      </c>
    </row>
    <row r="226" spans="1:17" ht="15" hidden="1" customHeight="1" x14ac:dyDescent="0.25">
      <c r="A226" t="s">
        <v>169</v>
      </c>
      <c r="B226" t="s">
        <v>39</v>
      </c>
      <c r="C226">
        <v>3</v>
      </c>
      <c r="D226" t="s">
        <v>40</v>
      </c>
      <c r="E226" t="s">
        <v>41</v>
      </c>
      <c r="F226" t="s">
        <v>209</v>
      </c>
      <c r="G226" t="s">
        <v>199</v>
      </c>
      <c r="H226" t="s">
        <v>200</v>
      </c>
      <c r="I226" t="s">
        <v>205</v>
      </c>
      <c r="J226" t="s">
        <v>169</v>
      </c>
      <c r="K226" t="s">
        <v>45</v>
      </c>
      <c r="L226">
        <v>790000000</v>
      </c>
      <c r="M226" t="s">
        <v>210</v>
      </c>
      <c r="N226" t="s">
        <v>276</v>
      </c>
      <c r="Q226" t="s">
        <v>204</v>
      </c>
    </row>
    <row r="227" spans="1:17" ht="15" hidden="1" customHeight="1" x14ac:dyDescent="0.25">
      <c r="A227" t="s">
        <v>169</v>
      </c>
      <c r="B227" t="s">
        <v>39</v>
      </c>
      <c r="C227">
        <v>3</v>
      </c>
      <c r="D227" t="s">
        <v>40</v>
      </c>
      <c r="E227" t="s">
        <v>41</v>
      </c>
      <c r="F227" t="s">
        <v>209</v>
      </c>
      <c r="G227" t="s">
        <v>199</v>
      </c>
      <c r="H227" t="s">
        <v>207</v>
      </c>
      <c r="J227" t="s">
        <v>169</v>
      </c>
      <c r="K227" t="s">
        <v>45</v>
      </c>
      <c r="L227">
        <v>1480000000</v>
      </c>
      <c r="M227" t="s">
        <v>210</v>
      </c>
      <c r="N227" t="s">
        <v>277</v>
      </c>
    </row>
    <row r="228" spans="1:17" ht="15" hidden="1" customHeight="1" x14ac:dyDescent="0.25">
      <c r="A228" t="s">
        <v>169</v>
      </c>
      <c r="B228" t="s">
        <v>39</v>
      </c>
      <c r="C228">
        <v>3</v>
      </c>
      <c r="D228" t="s">
        <v>74</v>
      </c>
      <c r="E228" t="s">
        <v>75</v>
      </c>
      <c r="F228" t="s">
        <v>198</v>
      </c>
      <c r="G228" t="s">
        <v>199</v>
      </c>
      <c r="J228" t="s">
        <v>153</v>
      </c>
      <c r="K228" t="s">
        <v>77</v>
      </c>
      <c r="L228">
        <v>50610000</v>
      </c>
      <c r="M228" t="s">
        <v>46</v>
      </c>
      <c r="N228" t="s">
        <v>268</v>
      </c>
      <c r="O228" t="s">
        <v>79</v>
      </c>
      <c r="P228" t="s">
        <v>103</v>
      </c>
    </row>
    <row r="229" spans="1:17" ht="15" hidden="1" customHeight="1" x14ac:dyDescent="0.25">
      <c r="A229" t="s">
        <v>169</v>
      </c>
      <c r="B229" t="s">
        <v>39</v>
      </c>
      <c r="C229">
        <v>3</v>
      </c>
      <c r="D229" t="s">
        <v>74</v>
      </c>
      <c r="E229" t="s">
        <v>75</v>
      </c>
      <c r="F229" t="s">
        <v>209</v>
      </c>
      <c r="G229" t="s">
        <v>199</v>
      </c>
      <c r="J229" t="s">
        <v>153</v>
      </c>
      <c r="K229" t="s">
        <v>77</v>
      </c>
      <c r="L229">
        <v>5460000000</v>
      </c>
      <c r="M229" t="s">
        <v>210</v>
      </c>
      <c r="N229" t="s">
        <v>269</v>
      </c>
      <c r="O229" t="s">
        <v>79</v>
      </c>
      <c r="P229" t="s">
        <v>103</v>
      </c>
    </row>
    <row r="230" spans="1:17" ht="15" hidden="1" customHeight="1" x14ac:dyDescent="0.25">
      <c r="A230" t="s">
        <v>169</v>
      </c>
      <c r="B230" t="s">
        <v>39</v>
      </c>
      <c r="C230">
        <v>3</v>
      </c>
      <c r="D230" t="s">
        <v>85</v>
      </c>
      <c r="E230" t="s">
        <v>86</v>
      </c>
      <c r="F230" t="s">
        <v>198</v>
      </c>
      <c r="G230" t="s">
        <v>199</v>
      </c>
      <c r="J230" t="s">
        <v>169</v>
      </c>
      <c r="K230" t="s">
        <v>45</v>
      </c>
      <c r="L230">
        <v>53290000</v>
      </c>
      <c r="M230" t="s">
        <v>46</v>
      </c>
      <c r="N230" t="s">
        <v>278</v>
      </c>
    </row>
    <row r="231" spans="1:17" ht="15" hidden="1" customHeight="1" x14ac:dyDescent="0.25">
      <c r="A231" t="s">
        <v>169</v>
      </c>
      <c r="B231" t="s">
        <v>39</v>
      </c>
      <c r="C231">
        <v>3</v>
      </c>
      <c r="D231" t="s">
        <v>85</v>
      </c>
      <c r="E231" t="s">
        <v>86</v>
      </c>
      <c r="F231" t="s">
        <v>209</v>
      </c>
      <c r="G231" t="s">
        <v>199</v>
      </c>
      <c r="J231" t="s">
        <v>169</v>
      </c>
      <c r="K231" t="s">
        <v>45</v>
      </c>
      <c r="L231">
        <v>5710000000</v>
      </c>
      <c r="M231" t="s">
        <v>210</v>
      </c>
      <c r="N231" t="s">
        <v>279</v>
      </c>
    </row>
    <row r="232" spans="1:17" ht="15" hidden="1" customHeight="1" x14ac:dyDescent="0.25">
      <c r="A232" t="s">
        <v>184</v>
      </c>
      <c r="B232" t="s">
        <v>39</v>
      </c>
      <c r="C232">
        <v>3</v>
      </c>
      <c r="D232" t="s">
        <v>40</v>
      </c>
      <c r="E232" t="s">
        <v>41</v>
      </c>
      <c r="F232" t="s">
        <v>198</v>
      </c>
      <c r="G232" t="s">
        <v>199</v>
      </c>
      <c r="H232" t="s">
        <v>200</v>
      </c>
      <c r="J232" t="s">
        <v>184</v>
      </c>
      <c r="K232" t="s">
        <v>45</v>
      </c>
      <c r="L232">
        <v>49500000</v>
      </c>
      <c r="M232" t="s">
        <v>46</v>
      </c>
      <c r="N232" t="s">
        <v>280</v>
      </c>
    </row>
    <row r="233" spans="1:17" ht="15" hidden="1" customHeight="1" x14ac:dyDescent="0.25">
      <c r="A233" t="s">
        <v>184</v>
      </c>
      <c r="B233" t="s">
        <v>39</v>
      </c>
      <c r="C233">
        <v>3</v>
      </c>
      <c r="D233" t="s">
        <v>40</v>
      </c>
      <c r="E233" t="s">
        <v>41</v>
      </c>
      <c r="F233" t="s">
        <v>198</v>
      </c>
      <c r="G233" t="s">
        <v>199</v>
      </c>
      <c r="H233" t="s">
        <v>200</v>
      </c>
      <c r="I233" t="s">
        <v>202</v>
      </c>
      <c r="J233" t="s">
        <v>184</v>
      </c>
      <c r="K233" t="s">
        <v>45</v>
      </c>
      <c r="L233">
        <v>24610000</v>
      </c>
      <c r="M233" t="s">
        <v>46</v>
      </c>
      <c r="N233" t="s">
        <v>281</v>
      </c>
      <c r="Q233" t="s">
        <v>204</v>
      </c>
    </row>
    <row r="234" spans="1:17" ht="15" hidden="1" customHeight="1" x14ac:dyDescent="0.25">
      <c r="A234" t="s">
        <v>184</v>
      </c>
      <c r="B234" t="s">
        <v>39</v>
      </c>
      <c r="C234">
        <v>3</v>
      </c>
      <c r="D234" t="s">
        <v>40</v>
      </c>
      <c r="E234" t="s">
        <v>41</v>
      </c>
      <c r="F234" t="s">
        <v>198</v>
      </c>
      <c r="G234" t="s">
        <v>199</v>
      </c>
      <c r="H234" t="s">
        <v>200</v>
      </c>
      <c r="I234" t="s">
        <v>205</v>
      </c>
      <c r="J234" t="s">
        <v>184</v>
      </c>
      <c r="K234" t="s">
        <v>45</v>
      </c>
      <c r="L234">
        <v>9280000</v>
      </c>
      <c r="M234" t="s">
        <v>46</v>
      </c>
      <c r="N234" t="s">
        <v>282</v>
      </c>
      <c r="Q234" t="s">
        <v>204</v>
      </c>
    </row>
    <row r="235" spans="1:17" ht="15" hidden="1" customHeight="1" x14ac:dyDescent="0.25">
      <c r="A235" t="s">
        <v>184</v>
      </c>
      <c r="B235" t="s">
        <v>39</v>
      </c>
      <c r="C235">
        <v>3</v>
      </c>
      <c r="D235" t="s">
        <v>40</v>
      </c>
      <c r="E235" t="s">
        <v>41</v>
      </c>
      <c r="F235" t="s">
        <v>198</v>
      </c>
      <c r="G235" t="s">
        <v>199</v>
      </c>
      <c r="H235" t="s">
        <v>207</v>
      </c>
      <c r="J235" t="s">
        <v>184</v>
      </c>
      <c r="K235" t="s">
        <v>45</v>
      </c>
      <c r="L235">
        <v>12220000</v>
      </c>
      <c r="M235" t="s">
        <v>46</v>
      </c>
      <c r="N235" t="s">
        <v>283</v>
      </c>
    </row>
    <row r="236" spans="1:17" ht="15" hidden="1" customHeight="1" x14ac:dyDescent="0.25">
      <c r="A236" t="s">
        <v>184</v>
      </c>
      <c r="B236" t="s">
        <v>39</v>
      </c>
      <c r="C236">
        <v>3</v>
      </c>
      <c r="D236" t="s">
        <v>40</v>
      </c>
      <c r="E236" t="s">
        <v>41</v>
      </c>
      <c r="F236" t="s">
        <v>209</v>
      </c>
      <c r="G236" t="s">
        <v>199</v>
      </c>
      <c r="H236" t="s">
        <v>200</v>
      </c>
      <c r="J236" t="s">
        <v>184</v>
      </c>
      <c r="K236" t="s">
        <v>45</v>
      </c>
      <c r="L236">
        <v>4480000000</v>
      </c>
      <c r="M236" t="s">
        <v>210</v>
      </c>
      <c r="N236" t="s">
        <v>284</v>
      </c>
    </row>
    <row r="237" spans="1:17" ht="15" hidden="1" customHeight="1" x14ac:dyDescent="0.25">
      <c r="A237" t="s">
        <v>184</v>
      </c>
      <c r="B237" t="s">
        <v>39</v>
      </c>
      <c r="C237">
        <v>3</v>
      </c>
      <c r="D237" t="s">
        <v>40</v>
      </c>
      <c r="E237" t="s">
        <v>41</v>
      </c>
      <c r="F237" t="s">
        <v>209</v>
      </c>
      <c r="G237" t="s">
        <v>199</v>
      </c>
      <c r="H237" t="s">
        <v>200</v>
      </c>
      <c r="I237" t="s">
        <v>202</v>
      </c>
      <c r="J237" t="s">
        <v>184</v>
      </c>
      <c r="K237" t="s">
        <v>45</v>
      </c>
      <c r="L237">
        <v>2970000000</v>
      </c>
      <c r="M237" t="s">
        <v>210</v>
      </c>
      <c r="N237" t="s">
        <v>285</v>
      </c>
      <c r="Q237" t="s">
        <v>204</v>
      </c>
    </row>
    <row r="238" spans="1:17" ht="15" hidden="1" customHeight="1" x14ac:dyDescent="0.25">
      <c r="A238" t="s">
        <v>184</v>
      </c>
      <c r="B238" t="s">
        <v>39</v>
      </c>
      <c r="C238">
        <v>3</v>
      </c>
      <c r="D238" t="s">
        <v>40</v>
      </c>
      <c r="E238" t="s">
        <v>41</v>
      </c>
      <c r="F238" t="s">
        <v>209</v>
      </c>
      <c r="G238" t="s">
        <v>199</v>
      </c>
      <c r="H238" t="s">
        <v>200</v>
      </c>
      <c r="I238" t="s">
        <v>205</v>
      </c>
      <c r="J238" t="s">
        <v>184</v>
      </c>
      <c r="K238" t="s">
        <v>45</v>
      </c>
      <c r="L238">
        <v>840000000</v>
      </c>
      <c r="M238" t="s">
        <v>210</v>
      </c>
      <c r="N238" t="s">
        <v>286</v>
      </c>
      <c r="Q238" t="s">
        <v>204</v>
      </c>
    </row>
    <row r="239" spans="1:17" ht="15" hidden="1" customHeight="1" x14ac:dyDescent="0.25">
      <c r="A239" t="s">
        <v>184</v>
      </c>
      <c r="B239" t="s">
        <v>39</v>
      </c>
      <c r="C239">
        <v>3</v>
      </c>
      <c r="D239" t="s">
        <v>40</v>
      </c>
      <c r="E239" t="s">
        <v>41</v>
      </c>
      <c r="F239" t="s">
        <v>209</v>
      </c>
      <c r="G239" t="s">
        <v>199</v>
      </c>
      <c r="H239" t="s">
        <v>207</v>
      </c>
      <c r="J239" t="s">
        <v>184</v>
      </c>
      <c r="K239" t="s">
        <v>45</v>
      </c>
      <c r="L239">
        <v>1690000000</v>
      </c>
      <c r="M239" t="s">
        <v>210</v>
      </c>
      <c r="N239" t="s">
        <v>287</v>
      </c>
    </row>
    <row r="240" spans="1:17" ht="15" hidden="1" customHeight="1" x14ac:dyDescent="0.25">
      <c r="A240" t="s">
        <v>184</v>
      </c>
      <c r="B240" t="s">
        <v>39</v>
      </c>
      <c r="C240">
        <v>3</v>
      </c>
      <c r="D240" t="s">
        <v>74</v>
      </c>
      <c r="E240" t="s">
        <v>75</v>
      </c>
      <c r="F240" t="s">
        <v>198</v>
      </c>
      <c r="G240" t="s">
        <v>199</v>
      </c>
      <c r="J240" t="s">
        <v>169</v>
      </c>
      <c r="K240" t="s">
        <v>77</v>
      </c>
      <c r="L240">
        <v>53290000</v>
      </c>
      <c r="M240" t="s">
        <v>46</v>
      </c>
      <c r="N240" t="s">
        <v>278</v>
      </c>
      <c r="O240" t="s">
        <v>79</v>
      </c>
      <c r="P240" t="s">
        <v>103</v>
      </c>
    </row>
    <row r="241" spans="1:16" ht="15" hidden="1" customHeight="1" x14ac:dyDescent="0.25">
      <c r="A241" t="s">
        <v>184</v>
      </c>
      <c r="B241" t="s">
        <v>39</v>
      </c>
      <c r="C241">
        <v>3</v>
      </c>
      <c r="D241" t="s">
        <v>74</v>
      </c>
      <c r="E241" t="s">
        <v>75</v>
      </c>
      <c r="F241" t="s">
        <v>209</v>
      </c>
      <c r="G241" t="s">
        <v>199</v>
      </c>
      <c r="J241" t="s">
        <v>169</v>
      </c>
      <c r="K241" t="s">
        <v>77</v>
      </c>
      <c r="L241">
        <v>5710000000</v>
      </c>
      <c r="M241" t="s">
        <v>210</v>
      </c>
      <c r="N241" t="s">
        <v>279</v>
      </c>
      <c r="O241" t="s">
        <v>79</v>
      </c>
      <c r="P241" t="s">
        <v>103</v>
      </c>
    </row>
    <row r="242" spans="1:16" ht="15" hidden="1" customHeight="1" x14ac:dyDescent="0.25">
      <c r="A242" t="s">
        <v>184</v>
      </c>
      <c r="B242" t="s">
        <v>39</v>
      </c>
      <c r="C242">
        <v>3</v>
      </c>
      <c r="D242" t="s">
        <v>85</v>
      </c>
      <c r="E242" t="s">
        <v>86</v>
      </c>
      <c r="F242" t="s">
        <v>198</v>
      </c>
      <c r="G242" t="s">
        <v>199</v>
      </c>
      <c r="J242" t="s">
        <v>184</v>
      </c>
      <c r="K242" t="s">
        <v>45</v>
      </c>
      <c r="L242">
        <v>61720000</v>
      </c>
      <c r="M242" t="s">
        <v>46</v>
      </c>
      <c r="N242" t="s">
        <v>288</v>
      </c>
    </row>
    <row r="243" spans="1:16" ht="15" hidden="1" customHeight="1" x14ac:dyDescent="0.25">
      <c r="A243" t="s">
        <v>184</v>
      </c>
      <c r="B243" t="s">
        <v>39</v>
      </c>
      <c r="C243">
        <v>3</v>
      </c>
      <c r="D243" t="s">
        <v>85</v>
      </c>
      <c r="E243" t="s">
        <v>86</v>
      </c>
      <c r="F243" t="s">
        <v>209</v>
      </c>
      <c r="G243" t="s">
        <v>199</v>
      </c>
      <c r="J243" t="s">
        <v>184</v>
      </c>
      <c r="K243" t="s">
        <v>45</v>
      </c>
      <c r="L243">
        <v>6170000000</v>
      </c>
      <c r="M243" t="s">
        <v>210</v>
      </c>
      <c r="N243" t="s">
        <v>289</v>
      </c>
    </row>
    <row r="244" spans="1:16" ht="15" hidden="1" customHeight="1" x14ac:dyDescent="0.25">
      <c r="A244" t="s">
        <v>38</v>
      </c>
      <c r="B244" t="s">
        <v>290</v>
      </c>
      <c r="C244">
        <v>4</v>
      </c>
      <c r="D244" t="s">
        <v>40</v>
      </c>
      <c r="E244" t="s">
        <v>41</v>
      </c>
      <c r="F244" t="s">
        <v>42</v>
      </c>
      <c r="G244" t="s">
        <v>43</v>
      </c>
      <c r="H244" t="s">
        <v>44</v>
      </c>
      <c r="J244" t="s">
        <v>38</v>
      </c>
      <c r="K244" t="s">
        <v>45</v>
      </c>
      <c r="L244">
        <v>828200</v>
      </c>
      <c r="M244" t="s">
        <v>46</v>
      </c>
      <c r="N244" t="s">
        <v>291</v>
      </c>
    </row>
    <row r="245" spans="1:16" ht="15" hidden="1" customHeight="1" x14ac:dyDescent="0.25">
      <c r="A245" t="s">
        <v>38</v>
      </c>
      <c r="B245" t="s">
        <v>290</v>
      </c>
      <c r="C245">
        <v>4</v>
      </c>
      <c r="D245" t="s">
        <v>40</v>
      </c>
      <c r="E245" t="s">
        <v>41</v>
      </c>
      <c r="F245" t="s">
        <v>42</v>
      </c>
      <c r="G245" t="s">
        <v>43</v>
      </c>
      <c r="H245" t="s">
        <v>48</v>
      </c>
      <c r="J245" t="s">
        <v>38</v>
      </c>
      <c r="K245" t="s">
        <v>45</v>
      </c>
      <c r="L245">
        <v>603200</v>
      </c>
      <c r="M245" t="s">
        <v>46</v>
      </c>
      <c r="N245" t="s">
        <v>292</v>
      </c>
    </row>
    <row r="246" spans="1:16" ht="15" hidden="1" customHeight="1" x14ac:dyDescent="0.25">
      <c r="A246" t="s">
        <v>38</v>
      </c>
      <c r="B246" t="s">
        <v>290</v>
      </c>
      <c r="C246">
        <v>4</v>
      </c>
      <c r="D246" t="s">
        <v>40</v>
      </c>
      <c r="E246" t="s">
        <v>41</v>
      </c>
      <c r="F246" t="s">
        <v>42</v>
      </c>
      <c r="G246" t="s">
        <v>43</v>
      </c>
      <c r="H246" t="s">
        <v>50</v>
      </c>
      <c r="J246" t="s">
        <v>38</v>
      </c>
      <c r="K246" t="s">
        <v>45</v>
      </c>
      <c r="L246">
        <v>455900</v>
      </c>
      <c r="M246" t="s">
        <v>46</v>
      </c>
      <c r="N246" t="s">
        <v>293</v>
      </c>
    </row>
    <row r="247" spans="1:16" ht="15" hidden="1" customHeight="1" x14ac:dyDescent="0.25">
      <c r="A247" t="s">
        <v>38</v>
      </c>
      <c r="B247" t="s">
        <v>290</v>
      </c>
      <c r="C247">
        <v>4</v>
      </c>
      <c r="D247" t="s">
        <v>40</v>
      </c>
      <c r="E247" t="s">
        <v>41</v>
      </c>
      <c r="F247" t="s">
        <v>42</v>
      </c>
      <c r="G247" t="s">
        <v>43</v>
      </c>
      <c r="H247" t="s">
        <v>52</v>
      </c>
      <c r="J247" t="s">
        <v>38</v>
      </c>
      <c r="K247" t="s">
        <v>45</v>
      </c>
      <c r="L247">
        <v>285100</v>
      </c>
      <c r="M247" t="s">
        <v>46</v>
      </c>
      <c r="N247" t="s">
        <v>294</v>
      </c>
    </row>
    <row r="248" spans="1:16" ht="15" hidden="1" customHeight="1" x14ac:dyDescent="0.25">
      <c r="A248" t="s">
        <v>38</v>
      </c>
      <c r="B248" t="s">
        <v>290</v>
      </c>
      <c r="C248">
        <v>4</v>
      </c>
      <c r="D248" t="s">
        <v>40</v>
      </c>
      <c r="E248" t="s">
        <v>41</v>
      </c>
      <c r="F248" t="s">
        <v>42</v>
      </c>
      <c r="G248" t="s">
        <v>43</v>
      </c>
      <c r="H248" t="s">
        <v>54</v>
      </c>
      <c r="J248" t="s">
        <v>38</v>
      </c>
      <c r="K248" t="s">
        <v>45</v>
      </c>
      <c r="L248">
        <v>102900</v>
      </c>
      <c r="M248" t="s">
        <v>46</v>
      </c>
      <c r="N248" t="s">
        <v>295</v>
      </c>
    </row>
    <row r="249" spans="1:16" ht="15" hidden="1" customHeight="1" x14ac:dyDescent="0.25">
      <c r="A249" t="s">
        <v>38</v>
      </c>
      <c r="B249" t="s">
        <v>290</v>
      </c>
      <c r="C249">
        <v>4</v>
      </c>
      <c r="D249" t="s">
        <v>40</v>
      </c>
      <c r="E249" t="s">
        <v>41</v>
      </c>
      <c r="F249" t="s">
        <v>42</v>
      </c>
      <c r="G249" t="s">
        <v>43</v>
      </c>
      <c r="H249" t="s">
        <v>56</v>
      </c>
      <c r="J249" t="s">
        <v>38</v>
      </c>
      <c r="K249" t="s">
        <v>45</v>
      </c>
      <c r="L249">
        <v>34400</v>
      </c>
      <c r="M249" t="s">
        <v>46</v>
      </c>
      <c r="N249" t="s">
        <v>296</v>
      </c>
    </row>
    <row r="250" spans="1:16" ht="15" hidden="1" customHeight="1" x14ac:dyDescent="0.25">
      <c r="A250" t="s">
        <v>38</v>
      </c>
      <c r="B250" t="s">
        <v>290</v>
      </c>
      <c r="C250">
        <v>4</v>
      </c>
      <c r="D250" t="s">
        <v>40</v>
      </c>
      <c r="E250" t="s">
        <v>41</v>
      </c>
      <c r="F250" t="s">
        <v>42</v>
      </c>
      <c r="G250" t="s">
        <v>43</v>
      </c>
      <c r="H250" t="s">
        <v>58</v>
      </c>
      <c r="J250" t="s">
        <v>38</v>
      </c>
      <c r="K250" t="s">
        <v>45</v>
      </c>
      <c r="L250">
        <v>12600</v>
      </c>
      <c r="M250" t="s">
        <v>46</v>
      </c>
      <c r="N250" t="s">
        <v>297</v>
      </c>
    </row>
    <row r="251" spans="1:16" ht="15" hidden="1" customHeight="1" x14ac:dyDescent="0.25">
      <c r="A251" t="s">
        <v>38</v>
      </c>
      <c r="B251" t="s">
        <v>290</v>
      </c>
      <c r="C251">
        <v>4</v>
      </c>
      <c r="D251" t="s">
        <v>40</v>
      </c>
      <c r="E251" t="s">
        <v>41</v>
      </c>
      <c r="F251" t="s">
        <v>42</v>
      </c>
      <c r="G251" t="s">
        <v>43</v>
      </c>
      <c r="H251" t="s">
        <v>60</v>
      </c>
      <c r="J251" t="s">
        <v>38</v>
      </c>
      <c r="K251" t="s">
        <v>45</v>
      </c>
      <c r="L251">
        <v>1400</v>
      </c>
      <c r="M251" t="s">
        <v>46</v>
      </c>
      <c r="N251" t="s">
        <v>298</v>
      </c>
    </row>
    <row r="252" spans="1:16" ht="15" hidden="1" customHeight="1" x14ac:dyDescent="0.25">
      <c r="A252" t="s">
        <v>38</v>
      </c>
      <c r="B252" t="s">
        <v>290</v>
      </c>
      <c r="C252">
        <v>4</v>
      </c>
      <c r="D252" t="s">
        <v>40</v>
      </c>
      <c r="E252" t="s">
        <v>41</v>
      </c>
      <c r="F252" t="s">
        <v>42</v>
      </c>
      <c r="G252" t="s">
        <v>43</v>
      </c>
      <c r="H252" t="s">
        <v>62</v>
      </c>
      <c r="J252" t="s">
        <v>38</v>
      </c>
      <c r="K252" t="s">
        <v>45</v>
      </c>
      <c r="L252">
        <v>1140000</v>
      </c>
      <c r="M252" t="s">
        <v>46</v>
      </c>
      <c r="N252" t="s">
        <v>299</v>
      </c>
    </row>
    <row r="253" spans="1:16" ht="15" hidden="1" customHeight="1" x14ac:dyDescent="0.25">
      <c r="A253" t="s">
        <v>38</v>
      </c>
      <c r="B253" t="s">
        <v>290</v>
      </c>
      <c r="C253">
        <v>4</v>
      </c>
      <c r="D253" t="s">
        <v>40</v>
      </c>
      <c r="E253" t="s">
        <v>41</v>
      </c>
      <c r="F253" t="s">
        <v>42</v>
      </c>
      <c r="G253" t="s">
        <v>43</v>
      </c>
      <c r="H253" t="s">
        <v>66</v>
      </c>
      <c r="J253" t="s">
        <v>38</v>
      </c>
      <c r="K253" t="s">
        <v>45</v>
      </c>
      <c r="L253">
        <v>2050000</v>
      </c>
      <c r="M253" t="s">
        <v>46</v>
      </c>
      <c r="N253" t="s">
        <v>300</v>
      </c>
    </row>
    <row r="254" spans="1:16" ht="15" hidden="1" customHeight="1" x14ac:dyDescent="0.25">
      <c r="A254" t="s">
        <v>38</v>
      </c>
      <c r="B254" t="s">
        <v>290</v>
      </c>
      <c r="C254">
        <v>4</v>
      </c>
      <c r="D254" t="s">
        <v>40</v>
      </c>
      <c r="E254" t="s">
        <v>41</v>
      </c>
      <c r="F254" t="s">
        <v>42</v>
      </c>
      <c r="G254" t="s">
        <v>43</v>
      </c>
      <c r="H254" t="s">
        <v>70</v>
      </c>
      <c r="J254" t="s">
        <v>38</v>
      </c>
      <c r="K254" t="s">
        <v>45</v>
      </c>
      <c r="L254">
        <v>1180000</v>
      </c>
      <c r="M254" t="s">
        <v>46</v>
      </c>
      <c r="N254" t="s">
        <v>301</v>
      </c>
    </row>
    <row r="255" spans="1:16" ht="15" hidden="1" customHeight="1" x14ac:dyDescent="0.25">
      <c r="A255" t="s">
        <v>38</v>
      </c>
      <c r="B255" t="s">
        <v>290</v>
      </c>
      <c r="C255">
        <v>4</v>
      </c>
      <c r="D255" t="s">
        <v>40</v>
      </c>
      <c r="E255" t="s">
        <v>41</v>
      </c>
      <c r="F255" t="s">
        <v>42</v>
      </c>
      <c r="G255" t="s">
        <v>43</v>
      </c>
      <c r="H255" t="s">
        <v>72</v>
      </c>
      <c r="J255" t="s">
        <v>38</v>
      </c>
      <c r="K255" t="s">
        <v>45</v>
      </c>
      <c r="L255">
        <v>280000</v>
      </c>
      <c r="M255" t="s">
        <v>46</v>
      </c>
      <c r="N255" t="s">
        <v>302</v>
      </c>
    </row>
    <row r="256" spans="1:16" ht="15" hidden="1" customHeight="1" x14ac:dyDescent="0.25">
      <c r="A256" t="s">
        <v>38</v>
      </c>
      <c r="B256" t="s">
        <v>290</v>
      </c>
      <c r="C256">
        <v>4</v>
      </c>
      <c r="D256" t="s">
        <v>40</v>
      </c>
      <c r="E256" t="s">
        <v>41</v>
      </c>
      <c r="F256" t="s">
        <v>303</v>
      </c>
      <c r="G256" t="s">
        <v>304</v>
      </c>
      <c r="H256" t="s">
        <v>305</v>
      </c>
      <c r="J256" t="s">
        <v>38</v>
      </c>
      <c r="K256" t="s">
        <v>45</v>
      </c>
      <c r="L256">
        <v>1376</v>
      </c>
      <c r="M256" t="s">
        <v>46</v>
      </c>
      <c r="N256" t="s">
        <v>306</v>
      </c>
    </row>
    <row r="257" spans="1:17" ht="15" hidden="1" customHeight="1" x14ac:dyDescent="0.25">
      <c r="A257" t="s">
        <v>38</v>
      </c>
      <c r="B257" t="s">
        <v>290</v>
      </c>
      <c r="C257">
        <v>4</v>
      </c>
      <c r="D257" t="s">
        <v>40</v>
      </c>
      <c r="E257" t="s">
        <v>41</v>
      </c>
      <c r="F257" t="s">
        <v>303</v>
      </c>
      <c r="G257" t="s">
        <v>304</v>
      </c>
      <c r="H257" t="s">
        <v>307</v>
      </c>
      <c r="J257" t="s">
        <v>38</v>
      </c>
      <c r="K257" t="s">
        <v>45</v>
      </c>
      <c r="L257">
        <v>1088</v>
      </c>
      <c r="M257" t="s">
        <v>46</v>
      </c>
      <c r="N257" t="s">
        <v>308</v>
      </c>
    </row>
    <row r="258" spans="1:17" ht="15" hidden="1" customHeight="1" x14ac:dyDescent="0.25">
      <c r="A258" t="s">
        <v>38</v>
      </c>
      <c r="B258" t="s">
        <v>290</v>
      </c>
      <c r="C258">
        <v>4</v>
      </c>
      <c r="D258" t="s">
        <v>40</v>
      </c>
      <c r="E258" t="s">
        <v>41</v>
      </c>
      <c r="F258" t="s">
        <v>303</v>
      </c>
      <c r="G258" t="s">
        <v>304</v>
      </c>
      <c r="H258" t="s">
        <v>309</v>
      </c>
      <c r="J258" t="s">
        <v>38</v>
      </c>
      <c r="K258" t="s">
        <v>45</v>
      </c>
      <c r="L258">
        <v>8</v>
      </c>
      <c r="M258" t="s">
        <v>46</v>
      </c>
      <c r="N258" t="s">
        <v>310</v>
      </c>
    </row>
    <row r="259" spans="1:17" ht="15" hidden="1" customHeight="1" x14ac:dyDescent="0.25">
      <c r="A259" t="s">
        <v>38</v>
      </c>
      <c r="B259" t="s">
        <v>290</v>
      </c>
      <c r="C259">
        <v>4</v>
      </c>
      <c r="D259" t="s">
        <v>40</v>
      </c>
      <c r="E259" t="s">
        <v>41</v>
      </c>
      <c r="F259" t="s">
        <v>303</v>
      </c>
      <c r="G259" t="s">
        <v>304</v>
      </c>
      <c r="H259" t="s">
        <v>311</v>
      </c>
      <c r="J259" t="s">
        <v>38</v>
      </c>
      <c r="K259" t="s">
        <v>45</v>
      </c>
      <c r="L259">
        <v>4122</v>
      </c>
      <c r="M259" t="s">
        <v>46</v>
      </c>
      <c r="N259" t="s">
        <v>312</v>
      </c>
    </row>
    <row r="260" spans="1:17" ht="15" hidden="1" customHeight="1" x14ac:dyDescent="0.25">
      <c r="A260" t="s">
        <v>38</v>
      </c>
      <c r="B260" t="s">
        <v>290</v>
      </c>
      <c r="C260">
        <v>4</v>
      </c>
      <c r="D260" t="s">
        <v>40</v>
      </c>
      <c r="E260" t="s">
        <v>41</v>
      </c>
      <c r="F260" t="s">
        <v>303</v>
      </c>
      <c r="G260" t="s">
        <v>304</v>
      </c>
      <c r="H260" t="s">
        <v>313</v>
      </c>
      <c r="J260" t="s">
        <v>38</v>
      </c>
      <c r="K260" t="s">
        <v>45</v>
      </c>
      <c r="L260">
        <v>2240000</v>
      </c>
      <c r="M260" t="s">
        <v>46</v>
      </c>
      <c r="N260" t="s">
        <v>314</v>
      </c>
    </row>
    <row r="261" spans="1:17" ht="15" hidden="1" customHeight="1" x14ac:dyDescent="0.25">
      <c r="A261" t="s">
        <v>38</v>
      </c>
      <c r="B261" t="s">
        <v>290</v>
      </c>
      <c r="C261">
        <v>4</v>
      </c>
      <c r="D261" t="s">
        <v>74</v>
      </c>
      <c r="E261" t="s">
        <v>75</v>
      </c>
      <c r="F261" t="s">
        <v>42</v>
      </c>
      <c r="G261" t="s">
        <v>43</v>
      </c>
      <c r="J261" t="s">
        <v>76</v>
      </c>
      <c r="K261" t="s">
        <v>77</v>
      </c>
      <c r="L261">
        <v>2250000</v>
      </c>
      <c r="M261" t="s">
        <v>46</v>
      </c>
      <c r="N261" t="s">
        <v>315</v>
      </c>
      <c r="O261" t="s">
        <v>79</v>
      </c>
      <c r="P261" t="s">
        <v>80</v>
      </c>
      <c r="Q261" t="s">
        <v>81</v>
      </c>
    </row>
    <row r="262" spans="1:17" ht="15" hidden="1" customHeight="1" x14ac:dyDescent="0.25">
      <c r="A262" t="s">
        <v>38</v>
      </c>
      <c r="B262" t="s">
        <v>290</v>
      </c>
      <c r="C262">
        <v>4</v>
      </c>
      <c r="D262" t="s">
        <v>74</v>
      </c>
      <c r="E262" t="s">
        <v>75</v>
      </c>
      <c r="F262" t="s">
        <v>42</v>
      </c>
      <c r="G262" t="s">
        <v>43</v>
      </c>
      <c r="J262" t="s">
        <v>82</v>
      </c>
      <c r="K262" t="s">
        <v>77</v>
      </c>
      <c r="L262">
        <v>2290000</v>
      </c>
      <c r="M262" t="s">
        <v>46</v>
      </c>
      <c r="N262" t="s">
        <v>316</v>
      </c>
      <c r="O262" t="s">
        <v>79</v>
      </c>
      <c r="P262" t="s">
        <v>80</v>
      </c>
      <c r="Q262" t="s">
        <v>84</v>
      </c>
    </row>
    <row r="263" spans="1:17" ht="15" hidden="1" customHeight="1" x14ac:dyDescent="0.25">
      <c r="A263" t="s">
        <v>38</v>
      </c>
      <c r="B263" t="s">
        <v>290</v>
      </c>
      <c r="C263">
        <v>4</v>
      </c>
      <c r="D263" t="s">
        <v>85</v>
      </c>
      <c r="E263" t="s">
        <v>86</v>
      </c>
      <c r="F263" t="s">
        <v>42</v>
      </c>
      <c r="G263" t="s">
        <v>43</v>
      </c>
      <c r="J263" t="s">
        <v>38</v>
      </c>
      <c r="K263" t="s">
        <v>45</v>
      </c>
      <c r="L263">
        <v>2330000</v>
      </c>
      <c r="M263" t="s">
        <v>46</v>
      </c>
      <c r="N263" t="s">
        <v>317</v>
      </c>
    </row>
    <row r="264" spans="1:17" ht="15" hidden="1" customHeight="1" x14ac:dyDescent="0.25">
      <c r="A264" t="s">
        <v>88</v>
      </c>
      <c r="B264" t="s">
        <v>290</v>
      </c>
      <c r="C264">
        <v>4</v>
      </c>
      <c r="D264" t="s">
        <v>40</v>
      </c>
      <c r="E264" t="s">
        <v>41</v>
      </c>
      <c r="F264" t="s">
        <v>42</v>
      </c>
      <c r="G264" t="s">
        <v>43</v>
      </c>
      <c r="H264" t="s">
        <v>44</v>
      </c>
      <c r="J264" t="s">
        <v>88</v>
      </c>
      <c r="K264" t="s">
        <v>45</v>
      </c>
      <c r="L264">
        <v>971400</v>
      </c>
      <c r="M264" t="s">
        <v>46</v>
      </c>
      <c r="N264" t="s">
        <v>318</v>
      </c>
    </row>
    <row r="265" spans="1:17" ht="15" hidden="1" customHeight="1" x14ac:dyDescent="0.25">
      <c r="A265" t="s">
        <v>88</v>
      </c>
      <c r="B265" t="s">
        <v>290</v>
      </c>
      <c r="C265">
        <v>4</v>
      </c>
      <c r="D265" t="s">
        <v>40</v>
      </c>
      <c r="E265" t="s">
        <v>41</v>
      </c>
      <c r="F265" t="s">
        <v>42</v>
      </c>
      <c r="G265" t="s">
        <v>43</v>
      </c>
      <c r="H265" t="s">
        <v>48</v>
      </c>
      <c r="J265" t="s">
        <v>88</v>
      </c>
      <c r="K265" t="s">
        <v>45</v>
      </c>
      <c r="L265">
        <v>667100</v>
      </c>
      <c r="M265" t="s">
        <v>46</v>
      </c>
      <c r="N265" t="s">
        <v>319</v>
      </c>
    </row>
    <row r="266" spans="1:17" ht="15" hidden="1" customHeight="1" x14ac:dyDescent="0.25">
      <c r="A266" t="s">
        <v>88</v>
      </c>
      <c r="B266" t="s">
        <v>290</v>
      </c>
      <c r="C266">
        <v>4</v>
      </c>
      <c r="D266" t="s">
        <v>40</v>
      </c>
      <c r="E266" t="s">
        <v>41</v>
      </c>
      <c r="F266" t="s">
        <v>42</v>
      </c>
      <c r="G266" t="s">
        <v>43</v>
      </c>
      <c r="H266" t="s">
        <v>50</v>
      </c>
      <c r="J266" t="s">
        <v>88</v>
      </c>
      <c r="K266" t="s">
        <v>45</v>
      </c>
      <c r="L266">
        <v>502800</v>
      </c>
      <c r="M266" t="s">
        <v>46</v>
      </c>
      <c r="N266" t="s">
        <v>320</v>
      </c>
    </row>
    <row r="267" spans="1:17" ht="15" hidden="1" customHeight="1" x14ac:dyDescent="0.25">
      <c r="A267" t="s">
        <v>88</v>
      </c>
      <c r="B267" t="s">
        <v>290</v>
      </c>
      <c r="C267">
        <v>4</v>
      </c>
      <c r="D267" t="s">
        <v>40</v>
      </c>
      <c r="E267" t="s">
        <v>41</v>
      </c>
      <c r="F267" t="s">
        <v>42</v>
      </c>
      <c r="G267" t="s">
        <v>43</v>
      </c>
      <c r="H267" t="s">
        <v>52</v>
      </c>
      <c r="J267" t="s">
        <v>88</v>
      </c>
      <c r="K267" t="s">
        <v>45</v>
      </c>
      <c r="L267">
        <v>318300</v>
      </c>
      <c r="M267" t="s">
        <v>46</v>
      </c>
      <c r="N267" t="s">
        <v>321</v>
      </c>
    </row>
    <row r="268" spans="1:17" ht="15" hidden="1" customHeight="1" x14ac:dyDescent="0.25">
      <c r="A268" t="s">
        <v>88</v>
      </c>
      <c r="B268" t="s">
        <v>290</v>
      </c>
      <c r="C268">
        <v>4</v>
      </c>
      <c r="D268" t="s">
        <v>40</v>
      </c>
      <c r="E268" t="s">
        <v>41</v>
      </c>
      <c r="F268" t="s">
        <v>42</v>
      </c>
      <c r="G268" t="s">
        <v>43</v>
      </c>
      <c r="H268" t="s">
        <v>54</v>
      </c>
      <c r="J268" t="s">
        <v>88</v>
      </c>
      <c r="K268" t="s">
        <v>45</v>
      </c>
      <c r="L268">
        <v>118700</v>
      </c>
      <c r="M268" t="s">
        <v>46</v>
      </c>
      <c r="N268" t="s">
        <v>322</v>
      </c>
    </row>
    <row r="269" spans="1:17" ht="15" hidden="1" customHeight="1" x14ac:dyDescent="0.25">
      <c r="A269" t="s">
        <v>88</v>
      </c>
      <c r="B269" t="s">
        <v>290</v>
      </c>
      <c r="C269">
        <v>4</v>
      </c>
      <c r="D269" t="s">
        <v>40</v>
      </c>
      <c r="E269" t="s">
        <v>41</v>
      </c>
      <c r="F269" t="s">
        <v>42</v>
      </c>
      <c r="G269" t="s">
        <v>43</v>
      </c>
      <c r="H269" t="s">
        <v>56</v>
      </c>
      <c r="J269" t="s">
        <v>88</v>
      </c>
      <c r="K269" t="s">
        <v>45</v>
      </c>
      <c r="L269">
        <v>39800</v>
      </c>
      <c r="M269" t="s">
        <v>46</v>
      </c>
      <c r="N269" t="s">
        <v>323</v>
      </c>
    </row>
    <row r="270" spans="1:17" ht="15" hidden="1" customHeight="1" x14ac:dyDescent="0.25">
      <c r="A270" t="s">
        <v>88</v>
      </c>
      <c r="B270" t="s">
        <v>290</v>
      </c>
      <c r="C270">
        <v>4</v>
      </c>
      <c r="D270" t="s">
        <v>40</v>
      </c>
      <c r="E270" t="s">
        <v>41</v>
      </c>
      <c r="F270" t="s">
        <v>42</v>
      </c>
      <c r="G270" t="s">
        <v>43</v>
      </c>
      <c r="H270" t="s">
        <v>58</v>
      </c>
      <c r="J270" t="s">
        <v>88</v>
      </c>
      <c r="K270" t="s">
        <v>45</v>
      </c>
      <c r="L270">
        <v>14400</v>
      </c>
      <c r="M270" t="s">
        <v>46</v>
      </c>
      <c r="N270" t="s">
        <v>324</v>
      </c>
    </row>
    <row r="271" spans="1:17" ht="15" hidden="1" customHeight="1" x14ac:dyDescent="0.25">
      <c r="A271" t="s">
        <v>88</v>
      </c>
      <c r="B271" t="s">
        <v>290</v>
      </c>
      <c r="C271">
        <v>4</v>
      </c>
      <c r="D271" t="s">
        <v>40</v>
      </c>
      <c r="E271" t="s">
        <v>41</v>
      </c>
      <c r="F271" t="s">
        <v>42</v>
      </c>
      <c r="G271" t="s">
        <v>43</v>
      </c>
      <c r="H271" t="s">
        <v>60</v>
      </c>
      <c r="J271" t="s">
        <v>88</v>
      </c>
      <c r="K271" t="s">
        <v>45</v>
      </c>
      <c r="L271">
        <v>1500</v>
      </c>
      <c r="M271" t="s">
        <v>46</v>
      </c>
      <c r="N271" t="s">
        <v>325</v>
      </c>
    </row>
    <row r="272" spans="1:17" ht="15" hidden="1" customHeight="1" x14ac:dyDescent="0.25">
      <c r="A272" t="s">
        <v>88</v>
      </c>
      <c r="B272" t="s">
        <v>290</v>
      </c>
      <c r="C272">
        <v>4</v>
      </c>
      <c r="D272" t="s">
        <v>40</v>
      </c>
      <c r="E272" t="s">
        <v>41</v>
      </c>
      <c r="F272" t="s">
        <v>42</v>
      </c>
      <c r="G272" t="s">
        <v>43</v>
      </c>
      <c r="H272" t="s">
        <v>62</v>
      </c>
      <c r="J272" t="s">
        <v>88</v>
      </c>
      <c r="K272" t="s">
        <v>45</v>
      </c>
      <c r="L272">
        <v>1260000</v>
      </c>
      <c r="M272" t="s">
        <v>46</v>
      </c>
      <c r="N272" t="s">
        <v>326</v>
      </c>
    </row>
    <row r="273" spans="1:17" ht="15" hidden="1" customHeight="1" x14ac:dyDescent="0.25">
      <c r="A273" t="s">
        <v>88</v>
      </c>
      <c r="B273" t="s">
        <v>290</v>
      </c>
      <c r="C273">
        <v>4</v>
      </c>
      <c r="D273" t="s">
        <v>40</v>
      </c>
      <c r="E273" t="s">
        <v>41</v>
      </c>
      <c r="F273" t="s">
        <v>42</v>
      </c>
      <c r="G273" t="s">
        <v>43</v>
      </c>
      <c r="H273" t="s">
        <v>66</v>
      </c>
      <c r="J273" t="s">
        <v>88</v>
      </c>
      <c r="K273" t="s">
        <v>45</v>
      </c>
      <c r="L273">
        <v>2290000</v>
      </c>
      <c r="M273" t="s">
        <v>46</v>
      </c>
      <c r="N273" t="s">
        <v>316</v>
      </c>
    </row>
    <row r="274" spans="1:17" ht="15" hidden="1" customHeight="1" x14ac:dyDescent="0.25">
      <c r="A274" t="s">
        <v>88</v>
      </c>
      <c r="B274" t="s">
        <v>290</v>
      </c>
      <c r="C274">
        <v>4</v>
      </c>
      <c r="D274" t="s">
        <v>40</v>
      </c>
      <c r="E274" t="s">
        <v>41</v>
      </c>
      <c r="F274" t="s">
        <v>42</v>
      </c>
      <c r="G274" t="s">
        <v>43</v>
      </c>
      <c r="H274" t="s">
        <v>70</v>
      </c>
      <c r="J274" t="s">
        <v>88</v>
      </c>
      <c r="K274" t="s">
        <v>45</v>
      </c>
      <c r="L274">
        <v>1310000</v>
      </c>
      <c r="M274" t="s">
        <v>46</v>
      </c>
      <c r="N274" t="s">
        <v>327</v>
      </c>
    </row>
    <row r="275" spans="1:17" ht="15" hidden="1" customHeight="1" x14ac:dyDescent="0.25">
      <c r="A275" t="s">
        <v>88</v>
      </c>
      <c r="B275" t="s">
        <v>290</v>
      </c>
      <c r="C275">
        <v>4</v>
      </c>
      <c r="D275" t="s">
        <v>40</v>
      </c>
      <c r="E275" t="s">
        <v>41</v>
      </c>
      <c r="F275" t="s">
        <v>42</v>
      </c>
      <c r="G275" t="s">
        <v>43</v>
      </c>
      <c r="H275" t="s">
        <v>72</v>
      </c>
      <c r="J275" t="s">
        <v>88</v>
      </c>
      <c r="K275" t="s">
        <v>45</v>
      </c>
      <c r="L275">
        <v>300000</v>
      </c>
      <c r="M275" t="s">
        <v>46</v>
      </c>
      <c r="N275" t="s">
        <v>328</v>
      </c>
    </row>
    <row r="276" spans="1:17" ht="15" hidden="1" customHeight="1" x14ac:dyDescent="0.25">
      <c r="A276" t="s">
        <v>88</v>
      </c>
      <c r="B276" t="s">
        <v>290</v>
      </c>
      <c r="C276">
        <v>4</v>
      </c>
      <c r="D276" t="s">
        <v>40</v>
      </c>
      <c r="E276" t="s">
        <v>41</v>
      </c>
      <c r="F276" t="s">
        <v>303</v>
      </c>
      <c r="G276" t="s">
        <v>304</v>
      </c>
      <c r="H276" t="s">
        <v>305</v>
      </c>
      <c r="J276" t="s">
        <v>88</v>
      </c>
      <c r="K276" t="s">
        <v>45</v>
      </c>
      <c r="L276">
        <v>1077</v>
      </c>
      <c r="M276" t="s">
        <v>46</v>
      </c>
      <c r="N276" t="s">
        <v>329</v>
      </c>
    </row>
    <row r="277" spans="1:17" ht="15" hidden="1" customHeight="1" x14ac:dyDescent="0.25">
      <c r="A277" t="s">
        <v>88</v>
      </c>
      <c r="B277" t="s">
        <v>290</v>
      </c>
      <c r="C277">
        <v>4</v>
      </c>
      <c r="D277" t="s">
        <v>40</v>
      </c>
      <c r="E277" t="s">
        <v>41</v>
      </c>
      <c r="F277" t="s">
        <v>303</v>
      </c>
      <c r="G277" t="s">
        <v>304</v>
      </c>
      <c r="H277" t="s">
        <v>307</v>
      </c>
      <c r="J277" t="s">
        <v>88</v>
      </c>
      <c r="K277" t="s">
        <v>45</v>
      </c>
      <c r="L277">
        <v>1149</v>
      </c>
      <c r="M277" t="s">
        <v>46</v>
      </c>
      <c r="N277" t="s">
        <v>330</v>
      </c>
    </row>
    <row r="278" spans="1:17" ht="15" hidden="1" customHeight="1" x14ac:dyDescent="0.25">
      <c r="A278" t="s">
        <v>88</v>
      </c>
      <c r="B278" t="s">
        <v>290</v>
      </c>
      <c r="C278">
        <v>4</v>
      </c>
      <c r="D278" t="s">
        <v>40</v>
      </c>
      <c r="E278" t="s">
        <v>41</v>
      </c>
      <c r="F278" t="s">
        <v>303</v>
      </c>
      <c r="G278" t="s">
        <v>304</v>
      </c>
      <c r="H278" t="s">
        <v>309</v>
      </c>
      <c r="J278" t="s">
        <v>88</v>
      </c>
      <c r="K278" t="s">
        <v>45</v>
      </c>
      <c r="L278">
        <v>7</v>
      </c>
      <c r="M278" t="s">
        <v>46</v>
      </c>
      <c r="N278" t="s">
        <v>331</v>
      </c>
    </row>
    <row r="279" spans="1:17" ht="15" hidden="1" customHeight="1" x14ac:dyDescent="0.25">
      <c r="A279" t="s">
        <v>88</v>
      </c>
      <c r="B279" t="s">
        <v>290</v>
      </c>
      <c r="C279">
        <v>4</v>
      </c>
      <c r="D279" t="s">
        <v>40</v>
      </c>
      <c r="E279" t="s">
        <v>41</v>
      </c>
      <c r="F279" t="s">
        <v>303</v>
      </c>
      <c r="G279" t="s">
        <v>304</v>
      </c>
      <c r="H279" t="s">
        <v>311</v>
      </c>
      <c r="J279" t="s">
        <v>88</v>
      </c>
      <c r="K279" t="s">
        <v>45</v>
      </c>
      <c r="L279">
        <v>3415</v>
      </c>
      <c r="M279" t="s">
        <v>46</v>
      </c>
      <c r="N279" t="s">
        <v>332</v>
      </c>
    </row>
    <row r="280" spans="1:17" ht="15" hidden="1" customHeight="1" x14ac:dyDescent="0.25">
      <c r="A280" t="s">
        <v>88</v>
      </c>
      <c r="B280" t="s">
        <v>290</v>
      </c>
      <c r="C280">
        <v>4</v>
      </c>
      <c r="D280" t="s">
        <v>40</v>
      </c>
      <c r="E280" t="s">
        <v>41</v>
      </c>
      <c r="F280" t="s">
        <v>303</v>
      </c>
      <c r="G280" t="s">
        <v>304</v>
      </c>
      <c r="H280" t="s">
        <v>313</v>
      </c>
      <c r="J280" t="s">
        <v>88</v>
      </c>
      <c r="K280" t="s">
        <v>45</v>
      </c>
      <c r="L280">
        <v>2510000</v>
      </c>
      <c r="M280" t="s">
        <v>46</v>
      </c>
      <c r="N280" t="s">
        <v>333</v>
      </c>
    </row>
    <row r="281" spans="1:17" ht="15" hidden="1" customHeight="1" x14ac:dyDescent="0.25">
      <c r="A281" t="s">
        <v>88</v>
      </c>
      <c r="B281" t="s">
        <v>290</v>
      </c>
      <c r="C281">
        <v>4</v>
      </c>
      <c r="D281" t="s">
        <v>74</v>
      </c>
      <c r="E281" t="s">
        <v>75</v>
      </c>
      <c r="F281" t="s">
        <v>42</v>
      </c>
      <c r="G281" t="s">
        <v>43</v>
      </c>
      <c r="J281" t="s">
        <v>76</v>
      </c>
      <c r="K281" t="s">
        <v>77</v>
      </c>
      <c r="L281">
        <v>2250000</v>
      </c>
      <c r="M281" t="s">
        <v>46</v>
      </c>
      <c r="N281" t="s">
        <v>315</v>
      </c>
      <c r="O281" t="s">
        <v>79</v>
      </c>
      <c r="P281" t="s">
        <v>103</v>
      </c>
      <c r="Q281" t="s">
        <v>104</v>
      </c>
    </row>
    <row r="282" spans="1:17" ht="15" hidden="1" customHeight="1" x14ac:dyDescent="0.25">
      <c r="A282" t="s">
        <v>88</v>
      </c>
      <c r="B282" t="s">
        <v>290</v>
      </c>
      <c r="C282">
        <v>4</v>
      </c>
      <c r="D282" t="s">
        <v>74</v>
      </c>
      <c r="E282" t="s">
        <v>75</v>
      </c>
      <c r="F282" t="s">
        <v>42</v>
      </c>
      <c r="G282" t="s">
        <v>43</v>
      </c>
      <c r="J282" t="s">
        <v>82</v>
      </c>
      <c r="K282" t="s">
        <v>77</v>
      </c>
      <c r="L282">
        <v>2290000</v>
      </c>
      <c r="M282" t="s">
        <v>46</v>
      </c>
      <c r="N282" t="s">
        <v>316</v>
      </c>
      <c r="O282" t="s">
        <v>79</v>
      </c>
      <c r="P282" t="s">
        <v>103</v>
      </c>
      <c r="Q282" t="s">
        <v>105</v>
      </c>
    </row>
    <row r="283" spans="1:17" ht="15" hidden="1" customHeight="1" x14ac:dyDescent="0.25">
      <c r="A283" t="s">
        <v>88</v>
      </c>
      <c r="B283" t="s">
        <v>290</v>
      </c>
      <c r="C283">
        <v>4</v>
      </c>
      <c r="D283" t="s">
        <v>74</v>
      </c>
      <c r="E283" t="s">
        <v>75</v>
      </c>
      <c r="F283" t="s">
        <v>42</v>
      </c>
      <c r="G283" t="s">
        <v>43</v>
      </c>
      <c r="J283" t="s">
        <v>38</v>
      </c>
      <c r="K283" t="s">
        <v>77</v>
      </c>
      <c r="L283">
        <v>2330000</v>
      </c>
      <c r="M283" t="s">
        <v>46</v>
      </c>
      <c r="N283" t="s">
        <v>317</v>
      </c>
      <c r="O283" t="s">
        <v>79</v>
      </c>
      <c r="P283" t="s">
        <v>103</v>
      </c>
    </row>
    <row r="284" spans="1:17" ht="15" hidden="1" customHeight="1" x14ac:dyDescent="0.25">
      <c r="A284" t="s">
        <v>88</v>
      </c>
      <c r="B284" t="s">
        <v>290</v>
      </c>
      <c r="C284">
        <v>4</v>
      </c>
      <c r="D284" t="s">
        <v>85</v>
      </c>
      <c r="E284" t="s">
        <v>86</v>
      </c>
      <c r="F284" t="s">
        <v>42</v>
      </c>
      <c r="G284" t="s">
        <v>43</v>
      </c>
      <c r="J284" t="s">
        <v>88</v>
      </c>
      <c r="K284" t="s">
        <v>45</v>
      </c>
      <c r="L284">
        <v>2590000</v>
      </c>
      <c r="M284" t="s">
        <v>46</v>
      </c>
      <c r="N284" t="s">
        <v>334</v>
      </c>
    </row>
    <row r="285" spans="1:17" ht="15" hidden="1" customHeight="1" x14ac:dyDescent="0.25">
      <c r="A285" t="s">
        <v>107</v>
      </c>
      <c r="B285" t="s">
        <v>290</v>
      </c>
      <c r="C285">
        <v>4</v>
      </c>
      <c r="D285" t="s">
        <v>40</v>
      </c>
      <c r="E285" t="s">
        <v>41</v>
      </c>
      <c r="F285" t="s">
        <v>42</v>
      </c>
      <c r="G285" t="s">
        <v>43</v>
      </c>
      <c r="H285" t="s">
        <v>44</v>
      </c>
      <c r="J285" t="s">
        <v>107</v>
      </c>
      <c r="K285" t="s">
        <v>45</v>
      </c>
      <c r="L285">
        <v>938100</v>
      </c>
      <c r="M285" t="s">
        <v>46</v>
      </c>
      <c r="N285" t="s">
        <v>335</v>
      </c>
    </row>
    <row r="286" spans="1:17" ht="15" hidden="1" customHeight="1" x14ac:dyDescent="0.25">
      <c r="A286" t="s">
        <v>107</v>
      </c>
      <c r="B286" t="s">
        <v>290</v>
      </c>
      <c r="C286">
        <v>4</v>
      </c>
      <c r="D286" t="s">
        <v>40</v>
      </c>
      <c r="E286" t="s">
        <v>41</v>
      </c>
      <c r="F286" t="s">
        <v>42</v>
      </c>
      <c r="G286" t="s">
        <v>43</v>
      </c>
      <c r="H286" t="s">
        <v>48</v>
      </c>
      <c r="J286" t="s">
        <v>107</v>
      </c>
      <c r="K286" t="s">
        <v>45</v>
      </c>
      <c r="L286">
        <v>668500</v>
      </c>
      <c r="M286" t="s">
        <v>46</v>
      </c>
      <c r="N286" t="s">
        <v>336</v>
      </c>
    </row>
    <row r="287" spans="1:17" ht="15" hidden="1" customHeight="1" x14ac:dyDescent="0.25">
      <c r="A287" t="s">
        <v>107</v>
      </c>
      <c r="B287" t="s">
        <v>290</v>
      </c>
      <c r="C287">
        <v>4</v>
      </c>
      <c r="D287" t="s">
        <v>40</v>
      </c>
      <c r="E287" t="s">
        <v>41</v>
      </c>
      <c r="F287" t="s">
        <v>42</v>
      </c>
      <c r="G287" t="s">
        <v>43</v>
      </c>
      <c r="H287" t="s">
        <v>50</v>
      </c>
      <c r="J287" t="s">
        <v>107</v>
      </c>
      <c r="K287" t="s">
        <v>45</v>
      </c>
      <c r="L287">
        <v>504500</v>
      </c>
      <c r="M287" t="s">
        <v>46</v>
      </c>
      <c r="N287" t="s">
        <v>337</v>
      </c>
    </row>
    <row r="288" spans="1:17" ht="15" hidden="1" customHeight="1" x14ac:dyDescent="0.25">
      <c r="A288" t="s">
        <v>107</v>
      </c>
      <c r="B288" t="s">
        <v>290</v>
      </c>
      <c r="C288">
        <v>4</v>
      </c>
      <c r="D288" t="s">
        <v>40</v>
      </c>
      <c r="E288" t="s">
        <v>41</v>
      </c>
      <c r="F288" t="s">
        <v>42</v>
      </c>
      <c r="G288" t="s">
        <v>43</v>
      </c>
      <c r="H288" t="s">
        <v>52</v>
      </c>
      <c r="J288" t="s">
        <v>107</v>
      </c>
      <c r="K288" t="s">
        <v>45</v>
      </c>
      <c r="L288">
        <v>317000</v>
      </c>
      <c r="M288" t="s">
        <v>46</v>
      </c>
      <c r="N288" t="s">
        <v>338</v>
      </c>
    </row>
    <row r="289" spans="1:16" ht="15" hidden="1" customHeight="1" x14ac:dyDescent="0.25">
      <c r="A289" t="s">
        <v>107</v>
      </c>
      <c r="B289" t="s">
        <v>290</v>
      </c>
      <c r="C289">
        <v>4</v>
      </c>
      <c r="D289" t="s">
        <v>40</v>
      </c>
      <c r="E289" t="s">
        <v>41</v>
      </c>
      <c r="F289" t="s">
        <v>42</v>
      </c>
      <c r="G289" t="s">
        <v>43</v>
      </c>
      <c r="H289" t="s">
        <v>54</v>
      </c>
      <c r="J289" t="s">
        <v>107</v>
      </c>
      <c r="K289" t="s">
        <v>45</v>
      </c>
      <c r="L289">
        <v>118400</v>
      </c>
      <c r="M289" t="s">
        <v>46</v>
      </c>
      <c r="N289" t="s">
        <v>339</v>
      </c>
    </row>
    <row r="290" spans="1:16" ht="15" hidden="1" customHeight="1" x14ac:dyDescent="0.25">
      <c r="A290" t="s">
        <v>107</v>
      </c>
      <c r="B290" t="s">
        <v>290</v>
      </c>
      <c r="C290">
        <v>4</v>
      </c>
      <c r="D290" t="s">
        <v>40</v>
      </c>
      <c r="E290" t="s">
        <v>41</v>
      </c>
      <c r="F290" t="s">
        <v>42</v>
      </c>
      <c r="G290" t="s">
        <v>43</v>
      </c>
      <c r="H290" t="s">
        <v>56</v>
      </c>
      <c r="J290" t="s">
        <v>107</v>
      </c>
      <c r="K290" t="s">
        <v>45</v>
      </c>
      <c r="L290">
        <v>36900</v>
      </c>
      <c r="M290" t="s">
        <v>46</v>
      </c>
      <c r="N290" t="s">
        <v>340</v>
      </c>
    </row>
    <row r="291" spans="1:16" ht="15" hidden="1" customHeight="1" x14ac:dyDescent="0.25">
      <c r="A291" t="s">
        <v>107</v>
      </c>
      <c r="B291" t="s">
        <v>290</v>
      </c>
      <c r="C291">
        <v>4</v>
      </c>
      <c r="D291" t="s">
        <v>40</v>
      </c>
      <c r="E291" t="s">
        <v>41</v>
      </c>
      <c r="F291" t="s">
        <v>42</v>
      </c>
      <c r="G291" t="s">
        <v>43</v>
      </c>
      <c r="H291" t="s">
        <v>58</v>
      </c>
      <c r="J291" t="s">
        <v>107</v>
      </c>
      <c r="K291" t="s">
        <v>45</v>
      </c>
      <c r="L291">
        <v>12500</v>
      </c>
      <c r="M291" t="s">
        <v>46</v>
      </c>
      <c r="N291" t="s">
        <v>341</v>
      </c>
    </row>
    <row r="292" spans="1:16" ht="15" hidden="1" customHeight="1" x14ac:dyDescent="0.25">
      <c r="A292" t="s">
        <v>107</v>
      </c>
      <c r="B292" t="s">
        <v>290</v>
      </c>
      <c r="C292">
        <v>4</v>
      </c>
      <c r="D292" t="s">
        <v>40</v>
      </c>
      <c r="E292" t="s">
        <v>41</v>
      </c>
      <c r="F292" t="s">
        <v>42</v>
      </c>
      <c r="G292" t="s">
        <v>43</v>
      </c>
      <c r="H292" t="s">
        <v>60</v>
      </c>
      <c r="J292" t="s">
        <v>107</v>
      </c>
      <c r="K292" t="s">
        <v>45</v>
      </c>
      <c r="L292">
        <v>1300</v>
      </c>
      <c r="M292" t="s">
        <v>46</v>
      </c>
      <c r="N292" t="s">
        <v>342</v>
      </c>
    </row>
    <row r="293" spans="1:16" ht="15" hidden="1" customHeight="1" x14ac:dyDescent="0.25">
      <c r="A293" t="s">
        <v>107</v>
      </c>
      <c r="B293" t="s">
        <v>290</v>
      </c>
      <c r="C293">
        <v>4</v>
      </c>
      <c r="D293" t="s">
        <v>40</v>
      </c>
      <c r="E293" t="s">
        <v>41</v>
      </c>
      <c r="F293" t="s">
        <v>42</v>
      </c>
      <c r="G293" t="s">
        <v>43</v>
      </c>
      <c r="H293" t="s">
        <v>62</v>
      </c>
      <c r="J293" t="s">
        <v>107</v>
      </c>
      <c r="K293" t="s">
        <v>45</v>
      </c>
      <c r="L293">
        <v>1300000</v>
      </c>
      <c r="M293" t="s">
        <v>46</v>
      </c>
      <c r="N293" t="s">
        <v>166</v>
      </c>
    </row>
    <row r="294" spans="1:16" ht="15" hidden="1" customHeight="1" x14ac:dyDescent="0.25">
      <c r="A294" t="s">
        <v>107</v>
      </c>
      <c r="B294" t="s">
        <v>290</v>
      </c>
      <c r="C294">
        <v>4</v>
      </c>
      <c r="D294" t="s">
        <v>40</v>
      </c>
      <c r="E294" t="s">
        <v>41</v>
      </c>
      <c r="F294" t="s">
        <v>42</v>
      </c>
      <c r="G294" t="s">
        <v>43</v>
      </c>
      <c r="H294" t="s">
        <v>66</v>
      </c>
      <c r="J294" t="s">
        <v>107</v>
      </c>
      <c r="K294" t="s">
        <v>45</v>
      </c>
      <c r="L294">
        <v>2290000</v>
      </c>
      <c r="M294" t="s">
        <v>46</v>
      </c>
      <c r="N294" t="s">
        <v>316</v>
      </c>
    </row>
    <row r="295" spans="1:16" ht="15" hidden="1" customHeight="1" x14ac:dyDescent="0.25">
      <c r="A295" t="s">
        <v>107</v>
      </c>
      <c r="B295" t="s">
        <v>290</v>
      </c>
      <c r="C295">
        <v>4</v>
      </c>
      <c r="D295" t="s">
        <v>40</v>
      </c>
      <c r="E295" t="s">
        <v>41</v>
      </c>
      <c r="F295" t="s">
        <v>42</v>
      </c>
      <c r="G295" t="s">
        <v>43</v>
      </c>
      <c r="H295" t="s">
        <v>70</v>
      </c>
      <c r="J295" t="s">
        <v>107</v>
      </c>
      <c r="K295" t="s">
        <v>45</v>
      </c>
      <c r="L295">
        <v>1300000</v>
      </c>
      <c r="M295" t="s">
        <v>46</v>
      </c>
      <c r="N295" t="s">
        <v>166</v>
      </c>
    </row>
    <row r="296" spans="1:16" ht="15" hidden="1" customHeight="1" x14ac:dyDescent="0.25">
      <c r="A296" t="s">
        <v>107</v>
      </c>
      <c r="B296" t="s">
        <v>290</v>
      </c>
      <c r="C296">
        <v>4</v>
      </c>
      <c r="D296" t="s">
        <v>40</v>
      </c>
      <c r="E296" t="s">
        <v>41</v>
      </c>
      <c r="F296" t="s">
        <v>42</v>
      </c>
      <c r="G296" t="s">
        <v>43</v>
      </c>
      <c r="H296" t="s">
        <v>72</v>
      </c>
      <c r="J296" t="s">
        <v>107</v>
      </c>
      <c r="K296" t="s">
        <v>45</v>
      </c>
      <c r="L296">
        <v>310000</v>
      </c>
      <c r="M296" t="s">
        <v>46</v>
      </c>
      <c r="N296" t="s">
        <v>343</v>
      </c>
    </row>
    <row r="297" spans="1:16" ht="15" hidden="1" customHeight="1" x14ac:dyDescent="0.25">
      <c r="A297" t="s">
        <v>107</v>
      </c>
      <c r="B297" t="s">
        <v>290</v>
      </c>
      <c r="C297">
        <v>4</v>
      </c>
      <c r="D297" t="s">
        <v>40</v>
      </c>
      <c r="E297" t="s">
        <v>41</v>
      </c>
      <c r="F297" t="s">
        <v>303</v>
      </c>
      <c r="G297" t="s">
        <v>304</v>
      </c>
      <c r="H297" t="s">
        <v>305</v>
      </c>
      <c r="J297" t="s">
        <v>107</v>
      </c>
      <c r="K297" t="s">
        <v>45</v>
      </c>
      <c r="L297">
        <v>918</v>
      </c>
      <c r="M297" t="s">
        <v>46</v>
      </c>
      <c r="N297" t="s">
        <v>344</v>
      </c>
    </row>
    <row r="298" spans="1:16" ht="15" hidden="1" customHeight="1" x14ac:dyDescent="0.25">
      <c r="A298" t="s">
        <v>107</v>
      </c>
      <c r="B298" t="s">
        <v>290</v>
      </c>
      <c r="C298">
        <v>4</v>
      </c>
      <c r="D298" t="s">
        <v>40</v>
      </c>
      <c r="E298" t="s">
        <v>41</v>
      </c>
      <c r="F298" t="s">
        <v>303</v>
      </c>
      <c r="G298" t="s">
        <v>304</v>
      </c>
      <c r="H298" t="s">
        <v>307</v>
      </c>
      <c r="J298" t="s">
        <v>107</v>
      </c>
      <c r="K298" t="s">
        <v>45</v>
      </c>
      <c r="L298">
        <v>1176</v>
      </c>
      <c r="M298" t="s">
        <v>46</v>
      </c>
      <c r="N298" t="s">
        <v>345</v>
      </c>
    </row>
    <row r="299" spans="1:16" ht="15" hidden="1" customHeight="1" x14ac:dyDescent="0.25">
      <c r="A299" t="s">
        <v>107</v>
      </c>
      <c r="B299" t="s">
        <v>290</v>
      </c>
      <c r="C299">
        <v>4</v>
      </c>
      <c r="D299" t="s">
        <v>40</v>
      </c>
      <c r="E299" t="s">
        <v>41</v>
      </c>
      <c r="F299" t="s">
        <v>303</v>
      </c>
      <c r="G299" t="s">
        <v>304</v>
      </c>
      <c r="H299" t="s">
        <v>309</v>
      </c>
      <c r="J299" t="s">
        <v>107</v>
      </c>
      <c r="K299" t="s">
        <v>45</v>
      </c>
      <c r="L299">
        <v>6</v>
      </c>
      <c r="M299" t="s">
        <v>46</v>
      </c>
      <c r="N299" t="s">
        <v>346</v>
      </c>
    </row>
    <row r="300" spans="1:16" ht="15" hidden="1" customHeight="1" x14ac:dyDescent="0.25">
      <c r="A300" t="s">
        <v>107</v>
      </c>
      <c r="B300" t="s">
        <v>290</v>
      </c>
      <c r="C300">
        <v>4</v>
      </c>
      <c r="D300" t="s">
        <v>40</v>
      </c>
      <c r="E300" t="s">
        <v>41</v>
      </c>
      <c r="F300" t="s">
        <v>303</v>
      </c>
      <c r="G300" t="s">
        <v>304</v>
      </c>
      <c r="H300" t="s">
        <v>311</v>
      </c>
      <c r="J300" t="s">
        <v>107</v>
      </c>
      <c r="K300" t="s">
        <v>45</v>
      </c>
      <c r="L300">
        <v>3329</v>
      </c>
      <c r="M300" t="s">
        <v>46</v>
      </c>
      <c r="N300" t="s">
        <v>347</v>
      </c>
    </row>
    <row r="301" spans="1:16" ht="15" hidden="1" customHeight="1" x14ac:dyDescent="0.25">
      <c r="A301" t="s">
        <v>107</v>
      </c>
      <c r="B301" t="s">
        <v>290</v>
      </c>
      <c r="C301">
        <v>4</v>
      </c>
      <c r="D301" t="s">
        <v>40</v>
      </c>
      <c r="E301" t="s">
        <v>41</v>
      </c>
      <c r="F301" t="s">
        <v>303</v>
      </c>
      <c r="G301" t="s">
        <v>304</v>
      </c>
      <c r="H301" t="s">
        <v>313</v>
      </c>
      <c r="J301" t="s">
        <v>107</v>
      </c>
      <c r="K301" t="s">
        <v>45</v>
      </c>
      <c r="L301">
        <v>2520000</v>
      </c>
      <c r="M301" t="s">
        <v>46</v>
      </c>
      <c r="N301" t="s">
        <v>348</v>
      </c>
    </row>
    <row r="302" spans="1:16" ht="15" hidden="1" customHeight="1" x14ac:dyDescent="0.25">
      <c r="A302" t="s">
        <v>107</v>
      </c>
      <c r="B302" t="s">
        <v>290</v>
      </c>
      <c r="C302">
        <v>4</v>
      </c>
      <c r="D302" t="s">
        <v>74</v>
      </c>
      <c r="E302" t="s">
        <v>75</v>
      </c>
      <c r="F302" t="s">
        <v>42</v>
      </c>
      <c r="G302" t="s">
        <v>43</v>
      </c>
      <c r="J302" t="s">
        <v>88</v>
      </c>
      <c r="K302" t="s">
        <v>77</v>
      </c>
      <c r="L302">
        <v>2590000</v>
      </c>
      <c r="M302" t="s">
        <v>46</v>
      </c>
      <c r="N302" t="s">
        <v>334</v>
      </c>
      <c r="O302" t="s">
        <v>79</v>
      </c>
      <c r="P302" t="s">
        <v>103</v>
      </c>
    </row>
    <row r="303" spans="1:16" ht="15" hidden="1" customHeight="1" x14ac:dyDescent="0.25">
      <c r="A303" t="s">
        <v>107</v>
      </c>
      <c r="B303" t="s">
        <v>290</v>
      </c>
      <c r="C303">
        <v>4</v>
      </c>
      <c r="D303" t="s">
        <v>85</v>
      </c>
      <c r="E303" t="s">
        <v>86</v>
      </c>
      <c r="F303" t="s">
        <v>42</v>
      </c>
      <c r="G303" t="s">
        <v>43</v>
      </c>
      <c r="J303" t="s">
        <v>107</v>
      </c>
      <c r="K303" t="s">
        <v>45</v>
      </c>
      <c r="L303">
        <v>2600000</v>
      </c>
      <c r="M303" t="s">
        <v>46</v>
      </c>
      <c r="N303" t="s">
        <v>349</v>
      </c>
    </row>
    <row r="304" spans="1:16" ht="15" hidden="1" customHeight="1" x14ac:dyDescent="0.25">
      <c r="A304" t="s">
        <v>122</v>
      </c>
      <c r="B304" t="s">
        <v>290</v>
      </c>
      <c r="C304">
        <v>4</v>
      </c>
      <c r="D304" t="s">
        <v>40</v>
      </c>
      <c r="E304" t="s">
        <v>41</v>
      </c>
      <c r="F304" t="s">
        <v>42</v>
      </c>
      <c r="G304" t="s">
        <v>43</v>
      </c>
      <c r="H304" t="s">
        <v>44</v>
      </c>
      <c r="J304" t="s">
        <v>122</v>
      </c>
      <c r="K304" t="s">
        <v>45</v>
      </c>
      <c r="L304">
        <v>951500</v>
      </c>
      <c r="M304" t="s">
        <v>46</v>
      </c>
      <c r="N304" t="s">
        <v>350</v>
      </c>
    </row>
    <row r="305" spans="1:14" ht="15" hidden="1" customHeight="1" x14ac:dyDescent="0.25">
      <c r="A305" t="s">
        <v>122</v>
      </c>
      <c r="B305" t="s">
        <v>290</v>
      </c>
      <c r="C305">
        <v>4</v>
      </c>
      <c r="D305" t="s">
        <v>40</v>
      </c>
      <c r="E305" t="s">
        <v>41</v>
      </c>
      <c r="F305" t="s">
        <v>42</v>
      </c>
      <c r="G305" t="s">
        <v>43</v>
      </c>
      <c r="H305" t="s">
        <v>48</v>
      </c>
      <c r="J305" t="s">
        <v>122</v>
      </c>
      <c r="K305" t="s">
        <v>45</v>
      </c>
      <c r="L305">
        <v>685800</v>
      </c>
      <c r="M305" t="s">
        <v>46</v>
      </c>
      <c r="N305" t="s">
        <v>351</v>
      </c>
    </row>
    <row r="306" spans="1:14" ht="15" hidden="1" customHeight="1" x14ac:dyDescent="0.25">
      <c r="A306" t="s">
        <v>122</v>
      </c>
      <c r="B306" t="s">
        <v>290</v>
      </c>
      <c r="C306">
        <v>4</v>
      </c>
      <c r="D306" t="s">
        <v>40</v>
      </c>
      <c r="E306" t="s">
        <v>41</v>
      </c>
      <c r="F306" t="s">
        <v>42</v>
      </c>
      <c r="G306" t="s">
        <v>43</v>
      </c>
      <c r="H306" t="s">
        <v>50</v>
      </c>
      <c r="J306" t="s">
        <v>122</v>
      </c>
      <c r="K306" t="s">
        <v>45</v>
      </c>
      <c r="L306">
        <v>518800</v>
      </c>
      <c r="M306" t="s">
        <v>46</v>
      </c>
      <c r="N306" t="s">
        <v>352</v>
      </c>
    </row>
    <row r="307" spans="1:14" ht="15" hidden="1" customHeight="1" x14ac:dyDescent="0.25">
      <c r="A307" t="s">
        <v>122</v>
      </c>
      <c r="B307" t="s">
        <v>290</v>
      </c>
      <c r="C307">
        <v>4</v>
      </c>
      <c r="D307" t="s">
        <v>40</v>
      </c>
      <c r="E307" t="s">
        <v>41</v>
      </c>
      <c r="F307" t="s">
        <v>42</v>
      </c>
      <c r="G307" t="s">
        <v>43</v>
      </c>
      <c r="H307" t="s">
        <v>52</v>
      </c>
      <c r="J307" t="s">
        <v>122</v>
      </c>
      <c r="K307" t="s">
        <v>45</v>
      </c>
      <c r="L307">
        <v>326600</v>
      </c>
      <c r="M307" t="s">
        <v>46</v>
      </c>
      <c r="N307" t="s">
        <v>353</v>
      </c>
    </row>
    <row r="308" spans="1:14" ht="15" hidden="1" customHeight="1" x14ac:dyDescent="0.25">
      <c r="A308" t="s">
        <v>122</v>
      </c>
      <c r="B308" t="s">
        <v>290</v>
      </c>
      <c r="C308">
        <v>4</v>
      </c>
      <c r="D308" t="s">
        <v>40</v>
      </c>
      <c r="E308" t="s">
        <v>41</v>
      </c>
      <c r="F308" t="s">
        <v>42</v>
      </c>
      <c r="G308" t="s">
        <v>43</v>
      </c>
      <c r="H308" t="s">
        <v>54</v>
      </c>
      <c r="J308" t="s">
        <v>122</v>
      </c>
      <c r="K308" t="s">
        <v>45</v>
      </c>
      <c r="L308">
        <v>123000</v>
      </c>
      <c r="M308" t="s">
        <v>46</v>
      </c>
      <c r="N308" t="s">
        <v>354</v>
      </c>
    </row>
    <row r="309" spans="1:14" ht="15" hidden="1" customHeight="1" x14ac:dyDescent="0.25">
      <c r="A309" t="s">
        <v>122</v>
      </c>
      <c r="B309" t="s">
        <v>290</v>
      </c>
      <c r="C309">
        <v>4</v>
      </c>
      <c r="D309" t="s">
        <v>40</v>
      </c>
      <c r="E309" t="s">
        <v>41</v>
      </c>
      <c r="F309" t="s">
        <v>42</v>
      </c>
      <c r="G309" t="s">
        <v>43</v>
      </c>
      <c r="H309" t="s">
        <v>56</v>
      </c>
      <c r="J309" t="s">
        <v>122</v>
      </c>
      <c r="K309" t="s">
        <v>45</v>
      </c>
      <c r="L309">
        <v>37500</v>
      </c>
      <c r="M309" t="s">
        <v>46</v>
      </c>
      <c r="N309" t="s">
        <v>355</v>
      </c>
    </row>
    <row r="310" spans="1:14" ht="15" hidden="1" customHeight="1" x14ac:dyDescent="0.25">
      <c r="A310" t="s">
        <v>122</v>
      </c>
      <c r="B310" t="s">
        <v>290</v>
      </c>
      <c r="C310">
        <v>4</v>
      </c>
      <c r="D310" t="s">
        <v>40</v>
      </c>
      <c r="E310" t="s">
        <v>41</v>
      </c>
      <c r="F310" t="s">
        <v>42</v>
      </c>
      <c r="G310" t="s">
        <v>43</v>
      </c>
      <c r="H310" t="s">
        <v>58</v>
      </c>
      <c r="J310" t="s">
        <v>122</v>
      </c>
      <c r="K310" t="s">
        <v>45</v>
      </c>
      <c r="L310">
        <v>13900</v>
      </c>
      <c r="M310" t="s">
        <v>46</v>
      </c>
      <c r="N310" t="s">
        <v>356</v>
      </c>
    </row>
    <row r="311" spans="1:14" ht="15" hidden="1" customHeight="1" x14ac:dyDescent="0.25">
      <c r="A311" t="s">
        <v>122</v>
      </c>
      <c r="B311" t="s">
        <v>290</v>
      </c>
      <c r="C311">
        <v>4</v>
      </c>
      <c r="D311" t="s">
        <v>40</v>
      </c>
      <c r="E311" t="s">
        <v>41</v>
      </c>
      <c r="F311" t="s">
        <v>42</v>
      </c>
      <c r="G311" t="s">
        <v>43</v>
      </c>
      <c r="H311" t="s">
        <v>60</v>
      </c>
      <c r="J311" t="s">
        <v>122</v>
      </c>
      <c r="K311" t="s">
        <v>45</v>
      </c>
      <c r="L311">
        <v>1000</v>
      </c>
      <c r="M311" t="s">
        <v>46</v>
      </c>
      <c r="N311" t="s">
        <v>357</v>
      </c>
    </row>
    <row r="312" spans="1:14" ht="15" hidden="1" customHeight="1" x14ac:dyDescent="0.25">
      <c r="A312" t="s">
        <v>122</v>
      </c>
      <c r="B312" t="s">
        <v>290</v>
      </c>
      <c r="C312">
        <v>4</v>
      </c>
      <c r="D312" t="s">
        <v>40</v>
      </c>
      <c r="E312" t="s">
        <v>41</v>
      </c>
      <c r="F312" t="s">
        <v>42</v>
      </c>
      <c r="G312" t="s">
        <v>43</v>
      </c>
      <c r="H312" t="s">
        <v>62</v>
      </c>
      <c r="J312" t="s">
        <v>122</v>
      </c>
      <c r="K312" t="s">
        <v>45</v>
      </c>
      <c r="L312">
        <v>1290000</v>
      </c>
      <c r="M312" t="s">
        <v>46</v>
      </c>
      <c r="N312" t="s">
        <v>358</v>
      </c>
    </row>
    <row r="313" spans="1:14" ht="15" hidden="1" customHeight="1" x14ac:dyDescent="0.25">
      <c r="A313" t="s">
        <v>122</v>
      </c>
      <c r="B313" t="s">
        <v>290</v>
      </c>
      <c r="C313">
        <v>4</v>
      </c>
      <c r="D313" t="s">
        <v>40</v>
      </c>
      <c r="E313" t="s">
        <v>41</v>
      </c>
      <c r="F313" t="s">
        <v>42</v>
      </c>
      <c r="G313" t="s">
        <v>43</v>
      </c>
      <c r="H313" t="s">
        <v>66</v>
      </c>
      <c r="J313" t="s">
        <v>122</v>
      </c>
      <c r="K313" t="s">
        <v>45</v>
      </c>
      <c r="L313">
        <v>2350000</v>
      </c>
      <c r="M313" t="s">
        <v>46</v>
      </c>
      <c r="N313" t="s">
        <v>359</v>
      </c>
    </row>
    <row r="314" spans="1:14" ht="15" hidden="1" customHeight="1" x14ac:dyDescent="0.25">
      <c r="A314" t="s">
        <v>122</v>
      </c>
      <c r="B314" t="s">
        <v>290</v>
      </c>
      <c r="C314">
        <v>4</v>
      </c>
      <c r="D314" t="s">
        <v>40</v>
      </c>
      <c r="E314" t="s">
        <v>41</v>
      </c>
      <c r="F314" t="s">
        <v>42</v>
      </c>
      <c r="G314" t="s">
        <v>43</v>
      </c>
      <c r="H314" t="s">
        <v>70</v>
      </c>
      <c r="J314" t="s">
        <v>122</v>
      </c>
      <c r="K314" t="s">
        <v>45</v>
      </c>
      <c r="L314">
        <v>1360000</v>
      </c>
      <c r="M314" t="s">
        <v>46</v>
      </c>
      <c r="N314" t="s">
        <v>360</v>
      </c>
    </row>
    <row r="315" spans="1:14" ht="15" hidden="1" customHeight="1" x14ac:dyDescent="0.25">
      <c r="A315" t="s">
        <v>122</v>
      </c>
      <c r="B315" t="s">
        <v>290</v>
      </c>
      <c r="C315">
        <v>4</v>
      </c>
      <c r="D315" t="s">
        <v>40</v>
      </c>
      <c r="E315" t="s">
        <v>41</v>
      </c>
      <c r="F315" t="s">
        <v>42</v>
      </c>
      <c r="G315" t="s">
        <v>43</v>
      </c>
      <c r="H315" t="s">
        <v>72</v>
      </c>
      <c r="J315" t="s">
        <v>122</v>
      </c>
      <c r="K315" t="s">
        <v>45</v>
      </c>
      <c r="L315">
        <v>320000</v>
      </c>
      <c r="M315" t="s">
        <v>46</v>
      </c>
      <c r="N315" t="s">
        <v>361</v>
      </c>
    </row>
    <row r="316" spans="1:14" ht="15" hidden="1" customHeight="1" x14ac:dyDescent="0.25">
      <c r="A316" t="s">
        <v>122</v>
      </c>
      <c r="B316" t="s">
        <v>290</v>
      </c>
      <c r="C316">
        <v>4</v>
      </c>
      <c r="D316" t="s">
        <v>40</v>
      </c>
      <c r="E316" t="s">
        <v>41</v>
      </c>
      <c r="F316" t="s">
        <v>303</v>
      </c>
      <c r="G316" t="s">
        <v>304</v>
      </c>
      <c r="H316" t="s">
        <v>305</v>
      </c>
      <c r="J316" t="s">
        <v>122</v>
      </c>
      <c r="K316" t="s">
        <v>45</v>
      </c>
      <c r="L316">
        <v>962</v>
      </c>
      <c r="M316" t="s">
        <v>46</v>
      </c>
      <c r="N316" t="s">
        <v>362</v>
      </c>
    </row>
    <row r="317" spans="1:14" ht="15" hidden="1" customHeight="1" x14ac:dyDescent="0.25">
      <c r="A317" t="s">
        <v>122</v>
      </c>
      <c r="B317" t="s">
        <v>290</v>
      </c>
      <c r="C317">
        <v>4</v>
      </c>
      <c r="D317" t="s">
        <v>40</v>
      </c>
      <c r="E317" t="s">
        <v>41</v>
      </c>
      <c r="F317" t="s">
        <v>303</v>
      </c>
      <c r="G317" t="s">
        <v>304</v>
      </c>
      <c r="H317" t="s">
        <v>307</v>
      </c>
      <c r="J317" t="s">
        <v>122</v>
      </c>
      <c r="K317" t="s">
        <v>45</v>
      </c>
      <c r="L317">
        <v>1262</v>
      </c>
      <c r="M317" t="s">
        <v>46</v>
      </c>
      <c r="N317" t="s">
        <v>363</v>
      </c>
    </row>
    <row r="318" spans="1:14" ht="15" hidden="1" customHeight="1" x14ac:dyDescent="0.25">
      <c r="A318" t="s">
        <v>122</v>
      </c>
      <c r="B318" t="s">
        <v>290</v>
      </c>
      <c r="C318">
        <v>4</v>
      </c>
      <c r="D318" t="s">
        <v>40</v>
      </c>
      <c r="E318" t="s">
        <v>41</v>
      </c>
      <c r="F318" t="s">
        <v>303</v>
      </c>
      <c r="G318" t="s">
        <v>304</v>
      </c>
      <c r="H318" t="s">
        <v>309</v>
      </c>
      <c r="J318" t="s">
        <v>122</v>
      </c>
      <c r="K318" t="s">
        <v>45</v>
      </c>
      <c r="L318">
        <v>7</v>
      </c>
      <c r="M318" t="s">
        <v>46</v>
      </c>
      <c r="N318" t="s">
        <v>331</v>
      </c>
    </row>
    <row r="319" spans="1:14" ht="15" hidden="1" customHeight="1" x14ac:dyDescent="0.25">
      <c r="A319" t="s">
        <v>122</v>
      </c>
      <c r="B319" t="s">
        <v>290</v>
      </c>
      <c r="C319">
        <v>4</v>
      </c>
      <c r="D319" t="s">
        <v>40</v>
      </c>
      <c r="E319" t="s">
        <v>41</v>
      </c>
      <c r="F319" t="s">
        <v>303</v>
      </c>
      <c r="G319" t="s">
        <v>304</v>
      </c>
      <c r="H319" t="s">
        <v>311</v>
      </c>
      <c r="J319" t="s">
        <v>122</v>
      </c>
      <c r="K319" t="s">
        <v>45</v>
      </c>
      <c r="L319">
        <v>3465</v>
      </c>
      <c r="M319" t="s">
        <v>46</v>
      </c>
      <c r="N319" t="s">
        <v>364</v>
      </c>
    </row>
    <row r="320" spans="1:14" ht="15" hidden="1" customHeight="1" x14ac:dyDescent="0.25">
      <c r="A320" t="s">
        <v>122</v>
      </c>
      <c r="B320" t="s">
        <v>290</v>
      </c>
      <c r="C320">
        <v>4</v>
      </c>
      <c r="D320" t="s">
        <v>40</v>
      </c>
      <c r="E320" t="s">
        <v>41</v>
      </c>
      <c r="F320" t="s">
        <v>303</v>
      </c>
      <c r="G320" t="s">
        <v>304</v>
      </c>
      <c r="H320" t="s">
        <v>313</v>
      </c>
      <c r="J320" t="s">
        <v>122</v>
      </c>
      <c r="K320" t="s">
        <v>45</v>
      </c>
      <c r="L320">
        <v>2610000</v>
      </c>
      <c r="M320" t="s">
        <v>46</v>
      </c>
      <c r="N320" t="s">
        <v>365</v>
      </c>
    </row>
    <row r="321" spans="1:16" ht="15" hidden="1" customHeight="1" x14ac:dyDescent="0.25">
      <c r="A321" t="s">
        <v>122</v>
      </c>
      <c r="B321" t="s">
        <v>290</v>
      </c>
      <c r="C321">
        <v>4</v>
      </c>
      <c r="D321" t="s">
        <v>74</v>
      </c>
      <c r="E321" t="s">
        <v>75</v>
      </c>
      <c r="F321" t="s">
        <v>42</v>
      </c>
      <c r="G321" t="s">
        <v>43</v>
      </c>
      <c r="J321" t="s">
        <v>107</v>
      </c>
      <c r="K321" t="s">
        <v>77</v>
      </c>
      <c r="L321">
        <v>2600000</v>
      </c>
      <c r="M321" t="s">
        <v>46</v>
      </c>
      <c r="N321" t="s">
        <v>349</v>
      </c>
      <c r="O321" t="s">
        <v>79</v>
      </c>
      <c r="P321" t="s">
        <v>103</v>
      </c>
    </row>
    <row r="322" spans="1:16" ht="15" hidden="1" customHeight="1" x14ac:dyDescent="0.25">
      <c r="A322" t="s">
        <v>122</v>
      </c>
      <c r="B322" t="s">
        <v>290</v>
      </c>
      <c r="C322">
        <v>4</v>
      </c>
      <c r="D322" t="s">
        <v>85</v>
      </c>
      <c r="E322" t="s">
        <v>86</v>
      </c>
      <c r="F322" t="s">
        <v>42</v>
      </c>
      <c r="G322" t="s">
        <v>43</v>
      </c>
      <c r="J322" t="s">
        <v>122</v>
      </c>
      <c r="K322" t="s">
        <v>45</v>
      </c>
      <c r="L322">
        <v>2670000</v>
      </c>
      <c r="M322" t="s">
        <v>46</v>
      </c>
      <c r="N322" t="s">
        <v>366</v>
      </c>
    </row>
    <row r="323" spans="1:16" ht="15" hidden="1" customHeight="1" x14ac:dyDescent="0.25">
      <c r="A323" t="s">
        <v>138</v>
      </c>
      <c r="B323" t="s">
        <v>290</v>
      </c>
      <c r="C323">
        <v>4</v>
      </c>
      <c r="D323" t="s">
        <v>40</v>
      </c>
      <c r="E323" t="s">
        <v>41</v>
      </c>
      <c r="F323" t="s">
        <v>42</v>
      </c>
      <c r="G323" t="s">
        <v>43</v>
      </c>
      <c r="H323" t="s">
        <v>44</v>
      </c>
      <c r="J323" t="s">
        <v>138</v>
      </c>
      <c r="K323" t="s">
        <v>45</v>
      </c>
      <c r="L323">
        <v>976500</v>
      </c>
      <c r="M323" t="s">
        <v>46</v>
      </c>
      <c r="N323" t="s">
        <v>367</v>
      </c>
    </row>
    <row r="324" spans="1:16" ht="15" hidden="1" customHeight="1" x14ac:dyDescent="0.25">
      <c r="A324" t="s">
        <v>138</v>
      </c>
      <c r="B324" t="s">
        <v>290</v>
      </c>
      <c r="C324">
        <v>4</v>
      </c>
      <c r="D324" t="s">
        <v>40</v>
      </c>
      <c r="E324" t="s">
        <v>41</v>
      </c>
      <c r="F324" t="s">
        <v>42</v>
      </c>
      <c r="G324" t="s">
        <v>43</v>
      </c>
      <c r="H324" t="s">
        <v>48</v>
      </c>
      <c r="J324" t="s">
        <v>138</v>
      </c>
      <c r="K324" t="s">
        <v>45</v>
      </c>
      <c r="L324">
        <v>693600</v>
      </c>
      <c r="M324" t="s">
        <v>46</v>
      </c>
      <c r="N324" t="s">
        <v>368</v>
      </c>
    </row>
    <row r="325" spans="1:16" ht="15" hidden="1" customHeight="1" x14ac:dyDescent="0.25">
      <c r="A325" t="s">
        <v>138</v>
      </c>
      <c r="B325" t="s">
        <v>290</v>
      </c>
      <c r="C325">
        <v>4</v>
      </c>
      <c r="D325" t="s">
        <v>40</v>
      </c>
      <c r="E325" t="s">
        <v>41</v>
      </c>
      <c r="F325" t="s">
        <v>42</v>
      </c>
      <c r="G325" t="s">
        <v>43</v>
      </c>
      <c r="H325" t="s">
        <v>50</v>
      </c>
      <c r="J325" t="s">
        <v>138</v>
      </c>
      <c r="K325" t="s">
        <v>45</v>
      </c>
      <c r="L325">
        <v>521600</v>
      </c>
      <c r="M325" t="s">
        <v>46</v>
      </c>
      <c r="N325" t="s">
        <v>369</v>
      </c>
    </row>
    <row r="326" spans="1:16" ht="15" hidden="1" customHeight="1" x14ac:dyDescent="0.25">
      <c r="A326" t="s">
        <v>138</v>
      </c>
      <c r="B326" t="s">
        <v>290</v>
      </c>
      <c r="C326">
        <v>4</v>
      </c>
      <c r="D326" t="s">
        <v>40</v>
      </c>
      <c r="E326" t="s">
        <v>41</v>
      </c>
      <c r="F326" t="s">
        <v>42</v>
      </c>
      <c r="G326" t="s">
        <v>43</v>
      </c>
      <c r="H326" t="s">
        <v>52</v>
      </c>
      <c r="J326" t="s">
        <v>138</v>
      </c>
      <c r="K326" t="s">
        <v>45</v>
      </c>
      <c r="L326">
        <v>325500</v>
      </c>
      <c r="M326" t="s">
        <v>46</v>
      </c>
      <c r="N326" t="s">
        <v>370</v>
      </c>
    </row>
    <row r="327" spans="1:16" ht="15" hidden="1" customHeight="1" x14ac:dyDescent="0.25">
      <c r="A327" t="s">
        <v>138</v>
      </c>
      <c r="B327" t="s">
        <v>290</v>
      </c>
      <c r="C327">
        <v>4</v>
      </c>
      <c r="D327" t="s">
        <v>40</v>
      </c>
      <c r="E327" t="s">
        <v>41</v>
      </c>
      <c r="F327" t="s">
        <v>42</v>
      </c>
      <c r="G327" t="s">
        <v>43</v>
      </c>
      <c r="H327" t="s">
        <v>54</v>
      </c>
      <c r="J327" t="s">
        <v>138</v>
      </c>
      <c r="K327" t="s">
        <v>45</v>
      </c>
      <c r="L327">
        <v>123000</v>
      </c>
      <c r="M327" t="s">
        <v>46</v>
      </c>
      <c r="N327" t="s">
        <v>354</v>
      </c>
    </row>
    <row r="328" spans="1:16" ht="15" hidden="1" customHeight="1" x14ac:dyDescent="0.25">
      <c r="A328" t="s">
        <v>138</v>
      </c>
      <c r="B328" t="s">
        <v>290</v>
      </c>
      <c r="C328">
        <v>4</v>
      </c>
      <c r="D328" t="s">
        <v>40</v>
      </c>
      <c r="E328" t="s">
        <v>41</v>
      </c>
      <c r="F328" t="s">
        <v>42</v>
      </c>
      <c r="G328" t="s">
        <v>43</v>
      </c>
      <c r="H328" t="s">
        <v>56</v>
      </c>
      <c r="J328" t="s">
        <v>138</v>
      </c>
      <c r="K328" t="s">
        <v>45</v>
      </c>
      <c r="L328">
        <v>35800</v>
      </c>
      <c r="M328" t="s">
        <v>46</v>
      </c>
      <c r="N328" t="s">
        <v>371</v>
      </c>
    </row>
    <row r="329" spans="1:16" ht="15" hidden="1" customHeight="1" x14ac:dyDescent="0.25">
      <c r="A329" t="s">
        <v>138</v>
      </c>
      <c r="B329" t="s">
        <v>290</v>
      </c>
      <c r="C329">
        <v>4</v>
      </c>
      <c r="D329" t="s">
        <v>40</v>
      </c>
      <c r="E329" t="s">
        <v>41</v>
      </c>
      <c r="F329" t="s">
        <v>42</v>
      </c>
      <c r="G329" t="s">
        <v>43</v>
      </c>
      <c r="H329" t="s">
        <v>58</v>
      </c>
      <c r="J329" t="s">
        <v>138</v>
      </c>
      <c r="K329" t="s">
        <v>45</v>
      </c>
      <c r="L329">
        <v>12700</v>
      </c>
      <c r="M329" t="s">
        <v>46</v>
      </c>
      <c r="N329" t="s">
        <v>372</v>
      </c>
    </row>
    <row r="330" spans="1:16" ht="15" hidden="1" customHeight="1" x14ac:dyDescent="0.25">
      <c r="A330" t="s">
        <v>138</v>
      </c>
      <c r="B330" t="s">
        <v>290</v>
      </c>
      <c r="C330">
        <v>4</v>
      </c>
      <c r="D330" t="s">
        <v>40</v>
      </c>
      <c r="E330" t="s">
        <v>41</v>
      </c>
      <c r="F330" t="s">
        <v>42</v>
      </c>
      <c r="G330" t="s">
        <v>43</v>
      </c>
      <c r="H330" t="s">
        <v>60</v>
      </c>
      <c r="J330" t="s">
        <v>138</v>
      </c>
      <c r="K330" t="s">
        <v>45</v>
      </c>
      <c r="L330">
        <v>1000</v>
      </c>
      <c r="M330" t="s">
        <v>46</v>
      </c>
      <c r="N330" t="s">
        <v>357</v>
      </c>
    </row>
    <row r="331" spans="1:16" ht="15" hidden="1" customHeight="1" x14ac:dyDescent="0.25">
      <c r="A331" t="s">
        <v>138</v>
      </c>
      <c r="B331" t="s">
        <v>290</v>
      </c>
      <c r="C331">
        <v>4</v>
      </c>
      <c r="D331" t="s">
        <v>40</v>
      </c>
      <c r="E331" t="s">
        <v>41</v>
      </c>
      <c r="F331" t="s">
        <v>42</v>
      </c>
      <c r="G331" t="s">
        <v>43</v>
      </c>
      <c r="H331" t="s">
        <v>62</v>
      </c>
      <c r="J331" t="s">
        <v>138</v>
      </c>
      <c r="K331" t="s">
        <v>45</v>
      </c>
      <c r="L331">
        <v>1280000</v>
      </c>
      <c r="M331" t="s">
        <v>46</v>
      </c>
      <c r="N331" t="s">
        <v>373</v>
      </c>
    </row>
    <row r="332" spans="1:16" ht="15" hidden="1" customHeight="1" x14ac:dyDescent="0.25">
      <c r="A332" t="s">
        <v>138</v>
      </c>
      <c r="B332" t="s">
        <v>290</v>
      </c>
      <c r="C332">
        <v>4</v>
      </c>
      <c r="D332" t="s">
        <v>40</v>
      </c>
      <c r="E332" t="s">
        <v>41</v>
      </c>
      <c r="F332" t="s">
        <v>42</v>
      </c>
      <c r="G332" t="s">
        <v>43</v>
      </c>
      <c r="H332" t="s">
        <v>66</v>
      </c>
      <c r="J332" t="s">
        <v>138</v>
      </c>
      <c r="K332" t="s">
        <v>45</v>
      </c>
      <c r="L332">
        <v>2370000</v>
      </c>
      <c r="M332" t="s">
        <v>46</v>
      </c>
      <c r="N332" t="s">
        <v>374</v>
      </c>
    </row>
    <row r="333" spans="1:16" ht="15" hidden="1" customHeight="1" x14ac:dyDescent="0.25">
      <c r="A333" t="s">
        <v>138</v>
      </c>
      <c r="B333" t="s">
        <v>290</v>
      </c>
      <c r="C333">
        <v>4</v>
      </c>
      <c r="D333" t="s">
        <v>40</v>
      </c>
      <c r="E333" t="s">
        <v>41</v>
      </c>
      <c r="F333" t="s">
        <v>42</v>
      </c>
      <c r="G333" t="s">
        <v>43</v>
      </c>
      <c r="H333" t="s">
        <v>70</v>
      </c>
      <c r="J333" t="s">
        <v>138</v>
      </c>
      <c r="K333" t="s">
        <v>45</v>
      </c>
      <c r="L333">
        <v>1410000</v>
      </c>
      <c r="M333" t="s">
        <v>46</v>
      </c>
      <c r="N333" t="s">
        <v>375</v>
      </c>
    </row>
    <row r="334" spans="1:16" ht="15" hidden="1" customHeight="1" x14ac:dyDescent="0.25">
      <c r="A334" t="s">
        <v>138</v>
      </c>
      <c r="B334" t="s">
        <v>290</v>
      </c>
      <c r="C334">
        <v>4</v>
      </c>
      <c r="D334" t="s">
        <v>40</v>
      </c>
      <c r="E334" t="s">
        <v>41</v>
      </c>
      <c r="F334" t="s">
        <v>42</v>
      </c>
      <c r="G334" t="s">
        <v>43</v>
      </c>
      <c r="H334" t="s">
        <v>72</v>
      </c>
      <c r="J334" t="s">
        <v>138</v>
      </c>
      <c r="K334" t="s">
        <v>45</v>
      </c>
      <c r="L334">
        <v>330000</v>
      </c>
      <c r="M334" t="s">
        <v>46</v>
      </c>
      <c r="N334" t="s">
        <v>376</v>
      </c>
    </row>
    <row r="335" spans="1:16" ht="15" hidden="1" customHeight="1" x14ac:dyDescent="0.25">
      <c r="A335" t="s">
        <v>138</v>
      </c>
      <c r="B335" t="s">
        <v>290</v>
      </c>
      <c r="C335">
        <v>4</v>
      </c>
      <c r="D335" t="s">
        <v>40</v>
      </c>
      <c r="E335" t="s">
        <v>41</v>
      </c>
      <c r="F335" t="s">
        <v>303</v>
      </c>
      <c r="G335" t="s">
        <v>304</v>
      </c>
      <c r="H335" t="s">
        <v>305</v>
      </c>
      <c r="J335" t="s">
        <v>138</v>
      </c>
      <c r="K335" t="s">
        <v>45</v>
      </c>
      <c r="L335">
        <v>992</v>
      </c>
      <c r="M335" t="s">
        <v>46</v>
      </c>
      <c r="N335" t="s">
        <v>377</v>
      </c>
    </row>
    <row r="336" spans="1:16" ht="15" hidden="1" customHeight="1" x14ac:dyDescent="0.25">
      <c r="A336" t="s">
        <v>138</v>
      </c>
      <c r="B336" t="s">
        <v>290</v>
      </c>
      <c r="C336">
        <v>4</v>
      </c>
      <c r="D336" t="s">
        <v>40</v>
      </c>
      <c r="E336" t="s">
        <v>41</v>
      </c>
      <c r="F336" t="s">
        <v>303</v>
      </c>
      <c r="G336" t="s">
        <v>304</v>
      </c>
      <c r="H336" t="s">
        <v>307</v>
      </c>
      <c r="J336" t="s">
        <v>138</v>
      </c>
      <c r="K336" t="s">
        <v>45</v>
      </c>
      <c r="L336">
        <v>1388</v>
      </c>
      <c r="M336" t="s">
        <v>46</v>
      </c>
      <c r="N336" t="s">
        <v>378</v>
      </c>
    </row>
    <row r="337" spans="1:16" ht="15" hidden="1" customHeight="1" x14ac:dyDescent="0.25">
      <c r="A337" t="s">
        <v>138</v>
      </c>
      <c r="B337" t="s">
        <v>290</v>
      </c>
      <c r="C337">
        <v>4</v>
      </c>
      <c r="D337" t="s">
        <v>40</v>
      </c>
      <c r="E337" t="s">
        <v>41</v>
      </c>
      <c r="F337" t="s">
        <v>303</v>
      </c>
      <c r="G337" t="s">
        <v>304</v>
      </c>
      <c r="H337" t="s">
        <v>309</v>
      </c>
      <c r="J337" t="s">
        <v>138</v>
      </c>
      <c r="K337" t="s">
        <v>45</v>
      </c>
      <c r="L337">
        <v>7</v>
      </c>
      <c r="M337" t="s">
        <v>46</v>
      </c>
      <c r="N337" t="s">
        <v>331</v>
      </c>
    </row>
    <row r="338" spans="1:16" ht="15" hidden="1" customHeight="1" x14ac:dyDescent="0.25">
      <c r="A338" t="s">
        <v>138</v>
      </c>
      <c r="B338" t="s">
        <v>290</v>
      </c>
      <c r="C338">
        <v>4</v>
      </c>
      <c r="D338" t="s">
        <v>40</v>
      </c>
      <c r="E338" t="s">
        <v>41</v>
      </c>
      <c r="F338" t="s">
        <v>303</v>
      </c>
      <c r="G338" t="s">
        <v>304</v>
      </c>
      <c r="H338" t="s">
        <v>311</v>
      </c>
      <c r="J338" t="s">
        <v>138</v>
      </c>
      <c r="K338" t="s">
        <v>45</v>
      </c>
      <c r="L338">
        <v>3574</v>
      </c>
      <c r="M338" t="s">
        <v>46</v>
      </c>
      <c r="N338" t="s">
        <v>379</v>
      </c>
    </row>
    <row r="339" spans="1:16" ht="15" hidden="1" customHeight="1" x14ac:dyDescent="0.25">
      <c r="A339" t="s">
        <v>138</v>
      </c>
      <c r="B339" t="s">
        <v>290</v>
      </c>
      <c r="C339">
        <v>4</v>
      </c>
      <c r="D339" t="s">
        <v>40</v>
      </c>
      <c r="E339" t="s">
        <v>41</v>
      </c>
      <c r="F339" t="s">
        <v>303</v>
      </c>
      <c r="G339" t="s">
        <v>304</v>
      </c>
      <c r="H339" t="s">
        <v>313</v>
      </c>
      <c r="J339" t="s">
        <v>138</v>
      </c>
      <c r="K339" t="s">
        <v>45</v>
      </c>
      <c r="L339">
        <v>2670000</v>
      </c>
      <c r="M339" t="s">
        <v>46</v>
      </c>
      <c r="N339" t="s">
        <v>366</v>
      </c>
    </row>
    <row r="340" spans="1:16" ht="15" hidden="1" customHeight="1" x14ac:dyDescent="0.25">
      <c r="A340" t="s">
        <v>138</v>
      </c>
      <c r="B340" t="s">
        <v>290</v>
      </c>
      <c r="C340">
        <v>4</v>
      </c>
      <c r="D340" t="s">
        <v>74</v>
      </c>
      <c r="E340" t="s">
        <v>75</v>
      </c>
      <c r="F340" t="s">
        <v>42</v>
      </c>
      <c r="G340" t="s">
        <v>43</v>
      </c>
      <c r="J340" t="s">
        <v>107</v>
      </c>
      <c r="K340" t="s">
        <v>77</v>
      </c>
      <c r="L340">
        <v>2600000</v>
      </c>
      <c r="M340" t="s">
        <v>46</v>
      </c>
      <c r="N340" t="s">
        <v>349</v>
      </c>
      <c r="O340" t="s">
        <v>79</v>
      </c>
      <c r="P340" t="s">
        <v>103</v>
      </c>
    </row>
    <row r="341" spans="1:16" ht="15" hidden="1" customHeight="1" x14ac:dyDescent="0.25">
      <c r="A341" t="s">
        <v>138</v>
      </c>
      <c r="B341" t="s">
        <v>290</v>
      </c>
      <c r="C341">
        <v>4</v>
      </c>
      <c r="D341" t="s">
        <v>74</v>
      </c>
      <c r="E341" t="s">
        <v>75</v>
      </c>
      <c r="F341" t="s">
        <v>42</v>
      </c>
      <c r="G341" t="s">
        <v>43</v>
      </c>
      <c r="J341" t="s">
        <v>122</v>
      </c>
      <c r="K341" t="s">
        <v>77</v>
      </c>
      <c r="L341">
        <v>2670000</v>
      </c>
      <c r="M341" t="s">
        <v>46</v>
      </c>
      <c r="N341" t="s">
        <v>366</v>
      </c>
      <c r="O341" t="s">
        <v>79</v>
      </c>
      <c r="P341" t="s">
        <v>103</v>
      </c>
    </row>
    <row r="342" spans="1:16" ht="15" hidden="1" customHeight="1" x14ac:dyDescent="0.25">
      <c r="A342" t="s">
        <v>138</v>
      </c>
      <c r="B342" t="s">
        <v>290</v>
      </c>
      <c r="C342">
        <v>4</v>
      </c>
      <c r="D342" t="s">
        <v>85</v>
      </c>
      <c r="E342" t="s">
        <v>86</v>
      </c>
      <c r="F342" t="s">
        <v>42</v>
      </c>
      <c r="G342" t="s">
        <v>43</v>
      </c>
      <c r="J342" t="s">
        <v>138</v>
      </c>
      <c r="K342" t="s">
        <v>45</v>
      </c>
      <c r="L342">
        <v>2700000</v>
      </c>
      <c r="M342" t="s">
        <v>46</v>
      </c>
      <c r="N342" t="s">
        <v>380</v>
      </c>
    </row>
    <row r="343" spans="1:16" ht="15" hidden="1" customHeight="1" x14ac:dyDescent="0.25">
      <c r="A343" t="s">
        <v>153</v>
      </c>
      <c r="B343" t="s">
        <v>290</v>
      </c>
      <c r="C343">
        <v>4</v>
      </c>
      <c r="D343" t="s">
        <v>40</v>
      </c>
      <c r="E343" t="s">
        <v>41</v>
      </c>
      <c r="F343" t="s">
        <v>42</v>
      </c>
      <c r="G343" t="s">
        <v>43</v>
      </c>
      <c r="H343" t="s">
        <v>44</v>
      </c>
      <c r="J343" t="s">
        <v>153</v>
      </c>
      <c r="K343" t="s">
        <v>45</v>
      </c>
      <c r="L343">
        <v>1030000</v>
      </c>
      <c r="M343" t="s">
        <v>46</v>
      </c>
      <c r="N343" t="s">
        <v>381</v>
      </c>
    </row>
    <row r="344" spans="1:16" ht="15" hidden="1" customHeight="1" x14ac:dyDescent="0.25">
      <c r="A344" t="s">
        <v>153</v>
      </c>
      <c r="B344" t="s">
        <v>290</v>
      </c>
      <c r="C344">
        <v>4</v>
      </c>
      <c r="D344" t="s">
        <v>40</v>
      </c>
      <c r="E344" t="s">
        <v>41</v>
      </c>
      <c r="F344" t="s">
        <v>42</v>
      </c>
      <c r="G344" t="s">
        <v>43</v>
      </c>
      <c r="H344" t="s">
        <v>48</v>
      </c>
      <c r="J344" t="s">
        <v>153</v>
      </c>
      <c r="K344" t="s">
        <v>45</v>
      </c>
      <c r="L344">
        <v>719700</v>
      </c>
      <c r="M344" t="s">
        <v>46</v>
      </c>
      <c r="N344" t="s">
        <v>382</v>
      </c>
    </row>
    <row r="345" spans="1:16" ht="15" hidden="1" customHeight="1" x14ac:dyDescent="0.25">
      <c r="A345" t="s">
        <v>153</v>
      </c>
      <c r="B345" t="s">
        <v>290</v>
      </c>
      <c r="C345">
        <v>4</v>
      </c>
      <c r="D345" t="s">
        <v>40</v>
      </c>
      <c r="E345" t="s">
        <v>41</v>
      </c>
      <c r="F345" t="s">
        <v>42</v>
      </c>
      <c r="G345" t="s">
        <v>43</v>
      </c>
      <c r="H345" t="s">
        <v>50</v>
      </c>
      <c r="J345" t="s">
        <v>153</v>
      </c>
      <c r="K345" t="s">
        <v>45</v>
      </c>
      <c r="L345">
        <v>539900</v>
      </c>
      <c r="M345" t="s">
        <v>46</v>
      </c>
      <c r="N345" t="s">
        <v>383</v>
      </c>
    </row>
    <row r="346" spans="1:16" ht="15" hidden="1" customHeight="1" x14ac:dyDescent="0.25">
      <c r="A346" t="s">
        <v>153</v>
      </c>
      <c r="B346" t="s">
        <v>290</v>
      </c>
      <c r="C346">
        <v>4</v>
      </c>
      <c r="D346" t="s">
        <v>40</v>
      </c>
      <c r="E346" t="s">
        <v>41</v>
      </c>
      <c r="F346" t="s">
        <v>42</v>
      </c>
      <c r="G346" t="s">
        <v>43</v>
      </c>
      <c r="H346" t="s">
        <v>52</v>
      </c>
      <c r="J346" t="s">
        <v>153</v>
      </c>
      <c r="K346" t="s">
        <v>45</v>
      </c>
      <c r="L346">
        <v>338700</v>
      </c>
      <c r="M346" t="s">
        <v>46</v>
      </c>
      <c r="N346" t="s">
        <v>384</v>
      </c>
    </row>
    <row r="347" spans="1:16" ht="15" hidden="1" customHeight="1" x14ac:dyDescent="0.25">
      <c r="A347" t="s">
        <v>153</v>
      </c>
      <c r="B347" t="s">
        <v>290</v>
      </c>
      <c r="C347">
        <v>4</v>
      </c>
      <c r="D347" t="s">
        <v>40</v>
      </c>
      <c r="E347" t="s">
        <v>41</v>
      </c>
      <c r="F347" t="s">
        <v>42</v>
      </c>
      <c r="G347" t="s">
        <v>43</v>
      </c>
      <c r="H347" t="s">
        <v>54</v>
      </c>
      <c r="J347" t="s">
        <v>153</v>
      </c>
      <c r="K347" t="s">
        <v>45</v>
      </c>
      <c r="L347">
        <v>129000</v>
      </c>
      <c r="M347" t="s">
        <v>46</v>
      </c>
      <c r="N347" t="s">
        <v>385</v>
      </c>
    </row>
    <row r="348" spans="1:16" ht="15" hidden="1" customHeight="1" x14ac:dyDescent="0.25">
      <c r="A348" t="s">
        <v>153</v>
      </c>
      <c r="B348" t="s">
        <v>290</v>
      </c>
      <c r="C348">
        <v>4</v>
      </c>
      <c r="D348" t="s">
        <v>40</v>
      </c>
      <c r="E348" t="s">
        <v>41</v>
      </c>
      <c r="F348" t="s">
        <v>42</v>
      </c>
      <c r="G348" t="s">
        <v>43</v>
      </c>
      <c r="H348" t="s">
        <v>56</v>
      </c>
      <c r="J348" t="s">
        <v>153</v>
      </c>
      <c r="K348" t="s">
        <v>45</v>
      </c>
      <c r="L348">
        <v>37600</v>
      </c>
      <c r="M348" t="s">
        <v>46</v>
      </c>
      <c r="N348" t="s">
        <v>134</v>
      </c>
    </row>
    <row r="349" spans="1:16" ht="15" hidden="1" customHeight="1" x14ac:dyDescent="0.25">
      <c r="A349" t="s">
        <v>153</v>
      </c>
      <c r="B349" t="s">
        <v>290</v>
      </c>
      <c r="C349">
        <v>4</v>
      </c>
      <c r="D349" t="s">
        <v>40</v>
      </c>
      <c r="E349" t="s">
        <v>41</v>
      </c>
      <c r="F349" t="s">
        <v>42</v>
      </c>
      <c r="G349" t="s">
        <v>43</v>
      </c>
      <c r="H349" t="s">
        <v>58</v>
      </c>
      <c r="J349" t="s">
        <v>153</v>
      </c>
      <c r="K349" t="s">
        <v>45</v>
      </c>
      <c r="L349">
        <v>13000</v>
      </c>
      <c r="M349" t="s">
        <v>46</v>
      </c>
      <c r="N349" t="s">
        <v>386</v>
      </c>
    </row>
    <row r="350" spans="1:16" ht="15" hidden="1" customHeight="1" x14ac:dyDescent="0.25">
      <c r="A350" t="s">
        <v>153</v>
      </c>
      <c r="B350" t="s">
        <v>290</v>
      </c>
      <c r="C350">
        <v>4</v>
      </c>
      <c r="D350" t="s">
        <v>40</v>
      </c>
      <c r="E350" t="s">
        <v>41</v>
      </c>
      <c r="F350" t="s">
        <v>42</v>
      </c>
      <c r="G350" t="s">
        <v>43</v>
      </c>
      <c r="H350" t="s">
        <v>60</v>
      </c>
      <c r="J350" t="s">
        <v>153</v>
      </c>
      <c r="K350" t="s">
        <v>45</v>
      </c>
      <c r="L350">
        <v>1100</v>
      </c>
      <c r="M350" t="s">
        <v>46</v>
      </c>
      <c r="N350" t="s">
        <v>387</v>
      </c>
    </row>
    <row r="351" spans="1:16" ht="15" hidden="1" customHeight="1" x14ac:dyDescent="0.25">
      <c r="A351" t="s">
        <v>153</v>
      </c>
      <c r="B351" t="s">
        <v>290</v>
      </c>
      <c r="C351">
        <v>4</v>
      </c>
      <c r="D351" t="s">
        <v>40</v>
      </c>
      <c r="E351" t="s">
        <v>41</v>
      </c>
      <c r="F351" t="s">
        <v>42</v>
      </c>
      <c r="G351" t="s">
        <v>43</v>
      </c>
      <c r="H351" t="s">
        <v>62</v>
      </c>
      <c r="J351" t="s">
        <v>153</v>
      </c>
      <c r="K351" t="s">
        <v>45</v>
      </c>
      <c r="L351">
        <v>1320000</v>
      </c>
      <c r="M351" t="s">
        <v>46</v>
      </c>
      <c r="N351" t="s">
        <v>388</v>
      </c>
    </row>
    <row r="352" spans="1:16" ht="15" hidden="1" customHeight="1" x14ac:dyDescent="0.25">
      <c r="A352" t="s">
        <v>153</v>
      </c>
      <c r="B352" t="s">
        <v>290</v>
      </c>
      <c r="C352">
        <v>4</v>
      </c>
      <c r="D352" t="s">
        <v>40</v>
      </c>
      <c r="E352" t="s">
        <v>41</v>
      </c>
      <c r="F352" t="s">
        <v>42</v>
      </c>
      <c r="G352" t="s">
        <v>43</v>
      </c>
      <c r="H352" t="s">
        <v>66</v>
      </c>
      <c r="J352" t="s">
        <v>153</v>
      </c>
      <c r="K352" t="s">
        <v>45</v>
      </c>
      <c r="L352">
        <v>2470000</v>
      </c>
      <c r="M352" t="s">
        <v>46</v>
      </c>
      <c r="N352" t="s">
        <v>389</v>
      </c>
    </row>
    <row r="353" spans="1:16" ht="15" hidden="1" customHeight="1" x14ac:dyDescent="0.25">
      <c r="A353" t="s">
        <v>153</v>
      </c>
      <c r="B353" t="s">
        <v>290</v>
      </c>
      <c r="C353">
        <v>4</v>
      </c>
      <c r="D353" t="s">
        <v>40</v>
      </c>
      <c r="E353" t="s">
        <v>41</v>
      </c>
      <c r="F353" t="s">
        <v>42</v>
      </c>
      <c r="G353" t="s">
        <v>43</v>
      </c>
      <c r="H353" t="s">
        <v>70</v>
      </c>
      <c r="J353" t="s">
        <v>153</v>
      </c>
      <c r="K353" t="s">
        <v>45</v>
      </c>
      <c r="L353">
        <v>1490000</v>
      </c>
      <c r="M353" t="s">
        <v>46</v>
      </c>
      <c r="N353" t="s">
        <v>390</v>
      </c>
    </row>
    <row r="354" spans="1:16" ht="15" hidden="1" customHeight="1" x14ac:dyDescent="0.25">
      <c r="A354" t="s">
        <v>153</v>
      </c>
      <c r="B354" t="s">
        <v>290</v>
      </c>
      <c r="C354">
        <v>4</v>
      </c>
      <c r="D354" t="s">
        <v>40</v>
      </c>
      <c r="E354" t="s">
        <v>41</v>
      </c>
      <c r="F354" t="s">
        <v>42</v>
      </c>
      <c r="G354" t="s">
        <v>43</v>
      </c>
      <c r="H354" t="s">
        <v>72</v>
      </c>
      <c r="J354" t="s">
        <v>153</v>
      </c>
      <c r="K354" t="s">
        <v>45</v>
      </c>
      <c r="L354">
        <v>340000</v>
      </c>
      <c r="M354" t="s">
        <v>46</v>
      </c>
      <c r="N354" t="s">
        <v>391</v>
      </c>
    </row>
    <row r="355" spans="1:16" ht="15" hidden="1" customHeight="1" x14ac:dyDescent="0.25">
      <c r="A355" t="s">
        <v>153</v>
      </c>
      <c r="B355" t="s">
        <v>290</v>
      </c>
      <c r="C355">
        <v>4</v>
      </c>
      <c r="D355" t="s">
        <v>40</v>
      </c>
      <c r="E355" t="s">
        <v>41</v>
      </c>
      <c r="F355" t="s">
        <v>303</v>
      </c>
      <c r="G355" t="s">
        <v>304</v>
      </c>
      <c r="H355" t="s">
        <v>305</v>
      </c>
      <c r="J355" t="s">
        <v>153</v>
      </c>
      <c r="K355" t="s">
        <v>45</v>
      </c>
      <c r="L355">
        <v>1045</v>
      </c>
      <c r="M355" t="s">
        <v>46</v>
      </c>
      <c r="N355" t="s">
        <v>392</v>
      </c>
    </row>
    <row r="356" spans="1:16" ht="15" hidden="1" customHeight="1" x14ac:dyDescent="0.25">
      <c r="A356" t="s">
        <v>153</v>
      </c>
      <c r="B356" t="s">
        <v>290</v>
      </c>
      <c r="C356">
        <v>4</v>
      </c>
      <c r="D356" t="s">
        <v>40</v>
      </c>
      <c r="E356" t="s">
        <v>41</v>
      </c>
      <c r="F356" t="s">
        <v>303</v>
      </c>
      <c r="G356" t="s">
        <v>304</v>
      </c>
      <c r="H356" t="s">
        <v>307</v>
      </c>
      <c r="J356" t="s">
        <v>153</v>
      </c>
      <c r="K356" t="s">
        <v>45</v>
      </c>
      <c r="L356">
        <v>1511</v>
      </c>
      <c r="M356" t="s">
        <v>46</v>
      </c>
      <c r="N356" t="s">
        <v>393</v>
      </c>
    </row>
    <row r="357" spans="1:16" ht="15" hidden="1" customHeight="1" x14ac:dyDescent="0.25">
      <c r="A357" t="s">
        <v>153</v>
      </c>
      <c r="B357" t="s">
        <v>290</v>
      </c>
      <c r="C357">
        <v>4</v>
      </c>
      <c r="D357" t="s">
        <v>40</v>
      </c>
      <c r="E357" t="s">
        <v>41</v>
      </c>
      <c r="F357" t="s">
        <v>303</v>
      </c>
      <c r="G357" t="s">
        <v>304</v>
      </c>
      <c r="H357" t="s">
        <v>309</v>
      </c>
      <c r="J357" t="s">
        <v>153</v>
      </c>
      <c r="K357" t="s">
        <v>45</v>
      </c>
      <c r="L357">
        <v>8</v>
      </c>
      <c r="M357" t="s">
        <v>46</v>
      </c>
      <c r="N357" t="s">
        <v>310</v>
      </c>
    </row>
    <row r="358" spans="1:16" ht="15" hidden="1" customHeight="1" x14ac:dyDescent="0.25">
      <c r="A358" t="s">
        <v>153</v>
      </c>
      <c r="B358" t="s">
        <v>290</v>
      </c>
      <c r="C358">
        <v>4</v>
      </c>
      <c r="D358" t="s">
        <v>40</v>
      </c>
      <c r="E358" t="s">
        <v>41</v>
      </c>
      <c r="F358" t="s">
        <v>303</v>
      </c>
      <c r="G358" t="s">
        <v>304</v>
      </c>
      <c r="H358" t="s">
        <v>311</v>
      </c>
      <c r="J358" t="s">
        <v>153</v>
      </c>
      <c r="K358" t="s">
        <v>45</v>
      </c>
      <c r="L358">
        <v>3716</v>
      </c>
      <c r="M358" t="s">
        <v>46</v>
      </c>
      <c r="N358" t="s">
        <v>394</v>
      </c>
    </row>
    <row r="359" spans="1:16" ht="15" hidden="1" customHeight="1" x14ac:dyDescent="0.25">
      <c r="A359" t="s">
        <v>153</v>
      </c>
      <c r="B359" t="s">
        <v>290</v>
      </c>
      <c r="C359">
        <v>4</v>
      </c>
      <c r="D359" t="s">
        <v>40</v>
      </c>
      <c r="E359" t="s">
        <v>41</v>
      </c>
      <c r="F359" t="s">
        <v>303</v>
      </c>
      <c r="G359" t="s">
        <v>304</v>
      </c>
      <c r="H359" t="s">
        <v>313</v>
      </c>
      <c r="J359" t="s">
        <v>153</v>
      </c>
      <c r="K359" t="s">
        <v>45</v>
      </c>
      <c r="L359">
        <v>2780000</v>
      </c>
      <c r="M359" t="s">
        <v>46</v>
      </c>
      <c r="N359" t="s">
        <v>395</v>
      </c>
    </row>
    <row r="360" spans="1:16" ht="15" hidden="1" customHeight="1" x14ac:dyDescent="0.25">
      <c r="A360" t="s">
        <v>153</v>
      </c>
      <c r="B360" t="s">
        <v>290</v>
      </c>
      <c r="C360">
        <v>4</v>
      </c>
      <c r="D360" t="s">
        <v>74</v>
      </c>
      <c r="E360" t="s">
        <v>75</v>
      </c>
      <c r="F360" t="s">
        <v>42</v>
      </c>
      <c r="G360" t="s">
        <v>43</v>
      </c>
      <c r="J360" t="s">
        <v>107</v>
      </c>
      <c r="K360" t="s">
        <v>77</v>
      </c>
      <c r="L360">
        <v>2600000</v>
      </c>
      <c r="M360" t="s">
        <v>46</v>
      </c>
      <c r="N360" t="s">
        <v>349</v>
      </c>
      <c r="O360" t="s">
        <v>79</v>
      </c>
      <c r="P360" t="s">
        <v>103</v>
      </c>
    </row>
    <row r="361" spans="1:16" ht="15" hidden="1" customHeight="1" x14ac:dyDescent="0.25">
      <c r="A361" t="s">
        <v>153</v>
      </c>
      <c r="B361" t="s">
        <v>290</v>
      </c>
      <c r="C361">
        <v>4</v>
      </c>
      <c r="D361" t="s">
        <v>74</v>
      </c>
      <c r="E361" t="s">
        <v>75</v>
      </c>
      <c r="F361" t="s">
        <v>42</v>
      </c>
      <c r="G361" t="s">
        <v>43</v>
      </c>
      <c r="J361" t="s">
        <v>122</v>
      </c>
      <c r="K361" t="s">
        <v>77</v>
      </c>
      <c r="L361">
        <v>2670000</v>
      </c>
      <c r="M361" t="s">
        <v>46</v>
      </c>
      <c r="N361" t="s">
        <v>366</v>
      </c>
      <c r="O361" t="s">
        <v>79</v>
      </c>
      <c r="P361" t="s">
        <v>103</v>
      </c>
    </row>
    <row r="362" spans="1:16" ht="15" hidden="1" customHeight="1" x14ac:dyDescent="0.25">
      <c r="A362" t="s">
        <v>153</v>
      </c>
      <c r="B362" t="s">
        <v>290</v>
      </c>
      <c r="C362">
        <v>4</v>
      </c>
      <c r="D362" t="s">
        <v>74</v>
      </c>
      <c r="E362" t="s">
        <v>75</v>
      </c>
      <c r="F362" t="s">
        <v>42</v>
      </c>
      <c r="G362" t="s">
        <v>43</v>
      </c>
      <c r="J362" t="s">
        <v>138</v>
      </c>
      <c r="K362" t="s">
        <v>77</v>
      </c>
      <c r="L362">
        <v>2700000</v>
      </c>
      <c r="M362" t="s">
        <v>46</v>
      </c>
      <c r="N362" t="s">
        <v>380</v>
      </c>
      <c r="O362" t="s">
        <v>79</v>
      </c>
      <c r="P362" t="s">
        <v>103</v>
      </c>
    </row>
    <row r="363" spans="1:16" ht="15" hidden="1" customHeight="1" x14ac:dyDescent="0.25">
      <c r="A363" t="s">
        <v>153</v>
      </c>
      <c r="B363" t="s">
        <v>290</v>
      </c>
      <c r="C363">
        <v>4</v>
      </c>
      <c r="D363" t="s">
        <v>85</v>
      </c>
      <c r="E363" t="s">
        <v>86</v>
      </c>
      <c r="F363" t="s">
        <v>42</v>
      </c>
      <c r="G363" t="s">
        <v>43</v>
      </c>
      <c r="J363" t="s">
        <v>153</v>
      </c>
      <c r="K363" t="s">
        <v>45</v>
      </c>
      <c r="L363">
        <v>2810000</v>
      </c>
      <c r="M363" t="s">
        <v>46</v>
      </c>
      <c r="N363" t="s">
        <v>396</v>
      </c>
    </row>
    <row r="364" spans="1:16" ht="15" hidden="1" customHeight="1" x14ac:dyDescent="0.25">
      <c r="A364" t="s">
        <v>169</v>
      </c>
      <c r="B364" t="s">
        <v>290</v>
      </c>
      <c r="C364">
        <v>4</v>
      </c>
      <c r="D364" t="s">
        <v>40</v>
      </c>
      <c r="E364" t="s">
        <v>41</v>
      </c>
      <c r="F364" t="s">
        <v>42</v>
      </c>
      <c r="G364" t="s">
        <v>43</v>
      </c>
      <c r="H364" t="s">
        <v>44</v>
      </c>
      <c r="J364" t="s">
        <v>169</v>
      </c>
      <c r="K364" t="s">
        <v>45</v>
      </c>
      <c r="L364">
        <v>1050000</v>
      </c>
      <c r="M364" t="s">
        <v>46</v>
      </c>
      <c r="N364" t="s">
        <v>397</v>
      </c>
    </row>
    <row r="365" spans="1:16" ht="15" hidden="1" customHeight="1" x14ac:dyDescent="0.25">
      <c r="A365" t="s">
        <v>169</v>
      </c>
      <c r="B365" t="s">
        <v>290</v>
      </c>
      <c r="C365">
        <v>4</v>
      </c>
      <c r="D365" t="s">
        <v>40</v>
      </c>
      <c r="E365" t="s">
        <v>41</v>
      </c>
      <c r="F365" t="s">
        <v>42</v>
      </c>
      <c r="G365" t="s">
        <v>43</v>
      </c>
      <c r="H365" t="s">
        <v>48</v>
      </c>
      <c r="J365" t="s">
        <v>169</v>
      </c>
      <c r="K365" t="s">
        <v>45</v>
      </c>
      <c r="L365">
        <v>746000</v>
      </c>
      <c r="M365" t="s">
        <v>46</v>
      </c>
      <c r="N365" t="s">
        <v>398</v>
      </c>
    </row>
    <row r="366" spans="1:16" ht="15" hidden="1" customHeight="1" x14ac:dyDescent="0.25">
      <c r="A366" t="s">
        <v>169</v>
      </c>
      <c r="B366" t="s">
        <v>290</v>
      </c>
      <c r="C366">
        <v>4</v>
      </c>
      <c r="D366" t="s">
        <v>40</v>
      </c>
      <c r="E366" t="s">
        <v>41</v>
      </c>
      <c r="F366" t="s">
        <v>42</v>
      </c>
      <c r="G366" t="s">
        <v>43</v>
      </c>
      <c r="H366" t="s">
        <v>50</v>
      </c>
      <c r="J366" t="s">
        <v>169</v>
      </c>
      <c r="K366" t="s">
        <v>45</v>
      </c>
      <c r="L366">
        <v>560000</v>
      </c>
      <c r="M366" t="s">
        <v>46</v>
      </c>
      <c r="N366" t="s">
        <v>399</v>
      </c>
    </row>
    <row r="367" spans="1:16" ht="15" hidden="1" customHeight="1" x14ac:dyDescent="0.25">
      <c r="A367" t="s">
        <v>169</v>
      </c>
      <c r="B367" t="s">
        <v>290</v>
      </c>
      <c r="C367">
        <v>4</v>
      </c>
      <c r="D367" t="s">
        <v>40</v>
      </c>
      <c r="E367" t="s">
        <v>41</v>
      </c>
      <c r="F367" t="s">
        <v>42</v>
      </c>
      <c r="G367" t="s">
        <v>43</v>
      </c>
      <c r="H367" t="s">
        <v>52</v>
      </c>
      <c r="J367" t="s">
        <v>169</v>
      </c>
      <c r="K367" t="s">
        <v>45</v>
      </c>
      <c r="L367">
        <v>352100</v>
      </c>
      <c r="M367" t="s">
        <v>46</v>
      </c>
      <c r="N367" t="s">
        <v>400</v>
      </c>
    </row>
    <row r="368" spans="1:16" ht="15" hidden="1" customHeight="1" x14ac:dyDescent="0.25">
      <c r="A368" t="s">
        <v>169</v>
      </c>
      <c r="B368" t="s">
        <v>290</v>
      </c>
      <c r="C368">
        <v>4</v>
      </c>
      <c r="D368" t="s">
        <v>40</v>
      </c>
      <c r="E368" t="s">
        <v>41</v>
      </c>
      <c r="F368" t="s">
        <v>42</v>
      </c>
      <c r="G368" t="s">
        <v>43</v>
      </c>
      <c r="H368" t="s">
        <v>54</v>
      </c>
      <c r="J368" t="s">
        <v>169</v>
      </c>
      <c r="K368" t="s">
        <v>45</v>
      </c>
      <c r="L368">
        <v>138000</v>
      </c>
      <c r="M368" t="s">
        <v>46</v>
      </c>
      <c r="N368" t="s">
        <v>401</v>
      </c>
    </row>
    <row r="369" spans="1:16" ht="15" hidden="1" customHeight="1" x14ac:dyDescent="0.25">
      <c r="A369" t="s">
        <v>169</v>
      </c>
      <c r="B369" t="s">
        <v>290</v>
      </c>
      <c r="C369">
        <v>4</v>
      </c>
      <c r="D369" t="s">
        <v>40</v>
      </c>
      <c r="E369" t="s">
        <v>41</v>
      </c>
      <c r="F369" t="s">
        <v>42</v>
      </c>
      <c r="G369" t="s">
        <v>43</v>
      </c>
      <c r="H369" t="s">
        <v>56</v>
      </c>
      <c r="J369" t="s">
        <v>169</v>
      </c>
      <c r="K369" t="s">
        <v>45</v>
      </c>
      <c r="L369">
        <v>39800</v>
      </c>
      <c r="M369" t="s">
        <v>46</v>
      </c>
      <c r="N369" t="s">
        <v>323</v>
      </c>
    </row>
    <row r="370" spans="1:16" ht="15" hidden="1" customHeight="1" x14ac:dyDescent="0.25">
      <c r="A370" t="s">
        <v>169</v>
      </c>
      <c r="B370" t="s">
        <v>290</v>
      </c>
      <c r="C370">
        <v>4</v>
      </c>
      <c r="D370" t="s">
        <v>40</v>
      </c>
      <c r="E370" t="s">
        <v>41</v>
      </c>
      <c r="F370" t="s">
        <v>42</v>
      </c>
      <c r="G370" t="s">
        <v>43</v>
      </c>
      <c r="H370" t="s">
        <v>58</v>
      </c>
      <c r="J370" t="s">
        <v>169</v>
      </c>
      <c r="K370" t="s">
        <v>45</v>
      </c>
      <c r="L370">
        <v>13300</v>
      </c>
      <c r="M370" t="s">
        <v>46</v>
      </c>
      <c r="N370" t="s">
        <v>402</v>
      </c>
    </row>
    <row r="371" spans="1:16" ht="15" hidden="1" customHeight="1" x14ac:dyDescent="0.25">
      <c r="A371" t="s">
        <v>169</v>
      </c>
      <c r="B371" t="s">
        <v>290</v>
      </c>
      <c r="C371">
        <v>4</v>
      </c>
      <c r="D371" t="s">
        <v>40</v>
      </c>
      <c r="E371" t="s">
        <v>41</v>
      </c>
      <c r="F371" t="s">
        <v>42</v>
      </c>
      <c r="G371" t="s">
        <v>43</v>
      </c>
      <c r="H371" t="s">
        <v>60</v>
      </c>
      <c r="J371" t="s">
        <v>169</v>
      </c>
      <c r="K371" t="s">
        <v>45</v>
      </c>
      <c r="L371">
        <v>1000</v>
      </c>
      <c r="M371" t="s">
        <v>46</v>
      </c>
      <c r="N371" t="s">
        <v>357</v>
      </c>
    </row>
    <row r="372" spans="1:16" ht="15" hidden="1" customHeight="1" x14ac:dyDescent="0.25">
      <c r="A372" t="s">
        <v>169</v>
      </c>
      <c r="B372" t="s">
        <v>290</v>
      </c>
      <c r="C372">
        <v>4</v>
      </c>
      <c r="D372" t="s">
        <v>40</v>
      </c>
      <c r="E372" t="s">
        <v>41</v>
      </c>
      <c r="F372" t="s">
        <v>42</v>
      </c>
      <c r="G372" t="s">
        <v>43</v>
      </c>
      <c r="H372" t="s">
        <v>62</v>
      </c>
      <c r="J372" t="s">
        <v>169</v>
      </c>
      <c r="K372" t="s">
        <v>45</v>
      </c>
      <c r="L372">
        <v>1340000</v>
      </c>
      <c r="M372" t="s">
        <v>46</v>
      </c>
      <c r="N372" t="s">
        <v>403</v>
      </c>
    </row>
    <row r="373" spans="1:16" ht="15" hidden="1" customHeight="1" x14ac:dyDescent="0.25">
      <c r="A373" t="s">
        <v>169</v>
      </c>
      <c r="B373" t="s">
        <v>290</v>
      </c>
      <c r="C373">
        <v>4</v>
      </c>
      <c r="D373" t="s">
        <v>40</v>
      </c>
      <c r="E373" t="s">
        <v>41</v>
      </c>
      <c r="F373" t="s">
        <v>42</v>
      </c>
      <c r="G373" t="s">
        <v>43</v>
      </c>
      <c r="H373" t="s">
        <v>66</v>
      </c>
      <c r="J373" t="s">
        <v>169</v>
      </c>
      <c r="K373" t="s">
        <v>45</v>
      </c>
      <c r="L373">
        <v>2550000</v>
      </c>
      <c r="M373" t="s">
        <v>46</v>
      </c>
      <c r="N373" t="s">
        <v>404</v>
      </c>
    </row>
    <row r="374" spans="1:16" ht="15" hidden="1" customHeight="1" x14ac:dyDescent="0.25">
      <c r="A374" t="s">
        <v>169</v>
      </c>
      <c r="B374" t="s">
        <v>290</v>
      </c>
      <c r="C374">
        <v>4</v>
      </c>
      <c r="D374" t="s">
        <v>40</v>
      </c>
      <c r="E374" t="s">
        <v>41</v>
      </c>
      <c r="F374" t="s">
        <v>42</v>
      </c>
      <c r="G374" t="s">
        <v>43</v>
      </c>
      <c r="H374" t="s">
        <v>70</v>
      </c>
      <c r="J374" t="s">
        <v>169</v>
      </c>
      <c r="K374" t="s">
        <v>45</v>
      </c>
      <c r="L374">
        <v>1550000</v>
      </c>
      <c r="M374" t="s">
        <v>46</v>
      </c>
      <c r="N374" t="s">
        <v>405</v>
      </c>
    </row>
    <row r="375" spans="1:16" ht="15" hidden="1" customHeight="1" x14ac:dyDescent="0.25">
      <c r="A375" t="s">
        <v>169</v>
      </c>
      <c r="B375" t="s">
        <v>290</v>
      </c>
      <c r="C375">
        <v>4</v>
      </c>
      <c r="D375" t="s">
        <v>40</v>
      </c>
      <c r="E375" t="s">
        <v>41</v>
      </c>
      <c r="F375" t="s">
        <v>42</v>
      </c>
      <c r="G375" t="s">
        <v>43</v>
      </c>
      <c r="H375" t="s">
        <v>72</v>
      </c>
      <c r="J375" t="s">
        <v>169</v>
      </c>
      <c r="K375" t="s">
        <v>45</v>
      </c>
      <c r="L375">
        <v>360000</v>
      </c>
      <c r="M375" t="s">
        <v>46</v>
      </c>
      <c r="N375" t="s">
        <v>406</v>
      </c>
    </row>
    <row r="376" spans="1:16" ht="15" hidden="1" customHeight="1" x14ac:dyDescent="0.25">
      <c r="A376" t="s">
        <v>169</v>
      </c>
      <c r="B376" t="s">
        <v>290</v>
      </c>
      <c r="C376">
        <v>4</v>
      </c>
      <c r="D376" t="s">
        <v>40</v>
      </c>
      <c r="E376" t="s">
        <v>41</v>
      </c>
      <c r="F376" t="s">
        <v>303</v>
      </c>
      <c r="G376" t="s">
        <v>304</v>
      </c>
      <c r="H376" t="s">
        <v>305</v>
      </c>
      <c r="J376" t="s">
        <v>169</v>
      </c>
      <c r="K376" t="s">
        <v>45</v>
      </c>
      <c r="L376">
        <v>1064</v>
      </c>
      <c r="M376" t="s">
        <v>46</v>
      </c>
      <c r="N376" t="s">
        <v>407</v>
      </c>
    </row>
    <row r="377" spans="1:16" ht="15" hidden="1" customHeight="1" x14ac:dyDescent="0.25">
      <c r="A377" t="s">
        <v>169</v>
      </c>
      <c r="B377" t="s">
        <v>290</v>
      </c>
      <c r="C377">
        <v>4</v>
      </c>
      <c r="D377" t="s">
        <v>40</v>
      </c>
      <c r="E377" t="s">
        <v>41</v>
      </c>
      <c r="F377" t="s">
        <v>303</v>
      </c>
      <c r="G377" t="s">
        <v>304</v>
      </c>
      <c r="H377" t="s">
        <v>307</v>
      </c>
      <c r="J377" t="s">
        <v>169</v>
      </c>
      <c r="K377" t="s">
        <v>45</v>
      </c>
      <c r="L377">
        <v>1662</v>
      </c>
      <c r="M377" t="s">
        <v>46</v>
      </c>
      <c r="N377" t="s">
        <v>408</v>
      </c>
    </row>
    <row r="378" spans="1:16" ht="15" hidden="1" customHeight="1" x14ac:dyDescent="0.25">
      <c r="A378" t="s">
        <v>169</v>
      </c>
      <c r="B378" t="s">
        <v>290</v>
      </c>
      <c r="C378">
        <v>4</v>
      </c>
      <c r="D378" t="s">
        <v>40</v>
      </c>
      <c r="E378" t="s">
        <v>41</v>
      </c>
      <c r="F378" t="s">
        <v>303</v>
      </c>
      <c r="G378" t="s">
        <v>304</v>
      </c>
      <c r="H378" t="s">
        <v>309</v>
      </c>
      <c r="J378" t="s">
        <v>169</v>
      </c>
      <c r="K378" t="s">
        <v>45</v>
      </c>
      <c r="L378">
        <v>8</v>
      </c>
      <c r="M378" t="s">
        <v>46</v>
      </c>
      <c r="N378" t="s">
        <v>310</v>
      </c>
    </row>
    <row r="379" spans="1:16" ht="15" hidden="1" customHeight="1" x14ac:dyDescent="0.25">
      <c r="A379" t="s">
        <v>169</v>
      </c>
      <c r="B379" t="s">
        <v>290</v>
      </c>
      <c r="C379">
        <v>4</v>
      </c>
      <c r="D379" t="s">
        <v>40</v>
      </c>
      <c r="E379" t="s">
        <v>41</v>
      </c>
      <c r="F379" t="s">
        <v>303</v>
      </c>
      <c r="G379" t="s">
        <v>304</v>
      </c>
      <c r="H379" t="s">
        <v>311</v>
      </c>
      <c r="J379" t="s">
        <v>169</v>
      </c>
      <c r="K379" t="s">
        <v>45</v>
      </c>
      <c r="L379">
        <v>4020</v>
      </c>
      <c r="M379" t="s">
        <v>46</v>
      </c>
      <c r="N379" t="s">
        <v>409</v>
      </c>
    </row>
    <row r="380" spans="1:16" ht="15" hidden="1" customHeight="1" x14ac:dyDescent="0.25">
      <c r="A380" t="s">
        <v>169</v>
      </c>
      <c r="B380" t="s">
        <v>290</v>
      </c>
      <c r="C380">
        <v>4</v>
      </c>
      <c r="D380" t="s">
        <v>40</v>
      </c>
      <c r="E380" t="s">
        <v>41</v>
      </c>
      <c r="F380" t="s">
        <v>303</v>
      </c>
      <c r="G380" t="s">
        <v>304</v>
      </c>
      <c r="H380" t="s">
        <v>313</v>
      </c>
      <c r="J380" t="s">
        <v>169</v>
      </c>
      <c r="K380" t="s">
        <v>45</v>
      </c>
      <c r="L380">
        <v>2880000</v>
      </c>
      <c r="M380" t="s">
        <v>46</v>
      </c>
      <c r="N380" t="s">
        <v>410</v>
      </c>
    </row>
    <row r="381" spans="1:16" ht="15" hidden="1" customHeight="1" x14ac:dyDescent="0.25">
      <c r="A381" t="s">
        <v>169</v>
      </c>
      <c r="B381" t="s">
        <v>290</v>
      </c>
      <c r="C381">
        <v>4</v>
      </c>
      <c r="D381" t="s">
        <v>74</v>
      </c>
      <c r="E381" t="s">
        <v>75</v>
      </c>
      <c r="F381" t="s">
        <v>42</v>
      </c>
      <c r="G381" t="s">
        <v>43</v>
      </c>
      <c r="J381" t="s">
        <v>153</v>
      </c>
      <c r="K381" t="s">
        <v>77</v>
      </c>
      <c r="L381">
        <v>2810000</v>
      </c>
      <c r="M381" t="s">
        <v>46</v>
      </c>
      <c r="N381" t="s">
        <v>396</v>
      </c>
      <c r="O381" t="s">
        <v>79</v>
      </c>
      <c r="P381" t="s">
        <v>103</v>
      </c>
    </row>
    <row r="382" spans="1:16" ht="15" hidden="1" customHeight="1" x14ac:dyDescent="0.25">
      <c r="A382" t="s">
        <v>169</v>
      </c>
      <c r="B382" t="s">
        <v>290</v>
      </c>
      <c r="C382">
        <v>4</v>
      </c>
      <c r="D382" t="s">
        <v>85</v>
      </c>
      <c r="E382" t="s">
        <v>86</v>
      </c>
      <c r="F382" t="s">
        <v>42</v>
      </c>
      <c r="G382" t="s">
        <v>43</v>
      </c>
      <c r="J382" t="s">
        <v>169</v>
      </c>
      <c r="K382" t="s">
        <v>45</v>
      </c>
      <c r="L382">
        <v>2910000</v>
      </c>
      <c r="M382" t="s">
        <v>46</v>
      </c>
      <c r="N382" t="s">
        <v>411</v>
      </c>
    </row>
    <row r="383" spans="1:16" ht="15" hidden="1" customHeight="1" x14ac:dyDescent="0.25">
      <c r="A383" t="s">
        <v>184</v>
      </c>
      <c r="B383" t="s">
        <v>290</v>
      </c>
      <c r="C383">
        <v>4</v>
      </c>
      <c r="D383" t="s">
        <v>40</v>
      </c>
      <c r="E383" t="s">
        <v>41</v>
      </c>
      <c r="F383" t="s">
        <v>42</v>
      </c>
      <c r="G383" t="s">
        <v>43</v>
      </c>
      <c r="H383" t="s">
        <v>44</v>
      </c>
      <c r="J383" t="s">
        <v>184</v>
      </c>
      <c r="K383" t="s">
        <v>45</v>
      </c>
      <c r="L383">
        <v>1080000</v>
      </c>
      <c r="M383" t="s">
        <v>46</v>
      </c>
      <c r="N383" t="s">
        <v>412</v>
      </c>
    </row>
    <row r="384" spans="1:16" ht="15" hidden="1" customHeight="1" x14ac:dyDescent="0.25">
      <c r="A384" t="s">
        <v>184</v>
      </c>
      <c r="B384" t="s">
        <v>290</v>
      </c>
      <c r="C384">
        <v>4</v>
      </c>
      <c r="D384" t="s">
        <v>40</v>
      </c>
      <c r="E384" t="s">
        <v>41</v>
      </c>
      <c r="F384" t="s">
        <v>42</v>
      </c>
      <c r="G384" t="s">
        <v>43</v>
      </c>
      <c r="H384" t="s">
        <v>48</v>
      </c>
      <c r="J384" t="s">
        <v>184</v>
      </c>
      <c r="K384" t="s">
        <v>45</v>
      </c>
      <c r="L384">
        <v>768400</v>
      </c>
      <c r="M384" t="s">
        <v>46</v>
      </c>
      <c r="N384" t="s">
        <v>413</v>
      </c>
    </row>
    <row r="385" spans="1:16" ht="15" hidden="1" customHeight="1" x14ac:dyDescent="0.25">
      <c r="A385" t="s">
        <v>184</v>
      </c>
      <c r="B385" t="s">
        <v>290</v>
      </c>
      <c r="C385">
        <v>4</v>
      </c>
      <c r="D385" t="s">
        <v>40</v>
      </c>
      <c r="E385" t="s">
        <v>41</v>
      </c>
      <c r="F385" t="s">
        <v>42</v>
      </c>
      <c r="G385" t="s">
        <v>43</v>
      </c>
      <c r="H385" t="s">
        <v>50</v>
      </c>
      <c r="J385" t="s">
        <v>184</v>
      </c>
      <c r="K385" t="s">
        <v>45</v>
      </c>
      <c r="L385">
        <v>577500</v>
      </c>
      <c r="M385" t="s">
        <v>46</v>
      </c>
      <c r="N385" t="s">
        <v>414</v>
      </c>
    </row>
    <row r="386" spans="1:16" ht="15" hidden="1" customHeight="1" x14ac:dyDescent="0.25">
      <c r="A386" t="s">
        <v>184</v>
      </c>
      <c r="B386" t="s">
        <v>290</v>
      </c>
      <c r="C386">
        <v>4</v>
      </c>
      <c r="D386" t="s">
        <v>40</v>
      </c>
      <c r="E386" t="s">
        <v>41</v>
      </c>
      <c r="F386" t="s">
        <v>42</v>
      </c>
      <c r="G386" t="s">
        <v>43</v>
      </c>
      <c r="H386" t="s">
        <v>52</v>
      </c>
      <c r="J386" t="s">
        <v>184</v>
      </c>
      <c r="K386" t="s">
        <v>45</v>
      </c>
      <c r="L386">
        <v>364100</v>
      </c>
      <c r="M386" t="s">
        <v>46</v>
      </c>
      <c r="N386" t="s">
        <v>415</v>
      </c>
    </row>
    <row r="387" spans="1:16" ht="15" hidden="1" customHeight="1" x14ac:dyDescent="0.25">
      <c r="A387" t="s">
        <v>184</v>
      </c>
      <c r="B387" t="s">
        <v>290</v>
      </c>
      <c r="C387">
        <v>4</v>
      </c>
      <c r="D387" t="s">
        <v>40</v>
      </c>
      <c r="E387" t="s">
        <v>41</v>
      </c>
      <c r="F387" t="s">
        <v>42</v>
      </c>
      <c r="G387" t="s">
        <v>43</v>
      </c>
      <c r="H387" t="s">
        <v>54</v>
      </c>
      <c r="J387" t="s">
        <v>184</v>
      </c>
      <c r="K387" t="s">
        <v>45</v>
      </c>
      <c r="L387">
        <v>145000</v>
      </c>
      <c r="M387" t="s">
        <v>46</v>
      </c>
      <c r="N387" t="s">
        <v>416</v>
      </c>
    </row>
    <row r="388" spans="1:16" ht="15" hidden="1" customHeight="1" x14ac:dyDescent="0.25">
      <c r="A388" t="s">
        <v>184</v>
      </c>
      <c r="B388" t="s">
        <v>290</v>
      </c>
      <c r="C388">
        <v>4</v>
      </c>
      <c r="D388" t="s">
        <v>40</v>
      </c>
      <c r="E388" t="s">
        <v>41</v>
      </c>
      <c r="F388" t="s">
        <v>42</v>
      </c>
      <c r="G388" t="s">
        <v>43</v>
      </c>
      <c r="H388" t="s">
        <v>56</v>
      </c>
      <c r="J388" t="s">
        <v>184</v>
      </c>
      <c r="K388" t="s">
        <v>45</v>
      </c>
      <c r="L388">
        <v>41400</v>
      </c>
      <c r="M388" t="s">
        <v>46</v>
      </c>
      <c r="N388" t="s">
        <v>417</v>
      </c>
    </row>
    <row r="389" spans="1:16" ht="15" hidden="1" customHeight="1" x14ac:dyDescent="0.25">
      <c r="A389" t="s">
        <v>184</v>
      </c>
      <c r="B389" t="s">
        <v>290</v>
      </c>
      <c r="C389">
        <v>4</v>
      </c>
      <c r="D389" t="s">
        <v>40</v>
      </c>
      <c r="E389" t="s">
        <v>41</v>
      </c>
      <c r="F389" t="s">
        <v>42</v>
      </c>
      <c r="G389" t="s">
        <v>43</v>
      </c>
      <c r="H389" t="s">
        <v>58</v>
      </c>
      <c r="J389" t="s">
        <v>184</v>
      </c>
      <c r="K389" t="s">
        <v>45</v>
      </c>
      <c r="L389">
        <v>15000</v>
      </c>
      <c r="M389" t="s">
        <v>46</v>
      </c>
      <c r="N389" t="s">
        <v>418</v>
      </c>
    </row>
    <row r="390" spans="1:16" ht="15" hidden="1" customHeight="1" x14ac:dyDescent="0.25">
      <c r="A390" t="s">
        <v>184</v>
      </c>
      <c r="B390" t="s">
        <v>290</v>
      </c>
      <c r="C390">
        <v>4</v>
      </c>
      <c r="D390" t="s">
        <v>40</v>
      </c>
      <c r="E390" t="s">
        <v>41</v>
      </c>
      <c r="F390" t="s">
        <v>42</v>
      </c>
      <c r="G390" t="s">
        <v>43</v>
      </c>
      <c r="H390" t="s">
        <v>60</v>
      </c>
      <c r="J390" t="s">
        <v>184</v>
      </c>
      <c r="K390" t="s">
        <v>45</v>
      </c>
      <c r="L390">
        <v>830</v>
      </c>
      <c r="M390" t="s">
        <v>46</v>
      </c>
      <c r="N390" t="s">
        <v>419</v>
      </c>
    </row>
    <row r="391" spans="1:16" ht="15" hidden="1" customHeight="1" x14ac:dyDescent="0.25">
      <c r="A391" t="s">
        <v>184</v>
      </c>
      <c r="B391" t="s">
        <v>290</v>
      </c>
      <c r="C391">
        <v>4</v>
      </c>
      <c r="D391" t="s">
        <v>40</v>
      </c>
      <c r="E391" t="s">
        <v>41</v>
      </c>
      <c r="F391" t="s">
        <v>42</v>
      </c>
      <c r="G391" t="s">
        <v>43</v>
      </c>
      <c r="H391" t="s">
        <v>62</v>
      </c>
      <c r="J391" t="s">
        <v>184</v>
      </c>
      <c r="K391" t="s">
        <v>45</v>
      </c>
      <c r="L391">
        <v>1370000</v>
      </c>
      <c r="M391" t="s">
        <v>46</v>
      </c>
      <c r="N391" t="s">
        <v>420</v>
      </c>
    </row>
    <row r="392" spans="1:16" ht="15" hidden="1" customHeight="1" x14ac:dyDescent="0.25">
      <c r="A392" t="s">
        <v>184</v>
      </c>
      <c r="B392" t="s">
        <v>290</v>
      </c>
      <c r="C392">
        <v>4</v>
      </c>
      <c r="D392" t="s">
        <v>40</v>
      </c>
      <c r="E392" t="s">
        <v>41</v>
      </c>
      <c r="F392" t="s">
        <v>42</v>
      </c>
      <c r="G392" t="s">
        <v>43</v>
      </c>
      <c r="H392" t="s">
        <v>66</v>
      </c>
      <c r="J392" t="s">
        <v>184</v>
      </c>
      <c r="K392" t="s">
        <v>45</v>
      </c>
      <c r="L392">
        <v>2630000</v>
      </c>
      <c r="M392" t="s">
        <v>46</v>
      </c>
      <c r="N392" t="s">
        <v>421</v>
      </c>
    </row>
    <row r="393" spans="1:16" ht="15" hidden="1" customHeight="1" x14ac:dyDescent="0.25">
      <c r="A393" t="s">
        <v>184</v>
      </c>
      <c r="B393" t="s">
        <v>290</v>
      </c>
      <c r="C393">
        <v>4</v>
      </c>
      <c r="D393" t="s">
        <v>40</v>
      </c>
      <c r="E393" t="s">
        <v>41</v>
      </c>
      <c r="F393" t="s">
        <v>42</v>
      </c>
      <c r="G393" t="s">
        <v>43</v>
      </c>
      <c r="H393" t="s">
        <v>70</v>
      </c>
      <c r="J393" t="s">
        <v>184</v>
      </c>
      <c r="K393" t="s">
        <v>45</v>
      </c>
      <c r="L393">
        <v>1620000</v>
      </c>
      <c r="M393" t="s">
        <v>46</v>
      </c>
      <c r="N393" t="s">
        <v>422</v>
      </c>
    </row>
    <row r="394" spans="1:16" ht="15" hidden="1" customHeight="1" x14ac:dyDescent="0.25">
      <c r="A394" t="s">
        <v>184</v>
      </c>
      <c r="B394" t="s">
        <v>290</v>
      </c>
      <c r="C394">
        <v>4</v>
      </c>
      <c r="D394" t="s">
        <v>40</v>
      </c>
      <c r="E394" t="s">
        <v>41</v>
      </c>
      <c r="F394" t="s">
        <v>42</v>
      </c>
      <c r="G394" t="s">
        <v>43</v>
      </c>
      <c r="H394" t="s">
        <v>72</v>
      </c>
      <c r="J394" t="s">
        <v>184</v>
      </c>
      <c r="K394" t="s">
        <v>45</v>
      </c>
      <c r="L394">
        <v>370000</v>
      </c>
      <c r="M394" t="s">
        <v>46</v>
      </c>
      <c r="N394" t="s">
        <v>423</v>
      </c>
    </row>
    <row r="395" spans="1:16" ht="15" hidden="1" customHeight="1" x14ac:dyDescent="0.25">
      <c r="A395" t="s">
        <v>184</v>
      </c>
      <c r="B395" t="s">
        <v>290</v>
      </c>
      <c r="C395">
        <v>4</v>
      </c>
      <c r="D395" t="s">
        <v>40</v>
      </c>
      <c r="E395" t="s">
        <v>41</v>
      </c>
      <c r="F395" t="s">
        <v>303</v>
      </c>
      <c r="G395" t="s">
        <v>304</v>
      </c>
      <c r="H395" t="s">
        <v>305</v>
      </c>
      <c r="J395" t="s">
        <v>184</v>
      </c>
      <c r="K395" t="s">
        <v>45</v>
      </c>
      <c r="L395">
        <v>1077</v>
      </c>
      <c r="M395" t="s">
        <v>46</v>
      </c>
      <c r="N395" t="s">
        <v>329</v>
      </c>
    </row>
    <row r="396" spans="1:16" ht="15" hidden="1" customHeight="1" x14ac:dyDescent="0.25">
      <c r="A396" t="s">
        <v>184</v>
      </c>
      <c r="B396" t="s">
        <v>290</v>
      </c>
      <c r="C396">
        <v>4</v>
      </c>
      <c r="D396" t="s">
        <v>40</v>
      </c>
      <c r="E396" t="s">
        <v>41</v>
      </c>
      <c r="F396" t="s">
        <v>303</v>
      </c>
      <c r="G396" t="s">
        <v>304</v>
      </c>
      <c r="H396" t="s">
        <v>307</v>
      </c>
      <c r="J396" t="s">
        <v>184</v>
      </c>
      <c r="K396" t="s">
        <v>45</v>
      </c>
      <c r="L396">
        <v>2035</v>
      </c>
      <c r="M396" t="s">
        <v>46</v>
      </c>
      <c r="N396" t="s">
        <v>424</v>
      </c>
    </row>
    <row r="397" spans="1:16" ht="15" hidden="1" customHeight="1" x14ac:dyDescent="0.25">
      <c r="A397" t="s">
        <v>184</v>
      </c>
      <c r="B397" t="s">
        <v>290</v>
      </c>
      <c r="C397">
        <v>4</v>
      </c>
      <c r="D397" t="s">
        <v>40</v>
      </c>
      <c r="E397" t="s">
        <v>41</v>
      </c>
      <c r="F397" t="s">
        <v>303</v>
      </c>
      <c r="G397" t="s">
        <v>304</v>
      </c>
      <c r="H397" t="s">
        <v>309</v>
      </c>
      <c r="J397" t="s">
        <v>184</v>
      </c>
      <c r="K397" t="s">
        <v>45</v>
      </c>
      <c r="L397">
        <v>8</v>
      </c>
      <c r="M397" t="s">
        <v>46</v>
      </c>
      <c r="N397" t="s">
        <v>310</v>
      </c>
    </row>
    <row r="398" spans="1:16" ht="15" hidden="1" customHeight="1" x14ac:dyDescent="0.25">
      <c r="A398" t="s">
        <v>184</v>
      </c>
      <c r="B398" t="s">
        <v>290</v>
      </c>
      <c r="C398">
        <v>4</v>
      </c>
      <c r="D398" t="s">
        <v>40</v>
      </c>
      <c r="E398" t="s">
        <v>41</v>
      </c>
      <c r="F398" t="s">
        <v>303</v>
      </c>
      <c r="G398" t="s">
        <v>304</v>
      </c>
      <c r="H398" t="s">
        <v>311</v>
      </c>
      <c r="J398" t="s">
        <v>184</v>
      </c>
      <c r="K398" t="s">
        <v>45</v>
      </c>
      <c r="L398">
        <v>4480</v>
      </c>
      <c r="M398" t="s">
        <v>46</v>
      </c>
      <c r="N398" t="s">
        <v>425</v>
      </c>
    </row>
    <row r="399" spans="1:16" ht="15" hidden="1" customHeight="1" x14ac:dyDescent="0.25">
      <c r="A399" t="s">
        <v>184</v>
      </c>
      <c r="B399" t="s">
        <v>290</v>
      </c>
      <c r="C399">
        <v>4</v>
      </c>
      <c r="D399" t="s">
        <v>40</v>
      </c>
      <c r="E399" t="s">
        <v>41</v>
      </c>
      <c r="F399" t="s">
        <v>303</v>
      </c>
      <c r="G399" t="s">
        <v>304</v>
      </c>
      <c r="H399" t="s">
        <v>313</v>
      </c>
      <c r="J399" t="s">
        <v>184</v>
      </c>
      <c r="K399" t="s">
        <v>45</v>
      </c>
      <c r="L399">
        <v>2950000</v>
      </c>
      <c r="M399" t="s">
        <v>46</v>
      </c>
      <c r="N399" t="s">
        <v>426</v>
      </c>
    </row>
    <row r="400" spans="1:16" ht="15" hidden="1" customHeight="1" x14ac:dyDescent="0.25">
      <c r="A400" t="s">
        <v>184</v>
      </c>
      <c r="B400" t="s">
        <v>290</v>
      </c>
      <c r="C400">
        <v>4</v>
      </c>
      <c r="D400" t="s">
        <v>74</v>
      </c>
      <c r="E400" t="s">
        <v>75</v>
      </c>
      <c r="F400" t="s">
        <v>42</v>
      </c>
      <c r="G400" t="s">
        <v>43</v>
      </c>
      <c r="J400" t="s">
        <v>169</v>
      </c>
      <c r="K400" t="s">
        <v>77</v>
      </c>
      <c r="L400">
        <v>2910000</v>
      </c>
      <c r="M400" t="s">
        <v>46</v>
      </c>
      <c r="N400" t="s">
        <v>411</v>
      </c>
      <c r="O400" t="s">
        <v>79</v>
      </c>
      <c r="P400" t="s">
        <v>103</v>
      </c>
    </row>
    <row r="401" spans="1:17" ht="15" hidden="1" customHeight="1" x14ac:dyDescent="0.25">
      <c r="A401" t="s">
        <v>184</v>
      </c>
      <c r="B401" t="s">
        <v>290</v>
      </c>
      <c r="C401">
        <v>4</v>
      </c>
      <c r="D401" t="s">
        <v>85</v>
      </c>
      <c r="E401" t="s">
        <v>86</v>
      </c>
      <c r="F401" t="s">
        <v>42</v>
      </c>
      <c r="G401" t="s">
        <v>43</v>
      </c>
      <c r="J401" t="s">
        <v>184</v>
      </c>
      <c r="K401" t="s">
        <v>45</v>
      </c>
      <c r="L401">
        <v>3000000</v>
      </c>
      <c r="M401" t="s">
        <v>46</v>
      </c>
      <c r="N401" t="s">
        <v>427</v>
      </c>
    </row>
    <row r="402" spans="1:17" ht="15" hidden="1" customHeight="1" x14ac:dyDescent="0.25">
      <c r="A402" t="s">
        <v>38</v>
      </c>
      <c r="B402" t="s">
        <v>290</v>
      </c>
      <c r="C402">
        <v>5</v>
      </c>
      <c r="D402" t="s">
        <v>40</v>
      </c>
      <c r="E402" t="s">
        <v>41</v>
      </c>
      <c r="F402" t="s">
        <v>198</v>
      </c>
      <c r="G402" t="s">
        <v>199</v>
      </c>
      <c r="H402" t="s">
        <v>428</v>
      </c>
      <c r="J402" t="s">
        <v>38</v>
      </c>
      <c r="K402" t="s">
        <v>45</v>
      </c>
      <c r="L402">
        <v>339000</v>
      </c>
      <c r="M402" t="s">
        <v>46</v>
      </c>
      <c r="N402" t="s">
        <v>429</v>
      </c>
    </row>
    <row r="403" spans="1:17" ht="15" hidden="1" customHeight="1" x14ac:dyDescent="0.25">
      <c r="A403" t="s">
        <v>38</v>
      </c>
      <c r="B403" t="s">
        <v>290</v>
      </c>
      <c r="C403">
        <v>5</v>
      </c>
      <c r="D403" t="s">
        <v>40</v>
      </c>
      <c r="E403" t="s">
        <v>41</v>
      </c>
      <c r="F403" t="s">
        <v>198</v>
      </c>
      <c r="G403" t="s">
        <v>199</v>
      </c>
      <c r="H403" t="s">
        <v>430</v>
      </c>
      <c r="J403" t="s">
        <v>38</v>
      </c>
      <c r="K403" t="s">
        <v>45</v>
      </c>
      <c r="L403">
        <v>517000</v>
      </c>
      <c r="M403" t="s">
        <v>46</v>
      </c>
      <c r="N403" t="s">
        <v>431</v>
      </c>
    </row>
    <row r="404" spans="1:17" ht="15" hidden="1" customHeight="1" x14ac:dyDescent="0.25">
      <c r="A404" t="s">
        <v>38</v>
      </c>
      <c r="B404" t="s">
        <v>290</v>
      </c>
      <c r="C404">
        <v>5</v>
      </c>
      <c r="D404" t="s">
        <v>40</v>
      </c>
      <c r="E404" t="s">
        <v>41</v>
      </c>
      <c r="F404" t="s">
        <v>198</v>
      </c>
      <c r="G404" t="s">
        <v>199</v>
      </c>
      <c r="H404" t="s">
        <v>200</v>
      </c>
      <c r="J404" t="s">
        <v>38</v>
      </c>
      <c r="K404" t="s">
        <v>45</v>
      </c>
      <c r="L404">
        <v>13750000</v>
      </c>
      <c r="M404" t="s">
        <v>46</v>
      </c>
      <c r="N404" t="s">
        <v>432</v>
      </c>
    </row>
    <row r="405" spans="1:17" ht="15" hidden="1" customHeight="1" x14ac:dyDescent="0.25">
      <c r="A405" t="s">
        <v>38</v>
      </c>
      <c r="B405" t="s">
        <v>290</v>
      </c>
      <c r="C405">
        <v>5</v>
      </c>
      <c r="D405" t="s">
        <v>40</v>
      </c>
      <c r="E405" t="s">
        <v>41</v>
      </c>
      <c r="F405" t="s">
        <v>198</v>
      </c>
      <c r="G405" t="s">
        <v>199</v>
      </c>
      <c r="H405" t="s">
        <v>200</v>
      </c>
      <c r="I405" t="s">
        <v>202</v>
      </c>
      <c r="J405" t="s">
        <v>38</v>
      </c>
      <c r="K405" t="s">
        <v>45</v>
      </c>
      <c r="L405">
        <v>4500000</v>
      </c>
      <c r="M405" t="s">
        <v>46</v>
      </c>
      <c r="N405" t="s">
        <v>433</v>
      </c>
      <c r="Q405" t="s">
        <v>204</v>
      </c>
    </row>
    <row r="406" spans="1:17" ht="15" hidden="1" customHeight="1" x14ac:dyDescent="0.25">
      <c r="A406" t="s">
        <v>38</v>
      </c>
      <c r="B406" t="s">
        <v>290</v>
      </c>
      <c r="C406">
        <v>5</v>
      </c>
      <c r="D406" t="s">
        <v>40</v>
      </c>
      <c r="E406" t="s">
        <v>41</v>
      </c>
      <c r="F406" t="s">
        <v>198</v>
      </c>
      <c r="G406" t="s">
        <v>199</v>
      </c>
      <c r="H406" t="s">
        <v>200</v>
      </c>
      <c r="I406" t="s">
        <v>205</v>
      </c>
      <c r="J406" t="s">
        <v>38</v>
      </c>
      <c r="K406" t="s">
        <v>45</v>
      </c>
      <c r="L406">
        <v>4900000</v>
      </c>
      <c r="M406" t="s">
        <v>46</v>
      </c>
      <c r="N406" t="s">
        <v>434</v>
      </c>
      <c r="Q406" t="s">
        <v>204</v>
      </c>
    </row>
    <row r="407" spans="1:17" ht="15" hidden="1" customHeight="1" x14ac:dyDescent="0.25">
      <c r="A407" t="s">
        <v>38</v>
      </c>
      <c r="B407" t="s">
        <v>290</v>
      </c>
      <c r="C407">
        <v>5</v>
      </c>
      <c r="D407" t="s">
        <v>40</v>
      </c>
      <c r="E407" t="s">
        <v>41</v>
      </c>
      <c r="F407" t="s">
        <v>198</v>
      </c>
      <c r="G407" t="s">
        <v>199</v>
      </c>
      <c r="H407" t="s">
        <v>207</v>
      </c>
      <c r="J407" t="s">
        <v>38</v>
      </c>
      <c r="K407" t="s">
        <v>45</v>
      </c>
      <c r="L407">
        <v>583000</v>
      </c>
      <c r="M407" t="s">
        <v>46</v>
      </c>
      <c r="N407" t="s">
        <v>435</v>
      </c>
    </row>
    <row r="408" spans="1:17" ht="15" hidden="1" customHeight="1" x14ac:dyDescent="0.25">
      <c r="A408" t="s">
        <v>38</v>
      </c>
      <c r="B408" t="s">
        <v>290</v>
      </c>
      <c r="C408">
        <v>5</v>
      </c>
      <c r="D408" t="s">
        <v>40</v>
      </c>
      <c r="E408" t="s">
        <v>41</v>
      </c>
      <c r="F408" t="s">
        <v>209</v>
      </c>
      <c r="G408" t="s">
        <v>199</v>
      </c>
      <c r="H408" t="s">
        <v>428</v>
      </c>
      <c r="J408" t="s">
        <v>38</v>
      </c>
      <c r="K408" t="s">
        <v>45</v>
      </c>
      <c r="L408">
        <v>60000000</v>
      </c>
      <c r="M408" t="s">
        <v>210</v>
      </c>
      <c r="N408" t="s">
        <v>436</v>
      </c>
    </row>
    <row r="409" spans="1:17" ht="15" hidden="1" customHeight="1" x14ac:dyDescent="0.25">
      <c r="A409" t="s">
        <v>38</v>
      </c>
      <c r="B409" t="s">
        <v>290</v>
      </c>
      <c r="C409">
        <v>5</v>
      </c>
      <c r="D409" t="s">
        <v>40</v>
      </c>
      <c r="E409" t="s">
        <v>41</v>
      </c>
      <c r="F409" t="s">
        <v>209</v>
      </c>
      <c r="G409" t="s">
        <v>199</v>
      </c>
      <c r="H409" t="s">
        <v>430</v>
      </c>
      <c r="J409" t="s">
        <v>38</v>
      </c>
      <c r="K409" t="s">
        <v>45</v>
      </c>
      <c r="L409">
        <v>90000000</v>
      </c>
      <c r="M409" t="s">
        <v>210</v>
      </c>
      <c r="N409" t="s">
        <v>437</v>
      </c>
    </row>
    <row r="410" spans="1:17" ht="15" hidden="1" customHeight="1" x14ac:dyDescent="0.25">
      <c r="A410" t="s">
        <v>38</v>
      </c>
      <c r="B410" t="s">
        <v>290</v>
      </c>
      <c r="C410">
        <v>5</v>
      </c>
      <c r="D410" t="s">
        <v>40</v>
      </c>
      <c r="E410" t="s">
        <v>41</v>
      </c>
      <c r="F410" t="s">
        <v>209</v>
      </c>
      <c r="G410" t="s">
        <v>199</v>
      </c>
      <c r="H410" t="s">
        <v>200</v>
      </c>
      <c r="J410" t="s">
        <v>38</v>
      </c>
      <c r="K410" t="s">
        <v>45</v>
      </c>
      <c r="L410">
        <v>1190000000</v>
      </c>
      <c r="M410" t="s">
        <v>210</v>
      </c>
      <c r="N410" t="s">
        <v>438</v>
      </c>
    </row>
    <row r="411" spans="1:17" ht="15" hidden="1" customHeight="1" x14ac:dyDescent="0.25">
      <c r="A411" t="s">
        <v>38</v>
      </c>
      <c r="B411" t="s">
        <v>290</v>
      </c>
      <c r="C411">
        <v>5</v>
      </c>
      <c r="D411" t="s">
        <v>40</v>
      </c>
      <c r="E411" t="s">
        <v>41</v>
      </c>
      <c r="F411" t="s">
        <v>209</v>
      </c>
      <c r="G411" t="s">
        <v>199</v>
      </c>
      <c r="H411" t="s">
        <v>200</v>
      </c>
      <c r="I411" t="s">
        <v>202</v>
      </c>
      <c r="J411" t="s">
        <v>38</v>
      </c>
      <c r="K411" t="s">
        <v>45</v>
      </c>
      <c r="L411">
        <v>279000000</v>
      </c>
      <c r="M411" t="s">
        <v>210</v>
      </c>
      <c r="N411" t="s">
        <v>439</v>
      </c>
      <c r="Q411" t="s">
        <v>204</v>
      </c>
    </row>
    <row r="412" spans="1:17" ht="15" hidden="1" customHeight="1" x14ac:dyDescent="0.25">
      <c r="A412" t="s">
        <v>38</v>
      </c>
      <c r="B412" t="s">
        <v>290</v>
      </c>
      <c r="C412">
        <v>5</v>
      </c>
      <c r="D412" t="s">
        <v>40</v>
      </c>
      <c r="E412" t="s">
        <v>41</v>
      </c>
      <c r="F412" t="s">
        <v>209</v>
      </c>
      <c r="G412" t="s">
        <v>199</v>
      </c>
      <c r="H412" t="s">
        <v>200</v>
      </c>
      <c r="I412" t="s">
        <v>205</v>
      </c>
      <c r="J412" t="s">
        <v>38</v>
      </c>
      <c r="K412" t="s">
        <v>45</v>
      </c>
      <c r="L412">
        <v>294000000</v>
      </c>
      <c r="M412" t="s">
        <v>210</v>
      </c>
      <c r="N412" t="s">
        <v>440</v>
      </c>
      <c r="Q412" t="s">
        <v>204</v>
      </c>
    </row>
    <row r="413" spans="1:17" ht="15" hidden="1" customHeight="1" x14ac:dyDescent="0.25">
      <c r="A413" t="s">
        <v>38</v>
      </c>
      <c r="B413" t="s">
        <v>290</v>
      </c>
      <c r="C413">
        <v>5</v>
      </c>
      <c r="D413" t="s">
        <v>40</v>
      </c>
      <c r="E413" t="s">
        <v>41</v>
      </c>
      <c r="F413" t="s">
        <v>209</v>
      </c>
      <c r="G413" t="s">
        <v>199</v>
      </c>
      <c r="H413" t="s">
        <v>207</v>
      </c>
      <c r="J413" t="s">
        <v>38</v>
      </c>
      <c r="K413" t="s">
        <v>45</v>
      </c>
      <c r="L413">
        <v>46000000</v>
      </c>
      <c r="M413" t="s">
        <v>210</v>
      </c>
      <c r="N413" t="s">
        <v>441</v>
      </c>
    </row>
    <row r="414" spans="1:17" ht="15" hidden="1" customHeight="1" x14ac:dyDescent="0.25">
      <c r="A414" t="s">
        <v>38</v>
      </c>
      <c r="B414" t="s">
        <v>290</v>
      </c>
      <c r="C414">
        <v>5</v>
      </c>
      <c r="D414" t="s">
        <v>74</v>
      </c>
      <c r="E414" t="s">
        <v>75</v>
      </c>
      <c r="F414" t="s">
        <v>198</v>
      </c>
      <c r="G414" t="s">
        <v>199</v>
      </c>
      <c r="J414" t="s">
        <v>76</v>
      </c>
      <c r="K414" t="s">
        <v>77</v>
      </c>
      <c r="L414">
        <v>10820000</v>
      </c>
      <c r="M414" t="s">
        <v>46</v>
      </c>
      <c r="N414" t="s">
        <v>442</v>
      </c>
      <c r="O414" t="s">
        <v>79</v>
      </c>
      <c r="P414" t="s">
        <v>80</v>
      </c>
      <c r="Q414" t="s">
        <v>81</v>
      </c>
    </row>
    <row r="415" spans="1:17" ht="15" hidden="1" customHeight="1" x14ac:dyDescent="0.25">
      <c r="A415" t="s">
        <v>38</v>
      </c>
      <c r="B415" t="s">
        <v>290</v>
      </c>
      <c r="C415">
        <v>5</v>
      </c>
      <c r="D415" t="s">
        <v>74</v>
      </c>
      <c r="E415" t="s">
        <v>75</v>
      </c>
      <c r="F415" t="s">
        <v>198</v>
      </c>
      <c r="G415" t="s">
        <v>199</v>
      </c>
      <c r="J415" t="s">
        <v>82</v>
      </c>
      <c r="K415" t="s">
        <v>77</v>
      </c>
      <c r="L415">
        <v>13380000</v>
      </c>
      <c r="M415" t="s">
        <v>46</v>
      </c>
      <c r="N415" t="s">
        <v>443</v>
      </c>
      <c r="O415" t="s">
        <v>79</v>
      </c>
      <c r="P415" t="s">
        <v>80</v>
      </c>
      <c r="Q415" t="s">
        <v>84</v>
      </c>
    </row>
    <row r="416" spans="1:17" ht="15" hidden="1" customHeight="1" x14ac:dyDescent="0.25">
      <c r="A416" t="s">
        <v>38</v>
      </c>
      <c r="B416" t="s">
        <v>290</v>
      </c>
      <c r="C416">
        <v>5</v>
      </c>
      <c r="D416" t="s">
        <v>74</v>
      </c>
      <c r="E416" t="s">
        <v>75</v>
      </c>
      <c r="F416" t="s">
        <v>209</v>
      </c>
      <c r="G416" t="s">
        <v>199</v>
      </c>
      <c r="J416" t="s">
        <v>76</v>
      </c>
      <c r="K416" t="s">
        <v>77</v>
      </c>
      <c r="L416">
        <v>1120000000</v>
      </c>
      <c r="M416" t="s">
        <v>210</v>
      </c>
      <c r="N416" t="s">
        <v>444</v>
      </c>
      <c r="O416" t="s">
        <v>79</v>
      </c>
      <c r="P416" t="s">
        <v>80</v>
      </c>
      <c r="Q416" t="s">
        <v>81</v>
      </c>
    </row>
    <row r="417" spans="1:17" ht="15" hidden="1" customHeight="1" x14ac:dyDescent="0.25">
      <c r="A417" t="s">
        <v>38</v>
      </c>
      <c r="B417" t="s">
        <v>290</v>
      </c>
      <c r="C417">
        <v>5</v>
      </c>
      <c r="D417" t="s">
        <v>74</v>
      </c>
      <c r="E417" t="s">
        <v>75</v>
      </c>
      <c r="F417" t="s">
        <v>209</v>
      </c>
      <c r="G417" t="s">
        <v>199</v>
      </c>
      <c r="J417" t="s">
        <v>82</v>
      </c>
      <c r="K417" t="s">
        <v>77</v>
      </c>
      <c r="L417">
        <v>1310000000</v>
      </c>
      <c r="M417" t="s">
        <v>210</v>
      </c>
      <c r="N417" t="s">
        <v>445</v>
      </c>
      <c r="O417" t="s">
        <v>79</v>
      </c>
      <c r="P417" t="s">
        <v>80</v>
      </c>
      <c r="Q417" t="s">
        <v>84</v>
      </c>
    </row>
    <row r="418" spans="1:17" ht="15" hidden="1" customHeight="1" x14ac:dyDescent="0.25">
      <c r="A418" t="s">
        <v>38</v>
      </c>
      <c r="B418" t="s">
        <v>290</v>
      </c>
      <c r="C418">
        <v>5</v>
      </c>
      <c r="D418" t="s">
        <v>85</v>
      </c>
      <c r="E418" t="s">
        <v>86</v>
      </c>
      <c r="F418" t="s">
        <v>198</v>
      </c>
      <c r="G418" t="s">
        <v>199</v>
      </c>
      <c r="J418" t="s">
        <v>38</v>
      </c>
      <c r="K418" t="s">
        <v>45</v>
      </c>
      <c r="L418">
        <v>15190000</v>
      </c>
      <c r="M418" t="s">
        <v>46</v>
      </c>
      <c r="N418" t="s">
        <v>446</v>
      </c>
    </row>
    <row r="419" spans="1:17" ht="15" hidden="1" customHeight="1" x14ac:dyDescent="0.25">
      <c r="A419" t="s">
        <v>38</v>
      </c>
      <c r="B419" t="s">
        <v>290</v>
      </c>
      <c r="C419">
        <v>5</v>
      </c>
      <c r="D419" t="s">
        <v>85</v>
      </c>
      <c r="E419" t="s">
        <v>86</v>
      </c>
      <c r="F419" t="s">
        <v>209</v>
      </c>
      <c r="G419" t="s">
        <v>199</v>
      </c>
      <c r="J419" t="s">
        <v>38</v>
      </c>
      <c r="K419" t="s">
        <v>45</v>
      </c>
      <c r="L419">
        <v>1380000000</v>
      </c>
      <c r="M419" t="s">
        <v>210</v>
      </c>
      <c r="N419" t="s">
        <v>447</v>
      </c>
    </row>
    <row r="420" spans="1:17" ht="15" hidden="1" customHeight="1" x14ac:dyDescent="0.25">
      <c r="A420" t="s">
        <v>88</v>
      </c>
      <c r="B420" t="s">
        <v>290</v>
      </c>
      <c r="C420">
        <v>5</v>
      </c>
      <c r="D420" t="s">
        <v>40</v>
      </c>
      <c r="E420" t="s">
        <v>41</v>
      </c>
      <c r="F420" t="s">
        <v>198</v>
      </c>
      <c r="G420" t="s">
        <v>199</v>
      </c>
      <c r="H420" t="s">
        <v>428</v>
      </c>
      <c r="J420" t="s">
        <v>88</v>
      </c>
      <c r="K420" t="s">
        <v>45</v>
      </c>
      <c r="L420">
        <v>367000</v>
      </c>
      <c r="M420" t="s">
        <v>46</v>
      </c>
      <c r="N420" t="s">
        <v>448</v>
      </c>
    </row>
    <row r="421" spans="1:17" ht="15" hidden="1" customHeight="1" x14ac:dyDescent="0.25">
      <c r="A421" t="s">
        <v>88</v>
      </c>
      <c r="B421" t="s">
        <v>290</v>
      </c>
      <c r="C421">
        <v>5</v>
      </c>
      <c r="D421" t="s">
        <v>40</v>
      </c>
      <c r="E421" t="s">
        <v>41</v>
      </c>
      <c r="F421" t="s">
        <v>198</v>
      </c>
      <c r="G421" t="s">
        <v>199</v>
      </c>
      <c r="H421" t="s">
        <v>430</v>
      </c>
      <c r="J421" t="s">
        <v>88</v>
      </c>
      <c r="K421" t="s">
        <v>45</v>
      </c>
      <c r="L421">
        <v>551000</v>
      </c>
      <c r="M421" t="s">
        <v>46</v>
      </c>
      <c r="N421" t="s">
        <v>449</v>
      </c>
    </row>
    <row r="422" spans="1:17" ht="15" hidden="1" customHeight="1" x14ac:dyDescent="0.25">
      <c r="A422" t="s">
        <v>88</v>
      </c>
      <c r="B422" t="s">
        <v>290</v>
      </c>
      <c r="C422">
        <v>5</v>
      </c>
      <c r="D422" t="s">
        <v>40</v>
      </c>
      <c r="E422" t="s">
        <v>41</v>
      </c>
      <c r="F422" t="s">
        <v>198</v>
      </c>
      <c r="G422" t="s">
        <v>199</v>
      </c>
      <c r="H422" t="s">
        <v>200</v>
      </c>
      <c r="J422" t="s">
        <v>88</v>
      </c>
      <c r="K422" t="s">
        <v>45</v>
      </c>
      <c r="L422">
        <v>15890000</v>
      </c>
      <c r="M422" t="s">
        <v>46</v>
      </c>
      <c r="N422" t="s">
        <v>450</v>
      </c>
    </row>
    <row r="423" spans="1:17" ht="15" hidden="1" customHeight="1" x14ac:dyDescent="0.25">
      <c r="A423" t="s">
        <v>88</v>
      </c>
      <c r="B423" t="s">
        <v>290</v>
      </c>
      <c r="C423">
        <v>5</v>
      </c>
      <c r="D423" t="s">
        <v>40</v>
      </c>
      <c r="E423" t="s">
        <v>41</v>
      </c>
      <c r="F423" t="s">
        <v>198</v>
      </c>
      <c r="G423" t="s">
        <v>199</v>
      </c>
      <c r="H423" t="s">
        <v>200</v>
      </c>
      <c r="I423" t="s">
        <v>202</v>
      </c>
      <c r="J423" t="s">
        <v>88</v>
      </c>
      <c r="K423" t="s">
        <v>45</v>
      </c>
      <c r="L423">
        <v>5000000</v>
      </c>
      <c r="M423" t="s">
        <v>46</v>
      </c>
      <c r="N423" t="s">
        <v>451</v>
      </c>
      <c r="Q423" t="s">
        <v>204</v>
      </c>
    </row>
    <row r="424" spans="1:17" ht="15" hidden="1" customHeight="1" x14ac:dyDescent="0.25">
      <c r="A424" t="s">
        <v>88</v>
      </c>
      <c r="B424" t="s">
        <v>290</v>
      </c>
      <c r="C424">
        <v>5</v>
      </c>
      <c r="D424" t="s">
        <v>40</v>
      </c>
      <c r="E424" t="s">
        <v>41</v>
      </c>
      <c r="F424" t="s">
        <v>198</v>
      </c>
      <c r="G424" t="s">
        <v>199</v>
      </c>
      <c r="H424" t="s">
        <v>200</v>
      </c>
      <c r="I424" t="s">
        <v>205</v>
      </c>
      <c r="J424" t="s">
        <v>88</v>
      </c>
      <c r="K424" t="s">
        <v>45</v>
      </c>
      <c r="L424">
        <v>5600000</v>
      </c>
      <c r="M424" t="s">
        <v>46</v>
      </c>
      <c r="N424" t="s">
        <v>452</v>
      </c>
      <c r="Q424" t="s">
        <v>204</v>
      </c>
    </row>
    <row r="425" spans="1:17" ht="15" hidden="1" customHeight="1" x14ac:dyDescent="0.25">
      <c r="A425" t="s">
        <v>88</v>
      </c>
      <c r="B425" t="s">
        <v>290</v>
      </c>
      <c r="C425">
        <v>5</v>
      </c>
      <c r="D425" t="s">
        <v>40</v>
      </c>
      <c r="E425" t="s">
        <v>41</v>
      </c>
      <c r="F425" t="s">
        <v>198</v>
      </c>
      <c r="G425" t="s">
        <v>199</v>
      </c>
      <c r="H425" t="s">
        <v>207</v>
      </c>
      <c r="J425" t="s">
        <v>88</v>
      </c>
      <c r="K425" t="s">
        <v>45</v>
      </c>
      <c r="L425">
        <v>597000</v>
      </c>
      <c r="M425" t="s">
        <v>46</v>
      </c>
      <c r="N425" t="s">
        <v>453</v>
      </c>
    </row>
    <row r="426" spans="1:17" ht="15" hidden="1" customHeight="1" x14ac:dyDescent="0.25">
      <c r="A426" t="s">
        <v>88</v>
      </c>
      <c r="B426" t="s">
        <v>290</v>
      </c>
      <c r="C426">
        <v>5</v>
      </c>
      <c r="D426" t="s">
        <v>40</v>
      </c>
      <c r="E426" t="s">
        <v>41</v>
      </c>
      <c r="F426" t="s">
        <v>209</v>
      </c>
      <c r="G426" t="s">
        <v>199</v>
      </c>
      <c r="H426" t="s">
        <v>428</v>
      </c>
      <c r="J426" t="s">
        <v>88</v>
      </c>
      <c r="K426" t="s">
        <v>45</v>
      </c>
      <c r="L426">
        <v>57000000</v>
      </c>
      <c r="M426" t="s">
        <v>210</v>
      </c>
      <c r="N426" t="s">
        <v>454</v>
      </c>
    </row>
    <row r="427" spans="1:17" ht="15" hidden="1" customHeight="1" x14ac:dyDescent="0.25">
      <c r="A427" t="s">
        <v>88</v>
      </c>
      <c r="B427" t="s">
        <v>290</v>
      </c>
      <c r="C427">
        <v>5</v>
      </c>
      <c r="D427" t="s">
        <v>40</v>
      </c>
      <c r="E427" t="s">
        <v>41</v>
      </c>
      <c r="F427" t="s">
        <v>209</v>
      </c>
      <c r="G427" t="s">
        <v>199</v>
      </c>
      <c r="H427" t="s">
        <v>430</v>
      </c>
      <c r="J427" t="s">
        <v>88</v>
      </c>
      <c r="K427" t="s">
        <v>45</v>
      </c>
      <c r="L427">
        <v>88000000</v>
      </c>
      <c r="M427" t="s">
        <v>210</v>
      </c>
      <c r="N427" t="s">
        <v>455</v>
      </c>
    </row>
    <row r="428" spans="1:17" ht="15" hidden="1" customHeight="1" x14ac:dyDescent="0.25">
      <c r="A428" t="s">
        <v>88</v>
      </c>
      <c r="B428" t="s">
        <v>290</v>
      </c>
      <c r="C428">
        <v>5</v>
      </c>
      <c r="D428" t="s">
        <v>40</v>
      </c>
      <c r="E428" t="s">
        <v>41</v>
      </c>
      <c r="F428" t="s">
        <v>209</v>
      </c>
      <c r="G428" t="s">
        <v>199</v>
      </c>
      <c r="H428" t="s">
        <v>200</v>
      </c>
      <c r="J428" t="s">
        <v>88</v>
      </c>
      <c r="K428" t="s">
        <v>45</v>
      </c>
      <c r="L428">
        <v>1210000000</v>
      </c>
      <c r="M428" t="s">
        <v>210</v>
      </c>
      <c r="N428" t="s">
        <v>456</v>
      </c>
    </row>
    <row r="429" spans="1:17" ht="15" hidden="1" customHeight="1" x14ac:dyDescent="0.25">
      <c r="A429" t="s">
        <v>88</v>
      </c>
      <c r="B429" t="s">
        <v>290</v>
      </c>
      <c r="C429">
        <v>5</v>
      </c>
      <c r="D429" t="s">
        <v>40</v>
      </c>
      <c r="E429" t="s">
        <v>41</v>
      </c>
      <c r="F429" t="s">
        <v>209</v>
      </c>
      <c r="G429" t="s">
        <v>199</v>
      </c>
      <c r="H429" t="s">
        <v>200</v>
      </c>
      <c r="I429" t="s">
        <v>202</v>
      </c>
      <c r="J429" t="s">
        <v>88</v>
      </c>
      <c r="K429" t="s">
        <v>45</v>
      </c>
      <c r="L429">
        <v>272000000</v>
      </c>
      <c r="M429" t="s">
        <v>210</v>
      </c>
      <c r="N429" t="s">
        <v>457</v>
      </c>
      <c r="Q429" t="s">
        <v>204</v>
      </c>
    </row>
    <row r="430" spans="1:17" ht="15" hidden="1" customHeight="1" x14ac:dyDescent="0.25">
      <c r="A430" t="s">
        <v>88</v>
      </c>
      <c r="B430" t="s">
        <v>290</v>
      </c>
      <c r="C430">
        <v>5</v>
      </c>
      <c r="D430" t="s">
        <v>40</v>
      </c>
      <c r="E430" t="s">
        <v>41</v>
      </c>
      <c r="F430" t="s">
        <v>209</v>
      </c>
      <c r="G430" t="s">
        <v>199</v>
      </c>
      <c r="H430" t="s">
        <v>200</v>
      </c>
      <c r="I430" t="s">
        <v>205</v>
      </c>
      <c r="J430" t="s">
        <v>88</v>
      </c>
      <c r="K430" t="s">
        <v>45</v>
      </c>
      <c r="L430">
        <v>280000000</v>
      </c>
      <c r="M430" t="s">
        <v>210</v>
      </c>
      <c r="N430" t="s">
        <v>458</v>
      </c>
      <c r="Q430" t="s">
        <v>204</v>
      </c>
    </row>
    <row r="431" spans="1:17" ht="15" hidden="1" customHeight="1" x14ac:dyDescent="0.25">
      <c r="A431" t="s">
        <v>88</v>
      </c>
      <c r="B431" t="s">
        <v>290</v>
      </c>
      <c r="C431">
        <v>5</v>
      </c>
      <c r="D431" t="s">
        <v>40</v>
      </c>
      <c r="E431" t="s">
        <v>41</v>
      </c>
      <c r="F431" t="s">
        <v>209</v>
      </c>
      <c r="G431" t="s">
        <v>199</v>
      </c>
      <c r="H431" t="s">
        <v>207</v>
      </c>
      <c r="J431" t="s">
        <v>88</v>
      </c>
      <c r="K431" t="s">
        <v>45</v>
      </c>
      <c r="L431">
        <v>45000000</v>
      </c>
      <c r="M431" t="s">
        <v>210</v>
      </c>
      <c r="N431" t="s">
        <v>459</v>
      </c>
    </row>
    <row r="432" spans="1:17" ht="15" hidden="1" customHeight="1" x14ac:dyDescent="0.25">
      <c r="A432" t="s">
        <v>88</v>
      </c>
      <c r="B432" t="s">
        <v>290</v>
      </c>
      <c r="C432">
        <v>5</v>
      </c>
      <c r="D432" t="s">
        <v>74</v>
      </c>
      <c r="E432" t="s">
        <v>75</v>
      </c>
      <c r="F432" t="s">
        <v>198</v>
      </c>
      <c r="G432" t="s">
        <v>199</v>
      </c>
      <c r="J432" t="s">
        <v>76</v>
      </c>
      <c r="K432" t="s">
        <v>77</v>
      </c>
      <c r="L432">
        <v>10820000</v>
      </c>
      <c r="M432" t="s">
        <v>46</v>
      </c>
      <c r="N432" t="s">
        <v>442</v>
      </c>
      <c r="O432" t="s">
        <v>79</v>
      </c>
      <c r="P432" t="s">
        <v>103</v>
      </c>
      <c r="Q432" t="s">
        <v>104</v>
      </c>
    </row>
    <row r="433" spans="1:17" ht="15" hidden="1" customHeight="1" x14ac:dyDescent="0.25">
      <c r="A433" t="s">
        <v>88</v>
      </c>
      <c r="B433" t="s">
        <v>290</v>
      </c>
      <c r="C433">
        <v>5</v>
      </c>
      <c r="D433" t="s">
        <v>74</v>
      </c>
      <c r="E433" t="s">
        <v>75</v>
      </c>
      <c r="F433" t="s">
        <v>198</v>
      </c>
      <c r="G433" t="s">
        <v>199</v>
      </c>
      <c r="J433" t="s">
        <v>82</v>
      </c>
      <c r="K433" t="s">
        <v>77</v>
      </c>
      <c r="L433">
        <v>13380000</v>
      </c>
      <c r="M433" t="s">
        <v>46</v>
      </c>
      <c r="N433" t="s">
        <v>443</v>
      </c>
      <c r="O433" t="s">
        <v>79</v>
      </c>
      <c r="P433" t="s">
        <v>103</v>
      </c>
      <c r="Q433" t="s">
        <v>105</v>
      </c>
    </row>
    <row r="434" spans="1:17" ht="15" hidden="1" customHeight="1" x14ac:dyDescent="0.25">
      <c r="A434" t="s">
        <v>88</v>
      </c>
      <c r="B434" t="s">
        <v>290</v>
      </c>
      <c r="C434">
        <v>5</v>
      </c>
      <c r="D434" t="s">
        <v>74</v>
      </c>
      <c r="E434" t="s">
        <v>75</v>
      </c>
      <c r="F434" t="s">
        <v>198</v>
      </c>
      <c r="G434" t="s">
        <v>199</v>
      </c>
      <c r="J434" t="s">
        <v>38</v>
      </c>
      <c r="K434" t="s">
        <v>77</v>
      </c>
      <c r="L434">
        <v>15190000</v>
      </c>
      <c r="M434" t="s">
        <v>46</v>
      </c>
      <c r="N434" t="s">
        <v>446</v>
      </c>
      <c r="O434" t="s">
        <v>79</v>
      </c>
      <c r="P434" t="s">
        <v>103</v>
      </c>
    </row>
    <row r="435" spans="1:17" ht="15" hidden="1" customHeight="1" x14ac:dyDescent="0.25">
      <c r="A435" t="s">
        <v>88</v>
      </c>
      <c r="B435" t="s">
        <v>290</v>
      </c>
      <c r="C435">
        <v>5</v>
      </c>
      <c r="D435" t="s">
        <v>74</v>
      </c>
      <c r="E435" t="s">
        <v>75</v>
      </c>
      <c r="F435" t="s">
        <v>209</v>
      </c>
      <c r="G435" t="s">
        <v>199</v>
      </c>
      <c r="J435" t="s">
        <v>76</v>
      </c>
      <c r="K435" t="s">
        <v>77</v>
      </c>
      <c r="L435">
        <v>1120000000</v>
      </c>
      <c r="M435" t="s">
        <v>210</v>
      </c>
      <c r="N435" t="s">
        <v>444</v>
      </c>
      <c r="O435" t="s">
        <v>79</v>
      </c>
      <c r="P435" t="s">
        <v>103</v>
      </c>
      <c r="Q435" t="s">
        <v>104</v>
      </c>
    </row>
    <row r="436" spans="1:17" ht="15" hidden="1" customHeight="1" x14ac:dyDescent="0.25">
      <c r="A436" t="s">
        <v>88</v>
      </c>
      <c r="B436" t="s">
        <v>290</v>
      </c>
      <c r="C436">
        <v>5</v>
      </c>
      <c r="D436" t="s">
        <v>74</v>
      </c>
      <c r="E436" t="s">
        <v>75</v>
      </c>
      <c r="F436" t="s">
        <v>209</v>
      </c>
      <c r="G436" t="s">
        <v>199</v>
      </c>
      <c r="J436" t="s">
        <v>82</v>
      </c>
      <c r="K436" t="s">
        <v>77</v>
      </c>
      <c r="L436">
        <v>1310000000</v>
      </c>
      <c r="M436" t="s">
        <v>210</v>
      </c>
      <c r="N436" t="s">
        <v>445</v>
      </c>
      <c r="O436" t="s">
        <v>79</v>
      </c>
      <c r="P436" t="s">
        <v>103</v>
      </c>
      <c r="Q436" t="s">
        <v>105</v>
      </c>
    </row>
    <row r="437" spans="1:17" ht="15" hidden="1" customHeight="1" x14ac:dyDescent="0.25">
      <c r="A437" t="s">
        <v>88</v>
      </c>
      <c r="B437" t="s">
        <v>290</v>
      </c>
      <c r="C437">
        <v>5</v>
      </c>
      <c r="D437" t="s">
        <v>74</v>
      </c>
      <c r="E437" t="s">
        <v>75</v>
      </c>
      <c r="F437" t="s">
        <v>209</v>
      </c>
      <c r="G437" t="s">
        <v>199</v>
      </c>
      <c r="J437" t="s">
        <v>38</v>
      </c>
      <c r="K437" t="s">
        <v>77</v>
      </c>
      <c r="L437">
        <v>1380000000</v>
      </c>
      <c r="M437" t="s">
        <v>210</v>
      </c>
      <c r="N437" t="s">
        <v>447</v>
      </c>
      <c r="O437" t="s">
        <v>79</v>
      </c>
      <c r="P437" t="s">
        <v>103</v>
      </c>
    </row>
    <row r="438" spans="1:17" ht="15" hidden="1" customHeight="1" x14ac:dyDescent="0.25">
      <c r="A438" t="s">
        <v>88</v>
      </c>
      <c r="B438" t="s">
        <v>290</v>
      </c>
      <c r="C438">
        <v>5</v>
      </c>
      <c r="D438" t="s">
        <v>85</v>
      </c>
      <c r="E438" t="s">
        <v>86</v>
      </c>
      <c r="F438" t="s">
        <v>198</v>
      </c>
      <c r="G438" t="s">
        <v>199</v>
      </c>
      <c r="J438" t="s">
        <v>88</v>
      </c>
      <c r="K438" t="s">
        <v>45</v>
      </c>
      <c r="L438">
        <v>17410000</v>
      </c>
      <c r="M438" t="s">
        <v>46</v>
      </c>
      <c r="N438" t="s">
        <v>460</v>
      </c>
    </row>
    <row r="439" spans="1:17" ht="15" hidden="1" customHeight="1" x14ac:dyDescent="0.25">
      <c r="A439" t="s">
        <v>88</v>
      </c>
      <c r="B439" t="s">
        <v>290</v>
      </c>
      <c r="C439">
        <v>5</v>
      </c>
      <c r="D439" t="s">
        <v>85</v>
      </c>
      <c r="E439" t="s">
        <v>86</v>
      </c>
      <c r="F439" t="s">
        <v>209</v>
      </c>
      <c r="G439" t="s">
        <v>199</v>
      </c>
      <c r="J439" t="s">
        <v>88</v>
      </c>
      <c r="K439" t="s">
        <v>45</v>
      </c>
      <c r="L439">
        <v>1410000000</v>
      </c>
      <c r="M439" t="s">
        <v>210</v>
      </c>
      <c r="N439" t="s">
        <v>461</v>
      </c>
    </row>
    <row r="440" spans="1:17" ht="15" hidden="1" customHeight="1" x14ac:dyDescent="0.25">
      <c r="A440" t="s">
        <v>107</v>
      </c>
      <c r="B440" t="s">
        <v>290</v>
      </c>
      <c r="C440">
        <v>5</v>
      </c>
      <c r="D440" t="s">
        <v>40</v>
      </c>
      <c r="E440" t="s">
        <v>41</v>
      </c>
      <c r="F440" t="s">
        <v>198</v>
      </c>
      <c r="G440" t="s">
        <v>199</v>
      </c>
      <c r="H440" t="s">
        <v>428</v>
      </c>
      <c r="J440" t="s">
        <v>107</v>
      </c>
      <c r="K440" t="s">
        <v>45</v>
      </c>
      <c r="L440">
        <v>340000</v>
      </c>
      <c r="M440" t="s">
        <v>46</v>
      </c>
      <c r="N440" t="s">
        <v>391</v>
      </c>
    </row>
    <row r="441" spans="1:17" ht="15" hidden="1" customHeight="1" x14ac:dyDescent="0.25">
      <c r="A441" t="s">
        <v>107</v>
      </c>
      <c r="B441" t="s">
        <v>290</v>
      </c>
      <c r="C441">
        <v>5</v>
      </c>
      <c r="D441" t="s">
        <v>40</v>
      </c>
      <c r="E441" t="s">
        <v>41</v>
      </c>
      <c r="F441" t="s">
        <v>198</v>
      </c>
      <c r="G441" t="s">
        <v>199</v>
      </c>
      <c r="H441" t="s">
        <v>430</v>
      </c>
      <c r="J441" t="s">
        <v>107</v>
      </c>
      <c r="K441" t="s">
        <v>45</v>
      </c>
      <c r="L441">
        <v>507000</v>
      </c>
      <c r="M441" t="s">
        <v>46</v>
      </c>
      <c r="N441" t="s">
        <v>462</v>
      </c>
    </row>
    <row r="442" spans="1:17" ht="15" hidden="1" customHeight="1" x14ac:dyDescent="0.25">
      <c r="A442" t="s">
        <v>107</v>
      </c>
      <c r="B442" t="s">
        <v>290</v>
      </c>
      <c r="C442">
        <v>5</v>
      </c>
      <c r="D442" t="s">
        <v>40</v>
      </c>
      <c r="E442" t="s">
        <v>41</v>
      </c>
      <c r="F442" t="s">
        <v>198</v>
      </c>
      <c r="G442" t="s">
        <v>199</v>
      </c>
      <c r="H442" t="s">
        <v>200</v>
      </c>
      <c r="J442" t="s">
        <v>107</v>
      </c>
      <c r="K442" t="s">
        <v>45</v>
      </c>
      <c r="L442">
        <v>18140000</v>
      </c>
      <c r="M442" t="s">
        <v>46</v>
      </c>
      <c r="N442" t="s">
        <v>463</v>
      </c>
    </row>
    <row r="443" spans="1:17" ht="15" hidden="1" customHeight="1" x14ac:dyDescent="0.25">
      <c r="A443" t="s">
        <v>107</v>
      </c>
      <c r="B443" t="s">
        <v>290</v>
      </c>
      <c r="C443">
        <v>5</v>
      </c>
      <c r="D443" t="s">
        <v>40</v>
      </c>
      <c r="E443" t="s">
        <v>41</v>
      </c>
      <c r="F443" t="s">
        <v>198</v>
      </c>
      <c r="G443" t="s">
        <v>199</v>
      </c>
      <c r="H443" t="s">
        <v>200</v>
      </c>
      <c r="I443" t="s">
        <v>202</v>
      </c>
      <c r="J443" t="s">
        <v>107</v>
      </c>
      <c r="K443" t="s">
        <v>45</v>
      </c>
      <c r="L443">
        <v>5400000</v>
      </c>
      <c r="M443" t="s">
        <v>46</v>
      </c>
      <c r="N443" t="s">
        <v>464</v>
      </c>
      <c r="Q443" t="s">
        <v>204</v>
      </c>
    </row>
    <row r="444" spans="1:17" ht="15" hidden="1" customHeight="1" x14ac:dyDescent="0.25">
      <c r="A444" t="s">
        <v>107</v>
      </c>
      <c r="B444" t="s">
        <v>290</v>
      </c>
      <c r="C444">
        <v>5</v>
      </c>
      <c r="D444" t="s">
        <v>40</v>
      </c>
      <c r="E444" t="s">
        <v>41</v>
      </c>
      <c r="F444" t="s">
        <v>198</v>
      </c>
      <c r="G444" t="s">
        <v>199</v>
      </c>
      <c r="H444" t="s">
        <v>200</v>
      </c>
      <c r="I444" t="s">
        <v>205</v>
      </c>
      <c r="J444" t="s">
        <v>107</v>
      </c>
      <c r="K444" t="s">
        <v>45</v>
      </c>
      <c r="L444">
        <v>6700000</v>
      </c>
      <c r="M444" t="s">
        <v>46</v>
      </c>
      <c r="N444" t="s">
        <v>465</v>
      </c>
      <c r="Q444" t="s">
        <v>204</v>
      </c>
    </row>
    <row r="445" spans="1:17" ht="15" hidden="1" customHeight="1" x14ac:dyDescent="0.25">
      <c r="A445" t="s">
        <v>107</v>
      </c>
      <c r="B445" t="s">
        <v>290</v>
      </c>
      <c r="C445">
        <v>5</v>
      </c>
      <c r="D445" t="s">
        <v>40</v>
      </c>
      <c r="E445" t="s">
        <v>41</v>
      </c>
      <c r="F445" t="s">
        <v>198</v>
      </c>
      <c r="G445" t="s">
        <v>199</v>
      </c>
      <c r="H445" t="s">
        <v>207</v>
      </c>
      <c r="J445" t="s">
        <v>107</v>
      </c>
      <c r="K445" t="s">
        <v>45</v>
      </c>
      <c r="L445">
        <v>599000</v>
      </c>
      <c r="M445" t="s">
        <v>46</v>
      </c>
      <c r="N445" t="s">
        <v>466</v>
      </c>
    </row>
    <row r="446" spans="1:17" ht="15" hidden="1" customHeight="1" x14ac:dyDescent="0.25">
      <c r="A446" t="s">
        <v>107</v>
      </c>
      <c r="B446" t="s">
        <v>290</v>
      </c>
      <c r="C446">
        <v>5</v>
      </c>
      <c r="D446" t="s">
        <v>40</v>
      </c>
      <c r="E446" t="s">
        <v>41</v>
      </c>
      <c r="F446" t="s">
        <v>209</v>
      </c>
      <c r="G446" t="s">
        <v>199</v>
      </c>
      <c r="H446" t="s">
        <v>428</v>
      </c>
      <c r="J446" t="s">
        <v>107</v>
      </c>
      <c r="K446" t="s">
        <v>45</v>
      </c>
      <c r="L446">
        <v>54000000</v>
      </c>
      <c r="M446" t="s">
        <v>210</v>
      </c>
      <c r="N446" t="s">
        <v>467</v>
      </c>
    </row>
    <row r="447" spans="1:17" ht="15" hidden="1" customHeight="1" x14ac:dyDescent="0.25">
      <c r="A447" t="s">
        <v>107</v>
      </c>
      <c r="B447" t="s">
        <v>290</v>
      </c>
      <c r="C447">
        <v>5</v>
      </c>
      <c r="D447" t="s">
        <v>40</v>
      </c>
      <c r="E447" t="s">
        <v>41</v>
      </c>
      <c r="F447" t="s">
        <v>209</v>
      </c>
      <c r="G447" t="s">
        <v>199</v>
      </c>
      <c r="H447" t="s">
        <v>430</v>
      </c>
      <c r="J447" t="s">
        <v>107</v>
      </c>
      <c r="K447" t="s">
        <v>45</v>
      </c>
      <c r="L447">
        <v>80000000</v>
      </c>
      <c r="M447" t="s">
        <v>210</v>
      </c>
      <c r="N447" t="s">
        <v>468</v>
      </c>
    </row>
    <row r="448" spans="1:17" ht="15" hidden="1" customHeight="1" x14ac:dyDescent="0.25">
      <c r="A448" t="s">
        <v>107</v>
      </c>
      <c r="B448" t="s">
        <v>290</v>
      </c>
      <c r="C448">
        <v>5</v>
      </c>
      <c r="D448" t="s">
        <v>40</v>
      </c>
      <c r="E448" t="s">
        <v>41</v>
      </c>
      <c r="F448" t="s">
        <v>209</v>
      </c>
      <c r="G448" t="s">
        <v>199</v>
      </c>
      <c r="H448" t="s">
        <v>200</v>
      </c>
      <c r="J448" t="s">
        <v>107</v>
      </c>
      <c r="K448" t="s">
        <v>45</v>
      </c>
      <c r="L448">
        <v>1290000000</v>
      </c>
      <c r="M448" t="s">
        <v>210</v>
      </c>
      <c r="N448" t="s">
        <v>469</v>
      </c>
    </row>
    <row r="449" spans="1:17" ht="15" hidden="1" customHeight="1" x14ac:dyDescent="0.25">
      <c r="A449" t="s">
        <v>107</v>
      </c>
      <c r="B449" t="s">
        <v>290</v>
      </c>
      <c r="C449">
        <v>5</v>
      </c>
      <c r="D449" t="s">
        <v>40</v>
      </c>
      <c r="E449" t="s">
        <v>41</v>
      </c>
      <c r="F449" t="s">
        <v>209</v>
      </c>
      <c r="G449" t="s">
        <v>199</v>
      </c>
      <c r="H449" t="s">
        <v>200</v>
      </c>
      <c r="I449" t="s">
        <v>202</v>
      </c>
      <c r="J449" t="s">
        <v>107</v>
      </c>
      <c r="K449" t="s">
        <v>45</v>
      </c>
      <c r="L449">
        <v>274000000</v>
      </c>
      <c r="M449" t="s">
        <v>210</v>
      </c>
      <c r="N449" t="s">
        <v>470</v>
      </c>
      <c r="Q449" t="s">
        <v>204</v>
      </c>
    </row>
    <row r="450" spans="1:17" ht="15" hidden="1" customHeight="1" x14ac:dyDescent="0.25">
      <c r="A450" t="s">
        <v>107</v>
      </c>
      <c r="B450" t="s">
        <v>290</v>
      </c>
      <c r="C450">
        <v>5</v>
      </c>
      <c r="D450" t="s">
        <v>40</v>
      </c>
      <c r="E450" t="s">
        <v>41</v>
      </c>
      <c r="F450" t="s">
        <v>209</v>
      </c>
      <c r="G450" t="s">
        <v>199</v>
      </c>
      <c r="H450" t="s">
        <v>200</v>
      </c>
      <c r="I450" t="s">
        <v>205</v>
      </c>
      <c r="J450" t="s">
        <v>107</v>
      </c>
      <c r="K450" t="s">
        <v>45</v>
      </c>
      <c r="L450">
        <v>314000000</v>
      </c>
      <c r="M450" t="s">
        <v>210</v>
      </c>
      <c r="N450" t="s">
        <v>471</v>
      </c>
      <c r="Q450" t="s">
        <v>204</v>
      </c>
    </row>
    <row r="451" spans="1:17" ht="15" hidden="1" customHeight="1" x14ac:dyDescent="0.25">
      <c r="A451" t="s">
        <v>107</v>
      </c>
      <c r="B451" t="s">
        <v>290</v>
      </c>
      <c r="C451">
        <v>5</v>
      </c>
      <c r="D451" t="s">
        <v>40</v>
      </c>
      <c r="E451" t="s">
        <v>41</v>
      </c>
      <c r="F451" t="s">
        <v>209</v>
      </c>
      <c r="G451" t="s">
        <v>199</v>
      </c>
      <c r="H451" t="s">
        <v>207</v>
      </c>
      <c r="J451" t="s">
        <v>107</v>
      </c>
      <c r="K451" t="s">
        <v>45</v>
      </c>
      <c r="L451">
        <v>16000000</v>
      </c>
      <c r="M451" t="s">
        <v>210</v>
      </c>
      <c r="N451" t="s">
        <v>472</v>
      </c>
    </row>
    <row r="452" spans="1:17" ht="15" hidden="1" customHeight="1" x14ac:dyDescent="0.25">
      <c r="A452" t="s">
        <v>107</v>
      </c>
      <c r="B452" t="s">
        <v>290</v>
      </c>
      <c r="C452">
        <v>5</v>
      </c>
      <c r="D452" t="s">
        <v>74</v>
      </c>
      <c r="E452" t="s">
        <v>75</v>
      </c>
      <c r="F452" t="s">
        <v>198</v>
      </c>
      <c r="G452" t="s">
        <v>199</v>
      </c>
      <c r="J452" t="s">
        <v>88</v>
      </c>
      <c r="K452" t="s">
        <v>77</v>
      </c>
      <c r="L452">
        <v>17410000</v>
      </c>
      <c r="M452" t="s">
        <v>46</v>
      </c>
      <c r="N452" t="s">
        <v>460</v>
      </c>
      <c r="O452" t="s">
        <v>79</v>
      </c>
      <c r="P452" t="s">
        <v>103</v>
      </c>
    </row>
    <row r="453" spans="1:17" ht="15" hidden="1" customHeight="1" x14ac:dyDescent="0.25">
      <c r="A453" t="s">
        <v>107</v>
      </c>
      <c r="B453" t="s">
        <v>290</v>
      </c>
      <c r="C453">
        <v>5</v>
      </c>
      <c r="D453" t="s">
        <v>74</v>
      </c>
      <c r="E453" t="s">
        <v>75</v>
      </c>
      <c r="F453" t="s">
        <v>209</v>
      </c>
      <c r="G453" t="s">
        <v>199</v>
      </c>
      <c r="J453" t="s">
        <v>88</v>
      </c>
      <c r="K453" t="s">
        <v>77</v>
      </c>
      <c r="L453">
        <v>1410000000</v>
      </c>
      <c r="M453" t="s">
        <v>210</v>
      </c>
      <c r="N453" t="s">
        <v>461</v>
      </c>
      <c r="O453" t="s">
        <v>79</v>
      </c>
      <c r="P453" t="s">
        <v>103</v>
      </c>
    </row>
    <row r="454" spans="1:17" ht="15" hidden="1" customHeight="1" x14ac:dyDescent="0.25">
      <c r="A454" t="s">
        <v>107</v>
      </c>
      <c r="B454" t="s">
        <v>290</v>
      </c>
      <c r="C454">
        <v>5</v>
      </c>
      <c r="D454" t="s">
        <v>85</v>
      </c>
      <c r="E454" t="s">
        <v>86</v>
      </c>
      <c r="F454" t="s">
        <v>198</v>
      </c>
      <c r="G454" t="s">
        <v>199</v>
      </c>
      <c r="J454" t="s">
        <v>107</v>
      </c>
      <c r="K454" t="s">
        <v>45</v>
      </c>
      <c r="L454">
        <v>19590000</v>
      </c>
      <c r="M454" t="s">
        <v>46</v>
      </c>
      <c r="N454" t="s">
        <v>473</v>
      </c>
    </row>
    <row r="455" spans="1:17" ht="15" hidden="1" customHeight="1" x14ac:dyDescent="0.25">
      <c r="A455" t="s">
        <v>107</v>
      </c>
      <c r="B455" t="s">
        <v>290</v>
      </c>
      <c r="C455">
        <v>5</v>
      </c>
      <c r="D455" t="s">
        <v>85</v>
      </c>
      <c r="E455" t="s">
        <v>86</v>
      </c>
      <c r="F455" t="s">
        <v>209</v>
      </c>
      <c r="G455" t="s">
        <v>199</v>
      </c>
      <c r="J455" t="s">
        <v>107</v>
      </c>
      <c r="K455" t="s">
        <v>45</v>
      </c>
      <c r="L455">
        <v>1440000000</v>
      </c>
      <c r="M455" t="s">
        <v>210</v>
      </c>
      <c r="N455" t="s">
        <v>474</v>
      </c>
    </row>
    <row r="456" spans="1:17" ht="15" hidden="1" customHeight="1" x14ac:dyDescent="0.25">
      <c r="A456" t="s">
        <v>122</v>
      </c>
      <c r="B456" t="s">
        <v>290</v>
      </c>
      <c r="C456">
        <v>5</v>
      </c>
      <c r="D456" t="s">
        <v>40</v>
      </c>
      <c r="E456" t="s">
        <v>41</v>
      </c>
      <c r="F456" t="s">
        <v>198</v>
      </c>
      <c r="G456" t="s">
        <v>199</v>
      </c>
      <c r="H456" t="s">
        <v>428</v>
      </c>
      <c r="J456" t="s">
        <v>122</v>
      </c>
      <c r="K456" t="s">
        <v>45</v>
      </c>
      <c r="L456">
        <v>357000</v>
      </c>
      <c r="M456" t="s">
        <v>46</v>
      </c>
      <c r="N456" t="s">
        <v>475</v>
      </c>
    </row>
    <row r="457" spans="1:17" ht="15" hidden="1" customHeight="1" x14ac:dyDescent="0.25">
      <c r="A457" t="s">
        <v>122</v>
      </c>
      <c r="B457" t="s">
        <v>290</v>
      </c>
      <c r="C457">
        <v>5</v>
      </c>
      <c r="D457" t="s">
        <v>40</v>
      </c>
      <c r="E457" t="s">
        <v>41</v>
      </c>
      <c r="F457" t="s">
        <v>198</v>
      </c>
      <c r="G457" t="s">
        <v>199</v>
      </c>
      <c r="H457" t="s">
        <v>430</v>
      </c>
      <c r="J457" t="s">
        <v>122</v>
      </c>
      <c r="K457" t="s">
        <v>45</v>
      </c>
      <c r="L457">
        <v>498000</v>
      </c>
      <c r="M457" t="s">
        <v>46</v>
      </c>
      <c r="N457" t="s">
        <v>476</v>
      </c>
    </row>
    <row r="458" spans="1:17" ht="15" hidden="1" customHeight="1" x14ac:dyDescent="0.25">
      <c r="A458" t="s">
        <v>122</v>
      </c>
      <c r="B458" t="s">
        <v>290</v>
      </c>
      <c r="C458">
        <v>5</v>
      </c>
      <c r="D458" t="s">
        <v>40</v>
      </c>
      <c r="E458" t="s">
        <v>41</v>
      </c>
      <c r="F458" t="s">
        <v>198</v>
      </c>
      <c r="G458" t="s">
        <v>199</v>
      </c>
      <c r="H458" t="s">
        <v>200</v>
      </c>
      <c r="J458" t="s">
        <v>122</v>
      </c>
      <c r="K458" t="s">
        <v>45</v>
      </c>
      <c r="L458">
        <v>21330000</v>
      </c>
      <c r="M458" t="s">
        <v>46</v>
      </c>
      <c r="N458" t="s">
        <v>477</v>
      </c>
    </row>
    <row r="459" spans="1:17" ht="15" hidden="1" customHeight="1" x14ac:dyDescent="0.25">
      <c r="A459" t="s">
        <v>122</v>
      </c>
      <c r="B459" t="s">
        <v>290</v>
      </c>
      <c r="C459">
        <v>5</v>
      </c>
      <c r="D459" t="s">
        <v>40</v>
      </c>
      <c r="E459" t="s">
        <v>41</v>
      </c>
      <c r="F459" t="s">
        <v>198</v>
      </c>
      <c r="G459" t="s">
        <v>199</v>
      </c>
      <c r="H459" t="s">
        <v>200</v>
      </c>
      <c r="I459" t="s">
        <v>202</v>
      </c>
      <c r="J459" t="s">
        <v>122</v>
      </c>
      <c r="K459" t="s">
        <v>45</v>
      </c>
      <c r="L459">
        <v>6200000</v>
      </c>
      <c r="M459" t="s">
        <v>46</v>
      </c>
      <c r="N459" t="s">
        <v>478</v>
      </c>
      <c r="Q459" t="s">
        <v>204</v>
      </c>
    </row>
    <row r="460" spans="1:17" ht="15" hidden="1" customHeight="1" x14ac:dyDescent="0.25">
      <c r="A460" t="s">
        <v>122</v>
      </c>
      <c r="B460" t="s">
        <v>290</v>
      </c>
      <c r="C460">
        <v>5</v>
      </c>
      <c r="D460" t="s">
        <v>40</v>
      </c>
      <c r="E460" t="s">
        <v>41</v>
      </c>
      <c r="F460" t="s">
        <v>198</v>
      </c>
      <c r="G460" t="s">
        <v>199</v>
      </c>
      <c r="H460" t="s">
        <v>200</v>
      </c>
      <c r="I460" t="s">
        <v>205</v>
      </c>
      <c r="J460" t="s">
        <v>122</v>
      </c>
      <c r="K460" t="s">
        <v>45</v>
      </c>
      <c r="L460">
        <v>8100000</v>
      </c>
      <c r="M460" t="s">
        <v>46</v>
      </c>
      <c r="N460" t="s">
        <v>479</v>
      </c>
      <c r="Q460" t="s">
        <v>204</v>
      </c>
    </row>
    <row r="461" spans="1:17" ht="15" hidden="1" customHeight="1" x14ac:dyDescent="0.25">
      <c r="A461" t="s">
        <v>122</v>
      </c>
      <c r="B461" t="s">
        <v>290</v>
      </c>
      <c r="C461">
        <v>5</v>
      </c>
      <c r="D461" t="s">
        <v>40</v>
      </c>
      <c r="E461" t="s">
        <v>41</v>
      </c>
      <c r="F461" t="s">
        <v>198</v>
      </c>
      <c r="G461" t="s">
        <v>199</v>
      </c>
      <c r="H461" t="s">
        <v>207</v>
      </c>
      <c r="J461" t="s">
        <v>122</v>
      </c>
      <c r="K461" t="s">
        <v>45</v>
      </c>
      <c r="L461">
        <v>1005000</v>
      </c>
      <c r="M461" t="s">
        <v>46</v>
      </c>
      <c r="N461" t="s">
        <v>480</v>
      </c>
    </row>
    <row r="462" spans="1:17" ht="15" hidden="1" customHeight="1" x14ac:dyDescent="0.25">
      <c r="A462" t="s">
        <v>122</v>
      </c>
      <c r="B462" t="s">
        <v>290</v>
      </c>
      <c r="C462">
        <v>5</v>
      </c>
      <c r="D462" t="s">
        <v>40</v>
      </c>
      <c r="E462" t="s">
        <v>41</v>
      </c>
      <c r="F462" t="s">
        <v>209</v>
      </c>
      <c r="G462" t="s">
        <v>199</v>
      </c>
      <c r="H462" t="s">
        <v>428</v>
      </c>
      <c r="J462" t="s">
        <v>122</v>
      </c>
      <c r="K462" t="s">
        <v>45</v>
      </c>
      <c r="L462">
        <v>56000000</v>
      </c>
      <c r="M462" t="s">
        <v>210</v>
      </c>
      <c r="N462" t="s">
        <v>481</v>
      </c>
    </row>
    <row r="463" spans="1:17" ht="15" hidden="1" customHeight="1" x14ac:dyDescent="0.25">
      <c r="A463" t="s">
        <v>122</v>
      </c>
      <c r="B463" t="s">
        <v>290</v>
      </c>
      <c r="C463">
        <v>5</v>
      </c>
      <c r="D463" t="s">
        <v>40</v>
      </c>
      <c r="E463" t="s">
        <v>41</v>
      </c>
      <c r="F463" t="s">
        <v>209</v>
      </c>
      <c r="G463" t="s">
        <v>199</v>
      </c>
      <c r="H463" t="s">
        <v>430</v>
      </c>
      <c r="J463" t="s">
        <v>122</v>
      </c>
      <c r="K463" t="s">
        <v>45</v>
      </c>
      <c r="L463">
        <v>74000000</v>
      </c>
      <c r="M463" t="s">
        <v>210</v>
      </c>
      <c r="N463" t="s">
        <v>482</v>
      </c>
    </row>
    <row r="464" spans="1:17" ht="15" hidden="1" customHeight="1" x14ac:dyDescent="0.25">
      <c r="A464" t="s">
        <v>122</v>
      </c>
      <c r="B464" t="s">
        <v>290</v>
      </c>
      <c r="C464">
        <v>5</v>
      </c>
      <c r="D464" t="s">
        <v>40</v>
      </c>
      <c r="E464" t="s">
        <v>41</v>
      </c>
      <c r="F464" t="s">
        <v>209</v>
      </c>
      <c r="G464" t="s">
        <v>199</v>
      </c>
      <c r="H464" t="s">
        <v>200</v>
      </c>
      <c r="J464" t="s">
        <v>122</v>
      </c>
      <c r="K464" t="s">
        <v>45</v>
      </c>
      <c r="L464">
        <v>1370000000</v>
      </c>
      <c r="M464" t="s">
        <v>210</v>
      </c>
      <c r="N464" t="s">
        <v>483</v>
      </c>
    </row>
    <row r="465" spans="1:17" ht="15" hidden="1" customHeight="1" x14ac:dyDescent="0.25">
      <c r="A465" t="s">
        <v>122</v>
      </c>
      <c r="B465" t="s">
        <v>290</v>
      </c>
      <c r="C465">
        <v>5</v>
      </c>
      <c r="D465" t="s">
        <v>40</v>
      </c>
      <c r="E465" t="s">
        <v>41</v>
      </c>
      <c r="F465" t="s">
        <v>209</v>
      </c>
      <c r="G465" t="s">
        <v>199</v>
      </c>
      <c r="H465" t="s">
        <v>200</v>
      </c>
      <c r="I465" t="s">
        <v>202</v>
      </c>
      <c r="J465" t="s">
        <v>122</v>
      </c>
      <c r="K465" t="s">
        <v>45</v>
      </c>
      <c r="L465">
        <v>280000000</v>
      </c>
      <c r="M465" t="s">
        <v>210</v>
      </c>
      <c r="N465" t="s">
        <v>458</v>
      </c>
      <c r="Q465" t="s">
        <v>204</v>
      </c>
    </row>
    <row r="466" spans="1:17" ht="15" hidden="1" customHeight="1" x14ac:dyDescent="0.25">
      <c r="A466" t="s">
        <v>122</v>
      </c>
      <c r="B466" t="s">
        <v>290</v>
      </c>
      <c r="C466">
        <v>5</v>
      </c>
      <c r="D466" t="s">
        <v>40</v>
      </c>
      <c r="E466" t="s">
        <v>41</v>
      </c>
      <c r="F466" t="s">
        <v>209</v>
      </c>
      <c r="G466" t="s">
        <v>199</v>
      </c>
      <c r="H466" t="s">
        <v>200</v>
      </c>
      <c r="I466" t="s">
        <v>205</v>
      </c>
      <c r="J466" t="s">
        <v>122</v>
      </c>
      <c r="K466" t="s">
        <v>45</v>
      </c>
      <c r="L466">
        <v>331000000</v>
      </c>
      <c r="M466" t="s">
        <v>210</v>
      </c>
      <c r="N466" t="s">
        <v>484</v>
      </c>
      <c r="Q466" t="s">
        <v>204</v>
      </c>
    </row>
    <row r="467" spans="1:17" ht="15" hidden="1" customHeight="1" x14ac:dyDescent="0.25">
      <c r="A467" t="s">
        <v>122</v>
      </c>
      <c r="B467" t="s">
        <v>290</v>
      </c>
      <c r="C467">
        <v>5</v>
      </c>
      <c r="D467" t="s">
        <v>40</v>
      </c>
      <c r="E467" t="s">
        <v>41</v>
      </c>
      <c r="F467" t="s">
        <v>209</v>
      </c>
      <c r="G467" t="s">
        <v>199</v>
      </c>
      <c r="H467" t="s">
        <v>207</v>
      </c>
      <c r="J467" t="s">
        <v>122</v>
      </c>
      <c r="K467" t="s">
        <v>45</v>
      </c>
      <c r="L467">
        <v>38000000</v>
      </c>
      <c r="M467" t="s">
        <v>210</v>
      </c>
      <c r="N467" t="s">
        <v>485</v>
      </c>
    </row>
    <row r="468" spans="1:17" ht="15" hidden="1" customHeight="1" x14ac:dyDescent="0.25">
      <c r="A468" t="s">
        <v>122</v>
      </c>
      <c r="B468" t="s">
        <v>290</v>
      </c>
      <c r="C468">
        <v>5</v>
      </c>
      <c r="D468" t="s">
        <v>74</v>
      </c>
      <c r="E468" t="s">
        <v>75</v>
      </c>
      <c r="F468" t="s">
        <v>198</v>
      </c>
      <c r="G468" t="s">
        <v>199</v>
      </c>
      <c r="J468" t="s">
        <v>107</v>
      </c>
      <c r="K468" t="s">
        <v>77</v>
      </c>
      <c r="L468">
        <v>19590000</v>
      </c>
      <c r="M468" t="s">
        <v>46</v>
      </c>
      <c r="N468" t="s">
        <v>473</v>
      </c>
      <c r="O468" t="s">
        <v>79</v>
      </c>
      <c r="P468" t="s">
        <v>103</v>
      </c>
    </row>
    <row r="469" spans="1:17" ht="15" hidden="1" customHeight="1" x14ac:dyDescent="0.25">
      <c r="A469" t="s">
        <v>122</v>
      </c>
      <c r="B469" t="s">
        <v>290</v>
      </c>
      <c r="C469">
        <v>5</v>
      </c>
      <c r="D469" t="s">
        <v>74</v>
      </c>
      <c r="E469" t="s">
        <v>75</v>
      </c>
      <c r="F469" t="s">
        <v>209</v>
      </c>
      <c r="G469" t="s">
        <v>199</v>
      </c>
      <c r="J469" t="s">
        <v>107</v>
      </c>
      <c r="K469" t="s">
        <v>77</v>
      </c>
      <c r="L469">
        <v>1440000000</v>
      </c>
      <c r="M469" t="s">
        <v>210</v>
      </c>
      <c r="N469" t="s">
        <v>474</v>
      </c>
      <c r="O469" t="s">
        <v>79</v>
      </c>
      <c r="P469" t="s">
        <v>103</v>
      </c>
    </row>
    <row r="470" spans="1:17" ht="15" hidden="1" customHeight="1" x14ac:dyDescent="0.25">
      <c r="A470" t="s">
        <v>122</v>
      </c>
      <c r="B470" t="s">
        <v>290</v>
      </c>
      <c r="C470">
        <v>5</v>
      </c>
      <c r="D470" t="s">
        <v>85</v>
      </c>
      <c r="E470" t="s">
        <v>86</v>
      </c>
      <c r="F470" t="s">
        <v>198</v>
      </c>
      <c r="G470" t="s">
        <v>199</v>
      </c>
      <c r="J470" t="s">
        <v>122</v>
      </c>
      <c r="K470" t="s">
        <v>45</v>
      </c>
      <c r="L470">
        <v>23190000</v>
      </c>
      <c r="M470" t="s">
        <v>46</v>
      </c>
      <c r="N470" t="s">
        <v>486</v>
      </c>
    </row>
    <row r="471" spans="1:17" ht="15" hidden="1" customHeight="1" x14ac:dyDescent="0.25">
      <c r="A471" t="s">
        <v>122</v>
      </c>
      <c r="B471" t="s">
        <v>290</v>
      </c>
      <c r="C471">
        <v>5</v>
      </c>
      <c r="D471" t="s">
        <v>85</v>
      </c>
      <c r="E471" t="s">
        <v>86</v>
      </c>
      <c r="F471" t="s">
        <v>209</v>
      </c>
      <c r="G471" t="s">
        <v>199</v>
      </c>
      <c r="J471" t="s">
        <v>122</v>
      </c>
      <c r="K471" t="s">
        <v>45</v>
      </c>
      <c r="L471">
        <v>1540000000</v>
      </c>
      <c r="M471" t="s">
        <v>210</v>
      </c>
      <c r="N471" t="s">
        <v>487</v>
      </c>
    </row>
    <row r="472" spans="1:17" ht="15" hidden="1" customHeight="1" x14ac:dyDescent="0.25">
      <c r="A472" t="s">
        <v>138</v>
      </c>
      <c r="B472" t="s">
        <v>290</v>
      </c>
      <c r="C472">
        <v>5</v>
      </c>
      <c r="D472" t="s">
        <v>40</v>
      </c>
      <c r="E472" t="s">
        <v>41</v>
      </c>
      <c r="F472" t="s">
        <v>198</v>
      </c>
      <c r="G472" t="s">
        <v>199</v>
      </c>
      <c r="H472" t="s">
        <v>428</v>
      </c>
      <c r="J472" t="s">
        <v>138</v>
      </c>
      <c r="K472" t="s">
        <v>45</v>
      </c>
      <c r="L472">
        <v>329000</v>
      </c>
      <c r="M472" t="s">
        <v>46</v>
      </c>
      <c r="N472" t="s">
        <v>488</v>
      </c>
    </row>
    <row r="473" spans="1:17" ht="15" hidden="1" customHeight="1" x14ac:dyDescent="0.25">
      <c r="A473" t="s">
        <v>138</v>
      </c>
      <c r="B473" t="s">
        <v>290</v>
      </c>
      <c r="C473">
        <v>5</v>
      </c>
      <c r="D473" t="s">
        <v>40</v>
      </c>
      <c r="E473" t="s">
        <v>41</v>
      </c>
      <c r="F473" t="s">
        <v>198</v>
      </c>
      <c r="G473" t="s">
        <v>199</v>
      </c>
      <c r="H473" t="s">
        <v>430</v>
      </c>
      <c r="J473" t="s">
        <v>138</v>
      </c>
      <c r="K473" t="s">
        <v>45</v>
      </c>
      <c r="L473">
        <v>485000</v>
      </c>
      <c r="M473" t="s">
        <v>46</v>
      </c>
      <c r="N473" t="s">
        <v>489</v>
      </c>
    </row>
    <row r="474" spans="1:17" ht="15" hidden="1" customHeight="1" x14ac:dyDescent="0.25">
      <c r="A474" t="s">
        <v>138</v>
      </c>
      <c r="B474" t="s">
        <v>290</v>
      </c>
      <c r="C474">
        <v>5</v>
      </c>
      <c r="D474" t="s">
        <v>40</v>
      </c>
      <c r="E474" t="s">
        <v>41</v>
      </c>
      <c r="F474" t="s">
        <v>198</v>
      </c>
      <c r="G474" t="s">
        <v>199</v>
      </c>
      <c r="H474" t="s">
        <v>200</v>
      </c>
      <c r="J474" t="s">
        <v>138</v>
      </c>
      <c r="K474" t="s">
        <v>45</v>
      </c>
      <c r="L474">
        <v>24800000</v>
      </c>
      <c r="M474" t="s">
        <v>46</v>
      </c>
      <c r="N474" t="s">
        <v>490</v>
      </c>
    </row>
    <row r="475" spans="1:17" ht="15" hidden="1" customHeight="1" x14ac:dyDescent="0.25">
      <c r="A475" t="s">
        <v>138</v>
      </c>
      <c r="B475" t="s">
        <v>290</v>
      </c>
      <c r="C475">
        <v>5</v>
      </c>
      <c r="D475" t="s">
        <v>40</v>
      </c>
      <c r="E475" t="s">
        <v>41</v>
      </c>
      <c r="F475" t="s">
        <v>198</v>
      </c>
      <c r="G475" t="s">
        <v>199</v>
      </c>
      <c r="H475" t="s">
        <v>200</v>
      </c>
      <c r="I475" t="s">
        <v>202</v>
      </c>
      <c r="J475" t="s">
        <v>138</v>
      </c>
      <c r="K475" t="s">
        <v>45</v>
      </c>
      <c r="L475">
        <v>6800000</v>
      </c>
      <c r="M475" t="s">
        <v>46</v>
      </c>
      <c r="N475" t="s">
        <v>491</v>
      </c>
      <c r="Q475" t="s">
        <v>204</v>
      </c>
    </row>
    <row r="476" spans="1:17" ht="15" hidden="1" customHeight="1" x14ac:dyDescent="0.25">
      <c r="A476" t="s">
        <v>138</v>
      </c>
      <c r="B476" t="s">
        <v>290</v>
      </c>
      <c r="C476">
        <v>5</v>
      </c>
      <c r="D476" t="s">
        <v>40</v>
      </c>
      <c r="E476" t="s">
        <v>41</v>
      </c>
      <c r="F476" t="s">
        <v>198</v>
      </c>
      <c r="G476" t="s">
        <v>199</v>
      </c>
      <c r="H476" t="s">
        <v>200</v>
      </c>
      <c r="I476" t="s">
        <v>205</v>
      </c>
      <c r="J476" t="s">
        <v>138</v>
      </c>
      <c r="K476" t="s">
        <v>45</v>
      </c>
      <c r="L476">
        <v>9900000</v>
      </c>
      <c r="M476" t="s">
        <v>46</v>
      </c>
      <c r="N476" t="s">
        <v>492</v>
      </c>
      <c r="Q476" t="s">
        <v>204</v>
      </c>
    </row>
    <row r="477" spans="1:17" ht="15" hidden="1" customHeight="1" x14ac:dyDescent="0.25">
      <c r="A477" t="s">
        <v>138</v>
      </c>
      <c r="B477" t="s">
        <v>290</v>
      </c>
      <c r="C477">
        <v>5</v>
      </c>
      <c r="D477" t="s">
        <v>40</v>
      </c>
      <c r="E477" t="s">
        <v>41</v>
      </c>
      <c r="F477" t="s">
        <v>198</v>
      </c>
      <c r="G477" t="s">
        <v>199</v>
      </c>
      <c r="H477" t="s">
        <v>207</v>
      </c>
      <c r="J477" t="s">
        <v>138</v>
      </c>
      <c r="K477" t="s">
        <v>45</v>
      </c>
      <c r="L477">
        <v>2490000</v>
      </c>
      <c r="M477" t="s">
        <v>46</v>
      </c>
      <c r="N477" t="s">
        <v>493</v>
      </c>
    </row>
    <row r="478" spans="1:17" ht="15" hidden="1" customHeight="1" x14ac:dyDescent="0.25">
      <c r="A478" t="s">
        <v>138</v>
      </c>
      <c r="B478" t="s">
        <v>290</v>
      </c>
      <c r="C478">
        <v>5</v>
      </c>
      <c r="D478" t="s">
        <v>40</v>
      </c>
      <c r="E478" t="s">
        <v>41</v>
      </c>
      <c r="F478" t="s">
        <v>209</v>
      </c>
      <c r="G478" t="s">
        <v>199</v>
      </c>
      <c r="H478" t="s">
        <v>428</v>
      </c>
      <c r="J478" t="s">
        <v>138</v>
      </c>
      <c r="K478" t="s">
        <v>45</v>
      </c>
      <c r="L478">
        <v>52000000</v>
      </c>
      <c r="M478" t="s">
        <v>210</v>
      </c>
      <c r="N478" t="s">
        <v>494</v>
      </c>
    </row>
    <row r="479" spans="1:17" ht="15" hidden="1" customHeight="1" x14ac:dyDescent="0.25">
      <c r="A479" t="s">
        <v>138</v>
      </c>
      <c r="B479" t="s">
        <v>290</v>
      </c>
      <c r="C479">
        <v>5</v>
      </c>
      <c r="D479" t="s">
        <v>40</v>
      </c>
      <c r="E479" t="s">
        <v>41</v>
      </c>
      <c r="F479" t="s">
        <v>209</v>
      </c>
      <c r="G479" t="s">
        <v>199</v>
      </c>
      <c r="H479" t="s">
        <v>430</v>
      </c>
      <c r="J479" t="s">
        <v>138</v>
      </c>
      <c r="K479" t="s">
        <v>45</v>
      </c>
      <c r="L479">
        <v>74000000</v>
      </c>
      <c r="M479" t="s">
        <v>210</v>
      </c>
      <c r="N479" t="s">
        <v>482</v>
      </c>
    </row>
    <row r="480" spans="1:17" ht="15" hidden="1" customHeight="1" x14ac:dyDescent="0.25">
      <c r="A480" t="s">
        <v>138</v>
      </c>
      <c r="B480" t="s">
        <v>290</v>
      </c>
      <c r="C480">
        <v>5</v>
      </c>
      <c r="D480" t="s">
        <v>40</v>
      </c>
      <c r="E480" t="s">
        <v>41</v>
      </c>
      <c r="F480" t="s">
        <v>209</v>
      </c>
      <c r="G480" t="s">
        <v>199</v>
      </c>
      <c r="H480" t="s">
        <v>200</v>
      </c>
      <c r="J480" t="s">
        <v>138</v>
      </c>
      <c r="K480" t="s">
        <v>45</v>
      </c>
      <c r="L480">
        <v>1460000000</v>
      </c>
      <c r="M480" t="s">
        <v>210</v>
      </c>
      <c r="N480" t="s">
        <v>495</v>
      </c>
    </row>
    <row r="481" spans="1:17" ht="15" hidden="1" customHeight="1" x14ac:dyDescent="0.25">
      <c r="A481" t="s">
        <v>138</v>
      </c>
      <c r="B481" t="s">
        <v>290</v>
      </c>
      <c r="C481">
        <v>5</v>
      </c>
      <c r="D481" t="s">
        <v>40</v>
      </c>
      <c r="E481" t="s">
        <v>41</v>
      </c>
      <c r="F481" t="s">
        <v>209</v>
      </c>
      <c r="G481" t="s">
        <v>199</v>
      </c>
      <c r="H481" t="s">
        <v>200</v>
      </c>
      <c r="I481" t="s">
        <v>202</v>
      </c>
      <c r="J481" t="s">
        <v>138</v>
      </c>
      <c r="K481" t="s">
        <v>45</v>
      </c>
      <c r="L481">
        <v>286000000</v>
      </c>
      <c r="M481" t="s">
        <v>210</v>
      </c>
      <c r="N481" t="s">
        <v>496</v>
      </c>
      <c r="Q481" t="s">
        <v>204</v>
      </c>
    </row>
    <row r="482" spans="1:17" ht="15" hidden="1" customHeight="1" x14ac:dyDescent="0.25">
      <c r="A482" t="s">
        <v>138</v>
      </c>
      <c r="B482" t="s">
        <v>290</v>
      </c>
      <c r="C482">
        <v>5</v>
      </c>
      <c r="D482" t="s">
        <v>40</v>
      </c>
      <c r="E482" t="s">
        <v>41</v>
      </c>
      <c r="F482" t="s">
        <v>209</v>
      </c>
      <c r="G482" t="s">
        <v>199</v>
      </c>
      <c r="H482" t="s">
        <v>200</v>
      </c>
      <c r="I482" t="s">
        <v>205</v>
      </c>
      <c r="J482" t="s">
        <v>138</v>
      </c>
      <c r="K482" t="s">
        <v>45</v>
      </c>
      <c r="L482">
        <v>366000000</v>
      </c>
      <c r="M482" t="s">
        <v>210</v>
      </c>
      <c r="N482" t="s">
        <v>497</v>
      </c>
      <c r="Q482" t="s">
        <v>204</v>
      </c>
    </row>
    <row r="483" spans="1:17" ht="15" hidden="1" customHeight="1" x14ac:dyDescent="0.25">
      <c r="A483" t="s">
        <v>138</v>
      </c>
      <c r="B483" t="s">
        <v>290</v>
      </c>
      <c r="C483">
        <v>5</v>
      </c>
      <c r="D483" t="s">
        <v>40</v>
      </c>
      <c r="E483" t="s">
        <v>41</v>
      </c>
      <c r="F483" t="s">
        <v>209</v>
      </c>
      <c r="G483" t="s">
        <v>199</v>
      </c>
      <c r="H483" t="s">
        <v>207</v>
      </c>
      <c r="J483" t="s">
        <v>138</v>
      </c>
      <c r="K483" t="s">
        <v>45</v>
      </c>
      <c r="L483">
        <v>137000000</v>
      </c>
      <c r="M483" t="s">
        <v>210</v>
      </c>
      <c r="N483" t="s">
        <v>498</v>
      </c>
    </row>
    <row r="484" spans="1:17" ht="15" hidden="1" customHeight="1" x14ac:dyDescent="0.25">
      <c r="A484" t="s">
        <v>138</v>
      </c>
      <c r="B484" t="s">
        <v>290</v>
      </c>
      <c r="C484">
        <v>5</v>
      </c>
      <c r="D484" t="s">
        <v>74</v>
      </c>
      <c r="E484" t="s">
        <v>75</v>
      </c>
      <c r="F484" t="s">
        <v>198</v>
      </c>
      <c r="G484" t="s">
        <v>199</v>
      </c>
      <c r="J484" t="s">
        <v>107</v>
      </c>
      <c r="K484" t="s">
        <v>77</v>
      </c>
      <c r="L484">
        <v>19590000</v>
      </c>
      <c r="M484" t="s">
        <v>46</v>
      </c>
      <c r="N484" t="s">
        <v>473</v>
      </c>
      <c r="O484" t="s">
        <v>79</v>
      </c>
      <c r="P484" t="s">
        <v>103</v>
      </c>
    </row>
    <row r="485" spans="1:17" ht="15" hidden="1" customHeight="1" x14ac:dyDescent="0.25">
      <c r="A485" t="s">
        <v>138</v>
      </c>
      <c r="B485" t="s">
        <v>290</v>
      </c>
      <c r="C485">
        <v>5</v>
      </c>
      <c r="D485" t="s">
        <v>74</v>
      </c>
      <c r="E485" t="s">
        <v>75</v>
      </c>
      <c r="F485" t="s">
        <v>198</v>
      </c>
      <c r="G485" t="s">
        <v>199</v>
      </c>
      <c r="J485" t="s">
        <v>122</v>
      </c>
      <c r="K485" t="s">
        <v>77</v>
      </c>
      <c r="L485">
        <v>23190000</v>
      </c>
      <c r="M485" t="s">
        <v>46</v>
      </c>
      <c r="N485" t="s">
        <v>486</v>
      </c>
      <c r="O485" t="s">
        <v>79</v>
      </c>
      <c r="P485" t="s">
        <v>103</v>
      </c>
    </row>
    <row r="486" spans="1:17" ht="15" hidden="1" customHeight="1" x14ac:dyDescent="0.25">
      <c r="A486" t="s">
        <v>138</v>
      </c>
      <c r="B486" t="s">
        <v>290</v>
      </c>
      <c r="C486">
        <v>5</v>
      </c>
      <c r="D486" t="s">
        <v>74</v>
      </c>
      <c r="E486" t="s">
        <v>75</v>
      </c>
      <c r="F486" t="s">
        <v>209</v>
      </c>
      <c r="G486" t="s">
        <v>199</v>
      </c>
      <c r="J486" t="s">
        <v>107</v>
      </c>
      <c r="K486" t="s">
        <v>77</v>
      </c>
      <c r="L486">
        <v>1440000000</v>
      </c>
      <c r="M486" t="s">
        <v>210</v>
      </c>
      <c r="N486" t="s">
        <v>474</v>
      </c>
      <c r="O486" t="s">
        <v>79</v>
      </c>
      <c r="P486" t="s">
        <v>103</v>
      </c>
    </row>
    <row r="487" spans="1:17" ht="15" hidden="1" customHeight="1" x14ac:dyDescent="0.25">
      <c r="A487" t="s">
        <v>138</v>
      </c>
      <c r="B487" t="s">
        <v>290</v>
      </c>
      <c r="C487">
        <v>5</v>
      </c>
      <c r="D487" t="s">
        <v>74</v>
      </c>
      <c r="E487" t="s">
        <v>75</v>
      </c>
      <c r="F487" t="s">
        <v>209</v>
      </c>
      <c r="G487" t="s">
        <v>199</v>
      </c>
      <c r="J487" t="s">
        <v>122</v>
      </c>
      <c r="K487" t="s">
        <v>77</v>
      </c>
      <c r="L487">
        <v>1540000000</v>
      </c>
      <c r="M487" t="s">
        <v>210</v>
      </c>
      <c r="N487" t="s">
        <v>487</v>
      </c>
      <c r="O487" t="s">
        <v>79</v>
      </c>
      <c r="P487" t="s">
        <v>103</v>
      </c>
    </row>
    <row r="488" spans="1:17" ht="15" hidden="1" customHeight="1" x14ac:dyDescent="0.25">
      <c r="A488" t="s">
        <v>138</v>
      </c>
      <c r="B488" t="s">
        <v>290</v>
      </c>
      <c r="C488">
        <v>5</v>
      </c>
      <c r="D488" t="s">
        <v>85</v>
      </c>
      <c r="E488" t="s">
        <v>86</v>
      </c>
      <c r="F488" t="s">
        <v>198</v>
      </c>
      <c r="G488" t="s">
        <v>199</v>
      </c>
      <c r="J488" t="s">
        <v>138</v>
      </c>
      <c r="K488" t="s">
        <v>45</v>
      </c>
      <c r="L488">
        <v>28100000</v>
      </c>
      <c r="M488" t="s">
        <v>46</v>
      </c>
      <c r="N488" t="s">
        <v>499</v>
      </c>
    </row>
    <row r="489" spans="1:17" ht="15" hidden="1" customHeight="1" x14ac:dyDescent="0.25">
      <c r="A489" t="s">
        <v>138</v>
      </c>
      <c r="B489" t="s">
        <v>290</v>
      </c>
      <c r="C489">
        <v>5</v>
      </c>
      <c r="D489" t="s">
        <v>85</v>
      </c>
      <c r="E489" t="s">
        <v>86</v>
      </c>
      <c r="F489" t="s">
        <v>209</v>
      </c>
      <c r="G489" t="s">
        <v>199</v>
      </c>
      <c r="J489" t="s">
        <v>138</v>
      </c>
      <c r="K489" t="s">
        <v>45</v>
      </c>
      <c r="L489">
        <v>1720000000</v>
      </c>
      <c r="M489" t="s">
        <v>210</v>
      </c>
      <c r="N489" t="s">
        <v>500</v>
      </c>
    </row>
    <row r="490" spans="1:17" ht="15" hidden="1" customHeight="1" x14ac:dyDescent="0.25">
      <c r="A490" t="s">
        <v>153</v>
      </c>
      <c r="B490" t="s">
        <v>290</v>
      </c>
      <c r="C490">
        <v>5</v>
      </c>
      <c r="D490" t="s">
        <v>40</v>
      </c>
      <c r="E490" t="s">
        <v>41</v>
      </c>
      <c r="F490" t="s">
        <v>198</v>
      </c>
      <c r="G490" t="s">
        <v>199</v>
      </c>
      <c r="H490" t="s">
        <v>428</v>
      </c>
      <c r="J490" t="s">
        <v>153</v>
      </c>
      <c r="K490" t="s">
        <v>45</v>
      </c>
      <c r="L490">
        <v>66000</v>
      </c>
      <c r="M490" t="s">
        <v>46</v>
      </c>
      <c r="N490" t="s">
        <v>501</v>
      </c>
    </row>
    <row r="491" spans="1:17" ht="15" hidden="1" customHeight="1" x14ac:dyDescent="0.25">
      <c r="A491" t="s">
        <v>153</v>
      </c>
      <c r="B491" t="s">
        <v>290</v>
      </c>
      <c r="C491">
        <v>5</v>
      </c>
      <c r="D491" t="s">
        <v>40</v>
      </c>
      <c r="E491" t="s">
        <v>41</v>
      </c>
      <c r="F491" t="s">
        <v>198</v>
      </c>
      <c r="G491" t="s">
        <v>199</v>
      </c>
      <c r="H491" t="s">
        <v>430</v>
      </c>
      <c r="J491" t="s">
        <v>153</v>
      </c>
      <c r="K491" t="s">
        <v>45</v>
      </c>
      <c r="L491">
        <v>227000</v>
      </c>
      <c r="M491" t="s">
        <v>46</v>
      </c>
      <c r="N491" t="s">
        <v>502</v>
      </c>
    </row>
    <row r="492" spans="1:17" ht="15" hidden="1" customHeight="1" x14ac:dyDescent="0.25">
      <c r="A492" t="s">
        <v>153</v>
      </c>
      <c r="B492" t="s">
        <v>290</v>
      </c>
      <c r="C492">
        <v>5</v>
      </c>
      <c r="D492" t="s">
        <v>40</v>
      </c>
      <c r="E492" t="s">
        <v>41</v>
      </c>
      <c r="F492" t="s">
        <v>198</v>
      </c>
      <c r="G492" t="s">
        <v>199</v>
      </c>
      <c r="H492" t="s">
        <v>200</v>
      </c>
      <c r="J492" t="s">
        <v>153</v>
      </c>
      <c r="K492" t="s">
        <v>45</v>
      </c>
      <c r="L492">
        <v>26360000</v>
      </c>
      <c r="M492" t="s">
        <v>46</v>
      </c>
      <c r="N492" t="s">
        <v>503</v>
      </c>
    </row>
    <row r="493" spans="1:17" ht="15" hidden="1" customHeight="1" x14ac:dyDescent="0.25">
      <c r="A493" t="s">
        <v>153</v>
      </c>
      <c r="B493" t="s">
        <v>290</v>
      </c>
      <c r="C493">
        <v>5</v>
      </c>
      <c r="D493" t="s">
        <v>40</v>
      </c>
      <c r="E493" t="s">
        <v>41</v>
      </c>
      <c r="F493" t="s">
        <v>198</v>
      </c>
      <c r="G493" t="s">
        <v>199</v>
      </c>
      <c r="H493" t="s">
        <v>200</v>
      </c>
      <c r="I493" t="s">
        <v>202</v>
      </c>
      <c r="J493" t="s">
        <v>153</v>
      </c>
      <c r="K493" t="s">
        <v>45</v>
      </c>
      <c r="L493">
        <v>7200000</v>
      </c>
      <c r="M493" t="s">
        <v>46</v>
      </c>
      <c r="N493" t="s">
        <v>504</v>
      </c>
      <c r="Q493" t="s">
        <v>204</v>
      </c>
    </row>
    <row r="494" spans="1:17" ht="15" hidden="1" customHeight="1" x14ac:dyDescent="0.25">
      <c r="A494" t="s">
        <v>153</v>
      </c>
      <c r="B494" t="s">
        <v>290</v>
      </c>
      <c r="C494">
        <v>5</v>
      </c>
      <c r="D494" t="s">
        <v>40</v>
      </c>
      <c r="E494" t="s">
        <v>41</v>
      </c>
      <c r="F494" t="s">
        <v>198</v>
      </c>
      <c r="G494" t="s">
        <v>199</v>
      </c>
      <c r="H494" t="s">
        <v>200</v>
      </c>
      <c r="I494" t="s">
        <v>205</v>
      </c>
      <c r="J494" t="s">
        <v>153</v>
      </c>
      <c r="K494" t="s">
        <v>45</v>
      </c>
      <c r="L494">
        <v>10700000</v>
      </c>
      <c r="M494" t="s">
        <v>46</v>
      </c>
      <c r="N494" t="s">
        <v>505</v>
      </c>
      <c r="Q494" t="s">
        <v>204</v>
      </c>
    </row>
    <row r="495" spans="1:17" ht="15" hidden="1" customHeight="1" x14ac:dyDescent="0.25">
      <c r="A495" t="s">
        <v>153</v>
      </c>
      <c r="B495" t="s">
        <v>290</v>
      </c>
      <c r="C495">
        <v>5</v>
      </c>
      <c r="D495" t="s">
        <v>40</v>
      </c>
      <c r="E495" t="s">
        <v>41</v>
      </c>
      <c r="F495" t="s">
        <v>198</v>
      </c>
      <c r="G495" t="s">
        <v>199</v>
      </c>
      <c r="H495" t="s">
        <v>207</v>
      </c>
      <c r="J495" t="s">
        <v>153</v>
      </c>
      <c r="K495" t="s">
        <v>45</v>
      </c>
      <c r="L495">
        <v>4510000</v>
      </c>
      <c r="M495" t="s">
        <v>46</v>
      </c>
      <c r="N495" t="s">
        <v>506</v>
      </c>
    </row>
    <row r="496" spans="1:17" ht="15" hidden="1" customHeight="1" x14ac:dyDescent="0.25">
      <c r="A496" t="s">
        <v>153</v>
      </c>
      <c r="B496" t="s">
        <v>290</v>
      </c>
      <c r="C496">
        <v>5</v>
      </c>
      <c r="D496" t="s">
        <v>40</v>
      </c>
      <c r="E496" t="s">
        <v>41</v>
      </c>
      <c r="F496" t="s">
        <v>209</v>
      </c>
      <c r="G496" t="s">
        <v>199</v>
      </c>
      <c r="H496" t="s">
        <v>428</v>
      </c>
      <c r="J496" t="s">
        <v>153</v>
      </c>
      <c r="K496" t="s">
        <v>45</v>
      </c>
      <c r="L496">
        <v>10000000</v>
      </c>
      <c r="M496" t="s">
        <v>210</v>
      </c>
      <c r="N496" t="s">
        <v>507</v>
      </c>
    </row>
    <row r="497" spans="1:17" ht="15" hidden="1" customHeight="1" x14ac:dyDescent="0.25">
      <c r="A497" t="s">
        <v>153</v>
      </c>
      <c r="B497" t="s">
        <v>290</v>
      </c>
      <c r="C497">
        <v>5</v>
      </c>
      <c r="D497" t="s">
        <v>40</v>
      </c>
      <c r="E497" t="s">
        <v>41</v>
      </c>
      <c r="F497" t="s">
        <v>209</v>
      </c>
      <c r="G497" t="s">
        <v>199</v>
      </c>
      <c r="H497" t="s">
        <v>430</v>
      </c>
      <c r="J497" t="s">
        <v>153</v>
      </c>
      <c r="K497" t="s">
        <v>45</v>
      </c>
      <c r="L497">
        <v>32000000</v>
      </c>
      <c r="M497" t="s">
        <v>210</v>
      </c>
      <c r="N497" t="s">
        <v>508</v>
      </c>
    </row>
    <row r="498" spans="1:17" ht="15" hidden="1" customHeight="1" x14ac:dyDescent="0.25">
      <c r="A498" t="s">
        <v>153</v>
      </c>
      <c r="B498" t="s">
        <v>290</v>
      </c>
      <c r="C498">
        <v>5</v>
      </c>
      <c r="D498" t="s">
        <v>40</v>
      </c>
      <c r="E498" t="s">
        <v>41</v>
      </c>
      <c r="F498" t="s">
        <v>209</v>
      </c>
      <c r="G498" t="s">
        <v>199</v>
      </c>
      <c r="H498" t="s">
        <v>200</v>
      </c>
      <c r="J498" t="s">
        <v>153</v>
      </c>
      <c r="K498" t="s">
        <v>45</v>
      </c>
      <c r="L498">
        <v>1320000000</v>
      </c>
      <c r="M498" t="s">
        <v>210</v>
      </c>
      <c r="N498" t="s">
        <v>509</v>
      </c>
    </row>
    <row r="499" spans="1:17" ht="15" hidden="1" customHeight="1" x14ac:dyDescent="0.25">
      <c r="A499" t="s">
        <v>153</v>
      </c>
      <c r="B499" t="s">
        <v>290</v>
      </c>
      <c r="C499">
        <v>5</v>
      </c>
      <c r="D499" t="s">
        <v>40</v>
      </c>
      <c r="E499" t="s">
        <v>41</v>
      </c>
      <c r="F499" t="s">
        <v>209</v>
      </c>
      <c r="G499" t="s">
        <v>199</v>
      </c>
      <c r="H499" t="s">
        <v>200</v>
      </c>
      <c r="I499" t="s">
        <v>202</v>
      </c>
      <c r="J499" t="s">
        <v>153</v>
      </c>
      <c r="K499" t="s">
        <v>45</v>
      </c>
      <c r="L499">
        <v>265000000</v>
      </c>
      <c r="M499" t="s">
        <v>210</v>
      </c>
      <c r="N499" t="s">
        <v>510</v>
      </c>
      <c r="Q499" t="s">
        <v>204</v>
      </c>
    </row>
    <row r="500" spans="1:17" ht="15" hidden="1" customHeight="1" x14ac:dyDescent="0.25">
      <c r="A500" t="s">
        <v>153</v>
      </c>
      <c r="B500" t="s">
        <v>290</v>
      </c>
      <c r="C500">
        <v>5</v>
      </c>
      <c r="D500" t="s">
        <v>40</v>
      </c>
      <c r="E500" t="s">
        <v>41</v>
      </c>
      <c r="F500" t="s">
        <v>209</v>
      </c>
      <c r="G500" t="s">
        <v>199</v>
      </c>
      <c r="H500" t="s">
        <v>200</v>
      </c>
      <c r="I500" t="s">
        <v>205</v>
      </c>
      <c r="J500" t="s">
        <v>153</v>
      </c>
      <c r="K500" t="s">
        <v>45</v>
      </c>
      <c r="L500">
        <v>340000000</v>
      </c>
      <c r="M500" t="s">
        <v>210</v>
      </c>
      <c r="N500" t="s">
        <v>511</v>
      </c>
      <c r="Q500" t="s">
        <v>204</v>
      </c>
    </row>
    <row r="501" spans="1:17" ht="15" hidden="1" customHeight="1" x14ac:dyDescent="0.25">
      <c r="A501" t="s">
        <v>153</v>
      </c>
      <c r="B501" t="s">
        <v>290</v>
      </c>
      <c r="C501">
        <v>5</v>
      </c>
      <c r="D501" t="s">
        <v>40</v>
      </c>
      <c r="E501" t="s">
        <v>41</v>
      </c>
      <c r="F501" t="s">
        <v>209</v>
      </c>
      <c r="G501" t="s">
        <v>199</v>
      </c>
      <c r="H501" t="s">
        <v>207</v>
      </c>
      <c r="J501" t="s">
        <v>153</v>
      </c>
      <c r="K501" t="s">
        <v>45</v>
      </c>
      <c r="L501">
        <v>287000000</v>
      </c>
      <c r="M501" t="s">
        <v>210</v>
      </c>
      <c r="N501" t="s">
        <v>512</v>
      </c>
    </row>
    <row r="502" spans="1:17" ht="15" hidden="1" customHeight="1" x14ac:dyDescent="0.25">
      <c r="A502" t="s">
        <v>153</v>
      </c>
      <c r="B502" t="s">
        <v>290</v>
      </c>
      <c r="C502">
        <v>5</v>
      </c>
      <c r="D502" t="s">
        <v>74</v>
      </c>
      <c r="E502" t="s">
        <v>75</v>
      </c>
      <c r="F502" t="s">
        <v>198</v>
      </c>
      <c r="G502" t="s">
        <v>199</v>
      </c>
      <c r="J502" t="s">
        <v>107</v>
      </c>
      <c r="K502" t="s">
        <v>77</v>
      </c>
      <c r="L502">
        <v>19590000</v>
      </c>
      <c r="M502" t="s">
        <v>46</v>
      </c>
      <c r="N502" t="s">
        <v>473</v>
      </c>
      <c r="O502" t="s">
        <v>79</v>
      </c>
      <c r="P502" t="s">
        <v>103</v>
      </c>
    </row>
    <row r="503" spans="1:17" ht="15" hidden="1" customHeight="1" x14ac:dyDescent="0.25">
      <c r="A503" t="s">
        <v>153</v>
      </c>
      <c r="B503" t="s">
        <v>290</v>
      </c>
      <c r="C503">
        <v>5</v>
      </c>
      <c r="D503" t="s">
        <v>74</v>
      </c>
      <c r="E503" t="s">
        <v>75</v>
      </c>
      <c r="F503" t="s">
        <v>198</v>
      </c>
      <c r="G503" t="s">
        <v>199</v>
      </c>
      <c r="J503" t="s">
        <v>122</v>
      </c>
      <c r="K503" t="s">
        <v>77</v>
      </c>
      <c r="L503">
        <v>23190000</v>
      </c>
      <c r="M503" t="s">
        <v>46</v>
      </c>
      <c r="N503" t="s">
        <v>486</v>
      </c>
      <c r="O503" t="s">
        <v>79</v>
      </c>
      <c r="P503" t="s">
        <v>103</v>
      </c>
    </row>
    <row r="504" spans="1:17" ht="15" hidden="1" customHeight="1" x14ac:dyDescent="0.25">
      <c r="A504" t="s">
        <v>153</v>
      </c>
      <c r="B504" t="s">
        <v>290</v>
      </c>
      <c r="C504">
        <v>5</v>
      </c>
      <c r="D504" t="s">
        <v>74</v>
      </c>
      <c r="E504" t="s">
        <v>75</v>
      </c>
      <c r="F504" t="s">
        <v>198</v>
      </c>
      <c r="G504" t="s">
        <v>199</v>
      </c>
      <c r="J504" t="s">
        <v>138</v>
      </c>
      <c r="K504" t="s">
        <v>77</v>
      </c>
      <c r="L504">
        <v>28100000</v>
      </c>
      <c r="M504" t="s">
        <v>46</v>
      </c>
      <c r="N504" t="s">
        <v>499</v>
      </c>
      <c r="O504" t="s">
        <v>79</v>
      </c>
      <c r="P504" t="s">
        <v>103</v>
      </c>
    </row>
    <row r="505" spans="1:17" ht="15" hidden="1" customHeight="1" x14ac:dyDescent="0.25">
      <c r="A505" t="s">
        <v>153</v>
      </c>
      <c r="B505" t="s">
        <v>290</v>
      </c>
      <c r="C505">
        <v>5</v>
      </c>
      <c r="D505" t="s">
        <v>74</v>
      </c>
      <c r="E505" t="s">
        <v>75</v>
      </c>
      <c r="F505" t="s">
        <v>209</v>
      </c>
      <c r="G505" t="s">
        <v>199</v>
      </c>
      <c r="J505" t="s">
        <v>107</v>
      </c>
      <c r="K505" t="s">
        <v>77</v>
      </c>
      <c r="L505">
        <v>1440000000</v>
      </c>
      <c r="M505" t="s">
        <v>210</v>
      </c>
      <c r="N505" t="s">
        <v>474</v>
      </c>
      <c r="O505" t="s">
        <v>79</v>
      </c>
      <c r="P505" t="s">
        <v>103</v>
      </c>
    </row>
    <row r="506" spans="1:17" ht="15" hidden="1" customHeight="1" x14ac:dyDescent="0.25">
      <c r="A506" t="s">
        <v>153</v>
      </c>
      <c r="B506" t="s">
        <v>290</v>
      </c>
      <c r="C506">
        <v>5</v>
      </c>
      <c r="D506" t="s">
        <v>74</v>
      </c>
      <c r="E506" t="s">
        <v>75</v>
      </c>
      <c r="F506" t="s">
        <v>209</v>
      </c>
      <c r="G506" t="s">
        <v>199</v>
      </c>
      <c r="J506" t="s">
        <v>122</v>
      </c>
      <c r="K506" t="s">
        <v>77</v>
      </c>
      <c r="L506">
        <v>1540000000</v>
      </c>
      <c r="M506" t="s">
        <v>210</v>
      </c>
      <c r="N506" t="s">
        <v>487</v>
      </c>
      <c r="O506" t="s">
        <v>79</v>
      </c>
      <c r="P506" t="s">
        <v>103</v>
      </c>
    </row>
    <row r="507" spans="1:17" ht="15" hidden="1" customHeight="1" x14ac:dyDescent="0.25">
      <c r="A507" t="s">
        <v>153</v>
      </c>
      <c r="B507" t="s">
        <v>290</v>
      </c>
      <c r="C507">
        <v>5</v>
      </c>
      <c r="D507" t="s">
        <v>74</v>
      </c>
      <c r="E507" t="s">
        <v>75</v>
      </c>
      <c r="F507" t="s">
        <v>209</v>
      </c>
      <c r="G507" t="s">
        <v>199</v>
      </c>
      <c r="J507" t="s">
        <v>138</v>
      </c>
      <c r="K507" t="s">
        <v>77</v>
      </c>
      <c r="L507">
        <v>1720000000</v>
      </c>
      <c r="M507" t="s">
        <v>210</v>
      </c>
      <c r="N507" t="s">
        <v>500</v>
      </c>
      <c r="O507" t="s">
        <v>79</v>
      </c>
      <c r="P507" t="s">
        <v>103</v>
      </c>
    </row>
    <row r="508" spans="1:17" ht="15" hidden="1" customHeight="1" x14ac:dyDescent="0.25">
      <c r="A508" t="s">
        <v>153</v>
      </c>
      <c r="B508" t="s">
        <v>290</v>
      </c>
      <c r="C508">
        <v>5</v>
      </c>
      <c r="D508" t="s">
        <v>85</v>
      </c>
      <c r="E508" t="s">
        <v>86</v>
      </c>
      <c r="F508" t="s">
        <v>198</v>
      </c>
      <c r="G508" t="s">
        <v>199</v>
      </c>
      <c r="J508" t="s">
        <v>153</v>
      </c>
      <c r="K508" t="s">
        <v>45</v>
      </c>
      <c r="L508">
        <v>31160000</v>
      </c>
      <c r="M508" t="s">
        <v>46</v>
      </c>
      <c r="N508" t="s">
        <v>513</v>
      </c>
    </row>
    <row r="509" spans="1:17" ht="15" hidden="1" customHeight="1" x14ac:dyDescent="0.25">
      <c r="A509" t="s">
        <v>153</v>
      </c>
      <c r="B509" t="s">
        <v>290</v>
      </c>
      <c r="C509">
        <v>5</v>
      </c>
      <c r="D509" t="s">
        <v>85</v>
      </c>
      <c r="E509" t="s">
        <v>86</v>
      </c>
      <c r="F509" t="s">
        <v>209</v>
      </c>
      <c r="G509" t="s">
        <v>199</v>
      </c>
      <c r="J509" t="s">
        <v>153</v>
      </c>
      <c r="K509" t="s">
        <v>45</v>
      </c>
      <c r="L509">
        <v>1650000000</v>
      </c>
      <c r="M509" t="s">
        <v>210</v>
      </c>
      <c r="N509" t="s">
        <v>514</v>
      </c>
    </row>
    <row r="510" spans="1:17" ht="15" hidden="1" customHeight="1" x14ac:dyDescent="0.25">
      <c r="A510" t="s">
        <v>169</v>
      </c>
      <c r="B510" t="s">
        <v>290</v>
      </c>
      <c r="C510">
        <v>5</v>
      </c>
      <c r="D510" t="s">
        <v>40</v>
      </c>
      <c r="E510" t="s">
        <v>41</v>
      </c>
      <c r="F510" t="s">
        <v>198</v>
      </c>
      <c r="G510" t="s">
        <v>199</v>
      </c>
      <c r="H510" t="s">
        <v>428</v>
      </c>
      <c r="J510" t="s">
        <v>169</v>
      </c>
      <c r="K510" t="s">
        <v>45</v>
      </c>
      <c r="L510">
        <v>62000</v>
      </c>
      <c r="M510" t="s">
        <v>46</v>
      </c>
      <c r="N510" t="s">
        <v>515</v>
      </c>
    </row>
    <row r="511" spans="1:17" ht="15" hidden="1" customHeight="1" x14ac:dyDescent="0.25">
      <c r="A511" t="s">
        <v>169</v>
      </c>
      <c r="B511" t="s">
        <v>290</v>
      </c>
      <c r="C511">
        <v>5</v>
      </c>
      <c r="D511" t="s">
        <v>40</v>
      </c>
      <c r="E511" t="s">
        <v>41</v>
      </c>
      <c r="F511" t="s">
        <v>198</v>
      </c>
      <c r="G511" t="s">
        <v>199</v>
      </c>
      <c r="H511" t="s">
        <v>430</v>
      </c>
      <c r="J511" t="s">
        <v>169</v>
      </c>
      <c r="K511" t="s">
        <v>45</v>
      </c>
      <c r="L511">
        <v>215000</v>
      </c>
      <c r="M511" t="s">
        <v>46</v>
      </c>
      <c r="N511" t="s">
        <v>516</v>
      </c>
    </row>
    <row r="512" spans="1:17" ht="15" hidden="1" customHeight="1" x14ac:dyDescent="0.25">
      <c r="A512" t="s">
        <v>169</v>
      </c>
      <c r="B512" t="s">
        <v>290</v>
      </c>
      <c r="C512">
        <v>5</v>
      </c>
      <c r="D512" t="s">
        <v>40</v>
      </c>
      <c r="E512" t="s">
        <v>41</v>
      </c>
      <c r="F512" t="s">
        <v>198</v>
      </c>
      <c r="G512" t="s">
        <v>199</v>
      </c>
      <c r="H512" t="s">
        <v>200</v>
      </c>
      <c r="J512" t="s">
        <v>169</v>
      </c>
      <c r="K512" t="s">
        <v>45</v>
      </c>
      <c r="L512">
        <v>29950000</v>
      </c>
      <c r="M512" t="s">
        <v>46</v>
      </c>
      <c r="N512" t="s">
        <v>517</v>
      </c>
    </row>
    <row r="513" spans="1:17" ht="15" hidden="1" customHeight="1" x14ac:dyDescent="0.25">
      <c r="A513" t="s">
        <v>169</v>
      </c>
      <c r="B513" t="s">
        <v>290</v>
      </c>
      <c r="C513">
        <v>5</v>
      </c>
      <c r="D513" t="s">
        <v>40</v>
      </c>
      <c r="E513" t="s">
        <v>41</v>
      </c>
      <c r="F513" t="s">
        <v>198</v>
      </c>
      <c r="G513" t="s">
        <v>199</v>
      </c>
      <c r="H513" t="s">
        <v>200</v>
      </c>
      <c r="I513" t="s">
        <v>202</v>
      </c>
      <c r="J513" t="s">
        <v>169</v>
      </c>
      <c r="K513" t="s">
        <v>45</v>
      </c>
      <c r="L513">
        <v>7500000</v>
      </c>
      <c r="M513" t="s">
        <v>46</v>
      </c>
      <c r="N513" t="s">
        <v>518</v>
      </c>
      <c r="Q513" t="s">
        <v>204</v>
      </c>
    </row>
    <row r="514" spans="1:17" ht="15" hidden="1" customHeight="1" x14ac:dyDescent="0.25">
      <c r="A514" t="s">
        <v>169</v>
      </c>
      <c r="B514" t="s">
        <v>290</v>
      </c>
      <c r="C514">
        <v>5</v>
      </c>
      <c r="D514" t="s">
        <v>40</v>
      </c>
      <c r="E514" t="s">
        <v>41</v>
      </c>
      <c r="F514" t="s">
        <v>198</v>
      </c>
      <c r="G514" t="s">
        <v>199</v>
      </c>
      <c r="H514" t="s">
        <v>200</v>
      </c>
      <c r="I514" t="s">
        <v>205</v>
      </c>
      <c r="J514" t="s">
        <v>169</v>
      </c>
      <c r="K514" t="s">
        <v>45</v>
      </c>
      <c r="L514">
        <v>13500000</v>
      </c>
      <c r="M514" t="s">
        <v>46</v>
      </c>
      <c r="N514" t="s">
        <v>519</v>
      </c>
      <c r="Q514" t="s">
        <v>204</v>
      </c>
    </row>
    <row r="515" spans="1:17" ht="15" hidden="1" customHeight="1" x14ac:dyDescent="0.25">
      <c r="A515" t="s">
        <v>169</v>
      </c>
      <c r="B515" t="s">
        <v>290</v>
      </c>
      <c r="C515">
        <v>5</v>
      </c>
      <c r="D515" t="s">
        <v>40</v>
      </c>
      <c r="E515" t="s">
        <v>41</v>
      </c>
      <c r="F515" t="s">
        <v>198</v>
      </c>
      <c r="G515" t="s">
        <v>199</v>
      </c>
      <c r="H515" t="s">
        <v>207</v>
      </c>
      <c r="J515" t="s">
        <v>169</v>
      </c>
      <c r="K515" t="s">
        <v>45</v>
      </c>
      <c r="L515">
        <v>5210000</v>
      </c>
      <c r="M515" t="s">
        <v>46</v>
      </c>
      <c r="N515" t="s">
        <v>520</v>
      </c>
    </row>
    <row r="516" spans="1:17" ht="15" hidden="1" customHeight="1" x14ac:dyDescent="0.25">
      <c r="A516" t="s">
        <v>169</v>
      </c>
      <c r="B516" t="s">
        <v>290</v>
      </c>
      <c r="C516">
        <v>5</v>
      </c>
      <c r="D516" t="s">
        <v>40</v>
      </c>
      <c r="E516" t="s">
        <v>41</v>
      </c>
      <c r="F516" t="s">
        <v>209</v>
      </c>
      <c r="G516" t="s">
        <v>199</v>
      </c>
      <c r="H516" t="s">
        <v>428</v>
      </c>
      <c r="J516" t="s">
        <v>169</v>
      </c>
      <c r="K516" t="s">
        <v>45</v>
      </c>
      <c r="L516">
        <v>11000000</v>
      </c>
      <c r="M516" t="s">
        <v>210</v>
      </c>
      <c r="N516" t="s">
        <v>521</v>
      </c>
    </row>
    <row r="517" spans="1:17" ht="15" hidden="1" customHeight="1" x14ac:dyDescent="0.25">
      <c r="A517" t="s">
        <v>169</v>
      </c>
      <c r="B517" t="s">
        <v>290</v>
      </c>
      <c r="C517">
        <v>5</v>
      </c>
      <c r="D517" t="s">
        <v>40</v>
      </c>
      <c r="E517" t="s">
        <v>41</v>
      </c>
      <c r="F517" t="s">
        <v>209</v>
      </c>
      <c r="G517" t="s">
        <v>199</v>
      </c>
      <c r="H517" t="s">
        <v>430</v>
      </c>
      <c r="J517" t="s">
        <v>169</v>
      </c>
      <c r="K517" t="s">
        <v>45</v>
      </c>
      <c r="L517">
        <v>30000000</v>
      </c>
      <c r="M517" t="s">
        <v>210</v>
      </c>
      <c r="N517" t="s">
        <v>522</v>
      </c>
    </row>
    <row r="518" spans="1:17" ht="15" hidden="1" customHeight="1" x14ac:dyDescent="0.25">
      <c r="A518" t="s">
        <v>169</v>
      </c>
      <c r="B518" t="s">
        <v>290</v>
      </c>
      <c r="C518">
        <v>5</v>
      </c>
      <c r="D518" t="s">
        <v>40</v>
      </c>
      <c r="E518" t="s">
        <v>41</v>
      </c>
      <c r="F518" t="s">
        <v>209</v>
      </c>
      <c r="G518" t="s">
        <v>199</v>
      </c>
      <c r="H518" t="s">
        <v>200</v>
      </c>
      <c r="J518" t="s">
        <v>169</v>
      </c>
      <c r="K518" t="s">
        <v>45</v>
      </c>
      <c r="L518">
        <v>1400000000</v>
      </c>
      <c r="M518" t="s">
        <v>210</v>
      </c>
      <c r="N518" t="s">
        <v>523</v>
      </c>
    </row>
    <row r="519" spans="1:17" ht="15" hidden="1" customHeight="1" x14ac:dyDescent="0.25">
      <c r="A519" t="s">
        <v>169</v>
      </c>
      <c r="B519" t="s">
        <v>290</v>
      </c>
      <c r="C519">
        <v>5</v>
      </c>
      <c r="D519" t="s">
        <v>40</v>
      </c>
      <c r="E519" t="s">
        <v>41</v>
      </c>
      <c r="F519" t="s">
        <v>209</v>
      </c>
      <c r="G519" t="s">
        <v>199</v>
      </c>
      <c r="H519" t="s">
        <v>200</v>
      </c>
      <c r="I519" t="s">
        <v>202</v>
      </c>
      <c r="J519" t="s">
        <v>169</v>
      </c>
      <c r="K519" t="s">
        <v>45</v>
      </c>
      <c r="L519">
        <v>278000000</v>
      </c>
      <c r="M519" t="s">
        <v>210</v>
      </c>
      <c r="N519" t="s">
        <v>524</v>
      </c>
      <c r="Q519" t="s">
        <v>204</v>
      </c>
    </row>
    <row r="520" spans="1:17" ht="15" hidden="1" customHeight="1" x14ac:dyDescent="0.25">
      <c r="A520" t="s">
        <v>169</v>
      </c>
      <c r="B520" t="s">
        <v>290</v>
      </c>
      <c r="C520">
        <v>5</v>
      </c>
      <c r="D520" t="s">
        <v>40</v>
      </c>
      <c r="E520" t="s">
        <v>41</v>
      </c>
      <c r="F520" t="s">
        <v>209</v>
      </c>
      <c r="G520" t="s">
        <v>199</v>
      </c>
      <c r="H520" t="s">
        <v>200</v>
      </c>
      <c r="I520" t="s">
        <v>205</v>
      </c>
      <c r="J520" t="s">
        <v>169</v>
      </c>
      <c r="K520" t="s">
        <v>45</v>
      </c>
      <c r="L520">
        <v>402000000</v>
      </c>
      <c r="M520" t="s">
        <v>210</v>
      </c>
      <c r="N520" t="s">
        <v>525</v>
      </c>
      <c r="Q520" t="s">
        <v>204</v>
      </c>
    </row>
    <row r="521" spans="1:17" ht="15" hidden="1" customHeight="1" x14ac:dyDescent="0.25">
      <c r="A521" t="s">
        <v>169</v>
      </c>
      <c r="B521" t="s">
        <v>290</v>
      </c>
      <c r="C521">
        <v>5</v>
      </c>
      <c r="D521" t="s">
        <v>40</v>
      </c>
      <c r="E521" t="s">
        <v>41</v>
      </c>
      <c r="F521" t="s">
        <v>209</v>
      </c>
      <c r="G521" t="s">
        <v>199</v>
      </c>
      <c r="H521" t="s">
        <v>207</v>
      </c>
      <c r="J521" t="s">
        <v>169</v>
      </c>
      <c r="K521" t="s">
        <v>45</v>
      </c>
      <c r="L521">
        <v>347000000</v>
      </c>
      <c r="M521" t="s">
        <v>210</v>
      </c>
      <c r="N521" t="s">
        <v>526</v>
      </c>
    </row>
    <row r="522" spans="1:17" ht="15" hidden="1" customHeight="1" x14ac:dyDescent="0.25">
      <c r="A522" t="s">
        <v>169</v>
      </c>
      <c r="B522" t="s">
        <v>290</v>
      </c>
      <c r="C522">
        <v>5</v>
      </c>
      <c r="D522" t="s">
        <v>74</v>
      </c>
      <c r="E522" t="s">
        <v>75</v>
      </c>
      <c r="F522" t="s">
        <v>198</v>
      </c>
      <c r="G522" t="s">
        <v>199</v>
      </c>
      <c r="J522" t="s">
        <v>153</v>
      </c>
      <c r="K522" t="s">
        <v>77</v>
      </c>
      <c r="L522">
        <v>31160000</v>
      </c>
      <c r="M522" t="s">
        <v>46</v>
      </c>
      <c r="N522" t="s">
        <v>513</v>
      </c>
      <c r="O522" t="s">
        <v>79</v>
      </c>
      <c r="P522" t="s">
        <v>103</v>
      </c>
    </row>
    <row r="523" spans="1:17" ht="15" hidden="1" customHeight="1" x14ac:dyDescent="0.25">
      <c r="A523" t="s">
        <v>169</v>
      </c>
      <c r="B523" t="s">
        <v>290</v>
      </c>
      <c r="C523">
        <v>5</v>
      </c>
      <c r="D523" t="s">
        <v>74</v>
      </c>
      <c r="E523" t="s">
        <v>75</v>
      </c>
      <c r="F523" t="s">
        <v>209</v>
      </c>
      <c r="G523" t="s">
        <v>199</v>
      </c>
      <c r="J523" t="s">
        <v>153</v>
      </c>
      <c r="K523" t="s">
        <v>77</v>
      </c>
      <c r="L523">
        <v>1650000000</v>
      </c>
      <c r="M523" t="s">
        <v>210</v>
      </c>
      <c r="N523" t="s">
        <v>514</v>
      </c>
      <c r="O523" t="s">
        <v>79</v>
      </c>
      <c r="P523" t="s">
        <v>103</v>
      </c>
    </row>
    <row r="524" spans="1:17" ht="15" hidden="1" customHeight="1" x14ac:dyDescent="0.25">
      <c r="A524" t="s">
        <v>169</v>
      </c>
      <c r="B524" t="s">
        <v>290</v>
      </c>
      <c r="C524">
        <v>5</v>
      </c>
      <c r="D524" t="s">
        <v>85</v>
      </c>
      <c r="E524" t="s">
        <v>86</v>
      </c>
      <c r="F524" t="s">
        <v>198</v>
      </c>
      <c r="G524" t="s">
        <v>199</v>
      </c>
      <c r="J524" t="s">
        <v>169</v>
      </c>
      <c r="K524" t="s">
        <v>45</v>
      </c>
      <c r="L524">
        <v>35430000</v>
      </c>
      <c r="M524" t="s">
        <v>46</v>
      </c>
      <c r="N524" t="s">
        <v>527</v>
      </c>
    </row>
    <row r="525" spans="1:17" ht="15" hidden="1" customHeight="1" x14ac:dyDescent="0.25">
      <c r="A525" t="s">
        <v>169</v>
      </c>
      <c r="B525" t="s">
        <v>290</v>
      </c>
      <c r="C525">
        <v>5</v>
      </c>
      <c r="D525" t="s">
        <v>85</v>
      </c>
      <c r="E525" t="s">
        <v>86</v>
      </c>
      <c r="F525" t="s">
        <v>209</v>
      </c>
      <c r="G525" t="s">
        <v>199</v>
      </c>
      <c r="J525" t="s">
        <v>169</v>
      </c>
      <c r="K525" t="s">
        <v>45</v>
      </c>
      <c r="L525">
        <v>1790000000</v>
      </c>
      <c r="M525" t="s">
        <v>210</v>
      </c>
      <c r="N525" t="s">
        <v>528</v>
      </c>
    </row>
    <row r="526" spans="1:17" ht="15" hidden="1" customHeight="1" x14ac:dyDescent="0.25">
      <c r="A526" t="s">
        <v>184</v>
      </c>
      <c r="B526" t="s">
        <v>290</v>
      </c>
      <c r="C526">
        <v>5</v>
      </c>
      <c r="D526" t="s">
        <v>40</v>
      </c>
      <c r="E526" t="s">
        <v>41</v>
      </c>
      <c r="F526" t="s">
        <v>198</v>
      </c>
      <c r="G526" t="s">
        <v>199</v>
      </c>
      <c r="H526" t="s">
        <v>428</v>
      </c>
      <c r="J526" t="s">
        <v>184</v>
      </c>
      <c r="K526" t="s">
        <v>45</v>
      </c>
      <c r="L526">
        <v>62000</v>
      </c>
      <c r="M526" t="s">
        <v>46</v>
      </c>
      <c r="N526" t="s">
        <v>515</v>
      </c>
    </row>
    <row r="527" spans="1:17" ht="15" hidden="1" customHeight="1" x14ac:dyDescent="0.25">
      <c r="A527" t="s">
        <v>184</v>
      </c>
      <c r="B527" t="s">
        <v>290</v>
      </c>
      <c r="C527">
        <v>5</v>
      </c>
      <c r="D527" t="s">
        <v>40</v>
      </c>
      <c r="E527" t="s">
        <v>41</v>
      </c>
      <c r="F527" t="s">
        <v>198</v>
      </c>
      <c r="G527" t="s">
        <v>199</v>
      </c>
      <c r="H527" t="s">
        <v>430</v>
      </c>
      <c r="J527" t="s">
        <v>184</v>
      </c>
      <c r="K527" t="s">
        <v>45</v>
      </c>
      <c r="L527">
        <v>189000</v>
      </c>
      <c r="M527" t="s">
        <v>46</v>
      </c>
      <c r="N527" t="s">
        <v>529</v>
      </c>
    </row>
    <row r="528" spans="1:17" ht="15" hidden="1" customHeight="1" x14ac:dyDescent="0.25">
      <c r="A528" t="s">
        <v>184</v>
      </c>
      <c r="B528" t="s">
        <v>290</v>
      </c>
      <c r="C528">
        <v>5</v>
      </c>
      <c r="D528" t="s">
        <v>40</v>
      </c>
      <c r="E528" t="s">
        <v>41</v>
      </c>
      <c r="F528" t="s">
        <v>198</v>
      </c>
      <c r="G528" t="s">
        <v>199</v>
      </c>
      <c r="H528" t="s">
        <v>200</v>
      </c>
      <c r="J528" t="s">
        <v>184</v>
      </c>
      <c r="K528" t="s">
        <v>45</v>
      </c>
      <c r="L528">
        <v>36050000</v>
      </c>
      <c r="M528" t="s">
        <v>46</v>
      </c>
      <c r="N528" t="s">
        <v>530</v>
      </c>
    </row>
    <row r="529" spans="1:17" ht="15" hidden="1" customHeight="1" x14ac:dyDescent="0.25">
      <c r="A529" t="s">
        <v>184</v>
      </c>
      <c r="B529" t="s">
        <v>290</v>
      </c>
      <c r="C529">
        <v>5</v>
      </c>
      <c r="D529" t="s">
        <v>40</v>
      </c>
      <c r="E529" t="s">
        <v>41</v>
      </c>
      <c r="F529" t="s">
        <v>198</v>
      </c>
      <c r="G529" t="s">
        <v>199</v>
      </c>
      <c r="H529" t="s">
        <v>200</v>
      </c>
      <c r="I529" t="s">
        <v>202</v>
      </c>
      <c r="J529" t="s">
        <v>184</v>
      </c>
      <c r="K529" t="s">
        <v>45</v>
      </c>
      <c r="L529">
        <v>8800000</v>
      </c>
      <c r="M529" t="s">
        <v>46</v>
      </c>
      <c r="N529" t="s">
        <v>531</v>
      </c>
      <c r="Q529" t="s">
        <v>204</v>
      </c>
    </row>
    <row r="530" spans="1:17" ht="15" hidden="1" customHeight="1" x14ac:dyDescent="0.25">
      <c r="A530" t="s">
        <v>184</v>
      </c>
      <c r="B530" t="s">
        <v>290</v>
      </c>
      <c r="C530">
        <v>5</v>
      </c>
      <c r="D530" t="s">
        <v>40</v>
      </c>
      <c r="E530" t="s">
        <v>41</v>
      </c>
      <c r="F530" t="s">
        <v>198</v>
      </c>
      <c r="G530" t="s">
        <v>199</v>
      </c>
      <c r="H530" t="s">
        <v>200</v>
      </c>
      <c r="I530" t="s">
        <v>205</v>
      </c>
      <c r="J530" t="s">
        <v>184</v>
      </c>
      <c r="K530" t="s">
        <v>45</v>
      </c>
      <c r="L530">
        <v>16700000</v>
      </c>
      <c r="M530" t="s">
        <v>46</v>
      </c>
      <c r="N530" t="s">
        <v>532</v>
      </c>
      <c r="Q530" t="s">
        <v>204</v>
      </c>
    </row>
    <row r="531" spans="1:17" ht="15" hidden="1" customHeight="1" x14ac:dyDescent="0.25">
      <c r="A531" t="s">
        <v>184</v>
      </c>
      <c r="B531" t="s">
        <v>290</v>
      </c>
      <c r="C531">
        <v>5</v>
      </c>
      <c r="D531" t="s">
        <v>40</v>
      </c>
      <c r="E531" t="s">
        <v>41</v>
      </c>
      <c r="F531" t="s">
        <v>198</v>
      </c>
      <c r="G531" t="s">
        <v>199</v>
      </c>
      <c r="H531" t="s">
        <v>207</v>
      </c>
      <c r="J531" t="s">
        <v>184</v>
      </c>
      <c r="K531" t="s">
        <v>45</v>
      </c>
      <c r="L531">
        <v>6760000</v>
      </c>
      <c r="M531" t="s">
        <v>46</v>
      </c>
      <c r="N531" t="s">
        <v>533</v>
      </c>
    </row>
    <row r="532" spans="1:17" ht="15" hidden="1" customHeight="1" x14ac:dyDescent="0.25">
      <c r="A532" t="s">
        <v>184</v>
      </c>
      <c r="B532" t="s">
        <v>290</v>
      </c>
      <c r="C532">
        <v>5</v>
      </c>
      <c r="D532" t="s">
        <v>40</v>
      </c>
      <c r="E532" t="s">
        <v>41</v>
      </c>
      <c r="F532" t="s">
        <v>209</v>
      </c>
      <c r="G532" t="s">
        <v>199</v>
      </c>
      <c r="H532" t="s">
        <v>428</v>
      </c>
      <c r="J532" t="s">
        <v>184</v>
      </c>
      <c r="K532" t="s">
        <v>45</v>
      </c>
      <c r="L532">
        <v>11000000</v>
      </c>
      <c r="M532" t="s">
        <v>210</v>
      </c>
      <c r="N532" t="s">
        <v>521</v>
      </c>
    </row>
    <row r="533" spans="1:17" ht="15" hidden="1" customHeight="1" x14ac:dyDescent="0.25">
      <c r="A533" t="s">
        <v>184</v>
      </c>
      <c r="B533" t="s">
        <v>290</v>
      </c>
      <c r="C533">
        <v>5</v>
      </c>
      <c r="D533" t="s">
        <v>40</v>
      </c>
      <c r="E533" t="s">
        <v>41</v>
      </c>
      <c r="F533" t="s">
        <v>209</v>
      </c>
      <c r="G533" t="s">
        <v>199</v>
      </c>
      <c r="H533" t="s">
        <v>430</v>
      </c>
      <c r="J533" t="s">
        <v>184</v>
      </c>
      <c r="K533" t="s">
        <v>45</v>
      </c>
      <c r="L533">
        <v>28000000</v>
      </c>
      <c r="M533" t="s">
        <v>210</v>
      </c>
      <c r="N533" t="s">
        <v>534</v>
      </c>
    </row>
    <row r="534" spans="1:17" ht="15" hidden="1" customHeight="1" x14ac:dyDescent="0.25">
      <c r="A534" t="s">
        <v>184</v>
      </c>
      <c r="B534" t="s">
        <v>290</v>
      </c>
      <c r="C534">
        <v>5</v>
      </c>
      <c r="D534" t="s">
        <v>40</v>
      </c>
      <c r="E534" t="s">
        <v>41</v>
      </c>
      <c r="F534" t="s">
        <v>209</v>
      </c>
      <c r="G534" t="s">
        <v>199</v>
      </c>
      <c r="H534" t="s">
        <v>200</v>
      </c>
      <c r="J534" t="s">
        <v>184</v>
      </c>
      <c r="K534" t="s">
        <v>45</v>
      </c>
      <c r="L534">
        <v>1520000000</v>
      </c>
      <c r="M534" t="s">
        <v>210</v>
      </c>
      <c r="N534" t="s">
        <v>257</v>
      </c>
    </row>
    <row r="535" spans="1:17" ht="15" hidden="1" customHeight="1" x14ac:dyDescent="0.25">
      <c r="A535" t="s">
        <v>184</v>
      </c>
      <c r="B535" t="s">
        <v>290</v>
      </c>
      <c r="C535">
        <v>5</v>
      </c>
      <c r="D535" t="s">
        <v>40</v>
      </c>
      <c r="E535" t="s">
        <v>41</v>
      </c>
      <c r="F535" t="s">
        <v>209</v>
      </c>
      <c r="G535" t="s">
        <v>199</v>
      </c>
      <c r="H535" t="s">
        <v>200</v>
      </c>
      <c r="I535" t="s">
        <v>202</v>
      </c>
      <c r="J535" t="s">
        <v>184</v>
      </c>
      <c r="K535" t="s">
        <v>45</v>
      </c>
      <c r="L535">
        <v>296000000</v>
      </c>
      <c r="M535" t="s">
        <v>210</v>
      </c>
      <c r="N535" t="s">
        <v>535</v>
      </c>
      <c r="Q535" t="s">
        <v>204</v>
      </c>
    </row>
    <row r="536" spans="1:17" ht="15" hidden="1" customHeight="1" x14ac:dyDescent="0.25">
      <c r="A536" t="s">
        <v>184</v>
      </c>
      <c r="B536" t="s">
        <v>290</v>
      </c>
      <c r="C536">
        <v>5</v>
      </c>
      <c r="D536" t="s">
        <v>40</v>
      </c>
      <c r="E536" t="s">
        <v>41</v>
      </c>
      <c r="F536" t="s">
        <v>209</v>
      </c>
      <c r="G536" t="s">
        <v>199</v>
      </c>
      <c r="H536" t="s">
        <v>200</v>
      </c>
      <c r="I536" t="s">
        <v>205</v>
      </c>
      <c r="J536" t="s">
        <v>184</v>
      </c>
      <c r="K536" t="s">
        <v>45</v>
      </c>
      <c r="L536">
        <v>427000000</v>
      </c>
      <c r="M536" t="s">
        <v>210</v>
      </c>
      <c r="N536" t="s">
        <v>536</v>
      </c>
      <c r="Q536" t="s">
        <v>204</v>
      </c>
    </row>
    <row r="537" spans="1:17" ht="15" hidden="1" customHeight="1" x14ac:dyDescent="0.25">
      <c r="A537" t="s">
        <v>184</v>
      </c>
      <c r="B537" t="s">
        <v>290</v>
      </c>
      <c r="C537">
        <v>5</v>
      </c>
      <c r="D537" t="s">
        <v>40</v>
      </c>
      <c r="E537" t="s">
        <v>41</v>
      </c>
      <c r="F537" t="s">
        <v>209</v>
      </c>
      <c r="G537" t="s">
        <v>199</v>
      </c>
      <c r="H537" t="s">
        <v>207</v>
      </c>
      <c r="J537" t="s">
        <v>184</v>
      </c>
      <c r="K537" t="s">
        <v>45</v>
      </c>
      <c r="L537">
        <v>414000000</v>
      </c>
      <c r="M537" t="s">
        <v>210</v>
      </c>
      <c r="N537" t="s">
        <v>537</v>
      </c>
    </row>
    <row r="538" spans="1:17" ht="15" hidden="1" customHeight="1" x14ac:dyDescent="0.25">
      <c r="A538" t="s">
        <v>184</v>
      </c>
      <c r="B538" t="s">
        <v>290</v>
      </c>
      <c r="C538">
        <v>5</v>
      </c>
      <c r="D538" t="s">
        <v>74</v>
      </c>
      <c r="E538" t="s">
        <v>75</v>
      </c>
      <c r="F538" t="s">
        <v>198</v>
      </c>
      <c r="G538" t="s">
        <v>199</v>
      </c>
      <c r="J538" t="s">
        <v>169</v>
      </c>
      <c r="K538" t="s">
        <v>77</v>
      </c>
      <c r="L538">
        <v>35430000</v>
      </c>
      <c r="M538" t="s">
        <v>46</v>
      </c>
      <c r="N538" t="s">
        <v>527</v>
      </c>
      <c r="O538" t="s">
        <v>79</v>
      </c>
      <c r="P538" t="s">
        <v>103</v>
      </c>
    </row>
    <row r="539" spans="1:17" ht="15" hidden="1" customHeight="1" x14ac:dyDescent="0.25">
      <c r="A539" t="s">
        <v>184</v>
      </c>
      <c r="B539" t="s">
        <v>290</v>
      </c>
      <c r="C539">
        <v>5</v>
      </c>
      <c r="D539" t="s">
        <v>74</v>
      </c>
      <c r="E539" t="s">
        <v>75</v>
      </c>
      <c r="F539" t="s">
        <v>209</v>
      </c>
      <c r="G539" t="s">
        <v>199</v>
      </c>
      <c r="J539" t="s">
        <v>169</v>
      </c>
      <c r="K539" t="s">
        <v>77</v>
      </c>
      <c r="L539">
        <v>1790000000</v>
      </c>
      <c r="M539" t="s">
        <v>210</v>
      </c>
      <c r="N539" t="s">
        <v>528</v>
      </c>
      <c r="O539" t="s">
        <v>79</v>
      </c>
      <c r="P539" t="s">
        <v>103</v>
      </c>
    </row>
    <row r="540" spans="1:17" ht="15" hidden="1" customHeight="1" x14ac:dyDescent="0.25">
      <c r="A540" t="s">
        <v>184</v>
      </c>
      <c r="B540" t="s">
        <v>290</v>
      </c>
      <c r="C540">
        <v>5</v>
      </c>
      <c r="D540" t="s">
        <v>85</v>
      </c>
      <c r="E540" t="s">
        <v>86</v>
      </c>
      <c r="F540" t="s">
        <v>198</v>
      </c>
      <c r="G540" t="s">
        <v>199</v>
      </c>
      <c r="J540" t="s">
        <v>184</v>
      </c>
      <c r="K540" t="s">
        <v>45</v>
      </c>
      <c r="L540">
        <v>43060000</v>
      </c>
      <c r="M540" t="s">
        <v>46</v>
      </c>
      <c r="N540" t="s">
        <v>538</v>
      </c>
    </row>
    <row r="541" spans="1:17" ht="15" hidden="1" customHeight="1" x14ac:dyDescent="0.25">
      <c r="A541" t="s">
        <v>184</v>
      </c>
      <c r="B541" t="s">
        <v>290</v>
      </c>
      <c r="C541">
        <v>5</v>
      </c>
      <c r="D541" t="s">
        <v>85</v>
      </c>
      <c r="E541" t="s">
        <v>86</v>
      </c>
      <c r="F541" t="s">
        <v>209</v>
      </c>
      <c r="G541" t="s">
        <v>199</v>
      </c>
      <c r="J541" t="s">
        <v>184</v>
      </c>
      <c r="K541" t="s">
        <v>45</v>
      </c>
      <c r="L541">
        <v>1970000000</v>
      </c>
      <c r="M541" t="s">
        <v>210</v>
      </c>
      <c r="N541" t="s">
        <v>539</v>
      </c>
    </row>
    <row r="542" spans="1:17" ht="15" hidden="1" customHeight="1" x14ac:dyDescent="0.25">
      <c r="A542" t="s">
        <v>38</v>
      </c>
      <c r="B542" t="s">
        <v>540</v>
      </c>
      <c r="C542">
        <v>6</v>
      </c>
      <c r="D542" t="s">
        <v>40</v>
      </c>
      <c r="E542" t="s">
        <v>41</v>
      </c>
      <c r="F542" t="s">
        <v>541</v>
      </c>
      <c r="G542" t="s">
        <v>199</v>
      </c>
      <c r="H542" t="s">
        <v>542</v>
      </c>
      <c r="J542" t="s">
        <v>38</v>
      </c>
      <c r="K542" t="s">
        <v>45</v>
      </c>
      <c r="L542">
        <v>5200000</v>
      </c>
      <c r="M542" t="s">
        <v>46</v>
      </c>
      <c r="N542" t="s">
        <v>233</v>
      </c>
    </row>
    <row r="543" spans="1:17" ht="15" hidden="1" customHeight="1" x14ac:dyDescent="0.25">
      <c r="A543" t="s">
        <v>38</v>
      </c>
      <c r="B543" t="s">
        <v>540</v>
      </c>
      <c r="C543">
        <v>6</v>
      </c>
      <c r="D543" t="s">
        <v>40</v>
      </c>
      <c r="E543" t="s">
        <v>41</v>
      </c>
      <c r="F543" t="s">
        <v>541</v>
      </c>
      <c r="G543" t="s">
        <v>199</v>
      </c>
      <c r="H543" t="s">
        <v>202</v>
      </c>
      <c r="J543" t="s">
        <v>38</v>
      </c>
      <c r="K543" t="s">
        <v>45</v>
      </c>
      <c r="L543">
        <v>25040000</v>
      </c>
      <c r="M543" t="s">
        <v>46</v>
      </c>
      <c r="N543" t="s">
        <v>543</v>
      </c>
    </row>
    <row r="544" spans="1:17" ht="15" hidden="1" customHeight="1" x14ac:dyDescent="0.25">
      <c r="A544" t="s">
        <v>38</v>
      </c>
      <c r="B544" t="s">
        <v>540</v>
      </c>
      <c r="C544">
        <v>6</v>
      </c>
      <c r="D544" t="s">
        <v>40</v>
      </c>
      <c r="E544" t="s">
        <v>41</v>
      </c>
      <c r="F544" t="s">
        <v>541</v>
      </c>
      <c r="G544" t="s">
        <v>199</v>
      </c>
      <c r="H544" t="s">
        <v>205</v>
      </c>
      <c r="J544" t="s">
        <v>38</v>
      </c>
      <c r="K544" t="s">
        <v>45</v>
      </c>
      <c r="L544">
        <v>8700000</v>
      </c>
      <c r="M544" t="s">
        <v>46</v>
      </c>
      <c r="N544" t="s">
        <v>544</v>
      </c>
    </row>
    <row r="545" spans="1:17" ht="15" hidden="1" customHeight="1" x14ac:dyDescent="0.25">
      <c r="A545" t="s">
        <v>38</v>
      </c>
      <c r="B545" t="s">
        <v>540</v>
      </c>
      <c r="C545">
        <v>6</v>
      </c>
      <c r="D545" t="s">
        <v>40</v>
      </c>
      <c r="E545" t="s">
        <v>41</v>
      </c>
      <c r="F545" t="s">
        <v>541</v>
      </c>
      <c r="G545" t="s">
        <v>199</v>
      </c>
      <c r="H545" t="s">
        <v>545</v>
      </c>
      <c r="J545" t="s">
        <v>38</v>
      </c>
      <c r="K545" t="s">
        <v>45</v>
      </c>
      <c r="L545">
        <v>4300000</v>
      </c>
      <c r="M545" t="s">
        <v>46</v>
      </c>
      <c r="N545" t="s">
        <v>546</v>
      </c>
    </row>
    <row r="546" spans="1:17" ht="15" hidden="1" customHeight="1" x14ac:dyDescent="0.25">
      <c r="A546" t="s">
        <v>38</v>
      </c>
      <c r="B546" t="s">
        <v>540</v>
      </c>
      <c r="C546">
        <v>6</v>
      </c>
      <c r="D546" t="s">
        <v>40</v>
      </c>
      <c r="E546" t="s">
        <v>41</v>
      </c>
      <c r="F546" t="s">
        <v>547</v>
      </c>
      <c r="G546" t="s">
        <v>199</v>
      </c>
      <c r="H546" t="s">
        <v>542</v>
      </c>
      <c r="J546" t="s">
        <v>38</v>
      </c>
      <c r="K546" t="s">
        <v>45</v>
      </c>
      <c r="L546">
        <v>401000000</v>
      </c>
      <c r="M546" t="s">
        <v>210</v>
      </c>
      <c r="N546" t="s">
        <v>548</v>
      </c>
    </row>
    <row r="547" spans="1:17" ht="15" hidden="1" customHeight="1" x14ac:dyDescent="0.25">
      <c r="A547" t="s">
        <v>38</v>
      </c>
      <c r="B547" t="s">
        <v>540</v>
      </c>
      <c r="C547">
        <v>6</v>
      </c>
      <c r="D547" t="s">
        <v>40</v>
      </c>
      <c r="E547" t="s">
        <v>41</v>
      </c>
      <c r="F547" t="s">
        <v>547</v>
      </c>
      <c r="G547" t="s">
        <v>199</v>
      </c>
      <c r="H547" t="s">
        <v>202</v>
      </c>
      <c r="J547" t="s">
        <v>38</v>
      </c>
      <c r="K547" t="s">
        <v>45</v>
      </c>
      <c r="L547">
        <v>3200000000</v>
      </c>
      <c r="M547" t="s">
        <v>210</v>
      </c>
      <c r="N547" t="s">
        <v>549</v>
      </c>
    </row>
    <row r="548" spans="1:17" ht="15" hidden="1" customHeight="1" x14ac:dyDescent="0.25">
      <c r="A548" t="s">
        <v>38</v>
      </c>
      <c r="B548" t="s">
        <v>540</v>
      </c>
      <c r="C548">
        <v>6</v>
      </c>
      <c r="D548" t="s">
        <v>40</v>
      </c>
      <c r="E548" t="s">
        <v>41</v>
      </c>
      <c r="F548" t="s">
        <v>547</v>
      </c>
      <c r="G548" t="s">
        <v>199</v>
      </c>
      <c r="H548" t="s">
        <v>205</v>
      </c>
      <c r="J548" t="s">
        <v>38</v>
      </c>
      <c r="K548" t="s">
        <v>45</v>
      </c>
      <c r="L548">
        <v>777000000</v>
      </c>
      <c r="M548" t="s">
        <v>210</v>
      </c>
      <c r="N548" t="s">
        <v>550</v>
      </c>
    </row>
    <row r="549" spans="1:17" ht="15" hidden="1" customHeight="1" x14ac:dyDescent="0.25">
      <c r="A549" t="s">
        <v>38</v>
      </c>
      <c r="B549" t="s">
        <v>540</v>
      </c>
      <c r="C549">
        <v>6</v>
      </c>
      <c r="D549" t="s">
        <v>40</v>
      </c>
      <c r="E549" t="s">
        <v>41</v>
      </c>
      <c r="F549" t="s">
        <v>547</v>
      </c>
      <c r="G549" t="s">
        <v>199</v>
      </c>
      <c r="H549" t="s">
        <v>545</v>
      </c>
      <c r="J549" t="s">
        <v>38</v>
      </c>
      <c r="K549" t="s">
        <v>45</v>
      </c>
      <c r="L549">
        <v>615000000</v>
      </c>
      <c r="M549" t="s">
        <v>210</v>
      </c>
      <c r="N549" t="s">
        <v>551</v>
      </c>
    </row>
    <row r="550" spans="1:17" ht="15" hidden="1" customHeight="1" x14ac:dyDescent="0.25">
      <c r="A550" t="s">
        <v>38</v>
      </c>
      <c r="B550" t="s">
        <v>540</v>
      </c>
      <c r="C550">
        <v>6</v>
      </c>
      <c r="D550" t="s">
        <v>74</v>
      </c>
      <c r="E550" t="s">
        <v>75</v>
      </c>
      <c r="F550" t="s">
        <v>541</v>
      </c>
      <c r="G550" t="s">
        <v>199</v>
      </c>
      <c r="J550" t="s">
        <v>76</v>
      </c>
      <c r="K550" t="s">
        <v>77</v>
      </c>
      <c r="L550">
        <v>22320000</v>
      </c>
      <c r="M550" t="s">
        <v>46</v>
      </c>
      <c r="N550" t="s">
        <v>552</v>
      </c>
      <c r="O550" t="s">
        <v>79</v>
      </c>
      <c r="P550" t="s">
        <v>80</v>
      </c>
      <c r="Q550" t="s">
        <v>81</v>
      </c>
    </row>
    <row r="551" spans="1:17" ht="15" hidden="1" customHeight="1" x14ac:dyDescent="0.25">
      <c r="A551" t="s">
        <v>38</v>
      </c>
      <c r="B551" t="s">
        <v>540</v>
      </c>
      <c r="C551">
        <v>6</v>
      </c>
      <c r="D551" t="s">
        <v>74</v>
      </c>
      <c r="E551" t="s">
        <v>75</v>
      </c>
      <c r="F551" t="s">
        <v>541</v>
      </c>
      <c r="G551" t="s">
        <v>199</v>
      </c>
      <c r="J551" t="s">
        <v>82</v>
      </c>
      <c r="K551" t="s">
        <v>77</v>
      </c>
      <c r="L551">
        <v>28000000</v>
      </c>
      <c r="M551" t="s">
        <v>46</v>
      </c>
      <c r="N551" t="s">
        <v>553</v>
      </c>
      <c r="O551" t="s">
        <v>79</v>
      </c>
      <c r="P551" t="s">
        <v>80</v>
      </c>
      <c r="Q551" t="s">
        <v>84</v>
      </c>
    </row>
    <row r="552" spans="1:17" ht="15" hidden="1" customHeight="1" x14ac:dyDescent="0.25">
      <c r="A552" t="s">
        <v>38</v>
      </c>
      <c r="B552" t="s">
        <v>540</v>
      </c>
      <c r="C552">
        <v>6</v>
      </c>
      <c r="D552" t="s">
        <v>74</v>
      </c>
      <c r="E552" t="s">
        <v>75</v>
      </c>
      <c r="F552" t="s">
        <v>547</v>
      </c>
      <c r="G552" t="s">
        <v>199</v>
      </c>
      <c r="J552" t="s">
        <v>76</v>
      </c>
      <c r="K552" t="s">
        <v>77</v>
      </c>
      <c r="L552">
        <v>2820000000</v>
      </c>
      <c r="M552" t="s">
        <v>210</v>
      </c>
      <c r="N552" t="s">
        <v>554</v>
      </c>
      <c r="O552" t="s">
        <v>79</v>
      </c>
      <c r="P552" t="s">
        <v>80</v>
      </c>
      <c r="Q552" t="s">
        <v>81</v>
      </c>
    </row>
    <row r="553" spans="1:17" ht="15" hidden="1" customHeight="1" x14ac:dyDescent="0.25">
      <c r="A553" t="s">
        <v>38</v>
      </c>
      <c r="B553" t="s">
        <v>540</v>
      </c>
      <c r="C553">
        <v>6</v>
      </c>
      <c r="D553" t="s">
        <v>74</v>
      </c>
      <c r="E553" t="s">
        <v>75</v>
      </c>
      <c r="F553" t="s">
        <v>547</v>
      </c>
      <c r="G553" t="s">
        <v>199</v>
      </c>
      <c r="J553" t="s">
        <v>82</v>
      </c>
      <c r="K553" t="s">
        <v>77</v>
      </c>
      <c r="L553">
        <v>3390000000</v>
      </c>
      <c r="M553" t="s">
        <v>210</v>
      </c>
      <c r="N553" t="s">
        <v>555</v>
      </c>
      <c r="O553" t="s">
        <v>79</v>
      </c>
      <c r="P553" t="s">
        <v>80</v>
      </c>
      <c r="Q553" t="s">
        <v>84</v>
      </c>
    </row>
    <row r="554" spans="1:17" ht="15" hidden="1" customHeight="1" x14ac:dyDescent="0.25">
      <c r="A554" t="s">
        <v>38</v>
      </c>
      <c r="B554" t="s">
        <v>540</v>
      </c>
      <c r="C554">
        <v>6</v>
      </c>
      <c r="D554" t="s">
        <v>85</v>
      </c>
      <c r="E554" t="s">
        <v>86</v>
      </c>
      <c r="F554" t="s">
        <v>541</v>
      </c>
      <c r="G554" t="s">
        <v>199</v>
      </c>
      <c r="J554" t="s">
        <v>38</v>
      </c>
      <c r="K554" t="s">
        <v>45</v>
      </c>
      <c r="L554">
        <v>33740000</v>
      </c>
      <c r="M554" t="s">
        <v>46</v>
      </c>
      <c r="N554" t="s">
        <v>556</v>
      </c>
    </row>
    <row r="555" spans="1:17" ht="15" hidden="1" customHeight="1" x14ac:dyDescent="0.25">
      <c r="A555" t="s">
        <v>38</v>
      </c>
      <c r="B555" t="s">
        <v>540</v>
      </c>
      <c r="C555">
        <v>6</v>
      </c>
      <c r="D555" t="s">
        <v>85</v>
      </c>
      <c r="E555" t="s">
        <v>86</v>
      </c>
      <c r="F555" t="s">
        <v>547</v>
      </c>
      <c r="G555" t="s">
        <v>199</v>
      </c>
      <c r="J555" t="s">
        <v>38</v>
      </c>
      <c r="K555" t="s">
        <v>45</v>
      </c>
      <c r="L555">
        <v>3980000000</v>
      </c>
      <c r="M555" t="s">
        <v>210</v>
      </c>
      <c r="N555" t="s">
        <v>557</v>
      </c>
    </row>
    <row r="556" spans="1:17" ht="15" hidden="1" customHeight="1" x14ac:dyDescent="0.25">
      <c r="A556" t="s">
        <v>88</v>
      </c>
      <c r="B556" t="s">
        <v>540</v>
      </c>
      <c r="C556">
        <v>6</v>
      </c>
      <c r="D556" t="s">
        <v>40</v>
      </c>
      <c r="E556" t="s">
        <v>41</v>
      </c>
      <c r="F556" t="s">
        <v>541</v>
      </c>
      <c r="G556" t="s">
        <v>199</v>
      </c>
      <c r="H556" t="s">
        <v>542</v>
      </c>
      <c r="J556" t="s">
        <v>88</v>
      </c>
      <c r="K556" t="s">
        <v>45</v>
      </c>
      <c r="L556">
        <v>6400000</v>
      </c>
      <c r="M556" t="s">
        <v>46</v>
      </c>
      <c r="N556" t="s">
        <v>558</v>
      </c>
    </row>
    <row r="557" spans="1:17" ht="15" hidden="1" customHeight="1" x14ac:dyDescent="0.25">
      <c r="A557" t="s">
        <v>88</v>
      </c>
      <c r="B557" t="s">
        <v>540</v>
      </c>
      <c r="C557">
        <v>6</v>
      </c>
      <c r="D557" t="s">
        <v>40</v>
      </c>
      <c r="E557" t="s">
        <v>41</v>
      </c>
      <c r="F557" t="s">
        <v>541</v>
      </c>
      <c r="G557" t="s">
        <v>199</v>
      </c>
      <c r="H557" t="s">
        <v>202</v>
      </c>
      <c r="J557" t="s">
        <v>88</v>
      </c>
      <c r="K557" t="s">
        <v>45</v>
      </c>
      <c r="L557">
        <v>29670000</v>
      </c>
      <c r="M557" t="s">
        <v>46</v>
      </c>
      <c r="N557" t="s">
        <v>559</v>
      </c>
    </row>
    <row r="558" spans="1:17" ht="15" hidden="1" customHeight="1" x14ac:dyDescent="0.25">
      <c r="A558" t="s">
        <v>88</v>
      </c>
      <c r="B558" t="s">
        <v>540</v>
      </c>
      <c r="C558">
        <v>6</v>
      </c>
      <c r="D558" t="s">
        <v>40</v>
      </c>
      <c r="E558" t="s">
        <v>41</v>
      </c>
      <c r="F558" t="s">
        <v>541</v>
      </c>
      <c r="G558" t="s">
        <v>199</v>
      </c>
      <c r="H558" t="s">
        <v>205</v>
      </c>
      <c r="J558" t="s">
        <v>88</v>
      </c>
      <c r="K558" t="s">
        <v>45</v>
      </c>
      <c r="L558">
        <v>10130000</v>
      </c>
      <c r="M558" t="s">
        <v>46</v>
      </c>
      <c r="N558" t="s">
        <v>560</v>
      </c>
    </row>
    <row r="559" spans="1:17" ht="15" hidden="1" customHeight="1" x14ac:dyDescent="0.25">
      <c r="A559" t="s">
        <v>88</v>
      </c>
      <c r="B559" t="s">
        <v>540</v>
      </c>
      <c r="C559">
        <v>6</v>
      </c>
      <c r="D559" t="s">
        <v>40</v>
      </c>
      <c r="E559" t="s">
        <v>41</v>
      </c>
      <c r="F559" t="s">
        <v>541</v>
      </c>
      <c r="G559" t="s">
        <v>199</v>
      </c>
      <c r="H559" t="s">
        <v>545</v>
      </c>
      <c r="J559" t="s">
        <v>88</v>
      </c>
      <c r="K559" t="s">
        <v>45</v>
      </c>
      <c r="L559">
        <v>5200000</v>
      </c>
      <c r="M559" t="s">
        <v>46</v>
      </c>
      <c r="N559" t="s">
        <v>233</v>
      </c>
    </row>
    <row r="560" spans="1:17" ht="15" hidden="1" customHeight="1" x14ac:dyDescent="0.25">
      <c r="A560" t="s">
        <v>88</v>
      </c>
      <c r="B560" t="s">
        <v>540</v>
      </c>
      <c r="C560">
        <v>6</v>
      </c>
      <c r="D560" t="s">
        <v>40</v>
      </c>
      <c r="E560" t="s">
        <v>41</v>
      </c>
      <c r="F560" t="s">
        <v>547</v>
      </c>
      <c r="G560" t="s">
        <v>199</v>
      </c>
      <c r="H560" t="s">
        <v>542</v>
      </c>
      <c r="J560" t="s">
        <v>88</v>
      </c>
      <c r="K560" t="s">
        <v>45</v>
      </c>
      <c r="L560">
        <v>422000000</v>
      </c>
      <c r="M560" t="s">
        <v>210</v>
      </c>
      <c r="N560" t="s">
        <v>561</v>
      </c>
    </row>
    <row r="561" spans="1:17" ht="15" hidden="1" customHeight="1" x14ac:dyDescent="0.25">
      <c r="A561" t="s">
        <v>88</v>
      </c>
      <c r="B561" t="s">
        <v>540</v>
      </c>
      <c r="C561">
        <v>6</v>
      </c>
      <c r="D561" t="s">
        <v>40</v>
      </c>
      <c r="E561" t="s">
        <v>41</v>
      </c>
      <c r="F561" t="s">
        <v>547</v>
      </c>
      <c r="G561" t="s">
        <v>199</v>
      </c>
      <c r="H561" t="s">
        <v>202</v>
      </c>
      <c r="J561" t="s">
        <v>88</v>
      </c>
      <c r="K561" t="s">
        <v>45</v>
      </c>
      <c r="L561">
        <v>3430000000</v>
      </c>
      <c r="M561" t="s">
        <v>210</v>
      </c>
      <c r="N561" t="s">
        <v>562</v>
      </c>
    </row>
    <row r="562" spans="1:17" ht="15" hidden="1" customHeight="1" x14ac:dyDescent="0.25">
      <c r="A562" t="s">
        <v>88</v>
      </c>
      <c r="B562" t="s">
        <v>540</v>
      </c>
      <c r="C562">
        <v>6</v>
      </c>
      <c r="D562" t="s">
        <v>40</v>
      </c>
      <c r="E562" t="s">
        <v>41</v>
      </c>
      <c r="F562" t="s">
        <v>547</v>
      </c>
      <c r="G562" t="s">
        <v>199</v>
      </c>
      <c r="H562" t="s">
        <v>205</v>
      </c>
      <c r="J562" t="s">
        <v>88</v>
      </c>
      <c r="K562" t="s">
        <v>45</v>
      </c>
      <c r="L562">
        <v>810000000</v>
      </c>
      <c r="M562" t="s">
        <v>210</v>
      </c>
      <c r="N562" t="s">
        <v>563</v>
      </c>
    </row>
    <row r="563" spans="1:17" ht="15" hidden="1" customHeight="1" x14ac:dyDescent="0.25">
      <c r="A563" t="s">
        <v>88</v>
      </c>
      <c r="B563" t="s">
        <v>540</v>
      </c>
      <c r="C563">
        <v>6</v>
      </c>
      <c r="D563" t="s">
        <v>40</v>
      </c>
      <c r="E563" t="s">
        <v>41</v>
      </c>
      <c r="F563" t="s">
        <v>547</v>
      </c>
      <c r="G563" t="s">
        <v>199</v>
      </c>
      <c r="H563" t="s">
        <v>545</v>
      </c>
      <c r="J563" t="s">
        <v>88</v>
      </c>
      <c r="K563" t="s">
        <v>45</v>
      </c>
      <c r="L563">
        <v>661000000</v>
      </c>
      <c r="M563" t="s">
        <v>210</v>
      </c>
      <c r="N563" t="s">
        <v>564</v>
      </c>
    </row>
    <row r="564" spans="1:17" ht="15" hidden="1" customHeight="1" x14ac:dyDescent="0.25">
      <c r="A564" t="s">
        <v>88</v>
      </c>
      <c r="B564" t="s">
        <v>540</v>
      </c>
      <c r="C564">
        <v>6</v>
      </c>
      <c r="D564" t="s">
        <v>74</v>
      </c>
      <c r="E564" t="s">
        <v>75</v>
      </c>
      <c r="F564" t="s">
        <v>541</v>
      </c>
      <c r="G564" t="s">
        <v>199</v>
      </c>
      <c r="J564" t="s">
        <v>76</v>
      </c>
      <c r="K564" t="s">
        <v>77</v>
      </c>
      <c r="L564">
        <v>22320000</v>
      </c>
      <c r="M564" t="s">
        <v>46</v>
      </c>
      <c r="N564" t="s">
        <v>552</v>
      </c>
      <c r="O564" t="s">
        <v>79</v>
      </c>
      <c r="P564" t="s">
        <v>103</v>
      </c>
      <c r="Q564" t="s">
        <v>104</v>
      </c>
    </row>
    <row r="565" spans="1:17" ht="15" hidden="1" customHeight="1" x14ac:dyDescent="0.25">
      <c r="A565" t="s">
        <v>88</v>
      </c>
      <c r="B565" t="s">
        <v>540</v>
      </c>
      <c r="C565">
        <v>6</v>
      </c>
      <c r="D565" t="s">
        <v>74</v>
      </c>
      <c r="E565" t="s">
        <v>75</v>
      </c>
      <c r="F565" t="s">
        <v>541</v>
      </c>
      <c r="G565" t="s">
        <v>199</v>
      </c>
      <c r="J565" t="s">
        <v>82</v>
      </c>
      <c r="K565" t="s">
        <v>77</v>
      </c>
      <c r="L565">
        <v>28000000</v>
      </c>
      <c r="M565" t="s">
        <v>46</v>
      </c>
      <c r="N565" t="s">
        <v>553</v>
      </c>
      <c r="O565" t="s">
        <v>79</v>
      </c>
      <c r="P565" t="s">
        <v>103</v>
      </c>
      <c r="Q565" t="s">
        <v>105</v>
      </c>
    </row>
    <row r="566" spans="1:17" ht="15" hidden="1" customHeight="1" x14ac:dyDescent="0.25">
      <c r="A566" t="s">
        <v>88</v>
      </c>
      <c r="B566" t="s">
        <v>540</v>
      </c>
      <c r="C566">
        <v>6</v>
      </c>
      <c r="D566" t="s">
        <v>74</v>
      </c>
      <c r="E566" t="s">
        <v>75</v>
      </c>
      <c r="F566" t="s">
        <v>541</v>
      </c>
      <c r="G566" t="s">
        <v>199</v>
      </c>
      <c r="J566" t="s">
        <v>38</v>
      </c>
      <c r="K566" t="s">
        <v>77</v>
      </c>
      <c r="L566">
        <v>33740000</v>
      </c>
      <c r="M566" t="s">
        <v>46</v>
      </c>
      <c r="N566" t="s">
        <v>556</v>
      </c>
      <c r="O566" t="s">
        <v>79</v>
      </c>
      <c r="P566" t="s">
        <v>103</v>
      </c>
    </row>
    <row r="567" spans="1:17" ht="15" hidden="1" customHeight="1" x14ac:dyDescent="0.25">
      <c r="A567" t="s">
        <v>88</v>
      </c>
      <c r="B567" t="s">
        <v>540</v>
      </c>
      <c r="C567">
        <v>6</v>
      </c>
      <c r="D567" t="s">
        <v>74</v>
      </c>
      <c r="E567" t="s">
        <v>75</v>
      </c>
      <c r="F567" t="s">
        <v>547</v>
      </c>
      <c r="G567" t="s">
        <v>199</v>
      </c>
      <c r="J567" t="s">
        <v>76</v>
      </c>
      <c r="K567" t="s">
        <v>77</v>
      </c>
      <c r="L567">
        <v>2820000000</v>
      </c>
      <c r="M567" t="s">
        <v>210</v>
      </c>
      <c r="N567" t="s">
        <v>554</v>
      </c>
      <c r="O567" t="s">
        <v>79</v>
      </c>
      <c r="P567" t="s">
        <v>103</v>
      </c>
      <c r="Q567" t="s">
        <v>104</v>
      </c>
    </row>
    <row r="568" spans="1:17" ht="15" hidden="1" customHeight="1" x14ac:dyDescent="0.25">
      <c r="A568" t="s">
        <v>88</v>
      </c>
      <c r="B568" t="s">
        <v>540</v>
      </c>
      <c r="C568">
        <v>6</v>
      </c>
      <c r="D568" t="s">
        <v>74</v>
      </c>
      <c r="E568" t="s">
        <v>75</v>
      </c>
      <c r="F568" t="s">
        <v>547</v>
      </c>
      <c r="G568" t="s">
        <v>199</v>
      </c>
      <c r="J568" t="s">
        <v>82</v>
      </c>
      <c r="K568" t="s">
        <v>77</v>
      </c>
      <c r="L568">
        <v>3390000000</v>
      </c>
      <c r="M568" t="s">
        <v>210</v>
      </c>
      <c r="N568" t="s">
        <v>555</v>
      </c>
      <c r="O568" t="s">
        <v>79</v>
      </c>
      <c r="P568" t="s">
        <v>103</v>
      </c>
      <c r="Q568" t="s">
        <v>105</v>
      </c>
    </row>
    <row r="569" spans="1:17" ht="15" hidden="1" customHeight="1" x14ac:dyDescent="0.25">
      <c r="A569" t="s">
        <v>88</v>
      </c>
      <c r="B569" t="s">
        <v>540</v>
      </c>
      <c r="C569">
        <v>6</v>
      </c>
      <c r="D569" t="s">
        <v>74</v>
      </c>
      <c r="E569" t="s">
        <v>75</v>
      </c>
      <c r="F569" t="s">
        <v>547</v>
      </c>
      <c r="G569" t="s">
        <v>199</v>
      </c>
      <c r="J569" t="s">
        <v>38</v>
      </c>
      <c r="K569" t="s">
        <v>77</v>
      </c>
      <c r="L569">
        <v>3980000000</v>
      </c>
      <c r="M569" t="s">
        <v>210</v>
      </c>
      <c r="N569" t="s">
        <v>557</v>
      </c>
      <c r="O569" t="s">
        <v>79</v>
      </c>
      <c r="P569" t="s">
        <v>103</v>
      </c>
    </row>
    <row r="570" spans="1:17" ht="15" hidden="1" customHeight="1" x14ac:dyDescent="0.25">
      <c r="A570" t="s">
        <v>88</v>
      </c>
      <c r="B570" t="s">
        <v>540</v>
      </c>
      <c r="C570">
        <v>6</v>
      </c>
      <c r="D570" t="s">
        <v>85</v>
      </c>
      <c r="E570" t="s">
        <v>86</v>
      </c>
      <c r="F570" t="s">
        <v>541</v>
      </c>
      <c r="G570" t="s">
        <v>199</v>
      </c>
      <c r="J570" t="s">
        <v>88</v>
      </c>
      <c r="K570" t="s">
        <v>45</v>
      </c>
      <c r="L570">
        <v>39800000</v>
      </c>
      <c r="M570" t="s">
        <v>46</v>
      </c>
      <c r="N570" t="s">
        <v>565</v>
      </c>
    </row>
    <row r="571" spans="1:17" ht="15" hidden="1" customHeight="1" x14ac:dyDescent="0.25">
      <c r="A571" t="s">
        <v>88</v>
      </c>
      <c r="B571" t="s">
        <v>540</v>
      </c>
      <c r="C571">
        <v>6</v>
      </c>
      <c r="D571" t="s">
        <v>85</v>
      </c>
      <c r="E571" t="s">
        <v>86</v>
      </c>
      <c r="F571" t="s">
        <v>547</v>
      </c>
      <c r="G571" t="s">
        <v>199</v>
      </c>
      <c r="J571" t="s">
        <v>88</v>
      </c>
      <c r="K571" t="s">
        <v>45</v>
      </c>
      <c r="L571">
        <v>4240000000</v>
      </c>
      <c r="M571" t="s">
        <v>210</v>
      </c>
      <c r="N571" t="s">
        <v>566</v>
      </c>
    </row>
    <row r="572" spans="1:17" ht="15" hidden="1" customHeight="1" x14ac:dyDescent="0.25">
      <c r="A572" t="s">
        <v>107</v>
      </c>
      <c r="B572" t="s">
        <v>540</v>
      </c>
      <c r="C572">
        <v>6</v>
      </c>
      <c r="D572" t="s">
        <v>40</v>
      </c>
      <c r="E572" t="s">
        <v>41</v>
      </c>
      <c r="F572" t="s">
        <v>541</v>
      </c>
      <c r="G572" t="s">
        <v>199</v>
      </c>
      <c r="H572" t="s">
        <v>542</v>
      </c>
      <c r="J572" t="s">
        <v>107</v>
      </c>
      <c r="K572" t="s">
        <v>45</v>
      </c>
      <c r="L572">
        <v>7700000</v>
      </c>
      <c r="M572" t="s">
        <v>46</v>
      </c>
      <c r="N572" t="s">
        <v>262</v>
      </c>
    </row>
    <row r="573" spans="1:17" ht="15" hidden="1" customHeight="1" x14ac:dyDescent="0.25">
      <c r="A573" t="s">
        <v>107</v>
      </c>
      <c r="B573" t="s">
        <v>540</v>
      </c>
      <c r="C573">
        <v>6</v>
      </c>
      <c r="D573" t="s">
        <v>40</v>
      </c>
      <c r="E573" t="s">
        <v>41</v>
      </c>
      <c r="F573" t="s">
        <v>541</v>
      </c>
      <c r="G573" t="s">
        <v>199</v>
      </c>
      <c r="H573" t="s">
        <v>202</v>
      </c>
      <c r="J573" t="s">
        <v>107</v>
      </c>
      <c r="K573" t="s">
        <v>45</v>
      </c>
      <c r="L573">
        <v>33910000</v>
      </c>
      <c r="M573" t="s">
        <v>46</v>
      </c>
      <c r="N573" t="s">
        <v>567</v>
      </c>
    </row>
    <row r="574" spans="1:17" ht="15" hidden="1" customHeight="1" x14ac:dyDescent="0.25">
      <c r="A574" t="s">
        <v>107</v>
      </c>
      <c r="B574" t="s">
        <v>540</v>
      </c>
      <c r="C574">
        <v>6</v>
      </c>
      <c r="D574" t="s">
        <v>40</v>
      </c>
      <c r="E574" t="s">
        <v>41</v>
      </c>
      <c r="F574" t="s">
        <v>541</v>
      </c>
      <c r="G574" t="s">
        <v>199</v>
      </c>
      <c r="H574" t="s">
        <v>205</v>
      </c>
      <c r="J574" t="s">
        <v>107</v>
      </c>
      <c r="K574" t="s">
        <v>45</v>
      </c>
      <c r="L574">
        <v>11860000</v>
      </c>
      <c r="M574" t="s">
        <v>46</v>
      </c>
      <c r="N574" t="s">
        <v>568</v>
      </c>
    </row>
    <row r="575" spans="1:17" ht="15" hidden="1" customHeight="1" x14ac:dyDescent="0.25">
      <c r="A575" t="s">
        <v>107</v>
      </c>
      <c r="B575" t="s">
        <v>540</v>
      </c>
      <c r="C575">
        <v>6</v>
      </c>
      <c r="D575" t="s">
        <v>40</v>
      </c>
      <c r="E575" t="s">
        <v>41</v>
      </c>
      <c r="F575" t="s">
        <v>541</v>
      </c>
      <c r="G575" t="s">
        <v>199</v>
      </c>
      <c r="H575" t="s">
        <v>545</v>
      </c>
      <c r="J575" t="s">
        <v>107</v>
      </c>
      <c r="K575" t="s">
        <v>45</v>
      </c>
      <c r="L575">
        <v>5900000</v>
      </c>
      <c r="M575" t="s">
        <v>46</v>
      </c>
      <c r="N575" t="s">
        <v>569</v>
      </c>
    </row>
    <row r="576" spans="1:17" ht="15" hidden="1" customHeight="1" x14ac:dyDescent="0.25">
      <c r="A576" t="s">
        <v>107</v>
      </c>
      <c r="B576" t="s">
        <v>540</v>
      </c>
      <c r="C576">
        <v>6</v>
      </c>
      <c r="D576" t="s">
        <v>40</v>
      </c>
      <c r="E576" t="s">
        <v>41</v>
      </c>
      <c r="F576" t="s">
        <v>547</v>
      </c>
      <c r="G576" t="s">
        <v>199</v>
      </c>
      <c r="H576" t="s">
        <v>542</v>
      </c>
      <c r="J576" t="s">
        <v>107</v>
      </c>
      <c r="K576" t="s">
        <v>45</v>
      </c>
      <c r="L576">
        <v>478000000</v>
      </c>
      <c r="M576" t="s">
        <v>210</v>
      </c>
      <c r="N576" t="s">
        <v>570</v>
      </c>
    </row>
    <row r="577" spans="1:16" ht="15" hidden="1" customHeight="1" x14ac:dyDescent="0.25">
      <c r="A577" t="s">
        <v>107</v>
      </c>
      <c r="B577" t="s">
        <v>540</v>
      </c>
      <c r="C577">
        <v>6</v>
      </c>
      <c r="D577" t="s">
        <v>40</v>
      </c>
      <c r="E577" t="s">
        <v>41</v>
      </c>
      <c r="F577" t="s">
        <v>547</v>
      </c>
      <c r="G577" t="s">
        <v>199</v>
      </c>
      <c r="H577" t="s">
        <v>202</v>
      </c>
      <c r="J577" t="s">
        <v>107</v>
      </c>
      <c r="K577" t="s">
        <v>45</v>
      </c>
      <c r="L577">
        <v>3740000000</v>
      </c>
      <c r="M577" t="s">
        <v>210</v>
      </c>
      <c r="N577" t="s">
        <v>571</v>
      </c>
    </row>
    <row r="578" spans="1:16" ht="15" hidden="1" customHeight="1" x14ac:dyDescent="0.25">
      <c r="A578" t="s">
        <v>107</v>
      </c>
      <c r="B578" t="s">
        <v>540</v>
      </c>
      <c r="C578">
        <v>6</v>
      </c>
      <c r="D578" t="s">
        <v>40</v>
      </c>
      <c r="E578" t="s">
        <v>41</v>
      </c>
      <c r="F578" t="s">
        <v>547</v>
      </c>
      <c r="G578" t="s">
        <v>199</v>
      </c>
      <c r="H578" t="s">
        <v>205</v>
      </c>
      <c r="J578" t="s">
        <v>107</v>
      </c>
      <c r="K578" t="s">
        <v>45</v>
      </c>
      <c r="L578">
        <v>909000000</v>
      </c>
      <c r="M578" t="s">
        <v>210</v>
      </c>
      <c r="N578" t="s">
        <v>572</v>
      </c>
    </row>
    <row r="579" spans="1:16" ht="15" hidden="1" customHeight="1" x14ac:dyDescent="0.25">
      <c r="A579" t="s">
        <v>107</v>
      </c>
      <c r="B579" t="s">
        <v>540</v>
      </c>
      <c r="C579">
        <v>6</v>
      </c>
      <c r="D579" t="s">
        <v>40</v>
      </c>
      <c r="E579" t="s">
        <v>41</v>
      </c>
      <c r="F579" t="s">
        <v>547</v>
      </c>
      <c r="G579" t="s">
        <v>199</v>
      </c>
      <c r="H579" t="s">
        <v>545</v>
      </c>
      <c r="J579" t="s">
        <v>107</v>
      </c>
      <c r="K579" t="s">
        <v>45</v>
      </c>
      <c r="L579">
        <v>698000000</v>
      </c>
      <c r="M579" t="s">
        <v>210</v>
      </c>
      <c r="N579" t="s">
        <v>573</v>
      </c>
    </row>
    <row r="580" spans="1:16" ht="15" hidden="1" customHeight="1" x14ac:dyDescent="0.25">
      <c r="A580" t="s">
        <v>107</v>
      </c>
      <c r="B580" t="s">
        <v>540</v>
      </c>
      <c r="C580">
        <v>6</v>
      </c>
      <c r="D580" t="s">
        <v>74</v>
      </c>
      <c r="E580" t="s">
        <v>75</v>
      </c>
      <c r="F580" t="s">
        <v>541</v>
      </c>
      <c r="G580" t="s">
        <v>199</v>
      </c>
      <c r="J580" t="s">
        <v>88</v>
      </c>
      <c r="K580" t="s">
        <v>77</v>
      </c>
      <c r="L580">
        <v>39800000</v>
      </c>
      <c r="M580" t="s">
        <v>46</v>
      </c>
      <c r="N580" t="s">
        <v>565</v>
      </c>
      <c r="O580" t="s">
        <v>79</v>
      </c>
      <c r="P580" t="s">
        <v>103</v>
      </c>
    </row>
    <row r="581" spans="1:16" ht="15" hidden="1" customHeight="1" x14ac:dyDescent="0.25">
      <c r="A581" t="s">
        <v>107</v>
      </c>
      <c r="B581" t="s">
        <v>540</v>
      </c>
      <c r="C581">
        <v>6</v>
      </c>
      <c r="D581" t="s">
        <v>74</v>
      </c>
      <c r="E581" t="s">
        <v>75</v>
      </c>
      <c r="F581" t="s">
        <v>547</v>
      </c>
      <c r="G581" t="s">
        <v>199</v>
      </c>
      <c r="J581" t="s">
        <v>88</v>
      </c>
      <c r="K581" t="s">
        <v>77</v>
      </c>
      <c r="L581">
        <v>4240000000</v>
      </c>
      <c r="M581" t="s">
        <v>210</v>
      </c>
      <c r="N581" t="s">
        <v>566</v>
      </c>
      <c r="O581" t="s">
        <v>79</v>
      </c>
      <c r="P581" t="s">
        <v>103</v>
      </c>
    </row>
    <row r="582" spans="1:16" ht="15" hidden="1" customHeight="1" x14ac:dyDescent="0.25">
      <c r="A582" t="s">
        <v>107</v>
      </c>
      <c r="B582" t="s">
        <v>540</v>
      </c>
      <c r="C582">
        <v>6</v>
      </c>
      <c r="D582" t="s">
        <v>85</v>
      </c>
      <c r="E582" t="s">
        <v>86</v>
      </c>
      <c r="F582" t="s">
        <v>541</v>
      </c>
      <c r="G582" t="s">
        <v>199</v>
      </c>
      <c r="J582" t="s">
        <v>107</v>
      </c>
      <c r="K582" t="s">
        <v>45</v>
      </c>
      <c r="L582">
        <v>45770000</v>
      </c>
      <c r="M582" t="s">
        <v>46</v>
      </c>
      <c r="N582" t="s">
        <v>574</v>
      </c>
    </row>
    <row r="583" spans="1:16" ht="15" hidden="1" customHeight="1" x14ac:dyDescent="0.25">
      <c r="A583" t="s">
        <v>107</v>
      </c>
      <c r="B583" t="s">
        <v>540</v>
      </c>
      <c r="C583">
        <v>6</v>
      </c>
      <c r="D583" t="s">
        <v>85</v>
      </c>
      <c r="E583" t="s">
        <v>86</v>
      </c>
      <c r="F583" t="s">
        <v>547</v>
      </c>
      <c r="G583" t="s">
        <v>199</v>
      </c>
      <c r="J583" t="s">
        <v>107</v>
      </c>
      <c r="K583" t="s">
        <v>45</v>
      </c>
      <c r="L583">
        <v>4650000000</v>
      </c>
      <c r="M583" t="s">
        <v>210</v>
      </c>
      <c r="N583" t="s">
        <v>575</v>
      </c>
    </row>
    <row r="584" spans="1:16" ht="15" hidden="1" customHeight="1" x14ac:dyDescent="0.25">
      <c r="A584" t="s">
        <v>122</v>
      </c>
      <c r="B584" t="s">
        <v>540</v>
      </c>
      <c r="C584">
        <v>6</v>
      </c>
      <c r="D584" t="s">
        <v>40</v>
      </c>
      <c r="E584" t="s">
        <v>41</v>
      </c>
      <c r="F584" t="s">
        <v>541</v>
      </c>
      <c r="G584" t="s">
        <v>199</v>
      </c>
      <c r="H584" t="s">
        <v>542</v>
      </c>
      <c r="J584" t="s">
        <v>122</v>
      </c>
      <c r="K584" t="s">
        <v>45</v>
      </c>
      <c r="L584">
        <v>9400000</v>
      </c>
      <c r="M584" t="s">
        <v>46</v>
      </c>
      <c r="N584" t="s">
        <v>576</v>
      </c>
    </row>
    <row r="585" spans="1:16" ht="15" hidden="1" customHeight="1" x14ac:dyDescent="0.25">
      <c r="A585" t="s">
        <v>122</v>
      </c>
      <c r="B585" t="s">
        <v>540</v>
      </c>
      <c r="C585">
        <v>6</v>
      </c>
      <c r="D585" t="s">
        <v>40</v>
      </c>
      <c r="E585" t="s">
        <v>41</v>
      </c>
      <c r="F585" t="s">
        <v>541</v>
      </c>
      <c r="G585" t="s">
        <v>199</v>
      </c>
      <c r="H585" t="s">
        <v>202</v>
      </c>
      <c r="J585" t="s">
        <v>122</v>
      </c>
      <c r="K585" t="s">
        <v>45</v>
      </c>
      <c r="L585">
        <v>39700000</v>
      </c>
      <c r="M585" t="s">
        <v>46</v>
      </c>
      <c r="N585" t="s">
        <v>577</v>
      </c>
    </row>
    <row r="586" spans="1:16" ht="15" hidden="1" customHeight="1" x14ac:dyDescent="0.25">
      <c r="A586" t="s">
        <v>122</v>
      </c>
      <c r="B586" t="s">
        <v>540</v>
      </c>
      <c r="C586">
        <v>6</v>
      </c>
      <c r="D586" t="s">
        <v>40</v>
      </c>
      <c r="E586" t="s">
        <v>41</v>
      </c>
      <c r="F586" t="s">
        <v>541</v>
      </c>
      <c r="G586" t="s">
        <v>199</v>
      </c>
      <c r="H586" t="s">
        <v>205</v>
      </c>
      <c r="J586" t="s">
        <v>122</v>
      </c>
      <c r="K586" t="s">
        <v>45</v>
      </c>
      <c r="L586">
        <v>14180000</v>
      </c>
      <c r="M586" t="s">
        <v>46</v>
      </c>
      <c r="N586" t="s">
        <v>578</v>
      </c>
    </row>
    <row r="587" spans="1:16" ht="15" hidden="1" customHeight="1" x14ac:dyDescent="0.25">
      <c r="A587" t="s">
        <v>122</v>
      </c>
      <c r="B587" t="s">
        <v>540</v>
      </c>
      <c r="C587">
        <v>6</v>
      </c>
      <c r="D587" t="s">
        <v>40</v>
      </c>
      <c r="E587" t="s">
        <v>41</v>
      </c>
      <c r="F587" t="s">
        <v>541</v>
      </c>
      <c r="G587" t="s">
        <v>199</v>
      </c>
      <c r="H587" t="s">
        <v>545</v>
      </c>
      <c r="J587" t="s">
        <v>122</v>
      </c>
      <c r="K587" t="s">
        <v>45</v>
      </c>
      <c r="L587">
        <v>7100000</v>
      </c>
      <c r="M587" t="s">
        <v>46</v>
      </c>
      <c r="N587" t="s">
        <v>579</v>
      </c>
    </row>
    <row r="588" spans="1:16" ht="15" hidden="1" customHeight="1" x14ac:dyDescent="0.25">
      <c r="A588" t="s">
        <v>122</v>
      </c>
      <c r="B588" t="s">
        <v>540</v>
      </c>
      <c r="C588">
        <v>6</v>
      </c>
      <c r="D588" t="s">
        <v>40</v>
      </c>
      <c r="E588" t="s">
        <v>41</v>
      </c>
      <c r="F588" t="s">
        <v>547</v>
      </c>
      <c r="G588" t="s">
        <v>199</v>
      </c>
      <c r="H588" t="s">
        <v>542</v>
      </c>
      <c r="J588" t="s">
        <v>122</v>
      </c>
      <c r="K588" t="s">
        <v>45</v>
      </c>
      <c r="L588">
        <v>536000000</v>
      </c>
      <c r="M588" t="s">
        <v>210</v>
      </c>
      <c r="N588" t="s">
        <v>580</v>
      </c>
    </row>
    <row r="589" spans="1:16" ht="15" hidden="1" customHeight="1" x14ac:dyDescent="0.25">
      <c r="A589" t="s">
        <v>122</v>
      </c>
      <c r="B589" t="s">
        <v>540</v>
      </c>
      <c r="C589">
        <v>6</v>
      </c>
      <c r="D589" t="s">
        <v>40</v>
      </c>
      <c r="E589" t="s">
        <v>41</v>
      </c>
      <c r="F589" t="s">
        <v>547</v>
      </c>
      <c r="G589" t="s">
        <v>199</v>
      </c>
      <c r="H589" t="s">
        <v>202</v>
      </c>
      <c r="J589" t="s">
        <v>122</v>
      </c>
      <c r="K589" t="s">
        <v>45</v>
      </c>
      <c r="L589">
        <v>4100000000</v>
      </c>
      <c r="M589" t="s">
        <v>210</v>
      </c>
      <c r="N589" t="s">
        <v>581</v>
      </c>
    </row>
    <row r="590" spans="1:16" ht="15" hidden="1" customHeight="1" x14ac:dyDescent="0.25">
      <c r="A590" t="s">
        <v>122</v>
      </c>
      <c r="B590" t="s">
        <v>540</v>
      </c>
      <c r="C590">
        <v>6</v>
      </c>
      <c r="D590" t="s">
        <v>40</v>
      </c>
      <c r="E590" t="s">
        <v>41</v>
      </c>
      <c r="F590" t="s">
        <v>547</v>
      </c>
      <c r="G590" t="s">
        <v>199</v>
      </c>
      <c r="H590" t="s">
        <v>205</v>
      </c>
      <c r="J590" t="s">
        <v>122</v>
      </c>
      <c r="K590" t="s">
        <v>45</v>
      </c>
      <c r="L590">
        <v>998000000</v>
      </c>
      <c r="M590" t="s">
        <v>210</v>
      </c>
      <c r="N590" t="s">
        <v>582</v>
      </c>
    </row>
    <row r="591" spans="1:16" ht="15" hidden="1" customHeight="1" x14ac:dyDescent="0.25">
      <c r="A591" t="s">
        <v>122</v>
      </c>
      <c r="B591" t="s">
        <v>540</v>
      </c>
      <c r="C591">
        <v>6</v>
      </c>
      <c r="D591" t="s">
        <v>40</v>
      </c>
      <c r="E591" t="s">
        <v>41</v>
      </c>
      <c r="F591" t="s">
        <v>547</v>
      </c>
      <c r="G591" t="s">
        <v>199</v>
      </c>
      <c r="H591" t="s">
        <v>545</v>
      </c>
      <c r="J591" t="s">
        <v>122</v>
      </c>
      <c r="K591" t="s">
        <v>45</v>
      </c>
      <c r="L591">
        <v>758000000</v>
      </c>
      <c r="M591" t="s">
        <v>210</v>
      </c>
      <c r="N591" t="s">
        <v>583</v>
      </c>
    </row>
    <row r="592" spans="1:16" ht="15" hidden="1" customHeight="1" x14ac:dyDescent="0.25">
      <c r="A592" t="s">
        <v>122</v>
      </c>
      <c r="B592" t="s">
        <v>540</v>
      </c>
      <c r="C592">
        <v>6</v>
      </c>
      <c r="D592" t="s">
        <v>74</v>
      </c>
      <c r="E592" t="s">
        <v>75</v>
      </c>
      <c r="F592" t="s">
        <v>541</v>
      </c>
      <c r="G592" t="s">
        <v>199</v>
      </c>
      <c r="J592" t="s">
        <v>107</v>
      </c>
      <c r="K592" t="s">
        <v>77</v>
      </c>
      <c r="L592">
        <v>45770000</v>
      </c>
      <c r="M592" t="s">
        <v>46</v>
      </c>
      <c r="N592" t="s">
        <v>574</v>
      </c>
      <c r="O592" t="s">
        <v>79</v>
      </c>
      <c r="P592" t="s">
        <v>103</v>
      </c>
    </row>
    <row r="593" spans="1:16" ht="15" hidden="1" customHeight="1" x14ac:dyDescent="0.25">
      <c r="A593" t="s">
        <v>122</v>
      </c>
      <c r="B593" t="s">
        <v>540</v>
      </c>
      <c r="C593">
        <v>6</v>
      </c>
      <c r="D593" t="s">
        <v>74</v>
      </c>
      <c r="E593" t="s">
        <v>75</v>
      </c>
      <c r="F593" t="s">
        <v>547</v>
      </c>
      <c r="G593" t="s">
        <v>199</v>
      </c>
      <c r="J593" t="s">
        <v>107</v>
      </c>
      <c r="K593" t="s">
        <v>77</v>
      </c>
      <c r="L593">
        <v>4650000000</v>
      </c>
      <c r="M593" t="s">
        <v>210</v>
      </c>
      <c r="N593" t="s">
        <v>575</v>
      </c>
      <c r="O593" t="s">
        <v>79</v>
      </c>
      <c r="P593" t="s">
        <v>103</v>
      </c>
    </row>
    <row r="594" spans="1:16" ht="15" hidden="1" customHeight="1" x14ac:dyDescent="0.25">
      <c r="A594" t="s">
        <v>122</v>
      </c>
      <c r="B594" t="s">
        <v>540</v>
      </c>
      <c r="C594">
        <v>6</v>
      </c>
      <c r="D594" t="s">
        <v>85</v>
      </c>
      <c r="E594" t="s">
        <v>86</v>
      </c>
      <c r="F594" t="s">
        <v>541</v>
      </c>
      <c r="G594" t="s">
        <v>199</v>
      </c>
      <c r="J594" t="s">
        <v>122</v>
      </c>
      <c r="K594" t="s">
        <v>45</v>
      </c>
      <c r="L594">
        <v>53880000</v>
      </c>
      <c r="M594" t="s">
        <v>46</v>
      </c>
      <c r="N594" t="s">
        <v>584</v>
      </c>
    </row>
    <row r="595" spans="1:16" ht="15" hidden="1" customHeight="1" x14ac:dyDescent="0.25">
      <c r="A595" t="s">
        <v>122</v>
      </c>
      <c r="B595" t="s">
        <v>540</v>
      </c>
      <c r="C595">
        <v>6</v>
      </c>
      <c r="D595" t="s">
        <v>85</v>
      </c>
      <c r="E595" t="s">
        <v>86</v>
      </c>
      <c r="F595" t="s">
        <v>547</v>
      </c>
      <c r="G595" t="s">
        <v>199</v>
      </c>
      <c r="J595" t="s">
        <v>122</v>
      </c>
      <c r="K595" t="s">
        <v>45</v>
      </c>
      <c r="L595">
        <v>5090000000</v>
      </c>
      <c r="M595" t="s">
        <v>210</v>
      </c>
      <c r="N595" t="s">
        <v>585</v>
      </c>
    </row>
    <row r="596" spans="1:16" ht="15" hidden="1" customHeight="1" x14ac:dyDescent="0.25">
      <c r="A596" t="s">
        <v>138</v>
      </c>
      <c r="B596" t="s">
        <v>540</v>
      </c>
      <c r="C596">
        <v>6</v>
      </c>
      <c r="D596" t="s">
        <v>40</v>
      </c>
      <c r="E596" t="s">
        <v>41</v>
      </c>
      <c r="F596" t="s">
        <v>541</v>
      </c>
      <c r="G596" t="s">
        <v>199</v>
      </c>
      <c r="H596" t="s">
        <v>542</v>
      </c>
      <c r="J596" t="s">
        <v>138</v>
      </c>
      <c r="K596" t="s">
        <v>45</v>
      </c>
      <c r="L596">
        <v>11100000</v>
      </c>
      <c r="M596" t="s">
        <v>46</v>
      </c>
      <c r="N596" t="s">
        <v>586</v>
      </c>
    </row>
    <row r="597" spans="1:16" ht="15" hidden="1" customHeight="1" x14ac:dyDescent="0.25">
      <c r="A597" t="s">
        <v>138</v>
      </c>
      <c r="B597" t="s">
        <v>540</v>
      </c>
      <c r="C597">
        <v>6</v>
      </c>
      <c r="D597" t="s">
        <v>40</v>
      </c>
      <c r="E597" t="s">
        <v>41</v>
      </c>
      <c r="F597" t="s">
        <v>541</v>
      </c>
      <c r="G597" t="s">
        <v>199</v>
      </c>
      <c r="H597" t="s">
        <v>202</v>
      </c>
      <c r="J597" t="s">
        <v>138</v>
      </c>
      <c r="K597" t="s">
        <v>45</v>
      </c>
      <c r="L597">
        <v>45270000</v>
      </c>
      <c r="M597" t="s">
        <v>46</v>
      </c>
      <c r="N597" t="s">
        <v>587</v>
      </c>
    </row>
    <row r="598" spans="1:16" ht="15" hidden="1" customHeight="1" x14ac:dyDescent="0.25">
      <c r="A598" t="s">
        <v>138</v>
      </c>
      <c r="B598" t="s">
        <v>540</v>
      </c>
      <c r="C598">
        <v>6</v>
      </c>
      <c r="D598" t="s">
        <v>40</v>
      </c>
      <c r="E598" t="s">
        <v>41</v>
      </c>
      <c r="F598" t="s">
        <v>541</v>
      </c>
      <c r="G598" t="s">
        <v>199</v>
      </c>
      <c r="H598" t="s">
        <v>205</v>
      </c>
      <c r="J598" t="s">
        <v>138</v>
      </c>
      <c r="K598" t="s">
        <v>45</v>
      </c>
      <c r="L598">
        <v>16960000</v>
      </c>
      <c r="M598" t="s">
        <v>46</v>
      </c>
      <c r="N598" t="s">
        <v>588</v>
      </c>
    </row>
    <row r="599" spans="1:16" ht="15" hidden="1" customHeight="1" x14ac:dyDescent="0.25">
      <c r="A599" t="s">
        <v>138</v>
      </c>
      <c r="B599" t="s">
        <v>540</v>
      </c>
      <c r="C599">
        <v>6</v>
      </c>
      <c r="D599" t="s">
        <v>40</v>
      </c>
      <c r="E599" t="s">
        <v>41</v>
      </c>
      <c r="F599" t="s">
        <v>541</v>
      </c>
      <c r="G599" t="s">
        <v>199</v>
      </c>
      <c r="H599" t="s">
        <v>545</v>
      </c>
      <c r="J599" t="s">
        <v>138</v>
      </c>
      <c r="K599" t="s">
        <v>45</v>
      </c>
      <c r="L599">
        <v>8100000</v>
      </c>
      <c r="M599" t="s">
        <v>46</v>
      </c>
      <c r="N599" t="s">
        <v>479</v>
      </c>
    </row>
    <row r="600" spans="1:16" ht="15" hidden="1" customHeight="1" x14ac:dyDescent="0.25">
      <c r="A600" t="s">
        <v>138</v>
      </c>
      <c r="B600" t="s">
        <v>540</v>
      </c>
      <c r="C600">
        <v>6</v>
      </c>
      <c r="D600" t="s">
        <v>40</v>
      </c>
      <c r="E600" t="s">
        <v>41</v>
      </c>
      <c r="F600" t="s">
        <v>547</v>
      </c>
      <c r="G600" t="s">
        <v>199</v>
      </c>
      <c r="H600" t="s">
        <v>542</v>
      </c>
      <c r="J600" t="s">
        <v>138</v>
      </c>
      <c r="K600" t="s">
        <v>45</v>
      </c>
      <c r="L600">
        <v>591000000</v>
      </c>
      <c r="M600" t="s">
        <v>210</v>
      </c>
      <c r="N600" t="s">
        <v>589</v>
      </c>
    </row>
    <row r="601" spans="1:16" ht="15" hidden="1" customHeight="1" x14ac:dyDescent="0.25">
      <c r="A601" t="s">
        <v>138</v>
      </c>
      <c r="B601" t="s">
        <v>540</v>
      </c>
      <c r="C601">
        <v>6</v>
      </c>
      <c r="D601" t="s">
        <v>40</v>
      </c>
      <c r="E601" t="s">
        <v>41</v>
      </c>
      <c r="F601" t="s">
        <v>547</v>
      </c>
      <c r="G601" t="s">
        <v>199</v>
      </c>
      <c r="H601" t="s">
        <v>202</v>
      </c>
      <c r="J601" t="s">
        <v>138</v>
      </c>
      <c r="K601" t="s">
        <v>45</v>
      </c>
      <c r="L601">
        <v>4410000000</v>
      </c>
      <c r="M601" t="s">
        <v>210</v>
      </c>
      <c r="N601" t="s">
        <v>590</v>
      </c>
    </row>
    <row r="602" spans="1:16" ht="15" hidden="1" customHeight="1" x14ac:dyDescent="0.25">
      <c r="A602" t="s">
        <v>138</v>
      </c>
      <c r="B602" t="s">
        <v>540</v>
      </c>
      <c r="C602">
        <v>6</v>
      </c>
      <c r="D602" t="s">
        <v>40</v>
      </c>
      <c r="E602" t="s">
        <v>41</v>
      </c>
      <c r="F602" t="s">
        <v>547</v>
      </c>
      <c r="G602" t="s">
        <v>199</v>
      </c>
      <c r="H602" t="s">
        <v>205</v>
      </c>
      <c r="J602" t="s">
        <v>138</v>
      </c>
      <c r="K602" t="s">
        <v>45</v>
      </c>
      <c r="L602">
        <v>1130000000</v>
      </c>
      <c r="M602" t="s">
        <v>210</v>
      </c>
      <c r="N602" t="s">
        <v>591</v>
      </c>
    </row>
    <row r="603" spans="1:16" ht="15" hidden="1" customHeight="1" x14ac:dyDescent="0.25">
      <c r="A603" t="s">
        <v>138</v>
      </c>
      <c r="B603" t="s">
        <v>540</v>
      </c>
      <c r="C603">
        <v>6</v>
      </c>
      <c r="D603" t="s">
        <v>40</v>
      </c>
      <c r="E603" t="s">
        <v>41</v>
      </c>
      <c r="F603" t="s">
        <v>547</v>
      </c>
      <c r="G603" t="s">
        <v>199</v>
      </c>
      <c r="H603" t="s">
        <v>545</v>
      </c>
      <c r="J603" t="s">
        <v>138</v>
      </c>
      <c r="K603" t="s">
        <v>45</v>
      </c>
      <c r="L603">
        <v>805000000</v>
      </c>
      <c r="M603" t="s">
        <v>210</v>
      </c>
      <c r="N603" t="s">
        <v>592</v>
      </c>
    </row>
    <row r="604" spans="1:16" ht="15" hidden="1" customHeight="1" x14ac:dyDescent="0.25">
      <c r="A604" t="s">
        <v>138</v>
      </c>
      <c r="B604" t="s">
        <v>540</v>
      </c>
      <c r="C604">
        <v>6</v>
      </c>
      <c r="D604" t="s">
        <v>74</v>
      </c>
      <c r="E604" t="s">
        <v>75</v>
      </c>
      <c r="F604" t="s">
        <v>541</v>
      </c>
      <c r="G604" t="s">
        <v>199</v>
      </c>
      <c r="J604" t="s">
        <v>107</v>
      </c>
      <c r="K604" t="s">
        <v>77</v>
      </c>
      <c r="L604">
        <v>45770000</v>
      </c>
      <c r="M604" t="s">
        <v>46</v>
      </c>
      <c r="N604" t="s">
        <v>574</v>
      </c>
      <c r="O604" t="s">
        <v>79</v>
      </c>
      <c r="P604" t="s">
        <v>103</v>
      </c>
    </row>
    <row r="605" spans="1:16" ht="15" hidden="1" customHeight="1" x14ac:dyDescent="0.25">
      <c r="A605" t="s">
        <v>138</v>
      </c>
      <c r="B605" t="s">
        <v>540</v>
      </c>
      <c r="C605">
        <v>6</v>
      </c>
      <c r="D605" t="s">
        <v>74</v>
      </c>
      <c r="E605" t="s">
        <v>75</v>
      </c>
      <c r="F605" t="s">
        <v>541</v>
      </c>
      <c r="G605" t="s">
        <v>199</v>
      </c>
      <c r="J605" t="s">
        <v>122</v>
      </c>
      <c r="K605" t="s">
        <v>77</v>
      </c>
      <c r="L605">
        <v>53880000</v>
      </c>
      <c r="M605" t="s">
        <v>46</v>
      </c>
      <c r="N605" t="s">
        <v>584</v>
      </c>
      <c r="O605" t="s">
        <v>79</v>
      </c>
      <c r="P605" t="s">
        <v>103</v>
      </c>
    </row>
    <row r="606" spans="1:16" ht="15" hidden="1" customHeight="1" x14ac:dyDescent="0.25">
      <c r="A606" t="s">
        <v>138</v>
      </c>
      <c r="B606" t="s">
        <v>540</v>
      </c>
      <c r="C606">
        <v>6</v>
      </c>
      <c r="D606" t="s">
        <v>74</v>
      </c>
      <c r="E606" t="s">
        <v>75</v>
      </c>
      <c r="F606" t="s">
        <v>547</v>
      </c>
      <c r="G606" t="s">
        <v>199</v>
      </c>
      <c r="J606" t="s">
        <v>107</v>
      </c>
      <c r="K606" t="s">
        <v>77</v>
      </c>
      <c r="L606">
        <v>4650000000</v>
      </c>
      <c r="M606" t="s">
        <v>210</v>
      </c>
      <c r="N606" t="s">
        <v>575</v>
      </c>
      <c r="O606" t="s">
        <v>79</v>
      </c>
      <c r="P606" t="s">
        <v>103</v>
      </c>
    </row>
    <row r="607" spans="1:16" ht="15" hidden="1" customHeight="1" x14ac:dyDescent="0.25">
      <c r="A607" t="s">
        <v>138</v>
      </c>
      <c r="B607" t="s">
        <v>540</v>
      </c>
      <c r="C607">
        <v>6</v>
      </c>
      <c r="D607" t="s">
        <v>74</v>
      </c>
      <c r="E607" t="s">
        <v>75</v>
      </c>
      <c r="F607" t="s">
        <v>547</v>
      </c>
      <c r="G607" t="s">
        <v>199</v>
      </c>
      <c r="J607" t="s">
        <v>122</v>
      </c>
      <c r="K607" t="s">
        <v>77</v>
      </c>
      <c r="L607">
        <v>5090000000</v>
      </c>
      <c r="M607" t="s">
        <v>210</v>
      </c>
      <c r="N607" t="s">
        <v>585</v>
      </c>
      <c r="O607" t="s">
        <v>79</v>
      </c>
      <c r="P607" t="s">
        <v>103</v>
      </c>
    </row>
    <row r="608" spans="1:16" ht="15" hidden="1" customHeight="1" x14ac:dyDescent="0.25">
      <c r="A608" t="s">
        <v>138</v>
      </c>
      <c r="B608" t="s">
        <v>540</v>
      </c>
      <c r="C608">
        <v>6</v>
      </c>
      <c r="D608" t="s">
        <v>85</v>
      </c>
      <c r="E608" t="s">
        <v>86</v>
      </c>
      <c r="F608" t="s">
        <v>541</v>
      </c>
      <c r="G608" t="s">
        <v>199</v>
      </c>
      <c r="J608" t="s">
        <v>138</v>
      </c>
      <c r="K608" t="s">
        <v>45</v>
      </c>
      <c r="L608">
        <v>62230000</v>
      </c>
      <c r="M608" t="s">
        <v>46</v>
      </c>
      <c r="N608" t="s">
        <v>593</v>
      </c>
    </row>
    <row r="609" spans="1:16" ht="15" hidden="1" customHeight="1" x14ac:dyDescent="0.25">
      <c r="A609" t="s">
        <v>138</v>
      </c>
      <c r="B609" t="s">
        <v>540</v>
      </c>
      <c r="C609">
        <v>6</v>
      </c>
      <c r="D609" t="s">
        <v>85</v>
      </c>
      <c r="E609" t="s">
        <v>86</v>
      </c>
      <c r="F609" t="s">
        <v>547</v>
      </c>
      <c r="G609" t="s">
        <v>199</v>
      </c>
      <c r="J609" t="s">
        <v>138</v>
      </c>
      <c r="K609" t="s">
        <v>45</v>
      </c>
      <c r="L609">
        <v>5540000000</v>
      </c>
      <c r="M609" t="s">
        <v>210</v>
      </c>
      <c r="N609" t="s">
        <v>594</v>
      </c>
    </row>
    <row r="610" spans="1:16" ht="15" hidden="1" customHeight="1" x14ac:dyDescent="0.25">
      <c r="A610" t="s">
        <v>153</v>
      </c>
      <c r="B610" t="s">
        <v>540</v>
      </c>
      <c r="C610">
        <v>6</v>
      </c>
      <c r="D610" t="s">
        <v>40</v>
      </c>
      <c r="E610" t="s">
        <v>41</v>
      </c>
      <c r="F610" t="s">
        <v>541</v>
      </c>
      <c r="G610" t="s">
        <v>199</v>
      </c>
      <c r="H610" t="s">
        <v>542</v>
      </c>
      <c r="J610" t="s">
        <v>153</v>
      </c>
      <c r="K610" t="s">
        <v>45</v>
      </c>
      <c r="L610">
        <v>12200000</v>
      </c>
      <c r="M610" t="s">
        <v>46</v>
      </c>
      <c r="N610" t="s">
        <v>595</v>
      </c>
    </row>
    <row r="611" spans="1:16" ht="15" hidden="1" customHeight="1" x14ac:dyDescent="0.25">
      <c r="A611" t="s">
        <v>153</v>
      </c>
      <c r="B611" t="s">
        <v>540</v>
      </c>
      <c r="C611">
        <v>6</v>
      </c>
      <c r="D611" t="s">
        <v>40</v>
      </c>
      <c r="E611" t="s">
        <v>41</v>
      </c>
      <c r="F611" t="s">
        <v>541</v>
      </c>
      <c r="G611" t="s">
        <v>199</v>
      </c>
      <c r="H611" t="s">
        <v>202</v>
      </c>
      <c r="J611" t="s">
        <v>153</v>
      </c>
      <c r="K611" t="s">
        <v>45</v>
      </c>
      <c r="L611">
        <v>48720000</v>
      </c>
      <c r="M611" t="s">
        <v>46</v>
      </c>
      <c r="N611" t="s">
        <v>596</v>
      </c>
    </row>
    <row r="612" spans="1:16" ht="15" hidden="1" customHeight="1" x14ac:dyDescent="0.25">
      <c r="A612" t="s">
        <v>153</v>
      </c>
      <c r="B612" t="s">
        <v>540</v>
      </c>
      <c r="C612">
        <v>6</v>
      </c>
      <c r="D612" t="s">
        <v>40</v>
      </c>
      <c r="E612" t="s">
        <v>41</v>
      </c>
      <c r="F612" t="s">
        <v>541</v>
      </c>
      <c r="G612" t="s">
        <v>199</v>
      </c>
      <c r="H612" t="s">
        <v>205</v>
      </c>
      <c r="J612" t="s">
        <v>153</v>
      </c>
      <c r="K612" t="s">
        <v>45</v>
      </c>
      <c r="L612">
        <v>18380000</v>
      </c>
      <c r="M612" t="s">
        <v>46</v>
      </c>
      <c r="N612" t="s">
        <v>597</v>
      </c>
    </row>
    <row r="613" spans="1:16" ht="15" hidden="1" customHeight="1" x14ac:dyDescent="0.25">
      <c r="A613" t="s">
        <v>153</v>
      </c>
      <c r="B613" t="s">
        <v>540</v>
      </c>
      <c r="C613">
        <v>6</v>
      </c>
      <c r="D613" t="s">
        <v>40</v>
      </c>
      <c r="E613" t="s">
        <v>41</v>
      </c>
      <c r="F613" t="s">
        <v>541</v>
      </c>
      <c r="G613" t="s">
        <v>199</v>
      </c>
      <c r="H613" t="s">
        <v>545</v>
      </c>
      <c r="J613" t="s">
        <v>153</v>
      </c>
      <c r="K613" t="s">
        <v>45</v>
      </c>
      <c r="L613">
        <v>8500000</v>
      </c>
      <c r="M613" t="s">
        <v>46</v>
      </c>
      <c r="N613" t="s">
        <v>598</v>
      </c>
    </row>
    <row r="614" spans="1:16" ht="15" hidden="1" customHeight="1" x14ac:dyDescent="0.25">
      <c r="A614" t="s">
        <v>153</v>
      </c>
      <c r="B614" t="s">
        <v>540</v>
      </c>
      <c r="C614">
        <v>6</v>
      </c>
      <c r="D614" t="s">
        <v>40</v>
      </c>
      <c r="E614" t="s">
        <v>41</v>
      </c>
      <c r="F614" t="s">
        <v>547</v>
      </c>
      <c r="G614" t="s">
        <v>199</v>
      </c>
      <c r="H614" t="s">
        <v>542</v>
      </c>
      <c r="J614" t="s">
        <v>153</v>
      </c>
      <c r="K614" t="s">
        <v>45</v>
      </c>
      <c r="L614">
        <v>580000000</v>
      </c>
      <c r="M614" t="s">
        <v>210</v>
      </c>
      <c r="N614" t="s">
        <v>599</v>
      </c>
    </row>
    <row r="615" spans="1:16" ht="15" hidden="1" customHeight="1" x14ac:dyDescent="0.25">
      <c r="A615" t="s">
        <v>153</v>
      </c>
      <c r="B615" t="s">
        <v>540</v>
      </c>
      <c r="C615">
        <v>6</v>
      </c>
      <c r="D615" t="s">
        <v>40</v>
      </c>
      <c r="E615" t="s">
        <v>41</v>
      </c>
      <c r="F615" t="s">
        <v>547</v>
      </c>
      <c r="G615" t="s">
        <v>199</v>
      </c>
      <c r="H615" t="s">
        <v>202</v>
      </c>
      <c r="J615" t="s">
        <v>153</v>
      </c>
      <c r="K615" t="s">
        <v>45</v>
      </c>
      <c r="L615">
        <v>4240000000</v>
      </c>
      <c r="M615" t="s">
        <v>210</v>
      </c>
      <c r="N615" t="s">
        <v>566</v>
      </c>
    </row>
    <row r="616" spans="1:16" ht="15" hidden="1" customHeight="1" x14ac:dyDescent="0.25">
      <c r="A616" t="s">
        <v>153</v>
      </c>
      <c r="B616" t="s">
        <v>540</v>
      </c>
      <c r="C616">
        <v>6</v>
      </c>
      <c r="D616" t="s">
        <v>40</v>
      </c>
      <c r="E616" t="s">
        <v>41</v>
      </c>
      <c r="F616" t="s">
        <v>547</v>
      </c>
      <c r="G616" t="s">
        <v>199</v>
      </c>
      <c r="H616" t="s">
        <v>205</v>
      </c>
      <c r="J616" t="s">
        <v>153</v>
      </c>
      <c r="K616" t="s">
        <v>45</v>
      </c>
      <c r="L616">
        <v>1080000000</v>
      </c>
      <c r="M616" t="s">
        <v>210</v>
      </c>
      <c r="N616" t="s">
        <v>600</v>
      </c>
    </row>
    <row r="617" spans="1:16" ht="15" hidden="1" customHeight="1" x14ac:dyDescent="0.25">
      <c r="A617" t="s">
        <v>153</v>
      </c>
      <c r="B617" t="s">
        <v>540</v>
      </c>
      <c r="C617">
        <v>6</v>
      </c>
      <c r="D617" t="s">
        <v>40</v>
      </c>
      <c r="E617" t="s">
        <v>41</v>
      </c>
      <c r="F617" t="s">
        <v>547</v>
      </c>
      <c r="G617" t="s">
        <v>199</v>
      </c>
      <c r="H617" t="s">
        <v>545</v>
      </c>
      <c r="J617" t="s">
        <v>153</v>
      </c>
      <c r="K617" t="s">
        <v>45</v>
      </c>
      <c r="L617">
        <v>712000000</v>
      </c>
      <c r="M617" t="s">
        <v>210</v>
      </c>
      <c r="N617" t="s">
        <v>601</v>
      </c>
    </row>
    <row r="618" spans="1:16" ht="15" hidden="1" customHeight="1" x14ac:dyDescent="0.25">
      <c r="A618" t="s">
        <v>153</v>
      </c>
      <c r="B618" t="s">
        <v>540</v>
      </c>
      <c r="C618">
        <v>6</v>
      </c>
      <c r="D618" t="s">
        <v>74</v>
      </c>
      <c r="E618" t="s">
        <v>75</v>
      </c>
      <c r="F618" t="s">
        <v>541</v>
      </c>
      <c r="G618" t="s">
        <v>199</v>
      </c>
      <c r="J618" t="s">
        <v>107</v>
      </c>
      <c r="K618" t="s">
        <v>77</v>
      </c>
      <c r="L618">
        <v>45770000</v>
      </c>
      <c r="M618" t="s">
        <v>46</v>
      </c>
      <c r="N618" t="s">
        <v>574</v>
      </c>
      <c r="O618" t="s">
        <v>79</v>
      </c>
      <c r="P618" t="s">
        <v>103</v>
      </c>
    </row>
    <row r="619" spans="1:16" ht="15" hidden="1" customHeight="1" x14ac:dyDescent="0.25">
      <c r="A619" t="s">
        <v>153</v>
      </c>
      <c r="B619" t="s">
        <v>540</v>
      </c>
      <c r="C619">
        <v>6</v>
      </c>
      <c r="D619" t="s">
        <v>74</v>
      </c>
      <c r="E619" t="s">
        <v>75</v>
      </c>
      <c r="F619" t="s">
        <v>541</v>
      </c>
      <c r="G619" t="s">
        <v>199</v>
      </c>
      <c r="J619" t="s">
        <v>122</v>
      </c>
      <c r="K619" t="s">
        <v>77</v>
      </c>
      <c r="L619">
        <v>53880000</v>
      </c>
      <c r="M619" t="s">
        <v>46</v>
      </c>
      <c r="N619" t="s">
        <v>584</v>
      </c>
      <c r="O619" t="s">
        <v>79</v>
      </c>
      <c r="P619" t="s">
        <v>103</v>
      </c>
    </row>
    <row r="620" spans="1:16" ht="15" hidden="1" customHeight="1" x14ac:dyDescent="0.25">
      <c r="A620" t="s">
        <v>153</v>
      </c>
      <c r="B620" t="s">
        <v>540</v>
      </c>
      <c r="C620">
        <v>6</v>
      </c>
      <c r="D620" t="s">
        <v>74</v>
      </c>
      <c r="E620" t="s">
        <v>75</v>
      </c>
      <c r="F620" t="s">
        <v>541</v>
      </c>
      <c r="G620" t="s">
        <v>199</v>
      </c>
      <c r="J620" t="s">
        <v>138</v>
      </c>
      <c r="K620" t="s">
        <v>77</v>
      </c>
      <c r="L620">
        <v>62230000</v>
      </c>
      <c r="M620" t="s">
        <v>46</v>
      </c>
      <c r="N620" t="s">
        <v>593</v>
      </c>
      <c r="O620" t="s">
        <v>79</v>
      </c>
      <c r="P620" t="s">
        <v>103</v>
      </c>
    </row>
    <row r="621" spans="1:16" ht="15" hidden="1" customHeight="1" x14ac:dyDescent="0.25">
      <c r="A621" t="s">
        <v>153</v>
      </c>
      <c r="B621" t="s">
        <v>540</v>
      </c>
      <c r="C621">
        <v>6</v>
      </c>
      <c r="D621" t="s">
        <v>74</v>
      </c>
      <c r="E621" t="s">
        <v>75</v>
      </c>
      <c r="F621" t="s">
        <v>547</v>
      </c>
      <c r="G621" t="s">
        <v>199</v>
      </c>
      <c r="J621" t="s">
        <v>107</v>
      </c>
      <c r="K621" t="s">
        <v>77</v>
      </c>
      <c r="L621">
        <v>4650000000</v>
      </c>
      <c r="M621" t="s">
        <v>210</v>
      </c>
      <c r="N621" t="s">
        <v>575</v>
      </c>
      <c r="O621" t="s">
        <v>79</v>
      </c>
      <c r="P621" t="s">
        <v>103</v>
      </c>
    </row>
    <row r="622" spans="1:16" ht="15" hidden="1" customHeight="1" x14ac:dyDescent="0.25">
      <c r="A622" t="s">
        <v>153</v>
      </c>
      <c r="B622" t="s">
        <v>540</v>
      </c>
      <c r="C622">
        <v>6</v>
      </c>
      <c r="D622" t="s">
        <v>74</v>
      </c>
      <c r="E622" t="s">
        <v>75</v>
      </c>
      <c r="F622" t="s">
        <v>547</v>
      </c>
      <c r="G622" t="s">
        <v>199</v>
      </c>
      <c r="J622" t="s">
        <v>122</v>
      </c>
      <c r="K622" t="s">
        <v>77</v>
      </c>
      <c r="L622">
        <v>5090000000</v>
      </c>
      <c r="M622" t="s">
        <v>210</v>
      </c>
      <c r="N622" t="s">
        <v>585</v>
      </c>
      <c r="O622" t="s">
        <v>79</v>
      </c>
      <c r="P622" t="s">
        <v>103</v>
      </c>
    </row>
    <row r="623" spans="1:16" ht="15" hidden="1" customHeight="1" x14ac:dyDescent="0.25">
      <c r="A623" t="s">
        <v>153</v>
      </c>
      <c r="B623" t="s">
        <v>540</v>
      </c>
      <c r="C623">
        <v>6</v>
      </c>
      <c r="D623" t="s">
        <v>74</v>
      </c>
      <c r="E623" t="s">
        <v>75</v>
      </c>
      <c r="F623" t="s">
        <v>547</v>
      </c>
      <c r="G623" t="s">
        <v>199</v>
      </c>
      <c r="J623" t="s">
        <v>138</v>
      </c>
      <c r="K623" t="s">
        <v>77</v>
      </c>
      <c r="L623">
        <v>5540000000</v>
      </c>
      <c r="M623" t="s">
        <v>210</v>
      </c>
      <c r="N623" t="s">
        <v>594</v>
      </c>
      <c r="O623" t="s">
        <v>79</v>
      </c>
      <c r="P623" t="s">
        <v>103</v>
      </c>
    </row>
    <row r="624" spans="1:16" ht="15" hidden="1" customHeight="1" x14ac:dyDescent="0.25">
      <c r="A624" t="s">
        <v>153</v>
      </c>
      <c r="B624" t="s">
        <v>540</v>
      </c>
      <c r="C624">
        <v>6</v>
      </c>
      <c r="D624" t="s">
        <v>85</v>
      </c>
      <c r="E624" t="s">
        <v>86</v>
      </c>
      <c r="F624" t="s">
        <v>541</v>
      </c>
      <c r="G624" t="s">
        <v>199</v>
      </c>
      <c r="J624" t="s">
        <v>153</v>
      </c>
      <c r="K624" t="s">
        <v>45</v>
      </c>
      <c r="L624">
        <v>67090000</v>
      </c>
      <c r="M624" t="s">
        <v>46</v>
      </c>
      <c r="N624" t="s">
        <v>602</v>
      </c>
    </row>
    <row r="625" spans="1:16" ht="15" hidden="1" customHeight="1" x14ac:dyDescent="0.25">
      <c r="A625" t="s">
        <v>153</v>
      </c>
      <c r="B625" t="s">
        <v>540</v>
      </c>
      <c r="C625">
        <v>6</v>
      </c>
      <c r="D625" t="s">
        <v>85</v>
      </c>
      <c r="E625" t="s">
        <v>86</v>
      </c>
      <c r="F625" t="s">
        <v>547</v>
      </c>
      <c r="G625" t="s">
        <v>199</v>
      </c>
      <c r="J625" t="s">
        <v>153</v>
      </c>
      <c r="K625" t="s">
        <v>45</v>
      </c>
      <c r="L625">
        <v>5310000000</v>
      </c>
      <c r="M625" t="s">
        <v>210</v>
      </c>
      <c r="N625" t="s">
        <v>603</v>
      </c>
    </row>
    <row r="626" spans="1:16" ht="15" hidden="1" customHeight="1" x14ac:dyDescent="0.25">
      <c r="A626" t="s">
        <v>169</v>
      </c>
      <c r="B626" t="s">
        <v>540</v>
      </c>
      <c r="C626">
        <v>6</v>
      </c>
      <c r="D626" t="s">
        <v>40</v>
      </c>
      <c r="E626" t="s">
        <v>41</v>
      </c>
      <c r="F626" t="s">
        <v>541</v>
      </c>
      <c r="G626" t="s">
        <v>199</v>
      </c>
      <c r="H626" t="s">
        <v>542</v>
      </c>
      <c r="J626" t="s">
        <v>169</v>
      </c>
      <c r="K626" t="s">
        <v>45</v>
      </c>
      <c r="L626">
        <v>13100000</v>
      </c>
      <c r="M626" t="s">
        <v>46</v>
      </c>
      <c r="N626" t="s">
        <v>604</v>
      </c>
    </row>
    <row r="627" spans="1:16" ht="15" hidden="1" customHeight="1" x14ac:dyDescent="0.25">
      <c r="A627" t="s">
        <v>169</v>
      </c>
      <c r="B627" t="s">
        <v>540</v>
      </c>
      <c r="C627">
        <v>6</v>
      </c>
      <c r="D627" t="s">
        <v>40</v>
      </c>
      <c r="E627" t="s">
        <v>41</v>
      </c>
      <c r="F627" t="s">
        <v>541</v>
      </c>
      <c r="G627" t="s">
        <v>199</v>
      </c>
      <c r="H627" t="s">
        <v>202</v>
      </c>
      <c r="J627" t="s">
        <v>169</v>
      </c>
      <c r="K627" t="s">
        <v>45</v>
      </c>
      <c r="L627">
        <v>51490000</v>
      </c>
      <c r="M627" t="s">
        <v>46</v>
      </c>
      <c r="N627" t="s">
        <v>605</v>
      </c>
    </row>
    <row r="628" spans="1:16" ht="15" hidden="1" customHeight="1" x14ac:dyDescent="0.25">
      <c r="A628" t="s">
        <v>169</v>
      </c>
      <c r="B628" t="s">
        <v>540</v>
      </c>
      <c r="C628">
        <v>6</v>
      </c>
      <c r="D628" t="s">
        <v>40</v>
      </c>
      <c r="E628" t="s">
        <v>41</v>
      </c>
      <c r="F628" t="s">
        <v>541</v>
      </c>
      <c r="G628" t="s">
        <v>199</v>
      </c>
      <c r="H628" t="s">
        <v>205</v>
      </c>
      <c r="J628" t="s">
        <v>169</v>
      </c>
      <c r="K628" t="s">
        <v>45</v>
      </c>
      <c r="L628">
        <v>21640000</v>
      </c>
      <c r="M628" t="s">
        <v>46</v>
      </c>
      <c r="N628" t="s">
        <v>606</v>
      </c>
    </row>
    <row r="629" spans="1:16" ht="15" hidden="1" customHeight="1" x14ac:dyDescent="0.25">
      <c r="A629" t="s">
        <v>169</v>
      </c>
      <c r="B629" t="s">
        <v>540</v>
      </c>
      <c r="C629">
        <v>6</v>
      </c>
      <c r="D629" t="s">
        <v>40</v>
      </c>
      <c r="E629" t="s">
        <v>41</v>
      </c>
      <c r="F629" t="s">
        <v>541</v>
      </c>
      <c r="G629" t="s">
        <v>199</v>
      </c>
      <c r="H629" t="s">
        <v>545</v>
      </c>
      <c r="J629" t="s">
        <v>169</v>
      </c>
      <c r="K629" t="s">
        <v>45</v>
      </c>
      <c r="L629">
        <v>8900000</v>
      </c>
      <c r="M629" t="s">
        <v>46</v>
      </c>
      <c r="N629" t="s">
        <v>607</v>
      </c>
    </row>
    <row r="630" spans="1:16" ht="15" hidden="1" customHeight="1" x14ac:dyDescent="0.25">
      <c r="A630" t="s">
        <v>169</v>
      </c>
      <c r="B630" t="s">
        <v>540</v>
      </c>
      <c r="C630">
        <v>6</v>
      </c>
      <c r="D630" t="s">
        <v>40</v>
      </c>
      <c r="E630" t="s">
        <v>41</v>
      </c>
      <c r="F630" t="s">
        <v>547</v>
      </c>
      <c r="G630" t="s">
        <v>199</v>
      </c>
      <c r="H630" t="s">
        <v>542</v>
      </c>
      <c r="J630" t="s">
        <v>169</v>
      </c>
      <c r="K630" t="s">
        <v>45</v>
      </c>
      <c r="L630">
        <v>605000000</v>
      </c>
      <c r="M630" t="s">
        <v>210</v>
      </c>
      <c r="N630" t="s">
        <v>608</v>
      </c>
    </row>
    <row r="631" spans="1:16" ht="15" hidden="1" customHeight="1" x14ac:dyDescent="0.25">
      <c r="A631" t="s">
        <v>169</v>
      </c>
      <c r="B631" t="s">
        <v>540</v>
      </c>
      <c r="C631">
        <v>6</v>
      </c>
      <c r="D631" t="s">
        <v>40</v>
      </c>
      <c r="E631" t="s">
        <v>41</v>
      </c>
      <c r="F631" t="s">
        <v>547</v>
      </c>
      <c r="G631" t="s">
        <v>199</v>
      </c>
      <c r="H631" t="s">
        <v>202</v>
      </c>
      <c r="J631" t="s">
        <v>169</v>
      </c>
      <c r="K631" t="s">
        <v>45</v>
      </c>
      <c r="L631">
        <v>4450000000</v>
      </c>
      <c r="M631" t="s">
        <v>210</v>
      </c>
      <c r="N631" t="s">
        <v>609</v>
      </c>
    </row>
    <row r="632" spans="1:16" ht="15" hidden="1" customHeight="1" x14ac:dyDescent="0.25">
      <c r="A632" t="s">
        <v>169</v>
      </c>
      <c r="B632" t="s">
        <v>540</v>
      </c>
      <c r="C632">
        <v>6</v>
      </c>
      <c r="D632" t="s">
        <v>40</v>
      </c>
      <c r="E632" t="s">
        <v>41</v>
      </c>
      <c r="F632" t="s">
        <v>547</v>
      </c>
      <c r="G632" t="s">
        <v>199</v>
      </c>
      <c r="H632" t="s">
        <v>205</v>
      </c>
      <c r="J632" t="s">
        <v>169</v>
      </c>
      <c r="K632" t="s">
        <v>45</v>
      </c>
      <c r="L632">
        <v>1190000000</v>
      </c>
      <c r="M632" t="s">
        <v>210</v>
      </c>
      <c r="N632" t="s">
        <v>438</v>
      </c>
    </row>
    <row r="633" spans="1:16" ht="15" hidden="1" customHeight="1" x14ac:dyDescent="0.25">
      <c r="A633" t="s">
        <v>169</v>
      </c>
      <c r="B633" t="s">
        <v>540</v>
      </c>
      <c r="C633">
        <v>6</v>
      </c>
      <c r="D633" t="s">
        <v>40</v>
      </c>
      <c r="E633" t="s">
        <v>41</v>
      </c>
      <c r="F633" t="s">
        <v>547</v>
      </c>
      <c r="G633" t="s">
        <v>199</v>
      </c>
      <c r="H633" t="s">
        <v>545</v>
      </c>
      <c r="J633" t="s">
        <v>169</v>
      </c>
      <c r="K633" t="s">
        <v>45</v>
      </c>
      <c r="L633">
        <v>721000000</v>
      </c>
      <c r="M633" t="s">
        <v>210</v>
      </c>
      <c r="N633" t="s">
        <v>610</v>
      </c>
    </row>
    <row r="634" spans="1:16" ht="15" hidden="1" customHeight="1" x14ac:dyDescent="0.25">
      <c r="A634" t="s">
        <v>169</v>
      </c>
      <c r="B634" t="s">
        <v>540</v>
      </c>
      <c r="C634">
        <v>6</v>
      </c>
      <c r="D634" t="s">
        <v>74</v>
      </c>
      <c r="E634" t="s">
        <v>75</v>
      </c>
      <c r="F634" t="s">
        <v>541</v>
      </c>
      <c r="G634" t="s">
        <v>199</v>
      </c>
      <c r="J634" t="s">
        <v>153</v>
      </c>
      <c r="K634" t="s">
        <v>77</v>
      </c>
      <c r="L634">
        <v>67090000</v>
      </c>
      <c r="M634" t="s">
        <v>46</v>
      </c>
      <c r="N634" t="s">
        <v>602</v>
      </c>
      <c r="O634" t="s">
        <v>79</v>
      </c>
      <c r="P634" t="s">
        <v>103</v>
      </c>
    </row>
    <row r="635" spans="1:16" ht="15" hidden="1" customHeight="1" x14ac:dyDescent="0.25">
      <c r="A635" t="s">
        <v>169</v>
      </c>
      <c r="B635" t="s">
        <v>540</v>
      </c>
      <c r="C635">
        <v>6</v>
      </c>
      <c r="D635" t="s">
        <v>74</v>
      </c>
      <c r="E635" t="s">
        <v>75</v>
      </c>
      <c r="F635" t="s">
        <v>547</v>
      </c>
      <c r="G635" t="s">
        <v>199</v>
      </c>
      <c r="J635" t="s">
        <v>153</v>
      </c>
      <c r="K635" t="s">
        <v>77</v>
      </c>
      <c r="L635">
        <v>5310000000</v>
      </c>
      <c r="M635" t="s">
        <v>210</v>
      </c>
      <c r="N635" t="s">
        <v>603</v>
      </c>
      <c r="O635" t="s">
        <v>79</v>
      </c>
      <c r="P635" t="s">
        <v>103</v>
      </c>
    </row>
    <row r="636" spans="1:16" ht="15" hidden="1" customHeight="1" x14ac:dyDescent="0.25">
      <c r="A636" t="s">
        <v>169</v>
      </c>
      <c r="B636" t="s">
        <v>540</v>
      </c>
      <c r="C636">
        <v>6</v>
      </c>
      <c r="D636" t="s">
        <v>85</v>
      </c>
      <c r="E636" t="s">
        <v>86</v>
      </c>
      <c r="F636" t="s">
        <v>541</v>
      </c>
      <c r="G636" t="s">
        <v>199</v>
      </c>
      <c r="J636" t="s">
        <v>169</v>
      </c>
      <c r="K636" t="s">
        <v>45</v>
      </c>
      <c r="L636">
        <v>73120000</v>
      </c>
      <c r="M636" t="s">
        <v>46</v>
      </c>
      <c r="N636" t="s">
        <v>611</v>
      </c>
    </row>
    <row r="637" spans="1:16" ht="15" hidden="1" customHeight="1" x14ac:dyDescent="0.25">
      <c r="A637" t="s">
        <v>169</v>
      </c>
      <c r="B637" t="s">
        <v>540</v>
      </c>
      <c r="C637">
        <v>6</v>
      </c>
      <c r="D637" t="s">
        <v>85</v>
      </c>
      <c r="E637" t="s">
        <v>86</v>
      </c>
      <c r="F637" t="s">
        <v>547</v>
      </c>
      <c r="G637" t="s">
        <v>199</v>
      </c>
      <c r="J637" t="s">
        <v>169</v>
      </c>
      <c r="K637" t="s">
        <v>45</v>
      </c>
      <c r="L637">
        <v>5630000000</v>
      </c>
      <c r="M637" t="s">
        <v>210</v>
      </c>
      <c r="N637" t="s">
        <v>612</v>
      </c>
    </row>
    <row r="638" spans="1:16" ht="15" hidden="1" customHeight="1" x14ac:dyDescent="0.25">
      <c r="A638" t="s">
        <v>184</v>
      </c>
      <c r="B638" t="s">
        <v>540</v>
      </c>
      <c r="C638">
        <v>6</v>
      </c>
      <c r="D638" t="s">
        <v>40</v>
      </c>
      <c r="E638" t="s">
        <v>41</v>
      </c>
      <c r="F638" t="s">
        <v>541</v>
      </c>
      <c r="G638" t="s">
        <v>199</v>
      </c>
      <c r="H638" t="s">
        <v>542</v>
      </c>
      <c r="J638" t="s">
        <v>184</v>
      </c>
      <c r="K638" t="s">
        <v>45</v>
      </c>
      <c r="L638">
        <v>15600000</v>
      </c>
      <c r="M638" t="s">
        <v>46</v>
      </c>
      <c r="N638" t="s">
        <v>613</v>
      </c>
    </row>
    <row r="639" spans="1:16" ht="15" hidden="1" customHeight="1" x14ac:dyDescent="0.25">
      <c r="A639" t="s">
        <v>184</v>
      </c>
      <c r="B639" t="s">
        <v>540</v>
      </c>
      <c r="C639">
        <v>6</v>
      </c>
      <c r="D639" t="s">
        <v>40</v>
      </c>
      <c r="E639" t="s">
        <v>41</v>
      </c>
      <c r="F639" t="s">
        <v>541</v>
      </c>
      <c r="G639" t="s">
        <v>199</v>
      </c>
      <c r="H639" t="s">
        <v>202</v>
      </c>
      <c r="J639" t="s">
        <v>184</v>
      </c>
      <c r="K639" t="s">
        <v>45</v>
      </c>
      <c r="L639">
        <v>59550000</v>
      </c>
      <c r="M639" t="s">
        <v>46</v>
      </c>
      <c r="N639" t="s">
        <v>614</v>
      </c>
    </row>
    <row r="640" spans="1:16" ht="15" hidden="1" customHeight="1" x14ac:dyDescent="0.25">
      <c r="A640" t="s">
        <v>184</v>
      </c>
      <c r="B640" t="s">
        <v>540</v>
      </c>
      <c r="C640">
        <v>6</v>
      </c>
      <c r="D640" t="s">
        <v>40</v>
      </c>
      <c r="E640" t="s">
        <v>41</v>
      </c>
      <c r="F640" t="s">
        <v>541</v>
      </c>
      <c r="G640" t="s">
        <v>199</v>
      </c>
      <c r="H640" t="s">
        <v>205</v>
      </c>
      <c r="J640" t="s">
        <v>184</v>
      </c>
      <c r="K640" t="s">
        <v>45</v>
      </c>
      <c r="L640">
        <v>26000000</v>
      </c>
      <c r="M640" t="s">
        <v>46</v>
      </c>
      <c r="N640" t="s">
        <v>615</v>
      </c>
    </row>
    <row r="641" spans="1:17" ht="15" hidden="1" customHeight="1" x14ac:dyDescent="0.25">
      <c r="A641" t="s">
        <v>184</v>
      </c>
      <c r="B641" t="s">
        <v>540</v>
      </c>
      <c r="C641">
        <v>6</v>
      </c>
      <c r="D641" t="s">
        <v>40</v>
      </c>
      <c r="E641" t="s">
        <v>41</v>
      </c>
      <c r="F641" t="s">
        <v>541</v>
      </c>
      <c r="G641" t="s">
        <v>199</v>
      </c>
      <c r="H641" t="s">
        <v>545</v>
      </c>
      <c r="J641" t="s">
        <v>184</v>
      </c>
      <c r="K641" t="s">
        <v>45</v>
      </c>
      <c r="L641">
        <v>10500000</v>
      </c>
      <c r="M641" t="s">
        <v>46</v>
      </c>
      <c r="N641" t="s">
        <v>616</v>
      </c>
    </row>
    <row r="642" spans="1:17" ht="15" hidden="1" customHeight="1" x14ac:dyDescent="0.25">
      <c r="A642" t="s">
        <v>184</v>
      </c>
      <c r="B642" t="s">
        <v>540</v>
      </c>
      <c r="C642">
        <v>6</v>
      </c>
      <c r="D642" t="s">
        <v>40</v>
      </c>
      <c r="E642" t="s">
        <v>41</v>
      </c>
      <c r="F642" t="s">
        <v>547</v>
      </c>
      <c r="G642" t="s">
        <v>199</v>
      </c>
      <c r="H642" t="s">
        <v>542</v>
      </c>
      <c r="J642" t="s">
        <v>184</v>
      </c>
      <c r="K642" t="s">
        <v>45</v>
      </c>
      <c r="L642">
        <v>669000000</v>
      </c>
      <c r="M642" t="s">
        <v>210</v>
      </c>
      <c r="N642" t="s">
        <v>617</v>
      </c>
    </row>
    <row r="643" spans="1:17" ht="15" hidden="1" customHeight="1" x14ac:dyDescent="0.25">
      <c r="A643" t="s">
        <v>184</v>
      </c>
      <c r="B643" t="s">
        <v>540</v>
      </c>
      <c r="C643">
        <v>6</v>
      </c>
      <c r="D643" t="s">
        <v>40</v>
      </c>
      <c r="E643" t="s">
        <v>41</v>
      </c>
      <c r="F643" t="s">
        <v>547</v>
      </c>
      <c r="G643" t="s">
        <v>199</v>
      </c>
      <c r="H643" t="s">
        <v>202</v>
      </c>
      <c r="J643" t="s">
        <v>184</v>
      </c>
      <c r="K643" t="s">
        <v>45</v>
      </c>
      <c r="L643">
        <v>4730000000</v>
      </c>
      <c r="M643" t="s">
        <v>210</v>
      </c>
      <c r="N643" t="s">
        <v>618</v>
      </c>
    </row>
    <row r="644" spans="1:17" ht="15" hidden="1" customHeight="1" x14ac:dyDescent="0.25">
      <c r="A644" t="s">
        <v>184</v>
      </c>
      <c r="B644" t="s">
        <v>540</v>
      </c>
      <c r="C644">
        <v>6</v>
      </c>
      <c r="D644" t="s">
        <v>40</v>
      </c>
      <c r="E644" t="s">
        <v>41</v>
      </c>
      <c r="F644" t="s">
        <v>547</v>
      </c>
      <c r="G644" t="s">
        <v>199</v>
      </c>
      <c r="H644" t="s">
        <v>205</v>
      </c>
      <c r="J644" t="s">
        <v>184</v>
      </c>
      <c r="K644" t="s">
        <v>45</v>
      </c>
      <c r="L644">
        <v>1270000000</v>
      </c>
      <c r="M644" t="s">
        <v>210</v>
      </c>
      <c r="N644" t="s">
        <v>619</v>
      </c>
    </row>
    <row r="645" spans="1:17" ht="15" hidden="1" customHeight="1" x14ac:dyDescent="0.25">
      <c r="A645" t="s">
        <v>184</v>
      </c>
      <c r="B645" t="s">
        <v>540</v>
      </c>
      <c r="C645">
        <v>6</v>
      </c>
      <c r="D645" t="s">
        <v>40</v>
      </c>
      <c r="E645" t="s">
        <v>41</v>
      </c>
      <c r="F645" t="s">
        <v>547</v>
      </c>
      <c r="G645" t="s">
        <v>199</v>
      </c>
      <c r="H645" t="s">
        <v>545</v>
      </c>
      <c r="J645" t="s">
        <v>184</v>
      </c>
      <c r="K645" t="s">
        <v>45</v>
      </c>
      <c r="L645">
        <v>794000000</v>
      </c>
      <c r="M645" t="s">
        <v>210</v>
      </c>
      <c r="N645" t="s">
        <v>620</v>
      </c>
    </row>
    <row r="646" spans="1:17" ht="15" hidden="1" customHeight="1" x14ac:dyDescent="0.25">
      <c r="A646" t="s">
        <v>184</v>
      </c>
      <c r="B646" t="s">
        <v>540</v>
      </c>
      <c r="C646">
        <v>6</v>
      </c>
      <c r="D646" t="s">
        <v>74</v>
      </c>
      <c r="E646" t="s">
        <v>75</v>
      </c>
      <c r="F646" t="s">
        <v>541</v>
      </c>
      <c r="G646" t="s">
        <v>199</v>
      </c>
      <c r="J646" t="s">
        <v>169</v>
      </c>
      <c r="K646" t="s">
        <v>77</v>
      </c>
      <c r="L646">
        <v>73120000</v>
      </c>
      <c r="M646" t="s">
        <v>46</v>
      </c>
      <c r="N646" t="s">
        <v>611</v>
      </c>
      <c r="O646" t="s">
        <v>79</v>
      </c>
      <c r="P646" t="s">
        <v>103</v>
      </c>
    </row>
    <row r="647" spans="1:17" ht="15" hidden="1" customHeight="1" x14ac:dyDescent="0.25">
      <c r="A647" t="s">
        <v>184</v>
      </c>
      <c r="B647" t="s">
        <v>540</v>
      </c>
      <c r="C647">
        <v>6</v>
      </c>
      <c r="D647" t="s">
        <v>74</v>
      </c>
      <c r="E647" t="s">
        <v>75</v>
      </c>
      <c r="F647" t="s">
        <v>547</v>
      </c>
      <c r="G647" t="s">
        <v>199</v>
      </c>
      <c r="J647" t="s">
        <v>169</v>
      </c>
      <c r="K647" t="s">
        <v>77</v>
      </c>
      <c r="L647">
        <v>5630000000</v>
      </c>
      <c r="M647" t="s">
        <v>210</v>
      </c>
      <c r="N647" t="s">
        <v>612</v>
      </c>
      <c r="O647" t="s">
        <v>79</v>
      </c>
      <c r="P647" t="s">
        <v>103</v>
      </c>
    </row>
    <row r="648" spans="1:17" ht="15" hidden="1" customHeight="1" x14ac:dyDescent="0.25">
      <c r="A648" t="s">
        <v>184</v>
      </c>
      <c r="B648" t="s">
        <v>540</v>
      </c>
      <c r="C648">
        <v>6</v>
      </c>
      <c r="D648" t="s">
        <v>85</v>
      </c>
      <c r="E648" t="s">
        <v>86</v>
      </c>
      <c r="F648" t="s">
        <v>541</v>
      </c>
      <c r="G648" t="s">
        <v>199</v>
      </c>
      <c r="J648" t="s">
        <v>184</v>
      </c>
      <c r="K648" t="s">
        <v>45</v>
      </c>
      <c r="L648">
        <v>85550000</v>
      </c>
      <c r="M648" t="s">
        <v>46</v>
      </c>
      <c r="N648" t="s">
        <v>621</v>
      </c>
    </row>
    <row r="649" spans="1:17" ht="15" hidden="1" customHeight="1" x14ac:dyDescent="0.25">
      <c r="A649" t="s">
        <v>184</v>
      </c>
      <c r="B649" t="s">
        <v>540</v>
      </c>
      <c r="C649">
        <v>6</v>
      </c>
      <c r="D649" t="s">
        <v>85</v>
      </c>
      <c r="E649" t="s">
        <v>86</v>
      </c>
      <c r="F649" t="s">
        <v>547</v>
      </c>
      <c r="G649" t="s">
        <v>199</v>
      </c>
      <c r="J649" t="s">
        <v>184</v>
      </c>
      <c r="K649" t="s">
        <v>45</v>
      </c>
      <c r="L649">
        <v>6000000000</v>
      </c>
      <c r="M649" t="s">
        <v>210</v>
      </c>
      <c r="N649" t="s">
        <v>622</v>
      </c>
    </row>
    <row r="650" spans="1:17" ht="15" customHeight="1" x14ac:dyDescent="0.25">
      <c r="A650" t="s">
        <v>38</v>
      </c>
      <c r="B650" t="s">
        <v>623</v>
      </c>
      <c r="C650">
        <v>7</v>
      </c>
      <c r="D650" t="s">
        <v>40</v>
      </c>
      <c r="E650" t="s">
        <v>41</v>
      </c>
      <c r="F650" t="s">
        <v>198</v>
      </c>
      <c r="G650" t="s">
        <v>624</v>
      </c>
      <c r="H650" t="s">
        <v>625</v>
      </c>
      <c r="J650" t="s">
        <v>38</v>
      </c>
      <c r="K650" t="s">
        <v>45</v>
      </c>
      <c r="L650">
        <v>90000</v>
      </c>
      <c r="M650" t="s">
        <v>46</v>
      </c>
      <c r="N650" t="s">
        <v>626</v>
      </c>
      <c r="Q650" t="s">
        <v>627</v>
      </c>
    </row>
    <row r="651" spans="1:17" ht="15" customHeight="1" x14ac:dyDescent="0.25">
      <c r="A651" t="s">
        <v>38</v>
      </c>
      <c r="B651" t="s">
        <v>623</v>
      </c>
      <c r="C651">
        <v>7</v>
      </c>
      <c r="D651" t="s">
        <v>40</v>
      </c>
      <c r="E651" t="s">
        <v>41</v>
      </c>
      <c r="F651" t="s">
        <v>198</v>
      </c>
      <c r="G651" t="s">
        <v>199</v>
      </c>
      <c r="H651" t="s">
        <v>628</v>
      </c>
      <c r="J651" t="s">
        <v>38</v>
      </c>
      <c r="K651" t="s">
        <v>45</v>
      </c>
      <c r="L651">
        <v>3700000</v>
      </c>
      <c r="M651" t="s">
        <v>46</v>
      </c>
      <c r="N651" t="s">
        <v>629</v>
      </c>
    </row>
    <row r="652" spans="1:17" ht="15" customHeight="1" x14ac:dyDescent="0.25">
      <c r="A652" t="s">
        <v>38</v>
      </c>
      <c r="B652" t="s">
        <v>623</v>
      </c>
      <c r="C652">
        <v>7</v>
      </c>
      <c r="D652" t="s">
        <v>40</v>
      </c>
      <c r="E652" t="s">
        <v>41</v>
      </c>
      <c r="F652" t="s">
        <v>198</v>
      </c>
      <c r="G652" t="s">
        <v>199</v>
      </c>
      <c r="H652" t="s">
        <v>630</v>
      </c>
      <c r="J652" t="s">
        <v>38</v>
      </c>
      <c r="K652" t="s">
        <v>45</v>
      </c>
      <c r="L652">
        <v>13800000</v>
      </c>
      <c r="M652" t="s">
        <v>46</v>
      </c>
      <c r="N652" t="s">
        <v>631</v>
      </c>
    </row>
    <row r="653" spans="1:17" ht="15" customHeight="1" x14ac:dyDescent="0.25">
      <c r="A653" t="s">
        <v>38</v>
      </c>
      <c r="B653" t="s">
        <v>623</v>
      </c>
      <c r="C653">
        <v>7</v>
      </c>
      <c r="D653" t="s">
        <v>40</v>
      </c>
      <c r="E653" t="s">
        <v>41</v>
      </c>
      <c r="F653" t="s">
        <v>198</v>
      </c>
      <c r="G653" t="s">
        <v>624</v>
      </c>
      <c r="H653" t="s">
        <v>632</v>
      </c>
      <c r="J653" t="s">
        <v>38</v>
      </c>
      <c r="K653" t="s">
        <v>45</v>
      </c>
      <c r="L653">
        <v>440000</v>
      </c>
      <c r="M653" t="s">
        <v>46</v>
      </c>
      <c r="N653" t="s">
        <v>633</v>
      </c>
    </row>
    <row r="654" spans="1:17" ht="15" customHeight="1" x14ac:dyDescent="0.25">
      <c r="A654" t="s">
        <v>38</v>
      </c>
      <c r="B654" t="s">
        <v>623</v>
      </c>
      <c r="C654">
        <v>7</v>
      </c>
      <c r="D654" t="s">
        <v>40</v>
      </c>
      <c r="E654" t="s">
        <v>41</v>
      </c>
      <c r="F654" t="s">
        <v>198</v>
      </c>
      <c r="G654" t="s">
        <v>624</v>
      </c>
      <c r="H654" t="s">
        <v>634</v>
      </c>
      <c r="J654" t="s">
        <v>38</v>
      </c>
      <c r="K654" t="s">
        <v>45</v>
      </c>
      <c r="L654">
        <v>900000</v>
      </c>
      <c r="M654" t="s">
        <v>46</v>
      </c>
      <c r="N654" t="s">
        <v>635</v>
      </c>
    </row>
    <row r="655" spans="1:17" ht="15" customHeight="1" x14ac:dyDescent="0.25">
      <c r="A655" t="s">
        <v>38</v>
      </c>
      <c r="B655" t="s">
        <v>623</v>
      </c>
      <c r="C655">
        <v>7</v>
      </c>
      <c r="D655" t="s">
        <v>40</v>
      </c>
      <c r="E655" t="s">
        <v>41</v>
      </c>
      <c r="F655" t="s">
        <v>198</v>
      </c>
      <c r="G655" t="s">
        <v>624</v>
      </c>
      <c r="H655" t="s">
        <v>636</v>
      </c>
      <c r="J655" t="s">
        <v>38</v>
      </c>
      <c r="K655" t="s">
        <v>45</v>
      </c>
      <c r="L655">
        <v>70000</v>
      </c>
      <c r="M655" t="s">
        <v>46</v>
      </c>
      <c r="N655" t="s">
        <v>637</v>
      </c>
    </row>
    <row r="656" spans="1:17" ht="15" customHeight="1" x14ac:dyDescent="0.25">
      <c r="A656" t="s">
        <v>38</v>
      </c>
      <c r="B656" t="s">
        <v>623</v>
      </c>
      <c r="C656">
        <v>7</v>
      </c>
      <c r="D656" t="s">
        <v>40</v>
      </c>
      <c r="E656" t="s">
        <v>41</v>
      </c>
      <c r="F656" t="s">
        <v>198</v>
      </c>
      <c r="G656" t="s">
        <v>624</v>
      </c>
      <c r="H656" t="s">
        <v>638</v>
      </c>
      <c r="J656" t="s">
        <v>38</v>
      </c>
      <c r="K656" t="s">
        <v>45</v>
      </c>
      <c r="L656">
        <v>3460000</v>
      </c>
      <c r="M656" t="s">
        <v>46</v>
      </c>
      <c r="N656" t="s">
        <v>639</v>
      </c>
    </row>
    <row r="657" spans="1:17" ht="15" customHeight="1" x14ac:dyDescent="0.25">
      <c r="A657" t="s">
        <v>38</v>
      </c>
      <c r="B657" t="s">
        <v>623</v>
      </c>
      <c r="C657">
        <v>7</v>
      </c>
      <c r="D657" t="s">
        <v>40</v>
      </c>
      <c r="E657" t="s">
        <v>41</v>
      </c>
      <c r="F657" t="s">
        <v>198</v>
      </c>
      <c r="G657" t="s">
        <v>624</v>
      </c>
      <c r="H657" t="s">
        <v>640</v>
      </c>
      <c r="J657" t="s">
        <v>38</v>
      </c>
      <c r="K657" t="s">
        <v>45</v>
      </c>
      <c r="L657">
        <v>5680000</v>
      </c>
      <c r="M657" t="s">
        <v>46</v>
      </c>
      <c r="N657" t="s">
        <v>641</v>
      </c>
    </row>
    <row r="658" spans="1:17" ht="15" customHeight="1" x14ac:dyDescent="0.25">
      <c r="A658" t="s">
        <v>38</v>
      </c>
      <c r="B658" t="s">
        <v>623</v>
      </c>
      <c r="C658">
        <v>7</v>
      </c>
      <c r="D658" t="s">
        <v>40</v>
      </c>
      <c r="E658" t="s">
        <v>41</v>
      </c>
      <c r="F658" t="s">
        <v>198</v>
      </c>
      <c r="G658" t="s">
        <v>624</v>
      </c>
      <c r="H658" t="s">
        <v>642</v>
      </c>
      <c r="J658" t="s">
        <v>38</v>
      </c>
      <c r="K658" t="s">
        <v>45</v>
      </c>
      <c r="L658">
        <v>120000</v>
      </c>
      <c r="M658" t="s">
        <v>46</v>
      </c>
      <c r="N658" t="s">
        <v>643</v>
      </c>
    </row>
    <row r="659" spans="1:17" ht="15" customHeight="1" x14ac:dyDescent="0.25">
      <c r="A659" t="s">
        <v>38</v>
      </c>
      <c r="B659" t="s">
        <v>623</v>
      </c>
      <c r="C659">
        <v>7</v>
      </c>
      <c r="D659" t="s">
        <v>40</v>
      </c>
      <c r="E659" t="s">
        <v>41</v>
      </c>
      <c r="F659" t="s">
        <v>198</v>
      </c>
      <c r="G659" t="s">
        <v>624</v>
      </c>
      <c r="H659" t="s">
        <v>644</v>
      </c>
      <c r="J659" t="s">
        <v>38</v>
      </c>
      <c r="K659" t="s">
        <v>45</v>
      </c>
      <c r="L659">
        <v>120000</v>
      </c>
      <c r="M659" t="s">
        <v>46</v>
      </c>
      <c r="N659" t="s">
        <v>643</v>
      </c>
    </row>
    <row r="660" spans="1:17" ht="15" customHeight="1" x14ac:dyDescent="0.25">
      <c r="A660" t="s">
        <v>38</v>
      </c>
      <c r="B660" t="s">
        <v>623</v>
      </c>
      <c r="C660">
        <v>7</v>
      </c>
      <c r="D660" t="s">
        <v>40</v>
      </c>
      <c r="E660" t="s">
        <v>41</v>
      </c>
      <c r="F660" t="s">
        <v>198</v>
      </c>
      <c r="G660" t="s">
        <v>624</v>
      </c>
      <c r="H660" t="s">
        <v>645</v>
      </c>
      <c r="J660" t="s">
        <v>38</v>
      </c>
      <c r="K660" t="s">
        <v>45</v>
      </c>
      <c r="L660">
        <v>1590000</v>
      </c>
      <c r="M660" t="s">
        <v>46</v>
      </c>
      <c r="N660" t="s">
        <v>646</v>
      </c>
    </row>
    <row r="661" spans="1:17" ht="15" customHeight="1" x14ac:dyDescent="0.25">
      <c r="A661" t="s">
        <v>38</v>
      </c>
      <c r="B661" t="s">
        <v>623</v>
      </c>
      <c r="C661">
        <v>7</v>
      </c>
      <c r="D661" t="s">
        <v>40</v>
      </c>
      <c r="E661" t="s">
        <v>41</v>
      </c>
      <c r="F661" t="s">
        <v>198</v>
      </c>
      <c r="G661" t="s">
        <v>624</v>
      </c>
      <c r="H661" t="s">
        <v>647</v>
      </c>
      <c r="J661" t="s">
        <v>38</v>
      </c>
      <c r="K661" t="s">
        <v>45</v>
      </c>
      <c r="L661">
        <v>4710000</v>
      </c>
      <c r="M661" t="s">
        <v>46</v>
      </c>
      <c r="N661" t="s">
        <v>648</v>
      </c>
    </row>
    <row r="662" spans="1:17" ht="15" customHeight="1" x14ac:dyDescent="0.25">
      <c r="A662" t="s">
        <v>38</v>
      </c>
      <c r="B662" t="s">
        <v>623</v>
      </c>
      <c r="C662">
        <v>7</v>
      </c>
      <c r="D662" t="s">
        <v>40</v>
      </c>
      <c r="E662" t="s">
        <v>41</v>
      </c>
      <c r="F662" t="s">
        <v>209</v>
      </c>
      <c r="G662" t="s">
        <v>624</v>
      </c>
      <c r="H662" t="s">
        <v>649</v>
      </c>
      <c r="J662" t="s">
        <v>38</v>
      </c>
      <c r="K662" t="s">
        <v>45</v>
      </c>
      <c r="L662">
        <v>38600000</v>
      </c>
      <c r="M662" t="s">
        <v>210</v>
      </c>
      <c r="N662" t="s">
        <v>650</v>
      </c>
      <c r="Q662" t="s">
        <v>651</v>
      </c>
    </row>
    <row r="663" spans="1:17" ht="15" customHeight="1" x14ac:dyDescent="0.25">
      <c r="A663" t="s">
        <v>38</v>
      </c>
      <c r="B663" t="s">
        <v>623</v>
      </c>
      <c r="C663">
        <v>7</v>
      </c>
      <c r="D663" t="s">
        <v>40</v>
      </c>
      <c r="E663" t="s">
        <v>41</v>
      </c>
      <c r="F663" t="s">
        <v>209</v>
      </c>
      <c r="G663" t="s">
        <v>199</v>
      </c>
      <c r="H663" t="s">
        <v>628</v>
      </c>
      <c r="J663" t="s">
        <v>38</v>
      </c>
      <c r="K663" t="s">
        <v>45</v>
      </c>
      <c r="L663">
        <v>709000000</v>
      </c>
      <c r="M663" t="s">
        <v>210</v>
      </c>
      <c r="N663" t="s">
        <v>652</v>
      </c>
    </row>
    <row r="664" spans="1:17" ht="15" customHeight="1" x14ac:dyDescent="0.25">
      <c r="A664" t="s">
        <v>38</v>
      </c>
      <c r="B664" t="s">
        <v>623</v>
      </c>
      <c r="C664">
        <v>7</v>
      </c>
      <c r="D664" t="s">
        <v>40</v>
      </c>
      <c r="E664" t="s">
        <v>41</v>
      </c>
      <c r="F664" t="s">
        <v>209</v>
      </c>
      <c r="G664" t="s">
        <v>199</v>
      </c>
      <c r="H664" t="s">
        <v>630</v>
      </c>
      <c r="J664" t="s">
        <v>38</v>
      </c>
      <c r="K664" t="s">
        <v>45</v>
      </c>
      <c r="L664">
        <v>2800000000</v>
      </c>
      <c r="M664" t="s">
        <v>210</v>
      </c>
      <c r="N664" t="s">
        <v>653</v>
      </c>
    </row>
    <row r="665" spans="1:17" ht="15" customHeight="1" x14ac:dyDescent="0.25">
      <c r="A665" t="s">
        <v>38</v>
      </c>
      <c r="B665" t="s">
        <v>623</v>
      </c>
      <c r="C665">
        <v>7</v>
      </c>
      <c r="D665" t="s">
        <v>40</v>
      </c>
      <c r="E665" t="s">
        <v>41</v>
      </c>
      <c r="F665" t="s">
        <v>209</v>
      </c>
      <c r="G665" t="s">
        <v>624</v>
      </c>
      <c r="H665" t="s">
        <v>632</v>
      </c>
      <c r="J665" t="s">
        <v>38</v>
      </c>
      <c r="K665" t="s">
        <v>45</v>
      </c>
      <c r="L665">
        <v>139700000</v>
      </c>
      <c r="M665" t="s">
        <v>210</v>
      </c>
      <c r="N665" t="s">
        <v>654</v>
      </c>
    </row>
    <row r="666" spans="1:17" ht="15" customHeight="1" x14ac:dyDescent="0.25">
      <c r="A666" t="s">
        <v>38</v>
      </c>
      <c r="B666" t="s">
        <v>623</v>
      </c>
      <c r="C666">
        <v>7</v>
      </c>
      <c r="D666" t="s">
        <v>40</v>
      </c>
      <c r="E666" t="s">
        <v>41</v>
      </c>
      <c r="F666" t="s">
        <v>209</v>
      </c>
      <c r="G666" t="s">
        <v>624</v>
      </c>
      <c r="H666" t="s">
        <v>634</v>
      </c>
      <c r="J666" t="s">
        <v>38</v>
      </c>
      <c r="K666" t="s">
        <v>45</v>
      </c>
      <c r="L666">
        <v>126400000</v>
      </c>
      <c r="M666" t="s">
        <v>210</v>
      </c>
      <c r="N666" t="s">
        <v>655</v>
      </c>
    </row>
    <row r="667" spans="1:17" ht="15" customHeight="1" x14ac:dyDescent="0.25">
      <c r="A667" t="s">
        <v>38</v>
      </c>
      <c r="B667" t="s">
        <v>623</v>
      </c>
      <c r="C667">
        <v>7</v>
      </c>
      <c r="D667" t="s">
        <v>40</v>
      </c>
      <c r="E667" t="s">
        <v>41</v>
      </c>
      <c r="F667" t="s">
        <v>209</v>
      </c>
      <c r="G667" t="s">
        <v>624</v>
      </c>
      <c r="H667" t="s">
        <v>636</v>
      </c>
      <c r="J667" t="s">
        <v>38</v>
      </c>
      <c r="K667" t="s">
        <v>45</v>
      </c>
      <c r="L667">
        <v>39200000</v>
      </c>
      <c r="M667" t="s">
        <v>210</v>
      </c>
      <c r="N667" t="s">
        <v>656</v>
      </c>
    </row>
    <row r="668" spans="1:17" ht="15" customHeight="1" x14ac:dyDescent="0.25">
      <c r="A668" t="s">
        <v>38</v>
      </c>
      <c r="B668" t="s">
        <v>623</v>
      </c>
      <c r="C668">
        <v>7</v>
      </c>
      <c r="D668" t="s">
        <v>40</v>
      </c>
      <c r="E668" t="s">
        <v>41</v>
      </c>
      <c r="F668" t="s">
        <v>209</v>
      </c>
      <c r="G668" t="s">
        <v>624</v>
      </c>
      <c r="H668" t="s">
        <v>638</v>
      </c>
      <c r="J668" t="s">
        <v>38</v>
      </c>
      <c r="K668" t="s">
        <v>45</v>
      </c>
      <c r="L668">
        <v>2146400000</v>
      </c>
      <c r="M668" t="s">
        <v>210</v>
      </c>
      <c r="N668" t="s">
        <v>657</v>
      </c>
    </row>
    <row r="669" spans="1:17" ht="15" customHeight="1" x14ac:dyDescent="0.25">
      <c r="A669" t="s">
        <v>38</v>
      </c>
      <c r="B669" t="s">
        <v>623</v>
      </c>
      <c r="C669">
        <v>7</v>
      </c>
      <c r="D669" t="s">
        <v>40</v>
      </c>
      <c r="E669" t="s">
        <v>41</v>
      </c>
      <c r="F669" t="s">
        <v>209</v>
      </c>
      <c r="G669" t="s">
        <v>624</v>
      </c>
      <c r="H669" t="s">
        <v>640</v>
      </c>
      <c r="J669" t="s">
        <v>38</v>
      </c>
      <c r="K669" t="s">
        <v>45</v>
      </c>
      <c r="L669">
        <v>90600000</v>
      </c>
      <c r="M669" t="s">
        <v>210</v>
      </c>
      <c r="N669" t="s">
        <v>658</v>
      </c>
    </row>
    <row r="670" spans="1:17" ht="15" customHeight="1" x14ac:dyDescent="0.25">
      <c r="A670" t="s">
        <v>38</v>
      </c>
      <c r="B670" t="s">
        <v>623</v>
      </c>
      <c r="C670">
        <v>7</v>
      </c>
      <c r="D670" t="s">
        <v>40</v>
      </c>
      <c r="E670" t="s">
        <v>41</v>
      </c>
      <c r="F670" t="s">
        <v>209</v>
      </c>
      <c r="G670" t="s">
        <v>624</v>
      </c>
      <c r="H670" t="s">
        <v>642</v>
      </c>
      <c r="J670" t="s">
        <v>38</v>
      </c>
      <c r="K670" t="s">
        <v>45</v>
      </c>
      <c r="L670">
        <v>35300000</v>
      </c>
      <c r="M670" t="s">
        <v>210</v>
      </c>
      <c r="N670" t="s">
        <v>659</v>
      </c>
    </row>
    <row r="671" spans="1:17" ht="15" customHeight="1" x14ac:dyDescent="0.25">
      <c r="A671" t="s">
        <v>38</v>
      </c>
      <c r="B671" t="s">
        <v>623</v>
      </c>
      <c r="C671">
        <v>7</v>
      </c>
      <c r="D671" t="s">
        <v>40</v>
      </c>
      <c r="E671" t="s">
        <v>41</v>
      </c>
      <c r="F671" t="s">
        <v>209</v>
      </c>
      <c r="G671" t="s">
        <v>624</v>
      </c>
      <c r="H671" t="s">
        <v>644</v>
      </c>
      <c r="J671" t="s">
        <v>38</v>
      </c>
      <c r="K671" t="s">
        <v>45</v>
      </c>
      <c r="L671">
        <v>20900000</v>
      </c>
      <c r="M671" t="s">
        <v>210</v>
      </c>
      <c r="N671" t="s">
        <v>660</v>
      </c>
    </row>
    <row r="672" spans="1:17" ht="15" customHeight="1" x14ac:dyDescent="0.25">
      <c r="A672" t="s">
        <v>38</v>
      </c>
      <c r="B672" t="s">
        <v>623</v>
      </c>
      <c r="C672">
        <v>7</v>
      </c>
      <c r="D672" t="s">
        <v>40</v>
      </c>
      <c r="E672" t="s">
        <v>41</v>
      </c>
      <c r="F672" t="s">
        <v>209</v>
      </c>
      <c r="G672" t="s">
        <v>624</v>
      </c>
      <c r="H672" t="s">
        <v>645</v>
      </c>
      <c r="J672" t="s">
        <v>38</v>
      </c>
      <c r="K672" t="s">
        <v>45</v>
      </c>
      <c r="L672">
        <v>635400000</v>
      </c>
      <c r="M672" t="s">
        <v>210</v>
      </c>
      <c r="N672" t="s">
        <v>661</v>
      </c>
    </row>
    <row r="673" spans="1:17" ht="15" customHeight="1" x14ac:dyDescent="0.25">
      <c r="A673" t="s">
        <v>38</v>
      </c>
      <c r="B673" t="s">
        <v>623</v>
      </c>
      <c r="C673">
        <v>7</v>
      </c>
      <c r="D673" t="s">
        <v>40</v>
      </c>
      <c r="E673" t="s">
        <v>41</v>
      </c>
      <c r="F673" t="s">
        <v>209</v>
      </c>
      <c r="G673" t="s">
        <v>624</v>
      </c>
      <c r="H673" t="s">
        <v>647</v>
      </c>
      <c r="J673" t="s">
        <v>38</v>
      </c>
      <c r="K673" t="s">
        <v>45</v>
      </c>
      <c r="L673">
        <v>222200000</v>
      </c>
      <c r="M673" t="s">
        <v>210</v>
      </c>
      <c r="N673" t="s">
        <v>662</v>
      </c>
    </row>
    <row r="674" spans="1:17" ht="15" customHeight="1" x14ac:dyDescent="0.25">
      <c r="A674" t="s">
        <v>38</v>
      </c>
      <c r="B674" t="s">
        <v>623</v>
      </c>
      <c r="C674">
        <v>7</v>
      </c>
      <c r="D674" t="s">
        <v>74</v>
      </c>
      <c r="E674" t="s">
        <v>75</v>
      </c>
      <c r="F674" t="s">
        <v>198</v>
      </c>
      <c r="G674" t="s">
        <v>199</v>
      </c>
      <c r="J674" t="s">
        <v>76</v>
      </c>
      <c r="K674" t="s">
        <v>77</v>
      </c>
      <c r="L674">
        <v>15550000</v>
      </c>
      <c r="M674" t="s">
        <v>46</v>
      </c>
      <c r="N674" t="s">
        <v>663</v>
      </c>
      <c r="O674" t="s">
        <v>79</v>
      </c>
      <c r="P674" t="s">
        <v>80</v>
      </c>
      <c r="Q674" t="s">
        <v>81</v>
      </c>
    </row>
    <row r="675" spans="1:17" ht="15" customHeight="1" x14ac:dyDescent="0.25">
      <c r="A675" t="s">
        <v>38</v>
      </c>
      <c r="B675" t="s">
        <v>623</v>
      </c>
      <c r="C675">
        <v>7</v>
      </c>
      <c r="D675" t="s">
        <v>74</v>
      </c>
      <c r="E675" t="s">
        <v>75</v>
      </c>
      <c r="F675" t="s">
        <v>198</v>
      </c>
      <c r="G675" t="s">
        <v>199</v>
      </c>
      <c r="J675" t="s">
        <v>82</v>
      </c>
      <c r="K675" t="s">
        <v>77</v>
      </c>
      <c r="L675">
        <v>15480000</v>
      </c>
      <c r="M675" t="s">
        <v>46</v>
      </c>
      <c r="N675" t="s">
        <v>664</v>
      </c>
      <c r="O675" t="s">
        <v>79</v>
      </c>
      <c r="P675" t="s">
        <v>80</v>
      </c>
      <c r="Q675" t="s">
        <v>84</v>
      </c>
    </row>
    <row r="676" spans="1:17" ht="15" customHeight="1" x14ac:dyDescent="0.25">
      <c r="A676" t="s">
        <v>38</v>
      </c>
      <c r="B676" t="s">
        <v>623</v>
      </c>
      <c r="C676">
        <v>7</v>
      </c>
      <c r="D676" t="s">
        <v>74</v>
      </c>
      <c r="E676" t="s">
        <v>75</v>
      </c>
      <c r="F676" t="s">
        <v>42</v>
      </c>
      <c r="G676" t="s">
        <v>43</v>
      </c>
      <c r="J676" t="s">
        <v>76</v>
      </c>
      <c r="K676" t="s">
        <v>77</v>
      </c>
      <c r="L676">
        <v>4220000</v>
      </c>
      <c r="M676" t="s">
        <v>46</v>
      </c>
      <c r="N676" t="s">
        <v>665</v>
      </c>
      <c r="O676" t="s">
        <v>79</v>
      </c>
      <c r="P676" t="s">
        <v>80</v>
      </c>
      <c r="Q676" t="s">
        <v>81</v>
      </c>
    </row>
    <row r="677" spans="1:17" ht="15" customHeight="1" x14ac:dyDescent="0.25">
      <c r="A677" t="s">
        <v>38</v>
      </c>
      <c r="B677" t="s">
        <v>623</v>
      </c>
      <c r="C677">
        <v>7</v>
      </c>
      <c r="D677" t="s">
        <v>74</v>
      </c>
      <c r="E677" t="s">
        <v>75</v>
      </c>
      <c r="F677" t="s">
        <v>42</v>
      </c>
      <c r="G677" t="s">
        <v>43</v>
      </c>
      <c r="J677" t="s">
        <v>82</v>
      </c>
      <c r="K677" t="s">
        <v>77</v>
      </c>
      <c r="L677">
        <v>4310000</v>
      </c>
      <c r="M677" t="s">
        <v>46</v>
      </c>
      <c r="N677" t="s">
        <v>666</v>
      </c>
      <c r="O677" t="s">
        <v>79</v>
      </c>
      <c r="P677" t="s">
        <v>80</v>
      </c>
      <c r="Q677" t="s">
        <v>84</v>
      </c>
    </row>
    <row r="678" spans="1:17" ht="15" customHeight="1" x14ac:dyDescent="0.25">
      <c r="A678" t="s">
        <v>38</v>
      </c>
      <c r="B678" t="s">
        <v>623</v>
      </c>
      <c r="C678">
        <v>7</v>
      </c>
      <c r="D678" t="s">
        <v>74</v>
      </c>
      <c r="E678" t="s">
        <v>75</v>
      </c>
      <c r="F678" t="s">
        <v>209</v>
      </c>
      <c r="G678" t="s">
        <v>199</v>
      </c>
      <c r="J678" t="s">
        <v>76</v>
      </c>
      <c r="K678" t="s">
        <v>77</v>
      </c>
      <c r="L678">
        <v>3130000000</v>
      </c>
      <c r="M678" t="s">
        <v>210</v>
      </c>
      <c r="N678" t="s">
        <v>667</v>
      </c>
      <c r="O678" t="s">
        <v>79</v>
      </c>
      <c r="P678" t="s">
        <v>80</v>
      </c>
      <c r="Q678" t="s">
        <v>81</v>
      </c>
    </row>
    <row r="679" spans="1:17" ht="15" customHeight="1" x14ac:dyDescent="0.25">
      <c r="A679" t="s">
        <v>38</v>
      </c>
      <c r="B679" t="s">
        <v>623</v>
      </c>
      <c r="C679">
        <v>7</v>
      </c>
      <c r="D679" t="s">
        <v>74</v>
      </c>
      <c r="E679" t="s">
        <v>75</v>
      </c>
      <c r="F679" t="s">
        <v>209</v>
      </c>
      <c r="G679" t="s">
        <v>199</v>
      </c>
      <c r="J679" t="s">
        <v>82</v>
      </c>
      <c r="K679" t="s">
        <v>77</v>
      </c>
      <c r="L679">
        <v>3120000000</v>
      </c>
      <c r="M679" t="s">
        <v>210</v>
      </c>
      <c r="N679" t="s">
        <v>668</v>
      </c>
      <c r="O679" t="s">
        <v>79</v>
      </c>
      <c r="P679" t="s">
        <v>80</v>
      </c>
      <c r="Q679" t="s">
        <v>84</v>
      </c>
    </row>
    <row r="680" spans="1:17" ht="15" customHeight="1" x14ac:dyDescent="0.25">
      <c r="A680" t="s">
        <v>38</v>
      </c>
      <c r="B680" t="s">
        <v>623</v>
      </c>
      <c r="C680">
        <v>7</v>
      </c>
      <c r="D680" t="s">
        <v>85</v>
      </c>
      <c r="E680" t="s">
        <v>86</v>
      </c>
      <c r="F680" t="s">
        <v>198</v>
      </c>
      <c r="G680" t="s">
        <v>199</v>
      </c>
      <c r="J680" t="s">
        <v>38</v>
      </c>
      <c r="K680" t="s">
        <v>45</v>
      </c>
      <c r="L680">
        <v>17430000</v>
      </c>
      <c r="M680" t="s">
        <v>46</v>
      </c>
      <c r="N680" t="s">
        <v>669</v>
      </c>
    </row>
    <row r="681" spans="1:17" ht="15" customHeight="1" x14ac:dyDescent="0.25">
      <c r="A681" t="s">
        <v>38</v>
      </c>
      <c r="B681" t="s">
        <v>623</v>
      </c>
      <c r="C681">
        <v>7</v>
      </c>
      <c r="D681" t="s">
        <v>85</v>
      </c>
      <c r="E681" t="s">
        <v>86</v>
      </c>
      <c r="F681" t="s">
        <v>42</v>
      </c>
      <c r="G681" t="s">
        <v>43</v>
      </c>
      <c r="J681" t="s">
        <v>38</v>
      </c>
      <c r="K681" t="s">
        <v>45</v>
      </c>
      <c r="L681">
        <v>4430000</v>
      </c>
      <c r="M681" t="s">
        <v>46</v>
      </c>
      <c r="N681" t="s">
        <v>670</v>
      </c>
    </row>
    <row r="682" spans="1:17" ht="15" customHeight="1" x14ac:dyDescent="0.25">
      <c r="A682" t="s">
        <v>38</v>
      </c>
      <c r="B682" t="s">
        <v>623</v>
      </c>
      <c r="C682">
        <v>7</v>
      </c>
      <c r="D682" t="s">
        <v>85</v>
      </c>
      <c r="E682" t="s">
        <v>86</v>
      </c>
      <c r="F682" t="s">
        <v>209</v>
      </c>
      <c r="G682" t="s">
        <v>199</v>
      </c>
      <c r="J682" t="s">
        <v>38</v>
      </c>
      <c r="K682" t="s">
        <v>45</v>
      </c>
      <c r="L682">
        <v>3520000000</v>
      </c>
      <c r="M682" t="s">
        <v>210</v>
      </c>
      <c r="N682" t="s">
        <v>671</v>
      </c>
    </row>
    <row r="683" spans="1:17" ht="15" customHeight="1" x14ac:dyDescent="0.25">
      <c r="A683" t="s">
        <v>88</v>
      </c>
      <c r="B683" t="s">
        <v>623</v>
      </c>
      <c r="C683">
        <v>7</v>
      </c>
      <c r="D683" t="s">
        <v>40</v>
      </c>
      <c r="E683" t="s">
        <v>41</v>
      </c>
      <c r="F683" t="s">
        <v>198</v>
      </c>
      <c r="G683" t="s">
        <v>624</v>
      </c>
      <c r="H683" t="s">
        <v>625</v>
      </c>
      <c r="J683" t="s">
        <v>88</v>
      </c>
      <c r="K683" t="s">
        <v>45</v>
      </c>
      <c r="L683">
        <v>100000</v>
      </c>
      <c r="M683" t="s">
        <v>46</v>
      </c>
      <c r="N683" t="s">
        <v>672</v>
      </c>
      <c r="Q683" t="s">
        <v>627</v>
      </c>
    </row>
    <row r="684" spans="1:17" ht="15" customHeight="1" x14ac:dyDescent="0.25">
      <c r="A684" t="s">
        <v>88</v>
      </c>
      <c r="B684" t="s">
        <v>623</v>
      </c>
      <c r="C684">
        <v>7</v>
      </c>
      <c r="D684" t="s">
        <v>40</v>
      </c>
      <c r="E684" t="s">
        <v>41</v>
      </c>
      <c r="F684" t="s">
        <v>198</v>
      </c>
      <c r="G684" t="s">
        <v>199</v>
      </c>
      <c r="H684" t="s">
        <v>628</v>
      </c>
      <c r="J684" t="s">
        <v>88</v>
      </c>
      <c r="K684" t="s">
        <v>45</v>
      </c>
      <c r="L684">
        <v>3600000</v>
      </c>
      <c r="M684" t="s">
        <v>46</v>
      </c>
      <c r="N684" t="s">
        <v>673</v>
      </c>
    </row>
    <row r="685" spans="1:17" ht="15" customHeight="1" x14ac:dyDescent="0.25">
      <c r="A685" t="s">
        <v>88</v>
      </c>
      <c r="B685" t="s">
        <v>623</v>
      </c>
      <c r="C685">
        <v>7</v>
      </c>
      <c r="D685" t="s">
        <v>40</v>
      </c>
      <c r="E685" t="s">
        <v>41</v>
      </c>
      <c r="F685" t="s">
        <v>198</v>
      </c>
      <c r="G685" t="s">
        <v>199</v>
      </c>
      <c r="H685" t="s">
        <v>630</v>
      </c>
      <c r="J685" t="s">
        <v>88</v>
      </c>
      <c r="K685" t="s">
        <v>45</v>
      </c>
      <c r="L685">
        <v>14000000</v>
      </c>
      <c r="M685" t="s">
        <v>46</v>
      </c>
      <c r="N685" t="s">
        <v>674</v>
      </c>
    </row>
    <row r="686" spans="1:17" ht="15" customHeight="1" x14ac:dyDescent="0.25">
      <c r="A686" t="s">
        <v>88</v>
      </c>
      <c r="B686" t="s">
        <v>623</v>
      </c>
      <c r="C686">
        <v>7</v>
      </c>
      <c r="D686" t="s">
        <v>40</v>
      </c>
      <c r="E686" t="s">
        <v>41</v>
      </c>
      <c r="F686" t="s">
        <v>198</v>
      </c>
      <c r="G686" t="s">
        <v>624</v>
      </c>
      <c r="H686" t="s">
        <v>632</v>
      </c>
      <c r="J686" t="s">
        <v>88</v>
      </c>
      <c r="K686" t="s">
        <v>45</v>
      </c>
      <c r="L686">
        <v>290000</v>
      </c>
      <c r="M686" t="s">
        <v>46</v>
      </c>
      <c r="N686" t="s">
        <v>675</v>
      </c>
    </row>
    <row r="687" spans="1:17" ht="15" customHeight="1" x14ac:dyDescent="0.25">
      <c r="A687" t="s">
        <v>88</v>
      </c>
      <c r="B687" t="s">
        <v>623</v>
      </c>
      <c r="C687">
        <v>7</v>
      </c>
      <c r="D687" t="s">
        <v>40</v>
      </c>
      <c r="E687" t="s">
        <v>41</v>
      </c>
      <c r="F687" t="s">
        <v>198</v>
      </c>
      <c r="G687" t="s">
        <v>624</v>
      </c>
      <c r="H687" t="s">
        <v>634</v>
      </c>
      <c r="J687" t="s">
        <v>88</v>
      </c>
      <c r="K687" t="s">
        <v>45</v>
      </c>
      <c r="L687">
        <v>920000</v>
      </c>
      <c r="M687" t="s">
        <v>46</v>
      </c>
      <c r="N687" t="s">
        <v>676</v>
      </c>
    </row>
    <row r="688" spans="1:17" ht="15" customHeight="1" x14ac:dyDescent="0.25">
      <c r="A688" t="s">
        <v>88</v>
      </c>
      <c r="B688" t="s">
        <v>623</v>
      </c>
      <c r="C688">
        <v>7</v>
      </c>
      <c r="D688" t="s">
        <v>40</v>
      </c>
      <c r="E688" t="s">
        <v>41</v>
      </c>
      <c r="F688" t="s">
        <v>198</v>
      </c>
      <c r="G688" t="s">
        <v>624</v>
      </c>
      <c r="H688" t="s">
        <v>636</v>
      </c>
      <c r="J688" t="s">
        <v>88</v>
      </c>
      <c r="K688" t="s">
        <v>45</v>
      </c>
      <c r="L688">
        <v>80000</v>
      </c>
      <c r="M688" t="s">
        <v>46</v>
      </c>
      <c r="N688" t="s">
        <v>677</v>
      </c>
    </row>
    <row r="689" spans="1:17" ht="15" customHeight="1" x14ac:dyDescent="0.25">
      <c r="A689" t="s">
        <v>88</v>
      </c>
      <c r="B689" t="s">
        <v>623</v>
      </c>
      <c r="C689">
        <v>7</v>
      </c>
      <c r="D689" t="s">
        <v>40</v>
      </c>
      <c r="E689" t="s">
        <v>41</v>
      </c>
      <c r="F689" t="s">
        <v>198</v>
      </c>
      <c r="G689" t="s">
        <v>624</v>
      </c>
      <c r="H689" t="s">
        <v>638</v>
      </c>
      <c r="J689" t="s">
        <v>88</v>
      </c>
      <c r="K689" t="s">
        <v>45</v>
      </c>
      <c r="L689">
        <v>3370000</v>
      </c>
      <c r="M689" t="s">
        <v>46</v>
      </c>
      <c r="N689" t="s">
        <v>678</v>
      </c>
    </row>
    <row r="690" spans="1:17" ht="15" customHeight="1" x14ac:dyDescent="0.25">
      <c r="A690" t="s">
        <v>88</v>
      </c>
      <c r="B690" t="s">
        <v>623</v>
      </c>
      <c r="C690">
        <v>7</v>
      </c>
      <c r="D690" t="s">
        <v>40</v>
      </c>
      <c r="E690" t="s">
        <v>41</v>
      </c>
      <c r="F690" t="s">
        <v>198</v>
      </c>
      <c r="G690" t="s">
        <v>624</v>
      </c>
      <c r="H690" t="s">
        <v>640</v>
      </c>
      <c r="J690" t="s">
        <v>88</v>
      </c>
      <c r="K690" t="s">
        <v>45</v>
      </c>
      <c r="L690">
        <v>5740000</v>
      </c>
      <c r="M690" t="s">
        <v>46</v>
      </c>
      <c r="N690" t="s">
        <v>679</v>
      </c>
    </row>
    <row r="691" spans="1:17" ht="15" customHeight="1" x14ac:dyDescent="0.25">
      <c r="A691" t="s">
        <v>88</v>
      </c>
      <c r="B691" t="s">
        <v>623</v>
      </c>
      <c r="C691">
        <v>7</v>
      </c>
      <c r="D691" t="s">
        <v>40</v>
      </c>
      <c r="E691" t="s">
        <v>41</v>
      </c>
      <c r="F691" t="s">
        <v>198</v>
      </c>
      <c r="G691" t="s">
        <v>624</v>
      </c>
      <c r="H691" t="s">
        <v>642</v>
      </c>
      <c r="J691" t="s">
        <v>88</v>
      </c>
      <c r="K691" t="s">
        <v>45</v>
      </c>
      <c r="L691">
        <v>110000</v>
      </c>
      <c r="M691" t="s">
        <v>46</v>
      </c>
      <c r="N691" t="s">
        <v>680</v>
      </c>
    </row>
    <row r="692" spans="1:17" ht="15" customHeight="1" x14ac:dyDescent="0.25">
      <c r="A692" t="s">
        <v>88</v>
      </c>
      <c r="B692" t="s">
        <v>623</v>
      </c>
      <c r="C692">
        <v>7</v>
      </c>
      <c r="D692" t="s">
        <v>40</v>
      </c>
      <c r="E692" t="s">
        <v>41</v>
      </c>
      <c r="F692" t="s">
        <v>198</v>
      </c>
      <c r="G692" t="s">
        <v>624</v>
      </c>
      <c r="H692" t="s">
        <v>644</v>
      </c>
      <c r="J692" t="s">
        <v>88</v>
      </c>
      <c r="K692" t="s">
        <v>45</v>
      </c>
      <c r="L692">
        <v>130000</v>
      </c>
      <c r="M692" t="s">
        <v>46</v>
      </c>
      <c r="N692" t="s">
        <v>681</v>
      </c>
    </row>
    <row r="693" spans="1:17" ht="15" customHeight="1" x14ac:dyDescent="0.25">
      <c r="A693" t="s">
        <v>88</v>
      </c>
      <c r="B693" t="s">
        <v>623</v>
      </c>
      <c r="C693">
        <v>7</v>
      </c>
      <c r="D693" t="s">
        <v>40</v>
      </c>
      <c r="E693" t="s">
        <v>41</v>
      </c>
      <c r="F693" t="s">
        <v>198</v>
      </c>
      <c r="G693" t="s">
        <v>624</v>
      </c>
      <c r="H693" t="s">
        <v>645</v>
      </c>
      <c r="J693" t="s">
        <v>88</v>
      </c>
      <c r="K693" t="s">
        <v>45</v>
      </c>
      <c r="L693">
        <v>1580000</v>
      </c>
      <c r="M693" t="s">
        <v>46</v>
      </c>
      <c r="N693" t="s">
        <v>682</v>
      </c>
    </row>
    <row r="694" spans="1:17" ht="15" customHeight="1" x14ac:dyDescent="0.25">
      <c r="A694" t="s">
        <v>88</v>
      </c>
      <c r="B694" t="s">
        <v>623</v>
      </c>
      <c r="C694">
        <v>7</v>
      </c>
      <c r="D694" t="s">
        <v>40</v>
      </c>
      <c r="E694" t="s">
        <v>41</v>
      </c>
      <c r="F694" t="s">
        <v>198</v>
      </c>
      <c r="G694" t="s">
        <v>624</v>
      </c>
      <c r="H694" t="s">
        <v>647</v>
      </c>
      <c r="J694" t="s">
        <v>88</v>
      </c>
      <c r="K694" t="s">
        <v>45</v>
      </c>
      <c r="L694">
        <v>5040000</v>
      </c>
      <c r="M694" t="s">
        <v>46</v>
      </c>
      <c r="N694" t="s">
        <v>683</v>
      </c>
    </row>
    <row r="695" spans="1:17" ht="15" customHeight="1" x14ac:dyDescent="0.25">
      <c r="A695" t="s">
        <v>88</v>
      </c>
      <c r="B695" t="s">
        <v>623</v>
      </c>
      <c r="C695">
        <v>7</v>
      </c>
      <c r="D695" t="s">
        <v>40</v>
      </c>
      <c r="E695" t="s">
        <v>41</v>
      </c>
      <c r="F695" t="s">
        <v>209</v>
      </c>
      <c r="G695" t="s">
        <v>624</v>
      </c>
      <c r="H695" t="s">
        <v>649</v>
      </c>
      <c r="J695" t="s">
        <v>88</v>
      </c>
      <c r="K695" t="s">
        <v>45</v>
      </c>
      <c r="L695">
        <v>37700000</v>
      </c>
      <c r="M695" t="s">
        <v>210</v>
      </c>
      <c r="N695" t="s">
        <v>684</v>
      </c>
      <c r="Q695" t="s">
        <v>651</v>
      </c>
    </row>
    <row r="696" spans="1:17" ht="15" customHeight="1" x14ac:dyDescent="0.25">
      <c r="A696" t="s">
        <v>88</v>
      </c>
      <c r="B696" t="s">
        <v>623</v>
      </c>
      <c r="C696">
        <v>7</v>
      </c>
      <c r="D696" t="s">
        <v>40</v>
      </c>
      <c r="E696" t="s">
        <v>41</v>
      </c>
      <c r="F696" t="s">
        <v>209</v>
      </c>
      <c r="G696" t="s">
        <v>199</v>
      </c>
      <c r="H696" t="s">
        <v>628</v>
      </c>
      <c r="J696" t="s">
        <v>88</v>
      </c>
      <c r="K696" t="s">
        <v>45</v>
      </c>
      <c r="L696">
        <v>655000000</v>
      </c>
      <c r="M696" t="s">
        <v>210</v>
      </c>
      <c r="N696" t="s">
        <v>685</v>
      </c>
    </row>
    <row r="697" spans="1:17" ht="15" customHeight="1" x14ac:dyDescent="0.25">
      <c r="A697" t="s">
        <v>88</v>
      </c>
      <c r="B697" t="s">
        <v>623</v>
      </c>
      <c r="C697">
        <v>7</v>
      </c>
      <c r="D697" t="s">
        <v>40</v>
      </c>
      <c r="E697" t="s">
        <v>41</v>
      </c>
      <c r="F697" t="s">
        <v>209</v>
      </c>
      <c r="G697" t="s">
        <v>199</v>
      </c>
      <c r="H697" t="s">
        <v>630</v>
      </c>
      <c r="J697" t="s">
        <v>88</v>
      </c>
      <c r="K697" t="s">
        <v>45</v>
      </c>
      <c r="L697">
        <v>2800000000</v>
      </c>
      <c r="M697" t="s">
        <v>210</v>
      </c>
      <c r="N697" t="s">
        <v>653</v>
      </c>
    </row>
    <row r="698" spans="1:17" ht="15" customHeight="1" x14ac:dyDescent="0.25">
      <c r="A698" t="s">
        <v>88</v>
      </c>
      <c r="B698" t="s">
        <v>623</v>
      </c>
      <c r="C698">
        <v>7</v>
      </c>
      <c r="D698" t="s">
        <v>40</v>
      </c>
      <c r="E698" t="s">
        <v>41</v>
      </c>
      <c r="F698" t="s">
        <v>209</v>
      </c>
      <c r="G698" t="s">
        <v>624</v>
      </c>
      <c r="H698" t="s">
        <v>632</v>
      </c>
      <c r="J698" t="s">
        <v>88</v>
      </c>
      <c r="K698" t="s">
        <v>45</v>
      </c>
      <c r="L698">
        <v>92800000</v>
      </c>
      <c r="M698" t="s">
        <v>210</v>
      </c>
      <c r="N698" t="s">
        <v>686</v>
      </c>
    </row>
    <row r="699" spans="1:17" ht="15" customHeight="1" x14ac:dyDescent="0.25">
      <c r="A699" t="s">
        <v>88</v>
      </c>
      <c r="B699" t="s">
        <v>623</v>
      </c>
      <c r="C699">
        <v>7</v>
      </c>
      <c r="D699" t="s">
        <v>40</v>
      </c>
      <c r="E699" t="s">
        <v>41</v>
      </c>
      <c r="F699" t="s">
        <v>209</v>
      </c>
      <c r="G699" t="s">
        <v>624</v>
      </c>
      <c r="H699" t="s">
        <v>634</v>
      </c>
      <c r="J699" t="s">
        <v>88</v>
      </c>
      <c r="K699" t="s">
        <v>45</v>
      </c>
      <c r="L699">
        <v>135100000</v>
      </c>
      <c r="M699" t="s">
        <v>210</v>
      </c>
      <c r="N699" t="s">
        <v>687</v>
      </c>
    </row>
    <row r="700" spans="1:17" ht="15" customHeight="1" x14ac:dyDescent="0.25">
      <c r="A700" t="s">
        <v>88</v>
      </c>
      <c r="B700" t="s">
        <v>623</v>
      </c>
      <c r="C700">
        <v>7</v>
      </c>
      <c r="D700" t="s">
        <v>40</v>
      </c>
      <c r="E700" t="s">
        <v>41</v>
      </c>
      <c r="F700" t="s">
        <v>209</v>
      </c>
      <c r="G700" t="s">
        <v>624</v>
      </c>
      <c r="H700" t="s">
        <v>636</v>
      </c>
      <c r="J700" t="s">
        <v>88</v>
      </c>
      <c r="K700" t="s">
        <v>45</v>
      </c>
      <c r="L700">
        <v>45500000</v>
      </c>
      <c r="M700" t="s">
        <v>210</v>
      </c>
      <c r="N700" t="s">
        <v>688</v>
      </c>
    </row>
    <row r="701" spans="1:17" ht="15" customHeight="1" x14ac:dyDescent="0.25">
      <c r="A701" t="s">
        <v>88</v>
      </c>
      <c r="B701" t="s">
        <v>623</v>
      </c>
      <c r="C701">
        <v>7</v>
      </c>
      <c r="D701" t="s">
        <v>40</v>
      </c>
      <c r="E701" t="s">
        <v>41</v>
      </c>
      <c r="F701" t="s">
        <v>209</v>
      </c>
      <c r="G701" t="s">
        <v>624</v>
      </c>
      <c r="H701" t="s">
        <v>638</v>
      </c>
      <c r="J701" t="s">
        <v>88</v>
      </c>
      <c r="K701" t="s">
        <v>45</v>
      </c>
      <c r="L701">
        <v>2093100000</v>
      </c>
      <c r="M701" t="s">
        <v>210</v>
      </c>
      <c r="N701" t="s">
        <v>689</v>
      </c>
    </row>
    <row r="702" spans="1:17" ht="15" customHeight="1" x14ac:dyDescent="0.25">
      <c r="A702" t="s">
        <v>88</v>
      </c>
      <c r="B702" t="s">
        <v>623</v>
      </c>
      <c r="C702">
        <v>7</v>
      </c>
      <c r="D702" t="s">
        <v>40</v>
      </c>
      <c r="E702" t="s">
        <v>41</v>
      </c>
      <c r="F702" t="s">
        <v>209</v>
      </c>
      <c r="G702" t="s">
        <v>624</v>
      </c>
      <c r="H702" t="s">
        <v>640</v>
      </c>
      <c r="J702" t="s">
        <v>88</v>
      </c>
      <c r="K702" t="s">
        <v>45</v>
      </c>
      <c r="L702">
        <v>92500000</v>
      </c>
      <c r="M702" t="s">
        <v>210</v>
      </c>
      <c r="N702" t="s">
        <v>690</v>
      </c>
    </row>
    <row r="703" spans="1:17" ht="15" customHeight="1" x14ac:dyDescent="0.25">
      <c r="A703" t="s">
        <v>88</v>
      </c>
      <c r="B703" t="s">
        <v>623</v>
      </c>
      <c r="C703">
        <v>7</v>
      </c>
      <c r="D703" t="s">
        <v>40</v>
      </c>
      <c r="E703" t="s">
        <v>41</v>
      </c>
      <c r="F703" t="s">
        <v>209</v>
      </c>
      <c r="G703" t="s">
        <v>624</v>
      </c>
      <c r="H703" t="s">
        <v>642</v>
      </c>
      <c r="J703" t="s">
        <v>88</v>
      </c>
      <c r="K703" t="s">
        <v>45</v>
      </c>
      <c r="L703">
        <v>38900000</v>
      </c>
      <c r="M703" t="s">
        <v>210</v>
      </c>
      <c r="N703" t="s">
        <v>691</v>
      </c>
    </row>
    <row r="704" spans="1:17" ht="15" customHeight="1" x14ac:dyDescent="0.25">
      <c r="A704" t="s">
        <v>88</v>
      </c>
      <c r="B704" t="s">
        <v>623</v>
      </c>
      <c r="C704">
        <v>7</v>
      </c>
      <c r="D704" t="s">
        <v>40</v>
      </c>
      <c r="E704" t="s">
        <v>41</v>
      </c>
      <c r="F704" t="s">
        <v>209</v>
      </c>
      <c r="G704" t="s">
        <v>624</v>
      </c>
      <c r="H704" t="s">
        <v>644</v>
      </c>
      <c r="J704" t="s">
        <v>88</v>
      </c>
      <c r="K704" t="s">
        <v>45</v>
      </c>
      <c r="L704">
        <v>16200000</v>
      </c>
      <c r="M704" t="s">
        <v>210</v>
      </c>
      <c r="N704" t="s">
        <v>692</v>
      </c>
    </row>
    <row r="705" spans="1:17" ht="15" customHeight="1" x14ac:dyDescent="0.25">
      <c r="A705" t="s">
        <v>88</v>
      </c>
      <c r="B705" t="s">
        <v>623</v>
      </c>
      <c r="C705">
        <v>7</v>
      </c>
      <c r="D705" t="s">
        <v>40</v>
      </c>
      <c r="E705" t="s">
        <v>41</v>
      </c>
      <c r="F705" t="s">
        <v>209</v>
      </c>
      <c r="G705" t="s">
        <v>624</v>
      </c>
      <c r="H705" t="s">
        <v>645</v>
      </c>
      <c r="J705" t="s">
        <v>88</v>
      </c>
      <c r="K705" t="s">
        <v>45</v>
      </c>
      <c r="L705">
        <v>646900000</v>
      </c>
      <c r="M705" t="s">
        <v>210</v>
      </c>
      <c r="N705" t="s">
        <v>693</v>
      </c>
    </row>
    <row r="706" spans="1:17" ht="15" customHeight="1" x14ac:dyDescent="0.25">
      <c r="A706" t="s">
        <v>88</v>
      </c>
      <c r="B706" t="s">
        <v>623</v>
      </c>
      <c r="C706">
        <v>7</v>
      </c>
      <c r="D706" t="s">
        <v>40</v>
      </c>
      <c r="E706" t="s">
        <v>41</v>
      </c>
      <c r="F706" t="s">
        <v>209</v>
      </c>
      <c r="G706" t="s">
        <v>624</v>
      </c>
      <c r="H706" t="s">
        <v>647</v>
      </c>
      <c r="J706" t="s">
        <v>88</v>
      </c>
      <c r="K706" t="s">
        <v>45</v>
      </c>
      <c r="L706">
        <v>201600000</v>
      </c>
      <c r="M706" t="s">
        <v>210</v>
      </c>
      <c r="N706" t="s">
        <v>694</v>
      </c>
    </row>
    <row r="707" spans="1:17" ht="15" customHeight="1" x14ac:dyDescent="0.25">
      <c r="A707" t="s">
        <v>88</v>
      </c>
      <c r="B707" t="s">
        <v>623</v>
      </c>
      <c r="C707">
        <v>7</v>
      </c>
      <c r="D707" t="s">
        <v>74</v>
      </c>
      <c r="E707" t="s">
        <v>75</v>
      </c>
      <c r="F707" t="s">
        <v>198</v>
      </c>
      <c r="G707" t="s">
        <v>199</v>
      </c>
      <c r="J707" t="s">
        <v>76</v>
      </c>
      <c r="K707" t="s">
        <v>77</v>
      </c>
      <c r="L707">
        <v>15550000</v>
      </c>
      <c r="M707" t="s">
        <v>46</v>
      </c>
      <c r="N707" t="s">
        <v>663</v>
      </c>
      <c r="O707" t="s">
        <v>79</v>
      </c>
      <c r="P707" t="s">
        <v>103</v>
      </c>
      <c r="Q707" t="s">
        <v>104</v>
      </c>
    </row>
    <row r="708" spans="1:17" ht="15" customHeight="1" x14ac:dyDescent="0.25">
      <c r="A708" t="s">
        <v>88</v>
      </c>
      <c r="B708" t="s">
        <v>623</v>
      </c>
      <c r="C708">
        <v>7</v>
      </c>
      <c r="D708" t="s">
        <v>74</v>
      </c>
      <c r="E708" t="s">
        <v>75</v>
      </c>
      <c r="F708" t="s">
        <v>198</v>
      </c>
      <c r="G708" t="s">
        <v>199</v>
      </c>
      <c r="J708" t="s">
        <v>82</v>
      </c>
      <c r="K708" t="s">
        <v>77</v>
      </c>
      <c r="L708">
        <v>15480000</v>
      </c>
      <c r="M708" t="s">
        <v>46</v>
      </c>
      <c r="N708" t="s">
        <v>664</v>
      </c>
      <c r="O708" t="s">
        <v>79</v>
      </c>
      <c r="P708" t="s">
        <v>103</v>
      </c>
      <c r="Q708" t="s">
        <v>105</v>
      </c>
    </row>
    <row r="709" spans="1:17" ht="15" customHeight="1" x14ac:dyDescent="0.25">
      <c r="A709" t="s">
        <v>88</v>
      </c>
      <c r="B709" t="s">
        <v>623</v>
      </c>
      <c r="C709">
        <v>7</v>
      </c>
      <c r="D709" t="s">
        <v>74</v>
      </c>
      <c r="E709" t="s">
        <v>75</v>
      </c>
      <c r="F709" t="s">
        <v>198</v>
      </c>
      <c r="G709" t="s">
        <v>199</v>
      </c>
      <c r="J709" t="s">
        <v>38</v>
      </c>
      <c r="K709" t="s">
        <v>77</v>
      </c>
      <c r="L709">
        <v>17430000</v>
      </c>
      <c r="M709" t="s">
        <v>46</v>
      </c>
      <c r="N709" t="s">
        <v>669</v>
      </c>
      <c r="O709" t="s">
        <v>79</v>
      </c>
      <c r="P709" t="s">
        <v>103</v>
      </c>
    </row>
    <row r="710" spans="1:17" ht="15" customHeight="1" x14ac:dyDescent="0.25">
      <c r="A710" t="s">
        <v>88</v>
      </c>
      <c r="B710" t="s">
        <v>623</v>
      </c>
      <c r="C710">
        <v>7</v>
      </c>
      <c r="D710" t="s">
        <v>74</v>
      </c>
      <c r="E710" t="s">
        <v>75</v>
      </c>
      <c r="F710" t="s">
        <v>42</v>
      </c>
      <c r="G710" t="s">
        <v>43</v>
      </c>
      <c r="J710" t="s">
        <v>76</v>
      </c>
      <c r="K710" t="s">
        <v>77</v>
      </c>
      <c r="L710">
        <v>4220000</v>
      </c>
      <c r="M710" t="s">
        <v>46</v>
      </c>
      <c r="N710" t="s">
        <v>665</v>
      </c>
      <c r="O710" t="s">
        <v>79</v>
      </c>
      <c r="P710" t="s">
        <v>103</v>
      </c>
      <c r="Q710" t="s">
        <v>104</v>
      </c>
    </row>
    <row r="711" spans="1:17" ht="15" customHeight="1" x14ac:dyDescent="0.25">
      <c r="A711" t="s">
        <v>88</v>
      </c>
      <c r="B711" t="s">
        <v>623</v>
      </c>
      <c r="C711">
        <v>7</v>
      </c>
      <c r="D711" t="s">
        <v>74</v>
      </c>
      <c r="E711" t="s">
        <v>75</v>
      </c>
      <c r="F711" t="s">
        <v>42</v>
      </c>
      <c r="G711" t="s">
        <v>43</v>
      </c>
      <c r="J711" t="s">
        <v>82</v>
      </c>
      <c r="K711" t="s">
        <v>77</v>
      </c>
      <c r="L711">
        <v>4310000</v>
      </c>
      <c r="M711" t="s">
        <v>46</v>
      </c>
      <c r="N711" t="s">
        <v>666</v>
      </c>
      <c r="O711" t="s">
        <v>79</v>
      </c>
      <c r="P711" t="s">
        <v>103</v>
      </c>
      <c r="Q711" t="s">
        <v>105</v>
      </c>
    </row>
    <row r="712" spans="1:17" ht="15" customHeight="1" x14ac:dyDescent="0.25">
      <c r="A712" t="s">
        <v>88</v>
      </c>
      <c r="B712" t="s">
        <v>623</v>
      </c>
      <c r="C712">
        <v>7</v>
      </c>
      <c r="D712" t="s">
        <v>74</v>
      </c>
      <c r="E712" t="s">
        <v>75</v>
      </c>
      <c r="F712" t="s">
        <v>42</v>
      </c>
      <c r="G712" t="s">
        <v>43</v>
      </c>
      <c r="J712" t="s">
        <v>38</v>
      </c>
      <c r="K712" t="s">
        <v>77</v>
      </c>
      <c r="L712">
        <v>4430000</v>
      </c>
      <c r="M712" t="s">
        <v>46</v>
      </c>
      <c r="N712" t="s">
        <v>670</v>
      </c>
      <c r="O712" t="s">
        <v>79</v>
      </c>
      <c r="P712" t="s">
        <v>103</v>
      </c>
    </row>
    <row r="713" spans="1:17" ht="15" customHeight="1" x14ac:dyDescent="0.25">
      <c r="A713" t="s">
        <v>88</v>
      </c>
      <c r="B713" t="s">
        <v>623</v>
      </c>
      <c r="C713">
        <v>7</v>
      </c>
      <c r="D713" t="s">
        <v>74</v>
      </c>
      <c r="E713" t="s">
        <v>75</v>
      </c>
      <c r="F713" t="s">
        <v>209</v>
      </c>
      <c r="G713" t="s">
        <v>199</v>
      </c>
      <c r="J713" t="s">
        <v>76</v>
      </c>
      <c r="K713" t="s">
        <v>77</v>
      </c>
      <c r="L713">
        <v>3130000000</v>
      </c>
      <c r="M713" t="s">
        <v>210</v>
      </c>
      <c r="N713" t="s">
        <v>667</v>
      </c>
      <c r="O713" t="s">
        <v>79</v>
      </c>
      <c r="P713" t="s">
        <v>103</v>
      </c>
      <c r="Q713" t="s">
        <v>104</v>
      </c>
    </row>
    <row r="714" spans="1:17" ht="15" customHeight="1" x14ac:dyDescent="0.25">
      <c r="A714" t="s">
        <v>88</v>
      </c>
      <c r="B714" t="s">
        <v>623</v>
      </c>
      <c r="C714">
        <v>7</v>
      </c>
      <c r="D714" t="s">
        <v>74</v>
      </c>
      <c r="E714" t="s">
        <v>75</v>
      </c>
      <c r="F714" t="s">
        <v>209</v>
      </c>
      <c r="G714" t="s">
        <v>199</v>
      </c>
      <c r="J714" t="s">
        <v>82</v>
      </c>
      <c r="K714" t="s">
        <v>77</v>
      </c>
      <c r="L714">
        <v>3120000000</v>
      </c>
      <c r="M714" t="s">
        <v>210</v>
      </c>
      <c r="N714" t="s">
        <v>668</v>
      </c>
      <c r="O714" t="s">
        <v>79</v>
      </c>
      <c r="P714" t="s">
        <v>103</v>
      </c>
      <c r="Q714" t="s">
        <v>105</v>
      </c>
    </row>
    <row r="715" spans="1:17" ht="15" customHeight="1" x14ac:dyDescent="0.25">
      <c r="A715" t="s">
        <v>88</v>
      </c>
      <c r="B715" t="s">
        <v>623</v>
      </c>
      <c r="C715">
        <v>7</v>
      </c>
      <c r="D715" t="s">
        <v>74</v>
      </c>
      <c r="E715" t="s">
        <v>75</v>
      </c>
      <c r="F715" t="s">
        <v>209</v>
      </c>
      <c r="G715" t="s">
        <v>199</v>
      </c>
      <c r="J715" t="s">
        <v>38</v>
      </c>
      <c r="K715" t="s">
        <v>77</v>
      </c>
      <c r="L715">
        <v>3520000000</v>
      </c>
      <c r="M715" t="s">
        <v>210</v>
      </c>
      <c r="N715" t="s">
        <v>671</v>
      </c>
      <c r="O715" t="s">
        <v>79</v>
      </c>
      <c r="P715" t="s">
        <v>103</v>
      </c>
    </row>
    <row r="716" spans="1:17" ht="15" customHeight="1" x14ac:dyDescent="0.25">
      <c r="A716" t="s">
        <v>88</v>
      </c>
      <c r="B716" t="s">
        <v>623</v>
      </c>
      <c r="C716">
        <v>7</v>
      </c>
      <c r="D716" t="s">
        <v>85</v>
      </c>
      <c r="E716" t="s">
        <v>86</v>
      </c>
      <c r="F716" t="s">
        <v>198</v>
      </c>
      <c r="G716" t="s">
        <v>199</v>
      </c>
      <c r="J716" t="s">
        <v>88</v>
      </c>
      <c r="K716" t="s">
        <v>45</v>
      </c>
      <c r="L716">
        <v>17610000</v>
      </c>
      <c r="M716" t="s">
        <v>46</v>
      </c>
      <c r="N716" t="s">
        <v>695</v>
      </c>
    </row>
    <row r="717" spans="1:17" ht="15" customHeight="1" x14ac:dyDescent="0.25">
      <c r="A717" t="s">
        <v>88</v>
      </c>
      <c r="B717" t="s">
        <v>623</v>
      </c>
      <c r="C717">
        <v>7</v>
      </c>
      <c r="D717" t="s">
        <v>85</v>
      </c>
      <c r="E717" t="s">
        <v>86</v>
      </c>
      <c r="F717" t="s">
        <v>42</v>
      </c>
      <c r="G717" t="s">
        <v>43</v>
      </c>
      <c r="J717" t="s">
        <v>88</v>
      </c>
      <c r="K717" t="s">
        <v>45</v>
      </c>
      <c r="L717">
        <v>4540000</v>
      </c>
      <c r="M717" t="s">
        <v>46</v>
      </c>
      <c r="N717" t="s">
        <v>696</v>
      </c>
    </row>
    <row r="718" spans="1:17" ht="15" customHeight="1" x14ac:dyDescent="0.25">
      <c r="A718" t="s">
        <v>88</v>
      </c>
      <c r="B718" t="s">
        <v>623</v>
      </c>
      <c r="C718">
        <v>7</v>
      </c>
      <c r="D718" t="s">
        <v>85</v>
      </c>
      <c r="E718" t="s">
        <v>86</v>
      </c>
      <c r="F718" t="s">
        <v>209</v>
      </c>
      <c r="G718" t="s">
        <v>199</v>
      </c>
      <c r="J718" t="s">
        <v>88</v>
      </c>
      <c r="K718" t="s">
        <v>45</v>
      </c>
      <c r="L718">
        <v>3420000000</v>
      </c>
      <c r="M718" t="s">
        <v>210</v>
      </c>
      <c r="N718" t="s">
        <v>220</v>
      </c>
    </row>
    <row r="719" spans="1:17" ht="15" customHeight="1" x14ac:dyDescent="0.25">
      <c r="A719" t="s">
        <v>107</v>
      </c>
      <c r="B719" t="s">
        <v>623</v>
      </c>
      <c r="C719">
        <v>7</v>
      </c>
      <c r="D719" t="s">
        <v>40</v>
      </c>
      <c r="E719" t="s">
        <v>41</v>
      </c>
      <c r="F719" t="s">
        <v>198</v>
      </c>
      <c r="G719" t="s">
        <v>624</v>
      </c>
      <c r="H719" t="s">
        <v>625</v>
      </c>
      <c r="J719" t="s">
        <v>107</v>
      </c>
      <c r="K719" t="s">
        <v>45</v>
      </c>
      <c r="L719">
        <v>150000</v>
      </c>
      <c r="M719" t="s">
        <v>46</v>
      </c>
      <c r="N719" t="s">
        <v>697</v>
      </c>
      <c r="Q719" t="s">
        <v>627</v>
      </c>
    </row>
    <row r="720" spans="1:17" ht="15" customHeight="1" x14ac:dyDescent="0.25">
      <c r="A720" t="s">
        <v>107</v>
      </c>
      <c r="B720" t="s">
        <v>623</v>
      </c>
      <c r="C720">
        <v>7</v>
      </c>
      <c r="D720" t="s">
        <v>40</v>
      </c>
      <c r="E720" t="s">
        <v>41</v>
      </c>
      <c r="F720" t="s">
        <v>198</v>
      </c>
      <c r="G720" t="s">
        <v>199</v>
      </c>
      <c r="H720" t="s">
        <v>628</v>
      </c>
      <c r="J720" t="s">
        <v>107</v>
      </c>
      <c r="K720" t="s">
        <v>45</v>
      </c>
      <c r="L720">
        <v>3300000</v>
      </c>
      <c r="M720" t="s">
        <v>46</v>
      </c>
      <c r="N720" t="s">
        <v>698</v>
      </c>
    </row>
    <row r="721" spans="1:17" ht="15" customHeight="1" x14ac:dyDescent="0.25">
      <c r="A721" t="s">
        <v>107</v>
      </c>
      <c r="B721" t="s">
        <v>623</v>
      </c>
      <c r="C721">
        <v>7</v>
      </c>
      <c r="D721" t="s">
        <v>40</v>
      </c>
      <c r="E721" t="s">
        <v>41</v>
      </c>
      <c r="F721" t="s">
        <v>198</v>
      </c>
      <c r="G721" t="s">
        <v>199</v>
      </c>
      <c r="H721" t="s">
        <v>630</v>
      </c>
      <c r="J721" t="s">
        <v>107</v>
      </c>
      <c r="K721" t="s">
        <v>45</v>
      </c>
      <c r="L721">
        <v>13800000</v>
      </c>
      <c r="M721" t="s">
        <v>46</v>
      </c>
      <c r="N721" t="s">
        <v>631</v>
      </c>
    </row>
    <row r="722" spans="1:17" ht="15" customHeight="1" x14ac:dyDescent="0.25">
      <c r="A722" t="s">
        <v>107</v>
      </c>
      <c r="B722" t="s">
        <v>623</v>
      </c>
      <c r="C722">
        <v>7</v>
      </c>
      <c r="D722" t="s">
        <v>40</v>
      </c>
      <c r="E722" t="s">
        <v>41</v>
      </c>
      <c r="F722" t="s">
        <v>198</v>
      </c>
      <c r="G722" t="s">
        <v>624</v>
      </c>
      <c r="H722" t="s">
        <v>632</v>
      </c>
      <c r="J722" t="s">
        <v>107</v>
      </c>
      <c r="K722" t="s">
        <v>45</v>
      </c>
      <c r="L722">
        <v>360000</v>
      </c>
      <c r="M722" t="s">
        <v>46</v>
      </c>
      <c r="N722" t="s">
        <v>406</v>
      </c>
    </row>
    <row r="723" spans="1:17" ht="15" customHeight="1" x14ac:dyDescent="0.25">
      <c r="A723" t="s">
        <v>107</v>
      </c>
      <c r="B723" t="s">
        <v>623</v>
      </c>
      <c r="C723">
        <v>7</v>
      </c>
      <c r="D723" t="s">
        <v>40</v>
      </c>
      <c r="E723" t="s">
        <v>41</v>
      </c>
      <c r="F723" t="s">
        <v>198</v>
      </c>
      <c r="G723" t="s">
        <v>624</v>
      </c>
      <c r="H723" t="s">
        <v>634</v>
      </c>
      <c r="J723" t="s">
        <v>107</v>
      </c>
      <c r="K723" t="s">
        <v>45</v>
      </c>
      <c r="L723">
        <v>870000</v>
      </c>
      <c r="M723" t="s">
        <v>46</v>
      </c>
      <c r="N723" t="s">
        <v>699</v>
      </c>
    </row>
    <row r="724" spans="1:17" ht="15" customHeight="1" x14ac:dyDescent="0.25">
      <c r="A724" t="s">
        <v>107</v>
      </c>
      <c r="B724" t="s">
        <v>623</v>
      </c>
      <c r="C724">
        <v>7</v>
      </c>
      <c r="D724" t="s">
        <v>40</v>
      </c>
      <c r="E724" t="s">
        <v>41</v>
      </c>
      <c r="F724" t="s">
        <v>198</v>
      </c>
      <c r="G724" t="s">
        <v>624</v>
      </c>
      <c r="H724" t="s">
        <v>636</v>
      </c>
      <c r="J724" t="s">
        <v>107</v>
      </c>
      <c r="K724" t="s">
        <v>45</v>
      </c>
      <c r="L724">
        <v>80000</v>
      </c>
      <c r="M724" t="s">
        <v>46</v>
      </c>
      <c r="N724" t="s">
        <v>677</v>
      </c>
    </row>
    <row r="725" spans="1:17" ht="15" customHeight="1" x14ac:dyDescent="0.25">
      <c r="A725" t="s">
        <v>107</v>
      </c>
      <c r="B725" t="s">
        <v>623</v>
      </c>
      <c r="C725">
        <v>7</v>
      </c>
      <c r="D725" t="s">
        <v>40</v>
      </c>
      <c r="E725" t="s">
        <v>41</v>
      </c>
      <c r="F725" t="s">
        <v>198</v>
      </c>
      <c r="G725" t="s">
        <v>624</v>
      </c>
      <c r="H725" t="s">
        <v>638</v>
      </c>
      <c r="J725" t="s">
        <v>107</v>
      </c>
      <c r="K725" t="s">
        <v>45</v>
      </c>
      <c r="L725">
        <v>3460000</v>
      </c>
      <c r="M725" t="s">
        <v>46</v>
      </c>
      <c r="N725" t="s">
        <v>639</v>
      </c>
    </row>
    <row r="726" spans="1:17" ht="15" customHeight="1" x14ac:dyDescent="0.25">
      <c r="A726" t="s">
        <v>107</v>
      </c>
      <c r="B726" t="s">
        <v>623</v>
      </c>
      <c r="C726">
        <v>7</v>
      </c>
      <c r="D726" t="s">
        <v>40</v>
      </c>
      <c r="E726" t="s">
        <v>41</v>
      </c>
      <c r="F726" t="s">
        <v>198</v>
      </c>
      <c r="G726" t="s">
        <v>624</v>
      </c>
      <c r="H726" t="s">
        <v>640</v>
      </c>
      <c r="J726" t="s">
        <v>107</v>
      </c>
      <c r="K726" t="s">
        <v>45</v>
      </c>
      <c r="L726">
        <v>5460000</v>
      </c>
      <c r="M726" t="s">
        <v>46</v>
      </c>
      <c r="N726" t="s">
        <v>700</v>
      </c>
    </row>
    <row r="727" spans="1:17" ht="15" customHeight="1" x14ac:dyDescent="0.25">
      <c r="A727" t="s">
        <v>107</v>
      </c>
      <c r="B727" t="s">
        <v>623</v>
      </c>
      <c r="C727">
        <v>7</v>
      </c>
      <c r="D727" t="s">
        <v>40</v>
      </c>
      <c r="E727" t="s">
        <v>41</v>
      </c>
      <c r="F727" t="s">
        <v>198</v>
      </c>
      <c r="G727" t="s">
        <v>624</v>
      </c>
      <c r="H727" t="s">
        <v>642</v>
      </c>
      <c r="J727" t="s">
        <v>107</v>
      </c>
      <c r="K727" t="s">
        <v>45</v>
      </c>
      <c r="L727">
        <v>100000</v>
      </c>
      <c r="M727" t="s">
        <v>46</v>
      </c>
      <c r="N727" t="s">
        <v>672</v>
      </c>
    </row>
    <row r="728" spans="1:17" ht="15" customHeight="1" x14ac:dyDescent="0.25">
      <c r="A728" t="s">
        <v>107</v>
      </c>
      <c r="B728" t="s">
        <v>623</v>
      </c>
      <c r="C728">
        <v>7</v>
      </c>
      <c r="D728" t="s">
        <v>40</v>
      </c>
      <c r="E728" t="s">
        <v>41</v>
      </c>
      <c r="F728" t="s">
        <v>198</v>
      </c>
      <c r="G728" t="s">
        <v>624</v>
      </c>
      <c r="H728" t="s">
        <v>644</v>
      </c>
      <c r="J728" t="s">
        <v>107</v>
      </c>
      <c r="K728" t="s">
        <v>45</v>
      </c>
      <c r="L728">
        <v>120000</v>
      </c>
      <c r="M728" t="s">
        <v>46</v>
      </c>
      <c r="N728" t="s">
        <v>643</v>
      </c>
    </row>
    <row r="729" spans="1:17" ht="15" customHeight="1" x14ac:dyDescent="0.25">
      <c r="A729" t="s">
        <v>107</v>
      </c>
      <c r="B729" t="s">
        <v>623</v>
      </c>
      <c r="C729">
        <v>7</v>
      </c>
      <c r="D729" t="s">
        <v>40</v>
      </c>
      <c r="E729" t="s">
        <v>41</v>
      </c>
      <c r="F729" t="s">
        <v>198</v>
      </c>
      <c r="G729" t="s">
        <v>624</v>
      </c>
      <c r="H729" t="s">
        <v>645</v>
      </c>
      <c r="J729" t="s">
        <v>107</v>
      </c>
      <c r="K729" t="s">
        <v>45</v>
      </c>
      <c r="L729">
        <v>1500000</v>
      </c>
      <c r="M729" t="s">
        <v>46</v>
      </c>
      <c r="N729" t="s">
        <v>67</v>
      </c>
    </row>
    <row r="730" spans="1:17" ht="15" customHeight="1" x14ac:dyDescent="0.25">
      <c r="A730" t="s">
        <v>107</v>
      </c>
      <c r="B730" t="s">
        <v>623</v>
      </c>
      <c r="C730">
        <v>7</v>
      </c>
      <c r="D730" t="s">
        <v>40</v>
      </c>
      <c r="E730" t="s">
        <v>41</v>
      </c>
      <c r="F730" t="s">
        <v>198</v>
      </c>
      <c r="G730" t="s">
        <v>624</v>
      </c>
      <c r="H730" t="s">
        <v>647</v>
      </c>
      <c r="J730" t="s">
        <v>107</v>
      </c>
      <c r="K730" t="s">
        <v>45</v>
      </c>
      <c r="L730">
        <v>4740000</v>
      </c>
      <c r="M730" t="s">
        <v>46</v>
      </c>
      <c r="N730" t="s">
        <v>701</v>
      </c>
    </row>
    <row r="731" spans="1:17" ht="15" customHeight="1" x14ac:dyDescent="0.25">
      <c r="A731" t="s">
        <v>107</v>
      </c>
      <c r="B731" t="s">
        <v>623</v>
      </c>
      <c r="C731">
        <v>7</v>
      </c>
      <c r="D731" t="s">
        <v>40</v>
      </c>
      <c r="E731" t="s">
        <v>41</v>
      </c>
      <c r="F731" t="s">
        <v>209</v>
      </c>
      <c r="G731" t="s">
        <v>624</v>
      </c>
      <c r="H731" t="s">
        <v>649</v>
      </c>
      <c r="J731" t="s">
        <v>107</v>
      </c>
      <c r="K731" t="s">
        <v>45</v>
      </c>
      <c r="L731">
        <v>36000000</v>
      </c>
      <c r="M731" t="s">
        <v>210</v>
      </c>
      <c r="N731" t="s">
        <v>702</v>
      </c>
      <c r="Q731" t="s">
        <v>651</v>
      </c>
    </row>
    <row r="732" spans="1:17" ht="15" customHeight="1" x14ac:dyDescent="0.25">
      <c r="A732" t="s">
        <v>107</v>
      </c>
      <c r="B732" t="s">
        <v>623</v>
      </c>
      <c r="C732">
        <v>7</v>
      </c>
      <c r="D732" t="s">
        <v>40</v>
      </c>
      <c r="E732" t="s">
        <v>41</v>
      </c>
      <c r="F732" t="s">
        <v>209</v>
      </c>
      <c r="G732" t="s">
        <v>199</v>
      </c>
      <c r="H732" t="s">
        <v>628</v>
      </c>
      <c r="J732" t="s">
        <v>107</v>
      </c>
      <c r="K732" t="s">
        <v>45</v>
      </c>
      <c r="L732">
        <v>772000000</v>
      </c>
      <c r="M732" t="s">
        <v>210</v>
      </c>
      <c r="N732" t="s">
        <v>703</v>
      </c>
    </row>
    <row r="733" spans="1:17" ht="15" customHeight="1" x14ac:dyDescent="0.25">
      <c r="A733" t="s">
        <v>107</v>
      </c>
      <c r="B733" t="s">
        <v>623</v>
      </c>
      <c r="C733">
        <v>7</v>
      </c>
      <c r="D733" t="s">
        <v>40</v>
      </c>
      <c r="E733" t="s">
        <v>41</v>
      </c>
      <c r="F733" t="s">
        <v>209</v>
      </c>
      <c r="G733" t="s">
        <v>199</v>
      </c>
      <c r="H733" t="s">
        <v>630</v>
      </c>
      <c r="J733" t="s">
        <v>107</v>
      </c>
      <c r="K733" t="s">
        <v>45</v>
      </c>
      <c r="L733">
        <v>2900000000</v>
      </c>
      <c r="M733" t="s">
        <v>210</v>
      </c>
      <c r="N733" t="s">
        <v>704</v>
      </c>
    </row>
    <row r="734" spans="1:17" ht="15" customHeight="1" x14ac:dyDescent="0.25">
      <c r="A734" t="s">
        <v>107</v>
      </c>
      <c r="B734" t="s">
        <v>623</v>
      </c>
      <c r="C734">
        <v>7</v>
      </c>
      <c r="D734" t="s">
        <v>40</v>
      </c>
      <c r="E734" t="s">
        <v>41</v>
      </c>
      <c r="F734" t="s">
        <v>209</v>
      </c>
      <c r="G734" t="s">
        <v>624</v>
      </c>
      <c r="H734" t="s">
        <v>632</v>
      </c>
      <c r="J734" t="s">
        <v>107</v>
      </c>
      <c r="K734" t="s">
        <v>45</v>
      </c>
      <c r="L734">
        <v>118200000</v>
      </c>
      <c r="M734" t="s">
        <v>210</v>
      </c>
      <c r="N734" t="s">
        <v>705</v>
      </c>
    </row>
    <row r="735" spans="1:17" ht="15" customHeight="1" x14ac:dyDescent="0.25">
      <c r="A735" t="s">
        <v>107</v>
      </c>
      <c r="B735" t="s">
        <v>623</v>
      </c>
      <c r="C735">
        <v>7</v>
      </c>
      <c r="D735" t="s">
        <v>40</v>
      </c>
      <c r="E735" t="s">
        <v>41</v>
      </c>
      <c r="F735" t="s">
        <v>209</v>
      </c>
      <c r="G735" t="s">
        <v>624</v>
      </c>
      <c r="H735" t="s">
        <v>634</v>
      </c>
      <c r="J735" t="s">
        <v>107</v>
      </c>
      <c r="K735" t="s">
        <v>45</v>
      </c>
      <c r="L735">
        <v>129100000</v>
      </c>
      <c r="M735" t="s">
        <v>210</v>
      </c>
      <c r="N735" t="s">
        <v>706</v>
      </c>
    </row>
    <row r="736" spans="1:17" ht="15" customHeight="1" x14ac:dyDescent="0.25">
      <c r="A736" t="s">
        <v>107</v>
      </c>
      <c r="B736" t="s">
        <v>623</v>
      </c>
      <c r="C736">
        <v>7</v>
      </c>
      <c r="D736" t="s">
        <v>40</v>
      </c>
      <c r="E736" t="s">
        <v>41</v>
      </c>
      <c r="F736" t="s">
        <v>209</v>
      </c>
      <c r="G736" t="s">
        <v>624</v>
      </c>
      <c r="H736" t="s">
        <v>636</v>
      </c>
      <c r="J736" t="s">
        <v>107</v>
      </c>
      <c r="K736" t="s">
        <v>45</v>
      </c>
      <c r="L736">
        <v>47600000</v>
      </c>
      <c r="M736" t="s">
        <v>210</v>
      </c>
      <c r="N736" t="s">
        <v>707</v>
      </c>
    </row>
    <row r="737" spans="1:17" ht="15" customHeight="1" x14ac:dyDescent="0.25">
      <c r="A737" t="s">
        <v>107</v>
      </c>
      <c r="B737" t="s">
        <v>623</v>
      </c>
      <c r="C737">
        <v>7</v>
      </c>
      <c r="D737" t="s">
        <v>40</v>
      </c>
      <c r="E737" t="s">
        <v>41</v>
      </c>
      <c r="F737" t="s">
        <v>209</v>
      </c>
      <c r="G737" t="s">
        <v>624</v>
      </c>
      <c r="H737" t="s">
        <v>638</v>
      </c>
      <c r="J737" t="s">
        <v>107</v>
      </c>
      <c r="K737" t="s">
        <v>45</v>
      </c>
      <c r="L737">
        <v>2200000000</v>
      </c>
      <c r="M737" t="s">
        <v>210</v>
      </c>
      <c r="N737" t="s">
        <v>708</v>
      </c>
    </row>
    <row r="738" spans="1:17" ht="15" customHeight="1" x14ac:dyDescent="0.25">
      <c r="A738" t="s">
        <v>107</v>
      </c>
      <c r="B738" t="s">
        <v>623</v>
      </c>
      <c r="C738">
        <v>7</v>
      </c>
      <c r="D738" t="s">
        <v>40</v>
      </c>
      <c r="E738" t="s">
        <v>41</v>
      </c>
      <c r="F738" t="s">
        <v>209</v>
      </c>
      <c r="G738" t="s">
        <v>624</v>
      </c>
      <c r="H738" t="s">
        <v>640</v>
      </c>
      <c r="J738" t="s">
        <v>107</v>
      </c>
      <c r="K738" t="s">
        <v>45</v>
      </c>
      <c r="L738">
        <v>90100000</v>
      </c>
      <c r="M738" t="s">
        <v>210</v>
      </c>
      <c r="N738" t="s">
        <v>709</v>
      </c>
    </row>
    <row r="739" spans="1:17" ht="15" customHeight="1" x14ac:dyDescent="0.25">
      <c r="A739" t="s">
        <v>107</v>
      </c>
      <c r="B739" t="s">
        <v>623</v>
      </c>
      <c r="C739">
        <v>7</v>
      </c>
      <c r="D739" t="s">
        <v>40</v>
      </c>
      <c r="E739" t="s">
        <v>41</v>
      </c>
      <c r="F739" t="s">
        <v>209</v>
      </c>
      <c r="G739" t="s">
        <v>624</v>
      </c>
      <c r="H739" t="s">
        <v>642</v>
      </c>
      <c r="J739" t="s">
        <v>107</v>
      </c>
      <c r="K739" t="s">
        <v>45</v>
      </c>
      <c r="L739">
        <v>34300000</v>
      </c>
      <c r="M739" t="s">
        <v>210</v>
      </c>
      <c r="N739" t="s">
        <v>710</v>
      </c>
    </row>
    <row r="740" spans="1:17" ht="15" customHeight="1" x14ac:dyDescent="0.25">
      <c r="A740" t="s">
        <v>107</v>
      </c>
      <c r="B740" t="s">
        <v>623</v>
      </c>
      <c r="C740">
        <v>7</v>
      </c>
      <c r="D740" t="s">
        <v>40</v>
      </c>
      <c r="E740" t="s">
        <v>41</v>
      </c>
      <c r="F740" t="s">
        <v>209</v>
      </c>
      <c r="G740" t="s">
        <v>624</v>
      </c>
      <c r="H740" t="s">
        <v>644</v>
      </c>
      <c r="J740" t="s">
        <v>107</v>
      </c>
      <c r="K740" t="s">
        <v>45</v>
      </c>
      <c r="L740">
        <v>15200000</v>
      </c>
      <c r="M740" t="s">
        <v>210</v>
      </c>
      <c r="N740" t="s">
        <v>711</v>
      </c>
    </row>
    <row r="741" spans="1:17" ht="15" customHeight="1" x14ac:dyDescent="0.25">
      <c r="A741" t="s">
        <v>107</v>
      </c>
      <c r="B741" t="s">
        <v>623</v>
      </c>
      <c r="C741">
        <v>7</v>
      </c>
      <c r="D741" t="s">
        <v>40</v>
      </c>
      <c r="E741" t="s">
        <v>41</v>
      </c>
      <c r="F741" t="s">
        <v>209</v>
      </c>
      <c r="G741" t="s">
        <v>624</v>
      </c>
      <c r="H741" t="s">
        <v>645</v>
      </c>
      <c r="J741" t="s">
        <v>107</v>
      </c>
      <c r="K741" t="s">
        <v>45</v>
      </c>
      <c r="L741">
        <v>735500000</v>
      </c>
      <c r="M741" t="s">
        <v>210</v>
      </c>
      <c r="N741" t="s">
        <v>712</v>
      </c>
    </row>
    <row r="742" spans="1:17" ht="15" customHeight="1" x14ac:dyDescent="0.25">
      <c r="A742" t="s">
        <v>107</v>
      </c>
      <c r="B742" t="s">
        <v>623</v>
      </c>
      <c r="C742">
        <v>7</v>
      </c>
      <c r="D742" t="s">
        <v>40</v>
      </c>
      <c r="E742" t="s">
        <v>41</v>
      </c>
      <c r="F742" t="s">
        <v>209</v>
      </c>
      <c r="G742" t="s">
        <v>624</v>
      </c>
      <c r="H742" t="s">
        <v>647</v>
      </c>
      <c r="J742" t="s">
        <v>107</v>
      </c>
      <c r="K742" t="s">
        <v>45</v>
      </c>
      <c r="L742">
        <v>203900000</v>
      </c>
      <c r="M742" t="s">
        <v>210</v>
      </c>
      <c r="N742" t="s">
        <v>713</v>
      </c>
    </row>
    <row r="743" spans="1:17" ht="15" customHeight="1" x14ac:dyDescent="0.25">
      <c r="A743" t="s">
        <v>107</v>
      </c>
      <c r="B743" t="s">
        <v>623</v>
      </c>
      <c r="C743">
        <v>7</v>
      </c>
      <c r="D743" t="s">
        <v>74</v>
      </c>
      <c r="E743" t="s">
        <v>75</v>
      </c>
      <c r="F743" t="s">
        <v>198</v>
      </c>
      <c r="G743" t="s">
        <v>199</v>
      </c>
      <c r="J743" t="s">
        <v>88</v>
      </c>
      <c r="K743" t="s">
        <v>77</v>
      </c>
      <c r="L743">
        <v>17610000</v>
      </c>
      <c r="M743" t="s">
        <v>46</v>
      </c>
      <c r="N743" t="s">
        <v>695</v>
      </c>
      <c r="O743" t="s">
        <v>79</v>
      </c>
      <c r="P743" t="s">
        <v>103</v>
      </c>
    </row>
    <row r="744" spans="1:17" ht="15" customHeight="1" x14ac:dyDescent="0.25">
      <c r="A744" t="s">
        <v>107</v>
      </c>
      <c r="B744" t="s">
        <v>623</v>
      </c>
      <c r="C744">
        <v>7</v>
      </c>
      <c r="D744" t="s">
        <v>74</v>
      </c>
      <c r="E744" t="s">
        <v>75</v>
      </c>
      <c r="F744" t="s">
        <v>42</v>
      </c>
      <c r="G744" t="s">
        <v>43</v>
      </c>
      <c r="J744" t="s">
        <v>88</v>
      </c>
      <c r="K744" t="s">
        <v>77</v>
      </c>
      <c r="L744">
        <v>4540000</v>
      </c>
      <c r="M744" t="s">
        <v>46</v>
      </c>
      <c r="N744" t="s">
        <v>696</v>
      </c>
      <c r="O744" t="s">
        <v>79</v>
      </c>
      <c r="P744" t="s">
        <v>103</v>
      </c>
    </row>
    <row r="745" spans="1:17" ht="15" customHeight="1" x14ac:dyDescent="0.25">
      <c r="A745" t="s">
        <v>107</v>
      </c>
      <c r="B745" t="s">
        <v>623</v>
      </c>
      <c r="C745">
        <v>7</v>
      </c>
      <c r="D745" t="s">
        <v>74</v>
      </c>
      <c r="E745" t="s">
        <v>75</v>
      </c>
      <c r="F745" t="s">
        <v>209</v>
      </c>
      <c r="G745" t="s">
        <v>199</v>
      </c>
      <c r="J745" t="s">
        <v>88</v>
      </c>
      <c r="K745" t="s">
        <v>77</v>
      </c>
      <c r="L745">
        <v>3420000000</v>
      </c>
      <c r="M745" t="s">
        <v>210</v>
      </c>
      <c r="N745" t="s">
        <v>220</v>
      </c>
      <c r="O745" t="s">
        <v>79</v>
      </c>
      <c r="P745" t="s">
        <v>103</v>
      </c>
    </row>
    <row r="746" spans="1:17" ht="15" customHeight="1" x14ac:dyDescent="0.25">
      <c r="A746" t="s">
        <v>107</v>
      </c>
      <c r="B746" t="s">
        <v>623</v>
      </c>
      <c r="C746">
        <v>7</v>
      </c>
      <c r="D746" t="s">
        <v>85</v>
      </c>
      <c r="E746" t="s">
        <v>86</v>
      </c>
      <c r="F746" t="s">
        <v>198</v>
      </c>
      <c r="G746" t="s">
        <v>199</v>
      </c>
      <c r="J746" t="s">
        <v>107</v>
      </c>
      <c r="K746" t="s">
        <v>45</v>
      </c>
      <c r="L746">
        <v>17090000</v>
      </c>
      <c r="M746" t="s">
        <v>46</v>
      </c>
      <c r="N746" t="s">
        <v>714</v>
      </c>
    </row>
    <row r="747" spans="1:17" ht="15" customHeight="1" x14ac:dyDescent="0.25">
      <c r="A747" t="s">
        <v>107</v>
      </c>
      <c r="B747" t="s">
        <v>623</v>
      </c>
      <c r="C747">
        <v>7</v>
      </c>
      <c r="D747" t="s">
        <v>85</v>
      </c>
      <c r="E747" t="s">
        <v>86</v>
      </c>
      <c r="F747" t="s">
        <v>42</v>
      </c>
      <c r="G747" t="s">
        <v>43</v>
      </c>
      <c r="J747" t="s">
        <v>107</v>
      </c>
      <c r="K747" t="s">
        <v>45</v>
      </c>
      <c r="L747">
        <v>4650000</v>
      </c>
      <c r="M747" t="s">
        <v>46</v>
      </c>
      <c r="N747" t="s">
        <v>715</v>
      </c>
    </row>
    <row r="748" spans="1:17" ht="15" customHeight="1" x14ac:dyDescent="0.25">
      <c r="A748" t="s">
        <v>107</v>
      </c>
      <c r="B748" t="s">
        <v>623</v>
      </c>
      <c r="C748">
        <v>7</v>
      </c>
      <c r="D748" t="s">
        <v>85</v>
      </c>
      <c r="E748" t="s">
        <v>86</v>
      </c>
      <c r="F748" t="s">
        <v>209</v>
      </c>
      <c r="G748" t="s">
        <v>199</v>
      </c>
      <c r="J748" t="s">
        <v>107</v>
      </c>
      <c r="K748" t="s">
        <v>45</v>
      </c>
      <c r="L748">
        <v>3670000000</v>
      </c>
      <c r="M748" t="s">
        <v>210</v>
      </c>
      <c r="N748" t="s">
        <v>716</v>
      </c>
    </row>
    <row r="749" spans="1:17" ht="15" customHeight="1" x14ac:dyDescent="0.25">
      <c r="A749" t="s">
        <v>122</v>
      </c>
      <c r="B749" t="s">
        <v>623</v>
      </c>
      <c r="C749">
        <v>7</v>
      </c>
      <c r="D749" t="s">
        <v>40</v>
      </c>
      <c r="E749" t="s">
        <v>41</v>
      </c>
      <c r="F749" t="s">
        <v>198</v>
      </c>
      <c r="G749" t="s">
        <v>624</v>
      </c>
      <c r="H749" t="s">
        <v>625</v>
      </c>
      <c r="J749" t="s">
        <v>122</v>
      </c>
      <c r="K749" t="s">
        <v>45</v>
      </c>
      <c r="L749">
        <v>100000</v>
      </c>
      <c r="M749" t="s">
        <v>46</v>
      </c>
      <c r="N749" t="s">
        <v>672</v>
      </c>
      <c r="Q749" t="s">
        <v>627</v>
      </c>
    </row>
    <row r="750" spans="1:17" ht="15" customHeight="1" x14ac:dyDescent="0.25">
      <c r="A750" t="s">
        <v>122</v>
      </c>
      <c r="B750" t="s">
        <v>623</v>
      </c>
      <c r="C750">
        <v>7</v>
      </c>
      <c r="D750" t="s">
        <v>40</v>
      </c>
      <c r="E750" t="s">
        <v>41</v>
      </c>
      <c r="F750" t="s">
        <v>198</v>
      </c>
      <c r="G750" t="s">
        <v>199</v>
      </c>
      <c r="H750" t="s">
        <v>628</v>
      </c>
      <c r="J750" t="s">
        <v>122</v>
      </c>
      <c r="K750" t="s">
        <v>45</v>
      </c>
      <c r="L750">
        <v>3200000</v>
      </c>
      <c r="M750" t="s">
        <v>46</v>
      </c>
      <c r="N750" t="s">
        <v>717</v>
      </c>
    </row>
    <row r="751" spans="1:17" ht="15" customHeight="1" x14ac:dyDescent="0.25">
      <c r="A751" t="s">
        <v>122</v>
      </c>
      <c r="B751" t="s">
        <v>623</v>
      </c>
      <c r="C751">
        <v>7</v>
      </c>
      <c r="D751" t="s">
        <v>40</v>
      </c>
      <c r="E751" t="s">
        <v>41</v>
      </c>
      <c r="F751" t="s">
        <v>198</v>
      </c>
      <c r="G751" t="s">
        <v>199</v>
      </c>
      <c r="H751" t="s">
        <v>630</v>
      </c>
      <c r="J751" t="s">
        <v>122</v>
      </c>
      <c r="K751" t="s">
        <v>45</v>
      </c>
      <c r="L751">
        <v>15200000</v>
      </c>
      <c r="M751" t="s">
        <v>46</v>
      </c>
      <c r="N751" t="s">
        <v>718</v>
      </c>
    </row>
    <row r="752" spans="1:17" ht="15" customHeight="1" x14ac:dyDescent="0.25">
      <c r="A752" t="s">
        <v>122</v>
      </c>
      <c r="B752" t="s">
        <v>623</v>
      </c>
      <c r="C752">
        <v>7</v>
      </c>
      <c r="D752" t="s">
        <v>40</v>
      </c>
      <c r="E752" t="s">
        <v>41</v>
      </c>
      <c r="F752" t="s">
        <v>198</v>
      </c>
      <c r="G752" t="s">
        <v>624</v>
      </c>
      <c r="H752" t="s">
        <v>632</v>
      </c>
      <c r="J752" t="s">
        <v>122</v>
      </c>
      <c r="K752" t="s">
        <v>45</v>
      </c>
      <c r="L752">
        <v>270000</v>
      </c>
      <c r="M752" t="s">
        <v>46</v>
      </c>
      <c r="N752" t="s">
        <v>719</v>
      </c>
    </row>
    <row r="753" spans="1:17" ht="15" customHeight="1" x14ac:dyDescent="0.25">
      <c r="A753" t="s">
        <v>122</v>
      </c>
      <c r="B753" t="s">
        <v>623</v>
      </c>
      <c r="C753">
        <v>7</v>
      </c>
      <c r="D753" t="s">
        <v>40</v>
      </c>
      <c r="E753" t="s">
        <v>41</v>
      </c>
      <c r="F753" t="s">
        <v>198</v>
      </c>
      <c r="G753" t="s">
        <v>624</v>
      </c>
      <c r="H753" t="s">
        <v>634</v>
      </c>
      <c r="J753" t="s">
        <v>122</v>
      </c>
      <c r="K753" t="s">
        <v>45</v>
      </c>
      <c r="L753">
        <v>990000</v>
      </c>
      <c r="M753" t="s">
        <v>46</v>
      </c>
      <c r="N753" t="s">
        <v>720</v>
      </c>
    </row>
    <row r="754" spans="1:17" ht="15" customHeight="1" x14ac:dyDescent="0.25">
      <c r="A754" t="s">
        <v>122</v>
      </c>
      <c r="B754" t="s">
        <v>623</v>
      </c>
      <c r="C754">
        <v>7</v>
      </c>
      <c r="D754" t="s">
        <v>40</v>
      </c>
      <c r="E754" t="s">
        <v>41</v>
      </c>
      <c r="F754" t="s">
        <v>198</v>
      </c>
      <c r="G754" t="s">
        <v>624</v>
      </c>
      <c r="H754" t="s">
        <v>636</v>
      </c>
      <c r="J754" t="s">
        <v>122</v>
      </c>
      <c r="K754" t="s">
        <v>45</v>
      </c>
      <c r="L754">
        <v>90000</v>
      </c>
      <c r="M754" t="s">
        <v>46</v>
      </c>
      <c r="N754" t="s">
        <v>626</v>
      </c>
    </row>
    <row r="755" spans="1:17" ht="15" customHeight="1" x14ac:dyDescent="0.25">
      <c r="A755" t="s">
        <v>122</v>
      </c>
      <c r="B755" t="s">
        <v>623</v>
      </c>
      <c r="C755">
        <v>7</v>
      </c>
      <c r="D755" t="s">
        <v>40</v>
      </c>
      <c r="E755" t="s">
        <v>41</v>
      </c>
      <c r="F755" t="s">
        <v>198</v>
      </c>
      <c r="G755" t="s">
        <v>624</v>
      </c>
      <c r="H755" t="s">
        <v>638</v>
      </c>
      <c r="J755" t="s">
        <v>122</v>
      </c>
      <c r="K755" t="s">
        <v>45</v>
      </c>
      <c r="L755">
        <v>3210000</v>
      </c>
      <c r="M755" t="s">
        <v>46</v>
      </c>
      <c r="N755" t="s">
        <v>208</v>
      </c>
    </row>
    <row r="756" spans="1:17" ht="15" customHeight="1" x14ac:dyDescent="0.25">
      <c r="A756" t="s">
        <v>122</v>
      </c>
      <c r="B756" t="s">
        <v>623</v>
      </c>
      <c r="C756">
        <v>7</v>
      </c>
      <c r="D756" t="s">
        <v>40</v>
      </c>
      <c r="E756" t="s">
        <v>41</v>
      </c>
      <c r="F756" t="s">
        <v>198</v>
      </c>
      <c r="G756" t="s">
        <v>624</v>
      </c>
      <c r="H756" t="s">
        <v>640</v>
      </c>
      <c r="J756" t="s">
        <v>122</v>
      </c>
      <c r="K756" t="s">
        <v>45</v>
      </c>
      <c r="L756">
        <v>6280000</v>
      </c>
      <c r="M756" t="s">
        <v>46</v>
      </c>
      <c r="N756" t="s">
        <v>721</v>
      </c>
    </row>
    <row r="757" spans="1:17" ht="15" customHeight="1" x14ac:dyDescent="0.25">
      <c r="A757" t="s">
        <v>122</v>
      </c>
      <c r="B757" t="s">
        <v>623</v>
      </c>
      <c r="C757">
        <v>7</v>
      </c>
      <c r="D757" t="s">
        <v>40</v>
      </c>
      <c r="E757" t="s">
        <v>41</v>
      </c>
      <c r="F757" t="s">
        <v>198</v>
      </c>
      <c r="G757" t="s">
        <v>624</v>
      </c>
      <c r="H757" t="s">
        <v>642</v>
      </c>
      <c r="J757" t="s">
        <v>122</v>
      </c>
      <c r="K757" t="s">
        <v>45</v>
      </c>
      <c r="L757">
        <v>110000</v>
      </c>
      <c r="M757" t="s">
        <v>46</v>
      </c>
      <c r="N757" t="s">
        <v>680</v>
      </c>
    </row>
    <row r="758" spans="1:17" ht="15" customHeight="1" x14ac:dyDescent="0.25">
      <c r="A758" t="s">
        <v>122</v>
      </c>
      <c r="B758" t="s">
        <v>623</v>
      </c>
      <c r="C758">
        <v>7</v>
      </c>
      <c r="D758" t="s">
        <v>40</v>
      </c>
      <c r="E758" t="s">
        <v>41</v>
      </c>
      <c r="F758" t="s">
        <v>198</v>
      </c>
      <c r="G758" t="s">
        <v>624</v>
      </c>
      <c r="H758" t="s">
        <v>644</v>
      </c>
      <c r="J758" t="s">
        <v>122</v>
      </c>
      <c r="K758" t="s">
        <v>45</v>
      </c>
      <c r="L758">
        <v>160000</v>
      </c>
      <c r="M758" t="s">
        <v>46</v>
      </c>
      <c r="N758" t="s">
        <v>722</v>
      </c>
    </row>
    <row r="759" spans="1:17" ht="15" customHeight="1" x14ac:dyDescent="0.25">
      <c r="A759" t="s">
        <v>122</v>
      </c>
      <c r="B759" t="s">
        <v>623</v>
      </c>
      <c r="C759">
        <v>7</v>
      </c>
      <c r="D759" t="s">
        <v>40</v>
      </c>
      <c r="E759" t="s">
        <v>41</v>
      </c>
      <c r="F759" t="s">
        <v>198</v>
      </c>
      <c r="G759" t="s">
        <v>624</v>
      </c>
      <c r="H759" t="s">
        <v>645</v>
      </c>
      <c r="J759" t="s">
        <v>122</v>
      </c>
      <c r="K759" t="s">
        <v>45</v>
      </c>
      <c r="L759">
        <v>1660000</v>
      </c>
      <c r="M759" t="s">
        <v>46</v>
      </c>
      <c r="N759" t="s">
        <v>723</v>
      </c>
    </row>
    <row r="760" spans="1:17" ht="15" customHeight="1" x14ac:dyDescent="0.25">
      <c r="A760" t="s">
        <v>122</v>
      </c>
      <c r="B760" t="s">
        <v>623</v>
      </c>
      <c r="C760">
        <v>7</v>
      </c>
      <c r="D760" t="s">
        <v>40</v>
      </c>
      <c r="E760" t="s">
        <v>41</v>
      </c>
      <c r="F760" t="s">
        <v>198</v>
      </c>
      <c r="G760" t="s">
        <v>624</v>
      </c>
      <c r="H760" t="s">
        <v>647</v>
      </c>
      <c r="J760" t="s">
        <v>122</v>
      </c>
      <c r="K760" t="s">
        <v>45</v>
      </c>
      <c r="L760">
        <v>5280000</v>
      </c>
      <c r="M760" t="s">
        <v>46</v>
      </c>
      <c r="N760" t="s">
        <v>724</v>
      </c>
    </row>
    <row r="761" spans="1:17" ht="15" customHeight="1" x14ac:dyDescent="0.25">
      <c r="A761" t="s">
        <v>122</v>
      </c>
      <c r="B761" t="s">
        <v>623</v>
      </c>
      <c r="C761">
        <v>7</v>
      </c>
      <c r="D761" t="s">
        <v>40</v>
      </c>
      <c r="E761" t="s">
        <v>41</v>
      </c>
      <c r="F761" t="s">
        <v>209</v>
      </c>
      <c r="G761" t="s">
        <v>624</v>
      </c>
      <c r="H761" t="s">
        <v>649</v>
      </c>
      <c r="J761" t="s">
        <v>122</v>
      </c>
      <c r="K761" t="s">
        <v>45</v>
      </c>
      <c r="L761">
        <v>43700000</v>
      </c>
      <c r="M761" t="s">
        <v>210</v>
      </c>
      <c r="N761" t="s">
        <v>725</v>
      </c>
      <c r="Q761" t="s">
        <v>651</v>
      </c>
    </row>
    <row r="762" spans="1:17" ht="15" customHeight="1" x14ac:dyDescent="0.25">
      <c r="A762" t="s">
        <v>122</v>
      </c>
      <c r="B762" t="s">
        <v>623</v>
      </c>
      <c r="C762">
        <v>7</v>
      </c>
      <c r="D762" t="s">
        <v>40</v>
      </c>
      <c r="E762" t="s">
        <v>41</v>
      </c>
      <c r="F762" t="s">
        <v>209</v>
      </c>
      <c r="G762" t="s">
        <v>199</v>
      </c>
      <c r="H762" t="s">
        <v>628</v>
      </c>
      <c r="J762" t="s">
        <v>122</v>
      </c>
      <c r="K762" t="s">
        <v>45</v>
      </c>
      <c r="L762">
        <v>747000000</v>
      </c>
      <c r="M762" t="s">
        <v>210</v>
      </c>
      <c r="N762" t="s">
        <v>726</v>
      </c>
    </row>
    <row r="763" spans="1:17" ht="15" customHeight="1" x14ac:dyDescent="0.25">
      <c r="A763" t="s">
        <v>122</v>
      </c>
      <c r="B763" t="s">
        <v>623</v>
      </c>
      <c r="C763">
        <v>7</v>
      </c>
      <c r="D763" t="s">
        <v>40</v>
      </c>
      <c r="E763" t="s">
        <v>41</v>
      </c>
      <c r="F763" t="s">
        <v>209</v>
      </c>
      <c r="G763" t="s">
        <v>199</v>
      </c>
      <c r="H763" t="s">
        <v>630</v>
      </c>
      <c r="J763" t="s">
        <v>122</v>
      </c>
      <c r="K763" t="s">
        <v>45</v>
      </c>
      <c r="L763">
        <v>3100000000</v>
      </c>
      <c r="M763" t="s">
        <v>210</v>
      </c>
      <c r="N763" t="s">
        <v>727</v>
      </c>
    </row>
    <row r="764" spans="1:17" ht="15" customHeight="1" x14ac:dyDescent="0.25">
      <c r="A764" t="s">
        <v>122</v>
      </c>
      <c r="B764" t="s">
        <v>623</v>
      </c>
      <c r="C764">
        <v>7</v>
      </c>
      <c r="D764" t="s">
        <v>40</v>
      </c>
      <c r="E764" t="s">
        <v>41</v>
      </c>
      <c r="F764" t="s">
        <v>209</v>
      </c>
      <c r="G764" t="s">
        <v>624</v>
      </c>
      <c r="H764" t="s">
        <v>632</v>
      </c>
      <c r="J764" t="s">
        <v>122</v>
      </c>
      <c r="K764" t="s">
        <v>45</v>
      </c>
      <c r="L764">
        <v>54000000</v>
      </c>
      <c r="M764" t="s">
        <v>210</v>
      </c>
      <c r="N764" t="s">
        <v>467</v>
      </c>
    </row>
    <row r="765" spans="1:17" ht="15" customHeight="1" x14ac:dyDescent="0.25">
      <c r="A765" t="s">
        <v>122</v>
      </c>
      <c r="B765" t="s">
        <v>623</v>
      </c>
      <c r="C765">
        <v>7</v>
      </c>
      <c r="D765" t="s">
        <v>40</v>
      </c>
      <c r="E765" t="s">
        <v>41</v>
      </c>
      <c r="F765" t="s">
        <v>209</v>
      </c>
      <c r="G765" t="s">
        <v>624</v>
      </c>
      <c r="H765" t="s">
        <v>634</v>
      </c>
      <c r="J765" t="s">
        <v>122</v>
      </c>
      <c r="K765" t="s">
        <v>45</v>
      </c>
      <c r="L765">
        <v>143600000</v>
      </c>
      <c r="M765" t="s">
        <v>210</v>
      </c>
      <c r="N765" t="s">
        <v>728</v>
      </c>
    </row>
    <row r="766" spans="1:17" ht="15" customHeight="1" x14ac:dyDescent="0.25">
      <c r="A766" t="s">
        <v>122</v>
      </c>
      <c r="B766" t="s">
        <v>623</v>
      </c>
      <c r="C766">
        <v>7</v>
      </c>
      <c r="D766" t="s">
        <v>40</v>
      </c>
      <c r="E766" t="s">
        <v>41</v>
      </c>
      <c r="F766" t="s">
        <v>209</v>
      </c>
      <c r="G766" t="s">
        <v>624</v>
      </c>
      <c r="H766" t="s">
        <v>636</v>
      </c>
      <c r="J766" t="s">
        <v>122</v>
      </c>
      <c r="K766" t="s">
        <v>45</v>
      </c>
      <c r="L766">
        <v>42100000</v>
      </c>
      <c r="M766" t="s">
        <v>210</v>
      </c>
      <c r="N766" t="s">
        <v>729</v>
      </c>
    </row>
    <row r="767" spans="1:17" ht="15" customHeight="1" x14ac:dyDescent="0.25">
      <c r="A767" t="s">
        <v>122</v>
      </c>
      <c r="B767" t="s">
        <v>623</v>
      </c>
      <c r="C767">
        <v>7</v>
      </c>
      <c r="D767" t="s">
        <v>40</v>
      </c>
      <c r="E767" t="s">
        <v>41</v>
      </c>
      <c r="F767" t="s">
        <v>209</v>
      </c>
      <c r="G767" t="s">
        <v>624</v>
      </c>
      <c r="H767" t="s">
        <v>638</v>
      </c>
      <c r="J767" t="s">
        <v>122</v>
      </c>
      <c r="K767" t="s">
        <v>45</v>
      </c>
      <c r="L767">
        <v>2400000000</v>
      </c>
      <c r="M767" t="s">
        <v>210</v>
      </c>
      <c r="N767" t="s">
        <v>730</v>
      </c>
    </row>
    <row r="768" spans="1:17" ht="15" customHeight="1" x14ac:dyDescent="0.25">
      <c r="A768" t="s">
        <v>122</v>
      </c>
      <c r="B768" t="s">
        <v>623</v>
      </c>
      <c r="C768">
        <v>7</v>
      </c>
      <c r="D768" t="s">
        <v>40</v>
      </c>
      <c r="E768" t="s">
        <v>41</v>
      </c>
      <c r="F768" t="s">
        <v>209</v>
      </c>
      <c r="G768" t="s">
        <v>624</v>
      </c>
      <c r="H768" t="s">
        <v>640</v>
      </c>
      <c r="J768" t="s">
        <v>122</v>
      </c>
      <c r="K768" t="s">
        <v>45</v>
      </c>
      <c r="L768">
        <v>100400000</v>
      </c>
      <c r="M768" t="s">
        <v>210</v>
      </c>
      <c r="N768" t="s">
        <v>731</v>
      </c>
    </row>
    <row r="769" spans="1:17" ht="15" customHeight="1" x14ac:dyDescent="0.25">
      <c r="A769" t="s">
        <v>122</v>
      </c>
      <c r="B769" t="s">
        <v>623</v>
      </c>
      <c r="C769">
        <v>7</v>
      </c>
      <c r="D769" t="s">
        <v>40</v>
      </c>
      <c r="E769" t="s">
        <v>41</v>
      </c>
      <c r="F769" t="s">
        <v>209</v>
      </c>
      <c r="G769" t="s">
        <v>624</v>
      </c>
      <c r="H769" t="s">
        <v>642</v>
      </c>
      <c r="J769" t="s">
        <v>122</v>
      </c>
      <c r="K769" t="s">
        <v>45</v>
      </c>
      <c r="L769">
        <v>37500000</v>
      </c>
      <c r="M769" t="s">
        <v>210</v>
      </c>
      <c r="N769" t="s">
        <v>732</v>
      </c>
    </row>
    <row r="770" spans="1:17" ht="15" customHeight="1" x14ac:dyDescent="0.25">
      <c r="A770" t="s">
        <v>122</v>
      </c>
      <c r="B770" t="s">
        <v>623</v>
      </c>
      <c r="C770">
        <v>7</v>
      </c>
      <c r="D770" t="s">
        <v>40</v>
      </c>
      <c r="E770" t="s">
        <v>41</v>
      </c>
      <c r="F770" t="s">
        <v>209</v>
      </c>
      <c r="G770" t="s">
        <v>624</v>
      </c>
      <c r="H770" t="s">
        <v>644</v>
      </c>
      <c r="J770" t="s">
        <v>122</v>
      </c>
      <c r="K770" t="s">
        <v>45</v>
      </c>
      <c r="L770">
        <v>14700000</v>
      </c>
      <c r="M770" t="s">
        <v>210</v>
      </c>
      <c r="N770" t="s">
        <v>733</v>
      </c>
    </row>
    <row r="771" spans="1:17" ht="15" customHeight="1" x14ac:dyDescent="0.25">
      <c r="A771" t="s">
        <v>122</v>
      </c>
      <c r="B771" t="s">
        <v>623</v>
      </c>
      <c r="C771">
        <v>7</v>
      </c>
      <c r="D771" t="s">
        <v>40</v>
      </c>
      <c r="E771" t="s">
        <v>41</v>
      </c>
      <c r="F771" t="s">
        <v>209</v>
      </c>
      <c r="G771" t="s">
        <v>624</v>
      </c>
      <c r="H771" t="s">
        <v>645</v>
      </c>
      <c r="J771" t="s">
        <v>122</v>
      </c>
      <c r="K771" t="s">
        <v>45</v>
      </c>
      <c r="L771">
        <v>738900000</v>
      </c>
      <c r="M771" t="s">
        <v>210</v>
      </c>
      <c r="N771" t="s">
        <v>734</v>
      </c>
    </row>
    <row r="772" spans="1:17" ht="15" customHeight="1" x14ac:dyDescent="0.25">
      <c r="A772" t="s">
        <v>122</v>
      </c>
      <c r="B772" t="s">
        <v>623</v>
      </c>
      <c r="C772">
        <v>7</v>
      </c>
      <c r="D772" t="s">
        <v>40</v>
      </c>
      <c r="E772" t="s">
        <v>41</v>
      </c>
      <c r="F772" t="s">
        <v>209</v>
      </c>
      <c r="G772" t="s">
        <v>624</v>
      </c>
      <c r="H772" t="s">
        <v>647</v>
      </c>
      <c r="J772" t="s">
        <v>122</v>
      </c>
      <c r="K772" t="s">
        <v>45</v>
      </c>
      <c r="L772">
        <v>207800000</v>
      </c>
      <c r="M772" t="s">
        <v>210</v>
      </c>
      <c r="N772" t="s">
        <v>735</v>
      </c>
    </row>
    <row r="773" spans="1:17" ht="15" customHeight="1" x14ac:dyDescent="0.25">
      <c r="A773" t="s">
        <v>122</v>
      </c>
      <c r="B773" t="s">
        <v>623</v>
      </c>
      <c r="C773">
        <v>7</v>
      </c>
      <c r="D773" t="s">
        <v>74</v>
      </c>
      <c r="E773" t="s">
        <v>75</v>
      </c>
      <c r="F773" t="s">
        <v>198</v>
      </c>
      <c r="G773" t="s">
        <v>199</v>
      </c>
      <c r="J773" t="s">
        <v>107</v>
      </c>
      <c r="K773" t="s">
        <v>77</v>
      </c>
      <c r="L773">
        <v>17090000</v>
      </c>
      <c r="M773" t="s">
        <v>46</v>
      </c>
      <c r="N773" t="s">
        <v>714</v>
      </c>
      <c r="O773" t="s">
        <v>79</v>
      </c>
      <c r="P773" t="s">
        <v>103</v>
      </c>
    </row>
    <row r="774" spans="1:17" ht="15" customHeight="1" x14ac:dyDescent="0.25">
      <c r="A774" t="s">
        <v>122</v>
      </c>
      <c r="B774" t="s">
        <v>623</v>
      </c>
      <c r="C774">
        <v>7</v>
      </c>
      <c r="D774" t="s">
        <v>74</v>
      </c>
      <c r="E774" t="s">
        <v>75</v>
      </c>
      <c r="F774" t="s">
        <v>42</v>
      </c>
      <c r="G774" t="s">
        <v>43</v>
      </c>
      <c r="J774" t="s">
        <v>107</v>
      </c>
      <c r="K774" t="s">
        <v>77</v>
      </c>
      <c r="L774">
        <v>4650000</v>
      </c>
      <c r="M774" t="s">
        <v>46</v>
      </c>
      <c r="N774" t="s">
        <v>715</v>
      </c>
      <c r="O774" t="s">
        <v>79</v>
      </c>
      <c r="P774" t="s">
        <v>103</v>
      </c>
    </row>
    <row r="775" spans="1:17" ht="15" customHeight="1" x14ac:dyDescent="0.25">
      <c r="A775" t="s">
        <v>122</v>
      </c>
      <c r="B775" t="s">
        <v>623</v>
      </c>
      <c r="C775">
        <v>7</v>
      </c>
      <c r="D775" t="s">
        <v>74</v>
      </c>
      <c r="E775" t="s">
        <v>75</v>
      </c>
      <c r="F775" t="s">
        <v>209</v>
      </c>
      <c r="G775" t="s">
        <v>199</v>
      </c>
      <c r="J775" t="s">
        <v>107</v>
      </c>
      <c r="K775" t="s">
        <v>77</v>
      </c>
      <c r="L775">
        <v>3670000000</v>
      </c>
      <c r="M775" t="s">
        <v>210</v>
      </c>
      <c r="N775" t="s">
        <v>716</v>
      </c>
      <c r="O775" t="s">
        <v>79</v>
      </c>
      <c r="P775" t="s">
        <v>103</v>
      </c>
    </row>
    <row r="776" spans="1:17" ht="15" customHeight="1" x14ac:dyDescent="0.25">
      <c r="A776" t="s">
        <v>122</v>
      </c>
      <c r="B776" t="s">
        <v>623</v>
      </c>
      <c r="C776">
        <v>7</v>
      </c>
      <c r="D776" t="s">
        <v>85</v>
      </c>
      <c r="E776" t="s">
        <v>86</v>
      </c>
      <c r="F776" t="s">
        <v>198</v>
      </c>
      <c r="G776" t="s">
        <v>199</v>
      </c>
      <c r="J776" t="s">
        <v>122</v>
      </c>
      <c r="K776" t="s">
        <v>45</v>
      </c>
      <c r="L776">
        <v>18420000</v>
      </c>
      <c r="M776" t="s">
        <v>46</v>
      </c>
      <c r="N776" t="s">
        <v>736</v>
      </c>
    </row>
    <row r="777" spans="1:17" ht="15" customHeight="1" x14ac:dyDescent="0.25">
      <c r="A777" t="s">
        <v>122</v>
      </c>
      <c r="B777" t="s">
        <v>623</v>
      </c>
      <c r="C777">
        <v>7</v>
      </c>
      <c r="D777" t="s">
        <v>85</v>
      </c>
      <c r="E777" t="s">
        <v>86</v>
      </c>
      <c r="F777" t="s">
        <v>42</v>
      </c>
      <c r="G777" t="s">
        <v>43</v>
      </c>
      <c r="J777" t="s">
        <v>122</v>
      </c>
      <c r="K777" t="s">
        <v>45</v>
      </c>
      <c r="L777">
        <v>4760000</v>
      </c>
      <c r="M777" t="s">
        <v>46</v>
      </c>
      <c r="N777" t="s">
        <v>737</v>
      </c>
    </row>
    <row r="778" spans="1:17" ht="15" customHeight="1" x14ac:dyDescent="0.25">
      <c r="A778" t="s">
        <v>122</v>
      </c>
      <c r="B778" t="s">
        <v>623</v>
      </c>
      <c r="C778">
        <v>7</v>
      </c>
      <c r="D778" t="s">
        <v>85</v>
      </c>
      <c r="E778" t="s">
        <v>86</v>
      </c>
      <c r="F778" t="s">
        <v>209</v>
      </c>
      <c r="G778" t="s">
        <v>199</v>
      </c>
      <c r="J778" t="s">
        <v>122</v>
      </c>
      <c r="K778" t="s">
        <v>45</v>
      </c>
      <c r="L778">
        <v>3830000000</v>
      </c>
      <c r="M778" t="s">
        <v>210</v>
      </c>
      <c r="N778" t="s">
        <v>738</v>
      </c>
    </row>
    <row r="779" spans="1:17" ht="15" customHeight="1" x14ac:dyDescent="0.25">
      <c r="A779" t="s">
        <v>138</v>
      </c>
      <c r="B779" t="s">
        <v>623</v>
      </c>
      <c r="C779">
        <v>7</v>
      </c>
      <c r="D779" t="s">
        <v>40</v>
      </c>
      <c r="E779" t="s">
        <v>41</v>
      </c>
      <c r="F779" t="s">
        <v>198</v>
      </c>
      <c r="G779" t="s">
        <v>624</v>
      </c>
      <c r="H779" t="s">
        <v>625</v>
      </c>
      <c r="J779" t="s">
        <v>138</v>
      </c>
      <c r="K779" t="s">
        <v>45</v>
      </c>
      <c r="L779">
        <v>100000</v>
      </c>
      <c r="M779" t="s">
        <v>46</v>
      </c>
      <c r="N779" t="s">
        <v>672</v>
      </c>
      <c r="Q779" t="s">
        <v>627</v>
      </c>
    </row>
    <row r="780" spans="1:17" ht="15" customHeight="1" x14ac:dyDescent="0.25">
      <c r="A780" t="s">
        <v>138</v>
      </c>
      <c r="B780" t="s">
        <v>623</v>
      </c>
      <c r="C780">
        <v>7</v>
      </c>
      <c r="D780" t="s">
        <v>40</v>
      </c>
      <c r="E780" t="s">
        <v>41</v>
      </c>
      <c r="F780" t="s">
        <v>198</v>
      </c>
      <c r="G780" t="s">
        <v>199</v>
      </c>
      <c r="H780" t="s">
        <v>628</v>
      </c>
      <c r="J780" t="s">
        <v>138</v>
      </c>
      <c r="K780" t="s">
        <v>45</v>
      </c>
      <c r="L780">
        <v>3600000</v>
      </c>
      <c r="M780" t="s">
        <v>46</v>
      </c>
      <c r="N780" t="s">
        <v>673</v>
      </c>
    </row>
    <row r="781" spans="1:17" ht="15" customHeight="1" x14ac:dyDescent="0.25">
      <c r="A781" t="s">
        <v>138</v>
      </c>
      <c r="B781" t="s">
        <v>623</v>
      </c>
      <c r="C781">
        <v>7</v>
      </c>
      <c r="D781" t="s">
        <v>40</v>
      </c>
      <c r="E781" t="s">
        <v>41</v>
      </c>
      <c r="F781" t="s">
        <v>198</v>
      </c>
      <c r="G781" t="s">
        <v>199</v>
      </c>
      <c r="H781" t="s">
        <v>630</v>
      </c>
      <c r="J781" t="s">
        <v>138</v>
      </c>
      <c r="K781" t="s">
        <v>45</v>
      </c>
      <c r="L781">
        <v>16000000</v>
      </c>
      <c r="M781" t="s">
        <v>46</v>
      </c>
      <c r="N781" t="s">
        <v>739</v>
      </c>
    </row>
    <row r="782" spans="1:17" ht="15" customHeight="1" x14ac:dyDescent="0.25">
      <c r="A782" t="s">
        <v>138</v>
      </c>
      <c r="B782" t="s">
        <v>623</v>
      </c>
      <c r="C782">
        <v>7</v>
      </c>
      <c r="D782" t="s">
        <v>40</v>
      </c>
      <c r="E782" t="s">
        <v>41</v>
      </c>
      <c r="F782" t="s">
        <v>198</v>
      </c>
      <c r="G782" t="s">
        <v>624</v>
      </c>
      <c r="H782" t="s">
        <v>632</v>
      </c>
      <c r="J782" t="s">
        <v>138</v>
      </c>
      <c r="K782" t="s">
        <v>45</v>
      </c>
      <c r="L782">
        <v>570000</v>
      </c>
      <c r="M782" t="s">
        <v>46</v>
      </c>
      <c r="N782" t="s">
        <v>740</v>
      </c>
    </row>
    <row r="783" spans="1:17" ht="15" customHeight="1" x14ac:dyDescent="0.25">
      <c r="A783" t="s">
        <v>138</v>
      </c>
      <c r="B783" t="s">
        <v>623</v>
      </c>
      <c r="C783">
        <v>7</v>
      </c>
      <c r="D783" t="s">
        <v>40</v>
      </c>
      <c r="E783" t="s">
        <v>41</v>
      </c>
      <c r="F783" t="s">
        <v>198</v>
      </c>
      <c r="G783" t="s">
        <v>624</v>
      </c>
      <c r="H783" t="s">
        <v>634</v>
      </c>
      <c r="J783" t="s">
        <v>138</v>
      </c>
      <c r="K783" t="s">
        <v>45</v>
      </c>
      <c r="L783">
        <v>920000</v>
      </c>
      <c r="M783" t="s">
        <v>46</v>
      </c>
      <c r="N783" t="s">
        <v>676</v>
      </c>
    </row>
    <row r="784" spans="1:17" ht="15" customHeight="1" x14ac:dyDescent="0.25">
      <c r="A784" t="s">
        <v>138</v>
      </c>
      <c r="B784" t="s">
        <v>623</v>
      </c>
      <c r="C784">
        <v>7</v>
      </c>
      <c r="D784" t="s">
        <v>40</v>
      </c>
      <c r="E784" t="s">
        <v>41</v>
      </c>
      <c r="F784" t="s">
        <v>198</v>
      </c>
      <c r="G784" t="s">
        <v>624</v>
      </c>
      <c r="H784" t="s">
        <v>636</v>
      </c>
      <c r="J784" t="s">
        <v>138</v>
      </c>
      <c r="K784" t="s">
        <v>45</v>
      </c>
      <c r="L784">
        <v>100000</v>
      </c>
      <c r="M784" t="s">
        <v>46</v>
      </c>
      <c r="N784" t="s">
        <v>672</v>
      </c>
    </row>
    <row r="785" spans="1:17" ht="15" customHeight="1" x14ac:dyDescent="0.25">
      <c r="A785" t="s">
        <v>138</v>
      </c>
      <c r="B785" t="s">
        <v>623</v>
      </c>
      <c r="C785">
        <v>7</v>
      </c>
      <c r="D785" t="s">
        <v>40</v>
      </c>
      <c r="E785" t="s">
        <v>41</v>
      </c>
      <c r="F785" t="s">
        <v>198</v>
      </c>
      <c r="G785" t="s">
        <v>624</v>
      </c>
      <c r="H785" t="s">
        <v>638</v>
      </c>
      <c r="J785" t="s">
        <v>138</v>
      </c>
      <c r="K785" t="s">
        <v>45</v>
      </c>
      <c r="L785">
        <v>3920000</v>
      </c>
      <c r="M785" t="s">
        <v>46</v>
      </c>
      <c r="N785" t="s">
        <v>741</v>
      </c>
    </row>
    <row r="786" spans="1:17" ht="15" customHeight="1" x14ac:dyDescent="0.25">
      <c r="A786" t="s">
        <v>138</v>
      </c>
      <c r="B786" t="s">
        <v>623</v>
      </c>
      <c r="C786">
        <v>7</v>
      </c>
      <c r="D786" t="s">
        <v>40</v>
      </c>
      <c r="E786" t="s">
        <v>41</v>
      </c>
      <c r="F786" t="s">
        <v>198</v>
      </c>
      <c r="G786" t="s">
        <v>624</v>
      </c>
      <c r="H786" t="s">
        <v>640</v>
      </c>
      <c r="J786" t="s">
        <v>138</v>
      </c>
      <c r="K786" t="s">
        <v>45</v>
      </c>
      <c r="L786">
        <v>6250000</v>
      </c>
      <c r="M786" t="s">
        <v>46</v>
      </c>
      <c r="N786" t="s">
        <v>742</v>
      </c>
    </row>
    <row r="787" spans="1:17" ht="15" customHeight="1" x14ac:dyDescent="0.25">
      <c r="A787" t="s">
        <v>138</v>
      </c>
      <c r="B787" t="s">
        <v>623</v>
      </c>
      <c r="C787">
        <v>7</v>
      </c>
      <c r="D787" t="s">
        <v>40</v>
      </c>
      <c r="E787" t="s">
        <v>41</v>
      </c>
      <c r="F787" t="s">
        <v>198</v>
      </c>
      <c r="G787" t="s">
        <v>624</v>
      </c>
      <c r="H787" t="s">
        <v>642</v>
      </c>
      <c r="J787" t="s">
        <v>138</v>
      </c>
      <c r="K787" t="s">
        <v>45</v>
      </c>
      <c r="L787">
        <v>140000</v>
      </c>
      <c r="M787" t="s">
        <v>46</v>
      </c>
      <c r="N787" t="s">
        <v>743</v>
      </c>
    </row>
    <row r="788" spans="1:17" ht="15" customHeight="1" x14ac:dyDescent="0.25">
      <c r="A788" t="s">
        <v>138</v>
      </c>
      <c r="B788" t="s">
        <v>623</v>
      </c>
      <c r="C788">
        <v>7</v>
      </c>
      <c r="D788" t="s">
        <v>40</v>
      </c>
      <c r="E788" t="s">
        <v>41</v>
      </c>
      <c r="F788" t="s">
        <v>198</v>
      </c>
      <c r="G788" t="s">
        <v>624</v>
      </c>
      <c r="H788" t="s">
        <v>644</v>
      </c>
      <c r="J788" t="s">
        <v>138</v>
      </c>
      <c r="K788" t="s">
        <v>45</v>
      </c>
      <c r="L788">
        <v>190000</v>
      </c>
      <c r="M788" t="s">
        <v>46</v>
      </c>
      <c r="N788" t="s">
        <v>744</v>
      </c>
    </row>
    <row r="789" spans="1:17" ht="15" customHeight="1" x14ac:dyDescent="0.25">
      <c r="A789" t="s">
        <v>138</v>
      </c>
      <c r="B789" t="s">
        <v>623</v>
      </c>
      <c r="C789">
        <v>7</v>
      </c>
      <c r="D789" t="s">
        <v>40</v>
      </c>
      <c r="E789" t="s">
        <v>41</v>
      </c>
      <c r="F789" t="s">
        <v>198</v>
      </c>
      <c r="G789" t="s">
        <v>624</v>
      </c>
      <c r="H789" t="s">
        <v>645</v>
      </c>
      <c r="J789" t="s">
        <v>138</v>
      </c>
      <c r="K789" t="s">
        <v>45</v>
      </c>
      <c r="L789">
        <v>1710000</v>
      </c>
      <c r="M789" t="s">
        <v>46</v>
      </c>
      <c r="N789" t="s">
        <v>117</v>
      </c>
    </row>
    <row r="790" spans="1:17" ht="15" customHeight="1" x14ac:dyDescent="0.25">
      <c r="A790" t="s">
        <v>138</v>
      </c>
      <c r="B790" t="s">
        <v>623</v>
      </c>
      <c r="C790">
        <v>7</v>
      </c>
      <c r="D790" t="s">
        <v>40</v>
      </c>
      <c r="E790" t="s">
        <v>41</v>
      </c>
      <c r="F790" t="s">
        <v>198</v>
      </c>
      <c r="G790" t="s">
        <v>624</v>
      </c>
      <c r="H790" t="s">
        <v>647</v>
      </c>
      <c r="J790" t="s">
        <v>138</v>
      </c>
      <c r="K790" t="s">
        <v>45</v>
      </c>
      <c r="L790">
        <v>5490000</v>
      </c>
      <c r="M790" t="s">
        <v>46</v>
      </c>
      <c r="N790" t="s">
        <v>745</v>
      </c>
    </row>
    <row r="791" spans="1:17" ht="15" customHeight="1" x14ac:dyDescent="0.25">
      <c r="A791" t="s">
        <v>138</v>
      </c>
      <c r="B791" t="s">
        <v>623</v>
      </c>
      <c r="C791">
        <v>7</v>
      </c>
      <c r="D791" t="s">
        <v>40</v>
      </c>
      <c r="E791" t="s">
        <v>41</v>
      </c>
      <c r="F791" t="s">
        <v>209</v>
      </c>
      <c r="G791" t="s">
        <v>624</v>
      </c>
      <c r="H791" t="s">
        <v>649</v>
      </c>
      <c r="J791" t="s">
        <v>138</v>
      </c>
      <c r="K791" t="s">
        <v>45</v>
      </c>
      <c r="L791">
        <v>46000000</v>
      </c>
      <c r="M791" t="s">
        <v>210</v>
      </c>
      <c r="N791" t="s">
        <v>441</v>
      </c>
      <c r="Q791" t="s">
        <v>651</v>
      </c>
    </row>
    <row r="792" spans="1:17" ht="15" customHeight="1" x14ac:dyDescent="0.25">
      <c r="A792" t="s">
        <v>138</v>
      </c>
      <c r="B792" t="s">
        <v>623</v>
      </c>
      <c r="C792">
        <v>7</v>
      </c>
      <c r="D792" t="s">
        <v>40</v>
      </c>
      <c r="E792" t="s">
        <v>41</v>
      </c>
      <c r="F792" t="s">
        <v>209</v>
      </c>
      <c r="G792" t="s">
        <v>199</v>
      </c>
      <c r="H792" t="s">
        <v>628</v>
      </c>
      <c r="J792" t="s">
        <v>138</v>
      </c>
      <c r="K792" t="s">
        <v>45</v>
      </c>
      <c r="L792">
        <v>875000000</v>
      </c>
      <c r="M792" t="s">
        <v>210</v>
      </c>
      <c r="N792" t="s">
        <v>746</v>
      </c>
    </row>
    <row r="793" spans="1:17" ht="15" customHeight="1" x14ac:dyDescent="0.25">
      <c r="A793" t="s">
        <v>138</v>
      </c>
      <c r="B793" t="s">
        <v>623</v>
      </c>
      <c r="C793">
        <v>7</v>
      </c>
      <c r="D793" t="s">
        <v>40</v>
      </c>
      <c r="E793" t="s">
        <v>41</v>
      </c>
      <c r="F793" t="s">
        <v>209</v>
      </c>
      <c r="G793" t="s">
        <v>199</v>
      </c>
      <c r="H793" t="s">
        <v>630</v>
      </c>
      <c r="J793" t="s">
        <v>138</v>
      </c>
      <c r="K793" t="s">
        <v>45</v>
      </c>
      <c r="L793">
        <v>3200000000</v>
      </c>
      <c r="M793" t="s">
        <v>210</v>
      </c>
      <c r="N793" t="s">
        <v>549</v>
      </c>
    </row>
    <row r="794" spans="1:17" ht="15" customHeight="1" x14ac:dyDescent="0.25">
      <c r="A794" t="s">
        <v>138</v>
      </c>
      <c r="B794" t="s">
        <v>623</v>
      </c>
      <c r="C794">
        <v>7</v>
      </c>
      <c r="D794" t="s">
        <v>40</v>
      </c>
      <c r="E794" t="s">
        <v>41</v>
      </c>
      <c r="F794" t="s">
        <v>209</v>
      </c>
      <c r="G794" t="s">
        <v>624</v>
      </c>
      <c r="H794" t="s">
        <v>632</v>
      </c>
      <c r="J794" t="s">
        <v>138</v>
      </c>
      <c r="K794" t="s">
        <v>45</v>
      </c>
      <c r="L794">
        <v>175400000</v>
      </c>
      <c r="M794" t="s">
        <v>210</v>
      </c>
      <c r="N794" t="s">
        <v>747</v>
      </c>
    </row>
    <row r="795" spans="1:17" ht="15" customHeight="1" x14ac:dyDescent="0.25">
      <c r="A795" t="s">
        <v>138</v>
      </c>
      <c r="B795" t="s">
        <v>623</v>
      </c>
      <c r="C795">
        <v>7</v>
      </c>
      <c r="D795" t="s">
        <v>40</v>
      </c>
      <c r="E795" t="s">
        <v>41</v>
      </c>
      <c r="F795" t="s">
        <v>209</v>
      </c>
      <c r="G795" t="s">
        <v>624</v>
      </c>
      <c r="H795" t="s">
        <v>634</v>
      </c>
      <c r="J795" t="s">
        <v>138</v>
      </c>
      <c r="K795" t="s">
        <v>45</v>
      </c>
      <c r="L795">
        <v>143800000</v>
      </c>
      <c r="M795" t="s">
        <v>210</v>
      </c>
      <c r="N795" t="s">
        <v>748</v>
      </c>
    </row>
    <row r="796" spans="1:17" ht="15" customHeight="1" x14ac:dyDescent="0.25">
      <c r="A796" t="s">
        <v>138</v>
      </c>
      <c r="B796" t="s">
        <v>623</v>
      </c>
      <c r="C796">
        <v>7</v>
      </c>
      <c r="D796" t="s">
        <v>40</v>
      </c>
      <c r="E796" t="s">
        <v>41</v>
      </c>
      <c r="F796" t="s">
        <v>209</v>
      </c>
      <c r="G796" t="s">
        <v>624</v>
      </c>
      <c r="H796" t="s">
        <v>636</v>
      </c>
      <c r="J796" t="s">
        <v>138</v>
      </c>
      <c r="K796" t="s">
        <v>45</v>
      </c>
      <c r="L796">
        <v>40400000</v>
      </c>
      <c r="M796" t="s">
        <v>210</v>
      </c>
      <c r="N796" t="s">
        <v>749</v>
      </c>
    </row>
    <row r="797" spans="1:17" ht="15" customHeight="1" x14ac:dyDescent="0.25">
      <c r="A797" t="s">
        <v>138</v>
      </c>
      <c r="B797" t="s">
        <v>623</v>
      </c>
      <c r="C797">
        <v>7</v>
      </c>
      <c r="D797" t="s">
        <v>40</v>
      </c>
      <c r="E797" t="s">
        <v>41</v>
      </c>
      <c r="F797" t="s">
        <v>209</v>
      </c>
      <c r="G797" t="s">
        <v>624</v>
      </c>
      <c r="H797" t="s">
        <v>638</v>
      </c>
      <c r="J797" t="s">
        <v>138</v>
      </c>
      <c r="K797" t="s">
        <v>45</v>
      </c>
      <c r="L797">
        <v>2300000000</v>
      </c>
      <c r="M797" t="s">
        <v>210</v>
      </c>
      <c r="N797" t="s">
        <v>750</v>
      </c>
    </row>
    <row r="798" spans="1:17" ht="15" customHeight="1" x14ac:dyDescent="0.25">
      <c r="A798" t="s">
        <v>138</v>
      </c>
      <c r="B798" t="s">
        <v>623</v>
      </c>
      <c r="C798">
        <v>7</v>
      </c>
      <c r="D798" t="s">
        <v>40</v>
      </c>
      <c r="E798" t="s">
        <v>41</v>
      </c>
      <c r="F798" t="s">
        <v>209</v>
      </c>
      <c r="G798" t="s">
        <v>624</v>
      </c>
      <c r="H798" t="s">
        <v>640</v>
      </c>
      <c r="J798" t="s">
        <v>138</v>
      </c>
      <c r="K798" t="s">
        <v>45</v>
      </c>
      <c r="L798">
        <v>100300000</v>
      </c>
      <c r="M798" t="s">
        <v>210</v>
      </c>
      <c r="N798" t="s">
        <v>751</v>
      </c>
    </row>
    <row r="799" spans="1:17" ht="15" customHeight="1" x14ac:dyDescent="0.25">
      <c r="A799" t="s">
        <v>138</v>
      </c>
      <c r="B799" t="s">
        <v>623</v>
      </c>
      <c r="C799">
        <v>7</v>
      </c>
      <c r="D799" t="s">
        <v>40</v>
      </c>
      <c r="E799" t="s">
        <v>41</v>
      </c>
      <c r="F799" t="s">
        <v>209</v>
      </c>
      <c r="G799" t="s">
        <v>624</v>
      </c>
      <c r="H799" t="s">
        <v>642</v>
      </c>
      <c r="J799" t="s">
        <v>138</v>
      </c>
      <c r="K799" t="s">
        <v>45</v>
      </c>
      <c r="L799">
        <v>44000000</v>
      </c>
      <c r="M799" t="s">
        <v>210</v>
      </c>
      <c r="N799" t="s">
        <v>752</v>
      </c>
    </row>
    <row r="800" spans="1:17" ht="15" customHeight="1" x14ac:dyDescent="0.25">
      <c r="A800" t="s">
        <v>138</v>
      </c>
      <c r="B800" t="s">
        <v>623</v>
      </c>
      <c r="C800">
        <v>7</v>
      </c>
      <c r="D800" t="s">
        <v>40</v>
      </c>
      <c r="E800" t="s">
        <v>41</v>
      </c>
      <c r="F800" t="s">
        <v>209</v>
      </c>
      <c r="G800" t="s">
        <v>624</v>
      </c>
      <c r="H800" t="s">
        <v>644</v>
      </c>
      <c r="J800" t="s">
        <v>138</v>
      </c>
      <c r="K800" t="s">
        <v>45</v>
      </c>
      <c r="L800">
        <v>21300000</v>
      </c>
      <c r="M800" t="s">
        <v>210</v>
      </c>
      <c r="N800" t="s">
        <v>753</v>
      </c>
    </row>
    <row r="801" spans="1:17" ht="15" customHeight="1" x14ac:dyDescent="0.25">
      <c r="A801" t="s">
        <v>138</v>
      </c>
      <c r="B801" t="s">
        <v>623</v>
      </c>
      <c r="C801">
        <v>7</v>
      </c>
      <c r="D801" t="s">
        <v>40</v>
      </c>
      <c r="E801" t="s">
        <v>41</v>
      </c>
      <c r="F801" t="s">
        <v>209</v>
      </c>
      <c r="G801" t="s">
        <v>624</v>
      </c>
      <c r="H801" t="s">
        <v>645</v>
      </c>
      <c r="J801" t="s">
        <v>138</v>
      </c>
      <c r="K801" t="s">
        <v>45</v>
      </c>
      <c r="L801">
        <v>871300000</v>
      </c>
      <c r="M801" t="s">
        <v>210</v>
      </c>
      <c r="N801" t="s">
        <v>754</v>
      </c>
    </row>
    <row r="802" spans="1:17" ht="15" customHeight="1" x14ac:dyDescent="0.25">
      <c r="A802" t="s">
        <v>138</v>
      </c>
      <c r="B802" t="s">
        <v>623</v>
      </c>
      <c r="C802">
        <v>7</v>
      </c>
      <c r="D802" t="s">
        <v>40</v>
      </c>
      <c r="E802" t="s">
        <v>41</v>
      </c>
      <c r="F802" t="s">
        <v>209</v>
      </c>
      <c r="G802" t="s">
        <v>624</v>
      </c>
      <c r="H802" t="s">
        <v>647</v>
      </c>
      <c r="J802" t="s">
        <v>138</v>
      </c>
      <c r="K802" t="s">
        <v>45</v>
      </c>
      <c r="L802">
        <v>261300000</v>
      </c>
      <c r="M802" t="s">
        <v>210</v>
      </c>
      <c r="N802" t="s">
        <v>755</v>
      </c>
    </row>
    <row r="803" spans="1:17" ht="15" customHeight="1" x14ac:dyDescent="0.25">
      <c r="A803" t="s">
        <v>138</v>
      </c>
      <c r="B803" t="s">
        <v>623</v>
      </c>
      <c r="C803">
        <v>7</v>
      </c>
      <c r="D803" t="s">
        <v>74</v>
      </c>
      <c r="E803" t="s">
        <v>75</v>
      </c>
      <c r="F803" t="s">
        <v>198</v>
      </c>
      <c r="G803" t="s">
        <v>199</v>
      </c>
      <c r="J803" t="s">
        <v>107</v>
      </c>
      <c r="K803" t="s">
        <v>77</v>
      </c>
      <c r="L803">
        <v>17090000</v>
      </c>
      <c r="M803" t="s">
        <v>46</v>
      </c>
      <c r="N803" t="s">
        <v>714</v>
      </c>
      <c r="O803" t="s">
        <v>79</v>
      </c>
      <c r="P803" t="s">
        <v>103</v>
      </c>
    </row>
    <row r="804" spans="1:17" ht="15" customHeight="1" x14ac:dyDescent="0.25">
      <c r="A804" t="s">
        <v>138</v>
      </c>
      <c r="B804" t="s">
        <v>623</v>
      </c>
      <c r="C804">
        <v>7</v>
      </c>
      <c r="D804" t="s">
        <v>74</v>
      </c>
      <c r="E804" t="s">
        <v>75</v>
      </c>
      <c r="F804" t="s">
        <v>198</v>
      </c>
      <c r="G804" t="s">
        <v>199</v>
      </c>
      <c r="J804" t="s">
        <v>122</v>
      </c>
      <c r="K804" t="s">
        <v>77</v>
      </c>
      <c r="L804">
        <v>18420000</v>
      </c>
      <c r="M804" t="s">
        <v>46</v>
      </c>
      <c r="N804" t="s">
        <v>736</v>
      </c>
      <c r="O804" t="s">
        <v>79</v>
      </c>
      <c r="P804" t="s">
        <v>103</v>
      </c>
    </row>
    <row r="805" spans="1:17" ht="15" customHeight="1" x14ac:dyDescent="0.25">
      <c r="A805" t="s">
        <v>138</v>
      </c>
      <c r="B805" t="s">
        <v>623</v>
      </c>
      <c r="C805">
        <v>7</v>
      </c>
      <c r="D805" t="s">
        <v>74</v>
      </c>
      <c r="E805" t="s">
        <v>75</v>
      </c>
      <c r="F805" t="s">
        <v>42</v>
      </c>
      <c r="G805" t="s">
        <v>43</v>
      </c>
      <c r="J805" t="s">
        <v>107</v>
      </c>
      <c r="K805" t="s">
        <v>77</v>
      </c>
      <c r="L805">
        <v>4650000</v>
      </c>
      <c r="M805" t="s">
        <v>46</v>
      </c>
      <c r="N805" t="s">
        <v>715</v>
      </c>
      <c r="O805" t="s">
        <v>79</v>
      </c>
      <c r="P805" t="s">
        <v>103</v>
      </c>
    </row>
    <row r="806" spans="1:17" ht="15" customHeight="1" x14ac:dyDescent="0.25">
      <c r="A806" t="s">
        <v>138</v>
      </c>
      <c r="B806" t="s">
        <v>623</v>
      </c>
      <c r="C806">
        <v>7</v>
      </c>
      <c r="D806" t="s">
        <v>74</v>
      </c>
      <c r="E806" t="s">
        <v>75</v>
      </c>
      <c r="F806" t="s">
        <v>42</v>
      </c>
      <c r="G806" t="s">
        <v>43</v>
      </c>
      <c r="J806" t="s">
        <v>122</v>
      </c>
      <c r="K806" t="s">
        <v>77</v>
      </c>
      <c r="L806">
        <v>4760000</v>
      </c>
      <c r="M806" t="s">
        <v>46</v>
      </c>
      <c r="N806" t="s">
        <v>737</v>
      </c>
      <c r="O806" t="s">
        <v>79</v>
      </c>
      <c r="P806" t="s">
        <v>103</v>
      </c>
    </row>
    <row r="807" spans="1:17" ht="15" customHeight="1" x14ac:dyDescent="0.25">
      <c r="A807" t="s">
        <v>138</v>
      </c>
      <c r="B807" t="s">
        <v>623</v>
      </c>
      <c r="C807">
        <v>7</v>
      </c>
      <c r="D807" t="s">
        <v>74</v>
      </c>
      <c r="E807" t="s">
        <v>75</v>
      </c>
      <c r="F807" t="s">
        <v>209</v>
      </c>
      <c r="G807" t="s">
        <v>199</v>
      </c>
      <c r="J807" t="s">
        <v>107</v>
      </c>
      <c r="K807" t="s">
        <v>77</v>
      </c>
      <c r="L807">
        <v>3670000000</v>
      </c>
      <c r="M807" t="s">
        <v>210</v>
      </c>
      <c r="N807" t="s">
        <v>716</v>
      </c>
      <c r="O807" t="s">
        <v>79</v>
      </c>
      <c r="P807" t="s">
        <v>103</v>
      </c>
    </row>
    <row r="808" spans="1:17" ht="15" customHeight="1" x14ac:dyDescent="0.25">
      <c r="A808" t="s">
        <v>138</v>
      </c>
      <c r="B808" t="s">
        <v>623</v>
      </c>
      <c r="C808">
        <v>7</v>
      </c>
      <c r="D808" t="s">
        <v>74</v>
      </c>
      <c r="E808" t="s">
        <v>75</v>
      </c>
      <c r="F808" t="s">
        <v>209</v>
      </c>
      <c r="G808" t="s">
        <v>199</v>
      </c>
      <c r="J808" t="s">
        <v>122</v>
      </c>
      <c r="K808" t="s">
        <v>77</v>
      </c>
      <c r="L808">
        <v>3830000000</v>
      </c>
      <c r="M808" t="s">
        <v>210</v>
      </c>
      <c r="N808" t="s">
        <v>738</v>
      </c>
      <c r="O808" t="s">
        <v>79</v>
      </c>
      <c r="P808" t="s">
        <v>103</v>
      </c>
    </row>
    <row r="809" spans="1:17" ht="15" customHeight="1" x14ac:dyDescent="0.25">
      <c r="A809" t="s">
        <v>138</v>
      </c>
      <c r="B809" t="s">
        <v>623</v>
      </c>
      <c r="C809">
        <v>7</v>
      </c>
      <c r="D809" t="s">
        <v>85</v>
      </c>
      <c r="E809" t="s">
        <v>86</v>
      </c>
      <c r="F809" t="s">
        <v>198</v>
      </c>
      <c r="G809" t="s">
        <v>199</v>
      </c>
      <c r="J809" t="s">
        <v>138</v>
      </c>
      <c r="K809" t="s">
        <v>45</v>
      </c>
      <c r="L809">
        <v>19670000</v>
      </c>
      <c r="M809" t="s">
        <v>46</v>
      </c>
      <c r="N809" t="s">
        <v>756</v>
      </c>
    </row>
    <row r="810" spans="1:17" ht="15" customHeight="1" x14ac:dyDescent="0.25">
      <c r="A810" t="s">
        <v>138</v>
      </c>
      <c r="B810" t="s">
        <v>623</v>
      </c>
      <c r="C810">
        <v>7</v>
      </c>
      <c r="D810" t="s">
        <v>85</v>
      </c>
      <c r="E810" t="s">
        <v>86</v>
      </c>
      <c r="F810" t="s">
        <v>42</v>
      </c>
      <c r="G810" t="s">
        <v>43</v>
      </c>
      <c r="J810" t="s">
        <v>138</v>
      </c>
      <c r="K810" t="s">
        <v>45</v>
      </c>
      <c r="L810">
        <v>4900000</v>
      </c>
      <c r="M810" t="s">
        <v>46</v>
      </c>
      <c r="N810" t="s">
        <v>434</v>
      </c>
    </row>
    <row r="811" spans="1:17" ht="15" customHeight="1" x14ac:dyDescent="0.25">
      <c r="A811" t="s">
        <v>138</v>
      </c>
      <c r="B811" t="s">
        <v>623</v>
      </c>
      <c r="C811">
        <v>7</v>
      </c>
      <c r="D811" t="s">
        <v>85</v>
      </c>
      <c r="E811" t="s">
        <v>86</v>
      </c>
      <c r="F811" t="s">
        <v>209</v>
      </c>
      <c r="G811" t="s">
        <v>199</v>
      </c>
      <c r="J811" t="s">
        <v>138</v>
      </c>
      <c r="K811" t="s">
        <v>45</v>
      </c>
      <c r="L811">
        <v>4070000000</v>
      </c>
      <c r="M811" t="s">
        <v>210</v>
      </c>
      <c r="N811" t="s">
        <v>757</v>
      </c>
    </row>
    <row r="812" spans="1:17" ht="15" customHeight="1" x14ac:dyDescent="0.25">
      <c r="A812" t="s">
        <v>153</v>
      </c>
      <c r="B812" t="s">
        <v>623</v>
      </c>
      <c r="C812">
        <v>7</v>
      </c>
      <c r="D812" t="s">
        <v>40</v>
      </c>
      <c r="E812" t="s">
        <v>41</v>
      </c>
      <c r="F812" t="s">
        <v>198</v>
      </c>
      <c r="G812" t="s">
        <v>624</v>
      </c>
      <c r="H812" t="s">
        <v>625</v>
      </c>
      <c r="J812" t="s">
        <v>153</v>
      </c>
      <c r="K812" t="s">
        <v>45</v>
      </c>
      <c r="L812">
        <v>110000</v>
      </c>
      <c r="M812" t="s">
        <v>46</v>
      </c>
      <c r="N812" t="s">
        <v>680</v>
      </c>
      <c r="Q812" t="s">
        <v>627</v>
      </c>
    </row>
    <row r="813" spans="1:17" ht="15" customHeight="1" x14ac:dyDescent="0.25">
      <c r="A813" t="s">
        <v>153</v>
      </c>
      <c r="B813" t="s">
        <v>623</v>
      </c>
      <c r="C813">
        <v>7</v>
      </c>
      <c r="D813" t="s">
        <v>40</v>
      </c>
      <c r="E813" t="s">
        <v>41</v>
      </c>
      <c r="F813" t="s">
        <v>198</v>
      </c>
      <c r="G813" t="s">
        <v>199</v>
      </c>
      <c r="H813" t="s">
        <v>628</v>
      </c>
      <c r="J813" t="s">
        <v>153</v>
      </c>
      <c r="K813" t="s">
        <v>45</v>
      </c>
      <c r="L813">
        <v>4000000</v>
      </c>
      <c r="M813" t="s">
        <v>46</v>
      </c>
      <c r="N813" t="s">
        <v>758</v>
      </c>
    </row>
    <row r="814" spans="1:17" ht="15" customHeight="1" x14ac:dyDescent="0.25">
      <c r="A814" t="s">
        <v>153</v>
      </c>
      <c r="B814" t="s">
        <v>623</v>
      </c>
      <c r="C814">
        <v>7</v>
      </c>
      <c r="D814" t="s">
        <v>40</v>
      </c>
      <c r="E814" t="s">
        <v>41</v>
      </c>
      <c r="F814" t="s">
        <v>198</v>
      </c>
      <c r="G814" t="s">
        <v>199</v>
      </c>
      <c r="H814" t="s">
        <v>630</v>
      </c>
      <c r="J814" t="s">
        <v>153</v>
      </c>
      <c r="K814" t="s">
        <v>45</v>
      </c>
      <c r="L814">
        <v>16000000</v>
      </c>
      <c r="M814" t="s">
        <v>46</v>
      </c>
      <c r="N814" t="s">
        <v>739</v>
      </c>
    </row>
    <row r="815" spans="1:17" ht="15" customHeight="1" x14ac:dyDescent="0.25">
      <c r="A815" t="s">
        <v>153</v>
      </c>
      <c r="B815" t="s">
        <v>623</v>
      </c>
      <c r="C815">
        <v>7</v>
      </c>
      <c r="D815" t="s">
        <v>40</v>
      </c>
      <c r="E815" t="s">
        <v>41</v>
      </c>
      <c r="F815" t="s">
        <v>198</v>
      </c>
      <c r="G815" t="s">
        <v>624</v>
      </c>
      <c r="H815" t="s">
        <v>632</v>
      </c>
      <c r="J815" t="s">
        <v>153</v>
      </c>
      <c r="K815" t="s">
        <v>45</v>
      </c>
      <c r="L815">
        <v>360000</v>
      </c>
      <c r="M815" t="s">
        <v>46</v>
      </c>
      <c r="N815" t="s">
        <v>406</v>
      </c>
    </row>
    <row r="816" spans="1:17" ht="15" customHeight="1" x14ac:dyDescent="0.25">
      <c r="A816" t="s">
        <v>153</v>
      </c>
      <c r="B816" t="s">
        <v>623</v>
      </c>
      <c r="C816">
        <v>7</v>
      </c>
      <c r="D816" t="s">
        <v>40</v>
      </c>
      <c r="E816" t="s">
        <v>41</v>
      </c>
      <c r="F816" t="s">
        <v>198</v>
      </c>
      <c r="G816" t="s">
        <v>624</v>
      </c>
      <c r="H816" t="s">
        <v>634</v>
      </c>
      <c r="J816" t="s">
        <v>153</v>
      </c>
      <c r="K816" t="s">
        <v>45</v>
      </c>
      <c r="L816">
        <v>970000</v>
      </c>
      <c r="M816" t="s">
        <v>46</v>
      </c>
      <c r="N816" t="s">
        <v>759</v>
      </c>
    </row>
    <row r="817" spans="1:17" ht="15" customHeight="1" x14ac:dyDescent="0.25">
      <c r="A817" t="s">
        <v>153</v>
      </c>
      <c r="B817" t="s">
        <v>623</v>
      </c>
      <c r="C817">
        <v>7</v>
      </c>
      <c r="D817" t="s">
        <v>40</v>
      </c>
      <c r="E817" t="s">
        <v>41</v>
      </c>
      <c r="F817" t="s">
        <v>198</v>
      </c>
      <c r="G817" t="s">
        <v>624</v>
      </c>
      <c r="H817" t="s">
        <v>636</v>
      </c>
      <c r="J817" t="s">
        <v>153</v>
      </c>
      <c r="K817" t="s">
        <v>45</v>
      </c>
      <c r="L817">
        <v>110000</v>
      </c>
      <c r="M817" t="s">
        <v>46</v>
      </c>
      <c r="N817" t="s">
        <v>680</v>
      </c>
    </row>
    <row r="818" spans="1:17" ht="15" customHeight="1" x14ac:dyDescent="0.25">
      <c r="A818" t="s">
        <v>153</v>
      </c>
      <c r="B818" t="s">
        <v>623</v>
      </c>
      <c r="C818">
        <v>7</v>
      </c>
      <c r="D818" t="s">
        <v>40</v>
      </c>
      <c r="E818" t="s">
        <v>41</v>
      </c>
      <c r="F818" t="s">
        <v>198</v>
      </c>
      <c r="G818" t="s">
        <v>624</v>
      </c>
      <c r="H818" t="s">
        <v>638</v>
      </c>
      <c r="J818" t="s">
        <v>153</v>
      </c>
      <c r="K818" t="s">
        <v>45</v>
      </c>
      <c r="L818">
        <v>4410000</v>
      </c>
      <c r="M818" t="s">
        <v>46</v>
      </c>
      <c r="N818" t="s">
        <v>760</v>
      </c>
    </row>
    <row r="819" spans="1:17" ht="15" customHeight="1" x14ac:dyDescent="0.25">
      <c r="A819" t="s">
        <v>153</v>
      </c>
      <c r="B819" t="s">
        <v>623</v>
      </c>
      <c r="C819">
        <v>7</v>
      </c>
      <c r="D819" t="s">
        <v>40</v>
      </c>
      <c r="E819" t="s">
        <v>41</v>
      </c>
      <c r="F819" t="s">
        <v>198</v>
      </c>
      <c r="G819" t="s">
        <v>624</v>
      </c>
      <c r="H819" t="s">
        <v>640</v>
      </c>
      <c r="J819" t="s">
        <v>153</v>
      </c>
      <c r="K819" t="s">
        <v>45</v>
      </c>
      <c r="L819">
        <v>6320000</v>
      </c>
      <c r="M819" t="s">
        <v>46</v>
      </c>
      <c r="N819" t="s">
        <v>761</v>
      </c>
    </row>
    <row r="820" spans="1:17" ht="15" customHeight="1" x14ac:dyDescent="0.25">
      <c r="A820" t="s">
        <v>153</v>
      </c>
      <c r="B820" t="s">
        <v>623</v>
      </c>
      <c r="C820">
        <v>7</v>
      </c>
      <c r="D820" t="s">
        <v>40</v>
      </c>
      <c r="E820" t="s">
        <v>41</v>
      </c>
      <c r="F820" t="s">
        <v>198</v>
      </c>
      <c r="G820" t="s">
        <v>624</v>
      </c>
      <c r="H820" t="s">
        <v>642</v>
      </c>
      <c r="J820" t="s">
        <v>153</v>
      </c>
      <c r="K820" t="s">
        <v>45</v>
      </c>
      <c r="L820">
        <v>140000</v>
      </c>
      <c r="M820" t="s">
        <v>46</v>
      </c>
      <c r="N820" t="s">
        <v>743</v>
      </c>
    </row>
    <row r="821" spans="1:17" ht="15" customHeight="1" x14ac:dyDescent="0.25">
      <c r="A821" t="s">
        <v>153</v>
      </c>
      <c r="B821" t="s">
        <v>623</v>
      </c>
      <c r="C821">
        <v>7</v>
      </c>
      <c r="D821" t="s">
        <v>40</v>
      </c>
      <c r="E821" t="s">
        <v>41</v>
      </c>
      <c r="F821" t="s">
        <v>198</v>
      </c>
      <c r="G821" t="s">
        <v>624</v>
      </c>
      <c r="H821" t="s">
        <v>644</v>
      </c>
      <c r="J821" t="s">
        <v>153</v>
      </c>
      <c r="K821" t="s">
        <v>45</v>
      </c>
      <c r="L821">
        <v>180000</v>
      </c>
      <c r="M821" t="s">
        <v>46</v>
      </c>
      <c r="N821" t="s">
        <v>762</v>
      </c>
    </row>
    <row r="822" spans="1:17" ht="15" customHeight="1" x14ac:dyDescent="0.25">
      <c r="A822" t="s">
        <v>153</v>
      </c>
      <c r="B822" t="s">
        <v>623</v>
      </c>
      <c r="C822">
        <v>7</v>
      </c>
      <c r="D822" t="s">
        <v>40</v>
      </c>
      <c r="E822" t="s">
        <v>41</v>
      </c>
      <c r="F822" t="s">
        <v>198</v>
      </c>
      <c r="G822" t="s">
        <v>624</v>
      </c>
      <c r="H822" t="s">
        <v>645</v>
      </c>
      <c r="J822" t="s">
        <v>153</v>
      </c>
      <c r="K822" t="s">
        <v>45</v>
      </c>
      <c r="L822">
        <v>1740000</v>
      </c>
      <c r="M822" t="s">
        <v>46</v>
      </c>
      <c r="N822" t="s">
        <v>116</v>
      </c>
    </row>
    <row r="823" spans="1:17" ht="15" customHeight="1" x14ac:dyDescent="0.25">
      <c r="A823" t="s">
        <v>153</v>
      </c>
      <c r="B823" t="s">
        <v>623</v>
      </c>
      <c r="C823">
        <v>7</v>
      </c>
      <c r="D823" t="s">
        <v>40</v>
      </c>
      <c r="E823" t="s">
        <v>41</v>
      </c>
      <c r="F823" t="s">
        <v>198</v>
      </c>
      <c r="G823" t="s">
        <v>624</v>
      </c>
      <c r="H823" t="s">
        <v>647</v>
      </c>
      <c r="J823" t="s">
        <v>153</v>
      </c>
      <c r="K823" t="s">
        <v>45</v>
      </c>
      <c r="L823">
        <v>5650000</v>
      </c>
      <c r="M823" t="s">
        <v>46</v>
      </c>
      <c r="N823" t="s">
        <v>763</v>
      </c>
    </row>
    <row r="824" spans="1:17" ht="15" customHeight="1" x14ac:dyDescent="0.25">
      <c r="A824" t="s">
        <v>153</v>
      </c>
      <c r="B824" t="s">
        <v>623</v>
      </c>
      <c r="C824">
        <v>7</v>
      </c>
      <c r="D824" t="s">
        <v>40</v>
      </c>
      <c r="E824" t="s">
        <v>41</v>
      </c>
      <c r="F824" t="s">
        <v>209</v>
      </c>
      <c r="G824" t="s">
        <v>624</v>
      </c>
      <c r="H824" t="s">
        <v>649</v>
      </c>
      <c r="J824" t="s">
        <v>153</v>
      </c>
      <c r="K824" t="s">
        <v>45</v>
      </c>
      <c r="L824">
        <v>53100000</v>
      </c>
      <c r="M824" t="s">
        <v>210</v>
      </c>
      <c r="N824" t="s">
        <v>764</v>
      </c>
      <c r="Q824" t="s">
        <v>651</v>
      </c>
    </row>
    <row r="825" spans="1:17" ht="15" customHeight="1" x14ac:dyDescent="0.25">
      <c r="A825" t="s">
        <v>153</v>
      </c>
      <c r="B825" t="s">
        <v>623</v>
      </c>
      <c r="C825">
        <v>7</v>
      </c>
      <c r="D825" t="s">
        <v>40</v>
      </c>
      <c r="E825" t="s">
        <v>41</v>
      </c>
      <c r="F825" t="s">
        <v>209</v>
      </c>
      <c r="G825" t="s">
        <v>199</v>
      </c>
      <c r="H825" t="s">
        <v>628</v>
      </c>
      <c r="J825" t="s">
        <v>153</v>
      </c>
      <c r="K825" t="s">
        <v>45</v>
      </c>
      <c r="L825">
        <v>1100000000</v>
      </c>
      <c r="M825" t="s">
        <v>210</v>
      </c>
      <c r="N825" t="s">
        <v>765</v>
      </c>
    </row>
    <row r="826" spans="1:17" ht="15" customHeight="1" x14ac:dyDescent="0.25">
      <c r="A826" t="s">
        <v>153</v>
      </c>
      <c r="B826" t="s">
        <v>623</v>
      </c>
      <c r="C826">
        <v>7</v>
      </c>
      <c r="D826" t="s">
        <v>40</v>
      </c>
      <c r="E826" t="s">
        <v>41</v>
      </c>
      <c r="F826" t="s">
        <v>209</v>
      </c>
      <c r="G826" t="s">
        <v>199</v>
      </c>
      <c r="H826" t="s">
        <v>630</v>
      </c>
      <c r="J826" t="s">
        <v>153</v>
      </c>
      <c r="K826" t="s">
        <v>45</v>
      </c>
      <c r="L826">
        <v>3300000000</v>
      </c>
      <c r="M826" t="s">
        <v>210</v>
      </c>
      <c r="N826" t="s">
        <v>766</v>
      </c>
    </row>
    <row r="827" spans="1:17" ht="15" customHeight="1" x14ac:dyDescent="0.25">
      <c r="A827" t="s">
        <v>153</v>
      </c>
      <c r="B827" t="s">
        <v>623</v>
      </c>
      <c r="C827">
        <v>7</v>
      </c>
      <c r="D827" t="s">
        <v>40</v>
      </c>
      <c r="E827" t="s">
        <v>41</v>
      </c>
      <c r="F827" t="s">
        <v>209</v>
      </c>
      <c r="G827" t="s">
        <v>624</v>
      </c>
      <c r="H827" t="s">
        <v>632</v>
      </c>
      <c r="J827" t="s">
        <v>153</v>
      </c>
      <c r="K827" t="s">
        <v>45</v>
      </c>
      <c r="L827">
        <v>91500000</v>
      </c>
      <c r="M827" t="s">
        <v>210</v>
      </c>
      <c r="N827" t="s">
        <v>767</v>
      </c>
    </row>
    <row r="828" spans="1:17" ht="15" customHeight="1" x14ac:dyDescent="0.25">
      <c r="A828" t="s">
        <v>153</v>
      </c>
      <c r="B828" t="s">
        <v>623</v>
      </c>
      <c r="C828">
        <v>7</v>
      </c>
      <c r="D828" t="s">
        <v>40</v>
      </c>
      <c r="E828" t="s">
        <v>41</v>
      </c>
      <c r="F828" t="s">
        <v>209</v>
      </c>
      <c r="G828" t="s">
        <v>624</v>
      </c>
      <c r="H828" t="s">
        <v>634</v>
      </c>
      <c r="J828" t="s">
        <v>153</v>
      </c>
      <c r="K828" t="s">
        <v>45</v>
      </c>
      <c r="L828">
        <v>169600000</v>
      </c>
      <c r="M828" t="s">
        <v>210</v>
      </c>
      <c r="N828" t="s">
        <v>768</v>
      </c>
    </row>
    <row r="829" spans="1:17" ht="15" customHeight="1" x14ac:dyDescent="0.25">
      <c r="A829" t="s">
        <v>153</v>
      </c>
      <c r="B829" t="s">
        <v>623</v>
      </c>
      <c r="C829">
        <v>7</v>
      </c>
      <c r="D829" t="s">
        <v>40</v>
      </c>
      <c r="E829" t="s">
        <v>41</v>
      </c>
      <c r="F829" t="s">
        <v>209</v>
      </c>
      <c r="G829" t="s">
        <v>624</v>
      </c>
      <c r="H829" t="s">
        <v>636</v>
      </c>
      <c r="J829" t="s">
        <v>153</v>
      </c>
      <c r="K829" t="s">
        <v>45</v>
      </c>
      <c r="L829">
        <v>45100000</v>
      </c>
      <c r="M829" t="s">
        <v>210</v>
      </c>
      <c r="N829" t="s">
        <v>769</v>
      </c>
    </row>
    <row r="830" spans="1:17" ht="15" customHeight="1" x14ac:dyDescent="0.25">
      <c r="A830" t="s">
        <v>153</v>
      </c>
      <c r="B830" t="s">
        <v>623</v>
      </c>
      <c r="C830">
        <v>7</v>
      </c>
      <c r="D830" t="s">
        <v>40</v>
      </c>
      <c r="E830" t="s">
        <v>41</v>
      </c>
      <c r="F830" t="s">
        <v>209</v>
      </c>
      <c r="G830" t="s">
        <v>624</v>
      </c>
      <c r="H830" t="s">
        <v>638</v>
      </c>
      <c r="J830" t="s">
        <v>153</v>
      </c>
      <c r="K830" t="s">
        <v>45</v>
      </c>
      <c r="L830">
        <v>2500000000</v>
      </c>
      <c r="M830" t="s">
        <v>210</v>
      </c>
      <c r="N830" t="s">
        <v>770</v>
      </c>
    </row>
    <row r="831" spans="1:17" ht="15" customHeight="1" x14ac:dyDescent="0.25">
      <c r="A831" t="s">
        <v>153</v>
      </c>
      <c r="B831" t="s">
        <v>623</v>
      </c>
      <c r="C831">
        <v>7</v>
      </c>
      <c r="D831" t="s">
        <v>40</v>
      </c>
      <c r="E831" t="s">
        <v>41</v>
      </c>
      <c r="F831" t="s">
        <v>209</v>
      </c>
      <c r="G831" t="s">
        <v>624</v>
      </c>
      <c r="H831" t="s">
        <v>640</v>
      </c>
      <c r="J831" t="s">
        <v>153</v>
      </c>
      <c r="K831" t="s">
        <v>45</v>
      </c>
      <c r="L831">
        <v>103400000</v>
      </c>
      <c r="M831" t="s">
        <v>210</v>
      </c>
      <c r="N831" t="s">
        <v>771</v>
      </c>
    </row>
    <row r="832" spans="1:17" ht="15" customHeight="1" x14ac:dyDescent="0.25">
      <c r="A832" t="s">
        <v>153</v>
      </c>
      <c r="B832" t="s">
        <v>623</v>
      </c>
      <c r="C832">
        <v>7</v>
      </c>
      <c r="D832" t="s">
        <v>40</v>
      </c>
      <c r="E832" t="s">
        <v>41</v>
      </c>
      <c r="F832" t="s">
        <v>209</v>
      </c>
      <c r="G832" t="s">
        <v>624</v>
      </c>
      <c r="H832" t="s">
        <v>642</v>
      </c>
      <c r="J832" t="s">
        <v>153</v>
      </c>
      <c r="K832" t="s">
        <v>45</v>
      </c>
      <c r="L832">
        <v>41000000</v>
      </c>
      <c r="M832" t="s">
        <v>210</v>
      </c>
      <c r="N832" t="s">
        <v>772</v>
      </c>
    </row>
    <row r="833" spans="1:17" ht="15" customHeight="1" x14ac:dyDescent="0.25">
      <c r="A833" t="s">
        <v>153</v>
      </c>
      <c r="B833" t="s">
        <v>623</v>
      </c>
      <c r="C833">
        <v>7</v>
      </c>
      <c r="D833" t="s">
        <v>40</v>
      </c>
      <c r="E833" t="s">
        <v>41</v>
      </c>
      <c r="F833" t="s">
        <v>209</v>
      </c>
      <c r="G833" t="s">
        <v>624</v>
      </c>
      <c r="H833" t="s">
        <v>644</v>
      </c>
      <c r="J833" t="s">
        <v>153</v>
      </c>
      <c r="K833" t="s">
        <v>45</v>
      </c>
      <c r="L833">
        <v>17800000</v>
      </c>
      <c r="M833" t="s">
        <v>210</v>
      </c>
      <c r="N833" t="s">
        <v>773</v>
      </c>
    </row>
    <row r="834" spans="1:17" ht="15" customHeight="1" x14ac:dyDescent="0.25">
      <c r="A834" t="s">
        <v>153</v>
      </c>
      <c r="B834" t="s">
        <v>623</v>
      </c>
      <c r="C834">
        <v>7</v>
      </c>
      <c r="D834" t="s">
        <v>40</v>
      </c>
      <c r="E834" t="s">
        <v>41</v>
      </c>
      <c r="F834" t="s">
        <v>209</v>
      </c>
      <c r="G834" t="s">
        <v>624</v>
      </c>
      <c r="H834" t="s">
        <v>645</v>
      </c>
      <c r="J834" t="s">
        <v>153</v>
      </c>
      <c r="K834" t="s">
        <v>45</v>
      </c>
      <c r="L834">
        <v>1100000000</v>
      </c>
      <c r="M834" t="s">
        <v>210</v>
      </c>
      <c r="N834" t="s">
        <v>765</v>
      </c>
    </row>
    <row r="835" spans="1:17" ht="15" customHeight="1" x14ac:dyDescent="0.25">
      <c r="A835" t="s">
        <v>153</v>
      </c>
      <c r="B835" t="s">
        <v>623</v>
      </c>
      <c r="C835">
        <v>7</v>
      </c>
      <c r="D835" t="s">
        <v>40</v>
      </c>
      <c r="E835" t="s">
        <v>41</v>
      </c>
      <c r="F835" t="s">
        <v>209</v>
      </c>
      <c r="G835" t="s">
        <v>624</v>
      </c>
      <c r="H835" t="s">
        <v>647</v>
      </c>
      <c r="J835" t="s">
        <v>153</v>
      </c>
      <c r="K835" t="s">
        <v>45</v>
      </c>
      <c r="L835">
        <v>231000000</v>
      </c>
      <c r="M835" t="s">
        <v>210</v>
      </c>
      <c r="N835" t="s">
        <v>774</v>
      </c>
    </row>
    <row r="836" spans="1:17" ht="15" customHeight="1" x14ac:dyDescent="0.25">
      <c r="A836" t="s">
        <v>153</v>
      </c>
      <c r="B836" t="s">
        <v>623</v>
      </c>
      <c r="C836">
        <v>7</v>
      </c>
      <c r="D836" t="s">
        <v>74</v>
      </c>
      <c r="E836" t="s">
        <v>75</v>
      </c>
      <c r="F836" t="s">
        <v>198</v>
      </c>
      <c r="G836" t="s">
        <v>199</v>
      </c>
      <c r="J836" t="s">
        <v>107</v>
      </c>
      <c r="K836" t="s">
        <v>77</v>
      </c>
      <c r="L836">
        <v>17090000</v>
      </c>
      <c r="M836" t="s">
        <v>46</v>
      </c>
      <c r="N836" t="s">
        <v>714</v>
      </c>
      <c r="O836" t="s">
        <v>79</v>
      </c>
      <c r="P836" t="s">
        <v>103</v>
      </c>
    </row>
    <row r="837" spans="1:17" ht="15" customHeight="1" x14ac:dyDescent="0.25">
      <c r="A837" t="s">
        <v>153</v>
      </c>
      <c r="B837" t="s">
        <v>623</v>
      </c>
      <c r="C837">
        <v>7</v>
      </c>
      <c r="D837" t="s">
        <v>74</v>
      </c>
      <c r="E837" t="s">
        <v>75</v>
      </c>
      <c r="F837" t="s">
        <v>198</v>
      </c>
      <c r="G837" t="s">
        <v>199</v>
      </c>
      <c r="J837" t="s">
        <v>122</v>
      </c>
      <c r="K837" t="s">
        <v>77</v>
      </c>
      <c r="L837">
        <v>18420000</v>
      </c>
      <c r="M837" t="s">
        <v>46</v>
      </c>
      <c r="N837" t="s">
        <v>736</v>
      </c>
      <c r="O837" t="s">
        <v>79</v>
      </c>
      <c r="P837" t="s">
        <v>103</v>
      </c>
    </row>
    <row r="838" spans="1:17" ht="15" customHeight="1" x14ac:dyDescent="0.25">
      <c r="A838" t="s">
        <v>153</v>
      </c>
      <c r="B838" t="s">
        <v>623</v>
      </c>
      <c r="C838">
        <v>7</v>
      </c>
      <c r="D838" t="s">
        <v>74</v>
      </c>
      <c r="E838" t="s">
        <v>75</v>
      </c>
      <c r="F838" t="s">
        <v>198</v>
      </c>
      <c r="G838" t="s">
        <v>199</v>
      </c>
      <c r="J838" t="s">
        <v>138</v>
      </c>
      <c r="K838" t="s">
        <v>77</v>
      </c>
      <c r="L838">
        <v>19670000</v>
      </c>
      <c r="M838" t="s">
        <v>46</v>
      </c>
      <c r="N838" t="s">
        <v>756</v>
      </c>
      <c r="O838" t="s">
        <v>79</v>
      </c>
      <c r="P838" t="s">
        <v>103</v>
      </c>
    </row>
    <row r="839" spans="1:17" ht="15" customHeight="1" x14ac:dyDescent="0.25">
      <c r="A839" t="s">
        <v>153</v>
      </c>
      <c r="B839" t="s">
        <v>623</v>
      </c>
      <c r="C839">
        <v>7</v>
      </c>
      <c r="D839" t="s">
        <v>74</v>
      </c>
      <c r="E839" t="s">
        <v>75</v>
      </c>
      <c r="F839" t="s">
        <v>42</v>
      </c>
      <c r="G839" t="s">
        <v>43</v>
      </c>
      <c r="J839" t="s">
        <v>107</v>
      </c>
      <c r="K839" t="s">
        <v>77</v>
      </c>
      <c r="L839">
        <v>4650000</v>
      </c>
      <c r="M839" t="s">
        <v>46</v>
      </c>
      <c r="N839" t="s">
        <v>715</v>
      </c>
      <c r="O839" t="s">
        <v>79</v>
      </c>
      <c r="P839" t="s">
        <v>103</v>
      </c>
    </row>
    <row r="840" spans="1:17" ht="15" customHeight="1" x14ac:dyDescent="0.25">
      <c r="A840" t="s">
        <v>153</v>
      </c>
      <c r="B840" t="s">
        <v>623</v>
      </c>
      <c r="C840">
        <v>7</v>
      </c>
      <c r="D840" t="s">
        <v>74</v>
      </c>
      <c r="E840" t="s">
        <v>75</v>
      </c>
      <c r="F840" t="s">
        <v>42</v>
      </c>
      <c r="G840" t="s">
        <v>43</v>
      </c>
      <c r="J840" t="s">
        <v>122</v>
      </c>
      <c r="K840" t="s">
        <v>77</v>
      </c>
      <c r="L840">
        <v>4760000</v>
      </c>
      <c r="M840" t="s">
        <v>46</v>
      </c>
      <c r="N840" t="s">
        <v>737</v>
      </c>
      <c r="O840" t="s">
        <v>79</v>
      </c>
      <c r="P840" t="s">
        <v>103</v>
      </c>
    </row>
    <row r="841" spans="1:17" ht="15" customHeight="1" x14ac:dyDescent="0.25">
      <c r="A841" t="s">
        <v>153</v>
      </c>
      <c r="B841" t="s">
        <v>623</v>
      </c>
      <c r="C841">
        <v>7</v>
      </c>
      <c r="D841" t="s">
        <v>74</v>
      </c>
      <c r="E841" t="s">
        <v>75</v>
      </c>
      <c r="F841" t="s">
        <v>42</v>
      </c>
      <c r="G841" t="s">
        <v>43</v>
      </c>
      <c r="J841" t="s">
        <v>138</v>
      </c>
      <c r="K841" t="s">
        <v>77</v>
      </c>
      <c r="L841">
        <v>4900000</v>
      </c>
      <c r="M841" t="s">
        <v>46</v>
      </c>
      <c r="N841" t="s">
        <v>434</v>
      </c>
      <c r="O841" t="s">
        <v>79</v>
      </c>
      <c r="P841" t="s">
        <v>103</v>
      </c>
    </row>
    <row r="842" spans="1:17" ht="15" customHeight="1" x14ac:dyDescent="0.25">
      <c r="A842" t="s">
        <v>153</v>
      </c>
      <c r="B842" t="s">
        <v>623</v>
      </c>
      <c r="C842">
        <v>7</v>
      </c>
      <c r="D842" t="s">
        <v>74</v>
      </c>
      <c r="E842" t="s">
        <v>75</v>
      </c>
      <c r="F842" t="s">
        <v>209</v>
      </c>
      <c r="G842" t="s">
        <v>199</v>
      </c>
      <c r="J842" t="s">
        <v>107</v>
      </c>
      <c r="K842" t="s">
        <v>77</v>
      </c>
      <c r="L842">
        <v>3670000000</v>
      </c>
      <c r="M842" t="s">
        <v>210</v>
      </c>
      <c r="N842" t="s">
        <v>716</v>
      </c>
      <c r="O842" t="s">
        <v>79</v>
      </c>
      <c r="P842" t="s">
        <v>103</v>
      </c>
    </row>
    <row r="843" spans="1:17" ht="15" customHeight="1" x14ac:dyDescent="0.25">
      <c r="A843" t="s">
        <v>153</v>
      </c>
      <c r="B843" t="s">
        <v>623</v>
      </c>
      <c r="C843">
        <v>7</v>
      </c>
      <c r="D843" t="s">
        <v>74</v>
      </c>
      <c r="E843" t="s">
        <v>75</v>
      </c>
      <c r="F843" t="s">
        <v>209</v>
      </c>
      <c r="G843" t="s">
        <v>199</v>
      </c>
      <c r="J843" t="s">
        <v>122</v>
      </c>
      <c r="K843" t="s">
        <v>77</v>
      </c>
      <c r="L843">
        <v>3830000000</v>
      </c>
      <c r="M843" t="s">
        <v>210</v>
      </c>
      <c r="N843" t="s">
        <v>738</v>
      </c>
      <c r="O843" t="s">
        <v>79</v>
      </c>
      <c r="P843" t="s">
        <v>103</v>
      </c>
    </row>
    <row r="844" spans="1:17" ht="15" customHeight="1" x14ac:dyDescent="0.25">
      <c r="A844" t="s">
        <v>153</v>
      </c>
      <c r="B844" t="s">
        <v>623</v>
      </c>
      <c r="C844">
        <v>7</v>
      </c>
      <c r="D844" t="s">
        <v>74</v>
      </c>
      <c r="E844" t="s">
        <v>75</v>
      </c>
      <c r="F844" t="s">
        <v>209</v>
      </c>
      <c r="G844" t="s">
        <v>199</v>
      </c>
      <c r="J844" t="s">
        <v>138</v>
      </c>
      <c r="K844" t="s">
        <v>77</v>
      </c>
      <c r="L844">
        <v>4070000000</v>
      </c>
      <c r="M844" t="s">
        <v>210</v>
      </c>
      <c r="N844" t="s">
        <v>757</v>
      </c>
      <c r="O844" t="s">
        <v>79</v>
      </c>
      <c r="P844" t="s">
        <v>103</v>
      </c>
    </row>
    <row r="845" spans="1:17" ht="15" customHeight="1" x14ac:dyDescent="0.25">
      <c r="A845" t="s">
        <v>153</v>
      </c>
      <c r="B845" t="s">
        <v>623</v>
      </c>
      <c r="C845">
        <v>7</v>
      </c>
      <c r="D845" t="s">
        <v>85</v>
      </c>
      <c r="E845" t="s">
        <v>86</v>
      </c>
      <c r="F845" t="s">
        <v>198</v>
      </c>
      <c r="G845" t="s">
        <v>199</v>
      </c>
      <c r="J845" t="s">
        <v>153</v>
      </c>
      <c r="K845" t="s">
        <v>45</v>
      </c>
      <c r="L845">
        <v>20240000</v>
      </c>
      <c r="M845" t="s">
        <v>46</v>
      </c>
      <c r="N845" t="s">
        <v>775</v>
      </c>
    </row>
    <row r="846" spans="1:17" ht="15" customHeight="1" x14ac:dyDescent="0.25">
      <c r="A846" t="s">
        <v>153</v>
      </c>
      <c r="B846" t="s">
        <v>623</v>
      </c>
      <c r="C846">
        <v>7</v>
      </c>
      <c r="D846" t="s">
        <v>85</v>
      </c>
      <c r="E846" t="s">
        <v>86</v>
      </c>
      <c r="F846" t="s">
        <v>42</v>
      </c>
      <c r="G846" t="s">
        <v>43</v>
      </c>
      <c r="J846" t="s">
        <v>153</v>
      </c>
      <c r="K846" t="s">
        <v>45</v>
      </c>
      <c r="L846">
        <v>5040000</v>
      </c>
      <c r="M846" t="s">
        <v>46</v>
      </c>
      <c r="N846" t="s">
        <v>683</v>
      </c>
    </row>
    <row r="847" spans="1:17" ht="15" customHeight="1" x14ac:dyDescent="0.25">
      <c r="A847" t="s">
        <v>153</v>
      </c>
      <c r="B847" t="s">
        <v>623</v>
      </c>
      <c r="C847">
        <v>7</v>
      </c>
      <c r="D847" t="s">
        <v>85</v>
      </c>
      <c r="E847" t="s">
        <v>86</v>
      </c>
      <c r="F847" t="s">
        <v>209</v>
      </c>
      <c r="G847" t="s">
        <v>199</v>
      </c>
      <c r="J847" t="s">
        <v>153</v>
      </c>
      <c r="K847" t="s">
        <v>45</v>
      </c>
      <c r="L847">
        <v>4420000000</v>
      </c>
      <c r="M847" t="s">
        <v>210</v>
      </c>
      <c r="N847" t="s">
        <v>776</v>
      </c>
    </row>
    <row r="848" spans="1:17" ht="15" customHeight="1" x14ac:dyDescent="0.25">
      <c r="A848" t="s">
        <v>169</v>
      </c>
      <c r="B848" t="s">
        <v>623</v>
      </c>
      <c r="C848">
        <v>7</v>
      </c>
      <c r="D848" t="s">
        <v>40</v>
      </c>
      <c r="E848" t="s">
        <v>41</v>
      </c>
      <c r="F848" t="s">
        <v>198</v>
      </c>
      <c r="G848" t="s">
        <v>624</v>
      </c>
      <c r="H848" t="s">
        <v>625</v>
      </c>
      <c r="J848" t="s">
        <v>169</v>
      </c>
      <c r="K848" t="s">
        <v>45</v>
      </c>
      <c r="L848">
        <v>160000</v>
      </c>
      <c r="M848" t="s">
        <v>46</v>
      </c>
      <c r="N848" t="s">
        <v>722</v>
      </c>
      <c r="Q848" t="s">
        <v>627</v>
      </c>
    </row>
    <row r="849" spans="1:17" ht="15" customHeight="1" x14ac:dyDescent="0.25">
      <c r="A849" t="s">
        <v>169</v>
      </c>
      <c r="B849" t="s">
        <v>623</v>
      </c>
      <c r="C849">
        <v>7</v>
      </c>
      <c r="D849" t="s">
        <v>40</v>
      </c>
      <c r="E849" t="s">
        <v>41</v>
      </c>
      <c r="F849" t="s">
        <v>198</v>
      </c>
      <c r="G849" t="s">
        <v>199</v>
      </c>
      <c r="H849" t="s">
        <v>628</v>
      </c>
      <c r="J849" t="s">
        <v>169</v>
      </c>
      <c r="K849" t="s">
        <v>45</v>
      </c>
      <c r="L849">
        <v>3700000</v>
      </c>
      <c r="M849" t="s">
        <v>46</v>
      </c>
      <c r="N849" t="s">
        <v>629</v>
      </c>
    </row>
    <row r="850" spans="1:17" ht="15" customHeight="1" x14ac:dyDescent="0.25">
      <c r="A850" t="s">
        <v>169</v>
      </c>
      <c r="B850" t="s">
        <v>623</v>
      </c>
      <c r="C850">
        <v>7</v>
      </c>
      <c r="D850" t="s">
        <v>40</v>
      </c>
      <c r="E850" t="s">
        <v>41</v>
      </c>
      <c r="F850" t="s">
        <v>198</v>
      </c>
      <c r="G850" t="s">
        <v>199</v>
      </c>
      <c r="H850" t="s">
        <v>630</v>
      </c>
      <c r="J850" t="s">
        <v>169</v>
      </c>
      <c r="K850" t="s">
        <v>45</v>
      </c>
      <c r="L850">
        <v>16700000</v>
      </c>
      <c r="M850" t="s">
        <v>46</v>
      </c>
      <c r="N850" t="s">
        <v>532</v>
      </c>
    </row>
    <row r="851" spans="1:17" ht="15" customHeight="1" x14ac:dyDescent="0.25">
      <c r="A851" t="s">
        <v>169</v>
      </c>
      <c r="B851" t="s">
        <v>623</v>
      </c>
      <c r="C851">
        <v>7</v>
      </c>
      <c r="D851" t="s">
        <v>40</v>
      </c>
      <c r="E851" t="s">
        <v>41</v>
      </c>
      <c r="F851" t="s">
        <v>198</v>
      </c>
      <c r="G851" t="s">
        <v>624</v>
      </c>
      <c r="H851" t="s">
        <v>632</v>
      </c>
      <c r="J851" t="s">
        <v>169</v>
      </c>
      <c r="K851" t="s">
        <v>45</v>
      </c>
      <c r="L851">
        <v>470000</v>
      </c>
      <c r="M851" t="s">
        <v>46</v>
      </c>
      <c r="N851" t="s">
        <v>777</v>
      </c>
    </row>
    <row r="852" spans="1:17" ht="15" customHeight="1" x14ac:dyDescent="0.25">
      <c r="A852" t="s">
        <v>169</v>
      </c>
      <c r="B852" t="s">
        <v>623</v>
      </c>
      <c r="C852">
        <v>7</v>
      </c>
      <c r="D852" t="s">
        <v>40</v>
      </c>
      <c r="E852" t="s">
        <v>41</v>
      </c>
      <c r="F852" t="s">
        <v>198</v>
      </c>
      <c r="G852" t="s">
        <v>624</v>
      </c>
      <c r="H852" t="s">
        <v>634</v>
      </c>
      <c r="J852" t="s">
        <v>169</v>
      </c>
      <c r="K852" t="s">
        <v>45</v>
      </c>
      <c r="L852">
        <v>950000</v>
      </c>
      <c r="M852" t="s">
        <v>46</v>
      </c>
      <c r="N852" t="s">
        <v>778</v>
      </c>
    </row>
    <row r="853" spans="1:17" ht="15" customHeight="1" x14ac:dyDescent="0.25">
      <c r="A853" t="s">
        <v>169</v>
      </c>
      <c r="B853" t="s">
        <v>623</v>
      </c>
      <c r="C853">
        <v>7</v>
      </c>
      <c r="D853" t="s">
        <v>40</v>
      </c>
      <c r="E853" t="s">
        <v>41</v>
      </c>
      <c r="F853" t="s">
        <v>198</v>
      </c>
      <c r="G853" t="s">
        <v>624</v>
      </c>
      <c r="H853" t="s">
        <v>636</v>
      </c>
      <c r="J853" t="s">
        <v>169</v>
      </c>
      <c r="K853" t="s">
        <v>45</v>
      </c>
      <c r="L853">
        <v>110000</v>
      </c>
      <c r="M853" t="s">
        <v>46</v>
      </c>
      <c r="N853" t="s">
        <v>680</v>
      </c>
    </row>
    <row r="854" spans="1:17" ht="15" customHeight="1" x14ac:dyDescent="0.25">
      <c r="A854" t="s">
        <v>169</v>
      </c>
      <c r="B854" t="s">
        <v>623</v>
      </c>
      <c r="C854">
        <v>7</v>
      </c>
      <c r="D854" t="s">
        <v>40</v>
      </c>
      <c r="E854" t="s">
        <v>41</v>
      </c>
      <c r="F854" t="s">
        <v>198</v>
      </c>
      <c r="G854" t="s">
        <v>624</v>
      </c>
      <c r="H854" t="s">
        <v>638</v>
      </c>
      <c r="J854" t="s">
        <v>169</v>
      </c>
      <c r="K854" t="s">
        <v>45</v>
      </c>
      <c r="L854">
        <v>4590000</v>
      </c>
      <c r="M854" t="s">
        <v>46</v>
      </c>
      <c r="N854" t="s">
        <v>779</v>
      </c>
    </row>
    <row r="855" spans="1:17" ht="15" customHeight="1" x14ac:dyDescent="0.25">
      <c r="A855" t="s">
        <v>169</v>
      </c>
      <c r="B855" t="s">
        <v>623</v>
      </c>
      <c r="C855">
        <v>7</v>
      </c>
      <c r="D855" t="s">
        <v>40</v>
      </c>
      <c r="E855" t="s">
        <v>41</v>
      </c>
      <c r="F855" t="s">
        <v>198</v>
      </c>
      <c r="G855" t="s">
        <v>624</v>
      </c>
      <c r="H855" t="s">
        <v>640</v>
      </c>
      <c r="J855" t="s">
        <v>169</v>
      </c>
      <c r="K855" t="s">
        <v>45</v>
      </c>
      <c r="L855">
        <v>6310000</v>
      </c>
      <c r="M855" t="s">
        <v>46</v>
      </c>
      <c r="N855" t="s">
        <v>780</v>
      </c>
    </row>
    <row r="856" spans="1:17" ht="15" customHeight="1" x14ac:dyDescent="0.25">
      <c r="A856" t="s">
        <v>169</v>
      </c>
      <c r="B856" t="s">
        <v>623</v>
      </c>
      <c r="C856">
        <v>7</v>
      </c>
      <c r="D856" t="s">
        <v>40</v>
      </c>
      <c r="E856" t="s">
        <v>41</v>
      </c>
      <c r="F856" t="s">
        <v>198</v>
      </c>
      <c r="G856" t="s">
        <v>624</v>
      </c>
      <c r="H856" t="s">
        <v>642</v>
      </c>
      <c r="J856" t="s">
        <v>169</v>
      </c>
      <c r="K856" t="s">
        <v>45</v>
      </c>
      <c r="L856">
        <v>80000</v>
      </c>
      <c r="M856" t="s">
        <v>46</v>
      </c>
      <c r="N856" t="s">
        <v>677</v>
      </c>
    </row>
    <row r="857" spans="1:17" ht="15" customHeight="1" x14ac:dyDescent="0.25">
      <c r="A857" t="s">
        <v>169</v>
      </c>
      <c r="B857" t="s">
        <v>623</v>
      </c>
      <c r="C857">
        <v>7</v>
      </c>
      <c r="D857" t="s">
        <v>40</v>
      </c>
      <c r="E857" t="s">
        <v>41</v>
      </c>
      <c r="F857" t="s">
        <v>198</v>
      </c>
      <c r="G857" t="s">
        <v>624</v>
      </c>
      <c r="H857" t="s">
        <v>644</v>
      </c>
      <c r="J857" t="s">
        <v>169</v>
      </c>
      <c r="K857" t="s">
        <v>45</v>
      </c>
      <c r="L857">
        <v>160000</v>
      </c>
      <c r="M857" t="s">
        <v>46</v>
      </c>
      <c r="N857" t="s">
        <v>722</v>
      </c>
    </row>
    <row r="858" spans="1:17" ht="15" customHeight="1" x14ac:dyDescent="0.25">
      <c r="A858" t="s">
        <v>169</v>
      </c>
      <c r="B858" t="s">
        <v>623</v>
      </c>
      <c r="C858">
        <v>7</v>
      </c>
      <c r="D858" t="s">
        <v>40</v>
      </c>
      <c r="E858" t="s">
        <v>41</v>
      </c>
      <c r="F858" t="s">
        <v>198</v>
      </c>
      <c r="G858" t="s">
        <v>624</v>
      </c>
      <c r="H858" t="s">
        <v>645</v>
      </c>
      <c r="J858" t="s">
        <v>169</v>
      </c>
      <c r="K858" t="s">
        <v>45</v>
      </c>
      <c r="L858">
        <v>1680000</v>
      </c>
      <c r="M858" t="s">
        <v>46</v>
      </c>
      <c r="N858" t="s">
        <v>781</v>
      </c>
    </row>
    <row r="859" spans="1:17" ht="15" customHeight="1" x14ac:dyDescent="0.25">
      <c r="A859" t="s">
        <v>169</v>
      </c>
      <c r="B859" t="s">
        <v>623</v>
      </c>
      <c r="C859">
        <v>7</v>
      </c>
      <c r="D859" t="s">
        <v>40</v>
      </c>
      <c r="E859" t="s">
        <v>41</v>
      </c>
      <c r="F859" t="s">
        <v>198</v>
      </c>
      <c r="G859" t="s">
        <v>624</v>
      </c>
      <c r="H859" t="s">
        <v>647</v>
      </c>
      <c r="J859" t="s">
        <v>169</v>
      </c>
      <c r="K859" t="s">
        <v>45</v>
      </c>
      <c r="L859">
        <v>5680000</v>
      </c>
      <c r="M859" t="s">
        <v>46</v>
      </c>
      <c r="N859" t="s">
        <v>641</v>
      </c>
    </row>
    <row r="860" spans="1:17" ht="15" customHeight="1" x14ac:dyDescent="0.25">
      <c r="A860" t="s">
        <v>169</v>
      </c>
      <c r="B860" t="s">
        <v>623</v>
      </c>
      <c r="C860">
        <v>7</v>
      </c>
      <c r="D860" t="s">
        <v>40</v>
      </c>
      <c r="E860" t="s">
        <v>41</v>
      </c>
      <c r="F860" t="s">
        <v>209</v>
      </c>
      <c r="G860" t="s">
        <v>624</v>
      </c>
      <c r="H860" t="s">
        <v>649</v>
      </c>
      <c r="J860" t="s">
        <v>169</v>
      </c>
      <c r="K860" t="s">
        <v>45</v>
      </c>
      <c r="L860">
        <v>52200000</v>
      </c>
      <c r="M860" t="s">
        <v>210</v>
      </c>
      <c r="N860" t="s">
        <v>782</v>
      </c>
      <c r="Q860" t="s">
        <v>651</v>
      </c>
    </row>
    <row r="861" spans="1:17" ht="15" customHeight="1" x14ac:dyDescent="0.25">
      <c r="A861" t="s">
        <v>169</v>
      </c>
      <c r="B861" t="s">
        <v>623</v>
      </c>
      <c r="C861">
        <v>7</v>
      </c>
      <c r="D861" t="s">
        <v>40</v>
      </c>
      <c r="E861" t="s">
        <v>41</v>
      </c>
      <c r="F861" t="s">
        <v>209</v>
      </c>
      <c r="G861" t="s">
        <v>199</v>
      </c>
      <c r="H861" t="s">
        <v>628</v>
      </c>
      <c r="J861" t="s">
        <v>169</v>
      </c>
      <c r="K861" t="s">
        <v>45</v>
      </c>
      <c r="L861">
        <v>568000000</v>
      </c>
      <c r="M861" t="s">
        <v>210</v>
      </c>
      <c r="N861" t="s">
        <v>783</v>
      </c>
    </row>
    <row r="862" spans="1:17" ht="15" customHeight="1" x14ac:dyDescent="0.25">
      <c r="A862" t="s">
        <v>169</v>
      </c>
      <c r="B862" t="s">
        <v>623</v>
      </c>
      <c r="C862">
        <v>7</v>
      </c>
      <c r="D862" t="s">
        <v>40</v>
      </c>
      <c r="E862" t="s">
        <v>41</v>
      </c>
      <c r="F862" t="s">
        <v>209</v>
      </c>
      <c r="G862" t="s">
        <v>199</v>
      </c>
      <c r="H862" t="s">
        <v>630</v>
      </c>
      <c r="J862" t="s">
        <v>169</v>
      </c>
      <c r="K862" t="s">
        <v>45</v>
      </c>
      <c r="L862">
        <v>3300000000</v>
      </c>
      <c r="M862" t="s">
        <v>210</v>
      </c>
      <c r="N862" t="s">
        <v>766</v>
      </c>
    </row>
    <row r="863" spans="1:17" ht="15" customHeight="1" x14ac:dyDescent="0.25">
      <c r="A863" t="s">
        <v>169</v>
      </c>
      <c r="B863" t="s">
        <v>623</v>
      </c>
      <c r="C863">
        <v>7</v>
      </c>
      <c r="D863" t="s">
        <v>40</v>
      </c>
      <c r="E863" t="s">
        <v>41</v>
      </c>
      <c r="F863" t="s">
        <v>209</v>
      </c>
      <c r="G863" t="s">
        <v>624</v>
      </c>
      <c r="H863" t="s">
        <v>632</v>
      </c>
      <c r="J863" t="s">
        <v>169</v>
      </c>
      <c r="K863" t="s">
        <v>45</v>
      </c>
      <c r="L863">
        <v>134500000</v>
      </c>
      <c r="M863" t="s">
        <v>210</v>
      </c>
      <c r="N863" t="s">
        <v>784</v>
      </c>
    </row>
    <row r="864" spans="1:17" ht="15" customHeight="1" x14ac:dyDescent="0.25">
      <c r="A864" t="s">
        <v>169</v>
      </c>
      <c r="B864" t="s">
        <v>623</v>
      </c>
      <c r="C864">
        <v>7</v>
      </c>
      <c r="D864" t="s">
        <v>40</v>
      </c>
      <c r="E864" t="s">
        <v>41</v>
      </c>
      <c r="F864" t="s">
        <v>209</v>
      </c>
      <c r="G864" t="s">
        <v>624</v>
      </c>
      <c r="H864" t="s">
        <v>634</v>
      </c>
      <c r="J864" t="s">
        <v>169</v>
      </c>
      <c r="K864" t="s">
        <v>45</v>
      </c>
      <c r="L864">
        <v>187200000</v>
      </c>
      <c r="M864" t="s">
        <v>210</v>
      </c>
      <c r="N864" t="s">
        <v>785</v>
      </c>
    </row>
    <row r="865" spans="1:17" ht="15" customHeight="1" x14ac:dyDescent="0.25">
      <c r="A865" t="s">
        <v>169</v>
      </c>
      <c r="B865" t="s">
        <v>623</v>
      </c>
      <c r="C865">
        <v>7</v>
      </c>
      <c r="D865" t="s">
        <v>40</v>
      </c>
      <c r="E865" t="s">
        <v>41</v>
      </c>
      <c r="F865" t="s">
        <v>209</v>
      </c>
      <c r="G865" t="s">
        <v>624</v>
      </c>
      <c r="H865" t="s">
        <v>636</v>
      </c>
      <c r="J865" t="s">
        <v>169</v>
      </c>
      <c r="K865" t="s">
        <v>45</v>
      </c>
      <c r="L865">
        <v>49200000</v>
      </c>
      <c r="M865" t="s">
        <v>210</v>
      </c>
      <c r="N865" t="s">
        <v>786</v>
      </c>
    </row>
    <row r="866" spans="1:17" ht="15" customHeight="1" x14ac:dyDescent="0.25">
      <c r="A866" t="s">
        <v>169</v>
      </c>
      <c r="B866" t="s">
        <v>623</v>
      </c>
      <c r="C866">
        <v>7</v>
      </c>
      <c r="D866" t="s">
        <v>40</v>
      </c>
      <c r="E866" t="s">
        <v>41</v>
      </c>
      <c r="F866" t="s">
        <v>209</v>
      </c>
      <c r="G866" t="s">
        <v>624</v>
      </c>
      <c r="H866" t="s">
        <v>638</v>
      </c>
      <c r="J866" t="s">
        <v>169</v>
      </c>
      <c r="K866" t="s">
        <v>45</v>
      </c>
      <c r="L866">
        <v>2500000000</v>
      </c>
      <c r="M866" t="s">
        <v>210</v>
      </c>
      <c r="N866" t="s">
        <v>770</v>
      </c>
    </row>
    <row r="867" spans="1:17" ht="15" customHeight="1" x14ac:dyDescent="0.25">
      <c r="A867" t="s">
        <v>169</v>
      </c>
      <c r="B867" t="s">
        <v>623</v>
      </c>
      <c r="C867">
        <v>7</v>
      </c>
      <c r="D867" t="s">
        <v>40</v>
      </c>
      <c r="E867" t="s">
        <v>41</v>
      </c>
      <c r="F867" t="s">
        <v>209</v>
      </c>
      <c r="G867" t="s">
        <v>624</v>
      </c>
      <c r="H867" t="s">
        <v>640</v>
      </c>
      <c r="J867" t="s">
        <v>169</v>
      </c>
      <c r="K867" t="s">
        <v>45</v>
      </c>
      <c r="L867">
        <v>103600000</v>
      </c>
      <c r="M867" t="s">
        <v>210</v>
      </c>
      <c r="N867" t="s">
        <v>787</v>
      </c>
    </row>
    <row r="868" spans="1:17" ht="15" customHeight="1" x14ac:dyDescent="0.25">
      <c r="A868" t="s">
        <v>169</v>
      </c>
      <c r="B868" t="s">
        <v>623</v>
      </c>
      <c r="C868">
        <v>7</v>
      </c>
      <c r="D868" t="s">
        <v>40</v>
      </c>
      <c r="E868" t="s">
        <v>41</v>
      </c>
      <c r="F868" t="s">
        <v>209</v>
      </c>
      <c r="G868" t="s">
        <v>624</v>
      </c>
      <c r="H868" t="s">
        <v>642</v>
      </c>
      <c r="J868" t="s">
        <v>169</v>
      </c>
      <c r="K868" t="s">
        <v>45</v>
      </c>
      <c r="L868">
        <v>36000000</v>
      </c>
      <c r="M868" t="s">
        <v>210</v>
      </c>
      <c r="N868" t="s">
        <v>702</v>
      </c>
    </row>
    <row r="869" spans="1:17" ht="15" customHeight="1" x14ac:dyDescent="0.25">
      <c r="A869" t="s">
        <v>169</v>
      </c>
      <c r="B869" t="s">
        <v>623</v>
      </c>
      <c r="C869">
        <v>7</v>
      </c>
      <c r="D869" t="s">
        <v>40</v>
      </c>
      <c r="E869" t="s">
        <v>41</v>
      </c>
      <c r="F869" t="s">
        <v>209</v>
      </c>
      <c r="G869" t="s">
        <v>624</v>
      </c>
      <c r="H869" t="s">
        <v>644</v>
      </c>
      <c r="J869" t="s">
        <v>169</v>
      </c>
      <c r="K869" t="s">
        <v>45</v>
      </c>
      <c r="L869">
        <v>18800000</v>
      </c>
      <c r="M869" t="s">
        <v>210</v>
      </c>
      <c r="N869" t="s">
        <v>788</v>
      </c>
    </row>
    <row r="870" spans="1:17" ht="15" customHeight="1" x14ac:dyDescent="0.25">
      <c r="A870" t="s">
        <v>169</v>
      </c>
      <c r="B870" t="s">
        <v>623</v>
      </c>
      <c r="C870">
        <v>7</v>
      </c>
      <c r="D870" t="s">
        <v>40</v>
      </c>
      <c r="E870" t="s">
        <v>41</v>
      </c>
      <c r="F870" t="s">
        <v>209</v>
      </c>
      <c r="G870" t="s">
        <v>624</v>
      </c>
      <c r="H870" t="s">
        <v>645</v>
      </c>
      <c r="J870" t="s">
        <v>169</v>
      </c>
      <c r="K870" t="s">
        <v>45</v>
      </c>
      <c r="L870">
        <v>566400000</v>
      </c>
      <c r="M870" t="s">
        <v>210</v>
      </c>
      <c r="N870" t="s">
        <v>789</v>
      </c>
    </row>
    <row r="871" spans="1:17" ht="15" customHeight="1" x14ac:dyDescent="0.25">
      <c r="A871" t="s">
        <v>169</v>
      </c>
      <c r="B871" t="s">
        <v>623</v>
      </c>
      <c r="C871">
        <v>7</v>
      </c>
      <c r="D871" t="s">
        <v>40</v>
      </c>
      <c r="E871" t="s">
        <v>41</v>
      </c>
      <c r="F871" t="s">
        <v>209</v>
      </c>
      <c r="G871" t="s">
        <v>624</v>
      </c>
      <c r="H871" t="s">
        <v>647</v>
      </c>
      <c r="J871" t="s">
        <v>169</v>
      </c>
      <c r="K871" t="s">
        <v>45</v>
      </c>
      <c r="L871">
        <v>249300000</v>
      </c>
      <c r="M871" t="s">
        <v>210</v>
      </c>
      <c r="N871" t="s">
        <v>790</v>
      </c>
    </row>
    <row r="872" spans="1:17" ht="15" customHeight="1" x14ac:dyDescent="0.25">
      <c r="A872" t="s">
        <v>169</v>
      </c>
      <c r="B872" t="s">
        <v>623</v>
      </c>
      <c r="C872">
        <v>7</v>
      </c>
      <c r="D872" t="s">
        <v>74</v>
      </c>
      <c r="E872" t="s">
        <v>75</v>
      </c>
      <c r="F872" t="s">
        <v>198</v>
      </c>
      <c r="G872" t="s">
        <v>199</v>
      </c>
      <c r="J872" t="s">
        <v>153</v>
      </c>
      <c r="K872" t="s">
        <v>77</v>
      </c>
      <c r="L872">
        <v>20240000</v>
      </c>
      <c r="M872" t="s">
        <v>46</v>
      </c>
      <c r="N872" t="s">
        <v>775</v>
      </c>
      <c r="O872" t="s">
        <v>79</v>
      </c>
      <c r="P872" t="s">
        <v>103</v>
      </c>
    </row>
    <row r="873" spans="1:17" ht="15" customHeight="1" x14ac:dyDescent="0.25">
      <c r="A873" t="s">
        <v>169</v>
      </c>
      <c r="B873" t="s">
        <v>623</v>
      </c>
      <c r="C873">
        <v>7</v>
      </c>
      <c r="D873" t="s">
        <v>74</v>
      </c>
      <c r="E873" t="s">
        <v>75</v>
      </c>
      <c r="F873" t="s">
        <v>42</v>
      </c>
      <c r="G873" t="s">
        <v>43</v>
      </c>
      <c r="J873" t="s">
        <v>153</v>
      </c>
      <c r="K873" t="s">
        <v>77</v>
      </c>
      <c r="L873">
        <v>5040000</v>
      </c>
      <c r="M873" t="s">
        <v>46</v>
      </c>
      <c r="N873" t="s">
        <v>683</v>
      </c>
      <c r="O873" t="s">
        <v>79</v>
      </c>
      <c r="P873" t="s">
        <v>103</v>
      </c>
    </row>
    <row r="874" spans="1:17" ht="15" customHeight="1" x14ac:dyDescent="0.25">
      <c r="A874" t="s">
        <v>169</v>
      </c>
      <c r="B874" t="s">
        <v>623</v>
      </c>
      <c r="C874">
        <v>7</v>
      </c>
      <c r="D874" t="s">
        <v>74</v>
      </c>
      <c r="E874" t="s">
        <v>75</v>
      </c>
      <c r="F874" t="s">
        <v>209</v>
      </c>
      <c r="G874" t="s">
        <v>199</v>
      </c>
      <c r="J874" t="s">
        <v>153</v>
      </c>
      <c r="K874" t="s">
        <v>77</v>
      </c>
      <c r="L874">
        <v>4420000000</v>
      </c>
      <c r="M874" t="s">
        <v>210</v>
      </c>
      <c r="N874" t="s">
        <v>776</v>
      </c>
      <c r="O874" t="s">
        <v>79</v>
      </c>
      <c r="P874" t="s">
        <v>103</v>
      </c>
    </row>
    <row r="875" spans="1:17" ht="15" customHeight="1" x14ac:dyDescent="0.25">
      <c r="A875" t="s">
        <v>169</v>
      </c>
      <c r="B875" t="s">
        <v>623</v>
      </c>
      <c r="C875">
        <v>7</v>
      </c>
      <c r="D875" t="s">
        <v>85</v>
      </c>
      <c r="E875" t="s">
        <v>86</v>
      </c>
      <c r="F875" t="s">
        <v>198</v>
      </c>
      <c r="G875" t="s">
        <v>199</v>
      </c>
      <c r="J875" t="s">
        <v>169</v>
      </c>
      <c r="K875" t="s">
        <v>45</v>
      </c>
      <c r="L875">
        <v>20470000</v>
      </c>
      <c r="M875" t="s">
        <v>46</v>
      </c>
      <c r="N875" t="s">
        <v>791</v>
      </c>
    </row>
    <row r="876" spans="1:17" ht="15" customHeight="1" x14ac:dyDescent="0.25">
      <c r="A876" t="s">
        <v>169</v>
      </c>
      <c r="B876" t="s">
        <v>623</v>
      </c>
      <c r="C876">
        <v>7</v>
      </c>
      <c r="D876" t="s">
        <v>85</v>
      </c>
      <c r="E876" t="s">
        <v>86</v>
      </c>
      <c r="F876" t="s">
        <v>42</v>
      </c>
      <c r="G876" t="s">
        <v>43</v>
      </c>
      <c r="J876" t="s">
        <v>169</v>
      </c>
      <c r="K876" t="s">
        <v>45</v>
      </c>
      <c r="L876">
        <v>5170000</v>
      </c>
      <c r="M876" t="s">
        <v>46</v>
      </c>
      <c r="N876" t="s">
        <v>792</v>
      </c>
    </row>
    <row r="877" spans="1:17" ht="15" customHeight="1" x14ac:dyDescent="0.25">
      <c r="A877" t="s">
        <v>169</v>
      </c>
      <c r="B877" t="s">
        <v>623</v>
      </c>
      <c r="C877">
        <v>7</v>
      </c>
      <c r="D877" t="s">
        <v>85</v>
      </c>
      <c r="E877" t="s">
        <v>86</v>
      </c>
      <c r="F877" t="s">
        <v>209</v>
      </c>
      <c r="G877" t="s">
        <v>199</v>
      </c>
      <c r="J877" t="s">
        <v>169</v>
      </c>
      <c r="K877" t="s">
        <v>45</v>
      </c>
      <c r="L877">
        <v>3890000000</v>
      </c>
      <c r="M877" t="s">
        <v>210</v>
      </c>
      <c r="N877" t="s">
        <v>793</v>
      </c>
    </row>
    <row r="878" spans="1:17" ht="15" customHeight="1" x14ac:dyDescent="0.25">
      <c r="A878" t="s">
        <v>184</v>
      </c>
      <c r="B878" t="s">
        <v>623</v>
      </c>
      <c r="C878">
        <v>7</v>
      </c>
      <c r="D878" t="s">
        <v>40</v>
      </c>
      <c r="E878" t="s">
        <v>41</v>
      </c>
      <c r="F878" t="s">
        <v>198</v>
      </c>
      <c r="G878" t="s">
        <v>624</v>
      </c>
      <c r="H878" t="s">
        <v>625</v>
      </c>
      <c r="J878" t="s">
        <v>184</v>
      </c>
      <c r="K878" t="s">
        <v>45</v>
      </c>
      <c r="L878">
        <v>110000</v>
      </c>
      <c r="M878" t="s">
        <v>46</v>
      </c>
      <c r="N878" t="s">
        <v>680</v>
      </c>
      <c r="Q878" t="s">
        <v>627</v>
      </c>
    </row>
    <row r="879" spans="1:17" ht="15" customHeight="1" x14ac:dyDescent="0.25">
      <c r="A879" t="s">
        <v>184</v>
      </c>
      <c r="B879" t="s">
        <v>623</v>
      </c>
      <c r="C879">
        <v>7</v>
      </c>
      <c r="D879" t="s">
        <v>40</v>
      </c>
      <c r="E879" t="s">
        <v>41</v>
      </c>
      <c r="F879" t="s">
        <v>198</v>
      </c>
      <c r="G879" t="s">
        <v>199</v>
      </c>
      <c r="H879" t="s">
        <v>628</v>
      </c>
      <c r="J879" t="s">
        <v>184</v>
      </c>
      <c r="K879" t="s">
        <v>45</v>
      </c>
      <c r="L879">
        <v>3600000</v>
      </c>
      <c r="M879" t="s">
        <v>46</v>
      </c>
      <c r="N879" t="s">
        <v>673</v>
      </c>
    </row>
    <row r="880" spans="1:17" ht="15" customHeight="1" x14ac:dyDescent="0.25">
      <c r="A880" t="s">
        <v>184</v>
      </c>
      <c r="B880" t="s">
        <v>623</v>
      </c>
      <c r="C880">
        <v>7</v>
      </c>
      <c r="D880" t="s">
        <v>40</v>
      </c>
      <c r="E880" t="s">
        <v>41</v>
      </c>
      <c r="F880" t="s">
        <v>198</v>
      </c>
      <c r="G880" t="s">
        <v>199</v>
      </c>
      <c r="H880" t="s">
        <v>630</v>
      </c>
      <c r="J880" t="s">
        <v>184</v>
      </c>
      <c r="K880" t="s">
        <v>45</v>
      </c>
      <c r="L880">
        <v>16900000</v>
      </c>
      <c r="M880" t="s">
        <v>46</v>
      </c>
      <c r="N880" t="s">
        <v>794</v>
      </c>
    </row>
    <row r="881" spans="1:17" ht="15" customHeight="1" x14ac:dyDescent="0.25">
      <c r="A881" t="s">
        <v>184</v>
      </c>
      <c r="B881" t="s">
        <v>623</v>
      </c>
      <c r="C881">
        <v>7</v>
      </c>
      <c r="D881" t="s">
        <v>40</v>
      </c>
      <c r="E881" t="s">
        <v>41</v>
      </c>
      <c r="F881" t="s">
        <v>198</v>
      </c>
      <c r="G881" t="s">
        <v>624</v>
      </c>
      <c r="H881" t="s">
        <v>632</v>
      </c>
      <c r="J881" t="s">
        <v>184</v>
      </c>
      <c r="K881" t="s">
        <v>45</v>
      </c>
      <c r="L881">
        <v>340000</v>
      </c>
      <c r="M881" t="s">
        <v>46</v>
      </c>
      <c r="N881" t="s">
        <v>391</v>
      </c>
    </row>
    <row r="882" spans="1:17" ht="15" customHeight="1" x14ac:dyDescent="0.25">
      <c r="A882" t="s">
        <v>184</v>
      </c>
      <c r="B882" t="s">
        <v>623</v>
      </c>
      <c r="C882">
        <v>7</v>
      </c>
      <c r="D882" t="s">
        <v>40</v>
      </c>
      <c r="E882" t="s">
        <v>41</v>
      </c>
      <c r="F882" t="s">
        <v>198</v>
      </c>
      <c r="G882" t="s">
        <v>624</v>
      </c>
      <c r="H882" t="s">
        <v>634</v>
      </c>
      <c r="J882" t="s">
        <v>184</v>
      </c>
      <c r="K882" t="s">
        <v>45</v>
      </c>
      <c r="L882">
        <v>940000</v>
      </c>
      <c r="M882" t="s">
        <v>46</v>
      </c>
      <c r="N882" t="s">
        <v>795</v>
      </c>
    </row>
    <row r="883" spans="1:17" ht="15" customHeight="1" x14ac:dyDescent="0.25">
      <c r="A883" t="s">
        <v>184</v>
      </c>
      <c r="B883" t="s">
        <v>623</v>
      </c>
      <c r="C883">
        <v>7</v>
      </c>
      <c r="D883" t="s">
        <v>40</v>
      </c>
      <c r="E883" t="s">
        <v>41</v>
      </c>
      <c r="F883" t="s">
        <v>198</v>
      </c>
      <c r="G883" t="s">
        <v>624</v>
      </c>
      <c r="H883" t="s">
        <v>636</v>
      </c>
      <c r="J883" t="s">
        <v>184</v>
      </c>
      <c r="K883" t="s">
        <v>45</v>
      </c>
      <c r="L883">
        <v>110000</v>
      </c>
      <c r="M883" t="s">
        <v>46</v>
      </c>
      <c r="N883" t="s">
        <v>680</v>
      </c>
    </row>
    <row r="884" spans="1:17" ht="15" customHeight="1" x14ac:dyDescent="0.25">
      <c r="A884" t="s">
        <v>184</v>
      </c>
      <c r="B884" t="s">
        <v>623</v>
      </c>
      <c r="C884">
        <v>7</v>
      </c>
      <c r="D884" t="s">
        <v>40</v>
      </c>
      <c r="E884" t="s">
        <v>41</v>
      </c>
      <c r="F884" t="s">
        <v>198</v>
      </c>
      <c r="G884" t="s">
        <v>624</v>
      </c>
      <c r="H884" t="s">
        <v>638</v>
      </c>
      <c r="J884" t="s">
        <v>184</v>
      </c>
      <c r="K884" t="s">
        <v>45</v>
      </c>
      <c r="L884">
        <v>4430000</v>
      </c>
      <c r="M884" t="s">
        <v>46</v>
      </c>
      <c r="N884" t="s">
        <v>670</v>
      </c>
    </row>
    <row r="885" spans="1:17" ht="15" customHeight="1" x14ac:dyDescent="0.25">
      <c r="A885" t="s">
        <v>184</v>
      </c>
      <c r="B885" t="s">
        <v>623</v>
      </c>
      <c r="C885">
        <v>7</v>
      </c>
      <c r="D885" t="s">
        <v>40</v>
      </c>
      <c r="E885" t="s">
        <v>41</v>
      </c>
      <c r="F885" t="s">
        <v>198</v>
      </c>
      <c r="G885" t="s">
        <v>624</v>
      </c>
      <c r="H885" t="s">
        <v>640</v>
      </c>
      <c r="J885" t="s">
        <v>184</v>
      </c>
      <c r="K885" t="s">
        <v>45</v>
      </c>
      <c r="L885">
        <v>6530000</v>
      </c>
      <c r="M885" t="s">
        <v>46</v>
      </c>
      <c r="N885" t="s">
        <v>796</v>
      </c>
    </row>
    <row r="886" spans="1:17" ht="15" customHeight="1" x14ac:dyDescent="0.25">
      <c r="A886" t="s">
        <v>184</v>
      </c>
      <c r="B886" t="s">
        <v>623</v>
      </c>
      <c r="C886">
        <v>7</v>
      </c>
      <c r="D886" t="s">
        <v>40</v>
      </c>
      <c r="E886" t="s">
        <v>41</v>
      </c>
      <c r="F886" t="s">
        <v>198</v>
      </c>
      <c r="G886" t="s">
        <v>624</v>
      </c>
      <c r="H886" t="s">
        <v>642</v>
      </c>
      <c r="J886" t="s">
        <v>184</v>
      </c>
      <c r="K886" t="s">
        <v>45</v>
      </c>
      <c r="L886">
        <v>90000</v>
      </c>
      <c r="M886" t="s">
        <v>46</v>
      </c>
      <c r="N886" t="s">
        <v>626</v>
      </c>
    </row>
    <row r="887" spans="1:17" ht="15" customHeight="1" x14ac:dyDescent="0.25">
      <c r="A887" t="s">
        <v>184</v>
      </c>
      <c r="B887" t="s">
        <v>623</v>
      </c>
      <c r="C887">
        <v>7</v>
      </c>
      <c r="D887" t="s">
        <v>40</v>
      </c>
      <c r="E887" t="s">
        <v>41</v>
      </c>
      <c r="F887" t="s">
        <v>198</v>
      </c>
      <c r="G887" t="s">
        <v>624</v>
      </c>
      <c r="H887" t="s">
        <v>644</v>
      </c>
      <c r="J887" t="s">
        <v>184</v>
      </c>
      <c r="K887" t="s">
        <v>45</v>
      </c>
      <c r="L887">
        <v>170000</v>
      </c>
      <c r="M887" t="s">
        <v>46</v>
      </c>
      <c r="N887" t="s">
        <v>797</v>
      </c>
    </row>
    <row r="888" spans="1:17" ht="15" customHeight="1" x14ac:dyDescent="0.25">
      <c r="A888" t="s">
        <v>184</v>
      </c>
      <c r="B888" t="s">
        <v>623</v>
      </c>
      <c r="C888">
        <v>7</v>
      </c>
      <c r="D888" t="s">
        <v>40</v>
      </c>
      <c r="E888" t="s">
        <v>41</v>
      </c>
      <c r="F888" t="s">
        <v>198</v>
      </c>
      <c r="G888" t="s">
        <v>624</v>
      </c>
      <c r="H888" t="s">
        <v>645</v>
      </c>
      <c r="J888" t="s">
        <v>184</v>
      </c>
      <c r="K888" t="s">
        <v>45</v>
      </c>
      <c r="L888">
        <v>1690000</v>
      </c>
      <c r="M888" t="s">
        <v>46</v>
      </c>
      <c r="N888" t="s">
        <v>798</v>
      </c>
    </row>
    <row r="889" spans="1:17" ht="15" customHeight="1" x14ac:dyDescent="0.25">
      <c r="A889" t="s">
        <v>184</v>
      </c>
      <c r="B889" t="s">
        <v>623</v>
      </c>
      <c r="C889">
        <v>7</v>
      </c>
      <c r="D889" t="s">
        <v>40</v>
      </c>
      <c r="E889" t="s">
        <v>41</v>
      </c>
      <c r="F889" t="s">
        <v>198</v>
      </c>
      <c r="G889" t="s">
        <v>624</v>
      </c>
      <c r="H889" t="s">
        <v>647</v>
      </c>
      <c r="J889" t="s">
        <v>184</v>
      </c>
      <c r="K889" t="s">
        <v>45</v>
      </c>
      <c r="L889">
        <v>5820000</v>
      </c>
      <c r="M889" t="s">
        <v>46</v>
      </c>
      <c r="N889" t="s">
        <v>799</v>
      </c>
    </row>
    <row r="890" spans="1:17" ht="15" customHeight="1" x14ac:dyDescent="0.25">
      <c r="A890" t="s">
        <v>184</v>
      </c>
      <c r="B890" t="s">
        <v>623</v>
      </c>
      <c r="C890">
        <v>7</v>
      </c>
      <c r="D890" t="s">
        <v>40</v>
      </c>
      <c r="E890" t="s">
        <v>41</v>
      </c>
      <c r="F890" t="s">
        <v>209</v>
      </c>
      <c r="G890" t="s">
        <v>624</v>
      </c>
      <c r="H890" t="s">
        <v>649</v>
      </c>
      <c r="J890" t="s">
        <v>184</v>
      </c>
      <c r="K890" t="s">
        <v>45</v>
      </c>
      <c r="L890">
        <v>51300000</v>
      </c>
      <c r="M890" t="s">
        <v>210</v>
      </c>
      <c r="N890" t="s">
        <v>800</v>
      </c>
      <c r="Q890" t="s">
        <v>651</v>
      </c>
    </row>
    <row r="891" spans="1:17" ht="15" customHeight="1" x14ac:dyDescent="0.25">
      <c r="A891" t="s">
        <v>184</v>
      </c>
      <c r="B891" t="s">
        <v>623</v>
      </c>
      <c r="C891">
        <v>7</v>
      </c>
      <c r="D891" t="s">
        <v>40</v>
      </c>
      <c r="E891" t="s">
        <v>41</v>
      </c>
      <c r="F891" t="s">
        <v>209</v>
      </c>
      <c r="G891" t="s">
        <v>199</v>
      </c>
      <c r="H891" t="s">
        <v>628</v>
      </c>
      <c r="J891" t="s">
        <v>184</v>
      </c>
      <c r="K891" t="s">
        <v>45</v>
      </c>
      <c r="L891">
        <v>459000000</v>
      </c>
      <c r="M891" t="s">
        <v>210</v>
      </c>
      <c r="N891" t="s">
        <v>801</v>
      </c>
    </row>
    <row r="892" spans="1:17" ht="15" customHeight="1" x14ac:dyDescent="0.25">
      <c r="A892" t="s">
        <v>184</v>
      </c>
      <c r="B892" t="s">
        <v>623</v>
      </c>
      <c r="C892">
        <v>7</v>
      </c>
      <c r="D892" t="s">
        <v>40</v>
      </c>
      <c r="E892" t="s">
        <v>41</v>
      </c>
      <c r="F892" t="s">
        <v>209</v>
      </c>
      <c r="G892" t="s">
        <v>199</v>
      </c>
      <c r="H892" t="s">
        <v>630</v>
      </c>
      <c r="J892" t="s">
        <v>184</v>
      </c>
      <c r="K892" t="s">
        <v>45</v>
      </c>
      <c r="L892">
        <v>3400000000</v>
      </c>
      <c r="M892" t="s">
        <v>210</v>
      </c>
      <c r="N892" t="s">
        <v>802</v>
      </c>
    </row>
    <row r="893" spans="1:17" ht="15" customHeight="1" x14ac:dyDescent="0.25">
      <c r="A893" t="s">
        <v>184</v>
      </c>
      <c r="B893" t="s">
        <v>623</v>
      </c>
      <c r="C893">
        <v>7</v>
      </c>
      <c r="D893" t="s">
        <v>40</v>
      </c>
      <c r="E893" t="s">
        <v>41</v>
      </c>
      <c r="F893" t="s">
        <v>209</v>
      </c>
      <c r="G893" t="s">
        <v>624</v>
      </c>
      <c r="H893" t="s">
        <v>632</v>
      </c>
      <c r="J893" t="s">
        <v>184</v>
      </c>
      <c r="K893" t="s">
        <v>45</v>
      </c>
      <c r="L893">
        <v>67300000</v>
      </c>
      <c r="M893" t="s">
        <v>210</v>
      </c>
      <c r="N893" t="s">
        <v>803</v>
      </c>
    </row>
    <row r="894" spans="1:17" ht="15" customHeight="1" x14ac:dyDescent="0.25">
      <c r="A894" t="s">
        <v>184</v>
      </c>
      <c r="B894" t="s">
        <v>623</v>
      </c>
      <c r="C894">
        <v>7</v>
      </c>
      <c r="D894" t="s">
        <v>40</v>
      </c>
      <c r="E894" t="s">
        <v>41</v>
      </c>
      <c r="F894" t="s">
        <v>209</v>
      </c>
      <c r="G894" t="s">
        <v>624</v>
      </c>
      <c r="H894" t="s">
        <v>634</v>
      </c>
      <c r="J894" t="s">
        <v>184</v>
      </c>
      <c r="K894" t="s">
        <v>45</v>
      </c>
      <c r="L894">
        <v>189400000</v>
      </c>
      <c r="M894" t="s">
        <v>210</v>
      </c>
      <c r="N894" t="s">
        <v>804</v>
      </c>
    </row>
    <row r="895" spans="1:17" ht="15" customHeight="1" x14ac:dyDescent="0.25">
      <c r="A895" t="s">
        <v>184</v>
      </c>
      <c r="B895" t="s">
        <v>623</v>
      </c>
      <c r="C895">
        <v>7</v>
      </c>
      <c r="D895" t="s">
        <v>40</v>
      </c>
      <c r="E895" t="s">
        <v>41</v>
      </c>
      <c r="F895" t="s">
        <v>209</v>
      </c>
      <c r="G895" t="s">
        <v>624</v>
      </c>
      <c r="H895" t="s">
        <v>636</v>
      </c>
      <c r="J895" t="s">
        <v>184</v>
      </c>
      <c r="K895" t="s">
        <v>45</v>
      </c>
      <c r="L895">
        <v>38300000</v>
      </c>
      <c r="M895" t="s">
        <v>210</v>
      </c>
      <c r="N895" t="s">
        <v>805</v>
      </c>
    </row>
    <row r="896" spans="1:17" ht="15" customHeight="1" x14ac:dyDescent="0.25">
      <c r="A896" t="s">
        <v>184</v>
      </c>
      <c r="B896" t="s">
        <v>623</v>
      </c>
      <c r="C896">
        <v>7</v>
      </c>
      <c r="D896" t="s">
        <v>40</v>
      </c>
      <c r="E896" t="s">
        <v>41</v>
      </c>
      <c r="F896" t="s">
        <v>209</v>
      </c>
      <c r="G896" t="s">
        <v>624</v>
      </c>
      <c r="H896" t="s">
        <v>638</v>
      </c>
      <c r="J896" t="s">
        <v>184</v>
      </c>
      <c r="K896" t="s">
        <v>45</v>
      </c>
      <c r="L896">
        <v>2600000000</v>
      </c>
      <c r="M896" t="s">
        <v>210</v>
      </c>
      <c r="N896" t="s">
        <v>806</v>
      </c>
    </row>
    <row r="897" spans="1:16" ht="15" customHeight="1" x14ac:dyDescent="0.25">
      <c r="A897" t="s">
        <v>184</v>
      </c>
      <c r="B897" t="s">
        <v>623</v>
      </c>
      <c r="C897">
        <v>7</v>
      </c>
      <c r="D897" t="s">
        <v>40</v>
      </c>
      <c r="E897" t="s">
        <v>41</v>
      </c>
      <c r="F897" t="s">
        <v>209</v>
      </c>
      <c r="G897" t="s">
        <v>624</v>
      </c>
      <c r="H897" t="s">
        <v>640</v>
      </c>
      <c r="J897" t="s">
        <v>184</v>
      </c>
      <c r="K897" t="s">
        <v>45</v>
      </c>
      <c r="L897">
        <v>106800000</v>
      </c>
      <c r="M897" t="s">
        <v>210</v>
      </c>
      <c r="N897" t="s">
        <v>807</v>
      </c>
    </row>
    <row r="898" spans="1:16" ht="15" customHeight="1" x14ac:dyDescent="0.25">
      <c r="A898" t="s">
        <v>184</v>
      </c>
      <c r="B898" t="s">
        <v>623</v>
      </c>
      <c r="C898">
        <v>7</v>
      </c>
      <c r="D898" t="s">
        <v>40</v>
      </c>
      <c r="E898" t="s">
        <v>41</v>
      </c>
      <c r="F898" t="s">
        <v>209</v>
      </c>
      <c r="G898" t="s">
        <v>624</v>
      </c>
      <c r="H898" t="s">
        <v>642</v>
      </c>
      <c r="J898" t="s">
        <v>184</v>
      </c>
      <c r="K898" t="s">
        <v>45</v>
      </c>
      <c r="L898">
        <v>39400000</v>
      </c>
      <c r="M898" t="s">
        <v>210</v>
      </c>
      <c r="N898" t="s">
        <v>808</v>
      </c>
    </row>
    <row r="899" spans="1:16" ht="15" customHeight="1" x14ac:dyDescent="0.25">
      <c r="A899" t="s">
        <v>184</v>
      </c>
      <c r="B899" t="s">
        <v>623</v>
      </c>
      <c r="C899">
        <v>7</v>
      </c>
      <c r="D899" t="s">
        <v>40</v>
      </c>
      <c r="E899" t="s">
        <v>41</v>
      </c>
      <c r="F899" t="s">
        <v>209</v>
      </c>
      <c r="G899" t="s">
        <v>624</v>
      </c>
      <c r="H899" t="s">
        <v>644</v>
      </c>
      <c r="J899" t="s">
        <v>184</v>
      </c>
      <c r="K899" t="s">
        <v>45</v>
      </c>
      <c r="L899">
        <v>24400000</v>
      </c>
      <c r="M899" t="s">
        <v>210</v>
      </c>
      <c r="N899" t="s">
        <v>809</v>
      </c>
    </row>
    <row r="900" spans="1:16" ht="15" customHeight="1" x14ac:dyDescent="0.25">
      <c r="A900" t="s">
        <v>184</v>
      </c>
      <c r="B900" t="s">
        <v>623</v>
      </c>
      <c r="C900">
        <v>7</v>
      </c>
      <c r="D900" t="s">
        <v>40</v>
      </c>
      <c r="E900" t="s">
        <v>41</v>
      </c>
      <c r="F900" t="s">
        <v>209</v>
      </c>
      <c r="G900" t="s">
        <v>624</v>
      </c>
      <c r="H900" t="s">
        <v>645</v>
      </c>
      <c r="J900" t="s">
        <v>184</v>
      </c>
      <c r="K900" t="s">
        <v>45</v>
      </c>
      <c r="L900">
        <v>485600000</v>
      </c>
      <c r="M900" t="s">
        <v>210</v>
      </c>
      <c r="N900" t="s">
        <v>810</v>
      </c>
    </row>
    <row r="901" spans="1:16" ht="15" customHeight="1" x14ac:dyDescent="0.25">
      <c r="A901" t="s">
        <v>184</v>
      </c>
      <c r="B901" t="s">
        <v>623</v>
      </c>
      <c r="C901">
        <v>7</v>
      </c>
      <c r="D901" t="s">
        <v>40</v>
      </c>
      <c r="E901" t="s">
        <v>41</v>
      </c>
      <c r="F901" t="s">
        <v>209</v>
      </c>
      <c r="G901" t="s">
        <v>624</v>
      </c>
      <c r="H901" t="s">
        <v>647</v>
      </c>
      <c r="J901" t="s">
        <v>184</v>
      </c>
      <c r="K901" t="s">
        <v>45</v>
      </c>
      <c r="L901">
        <v>233000000</v>
      </c>
      <c r="M901" t="s">
        <v>210</v>
      </c>
      <c r="N901" t="s">
        <v>811</v>
      </c>
    </row>
    <row r="902" spans="1:16" ht="15" customHeight="1" x14ac:dyDescent="0.25">
      <c r="A902" t="s">
        <v>184</v>
      </c>
      <c r="B902" t="s">
        <v>623</v>
      </c>
      <c r="C902">
        <v>7</v>
      </c>
      <c r="D902" t="s">
        <v>74</v>
      </c>
      <c r="E902" t="s">
        <v>75</v>
      </c>
      <c r="F902" t="s">
        <v>198</v>
      </c>
      <c r="G902" t="s">
        <v>199</v>
      </c>
      <c r="J902" t="s">
        <v>169</v>
      </c>
      <c r="K902" t="s">
        <v>77</v>
      </c>
      <c r="L902">
        <v>20470000</v>
      </c>
      <c r="M902" t="s">
        <v>46</v>
      </c>
      <c r="N902" t="s">
        <v>791</v>
      </c>
      <c r="O902" t="s">
        <v>79</v>
      </c>
      <c r="P902" t="s">
        <v>103</v>
      </c>
    </row>
    <row r="903" spans="1:16" ht="15" customHeight="1" x14ac:dyDescent="0.25">
      <c r="A903" t="s">
        <v>184</v>
      </c>
      <c r="B903" t="s">
        <v>623</v>
      </c>
      <c r="C903">
        <v>7</v>
      </c>
      <c r="D903" t="s">
        <v>74</v>
      </c>
      <c r="E903" t="s">
        <v>75</v>
      </c>
      <c r="F903" t="s">
        <v>42</v>
      </c>
      <c r="G903" t="s">
        <v>43</v>
      </c>
      <c r="J903" t="s">
        <v>169</v>
      </c>
      <c r="K903" t="s">
        <v>77</v>
      </c>
      <c r="L903">
        <v>5170000</v>
      </c>
      <c r="M903" t="s">
        <v>46</v>
      </c>
      <c r="N903" t="s">
        <v>792</v>
      </c>
      <c r="O903" t="s">
        <v>79</v>
      </c>
      <c r="P903" t="s">
        <v>103</v>
      </c>
    </row>
    <row r="904" spans="1:16" ht="15" customHeight="1" x14ac:dyDescent="0.25">
      <c r="A904" t="s">
        <v>184</v>
      </c>
      <c r="B904" t="s">
        <v>623</v>
      </c>
      <c r="C904">
        <v>7</v>
      </c>
      <c r="D904" t="s">
        <v>74</v>
      </c>
      <c r="E904" t="s">
        <v>75</v>
      </c>
      <c r="F904" t="s">
        <v>209</v>
      </c>
      <c r="G904" t="s">
        <v>199</v>
      </c>
      <c r="J904" t="s">
        <v>169</v>
      </c>
      <c r="K904" t="s">
        <v>77</v>
      </c>
      <c r="L904">
        <v>3890000000</v>
      </c>
      <c r="M904" t="s">
        <v>210</v>
      </c>
      <c r="N904" t="s">
        <v>793</v>
      </c>
      <c r="O904" t="s">
        <v>79</v>
      </c>
      <c r="P904" t="s">
        <v>103</v>
      </c>
    </row>
    <row r="905" spans="1:16" ht="15" customHeight="1" x14ac:dyDescent="0.25">
      <c r="A905" t="s">
        <v>184</v>
      </c>
      <c r="B905" t="s">
        <v>623</v>
      </c>
      <c r="C905">
        <v>7</v>
      </c>
      <c r="D905" t="s">
        <v>85</v>
      </c>
      <c r="E905" t="s">
        <v>86</v>
      </c>
      <c r="F905" t="s">
        <v>198</v>
      </c>
      <c r="G905" t="s">
        <v>199</v>
      </c>
      <c r="J905" t="s">
        <v>184</v>
      </c>
      <c r="K905" t="s">
        <v>45</v>
      </c>
      <c r="L905">
        <v>20520000</v>
      </c>
      <c r="M905" t="s">
        <v>46</v>
      </c>
      <c r="N905" t="s">
        <v>812</v>
      </c>
    </row>
    <row r="906" spans="1:16" ht="15" customHeight="1" x14ac:dyDescent="0.25">
      <c r="A906" t="s">
        <v>184</v>
      </c>
      <c r="B906" t="s">
        <v>623</v>
      </c>
      <c r="C906">
        <v>7</v>
      </c>
      <c r="D906" t="s">
        <v>85</v>
      </c>
      <c r="E906" t="s">
        <v>86</v>
      </c>
      <c r="F906" t="s">
        <v>42</v>
      </c>
      <c r="G906" t="s">
        <v>43</v>
      </c>
      <c r="J906" t="s">
        <v>184</v>
      </c>
      <c r="K906" t="s">
        <v>45</v>
      </c>
      <c r="L906">
        <v>5290000</v>
      </c>
      <c r="M906" t="s">
        <v>46</v>
      </c>
      <c r="N906" t="s">
        <v>813</v>
      </c>
    </row>
    <row r="907" spans="1:16" ht="15" customHeight="1" x14ac:dyDescent="0.25">
      <c r="A907" t="s">
        <v>184</v>
      </c>
      <c r="B907" t="s">
        <v>623</v>
      </c>
      <c r="C907">
        <v>7</v>
      </c>
      <c r="D907" t="s">
        <v>85</v>
      </c>
      <c r="E907" t="s">
        <v>86</v>
      </c>
      <c r="F907" t="s">
        <v>209</v>
      </c>
      <c r="G907" t="s">
        <v>199</v>
      </c>
      <c r="J907" t="s">
        <v>184</v>
      </c>
      <c r="K907" t="s">
        <v>45</v>
      </c>
      <c r="L907">
        <v>3890000000</v>
      </c>
      <c r="M907" t="s">
        <v>210</v>
      </c>
      <c r="N907" t="s">
        <v>793</v>
      </c>
    </row>
    <row r="908" spans="1:16" ht="15" hidden="1" customHeight="1" x14ac:dyDescent="0.25">
      <c r="A908" t="s">
        <v>38</v>
      </c>
      <c r="B908" t="s">
        <v>814</v>
      </c>
      <c r="C908">
        <v>8</v>
      </c>
      <c r="D908" t="s">
        <v>40</v>
      </c>
      <c r="E908" t="s">
        <v>41</v>
      </c>
      <c r="F908" t="s">
        <v>198</v>
      </c>
      <c r="G908" t="s">
        <v>199</v>
      </c>
      <c r="H908" t="s">
        <v>815</v>
      </c>
      <c r="J908" t="s">
        <v>38</v>
      </c>
      <c r="K908" t="s">
        <v>45</v>
      </c>
      <c r="L908">
        <v>901</v>
      </c>
      <c r="M908" t="s">
        <v>46</v>
      </c>
      <c r="N908" t="s">
        <v>816</v>
      </c>
    </row>
    <row r="909" spans="1:16" ht="15" hidden="1" customHeight="1" x14ac:dyDescent="0.25">
      <c r="A909" t="s">
        <v>38</v>
      </c>
      <c r="B909" t="s">
        <v>814</v>
      </c>
      <c r="C909">
        <v>8</v>
      </c>
      <c r="D909" t="s">
        <v>40</v>
      </c>
      <c r="E909" t="s">
        <v>41</v>
      </c>
      <c r="F909" t="s">
        <v>198</v>
      </c>
      <c r="G909" t="s">
        <v>199</v>
      </c>
      <c r="H909" t="s">
        <v>817</v>
      </c>
      <c r="J909" t="s">
        <v>38</v>
      </c>
      <c r="K909" t="s">
        <v>45</v>
      </c>
      <c r="L909">
        <v>116</v>
      </c>
      <c r="M909" t="s">
        <v>46</v>
      </c>
      <c r="N909" t="s">
        <v>818</v>
      </c>
    </row>
    <row r="910" spans="1:16" ht="15" hidden="1" customHeight="1" x14ac:dyDescent="0.25">
      <c r="A910" t="s">
        <v>38</v>
      </c>
      <c r="B910" t="s">
        <v>814</v>
      </c>
      <c r="C910">
        <v>8</v>
      </c>
      <c r="D910" t="s">
        <v>40</v>
      </c>
      <c r="E910" t="s">
        <v>41</v>
      </c>
      <c r="F910" t="s">
        <v>198</v>
      </c>
      <c r="G910" t="s">
        <v>199</v>
      </c>
      <c r="H910" t="s">
        <v>819</v>
      </c>
      <c r="J910" t="s">
        <v>38</v>
      </c>
      <c r="K910" t="s">
        <v>45</v>
      </c>
      <c r="L910">
        <v>17056</v>
      </c>
      <c r="M910" t="s">
        <v>46</v>
      </c>
      <c r="N910" t="s">
        <v>820</v>
      </c>
    </row>
    <row r="911" spans="1:16" ht="15" hidden="1" customHeight="1" x14ac:dyDescent="0.25">
      <c r="A911" t="s">
        <v>38</v>
      </c>
      <c r="B911" t="s">
        <v>814</v>
      </c>
      <c r="C911">
        <v>8</v>
      </c>
      <c r="D911" t="s">
        <v>40</v>
      </c>
      <c r="E911" t="s">
        <v>41</v>
      </c>
      <c r="F911" t="s">
        <v>209</v>
      </c>
      <c r="G911" t="s">
        <v>199</v>
      </c>
      <c r="H911" t="s">
        <v>815</v>
      </c>
      <c r="J911" t="s">
        <v>38</v>
      </c>
      <c r="K911" t="s">
        <v>45</v>
      </c>
      <c r="L911">
        <v>9300000</v>
      </c>
      <c r="M911" t="s">
        <v>815</v>
      </c>
      <c r="N911" t="s">
        <v>821</v>
      </c>
    </row>
    <row r="912" spans="1:16" ht="15" hidden="1" customHeight="1" x14ac:dyDescent="0.25">
      <c r="A912" t="s">
        <v>38</v>
      </c>
      <c r="B912" t="s">
        <v>814</v>
      </c>
      <c r="C912">
        <v>8</v>
      </c>
      <c r="D912" t="s">
        <v>40</v>
      </c>
      <c r="E912" t="s">
        <v>41</v>
      </c>
      <c r="F912" t="s">
        <v>209</v>
      </c>
      <c r="G912" t="s">
        <v>199</v>
      </c>
      <c r="H912" t="s">
        <v>817</v>
      </c>
      <c r="J912" t="s">
        <v>38</v>
      </c>
      <c r="K912" t="s">
        <v>45</v>
      </c>
      <c r="L912">
        <v>1000000</v>
      </c>
      <c r="M912" t="s">
        <v>817</v>
      </c>
      <c r="N912" t="s">
        <v>822</v>
      </c>
    </row>
    <row r="913" spans="1:17" ht="15" hidden="1" customHeight="1" x14ac:dyDescent="0.25">
      <c r="A913" t="s">
        <v>38</v>
      </c>
      <c r="B913" t="s">
        <v>814</v>
      </c>
      <c r="C913">
        <v>8</v>
      </c>
      <c r="D913" t="s">
        <v>40</v>
      </c>
      <c r="E913" t="s">
        <v>41</v>
      </c>
      <c r="F913" t="s">
        <v>209</v>
      </c>
      <c r="G913" t="s">
        <v>199</v>
      </c>
      <c r="H913" t="s">
        <v>819</v>
      </c>
      <c r="J913" t="s">
        <v>38</v>
      </c>
      <c r="K913" t="s">
        <v>45</v>
      </c>
      <c r="L913">
        <v>119300000</v>
      </c>
      <c r="M913" t="s">
        <v>819</v>
      </c>
      <c r="N913" t="s">
        <v>823</v>
      </c>
    </row>
    <row r="914" spans="1:17" ht="15" hidden="1" customHeight="1" x14ac:dyDescent="0.25">
      <c r="A914" t="s">
        <v>38</v>
      </c>
      <c r="B914" t="s">
        <v>814</v>
      </c>
      <c r="C914">
        <v>8</v>
      </c>
      <c r="D914" t="s">
        <v>74</v>
      </c>
      <c r="E914" t="s">
        <v>75</v>
      </c>
      <c r="F914" t="s">
        <v>824</v>
      </c>
      <c r="G914" t="s">
        <v>199</v>
      </c>
      <c r="J914" t="s">
        <v>76</v>
      </c>
      <c r="K914" t="s">
        <v>77</v>
      </c>
      <c r="L914">
        <v>2700000</v>
      </c>
      <c r="M914" t="s">
        <v>46</v>
      </c>
      <c r="N914" t="s">
        <v>380</v>
      </c>
      <c r="O914" t="s">
        <v>79</v>
      </c>
      <c r="P914" t="s">
        <v>80</v>
      </c>
      <c r="Q914" t="s">
        <v>81</v>
      </c>
    </row>
    <row r="915" spans="1:17" ht="15" hidden="1" customHeight="1" x14ac:dyDescent="0.25">
      <c r="A915" t="s">
        <v>38</v>
      </c>
      <c r="B915" t="s">
        <v>814</v>
      </c>
      <c r="C915">
        <v>8</v>
      </c>
      <c r="D915" t="s">
        <v>74</v>
      </c>
      <c r="E915" t="s">
        <v>75</v>
      </c>
      <c r="F915" t="s">
        <v>824</v>
      </c>
      <c r="G915" t="s">
        <v>199</v>
      </c>
      <c r="J915" t="s">
        <v>82</v>
      </c>
      <c r="K915" t="s">
        <v>77</v>
      </c>
      <c r="L915">
        <v>2820000</v>
      </c>
      <c r="M915" t="s">
        <v>46</v>
      </c>
      <c r="N915" t="s">
        <v>825</v>
      </c>
      <c r="O915" t="s">
        <v>79</v>
      </c>
      <c r="P915" t="s">
        <v>80</v>
      </c>
      <c r="Q915" t="s">
        <v>84</v>
      </c>
    </row>
    <row r="916" spans="1:17" ht="15" hidden="1" customHeight="1" x14ac:dyDescent="0.25">
      <c r="A916" t="s">
        <v>38</v>
      </c>
      <c r="B916" t="s">
        <v>814</v>
      </c>
      <c r="C916">
        <v>8</v>
      </c>
      <c r="D916" t="s">
        <v>74</v>
      </c>
      <c r="E916" t="s">
        <v>75</v>
      </c>
      <c r="F916" t="s">
        <v>826</v>
      </c>
      <c r="G916" t="s">
        <v>199</v>
      </c>
      <c r="J916" t="s">
        <v>76</v>
      </c>
      <c r="K916" t="s">
        <v>77</v>
      </c>
      <c r="L916">
        <v>2150000000</v>
      </c>
      <c r="M916" t="s">
        <v>210</v>
      </c>
      <c r="N916" t="s">
        <v>657</v>
      </c>
      <c r="O916" t="s">
        <v>79</v>
      </c>
      <c r="P916" t="s">
        <v>80</v>
      </c>
      <c r="Q916" t="s">
        <v>81</v>
      </c>
    </row>
    <row r="917" spans="1:17" ht="15" hidden="1" customHeight="1" x14ac:dyDescent="0.25">
      <c r="A917" t="s">
        <v>38</v>
      </c>
      <c r="B917" t="s">
        <v>814</v>
      </c>
      <c r="C917">
        <v>8</v>
      </c>
      <c r="D917" t="s">
        <v>74</v>
      </c>
      <c r="E917" t="s">
        <v>75</v>
      </c>
      <c r="F917" t="s">
        <v>826</v>
      </c>
      <c r="G917" t="s">
        <v>199</v>
      </c>
      <c r="J917" t="s">
        <v>82</v>
      </c>
      <c r="K917" t="s">
        <v>77</v>
      </c>
      <c r="L917">
        <v>2200000000</v>
      </c>
      <c r="M917" t="s">
        <v>210</v>
      </c>
      <c r="N917" t="s">
        <v>708</v>
      </c>
      <c r="O917" t="s">
        <v>79</v>
      </c>
      <c r="P917" t="s">
        <v>80</v>
      </c>
      <c r="Q917" t="s">
        <v>84</v>
      </c>
    </row>
    <row r="918" spans="1:17" ht="15" hidden="1" customHeight="1" x14ac:dyDescent="0.25">
      <c r="A918" t="s">
        <v>38</v>
      </c>
      <c r="B918" t="s">
        <v>814</v>
      </c>
      <c r="C918">
        <v>8</v>
      </c>
      <c r="D918" t="s">
        <v>85</v>
      </c>
      <c r="E918" t="s">
        <v>86</v>
      </c>
      <c r="F918" t="s">
        <v>824</v>
      </c>
      <c r="G918" t="s">
        <v>199</v>
      </c>
      <c r="J918" t="s">
        <v>38</v>
      </c>
      <c r="K918" t="s">
        <v>45</v>
      </c>
      <c r="L918">
        <v>2800000</v>
      </c>
      <c r="M918" t="s">
        <v>46</v>
      </c>
      <c r="N918" t="s">
        <v>827</v>
      </c>
    </row>
    <row r="919" spans="1:17" ht="15" hidden="1" customHeight="1" x14ac:dyDescent="0.25">
      <c r="A919" t="s">
        <v>38</v>
      </c>
      <c r="B919" t="s">
        <v>814</v>
      </c>
      <c r="C919">
        <v>8</v>
      </c>
      <c r="D919" t="s">
        <v>85</v>
      </c>
      <c r="E919" t="s">
        <v>86</v>
      </c>
      <c r="F919" t="s">
        <v>826</v>
      </c>
      <c r="G919" t="s">
        <v>199</v>
      </c>
      <c r="J919" t="s">
        <v>38</v>
      </c>
      <c r="K919" t="s">
        <v>45</v>
      </c>
      <c r="L919">
        <v>2360000000</v>
      </c>
      <c r="M919" t="s">
        <v>210</v>
      </c>
      <c r="N919" t="s">
        <v>828</v>
      </c>
    </row>
    <row r="920" spans="1:17" ht="15" hidden="1" customHeight="1" x14ac:dyDescent="0.25">
      <c r="A920" t="s">
        <v>88</v>
      </c>
      <c r="B920" t="s">
        <v>814</v>
      </c>
      <c r="C920">
        <v>8</v>
      </c>
      <c r="D920" t="s">
        <v>40</v>
      </c>
      <c r="E920" t="s">
        <v>41</v>
      </c>
      <c r="F920" t="s">
        <v>198</v>
      </c>
      <c r="G920" t="s">
        <v>199</v>
      </c>
      <c r="H920" t="s">
        <v>815</v>
      </c>
      <c r="J920" t="s">
        <v>88</v>
      </c>
      <c r="K920" t="s">
        <v>45</v>
      </c>
      <c r="L920">
        <v>941</v>
      </c>
      <c r="M920" t="s">
        <v>46</v>
      </c>
      <c r="N920" t="s">
        <v>829</v>
      </c>
    </row>
    <row r="921" spans="1:17" ht="15" hidden="1" customHeight="1" x14ac:dyDescent="0.25">
      <c r="A921" t="s">
        <v>88</v>
      </c>
      <c r="B921" t="s">
        <v>814</v>
      </c>
      <c r="C921">
        <v>8</v>
      </c>
      <c r="D921" t="s">
        <v>40</v>
      </c>
      <c r="E921" t="s">
        <v>41</v>
      </c>
      <c r="F921" t="s">
        <v>198</v>
      </c>
      <c r="G921" t="s">
        <v>199</v>
      </c>
      <c r="H921" t="s">
        <v>817</v>
      </c>
      <c r="J921" t="s">
        <v>88</v>
      </c>
      <c r="K921" t="s">
        <v>45</v>
      </c>
      <c r="L921">
        <v>113</v>
      </c>
      <c r="M921" t="s">
        <v>46</v>
      </c>
      <c r="N921" t="s">
        <v>830</v>
      </c>
    </row>
    <row r="922" spans="1:17" ht="15" hidden="1" customHeight="1" x14ac:dyDescent="0.25">
      <c r="A922" t="s">
        <v>88</v>
      </c>
      <c r="B922" t="s">
        <v>814</v>
      </c>
      <c r="C922">
        <v>8</v>
      </c>
      <c r="D922" t="s">
        <v>40</v>
      </c>
      <c r="E922" t="s">
        <v>41</v>
      </c>
      <c r="F922" t="s">
        <v>198</v>
      </c>
      <c r="G922" t="s">
        <v>199</v>
      </c>
      <c r="H922" t="s">
        <v>819</v>
      </c>
      <c r="J922" t="s">
        <v>88</v>
      </c>
      <c r="K922" t="s">
        <v>45</v>
      </c>
      <c r="L922">
        <v>17543</v>
      </c>
      <c r="M922" t="s">
        <v>46</v>
      </c>
      <c r="N922" t="s">
        <v>831</v>
      </c>
    </row>
    <row r="923" spans="1:17" ht="15" hidden="1" customHeight="1" x14ac:dyDescent="0.25">
      <c r="A923" t="s">
        <v>88</v>
      </c>
      <c r="B923" t="s">
        <v>814</v>
      </c>
      <c r="C923">
        <v>8</v>
      </c>
      <c r="D923" t="s">
        <v>40</v>
      </c>
      <c r="E923" t="s">
        <v>41</v>
      </c>
      <c r="F923" t="s">
        <v>209</v>
      </c>
      <c r="G923" t="s">
        <v>199</v>
      </c>
      <c r="H923" t="s">
        <v>815</v>
      </c>
      <c r="J923" t="s">
        <v>88</v>
      </c>
      <c r="K923" t="s">
        <v>45</v>
      </c>
      <c r="L923">
        <v>8200000</v>
      </c>
      <c r="M923" t="s">
        <v>815</v>
      </c>
      <c r="N923" t="s">
        <v>832</v>
      </c>
    </row>
    <row r="924" spans="1:17" ht="15" hidden="1" customHeight="1" x14ac:dyDescent="0.25">
      <c r="A924" t="s">
        <v>88</v>
      </c>
      <c r="B924" t="s">
        <v>814</v>
      </c>
      <c r="C924">
        <v>8</v>
      </c>
      <c r="D924" t="s">
        <v>40</v>
      </c>
      <c r="E924" t="s">
        <v>41</v>
      </c>
      <c r="F924" t="s">
        <v>209</v>
      </c>
      <c r="G924" t="s">
        <v>199</v>
      </c>
      <c r="H924" t="s">
        <v>817</v>
      </c>
      <c r="J924" t="s">
        <v>88</v>
      </c>
      <c r="K924" t="s">
        <v>45</v>
      </c>
      <c r="L924">
        <v>900000</v>
      </c>
      <c r="M924" t="s">
        <v>817</v>
      </c>
      <c r="N924" t="s">
        <v>833</v>
      </c>
    </row>
    <row r="925" spans="1:17" ht="15" hidden="1" customHeight="1" x14ac:dyDescent="0.25">
      <c r="A925" t="s">
        <v>88</v>
      </c>
      <c r="B925" t="s">
        <v>814</v>
      </c>
      <c r="C925">
        <v>8</v>
      </c>
      <c r="D925" t="s">
        <v>40</v>
      </c>
      <c r="E925" t="s">
        <v>41</v>
      </c>
      <c r="F925" t="s">
        <v>209</v>
      </c>
      <c r="G925" t="s">
        <v>199</v>
      </c>
      <c r="H925" t="s">
        <v>819</v>
      </c>
      <c r="J925" t="s">
        <v>88</v>
      </c>
      <c r="K925" t="s">
        <v>45</v>
      </c>
      <c r="L925">
        <v>117200000</v>
      </c>
      <c r="M925" t="s">
        <v>819</v>
      </c>
      <c r="N925" t="s">
        <v>834</v>
      </c>
    </row>
    <row r="926" spans="1:17" ht="15" hidden="1" customHeight="1" x14ac:dyDescent="0.25">
      <c r="A926" t="s">
        <v>88</v>
      </c>
      <c r="B926" t="s">
        <v>814</v>
      </c>
      <c r="C926">
        <v>8</v>
      </c>
      <c r="D926" t="s">
        <v>74</v>
      </c>
      <c r="E926" t="s">
        <v>75</v>
      </c>
      <c r="F926" t="s">
        <v>824</v>
      </c>
      <c r="G926" t="s">
        <v>199</v>
      </c>
      <c r="J926" t="s">
        <v>76</v>
      </c>
      <c r="K926" t="s">
        <v>77</v>
      </c>
      <c r="L926">
        <v>2700000</v>
      </c>
      <c r="M926" t="s">
        <v>46</v>
      </c>
      <c r="N926" t="s">
        <v>380</v>
      </c>
      <c r="O926" t="s">
        <v>79</v>
      </c>
      <c r="P926" t="s">
        <v>103</v>
      </c>
      <c r="Q926" t="s">
        <v>104</v>
      </c>
    </row>
    <row r="927" spans="1:17" ht="15" hidden="1" customHeight="1" x14ac:dyDescent="0.25">
      <c r="A927" t="s">
        <v>88</v>
      </c>
      <c r="B927" t="s">
        <v>814</v>
      </c>
      <c r="C927">
        <v>8</v>
      </c>
      <c r="D927" t="s">
        <v>74</v>
      </c>
      <c r="E927" t="s">
        <v>75</v>
      </c>
      <c r="F927" t="s">
        <v>824</v>
      </c>
      <c r="G927" t="s">
        <v>199</v>
      </c>
      <c r="J927" t="s">
        <v>82</v>
      </c>
      <c r="K927" t="s">
        <v>77</v>
      </c>
      <c r="L927">
        <v>2820000</v>
      </c>
      <c r="M927" t="s">
        <v>46</v>
      </c>
      <c r="N927" t="s">
        <v>825</v>
      </c>
      <c r="O927" t="s">
        <v>79</v>
      </c>
      <c r="P927" t="s">
        <v>103</v>
      </c>
      <c r="Q927" t="s">
        <v>105</v>
      </c>
    </row>
    <row r="928" spans="1:17" ht="15" hidden="1" customHeight="1" x14ac:dyDescent="0.25">
      <c r="A928" t="s">
        <v>88</v>
      </c>
      <c r="B928" t="s">
        <v>814</v>
      </c>
      <c r="C928">
        <v>8</v>
      </c>
      <c r="D928" t="s">
        <v>74</v>
      </c>
      <c r="E928" t="s">
        <v>75</v>
      </c>
      <c r="F928" t="s">
        <v>824</v>
      </c>
      <c r="G928" t="s">
        <v>199</v>
      </c>
      <c r="J928" t="s">
        <v>38</v>
      </c>
      <c r="K928" t="s">
        <v>77</v>
      </c>
      <c r="L928">
        <v>2800000</v>
      </c>
      <c r="M928" t="s">
        <v>46</v>
      </c>
      <c r="N928" t="s">
        <v>827</v>
      </c>
      <c r="O928" t="s">
        <v>79</v>
      </c>
      <c r="P928" t="s">
        <v>103</v>
      </c>
    </row>
    <row r="929" spans="1:17" ht="15" hidden="1" customHeight="1" x14ac:dyDescent="0.25">
      <c r="A929" t="s">
        <v>88</v>
      </c>
      <c r="B929" t="s">
        <v>814</v>
      </c>
      <c r="C929">
        <v>8</v>
      </c>
      <c r="D929" t="s">
        <v>74</v>
      </c>
      <c r="E929" t="s">
        <v>75</v>
      </c>
      <c r="F929" t="s">
        <v>826</v>
      </c>
      <c r="G929" t="s">
        <v>199</v>
      </c>
      <c r="J929" t="s">
        <v>76</v>
      </c>
      <c r="K929" t="s">
        <v>77</v>
      </c>
      <c r="L929">
        <v>2150000000</v>
      </c>
      <c r="M929" t="s">
        <v>210</v>
      </c>
      <c r="N929" t="s">
        <v>657</v>
      </c>
      <c r="O929" t="s">
        <v>79</v>
      </c>
      <c r="P929" t="s">
        <v>103</v>
      </c>
      <c r="Q929" t="s">
        <v>104</v>
      </c>
    </row>
    <row r="930" spans="1:17" ht="15" hidden="1" customHeight="1" x14ac:dyDescent="0.25">
      <c r="A930" t="s">
        <v>88</v>
      </c>
      <c r="B930" t="s">
        <v>814</v>
      </c>
      <c r="C930">
        <v>8</v>
      </c>
      <c r="D930" t="s">
        <v>74</v>
      </c>
      <c r="E930" t="s">
        <v>75</v>
      </c>
      <c r="F930" t="s">
        <v>826</v>
      </c>
      <c r="G930" t="s">
        <v>199</v>
      </c>
      <c r="J930" t="s">
        <v>82</v>
      </c>
      <c r="K930" t="s">
        <v>77</v>
      </c>
      <c r="L930">
        <v>2200000000</v>
      </c>
      <c r="M930" t="s">
        <v>210</v>
      </c>
      <c r="N930" t="s">
        <v>708</v>
      </c>
      <c r="O930" t="s">
        <v>79</v>
      </c>
      <c r="P930" t="s">
        <v>103</v>
      </c>
      <c r="Q930" t="s">
        <v>105</v>
      </c>
    </row>
    <row r="931" spans="1:17" ht="15" hidden="1" customHeight="1" x14ac:dyDescent="0.25">
      <c r="A931" t="s">
        <v>88</v>
      </c>
      <c r="B931" t="s">
        <v>814</v>
      </c>
      <c r="C931">
        <v>8</v>
      </c>
      <c r="D931" t="s">
        <v>74</v>
      </c>
      <c r="E931" t="s">
        <v>75</v>
      </c>
      <c r="F931" t="s">
        <v>826</v>
      </c>
      <c r="G931" t="s">
        <v>199</v>
      </c>
      <c r="J931" t="s">
        <v>38</v>
      </c>
      <c r="K931" t="s">
        <v>77</v>
      </c>
      <c r="L931">
        <v>2360000000</v>
      </c>
      <c r="M931" t="s">
        <v>210</v>
      </c>
      <c r="N931" t="s">
        <v>828</v>
      </c>
      <c r="O931" t="s">
        <v>79</v>
      </c>
      <c r="P931" t="s">
        <v>103</v>
      </c>
    </row>
    <row r="932" spans="1:17" ht="15" hidden="1" customHeight="1" x14ac:dyDescent="0.25">
      <c r="A932" t="s">
        <v>88</v>
      </c>
      <c r="B932" t="s">
        <v>814</v>
      </c>
      <c r="C932">
        <v>8</v>
      </c>
      <c r="D932" t="s">
        <v>85</v>
      </c>
      <c r="E932" t="s">
        <v>86</v>
      </c>
      <c r="F932" t="s">
        <v>824</v>
      </c>
      <c r="G932" t="s">
        <v>199</v>
      </c>
      <c r="J932" t="s">
        <v>88</v>
      </c>
      <c r="K932" t="s">
        <v>45</v>
      </c>
      <c r="L932">
        <v>2970000</v>
      </c>
      <c r="M932" t="s">
        <v>46</v>
      </c>
      <c r="N932" t="s">
        <v>835</v>
      </c>
    </row>
    <row r="933" spans="1:17" ht="15" hidden="1" customHeight="1" x14ac:dyDescent="0.25">
      <c r="A933" t="s">
        <v>88</v>
      </c>
      <c r="B933" t="s">
        <v>814</v>
      </c>
      <c r="C933">
        <v>8</v>
      </c>
      <c r="D933" t="s">
        <v>85</v>
      </c>
      <c r="E933" t="s">
        <v>86</v>
      </c>
      <c r="F933" t="s">
        <v>826</v>
      </c>
      <c r="G933" t="s">
        <v>199</v>
      </c>
      <c r="J933" t="s">
        <v>88</v>
      </c>
      <c r="K933" t="s">
        <v>45</v>
      </c>
      <c r="L933">
        <v>2420000000</v>
      </c>
      <c r="M933" t="s">
        <v>210</v>
      </c>
      <c r="N933" t="s">
        <v>836</v>
      </c>
    </row>
    <row r="934" spans="1:17" ht="15" hidden="1" customHeight="1" x14ac:dyDescent="0.25">
      <c r="A934" t="s">
        <v>107</v>
      </c>
      <c r="B934" t="s">
        <v>814</v>
      </c>
      <c r="C934">
        <v>8</v>
      </c>
      <c r="D934" t="s">
        <v>40</v>
      </c>
      <c r="E934" t="s">
        <v>41</v>
      </c>
      <c r="F934" t="s">
        <v>198</v>
      </c>
      <c r="G934" t="s">
        <v>199</v>
      </c>
      <c r="H934" t="s">
        <v>815</v>
      </c>
      <c r="J934" t="s">
        <v>107</v>
      </c>
      <c r="K934" t="s">
        <v>45</v>
      </c>
      <c r="L934">
        <v>1003</v>
      </c>
      <c r="M934" t="s">
        <v>46</v>
      </c>
      <c r="N934" t="s">
        <v>837</v>
      </c>
    </row>
    <row r="935" spans="1:17" ht="15" hidden="1" customHeight="1" x14ac:dyDescent="0.25">
      <c r="A935" t="s">
        <v>107</v>
      </c>
      <c r="B935" t="s">
        <v>814</v>
      </c>
      <c r="C935">
        <v>8</v>
      </c>
      <c r="D935" t="s">
        <v>40</v>
      </c>
      <c r="E935" t="s">
        <v>41</v>
      </c>
      <c r="F935" t="s">
        <v>198</v>
      </c>
      <c r="G935" t="s">
        <v>199</v>
      </c>
      <c r="H935" t="s">
        <v>817</v>
      </c>
      <c r="J935" t="s">
        <v>107</v>
      </c>
      <c r="K935" t="s">
        <v>45</v>
      </c>
      <c r="L935">
        <v>107</v>
      </c>
      <c r="M935" t="s">
        <v>46</v>
      </c>
      <c r="N935" t="s">
        <v>838</v>
      </c>
    </row>
    <row r="936" spans="1:17" ht="15" hidden="1" customHeight="1" x14ac:dyDescent="0.25">
      <c r="A936" t="s">
        <v>107</v>
      </c>
      <c r="B936" t="s">
        <v>814</v>
      </c>
      <c r="C936">
        <v>8</v>
      </c>
      <c r="D936" t="s">
        <v>40</v>
      </c>
      <c r="E936" t="s">
        <v>41</v>
      </c>
      <c r="F936" t="s">
        <v>198</v>
      </c>
      <c r="G936" t="s">
        <v>199</v>
      </c>
      <c r="H936" t="s">
        <v>819</v>
      </c>
      <c r="J936" t="s">
        <v>107</v>
      </c>
      <c r="K936" t="s">
        <v>45</v>
      </c>
      <c r="L936">
        <v>16918</v>
      </c>
      <c r="M936" t="s">
        <v>46</v>
      </c>
      <c r="N936" t="s">
        <v>839</v>
      </c>
    </row>
    <row r="937" spans="1:17" ht="15" hidden="1" customHeight="1" x14ac:dyDescent="0.25">
      <c r="A937" t="s">
        <v>107</v>
      </c>
      <c r="B937" t="s">
        <v>814</v>
      </c>
      <c r="C937">
        <v>8</v>
      </c>
      <c r="D937" t="s">
        <v>40</v>
      </c>
      <c r="E937" t="s">
        <v>41</v>
      </c>
      <c r="F937" t="s">
        <v>209</v>
      </c>
      <c r="G937" t="s">
        <v>199</v>
      </c>
      <c r="H937" t="s">
        <v>815</v>
      </c>
      <c r="J937" t="s">
        <v>107</v>
      </c>
      <c r="K937" t="s">
        <v>45</v>
      </c>
      <c r="L937">
        <v>8900000</v>
      </c>
      <c r="M937" t="s">
        <v>815</v>
      </c>
      <c r="N937" t="s">
        <v>840</v>
      </c>
    </row>
    <row r="938" spans="1:17" ht="15" hidden="1" customHeight="1" x14ac:dyDescent="0.25">
      <c r="A938" t="s">
        <v>107</v>
      </c>
      <c r="B938" t="s">
        <v>814</v>
      </c>
      <c r="C938">
        <v>8</v>
      </c>
      <c r="D938" t="s">
        <v>40</v>
      </c>
      <c r="E938" t="s">
        <v>41</v>
      </c>
      <c r="F938" t="s">
        <v>209</v>
      </c>
      <c r="G938" t="s">
        <v>199</v>
      </c>
      <c r="H938" t="s">
        <v>817</v>
      </c>
      <c r="J938" t="s">
        <v>107</v>
      </c>
      <c r="K938" t="s">
        <v>45</v>
      </c>
      <c r="L938">
        <v>1100000</v>
      </c>
      <c r="M938" t="s">
        <v>817</v>
      </c>
      <c r="N938" t="s">
        <v>841</v>
      </c>
    </row>
    <row r="939" spans="1:17" ht="15" hidden="1" customHeight="1" x14ac:dyDescent="0.25">
      <c r="A939" t="s">
        <v>107</v>
      </c>
      <c r="B939" t="s">
        <v>814</v>
      </c>
      <c r="C939">
        <v>8</v>
      </c>
      <c r="D939" t="s">
        <v>40</v>
      </c>
      <c r="E939" t="s">
        <v>41</v>
      </c>
      <c r="F939" t="s">
        <v>209</v>
      </c>
      <c r="G939" t="s">
        <v>199</v>
      </c>
      <c r="H939" t="s">
        <v>819</v>
      </c>
      <c r="J939" t="s">
        <v>107</v>
      </c>
      <c r="K939" t="s">
        <v>45</v>
      </c>
      <c r="L939">
        <v>113000000</v>
      </c>
      <c r="M939" t="s">
        <v>819</v>
      </c>
      <c r="N939" t="s">
        <v>842</v>
      </c>
    </row>
    <row r="940" spans="1:17" ht="15" hidden="1" customHeight="1" x14ac:dyDescent="0.25">
      <c r="A940" t="s">
        <v>107</v>
      </c>
      <c r="B940" t="s">
        <v>814</v>
      </c>
      <c r="C940">
        <v>8</v>
      </c>
      <c r="D940" t="s">
        <v>74</v>
      </c>
      <c r="E940" t="s">
        <v>75</v>
      </c>
      <c r="F940" t="s">
        <v>824</v>
      </c>
      <c r="G940" t="s">
        <v>199</v>
      </c>
      <c r="J940" t="s">
        <v>88</v>
      </c>
      <c r="K940" t="s">
        <v>77</v>
      </c>
      <c r="L940">
        <v>2970000</v>
      </c>
      <c r="M940" t="s">
        <v>46</v>
      </c>
      <c r="N940" t="s">
        <v>835</v>
      </c>
      <c r="O940" t="s">
        <v>79</v>
      </c>
      <c r="P940" t="s">
        <v>103</v>
      </c>
    </row>
    <row r="941" spans="1:17" ht="15" hidden="1" customHeight="1" x14ac:dyDescent="0.25">
      <c r="A941" t="s">
        <v>107</v>
      </c>
      <c r="B941" t="s">
        <v>814</v>
      </c>
      <c r="C941">
        <v>8</v>
      </c>
      <c r="D941" t="s">
        <v>74</v>
      </c>
      <c r="E941" t="s">
        <v>75</v>
      </c>
      <c r="F941" t="s">
        <v>826</v>
      </c>
      <c r="G941" t="s">
        <v>199</v>
      </c>
      <c r="J941" t="s">
        <v>88</v>
      </c>
      <c r="K941" t="s">
        <v>77</v>
      </c>
      <c r="L941">
        <v>2420000000</v>
      </c>
      <c r="M941" t="s">
        <v>210</v>
      </c>
      <c r="N941" t="s">
        <v>836</v>
      </c>
      <c r="O941" t="s">
        <v>79</v>
      </c>
      <c r="P941" t="s">
        <v>103</v>
      </c>
    </row>
    <row r="942" spans="1:17" ht="15" hidden="1" customHeight="1" x14ac:dyDescent="0.25">
      <c r="A942" t="s">
        <v>107</v>
      </c>
      <c r="B942" t="s">
        <v>814</v>
      </c>
      <c r="C942">
        <v>8</v>
      </c>
      <c r="D942" t="s">
        <v>85</v>
      </c>
      <c r="E942" t="s">
        <v>86</v>
      </c>
      <c r="F942" t="s">
        <v>824</v>
      </c>
      <c r="G942" t="s">
        <v>199</v>
      </c>
      <c r="J942" t="s">
        <v>107</v>
      </c>
      <c r="K942" t="s">
        <v>45</v>
      </c>
      <c r="L942">
        <v>2980000</v>
      </c>
      <c r="M942" t="s">
        <v>46</v>
      </c>
      <c r="N942" t="s">
        <v>843</v>
      </c>
    </row>
    <row r="943" spans="1:17" ht="15" hidden="1" customHeight="1" x14ac:dyDescent="0.25">
      <c r="A943" t="s">
        <v>107</v>
      </c>
      <c r="B943" t="s">
        <v>814</v>
      </c>
      <c r="C943">
        <v>8</v>
      </c>
      <c r="D943" t="s">
        <v>85</v>
      </c>
      <c r="E943" t="s">
        <v>86</v>
      </c>
      <c r="F943" t="s">
        <v>826</v>
      </c>
      <c r="G943" t="s">
        <v>199</v>
      </c>
      <c r="J943" t="s">
        <v>107</v>
      </c>
      <c r="K943" t="s">
        <v>45</v>
      </c>
      <c r="L943">
        <v>2410000000</v>
      </c>
      <c r="M943" t="s">
        <v>210</v>
      </c>
      <c r="N943" t="s">
        <v>844</v>
      </c>
    </row>
    <row r="944" spans="1:17" ht="15" hidden="1" customHeight="1" x14ac:dyDescent="0.25">
      <c r="A944" t="s">
        <v>122</v>
      </c>
      <c r="B944" t="s">
        <v>814</v>
      </c>
      <c r="C944">
        <v>8</v>
      </c>
      <c r="D944" t="s">
        <v>40</v>
      </c>
      <c r="E944" t="s">
        <v>41</v>
      </c>
      <c r="F944" t="s">
        <v>198</v>
      </c>
      <c r="G944" t="s">
        <v>199</v>
      </c>
      <c r="H944" t="s">
        <v>815</v>
      </c>
      <c r="J944" t="s">
        <v>122</v>
      </c>
      <c r="K944" t="s">
        <v>45</v>
      </c>
      <c r="L944">
        <v>844</v>
      </c>
      <c r="M944" t="s">
        <v>46</v>
      </c>
      <c r="N944" t="s">
        <v>845</v>
      </c>
    </row>
    <row r="945" spans="1:16" ht="15" hidden="1" customHeight="1" x14ac:dyDescent="0.25">
      <c r="A945" t="s">
        <v>122</v>
      </c>
      <c r="B945" t="s">
        <v>814</v>
      </c>
      <c r="C945">
        <v>8</v>
      </c>
      <c r="D945" t="s">
        <v>40</v>
      </c>
      <c r="E945" t="s">
        <v>41</v>
      </c>
      <c r="F945" t="s">
        <v>198</v>
      </c>
      <c r="G945" t="s">
        <v>199</v>
      </c>
      <c r="H945" t="s">
        <v>817</v>
      </c>
      <c r="J945" t="s">
        <v>122</v>
      </c>
      <c r="K945" t="s">
        <v>45</v>
      </c>
      <c r="L945">
        <v>86</v>
      </c>
      <c r="M945" t="s">
        <v>46</v>
      </c>
      <c r="N945" t="s">
        <v>846</v>
      </c>
    </row>
    <row r="946" spans="1:16" ht="15" hidden="1" customHeight="1" x14ac:dyDescent="0.25">
      <c r="A946" t="s">
        <v>122</v>
      </c>
      <c r="B946" t="s">
        <v>814</v>
      </c>
      <c r="C946">
        <v>8</v>
      </c>
      <c r="D946" t="s">
        <v>40</v>
      </c>
      <c r="E946" t="s">
        <v>41</v>
      </c>
      <c r="F946" t="s">
        <v>198</v>
      </c>
      <c r="G946" t="s">
        <v>199</v>
      </c>
      <c r="H946" t="s">
        <v>819</v>
      </c>
      <c r="J946" t="s">
        <v>122</v>
      </c>
      <c r="K946" t="s">
        <v>45</v>
      </c>
      <c r="L946">
        <v>17236</v>
      </c>
      <c r="M946" t="s">
        <v>46</v>
      </c>
      <c r="N946" t="s">
        <v>847</v>
      </c>
    </row>
    <row r="947" spans="1:16" ht="15" hidden="1" customHeight="1" x14ac:dyDescent="0.25">
      <c r="A947" t="s">
        <v>122</v>
      </c>
      <c r="B947" t="s">
        <v>814</v>
      </c>
      <c r="C947">
        <v>8</v>
      </c>
      <c r="D947" t="s">
        <v>40</v>
      </c>
      <c r="E947" t="s">
        <v>41</v>
      </c>
      <c r="F947" t="s">
        <v>209</v>
      </c>
      <c r="G947" t="s">
        <v>199</v>
      </c>
      <c r="H947" t="s">
        <v>815</v>
      </c>
      <c r="J947" t="s">
        <v>122</v>
      </c>
      <c r="K947" t="s">
        <v>45</v>
      </c>
      <c r="L947">
        <v>7900000</v>
      </c>
      <c r="M947" t="s">
        <v>815</v>
      </c>
      <c r="N947" t="s">
        <v>848</v>
      </c>
    </row>
    <row r="948" spans="1:16" ht="15" hidden="1" customHeight="1" x14ac:dyDescent="0.25">
      <c r="A948" t="s">
        <v>122</v>
      </c>
      <c r="B948" t="s">
        <v>814</v>
      </c>
      <c r="C948">
        <v>8</v>
      </c>
      <c r="D948" t="s">
        <v>40</v>
      </c>
      <c r="E948" t="s">
        <v>41</v>
      </c>
      <c r="F948" t="s">
        <v>209</v>
      </c>
      <c r="G948" t="s">
        <v>199</v>
      </c>
      <c r="H948" t="s">
        <v>817</v>
      </c>
      <c r="J948" t="s">
        <v>122</v>
      </c>
      <c r="K948" t="s">
        <v>45</v>
      </c>
      <c r="L948">
        <v>900000</v>
      </c>
      <c r="M948" t="s">
        <v>817</v>
      </c>
      <c r="N948" t="s">
        <v>833</v>
      </c>
    </row>
    <row r="949" spans="1:16" ht="15" hidden="1" customHeight="1" x14ac:dyDescent="0.25">
      <c r="A949" t="s">
        <v>122</v>
      </c>
      <c r="B949" t="s">
        <v>814</v>
      </c>
      <c r="C949">
        <v>8</v>
      </c>
      <c r="D949" t="s">
        <v>40</v>
      </c>
      <c r="E949" t="s">
        <v>41</v>
      </c>
      <c r="F949" t="s">
        <v>209</v>
      </c>
      <c r="G949" t="s">
        <v>199</v>
      </c>
      <c r="H949" t="s">
        <v>819</v>
      </c>
      <c r="J949" t="s">
        <v>122</v>
      </c>
      <c r="K949" t="s">
        <v>45</v>
      </c>
      <c r="L949">
        <v>110000000</v>
      </c>
      <c r="M949" t="s">
        <v>819</v>
      </c>
      <c r="N949" t="s">
        <v>849</v>
      </c>
    </row>
    <row r="950" spans="1:16" ht="15" hidden="1" customHeight="1" x14ac:dyDescent="0.25">
      <c r="A950" t="s">
        <v>122</v>
      </c>
      <c r="B950" t="s">
        <v>814</v>
      </c>
      <c r="C950">
        <v>8</v>
      </c>
      <c r="D950" t="s">
        <v>74</v>
      </c>
      <c r="E950" t="s">
        <v>75</v>
      </c>
      <c r="F950" t="s">
        <v>824</v>
      </c>
      <c r="G950" t="s">
        <v>199</v>
      </c>
      <c r="J950" t="s">
        <v>107</v>
      </c>
      <c r="K950" t="s">
        <v>77</v>
      </c>
      <c r="L950">
        <v>2980000</v>
      </c>
      <c r="M950" t="s">
        <v>46</v>
      </c>
      <c r="N950" t="s">
        <v>843</v>
      </c>
      <c r="O950" t="s">
        <v>79</v>
      </c>
      <c r="P950" t="s">
        <v>103</v>
      </c>
    </row>
    <row r="951" spans="1:16" ht="15" hidden="1" customHeight="1" x14ac:dyDescent="0.25">
      <c r="A951" t="s">
        <v>122</v>
      </c>
      <c r="B951" t="s">
        <v>814</v>
      </c>
      <c r="C951">
        <v>8</v>
      </c>
      <c r="D951" t="s">
        <v>74</v>
      </c>
      <c r="E951" t="s">
        <v>75</v>
      </c>
      <c r="F951" t="s">
        <v>826</v>
      </c>
      <c r="G951" t="s">
        <v>199</v>
      </c>
      <c r="J951" t="s">
        <v>107</v>
      </c>
      <c r="K951" t="s">
        <v>77</v>
      </c>
      <c r="L951">
        <v>2410000000</v>
      </c>
      <c r="M951" t="s">
        <v>210</v>
      </c>
      <c r="N951" t="s">
        <v>844</v>
      </c>
      <c r="O951" t="s">
        <v>79</v>
      </c>
      <c r="P951" t="s">
        <v>103</v>
      </c>
    </row>
    <row r="952" spans="1:16" ht="15" hidden="1" customHeight="1" x14ac:dyDescent="0.25">
      <c r="A952" t="s">
        <v>122</v>
      </c>
      <c r="B952" t="s">
        <v>814</v>
      </c>
      <c r="C952">
        <v>8</v>
      </c>
      <c r="D952" t="s">
        <v>85</v>
      </c>
      <c r="E952" t="s">
        <v>86</v>
      </c>
      <c r="F952" t="s">
        <v>824</v>
      </c>
      <c r="G952" t="s">
        <v>199</v>
      </c>
      <c r="J952" t="s">
        <v>122</v>
      </c>
      <c r="K952" t="s">
        <v>45</v>
      </c>
      <c r="L952">
        <v>2870000</v>
      </c>
      <c r="M952" t="s">
        <v>46</v>
      </c>
      <c r="N952" t="s">
        <v>850</v>
      </c>
    </row>
    <row r="953" spans="1:16" ht="15" hidden="1" customHeight="1" x14ac:dyDescent="0.25">
      <c r="A953" t="s">
        <v>122</v>
      </c>
      <c r="B953" t="s">
        <v>814</v>
      </c>
      <c r="C953">
        <v>8</v>
      </c>
      <c r="D953" t="s">
        <v>85</v>
      </c>
      <c r="E953" t="s">
        <v>86</v>
      </c>
      <c r="F953" t="s">
        <v>826</v>
      </c>
      <c r="G953" t="s">
        <v>199</v>
      </c>
      <c r="J953" t="s">
        <v>122</v>
      </c>
      <c r="K953" t="s">
        <v>45</v>
      </c>
      <c r="L953">
        <v>2350000000</v>
      </c>
      <c r="M953" t="s">
        <v>210</v>
      </c>
      <c r="N953" t="s">
        <v>851</v>
      </c>
    </row>
    <row r="954" spans="1:16" ht="15" hidden="1" customHeight="1" x14ac:dyDescent="0.25">
      <c r="A954" t="s">
        <v>138</v>
      </c>
      <c r="B954" t="s">
        <v>814</v>
      </c>
      <c r="C954">
        <v>8</v>
      </c>
      <c r="D954" t="s">
        <v>40</v>
      </c>
      <c r="E954" t="s">
        <v>41</v>
      </c>
      <c r="F954" t="s">
        <v>198</v>
      </c>
      <c r="G954" t="s">
        <v>199</v>
      </c>
      <c r="H954" t="s">
        <v>815</v>
      </c>
      <c r="J954" t="s">
        <v>138</v>
      </c>
      <c r="K954" t="s">
        <v>45</v>
      </c>
      <c r="L954">
        <v>989</v>
      </c>
      <c r="M954" t="s">
        <v>46</v>
      </c>
      <c r="N954" t="s">
        <v>852</v>
      </c>
    </row>
    <row r="955" spans="1:16" ht="15" hidden="1" customHeight="1" x14ac:dyDescent="0.25">
      <c r="A955" t="s">
        <v>138</v>
      </c>
      <c r="B955" t="s">
        <v>814</v>
      </c>
      <c r="C955">
        <v>8</v>
      </c>
      <c r="D955" t="s">
        <v>40</v>
      </c>
      <c r="E955" t="s">
        <v>41</v>
      </c>
      <c r="F955" t="s">
        <v>198</v>
      </c>
      <c r="G955" t="s">
        <v>199</v>
      </c>
      <c r="H955" t="s">
        <v>817</v>
      </c>
      <c r="J955" t="s">
        <v>138</v>
      </c>
      <c r="K955" t="s">
        <v>45</v>
      </c>
      <c r="L955">
        <v>133</v>
      </c>
      <c r="M955" t="s">
        <v>46</v>
      </c>
      <c r="N955" t="s">
        <v>853</v>
      </c>
    </row>
    <row r="956" spans="1:16" ht="15" hidden="1" customHeight="1" x14ac:dyDescent="0.25">
      <c r="A956" t="s">
        <v>138</v>
      </c>
      <c r="B956" t="s">
        <v>814</v>
      </c>
      <c r="C956">
        <v>8</v>
      </c>
      <c r="D956" t="s">
        <v>40</v>
      </c>
      <c r="E956" t="s">
        <v>41</v>
      </c>
      <c r="F956" t="s">
        <v>198</v>
      </c>
      <c r="G956" t="s">
        <v>199</v>
      </c>
      <c r="H956" t="s">
        <v>819</v>
      </c>
      <c r="J956" t="s">
        <v>138</v>
      </c>
      <c r="K956" t="s">
        <v>45</v>
      </c>
      <c r="L956">
        <v>17556</v>
      </c>
      <c r="M956" t="s">
        <v>46</v>
      </c>
      <c r="N956" t="s">
        <v>854</v>
      </c>
    </row>
    <row r="957" spans="1:16" ht="15" hidden="1" customHeight="1" x14ac:dyDescent="0.25">
      <c r="A957" t="s">
        <v>138</v>
      </c>
      <c r="B957" t="s">
        <v>814</v>
      </c>
      <c r="C957">
        <v>8</v>
      </c>
      <c r="D957" t="s">
        <v>40</v>
      </c>
      <c r="E957" t="s">
        <v>41</v>
      </c>
      <c r="F957" t="s">
        <v>209</v>
      </c>
      <c r="G957" t="s">
        <v>199</v>
      </c>
      <c r="H957" t="s">
        <v>815</v>
      </c>
      <c r="J957" t="s">
        <v>138</v>
      </c>
      <c r="K957" t="s">
        <v>45</v>
      </c>
      <c r="L957">
        <v>9300000</v>
      </c>
      <c r="M957" t="s">
        <v>815</v>
      </c>
      <c r="N957" t="s">
        <v>821</v>
      </c>
    </row>
    <row r="958" spans="1:16" ht="15" hidden="1" customHeight="1" x14ac:dyDescent="0.25">
      <c r="A958" t="s">
        <v>138</v>
      </c>
      <c r="B958" t="s">
        <v>814</v>
      </c>
      <c r="C958">
        <v>8</v>
      </c>
      <c r="D958" t="s">
        <v>40</v>
      </c>
      <c r="E958" t="s">
        <v>41</v>
      </c>
      <c r="F958" t="s">
        <v>209</v>
      </c>
      <c r="G958" t="s">
        <v>199</v>
      </c>
      <c r="H958" t="s">
        <v>817</v>
      </c>
      <c r="J958" t="s">
        <v>138</v>
      </c>
      <c r="K958" t="s">
        <v>45</v>
      </c>
      <c r="L958">
        <v>1100000</v>
      </c>
      <c r="M958" t="s">
        <v>817</v>
      </c>
      <c r="N958" t="s">
        <v>841</v>
      </c>
    </row>
    <row r="959" spans="1:16" ht="15" hidden="1" customHeight="1" x14ac:dyDescent="0.25">
      <c r="A959" t="s">
        <v>138</v>
      </c>
      <c r="B959" t="s">
        <v>814</v>
      </c>
      <c r="C959">
        <v>8</v>
      </c>
      <c r="D959" t="s">
        <v>40</v>
      </c>
      <c r="E959" t="s">
        <v>41</v>
      </c>
      <c r="F959" t="s">
        <v>209</v>
      </c>
      <c r="G959" t="s">
        <v>199</v>
      </c>
      <c r="H959" t="s">
        <v>819</v>
      </c>
      <c r="J959" t="s">
        <v>138</v>
      </c>
      <c r="K959" t="s">
        <v>45</v>
      </c>
      <c r="L959">
        <v>123000000</v>
      </c>
      <c r="M959" t="s">
        <v>819</v>
      </c>
      <c r="N959" t="s">
        <v>855</v>
      </c>
    </row>
    <row r="960" spans="1:16" ht="15" hidden="1" customHeight="1" x14ac:dyDescent="0.25">
      <c r="A960" t="s">
        <v>138</v>
      </c>
      <c r="B960" t="s">
        <v>814</v>
      </c>
      <c r="C960">
        <v>8</v>
      </c>
      <c r="D960" t="s">
        <v>74</v>
      </c>
      <c r="E960" t="s">
        <v>75</v>
      </c>
      <c r="F960" t="s">
        <v>824</v>
      </c>
      <c r="G960" t="s">
        <v>199</v>
      </c>
      <c r="J960" t="s">
        <v>107</v>
      </c>
      <c r="K960" t="s">
        <v>77</v>
      </c>
      <c r="L960">
        <v>2980000</v>
      </c>
      <c r="M960" t="s">
        <v>46</v>
      </c>
      <c r="N960" t="s">
        <v>843</v>
      </c>
      <c r="O960" t="s">
        <v>79</v>
      </c>
      <c r="P960" t="s">
        <v>103</v>
      </c>
    </row>
    <row r="961" spans="1:16" ht="15" hidden="1" customHeight="1" x14ac:dyDescent="0.25">
      <c r="A961" t="s">
        <v>138</v>
      </c>
      <c r="B961" t="s">
        <v>814</v>
      </c>
      <c r="C961">
        <v>8</v>
      </c>
      <c r="D961" t="s">
        <v>74</v>
      </c>
      <c r="E961" t="s">
        <v>75</v>
      </c>
      <c r="F961" t="s">
        <v>824</v>
      </c>
      <c r="G961" t="s">
        <v>199</v>
      </c>
      <c r="J961" t="s">
        <v>122</v>
      </c>
      <c r="K961" t="s">
        <v>77</v>
      </c>
      <c r="L961">
        <v>2870000</v>
      </c>
      <c r="M961" t="s">
        <v>46</v>
      </c>
      <c r="N961" t="s">
        <v>850</v>
      </c>
      <c r="O961" t="s">
        <v>79</v>
      </c>
      <c r="P961" t="s">
        <v>103</v>
      </c>
    </row>
    <row r="962" spans="1:16" ht="15" hidden="1" customHeight="1" x14ac:dyDescent="0.25">
      <c r="A962" t="s">
        <v>138</v>
      </c>
      <c r="B962" t="s">
        <v>814</v>
      </c>
      <c r="C962">
        <v>8</v>
      </c>
      <c r="D962" t="s">
        <v>74</v>
      </c>
      <c r="E962" t="s">
        <v>75</v>
      </c>
      <c r="F962" t="s">
        <v>826</v>
      </c>
      <c r="G962" t="s">
        <v>199</v>
      </c>
      <c r="J962" t="s">
        <v>107</v>
      </c>
      <c r="K962" t="s">
        <v>77</v>
      </c>
      <c r="L962">
        <v>2410000000</v>
      </c>
      <c r="M962" t="s">
        <v>210</v>
      </c>
      <c r="N962" t="s">
        <v>844</v>
      </c>
      <c r="O962" t="s">
        <v>79</v>
      </c>
      <c r="P962" t="s">
        <v>103</v>
      </c>
    </row>
    <row r="963" spans="1:16" ht="15" hidden="1" customHeight="1" x14ac:dyDescent="0.25">
      <c r="A963" t="s">
        <v>138</v>
      </c>
      <c r="B963" t="s">
        <v>814</v>
      </c>
      <c r="C963">
        <v>8</v>
      </c>
      <c r="D963" t="s">
        <v>74</v>
      </c>
      <c r="E963" t="s">
        <v>75</v>
      </c>
      <c r="F963" t="s">
        <v>826</v>
      </c>
      <c r="G963" t="s">
        <v>199</v>
      </c>
      <c r="J963" t="s">
        <v>122</v>
      </c>
      <c r="K963" t="s">
        <v>77</v>
      </c>
      <c r="L963">
        <v>2350000000</v>
      </c>
      <c r="M963" t="s">
        <v>210</v>
      </c>
      <c r="N963" t="s">
        <v>851</v>
      </c>
      <c r="O963" t="s">
        <v>79</v>
      </c>
      <c r="P963" t="s">
        <v>103</v>
      </c>
    </row>
    <row r="964" spans="1:16" ht="15" hidden="1" customHeight="1" x14ac:dyDescent="0.25">
      <c r="A964" t="s">
        <v>138</v>
      </c>
      <c r="B964" t="s">
        <v>814</v>
      </c>
      <c r="C964">
        <v>8</v>
      </c>
      <c r="D964" t="s">
        <v>85</v>
      </c>
      <c r="E964" t="s">
        <v>86</v>
      </c>
      <c r="F964" t="s">
        <v>824</v>
      </c>
      <c r="G964" t="s">
        <v>199</v>
      </c>
      <c r="J964" t="s">
        <v>138</v>
      </c>
      <c r="K964" t="s">
        <v>45</v>
      </c>
      <c r="L964">
        <v>3060000</v>
      </c>
      <c r="M964" t="s">
        <v>46</v>
      </c>
      <c r="N964" t="s">
        <v>856</v>
      </c>
    </row>
    <row r="965" spans="1:16" ht="15" hidden="1" customHeight="1" x14ac:dyDescent="0.25">
      <c r="A965" t="s">
        <v>138</v>
      </c>
      <c r="B965" t="s">
        <v>814</v>
      </c>
      <c r="C965">
        <v>8</v>
      </c>
      <c r="D965" t="s">
        <v>85</v>
      </c>
      <c r="E965" t="s">
        <v>86</v>
      </c>
      <c r="F965" t="s">
        <v>826</v>
      </c>
      <c r="G965" t="s">
        <v>199</v>
      </c>
      <c r="J965" t="s">
        <v>138</v>
      </c>
      <c r="K965" t="s">
        <v>45</v>
      </c>
      <c r="L965">
        <v>2610000000</v>
      </c>
      <c r="M965" t="s">
        <v>210</v>
      </c>
      <c r="N965" t="s">
        <v>857</v>
      </c>
    </row>
    <row r="966" spans="1:16" ht="15" hidden="1" customHeight="1" x14ac:dyDescent="0.25">
      <c r="A966" t="s">
        <v>153</v>
      </c>
      <c r="B966" t="s">
        <v>814</v>
      </c>
      <c r="C966">
        <v>8</v>
      </c>
      <c r="D966" t="s">
        <v>40</v>
      </c>
      <c r="E966" t="s">
        <v>41</v>
      </c>
      <c r="F966" t="s">
        <v>198</v>
      </c>
      <c r="G966" t="s">
        <v>199</v>
      </c>
      <c r="H966" t="s">
        <v>815</v>
      </c>
      <c r="J966" t="s">
        <v>153</v>
      </c>
      <c r="K966" t="s">
        <v>45</v>
      </c>
      <c r="L966">
        <v>922</v>
      </c>
      <c r="M966" t="s">
        <v>46</v>
      </c>
      <c r="N966" t="s">
        <v>858</v>
      </c>
    </row>
    <row r="967" spans="1:16" ht="15" hidden="1" customHeight="1" x14ac:dyDescent="0.25">
      <c r="A967" t="s">
        <v>153</v>
      </c>
      <c r="B967" t="s">
        <v>814</v>
      </c>
      <c r="C967">
        <v>8</v>
      </c>
      <c r="D967" t="s">
        <v>40</v>
      </c>
      <c r="E967" t="s">
        <v>41</v>
      </c>
      <c r="F967" t="s">
        <v>198</v>
      </c>
      <c r="G967" t="s">
        <v>199</v>
      </c>
      <c r="H967" t="s">
        <v>817</v>
      </c>
      <c r="J967" t="s">
        <v>153</v>
      </c>
      <c r="K967" t="s">
        <v>45</v>
      </c>
      <c r="L967">
        <v>120</v>
      </c>
      <c r="M967" t="s">
        <v>46</v>
      </c>
      <c r="N967" t="s">
        <v>859</v>
      </c>
    </row>
    <row r="968" spans="1:16" ht="15" hidden="1" customHeight="1" x14ac:dyDescent="0.25">
      <c r="A968" t="s">
        <v>153</v>
      </c>
      <c r="B968" t="s">
        <v>814</v>
      </c>
      <c r="C968">
        <v>8</v>
      </c>
      <c r="D968" t="s">
        <v>40</v>
      </c>
      <c r="E968" t="s">
        <v>41</v>
      </c>
      <c r="F968" t="s">
        <v>198</v>
      </c>
      <c r="G968" t="s">
        <v>199</v>
      </c>
      <c r="H968" t="s">
        <v>819</v>
      </c>
      <c r="J968" t="s">
        <v>153</v>
      </c>
      <c r="K968" t="s">
        <v>45</v>
      </c>
      <c r="L968">
        <v>18897</v>
      </c>
      <c r="M968" t="s">
        <v>46</v>
      </c>
      <c r="N968" t="s">
        <v>860</v>
      </c>
    </row>
    <row r="969" spans="1:16" ht="15" hidden="1" customHeight="1" x14ac:dyDescent="0.25">
      <c r="A969" t="s">
        <v>153</v>
      </c>
      <c r="B969" t="s">
        <v>814</v>
      </c>
      <c r="C969">
        <v>8</v>
      </c>
      <c r="D969" t="s">
        <v>40</v>
      </c>
      <c r="E969" t="s">
        <v>41</v>
      </c>
      <c r="F969" t="s">
        <v>209</v>
      </c>
      <c r="G969" t="s">
        <v>199</v>
      </c>
      <c r="H969" t="s">
        <v>815</v>
      </c>
      <c r="J969" t="s">
        <v>153</v>
      </c>
      <c r="K969" t="s">
        <v>45</v>
      </c>
      <c r="L969">
        <v>7900000</v>
      </c>
      <c r="M969" t="s">
        <v>815</v>
      </c>
      <c r="N969" t="s">
        <v>848</v>
      </c>
    </row>
    <row r="970" spans="1:16" ht="15" hidden="1" customHeight="1" x14ac:dyDescent="0.25">
      <c r="A970" t="s">
        <v>153</v>
      </c>
      <c r="B970" t="s">
        <v>814</v>
      </c>
      <c r="C970">
        <v>8</v>
      </c>
      <c r="D970" t="s">
        <v>40</v>
      </c>
      <c r="E970" t="s">
        <v>41</v>
      </c>
      <c r="F970" t="s">
        <v>209</v>
      </c>
      <c r="G970" t="s">
        <v>199</v>
      </c>
      <c r="H970" t="s">
        <v>817</v>
      </c>
      <c r="J970" t="s">
        <v>153</v>
      </c>
      <c r="K970" t="s">
        <v>45</v>
      </c>
      <c r="L970">
        <v>1000000</v>
      </c>
      <c r="M970" t="s">
        <v>817</v>
      </c>
      <c r="N970" t="s">
        <v>822</v>
      </c>
    </row>
    <row r="971" spans="1:16" ht="15" hidden="1" customHeight="1" x14ac:dyDescent="0.25">
      <c r="A971" t="s">
        <v>153</v>
      </c>
      <c r="B971" t="s">
        <v>814</v>
      </c>
      <c r="C971">
        <v>8</v>
      </c>
      <c r="D971" t="s">
        <v>40</v>
      </c>
      <c r="E971" t="s">
        <v>41</v>
      </c>
      <c r="F971" t="s">
        <v>209</v>
      </c>
      <c r="G971" t="s">
        <v>199</v>
      </c>
      <c r="H971" t="s">
        <v>819</v>
      </c>
      <c r="J971" t="s">
        <v>153</v>
      </c>
      <c r="K971" t="s">
        <v>45</v>
      </c>
      <c r="L971">
        <v>122000000</v>
      </c>
      <c r="M971" t="s">
        <v>819</v>
      </c>
      <c r="N971" t="s">
        <v>861</v>
      </c>
    </row>
    <row r="972" spans="1:16" ht="15" hidden="1" customHeight="1" x14ac:dyDescent="0.25">
      <c r="A972" t="s">
        <v>153</v>
      </c>
      <c r="B972" t="s">
        <v>814</v>
      </c>
      <c r="C972">
        <v>8</v>
      </c>
      <c r="D972" t="s">
        <v>74</v>
      </c>
      <c r="E972" t="s">
        <v>75</v>
      </c>
      <c r="F972" t="s">
        <v>824</v>
      </c>
      <c r="G972" t="s">
        <v>199</v>
      </c>
      <c r="J972" t="s">
        <v>107</v>
      </c>
      <c r="K972" t="s">
        <v>77</v>
      </c>
      <c r="L972">
        <v>2980000</v>
      </c>
      <c r="M972" t="s">
        <v>46</v>
      </c>
      <c r="N972" t="s">
        <v>843</v>
      </c>
      <c r="O972" t="s">
        <v>79</v>
      </c>
      <c r="P972" t="s">
        <v>103</v>
      </c>
    </row>
    <row r="973" spans="1:16" ht="15" hidden="1" customHeight="1" x14ac:dyDescent="0.25">
      <c r="A973" t="s">
        <v>153</v>
      </c>
      <c r="B973" t="s">
        <v>814</v>
      </c>
      <c r="C973">
        <v>8</v>
      </c>
      <c r="D973" t="s">
        <v>74</v>
      </c>
      <c r="E973" t="s">
        <v>75</v>
      </c>
      <c r="F973" t="s">
        <v>824</v>
      </c>
      <c r="G973" t="s">
        <v>199</v>
      </c>
      <c r="J973" t="s">
        <v>122</v>
      </c>
      <c r="K973" t="s">
        <v>77</v>
      </c>
      <c r="L973">
        <v>2870000</v>
      </c>
      <c r="M973" t="s">
        <v>46</v>
      </c>
      <c r="N973" t="s">
        <v>850</v>
      </c>
      <c r="O973" t="s">
        <v>79</v>
      </c>
      <c r="P973" t="s">
        <v>103</v>
      </c>
    </row>
    <row r="974" spans="1:16" ht="15" hidden="1" customHeight="1" x14ac:dyDescent="0.25">
      <c r="A974" t="s">
        <v>153</v>
      </c>
      <c r="B974" t="s">
        <v>814</v>
      </c>
      <c r="C974">
        <v>8</v>
      </c>
      <c r="D974" t="s">
        <v>74</v>
      </c>
      <c r="E974" t="s">
        <v>75</v>
      </c>
      <c r="F974" t="s">
        <v>824</v>
      </c>
      <c r="G974" t="s">
        <v>199</v>
      </c>
      <c r="J974" t="s">
        <v>138</v>
      </c>
      <c r="K974" t="s">
        <v>77</v>
      </c>
      <c r="L974">
        <v>3060000</v>
      </c>
      <c r="M974" t="s">
        <v>46</v>
      </c>
      <c r="N974" t="s">
        <v>856</v>
      </c>
      <c r="O974" t="s">
        <v>79</v>
      </c>
      <c r="P974" t="s">
        <v>103</v>
      </c>
    </row>
    <row r="975" spans="1:16" ht="15" hidden="1" customHeight="1" x14ac:dyDescent="0.25">
      <c r="A975" t="s">
        <v>153</v>
      </c>
      <c r="B975" t="s">
        <v>814</v>
      </c>
      <c r="C975">
        <v>8</v>
      </c>
      <c r="D975" t="s">
        <v>74</v>
      </c>
      <c r="E975" t="s">
        <v>75</v>
      </c>
      <c r="F975" t="s">
        <v>826</v>
      </c>
      <c r="G975" t="s">
        <v>199</v>
      </c>
      <c r="J975" t="s">
        <v>107</v>
      </c>
      <c r="K975" t="s">
        <v>77</v>
      </c>
      <c r="L975">
        <v>2410000000</v>
      </c>
      <c r="M975" t="s">
        <v>210</v>
      </c>
      <c r="N975" t="s">
        <v>844</v>
      </c>
      <c r="O975" t="s">
        <v>79</v>
      </c>
      <c r="P975" t="s">
        <v>103</v>
      </c>
    </row>
    <row r="976" spans="1:16" ht="15" hidden="1" customHeight="1" x14ac:dyDescent="0.25">
      <c r="A976" t="s">
        <v>153</v>
      </c>
      <c r="B976" t="s">
        <v>814</v>
      </c>
      <c r="C976">
        <v>8</v>
      </c>
      <c r="D976" t="s">
        <v>74</v>
      </c>
      <c r="E976" t="s">
        <v>75</v>
      </c>
      <c r="F976" t="s">
        <v>826</v>
      </c>
      <c r="G976" t="s">
        <v>199</v>
      </c>
      <c r="J976" t="s">
        <v>122</v>
      </c>
      <c r="K976" t="s">
        <v>77</v>
      </c>
      <c r="L976">
        <v>2350000000</v>
      </c>
      <c r="M976" t="s">
        <v>210</v>
      </c>
      <c r="N976" t="s">
        <v>851</v>
      </c>
      <c r="O976" t="s">
        <v>79</v>
      </c>
      <c r="P976" t="s">
        <v>103</v>
      </c>
    </row>
    <row r="977" spans="1:16" ht="15" hidden="1" customHeight="1" x14ac:dyDescent="0.25">
      <c r="A977" t="s">
        <v>153</v>
      </c>
      <c r="B977" t="s">
        <v>814</v>
      </c>
      <c r="C977">
        <v>8</v>
      </c>
      <c r="D977" t="s">
        <v>74</v>
      </c>
      <c r="E977" t="s">
        <v>75</v>
      </c>
      <c r="F977" t="s">
        <v>826</v>
      </c>
      <c r="G977" t="s">
        <v>199</v>
      </c>
      <c r="J977" t="s">
        <v>138</v>
      </c>
      <c r="K977" t="s">
        <v>77</v>
      </c>
      <c r="L977">
        <v>2610000000</v>
      </c>
      <c r="M977" t="s">
        <v>210</v>
      </c>
      <c r="N977" t="s">
        <v>857</v>
      </c>
      <c r="O977" t="s">
        <v>79</v>
      </c>
      <c r="P977" t="s">
        <v>103</v>
      </c>
    </row>
    <row r="978" spans="1:16" ht="15" hidden="1" customHeight="1" x14ac:dyDescent="0.25">
      <c r="A978" t="s">
        <v>153</v>
      </c>
      <c r="B978" t="s">
        <v>814</v>
      </c>
      <c r="C978">
        <v>8</v>
      </c>
      <c r="D978" t="s">
        <v>85</v>
      </c>
      <c r="E978" t="s">
        <v>86</v>
      </c>
      <c r="F978" t="s">
        <v>824</v>
      </c>
      <c r="G978" t="s">
        <v>199</v>
      </c>
      <c r="J978" t="s">
        <v>153</v>
      </c>
      <c r="K978" t="s">
        <v>45</v>
      </c>
      <c r="L978">
        <v>3260000</v>
      </c>
      <c r="M978" t="s">
        <v>46</v>
      </c>
      <c r="N978" t="s">
        <v>862</v>
      </c>
    </row>
    <row r="979" spans="1:16" ht="15" hidden="1" customHeight="1" x14ac:dyDescent="0.25">
      <c r="A979" t="s">
        <v>153</v>
      </c>
      <c r="B979" t="s">
        <v>814</v>
      </c>
      <c r="C979">
        <v>8</v>
      </c>
      <c r="D979" t="s">
        <v>85</v>
      </c>
      <c r="E979" t="s">
        <v>86</v>
      </c>
      <c r="F979" t="s">
        <v>826</v>
      </c>
      <c r="G979" t="s">
        <v>199</v>
      </c>
      <c r="J979" t="s">
        <v>153</v>
      </c>
      <c r="K979" t="s">
        <v>45</v>
      </c>
      <c r="L979">
        <v>2630000000</v>
      </c>
      <c r="M979" t="s">
        <v>210</v>
      </c>
      <c r="N979" t="s">
        <v>863</v>
      </c>
    </row>
    <row r="980" spans="1:16" ht="15" hidden="1" customHeight="1" x14ac:dyDescent="0.25">
      <c r="A980" t="s">
        <v>169</v>
      </c>
      <c r="B980" t="s">
        <v>814</v>
      </c>
      <c r="C980">
        <v>8</v>
      </c>
      <c r="D980" t="s">
        <v>40</v>
      </c>
      <c r="E980" t="s">
        <v>41</v>
      </c>
      <c r="F980" t="s">
        <v>198</v>
      </c>
      <c r="G980" t="s">
        <v>199</v>
      </c>
      <c r="H980" t="s">
        <v>815</v>
      </c>
      <c r="J980" t="s">
        <v>169</v>
      </c>
      <c r="K980" t="s">
        <v>45</v>
      </c>
      <c r="L980">
        <v>828</v>
      </c>
      <c r="M980" t="s">
        <v>46</v>
      </c>
      <c r="N980" t="s">
        <v>864</v>
      </c>
    </row>
    <row r="981" spans="1:16" ht="15" hidden="1" customHeight="1" x14ac:dyDescent="0.25">
      <c r="A981" t="s">
        <v>169</v>
      </c>
      <c r="B981" t="s">
        <v>814</v>
      </c>
      <c r="C981">
        <v>8</v>
      </c>
      <c r="D981" t="s">
        <v>40</v>
      </c>
      <c r="E981" t="s">
        <v>41</v>
      </c>
      <c r="F981" t="s">
        <v>198</v>
      </c>
      <c r="G981" t="s">
        <v>199</v>
      </c>
      <c r="H981" t="s">
        <v>817</v>
      </c>
      <c r="J981" t="s">
        <v>169</v>
      </c>
      <c r="K981" t="s">
        <v>45</v>
      </c>
      <c r="L981">
        <v>103</v>
      </c>
      <c r="M981" t="s">
        <v>46</v>
      </c>
      <c r="N981" t="s">
        <v>865</v>
      </c>
    </row>
    <row r="982" spans="1:16" ht="15" hidden="1" customHeight="1" x14ac:dyDescent="0.25">
      <c r="A982" t="s">
        <v>169</v>
      </c>
      <c r="B982" t="s">
        <v>814</v>
      </c>
      <c r="C982">
        <v>8</v>
      </c>
      <c r="D982" t="s">
        <v>40</v>
      </c>
      <c r="E982" t="s">
        <v>41</v>
      </c>
      <c r="F982" t="s">
        <v>198</v>
      </c>
      <c r="G982" t="s">
        <v>199</v>
      </c>
      <c r="H982" t="s">
        <v>819</v>
      </c>
      <c r="J982" t="s">
        <v>169</v>
      </c>
      <c r="K982" t="s">
        <v>45</v>
      </c>
      <c r="L982">
        <v>16863</v>
      </c>
      <c r="M982" t="s">
        <v>46</v>
      </c>
      <c r="N982" t="s">
        <v>866</v>
      </c>
    </row>
    <row r="983" spans="1:16" ht="15" hidden="1" customHeight="1" x14ac:dyDescent="0.25">
      <c r="A983" t="s">
        <v>169</v>
      </c>
      <c r="B983" t="s">
        <v>814</v>
      </c>
      <c r="C983">
        <v>8</v>
      </c>
      <c r="D983" t="s">
        <v>40</v>
      </c>
      <c r="E983" t="s">
        <v>41</v>
      </c>
      <c r="F983" t="s">
        <v>209</v>
      </c>
      <c r="G983" t="s">
        <v>199</v>
      </c>
      <c r="H983" t="s">
        <v>815</v>
      </c>
      <c r="J983" t="s">
        <v>169</v>
      </c>
      <c r="K983" t="s">
        <v>45</v>
      </c>
      <c r="L983">
        <v>7800000</v>
      </c>
      <c r="M983" t="s">
        <v>815</v>
      </c>
      <c r="N983" t="s">
        <v>867</v>
      </c>
    </row>
    <row r="984" spans="1:16" ht="15" hidden="1" customHeight="1" x14ac:dyDescent="0.25">
      <c r="A984" t="s">
        <v>169</v>
      </c>
      <c r="B984" t="s">
        <v>814</v>
      </c>
      <c r="C984">
        <v>8</v>
      </c>
      <c r="D984" t="s">
        <v>40</v>
      </c>
      <c r="E984" t="s">
        <v>41</v>
      </c>
      <c r="F984" t="s">
        <v>209</v>
      </c>
      <c r="G984" t="s">
        <v>199</v>
      </c>
      <c r="H984" t="s">
        <v>817</v>
      </c>
      <c r="J984" t="s">
        <v>169</v>
      </c>
      <c r="K984" t="s">
        <v>45</v>
      </c>
      <c r="L984">
        <v>1000000</v>
      </c>
      <c r="M984" t="s">
        <v>817</v>
      </c>
      <c r="N984" t="s">
        <v>822</v>
      </c>
    </row>
    <row r="985" spans="1:16" ht="15" hidden="1" customHeight="1" x14ac:dyDescent="0.25">
      <c r="A985" t="s">
        <v>169</v>
      </c>
      <c r="B985" t="s">
        <v>814</v>
      </c>
      <c r="C985">
        <v>8</v>
      </c>
      <c r="D985" t="s">
        <v>40</v>
      </c>
      <c r="E985" t="s">
        <v>41</v>
      </c>
      <c r="F985" t="s">
        <v>209</v>
      </c>
      <c r="G985" t="s">
        <v>199</v>
      </c>
      <c r="H985" t="s">
        <v>819</v>
      </c>
      <c r="J985" t="s">
        <v>169</v>
      </c>
      <c r="K985" t="s">
        <v>45</v>
      </c>
      <c r="L985">
        <v>112000000</v>
      </c>
      <c r="M985" t="s">
        <v>819</v>
      </c>
      <c r="N985" t="s">
        <v>868</v>
      </c>
    </row>
    <row r="986" spans="1:16" ht="15" hidden="1" customHeight="1" x14ac:dyDescent="0.25">
      <c r="A986" t="s">
        <v>169</v>
      </c>
      <c r="B986" t="s">
        <v>814</v>
      </c>
      <c r="C986">
        <v>8</v>
      </c>
      <c r="D986" t="s">
        <v>74</v>
      </c>
      <c r="E986" t="s">
        <v>75</v>
      </c>
      <c r="F986" t="s">
        <v>824</v>
      </c>
      <c r="G986" t="s">
        <v>199</v>
      </c>
      <c r="J986" t="s">
        <v>153</v>
      </c>
      <c r="K986" t="s">
        <v>77</v>
      </c>
      <c r="L986">
        <v>3260000</v>
      </c>
      <c r="M986" t="s">
        <v>46</v>
      </c>
      <c r="N986" t="s">
        <v>862</v>
      </c>
      <c r="O986" t="s">
        <v>79</v>
      </c>
      <c r="P986" t="s">
        <v>103</v>
      </c>
    </row>
    <row r="987" spans="1:16" ht="15" hidden="1" customHeight="1" x14ac:dyDescent="0.25">
      <c r="A987" t="s">
        <v>169</v>
      </c>
      <c r="B987" t="s">
        <v>814</v>
      </c>
      <c r="C987">
        <v>8</v>
      </c>
      <c r="D987" t="s">
        <v>74</v>
      </c>
      <c r="E987" t="s">
        <v>75</v>
      </c>
      <c r="F987" t="s">
        <v>826</v>
      </c>
      <c r="G987" t="s">
        <v>199</v>
      </c>
      <c r="J987" t="s">
        <v>153</v>
      </c>
      <c r="K987" t="s">
        <v>77</v>
      </c>
      <c r="L987">
        <v>2630000000</v>
      </c>
      <c r="M987" t="s">
        <v>210</v>
      </c>
      <c r="N987" t="s">
        <v>863</v>
      </c>
      <c r="O987" t="s">
        <v>79</v>
      </c>
      <c r="P987" t="s">
        <v>103</v>
      </c>
    </row>
    <row r="988" spans="1:16" ht="15" hidden="1" customHeight="1" x14ac:dyDescent="0.25">
      <c r="A988" t="s">
        <v>169</v>
      </c>
      <c r="B988" t="s">
        <v>814</v>
      </c>
      <c r="C988">
        <v>8</v>
      </c>
      <c r="D988" t="s">
        <v>85</v>
      </c>
      <c r="E988" t="s">
        <v>86</v>
      </c>
      <c r="F988" t="s">
        <v>824</v>
      </c>
      <c r="G988" t="s">
        <v>199</v>
      </c>
      <c r="J988" t="s">
        <v>169</v>
      </c>
      <c r="K988" t="s">
        <v>45</v>
      </c>
      <c r="L988">
        <v>3240000</v>
      </c>
      <c r="M988" t="s">
        <v>46</v>
      </c>
      <c r="N988" t="s">
        <v>869</v>
      </c>
    </row>
    <row r="989" spans="1:16" ht="15" hidden="1" customHeight="1" x14ac:dyDescent="0.25">
      <c r="A989" t="s">
        <v>169</v>
      </c>
      <c r="B989" t="s">
        <v>814</v>
      </c>
      <c r="C989">
        <v>8</v>
      </c>
      <c r="D989" t="s">
        <v>85</v>
      </c>
      <c r="E989" t="s">
        <v>86</v>
      </c>
      <c r="F989" t="s">
        <v>826</v>
      </c>
      <c r="G989" t="s">
        <v>199</v>
      </c>
      <c r="J989" t="s">
        <v>169</v>
      </c>
      <c r="K989" t="s">
        <v>45</v>
      </c>
      <c r="L989">
        <v>2690000000</v>
      </c>
      <c r="M989" t="s">
        <v>210</v>
      </c>
      <c r="N989" t="s">
        <v>870</v>
      </c>
    </row>
    <row r="990" spans="1:16" ht="15" hidden="1" customHeight="1" x14ac:dyDescent="0.25">
      <c r="A990" t="s">
        <v>184</v>
      </c>
      <c r="B990" t="s">
        <v>814</v>
      </c>
      <c r="C990">
        <v>8</v>
      </c>
      <c r="D990" t="s">
        <v>40</v>
      </c>
      <c r="E990" t="s">
        <v>41</v>
      </c>
      <c r="F990" t="s">
        <v>198</v>
      </c>
      <c r="G990" t="s">
        <v>199</v>
      </c>
      <c r="H990" t="s">
        <v>815</v>
      </c>
      <c r="J990" t="s">
        <v>184</v>
      </c>
      <c r="K990" t="s">
        <v>45</v>
      </c>
      <c r="L990">
        <v>898</v>
      </c>
      <c r="M990" t="s">
        <v>46</v>
      </c>
      <c r="N990" t="s">
        <v>871</v>
      </c>
    </row>
    <row r="991" spans="1:16" ht="15" hidden="1" customHeight="1" x14ac:dyDescent="0.25">
      <c r="A991" t="s">
        <v>184</v>
      </c>
      <c r="B991" t="s">
        <v>814</v>
      </c>
      <c r="C991">
        <v>8</v>
      </c>
      <c r="D991" t="s">
        <v>40</v>
      </c>
      <c r="E991" t="s">
        <v>41</v>
      </c>
      <c r="F991" t="s">
        <v>198</v>
      </c>
      <c r="G991" t="s">
        <v>199</v>
      </c>
      <c r="H991" t="s">
        <v>817</v>
      </c>
      <c r="J991" t="s">
        <v>184</v>
      </c>
      <c r="K991" t="s">
        <v>45</v>
      </c>
      <c r="L991">
        <v>113</v>
      </c>
      <c r="M991" t="s">
        <v>46</v>
      </c>
      <c r="N991" t="s">
        <v>830</v>
      </c>
    </row>
    <row r="992" spans="1:16" ht="15" hidden="1" customHeight="1" x14ac:dyDescent="0.25">
      <c r="A992" t="s">
        <v>184</v>
      </c>
      <c r="B992" t="s">
        <v>814</v>
      </c>
      <c r="C992">
        <v>8</v>
      </c>
      <c r="D992" t="s">
        <v>40</v>
      </c>
      <c r="E992" t="s">
        <v>41</v>
      </c>
      <c r="F992" t="s">
        <v>198</v>
      </c>
      <c r="G992" t="s">
        <v>199</v>
      </c>
      <c r="H992" t="s">
        <v>819</v>
      </c>
      <c r="J992" t="s">
        <v>184</v>
      </c>
      <c r="K992" t="s">
        <v>45</v>
      </c>
      <c r="L992">
        <v>17329</v>
      </c>
      <c r="M992" t="s">
        <v>46</v>
      </c>
      <c r="N992" t="s">
        <v>872</v>
      </c>
    </row>
    <row r="993" spans="1:17" ht="15" hidden="1" customHeight="1" x14ac:dyDescent="0.25">
      <c r="A993" t="s">
        <v>184</v>
      </c>
      <c r="B993" t="s">
        <v>814</v>
      </c>
      <c r="C993">
        <v>8</v>
      </c>
      <c r="D993" t="s">
        <v>40</v>
      </c>
      <c r="E993" t="s">
        <v>41</v>
      </c>
      <c r="F993" t="s">
        <v>209</v>
      </c>
      <c r="G993" t="s">
        <v>199</v>
      </c>
      <c r="H993" t="s">
        <v>815</v>
      </c>
      <c r="J993" t="s">
        <v>184</v>
      </c>
      <c r="K993" t="s">
        <v>45</v>
      </c>
      <c r="L993">
        <v>8300000</v>
      </c>
      <c r="M993" t="s">
        <v>815</v>
      </c>
      <c r="N993" t="s">
        <v>873</v>
      </c>
    </row>
    <row r="994" spans="1:17" ht="15" hidden="1" customHeight="1" x14ac:dyDescent="0.25">
      <c r="A994" t="s">
        <v>184</v>
      </c>
      <c r="B994" t="s">
        <v>814</v>
      </c>
      <c r="C994">
        <v>8</v>
      </c>
      <c r="D994" t="s">
        <v>40</v>
      </c>
      <c r="E994" t="s">
        <v>41</v>
      </c>
      <c r="F994" t="s">
        <v>209</v>
      </c>
      <c r="G994" t="s">
        <v>199</v>
      </c>
      <c r="H994" t="s">
        <v>817</v>
      </c>
      <c r="J994" t="s">
        <v>184</v>
      </c>
      <c r="K994" t="s">
        <v>45</v>
      </c>
      <c r="L994">
        <v>900000</v>
      </c>
      <c r="M994" t="s">
        <v>817</v>
      </c>
      <c r="N994" t="s">
        <v>833</v>
      </c>
    </row>
    <row r="995" spans="1:17" ht="15" hidden="1" customHeight="1" x14ac:dyDescent="0.25">
      <c r="A995" t="s">
        <v>184</v>
      </c>
      <c r="B995" t="s">
        <v>814</v>
      </c>
      <c r="C995">
        <v>8</v>
      </c>
      <c r="D995" t="s">
        <v>40</v>
      </c>
      <c r="E995" t="s">
        <v>41</v>
      </c>
      <c r="F995" t="s">
        <v>209</v>
      </c>
      <c r="G995" t="s">
        <v>199</v>
      </c>
      <c r="H995" t="s">
        <v>819</v>
      </c>
      <c r="J995" t="s">
        <v>184</v>
      </c>
      <c r="K995" t="s">
        <v>45</v>
      </c>
      <c r="L995">
        <v>116000000</v>
      </c>
      <c r="M995" t="s">
        <v>819</v>
      </c>
      <c r="N995" t="s">
        <v>874</v>
      </c>
    </row>
    <row r="996" spans="1:17" ht="15" hidden="1" customHeight="1" x14ac:dyDescent="0.25">
      <c r="A996" t="s">
        <v>184</v>
      </c>
      <c r="B996" t="s">
        <v>814</v>
      </c>
      <c r="C996">
        <v>8</v>
      </c>
      <c r="D996" t="s">
        <v>74</v>
      </c>
      <c r="E996" t="s">
        <v>75</v>
      </c>
      <c r="F996" t="s">
        <v>824</v>
      </c>
      <c r="G996" t="s">
        <v>199</v>
      </c>
      <c r="J996" t="s">
        <v>169</v>
      </c>
      <c r="K996" t="s">
        <v>77</v>
      </c>
      <c r="L996">
        <v>3240000</v>
      </c>
      <c r="M996" t="s">
        <v>46</v>
      </c>
      <c r="N996" t="s">
        <v>869</v>
      </c>
      <c r="O996" t="s">
        <v>79</v>
      </c>
      <c r="P996" t="s">
        <v>103</v>
      </c>
    </row>
    <row r="997" spans="1:17" ht="15" hidden="1" customHeight="1" x14ac:dyDescent="0.25">
      <c r="A997" t="s">
        <v>184</v>
      </c>
      <c r="B997" t="s">
        <v>814</v>
      </c>
      <c r="C997">
        <v>8</v>
      </c>
      <c r="D997" t="s">
        <v>74</v>
      </c>
      <c r="E997" t="s">
        <v>75</v>
      </c>
      <c r="F997" t="s">
        <v>826</v>
      </c>
      <c r="G997" t="s">
        <v>199</v>
      </c>
      <c r="J997" t="s">
        <v>169</v>
      </c>
      <c r="K997" t="s">
        <v>77</v>
      </c>
      <c r="L997">
        <v>2690000000</v>
      </c>
      <c r="M997" t="s">
        <v>210</v>
      </c>
      <c r="N997" t="s">
        <v>870</v>
      </c>
      <c r="O997" t="s">
        <v>79</v>
      </c>
      <c r="P997" t="s">
        <v>103</v>
      </c>
    </row>
    <row r="998" spans="1:17" ht="15" hidden="1" customHeight="1" x14ac:dyDescent="0.25">
      <c r="A998" t="s">
        <v>184</v>
      </c>
      <c r="B998" t="s">
        <v>814</v>
      </c>
      <c r="C998">
        <v>8</v>
      </c>
      <c r="D998" t="s">
        <v>85</v>
      </c>
      <c r="E998" t="s">
        <v>86</v>
      </c>
      <c r="F998" t="s">
        <v>824</v>
      </c>
      <c r="G998" t="s">
        <v>199</v>
      </c>
      <c r="J998" t="s">
        <v>184</v>
      </c>
      <c r="K998" t="s">
        <v>45</v>
      </c>
      <c r="L998">
        <v>3290000</v>
      </c>
      <c r="M998" t="s">
        <v>46</v>
      </c>
      <c r="N998" t="s">
        <v>875</v>
      </c>
    </row>
    <row r="999" spans="1:17" ht="15" hidden="1" customHeight="1" x14ac:dyDescent="0.25">
      <c r="A999" t="s">
        <v>184</v>
      </c>
      <c r="B999" t="s">
        <v>814</v>
      </c>
      <c r="C999">
        <v>8</v>
      </c>
      <c r="D999" t="s">
        <v>85</v>
      </c>
      <c r="E999" t="s">
        <v>86</v>
      </c>
      <c r="F999" t="s">
        <v>826</v>
      </c>
      <c r="G999" t="s">
        <v>199</v>
      </c>
      <c r="J999" t="s">
        <v>184</v>
      </c>
      <c r="K999" t="s">
        <v>45</v>
      </c>
      <c r="L999">
        <v>2750000000</v>
      </c>
      <c r="M999" t="s">
        <v>210</v>
      </c>
      <c r="N999" t="s">
        <v>876</v>
      </c>
    </row>
    <row r="1000" spans="1:17" ht="15" hidden="1" customHeight="1" x14ac:dyDescent="0.25">
      <c r="A1000" t="s">
        <v>38</v>
      </c>
      <c r="B1000" t="s">
        <v>877</v>
      </c>
      <c r="C1000">
        <v>9</v>
      </c>
      <c r="D1000" t="s">
        <v>74</v>
      </c>
      <c r="E1000" t="s">
        <v>75</v>
      </c>
      <c r="F1000" t="s">
        <v>878</v>
      </c>
      <c r="G1000" t="s">
        <v>879</v>
      </c>
      <c r="J1000" t="s">
        <v>76</v>
      </c>
      <c r="K1000" t="s">
        <v>77</v>
      </c>
      <c r="L1000">
        <v>1570000</v>
      </c>
      <c r="M1000" t="s">
        <v>46</v>
      </c>
      <c r="N1000" t="s">
        <v>880</v>
      </c>
      <c r="O1000" t="s">
        <v>79</v>
      </c>
      <c r="P1000" t="s">
        <v>80</v>
      </c>
      <c r="Q1000" t="s">
        <v>81</v>
      </c>
    </row>
    <row r="1001" spans="1:17" ht="15" hidden="1" customHeight="1" x14ac:dyDescent="0.25">
      <c r="A1001" t="s">
        <v>38</v>
      </c>
      <c r="B1001" t="s">
        <v>877</v>
      </c>
      <c r="C1001">
        <v>9</v>
      </c>
      <c r="D1001" t="s">
        <v>74</v>
      </c>
      <c r="E1001" t="s">
        <v>75</v>
      </c>
      <c r="F1001" t="s">
        <v>878</v>
      </c>
      <c r="G1001" t="s">
        <v>879</v>
      </c>
      <c r="J1001" t="s">
        <v>82</v>
      </c>
      <c r="K1001" t="s">
        <v>77</v>
      </c>
      <c r="L1001">
        <v>1570000</v>
      </c>
      <c r="M1001" t="s">
        <v>46</v>
      </c>
      <c r="N1001" t="s">
        <v>880</v>
      </c>
      <c r="O1001" t="s">
        <v>79</v>
      </c>
      <c r="P1001" t="s">
        <v>80</v>
      </c>
      <c r="Q1001" t="s">
        <v>84</v>
      </c>
    </row>
    <row r="1002" spans="1:17" ht="15" hidden="1" customHeight="1" x14ac:dyDescent="0.25">
      <c r="A1002" t="s">
        <v>38</v>
      </c>
      <c r="B1002" t="s">
        <v>877</v>
      </c>
      <c r="C1002">
        <v>9</v>
      </c>
      <c r="D1002" t="s">
        <v>74</v>
      </c>
      <c r="E1002" t="s">
        <v>75</v>
      </c>
      <c r="F1002" t="s">
        <v>881</v>
      </c>
      <c r="G1002" t="s">
        <v>879</v>
      </c>
      <c r="J1002" t="s">
        <v>76</v>
      </c>
      <c r="K1002" t="s">
        <v>77</v>
      </c>
      <c r="L1002">
        <v>9650000000</v>
      </c>
      <c r="M1002" t="s">
        <v>210</v>
      </c>
      <c r="N1002" t="s">
        <v>882</v>
      </c>
      <c r="O1002" t="s">
        <v>79</v>
      </c>
      <c r="P1002" t="s">
        <v>80</v>
      </c>
      <c r="Q1002" t="s">
        <v>81</v>
      </c>
    </row>
    <row r="1003" spans="1:17" ht="15" hidden="1" customHeight="1" x14ac:dyDescent="0.25">
      <c r="A1003" t="s">
        <v>38</v>
      </c>
      <c r="B1003" t="s">
        <v>877</v>
      </c>
      <c r="C1003">
        <v>9</v>
      </c>
      <c r="D1003" t="s">
        <v>74</v>
      </c>
      <c r="E1003" t="s">
        <v>75</v>
      </c>
      <c r="F1003" t="s">
        <v>881</v>
      </c>
      <c r="G1003" t="s">
        <v>879</v>
      </c>
      <c r="J1003" t="s">
        <v>82</v>
      </c>
      <c r="K1003" t="s">
        <v>77</v>
      </c>
      <c r="L1003">
        <v>9620000000</v>
      </c>
      <c r="M1003" t="s">
        <v>210</v>
      </c>
      <c r="N1003" t="s">
        <v>883</v>
      </c>
      <c r="O1003" t="s">
        <v>79</v>
      </c>
      <c r="P1003" t="s">
        <v>80</v>
      </c>
      <c r="Q1003" t="s">
        <v>84</v>
      </c>
    </row>
    <row r="1004" spans="1:17" ht="15" hidden="1" customHeight="1" x14ac:dyDescent="0.25">
      <c r="A1004" t="s">
        <v>38</v>
      </c>
      <c r="B1004" t="s">
        <v>877</v>
      </c>
      <c r="C1004">
        <v>9</v>
      </c>
      <c r="D1004" t="s">
        <v>85</v>
      </c>
      <c r="E1004" t="s">
        <v>86</v>
      </c>
      <c r="F1004" t="s">
        <v>878</v>
      </c>
      <c r="G1004" t="s">
        <v>879</v>
      </c>
      <c r="J1004" t="s">
        <v>38</v>
      </c>
      <c r="K1004" t="s">
        <v>45</v>
      </c>
      <c r="L1004">
        <v>1670000</v>
      </c>
      <c r="M1004" t="s">
        <v>46</v>
      </c>
      <c r="N1004" t="s">
        <v>106</v>
      </c>
    </row>
    <row r="1005" spans="1:17" ht="15" hidden="1" customHeight="1" x14ac:dyDescent="0.25">
      <c r="A1005" t="s">
        <v>38</v>
      </c>
      <c r="B1005" t="s">
        <v>877</v>
      </c>
      <c r="C1005">
        <v>9</v>
      </c>
      <c r="D1005" t="s">
        <v>85</v>
      </c>
      <c r="E1005" t="s">
        <v>41</v>
      </c>
      <c r="F1005" t="s">
        <v>884</v>
      </c>
      <c r="G1005" t="s">
        <v>879</v>
      </c>
      <c r="J1005" t="s">
        <v>38</v>
      </c>
      <c r="K1005" t="s">
        <v>45</v>
      </c>
      <c r="L1005">
        <v>53900</v>
      </c>
      <c r="M1005" t="s">
        <v>46</v>
      </c>
      <c r="N1005" t="s">
        <v>885</v>
      </c>
    </row>
    <row r="1006" spans="1:17" ht="15" hidden="1" customHeight="1" x14ac:dyDescent="0.25">
      <c r="A1006" t="s">
        <v>38</v>
      </c>
      <c r="B1006" t="s">
        <v>877</v>
      </c>
      <c r="C1006">
        <v>9</v>
      </c>
      <c r="D1006" t="s">
        <v>85</v>
      </c>
      <c r="E1006" t="s">
        <v>86</v>
      </c>
      <c r="F1006" t="s">
        <v>881</v>
      </c>
      <c r="G1006" t="s">
        <v>879</v>
      </c>
      <c r="J1006" t="s">
        <v>38</v>
      </c>
      <c r="K1006" t="s">
        <v>45</v>
      </c>
      <c r="L1006">
        <v>10410000000</v>
      </c>
      <c r="M1006" t="s">
        <v>210</v>
      </c>
      <c r="N1006" t="s">
        <v>886</v>
      </c>
    </row>
    <row r="1007" spans="1:17" ht="15" hidden="1" customHeight="1" x14ac:dyDescent="0.25">
      <c r="A1007" t="s">
        <v>38</v>
      </c>
      <c r="B1007" t="s">
        <v>877</v>
      </c>
      <c r="C1007">
        <v>9</v>
      </c>
      <c r="D1007" t="s">
        <v>85</v>
      </c>
      <c r="E1007" t="s">
        <v>41</v>
      </c>
      <c r="F1007" t="s">
        <v>887</v>
      </c>
      <c r="G1007" t="s">
        <v>879</v>
      </c>
      <c r="J1007" t="s">
        <v>38</v>
      </c>
      <c r="K1007" t="s">
        <v>45</v>
      </c>
      <c r="L1007">
        <v>389300000</v>
      </c>
      <c r="M1007" t="s">
        <v>210</v>
      </c>
      <c r="N1007" t="s">
        <v>888</v>
      </c>
    </row>
    <row r="1008" spans="1:17" ht="15" hidden="1" customHeight="1" x14ac:dyDescent="0.25">
      <c r="A1008" t="s">
        <v>88</v>
      </c>
      <c r="B1008" t="s">
        <v>877</v>
      </c>
      <c r="C1008">
        <v>9</v>
      </c>
      <c r="D1008" t="s">
        <v>74</v>
      </c>
      <c r="E1008" t="s">
        <v>75</v>
      </c>
      <c r="F1008" t="s">
        <v>878</v>
      </c>
      <c r="G1008" t="s">
        <v>879</v>
      </c>
      <c r="J1008" t="s">
        <v>76</v>
      </c>
      <c r="K1008" t="s">
        <v>77</v>
      </c>
      <c r="L1008">
        <v>1570000</v>
      </c>
      <c r="M1008" t="s">
        <v>46</v>
      </c>
      <c r="N1008" t="s">
        <v>880</v>
      </c>
      <c r="O1008" t="s">
        <v>79</v>
      </c>
      <c r="P1008" t="s">
        <v>103</v>
      </c>
      <c r="Q1008" t="s">
        <v>104</v>
      </c>
    </row>
    <row r="1009" spans="1:17" ht="15" hidden="1" customHeight="1" x14ac:dyDescent="0.25">
      <c r="A1009" t="s">
        <v>88</v>
      </c>
      <c r="B1009" t="s">
        <v>877</v>
      </c>
      <c r="C1009">
        <v>9</v>
      </c>
      <c r="D1009" t="s">
        <v>74</v>
      </c>
      <c r="E1009" t="s">
        <v>75</v>
      </c>
      <c r="F1009" t="s">
        <v>878</v>
      </c>
      <c r="G1009" t="s">
        <v>879</v>
      </c>
      <c r="J1009" t="s">
        <v>82</v>
      </c>
      <c r="K1009" t="s">
        <v>77</v>
      </c>
      <c r="L1009">
        <v>1570000</v>
      </c>
      <c r="M1009" t="s">
        <v>46</v>
      </c>
      <c r="N1009" t="s">
        <v>880</v>
      </c>
      <c r="O1009" t="s">
        <v>79</v>
      </c>
      <c r="P1009" t="s">
        <v>103</v>
      </c>
      <c r="Q1009" t="s">
        <v>105</v>
      </c>
    </row>
    <row r="1010" spans="1:17" ht="15" hidden="1" customHeight="1" x14ac:dyDescent="0.25">
      <c r="A1010" t="s">
        <v>88</v>
      </c>
      <c r="B1010" t="s">
        <v>877</v>
      </c>
      <c r="C1010">
        <v>9</v>
      </c>
      <c r="D1010" t="s">
        <v>74</v>
      </c>
      <c r="E1010" t="s">
        <v>75</v>
      </c>
      <c r="F1010" t="s">
        <v>878</v>
      </c>
      <c r="G1010" t="s">
        <v>879</v>
      </c>
      <c r="J1010" t="s">
        <v>38</v>
      </c>
      <c r="K1010" t="s">
        <v>77</v>
      </c>
      <c r="L1010">
        <v>1670000</v>
      </c>
      <c r="M1010" t="s">
        <v>46</v>
      </c>
      <c r="N1010" t="s">
        <v>106</v>
      </c>
      <c r="O1010" t="s">
        <v>79</v>
      </c>
      <c r="P1010" t="s">
        <v>103</v>
      </c>
    </row>
    <row r="1011" spans="1:17" ht="15" hidden="1" customHeight="1" x14ac:dyDescent="0.25">
      <c r="A1011" t="s">
        <v>88</v>
      </c>
      <c r="B1011" t="s">
        <v>877</v>
      </c>
      <c r="C1011">
        <v>9</v>
      </c>
      <c r="D1011" t="s">
        <v>74</v>
      </c>
      <c r="E1011" t="s">
        <v>75</v>
      </c>
      <c r="F1011" t="s">
        <v>881</v>
      </c>
      <c r="G1011" t="s">
        <v>879</v>
      </c>
      <c r="J1011" t="s">
        <v>76</v>
      </c>
      <c r="K1011" t="s">
        <v>77</v>
      </c>
      <c r="L1011">
        <v>9650000000</v>
      </c>
      <c r="M1011" t="s">
        <v>210</v>
      </c>
      <c r="N1011" t="s">
        <v>882</v>
      </c>
      <c r="O1011" t="s">
        <v>79</v>
      </c>
      <c r="P1011" t="s">
        <v>103</v>
      </c>
      <c r="Q1011" t="s">
        <v>104</v>
      </c>
    </row>
    <row r="1012" spans="1:17" ht="15" hidden="1" customHeight="1" x14ac:dyDescent="0.25">
      <c r="A1012" t="s">
        <v>88</v>
      </c>
      <c r="B1012" t="s">
        <v>877</v>
      </c>
      <c r="C1012">
        <v>9</v>
      </c>
      <c r="D1012" t="s">
        <v>74</v>
      </c>
      <c r="E1012" t="s">
        <v>75</v>
      </c>
      <c r="F1012" t="s">
        <v>881</v>
      </c>
      <c r="G1012" t="s">
        <v>879</v>
      </c>
      <c r="J1012" t="s">
        <v>82</v>
      </c>
      <c r="K1012" t="s">
        <v>77</v>
      </c>
      <c r="L1012">
        <v>9620000000</v>
      </c>
      <c r="M1012" t="s">
        <v>210</v>
      </c>
      <c r="N1012" t="s">
        <v>883</v>
      </c>
      <c r="O1012" t="s">
        <v>79</v>
      </c>
      <c r="P1012" t="s">
        <v>103</v>
      </c>
      <c r="Q1012" t="s">
        <v>105</v>
      </c>
    </row>
    <row r="1013" spans="1:17" ht="15" hidden="1" customHeight="1" x14ac:dyDescent="0.25">
      <c r="A1013" t="s">
        <v>88</v>
      </c>
      <c r="B1013" t="s">
        <v>877</v>
      </c>
      <c r="C1013">
        <v>9</v>
      </c>
      <c r="D1013" t="s">
        <v>74</v>
      </c>
      <c r="E1013" t="s">
        <v>75</v>
      </c>
      <c r="F1013" t="s">
        <v>881</v>
      </c>
      <c r="G1013" t="s">
        <v>879</v>
      </c>
      <c r="J1013" t="s">
        <v>38</v>
      </c>
      <c r="K1013" t="s">
        <v>77</v>
      </c>
      <c r="L1013">
        <v>10410000000</v>
      </c>
      <c r="M1013" t="s">
        <v>210</v>
      </c>
      <c r="N1013" t="s">
        <v>886</v>
      </c>
      <c r="O1013" t="s">
        <v>79</v>
      </c>
      <c r="P1013" t="s">
        <v>103</v>
      </c>
    </row>
    <row r="1014" spans="1:17" ht="15" hidden="1" customHeight="1" x14ac:dyDescent="0.25">
      <c r="A1014" t="s">
        <v>88</v>
      </c>
      <c r="B1014" t="s">
        <v>877</v>
      </c>
      <c r="C1014">
        <v>9</v>
      </c>
      <c r="D1014" t="s">
        <v>85</v>
      </c>
      <c r="E1014" t="s">
        <v>86</v>
      </c>
      <c r="F1014" t="s">
        <v>878</v>
      </c>
      <c r="G1014" t="s">
        <v>879</v>
      </c>
      <c r="J1014" t="s">
        <v>88</v>
      </c>
      <c r="K1014" t="s">
        <v>45</v>
      </c>
      <c r="L1014">
        <v>1700000</v>
      </c>
      <c r="M1014" t="s">
        <v>46</v>
      </c>
      <c r="N1014" t="s">
        <v>889</v>
      </c>
    </row>
    <row r="1015" spans="1:17" ht="15" hidden="1" customHeight="1" x14ac:dyDescent="0.25">
      <c r="A1015" t="s">
        <v>88</v>
      </c>
      <c r="B1015" t="s">
        <v>877</v>
      </c>
      <c r="C1015">
        <v>9</v>
      </c>
      <c r="D1015" t="s">
        <v>85</v>
      </c>
      <c r="E1015" t="s">
        <v>41</v>
      </c>
      <c r="F1015" t="s">
        <v>884</v>
      </c>
      <c r="G1015" t="s">
        <v>879</v>
      </c>
      <c r="J1015" t="s">
        <v>88</v>
      </c>
      <c r="K1015" t="s">
        <v>45</v>
      </c>
      <c r="L1015">
        <v>55500</v>
      </c>
      <c r="M1015" t="s">
        <v>46</v>
      </c>
      <c r="N1015" t="s">
        <v>890</v>
      </c>
    </row>
    <row r="1016" spans="1:17" ht="15" hidden="1" customHeight="1" x14ac:dyDescent="0.25">
      <c r="A1016" t="s">
        <v>88</v>
      </c>
      <c r="B1016" t="s">
        <v>877</v>
      </c>
      <c r="C1016">
        <v>9</v>
      </c>
      <c r="D1016" t="s">
        <v>85</v>
      </c>
      <c r="E1016" t="s">
        <v>86</v>
      </c>
      <c r="F1016" t="s">
        <v>881</v>
      </c>
      <c r="G1016" t="s">
        <v>879</v>
      </c>
      <c r="J1016" t="s">
        <v>88</v>
      </c>
      <c r="K1016" t="s">
        <v>45</v>
      </c>
      <c r="L1016">
        <v>10610000000</v>
      </c>
      <c r="M1016" t="s">
        <v>210</v>
      </c>
      <c r="N1016" t="s">
        <v>891</v>
      </c>
    </row>
    <row r="1017" spans="1:17" ht="15" hidden="1" customHeight="1" x14ac:dyDescent="0.25">
      <c r="A1017" t="s">
        <v>88</v>
      </c>
      <c r="B1017" t="s">
        <v>877</v>
      </c>
      <c r="C1017">
        <v>9</v>
      </c>
      <c r="D1017" t="s">
        <v>85</v>
      </c>
      <c r="E1017" t="s">
        <v>41</v>
      </c>
      <c r="F1017" t="s">
        <v>887</v>
      </c>
      <c r="G1017" t="s">
        <v>879</v>
      </c>
      <c r="J1017" t="s">
        <v>88</v>
      </c>
      <c r="K1017" t="s">
        <v>45</v>
      </c>
      <c r="L1017">
        <v>367600000</v>
      </c>
      <c r="M1017" t="s">
        <v>210</v>
      </c>
      <c r="N1017" t="s">
        <v>892</v>
      </c>
    </row>
    <row r="1018" spans="1:17" ht="15" hidden="1" customHeight="1" x14ac:dyDescent="0.25">
      <c r="A1018" t="s">
        <v>107</v>
      </c>
      <c r="B1018" t="s">
        <v>877</v>
      </c>
      <c r="C1018">
        <v>9</v>
      </c>
      <c r="D1018" t="s">
        <v>74</v>
      </c>
      <c r="E1018" t="s">
        <v>75</v>
      </c>
      <c r="F1018" t="s">
        <v>878</v>
      </c>
      <c r="G1018" t="s">
        <v>879</v>
      </c>
      <c r="J1018" t="s">
        <v>88</v>
      </c>
      <c r="K1018" t="s">
        <v>77</v>
      </c>
      <c r="L1018">
        <v>1700000</v>
      </c>
      <c r="M1018" t="s">
        <v>46</v>
      </c>
      <c r="N1018" t="s">
        <v>889</v>
      </c>
      <c r="O1018" t="s">
        <v>79</v>
      </c>
      <c r="P1018" t="s">
        <v>103</v>
      </c>
    </row>
    <row r="1019" spans="1:17" ht="15" hidden="1" customHeight="1" x14ac:dyDescent="0.25">
      <c r="A1019" t="s">
        <v>107</v>
      </c>
      <c r="B1019" t="s">
        <v>877</v>
      </c>
      <c r="C1019">
        <v>9</v>
      </c>
      <c r="D1019" t="s">
        <v>74</v>
      </c>
      <c r="E1019" t="s">
        <v>75</v>
      </c>
      <c r="F1019" t="s">
        <v>881</v>
      </c>
      <c r="G1019" t="s">
        <v>879</v>
      </c>
      <c r="J1019" t="s">
        <v>88</v>
      </c>
      <c r="K1019" t="s">
        <v>77</v>
      </c>
      <c r="L1019">
        <v>10610000000</v>
      </c>
      <c r="M1019" t="s">
        <v>210</v>
      </c>
      <c r="N1019" t="s">
        <v>891</v>
      </c>
      <c r="O1019" t="s">
        <v>79</v>
      </c>
      <c r="P1019" t="s">
        <v>103</v>
      </c>
    </row>
    <row r="1020" spans="1:17" ht="15" hidden="1" customHeight="1" x14ac:dyDescent="0.25">
      <c r="A1020" t="s">
        <v>107</v>
      </c>
      <c r="B1020" t="s">
        <v>877</v>
      </c>
      <c r="C1020">
        <v>9</v>
      </c>
      <c r="D1020" t="s">
        <v>85</v>
      </c>
      <c r="E1020" t="s">
        <v>86</v>
      </c>
      <c r="F1020" t="s">
        <v>878</v>
      </c>
      <c r="G1020" t="s">
        <v>879</v>
      </c>
      <c r="J1020" t="s">
        <v>107</v>
      </c>
      <c r="K1020" t="s">
        <v>45</v>
      </c>
      <c r="L1020">
        <v>1430000</v>
      </c>
      <c r="M1020" t="s">
        <v>46</v>
      </c>
      <c r="N1020" t="s">
        <v>83</v>
      </c>
    </row>
    <row r="1021" spans="1:17" ht="15" hidden="1" customHeight="1" x14ac:dyDescent="0.25">
      <c r="A1021" t="s">
        <v>107</v>
      </c>
      <c r="B1021" t="s">
        <v>877</v>
      </c>
      <c r="C1021">
        <v>9</v>
      </c>
      <c r="D1021" t="s">
        <v>85</v>
      </c>
      <c r="E1021" t="s">
        <v>41</v>
      </c>
      <c r="F1021" t="s">
        <v>884</v>
      </c>
      <c r="G1021" t="s">
        <v>879</v>
      </c>
      <c r="J1021" t="s">
        <v>107</v>
      </c>
      <c r="K1021" t="s">
        <v>45</v>
      </c>
      <c r="L1021">
        <v>46000</v>
      </c>
      <c r="M1021" t="s">
        <v>46</v>
      </c>
      <c r="N1021" t="s">
        <v>893</v>
      </c>
    </row>
    <row r="1022" spans="1:17" ht="15" hidden="1" customHeight="1" x14ac:dyDescent="0.25">
      <c r="A1022" t="s">
        <v>107</v>
      </c>
      <c r="B1022" t="s">
        <v>877</v>
      </c>
      <c r="C1022">
        <v>9</v>
      </c>
      <c r="D1022" t="s">
        <v>85</v>
      </c>
      <c r="E1022" t="s">
        <v>86</v>
      </c>
      <c r="F1022" t="s">
        <v>881</v>
      </c>
      <c r="G1022" t="s">
        <v>879</v>
      </c>
      <c r="J1022" t="s">
        <v>107</v>
      </c>
      <c r="K1022" t="s">
        <v>45</v>
      </c>
      <c r="L1022">
        <v>9670000000</v>
      </c>
      <c r="M1022" t="s">
        <v>210</v>
      </c>
      <c r="N1022" t="s">
        <v>894</v>
      </c>
    </row>
    <row r="1023" spans="1:17" ht="15" hidden="1" customHeight="1" x14ac:dyDescent="0.25">
      <c r="A1023" t="s">
        <v>107</v>
      </c>
      <c r="B1023" t="s">
        <v>877</v>
      </c>
      <c r="C1023">
        <v>9</v>
      </c>
      <c r="D1023" t="s">
        <v>85</v>
      </c>
      <c r="E1023" t="s">
        <v>41</v>
      </c>
      <c r="F1023" t="s">
        <v>887</v>
      </c>
      <c r="G1023" t="s">
        <v>879</v>
      </c>
      <c r="J1023" t="s">
        <v>107</v>
      </c>
      <c r="K1023" t="s">
        <v>45</v>
      </c>
      <c r="L1023">
        <v>256700000</v>
      </c>
      <c r="M1023" t="s">
        <v>210</v>
      </c>
      <c r="N1023" t="s">
        <v>895</v>
      </c>
    </row>
    <row r="1024" spans="1:17" ht="15" hidden="1" customHeight="1" x14ac:dyDescent="0.25">
      <c r="A1024" t="s">
        <v>122</v>
      </c>
      <c r="B1024" t="s">
        <v>877</v>
      </c>
      <c r="C1024">
        <v>9</v>
      </c>
      <c r="D1024" t="s">
        <v>74</v>
      </c>
      <c r="E1024" t="s">
        <v>75</v>
      </c>
      <c r="F1024" t="s">
        <v>878</v>
      </c>
      <c r="G1024" t="s">
        <v>879</v>
      </c>
      <c r="J1024" t="s">
        <v>107</v>
      </c>
      <c r="K1024" t="s">
        <v>77</v>
      </c>
      <c r="L1024">
        <v>1430000</v>
      </c>
      <c r="M1024" t="s">
        <v>46</v>
      </c>
      <c r="N1024" t="s">
        <v>83</v>
      </c>
      <c r="O1024" t="s">
        <v>79</v>
      </c>
      <c r="P1024" t="s">
        <v>103</v>
      </c>
    </row>
    <row r="1025" spans="1:16" ht="15" hidden="1" customHeight="1" x14ac:dyDescent="0.25">
      <c r="A1025" t="s">
        <v>122</v>
      </c>
      <c r="B1025" t="s">
        <v>877</v>
      </c>
      <c r="C1025">
        <v>9</v>
      </c>
      <c r="D1025" t="s">
        <v>74</v>
      </c>
      <c r="E1025" t="s">
        <v>75</v>
      </c>
      <c r="F1025" t="s">
        <v>881</v>
      </c>
      <c r="G1025" t="s">
        <v>879</v>
      </c>
      <c r="J1025" t="s">
        <v>107</v>
      </c>
      <c r="K1025" t="s">
        <v>77</v>
      </c>
      <c r="L1025">
        <v>9670000000</v>
      </c>
      <c r="M1025" t="s">
        <v>210</v>
      </c>
      <c r="N1025" t="s">
        <v>894</v>
      </c>
      <c r="O1025" t="s">
        <v>79</v>
      </c>
      <c r="P1025" t="s">
        <v>103</v>
      </c>
    </row>
    <row r="1026" spans="1:16" ht="15" hidden="1" customHeight="1" x14ac:dyDescent="0.25">
      <c r="A1026" t="s">
        <v>122</v>
      </c>
      <c r="B1026" t="s">
        <v>877</v>
      </c>
      <c r="C1026">
        <v>9</v>
      </c>
      <c r="D1026" t="s">
        <v>85</v>
      </c>
      <c r="E1026" t="s">
        <v>86</v>
      </c>
      <c r="F1026" t="s">
        <v>878</v>
      </c>
      <c r="G1026" t="s">
        <v>879</v>
      </c>
      <c r="J1026" t="s">
        <v>122</v>
      </c>
      <c r="K1026" t="s">
        <v>45</v>
      </c>
      <c r="L1026">
        <v>1590000</v>
      </c>
      <c r="M1026" t="s">
        <v>46</v>
      </c>
      <c r="N1026" t="s">
        <v>646</v>
      </c>
    </row>
    <row r="1027" spans="1:16" ht="15" hidden="1" customHeight="1" x14ac:dyDescent="0.25">
      <c r="A1027" t="s">
        <v>122</v>
      </c>
      <c r="B1027" t="s">
        <v>877</v>
      </c>
      <c r="C1027">
        <v>9</v>
      </c>
      <c r="D1027" t="s">
        <v>85</v>
      </c>
      <c r="E1027" t="s">
        <v>41</v>
      </c>
      <c r="F1027" t="s">
        <v>884</v>
      </c>
      <c r="G1027" t="s">
        <v>879</v>
      </c>
      <c r="J1027" t="s">
        <v>122</v>
      </c>
      <c r="K1027" t="s">
        <v>45</v>
      </c>
      <c r="L1027">
        <v>57000</v>
      </c>
      <c r="M1027" t="s">
        <v>46</v>
      </c>
      <c r="N1027" t="s">
        <v>896</v>
      </c>
    </row>
    <row r="1028" spans="1:16" ht="15" hidden="1" customHeight="1" x14ac:dyDescent="0.25">
      <c r="A1028" t="s">
        <v>122</v>
      </c>
      <c r="B1028" t="s">
        <v>877</v>
      </c>
      <c r="C1028">
        <v>9</v>
      </c>
      <c r="D1028" t="s">
        <v>85</v>
      </c>
      <c r="E1028" t="s">
        <v>86</v>
      </c>
      <c r="F1028" t="s">
        <v>881</v>
      </c>
      <c r="G1028" t="s">
        <v>879</v>
      </c>
      <c r="J1028" t="s">
        <v>122</v>
      </c>
      <c r="K1028" t="s">
        <v>45</v>
      </c>
      <c r="L1028">
        <v>9920000000</v>
      </c>
      <c r="M1028" t="s">
        <v>210</v>
      </c>
      <c r="N1028" t="s">
        <v>897</v>
      </c>
    </row>
    <row r="1029" spans="1:16" ht="15" hidden="1" customHeight="1" x14ac:dyDescent="0.25">
      <c r="A1029" t="s">
        <v>122</v>
      </c>
      <c r="B1029" t="s">
        <v>877</v>
      </c>
      <c r="C1029">
        <v>9</v>
      </c>
      <c r="D1029" t="s">
        <v>85</v>
      </c>
      <c r="E1029" t="s">
        <v>41</v>
      </c>
      <c r="F1029" t="s">
        <v>887</v>
      </c>
      <c r="G1029" t="s">
        <v>879</v>
      </c>
      <c r="J1029" t="s">
        <v>122</v>
      </c>
      <c r="K1029" t="s">
        <v>45</v>
      </c>
      <c r="L1029">
        <v>324900000</v>
      </c>
      <c r="M1029" t="s">
        <v>210</v>
      </c>
      <c r="N1029" t="s">
        <v>898</v>
      </c>
    </row>
    <row r="1030" spans="1:16" ht="15" hidden="1" customHeight="1" x14ac:dyDescent="0.25">
      <c r="A1030" t="s">
        <v>138</v>
      </c>
      <c r="B1030" t="s">
        <v>877</v>
      </c>
      <c r="C1030">
        <v>9</v>
      </c>
      <c r="D1030" t="s">
        <v>74</v>
      </c>
      <c r="E1030" t="s">
        <v>75</v>
      </c>
      <c r="F1030" t="s">
        <v>878</v>
      </c>
      <c r="G1030" t="s">
        <v>879</v>
      </c>
      <c r="J1030" t="s">
        <v>107</v>
      </c>
      <c r="K1030" t="s">
        <v>77</v>
      </c>
      <c r="L1030">
        <v>1430000</v>
      </c>
      <c r="M1030" t="s">
        <v>46</v>
      </c>
      <c r="N1030" t="s">
        <v>83</v>
      </c>
      <c r="O1030" t="s">
        <v>79</v>
      </c>
      <c r="P1030" t="s">
        <v>103</v>
      </c>
    </row>
    <row r="1031" spans="1:16" ht="15" hidden="1" customHeight="1" x14ac:dyDescent="0.25">
      <c r="A1031" t="s">
        <v>138</v>
      </c>
      <c r="B1031" t="s">
        <v>877</v>
      </c>
      <c r="C1031">
        <v>9</v>
      </c>
      <c r="D1031" t="s">
        <v>74</v>
      </c>
      <c r="E1031" t="s">
        <v>75</v>
      </c>
      <c r="F1031" t="s">
        <v>878</v>
      </c>
      <c r="G1031" t="s">
        <v>879</v>
      </c>
      <c r="J1031" t="s">
        <v>122</v>
      </c>
      <c r="K1031" t="s">
        <v>77</v>
      </c>
      <c r="L1031">
        <v>1590000</v>
      </c>
      <c r="M1031" t="s">
        <v>46</v>
      </c>
      <c r="N1031" t="s">
        <v>646</v>
      </c>
      <c r="O1031" t="s">
        <v>79</v>
      </c>
      <c r="P1031" t="s">
        <v>103</v>
      </c>
    </row>
    <row r="1032" spans="1:16" ht="15" hidden="1" customHeight="1" x14ac:dyDescent="0.25">
      <c r="A1032" t="s">
        <v>138</v>
      </c>
      <c r="B1032" t="s">
        <v>877</v>
      </c>
      <c r="C1032">
        <v>9</v>
      </c>
      <c r="D1032" t="s">
        <v>74</v>
      </c>
      <c r="E1032" t="s">
        <v>75</v>
      </c>
      <c r="F1032" t="s">
        <v>881</v>
      </c>
      <c r="G1032" t="s">
        <v>879</v>
      </c>
      <c r="J1032" t="s">
        <v>107</v>
      </c>
      <c r="K1032" t="s">
        <v>77</v>
      </c>
      <c r="L1032">
        <v>9670000000</v>
      </c>
      <c r="M1032" t="s">
        <v>210</v>
      </c>
      <c r="N1032" t="s">
        <v>894</v>
      </c>
      <c r="O1032" t="s">
        <v>79</v>
      </c>
      <c r="P1032" t="s">
        <v>103</v>
      </c>
    </row>
    <row r="1033" spans="1:16" ht="15" hidden="1" customHeight="1" x14ac:dyDescent="0.25">
      <c r="A1033" t="s">
        <v>138</v>
      </c>
      <c r="B1033" t="s">
        <v>877</v>
      </c>
      <c r="C1033">
        <v>9</v>
      </c>
      <c r="D1033" t="s">
        <v>74</v>
      </c>
      <c r="E1033" t="s">
        <v>75</v>
      </c>
      <c r="F1033" t="s">
        <v>881</v>
      </c>
      <c r="G1033" t="s">
        <v>879</v>
      </c>
      <c r="J1033" t="s">
        <v>122</v>
      </c>
      <c r="K1033" t="s">
        <v>77</v>
      </c>
      <c r="L1033">
        <v>9920000000</v>
      </c>
      <c r="M1033" t="s">
        <v>210</v>
      </c>
      <c r="N1033" t="s">
        <v>897</v>
      </c>
      <c r="O1033" t="s">
        <v>79</v>
      </c>
      <c r="P1033" t="s">
        <v>103</v>
      </c>
    </row>
    <row r="1034" spans="1:16" ht="15" hidden="1" customHeight="1" x14ac:dyDescent="0.25">
      <c r="A1034" t="s">
        <v>138</v>
      </c>
      <c r="B1034" t="s">
        <v>877</v>
      </c>
      <c r="C1034">
        <v>9</v>
      </c>
      <c r="D1034" t="s">
        <v>85</v>
      </c>
      <c r="E1034" t="s">
        <v>86</v>
      </c>
      <c r="F1034" t="s">
        <v>878</v>
      </c>
      <c r="G1034" t="s">
        <v>879</v>
      </c>
      <c r="J1034" t="s">
        <v>138</v>
      </c>
      <c r="K1034" t="s">
        <v>45</v>
      </c>
      <c r="L1034">
        <v>1610000</v>
      </c>
      <c r="M1034" t="s">
        <v>46</v>
      </c>
      <c r="N1034" t="s">
        <v>99</v>
      </c>
    </row>
    <row r="1035" spans="1:16" ht="15" hidden="1" customHeight="1" x14ac:dyDescent="0.25">
      <c r="A1035" t="s">
        <v>138</v>
      </c>
      <c r="B1035" t="s">
        <v>877</v>
      </c>
      <c r="C1035">
        <v>9</v>
      </c>
      <c r="D1035" t="s">
        <v>85</v>
      </c>
      <c r="E1035" t="s">
        <v>41</v>
      </c>
      <c r="F1035" t="s">
        <v>884</v>
      </c>
      <c r="G1035" t="s">
        <v>879</v>
      </c>
      <c r="J1035" t="s">
        <v>138</v>
      </c>
      <c r="K1035" t="s">
        <v>45</v>
      </c>
      <c r="L1035">
        <v>49000</v>
      </c>
      <c r="M1035" t="s">
        <v>46</v>
      </c>
      <c r="N1035" t="s">
        <v>899</v>
      </c>
    </row>
    <row r="1036" spans="1:16" ht="15" hidden="1" customHeight="1" x14ac:dyDescent="0.25">
      <c r="A1036" t="s">
        <v>138</v>
      </c>
      <c r="B1036" t="s">
        <v>877</v>
      </c>
      <c r="C1036">
        <v>9</v>
      </c>
      <c r="D1036" t="s">
        <v>85</v>
      </c>
      <c r="E1036" t="s">
        <v>86</v>
      </c>
      <c r="F1036" t="s">
        <v>881</v>
      </c>
      <c r="G1036" t="s">
        <v>879</v>
      </c>
      <c r="J1036" t="s">
        <v>138</v>
      </c>
      <c r="K1036" t="s">
        <v>45</v>
      </c>
      <c r="L1036">
        <v>10560000000</v>
      </c>
      <c r="M1036" t="s">
        <v>210</v>
      </c>
      <c r="N1036" t="s">
        <v>900</v>
      </c>
    </row>
    <row r="1037" spans="1:16" ht="15" hidden="1" customHeight="1" x14ac:dyDescent="0.25">
      <c r="A1037" t="s">
        <v>138</v>
      </c>
      <c r="B1037" t="s">
        <v>877</v>
      </c>
      <c r="C1037">
        <v>9</v>
      </c>
      <c r="D1037" t="s">
        <v>85</v>
      </c>
      <c r="E1037" t="s">
        <v>41</v>
      </c>
      <c r="F1037" t="s">
        <v>887</v>
      </c>
      <c r="G1037" t="s">
        <v>879</v>
      </c>
      <c r="J1037" t="s">
        <v>138</v>
      </c>
      <c r="K1037" t="s">
        <v>45</v>
      </c>
      <c r="L1037">
        <v>268600000</v>
      </c>
      <c r="M1037" t="s">
        <v>210</v>
      </c>
      <c r="N1037" t="s">
        <v>901</v>
      </c>
    </row>
    <row r="1038" spans="1:16" ht="15" hidden="1" customHeight="1" x14ac:dyDescent="0.25">
      <c r="A1038" t="s">
        <v>153</v>
      </c>
      <c r="B1038" t="s">
        <v>877</v>
      </c>
      <c r="C1038">
        <v>9</v>
      </c>
      <c r="D1038" t="s">
        <v>74</v>
      </c>
      <c r="E1038" t="s">
        <v>75</v>
      </c>
      <c r="F1038" t="s">
        <v>878</v>
      </c>
      <c r="G1038" t="s">
        <v>879</v>
      </c>
      <c r="J1038" t="s">
        <v>107</v>
      </c>
      <c r="K1038" t="s">
        <v>77</v>
      </c>
      <c r="L1038">
        <v>1430000</v>
      </c>
      <c r="M1038" t="s">
        <v>46</v>
      </c>
      <c r="N1038" t="s">
        <v>83</v>
      </c>
      <c r="O1038" t="s">
        <v>79</v>
      </c>
      <c r="P1038" t="s">
        <v>103</v>
      </c>
    </row>
    <row r="1039" spans="1:16" ht="15" hidden="1" customHeight="1" x14ac:dyDescent="0.25">
      <c r="A1039" t="s">
        <v>153</v>
      </c>
      <c r="B1039" t="s">
        <v>877</v>
      </c>
      <c r="C1039">
        <v>9</v>
      </c>
      <c r="D1039" t="s">
        <v>74</v>
      </c>
      <c r="E1039" t="s">
        <v>75</v>
      </c>
      <c r="F1039" t="s">
        <v>878</v>
      </c>
      <c r="G1039" t="s">
        <v>879</v>
      </c>
      <c r="J1039" t="s">
        <v>122</v>
      </c>
      <c r="K1039" t="s">
        <v>77</v>
      </c>
      <c r="L1039">
        <v>1590000</v>
      </c>
      <c r="M1039" t="s">
        <v>46</v>
      </c>
      <c r="N1039" t="s">
        <v>646</v>
      </c>
      <c r="O1039" t="s">
        <v>79</v>
      </c>
      <c r="P1039" t="s">
        <v>103</v>
      </c>
    </row>
    <row r="1040" spans="1:16" ht="15" hidden="1" customHeight="1" x14ac:dyDescent="0.25">
      <c r="A1040" t="s">
        <v>153</v>
      </c>
      <c r="B1040" t="s">
        <v>877</v>
      </c>
      <c r="C1040">
        <v>9</v>
      </c>
      <c r="D1040" t="s">
        <v>74</v>
      </c>
      <c r="E1040" t="s">
        <v>75</v>
      </c>
      <c r="F1040" t="s">
        <v>878</v>
      </c>
      <c r="G1040" t="s">
        <v>879</v>
      </c>
      <c r="J1040" t="s">
        <v>138</v>
      </c>
      <c r="K1040" t="s">
        <v>77</v>
      </c>
      <c r="L1040">
        <v>1610000</v>
      </c>
      <c r="M1040" t="s">
        <v>46</v>
      </c>
      <c r="N1040" t="s">
        <v>99</v>
      </c>
      <c r="O1040" t="s">
        <v>79</v>
      </c>
      <c r="P1040" t="s">
        <v>103</v>
      </c>
    </row>
    <row r="1041" spans="1:16" ht="15" hidden="1" customHeight="1" x14ac:dyDescent="0.25">
      <c r="A1041" t="s">
        <v>153</v>
      </c>
      <c r="B1041" t="s">
        <v>877</v>
      </c>
      <c r="C1041">
        <v>9</v>
      </c>
      <c r="D1041" t="s">
        <v>74</v>
      </c>
      <c r="E1041" t="s">
        <v>75</v>
      </c>
      <c r="F1041" t="s">
        <v>881</v>
      </c>
      <c r="G1041" t="s">
        <v>879</v>
      </c>
      <c r="J1041" t="s">
        <v>107</v>
      </c>
      <c r="K1041" t="s">
        <v>77</v>
      </c>
      <c r="L1041">
        <v>9670000000</v>
      </c>
      <c r="M1041" t="s">
        <v>210</v>
      </c>
      <c r="N1041" t="s">
        <v>894</v>
      </c>
      <c r="O1041" t="s">
        <v>79</v>
      </c>
      <c r="P1041" t="s">
        <v>103</v>
      </c>
    </row>
    <row r="1042" spans="1:16" ht="15" hidden="1" customHeight="1" x14ac:dyDescent="0.25">
      <c r="A1042" t="s">
        <v>153</v>
      </c>
      <c r="B1042" t="s">
        <v>877</v>
      </c>
      <c r="C1042">
        <v>9</v>
      </c>
      <c r="D1042" t="s">
        <v>74</v>
      </c>
      <c r="E1042" t="s">
        <v>75</v>
      </c>
      <c r="F1042" t="s">
        <v>881</v>
      </c>
      <c r="G1042" t="s">
        <v>879</v>
      </c>
      <c r="J1042" t="s">
        <v>122</v>
      </c>
      <c r="K1042" t="s">
        <v>77</v>
      </c>
      <c r="L1042">
        <v>9920000000</v>
      </c>
      <c r="M1042" t="s">
        <v>210</v>
      </c>
      <c r="N1042" t="s">
        <v>897</v>
      </c>
      <c r="O1042" t="s">
        <v>79</v>
      </c>
      <c r="P1042" t="s">
        <v>103</v>
      </c>
    </row>
    <row r="1043" spans="1:16" ht="15" hidden="1" customHeight="1" x14ac:dyDescent="0.25">
      <c r="A1043" t="s">
        <v>153</v>
      </c>
      <c r="B1043" t="s">
        <v>877</v>
      </c>
      <c r="C1043">
        <v>9</v>
      </c>
      <c r="D1043" t="s">
        <v>74</v>
      </c>
      <c r="E1043" t="s">
        <v>75</v>
      </c>
      <c r="F1043" t="s">
        <v>881</v>
      </c>
      <c r="G1043" t="s">
        <v>879</v>
      </c>
      <c r="J1043" t="s">
        <v>138</v>
      </c>
      <c r="K1043" t="s">
        <v>77</v>
      </c>
      <c r="L1043">
        <v>10560000000</v>
      </c>
      <c r="M1043" t="s">
        <v>210</v>
      </c>
      <c r="N1043" t="s">
        <v>900</v>
      </c>
      <c r="O1043" t="s">
        <v>79</v>
      </c>
      <c r="P1043" t="s">
        <v>103</v>
      </c>
    </row>
    <row r="1044" spans="1:16" ht="15" hidden="1" customHeight="1" x14ac:dyDescent="0.25">
      <c r="A1044" t="s">
        <v>153</v>
      </c>
      <c r="B1044" t="s">
        <v>877</v>
      </c>
      <c r="C1044">
        <v>9</v>
      </c>
      <c r="D1044" t="s">
        <v>85</v>
      </c>
      <c r="E1044" t="s">
        <v>86</v>
      </c>
      <c r="F1044" t="s">
        <v>878</v>
      </c>
      <c r="G1044" t="s">
        <v>879</v>
      </c>
      <c r="J1044" t="s">
        <v>153</v>
      </c>
      <c r="K1044" t="s">
        <v>45</v>
      </c>
      <c r="L1044">
        <v>1650000</v>
      </c>
      <c r="M1044" t="s">
        <v>46</v>
      </c>
      <c r="N1044" t="s">
        <v>902</v>
      </c>
    </row>
    <row r="1045" spans="1:16" ht="15" hidden="1" customHeight="1" x14ac:dyDescent="0.25">
      <c r="A1045" t="s">
        <v>153</v>
      </c>
      <c r="B1045" t="s">
        <v>877</v>
      </c>
      <c r="C1045">
        <v>9</v>
      </c>
      <c r="D1045" t="s">
        <v>85</v>
      </c>
      <c r="E1045" t="s">
        <v>41</v>
      </c>
      <c r="F1045" t="s">
        <v>884</v>
      </c>
      <c r="G1045" t="s">
        <v>879</v>
      </c>
      <c r="J1045" t="s">
        <v>153</v>
      </c>
      <c r="K1045" t="s">
        <v>45</v>
      </c>
      <c r="L1045">
        <v>51000</v>
      </c>
      <c r="M1045" t="s">
        <v>46</v>
      </c>
      <c r="N1045" t="s">
        <v>903</v>
      </c>
    </row>
    <row r="1046" spans="1:16" ht="15" hidden="1" customHeight="1" x14ac:dyDescent="0.25">
      <c r="A1046" t="s">
        <v>153</v>
      </c>
      <c r="B1046" t="s">
        <v>877</v>
      </c>
      <c r="C1046">
        <v>9</v>
      </c>
      <c r="D1046" t="s">
        <v>85</v>
      </c>
      <c r="E1046" t="s">
        <v>86</v>
      </c>
      <c r="F1046" t="s">
        <v>881</v>
      </c>
      <c r="G1046" t="s">
        <v>879</v>
      </c>
      <c r="J1046" t="s">
        <v>153</v>
      </c>
      <c r="K1046" t="s">
        <v>45</v>
      </c>
      <c r="L1046">
        <v>10810000000</v>
      </c>
      <c r="M1046" t="s">
        <v>210</v>
      </c>
      <c r="N1046" t="s">
        <v>904</v>
      </c>
    </row>
    <row r="1047" spans="1:16" ht="15" hidden="1" customHeight="1" x14ac:dyDescent="0.25">
      <c r="A1047" t="s">
        <v>153</v>
      </c>
      <c r="B1047" t="s">
        <v>877</v>
      </c>
      <c r="C1047">
        <v>9</v>
      </c>
      <c r="D1047" t="s">
        <v>85</v>
      </c>
      <c r="E1047" t="s">
        <v>41</v>
      </c>
      <c r="F1047" t="s">
        <v>887</v>
      </c>
      <c r="G1047" t="s">
        <v>879</v>
      </c>
      <c r="J1047" t="s">
        <v>153</v>
      </c>
      <c r="K1047" t="s">
        <v>45</v>
      </c>
      <c r="L1047">
        <v>265900000</v>
      </c>
      <c r="M1047" t="s">
        <v>210</v>
      </c>
      <c r="N1047" t="s">
        <v>905</v>
      </c>
    </row>
    <row r="1048" spans="1:16" ht="15" hidden="1" customHeight="1" x14ac:dyDescent="0.25">
      <c r="A1048" t="s">
        <v>169</v>
      </c>
      <c r="B1048" t="s">
        <v>877</v>
      </c>
      <c r="C1048">
        <v>9</v>
      </c>
      <c r="D1048" t="s">
        <v>74</v>
      </c>
      <c r="E1048" t="s">
        <v>75</v>
      </c>
      <c r="F1048" t="s">
        <v>878</v>
      </c>
      <c r="G1048" t="s">
        <v>879</v>
      </c>
      <c r="J1048" t="s">
        <v>153</v>
      </c>
      <c r="K1048" t="s">
        <v>77</v>
      </c>
      <c r="L1048">
        <v>1650000</v>
      </c>
      <c r="M1048" t="s">
        <v>46</v>
      </c>
      <c r="N1048" t="s">
        <v>902</v>
      </c>
      <c r="O1048" t="s">
        <v>79</v>
      </c>
      <c r="P1048" t="s">
        <v>103</v>
      </c>
    </row>
    <row r="1049" spans="1:16" ht="15" hidden="1" customHeight="1" x14ac:dyDescent="0.25">
      <c r="A1049" t="s">
        <v>169</v>
      </c>
      <c r="B1049" t="s">
        <v>877</v>
      </c>
      <c r="C1049">
        <v>9</v>
      </c>
      <c r="D1049" t="s">
        <v>74</v>
      </c>
      <c r="E1049" t="s">
        <v>75</v>
      </c>
      <c r="F1049" t="s">
        <v>881</v>
      </c>
      <c r="G1049" t="s">
        <v>879</v>
      </c>
      <c r="J1049" t="s">
        <v>153</v>
      </c>
      <c r="K1049" t="s">
        <v>77</v>
      </c>
      <c r="L1049">
        <v>10810000000</v>
      </c>
      <c r="M1049" t="s">
        <v>210</v>
      </c>
      <c r="N1049" t="s">
        <v>904</v>
      </c>
      <c r="O1049" t="s">
        <v>79</v>
      </c>
      <c r="P1049" t="s">
        <v>103</v>
      </c>
    </row>
    <row r="1050" spans="1:16" ht="15" hidden="1" customHeight="1" x14ac:dyDescent="0.25">
      <c r="A1050" t="s">
        <v>169</v>
      </c>
      <c r="B1050" t="s">
        <v>877</v>
      </c>
      <c r="C1050">
        <v>9</v>
      </c>
      <c r="D1050" t="s">
        <v>85</v>
      </c>
      <c r="E1050" t="s">
        <v>86</v>
      </c>
      <c r="F1050" t="s">
        <v>878</v>
      </c>
      <c r="G1050" t="s">
        <v>879</v>
      </c>
      <c r="J1050" t="s">
        <v>169</v>
      </c>
      <c r="K1050" t="s">
        <v>45</v>
      </c>
      <c r="L1050">
        <v>1450000</v>
      </c>
      <c r="M1050" t="s">
        <v>46</v>
      </c>
      <c r="N1050" t="s">
        <v>906</v>
      </c>
    </row>
    <row r="1051" spans="1:16" ht="15" hidden="1" customHeight="1" x14ac:dyDescent="0.25">
      <c r="A1051" t="s">
        <v>169</v>
      </c>
      <c r="B1051" t="s">
        <v>877</v>
      </c>
      <c r="C1051">
        <v>9</v>
      </c>
      <c r="D1051" t="s">
        <v>85</v>
      </c>
      <c r="E1051" t="s">
        <v>41</v>
      </c>
      <c r="F1051" t="s">
        <v>884</v>
      </c>
      <c r="G1051" t="s">
        <v>879</v>
      </c>
      <c r="J1051" t="s">
        <v>169</v>
      </c>
      <c r="K1051" t="s">
        <v>45</v>
      </c>
      <c r="L1051">
        <v>45800</v>
      </c>
      <c r="M1051" t="s">
        <v>46</v>
      </c>
      <c r="N1051" t="s">
        <v>907</v>
      </c>
    </row>
    <row r="1052" spans="1:16" ht="15" hidden="1" customHeight="1" x14ac:dyDescent="0.25">
      <c r="A1052" t="s">
        <v>169</v>
      </c>
      <c r="B1052" t="s">
        <v>877</v>
      </c>
      <c r="C1052">
        <v>9</v>
      </c>
      <c r="D1052" t="s">
        <v>85</v>
      </c>
      <c r="E1052" t="s">
        <v>86</v>
      </c>
      <c r="F1052" t="s">
        <v>881</v>
      </c>
      <c r="G1052" t="s">
        <v>879</v>
      </c>
      <c r="J1052" t="s">
        <v>169</v>
      </c>
      <c r="K1052" t="s">
        <v>45</v>
      </c>
      <c r="L1052">
        <v>9740000000</v>
      </c>
      <c r="M1052" t="s">
        <v>210</v>
      </c>
      <c r="N1052" t="s">
        <v>908</v>
      </c>
    </row>
    <row r="1053" spans="1:16" ht="15" hidden="1" customHeight="1" x14ac:dyDescent="0.25">
      <c r="A1053" t="s">
        <v>169</v>
      </c>
      <c r="B1053" t="s">
        <v>877</v>
      </c>
      <c r="C1053">
        <v>9</v>
      </c>
      <c r="D1053" t="s">
        <v>85</v>
      </c>
      <c r="E1053" t="s">
        <v>41</v>
      </c>
      <c r="F1053" t="s">
        <v>887</v>
      </c>
      <c r="G1053" t="s">
        <v>879</v>
      </c>
      <c r="J1053" t="s">
        <v>169</v>
      </c>
      <c r="K1053" t="s">
        <v>45</v>
      </c>
      <c r="L1053">
        <v>260700000</v>
      </c>
      <c r="M1053" t="s">
        <v>210</v>
      </c>
      <c r="N1053" t="s">
        <v>909</v>
      </c>
    </row>
    <row r="1054" spans="1:16" ht="15" hidden="1" customHeight="1" x14ac:dyDescent="0.25">
      <c r="A1054" t="s">
        <v>184</v>
      </c>
      <c r="B1054" t="s">
        <v>877</v>
      </c>
      <c r="C1054">
        <v>9</v>
      </c>
      <c r="D1054" t="s">
        <v>74</v>
      </c>
      <c r="E1054" t="s">
        <v>75</v>
      </c>
      <c r="F1054" t="s">
        <v>878</v>
      </c>
      <c r="G1054" t="s">
        <v>879</v>
      </c>
      <c r="J1054" t="s">
        <v>169</v>
      </c>
      <c r="K1054" t="s">
        <v>77</v>
      </c>
      <c r="L1054">
        <v>1450000</v>
      </c>
      <c r="M1054" t="s">
        <v>46</v>
      </c>
      <c r="N1054" t="s">
        <v>906</v>
      </c>
      <c r="O1054" t="s">
        <v>79</v>
      </c>
      <c r="P1054" t="s">
        <v>103</v>
      </c>
    </row>
    <row r="1055" spans="1:16" ht="15" hidden="1" customHeight="1" x14ac:dyDescent="0.25">
      <c r="A1055" t="s">
        <v>184</v>
      </c>
      <c r="B1055" t="s">
        <v>877</v>
      </c>
      <c r="C1055">
        <v>9</v>
      </c>
      <c r="D1055" t="s">
        <v>74</v>
      </c>
      <c r="E1055" t="s">
        <v>75</v>
      </c>
      <c r="F1055" t="s">
        <v>881</v>
      </c>
      <c r="G1055" t="s">
        <v>879</v>
      </c>
      <c r="J1055" t="s">
        <v>169</v>
      </c>
      <c r="K1055" t="s">
        <v>77</v>
      </c>
      <c r="L1055">
        <v>9740000000</v>
      </c>
      <c r="M1055" t="s">
        <v>210</v>
      </c>
      <c r="N1055" t="s">
        <v>908</v>
      </c>
      <c r="O1055" t="s">
        <v>79</v>
      </c>
      <c r="P1055" t="s">
        <v>103</v>
      </c>
    </row>
    <row r="1056" spans="1:16" ht="15" hidden="1" customHeight="1" x14ac:dyDescent="0.25">
      <c r="A1056" t="s">
        <v>184</v>
      </c>
      <c r="B1056" t="s">
        <v>877</v>
      </c>
      <c r="C1056">
        <v>9</v>
      </c>
      <c r="D1056" t="s">
        <v>85</v>
      </c>
      <c r="E1056" t="s">
        <v>86</v>
      </c>
      <c r="F1056" t="s">
        <v>878</v>
      </c>
      <c r="G1056" t="s">
        <v>879</v>
      </c>
      <c r="J1056" t="s">
        <v>184</v>
      </c>
      <c r="K1056" t="s">
        <v>45</v>
      </c>
      <c r="L1056">
        <v>1500000</v>
      </c>
      <c r="M1056" t="s">
        <v>46</v>
      </c>
      <c r="N1056" t="s">
        <v>67</v>
      </c>
    </row>
    <row r="1057" spans="1:14" ht="15" hidden="1" customHeight="1" x14ac:dyDescent="0.25">
      <c r="A1057" t="s">
        <v>184</v>
      </c>
      <c r="B1057" t="s">
        <v>877</v>
      </c>
      <c r="C1057">
        <v>9</v>
      </c>
      <c r="D1057" t="s">
        <v>85</v>
      </c>
      <c r="E1057" t="s">
        <v>41</v>
      </c>
      <c r="F1057" t="s">
        <v>884</v>
      </c>
      <c r="G1057" t="s">
        <v>879</v>
      </c>
      <c r="J1057" t="s">
        <v>184</v>
      </c>
      <c r="K1057" t="s">
        <v>45</v>
      </c>
      <c r="L1057">
        <v>47200</v>
      </c>
      <c r="M1057" t="s">
        <v>46</v>
      </c>
      <c r="N1057" t="s">
        <v>910</v>
      </c>
    </row>
    <row r="1058" spans="1:14" ht="15" hidden="1" customHeight="1" x14ac:dyDescent="0.25">
      <c r="A1058" t="s">
        <v>184</v>
      </c>
      <c r="B1058" t="s">
        <v>877</v>
      </c>
      <c r="C1058">
        <v>9</v>
      </c>
      <c r="D1058" t="s">
        <v>85</v>
      </c>
      <c r="E1058" t="s">
        <v>86</v>
      </c>
      <c r="F1058" t="s">
        <v>881</v>
      </c>
      <c r="G1058" t="s">
        <v>879</v>
      </c>
      <c r="J1058" t="s">
        <v>184</v>
      </c>
      <c r="K1058" t="s">
        <v>45</v>
      </c>
      <c r="L1058">
        <v>9990000000</v>
      </c>
      <c r="M1058" t="s">
        <v>210</v>
      </c>
      <c r="N1058" t="s">
        <v>911</v>
      </c>
    </row>
    <row r="1059" spans="1:14" ht="15" hidden="1" customHeight="1" x14ac:dyDescent="0.25">
      <c r="A1059" t="s">
        <v>184</v>
      </c>
      <c r="B1059" t="s">
        <v>877</v>
      </c>
      <c r="C1059">
        <v>9</v>
      </c>
      <c r="D1059" t="s">
        <v>85</v>
      </c>
      <c r="E1059" t="s">
        <v>41</v>
      </c>
      <c r="F1059" t="s">
        <v>887</v>
      </c>
      <c r="G1059" t="s">
        <v>879</v>
      </c>
      <c r="J1059" t="s">
        <v>184</v>
      </c>
      <c r="K1059" t="s">
        <v>45</v>
      </c>
      <c r="L1059">
        <v>275000000</v>
      </c>
      <c r="M1059" t="s">
        <v>210</v>
      </c>
      <c r="N1059" t="s">
        <v>912</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334A-4028-40A8-B34E-D9EA0B5E6998}">
  <dimension ref="A2:F16"/>
  <sheetViews>
    <sheetView topLeftCell="A7" zoomScale="90" zoomScaleNormal="90" workbookViewId="0">
      <selection activeCell="L34" sqref="L34"/>
    </sheetView>
  </sheetViews>
  <sheetFormatPr defaultRowHeight="15" x14ac:dyDescent="0.25"/>
  <cols>
    <col min="1" max="1" width="13.28515625" bestFit="1" customWidth="1"/>
    <col min="2" max="2" width="16.28515625" bestFit="1" customWidth="1"/>
    <col min="3" max="3" width="8.85546875" bestFit="1" customWidth="1"/>
    <col min="4" max="4" width="11.140625" bestFit="1" customWidth="1"/>
    <col min="5" max="6" width="13.28515625" bestFit="1" customWidth="1"/>
    <col min="7" max="8" width="7.7109375" bestFit="1" customWidth="1"/>
    <col min="9" max="9" width="6.7109375" bestFit="1" customWidth="1"/>
    <col min="10" max="10" width="8.85546875" bestFit="1" customWidth="1"/>
    <col min="11" max="12" width="10" bestFit="1" customWidth="1"/>
    <col min="13" max="13" width="14.42578125" bestFit="1" customWidth="1"/>
    <col min="14" max="14" width="8.85546875" bestFit="1" customWidth="1"/>
    <col min="15" max="15" width="15.140625" bestFit="1" customWidth="1"/>
    <col min="16" max="16" width="14.140625" bestFit="1" customWidth="1"/>
    <col min="17" max="17" width="12.140625" bestFit="1" customWidth="1"/>
    <col min="18" max="19" width="13.28515625" bestFit="1" customWidth="1"/>
    <col min="20" max="20" width="11.140625" bestFit="1" customWidth="1"/>
    <col min="21" max="22" width="13.28515625" bestFit="1" customWidth="1"/>
    <col min="23" max="23" width="14.85546875" bestFit="1" customWidth="1"/>
    <col min="24" max="24" width="8.85546875" bestFit="1" customWidth="1"/>
    <col min="25" max="25" width="19.42578125" bestFit="1" customWidth="1"/>
    <col min="26" max="26" width="19" bestFit="1" customWidth="1"/>
    <col min="27" max="28" width="10" bestFit="1" customWidth="1"/>
    <col min="29" max="29" width="14.42578125" bestFit="1" customWidth="1"/>
    <col min="30" max="30" width="10" bestFit="1" customWidth="1"/>
    <col min="31" max="31" width="16.140625" bestFit="1" customWidth="1"/>
    <col min="32" max="32" width="15.140625" bestFit="1" customWidth="1"/>
    <col min="33" max="33" width="13.140625" bestFit="1" customWidth="1"/>
    <col min="34" max="34" width="14.140625" bestFit="1" customWidth="1"/>
    <col min="35" max="35" width="13.28515625" bestFit="1" customWidth="1"/>
    <col min="36" max="36" width="12.140625" bestFit="1" customWidth="1"/>
    <col min="37" max="37" width="15.28515625" bestFit="1" customWidth="1"/>
    <col min="38" max="38" width="13.28515625" bestFit="1" customWidth="1"/>
    <col min="39" max="39" width="18.85546875" bestFit="1" customWidth="1"/>
    <col min="40" max="40" width="19.28515625" bestFit="1" customWidth="1"/>
    <col min="41" max="41" width="22.28515625" bestFit="1" customWidth="1"/>
    <col min="42" max="42" width="11.140625" bestFit="1" customWidth="1"/>
    <col min="43" max="43" width="16.28515625" bestFit="1" customWidth="1"/>
    <col min="44" max="44" width="19.7109375" bestFit="1" customWidth="1"/>
    <col min="45" max="46" width="13.28515625" bestFit="1" customWidth="1"/>
  </cols>
  <sheetData>
    <row r="2" spans="1:6" x14ac:dyDescent="0.25">
      <c r="A2" s="17" t="s">
        <v>31</v>
      </c>
      <c r="B2" t="s">
        <v>45</v>
      </c>
    </row>
    <row r="3" spans="1:6" x14ac:dyDescent="0.25">
      <c r="A3" s="17" t="s">
        <v>22</v>
      </c>
      <c r="B3" t="s">
        <v>814</v>
      </c>
    </row>
    <row r="4" spans="1:6" x14ac:dyDescent="0.25">
      <c r="A4" s="17" t="s">
        <v>26</v>
      </c>
      <c r="B4" t="s">
        <v>1032</v>
      </c>
    </row>
    <row r="6" spans="1:6" x14ac:dyDescent="0.25">
      <c r="A6" s="17" t="s">
        <v>1033</v>
      </c>
      <c r="B6" s="17" t="s">
        <v>1034</v>
      </c>
    </row>
    <row r="7" spans="1:6" x14ac:dyDescent="0.25">
      <c r="A7" s="17" t="s">
        <v>1030</v>
      </c>
      <c r="B7" t="s">
        <v>815</v>
      </c>
      <c r="C7" t="s">
        <v>817</v>
      </c>
      <c r="D7" t="s">
        <v>819</v>
      </c>
      <c r="E7" t="s">
        <v>1035</v>
      </c>
      <c r="F7" t="s">
        <v>1031</v>
      </c>
    </row>
    <row r="8" spans="1:6" x14ac:dyDescent="0.25">
      <c r="A8" s="18" t="s">
        <v>38</v>
      </c>
      <c r="B8">
        <v>9300901</v>
      </c>
      <c r="C8">
        <v>1000116</v>
      </c>
      <c r="D8">
        <v>119317056</v>
      </c>
      <c r="E8">
        <v>2362800000</v>
      </c>
      <c r="F8">
        <v>2492418073</v>
      </c>
    </row>
    <row r="9" spans="1:6" x14ac:dyDescent="0.25">
      <c r="A9" s="18" t="s">
        <v>88</v>
      </c>
      <c r="B9">
        <v>8200941</v>
      </c>
      <c r="C9">
        <v>900113</v>
      </c>
      <c r="D9">
        <v>117217543</v>
      </c>
      <c r="E9">
        <v>2422970000</v>
      </c>
      <c r="F9">
        <v>2549288597</v>
      </c>
    </row>
    <row r="10" spans="1:6" x14ac:dyDescent="0.25">
      <c r="A10" s="18" t="s">
        <v>107</v>
      </c>
      <c r="B10">
        <v>8901003</v>
      </c>
      <c r="C10">
        <v>1100107</v>
      </c>
      <c r="D10">
        <v>113016918</v>
      </c>
      <c r="E10">
        <v>2412980000</v>
      </c>
      <c r="F10">
        <v>2535998028</v>
      </c>
    </row>
    <row r="11" spans="1:6" x14ac:dyDescent="0.25">
      <c r="A11" s="18" t="s">
        <v>122</v>
      </c>
      <c r="B11">
        <v>7900844</v>
      </c>
      <c r="C11">
        <v>900086</v>
      </c>
      <c r="D11">
        <v>110017236</v>
      </c>
      <c r="E11">
        <v>2352870000</v>
      </c>
      <c r="F11">
        <v>2471688166</v>
      </c>
    </row>
    <row r="12" spans="1:6" x14ac:dyDescent="0.25">
      <c r="A12" s="18" t="s">
        <v>138</v>
      </c>
      <c r="B12">
        <v>9300989</v>
      </c>
      <c r="C12">
        <v>1100133</v>
      </c>
      <c r="D12">
        <v>123017556</v>
      </c>
      <c r="E12">
        <v>2613060000</v>
      </c>
      <c r="F12">
        <v>2746478678</v>
      </c>
    </row>
    <row r="13" spans="1:6" x14ac:dyDescent="0.25">
      <c r="A13" s="18" t="s">
        <v>153</v>
      </c>
      <c r="B13">
        <v>7900922</v>
      </c>
      <c r="C13">
        <v>1000120</v>
      </c>
      <c r="D13">
        <v>122018897</v>
      </c>
      <c r="E13">
        <v>2633260000</v>
      </c>
      <c r="F13">
        <v>2764179939</v>
      </c>
    </row>
    <row r="14" spans="1:6" x14ac:dyDescent="0.25">
      <c r="A14" s="18" t="s">
        <v>169</v>
      </c>
      <c r="B14">
        <v>7800828</v>
      </c>
      <c r="C14">
        <v>1000103</v>
      </c>
      <c r="D14">
        <v>112016863</v>
      </c>
      <c r="E14">
        <v>2693240000</v>
      </c>
      <c r="F14">
        <v>2814057794</v>
      </c>
    </row>
    <row r="15" spans="1:6" x14ac:dyDescent="0.25">
      <c r="A15" s="18" t="s">
        <v>184</v>
      </c>
      <c r="B15">
        <v>8300898</v>
      </c>
      <c r="C15">
        <v>900113</v>
      </c>
      <c r="D15">
        <v>116017329</v>
      </c>
      <c r="E15">
        <v>2753290000</v>
      </c>
      <c r="F15">
        <v>2878508340</v>
      </c>
    </row>
    <row r="16" spans="1:6" x14ac:dyDescent="0.25">
      <c r="A16" s="18" t="s">
        <v>1031</v>
      </c>
      <c r="B16">
        <v>67607326</v>
      </c>
      <c r="C16">
        <v>7900891</v>
      </c>
      <c r="D16">
        <v>932639398</v>
      </c>
      <c r="E16">
        <v>20244470000</v>
      </c>
      <c r="F16">
        <v>21252617615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5DFE-CB08-42D7-9E4F-CC1F9B804849}">
  <dimension ref="A1"/>
  <sheetViews>
    <sheetView workbookViewId="0">
      <selection activeCell="G18" sqref="G18"/>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C519-DB59-41B8-9C96-A204B44DF395}">
  <sheetPr>
    <tabColor rgb="FF7030A0"/>
  </sheetPr>
  <dimension ref="A1:J29"/>
  <sheetViews>
    <sheetView zoomScale="120" zoomScaleNormal="120" workbookViewId="0">
      <pane ySplit="3" topLeftCell="A13" activePane="bottomLeft" state="frozen"/>
      <selection activeCell="A3" sqref="A3"/>
      <selection pane="bottomLeft" activeCell="B17" sqref="B17"/>
    </sheetView>
  </sheetViews>
  <sheetFormatPr defaultRowHeight="15" x14ac:dyDescent="0.25"/>
  <cols>
    <col min="1" max="1" width="15.42578125" customWidth="1"/>
    <col min="2" max="2" width="25.28515625" bestFit="1" customWidth="1"/>
    <col min="3" max="10" width="13.28515625" bestFit="1" customWidth="1"/>
  </cols>
  <sheetData>
    <row r="1" spans="1:10" ht="26.25" customHeight="1" x14ac:dyDescent="0.25">
      <c r="A1" s="23" t="s">
        <v>1008</v>
      </c>
      <c r="B1" s="23"/>
      <c r="C1" s="23"/>
      <c r="D1" s="23"/>
      <c r="E1" s="23"/>
      <c r="F1" s="23"/>
      <c r="G1" s="23"/>
      <c r="H1" s="23"/>
      <c r="I1" s="23"/>
      <c r="J1" s="23"/>
    </row>
    <row r="3" spans="1:10" x14ac:dyDescent="0.25">
      <c r="A3" s="6" t="s">
        <v>914</v>
      </c>
      <c r="B3" s="6" t="s">
        <v>915</v>
      </c>
      <c r="C3" s="6" t="s">
        <v>916</v>
      </c>
      <c r="D3" s="6" t="s">
        <v>917</v>
      </c>
      <c r="E3" s="6" t="s">
        <v>918</v>
      </c>
      <c r="F3" s="6" t="s">
        <v>919</v>
      </c>
      <c r="G3" s="6" t="s">
        <v>920</v>
      </c>
      <c r="H3" s="6" t="s">
        <v>921</v>
      </c>
      <c r="I3" s="6" t="s">
        <v>922</v>
      </c>
      <c r="J3" s="6" t="s">
        <v>923</v>
      </c>
    </row>
    <row r="4" spans="1:10" x14ac:dyDescent="0.25">
      <c r="A4" s="22" t="s">
        <v>924</v>
      </c>
      <c r="B4" s="22"/>
      <c r="C4" s="22"/>
      <c r="D4" s="22"/>
      <c r="E4" s="22"/>
      <c r="F4" s="22"/>
      <c r="G4" s="22"/>
      <c r="H4" s="22"/>
      <c r="I4" s="22"/>
      <c r="J4" s="22"/>
    </row>
    <row r="5" spans="1:10" x14ac:dyDescent="0.25">
      <c r="A5" s="7" t="s">
        <v>43</v>
      </c>
      <c r="B5" s="7" t="s">
        <v>925</v>
      </c>
      <c r="C5" s="19">
        <f>SUM(CliQ!C5, JoMoPay!C5)</f>
        <v>3890000</v>
      </c>
      <c r="D5" s="19">
        <f>SUM(CliQ!D5, JoMoPay!D5)</f>
        <v>4260000</v>
      </c>
      <c r="E5" s="19">
        <f>SUM(CliQ!E5, JoMoPay!E5)</f>
        <v>4380000</v>
      </c>
      <c r="F5" s="19">
        <f>SUM(CliQ!F5, JoMoPay!F5)</f>
        <v>4550000</v>
      </c>
      <c r="G5" s="19">
        <f>SUM(CliQ!G5, JoMoPay!G5)</f>
        <v>4700000</v>
      </c>
      <c r="H5" s="19">
        <f>SUM(CliQ!H5, JoMoPay!H5)</f>
        <v>4940000</v>
      </c>
      <c r="I5" s="19">
        <f>SUM(CliQ!I5, JoMoPay!I5)</f>
        <v>5130000</v>
      </c>
      <c r="J5" s="19">
        <f>SUM(CliQ!J5, JoMoPay!J5)</f>
        <v>5310000</v>
      </c>
    </row>
    <row r="6" spans="1:10" x14ac:dyDescent="0.25">
      <c r="A6" s="22" t="s">
        <v>926</v>
      </c>
      <c r="B6" s="22"/>
      <c r="C6" s="22"/>
      <c r="D6" s="22"/>
      <c r="E6" s="22"/>
      <c r="F6" s="22"/>
      <c r="G6" s="22"/>
      <c r="H6" s="22"/>
      <c r="I6" s="22"/>
      <c r="J6" s="22"/>
    </row>
    <row r="7" spans="1:10" x14ac:dyDescent="0.25">
      <c r="A7" s="9" t="s">
        <v>927</v>
      </c>
      <c r="B7" s="9" t="s">
        <v>928</v>
      </c>
      <c r="C7" s="19">
        <f>SUM(CliQ!C7,JoMoPay!C7)</f>
        <v>3550000</v>
      </c>
      <c r="D7" s="19">
        <f>SUM(CliQ!D7,JoMoPay!D7)</f>
        <v>3900000</v>
      </c>
      <c r="E7" s="19">
        <f>SUM(CliQ!E7,JoMoPay!E7)</f>
        <v>4000000</v>
      </c>
      <c r="F7" s="19">
        <f>SUM(CliQ!F7,JoMoPay!F7)</f>
        <v>4160000</v>
      </c>
      <c r="G7" s="19">
        <f>SUM(CliQ!G7,JoMoPay!G7)</f>
        <v>4300000</v>
      </c>
      <c r="H7" s="19">
        <f>SUM(CliQ!H7,JoMoPay!H7)</f>
        <v>4510000</v>
      </c>
      <c r="I7" s="19">
        <f>SUM(CliQ!I7,JoMoPay!I7)</f>
        <v>4680000</v>
      </c>
      <c r="J7" s="19">
        <f>SUM(CliQ!J7,JoMoPay!J7)</f>
        <v>4850000</v>
      </c>
    </row>
    <row r="8" spans="1:10" ht="13.5" customHeight="1" x14ac:dyDescent="0.25">
      <c r="A8" s="9" t="s">
        <v>927</v>
      </c>
      <c r="B8" s="9" t="s">
        <v>929</v>
      </c>
      <c r="C8" s="21">
        <f>C$7/(C$7+C$9)</f>
        <v>0.9137709137709138</v>
      </c>
      <c r="D8" s="21">
        <f t="shared" ref="D8:J8" si="0">D$7/(D$7+D$9)</f>
        <v>0.91527810373151841</v>
      </c>
      <c r="E8" s="21">
        <f t="shared" si="0"/>
        <v>0.91386794608179123</v>
      </c>
      <c r="F8" s="21">
        <f t="shared" si="0"/>
        <v>0.91392416187002945</v>
      </c>
      <c r="G8" s="21">
        <f t="shared" si="0"/>
        <v>0.91333899745114699</v>
      </c>
      <c r="H8" s="21">
        <f t="shared" si="0"/>
        <v>0.91406566680178358</v>
      </c>
      <c r="I8" s="21">
        <f t="shared" si="0"/>
        <v>0.91242298993995163</v>
      </c>
      <c r="J8" s="21">
        <f t="shared" si="0"/>
        <v>0.91259761031141218</v>
      </c>
    </row>
    <row r="9" spans="1:10" x14ac:dyDescent="0.25">
      <c r="A9" s="9" t="s">
        <v>927</v>
      </c>
      <c r="B9" s="9" t="s">
        <v>930</v>
      </c>
      <c r="C9" s="19">
        <f>SUM(CliQ!C9,JoMoPay!C9)</f>
        <v>335000</v>
      </c>
      <c r="D9" s="19">
        <f>SUM(CliQ!D9,JoMoPay!D9)</f>
        <v>361000</v>
      </c>
      <c r="E9" s="19">
        <f>SUM(CliQ!E9,JoMoPay!E9)</f>
        <v>377000</v>
      </c>
      <c r="F9" s="19">
        <f>SUM(CliQ!F9,JoMoPay!F9)</f>
        <v>391800</v>
      </c>
      <c r="G9" s="19">
        <f>SUM(CliQ!G9,JoMoPay!G9)</f>
        <v>408000</v>
      </c>
      <c r="H9" s="19">
        <f>SUM(CliQ!H9,JoMoPay!H9)</f>
        <v>424000</v>
      </c>
      <c r="I9" s="19">
        <f>SUM(CliQ!I9,JoMoPay!I9)</f>
        <v>449200</v>
      </c>
      <c r="J9" s="19">
        <f>SUM(CliQ!J9,JoMoPay!J9)</f>
        <v>464500</v>
      </c>
    </row>
    <row r="10" spans="1:10" x14ac:dyDescent="0.25">
      <c r="A10" s="9" t="s">
        <v>927</v>
      </c>
      <c r="B10" s="9" t="s">
        <v>931</v>
      </c>
      <c r="C10" s="20">
        <f>C$9/(C$9+C$7)</f>
        <v>8.6229086229086233E-2</v>
      </c>
      <c r="D10" s="20">
        <f t="shared" ref="D10:J10" si="1">D$9/(D$9+D$7)</f>
        <v>8.4721896268481575E-2</v>
      </c>
      <c r="E10" s="20">
        <f t="shared" si="1"/>
        <v>8.6132053918208815E-2</v>
      </c>
      <c r="F10" s="20">
        <f t="shared" si="1"/>
        <v>8.6075838129970564E-2</v>
      </c>
      <c r="G10" s="20">
        <f t="shared" si="1"/>
        <v>8.6661002548853019E-2</v>
      </c>
      <c r="H10" s="20">
        <f t="shared" si="1"/>
        <v>8.5934333198216459E-2</v>
      </c>
      <c r="I10" s="20">
        <f t="shared" si="1"/>
        <v>8.7577010060048352E-2</v>
      </c>
      <c r="J10" s="20">
        <f t="shared" si="1"/>
        <v>8.7402389688587823E-2</v>
      </c>
    </row>
    <row r="11" spans="1:10" x14ac:dyDescent="0.25">
      <c r="A11" s="22" t="s">
        <v>932</v>
      </c>
      <c r="B11" s="22"/>
      <c r="C11" s="22"/>
      <c r="D11" s="22"/>
      <c r="E11" s="22"/>
      <c r="F11" s="22"/>
      <c r="G11" s="22"/>
      <c r="H11" s="22"/>
      <c r="I11" s="22"/>
      <c r="J11" s="22"/>
    </row>
    <row r="12" spans="1:10" x14ac:dyDescent="0.25">
      <c r="A12" s="9" t="s">
        <v>933</v>
      </c>
      <c r="B12" s="9" t="s">
        <v>934</v>
      </c>
      <c r="C12" s="19">
        <f>SUM(CliQ!C12,JoMoPay!C12)</f>
        <v>2153400</v>
      </c>
      <c r="D12" s="19">
        <f>SUM(CliQ!D12,JoMoPay!D12)</f>
        <v>2350000</v>
      </c>
      <c r="E12" s="19">
        <f>SUM(CliQ!E12,JoMoPay!E12)</f>
        <v>2410000</v>
      </c>
      <c r="F12" s="19">
        <f>SUM(CliQ!F12,JoMoPay!F12)</f>
        <v>2520000</v>
      </c>
      <c r="G12" s="19">
        <f>SUM(CliQ!G12,JoMoPay!G12)</f>
        <v>2650000</v>
      </c>
      <c r="H12" s="19">
        <f>SUM(CliQ!H12,JoMoPay!H12)</f>
        <v>2790000</v>
      </c>
      <c r="I12" s="19">
        <f>SUM(CliQ!I12,JoMoPay!I12)</f>
        <v>2900000</v>
      </c>
      <c r="J12" s="19">
        <f>SUM(CliQ!J12,JoMoPay!J12)</f>
        <v>3020000</v>
      </c>
    </row>
    <row r="13" spans="1:10" x14ac:dyDescent="0.25">
      <c r="A13" s="9" t="s">
        <v>933</v>
      </c>
      <c r="B13" s="9" t="s">
        <v>935</v>
      </c>
      <c r="C13" s="20">
        <f>C$12/(C$12+C$14)</f>
        <v>0.56155631470519207</v>
      </c>
      <c r="D13" s="20">
        <f t="shared" ref="D13:J13" si="2">D$12/(D$12+D$14)</f>
        <v>0.56044453983925968</v>
      </c>
      <c r="E13" s="20">
        <f t="shared" si="2"/>
        <v>0.55617095910643399</v>
      </c>
      <c r="F13" s="20">
        <f t="shared" si="2"/>
        <v>0.56360708534621573</v>
      </c>
      <c r="G13" s="20">
        <f t="shared" si="2"/>
        <v>0.57119455101952843</v>
      </c>
      <c r="H13" s="20">
        <f t="shared" si="2"/>
        <v>0.57247209455022985</v>
      </c>
      <c r="I13" s="20">
        <f t="shared" si="2"/>
        <v>0.57498612102466495</v>
      </c>
      <c r="J13" s="20">
        <f t="shared" si="2"/>
        <v>0.5773385077137777</v>
      </c>
    </row>
    <row r="14" spans="1:10" x14ac:dyDescent="0.25">
      <c r="A14" s="9" t="s">
        <v>933</v>
      </c>
      <c r="B14" s="9" t="s">
        <v>936</v>
      </c>
      <c r="C14" s="19">
        <f>SUM(CliQ!C14,JoMoPay!C14)</f>
        <v>1681300</v>
      </c>
      <c r="D14" s="19">
        <f>SUM(CliQ!D14,JoMoPay!D14)</f>
        <v>1843100</v>
      </c>
      <c r="E14" s="19">
        <f>SUM(CliQ!E14,JoMoPay!E14)</f>
        <v>1923200</v>
      </c>
      <c r="F14" s="19">
        <f>SUM(CliQ!F14,JoMoPay!F14)</f>
        <v>1951200</v>
      </c>
      <c r="G14" s="19">
        <f>SUM(CliQ!G14,JoMoPay!G14)</f>
        <v>1989400</v>
      </c>
      <c r="H14" s="19">
        <f>SUM(CliQ!H14,JoMoPay!H14)</f>
        <v>2083600</v>
      </c>
      <c r="I14" s="19">
        <f>SUM(CliQ!I14,JoMoPay!I14)</f>
        <v>2143600</v>
      </c>
      <c r="J14" s="19">
        <f>SUM(CliQ!J14,JoMoPay!J14)</f>
        <v>2210900</v>
      </c>
    </row>
    <row r="15" spans="1:10" x14ac:dyDescent="0.25">
      <c r="A15" s="9" t="s">
        <v>933</v>
      </c>
      <c r="B15" s="9" t="s">
        <v>937</v>
      </c>
      <c r="C15" s="20">
        <f>C$14/(C$14+C$12)</f>
        <v>0.43844368529480793</v>
      </c>
      <c r="D15" s="20">
        <f t="shared" ref="D15:J15" si="3">D$14/(D$14+D$12)</f>
        <v>0.43955546016074026</v>
      </c>
      <c r="E15" s="20">
        <f t="shared" si="3"/>
        <v>0.44382904089356595</v>
      </c>
      <c r="F15" s="20">
        <f t="shared" si="3"/>
        <v>0.43639291465378421</v>
      </c>
      <c r="G15" s="20">
        <f t="shared" si="3"/>
        <v>0.42880544898047163</v>
      </c>
      <c r="H15" s="20">
        <f t="shared" si="3"/>
        <v>0.42752790544977021</v>
      </c>
      <c r="I15" s="20">
        <f t="shared" si="3"/>
        <v>0.4250138789753351</v>
      </c>
      <c r="J15" s="20">
        <f t="shared" si="3"/>
        <v>0.42266149228622224</v>
      </c>
    </row>
    <row r="16" spans="1:10" x14ac:dyDescent="0.25">
      <c r="A16" s="22" t="s">
        <v>938</v>
      </c>
      <c r="B16" s="22"/>
      <c r="C16" s="22"/>
      <c r="D16" s="22"/>
      <c r="E16" s="22"/>
      <c r="F16" s="22"/>
      <c r="G16" s="22"/>
      <c r="H16" s="22"/>
      <c r="I16" s="22"/>
      <c r="J16" s="22"/>
    </row>
    <row r="17" spans="1:10" x14ac:dyDescent="0.25">
      <c r="A17" s="9" t="s">
        <v>939</v>
      </c>
      <c r="B17" s="9" t="s">
        <v>60</v>
      </c>
      <c r="C17" s="19">
        <f>SUM(CliQ!C17,JoMoPay!C17)</f>
        <v>7200</v>
      </c>
      <c r="D17" s="19">
        <f>SUM(CliQ!D17,JoMoPay!D17)</f>
        <v>7700</v>
      </c>
      <c r="E17" s="19">
        <f>SUM(CliQ!E17,JoMoPay!E17)</f>
        <v>8000</v>
      </c>
      <c r="F17" s="19">
        <f>SUM(CliQ!F17,JoMoPay!F17)</f>
        <v>9600</v>
      </c>
      <c r="G17" s="19">
        <f>SUM(CliQ!G17,JoMoPay!G17)</f>
        <v>10200</v>
      </c>
      <c r="H17" s="19">
        <f>SUM(CliQ!H17,JoMoPay!H17)</f>
        <v>10800</v>
      </c>
      <c r="I17" s="19">
        <f>SUM(CliQ!I17,JoMoPay!I17)</f>
        <v>11400</v>
      </c>
      <c r="J17" s="19">
        <f>SUM(CliQ!J17,JoMoPay!J17)</f>
        <v>12030</v>
      </c>
    </row>
    <row r="18" spans="1:10" x14ac:dyDescent="0.25">
      <c r="A18" s="9" t="s">
        <v>939</v>
      </c>
      <c r="B18" s="9" t="s">
        <v>44</v>
      </c>
      <c r="C18" s="19">
        <f>SUM(CliQ!C18,JoMoPay!C18)</f>
        <v>1419200</v>
      </c>
      <c r="D18" s="19">
        <f>SUM(CliQ!D18,JoMoPay!D18)</f>
        <v>1597400</v>
      </c>
      <c r="E18" s="19">
        <f>SUM(CliQ!E18,JoMoPay!E18)</f>
        <v>1595100</v>
      </c>
      <c r="F18" s="19">
        <f>SUM(CliQ!F18,JoMoPay!F18)</f>
        <v>1636100</v>
      </c>
      <c r="G18" s="19">
        <f>SUM(CliQ!G18,JoMoPay!G18)</f>
        <v>1706200</v>
      </c>
      <c r="H18" s="19">
        <f>SUM(CliQ!H18,JoMoPay!H18)</f>
        <v>1805500</v>
      </c>
      <c r="I18" s="19">
        <f>SUM(CliQ!I18,JoMoPay!I18)</f>
        <v>1845100</v>
      </c>
      <c r="J18" s="19">
        <f>SUM(CliQ!J18,JoMoPay!J18)</f>
        <v>1896500</v>
      </c>
    </row>
    <row r="19" spans="1:10" x14ac:dyDescent="0.25">
      <c r="A19" s="9" t="s">
        <v>939</v>
      </c>
      <c r="B19" s="9" t="s">
        <v>48</v>
      </c>
      <c r="C19" s="19">
        <f>SUM(CliQ!C19,JoMoPay!C19)</f>
        <v>1012400</v>
      </c>
      <c r="D19" s="19">
        <f>SUM(CliQ!D19,JoMoPay!D19)</f>
        <v>1105000</v>
      </c>
      <c r="E19" s="19">
        <f>SUM(CliQ!E19,JoMoPay!E19)</f>
        <v>1134400</v>
      </c>
      <c r="F19" s="19">
        <f>SUM(CliQ!F19,JoMoPay!F19)</f>
        <v>1175800</v>
      </c>
      <c r="G19" s="19">
        <f>SUM(CliQ!G19,JoMoPay!G19)</f>
        <v>1209600</v>
      </c>
      <c r="H19" s="19">
        <f>SUM(CliQ!H19,JoMoPay!H19)</f>
        <v>1261700</v>
      </c>
      <c r="I19" s="19">
        <f>SUM(CliQ!I19,JoMoPay!I19)</f>
        <v>1313000</v>
      </c>
      <c r="J19" s="19">
        <f>SUM(CliQ!J19,JoMoPay!J19)</f>
        <v>1357400</v>
      </c>
    </row>
    <row r="20" spans="1:10" x14ac:dyDescent="0.25">
      <c r="A20" s="9" t="s">
        <v>939</v>
      </c>
      <c r="B20" s="9" t="s">
        <v>50</v>
      </c>
      <c r="C20" s="19">
        <f>SUM(CliQ!C20,JoMoPay!C20)</f>
        <v>723000</v>
      </c>
      <c r="D20" s="19">
        <f>SUM(CliQ!D20,JoMoPay!D20)</f>
        <v>792100</v>
      </c>
      <c r="E20" s="19">
        <f>SUM(CliQ!E20,JoMoPay!E20)</f>
        <v>816200</v>
      </c>
      <c r="F20" s="19">
        <f>SUM(CliQ!F20,JoMoPay!F20)</f>
        <v>850400</v>
      </c>
      <c r="G20" s="19">
        <f>SUM(CliQ!G20,JoMoPay!G20)</f>
        <v>875900</v>
      </c>
      <c r="H20" s="19">
        <f>SUM(CliQ!H20,JoMoPay!H20)</f>
        <v>915300</v>
      </c>
      <c r="I20" s="19">
        <f>SUM(CliQ!I20,JoMoPay!I20)</f>
        <v>957000</v>
      </c>
      <c r="J20" s="19">
        <f>SUM(CliQ!J20,JoMoPay!J20)</f>
        <v>992800</v>
      </c>
    </row>
    <row r="21" spans="1:10" x14ac:dyDescent="0.25">
      <c r="A21" s="9" t="s">
        <v>939</v>
      </c>
      <c r="B21" s="9" t="s">
        <v>52</v>
      </c>
      <c r="C21" s="19">
        <f>SUM(CliQ!C21,JoMoPay!C21)</f>
        <v>447600</v>
      </c>
      <c r="D21" s="19">
        <f>SUM(CliQ!D21,JoMoPay!D21)</f>
        <v>494900</v>
      </c>
      <c r="E21" s="19">
        <f>SUM(CliQ!E21,JoMoPay!E21)</f>
        <v>507700</v>
      </c>
      <c r="F21" s="19">
        <f>SUM(CliQ!F21,JoMoPay!F21)</f>
        <v>530100</v>
      </c>
      <c r="G21" s="19">
        <f>SUM(CliQ!G21,JoMoPay!G21)</f>
        <v>543600</v>
      </c>
      <c r="H21" s="19">
        <f>SUM(CliQ!H21,JoMoPay!H21)</f>
        <v>570900</v>
      </c>
      <c r="I21" s="19">
        <f>SUM(CliQ!I21,JoMoPay!I21)</f>
        <v>598300</v>
      </c>
      <c r="J21" s="19">
        <f>SUM(CliQ!J21,JoMoPay!J21)</f>
        <v>622500</v>
      </c>
    </row>
    <row r="22" spans="1:10" x14ac:dyDescent="0.25">
      <c r="A22" s="9" t="s">
        <v>939</v>
      </c>
      <c r="B22" s="9" t="s">
        <v>54</v>
      </c>
      <c r="C22" s="19">
        <f>SUM(CliQ!C22,JoMoPay!C22)</f>
        <v>174000</v>
      </c>
      <c r="D22" s="19">
        <f>SUM(CliQ!D22,JoMoPay!D22)</f>
        <v>196800</v>
      </c>
      <c r="E22" s="19">
        <f>SUM(CliQ!E22,JoMoPay!E22)</f>
        <v>203900</v>
      </c>
      <c r="F22" s="19">
        <f>SUM(CliQ!F22,JoMoPay!F22)</f>
        <v>215500</v>
      </c>
      <c r="G22" s="19">
        <f>SUM(CliQ!G22,JoMoPay!G22)</f>
        <v>222800</v>
      </c>
      <c r="H22" s="19">
        <f>SUM(CliQ!H22,JoMoPay!H22)</f>
        <v>236100</v>
      </c>
      <c r="I22" s="19">
        <f>SUM(CliQ!I22,JoMoPay!I22)</f>
        <v>253500</v>
      </c>
      <c r="J22" s="19">
        <f>SUM(CliQ!J22,JoMoPay!J22)</f>
        <v>267800</v>
      </c>
    </row>
    <row r="23" spans="1:10" x14ac:dyDescent="0.25">
      <c r="A23" s="9" t="s">
        <v>939</v>
      </c>
      <c r="B23" s="9" t="s">
        <v>56</v>
      </c>
      <c r="C23" s="19">
        <f>SUM(CliQ!C23,JoMoPay!C23)</f>
        <v>52500</v>
      </c>
      <c r="D23" s="19">
        <f>SUM(CliQ!D23,JoMoPay!D23)</f>
        <v>59900</v>
      </c>
      <c r="E23" s="19">
        <f>SUM(CliQ!E23,JoMoPay!E23)</f>
        <v>59000</v>
      </c>
      <c r="F23" s="19">
        <f>SUM(CliQ!F23,JoMoPay!F23)</f>
        <v>61700</v>
      </c>
      <c r="G23" s="19">
        <f>SUM(CliQ!G23,JoMoPay!G23)</f>
        <v>62300</v>
      </c>
      <c r="H23" s="19">
        <f>SUM(CliQ!H23,JoMoPay!H23)</f>
        <v>66400</v>
      </c>
      <c r="I23" s="19">
        <f>SUM(CliQ!I23,JoMoPay!I23)</f>
        <v>71300</v>
      </c>
      <c r="J23" s="19">
        <f>SUM(CliQ!J23,JoMoPay!J23)</f>
        <v>75400</v>
      </c>
    </row>
    <row r="24" spans="1:10" x14ac:dyDescent="0.25">
      <c r="A24" s="9" t="s">
        <v>939</v>
      </c>
      <c r="B24" s="9" t="s">
        <v>58</v>
      </c>
      <c r="C24" s="19">
        <f>SUM(CliQ!C24,JoMoPay!C24)</f>
        <v>16300</v>
      </c>
      <c r="D24" s="19">
        <f>SUM(CliQ!D24,JoMoPay!D24)</f>
        <v>18400</v>
      </c>
      <c r="E24" s="19">
        <f>SUM(CliQ!E24,JoMoPay!E24)</f>
        <v>16500</v>
      </c>
      <c r="F24" s="19">
        <f>SUM(CliQ!F24,JoMoPay!F24)</f>
        <v>19400</v>
      </c>
      <c r="G24" s="19">
        <f>SUM(CliQ!G24,JoMoPay!G24)</f>
        <v>18700</v>
      </c>
      <c r="H24" s="19">
        <f>SUM(CliQ!H24,JoMoPay!H24)</f>
        <v>19400</v>
      </c>
      <c r="I24" s="19">
        <f>SUM(CliQ!I24,JoMoPay!I24)</f>
        <v>20300</v>
      </c>
      <c r="J24" s="19">
        <f>SUM(CliQ!J24,JoMoPay!J24)</f>
        <v>23400</v>
      </c>
    </row>
    <row r="25" spans="1:10" x14ac:dyDescent="0.25">
      <c r="A25" s="22" t="s">
        <v>954</v>
      </c>
      <c r="B25" s="22"/>
      <c r="C25" s="22"/>
      <c r="D25" s="22"/>
      <c r="E25" s="22"/>
      <c r="F25" s="22"/>
      <c r="G25" s="22"/>
      <c r="H25" s="22"/>
      <c r="I25" s="22"/>
      <c r="J25" s="22"/>
    </row>
    <row r="26" spans="1:10" x14ac:dyDescent="0.25">
      <c r="A26" s="9" t="s">
        <v>955</v>
      </c>
      <c r="B26" s="9" t="s">
        <v>956</v>
      </c>
      <c r="C26" s="19">
        <f>SUM(CliQ!C40,JoMoPay!C44)</f>
        <v>3980000000</v>
      </c>
      <c r="D26" s="19">
        <f>SUM(CliQ!D40,JoMoPay!D44)</f>
        <v>4240000000</v>
      </c>
      <c r="E26" s="19">
        <f>SUM(CliQ!E40,JoMoPay!E44)</f>
        <v>4660000000</v>
      </c>
      <c r="F26" s="19">
        <f>SUM(CliQ!F40,JoMoPay!F44)</f>
        <v>5100000000</v>
      </c>
      <c r="G26" s="19">
        <f>SUM(CliQ!G40,JoMoPay!G44)</f>
        <v>5550000000</v>
      </c>
      <c r="H26" s="19">
        <f>SUM(CliQ!H40,JoMoPay!H44)</f>
        <v>5320000000</v>
      </c>
      <c r="I26" s="19">
        <f>SUM(CliQ!I40,JoMoPay!I44)</f>
        <v>5630000000</v>
      </c>
      <c r="J26" s="19">
        <f>SUM(CliQ!J40,JoMoPay!J44)</f>
        <v>6000000000</v>
      </c>
    </row>
    <row r="27" spans="1:10" x14ac:dyDescent="0.25">
      <c r="A27" s="9" t="s">
        <v>955</v>
      </c>
      <c r="B27" s="9" t="s">
        <v>950</v>
      </c>
      <c r="C27" s="20">
        <f>C$26/(C$26+C$28)</f>
        <v>0.85554600171969042</v>
      </c>
      <c r="D27" s="20">
        <f t="shared" ref="D27:J27" si="4">D$26/(D$26+D$28)</f>
        <v>0.8502105474233006</v>
      </c>
      <c r="E27" s="20">
        <f t="shared" si="4"/>
        <v>0.84974471188913203</v>
      </c>
      <c r="F27" s="20">
        <f t="shared" si="4"/>
        <v>0.83170254403131116</v>
      </c>
      <c r="G27" s="20">
        <f t="shared" si="4"/>
        <v>0.77008463993339804</v>
      </c>
      <c r="H27" s="20">
        <f t="shared" si="4"/>
        <v>0.75173095944609303</v>
      </c>
      <c r="I27" s="20">
        <f t="shared" si="4"/>
        <v>0.75499530642349466</v>
      </c>
      <c r="J27" s="20">
        <f t="shared" si="4"/>
        <v>0.74037512339585387</v>
      </c>
    </row>
    <row r="28" spans="1:10" x14ac:dyDescent="0.25">
      <c r="A28" s="9" t="s">
        <v>955</v>
      </c>
      <c r="B28" s="9" t="s">
        <v>957</v>
      </c>
      <c r="C28" s="19">
        <f>SUM(CliQ!C42,JoMoPay!C46)</f>
        <v>672000000</v>
      </c>
      <c r="D28" s="19">
        <f>SUM(CliQ!D42,JoMoPay!D46)</f>
        <v>747000000</v>
      </c>
      <c r="E28" s="19">
        <f>SUM(CliQ!E42,JoMoPay!E46)</f>
        <v>824000000</v>
      </c>
      <c r="F28" s="19">
        <f>SUM(CliQ!F42,JoMoPay!F46)</f>
        <v>1032000000</v>
      </c>
      <c r="G28" s="19">
        <f>SUM(CliQ!G42,JoMoPay!G46)</f>
        <v>1657000000</v>
      </c>
      <c r="H28" s="19">
        <f>SUM(CliQ!H42,JoMoPay!H46)</f>
        <v>1757000000</v>
      </c>
      <c r="I28" s="19">
        <f>SUM(CliQ!I42,JoMoPay!I46)</f>
        <v>1827000000</v>
      </c>
      <c r="J28" s="19">
        <f>SUM(CliQ!J42,JoMoPay!J46)</f>
        <v>2104000000</v>
      </c>
    </row>
    <row r="29" spans="1:10" x14ac:dyDescent="0.25">
      <c r="A29" s="9" t="s">
        <v>955</v>
      </c>
      <c r="B29" s="9" t="s">
        <v>951</v>
      </c>
      <c r="C29" s="20">
        <f>C$28/(C$28+C$26)</f>
        <v>0.14445399828030955</v>
      </c>
      <c r="D29" s="20">
        <f t="shared" ref="D29:J29" si="5">D$28/(D$28+D$26)</f>
        <v>0.14978945257669943</v>
      </c>
      <c r="E29" s="20">
        <f t="shared" si="5"/>
        <v>0.15025528811086797</v>
      </c>
      <c r="F29" s="20">
        <f t="shared" si="5"/>
        <v>0.16829745596868884</v>
      </c>
      <c r="G29" s="20">
        <f t="shared" si="5"/>
        <v>0.2299153600666019</v>
      </c>
      <c r="H29" s="20">
        <f t="shared" si="5"/>
        <v>0.24826904055390703</v>
      </c>
      <c r="I29" s="20">
        <f t="shared" si="5"/>
        <v>0.24500469357650528</v>
      </c>
      <c r="J29" s="20">
        <f t="shared" si="5"/>
        <v>0.25962487660414613</v>
      </c>
    </row>
  </sheetData>
  <mergeCells count="6">
    <mergeCell ref="A25:J25"/>
    <mergeCell ref="A1:J1"/>
    <mergeCell ref="A4:J4"/>
    <mergeCell ref="A6:J6"/>
    <mergeCell ref="A11:J11"/>
    <mergeCell ref="A16:J16"/>
  </mergeCells>
  <conditionalFormatting sqref="C5:J5">
    <cfRule type="colorScale" priority="15">
      <colorScale>
        <cfvo type="min"/>
        <cfvo type="percentile" val="50"/>
        <cfvo type="max"/>
        <color theme="2" tint="-0.499984740745262"/>
        <color theme="0"/>
        <color theme="7" tint="0.39997558519241921"/>
      </colorScale>
    </cfRule>
  </conditionalFormatting>
  <conditionalFormatting sqref="C7:J7">
    <cfRule type="colorScale" priority="14">
      <colorScale>
        <cfvo type="min"/>
        <cfvo type="percentile" val="50"/>
        <cfvo type="max"/>
        <color theme="2" tint="-0.499984740745262"/>
        <color theme="0"/>
        <color theme="7" tint="0.39997558519241921"/>
      </colorScale>
    </cfRule>
  </conditionalFormatting>
  <conditionalFormatting sqref="C9:J9">
    <cfRule type="colorScale" priority="13">
      <colorScale>
        <cfvo type="min"/>
        <cfvo type="percentile" val="50"/>
        <cfvo type="max"/>
        <color theme="2" tint="-0.499984740745262"/>
        <color theme="0"/>
        <color theme="7" tint="0.39997558519241921"/>
      </colorScale>
    </cfRule>
  </conditionalFormatting>
  <conditionalFormatting sqref="C12:J12">
    <cfRule type="colorScale" priority="11">
      <colorScale>
        <cfvo type="min"/>
        <cfvo type="percentile" val="50"/>
        <cfvo type="max"/>
        <color theme="2" tint="-0.499984740745262"/>
        <color theme="0"/>
        <color theme="7" tint="0.39997558519241921"/>
      </colorScale>
    </cfRule>
  </conditionalFormatting>
  <conditionalFormatting sqref="C14:J14">
    <cfRule type="colorScale" priority="12">
      <colorScale>
        <cfvo type="min"/>
        <cfvo type="percentile" val="50"/>
        <cfvo type="max"/>
        <color theme="2" tint="-0.499984740745262"/>
        <color theme="0"/>
        <color theme="7" tint="0.39997558519241921"/>
      </colorScale>
    </cfRule>
  </conditionalFormatting>
  <conditionalFormatting sqref="C17:J17">
    <cfRule type="colorScale" priority="10">
      <colorScale>
        <cfvo type="min"/>
        <cfvo type="percentile" val="50"/>
        <cfvo type="max"/>
        <color theme="2" tint="-0.499984740745262"/>
        <color theme="0"/>
        <color theme="7" tint="0.39997558519241921"/>
      </colorScale>
    </cfRule>
  </conditionalFormatting>
  <conditionalFormatting sqref="C18:J18">
    <cfRule type="colorScale" priority="9">
      <colorScale>
        <cfvo type="min"/>
        <cfvo type="percentile" val="50"/>
        <cfvo type="max"/>
        <color theme="2" tint="-0.499984740745262"/>
        <color theme="0"/>
        <color theme="7" tint="0.39997558519241921"/>
      </colorScale>
    </cfRule>
  </conditionalFormatting>
  <conditionalFormatting sqref="C19:J19">
    <cfRule type="colorScale" priority="8">
      <colorScale>
        <cfvo type="min"/>
        <cfvo type="percentile" val="50"/>
        <cfvo type="max"/>
        <color theme="2" tint="-0.499984740745262"/>
        <color theme="0"/>
        <color theme="7" tint="0.39997558519241921"/>
      </colorScale>
    </cfRule>
  </conditionalFormatting>
  <conditionalFormatting sqref="C20:J20">
    <cfRule type="colorScale" priority="7">
      <colorScale>
        <cfvo type="min"/>
        <cfvo type="percentile" val="50"/>
        <cfvo type="max"/>
        <color theme="2" tint="-0.499984740745262"/>
        <color theme="0"/>
        <color theme="7" tint="0.39997558519241921"/>
      </colorScale>
    </cfRule>
  </conditionalFormatting>
  <conditionalFormatting sqref="C21:J21">
    <cfRule type="colorScale" priority="6">
      <colorScale>
        <cfvo type="min"/>
        <cfvo type="percentile" val="50"/>
        <cfvo type="max"/>
        <color theme="2" tint="-0.499984740745262"/>
        <color theme="0"/>
        <color theme="7" tint="0.39997558519241921"/>
      </colorScale>
    </cfRule>
  </conditionalFormatting>
  <conditionalFormatting sqref="C22:J22">
    <cfRule type="colorScale" priority="5">
      <colorScale>
        <cfvo type="min"/>
        <cfvo type="percentile" val="50"/>
        <cfvo type="max"/>
        <color theme="2" tint="-0.499984740745262"/>
        <color theme="0"/>
        <color theme="7" tint="0.39997558519241921"/>
      </colorScale>
    </cfRule>
  </conditionalFormatting>
  <conditionalFormatting sqref="C23:J23">
    <cfRule type="colorScale" priority="4">
      <colorScale>
        <cfvo type="min"/>
        <cfvo type="percentile" val="50"/>
        <cfvo type="max"/>
        <color theme="2" tint="-0.499984740745262"/>
        <color theme="0"/>
        <color theme="7" tint="0.39997558519241921"/>
      </colorScale>
    </cfRule>
  </conditionalFormatting>
  <conditionalFormatting sqref="C24:J24">
    <cfRule type="colorScale" priority="3">
      <colorScale>
        <cfvo type="min"/>
        <cfvo type="percentile" val="50"/>
        <cfvo type="max"/>
        <color theme="2" tint="-0.499984740745262"/>
        <color theme="0"/>
        <color theme="7" tint="0.39997558519241921"/>
      </colorScale>
    </cfRule>
  </conditionalFormatting>
  <conditionalFormatting sqref="C26:J26">
    <cfRule type="colorScale" priority="2">
      <colorScale>
        <cfvo type="min"/>
        <cfvo type="percentile" val="50"/>
        <cfvo type="max"/>
        <color theme="2" tint="-0.499984740745262"/>
        <color theme="0"/>
        <color theme="7" tint="0.39997558519241921"/>
      </colorScale>
    </cfRule>
  </conditionalFormatting>
  <conditionalFormatting sqref="C28:J28">
    <cfRule type="colorScale" priority="1">
      <colorScale>
        <cfvo type="min"/>
        <cfvo type="percentile" val="50"/>
        <cfvo type="max"/>
        <color theme="2" tint="-0.499984740745262"/>
        <color theme="0"/>
        <color theme="7" tint="0.39997558519241921"/>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J26"/>
  <sheetViews>
    <sheetView zoomScaleNormal="100" workbookViewId="0">
      <pane ySplit="3" topLeftCell="A4" activePane="bottomLeft" state="frozen"/>
      <selection activeCell="A3" sqref="A3"/>
      <selection pane="bottomLeft" activeCell="K9" sqref="K9"/>
    </sheetView>
  </sheetViews>
  <sheetFormatPr defaultColWidth="8.7109375" defaultRowHeight="15" x14ac:dyDescent="0.25"/>
  <cols>
    <col min="1" max="1" width="26" customWidth="1"/>
    <col min="2" max="2" width="39.5703125" bestFit="1" customWidth="1"/>
    <col min="3" max="10" width="13.5703125" bestFit="1" customWidth="1"/>
    <col min="11" max="12" width="10" customWidth="1"/>
  </cols>
  <sheetData>
    <row r="1" spans="1:10" ht="25.5" customHeight="1" x14ac:dyDescent="0.25">
      <c r="A1" s="23" t="s">
        <v>1008</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1009</v>
      </c>
      <c r="B4" s="22"/>
      <c r="C4" s="22"/>
      <c r="D4" s="22"/>
      <c r="E4" s="22"/>
      <c r="F4" s="22"/>
      <c r="G4" s="22"/>
      <c r="H4" s="22"/>
      <c r="I4" s="22"/>
      <c r="J4" s="22"/>
    </row>
    <row r="5" spans="1:10" ht="15" customHeight="1" x14ac:dyDescent="0.25">
      <c r="A5" s="7" t="s">
        <v>199</v>
      </c>
      <c r="B5" s="7" t="s">
        <v>1010</v>
      </c>
      <c r="C5" s="8">
        <f>SUMIFS(Data!$L:$L,Data!$B:$B,"interoperability",Data!$K:$K,"native",Data!$J:$J,RIGHT(C$3,4)&amp;"-"&amp;LEFT(C$3,2),Data!$F:$F,"Number of Money Transfer Transactions",Data!$H:$H,"",Data!$I:$I,"")</f>
        <v>33740000</v>
      </c>
      <c r="D5" s="8">
        <f>SUMIFS(Data!$L:$L,Data!$B:$B,"interoperability",Data!$K:$K,"native",Data!$J:$J,RIGHT(D$3,4)&amp;"-"&amp;LEFT(D$3,2),Data!$F:$F,"Number of Money Transfer Transactions",Data!$H:$H,"",Data!$I:$I,"")</f>
        <v>39800000</v>
      </c>
      <c r="E5" s="8">
        <f>SUMIFS(Data!$L:$L,Data!$B:$B,"interoperability",Data!$K:$K,"native",Data!$J:$J,RIGHT(E$3,4)&amp;"-"&amp;LEFT(E$3,2),Data!$F:$F,"Number of Money Transfer Transactions",Data!$H:$H,"",Data!$I:$I,"")</f>
        <v>45770000</v>
      </c>
      <c r="F5" s="8">
        <f>SUMIFS(Data!$L:$L,Data!$B:$B,"interoperability",Data!$K:$K,"native",Data!$J:$J,RIGHT(F$3,4)&amp;"-"&amp;LEFT(F$3,2),Data!$F:$F,"Number of Money Transfer Transactions",Data!$H:$H,"",Data!$I:$I,"")</f>
        <v>53880000</v>
      </c>
      <c r="G5" s="8">
        <f>SUMIFS(Data!$L:$L,Data!$B:$B,"interoperability",Data!$K:$K,"native",Data!$J:$J,RIGHT(G$3,4)&amp;"-"&amp;LEFT(G$3,2),Data!$F:$F,"Number of Money Transfer Transactions",Data!$H:$H,"",Data!$I:$I,"")</f>
        <v>62230000</v>
      </c>
      <c r="H5" s="8">
        <f>SUMIFS(Data!$L:$L,Data!$B:$B,"interoperability",Data!$K:$K,"native",Data!$J:$J,RIGHT(H$3,4)&amp;"-"&amp;LEFT(H$3,2),Data!$F:$F,"Number of Money Transfer Transactions",Data!$H:$H,"",Data!$I:$I,"")</f>
        <v>67090000</v>
      </c>
      <c r="I5" s="8">
        <f>SUMIFS(Data!$L:$L,Data!$B:$B,"interoperability",Data!$K:$K,"native",Data!$J:$J,RIGHT(I$3,4)&amp;"-"&amp;LEFT(I$3,2),Data!$F:$F,"Number of Money Transfer Transactions",Data!$H:$H,"",Data!$I:$I,"")</f>
        <v>73120000</v>
      </c>
      <c r="J5" s="8">
        <f>SUMIFS(Data!$L:$L,Data!$B:$B,"interoperability",Data!$K:$K,"native",Data!$J:$J,RIGHT(J$3,4)&amp;"-"&amp;LEFT(J$3,2),Data!$F:$F,"Number of Money Transfer Transactions",Data!$H:$H,"",Data!$I:$I,"")</f>
        <v>85550000</v>
      </c>
    </row>
    <row r="6" spans="1:10" ht="15" customHeight="1" x14ac:dyDescent="0.25">
      <c r="A6" s="7" t="s">
        <v>199</v>
      </c>
      <c r="B6" s="7" t="s">
        <v>1011</v>
      </c>
      <c r="C6" s="8">
        <f>SUMIFS(Data!$L:$L,Data!$B:$B,"interoperability",Data!$K:$K,"native",Data!$J:$J,RIGHT(C$3,4)&amp;"-"&amp;LEFT(C$3,2),Data!$F:$F,"Value of Money Transfer Transactions",Data!$H:$H,"",Data!$I:$I,"")</f>
        <v>3980000000</v>
      </c>
      <c r="D6" s="8">
        <f>SUMIFS(Data!$L:$L,Data!$B:$B,"interoperability",Data!$K:$K,"native",Data!$J:$J,RIGHT(D$3,4)&amp;"-"&amp;LEFT(D$3,2),Data!$F:$F,"Value of Money Transfer Transactions",Data!$H:$H,"",Data!$I:$I,"")</f>
        <v>4240000000</v>
      </c>
      <c r="E6" s="8">
        <f>SUMIFS(Data!$L:$L,Data!$B:$B,"interoperability",Data!$K:$K,"native",Data!$J:$J,RIGHT(E$3,4)&amp;"-"&amp;LEFT(E$3,2),Data!$F:$F,"Value of Money Transfer Transactions",Data!$H:$H,"",Data!$I:$I,"")</f>
        <v>4650000000</v>
      </c>
      <c r="F6" s="8">
        <f>SUMIFS(Data!$L:$L,Data!$B:$B,"interoperability",Data!$K:$K,"native",Data!$J:$J,RIGHT(F$3,4)&amp;"-"&amp;LEFT(F$3,2),Data!$F:$F,"Value of Money Transfer Transactions",Data!$H:$H,"",Data!$I:$I,"")</f>
        <v>5090000000</v>
      </c>
      <c r="G6" s="8">
        <f>SUMIFS(Data!$L:$L,Data!$B:$B,"interoperability",Data!$K:$K,"native",Data!$J:$J,RIGHT(G$3,4)&amp;"-"&amp;LEFT(G$3,2),Data!$F:$F,"Value of Money Transfer Transactions",Data!$H:$H,"",Data!$I:$I,"")</f>
        <v>5540000000</v>
      </c>
      <c r="H6" s="8">
        <f>SUMIFS(Data!$L:$L,Data!$B:$B,"interoperability",Data!$K:$K,"native",Data!$J:$J,RIGHT(H$3,4)&amp;"-"&amp;LEFT(H$3,2),Data!$F:$F,"Value of Money Transfer Transactions",Data!$H:$H,"",Data!$I:$I,"")</f>
        <v>5310000000</v>
      </c>
      <c r="I6" s="8">
        <f>SUMIFS(Data!$L:$L,Data!$B:$B,"interoperability",Data!$K:$K,"native",Data!$J:$J,RIGHT(I$3,4)&amp;"-"&amp;LEFT(I$3,2),Data!$F:$F,"Value of Money Transfer Transactions",Data!$H:$H,"",Data!$I:$I,"")</f>
        <v>5630000000</v>
      </c>
      <c r="J6" s="8">
        <f>SUMIFS(Data!$L:$L,Data!$B:$B,"interoperability",Data!$K:$K,"native",Data!$J:$J,RIGHT(J$3,4)&amp;"-"&amp;LEFT(J$3,2),Data!$F:$F,"Value of Money Transfer Transactions",Data!$H:$H,"",Data!$I:$I,"")</f>
        <v>6000000000</v>
      </c>
    </row>
    <row r="7" spans="1:10" ht="15" customHeight="1" x14ac:dyDescent="0.25">
      <c r="A7" s="22" t="s">
        <v>1012</v>
      </c>
      <c r="B7" s="22"/>
      <c r="C7" s="22"/>
      <c r="D7" s="22"/>
      <c r="E7" s="22"/>
      <c r="F7" s="22"/>
      <c r="G7" s="22"/>
      <c r="H7" s="22"/>
      <c r="I7" s="22"/>
      <c r="J7" s="22"/>
    </row>
    <row r="8" spans="1:10" ht="15" customHeight="1" x14ac:dyDescent="0.25">
      <c r="A8" s="9" t="s">
        <v>1029</v>
      </c>
      <c r="B8" s="9" t="s">
        <v>1013</v>
      </c>
      <c r="C8" s="10">
        <f>SUMIFS(Data!$L:$L,Data!$B:$B,"interoperability",Data!$K:$K,"native",Data!$J:$J,RIGHT(C$3,4)&amp;"-"&amp;LEFT(C$3,2),Data!$F:$F,"Number of Money Transfer Transactions",Data!$H:$H,"On Us",Data!$I:$I,"")</f>
        <v>8700000</v>
      </c>
      <c r="D8" s="10">
        <f>SUMIFS(Data!$L:$L,Data!$B:$B,"interoperability",Data!$K:$K,"native",Data!$J:$J,RIGHT(D$3,4)&amp;"-"&amp;LEFT(D$3,2),Data!$F:$F,"Number of Money Transfer Transactions",Data!$H:$H,"On Us",Data!$I:$I,"")</f>
        <v>10130000</v>
      </c>
      <c r="E8" s="10">
        <f>SUMIFS(Data!$L:$L,Data!$B:$B,"interoperability",Data!$K:$K,"native",Data!$J:$J,RIGHT(E$3,4)&amp;"-"&amp;LEFT(E$3,2),Data!$F:$F,"Number of Money Transfer Transactions",Data!$H:$H,"On Us",Data!$I:$I,"")</f>
        <v>11860000</v>
      </c>
      <c r="F8" s="10">
        <f>SUMIFS(Data!$L:$L,Data!$B:$B,"interoperability",Data!$K:$K,"native",Data!$J:$J,RIGHT(F$3,4)&amp;"-"&amp;LEFT(F$3,2),Data!$F:$F,"Number of Money Transfer Transactions",Data!$H:$H,"On Us",Data!$I:$I,"")</f>
        <v>14180000</v>
      </c>
      <c r="G8" s="10">
        <f>SUMIFS(Data!$L:$L,Data!$B:$B,"interoperability",Data!$K:$K,"native",Data!$J:$J,RIGHT(G$3,4)&amp;"-"&amp;LEFT(G$3,2),Data!$F:$F,"Number of Money Transfer Transactions",Data!$H:$H,"On Us",Data!$I:$I,"")</f>
        <v>16960000</v>
      </c>
      <c r="H8" s="10">
        <f>SUMIFS(Data!$L:$L,Data!$B:$B,"interoperability",Data!$K:$K,"native",Data!$J:$J,RIGHT(H$3,4)&amp;"-"&amp;LEFT(H$3,2),Data!$F:$F,"Number of Money Transfer Transactions",Data!$H:$H,"On Us",Data!$I:$I,"")</f>
        <v>18380000</v>
      </c>
      <c r="I8" s="10">
        <f>SUMIFS(Data!$L:$L,Data!$B:$B,"interoperability",Data!$K:$K,"native",Data!$J:$J,RIGHT(I$3,4)&amp;"-"&amp;LEFT(I$3,2),Data!$F:$F,"Number of Money Transfer Transactions",Data!$H:$H,"On Us",Data!$I:$I,"")</f>
        <v>21640000</v>
      </c>
      <c r="J8" s="10">
        <f>SUMIFS(Data!$L:$L,Data!$B:$B,"interoperability",Data!$K:$K,"native",Data!$J:$J,RIGHT(J$3,4)&amp;"-"&amp;LEFT(J$3,2),Data!$F:$F,"Number of Money Transfer Transactions",Data!$H:$H,"On Us",Data!$I:$I,"")</f>
        <v>26000000</v>
      </c>
    </row>
    <row r="9" spans="1:10" ht="15" customHeight="1" x14ac:dyDescent="0.25">
      <c r="A9" s="9" t="s">
        <v>1029</v>
      </c>
      <c r="B9" s="9" t="s">
        <v>961</v>
      </c>
      <c r="C9" s="11">
        <f t="shared" ref="C9:J9" si="0">C$8/(C$8+C$10)</f>
        <v>0.25785417901600477</v>
      </c>
      <c r="D9" s="11">
        <f t="shared" si="0"/>
        <v>0.25452261306532664</v>
      </c>
      <c r="E9" s="11">
        <f t="shared" si="0"/>
        <v>0.25912169543369018</v>
      </c>
      <c r="F9" s="11">
        <f t="shared" si="0"/>
        <v>0.263177431328879</v>
      </c>
      <c r="G9" s="11">
        <f t="shared" si="0"/>
        <v>0.2725373614012534</v>
      </c>
      <c r="H9" s="11">
        <f t="shared" si="0"/>
        <v>0.27391952309985096</v>
      </c>
      <c r="I9" s="11">
        <f t="shared" si="0"/>
        <v>0.29591139067414196</v>
      </c>
      <c r="J9" s="11">
        <f t="shared" si="0"/>
        <v>0.30391583869082406</v>
      </c>
    </row>
    <row r="10" spans="1:10" ht="15" customHeight="1" x14ac:dyDescent="0.25">
      <c r="A10" s="9" t="s">
        <v>1029</v>
      </c>
      <c r="B10" s="9" t="s">
        <v>1014</v>
      </c>
      <c r="C10" s="10">
        <f>SUMIFS(Data!$L:$L,Data!$B:$B,"interoperability",Data!$K:$K,"native",Data!$J:$J,RIGHT(C$3,4)&amp;"-"&amp;LEFT(C$3,2),Data!$F:$F,"Number of Money Transfer Transactions",Data!$H:$H,"Off Us",Data!$I:$I,"")</f>
        <v>25040000</v>
      </c>
      <c r="D10" s="10">
        <f>SUMIFS(Data!$L:$L,Data!$B:$B,"interoperability",Data!$K:$K,"native",Data!$J:$J,RIGHT(D$3,4)&amp;"-"&amp;LEFT(D$3,2),Data!$F:$F,"Number of Money Transfer Transactions",Data!$H:$H,"Off Us",Data!$I:$I,"")</f>
        <v>29670000</v>
      </c>
      <c r="E10" s="10">
        <f>SUMIFS(Data!$L:$L,Data!$B:$B,"interoperability",Data!$K:$K,"native",Data!$J:$J,RIGHT(E$3,4)&amp;"-"&amp;LEFT(E$3,2),Data!$F:$F,"Number of Money Transfer Transactions",Data!$H:$H,"Off Us",Data!$I:$I,"")</f>
        <v>33910000</v>
      </c>
      <c r="F10" s="10">
        <f>SUMIFS(Data!$L:$L,Data!$B:$B,"interoperability",Data!$K:$K,"native",Data!$J:$J,RIGHT(F$3,4)&amp;"-"&amp;LEFT(F$3,2),Data!$F:$F,"Number of Money Transfer Transactions",Data!$H:$H,"Off Us",Data!$I:$I,"")</f>
        <v>39700000</v>
      </c>
      <c r="G10" s="10">
        <f>SUMIFS(Data!$L:$L,Data!$B:$B,"interoperability",Data!$K:$K,"native",Data!$J:$J,RIGHT(G$3,4)&amp;"-"&amp;LEFT(G$3,2),Data!$F:$F,"Number of Money Transfer Transactions",Data!$H:$H,"Off Us",Data!$I:$I,"")</f>
        <v>45270000</v>
      </c>
      <c r="H10" s="10">
        <f>SUMIFS(Data!$L:$L,Data!$B:$B,"interoperability",Data!$K:$K,"native",Data!$J:$J,RIGHT(H$3,4)&amp;"-"&amp;LEFT(H$3,2),Data!$F:$F,"Number of Money Transfer Transactions",Data!$H:$H,"Off Us",Data!$I:$I,"")</f>
        <v>48720000</v>
      </c>
      <c r="I10" s="10">
        <f>SUMIFS(Data!$L:$L,Data!$B:$B,"interoperability",Data!$K:$K,"native",Data!$J:$J,RIGHT(I$3,4)&amp;"-"&amp;LEFT(I$3,2),Data!$F:$F,"Number of Money Transfer Transactions",Data!$H:$H,"Off Us",Data!$I:$I,"")</f>
        <v>51490000</v>
      </c>
      <c r="J10" s="10">
        <f>SUMIFS(Data!$L:$L,Data!$B:$B,"interoperability",Data!$K:$K,"native",Data!$J:$J,RIGHT(J$3,4)&amp;"-"&amp;LEFT(J$3,2),Data!$F:$F,"Number of Money Transfer Transactions",Data!$H:$H,"Off Us",Data!$I:$I,"")</f>
        <v>59550000</v>
      </c>
    </row>
    <row r="11" spans="1:10" ht="15" customHeight="1" x14ac:dyDescent="0.25">
      <c r="A11" s="9" t="s">
        <v>1029</v>
      </c>
      <c r="B11" s="9" t="s">
        <v>963</v>
      </c>
      <c r="C11" s="11">
        <f t="shared" ref="C11:J11" si="1">C$10/(C$10+C$8)</f>
        <v>0.74214582098399529</v>
      </c>
      <c r="D11" s="11">
        <f t="shared" si="1"/>
        <v>0.74547738693467336</v>
      </c>
      <c r="E11" s="11">
        <f t="shared" si="1"/>
        <v>0.74087830456630976</v>
      </c>
      <c r="F11" s="11">
        <f t="shared" si="1"/>
        <v>0.73682256867112106</v>
      </c>
      <c r="G11" s="11">
        <f t="shared" si="1"/>
        <v>0.7274626385987466</v>
      </c>
      <c r="H11" s="11">
        <f t="shared" si="1"/>
        <v>0.72608047690014899</v>
      </c>
      <c r="I11" s="11">
        <f t="shared" si="1"/>
        <v>0.70408860932585804</v>
      </c>
      <c r="J11" s="11">
        <f t="shared" si="1"/>
        <v>0.69608416130917594</v>
      </c>
    </row>
    <row r="12" spans="1:10" ht="15" customHeight="1" x14ac:dyDescent="0.25">
      <c r="A12" s="22" t="s">
        <v>1015</v>
      </c>
      <c r="B12" s="22"/>
      <c r="C12" s="22"/>
      <c r="D12" s="22"/>
      <c r="E12" s="22"/>
      <c r="F12" s="22"/>
      <c r="G12" s="22"/>
      <c r="H12" s="22"/>
      <c r="I12" s="22"/>
      <c r="J12" s="22"/>
    </row>
    <row r="13" spans="1:10" ht="15" customHeight="1" x14ac:dyDescent="0.25">
      <c r="A13" s="9" t="s">
        <v>1016</v>
      </c>
      <c r="B13" s="9" t="s">
        <v>966</v>
      </c>
      <c r="C13" s="10">
        <f>SUMIFS(Data!$L:$L,Data!$B:$B,"interoperability",Data!$K:$K,"native",Data!$J:$J,RIGHT(C$3,4)&amp;"-"&amp;LEFT(C$3,2),Data!$F:$F,"Value of Money Transfer Transactions",Data!$H:$H,"On Us",Data!$I:$I,"")</f>
        <v>777000000</v>
      </c>
      <c r="D13" s="10">
        <f>SUMIFS(Data!$L:$L,Data!$B:$B,"interoperability",Data!$K:$K,"native",Data!$J:$J,RIGHT(D$3,4)&amp;"-"&amp;LEFT(D$3,2),Data!$F:$F,"Value of Money Transfer Transactions",Data!$H:$H,"On Us",Data!$I:$I,"")</f>
        <v>810000000</v>
      </c>
      <c r="E13" s="10">
        <f>SUMIFS(Data!$L:$L,Data!$B:$B,"interoperability",Data!$K:$K,"native",Data!$J:$J,RIGHT(E$3,4)&amp;"-"&amp;LEFT(E$3,2),Data!$F:$F,"Value of Money Transfer Transactions",Data!$H:$H,"On Us",Data!$I:$I,"")</f>
        <v>909000000</v>
      </c>
      <c r="F13" s="10">
        <f>SUMIFS(Data!$L:$L,Data!$B:$B,"interoperability",Data!$K:$K,"native",Data!$J:$J,RIGHT(F$3,4)&amp;"-"&amp;LEFT(F$3,2),Data!$F:$F,"Value of Money Transfer Transactions",Data!$H:$H,"On Us",Data!$I:$I,"")</f>
        <v>998000000</v>
      </c>
      <c r="G13" s="10">
        <f>SUMIFS(Data!$L:$L,Data!$B:$B,"interoperability",Data!$K:$K,"native",Data!$J:$J,RIGHT(G$3,4)&amp;"-"&amp;LEFT(G$3,2),Data!$F:$F,"Value of Money Transfer Transactions",Data!$H:$H,"On Us",Data!$I:$I,"")</f>
        <v>1130000000</v>
      </c>
      <c r="H13" s="10">
        <f>SUMIFS(Data!$L:$L,Data!$B:$B,"interoperability",Data!$K:$K,"native",Data!$J:$J,RIGHT(H$3,4)&amp;"-"&amp;LEFT(H$3,2),Data!$F:$F,"Value of Money Transfer Transactions",Data!$H:$H,"On Us",Data!$I:$I,"")</f>
        <v>1080000000</v>
      </c>
      <c r="I13" s="10">
        <f>SUMIFS(Data!$L:$L,Data!$B:$B,"interoperability",Data!$K:$K,"native",Data!$J:$J,RIGHT(I$3,4)&amp;"-"&amp;LEFT(I$3,2),Data!$F:$F,"Value of Money Transfer Transactions",Data!$H:$H,"On Us",Data!$I:$I,"")</f>
        <v>1190000000</v>
      </c>
      <c r="J13" s="10">
        <f>SUMIFS(Data!$L:$L,Data!$B:$B,"interoperability",Data!$K:$K,"native",Data!$J:$J,RIGHT(J$3,4)&amp;"-"&amp;LEFT(J$3,2),Data!$F:$F,"Value of Money Transfer Transactions",Data!$H:$H,"On Us",Data!$I:$I,"")</f>
        <v>1270000000</v>
      </c>
    </row>
    <row r="14" spans="1:10" ht="15" customHeight="1" x14ac:dyDescent="0.25">
      <c r="A14" s="9" t="s">
        <v>1016</v>
      </c>
      <c r="B14" s="9" t="s">
        <v>961</v>
      </c>
      <c r="C14" s="11">
        <f t="shared" ref="C14:J14" si="2">C$13/(C$13+C$15)</f>
        <v>0.19537339703293941</v>
      </c>
      <c r="D14" s="11">
        <f t="shared" si="2"/>
        <v>0.19103773584905662</v>
      </c>
      <c r="E14" s="11">
        <f t="shared" si="2"/>
        <v>0.19552591955259196</v>
      </c>
      <c r="F14" s="11">
        <f t="shared" si="2"/>
        <v>0.19576304433111025</v>
      </c>
      <c r="G14" s="11">
        <f t="shared" si="2"/>
        <v>0.20397111913357402</v>
      </c>
      <c r="H14" s="11">
        <f t="shared" si="2"/>
        <v>0.20300751879699247</v>
      </c>
      <c r="I14" s="11">
        <f t="shared" si="2"/>
        <v>0.21099290780141844</v>
      </c>
      <c r="J14" s="11">
        <f t="shared" si="2"/>
        <v>0.21166666666666667</v>
      </c>
    </row>
    <row r="15" spans="1:10" ht="15" customHeight="1" x14ac:dyDescent="0.25">
      <c r="A15" s="9" t="s">
        <v>1016</v>
      </c>
      <c r="B15" s="9" t="s">
        <v>967</v>
      </c>
      <c r="C15" s="10">
        <f>SUMIFS(Data!$L:$L,Data!$B:$B,"interoperability",Data!$K:$K,"native",Data!$J:$J,RIGHT(C$3,4)&amp;"-"&amp;LEFT(C$3,2),Data!$F:$F,"Value of Money Transfer Transactions",Data!$H:$H,"Off Us",Data!$I:$I,"")</f>
        <v>3200000000</v>
      </c>
      <c r="D15" s="10">
        <f>SUMIFS(Data!$L:$L,Data!$B:$B,"interoperability",Data!$K:$K,"native",Data!$J:$J,RIGHT(D$3,4)&amp;"-"&amp;LEFT(D$3,2),Data!$F:$F,"Value of Money Transfer Transactions",Data!$H:$H,"Off Us",Data!$I:$I,"")</f>
        <v>3430000000</v>
      </c>
      <c r="E15" s="10">
        <f>SUMIFS(Data!$L:$L,Data!$B:$B,"interoperability",Data!$K:$K,"native",Data!$J:$J,RIGHT(E$3,4)&amp;"-"&amp;LEFT(E$3,2),Data!$F:$F,"Value of Money Transfer Transactions",Data!$H:$H,"Off Us",Data!$I:$I,"")</f>
        <v>3740000000</v>
      </c>
      <c r="F15" s="10">
        <f>SUMIFS(Data!$L:$L,Data!$B:$B,"interoperability",Data!$K:$K,"native",Data!$J:$J,RIGHT(F$3,4)&amp;"-"&amp;LEFT(F$3,2),Data!$F:$F,"Value of Money Transfer Transactions",Data!$H:$H,"Off Us",Data!$I:$I,"")</f>
        <v>4100000000</v>
      </c>
      <c r="G15" s="10">
        <f>SUMIFS(Data!$L:$L,Data!$B:$B,"interoperability",Data!$K:$K,"native",Data!$J:$J,RIGHT(G$3,4)&amp;"-"&amp;LEFT(G$3,2),Data!$F:$F,"Value of Money Transfer Transactions",Data!$H:$H,"Off Us",Data!$I:$I,"")</f>
        <v>4410000000</v>
      </c>
      <c r="H15" s="10">
        <f>SUMIFS(Data!$L:$L,Data!$B:$B,"interoperability",Data!$K:$K,"native",Data!$J:$J,RIGHT(H$3,4)&amp;"-"&amp;LEFT(H$3,2),Data!$F:$F,"Value of Money Transfer Transactions",Data!$H:$H,"Off Us",Data!$I:$I,"")</f>
        <v>4240000000</v>
      </c>
      <c r="I15" s="10">
        <f>SUMIFS(Data!$L:$L,Data!$B:$B,"interoperability",Data!$K:$K,"native",Data!$J:$J,RIGHT(I$3,4)&amp;"-"&amp;LEFT(I$3,2),Data!$F:$F,"Value of Money Transfer Transactions",Data!$H:$H,"Off Us",Data!$I:$I,"")</f>
        <v>4450000000</v>
      </c>
      <c r="J15" s="10">
        <f>SUMIFS(Data!$L:$L,Data!$B:$B,"interoperability",Data!$K:$K,"native",Data!$J:$J,RIGHT(J$3,4)&amp;"-"&amp;LEFT(J$3,2),Data!$F:$F,"Value of Money Transfer Transactions",Data!$H:$H,"Off Us",Data!$I:$I,"")</f>
        <v>4730000000</v>
      </c>
    </row>
    <row r="16" spans="1:10" ht="15" customHeight="1" x14ac:dyDescent="0.25">
      <c r="A16" s="9" t="s">
        <v>1016</v>
      </c>
      <c r="B16" s="9" t="s">
        <v>963</v>
      </c>
      <c r="C16" s="11">
        <f t="shared" ref="C16:J16" si="3">C$15/(C$15+C$13)</f>
        <v>0.80462660296706057</v>
      </c>
      <c r="D16" s="11">
        <f t="shared" si="3"/>
        <v>0.80896226415094341</v>
      </c>
      <c r="E16" s="11">
        <f t="shared" si="3"/>
        <v>0.80447408044740809</v>
      </c>
      <c r="F16" s="11">
        <f t="shared" si="3"/>
        <v>0.80423695566888975</v>
      </c>
      <c r="G16" s="11">
        <f t="shared" si="3"/>
        <v>0.79602888086642598</v>
      </c>
      <c r="H16" s="11">
        <f t="shared" si="3"/>
        <v>0.79699248120300747</v>
      </c>
      <c r="I16" s="11">
        <f t="shared" si="3"/>
        <v>0.78900709219858156</v>
      </c>
      <c r="J16" s="11">
        <f t="shared" si="3"/>
        <v>0.78833333333333333</v>
      </c>
    </row>
    <row r="17" spans="1:10" ht="15" customHeight="1" x14ac:dyDescent="0.25">
      <c r="A17" s="22" t="s">
        <v>1017</v>
      </c>
      <c r="B17" s="22"/>
      <c r="C17" s="22"/>
      <c r="D17" s="22"/>
      <c r="E17" s="22"/>
      <c r="F17" s="22"/>
      <c r="G17" s="22"/>
      <c r="H17" s="22"/>
      <c r="I17" s="22"/>
      <c r="J17" s="22"/>
    </row>
    <row r="18" spans="1:10" ht="15" customHeight="1" x14ac:dyDescent="0.25">
      <c r="A18" s="16" t="s">
        <v>1023</v>
      </c>
      <c r="B18" s="9" t="s">
        <v>545</v>
      </c>
      <c r="C18" s="10">
        <f>SUMIFS(Data!$L:$L,Data!$B:$B,"interoperability",Data!$K:$K,"native",Data!$J:$J,RIGHT(C$3,4)&amp;"-"&amp;LEFT(C$3,2),Data!$F:$F,"Number of Money Transfer Transactions",Data!$H:$H,"mPSP to Bank",Data!$I:$I,"")</f>
        <v>4300000</v>
      </c>
      <c r="D18" s="10">
        <f>SUMIFS(Data!$L:$L,Data!$B:$B,"interoperability",Data!$K:$K,"native",Data!$J:$J,RIGHT(D$3,4)&amp;"-"&amp;LEFT(D$3,2),Data!$F:$F,"Number of Money Transfer Transactions",Data!$H:$H,"mPSP to Bank",Data!$I:$I,"")</f>
        <v>5200000</v>
      </c>
      <c r="E18" s="10">
        <f>SUMIFS(Data!$L:$L,Data!$B:$B,"interoperability",Data!$K:$K,"native",Data!$J:$J,RIGHT(E$3,4)&amp;"-"&amp;LEFT(E$3,2),Data!$F:$F,"Number of Money Transfer Transactions",Data!$H:$H,"mPSP to Bank",Data!$I:$I,"")</f>
        <v>5900000</v>
      </c>
      <c r="F18" s="10">
        <f>SUMIFS(Data!$L:$L,Data!$B:$B,"interoperability",Data!$K:$K,"native",Data!$J:$J,RIGHT(F$3,4)&amp;"-"&amp;LEFT(F$3,2),Data!$F:$F,"Number of Money Transfer Transactions",Data!$H:$H,"mPSP to Bank",Data!$I:$I,"")</f>
        <v>7100000</v>
      </c>
      <c r="G18" s="10">
        <f>SUMIFS(Data!$L:$L,Data!$B:$B,"interoperability",Data!$K:$K,"native",Data!$J:$J,RIGHT(G$3,4)&amp;"-"&amp;LEFT(G$3,2),Data!$F:$F,"Number of Money Transfer Transactions",Data!$H:$H,"mPSP to Bank",Data!$I:$I,"")</f>
        <v>8100000</v>
      </c>
      <c r="H18" s="10">
        <f>SUMIFS(Data!$L:$L,Data!$B:$B,"interoperability",Data!$K:$K,"native",Data!$J:$J,RIGHT(H$3,4)&amp;"-"&amp;LEFT(H$3,2),Data!$F:$F,"Number of Money Transfer Transactions",Data!$H:$H,"mPSP to Bank",Data!$I:$I,"")</f>
        <v>8500000</v>
      </c>
      <c r="I18" s="10">
        <f>SUMIFS(Data!$L:$L,Data!$B:$B,"interoperability",Data!$K:$K,"native",Data!$J:$J,RIGHT(I$3,4)&amp;"-"&amp;LEFT(I$3,2),Data!$F:$F,"Number of Money Transfer Transactions",Data!$H:$H,"mPSP to Bank",Data!$I:$I,"")</f>
        <v>8900000</v>
      </c>
      <c r="J18" s="10">
        <f>SUMIFS(Data!$L:$L,Data!$B:$B,"interoperability",Data!$K:$K,"native",Data!$J:$J,RIGHT(J$3,4)&amp;"-"&amp;LEFT(J$3,2),Data!$F:$F,"Number of Money Transfer Transactions",Data!$H:$H,"mPSP to Bank",Data!$I:$I,"")</f>
        <v>10500000</v>
      </c>
    </row>
    <row r="19" spans="1:10" ht="15" customHeight="1" x14ac:dyDescent="0.25">
      <c r="A19" s="16" t="s">
        <v>1023</v>
      </c>
      <c r="B19" s="9" t="s">
        <v>1018</v>
      </c>
      <c r="C19" s="11">
        <f t="shared" ref="C19:J19" si="4">C$18/(C$18+C$20)</f>
        <v>0.45263157894736844</v>
      </c>
      <c r="D19" s="11">
        <f t="shared" si="4"/>
        <v>0.44827586206896552</v>
      </c>
      <c r="E19" s="11">
        <f t="shared" si="4"/>
        <v>0.43382352941176472</v>
      </c>
      <c r="F19" s="11">
        <f t="shared" si="4"/>
        <v>0.4303030303030303</v>
      </c>
      <c r="G19" s="11">
        <f t="shared" si="4"/>
        <v>0.421875</v>
      </c>
      <c r="H19" s="11">
        <f t="shared" si="4"/>
        <v>0.41062801932367149</v>
      </c>
      <c r="I19" s="11">
        <f t="shared" si="4"/>
        <v>0.40454545454545454</v>
      </c>
      <c r="J19" s="11">
        <f t="shared" si="4"/>
        <v>0.40229885057471265</v>
      </c>
    </row>
    <row r="20" spans="1:10" ht="15" customHeight="1" x14ac:dyDescent="0.25">
      <c r="A20" s="16" t="s">
        <v>1023</v>
      </c>
      <c r="B20" s="9" t="s">
        <v>542</v>
      </c>
      <c r="C20" s="10">
        <f>SUMIFS(Data!$L:$L,Data!$B:$B,"interoperability",Data!$K:$K,"native",Data!$J:$J,RIGHT(C$3,4)&amp;"-"&amp;LEFT(C$3,2),Data!$F:$F,"Number of Money Transfer Transactions",Data!$H:$H,"Bank to mPSP",Data!$I:$I,"")</f>
        <v>5200000</v>
      </c>
      <c r="D20" s="10">
        <f>SUMIFS(Data!$L:$L,Data!$B:$B,"interoperability",Data!$K:$K,"native",Data!$J:$J,RIGHT(D$3,4)&amp;"-"&amp;LEFT(D$3,2),Data!$F:$F,"Number of Money Transfer Transactions",Data!$H:$H,"Bank to mPSP",Data!$I:$I,"")</f>
        <v>6400000</v>
      </c>
      <c r="E20" s="10">
        <f>SUMIFS(Data!$L:$L,Data!$B:$B,"interoperability",Data!$K:$K,"native",Data!$J:$J,RIGHT(E$3,4)&amp;"-"&amp;LEFT(E$3,2),Data!$F:$F,"Number of Money Transfer Transactions",Data!$H:$H,"Bank to mPSP",Data!$I:$I,"")</f>
        <v>7700000</v>
      </c>
      <c r="F20" s="10">
        <f>SUMIFS(Data!$L:$L,Data!$B:$B,"interoperability",Data!$K:$K,"native",Data!$J:$J,RIGHT(F$3,4)&amp;"-"&amp;LEFT(F$3,2),Data!$F:$F,"Number of Money Transfer Transactions",Data!$H:$H,"Bank to mPSP",Data!$I:$I,"")</f>
        <v>9400000</v>
      </c>
      <c r="G20" s="10">
        <f>SUMIFS(Data!$L:$L,Data!$B:$B,"interoperability",Data!$K:$K,"native",Data!$J:$J,RIGHT(G$3,4)&amp;"-"&amp;LEFT(G$3,2),Data!$F:$F,"Number of Money Transfer Transactions",Data!$H:$H,"Bank to mPSP",Data!$I:$I,"")</f>
        <v>11100000</v>
      </c>
      <c r="H20" s="10">
        <f>SUMIFS(Data!$L:$L,Data!$B:$B,"interoperability",Data!$K:$K,"native",Data!$J:$J,RIGHT(H$3,4)&amp;"-"&amp;LEFT(H$3,2),Data!$F:$F,"Number of Money Transfer Transactions",Data!$H:$H,"Bank to mPSP",Data!$I:$I,"")</f>
        <v>12200000</v>
      </c>
      <c r="I20" s="10">
        <f>SUMIFS(Data!$L:$L,Data!$B:$B,"interoperability",Data!$K:$K,"native",Data!$J:$J,RIGHT(I$3,4)&amp;"-"&amp;LEFT(I$3,2),Data!$F:$F,"Number of Money Transfer Transactions",Data!$H:$H,"Bank to mPSP",Data!$I:$I,"")</f>
        <v>13100000</v>
      </c>
      <c r="J20" s="10">
        <f>SUMIFS(Data!$L:$L,Data!$B:$B,"interoperability",Data!$K:$K,"native",Data!$J:$J,RIGHT(J$3,4)&amp;"-"&amp;LEFT(J$3,2),Data!$F:$F,"Number of Money Transfer Transactions",Data!$H:$H,"Bank to mPSP",Data!$I:$I,"")</f>
        <v>15600000</v>
      </c>
    </row>
    <row r="21" spans="1:10" ht="15" customHeight="1" x14ac:dyDescent="0.25">
      <c r="A21" s="16" t="s">
        <v>1023</v>
      </c>
      <c r="B21" s="9" t="s">
        <v>1019</v>
      </c>
      <c r="C21" s="11">
        <f t="shared" ref="C21:J21" si="5">C$20/(C$20+C$18)</f>
        <v>0.54736842105263162</v>
      </c>
      <c r="D21" s="11">
        <f t="shared" si="5"/>
        <v>0.55172413793103448</v>
      </c>
      <c r="E21" s="11">
        <f t="shared" si="5"/>
        <v>0.56617647058823528</v>
      </c>
      <c r="F21" s="11">
        <f t="shared" si="5"/>
        <v>0.5696969696969697</v>
      </c>
      <c r="G21" s="11">
        <f t="shared" si="5"/>
        <v>0.578125</v>
      </c>
      <c r="H21" s="11">
        <f t="shared" si="5"/>
        <v>0.58937198067632846</v>
      </c>
      <c r="I21" s="11">
        <f t="shared" si="5"/>
        <v>0.59545454545454546</v>
      </c>
      <c r="J21" s="11">
        <f t="shared" si="5"/>
        <v>0.5977011494252874</v>
      </c>
    </row>
    <row r="22" spans="1:10" ht="15" customHeight="1" x14ac:dyDescent="0.25">
      <c r="A22" s="22" t="s">
        <v>1020</v>
      </c>
      <c r="B22" s="22"/>
      <c r="C22" s="22"/>
      <c r="D22" s="22"/>
      <c r="E22" s="22"/>
      <c r="F22" s="22"/>
      <c r="G22" s="22"/>
      <c r="H22" s="22"/>
      <c r="I22" s="22"/>
      <c r="J22" s="22"/>
    </row>
    <row r="23" spans="1:10" ht="15" customHeight="1" x14ac:dyDescent="0.25">
      <c r="A23" s="9" t="s">
        <v>965</v>
      </c>
      <c r="B23" s="9" t="s">
        <v>1021</v>
      </c>
      <c r="C23" s="10">
        <f>SUMIFS(Data!$L:$L,Data!$B:$B,"interoperability",Data!$K:$K,"native",Data!$J:$J,RIGHT(C$3,4)&amp;"-"&amp;LEFT(C$3,2),Data!$F:$F,"Value of Money Transfer Transactions",Data!$H:$H,"mPSP to Bank",Data!$I:$I,"")</f>
        <v>615000000</v>
      </c>
      <c r="D23" s="10">
        <f>SUMIFS(Data!$L:$L,Data!$B:$B,"interoperability",Data!$K:$K,"native",Data!$J:$J,RIGHT(D$3,4)&amp;"-"&amp;LEFT(D$3,2),Data!$F:$F,"Value of Money Transfer Transactions",Data!$H:$H,"mPSP to Bank",Data!$I:$I,"")</f>
        <v>661000000</v>
      </c>
      <c r="E23" s="10">
        <f>SUMIFS(Data!$L:$L,Data!$B:$B,"interoperability",Data!$K:$K,"native",Data!$J:$J,RIGHT(E$3,4)&amp;"-"&amp;LEFT(E$3,2),Data!$F:$F,"Value of Money Transfer Transactions",Data!$H:$H,"mPSP to Bank",Data!$I:$I,"")</f>
        <v>698000000</v>
      </c>
      <c r="F23" s="10">
        <f>SUMIFS(Data!$L:$L,Data!$B:$B,"interoperability",Data!$K:$K,"native",Data!$J:$J,RIGHT(F$3,4)&amp;"-"&amp;LEFT(F$3,2),Data!$F:$F,"Value of Money Transfer Transactions",Data!$H:$H,"mPSP to Bank",Data!$I:$I,"")</f>
        <v>758000000</v>
      </c>
      <c r="G23" s="10">
        <f>SUMIFS(Data!$L:$L,Data!$B:$B,"interoperability",Data!$K:$K,"native",Data!$J:$J,RIGHT(G$3,4)&amp;"-"&amp;LEFT(G$3,2),Data!$F:$F,"Value of Money Transfer Transactions",Data!$H:$H,"mPSP to Bank",Data!$I:$I,"")</f>
        <v>805000000</v>
      </c>
      <c r="H23" s="10">
        <f>SUMIFS(Data!$L:$L,Data!$B:$B,"interoperability",Data!$K:$K,"native",Data!$J:$J,RIGHT(H$3,4)&amp;"-"&amp;LEFT(H$3,2),Data!$F:$F,"Value of Money Transfer Transactions",Data!$H:$H,"mPSP to Bank",Data!$I:$I,"")</f>
        <v>712000000</v>
      </c>
      <c r="I23" s="10">
        <f>SUMIFS(Data!$L:$L,Data!$B:$B,"interoperability",Data!$K:$K,"native",Data!$J:$J,RIGHT(I$3,4)&amp;"-"&amp;LEFT(I$3,2),Data!$F:$F,"Value of Money Transfer Transactions",Data!$H:$H,"mPSP to Bank",Data!$I:$I,"")</f>
        <v>721000000</v>
      </c>
      <c r="J23" s="10">
        <f>SUMIFS(Data!$L:$L,Data!$B:$B,"interoperability",Data!$K:$K,"native",Data!$J:$J,RIGHT(J$3,4)&amp;"-"&amp;LEFT(J$3,2),Data!$F:$F,"Value of Money Transfer Transactions",Data!$H:$H,"mPSP to Bank",Data!$I:$I,"")</f>
        <v>794000000</v>
      </c>
    </row>
    <row r="24" spans="1:10" ht="15" customHeight="1" x14ac:dyDescent="0.25">
      <c r="A24" s="9" t="s">
        <v>965</v>
      </c>
      <c r="B24" s="9" t="s">
        <v>1018</v>
      </c>
      <c r="C24" s="11">
        <f t="shared" ref="C24:J24" si="6">C$23/(C$23+C$25)</f>
        <v>0.60531496062992129</v>
      </c>
      <c r="D24" s="11">
        <f t="shared" si="6"/>
        <v>0.61034164358264076</v>
      </c>
      <c r="E24" s="11">
        <f t="shared" si="6"/>
        <v>0.59353741496598644</v>
      </c>
      <c r="F24" s="11">
        <f t="shared" si="6"/>
        <v>0.58578052550231841</v>
      </c>
      <c r="G24" s="11">
        <f t="shared" si="6"/>
        <v>0.57664756446991405</v>
      </c>
      <c r="H24" s="11">
        <f t="shared" si="6"/>
        <v>0.55108359133126938</v>
      </c>
      <c r="I24" s="11">
        <f t="shared" si="6"/>
        <v>0.54374057315233781</v>
      </c>
      <c r="J24" s="11">
        <f t="shared" si="6"/>
        <v>0.5427204374572796</v>
      </c>
    </row>
    <row r="25" spans="1:10" ht="15" customHeight="1" x14ac:dyDescent="0.25">
      <c r="A25" s="9" t="s">
        <v>965</v>
      </c>
      <c r="B25" s="9" t="s">
        <v>1022</v>
      </c>
      <c r="C25" s="10">
        <f>SUMIFS(Data!$L:$L,Data!$B:$B,"interoperability",Data!$K:$K,"native",Data!$J:$J,RIGHT(C$3,4)&amp;"-"&amp;LEFT(C$3,2),Data!$F:$F,"Value of Money Transfer Transactions",Data!$H:$H,"Bank to mPSP",Data!$I:$I,"")</f>
        <v>401000000</v>
      </c>
      <c r="D25" s="10">
        <f>SUMIFS(Data!$L:$L,Data!$B:$B,"interoperability",Data!$K:$K,"native",Data!$J:$J,RIGHT(D$3,4)&amp;"-"&amp;LEFT(D$3,2),Data!$F:$F,"Value of Money Transfer Transactions",Data!$H:$H,"Bank to mPSP",Data!$I:$I,"")</f>
        <v>422000000</v>
      </c>
      <c r="E25" s="10">
        <f>SUMIFS(Data!$L:$L,Data!$B:$B,"interoperability",Data!$K:$K,"native",Data!$J:$J,RIGHT(E$3,4)&amp;"-"&amp;LEFT(E$3,2),Data!$F:$F,"Value of Money Transfer Transactions",Data!$H:$H,"Bank to mPSP",Data!$I:$I,"")</f>
        <v>478000000</v>
      </c>
      <c r="F25" s="10">
        <f>SUMIFS(Data!$L:$L,Data!$B:$B,"interoperability",Data!$K:$K,"native",Data!$J:$J,RIGHT(F$3,4)&amp;"-"&amp;LEFT(F$3,2),Data!$F:$F,"Value of Money Transfer Transactions",Data!$H:$H,"Bank to mPSP",Data!$I:$I,"")</f>
        <v>536000000</v>
      </c>
      <c r="G25" s="10">
        <f>SUMIFS(Data!$L:$L,Data!$B:$B,"interoperability",Data!$K:$K,"native",Data!$J:$J,RIGHT(G$3,4)&amp;"-"&amp;LEFT(G$3,2),Data!$F:$F,"Value of Money Transfer Transactions",Data!$H:$H,"Bank to mPSP",Data!$I:$I,"")</f>
        <v>591000000</v>
      </c>
      <c r="H25" s="10">
        <f>SUMIFS(Data!$L:$L,Data!$B:$B,"interoperability",Data!$K:$K,"native",Data!$J:$J,RIGHT(H$3,4)&amp;"-"&amp;LEFT(H$3,2),Data!$F:$F,"Value of Money Transfer Transactions",Data!$H:$H,"Bank to mPSP",Data!$I:$I,"")</f>
        <v>580000000</v>
      </c>
      <c r="I25" s="10">
        <f>SUMIFS(Data!$L:$L,Data!$B:$B,"interoperability",Data!$K:$K,"native",Data!$J:$J,RIGHT(I$3,4)&amp;"-"&amp;LEFT(I$3,2),Data!$F:$F,"Value of Money Transfer Transactions",Data!$H:$H,"Bank to mPSP",Data!$I:$I,"")</f>
        <v>605000000</v>
      </c>
      <c r="J25" s="10">
        <f>SUMIFS(Data!$L:$L,Data!$B:$B,"interoperability",Data!$K:$K,"native",Data!$J:$J,RIGHT(J$3,4)&amp;"-"&amp;LEFT(J$3,2),Data!$F:$F,"Value of Money Transfer Transactions",Data!$H:$H,"Bank to mPSP",Data!$I:$I,"")</f>
        <v>669000000</v>
      </c>
    </row>
    <row r="26" spans="1:10" ht="15" customHeight="1" x14ac:dyDescent="0.25">
      <c r="A26" s="9" t="s">
        <v>965</v>
      </c>
      <c r="B26" s="9" t="s">
        <v>1019</v>
      </c>
      <c r="C26" s="11">
        <f t="shared" ref="C26:J26" si="7">C$25/(C$25+C$23)</f>
        <v>0.39468503937007876</v>
      </c>
      <c r="D26" s="11">
        <f t="shared" si="7"/>
        <v>0.38965835641735919</v>
      </c>
      <c r="E26" s="11">
        <f t="shared" si="7"/>
        <v>0.40646258503401361</v>
      </c>
      <c r="F26" s="11">
        <f t="shared" si="7"/>
        <v>0.41421947449768159</v>
      </c>
      <c r="G26" s="11">
        <f t="shared" si="7"/>
        <v>0.42335243553008595</v>
      </c>
      <c r="H26" s="11">
        <f t="shared" si="7"/>
        <v>0.44891640866873067</v>
      </c>
      <c r="I26" s="11">
        <f t="shared" si="7"/>
        <v>0.45625942684766213</v>
      </c>
      <c r="J26" s="11">
        <f t="shared" si="7"/>
        <v>0.45727956254272045</v>
      </c>
    </row>
  </sheetData>
  <mergeCells count="6">
    <mergeCell ref="A22:J22"/>
    <mergeCell ref="A1:J1"/>
    <mergeCell ref="A4:J4"/>
    <mergeCell ref="A7:J7"/>
    <mergeCell ref="A12:J12"/>
    <mergeCell ref="A17:J17"/>
  </mergeCells>
  <phoneticPr fontId="11" type="noConversion"/>
  <conditionalFormatting sqref="C5:J5">
    <cfRule type="colorScale" priority="10">
      <colorScale>
        <cfvo type="min"/>
        <cfvo type="percentile" val="50"/>
        <cfvo type="max"/>
        <color theme="2" tint="-0.499984740745262"/>
        <color theme="0"/>
        <color theme="7" tint="0.39997558519241921"/>
      </colorScale>
    </cfRule>
  </conditionalFormatting>
  <conditionalFormatting sqref="C6:J6">
    <cfRule type="colorScale" priority="9">
      <colorScale>
        <cfvo type="min"/>
        <cfvo type="percentile" val="50"/>
        <cfvo type="max"/>
        <color theme="2" tint="-0.499984740745262"/>
        <color theme="0"/>
        <color theme="7" tint="0.39997558519241921"/>
      </colorScale>
    </cfRule>
  </conditionalFormatting>
  <conditionalFormatting sqref="C8:J8">
    <cfRule type="colorScale" priority="8">
      <colorScale>
        <cfvo type="min"/>
        <cfvo type="percentile" val="50"/>
        <cfvo type="max"/>
        <color theme="2" tint="-0.499984740745262"/>
        <color theme="0"/>
        <color theme="7" tint="0.39997558519241921"/>
      </colorScale>
    </cfRule>
  </conditionalFormatting>
  <conditionalFormatting sqref="C10:J10">
    <cfRule type="colorScale" priority="7">
      <colorScale>
        <cfvo type="min"/>
        <cfvo type="percentile" val="50"/>
        <cfvo type="max"/>
        <color theme="2" tint="-0.499984740745262"/>
        <color theme="0"/>
        <color theme="7" tint="0.39997558519241921"/>
      </colorScale>
    </cfRule>
  </conditionalFormatting>
  <conditionalFormatting sqref="C13:J13">
    <cfRule type="colorScale" priority="6">
      <colorScale>
        <cfvo type="min"/>
        <cfvo type="percentile" val="50"/>
        <cfvo type="max"/>
        <color theme="2" tint="-0.499984740745262"/>
        <color theme="0"/>
        <color theme="7" tint="0.39997558519241921"/>
      </colorScale>
    </cfRule>
  </conditionalFormatting>
  <conditionalFormatting sqref="C15:J15">
    <cfRule type="colorScale" priority="5">
      <colorScale>
        <cfvo type="min"/>
        <cfvo type="percentile" val="50"/>
        <cfvo type="max"/>
        <color theme="2" tint="-0.499984740745262"/>
        <color theme="0"/>
        <color theme="7" tint="0.39997558519241921"/>
      </colorScale>
    </cfRule>
  </conditionalFormatting>
  <conditionalFormatting sqref="C18:J18">
    <cfRule type="colorScale" priority="4">
      <colorScale>
        <cfvo type="min"/>
        <cfvo type="percentile" val="50"/>
        <cfvo type="max"/>
        <color theme="2" tint="-0.499984740745262"/>
        <color theme="0"/>
        <color theme="7" tint="0.39997558519241921"/>
      </colorScale>
    </cfRule>
  </conditionalFormatting>
  <conditionalFormatting sqref="C20:J20">
    <cfRule type="colorScale" priority="3">
      <colorScale>
        <cfvo type="min"/>
        <cfvo type="percentile" val="50"/>
        <cfvo type="max"/>
        <color theme="2" tint="-0.499984740745262"/>
        <color theme="0"/>
        <color theme="7" tint="0.39997558519241921"/>
      </colorScale>
    </cfRule>
  </conditionalFormatting>
  <conditionalFormatting sqref="C23:J23">
    <cfRule type="colorScale" priority="2">
      <colorScale>
        <cfvo type="min"/>
        <cfvo type="percentile" val="50"/>
        <cfvo type="max"/>
        <color theme="2" tint="-0.499984740745262"/>
        <color theme="0"/>
        <color theme="7" tint="0.39997558519241921"/>
      </colorScale>
    </cfRule>
  </conditionalFormatting>
  <conditionalFormatting sqref="C25:J25">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J54"/>
  <sheetViews>
    <sheetView zoomScaleNormal="100" workbookViewId="0">
      <pane ySplit="3" topLeftCell="A4" activePane="bottomLeft" state="frozen"/>
      <selection activeCell="A3" sqref="A3"/>
      <selection pane="bottomLeft" activeCell="K10" sqref="K10"/>
    </sheetView>
  </sheetViews>
  <sheetFormatPr defaultColWidth="8.7109375" defaultRowHeight="15" x14ac:dyDescent="0.25"/>
  <cols>
    <col min="1" max="1" width="26" customWidth="1"/>
    <col min="2" max="2" width="56" customWidth="1"/>
    <col min="3" max="10" width="14" bestFit="1" customWidth="1"/>
  </cols>
  <sheetData>
    <row r="1" spans="1:10" ht="25.5" customHeight="1" x14ac:dyDescent="0.25">
      <c r="A1" s="23" t="s">
        <v>913</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924</v>
      </c>
      <c r="B4" s="22"/>
      <c r="C4" s="22"/>
      <c r="D4" s="22"/>
      <c r="E4" s="22"/>
      <c r="F4" s="22"/>
      <c r="G4" s="22"/>
      <c r="H4" s="22"/>
      <c r="I4" s="22"/>
      <c r="J4" s="22"/>
    </row>
    <row r="5" spans="1:10" ht="15" customHeight="1" x14ac:dyDescent="0.25">
      <c r="A5" s="7" t="s">
        <v>43</v>
      </c>
      <c r="B5" s="7" t="s">
        <v>925</v>
      </c>
      <c r="C5" s="8">
        <f>SUMIFS(Data!$L:$L,Data!$B:$B,"cliq",Data!$K:$K,"native",Data!$J:$J,RIGHT(C$3,4)&amp;"-"&amp;LEFT(C$3,2),Data!$F:$F,"Number of Users",Data!$H:$H,"",Data!$I:$I,"")</f>
        <v>1560000</v>
      </c>
      <c r="D5" s="8">
        <f>SUMIFS(Data!$L:$L,Data!$B:$B,"cliq",Data!$K:$K,"native",Data!$J:$J,RIGHT(D$3,4)&amp;"-"&amp;LEFT(D$3,2),Data!$F:$F,"Number of Users",Data!$H:$H,"",Data!$I:$I,"")</f>
        <v>1670000</v>
      </c>
      <c r="E5" s="8">
        <f>SUMIFS(Data!$L:$L,Data!$B:$B,"cliq",Data!$K:$K,"native",Data!$J:$J,RIGHT(E$3,4)&amp;"-"&amp;LEFT(E$3,2),Data!$F:$F,"Number of Users",Data!$H:$H,"",Data!$I:$I,"")</f>
        <v>1780000</v>
      </c>
      <c r="F5" s="8">
        <f>SUMIFS(Data!$L:$L,Data!$B:$B,"cliq",Data!$K:$K,"native",Data!$J:$J,RIGHT(F$3,4)&amp;"-"&amp;LEFT(F$3,2),Data!$F:$F,"Number of Users",Data!$H:$H,"",Data!$I:$I,"")</f>
        <v>1880000</v>
      </c>
      <c r="G5" s="8">
        <f>SUMIFS(Data!$L:$L,Data!$B:$B,"cliq",Data!$K:$K,"native",Data!$J:$J,RIGHT(G$3,4)&amp;"-"&amp;LEFT(G$3,2),Data!$F:$F,"Number of Users",Data!$H:$H,"",Data!$I:$I,"")</f>
        <v>2000000</v>
      </c>
      <c r="H5" s="8">
        <f>SUMIFS(Data!$L:$L,Data!$B:$B,"cliq",Data!$K:$K,"native",Data!$J:$J,RIGHT(H$3,4)&amp;"-"&amp;LEFT(H$3,2),Data!$F:$F,"Number of Users",Data!$H:$H,"",Data!$I:$I,"")</f>
        <v>2130000</v>
      </c>
      <c r="I5" s="8">
        <f>SUMIFS(Data!$L:$L,Data!$B:$B,"cliq",Data!$K:$K,"native",Data!$J:$J,RIGHT(I$3,4)&amp;"-"&amp;LEFT(I$3,2),Data!$F:$F,"Number of Users",Data!$H:$H,"",Data!$I:$I,"")</f>
        <v>2220000</v>
      </c>
      <c r="J5" s="8">
        <f>SUMIFS(Data!$L:$L,Data!$B:$B,"cliq",Data!$K:$K,"native",Data!$J:$J,RIGHT(J$3,4)&amp;"-"&amp;LEFT(J$3,2),Data!$F:$F,"Number of Users",Data!$H:$H,"",Data!$I:$I,"")</f>
        <v>2310000</v>
      </c>
    </row>
    <row r="6" spans="1:10" ht="15" customHeight="1" x14ac:dyDescent="0.25">
      <c r="A6" s="22" t="s">
        <v>926</v>
      </c>
      <c r="B6" s="22"/>
      <c r="C6" s="22"/>
      <c r="D6" s="22"/>
      <c r="E6" s="22"/>
      <c r="F6" s="22"/>
      <c r="G6" s="22"/>
      <c r="H6" s="22"/>
      <c r="I6" s="22"/>
      <c r="J6" s="22"/>
    </row>
    <row r="7" spans="1:10" ht="15" customHeight="1" x14ac:dyDescent="0.25">
      <c r="A7" s="9" t="s">
        <v>927</v>
      </c>
      <c r="B7" s="9" t="s">
        <v>928</v>
      </c>
      <c r="C7" s="10">
        <f>SUMIFS(Data!$L:$L,Data!$B:$B,"cliq",Data!$K:$K,"native",Data!$J:$J,RIGHT(C$3,4)&amp;"-"&amp;LEFT(C$3,2),Data!$F:$F,"Number of Users",Data!$H:$H,"Jordanian",Data!$I:$I,"")</f>
        <v>1500000</v>
      </c>
      <c r="D7" s="10">
        <f>SUMIFS(Data!$L:$L,Data!$B:$B,"cliq",Data!$K:$K,"native",Data!$J:$J,RIGHT(D$3,4)&amp;"-"&amp;LEFT(D$3,2),Data!$F:$F,"Number of Users",Data!$H:$H,"Jordanian",Data!$I:$I,"")</f>
        <v>1610000</v>
      </c>
      <c r="E7" s="10">
        <f>SUMIFS(Data!$L:$L,Data!$B:$B,"cliq",Data!$K:$K,"native",Data!$J:$J,RIGHT(E$3,4)&amp;"-"&amp;LEFT(E$3,2),Data!$F:$F,"Number of Users",Data!$H:$H,"Jordanian",Data!$I:$I,"")</f>
        <v>1710000</v>
      </c>
      <c r="F7" s="10">
        <f>SUMIFS(Data!$L:$L,Data!$B:$B,"cliq",Data!$K:$K,"native",Data!$J:$J,RIGHT(F$3,4)&amp;"-"&amp;LEFT(F$3,2),Data!$F:$F,"Number of Users",Data!$H:$H,"Jordanian",Data!$I:$I,"")</f>
        <v>1810000</v>
      </c>
      <c r="G7" s="10">
        <f>SUMIFS(Data!$L:$L,Data!$B:$B,"cliq",Data!$K:$K,"native",Data!$J:$J,RIGHT(G$3,4)&amp;"-"&amp;LEFT(G$3,2),Data!$F:$F,"Number of Users",Data!$H:$H,"Jordanian",Data!$I:$I,"")</f>
        <v>1930000</v>
      </c>
      <c r="H7" s="10">
        <f>SUMIFS(Data!$L:$L,Data!$B:$B,"cliq",Data!$K:$K,"native",Data!$J:$J,RIGHT(H$3,4)&amp;"-"&amp;LEFT(H$3,2),Data!$F:$F,"Number of Users",Data!$H:$H,"Jordanian",Data!$I:$I,"")</f>
        <v>2040000</v>
      </c>
      <c r="I7" s="10">
        <f>SUMIFS(Data!$L:$L,Data!$B:$B,"cliq",Data!$K:$K,"native",Data!$J:$J,RIGHT(I$3,4)&amp;"-"&amp;LEFT(I$3,2),Data!$F:$F,"Number of Users",Data!$H:$H,"Jordanian",Data!$I:$I,"")</f>
        <v>2130000</v>
      </c>
      <c r="J7" s="10">
        <f>SUMIFS(Data!$L:$L,Data!$B:$B,"cliq",Data!$K:$K,"native",Data!$J:$J,RIGHT(J$3,4)&amp;"-"&amp;LEFT(J$3,2),Data!$F:$F,"Number of Users",Data!$H:$H,"Jordanian",Data!$I:$I,"")</f>
        <v>2220000</v>
      </c>
    </row>
    <row r="8" spans="1:10" ht="15" customHeight="1" x14ac:dyDescent="0.25">
      <c r="A8" s="9" t="s">
        <v>927</v>
      </c>
      <c r="B8" s="9" t="s">
        <v>929</v>
      </c>
      <c r="C8" s="11">
        <f t="shared" ref="C8:J8" si="0">C$7/(C$7+C$9)</f>
        <v>0.96463022508038587</v>
      </c>
      <c r="D8" s="11">
        <f t="shared" si="0"/>
        <v>0.96349491322561343</v>
      </c>
      <c r="E8" s="11">
        <f t="shared" si="0"/>
        <v>0.96229600450196962</v>
      </c>
      <c r="F8" s="11">
        <f t="shared" si="0"/>
        <v>0.96184504198108189</v>
      </c>
      <c r="G8" s="11">
        <f t="shared" si="0"/>
        <v>0.96115537848605581</v>
      </c>
      <c r="H8" s="11">
        <f t="shared" si="0"/>
        <v>0.96045197740112997</v>
      </c>
      <c r="I8" s="11">
        <f t="shared" si="0"/>
        <v>0.95980533525594813</v>
      </c>
      <c r="J8" s="11">
        <f t="shared" si="0"/>
        <v>0.95917044718081657</v>
      </c>
    </row>
    <row r="9" spans="1:10" ht="15" customHeight="1" x14ac:dyDescent="0.25">
      <c r="A9" s="9" t="s">
        <v>927</v>
      </c>
      <c r="B9" s="9" t="s">
        <v>930</v>
      </c>
      <c r="C9" s="10">
        <f>SUMIFS(Data!$L:$L,Data!$B:$B,"cliq",Data!$K:$K,"native",Data!$J:$J,RIGHT(C$3,4)&amp;"-"&amp;LEFT(C$3,2),Data!$F:$F,"Number of Users",Data!$H:$H,"Non-Jordanian",Data!$I:$I,"")</f>
        <v>55000</v>
      </c>
      <c r="D9" s="10">
        <f>SUMIFS(Data!$L:$L,Data!$B:$B,"cliq",Data!$K:$K,"native",Data!$J:$J,RIGHT(D$3,4)&amp;"-"&amp;LEFT(D$3,2),Data!$F:$F,"Number of Users",Data!$H:$H,"Non-Jordanian",Data!$I:$I,"")</f>
        <v>61000</v>
      </c>
      <c r="E9" s="10">
        <f>SUMIFS(Data!$L:$L,Data!$B:$B,"cliq",Data!$K:$K,"native",Data!$J:$J,RIGHT(E$3,4)&amp;"-"&amp;LEFT(E$3,2),Data!$F:$F,"Number of Users",Data!$H:$H,"Non-Jordanian",Data!$I:$I,"")</f>
        <v>67000</v>
      </c>
      <c r="F9" s="10">
        <f>SUMIFS(Data!$L:$L,Data!$B:$B,"cliq",Data!$K:$K,"native",Data!$J:$J,RIGHT(F$3,4)&amp;"-"&amp;LEFT(F$3,2),Data!$F:$F,"Number of Users",Data!$H:$H,"Non-Jordanian",Data!$I:$I,"")</f>
        <v>71800</v>
      </c>
      <c r="G9" s="10">
        <f>SUMIFS(Data!$L:$L,Data!$B:$B,"cliq",Data!$K:$K,"native",Data!$J:$J,RIGHT(G$3,4)&amp;"-"&amp;LEFT(G$3,2),Data!$F:$F,"Number of Users",Data!$H:$H,"Non-Jordanian",Data!$I:$I,"")</f>
        <v>78000</v>
      </c>
      <c r="H9" s="10">
        <f>SUMIFS(Data!$L:$L,Data!$B:$B,"cliq",Data!$K:$K,"native",Data!$J:$J,RIGHT(H$3,4)&amp;"-"&amp;LEFT(H$3,2),Data!$F:$F,"Number of Users",Data!$H:$H,"Non-Jordanian",Data!$I:$I,"")</f>
        <v>84000</v>
      </c>
      <c r="I9" s="10">
        <f>SUMIFS(Data!$L:$L,Data!$B:$B,"cliq",Data!$K:$K,"native",Data!$J:$J,RIGHT(I$3,4)&amp;"-"&amp;LEFT(I$3,2),Data!$F:$F,"Number of Users",Data!$H:$H,"Non-Jordanian",Data!$I:$I,"")</f>
        <v>89200</v>
      </c>
      <c r="J9" s="10">
        <f>SUMIFS(Data!$L:$L,Data!$B:$B,"cliq",Data!$K:$K,"native",Data!$J:$J,RIGHT(J$3,4)&amp;"-"&amp;LEFT(J$3,2),Data!$F:$F,"Number of Users",Data!$H:$H,"Non-Jordanian",Data!$I:$I,"")</f>
        <v>94500</v>
      </c>
    </row>
    <row r="10" spans="1:10" ht="15" customHeight="1" x14ac:dyDescent="0.25">
      <c r="A10" s="9" t="s">
        <v>927</v>
      </c>
      <c r="B10" s="9" t="s">
        <v>931</v>
      </c>
      <c r="C10" s="11">
        <f t="shared" ref="C10:J10" si="1">C$9/(C$9+C$7)</f>
        <v>3.5369774919614148E-2</v>
      </c>
      <c r="D10" s="11">
        <f t="shared" si="1"/>
        <v>3.6505086774386596E-2</v>
      </c>
      <c r="E10" s="11">
        <f t="shared" si="1"/>
        <v>3.7703995498030385E-2</v>
      </c>
      <c r="F10" s="11">
        <f t="shared" si="1"/>
        <v>3.8154958018918057E-2</v>
      </c>
      <c r="G10" s="11">
        <f t="shared" si="1"/>
        <v>3.8844621513944223E-2</v>
      </c>
      <c r="H10" s="11">
        <f t="shared" si="1"/>
        <v>3.954802259887006E-2</v>
      </c>
      <c r="I10" s="11">
        <f t="shared" si="1"/>
        <v>4.0194664744051908E-2</v>
      </c>
      <c r="J10" s="11">
        <f t="shared" si="1"/>
        <v>4.0829552819183407E-2</v>
      </c>
    </row>
    <row r="11" spans="1:10" ht="15" customHeight="1" x14ac:dyDescent="0.25">
      <c r="A11" s="22" t="s">
        <v>932</v>
      </c>
      <c r="B11" s="22"/>
      <c r="C11" s="22"/>
      <c r="D11" s="22"/>
      <c r="E11" s="22"/>
      <c r="F11" s="22"/>
      <c r="G11" s="22"/>
      <c r="H11" s="22"/>
      <c r="I11" s="22"/>
      <c r="J11" s="22"/>
    </row>
    <row r="12" spans="1:10" ht="15" customHeight="1" x14ac:dyDescent="0.25">
      <c r="A12" s="9" t="s">
        <v>933</v>
      </c>
      <c r="B12" s="9" t="s">
        <v>934</v>
      </c>
      <c r="C12" s="10">
        <f>SUMIFS(Data!$L:$L,Data!$B:$B,"cliq",Data!$K:$K,"native",Data!$J:$J,RIGHT(C$3,4)&amp;"-"&amp;LEFT(C$3,2),Data!$F:$F,"Number of Users",Data!$H:$H,"Male",Data!$I:$I,"")</f>
        <v>973400</v>
      </c>
      <c r="D12" s="10">
        <f>SUMIFS(Data!$L:$L,Data!$B:$B,"cliq",Data!$K:$K,"native",Data!$J:$J,RIGHT(D$3,4)&amp;"-"&amp;LEFT(D$3,2),Data!$F:$F,"Number of Users",Data!$H:$H,"Male",Data!$I:$I,"")</f>
        <v>1040000</v>
      </c>
      <c r="E12" s="10">
        <f>SUMIFS(Data!$L:$L,Data!$B:$B,"cliq",Data!$K:$K,"native",Data!$J:$J,RIGHT(E$3,4)&amp;"-"&amp;LEFT(E$3,2),Data!$F:$F,"Number of Users",Data!$H:$H,"Male",Data!$I:$I,"")</f>
        <v>1110000</v>
      </c>
      <c r="F12" s="10">
        <f>SUMIFS(Data!$L:$L,Data!$B:$B,"cliq",Data!$K:$K,"native",Data!$J:$J,RIGHT(F$3,4)&amp;"-"&amp;LEFT(F$3,2),Data!$F:$F,"Number of Users",Data!$H:$H,"Male",Data!$I:$I,"")</f>
        <v>1160000</v>
      </c>
      <c r="G12" s="10">
        <f>SUMIFS(Data!$L:$L,Data!$B:$B,"cliq",Data!$K:$K,"native",Data!$J:$J,RIGHT(G$3,4)&amp;"-"&amp;LEFT(G$3,2),Data!$F:$F,"Number of Users",Data!$H:$H,"Male",Data!$I:$I,"")</f>
        <v>1240000</v>
      </c>
      <c r="H12" s="10">
        <f>SUMIFS(Data!$L:$L,Data!$B:$B,"cliq",Data!$K:$K,"native",Data!$J:$J,RIGHT(H$3,4)&amp;"-"&amp;LEFT(H$3,2),Data!$F:$F,"Number of Users",Data!$H:$H,"Male",Data!$I:$I,"")</f>
        <v>1300000</v>
      </c>
      <c r="I12" s="10">
        <f>SUMIFS(Data!$L:$L,Data!$B:$B,"cliq",Data!$K:$K,"native",Data!$J:$J,RIGHT(I$3,4)&amp;"-"&amp;LEFT(I$3,2),Data!$F:$F,"Number of Users",Data!$H:$H,"Male",Data!$I:$I,"")</f>
        <v>1350000</v>
      </c>
      <c r="J12" s="10">
        <f>SUMIFS(Data!$L:$L,Data!$B:$B,"cliq",Data!$K:$K,"native",Data!$J:$J,RIGHT(J$3,4)&amp;"-"&amp;LEFT(J$3,2),Data!$F:$F,"Number of Users",Data!$H:$H,"Male",Data!$I:$I,"")</f>
        <v>1400000</v>
      </c>
    </row>
    <row r="13" spans="1:10" ht="15" customHeight="1" x14ac:dyDescent="0.25">
      <c r="A13" s="9" t="s">
        <v>933</v>
      </c>
      <c r="B13" s="9" t="s">
        <v>935</v>
      </c>
      <c r="C13" s="11">
        <f t="shared" ref="C13:J13" si="2">C$12/(C$12+C$14)</f>
        <v>0.64263550538060343</v>
      </c>
      <c r="D13" s="11">
        <f t="shared" si="2"/>
        <v>0.64074918366089584</v>
      </c>
      <c r="E13" s="11">
        <f t="shared" si="2"/>
        <v>0.64043387952919451</v>
      </c>
      <c r="F13" s="11">
        <f t="shared" si="2"/>
        <v>0.63694267515923564</v>
      </c>
      <c r="G13" s="11">
        <f t="shared" si="2"/>
        <v>0.6360931568687801</v>
      </c>
      <c r="H13" s="11">
        <f t="shared" si="2"/>
        <v>0.62996704787749569</v>
      </c>
      <c r="I13" s="11">
        <f t="shared" si="2"/>
        <v>0.62685735512630014</v>
      </c>
      <c r="J13" s="11">
        <f t="shared" si="2"/>
        <v>0.62474898478289975</v>
      </c>
    </row>
    <row r="14" spans="1:10" ht="15" customHeight="1" x14ac:dyDescent="0.25">
      <c r="A14" s="9" t="s">
        <v>933</v>
      </c>
      <c r="B14" s="9" t="s">
        <v>936</v>
      </c>
      <c r="C14" s="10">
        <f>SUMIFS(Data!$L:$L,Data!$B:$B,"cliq",Data!$K:$K,"native",Data!$J:$J,RIGHT(C$3,4)&amp;"-"&amp;LEFT(C$3,2),Data!$F:$F,"Number of Users",Data!$H:$H,"Female",Data!$I:$I,"")</f>
        <v>541300</v>
      </c>
      <c r="D14" s="10">
        <f>SUMIFS(Data!$L:$L,Data!$B:$B,"cliq",Data!$K:$K,"native",Data!$J:$J,RIGHT(D$3,4)&amp;"-"&amp;LEFT(D$3,2),Data!$F:$F,"Number of Users",Data!$H:$H,"Female",Data!$I:$I,"")</f>
        <v>583100</v>
      </c>
      <c r="E14" s="10">
        <f>SUMIFS(Data!$L:$L,Data!$B:$B,"cliq",Data!$K:$K,"native",Data!$J:$J,RIGHT(E$3,4)&amp;"-"&amp;LEFT(E$3,2),Data!$F:$F,"Number of Users",Data!$H:$H,"Female",Data!$I:$I,"")</f>
        <v>623200</v>
      </c>
      <c r="F14" s="10">
        <f>SUMIFS(Data!$L:$L,Data!$B:$B,"cliq",Data!$K:$K,"native",Data!$J:$J,RIGHT(F$3,4)&amp;"-"&amp;LEFT(F$3,2),Data!$F:$F,"Number of Users",Data!$H:$H,"Female",Data!$I:$I,"")</f>
        <v>661200</v>
      </c>
      <c r="G14" s="10">
        <f>SUMIFS(Data!$L:$L,Data!$B:$B,"cliq",Data!$K:$K,"native",Data!$J:$J,RIGHT(G$3,4)&amp;"-"&amp;LEFT(G$3,2),Data!$F:$F,"Number of Users",Data!$H:$H,"Female",Data!$I:$I,"")</f>
        <v>709400</v>
      </c>
      <c r="H14" s="10">
        <f>SUMIFS(Data!$L:$L,Data!$B:$B,"cliq",Data!$K:$K,"native",Data!$J:$J,RIGHT(H$3,4)&amp;"-"&amp;LEFT(H$3,2),Data!$F:$F,"Number of Users",Data!$H:$H,"Female",Data!$I:$I,"")</f>
        <v>763600</v>
      </c>
      <c r="I14" s="10">
        <f>SUMIFS(Data!$L:$L,Data!$B:$B,"cliq",Data!$K:$K,"native",Data!$J:$J,RIGHT(I$3,4)&amp;"-"&amp;LEFT(I$3,2),Data!$F:$F,"Number of Users",Data!$H:$H,"Female",Data!$I:$I,"")</f>
        <v>803600</v>
      </c>
      <c r="J14" s="10">
        <f>SUMIFS(Data!$L:$L,Data!$B:$B,"cliq",Data!$K:$K,"native",Data!$J:$J,RIGHT(J$3,4)&amp;"-"&amp;LEFT(J$3,2),Data!$F:$F,"Number of Users",Data!$H:$H,"Female",Data!$I:$I,"")</f>
        <v>840900</v>
      </c>
    </row>
    <row r="15" spans="1:10" ht="15" customHeight="1" x14ac:dyDescent="0.25">
      <c r="A15" s="9" t="s">
        <v>933</v>
      </c>
      <c r="B15" s="9" t="s">
        <v>937</v>
      </c>
      <c r="C15" s="11">
        <f t="shared" ref="C15:J15" si="3">C$14/(C$14+C$12)</f>
        <v>0.35736449461939657</v>
      </c>
      <c r="D15" s="11">
        <f t="shared" si="3"/>
        <v>0.35925081633910416</v>
      </c>
      <c r="E15" s="11">
        <f t="shared" si="3"/>
        <v>0.35956612047080544</v>
      </c>
      <c r="F15" s="11">
        <f t="shared" si="3"/>
        <v>0.36305732484076431</v>
      </c>
      <c r="G15" s="11">
        <f t="shared" si="3"/>
        <v>0.36390684313121985</v>
      </c>
      <c r="H15" s="11">
        <f t="shared" si="3"/>
        <v>0.37003295212250437</v>
      </c>
      <c r="I15" s="11">
        <f t="shared" si="3"/>
        <v>0.37314264487369986</v>
      </c>
      <c r="J15" s="11">
        <f t="shared" si="3"/>
        <v>0.37525101521710025</v>
      </c>
    </row>
    <row r="16" spans="1:10" ht="15" customHeight="1" x14ac:dyDescent="0.25">
      <c r="A16" s="22" t="s">
        <v>938</v>
      </c>
      <c r="B16" s="22"/>
      <c r="C16" s="22"/>
      <c r="D16" s="22"/>
      <c r="E16" s="22"/>
      <c r="F16" s="22"/>
      <c r="G16" s="22"/>
      <c r="H16" s="22"/>
      <c r="I16" s="22"/>
      <c r="J16" s="22"/>
    </row>
    <row r="17" spans="1:10" ht="15" customHeight="1" x14ac:dyDescent="0.25">
      <c r="A17" s="9" t="s">
        <v>939</v>
      </c>
      <c r="B17" s="9" t="s">
        <v>60</v>
      </c>
      <c r="C17" s="10">
        <f>SUMIFS(Data!$L:$L,Data!$B:$B,"cliq",Data!$K:$K,"native",Data!$J:$J,RIGHT(C$3,4)&amp;"-"&amp;LEFT(C$3,2),Data!$F:$F,"Number of Users",Data!$H:$H,"=&lt;18",Data!$I:$I,"")</f>
        <v>5800</v>
      </c>
      <c r="D17" s="10">
        <f>SUMIFS(Data!$L:$L,Data!$B:$B,"cliq",Data!$K:$K,"native",Data!$J:$J,RIGHT(D$3,4)&amp;"-"&amp;LEFT(D$3,2),Data!$F:$F,"Number of Users",Data!$H:$H,"=&lt;18",Data!$I:$I,"")</f>
        <v>6200</v>
      </c>
      <c r="E17" s="10">
        <f>SUMIFS(Data!$L:$L,Data!$B:$B,"cliq",Data!$K:$K,"native",Data!$J:$J,RIGHT(E$3,4)&amp;"-"&amp;LEFT(E$3,2),Data!$F:$F,"Number of Users",Data!$H:$H,"=&lt;18",Data!$I:$I,"")</f>
        <v>6700</v>
      </c>
      <c r="F17" s="10">
        <f>SUMIFS(Data!$L:$L,Data!$B:$B,"cliq",Data!$K:$K,"native",Data!$J:$J,RIGHT(F$3,4)&amp;"-"&amp;LEFT(F$3,2),Data!$F:$F,"Number of Users",Data!$H:$H,"=&lt;18",Data!$I:$I,"")</f>
        <v>8600</v>
      </c>
      <c r="G17" s="10">
        <f>SUMIFS(Data!$L:$L,Data!$B:$B,"cliq",Data!$K:$K,"native",Data!$J:$J,RIGHT(G$3,4)&amp;"-"&amp;LEFT(G$3,2),Data!$F:$F,"Number of Users",Data!$H:$H,"=&lt;18",Data!$I:$I,"")</f>
        <v>9200</v>
      </c>
      <c r="H17" s="10">
        <f>SUMIFS(Data!$L:$L,Data!$B:$B,"cliq",Data!$K:$K,"native",Data!$J:$J,RIGHT(H$3,4)&amp;"-"&amp;LEFT(H$3,2),Data!$F:$F,"Number of Users",Data!$H:$H,"=&lt;18",Data!$I:$I,"")</f>
        <v>9700</v>
      </c>
      <c r="I17" s="10">
        <f>SUMIFS(Data!$L:$L,Data!$B:$B,"cliq",Data!$K:$K,"native",Data!$J:$J,RIGHT(I$3,4)&amp;"-"&amp;LEFT(I$3,2),Data!$F:$F,"Number of Users",Data!$H:$H,"=&lt;18",Data!$I:$I,"")</f>
        <v>10400</v>
      </c>
      <c r="J17" s="10">
        <f>SUMIFS(Data!$L:$L,Data!$B:$B,"cliq",Data!$K:$K,"native",Data!$J:$J,RIGHT(J$3,4)&amp;"-"&amp;LEFT(J$3,2),Data!$F:$F,"Number of Users",Data!$H:$H,"=&lt;18",Data!$I:$I,"")</f>
        <v>11200</v>
      </c>
    </row>
    <row r="18" spans="1:10" ht="15" customHeight="1" x14ac:dyDescent="0.25">
      <c r="A18" s="9" t="s">
        <v>939</v>
      </c>
      <c r="B18" s="9" t="s">
        <v>44</v>
      </c>
      <c r="C18" s="10">
        <f>SUMIFS(Data!$L:$L,Data!$B:$B,"cliq",Data!$K:$K,"native",Data!$J:$J,RIGHT(C$3,4)&amp;"-"&amp;LEFT(C$3,2),Data!$F:$F,"Number of Users",Data!$H:$H,"18-30",Data!$I:$I,"")</f>
        <v>591000</v>
      </c>
      <c r="D18" s="10">
        <f>SUMIFS(Data!$L:$L,Data!$B:$B,"cliq",Data!$K:$K,"native",Data!$J:$J,RIGHT(D$3,4)&amp;"-"&amp;LEFT(D$3,2),Data!$F:$F,"Number of Users",Data!$H:$H,"18-30",Data!$I:$I,"")</f>
        <v>626000</v>
      </c>
      <c r="E18" s="10">
        <f>SUMIFS(Data!$L:$L,Data!$B:$B,"cliq",Data!$K:$K,"native",Data!$J:$J,RIGHT(E$3,4)&amp;"-"&amp;LEFT(E$3,2),Data!$F:$F,"Number of Users",Data!$H:$H,"18-30",Data!$I:$I,"")</f>
        <v>657000</v>
      </c>
      <c r="F18" s="10">
        <f>SUMIFS(Data!$L:$L,Data!$B:$B,"cliq",Data!$K:$K,"native",Data!$J:$J,RIGHT(F$3,4)&amp;"-"&amp;LEFT(F$3,2),Data!$F:$F,"Number of Users",Data!$H:$H,"18-30",Data!$I:$I,"")</f>
        <v>684600</v>
      </c>
      <c r="G18" s="10">
        <f>SUMIFS(Data!$L:$L,Data!$B:$B,"cliq",Data!$K:$K,"native",Data!$J:$J,RIGHT(G$3,4)&amp;"-"&amp;LEFT(G$3,2),Data!$F:$F,"Number of Users",Data!$H:$H,"18-30",Data!$I:$I,"")</f>
        <v>729700</v>
      </c>
      <c r="H18" s="10">
        <f>SUMIFS(Data!$L:$L,Data!$B:$B,"cliq",Data!$K:$K,"native",Data!$J:$J,RIGHT(H$3,4)&amp;"-"&amp;LEFT(H$3,2),Data!$F:$F,"Number of Users",Data!$H:$H,"18-30",Data!$I:$I,"")</f>
        <v>775500</v>
      </c>
      <c r="I18" s="10">
        <f>SUMIFS(Data!$L:$L,Data!$B:$B,"cliq",Data!$K:$K,"native",Data!$J:$J,RIGHT(I$3,4)&amp;"-"&amp;LEFT(I$3,2),Data!$F:$F,"Number of Users",Data!$H:$H,"18-30",Data!$I:$I,"")</f>
        <v>795100</v>
      </c>
      <c r="J18" s="10">
        <f>SUMIFS(Data!$L:$L,Data!$B:$B,"cliq",Data!$K:$K,"native",Data!$J:$J,RIGHT(J$3,4)&amp;"-"&amp;LEFT(J$3,2),Data!$F:$F,"Number of Users",Data!$H:$H,"18-30",Data!$I:$I,"")</f>
        <v>816500</v>
      </c>
    </row>
    <row r="19" spans="1:10" ht="15" customHeight="1" x14ac:dyDescent="0.25">
      <c r="A19" s="9" t="s">
        <v>939</v>
      </c>
      <c r="B19" s="9" t="s">
        <v>48</v>
      </c>
      <c r="C19" s="10">
        <f>SUMIFS(Data!$L:$L,Data!$B:$B,"cliq",Data!$K:$K,"native",Data!$J:$J,RIGHT(C$3,4)&amp;"-"&amp;LEFT(C$3,2),Data!$F:$F,"Number of Users",Data!$H:$H,"31-40",Data!$I:$I,"")</f>
        <v>409200</v>
      </c>
      <c r="D19" s="10">
        <f>SUMIFS(Data!$L:$L,Data!$B:$B,"cliq",Data!$K:$K,"native",Data!$J:$J,RIGHT(D$3,4)&amp;"-"&amp;LEFT(D$3,2),Data!$F:$F,"Number of Users",Data!$H:$H,"31-40",Data!$I:$I,"")</f>
        <v>437900</v>
      </c>
      <c r="E19" s="10">
        <f>SUMIFS(Data!$L:$L,Data!$B:$B,"cliq",Data!$K:$K,"native",Data!$J:$J,RIGHT(E$3,4)&amp;"-"&amp;LEFT(E$3,2),Data!$F:$F,"Number of Users",Data!$H:$H,"31-40",Data!$I:$I,"")</f>
        <v>465900</v>
      </c>
      <c r="F19" s="10">
        <f>SUMIFS(Data!$L:$L,Data!$B:$B,"cliq",Data!$K:$K,"native",Data!$J:$J,RIGHT(F$3,4)&amp;"-"&amp;LEFT(F$3,2),Data!$F:$F,"Number of Users",Data!$H:$H,"31-40",Data!$I:$I,"")</f>
        <v>490000</v>
      </c>
      <c r="G19" s="10">
        <f>SUMIFS(Data!$L:$L,Data!$B:$B,"cliq",Data!$K:$K,"native",Data!$J:$J,RIGHT(G$3,4)&amp;"-"&amp;LEFT(G$3,2),Data!$F:$F,"Number of Users",Data!$H:$H,"31-40",Data!$I:$I,"")</f>
        <v>516000</v>
      </c>
      <c r="H19" s="10">
        <f>SUMIFS(Data!$L:$L,Data!$B:$B,"cliq",Data!$K:$K,"native",Data!$J:$J,RIGHT(H$3,4)&amp;"-"&amp;LEFT(H$3,2),Data!$F:$F,"Number of Users",Data!$H:$H,"31-40",Data!$I:$I,"")</f>
        <v>542000</v>
      </c>
      <c r="I19" s="10">
        <f>SUMIFS(Data!$L:$L,Data!$B:$B,"cliq",Data!$K:$K,"native",Data!$J:$J,RIGHT(I$3,4)&amp;"-"&amp;LEFT(I$3,2),Data!$F:$F,"Number of Users",Data!$H:$H,"31-40",Data!$I:$I,"")</f>
        <v>567000</v>
      </c>
      <c r="J19" s="10">
        <f>SUMIFS(Data!$L:$L,Data!$B:$B,"cliq",Data!$K:$K,"native",Data!$J:$J,RIGHT(J$3,4)&amp;"-"&amp;LEFT(J$3,2),Data!$F:$F,"Number of Users",Data!$H:$H,"31-40",Data!$I:$I,"")</f>
        <v>589000</v>
      </c>
    </row>
    <row r="20" spans="1:10" ht="15" customHeight="1" x14ac:dyDescent="0.25">
      <c r="A20" s="9" t="s">
        <v>939</v>
      </c>
      <c r="B20" s="9" t="s">
        <v>50</v>
      </c>
      <c r="C20" s="10">
        <f>SUMIFS(Data!$L:$L,Data!$B:$B,"cliq",Data!$K:$K,"native",Data!$J:$J,RIGHT(C$3,4)&amp;"-"&amp;LEFT(C$3,2),Data!$F:$F,"Number of Users",Data!$H:$H,"41-50",Data!$I:$I,"")</f>
        <v>267100</v>
      </c>
      <c r="D20" s="10">
        <f>SUMIFS(Data!$L:$L,Data!$B:$B,"cliq",Data!$K:$K,"native",Data!$J:$J,RIGHT(D$3,4)&amp;"-"&amp;LEFT(D$3,2),Data!$F:$F,"Number of Users",Data!$H:$H,"41-50",Data!$I:$I,"")</f>
        <v>289300</v>
      </c>
      <c r="E20" s="10">
        <f>SUMIFS(Data!$L:$L,Data!$B:$B,"cliq",Data!$K:$K,"native",Data!$J:$J,RIGHT(E$3,4)&amp;"-"&amp;LEFT(E$3,2),Data!$F:$F,"Number of Users",Data!$H:$H,"41-50",Data!$I:$I,"")</f>
        <v>311700</v>
      </c>
      <c r="F20" s="10">
        <f>SUMIFS(Data!$L:$L,Data!$B:$B,"cliq",Data!$K:$K,"native",Data!$J:$J,RIGHT(F$3,4)&amp;"-"&amp;LEFT(F$3,2),Data!$F:$F,"Number of Users",Data!$H:$H,"41-50",Data!$I:$I,"")</f>
        <v>331600</v>
      </c>
      <c r="G20" s="10">
        <f>SUMIFS(Data!$L:$L,Data!$B:$B,"cliq",Data!$K:$K,"native",Data!$J:$J,RIGHT(G$3,4)&amp;"-"&amp;LEFT(G$3,2),Data!$F:$F,"Number of Users",Data!$H:$H,"41-50",Data!$I:$I,"")</f>
        <v>354300</v>
      </c>
      <c r="H20" s="10">
        <f>SUMIFS(Data!$L:$L,Data!$B:$B,"cliq",Data!$K:$K,"native",Data!$J:$J,RIGHT(H$3,4)&amp;"-"&amp;LEFT(H$3,2),Data!$F:$F,"Number of Users",Data!$H:$H,"41-50",Data!$I:$I,"")</f>
        <v>375400</v>
      </c>
      <c r="I20" s="10">
        <f>SUMIFS(Data!$L:$L,Data!$B:$B,"cliq",Data!$K:$K,"native",Data!$J:$J,RIGHT(I$3,4)&amp;"-"&amp;LEFT(I$3,2),Data!$F:$F,"Number of Users",Data!$H:$H,"41-50",Data!$I:$I,"")</f>
        <v>397000</v>
      </c>
      <c r="J20" s="10">
        <f>SUMIFS(Data!$L:$L,Data!$B:$B,"cliq",Data!$K:$K,"native",Data!$J:$J,RIGHT(J$3,4)&amp;"-"&amp;LEFT(J$3,2),Data!$F:$F,"Number of Users",Data!$H:$H,"41-50",Data!$I:$I,"")</f>
        <v>415300</v>
      </c>
    </row>
    <row r="21" spans="1:10" ht="15" customHeight="1" x14ac:dyDescent="0.25">
      <c r="A21" s="9" t="s">
        <v>939</v>
      </c>
      <c r="B21" s="9" t="s">
        <v>52</v>
      </c>
      <c r="C21" s="10">
        <f>SUMIFS(Data!$L:$L,Data!$B:$B,"cliq",Data!$K:$K,"native",Data!$J:$J,RIGHT(C$3,4)&amp;"-"&amp;LEFT(C$3,2),Data!$F:$F,"Number of Users",Data!$H:$H,"51-60",Data!$I:$I,"")</f>
        <v>162500</v>
      </c>
      <c r="D21" s="10">
        <f>SUMIFS(Data!$L:$L,Data!$B:$B,"cliq",Data!$K:$K,"native",Data!$J:$J,RIGHT(D$3,4)&amp;"-"&amp;LEFT(D$3,2),Data!$F:$F,"Number of Users",Data!$H:$H,"51-60",Data!$I:$I,"")</f>
        <v>176600</v>
      </c>
      <c r="E21" s="10">
        <f>SUMIFS(Data!$L:$L,Data!$B:$B,"cliq",Data!$K:$K,"native",Data!$J:$J,RIGHT(E$3,4)&amp;"-"&amp;LEFT(E$3,2),Data!$F:$F,"Number of Users",Data!$H:$H,"51-60",Data!$I:$I,"")</f>
        <v>190700</v>
      </c>
      <c r="F21" s="10">
        <f>SUMIFS(Data!$L:$L,Data!$B:$B,"cliq",Data!$K:$K,"native",Data!$J:$J,RIGHT(F$3,4)&amp;"-"&amp;LEFT(F$3,2),Data!$F:$F,"Number of Users",Data!$H:$H,"51-60",Data!$I:$I,"")</f>
        <v>203500</v>
      </c>
      <c r="G21" s="10">
        <f>SUMIFS(Data!$L:$L,Data!$B:$B,"cliq",Data!$K:$K,"native",Data!$J:$J,RIGHT(G$3,4)&amp;"-"&amp;LEFT(G$3,2),Data!$F:$F,"Number of Users",Data!$H:$H,"51-60",Data!$I:$I,"")</f>
        <v>218100</v>
      </c>
      <c r="H21" s="10">
        <f>SUMIFS(Data!$L:$L,Data!$B:$B,"cliq",Data!$K:$K,"native",Data!$J:$J,RIGHT(H$3,4)&amp;"-"&amp;LEFT(H$3,2),Data!$F:$F,"Number of Users",Data!$H:$H,"51-60",Data!$I:$I,"")</f>
        <v>232200</v>
      </c>
      <c r="I21" s="10">
        <f>SUMIFS(Data!$L:$L,Data!$B:$B,"cliq",Data!$K:$K,"native",Data!$J:$J,RIGHT(I$3,4)&amp;"-"&amp;LEFT(I$3,2),Data!$F:$F,"Number of Users",Data!$H:$H,"51-60",Data!$I:$I,"")</f>
        <v>246200</v>
      </c>
      <c r="J21" s="10">
        <f>SUMIFS(Data!$L:$L,Data!$B:$B,"cliq",Data!$K:$K,"native",Data!$J:$J,RIGHT(J$3,4)&amp;"-"&amp;LEFT(J$3,2),Data!$F:$F,"Number of Users",Data!$H:$H,"51-60",Data!$I:$I,"")</f>
        <v>258400</v>
      </c>
    </row>
    <row r="22" spans="1:10" ht="15" customHeight="1" x14ac:dyDescent="0.25">
      <c r="A22" s="9" t="s">
        <v>939</v>
      </c>
      <c r="B22" s="9" t="s">
        <v>54</v>
      </c>
      <c r="C22" s="10">
        <f>SUMIFS(Data!$L:$L,Data!$B:$B,"cliq",Data!$K:$K,"native",Data!$J:$J,RIGHT(C$3,4)&amp;"-"&amp;LEFT(C$3,2),Data!$F:$F,"Number of Users",Data!$H:$H,"61-70",Data!$I:$I,"")</f>
        <v>71100</v>
      </c>
      <c r="D22" s="10">
        <f>SUMIFS(Data!$L:$L,Data!$B:$B,"cliq",Data!$K:$K,"native",Data!$J:$J,RIGHT(D$3,4)&amp;"-"&amp;LEFT(D$3,2),Data!$F:$F,"Number of Users",Data!$H:$H,"61-70",Data!$I:$I,"")</f>
        <v>78100</v>
      </c>
      <c r="E22" s="10">
        <f>SUMIFS(Data!$L:$L,Data!$B:$B,"cliq",Data!$K:$K,"native",Data!$J:$J,RIGHT(E$3,4)&amp;"-"&amp;LEFT(E$3,2),Data!$F:$F,"Number of Users",Data!$H:$H,"61-70",Data!$I:$I,"")</f>
        <v>85500</v>
      </c>
      <c r="F22" s="10">
        <f>SUMIFS(Data!$L:$L,Data!$B:$B,"cliq",Data!$K:$K,"native",Data!$J:$J,RIGHT(F$3,4)&amp;"-"&amp;LEFT(F$3,2),Data!$F:$F,"Number of Users",Data!$H:$H,"61-70",Data!$I:$I,"")</f>
        <v>92500</v>
      </c>
      <c r="G22" s="10">
        <f>SUMIFS(Data!$L:$L,Data!$B:$B,"cliq",Data!$K:$K,"native",Data!$J:$J,RIGHT(G$3,4)&amp;"-"&amp;LEFT(G$3,2),Data!$F:$F,"Number of Users",Data!$H:$H,"61-70",Data!$I:$I,"")</f>
        <v>99800</v>
      </c>
      <c r="H22" s="10">
        <f>SUMIFS(Data!$L:$L,Data!$B:$B,"cliq",Data!$K:$K,"native",Data!$J:$J,RIGHT(H$3,4)&amp;"-"&amp;LEFT(H$3,2),Data!$F:$F,"Number of Users",Data!$H:$H,"61-70",Data!$I:$I,"")</f>
        <v>107100</v>
      </c>
      <c r="I22" s="10">
        <f>SUMIFS(Data!$L:$L,Data!$B:$B,"cliq",Data!$K:$K,"native",Data!$J:$J,RIGHT(I$3,4)&amp;"-"&amp;LEFT(I$3,2),Data!$F:$F,"Number of Users",Data!$H:$H,"61-70",Data!$I:$I,"")</f>
        <v>115500</v>
      </c>
      <c r="J22" s="10">
        <f>SUMIFS(Data!$L:$L,Data!$B:$B,"cliq",Data!$K:$K,"native",Data!$J:$J,RIGHT(J$3,4)&amp;"-"&amp;LEFT(J$3,2),Data!$F:$F,"Number of Users",Data!$H:$H,"61-70",Data!$I:$I,"")</f>
        <v>122800</v>
      </c>
    </row>
    <row r="23" spans="1:10" ht="15" customHeight="1" x14ac:dyDescent="0.25">
      <c r="A23" s="9" t="s">
        <v>939</v>
      </c>
      <c r="B23" s="9" t="s">
        <v>56</v>
      </c>
      <c r="C23" s="10">
        <f>SUMIFS(Data!$L:$L,Data!$B:$B,"cliq",Data!$K:$K,"native",Data!$J:$J,RIGHT(C$3,4)&amp;"-"&amp;LEFT(C$3,2),Data!$F:$F,"Number of Users",Data!$H:$H,"71-80",Data!$I:$I,"")</f>
        <v>18100</v>
      </c>
      <c r="D23" s="10">
        <f>SUMIFS(Data!$L:$L,Data!$B:$B,"cliq",Data!$K:$K,"native",Data!$J:$J,RIGHT(D$3,4)&amp;"-"&amp;LEFT(D$3,2),Data!$F:$F,"Number of Users",Data!$H:$H,"71-80",Data!$I:$I,"")</f>
        <v>20100</v>
      </c>
      <c r="E23" s="10">
        <f>SUMIFS(Data!$L:$L,Data!$B:$B,"cliq",Data!$K:$K,"native",Data!$J:$J,RIGHT(E$3,4)&amp;"-"&amp;LEFT(E$3,2),Data!$F:$F,"Number of Users",Data!$H:$H,"71-80",Data!$I:$I,"")</f>
        <v>22100</v>
      </c>
      <c r="F23" s="10">
        <f>SUMIFS(Data!$L:$L,Data!$B:$B,"cliq",Data!$K:$K,"native",Data!$J:$J,RIGHT(F$3,4)&amp;"-"&amp;LEFT(F$3,2),Data!$F:$F,"Number of Users",Data!$H:$H,"71-80",Data!$I:$I,"")</f>
        <v>24200</v>
      </c>
      <c r="G23" s="10">
        <f>SUMIFS(Data!$L:$L,Data!$B:$B,"cliq",Data!$K:$K,"native",Data!$J:$J,RIGHT(G$3,4)&amp;"-"&amp;LEFT(G$3,2),Data!$F:$F,"Number of Users",Data!$H:$H,"71-80",Data!$I:$I,"")</f>
        <v>26500</v>
      </c>
      <c r="H23" s="10">
        <f>SUMIFS(Data!$L:$L,Data!$B:$B,"cliq",Data!$K:$K,"native",Data!$J:$J,RIGHT(H$3,4)&amp;"-"&amp;LEFT(H$3,2),Data!$F:$F,"Number of Users",Data!$H:$H,"71-80",Data!$I:$I,"")</f>
        <v>28800</v>
      </c>
      <c r="I23" s="10">
        <f>SUMIFS(Data!$L:$L,Data!$B:$B,"cliq",Data!$K:$K,"native",Data!$J:$J,RIGHT(I$3,4)&amp;"-"&amp;LEFT(I$3,2),Data!$F:$F,"Number of Users",Data!$H:$H,"71-80",Data!$I:$I,"")</f>
        <v>31500</v>
      </c>
      <c r="J23" s="10">
        <f>SUMIFS(Data!$L:$L,Data!$B:$B,"cliq",Data!$K:$K,"native",Data!$J:$J,RIGHT(J$3,4)&amp;"-"&amp;LEFT(J$3,2),Data!$F:$F,"Number of Users",Data!$H:$H,"71-80",Data!$I:$I,"")</f>
        <v>34000</v>
      </c>
    </row>
    <row r="24" spans="1:10" ht="15" customHeight="1" x14ac:dyDescent="0.25">
      <c r="A24" s="9" t="s">
        <v>939</v>
      </c>
      <c r="B24" s="9" t="s">
        <v>58</v>
      </c>
      <c r="C24" s="10">
        <f>SUMIFS(Data!$L:$L,Data!$B:$B,"cliq",Data!$K:$K,"native",Data!$J:$J,RIGHT(C$3,4)&amp;"-"&amp;LEFT(C$3,2),Data!$F:$F,"Number of Users",Data!$H:$H,"81-90",Data!$I:$I,"")</f>
        <v>3700</v>
      </c>
      <c r="D24" s="10">
        <f>SUMIFS(Data!$L:$L,Data!$B:$B,"cliq",Data!$K:$K,"native",Data!$J:$J,RIGHT(D$3,4)&amp;"-"&amp;LEFT(D$3,2),Data!$F:$F,"Number of Users",Data!$H:$H,"81-90",Data!$I:$I,"")</f>
        <v>4000</v>
      </c>
      <c r="E24" s="10">
        <f>SUMIFS(Data!$L:$L,Data!$B:$B,"cliq",Data!$K:$K,"native",Data!$J:$J,RIGHT(E$3,4)&amp;"-"&amp;LEFT(E$3,2),Data!$F:$F,"Number of Users",Data!$H:$H,"81-90",Data!$I:$I,"")</f>
        <v>4000</v>
      </c>
      <c r="F24" s="10">
        <f>SUMIFS(Data!$L:$L,Data!$B:$B,"cliq",Data!$K:$K,"native",Data!$J:$J,RIGHT(F$3,4)&amp;"-"&amp;LEFT(F$3,2),Data!$F:$F,"Number of Users",Data!$H:$H,"81-90",Data!$I:$I,"")</f>
        <v>5500</v>
      </c>
      <c r="G24" s="10">
        <f>SUMIFS(Data!$L:$L,Data!$B:$B,"cliq",Data!$K:$K,"native",Data!$J:$J,RIGHT(G$3,4)&amp;"-"&amp;LEFT(G$3,2),Data!$F:$F,"Number of Users",Data!$H:$H,"81-90",Data!$I:$I,"")</f>
        <v>6000</v>
      </c>
      <c r="H24" s="10">
        <f>SUMIFS(Data!$L:$L,Data!$B:$B,"cliq",Data!$K:$K,"native",Data!$J:$J,RIGHT(H$3,4)&amp;"-"&amp;LEFT(H$3,2),Data!$F:$F,"Number of Users",Data!$H:$H,"81-90",Data!$I:$I,"")</f>
        <v>6400</v>
      </c>
      <c r="I24" s="10">
        <f>SUMIFS(Data!$L:$L,Data!$B:$B,"cliq",Data!$K:$K,"native",Data!$J:$J,RIGHT(I$3,4)&amp;"-"&amp;LEFT(I$3,2),Data!$F:$F,"Number of Users",Data!$H:$H,"81-90",Data!$I:$I,"")</f>
        <v>7000</v>
      </c>
      <c r="J24" s="10">
        <f>SUMIFS(Data!$L:$L,Data!$B:$B,"cliq",Data!$K:$K,"native",Data!$J:$J,RIGHT(J$3,4)&amp;"-"&amp;LEFT(J$3,2),Data!$F:$F,"Number of Users",Data!$H:$H,"81-90",Data!$I:$I,"")</f>
        <v>8400</v>
      </c>
    </row>
    <row r="25" spans="1:10" ht="15" customHeight="1" x14ac:dyDescent="0.25">
      <c r="A25" s="22" t="s">
        <v>940</v>
      </c>
      <c r="B25" s="22"/>
      <c r="C25" s="22"/>
      <c r="D25" s="22"/>
      <c r="E25" s="22"/>
      <c r="F25" s="22"/>
      <c r="G25" s="22"/>
      <c r="H25" s="22"/>
      <c r="I25" s="22"/>
      <c r="J25" s="22"/>
    </row>
    <row r="26" spans="1:10" ht="15" customHeight="1" x14ac:dyDescent="0.25">
      <c r="A26" s="9" t="s">
        <v>941</v>
      </c>
      <c r="B26" s="9" t="s">
        <v>942</v>
      </c>
      <c r="C26" s="10">
        <f>SUMIFS(Data!$L:$L,Data!$B:$B,"cliq",Data!$K:$K,"native",Data!$J:$J,RIGHT(C$3,4)&amp;"-"&amp;LEFT(C$3,2),Data!$F:$F,"Number of Users",Data!$H:$H,"Individual",Data!$I:$I,"")</f>
        <v>1530000</v>
      </c>
      <c r="D26" s="10">
        <f>SUMIFS(Data!$L:$L,Data!$B:$B,"cliq",Data!$K:$K,"native",Data!$J:$J,RIGHT(D$3,4)&amp;"-"&amp;LEFT(D$3,2),Data!$F:$F,"Number of Users",Data!$H:$H,"Individual",Data!$I:$I,"")</f>
        <v>1640000</v>
      </c>
      <c r="E26" s="10">
        <f>SUMIFS(Data!$L:$L,Data!$B:$B,"cliq",Data!$K:$K,"native",Data!$J:$J,RIGHT(E$3,4)&amp;"-"&amp;LEFT(E$3,2),Data!$F:$F,"Number of Users",Data!$H:$H,"Individual",Data!$I:$I,"")</f>
        <v>1740000</v>
      </c>
      <c r="F26" s="10">
        <f>SUMIFS(Data!$L:$L,Data!$B:$B,"cliq",Data!$K:$K,"native",Data!$J:$J,RIGHT(F$3,4)&amp;"-"&amp;LEFT(F$3,2),Data!$F:$F,"Number of Users",Data!$H:$H,"Individual",Data!$I:$I,"")</f>
        <v>1840000</v>
      </c>
      <c r="G26" s="10">
        <f>SUMIFS(Data!$L:$L,Data!$B:$B,"cliq",Data!$K:$K,"native",Data!$J:$J,RIGHT(G$3,4)&amp;"-"&amp;LEFT(G$3,2),Data!$F:$F,"Number of Users",Data!$H:$H,"Individual",Data!$I:$I,"")</f>
        <v>1950000</v>
      </c>
      <c r="H26" s="10">
        <f>SUMIFS(Data!$L:$L,Data!$B:$B,"cliq",Data!$K:$K,"native",Data!$J:$J,RIGHT(H$3,4)&amp;"-"&amp;LEFT(H$3,2),Data!$F:$F,"Number of Users",Data!$H:$H,"Individual",Data!$I:$I,"")</f>
        <v>2080000</v>
      </c>
      <c r="I26" s="10">
        <f>SUMIFS(Data!$L:$L,Data!$B:$B,"cliq",Data!$K:$K,"native",Data!$J:$J,RIGHT(I$3,4)&amp;"-"&amp;LEFT(I$3,2),Data!$F:$F,"Number of Users",Data!$H:$H,"Individual",Data!$I:$I,"")</f>
        <v>2170000</v>
      </c>
      <c r="J26" s="10">
        <f>SUMIFS(Data!$L:$L,Data!$B:$B,"cliq",Data!$K:$K,"native",Data!$J:$J,RIGHT(J$3,4)&amp;"-"&amp;LEFT(J$3,2),Data!$F:$F,"Number of Users",Data!$H:$H,"Individual",Data!$I:$I,"")</f>
        <v>2260000</v>
      </c>
    </row>
    <row r="27" spans="1:10" ht="15" customHeight="1" x14ac:dyDescent="0.25">
      <c r="A27" s="9" t="s">
        <v>941</v>
      </c>
      <c r="B27" s="9" t="s">
        <v>943</v>
      </c>
      <c r="C27" s="11">
        <f t="shared" ref="C27:J27" si="4">C$26/(C$26+C$28)</f>
        <v>0.98297462255059431</v>
      </c>
      <c r="D27" s="11">
        <f t="shared" si="4"/>
        <v>0.98180076628352486</v>
      </c>
      <c r="E27" s="11">
        <f t="shared" si="4"/>
        <v>0.98083427282976321</v>
      </c>
      <c r="F27" s="11">
        <f t="shared" si="4"/>
        <v>0.97997443544951002</v>
      </c>
      <c r="G27" s="11">
        <f t="shared" si="4"/>
        <v>0.97242307884107115</v>
      </c>
      <c r="H27" s="11">
        <f t="shared" si="4"/>
        <v>0.97730583094488555</v>
      </c>
      <c r="I27" s="11">
        <f t="shared" si="4"/>
        <v>0.97655371045407502</v>
      </c>
      <c r="J27" s="11">
        <f t="shared" si="4"/>
        <v>0.97582037996545767</v>
      </c>
    </row>
    <row r="28" spans="1:10" ht="15" customHeight="1" x14ac:dyDescent="0.25">
      <c r="A28" s="9" t="s">
        <v>941</v>
      </c>
      <c r="B28" s="9" t="s">
        <v>944</v>
      </c>
      <c r="C28" s="10">
        <f>SUMIFS(Data!$L:$L,Data!$B:$B,"cliq",Data!$K:$K,"native",Data!$J:$J,RIGHT(C$3,4)&amp;"-"&amp;LEFT(C$3,2),Data!$F:$F,"Number of Users",Data!$H:$H,"Legal (entities)",Data!$I:$I,"")</f>
        <v>26500</v>
      </c>
      <c r="D28" s="10">
        <f>SUMIFS(Data!$L:$L,Data!$B:$B,"cliq",Data!$K:$K,"native",Data!$J:$J,RIGHT(D$3,4)&amp;"-"&amp;LEFT(D$3,2),Data!$F:$F,"Number of Users",Data!$H:$H,"Legal (entities)",Data!$I:$I,"")</f>
        <v>30400</v>
      </c>
      <c r="E28" s="10">
        <f>SUMIFS(Data!$L:$L,Data!$B:$B,"cliq",Data!$K:$K,"native",Data!$J:$J,RIGHT(E$3,4)&amp;"-"&amp;LEFT(E$3,2),Data!$F:$F,"Number of Users",Data!$H:$H,"Legal (entities)",Data!$I:$I,"")</f>
        <v>34000</v>
      </c>
      <c r="F28" s="10">
        <f>SUMIFS(Data!$L:$L,Data!$B:$B,"cliq",Data!$K:$K,"native",Data!$J:$J,RIGHT(F$3,4)&amp;"-"&amp;LEFT(F$3,2),Data!$F:$F,"Number of Users",Data!$H:$H,"Legal (entities)",Data!$I:$I,"")</f>
        <v>37600</v>
      </c>
      <c r="G28" s="10">
        <f>SUMIFS(Data!$L:$L,Data!$B:$B,"cliq",Data!$K:$K,"native",Data!$J:$J,RIGHT(G$3,4)&amp;"-"&amp;LEFT(G$3,2),Data!$F:$F,"Number of Users",Data!$H:$H,"Legal (entities)",Data!$I:$I,"")</f>
        <v>55300</v>
      </c>
      <c r="H28" s="10">
        <f>SUMIFS(Data!$L:$L,Data!$B:$B,"cliq",Data!$K:$K,"native",Data!$J:$J,RIGHT(H$3,4)&amp;"-"&amp;LEFT(H$3,2),Data!$F:$F,"Number of Users",Data!$H:$H,"Legal (entities)",Data!$I:$I,"")</f>
        <v>48300</v>
      </c>
      <c r="I28" s="10">
        <f>SUMIFS(Data!$L:$L,Data!$B:$B,"cliq",Data!$K:$K,"native",Data!$J:$J,RIGHT(I$3,4)&amp;"-"&amp;LEFT(I$3,2),Data!$F:$F,"Number of Users",Data!$H:$H,"Legal (entities)",Data!$I:$I,"")</f>
        <v>52100</v>
      </c>
      <c r="J28" s="10">
        <f>SUMIFS(Data!$L:$L,Data!$B:$B,"cliq",Data!$K:$K,"native",Data!$J:$J,RIGHT(J$3,4)&amp;"-"&amp;LEFT(J$3,2),Data!$F:$F,"Number of Users",Data!$H:$H,"Legal (entities)",Data!$I:$I,"")</f>
        <v>56000</v>
      </c>
    </row>
    <row r="29" spans="1:10" ht="15" customHeight="1" x14ac:dyDescent="0.25">
      <c r="A29" s="9" t="s">
        <v>941</v>
      </c>
      <c r="B29" s="9" t="s">
        <v>945</v>
      </c>
      <c r="C29" s="11">
        <f t="shared" ref="C29:J29" si="5">C$28/(C$28+C$26)</f>
        <v>1.7025377449405719E-2</v>
      </c>
      <c r="D29" s="11">
        <f t="shared" si="5"/>
        <v>1.8199233716475097E-2</v>
      </c>
      <c r="E29" s="11">
        <f t="shared" si="5"/>
        <v>1.9165727170236752E-2</v>
      </c>
      <c r="F29" s="11">
        <f t="shared" si="5"/>
        <v>2.0025564550489986E-2</v>
      </c>
      <c r="G29" s="11">
        <f t="shared" si="5"/>
        <v>2.757692115892884E-2</v>
      </c>
      <c r="H29" s="11">
        <f t="shared" si="5"/>
        <v>2.269416905511441E-2</v>
      </c>
      <c r="I29" s="11">
        <f t="shared" si="5"/>
        <v>2.3446289545925026E-2</v>
      </c>
      <c r="J29" s="11">
        <f t="shared" si="5"/>
        <v>2.4179620034542316E-2</v>
      </c>
    </row>
    <row r="30" spans="1:10" ht="15" customHeight="1" x14ac:dyDescent="0.25">
      <c r="A30" s="22" t="s">
        <v>946</v>
      </c>
      <c r="B30" s="22"/>
      <c r="C30" s="22"/>
      <c r="D30" s="22"/>
      <c r="E30" s="22"/>
      <c r="F30" s="22"/>
      <c r="G30" s="22"/>
      <c r="H30" s="22"/>
      <c r="I30" s="22"/>
      <c r="J30" s="22"/>
    </row>
    <row r="31" spans="1:10" ht="15" customHeight="1" x14ac:dyDescent="0.25">
      <c r="A31" s="7" t="s">
        <v>199</v>
      </c>
      <c r="B31" s="7" t="s">
        <v>947</v>
      </c>
      <c r="C31" s="8">
        <f>SUMIFS(Data!$L:$L,Data!$B:$B,"cliq",Data!$K:$K,"native",Data!$J:$J,RIGHT(C$3,4)&amp;"-"&amp;LEFT(C$3,2),Data!$F:$F,"Number of Transactions",Data!$H:$H,"",Data!$I:$I,"")</f>
        <v>23210000</v>
      </c>
      <c r="D31" s="8">
        <f>SUMIFS(Data!$L:$L,Data!$B:$B,"cliq",Data!$K:$K,"native",Data!$J:$J,RIGHT(D$3,4)&amp;"-"&amp;LEFT(D$3,2),Data!$F:$F,"Number of Transactions",Data!$H:$H,"",Data!$I:$I,"")</f>
        <v>27850000</v>
      </c>
      <c r="E31" s="8">
        <f>SUMIFS(Data!$L:$L,Data!$B:$B,"cliq",Data!$K:$K,"native",Data!$J:$J,RIGHT(E$3,4)&amp;"-"&amp;LEFT(E$3,2),Data!$F:$F,"Number of Transactions",Data!$H:$H,"",Data!$I:$I,"")</f>
        <v>32330000</v>
      </c>
      <c r="F31" s="8">
        <f>SUMIFS(Data!$L:$L,Data!$B:$B,"cliq",Data!$K:$K,"native",Data!$J:$J,RIGHT(F$3,4)&amp;"-"&amp;LEFT(F$3,2),Data!$F:$F,"Number of Transactions",Data!$H:$H,"",Data!$I:$I,"")</f>
        <v>38330000</v>
      </c>
      <c r="G31" s="8">
        <f>SUMIFS(Data!$L:$L,Data!$B:$B,"cliq",Data!$K:$K,"native",Data!$J:$J,RIGHT(G$3,4)&amp;"-"&amp;LEFT(G$3,2),Data!$F:$F,"Number of Transactions",Data!$H:$H,"",Data!$I:$I,"")</f>
        <v>46650000</v>
      </c>
      <c r="H31" s="8">
        <f>SUMIFS(Data!$L:$L,Data!$B:$B,"cliq",Data!$K:$K,"native",Data!$J:$J,RIGHT(H$3,4)&amp;"-"&amp;LEFT(H$3,2),Data!$F:$F,"Number of Transactions",Data!$H:$H,"",Data!$I:$I,"")</f>
        <v>50610000</v>
      </c>
      <c r="I31" s="8">
        <f>SUMIFS(Data!$L:$L,Data!$B:$B,"cliq",Data!$K:$K,"native",Data!$J:$J,RIGHT(I$3,4)&amp;"-"&amp;LEFT(I$3,2),Data!$F:$F,"Number of Transactions",Data!$H:$H,"",Data!$I:$I,"")</f>
        <v>53290000</v>
      </c>
      <c r="J31" s="8">
        <f>SUMIFS(Data!$L:$L,Data!$B:$B,"cliq",Data!$K:$K,"native",Data!$J:$J,RIGHT(J$3,4)&amp;"-"&amp;LEFT(J$3,2),Data!$F:$F,"Number of Transactions",Data!$H:$H,"",Data!$I:$I,"")</f>
        <v>61720000</v>
      </c>
    </row>
    <row r="32" spans="1:10" ht="15" customHeight="1" x14ac:dyDescent="0.25">
      <c r="A32" s="7" t="s">
        <v>199</v>
      </c>
      <c r="B32" s="7" t="s">
        <v>948</v>
      </c>
      <c r="C32" s="8">
        <f>SUMIFS(Data!$L:$L,Data!$B:$B,"cliq",Data!$K:$K,"native",Data!$J:$J,RIGHT(C$3,4)&amp;"-"&amp;LEFT(C$3,2),Data!$F:$F,"Value of Transactions",Data!$H:$H,"",Data!$I:$I,"")</f>
        <v>3420000000</v>
      </c>
      <c r="D32" s="8">
        <f>SUMIFS(Data!$L:$L,Data!$B:$B,"cliq",Data!$K:$K,"native",Data!$J:$J,RIGHT(D$3,4)&amp;"-"&amp;LEFT(D$3,2),Data!$F:$F,"Value of Transactions",Data!$H:$H,"",Data!$I:$I,"")</f>
        <v>3730000000</v>
      </c>
      <c r="E32" s="8">
        <f>SUMIFS(Data!$L:$L,Data!$B:$B,"cliq",Data!$K:$K,"native",Data!$J:$J,RIGHT(E$3,4)&amp;"-"&amp;LEFT(E$3,2),Data!$F:$F,"Value of Transactions",Data!$H:$H,"",Data!$I:$I,"")</f>
        <v>4170000000</v>
      </c>
      <c r="F32" s="8">
        <f>SUMIFS(Data!$L:$L,Data!$B:$B,"cliq",Data!$K:$K,"native",Data!$J:$J,RIGHT(F$3,4)&amp;"-"&amp;LEFT(F$3,2),Data!$F:$F,"Value of Transactions",Data!$H:$H,"",Data!$I:$I,"")</f>
        <v>4720000000</v>
      </c>
      <c r="G32" s="8">
        <f>SUMIFS(Data!$L:$L,Data!$B:$B,"cliq",Data!$K:$K,"native",Data!$J:$J,RIGHT(G$3,4)&amp;"-"&amp;LEFT(G$3,2),Data!$F:$F,"Value of Transactions",Data!$H:$H,"",Data!$I:$I,"")</f>
        <v>5610000000</v>
      </c>
      <c r="H32" s="8">
        <f>SUMIFS(Data!$L:$L,Data!$B:$B,"cliq",Data!$K:$K,"native",Data!$J:$J,RIGHT(H$3,4)&amp;"-"&amp;LEFT(H$3,2),Data!$F:$F,"Value of Transactions",Data!$H:$H,"",Data!$I:$I,"")</f>
        <v>5460000000</v>
      </c>
      <c r="I32" s="8">
        <f>SUMIFS(Data!$L:$L,Data!$B:$B,"cliq",Data!$K:$K,"native",Data!$J:$J,RIGHT(I$3,4)&amp;"-"&amp;LEFT(I$3,2),Data!$F:$F,"Value of Transactions",Data!$H:$H,"",Data!$I:$I,"")</f>
        <v>5710000000</v>
      </c>
      <c r="J32" s="8">
        <f>SUMIFS(Data!$L:$L,Data!$B:$B,"cliq",Data!$K:$K,"native",Data!$J:$J,RIGHT(J$3,4)&amp;"-"&amp;LEFT(J$3,2),Data!$F:$F,"Value of Transactions",Data!$H:$H,"",Data!$I:$I,"")</f>
        <v>6170000000</v>
      </c>
    </row>
    <row r="33" spans="1:10" ht="15" customHeight="1" x14ac:dyDescent="0.25">
      <c r="A33" s="22" t="s">
        <v>949</v>
      </c>
      <c r="B33" s="22"/>
      <c r="C33" s="22"/>
      <c r="D33" s="22"/>
      <c r="E33" s="22"/>
      <c r="F33" s="22"/>
      <c r="G33" s="22"/>
      <c r="H33" s="22"/>
      <c r="I33" s="22"/>
      <c r="J33" s="22"/>
    </row>
    <row r="34" spans="1:10" ht="15" customHeight="1" x14ac:dyDescent="0.25">
      <c r="A34" s="9" t="s">
        <v>1028</v>
      </c>
      <c r="B34" s="9" t="s">
        <v>200</v>
      </c>
      <c r="C34" s="10">
        <f>SUMIFS(Data!$L:$L,Data!$B:$B,"cliq",Data!$K:$K,"native",Data!$J:$J,RIGHT(C$3,4)&amp;"-"&amp;LEFT(C$3,2),Data!$F:$F,"Number of Transactions",Data!$H:$H,"Money Transfer",Data!$I:$I,"")</f>
        <v>20000000</v>
      </c>
      <c r="D34" s="10">
        <f>SUMIFS(Data!$L:$L,Data!$B:$B,"cliq",Data!$K:$K,"native",Data!$J:$J,RIGHT(D$3,4)&amp;"-"&amp;LEFT(D$3,2),Data!$F:$F,"Number of Transactions",Data!$H:$H,"Money Transfer",Data!$I:$I,"")</f>
        <v>23900000</v>
      </c>
      <c r="E34" s="10">
        <f>SUMIFS(Data!$L:$L,Data!$B:$B,"cliq",Data!$K:$K,"native",Data!$J:$J,RIGHT(E$3,4)&amp;"-"&amp;LEFT(E$3,2),Data!$F:$F,"Number of Transactions",Data!$H:$H,"Money Transfer",Data!$I:$I,"")</f>
        <v>27600000</v>
      </c>
      <c r="F34" s="10">
        <f>SUMIFS(Data!$L:$L,Data!$B:$B,"cliq",Data!$K:$K,"native",Data!$J:$J,RIGHT(F$3,4)&amp;"-"&amp;LEFT(F$3,2),Data!$F:$F,"Number of Transactions",Data!$H:$H,"Money Transfer",Data!$I:$I,"")</f>
        <v>32500000</v>
      </c>
      <c r="G34" s="10">
        <f>SUMIFS(Data!$L:$L,Data!$B:$B,"cliq",Data!$K:$K,"native",Data!$J:$J,RIGHT(G$3,4)&amp;"-"&amp;LEFT(G$3,2),Data!$F:$F,"Number of Transactions",Data!$H:$H,"Money Transfer",Data!$I:$I,"")</f>
        <v>37400000</v>
      </c>
      <c r="H34" s="10">
        <f>SUMIFS(Data!$L:$L,Data!$B:$B,"cliq",Data!$K:$K,"native",Data!$J:$J,RIGHT(H$3,4)&amp;"-"&amp;LEFT(H$3,2),Data!$F:$F,"Number of Transactions",Data!$H:$H,"Money Transfer",Data!$I:$I,"")</f>
        <v>40700000</v>
      </c>
      <c r="I34" s="10">
        <f>SUMIFS(Data!$L:$L,Data!$B:$B,"cliq",Data!$K:$K,"native",Data!$J:$J,RIGHT(I$3,4)&amp;"-"&amp;LEFT(I$3,2),Data!$F:$F,"Number of Transactions",Data!$H:$H,"Money Transfer",Data!$I:$I,"")</f>
        <v>43200000</v>
      </c>
      <c r="J34" s="10">
        <f>SUMIFS(Data!$L:$L,Data!$B:$B,"cliq",Data!$K:$K,"native",Data!$J:$J,RIGHT(J$3,4)&amp;"-"&amp;LEFT(J$3,2),Data!$F:$F,"Number of Transactions",Data!$H:$H,"Money Transfer",Data!$I:$I,"")</f>
        <v>49500000</v>
      </c>
    </row>
    <row r="35" spans="1:10" ht="15" customHeight="1" x14ac:dyDescent="0.25">
      <c r="A35" s="9" t="s">
        <v>1028</v>
      </c>
      <c r="B35" s="9" t="s">
        <v>950</v>
      </c>
      <c r="C35" s="11">
        <f t="shared" ref="C35:J35" si="6">C$34/C$31</f>
        <v>0.86169754416199917</v>
      </c>
      <c r="D35" s="11">
        <f t="shared" si="6"/>
        <v>0.85816876122082586</v>
      </c>
      <c r="E35" s="11">
        <f t="shared" si="6"/>
        <v>0.8536962573461182</v>
      </c>
      <c r="F35" s="11">
        <f t="shared" si="6"/>
        <v>0.84789981737542397</v>
      </c>
      <c r="G35" s="11">
        <f t="shared" si="6"/>
        <v>0.80171489817792063</v>
      </c>
      <c r="H35" s="11">
        <f t="shared" si="6"/>
        <v>0.80418889547520256</v>
      </c>
      <c r="I35" s="11">
        <f t="shared" si="6"/>
        <v>0.81065866016138111</v>
      </c>
      <c r="J35" s="11">
        <f t="shared" si="6"/>
        <v>0.80200907323395987</v>
      </c>
    </row>
    <row r="36" spans="1:10" ht="15" customHeight="1" x14ac:dyDescent="0.25">
      <c r="A36" s="9" t="s">
        <v>1028</v>
      </c>
      <c r="B36" s="9" t="s">
        <v>207</v>
      </c>
      <c r="C36" s="10">
        <f>SUMIFS(Data!$L:$L,Data!$B:$B,"cliq",Data!$K:$K,"native",Data!$J:$J,RIGHT(C$3,4)&amp;"-"&amp;LEFT(C$3,2),Data!$F:$F,"Number of Transactions",Data!$H:$H,"Purchases",Data!$I:$I,"")</f>
        <v>3210000</v>
      </c>
      <c r="D36" s="10">
        <f>SUMIFS(Data!$L:$L,Data!$B:$B,"cliq",Data!$K:$K,"native",Data!$J:$J,RIGHT(D$3,4)&amp;"-"&amp;LEFT(D$3,2),Data!$F:$F,"Number of Transactions",Data!$H:$H,"Purchases",Data!$I:$I,"")</f>
        <v>3940000</v>
      </c>
      <c r="E36" s="10">
        <f>SUMIFS(Data!$L:$L,Data!$B:$B,"cliq",Data!$K:$K,"native",Data!$J:$J,RIGHT(E$3,4)&amp;"-"&amp;LEFT(E$3,2),Data!$F:$F,"Number of Transactions",Data!$H:$H,"Purchases",Data!$I:$I,"")</f>
        <v>4700000</v>
      </c>
      <c r="F36" s="10">
        <f>SUMIFS(Data!$L:$L,Data!$B:$B,"cliq",Data!$K:$K,"native",Data!$J:$J,RIGHT(F$3,4)&amp;"-"&amp;LEFT(F$3,2),Data!$F:$F,"Number of Transactions",Data!$H:$H,"Purchases",Data!$I:$I,"")</f>
        <v>5790000</v>
      </c>
      <c r="G36" s="10">
        <f>SUMIFS(Data!$L:$L,Data!$B:$B,"cliq",Data!$K:$K,"native",Data!$J:$J,RIGHT(G$3,4)&amp;"-"&amp;LEFT(G$3,2),Data!$F:$F,"Number of Transactions",Data!$H:$H,"Purchases",Data!$I:$I,"")</f>
        <v>9210000</v>
      </c>
      <c r="H36" s="10">
        <f>SUMIFS(Data!$L:$L,Data!$B:$B,"cliq",Data!$K:$K,"native",Data!$J:$J,RIGHT(H$3,4)&amp;"-"&amp;LEFT(H$3,2),Data!$F:$F,"Number of Transactions",Data!$H:$H,"Purchases",Data!$I:$I,"")</f>
        <v>9870000</v>
      </c>
      <c r="I36" s="10">
        <f>SUMIFS(Data!$L:$L,Data!$B:$B,"cliq",Data!$K:$K,"native",Data!$J:$J,RIGHT(I$3,4)&amp;"-"&amp;LEFT(I$3,2),Data!$F:$F,"Number of Transactions",Data!$H:$H,"Purchases",Data!$I:$I,"")</f>
        <v>10110000</v>
      </c>
      <c r="J36" s="10">
        <f>SUMIFS(Data!$L:$L,Data!$B:$B,"cliq",Data!$K:$K,"native",Data!$J:$J,RIGHT(J$3,4)&amp;"-"&amp;LEFT(J$3,2),Data!$F:$F,"Number of Transactions",Data!$H:$H,"Purchases",Data!$I:$I,"")</f>
        <v>12220000</v>
      </c>
    </row>
    <row r="37" spans="1:10" ht="15" customHeight="1" x14ac:dyDescent="0.25">
      <c r="A37" s="9" t="s">
        <v>1028</v>
      </c>
      <c r="B37" s="9" t="s">
        <v>951</v>
      </c>
      <c r="C37" s="11">
        <f t="shared" ref="C37:J37" si="7">C$36/C$31</f>
        <v>0.13830245583800085</v>
      </c>
      <c r="D37" s="11">
        <f t="shared" si="7"/>
        <v>0.14147217235188511</v>
      </c>
      <c r="E37" s="11">
        <f t="shared" si="7"/>
        <v>0.14537581193937518</v>
      </c>
      <c r="F37" s="11">
        <f t="shared" si="7"/>
        <v>0.15105661361857553</v>
      </c>
      <c r="G37" s="11">
        <f t="shared" si="7"/>
        <v>0.19742765273311896</v>
      </c>
      <c r="H37" s="11">
        <f t="shared" si="7"/>
        <v>0.19502074688796681</v>
      </c>
      <c r="I37" s="11">
        <f t="shared" si="7"/>
        <v>0.18971664477387878</v>
      </c>
      <c r="J37" s="11">
        <f t="shared" si="7"/>
        <v>0.19799092676604019</v>
      </c>
    </row>
    <row r="38" spans="1:10" ht="15" customHeight="1" x14ac:dyDescent="0.25">
      <c r="A38" s="12" t="s">
        <v>952</v>
      </c>
      <c r="B38" s="12" t="s">
        <v>953</v>
      </c>
      <c r="C38" s="13">
        <f t="shared" ref="C38:J38" si="8">C34+C36</f>
        <v>23210000</v>
      </c>
      <c r="D38" s="13">
        <f t="shared" si="8"/>
        <v>27840000</v>
      </c>
      <c r="E38" s="13">
        <f t="shared" si="8"/>
        <v>32300000</v>
      </c>
      <c r="F38" s="13">
        <f t="shared" si="8"/>
        <v>38290000</v>
      </c>
      <c r="G38" s="13">
        <f t="shared" si="8"/>
        <v>46610000</v>
      </c>
      <c r="H38" s="13">
        <f t="shared" si="8"/>
        <v>50570000</v>
      </c>
      <c r="I38" s="13">
        <f>I34+I36</f>
        <v>53310000</v>
      </c>
      <c r="J38" s="13">
        <f t="shared" si="8"/>
        <v>61720000</v>
      </c>
    </row>
    <row r="39" spans="1:10" ht="15" customHeight="1" x14ac:dyDescent="0.25">
      <c r="A39" s="22" t="s">
        <v>954</v>
      </c>
      <c r="B39" s="22"/>
      <c r="C39" s="22"/>
      <c r="D39" s="22"/>
      <c r="E39" s="22"/>
      <c r="F39" s="22"/>
      <c r="G39" s="22"/>
      <c r="H39" s="22"/>
      <c r="I39" s="22"/>
      <c r="J39" s="22"/>
    </row>
    <row r="40" spans="1:10" ht="15" customHeight="1" x14ac:dyDescent="0.25">
      <c r="A40" s="9" t="s">
        <v>955</v>
      </c>
      <c r="B40" s="9" t="s">
        <v>956</v>
      </c>
      <c r="C40" s="10">
        <f>SUMIFS(Data!$L:$L,Data!$B:$B,"cliq",Data!$K:$K,"native",Data!$J:$J,RIGHT(C$3,4)&amp;"-"&amp;LEFT(C$3,2),Data!$F:$F,"Value of Transactions",Data!$H:$H,"Money Transfer",Data!$I:$I,"")</f>
        <v>2790000000</v>
      </c>
      <c r="D40" s="10">
        <f>SUMIFS(Data!$L:$L,Data!$B:$B,"cliq",Data!$K:$K,"native",Data!$J:$J,RIGHT(D$3,4)&amp;"-"&amp;LEFT(D$3,2),Data!$F:$F,"Value of Transactions",Data!$H:$H,"Money Transfer",Data!$I:$I,"")</f>
        <v>3030000000</v>
      </c>
      <c r="E40" s="10">
        <f>SUMIFS(Data!$L:$L,Data!$B:$B,"cliq",Data!$K:$K,"native",Data!$J:$J,RIGHT(E$3,4)&amp;"-"&amp;LEFT(E$3,2),Data!$F:$F,"Value of Transactions",Data!$H:$H,"Money Transfer",Data!$I:$I,"")</f>
        <v>3370000000</v>
      </c>
      <c r="F40" s="10">
        <f>SUMIFS(Data!$L:$L,Data!$B:$B,"cliq",Data!$K:$K,"native",Data!$J:$J,RIGHT(F$3,4)&amp;"-"&amp;LEFT(F$3,2),Data!$F:$F,"Value of Transactions",Data!$H:$H,"Money Transfer",Data!$I:$I,"")</f>
        <v>3730000000</v>
      </c>
      <c r="G40" s="10">
        <f>SUMIFS(Data!$L:$L,Data!$B:$B,"cliq",Data!$K:$K,"native",Data!$J:$J,RIGHT(G$3,4)&amp;"-"&amp;LEFT(G$3,2),Data!$F:$F,"Value of Transactions",Data!$H:$H,"Money Transfer",Data!$I:$I,"")</f>
        <v>4090000000</v>
      </c>
      <c r="H40" s="10">
        <f>SUMIFS(Data!$L:$L,Data!$B:$B,"cliq",Data!$K:$K,"native",Data!$J:$J,RIGHT(H$3,4)&amp;"-"&amp;LEFT(H$3,2),Data!$F:$F,"Value of Transactions",Data!$H:$H,"Money Transfer",Data!$I:$I,"")</f>
        <v>4000000000</v>
      </c>
      <c r="I40" s="10">
        <f>SUMIFS(Data!$L:$L,Data!$B:$B,"cliq",Data!$K:$K,"native",Data!$J:$J,RIGHT(I$3,4)&amp;"-"&amp;LEFT(I$3,2),Data!$F:$F,"Value of Transactions",Data!$H:$H,"Money Transfer",Data!$I:$I,"")</f>
        <v>4230000000</v>
      </c>
      <c r="J40" s="10">
        <f>SUMIFS(Data!$L:$L,Data!$B:$B,"cliq",Data!$K:$K,"native",Data!$J:$J,RIGHT(J$3,4)&amp;"-"&amp;LEFT(J$3,2),Data!$F:$F,"Value of Transactions",Data!$H:$H,"Money Transfer",Data!$I:$I,"")</f>
        <v>4480000000</v>
      </c>
    </row>
    <row r="41" spans="1:10" ht="15" customHeight="1" x14ac:dyDescent="0.25">
      <c r="A41" s="9" t="s">
        <v>955</v>
      </c>
      <c r="B41" s="9" t="s">
        <v>950</v>
      </c>
      <c r="C41" s="11">
        <f t="shared" ref="C41:J41" si="9">C$40/C$32</f>
        <v>0.81578947368421051</v>
      </c>
      <c r="D41" s="11">
        <f t="shared" si="9"/>
        <v>0.81233243967828417</v>
      </c>
      <c r="E41" s="11">
        <f t="shared" si="9"/>
        <v>0.80815347721822539</v>
      </c>
      <c r="F41" s="11">
        <f t="shared" si="9"/>
        <v>0.7902542372881356</v>
      </c>
      <c r="G41" s="11">
        <f t="shared" si="9"/>
        <v>0.72905525846702313</v>
      </c>
      <c r="H41" s="11">
        <f t="shared" si="9"/>
        <v>0.73260073260073255</v>
      </c>
      <c r="I41" s="11">
        <f t="shared" si="9"/>
        <v>0.74080560420315233</v>
      </c>
      <c r="J41" s="11">
        <f t="shared" si="9"/>
        <v>0.72609400324149109</v>
      </c>
    </row>
    <row r="42" spans="1:10" ht="15" customHeight="1" x14ac:dyDescent="0.25">
      <c r="A42" s="9" t="s">
        <v>955</v>
      </c>
      <c r="B42" s="9" t="s">
        <v>957</v>
      </c>
      <c r="C42" s="10">
        <f>SUMIFS(Data!$L:$L,Data!$B:$B,"cliq",Data!$K:$K,"native",Data!$J:$J,RIGHT(C$3,4)&amp;"-"&amp;LEFT(C$3,2),Data!$F:$F,"Value of Transactions",Data!$H:$H,"Purchases",Data!$I:$I,"")</f>
        <v>626000000</v>
      </c>
      <c r="D42" s="10">
        <f>SUMIFS(Data!$L:$L,Data!$B:$B,"cliq",Data!$K:$K,"native",Data!$J:$J,RIGHT(D$3,4)&amp;"-"&amp;LEFT(D$3,2),Data!$F:$F,"Value of Transactions",Data!$H:$H,"Purchases",Data!$I:$I,"")</f>
        <v>702000000</v>
      </c>
      <c r="E42" s="10">
        <f>SUMIFS(Data!$L:$L,Data!$B:$B,"cliq",Data!$K:$K,"native",Data!$J:$J,RIGHT(E$3,4)&amp;"-"&amp;LEFT(E$3,2),Data!$F:$F,"Value of Transactions",Data!$H:$H,"Purchases",Data!$I:$I,"")</f>
        <v>808000000</v>
      </c>
      <c r="F42" s="10">
        <f>SUMIFS(Data!$L:$L,Data!$B:$B,"cliq",Data!$K:$K,"native",Data!$J:$J,RIGHT(F$3,4)&amp;"-"&amp;LEFT(F$3,2),Data!$F:$F,"Value of Transactions",Data!$H:$H,"Purchases",Data!$I:$I,"")</f>
        <v>994000000</v>
      </c>
      <c r="G42" s="10">
        <f>SUMIFS(Data!$L:$L,Data!$B:$B,"cliq",Data!$K:$K,"native",Data!$J:$J,RIGHT(G$3,4)&amp;"-"&amp;LEFT(G$3,2),Data!$F:$F,"Value of Transactions",Data!$H:$H,"Purchases",Data!$I:$I,"")</f>
        <v>1520000000</v>
      </c>
      <c r="H42" s="10">
        <f>SUMIFS(Data!$L:$L,Data!$B:$B,"cliq",Data!$K:$K,"native",Data!$J:$J,RIGHT(H$3,4)&amp;"-"&amp;LEFT(H$3,2),Data!$F:$F,"Value of Transactions",Data!$H:$H,"Purchases",Data!$I:$I,"")</f>
        <v>1470000000</v>
      </c>
      <c r="I42" s="10">
        <f>SUMIFS(Data!$L:$L,Data!$B:$B,"cliq",Data!$K:$K,"native",Data!$J:$J,RIGHT(I$3,4)&amp;"-"&amp;LEFT(I$3,2),Data!$F:$F,"Value of Transactions",Data!$H:$H,"Purchases",Data!$I:$I,"")</f>
        <v>1480000000</v>
      </c>
      <c r="J42" s="10">
        <f>SUMIFS(Data!$L:$L,Data!$B:$B,"cliq",Data!$K:$K,"native",Data!$J:$J,RIGHT(J$3,4)&amp;"-"&amp;LEFT(J$3,2),Data!$F:$F,"Value of Transactions",Data!$H:$H,"Purchases",Data!$I:$I,"")</f>
        <v>1690000000</v>
      </c>
    </row>
    <row r="43" spans="1:10" ht="15" customHeight="1" x14ac:dyDescent="0.25">
      <c r="A43" s="9" t="s">
        <v>955</v>
      </c>
      <c r="B43" s="9" t="s">
        <v>951</v>
      </c>
      <c r="C43" s="11">
        <f t="shared" ref="C43:J43" si="10">C$42/C$32</f>
        <v>0.18304093567251462</v>
      </c>
      <c r="D43" s="11">
        <f t="shared" si="10"/>
        <v>0.18820375335120643</v>
      </c>
      <c r="E43" s="11">
        <f t="shared" si="10"/>
        <v>0.19376498800959233</v>
      </c>
      <c r="F43" s="11">
        <f t="shared" si="10"/>
        <v>0.21059322033898306</v>
      </c>
      <c r="G43" s="11">
        <f t="shared" si="10"/>
        <v>0.27094474153297682</v>
      </c>
      <c r="H43" s="11">
        <f t="shared" si="10"/>
        <v>0.26923076923076922</v>
      </c>
      <c r="I43" s="11">
        <f t="shared" si="10"/>
        <v>0.25919439579684761</v>
      </c>
      <c r="J43" s="11">
        <f t="shared" si="10"/>
        <v>0.27390599675850891</v>
      </c>
    </row>
    <row r="44" spans="1:10" ht="15" customHeight="1" x14ac:dyDescent="0.25">
      <c r="A44" s="12" t="s">
        <v>952</v>
      </c>
      <c r="B44" s="12" t="s">
        <v>958</v>
      </c>
      <c r="C44" s="13">
        <f t="shared" ref="C44:J44" si="11">C40+C42</f>
        <v>3416000000</v>
      </c>
      <c r="D44" s="13">
        <f t="shared" si="11"/>
        <v>3732000000</v>
      </c>
      <c r="E44" s="13">
        <f t="shared" si="11"/>
        <v>4178000000</v>
      </c>
      <c r="F44" s="13">
        <f t="shared" si="11"/>
        <v>4724000000</v>
      </c>
      <c r="G44" s="13">
        <f t="shared" si="11"/>
        <v>5610000000</v>
      </c>
      <c r="H44" s="13">
        <f t="shared" si="11"/>
        <v>5470000000</v>
      </c>
      <c r="I44" s="13">
        <f t="shared" si="11"/>
        <v>5710000000</v>
      </c>
      <c r="J44" s="13">
        <f t="shared" si="11"/>
        <v>6170000000</v>
      </c>
    </row>
    <row r="45" spans="1:10" ht="15" customHeight="1" x14ac:dyDescent="0.25">
      <c r="A45" s="22" t="s">
        <v>959</v>
      </c>
      <c r="B45" s="22"/>
      <c r="C45" s="22"/>
      <c r="D45" s="22"/>
      <c r="E45" s="22"/>
      <c r="F45" s="22"/>
      <c r="G45" s="22"/>
      <c r="H45" s="22"/>
      <c r="I45" s="22"/>
      <c r="J45" s="22"/>
    </row>
    <row r="46" spans="1:10" ht="15" customHeight="1" x14ac:dyDescent="0.25">
      <c r="A46" s="9" t="s">
        <v>1023</v>
      </c>
      <c r="B46" s="9" t="s">
        <v>960</v>
      </c>
      <c r="C46" s="10">
        <f>SUMIFS(Data!$L:$L,Data!$B:$B,"cliq",Data!$K:$K,"native",Data!$J:$J,RIGHT(C$3,4)&amp;"-"&amp;LEFT(C$3,2),Data!$F:$F,"Number of Transactions",Data!$H:$H,"Money Transfer",Data!$I:$I,"On Us")</f>
        <v>3780000</v>
      </c>
      <c r="D46" s="10">
        <f>SUMIFS(Data!$L:$L,Data!$B:$B,"cliq",Data!$K:$K,"native",Data!$J:$J,RIGHT(D$3,4)&amp;"-"&amp;LEFT(D$3,2),Data!$F:$F,"Number of Transactions",Data!$H:$H,"Money Transfer",Data!$I:$I,"On Us")</f>
        <v>4520000</v>
      </c>
      <c r="E46" s="10">
        <f>SUMIFS(Data!$L:$L,Data!$B:$B,"cliq",Data!$K:$K,"native",Data!$J:$J,RIGHT(E$3,4)&amp;"-"&amp;LEFT(E$3,2),Data!$F:$F,"Number of Transactions",Data!$H:$H,"Money Transfer",Data!$I:$I,"On Us")</f>
        <v>5200000</v>
      </c>
      <c r="F46" s="10">
        <f>SUMIFS(Data!$L:$L,Data!$B:$B,"cliq",Data!$K:$K,"native",Data!$J:$J,RIGHT(F$3,4)&amp;"-"&amp;LEFT(F$3,2),Data!$F:$F,"Number of Transactions",Data!$H:$H,"Money Transfer",Data!$I:$I,"On Us")</f>
        <v>6090000</v>
      </c>
      <c r="G46" s="10">
        <f>SUMIFS(Data!$L:$L,Data!$B:$B,"cliq",Data!$K:$K,"native",Data!$J:$J,RIGHT(G$3,4)&amp;"-"&amp;LEFT(G$3,2),Data!$F:$F,"Number of Transactions",Data!$H:$H,"Money Transfer",Data!$I:$I,"On Us")</f>
        <v>7080000</v>
      </c>
      <c r="H46" s="10">
        <f>SUMIFS(Data!$L:$L,Data!$B:$B,"cliq",Data!$K:$K,"native",Data!$J:$J,RIGHT(H$3,4)&amp;"-"&amp;LEFT(H$3,2),Data!$F:$F,"Number of Transactions",Data!$H:$H,"Money Transfer",Data!$I:$I,"On Us")</f>
        <v>7700000</v>
      </c>
      <c r="I46" s="10">
        <f>SUMIFS(Data!$L:$L,Data!$B:$B,"cliq",Data!$K:$K,"native",Data!$J:$J,RIGHT(I$3,4)&amp;"-"&amp;LEFT(I$3,2),Data!$F:$F,"Number of Transactions",Data!$H:$H,"Money Transfer",Data!$I:$I,"On Us")</f>
        <v>8160000</v>
      </c>
      <c r="J46" s="10">
        <f>SUMIFS(Data!$L:$L,Data!$B:$B,"cliq",Data!$K:$K,"native",Data!$J:$J,RIGHT(J$3,4)&amp;"-"&amp;LEFT(J$3,2),Data!$F:$F,"Number of Transactions",Data!$H:$H,"Money Transfer",Data!$I:$I,"On Us")</f>
        <v>9280000</v>
      </c>
    </row>
    <row r="47" spans="1:10" ht="15" customHeight="1" x14ac:dyDescent="0.25">
      <c r="A47" s="9" t="s">
        <v>1023</v>
      </c>
      <c r="B47" s="9" t="s">
        <v>961</v>
      </c>
      <c r="C47" s="11">
        <f t="shared" ref="C47:J47" si="12">C$46/(C$46+C$48)</f>
        <v>0.25627118644067798</v>
      </c>
      <c r="D47" s="11">
        <f t="shared" si="12"/>
        <v>0.25799086757990869</v>
      </c>
      <c r="E47" s="11">
        <f t="shared" si="12"/>
        <v>0.26078234704112335</v>
      </c>
      <c r="F47" s="11">
        <f t="shared" si="12"/>
        <v>0.26295336787564766</v>
      </c>
      <c r="G47" s="11">
        <f t="shared" si="12"/>
        <v>0.26879271070615035</v>
      </c>
      <c r="H47" s="11">
        <f t="shared" si="12"/>
        <v>0.27017543859649124</v>
      </c>
      <c r="I47" s="11">
        <f t="shared" si="12"/>
        <v>0.27136681077485864</v>
      </c>
      <c r="J47" s="11">
        <f t="shared" si="12"/>
        <v>0.27382708763647096</v>
      </c>
    </row>
    <row r="48" spans="1:10" ht="15" customHeight="1" x14ac:dyDescent="0.25">
      <c r="A48" s="9" t="s">
        <v>1023</v>
      </c>
      <c r="B48" s="9" t="s">
        <v>962</v>
      </c>
      <c r="C48" s="10">
        <f>SUMIFS(Data!$L:$L,Data!$B:$B,"cliq",Data!$K:$K,"native",Data!$J:$J,RIGHT(C$3,4)&amp;"-"&amp;LEFT(C$3,2),Data!$F:$F,"Number of Transactions",Data!$H:$H,"Money Transfer",Data!$I:$I,"Off Us")</f>
        <v>10970000</v>
      </c>
      <c r="D48" s="10">
        <f>SUMIFS(Data!$L:$L,Data!$B:$B,"cliq",Data!$K:$K,"native",Data!$J:$J,RIGHT(D$3,4)&amp;"-"&amp;LEFT(D$3,2),Data!$F:$F,"Number of Transactions",Data!$H:$H,"Money Transfer",Data!$I:$I,"Off Us")</f>
        <v>13000000</v>
      </c>
      <c r="E48" s="10">
        <f>SUMIFS(Data!$L:$L,Data!$B:$B,"cliq",Data!$K:$K,"native",Data!$J:$J,RIGHT(E$3,4)&amp;"-"&amp;LEFT(E$3,2),Data!$F:$F,"Number of Transactions",Data!$H:$H,"Money Transfer",Data!$I:$I,"Off Us")</f>
        <v>14740000</v>
      </c>
      <c r="F48" s="10">
        <f>SUMIFS(Data!$L:$L,Data!$B:$B,"cliq",Data!$K:$K,"native",Data!$J:$J,RIGHT(F$3,4)&amp;"-"&amp;LEFT(F$3,2),Data!$F:$F,"Number of Transactions",Data!$H:$H,"Money Transfer",Data!$I:$I,"Off Us")</f>
        <v>17070000</v>
      </c>
      <c r="G48" s="10">
        <f>SUMIFS(Data!$L:$L,Data!$B:$B,"cliq",Data!$K:$K,"native",Data!$J:$J,RIGHT(G$3,4)&amp;"-"&amp;LEFT(G$3,2),Data!$F:$F,"Number of Transactions",Data!$H:$H,"Money Transfer",Data!$I:$I,"Off Us")</f>
        <v>19260000</v>
      </c>
      <c r="H48" s="10">
        <f>SUMIFS(Data!$L:$L,Data!$B:$B,"cliq",Data!$K:$K,"native",Data!$J:$J,RIGHT(H$3,4)&amp;"-"&amp;LEFT(H$3,2),Data!$F:$F,"Number of Transactions",Data!$H:$H,"Money Transfer",Data!$I:$I,"Off Us")</f>
        <v>20800000</v>
      </c>
      <c r="I48" s="10">
        <f>SUMIFS(Data!$L:$L,Data!$B:$B,"cliq",Data!$K:$K,"native",Data!$J:$J,RIGHT(I$3,4)&amp;"-"&amp;LEFT(I$3,2),Data!$F:$F,"Number of Transactions",Data!$H:$H,"Money Transfer",Data!$I:$I,"Off Us")</f>
        <v>21910000</v>
      </c>
      <c r="J48" s="10">
        <f>SUMIFS(Data!$L:$L,Data!$B:$B,"cliq",Data!$K:$K,"native",Data!$J:$J,RIGHT(J$3,4)&amp;"-"&amp;LEFT(J$3,2),Data!$F:$F,"Number of Transactions",Data!$H:$H,"Money Transfer",Data!$I:$I,"Off Us")</f>
        <v>24610000</v>
      </c>
    </row>
    <row r="49" spans="1:10" ht="15" customHeight="1" x14ac:dyDescent="0.25">
      <c r="A49" s="9" t="s">
        <v>1023</v>
      </c>
      <c r="B49" s="9" t="s">
        <v>963</v>
      </c>
      <c r="C49" s="11">
        <f t="shared" ref="C49:J49" si="13">C$48/(C$48+C$46)</f>
        <v>0.74372881355932208</v>
      </c>
      <c r="D49" s="11">
        <f t="shared" si="13"/>
        <v>0.74200913242009137</v>
      </c>
      <c r="E49" s="11">
        <f t="shared" si="13"/>
        <v>0.73921765295887665</v>
      </c>
      <c r="F49" s="11">
        <f t="shared" si="13"/>
        <v>0.73704663212435229</v>
      </c>
      <c r="G49" s="11">
        <f t="shared" si="13"/>
        <v>0.7312072892938497</v>
      </c>
      <c r="H49" s="11">
        <f t="shared" si="13"/>
        <v>0.72982456140350882</v>
      </c>
      <c r="I49" s="11">
        <f t="shared" si="13"/>
        <v>0.72863318922514131</v>
      </c>
      <c r="J49" s="11">
        <f t="shared" si="13"/>
        <v>0.7261729123635291</v>
      </c>
    </row>
    <row r="50" spans="1:10" ht="15" customHeight="1" x14ac:dyDescent="0.25">
      <c r="A50" s="22" t="s">
        <v>964</v>
      </c>
      <c r="B50" s="22"/>
      <c r="C50" s="22"/>
      <c r="D50" s="22"/>
      <c r="E50" s="22"/>
      <c r="F50" s="22"/>
      <c r="G50" s="22"/>
      <c r="H50" s="22"/>
      <c r="I50" s="22"/>
      <c r="J50" s="22"/>
    </row>
    <row r="51" spans="1:10" ht="15" customHeight="1" x14ac:dyDescent="0.25">
      <c r="A51" s="9" t="s">
        <v>965</v>
      </c>
      <c r="B51" s="9" t="s">
        <v>966</v>
      </c>
      <c r="C51" s="10">
        <f>SUMIFS(Data!$L:$L,Data!$B:$B,"cliq",Data!$K:$K,"native",Data!$J:$J,RIGHT(C$3,4)&amp;"-"&amp;LEFT(C$3,2),Data!$F:$F,"Value of Transactions",Data!$H:$H,"Money Transfer",Data!$I:$I,"On Us")</f>
        <v>483000000</v>
      </c>
      <c r="D51" s="10">
        <f>SUMIFS(Data!$L:$L,Data!$B:$B,"cliq",Data!$K:$K,"native",Data!$J:$J,RIGHT(D$3,4)&amp;"-"&amp;LEFT(D$3,2),Data!$F:$F,"Value of Transactions",Data!$H:$H,"Money Transfer",Data!$I:$I,"On Us")</f>
        <v>530000000</v>
      </c>
      <c r="E51" s="10">
        <f>SUMIFS(Data!$L:$L,Data!$B:$B,"cliq",Data!$K:$K,"native",Data!$J:$J,RIGHT(E$3,4)&amp;"-"&amp;LEFT(E$3,2),Data!$F:$F,"Value of Transactions",Data!$H:$H,"Money Transfer",Data!$I:$I,"On Us")</f>
        <v>595000000</v>
      </c>
      <c r="F51" s="10">
        <f>SUMIFS(Data!$L:$L,Data!$B:$B,"cliq",Data!$K:$K,"native",Data!$J:$J,RIGHT(F$3,4)&amp;"-"&amp;LEFT(F$3,2),Data!$F:$F,"Value of Transactions",Data!$H:$H,"Money Transfer",Data!$I:$I,"On Us")</f>
        <v>668000000</v>
      </c>
      <c r="G51" s="10">
        <f>SUMIFS(Data!$L:$L,Data!$B:$B,"cliq",Data!$K:$K,"native",Data!$J:$J,RIGHT(G$3,4)&amp;"-"&amp;LEFT(G$3,2),Data!$F:$F,"Value of Transactions",Data!$H:$H,"Money Transfer",Data!$I:$I,"On Us")</f>
        <v>762000000</v>
      </c>
      <c r="H51" s="10">
        <f>SUMIFS(Data!$L:$L,Data!$B:$B,"cliq",Data!$K:$K,"native",Data!$J:$J,RIGHT(H$3,4)&amp;"-"&amp;LEFT(H$3,2),Data!$F:$F,"Value of Transactions",Data!$H:$H,"Money Transfer",Data!$I:$I,"On Us")</f>
        <v>735000000</v>
      </c>
      <c r="I51" s="10">
        <f>SUMIFS(Data!$L:$L,Data!$B:$B,"cliq",Data!$K:$K,"native",Data!$J:$J,RIGHT(I$3,4)&amp;"-"&amp;LEFT(I$3,2),Data!$F:$F,"Value of Transactions",Data!$H:$H,"Money Transfer",Data!$I:$I,"On Us")</f>
        <v>790000000</v>
      </c>
      <c r="J51" s="10">
        <f>SUMIFS(Data!$L:$L,Data!$B:$B,"cliq",Data!$K:$K,"native",Data!$J:$J,RIGHT(J$3,4)&amp;"-"&amp;LEFT(J$3,2),Data!$F:$F,"Value of Transactions",Data!$H:$H,"Money Transfer",Data!$I:$I,"On Us")</f>
        <v>840000000</v>
      </c>
    </row>
    <row r="52" spans="1:10" ht="15" customHeight="1" x14ac:dyDescent="0.25">
      <c r="A52" s="9" t="s">
        <v>965</v>
      </c>
      <c r="B52" s="9" t="s">
        <v>961</v>
      </c>
      <c r="C52" s="11">
        <f t="shared" ref="C52:J52" si="14">C$51/(C$51+C$53)</f>
        <v>0.20183869619724196</v>
      </c>
      <c r="D52" s="11">
        <f t="shared" si="14"/>
        <v>0.20384615384615384</v>
      </c>
      <c r="E52" s="11">
        <f t="shared" si="14"/>
        <v>0.20623916811091855</v>
      </c>
      <c r="F52" s="11">
        <f t="shared" si="14"/>
        <v>0.20953575909661229</v>
      </c>
      <c r="G52" s="11">
        <f t="shared" si="14"/>
        <v>0.21821305841924399</v>
      </c>
      <c r="H52" s="11">
        <f t="shared" si="14"/>
        <v>0.21522693997071743</v>
      </c>
      <c r="I52" s="11">
        <f t="shared" si="14"/>
        <v>0.21763085399449036</v>
      </c>
      <c r="J52" s="11">
        <f t="shared" si="14"/>
        <v>0.22047244094488189</v>
      </c>
    </row>
    <row r="53" spans="1:10" ht="15" customHeight="1" x14ac:dyDescent="0.25">
      <c r="A53" s="9" t="s">
        <v>965</v>
      </c>
      <c r="B53" s="9" t="s">
        <v>967</v>
      </c>
      <c r="C53" s="10">
        <f>SUMIFS(Data!$L:$L,Data!$B:$B,"cliq",Data!$K:$K,"native",Data!$J:$J,RIGHT(C$3,4)&amp;"-"&amp;LEFT(C$3,2),Data!$F:$F,"Value of Transactions",Data!$H:$H,"Money Transfer",Data!$I:$I,"Off Us")</f>
        <v>1910000000</v>
      </c>
      <c r="D53" s="10">
        <f>SUMIFS(Data!$L:$L,Data!$B:$B,"cliq",Data!$K:$K,"native",Data!$J:$J,RIGHT(D$3,4)&amp;"-"&amp;LEFT(D$3,2),Data!$F:$F,"Value of Transactions",Data!$H:$H,"Money Transfer",Data!$I:$I,"Off Us")</f>
        <v>2070000000</v>
      </c>
      <c r="E53" s="10">
        <f>SUMIFS(Data!$L:$L,Data!$B:$B,"cliq",Data!$K:$K,"native",Data!$J:$J,RIGHT(E$3,4)&amp;"-"&amp;LEFT(E$3,2),Data!$F:$F,"Value of Transactions",Data!$H:$H,"Money Transfer",Data!$I:$I,"Off Us")</f>
        <v>2290000000</v>
      </c>
      <c r="F53" s="10">
        <f>SUMIFS(Data!$L:$L,Data!$B:$B,"cliq",Data!$K:$K,"native",Data!$J:$J,RIGHT(F$3,4)&amp;"-"&amp;LEFT(F$3,2),Data!$F:$F,"Value of Transactions",Data!$H:$H,"Money Transfer",Data!$I:$I,"Off Us")</f>
        <v>2520000000</v>
      </c>
      <c r="G53" s="10">
        <f>SUMIFS(Data!$L:$L,Data!$B:$B,"cliq",Data!$K:$K,"native",Data!$J:$J,RIGHT(G$3,4)&amp;"-"&amp;LEFT(G$3,2),Data!$F:$F,"Value of Transactions",Data!$H:$H,"Money Transfer",Data!$I:$I,"Off Us")</f>
        <v>2730000000</v>
      </c>
      <c r="H53" s="10">
        <f>SUMIFS(Data!$L:$L,Data!$B:$B,"cliq",Data!$K:$K,"native",Data!$J:$J,RIGHT(H$3,4)&amp;"-"&amp;LEFT(H$3,2),Data!$F:$F,"Value of Transactions",Data!$H:$H,"Money Transfer",Data!$I:$I,"Off Us")</f>
        <v>2680000000</v>
      </c>
      <c r="I53" s="10">
        <f>SUMIFS(Data!$L:$L,Data!$B:$B,"cliq",Data!$K:$K,"native",Data!$J:$J,RIGHT(I$3,4)&amp;"-"&amp;LEFT(I$3,2),Data!$F:$F,"Value of Transactions",Data!$H:$H,"Money Transfer",Data!$I:$I,"Off Us")</f>
        <v>2840000000</v>
      </c>
      <c r="J53" s="10">
        <f>SUMIFS(Data!$L:$L,Data!$B:$B,"cliq",Data!$K:$K,"native",Data!$J:$J,RIGHT(J$3,4)&amp;"-"&amp;LEFT(J$3,2),Data!$F:$F,"Value of Transactions",Data!$H:$H,"Money Transfer",Data!$I:$I,"Off Us")</f>
        <v>2970000000</v>
      </c>
    </row>
    <row r="54" spans="1:10" ht="15" customHeight="1" x14ac:dyDescent="0.25">
      <c r="A54" s="9" t="s">
        <v>965</v>
      </c>
      <c r="B54" s="9" t="s">
        <v>963</v>
      </c>
      <c r="C54" s="11">
        <f t="shared" ref="C54:J54" si="15">C$53/(C$53+C$51)</f>
        <v>0.79816130380275807</v>
      </c>
      <c r="D54" s="11">
        <f t="shared" si="15"/>
        <v>0.7961538461538461</v>
      </c>
      <c r="E54" s="11">
        <f t="shared" si="15"/>
        <v>0.79376083188908142</v>
      </c>
      <c r="F54" s="11">
        <f t="shared" si="15"/>
        <v>0.79046424090338774</v>
      </c>
      <c r="G54" s="11">
        <f t="shared" si="15"/>
        <v>0.78178694158075601</v>
      </c>
      <c r="H54" s="11">
        <f t="shared" si="15"/>
        <v>0.7847730600292826</v>
      </c>
      <c r="I54" s="11">
        <f t="shared" si="15"/>
        <v>0.78236914600550966</v>
      </c>
      <c r="J54" s="11">
        <f t="shared" si="15"/>
        <v>0.77952755905511806</v>
      </c>
    </row>
  </sheetData>
  <mergeCells count="11">
    <mergeCell ref="A50:J50"/>
    <mergeCell ref="A25:J25"/>
    <mergeCell ref="A30:J30"/>
    <mergeCell ref="A33:J33"/>
    <mergeCell ref="A39:J39"/>
    <mergeCell ref="A45:J45"/>
    <mergeCell ref="A1:J1"/>
    <mergeCell ref="A4:J4"/>
    <mergeCell ref="A6:J6"/>
    <mergeCell ref="A11:J11"/>
    <mergeCell ref="A16:J16"/>
  </mergeCells>
  <conditionalFormatting sqref="C5:J5">
    <cfRule type="colorScale" priority="3">
      <colorScale>
        <cfvo type="min"/>
        <cfvo type="percentile" val="50"/>
        <cfvo type="max"/>
        <color theme="2" tint="-0.499984740745262"/>
        <color theme="0"/>
        <color theme="7" tint="0.39997558519241921"/>
      </colorScale>
    </cfRule>
  </conditionalFormatting>
  <conditionalFormatting sqref="C7:J7">
    <cfRule type="colorScale" priority="25">
      <colorScale>
        <cfvo type="min"/>
        <cfvo type="percentile" val="50"/>
        <cfvo type="max"/>
        <color theme="2" tint="-0.499984740745262"/>
        <color theme="0"/>
        <color theme="7" tint="0.39997558519241921"/>
      </colorScale>
    </cfRule>
  </conditionalFormatting>
  <conditionalFormatting sqref="C9:J9">
    <cfRule type="colorScale" priority="24">
      <colorScale>
        <cfvo type="min"/>
        <cfvo type="percentile" val="50"/>
        <cfvo type="max"/>
        <color theme="2" tint="-0.499984740745262"/>
        <color theme="0"/>
        <color theme="7" tint="0.39997558519241921"/>
      </colorScale>
    </cfRule>
  </conditionalFormatting>
  <conditionalFormatting sqref="C12:J12">
    <cfRule type="colorScale" priority="23">
      <colorScale>
        <cfvo type="min"/>
        <cfvo type="percentile" val="50"/>
        <cfvo type="max"/>
        <color theme="2" tint="-0.499984740745262"/>
        <color theme="0"/>
        <color theme="7" tint="0.39997558519241921"/>
      </colorScale>
    </cfRule>
  </conditionalFormatting>
  <conditionalFormatting sqref="C14:J14">
    <cfRule type="colorScale" priority="22">
      <colorScale>
        <cfvo type="min"/>
        <cfvo type="percentile" val="50"/>
        <cfvo type="max"/>
        <color theme="2" tint="-0.499984740745262"/>
        <color theme="0"/>
        <color theme="7" tint="0.39997558519241921"/>
      </colorScale>
    </cfRule>
  </conditionalFormatting>
  <conditionalFormatting sqref="C17:J17">
    <cfRule type="colorScale" priority="21">
      <colorScale>
        <cfvo type="min"/>
        <cfvo type="percentile" val="50"/>
        <cfvo type="max"/>
        <color theme="2" tint="-0.499984740745262"/>
        <color theme="0"/>
        <color theme="7" tint="0.39997558519241921"/>
      </colorScale>
    </cfRule>
  </conditionalFormatting>
  <conditionalFormatting sqref="C18:J18">
    <cfRule type="colorScale" priority="20">
      <colorScale>
        <cfvo type="min"/>
        <cfvo type="percentile" val="50"/>
        <cfvo type="max"/>
        <color theme="2" tint="-0.499984740745262"/>
        <color theme="0"/>
        <color theme="7" tint="0.39997558519241921"/>
      </colorScale>
    </cfRule>
  </conditionalFormatting>
  <conditionalFormatting sqref="C19:J19">
    <cfRule type="colorScale" priority="19">
      <colorScale>
        <cfvo type="min"/>
        <cfvo type="percentile" val="50"/>
        <cfvo type="max"/>
        <color theme="2" tint="-0.499984740745262"/>
        <color theme="0"/>
        <color theme="7" tint="0.39997558519241921"/>
      </colorScale>
    </cfRule>
  </conditionalFormatting>
  <conditionalFormatting sqref="C20:J20">
    <cfRule type="colorScale" priority="18">
      <colorScale>
        <cfvo type="min"/>
        <cfvo type="percentile" val="50"/>
        <cfvo type="max"/>
        <color theme="2" tint="-0.499984740745262"/>
        <color theme="0"/>
        <color theme="7" tint="0.39997558519241921"/>
      </colorScale>
    </cfRule>
  </conditionalFormatting>
  <conditionalFormatting sqref="C21:J21">
    <cfRule type="colorScale" priority="17">
      <colorScale>
        <cfvo type="min"/>
        <cfvo type="percentile" val="50"/>
        <cfvo type="max"/>
        <color theme="2" tint="-0.499984740745262"/>
        <color theme="0"/>
        <color theme="7" tint="0.39997558519241921"/>
      </colorScale>
    </cfRule>
  </conditionalFormatting>
  <conditionalFormatting sqref="C22:J22">
    <cfRule type="colorScale" priority="16">
      <colorScale>
        <cfvo type="min"/>
        <cfvo type="percentile" val="50"/>
        <cfvo type="max"/>
        <color theme="2" tint="-0.499984740745262"/>
        <color theme="0"/>
        <color theme="7" tint="0.39997558519241921"/>
      </colorScale>
    </cfRule>
  </conditionalFormatting>
  <conditionalFormatting sqref="C23:J23">
    <cfRule type="colorScale" priority="15">
      <colorScale>
        <cfvo type="min"/>
        <cfvo type="percentile" val="50"/>
        <cfvo type="max"/>
        <color theme="2" tint="-0.499984740745262"/>
        <color theme="0"/>
        <color theme="7" tint="0.39997558519241921"/>
      </colorScale>
    </cfRule>
  </conditionalFormatting>
  <conditionalFormatting sqref="C24:J24">
    <cfRule type="colorScale" priority="14">
      <colorScale>
        <cfvo type="min"/>
        <cfvo type="percentile" val="50"/>
        <cfvo type="max"/>
        <color theme="2" tint="-0.499984740745262"/>
        <color theme="0"/>
        <color theme="7" tint="0.39997558519241921"/>
      </colorScale>
    </cfRule>
  </conditionalFormatting>
  <conditionalFormatting sqref="C26:J26">
    <cfRule type="colorScale" priority="13">
      <colorScale>
        <cfvo type="min"/>
        <cfvo type="percentile" val="50"/>
        <cfvo type="max"/>
        <color theme="2" tint="-0.499984740745262"/>
        <color theme="0"/>
        <color theme="7" tint="0.39997558519241921"/>
      </colorScale>
    </cfRule>
  </conditionalFormatting>
  <conditionalFormatting sqref="C28:J28">
    <cfRule type="colorScale" priority="12">
      <colorScale>
        <cfvo type="min"/>
        <cfvo type="percentile" val="50"/>
        <cfvo type="max"/>
        <color theme="2" tint="-0.499984740745262"/>
        <color theme="0"/>
        <color theme="7" tint="0.39997558519241921"/>
      </colorScale>
    </cfRule>
  </conditionalFormatting>
  <conditionalFormatting sqref="C31:J31">
    <cfRule type="colorScale" priority="11">
      <colorScale>
        <cfvo type="min"/>
        <cfvo type="percentile" val="50"/>
        <cfvo type="max"/>
        <color theme="2" tint="-0.499984740745262"/>
        <color theme="0"/>
        <color theme="7" tint="0.39997558519241921"/>
      </colorScale>
    </cfRule>
  </conditionalFormatting>
  <conditionalFormatting sqref="C32:J32">
    <cfRule type="colorScale" priority="10">
      <colorScale>
        <cfvo type="min"/>
        <cfvo type="percentile" val="50"/>
        <cfvo type="max"/>
        <color theme="2" tint="-0.499984740745262"/>
        <color theme="0"/>
        <color theme="7" tint="0.39997558519241921"/>
      </colorScale>
    </cfRule>
  </conditionalFormatting>
  <conditionalFormatting sqref="C34:J34">
    <cfRule type="colorScale" priority="9">
      <colorScale>
        <cfvo type="min"/>
        <cfvo type="percentile" val="50"/>
        <cfvo type="max"/>
        <color theme="2" tint="-0.499984740745262"/>
        <color theme="0"/>
        <color theme="7" tint="0.39997558519241921"/>
      </colorScale>
    </cfRule>
  </conditionalFormatting>
  <conditionalFormatting sqref="C36:J36">
    <cfRule type="colorScale" priority="8">
      <colorScale>
        <cfvo type="min"/>
        <cfvo type="percentile" val="50"/>
        <cfvo type="max"/>
        <color theme="2" tint="-0.499984740745262"/>
        <color theme="0"/>
        <color theme="7" tint="0.39997558519241921"/>
      </colorScale>
    </cfRule>
  </conditionalFormatting>
  <conditionalFormatting sqref="C40:J40">
    <cfRule type="colorScale" priority="7">
      <colorScale>
        <cfvo type="min"/>
        <cfvo type="percentile" val="50"/>
        <cfvo type="max"/>
        <color theme="2" tint="-0.499984740745262"/>
        <color theme="0"/>
        <color theme="7" tint="0.39997558519241921"/>
      </colorScale>
    </cfRule>
  </conditionalFormatting>
  <conditionalFormatting sqref="C42:J42">
    <cfRule type="colorScale" priority="6">
      <colorScale>
        <cfvo type="min"/>
        <cfvo type="percentile" val="50"/>
        <cfvo type="max"/>
        <color theme="2" tint="-0.499984740745262"/>
        <color theme="0"/>
        <color theme="7" tint="0.39997558519241921"/>
      </colorScale>
    </cfRule>
  </conditionalFormatting>
  <conditionalFormatting sqref="C46:J46">
    <cfRule type="colorScale" priority="5">
      <colorScale>
        <cfvo type="min"/>
        <cfvo type="percentile" val="50"/>
        <cfvo type="max"/>
        <color theme="2" tint="-0.499984740745262"/>
        <color theme="0"/>
        <color theme="7" tint="0.39997558519241921"/>
      </colorScale>
    </cfRule>
  </conditionalFormatting>
  <conditionalFormatting sqref="C48:J48">
    <cfRule type="colorScale" priority="4">
      <colorScale>
        <cfvo type="min"/>
        <cfvo type="percentile" val="50"/>
        <cfvo type="max"/>
        <color theme="2" tint="-0.499984740745262"/>
        <color theme="0"/>
        <color theme="7" tint="0.39997558519241921"/>
      </colorScale>
    </cfRule>
  </conditionalFormatting>
  <conditionalFormatting sqref="C51:J51">
    <cfRule type="colorScale" priority="2">
      <colorScale>
        <cfvo type="min"/>
        <cfvo type="percentile" val="50"/>
        <cfvo type="max"/>
        <color theme="2" tint="-0.499984740745262"/>
        <color theme="0"/>
        <color theme="7" tint="0.39997558519241921"/>
      </colorScale>
    </cfRule>
  </conditionalFormatting>
  <conditionalFormatting sqref="C53:J53">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J61"/>
  <sheetViews>
    <sheetView tabSelected="1" zoomScale="110" zoomScaleNormal="110" workbookViewId="0">
      <pane ySplit="3" topLeftCell="A10" activePane="bottomLeft" state="frozen"/>
      <selection activeCell="A3" sqref="A3"/>
      <selection pane="bottomLeft" activeCell="B50" sqref="B50"/>
    </sheetView>
  </sheetViews>
  <sheetFormatPr defaultColWidth="8.7109375" defaultRowHeight="15" x14ac:dyDescent="0.25"/>
  <cols>
    <col min="1" max="1" width="26" customWidth="1"/>
    <col min="2" max="2" width="33.7109375" bestFit="1" customWidth="1"/>
    <col min="3" max="10" width="13.42578125" bestFit="1" customWidth="1"/>
  </cols>
  <sheetData>
    <row r="1" spans="1:10" ht="25.5" customHeight="1" x14ac:dyDescent="0.25">
      <c r="A1" s="23" t="s">
        <v>968</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924</v>
      </c>
      <c r="B4" s="22"/>
      <c r="C4" s="22"/>
      <c r="D4" s="22"/>
      <c r="E4" s="22"/>
      <c r="F4" s="22"/>
      <c r="G4" s="22"/>
      <c r="H4" s="22"/>
      <c r="I4" s="22"/>
      <c r="J4" s="22"/>
    </row>
    <row r="5" spans="1:10" ht="15" customHeight="1" x14ac:dyDescent="0.25">
      <c r="A5" s="7" t="s">
        <v>43</v>
      </c>
      <c r="B5" s="7" t="s">
        <v>925</v>
      </c>
      <c r="C5" s="8">
        <f>SUMIFS(Data!$L:$L,Data!$B:$B,"jomopay",Data!$K:$K,"native",Data!$J:$J,RIGHT(C$3,4)&amp;"-"&amp;LEFT(C$3,2),Data!$F:$F,"Number of Users",Data!$H:$H,"",Data!$I:$I,"")</f>
        <v>2330000</v>
      </c>
      <c r="D5" s="8">
        <f>SUMIFS(Data!$L:$L,Data!$B:$B,"jomopay",Data!$K:$K,"native",Data!$J:$J,RIGHT(D$3,4)&amp;"-"&amp;LEFT(D$3,2),Data!$F:$F,"Number of Users",Data!$H:$H,"",Data!$I:$I,"")</f>
        <v>2590000</v>
      </c>
      <c r="E5" s="8">
        <f>SUMIFS(Data!$L:$L,Data!$B:$B,"jomopay",Data!$K:$K,"native",Data!$J:$J,RIGHT(E$3,4)&amp;"-"&amp;LEFT(E$3,2),Data!$F:$F,"Number of Users",Data!$H:$H,"",Data!$I:$I,"")</f>
        <v>2600000</v>
      </c>
      <c r="F5" s="8">
        <f>SUMIFS(Data!$L:$L,Data!$B:$B,"jomopay",Data!$K:$K,"native",Data!$J:$J,RIGHT(F$3,4)&amp;"-"&amp;LEFT(F$3,2),Data!$F:$F,"Number of Users",Data!$H:$H,"",Data!$I:$I,"")</f>
        <v>2670000</v>
      </c>
      <c r="G5" s="8">
        <f>SUMIFS(Data!$L:$L,Data!$B:$B,"jomopay",Data!$K:$K,"native",Data!$J:$J,RIGHT(G$3,4)&amp;"-"&amp;LEFT(G$3,2),Data!$F:$F,"Number of Users",Data!$H:$H,"",Data!$I:$I,"")</f>
        <v>2700000</v>
      </c>
      <c r="H5" s="8">
        <f>SUMIFS(Data!$L:$L,Data!$B:$B,"jomopay",Data!$K:$K,"native",Data!$J:$J,RIGHT(H$3,4)&amp;"-"&amp;LEFT(H$3,2),Data!$F:$F,"Number of Users",Data!$H:$H,"",Data!$I:$I,"")</f>
        <v>2810000</v>
      </c>
      <c r="I5" s="8">
        <f>SUMIFS(Data!$L:$L,Data!$B:$B,"jomopay",Data!$K:$K,"native",Data!$J:$J,RIGHT(I$3,4)&amp;"-"&amp;LEFT(I$3,2),Data!$F:$F,"Number of Users",Data!$H:$H,"",Data!$I:$I,"")</f>
        <v>2910000</v>
      </c>
      <c r="J5" s="8">
        <f>SUMIFS(Data!$L:$L,Data!$B:$B,"jomopay",Data!$K:$K,"native",Data!$J:$J,RIGHT(J$3,4)&amp;"-"&amp;LEFT(J$3,2),Data!$F:$F,"Number of Users",Data!$H:$H,"",Data!$I:$I,"")</f>
        <v>3000000</v>
      </c>
    </row>
    <row r="6" spans="1:10" ht="15" customHeight="1" x14ac:dyDescent="0.25">
      <c r="A6" s="22" t="s">
        <v>926</v>
      </c>
      <c r="B6" s="22"/>
      <c r="C6" s="22"/>
      <c r="D6" s="22"/>
      <c r="E6" s="22"/>
      <c r="F6" s="22"/>
      <c r="G6" s="22"/>
      <c r="H6" s="22"/>
      <c r="I6" s="22"/>
      <c r="J6" s="22"/>
    </row>
    <row r="7" spans="1:10" ht="15" customHeight="1" x14ac:dyDescent="0.25">
      <c r="A7" s="9" t="s">
        <v>927</v>
      </c>
      <c r="B7" s="9" t="s">
        <v>928</v>
      </c>
      <c r="C7" s="10">
        <f>SUMIFS(Data!$L:$L,Data!$B:$B,"jomopay",Data!$K:$K,"native",Data!$J:$J,RIGHT(C$3,4)&amp;"-"&amp;LEFT(C$3,2),Data!$F:$F,"Number of Users",Data!$H:$H,"Jordanian",Data!$I:$I,"")</f>
        <v>2050000</v>
      </c>
      <c r="D7" s="10">
        <f>SUMIFS(Data!$L:$L,Data!$B:$B,"jomopay",Data!$K:$K,"native",Data!$J:$J,RIGHT(D$3,4)&amp;"-"&amp;LEFT(D$3,2),Data!$F:$F,"Number of Users",Data!$H:$H,"Jordanian",Data!$I:$I,"")</f>
        <v>2290000</v>
      </c>
      <c r="E7" s="10">
        <f>SUMIFS(Data!$L:$L,Data!$B:$B,"jomopay",Data!$K:$K,"native",Data!$J:$J,RIGHT(E$3,4)&amp;"-"&amp;LEFT(E$3,2),Data!$F:$F,"Number of Users",Data!$H:$H,"Jordanian",Data!$I:$I,"")</f>
        <v>2290000</v>
      </c>
      <c r="F7" s="10">
        <f>SUMIFS(Data!$L:$L,Data!$B:$B,"jomopay",Data!$K:$K,"native",Data!$J:$J,RIGHT(F$3,4)&amp;"-"&amp;LEFT(F$3,2),Data!$F:$F,"Number of Users",Data!$H:$H,"Jordanian",Data!$I:$I,"")</f>
        <v>2350000</v>
      </c>
      <c r="G7" s="10">
        <f>SUMIFS(Data!$L:$L,Data!$B:$B,"jomopay",Data!$K:$K,"native",Data!$J:$J,RIGHT(G$3,4)&amp;"-"&amp;LEFT(G$3,2),Data!$F:$F,"Number of Users",Data!$H:$H,"Jordanian",Data!$I:$I,"")</f>
        <v>2370000</v>
      </c>
      <c r="H7" s="10">
        <f>SUMIFS(Data!$L:$L,Data!$B:$B,"jomopay",Data!$K:$K,"native",Data!$J:$J,RIGHT(H$3,4)&amp;"-"&amp;LEFT(H$3,2),Data!$F:$F,"Number of Users",Data!$H:$H,"Jordanian",Data!$I:$I,"")</f>
        <v>2470000</v>
      </c>
      <c r="I7" s="10">
        <f>SUMIFS(Data!$L:$L,Data!$B:$B,"jomopay",Data!$K:$K,"native",Data!$J:$J,RIGHT(I$3,4)&amp;"-"&amp;LEFT(I$3,2),Data!$F:$F,"Number of Users",Data!$H:$H,"Jordanian",Data!$I:$I,"")</f>
        <v>2550000</v>
      </c>
      <c r="J7" s="10">
        <f>SUMIFS(Data!$L:$L,Data!$B:$B,"jomopay",Data!$K:$K,"native",Data!$J:$J,RIGHT(J$3,4)&amp;"-"&amp;LEFT(J$3,2),Data!$F:$F,"Number of Users",Data!$H:$H,"Jordanian",Data!$I:$I,"")</f>
        <v>2630000</v>
      </c>
    </row>
    <row r="8" spans="1:10" ht="15" customHeight="1" x14ac:dyDescent="0.25">
      <c r="A8" s="9" t="s">
        <v>927</v>
      </c>
      <c r="B8" s="9" t="s">
        <v>969</v>
      </c>
      <c r="C8" s="11">
        <f t="shared" ref="C8:J8" si="0">C$7/(C$7+C$9)</f>
        <v>0.87982832618025753</v>
      </c>
      <c r="D8" s="11">
        <f t="shared" si="0"/>
        <v>0.88416988416988418</v>
      </c>
      <c r="E8" s="11">
        <f t="shared" si="0"/>
        <v>0.88076923076923075</v>
      </c>
      <c r="F8" s="11">
        <f t="shared" si="0"/>
        <v>0.88014981273408244</v>
      </c>
      <c r="G8" s="11">
        <f t="shared" si="0"/>
        <v>0.87777777777777777</v>
      </c>
      <c r="H8" s="11">
        <f t="shared" si="0"/>
        <v>0.87900355871886116</v>
      </c>
      <c r="I8" s="11">
        <f t="shared" si="0"/>
        <v>0.87628865979381443</v>
      </c>
      <c r="J8" s="11">
        <f t="shared" si="0"/>
        <v>0.87666666666666671</v>
      </c>
    </row>
    <row r="9" spans="1:10" ht="15" customHeight="1" x14ac:dyDescent="0.25">
      <c r="A9" s="9" t="s">
        <v>927</v>
      </c>
      <c r="B9" s="9" t="s">
        <v>930</v>
      </c>
      <c r="C9" s="10">
        <f>SUMIFS(Data!$L:$L,Data!$B:$B,"jomopay",Data!$K:$K,"native",Data!$J:$J,RIGHT(C$3,4)&amp;"-"&amp;LEFT(C$3,2),Data!$F:$F,"Number of Users",Data!$H:$H,"Non-Jordanian",Data!$I:$I,"")</f>
        <v>280000</v>
      </c>
      <c r="D9" s="10">
        <f>SUMIFS(Data!$L:$L,Data!$B:$B,"jomopay",Data!$K:$K,"native",Data!$J:$J,RIGHT(D$3,4)&amp;"-"&amp;LEFT(D$3,2),Data!$F:$F,"Number of Users",Data!$H:$H,"Non-Jordanian",Data!$I:$I,"")</f>
        <v>300000</v>
      </c>
      <c r="E9" s="10">
        <f>SUMIFS(Data!$L:$L,Data!$B:$B,"jomopay",Data!$K:$K,"native",Data!$J:$J,RIGHT(E$3,4)&amp;"-"&amp;LEFT(E$3,2),Data!$F:$F,"Number of Users",Data!$H:$H,"Non-Jordanian",Data!$I:$I,"")</f>
        <v>310000</v>
      </c>
      <c r="F9" s="10">
        <f>SUMIFS(Data!$L:$L,Data!$B:$B,"jomopay",Data!$K:$K,"native",Data!$J:$J,RIGHT(F$3,4)&amp;"-"&amp;LEFT(F$3,2),Data!$F:$F,"Number of Users",Data!$H:$H,"Non-Jordanian",Data!$I:$I,"")</f>
        <v>320000</v>
      </c>
      <c r="G9" s="10">
        <f>SUMIFS(Data!$L:$L,Data!$B:$B,"jomopay",Data!$K:$K,"native",Data!$J:$J,RIGHT(G$3,4)&amp;"-"&amp;LEFT(G$3,2),Data!$F:$F,"Number of Users",Data!$H:$H,"Non-Jordanian",Data!$I:$I,"")</f>
        <v>330000</v>
      </c>
      <c r="H9" s="10">
        <f>SUMIFS(Data!$L:$L,Data!$B:$B,"jomopay",Data!$K:$K,"native",Data!$J:$J,RIGHT(H$3,4)&amp;"-"&amp;LEFT(H$3,2),Data!$F:$F,"Number of Users",Data!$H:$H,"Non-Jordanian",Data!$I:$I,"")</f>
        <v>340000</v>
      </c>
      <c r="I9" s="10">
        <f>SUMIFS(Data!$L:$L,Data!$B:$B,"jomopay",Data!$K:$K,"native",Data!$J:$J,RIGHT(I$3,4)&amp;"-"&amp;LEFT(I$3,2),Data!$F:$F,"Number of Users",Data!$H:$H,"Non-Jordanian",Data!$I:$I,"")</f>
        <v>360000</v>
      </c>
      <c r="J9" s="10">
        <f>SUMIFS(Data!$L:$L,Data!$B:$B,"jomopay",Data!$K:$K,"native",Data!$J:$J,RIGHT(J$3,4)&amp;"-"&amp;LEFT(J$3,2),Data!$F:$F,"Number of Users",Data!$H:$H,"Non-Jordanian",Data!$I:$I,"")</f>
        <v>370000</v>
      </c>
    </row>
    <row r="10" spans="1:10" ht="15" customHeight="1" x14ac:dyDescent="0.25">
      <c r="A10" s="9" t="s">
        <v>927</v>
      </c>
      <c r="B10" s="9" t="s">
        <v>970</v>
      </c>
      <c r="C10" s="11">
        <f t="shared" ref="C10:J10" si="1">C$9/(C$9+C$7)</f>
        <v>0.12017167381974249</v>
      </c>
      <c r="D10" s="11">
        <f t="shared" si="1"/>
        <v>0.11583011583011583</v>
      </c>
      <c r="E10" s="11">
        <f t="shared" si="1"/>
        <v>0.11923076923076924</v>
      </c>
      <c r="F10" s="11">
        <f t="shared" si="1"/>
        <v>0.1198501872659176</v>
      </c>
      <c r="G10" s="11">
        <f t="shared" si="1"/>
        <v>0.12222222222222222</v>
      </c>
      <c r="H10" s="11">
        <f t="shared" si="1"/>
        <v>0.12099644128113879</v>
      </c>
      <c r="I10" s="11">
        <f t="shared" si="1"/>
        <v>0.12371134020618557</v>
      </c>
      <c r="J10" s="11">
        <f t="shared" si="1"/>
        <v>0.12333333333333334</v>
      </c>
    </row>
    <row r="11" spans="1:10" ht="15" customHeight="1" x14ac:dyDescent="0.25">
      <c r="A11" s="22" t="s">
        <v>932</v>
      </c>
      <c r="B11" s="22"/>
      <c r="C11" s="22"/>
      <c r="D11" s="22"/>
      <c r="E11" s="22"/>
      <c r="F11" s="22"/>
      <c r="G11" s="22"/>
      <c r="H11" s="22"/>
      <c r="I11" s="22"/>
      <c r="J11" s="22"/>
    </row>
    <row r="12" spans="1:10" ht="15" customHeight="1" x14ac:dyDescent="0.25">
      <c r="A12" s="9" t="s">
        <v>933</v>
      </c>
      <c r="B12" s="9" t="s">
        <v>934</v>
      </c>
      <c r="C12" s="10">
        <f>SUMIFS(Data!$L:$L,Data!$B:$B,"jomopay",Data!$K:$K,"native",Data!$J:$J,RIGHT(C$3,4)&amp;"-"&amp;LEFT(C$3,2),Data!$F:$F,"Number of Users",Data!$H:$H,"Male",Data!$I:$I,"")</f>
        <v>1180000</v>
      </c>
      <c r="D12" s="10">
        <f>SUMIFS(Data!$L:$L,Data!$B:$B,"jomopay",Data!$K:$K,"native",Data!$J:$J,RIGHT(D$3,4)&amp;"-"&amp;LEFT(D$3,2),Data!$F:$F,"Number of Users",Data!$H:$H,"Male",Data!$I:$I,"")</f>
        <v>1310000</v>
      </c>
      <c r="E12" s="10">
        <f>SUMIFS(Data!$L:$L,Data!$B:$B,"jomopay",Data!$K:$K,"native",Data!$J:$J,RIGHT(E$3,4)&amp;"-"&amp;LEFT(E$3,2),Data!$F:$F,"Number of Users",Data!$H:$H,"Male",Data!$I:$I,"")</f>
        <v>1300000</v>
      </c>
      <c r="F12" s="10">
        <f>SUMIFS(Data!$L:$L,Data!$B:$B,"jomopay",Data!$K:$K,"native",Data!$J:$J,RIGHT(F$3,4)&amp;"-"&amp;LEFT(F$3,2),Data!$F:$F,"Number of Users",Data!$H:$H,"Male",Data!$I:$I,"")</f>
        <v>1360000</v>
      </c>
      <c r="G12" s="10">
        <f>SUMIFS(Data!$L:$L,Data!$B:$B,"jomopay",Data!$K:$K,"native",Data!$J:$J,RIGHT(G$3,4)&amp;"-"&amp;LEFT(G$3,2),Data!$F:$F,"Number of Users",Data!$H:$H,"Male",Data!$I:$I,"")</f>
        <v>1410000</v>
      </c>
      <c r="H12" s="10">
        <f>SUMIFS(Data!$L:$L,Data!$B:$B,"jomopay",Data!$K:$K,"native",Data!$J:$J,RIGHT(H$3,4)&amp;"-"&amp;LEFT(H$3,2),Data!$F:$F,"Number of Users",Data!$H:$H,"Male",Data!$I:$I,"")</f>
        <v>1490000</v>
      </c>
      <c r="I12" s="10">
        <f>SUMIFS(Data!$L:$L,Data!$B:$B,"jomopay",Data!$K:$K,"native",Data!$J:$J,RIGHT(I$3,4)&amp;"-"&amp;LEFT(I$3,2),Data!$F:$F,"Number of Users",Data!$H:$H,"Male",Data!$I:$I,"")</f>
        <v>1550000</v>
      </c>
      <c r="J12" s="10">
        <f>SUMIFS(Data!$L:$L,Data!$B:$B,"jomopay",Data!$K:$K,"native",Data!$J:$J,RIGHT(J$3,4)&amp;"-"&amp;LEFT(J$3,2),Data!$F:$F,"Number of Users",Data!$H:$H,"Male",Data!$I:$I,"")</f>
        <v>1620000</v>
      </c>
    </row>
    <row r="13" spans="1:10" ht="15" customHeight="1" x14ac:dyDescent="0.25">
      <c r="A13" s="9" t="s">
        <v>933</v>
      </c>
      <c r="B13" s="9" t="s">
        <v>935</v>
      </c>
      <c r="C13" s="11">
        <f t="shared" ref="C13:J13" si="2">C$12/(C$12+C$14)</f>
        <v>0.50862068965517238</v>
      </c>
      <c r="D13" s="11">
        <f t="shared" si="2"/>
        <v>0.50972762645914393</v>
      </c>
      <c r="E13" s="11">
        <f t="shared" si="2"/>
        <v>0.5</v>
      </c>
      <c r="F13" s="11">
        <f t="shared" si="2"/>
        <v>0.51320754716981132</v>
      </c>
      <c r="G13" s="11">
        <f t="shared" si="2"/>
        <v>0.52416356877323422</v>
      </c>
      <c r="H13" s="11">
        <f t="shared" si="2"/>
        <v>0.53024911032028466</v>
      </c>
      <c r="I13" s="11">
        <f t="shared" si="2"/>
        <v>0.53633217993079585</v>
      </c>
      <c r="J13" s="11">
        <f t="shared" si="2"/>
        <v>0.5418060200668896</v>
      </c>
    </row>
    <row r="14" spans="1:10" ht="15" customHeight="1" x14ac:dyDescent="0.25">
      <c r="A14" s="9" t="s">
        <v>933</v>
      </c>
      <c r="B14" s="9" t="s">
        <v>936</v>
      </c>
      <c r="C14" s="10">
        <f>SUMIFS(Data!$L:$L,Data!$B:$B,"jomopay",Data!$K:$K,"native",Data!$J:$J,RIGHT(C$3,4)&amp;"-"&amp;LEFT(C$3,2),Data!$F:$F,"Number of Users",Data!$H:$H,"Female",Data!$I:$I,"")</f>
        <v>1140000</v>
      </c>
      <c r="D14" s="10">
        <f>SUMIFS(Data!$L:$L,Data!$B:$B,"jomopay",Data!$K:$K,"native",Data!$J:$J,RIGHT(D$3,4)&amp;"-"&amp;LEFT(D$3,2),Data!$F:$F,"Number of Users",Data!$H:$H,"Female",Data!$I:$I,"")</f>
        <v>1260000</v>
      </c>
      <c r="E14" s="10">
        <f>SUMIFS(Data!$L:$L,Data!$B:$B,"jomopay",Data!$K:$K,"native",Data!$J:$J,RIGHT(E$3,4)&amp;"-"&amp;LEFT(E$3,2),Data!$F:$F,"Number of Users",Data!$H:$H,"Female",Data!$I:$I,"")</f>
        <v>1300000</v>
      </c>
      <c r="F14" s="10">
        <f>SUMIFS(Data!$L:$L,Data!$B:$B,"jomopay",Data!$K:$K,"native",Data!$J:$J,RIGHT(F$3,4)&amp;"-"&amp;LEFT(F$3,2),Data!$F:$F,"Number of Users",Data!$H:$H,"Female",Data!$I:$I,"")</f>
        <v>1290000</v>
      </c>
      <c r="G14" s="10">
        <f>SUMIFS(Data!$L:$L,Data!$B:$B,"jomopay",Data!$K:$K,"native",Data!$J:$J,RIGHT(G$3,4)&amp;"-"&amp;LEFT(G$3,2),Data!$F:$F,"Number of Users",Data!$H:$H,"Female",Data!$I:$I,"")</f>
        <v>1280000</v>
      </c>
      <c r="H14" s="10">
        <f>SUMIFS(Data!$L:$L,Data!$B:$B,"jomopay",Data!$K:$K,"native",Data!$J:$J,RIGHT(H$3,4)&amp;"-"&amp;LEFT(H$3,2),Data!$F:$F,"Number of Users",Data!$H:$H,"Female",Data!$I:$I,"")</f>
        <v>1320000</v>
      </c>
      <c r="I14" s="10">
        <f>SUMIFS(Data!$L:$L,Data!$B:$B,"jomopay",Data!$K:$K,"native",Data!$J:$J,RIGHT(I$3,4)&amp;"-"&amp;LEFT(I$3,2),Data!$F:$F,"Number of Users",Data!$H:$H,"Female",Data!$I:$I,"")</f>
        <v>1340000</v>
      </c>
      <c r="J14" s="10">
        <f>SUMIFS(Data!$L:$L,Data!$B:$B,"jomopay",Data!$K:$K,"native",Data!$J:$J,RIGHT(J$3,4)&amp;"-"&amp;LEFT(J$3,2),Data!$F:$F,"Number of Users",Data!$H:$H,"Female",Data!$I:$I,"")</f>
        <v>1370000</v>
      </c>
    </row>
    <row r="15" spans="1:10" ht="15" customHeight="1" x14ac:dyDescent="0.25">
      <c r="A15" s="9" t="s">
        <v>933</v>
      </c>
      <c r="B15" s="9" t="s">
        <v>937</v>
      </c>
      <c r="C15" s="11">
        <f t="shared" ref="C15:J15" si="3">C$14/(C$14+C$12)</f>
        <v>0.49137931034482757</v>
      </c>
      <c r="D15" s="11">
        <f t="shared" si="3"/>
        <v>0.49027237354085601</v>
      </c>
      <c r="E15" s="11">
        <f t="shared" si="3"/>
        <v>0.5</v>
      </c>
      <c r="F15" s="11">
        <f t="shared" si="3"/>
        <v>0.48679245283018868</v>
      </c>
      <c r="G15" s="11">
        <f t="shared" si="3"/>
        <v>0.47583643122676578</v>
      </c>
      <c r="H15" s="11">
        <f t="shared" si="3"/>
        <v>0.46975088967971529</v>
      </c>
      <c r="I15" s="11">
        <f t="shared" si="3"/>
        <v>0.46366782006920415</v>
      </c>
      <c r="J15" s="11">
        <f t="shared" si="3"/>
        <v>0.45819397993311034</v>
      </c>
    </row>
    <row r="16" spans="1:10" ht="15" customHeight="1" x14ac:dyDescent="0.25">
      <c r="A16" s="22" t="s">
        <v>938</v>
      </c>
      <c r="B16" s="22"/>
      <c r="C16" s="22"/>
      <c r="D16" s="22"/>
      <c r="E16" s="22"/>
      <c r="F16" s="22"/>
      <c r="G16" s="22"/>
      <c r="H16" s="22"/>
      <c r="I16" s="22"/>
      <c r="J16" s="22"/>
    </row>
    <row r="17" spans="1:10" ht="15" customHeight="1" x14ac:dyDescent="0.25">
      <c r="A17" s="9" t="s">
        <v>939</v>
      </c>
      <c r="B17" s="9" t="s">
        <v>60</v>
      </c>
      <c r="C17" s="10">
        <f>SUMIFS(Data!$L:$L,Data!$B:$B,"jomopay",Data!$K:$K,"native",Data!$J:$J,RIGHT(C$3,4)&amp;"-"&amp;LEFT(C$3,2),Data!$F:$F,"Number of Users",Data!$H:$H,"=&lt;18",Data!$I:$I,"")</f>
        <v>1400</v>
      </c>
      <c r="D17" s="10">
        <f>SUMIFS(Data!$L:$L,Data!$B:$B,"jomopay",Data!$K:$K,"native",Data!$J:$J,RIGHT(D$3,4)&amp;"-"&amp;LEFT(D$3,2),Data!$F:$F,"Number of Users",Data!$H:$H,"=&lt;18",Data!$I:$I,"")</f>
        <v>1500</v>
      </c>
      <c r="E17" s="10">
        <f>SUMIFS(Data!$L:$L,Data!$B:$B,"jomopay",Data!$K:$K,"native",Data!$J:$J,RIGHT(E$3,4)&amp;"-"&amp;LEFT(E$3,2),Data!$F:$F,"Number of Users",Data!$H:$H,"=&lt;18",Data!$I:$I,"")</f>
        <v>1300</v>
      </c>
      <c r="F17" s="10">
        <f>SUMIFS(Data!$L:$L,Data!$B:$B,"jomopay",Data!$K:$K,"native",Data!$J:$J,RIGHT(F$3,4)&amp;"-"&amp;LEFT(F$3,2),Data!$F:$F,"Number of Users",Data!$H:$H,"=&lt;18",Data!$I:$I,"")</f>
        <v>1000</v>
      </c>
      <c r="G17" s="10">
        <f>SUMIFS(Data!$L:$L,Data!$B:$B,"jomopay",Data!$K:$K,"native",Data!$J:$J,RIGHT(G$3,4)&amp;"-"&amp;LEFT(G$3,2),Data!$F:$F,"Number of Users",Data!$H:$H,"=&lt;18",Data!$I:$I,"")</f>
        <v>1000</v>
      </c>
      <c r="H17" s="10">
        <f>SUMIFS(Data!$L:$L,Data!$B:$B,"jomopay",Data!$K:$K,"native",Data!$J:$J,RIGHT(H$3,4)&amp;"-"&amp;LEFT(H$3,2),Data!$F:$F,"Number of Users",Data!$H:$H,"=&lt;18",Data!$I:$I,"")</f>
        <v>1100</v>
      </c>
      <c r="I17" s="10">
        <f>SUMIFS(Data!$L:$L,Data!$B:$B,"jomopay",Data!$K:$K,"native",Data!$J:$J,RIGHT(I$3,4)&amp;"-"&amp;LEFT(I$3,2),Data!$F:$F,"Number of Users",Data!$H:$H,"=&lt;18",Data!$I:$I,"")</f>
        <v>1000</v>
      </c>
      <c r="J17" s="10">
        <f>SUMIFS(Data!$L:$L,Data!$B:$B,"jomopay",Data!$K:$K,"native",Data!$J:$J,RIGHT(J$3,4)&amp;"-"&amp;LEFT(J$3,2),Data!$F:$F,"Number of Users",Data!$H:$H,"=&lt;18",Data!$I:$I,"")</f>
        <v>830</v>
      </c>
    </row>
    <row r="18" spans="1:10" ht="15" customHeight="1" x14ac:dyDescent="0.25">
      <c r="A18" s="9" t="s">
        <v>939</v>
      </c>
      <c r="B18" s="9" t="s">
        <v>44</v>
      </c>
      <c r="C18" s="10">
        <f>SUMIFS(Data!$L:$L,Data!$B:$B,"jomopay",Data!$K:$K,"native",Data!$J:$J,RIGHT(C$3,4)&amp;"-"&amp;LEFT(C$3,2),Data!$F:$F,"Number of Users",Data!$H:$H,"18-30",Data!$I:$I,"")</f>
        <v>828200</v>
      </c>
      <c r="D18" s="10">
        <f>SUMIFS(Data!$L:$L,Data!$B:$B,"jomopay",Data!$K:$K,"native",Data!$J:$J,RIGHT(D$3,4)&amp;"-"&amp;LEFT(D$3,2),Data!$F:$F,"Number of Users",Data!$H:$H,"18-30",Data!$I:$I,"")</f>
        <v>971400</v>
      </c>
      <c r="E18" s="10">
        <f>SUMIFS(Data!$L:$L,Data!$B:$B,"jomopay",Data!$K:$K,"native",Data!$J:$J,RIGHT(E$3,4)&amp;"-"&amp;LEFT(E$3,2),Data!$F:$F,"Number of Users",Data!$H:$H,"18-30",Data!$I:$I,"")</f>
        <v>938100</v>
      </c>
      <c r="F18" s="10">
        <f>SUMIFS(Data!$L:$L,Data!$B:$B,"jomopay",Data!$K:$K,"native",Data!$J:$J,RIGHT(F$3,4)&amp;"-"&amp;LEFT(F$3,2),Data!$F:$F,"Number of Users",Data!$H:$H,"18-30",Data!$I:$I,"")</f>
        <v>951500</v>
      </c>
      <c r="G18" s="10">
        <f>SUMIFS(Data!$L:$L,Data!$B:$B,"jomopay",Data!$K:$K,"native",Data!$J:$J,RIGHT(G$3,4)&amp;"-"&amp;LEFT(G$3,2),Data!$F:$F,"Number of Users",Data!$H:$H,"18-30",Data!$I:$I,"")</f>
        <v>976500</v>
      </c>
      <c r="H18" s="10">
        <f>SUMIFS(Data!$L:$L,Data!$B:$B,"jomopay",Data!$K:$K,"native",Data!$J:$J,RIGHT(H$3,4)&amp;"-"&amp;LEFT(H$3,2),Data!$F:$F,"Number of Users",Data!$H:$H,"18-30",Data!$I:$I,"")</f>
        <v>1030000</v>
      </c>
      <c r="I18" s="10">
        <f>SUMIFS(Data!$L:$L,Data!$B:$B,"jomopay",Data!$K:$K,"native",Data!$J:$J,RIGHT(I$3,4)&amp;"-"&amp;LEFT(I$3,2),Data!$F:$F,"Number of Users",Data!$H:$H,"18-30",Data!$I:$I,"")</f>
        <v>1050000</v>
      </c>
      <c r="J18" s="10">
        <f>SUMIFS(Data!$L:$L,Data!$B:$B,"jomopay",Data!$K:$K,"native",Data!$J:$J,RIGHT(J$3,4)&amp;"-"&amp;LEFT(J$3,2),Data!$F:$F,"Number of Users",Data!$H:$H,"18-30",Data!$I:$I,"")</f>
        <v>1080000</v>
      </c>
    </row>
    <row r="19" spans="1:10" ht="15" customHeight="1" x14ac:dyDescent="0.25">
      <c r="A19" s="9" t="s">
        <v>939</v>
      </c>
      <c r="B19" s="9" t="s">
        <v>48</v>
      </c>
      <c r="C19" s="10">
        <f>SUMIFS(Data!$L:$L,Data!$B:$B,"jomopay",Data!$K:$K,"native",Data!$J:$J,RIGHT(C$3,4)&amp;"-"&amp;LEFT(C$3,2),Data!$F:$F,"Number of Users",Data!$H:$H,"31-40",Data!$I:$I,"")</f>
        <v>603200</v>
      </c>
      <c r="D19" s="10">
        <f>SUMIFS(Data!$L:$L,Data!$B:$B,"jomopay",Data!$K:$K,"native",Data!$J:$J,RIGHT(D$3,4)&amp;"-"&amp;LEFT(D$3,2),Data!$F:$F,"Number of Users",Data!$H:$H,"31-40",Data!$I:$I,"")</f>
        <v>667100</v>
      </c>
      <c r="E19" s="10">
        <f>SUMIFS(Data!$L:$L,Data!$B:$B,"jomopay",Data!$K:$K,"native",Data!$J:$J,RIGHT(E$3,4)&amp;"-"&amp;LEFT(E$3,2),Data!$F:$F,"Number of Users",Data!$H:$H,"31-40",Data!$I:$I,"")</f>
        <v>668500</v>
      </c>
      <c r="F19" s="10">
        <f>SUMIFS(Data!$L:$L,Data!$B:$B,"jomopay",Data!$K:$K,"native",Data!$J:$J,RIGHT(F$3,4)&amp;"-"&amp;LEFT(F$3,2),Data!$F:$F,"Number of Users",Data!$H:$H,"31-40",Data!$I:$I,"")</f>
        <v>685800</v>
      </c>
      <c r="G19" s="10">
        <f>SUMIFS(Data!$L:$L,Data!$B:$B,"jomopay",Data!$K:$K,"native",Data!$J:$J,RIGHT(G$3,4)&amp;"-"&amp;LEFT(G$3,2),Data!$F:$F,"Number of Users",Data!$H:$H,"31-40",Data!$I:$I,"")</f>
        <v>693600</v>
      </c>
      <c r="H19" s="10">
        <f>SUMIFS(Data!$L:$L,Data!$B:$B,"jomopay",Data!$K:$K,"native",Data!$J:$J,RIGHT(H$3,4)&amp;"-"&amp;LEFT(H$3,2),Data!$F:$F,"Number of Users",Data!$H:$H,"31-40",Data!$I:$I,"")</f>
        <v>719700</v>
      </c>
      <c r="I19" s="10">
        <f>SUMIFS(Data!$L:$L,Data!$B:$B,"jomopay",Data!$K:$K,"native",Data!$J:$J,RIGHT(I$3,4)&amp;"-"&amp;LEFT(I$3,2),Data!$F:$F,"Number of Users",Data!$H:$H,"31-40",Data!$I:$I,"")</f>
        <v>746000</v>
      </c>
      <c r="J19" s="10">
        <f>SUMIFS(Data!$L:$L,Data!$B:$B,"jomopay",Data!$K:$K,"native",Data!$J:$J,RIGHT(J$3,4)&amp;"-"&amp;LEFT(J$3,2),Data!$F:$F,"Number of Users",Data!$H:$H,"31-40",Data!$I:$I,"")</f>
        <v>768400</v>
      </c>
    </row>
    <row r="20" spans="1:10" ht="15" customHeight="1" x14ac:dyDescent="0.25">
      <c r="A20" s="9" t="s">
        <v>939</v>
      </c>
      <c r="B20" s="9" t="s">
        <v>50</v>
      </c>
      <c r="C20" s="10">
        <f>SUMIFS(Data!$L:$L,Data!$B:$B,"jomopay",Data!$K:$K,"native",Data!$J:$J,RIGHT(C$3,4)&amp;"-"&amp;LEFT(C$3,2),Data!$F:$F,"Number of Users",Data!$H:$H,"41-50",Data!$I:$I,"")</f>
        <v>455900</v>
      </c>
      <c r="D20" s="10">
        <f>SUMIFS(Data!$L:$L,Data!$B:$B,"jomopay",Data!$K:$K,"native",Data!$J:$J,RIGHT(D$3,4)&amp;"-"&amp;LEFT(D$3,2),Data!$F:$F,"Number of Users",Data!$H:$H,"41-50",Data!$I:$I,"")</f>
        <v>502800</v>
      </c>
      <c r="E20" s="10">
        <f>SUMIFS(Data!$L:$L,Data!$B:$B,"jomopay",Data!$K:$K,"native",Data!$J:$J,RIGHT(E$3,4)&amp;"-"&amp;LEFT(E$3,2),Data!$F:$F,"Number of Users",Data!$H:$H,"41-50",Data!$I:$I,"")</f>
        <v>504500</v>
      </c>
      <c r="F20" s="10">
        <f>SUMIFS(Data!$L:$L,Data!$B:$B,"jomopay",Data!$K:$K,"native",Data!$J:$J,RIGHT(F$3,4)&amp;"-"&amp;LEFT(F$3,2),Data!$F:$F,"Number of Users",Data!$H:$H,"41-50",Data!$I:$I,"")</f>
        <v>518800</v>
      </c>
      <c r="G20" s="10">
        <f>SUMIFS(Data!$L:$L,Data!$B:$B,"jomopay",Data!$K:$K,"native",Data!$J:$J,RIGHT(G$3,4)&amp;"-"&amp;LEFT(G$3,2),Data!$F:$F,"Number of Users",Data!$H:$H,"41-50",Data!$I:$I,"")</f>
        <v>521600</v>
      </c>
      <c r="H20" s="10">
        <f>SUMIFS(Data!$L:$L,Data!$B:$B,"jomopay",Data!$K:$K,"native",Data!$J:$J,RIGHT(H$3,4)&amp;"-"&amp;LEFT(H$3,2),Data!$F:$F,"Number of Users",Data!$H:$H,"41-50",Data!$I:$I,"")</f>
        <v>539900</v>
      </c>
      <c r="I20" s="10">
        <f>SUMIFS(Data!$L:$L,Data!$B:$B,"jomopay",Data!$K:$K,"native",Data!$J:$J,RIGHT(I$3,4)&amp;"-"&amp;LEFT(I$3,2),Data!$F:$F,"Number of Users",Data!$H:$H,"41-50",Data!$I:$I,"")</f>
        <v>560000</v>
      </c>
      <c r="J20" s="10">
        <f>SUMIFS(Data!$L:$L,Data!$B:$B,"jomopay",Data!$K:$K,"native",Data!$J:$J,RIGHT(J$3,4)&amp;"-"&amp;LEFT(J$3,2),Data!$F:$F,"Number of Users",Data!$H:$H,"41-50",Data!$I:$I,"")</f>
        <v>577500</v>
      </c>
    </row>
    <row r="21" spans="1:10" ht="15" customHeight="1" x14ac:dyDescent="0.25">
      <c r="A21" s="9" t="s">
        <v>939</v>
      </c>
      <c r="B21" s="9" t="s">
        <v>52</v>
      </c>
      <c r="C21" s="10">
        <f>SUMIFS(Data!$L:$L,Data!$B:$B,"jomopay",Data!$K:$K,"native",Data!$J:$J,RIGHT(C$3,4)&amp;"-"&amp;LEFT(C$3,2),Data!$F:$F,"Number of Users",Data!$H:$H,"51-60",Data!$I:$I,"")</f>
        <v>285100</v>
      </c>
      <c r="D21" s="10">
        <f>SUMIFS(Data!$L:$L,Data!$B:$B,"jomopay",Data!$K:$K,"native",Data!$J:$J,RIGHT(D$3,4)&amp;"-"&amp;LEFT(D$3,2),Data!$F:$F,"Number of Users",Data!$H:$H,"51-60",Data!$I:$I,"")</f>
        <v>318300</v>
      </c>
      <c r="E21" s="10">
        <f>SUMIFS(Data!$L:$L,Data!$B:$B,"jomopay",Data!$K:$K,"native",Data!$J:$J,RIGHT(E$3,4)&amp;"-"&amp;LEFT(E$3,2),Data!$F:$F,"Number of Users",Data!$H:$H,"51-60",Data!$I:$I,"")</f>
        <v>317000</v>
      </c>
      <c r="F21" s="10">
        <f>SUMIFS(Data!$L:$L,Data!$B:$B,"jomopay",Data!$K:$K,"native",Data!$J:$J,RIGHT(F$3,4)&amp;"-"&amp;LEFT(F$3,2),Data!$F:$F,"Number of Users",Data!$H:$H,"51-60",Data!$I:$I,"")</f>
        <v>326600</v>
      </c>
      <c r="G21" s="10">
        <f>SUMIFS(Data!$L:$L,Data!$B:$B,"jomopay",Data!$K:$K,"native",Data!$J:$J,RIGHT(G$3,4)&amp;"-"&amp;LEFT(G$3,2),Data!$F:$F,"Number of Users",Data!$H:$H,"51-60",Data!$I:$I,"")</f>
        <v>325500</v>
      </c>
      <c r="H21" s="10">
        <f>SUMIFS(Data!$L:$L,Data!$B:$B,"jomopay",Data!$K:$K,"native",Data!$J:$J,RIGHT(H$3,4)&amp;"-"&amp;LEFT(H$3,2),Data!$F:$F,"Number of Users",Data!$H:$H,"51-60",Data!$I:$I,"")</f>
        <v>338700</v>
      </c>
      <c r="I21" s="10">
        <f>SUMIFS(Data!$L:$L,Data!$B:$B,"jomopay",Data!$K:$K,"native",Data!$J:$J,RIGHT(I$3,4)&amp;"-"&amp;LEFT(I$3,2),Data!$F:$F,"Number of Users",Data!$H:$H,"51-60",Data!$I:$I,"")</f>
        <v>352100</v>
      </c>
      <c r="J21" s="10">
        <f>SUMIFS(Data!$L:$L,Data!$B:$B,"jomopay",Data!$K:$K,"native",Data!$J:$J,RIGHT(J$3,4)&amp;"-"&amp;LEFT(J$3,2),Data!$F:$F,"Number of Users",Data!$H:$H,"51-60",Data!$I:$I,"")</f>
        <v>364100</v>
      </c>
    </row>
    <row r="22" spans="1:10" ht="15" customHeight="1" x14ac:dyDescent="0.25">
      <c r="A22" s="9" t="s">
        <v>939</v>
      </c>
      <c r="B22" s="9" t="s">
        <v>54</v>
      </c>
      <c r="C22" s="10">
        <f>SUMIFS(Data!$L:$L,Data!$B:$B,"jomopay",Data!$K:$K,"native",Data!$J:$J,RIGHT(C$3,4)&amp;"-"&amp;LEFT(C$3,2),Data!$F:$F,"Number of Users",Data!$H:$H,"61-70",Data!$I:$I,"")</f>
        <v>102900</v>
      </c>
      <c r="D22" s="10">
        <f>SUMIFS(Data!$L:$L,Data!$B:$B,"jomopay",Data!$K:$K,"native",Data!$J:$J,RIGHT(D$3,4)&amp;"-"&amp;LEFT(D$3,2),Data!$F:$F,"Number of Users",Data!$H:$H,"61-70",Data!$I:$I,"")</f>
        <v>118700</v>
      </c>
      <c r="E22" s="10">
        <f>SUMIFS(Data!$L:$L,Data!$B:$B,"jomopay",Data!$K:$K,"native",Data!$J:$J,RIGHT(E$3,4)&amp;"-"&amp;LEFT(E$3,2),Data!$F:$F,"Number of Users",Data!$H:$H,"61-70",Data!$I:$I,"")</f>
        <v>118400</v>
      </c>
      <c r="F22" s="10">
        <f>SUMIFS(Data!$L:$L,Data!$B:$B,"jomopay",Data!$K:$K,"native",Data!$J:$J,RIGHT(F$3,4)&amp;"-"&amp;LEFT(F$3,2),Data!$F:$F,"Number of Users",Data!$H:$H,"61-70",Data!$I:$I,"")</f>
        <v>123000</v>
      </c>
      <c r="G22" s="10">
        <f>SUMIFS(Data!$L:$L,Data!$B:$B,"jomopay",Data!$K:$K,"native",Data!$J:$J,RIGHT(G$3,4)&amp;"-"&amp;LEFT(G$3,2),Data!$F:$F,"Number of Users",Data!$H:$H,"61-70",Data!$I:$I,"")</f>
        <v>123000</v>
      </c>
      <c r="H22" s="10">
        <f>SUMIFS(Data!$L:$L,Data!$B:$B,"jomopay",Data!$K:$K,"native",Data!$J:$J,RIGHT(H$3,4)&amp;"-"&amp;LEFT(H$3,2),Data!$F:$F,"Number of Users",Data!$H:$H,"61-70",Data!$I:$I,"")</f>
        <v>129000</v>
      </c>
      <c r="I22" s="10">
        <f>SUMIFS(Data!$L:$L,Data!$B:$B,"jomopay",Data!$K:$K,"native",Data!$J:$J,RIGHT(I$3,4)&amp;"-"&amp;LEFT(I$3,2),Data!$F:$F,"Number of Users",Data!$H:$H,"61-70",Data!$I:$I,"")</f>
        <v>138000</v>
      </c>
      <c r="J22" s="10">
        <f>SUMIFS(Data!$L:$L,Data!$B:$B,"jomopay",Data!$K:$K,"native",Data!$J:$J,RIGHT(J$3,4)&amp;"-"&amp;LEFT(J$3,2),Data!$F:$F,"Number of Users",Data!$H:$H,"61-70",Data!$I:$I,"")</f>
        <v>145000</v>
      </c>
    </row>
    <row r="23" spans="1:10" ht="15" customHeight="1" x14ac:dyDescent="0.25">
      <c r="A23" s="9" t="s">
        <v>939</v>
      </c>
      <c r="B23" s="9" t="s">
        <v>56</v>
      </c>
      <c r="C23" s="10">
        <f>SUMIFS(Data!$L:$L,Data!$B:$B,"jomopay",Data!$K:$K,"native",Data!$J:$J,RIGHT(C$3,4)&amp;"-"&amp;LEFT(C$3,2),Data!$F:$F,"Number of Users",Data!$H:$H,"71-80",Data!$I:$I,"")</f>
        <v>34400</v>
      </c>
      <c r="D23" s="10">
        <f>SUMIFS(Data!$L:$L,Data!$B:$B,"jomopay",Data!$K:$K,"native",Data!$J:$J,RIGHT(D$3,4)&amp;"-"&amp;LEFT(D$3,2),Data!$F:$F,"Number of Users",Data!$H:$H,"71-80",Data!$I:$I,"")</f>
        <v>39800</v>
      </c>
      <c r="E23" s="10">
        <f>SUMIFS(Data!$L:$L,Data!$B:$B,"jomopay",Data!$K:$K,"native",Data!$J:$J,RIGHT(E$3,4)&amp;"-"&amp;LEFT(E$3,2),Data!$F:$F,"Number of Users",Data!$H:$H,"71-80",Data!$I:$I,"")</f>
        <v>36900</v>
      </c>
      <c r="F23" s="10">
        <f>SUMIFS(Data!$L:$L,Data!$B:$B,"jomopay",Data!$K:$K,"native",Data!$J:$J,RIGHT(F$3,4)&amp;"-"&amp;LEFT(F$3,2),Data!$F:$F,"Number of Users",Data!$H:$H,"71-80",Data!$I:$I,"")</f>
        <v>37500</v>
      </c>
      <c r="G23" s="10">
        <f>SUMIFS(Data!$L:$L,Data!$B:$B,"jomopay",Data!$K:$K,"native",Data!$J:$J,RIGHT(G$3,4)&amp;"-"&amp;LEFT(G$3,2),Data!$F:$F,"Number of Users",Data!$H:$H,"71-80",Data!$I:$I,"")</f>
        <v>35800</v>
      </c>
      <c r="H23" s="10">
        <f>SUMIFS(Data!$L:$L,Data!$B:$B,"jomopay",Data!$K:$K,"native",Data!$J:$J,RIGHT(H$3,4)&amp;"-"&amp;LEFT(H$3,2),Data!$F:$F,"Number of Users",Data!$H:$H,"71-80",Data!$I:$I,"")</f>
        <v>37600</v>
      </c>
      <c r="I23" s="10">
        <f>SUMIFS(Data!$L:$L,Data!$B:$B,"jomopay",Data!$K:$K,"native",Data!$J:$J,RIGHT(I$3,4)&amp;"-"&amp;LEFT(I$3,2),Data!$F:$F,"Number of Users",Data!$H:$H,"71-80",Data!$I:$I,"")</f>
        <v>39800</v>
      </c>
      <c r="J23" s="10">
        <f>SUMIFS(Data!$L:$L,Data!$B:$B,"jomopay",Data!$K:$K,"native",Data!$J:$J,RIGHT(J$3,4)&amp;"-"&amp;LEFT(J$3,2),Data!$F:$F,"Number of Users",Data!$H:$H,"71-80",Data!$I:$I,"")</f>
        <v>41400</v>
      </c>
    </row>
    <row r="24" spans="1:10" ht="15" customHeight="1" x14ac:dyDescent="0.25">
      <c r="A24" s="9" t="s">
        <v>939</v>
      </c>
      <c r="B24" s="9" t="s">
        <v>58</v>
      </c>
      <c r="C24" s="10">
        <f>SUMIFS(Data!$L:$L,Data!$B:$B,"jomopay",Data!$K:$K,"native",Data!$J:$J,RIGHT(C$3,4)&amp;"-"&amp;LEFT(C$3,2),Data!$F:$F,"Number of Users",Data!$H:$H,"81-90",Data!$I:$I,"")</f>
        <v>12600</v>
      </c>
      <c r="D24" s="10">
        <f>SUMIFS(Data!$L:$L,Data!$B:$B,"jomopay",Data!$K:$K,"native",Data!$J:$J,RIGHT(D$3,4)&amp;"-"&amp;LEFT(D$3,2),Data!$F:$F,"Number of Users",Data!$H:$H,"81-90",Data!$I:$I,"")</f>
        <v>14400</v>
      </c>
      <c r="E24" s="10">
        <f>SUMIFS(Data!$L:$L,Data!$B:$B,"jomopay",Data!$K:$K,"native",Data!$J:$J,RIGHT(E$3,4)&amp;"-"&amp;LEFT(E$3,2),Data!$F:$F,"Number of Users",Data!$H:$H,"81-90",Data!$I:$I,"")</f>
        <v>12500</v>
      </c>
      <c r="F24" s="10">
        <f>SUMIFS(Data!$L:$L,Data!$B:$B,"jomopay",Data!$K:$K,"native",Data!$J:$J,RIGHT(F$3,4)&amp;"-"&amp;LEFT(F$3,2),Data!$F:$F,"Number of Users",Data!$H:$H,"81-90",Data!$I:$I,"")</f>
        <v>13900</v>
      </c>
      <c r="G24" s="10">
        <f>SUMIFS(Data!$L:$L,Data!$B:$B,"jomopay",Data!$K:$K,"native",Data!$J:$J,RIGHT(G$3,4)&amp;"-"&amp;LEFT(G$3,2),Data!$F:$F,"Number of Users",Data!$H:$H,"81-90",Data!$I:$I,"")</f>
        <v>12700</v>
      </c>
      <c r="H24" s="10">
        <f>SUMIFS(Data!$L:$L,Data!$B:$B,"jomopay",Data!$K:$K,"native",Data!$J:$J,RIGHT(H$3,4)&amp;"-"&amp;LEFT(H$3,2),Data!$F:$F,"Number of Users",Data!$H:$H,"81-90",Data!$I:$I,"")</f>
        <v>13000</v>
      </c>
      <c r="I24" s="10">
        <f>SUMIFS(Data!$L:$L,Data!$B:$B,"jomopay",Data!$K:$K,"native",Data!$J:$J,RIGHT(I$3,4)&amp;"-"&amp;LEFT(I$3,2),Data!$F:$F,"Number of Users",Data!$H:$H,"81-90",Data!$I:$I,"")</f>
        <v>13300</v>
      </c>
      <c r="J24" s="10">
        <f>SUMIFS(Data!$L:$L,Data!$B:$B,"jomopay",Data!$K:$K,"native",Data!$J:$J,RIGHT(J$3,4)&amp;"-"&amp;LEFT(J$3,2),Data!$F:$F,"Number of Users",Data!$H:$H,"81-90",Data!$I:$I,"")</f>
        <v>15000</v>
      </c>
    </row>
    <row r="25" spans="1:10" ht="15" customHeight="1" x14ac:dyDescent="0.25">
      <c r="A25" s="22" t="s">
        <v>971</v>
      </c>
      <c r="B25" s="22"/>
      <c r="C25" s="22"/>
      <c r="D25" s="22"/>
      <c r="E25" s="22"/>
      <c r="F25" s="22"/>
      <c r="G25" s="22"/>
      <c r="H25" s="22"/>
      <c r="I25" s="22"/>
      <c r="J25" s="22"/>
    </row>
    <row r="26" spans="1:10" ht="15" customHeight="1" x14ac:dyDescent="0.25">
      <c r="A26" s="9" t="s">
        <v>972</v>
      </c>
      <c r="B26" s="9" t="s">
        <v>313</v>
      </c>
      <c r="C26" s="10">
        <f>SUMIFS(Data!$L:$L,Data!$B:$B,"jomopay",Data!$K:$K,"native",Data!$J:$J,RIGHT(C$3,4)&amp;"-"&amp;LEFT(C$3,2),Data!$F:$F,"Number of Wallets",Data!$H:$H,"Personal Wallet",Data!$I:$I,"")</f>
        <v>2240000</v>
      </c>
      <c r="D26" s="10">
        <f>SUMIFS(Data!$L:$L,Data!$B:$B,"jomopay",Data!$K:$K,"native",Data!$J:$J,RIGHT(D$3,4)&amp;"-"&amp;LEFT(D$3,2),Data!$F:$F,"Number of Wallets",Data!$H:$H,"Personal Wallet",Data!$I:$I,"")</f>
        <v>2510000</v>
      </c>
      <c r="E26" s="10">
        <f>SUMIFS(Data!$L:$L,Data!$B:$B,"jomopay",Data!$K:$K,"native",Data!$J:$J,RIGHT(E$3,4)&amp;"-"&amp;LEFT(E$3,2),Data!$F:$F,"Number of Wallets",Data!$H:$H,"Personal Wallet",Data!$I:$I,"")</f>
        <v>2520000</v>
      </c>
      <c r="F26" s="10">
        <f>SUMIFS(Data!$L:$L,Data!$B:$B,"jomopay",Data!$K:$K,"native",Data!$J:$J,RIGHT(F$3,4)&amp;"-"&amp;LEFT(F$3,2),Data!$F:$F,"Number of Wallets",Data!$H:$H,"Personal Wallet",Data!$I:$I,"")</f>
        <v>2610000</v>
      </c>
      <c r="G26" s="10">
        <f>SUMIFS(Data!$L:$L,Data!$B:$B,"jomopay",Data!$K:$K,"native",Data!$J:$J,RIGHT(G$3,4)&amp;"-"&amp;LEFT(G$3,2),Data!$F:$F,"Number of Wallets",Data!$H:$H,"Personal Wallet",Data!$I:$I,"")</f>
        <v>2670000</v>
      </c>
      <c r="H26" s="10">
        <f>SUMIFS(Data!$L:$L,Data!$B:$B,"jomopay",Data!$K:$K,"native",Data!$J:$J,RIGHT(H$3,4)&amp;"-"&amp;LEFT(H$3,2),Data!$F:$F,"Number of Wallets",Data!$H:$H,"Personal Wallet",Data!$I:$I,"")</f>
        <v>2780000</v>
      </c>
      <c r="I26" s="10">
        <f>SUMIFS(Data!$L:$L,Data!$B:$B,"jomopay",Data!$K:$K,"native",Data!$J:$J,RIGHT(I$3,4)&amp;"-"&amp;LEFT(I$3,2),Data!$F:$F,"Number of Wallets",Data!$H:$H,"Personal Wallet",Data!$I:$I,"")</f>
        <v>2880000</v>
      </c>
      <c r="J26" s="10">
        <f>SUMIFS(Data!$L:$L,Data!$B:$B,"jomopay",Data!$K:$K,"native",Data!$J:$J,RIGHT(J$3,4)&amp;"-"&amp;LEFT(J$3,2),Data!$F:$F,"Number of Wallets",Data!$H:$H,"Personal Wallet",Data!$I:$I,"")</f>
        <v>2950000</v>
      </c>
    </row>
    <row r="27" spans="1:10" ht="15" customHeight="1" x14ac:dyDescent="0.25">
      <c r="A27" s="9" t="s">
        <v>972</v>
      </c>
      <c r="B27" s="9" t="s">
        <v>311</v>
      </c>
      <c r="C27" s="10">
        <f>SUMIFS(Data!$L:$L,Data!$B:$B,"jomopay",Data!$K:$K,"native",Data!$J:$J,RIGHT(C$3,4)&amp;"-"&amp;LEFT(C$3,2),Data!$F:$F,"Number of Wallets",Data!$H:$H,"Merchant Wallet",Data!$I:$I,"")</f>
        <v>4122</v>
      </c>
      <c r="D27" s="10">
        <f>SUMIFS(Data!$L:$L,Data!$B:$B,"jomopay",Data!$K:$K,"native",Data!$J:$J,RIGHT(D$3,4)&amp;"-"&amp;LEFT(D$3,2),Data!$F:$F,"Number of Wallets",Data!$H:$H,"Merchant Wallet",Data!$I:$I,"")</f>
        <v>3415</v>
      </c>
      <c r="E27" s="10">
        <f>SUMIFS(Data!$L:$L,Data!$B:$B,"jomopay",Data!$K:$K,"native",Data!$J:$J,RIGHT(E$3,4)&amp;"-"&amp;LEFT(E$3,2),Data!$F:$F,"Number of Wallets",Data!$H:$H,"Merchant Wallet",Data!$I:$I,"")</f>
        <v>3329</v>
      </c>
      <c r="F27" s="10">
        <f>SUMIFS(Data!$L:$L,Data!$B:$B,"jomopay",Data!$K:$K,"native",Data!$J:$J,RIGHT(F$3,4)&amp;"-"&amp;LEFT(F$3,2),Data!$F:$F,"Number of Wallets",Data!$H:$H,"Merchant Wallet",Data!$I:$I,"")</f>
        <v>3465</v>
      </c>
      <c r="G27" s="10">
        <f>SUMIFS(Data!$L:$L,Data!$B:$B,"jomopay",Data!$K:$K,"native",Data!$J:$J,RIGHT(G$3,4)&amp;"-"&amp;LEFT(G$3,2),Data!$F:$F,"Number of Wallets",Data!$H:$H,"Merchant Wallet",Data!$I:$I,"")</f>
        <v>3574</v>
      </c>
      <c r="H27" s="10">
        <f>SUMIFS(Data!$L:$L,Data!$B:$B,"jomopay",Data!$K:$K,"native",Data!$J:$J,RIGHT(H$3,4)&amp;"-"&amp;LEFT(H$3,2),Data!$F:$F,"Number of Wallets",Data!$H:$H,"Merchant Wallet",Data!$I:$I,"")</f>
        <v>3716</v>
      </c>
      <c r="I27" s="10">
        <f>SUMIFS(Data!$L:$L,Data!$B:$B,"jomopay",Data!$K:$K,"native",Data!$J:$J,RIGHT(I$3,4)&amp;"-"&amp;LEFT(I$3,2),Data!$F:$F,"Number of Wallets",Data!$H:$H,"Merchant Wallet",Data!$I:$I,"")</f>
        <v>4020</v>
      </c>
      <c r="J27" s="10">
        <f>SUMIFS(Data!$L:$L,Data!$B:$B,"jomopay",Data!$K:$K,"native",Data!$J:$J,RIGHT(J$3,4)&amp;"-"&amp;LEFT(J$3,2),Data!$F:$F,"Number of Wallets",Data!$H:$H,"Merchant Wallet",Data!$I:$I,"")</f>
        <v>4480</v>
      </c>
    </row>
    <row r="28" spans="1:10" ht="15" customHeight="1" x14ac:dyDescent="0.25">
      <c r="A28" s="9" t="s">
        <v>972</v>
      </c>
      <c r="B28" s="9" t="s">
        <v>305</v>
      </c>
      <c r="C28" s="10">
        <f>SUMIFS(Data!$L:$L,Data!$B:$B,"jomopay",Data!$K:$K,"native",Data!$J:$J,RIGHT(C$3,4)&amp;"-"&amp;LEFT(C$3,2),Data!$F:$F,"Number of Wallets",Data!$H:$H,"Agent Wallet",Data!$I:$I,"")</f>
        <v>1376</v>
      </c>
      <c r="D28" s="10">
        <f>SUMIFS(Data!$L:$L,Data!$B:$B,"jomopay",Data!$K:$K,"native",Data!$J:$J,RIGHT(D$3,4)&amp;"-"&amp;LEFT(D$3,2),Data!$F:$F,"Number of Wallets",Data!$H:$H,"Agent Wallet",Data!$I:$I,"")</f>
        <v>1077</v>
      </c>
      <c r="E28" s="10">
        <f>SUMIFS(Data!$L:$L,Data!$B:$B,"jomopay",Data!$K:$K,"native",Data!$J:$J,RIGHT(E$3,4)&amp;"-"&amp;LEFT(E$3,2),Data!$F:$F,"Number of Wallets",Data!$H:$H,"Agent Wallet",Data!$I:$I,"")</f>
        <v>918</v>
      </c>
      <c r="F28" s="10">
        <f>SUMIFS(Data!$L:$L,Data!$B:$B,"jomopay",Data!$K:$K,"native",Data!$J:$J,RIGHT(F$3,4)&amp;"-"&amp;LEFT(F$3,2),Data!$F:$F,"Number of Wallets",Data!$H:$H,"Agent Wallet",Data!$I:$I,"")</f>
        <v>962</v>
      </c>
      <c r="G28" s="10">
        <f>SUMIFS(Data!$L:$L,Data!$B:$B,"jomopay",Data!$K:$K,"native",Data!$J:$J,RIGHT(G$3,4)&amp;"-"&amp;LEFT(G$3,2),Data!$F:$F,"Number of Wallets",Data!$H:$H,"Agent Wallet",Data!$I:$I,"")</f>
        <v>992</v>
      </c>
      <c r="H28" s="10">
        <f>SUMIFS(Data!$L:$L,Data!$B:$B,"jomopay",Data!$K:$K,"native",Data!$J:$J,RIGHT(H$3,4)&amp;"-"&amp;LEFT(H$3,2),Data!$F:$F,"Number of Wallets",Data!$H:$H,"Agent Wallet",Data!$I:$I,"")</f>
        <v>1045</v>
      </c>
      <c r="I28" s="10">
        <f>SUMIFS(Data!$L:$L,Data!$B:$B,"jomopay",Data!$K:$K,"native",Data!$J:$J,RIGHT(I$3,4)&amp;"-"&amp;LEFT(I$3,2),Data!$F:$F,"Number of Wallets",Data!$H:$H,"Agent Wallet",Data!$I:$I,"")</f>
        <v>1064</v>
      </c>
      <c r="J28" s="10">
        <f>SUMIFS(Data!$L:$L,Data!$B:$B,"jomopay",Data!$K:$K,"native",Data!$J:$J,RIGHT(J$3,4)&amp;"-"&amp;LEFT(J$3,2),Data!$F:$F,"Number of Wallets",Data!$H:$H,"Agent Wallet",Data!$I:$I,"")</f>
        <v>1077</v>
      </c>
    </row>
    <row r="29" spans="1:10" ht="15" customHeight="1" x14ac:dyDescent="0.25">
      <c r="A29" s="9" t="s">
        <v>972</v>
      </c>
      <c r="B29" s="9" t="s">
        <v>307</v>
      </c>
      <c r="C29" s="10">
        <f>SUMIFS(Data!$L:$L,Data!$B:$B,"jomopay",Data!$K:$K,"native",Data!$J:$J,RIGHT(C$3,4)&amp;"-"&amp;LEFT(C$3,2),Data!$F:$F,"Number of Wallets",Data!$H:$H,"Business Wallet",Data!$I:$I,"")</f>
        <v>1088</v>
      </c>
      <c r="D29" s="10">
        <f>SUMIFS(Data!$L:$L,Data!$B:$B,"jomopay",Data!$K:$K,"native",Data!$J:$J,RIGHT(D$3,4)&amp;"-"&amp;LEFT(D$3,2),Data!$F:$F,"Number of Wallets",Data!$H:$H,"Business Wallet",Data!$I:$I,"")</f>
        <v>1149</v>
      </c>
      <c r="E29" s="10">
        <f>SUMIFS(Data!$L:$L,Data!$B:$B,"jomopay",Data!$K:$K,"native",Data!$J:$J,RIGHT(E$3,4)&amp;"-"&amp;LEFT(E$3,2),Data!$F:$F,"Number of Wallets",Data!$H:$H,"Business Wallet",Data!$I:$I,"")</f>
        <v>1176</v>
      </c>
      <c r="F29" s="10">
        <f>SUMIFS(Data!$L:$L,Data!$B:$B,"jomopay",Data!$K:$K,"native",Data!$J:$J,RIGHT(F$3,4)&amp;"-"&amp;LEFT(F$3,2),Data!$F:$F,"Number of Wallets",Data!$H:$H,"Business Wallet",Data!$I:$I,"")</f>
        <v>1262</v>
      </c>
      <c r="G29" s="10">
        <f>SUMIFS(Data!$L:$L,Data!$B:$B,"jomopay",Data!$K:$K,"native",Data!$J:$J,RIGHT(G$3,4)&amp;"-"&amp;LEFT(G$3,2),Data!$F:$F,"Number of Wallets",Data!$H:$H,"Business Wallet",Data!$I:$I,"")</f>
        <v>1388</v>
      </c>
      <c r="H29" s="10">
        <f>SUMIFS(Data!$L:$L,Data!$B:$B,"jomopay",Data!$K:$K,"native",Data!$J:$J,RIGHT(H$3,4)&amp;"-"&amp;LEFT(H$3,2),Data!$F:$F,"Number of Wallets",Data!$H:$H,"Business Wallet",Data!$I:$I,"")</f>
        <v>1511</v>
      </c>
      <c r="I29" s="10">
        <f>SUMIFS(Data!$L:$L,Data!$B:$B,"jomopay",Data!$K:$K,"native",Data!$J:$J,RIGHT(I$3,4)&amp;"-"&amp;LEFT(I$3,2),Data!$F:$F,"Number of Wallets",Data!$H:$H,"Business Wallet",Data!$I:$I,"")</f>
        <v>1662</v>
      </c>
      <c r="J29" s="10">
        <f>SUMIFS(Data!$L:$L,Data!$B:$B,"jomopay",Data!$K:$K,"native",Data!$J:$J,RIGHT(J$3,4)&amp;"-"&amp;LEFT(J$3,2),Data!$F:$F,"Number of Wallets",Data!$H:$H,"Business Wallet",Data!$I:$I,"")</f>
        <v>2035</v>
      </c>
    </row>
    <row r="30" spans="1:10" ht="15" customHeight="1" x14ac:dyDescent="0.25">
      <c r="A30" s="9" t="s">
        <v>972</v>
      </c>
      <c r="B30" s="9" t="s">
        <v>309</v>
      </c>
      <c r="C30" s="10">
        <f>SUMIFS(Data!$L:$L,Data!$B:$B,"jomopay",Data!$K:$K,"native",Data!$J:$J,RIGHT(C$3,4)&amp;"-"&amp;LEFT(C$3,2),Data!$F:$F,"Number of Wallets",Data!$H:$H,"Government Wallet",Data!$I:$I,"")</f>
        <v>8</v>
      </c>
      <c r="D30" s="10">
        <f>SUMIFS(Data!$L:$L,Data!$B:$B,"jomopay",Data!$K:$K,"native",Data!$J:$J,RIGHT(D$3,4)&amp;"-"&amp;LEFT(D$3,2),Data!$F:$F,"Number of Wallets",Data!$H:$H,"Government Wallet",Data!$I:$I,"")</f>
        <v>7</v>
      </c>
      <c r="E30" s="10">
        <f>SUMIFS(Data!$L:$L,Data!$B:$B,"jomopay",Data!$K:$K,"native",Data!$J:$J,RIGHT(E$3,4)&amp;"-"&amp;LEFT(E$3,2),Data!$F:$F,"Number of Wallets",Data!$H:$H,"Government Wallet",Data!$I:$I,"")</f>
        <v>6</v>
      </c>
      <c r="F30" s="10">
        <f>SUMIFS(Data!$L:$L,Data!$B:$B,"jomopay",Data!$K:$K,"native",Data!$J:$J,RIGHT(F$3,4)&amp;"-"&amp;LEFT(F$3,2),Data!$F:$F,"Number of Wallets",Data!$H:$H,"Government Wallet",Data!$I:$I,"")</f>
        <v>7</v>
      </c>
      <c r="G30" s="10">
        <f>SUMIFS(Data!$L:$L,Data!$B:$B,"jomopay",Data!$K:$K,"native",Data!$J:$J,RIGHT(G$3,4)&amp;"-"&amp;LEFT(G$3,2),Data!$F:$F,"Number of Wallets",Data!$H:$H,"Government Wallet",Data!$I:$I,"")</f>
        <v>7</v>
      </c>
      <c r="H30" s="10">
        <f>SUMIFS(Data!$L:$L,Data!$B:$B,"jomopay",Data!$K:$K,"native",Data!$J:$J,RIGHT(H$3,4)&amp;"-"&amp;LEFT(H$3,2),Data!$F:$F,"Number of Wallets",Data!$H:$H,"Government Wallet",Data!$I:$I,"")</f>
        <v>8</v>
      </c>
      <c r="I30" s="10">
        <f>SUMIFS(Data!$L:$L,Data!$B:$B,"jomopay",Data!$K:$K,"native",Data!$J:$J,RIGHT(I$3,4)&amp;"-"&amp;LEFT(I$3,2),Data!$F:$F,"Number of Wallets",Data!$H:$H,"Government Wallet",Data!$I:$I,"")</f>
        <v>8</v>
      </c>
      <c r="J30" s="10">
        <f>SUMIFS(Data!$L:$L,Data!$B:$B,"jomopay",Data!$K:$K,"native",Data!$J:$J,RIGHT(J$3,4)&amp;"-"&amp;LEFT(J$3,2),Data!$F:$F,"Number of Wallets",Data!$H:$H,"Government Wallet",Data!$I:$I,"")</f>
        <v>8</v>
      </c>
    </row>
    <row r="31" spans="1:10" ht="15" customHeight="1" x14ac:dyDescent="0.25">
      <c r="A31" s="22" t="s">
        <v>946</v>
      </c>
      <c r="B31" s="22"/>
      <c r="C31" s="22"/>
      <c r="D31" s="22"/>
      <c r="E31" s="22"/>
      <c r="F31" s="22"/>
      <c r="G31" s="22"/>
      <c r="H31" s="22"/>
      <c r="I31" s="22"/>
      <c r="J31" s="22"/>
    </row>
    <row r="32" spans="1:10" ht="15" customHeight="1" x14ac:dyDescent="0.25">
      <c r="A32" s="7" t="s">
        <v>199</v>
      </c>
      <c r="B32" s="7" t="s">
        <v>947</v>
      </c>
      <c r="C32" s="8">
        <f>SUMIFS(Data!$L:$L,Data!$B:$B,"jomopay",Data!$K:$K,"native",Data!$J:$J,RIGHT(C$3,4)&amp;"-"&amp;LEFT(C$3,2),Data!$F:$F,"Number of Transactions",Data!$H:$H,"",Data!$I:$I,"")</f>
        <v>15190000</v>
      </c>
      <c r="D32" s="8">
        <f>SUMIFS(Data!$L:$L,Data!$B:$B,"jomopay",Data!$K:$K,"native",Data!$J:$J,RIGHT(D$3,4)&amp;"-"&amp;LEFT(D$3,2),Data!$F:$F,"Number of Transactions",Data!$H:$H,"",Data!$I:$I,"")</f>
        <v>17410000</v>
      </c>
      <c r="E32" s="8">
        <f>SUMIFS(Data!$L:$L,Data!$B:$B,"jomopay",Data!$K:$K,"native",Data!$J:$J,RIGHT(E$3,4)&amp;"-"&amp;LEFT(E$3,2),Data!$F:$F,"Number of Transactions",Data!$H:$H,"",Data!$I:$I,"")</f>
        <v>19590000</v>
      </c>
      <c r="F32" s="8">
        <f>SUMIFS(Data!$L:$L,Data!$B:$B,"jomopay",Data!$K:$K,"native",Data!$J:$J,RIGHT(F$3,4)&amp;"-"&amp;LEFT(F$3,2),Data!$F:$F,"Number of Transactions",Data!$H:$H,"",Data!$I:$I,"")</f>
        <v>23190000</v>
      </c>
      <c r="G32" s="8">
        <f>SUMIFS(Data!$L:$L,Data!$B:$B,"jomopay",Data!$K:$K,"native",Data!$J:$J,RIGHT(G$3,4)&amp;"-"&amp;LEFT(G$3,2),Data!$F:$F,"Number of Transactions",Data!$H:$H,"",Data!$I:$I,"")</f>
        <v>28100000</v>
      </c>
      <c r="H32" s="8">
        <f>SUMIFS(Data!$L:$L,Data!$B:$B,"jomopay",Data!$K:$K,"native",Data!$J:$J,RIGHT(H$3,4)&amp;"-"&amp;LEFT(H$3,2),Data!$F:$F,"Number of Transactions",Data!$H:$H,"",Data!$I:$I,"")</f>
        <v>31160000</v>
      </c>
      <c r="I32" s="8">
        <f>SUMIFS(Data!$L:$L,Data!$B:$B,"jomopay",Data!$K:$K,"native",Data!$J:$J,RIGHT(I$3,4)&amp;"-"&amp;LEFT(I$3,2),Data!$F:$F,"Number of Transactions",Data!$H:$H,"",Data!$I:$I,"")</f>
        <v>35430000</v>
      </c>
      <c r="J32" s="8">
        <f>SUMIFS(Data!$L:$L,Data!$B:$B,"jomopay",Data!$K:$K,"native",Data!$J:$J,RIGHT(J$3,4)&amp;"-"&amp;LEFT(J$3,2),Data!$F:$F,"Number of Transactions",Data!$H:$H,"",Data!$I:$I,"")</f>
        <v>43060000</v>
      </c>
    </row>
    <row r="33" spans="1:10" ht="15" customHeight="1" x14ac:dyDescent="0.25">
      <c r="A33" s="7" t="s">
        <v>199</v>
      </c>
      <c r="B33" s="7" t="s">
        <v>948</v>
      </c>
      <c r="C33" s="8">
        <f>SUMIFS(Data!$L:$L,Data!$B:$B,"jomopay",Data!$K:$K,"native",Data!$J:$J,RIGHT(C$3,4)&amp;"-"&amp;LEFT(C$3,2),Data!$F:$F,"Value of Transactions",Data!$H:$H,"",Data!$I:$I,"")</f>
        <v>1380000000</v>
      </c>
      <c r="D33" s="8">
        <f>SUMIFS(Data!$L:$L,Data!$B:$B,"jomopay",Data!$K:$K,"native",Data!$J:$J,RIGHT(D$3,4)&amp;"-"&amp;LEFT(D$3,2),Data!$F:$F,"Value of Transactions",Data!$H:$H,"",Data!$I:$I,"")</f>
        <v>1410000000</v>
      </c>
      <c r="E33" s="8">
        <f>SUMIFS(Data!$L:$L,Data!$B:$B,"jomopay",Data!$K:$K,"native",Data!$J:$J,RIGHT(E$3,4)&amp;"-"&amp;LEFT(E$3,2),Data!$F:$F,"Value of Transactions",Data!$H:$H,"",Data!$I:$I,"")</f>
        <v>1440000000</v>
      </c>
      <c r="F33" s="8">
        <f>SUMIFS(Data!$L:$L,Data!$B:$B,"jomopay",Data!$K:$K,"native",Data!$J:$J,RIGHT(F$3,4)&amp;"-"&amp;LEFT(F$3,2),Data!$F:$F,"Value of Transactions",Data!$H:$H,"",Data!$I:$I,"")</f>
        <v>1540000000</v>
      </c>
      <c r="G33" s="8">
        <f>SUMIFS(Data!$L:$L,Data!$B:$B,"jomopay",Data!$K:$K,"native",Data!$J:$J,RIGHT(G$3,4)&amp;"-"&amp;LEFT(G$3,2),Data!$F:$F,"Value of Transactions",Data!$H:$H,"",Data!$I:$I,"")</f>
        <v>1720000000</v>
      </c>
      <c r="H33" s="8">
        <f>SUMIFS(Data!$L:$L,Data!$B:$B,"jomopay",Data!$K:$K,"native",Data!$J:$J,RIGHT(H$3,4)&amp;"-"&amp;LEFT(H$3,2),Data!$F:$F,"Value of Transactions",Data!$H:$H,"",Data!$I:$I,"")</f>
        <v>1650000000</v>
      </c>
      <c r="I33" s="8">
        <f>SUMIFS(Data!$L:$L,Data!$B:$B,"jomopay",Data!$K:$K,"native",Data!$J:$J,RIGHT(I$3,4)&amp;"-"&amp;LEFT(I$3,2),Data!$F:$F,"Value of Transactions",Data!$H:$H,"",Data!$I:$I,"")</f>
        <v>1790000000</v>
      </c>
      <c r="J33" s="8">
        <f>SUMIFS(Data!$L:$L,Data!$B:$B,"jomopay",Data!$K:$K,"native",Data!$J:$J,RIGHT(J$3,4)&amp;"-"&amp;LEFT(J$3,2),Data!$F:$F,"Value of Transactions",Data!$H:$H,"",Data!$I:$I,"")</f>
        <v>1970000000</v>
      </c>
    </row>
    <row r="34" spans="1:10" ht="15" customHeight="1" x14ac:dyDescent="0.25">
      <c r="A34" s="22" t="s">
        <v>949</v>
      </c>
      <c r="B34" s="22"/>
      <c r="C34" s="22"/>
      <c r="D34" s="22"/>
      <c r="E34" s="22"/>
      <c r="F34" s="22"/>
      <c r="G34" s="22"/>
      <c r="H34" s="22"/>
      <c r="I34" s="22"/>
      <c r="J34" s="22"/>
    </row>
    <row r="35" spans="1:10" ht="15" customHeight="1" x14ac:dyDescent="0.25">
      <c r="A35" s="9" t="s">
        <v>1028</v>
      </c>
      <c r="B35" s="9" t="s">
        <v>200</v>
      </c>
      <c r="C35" s="10">
        <f>SUMIFS(Data!$L:$L,Data!$B:$B,"jomopay",Data!$K:$K,"native",Data!$J:$J,RIGHT(C$3,4)&amp;"-"&amp;LEFT(C$3,2),Data!$F:$F,"Number of Transactions",Data!$H:$H,"Money Transfer",Data!$I:$I,"")</f>
        <v>13750000</v>
      </c>
      <c r="D35" s="10">
        <f>SUMIFS(Data!$L:$L,Data!$B:$B,"jomopay",Data!$K:$K,"native",Data!$J:$J,RIGHT(D$3,4)&amp;"-"&amp;LEFT(D$3,2),Data!$F:$F,"Number of Transactions",Data!$H:$H,"Money Transfer",Data!$I:$I,"")</f>
        <v>15890000</v>
      </c>
      <c r="E35" s="10">
        <f>SUMIFS(Data!$L:$L,Data!$B:$B,"jomopay",Data!$K:$K,"native",Data!$J:$J,RIGHT(E$3,4)&amp;"-"&amp;LEFT(E$3,2),Data!$F:$F,"Number of Transactions",Data!$H:$H,"Money Transfer",Data!$I:$I,"")</f>
        <v>18140000</v>
      </c>
      <c r="F35" s="10">
        <f>SUMIFS(Data!$L:$L,Data!$B:$B,"jomopay",Data!$K:$K,"native",Data!$J:$J,RIGHT(F$3,4)&amp;"-"&amp;LEFT(F$3,2),Data!$F:$F,"Number of Transactions",Data!$H:$H,"Money Transfer",Data!$I:$I,"")</f>
        <v>21330000</v>
      </c>
      <c r="G35" s="10">
        <f>SUMIFS(Data!$L:$L,Data!$B:$B,"jomopay",Data!$K:$K,"native",Data!$J:$J,RIGHT(G$3,4)&amp;"-"&amp;LEFT(G$3,2),Data!$F:$F,"Number of Transactions",Data!$H:$H,"Money Transfer",Data!$I:$I,"")</f>
        <v>24800000</v>
      </c>
      <c r="H35" s="10">
        <f>SUMIFS(Data!$L:$L,Data!$B:$B,"jomopay",Data!$K:$K,"native",Data!$J:$J,RIGHT(H$3,4)&amp;"-"&amp;LEFT(H$3,2),Data!$F:$F,"Number of Transactions",Data!$H:$H,"Money Transfer",Data!$I:$I,"")</f>
        <v>26360000</v>
      </c>
      <c r="I35" s="10">
        <f>SUMIFS(Data!$L:$L,Data!$B:$B,"jomopay",Data!$K:$K,"native",Data!$J:$J,RIGHT(I$3,4)&amp;"-"&amp;LEFT(I$3,2),Data!$F:$F,"Number of Transactions",Data!$H:$H,"Money Transfer",Data!$I:$I,"")</f>
        <v>29950000</v>
      </c>
      <c r="J35" s="10">
        <f>SUMIFS(Data!$L:$L,Data!$B:$B,"jomopay",Data!$K:$K,"native",Data!$J:$J,RIGHT(J$3,4)&amp;"-"&amp;LEFT(J$3,2),Data!$F:$F,"Number of Transactions",Data!$H:$H,"Money Transfer",Data!$I:$I,"")</f>
        <v>36050000</v>
      </c>
    </row>
    <row r="36" spans="1:10" ht="15" customHeight="1" x14ac:dyDescent="0.25">
      <c r="A36" s="9" t="s">
        <v>1028</v>
      </c>
      <c r="B36" s="9" t="s">
        <v>950</v>
      </c>
      <c r="C36" s="11">
        <f t="shared" ref="C36:J36" si="4">C$35/C$32</f>
        <v>0.90520078999341669</v>
      </c>
      <c r="D36" s="11">
        <f t="shared" si="4"/>
        <v>0.91269385410683512</v>
      </c>
      <c r="E36" s="11">
        <f t="shared" si="4"/>
        <v>0.92598264420622767</v>
      </c>
      <c r="F36" s="11">
        <f t="shared" si="4"/>
        <v>0.91979301423027171</v>
      </c>
      <c r="G36" s="11">
        <f t="shared" si="4"/>
        <v>0.88256227758007122</v>
      </c>
      <c r="H36" s="11">
        <f t="shared" si="4"/>
        <v>0.84595635430038507</v>
      </c>
      <c r="I36" s="11">
        <f t="shared" si="4"/>
        <v>0.84532881738639576</v>
      </c>
      <c r="J36" s="11">
        <f t="shared" si="4"/>
        <v>0.83720390153274504</v>
      </c>
    </row>
    <row r="37" spans="1:10" ht="15" customHeight="1" x14ac:dyDescent="0.25">
      <c r="A37" s="9" t="s">
        <v>1028</v>
      </c>
      <c r="B37" s="9" t="s">
        <v>207</v>
      </c>
      <c r="C37" s="10">
        <f>SUMIFS(Data!$L:$L,Data!$B:$B,"jomopay",Data!$K:$K,"native",Data!$J:$J,RIGHT(C$3,4)&amp;"-"&amp;LEFT(C$3,2),Data!$F:$F,"Number of Transactions",Data!$H:$H,"Purchases",Data!$I:$I,"")</f>
        <v>583000</v>
      </c>
      <c r="D37" s="10">
        <f>SUMIFS(Data!$L:$L,Data!$B:$B,"jomopay",Data!$K:$K,"native",Data!$J:$J,RIGHT(D$3,4)&amp;"-"&amp;LEFT(D$3,2),Data!$F:$F,"Number of Transactions",Data!$H:$H,"Purchases",Data!$I:$I,"")</f>
        <v>597000</v>
      </c>
      <c r="E37" s="10">
        <f>SUMIFS(Data!$L:$L,Data!$B:$B,"jomopay",Data!$K:$K,"native",Data!$J:$J,RIGHT(E$3,4)&amp;"-"&amp;LEFT(E$3,2),Data!$F:$F,"Number of Transactions",Data!$H:$H,"Purchases",Data!$I:$I,"")</f>
        <v>599000</v>
      </c>
      <c r="F37" s="10">
        <f>SUMIFS(Data!$L:$L,Data!$B:$B,"jomopay",Data!$K:$K,"native",Data!$J:$J,RIGHT(F$3,4)&amp;"-"&amp;LEFT(F$3,2),Data!$F:$F,"Number of Transactions",Data!$H:$H,"Purchases",Data!$I:$I,"")</f>
        <v>1005000</v>
      </c>
      <c r="G37" s="10">
        <f>SUMIFS(Data!$L:$L,Data!$B:$B,"jomopay",Data!$K:$K,"native",Data!$J:$J,RIGHT(G$3,4)&amp;"-"&amp;LEFT(G$3,2),Data!$F:$F,"Number of Transactions",Data!$H:$H,"Purchases",Data!$I:$I,"")</f>
        <v>2490000</v>
      </c>
      <c r="H37" s="10">
        <f>SUMIFS(Data!$L:$L,Data!$B:$B,"jomopay",Data!$K:$K,"native",Data!$J:$J,RIGHT(H$3,4)&amp;"-"&amp;LEFT(H$3,2),Data!$F:$F,"Number of Transactions",Data!$H:$H,"Purchases",Data!$I:$I,"")</f>
        <v>4510000</v>
      </c>
      <c r="I37" s="10">
        <f>SUMIFS(Data!$L:$L,Data!$B:$B,"jomopay",Data!$K:$K,"native",Data!$J:$J,RIGHT(I$3,4)&amp;"-"&amp;LEFT(I$3,2),Data!$F:$F,"Number of Transactions",Data!$H:$H,"Purchases",Data!$I:$I,"")</f>
        <v>5210000</v>
      </c>
      <c r="J37" s="10">
        <f>SUMIFS(Data!$L:$L,Data!$B:$B,"jomopay",Data!$K:$K,"native",Data!$J:$J,RIGHT(J$3,4)&amp;"-"&amp;LEFT(J$3,2),Data!$F:$F,"Number of Transactions",Data!$H:$H,"Purchases",Data!$I:$I,"")</f>
        <v>6760000</v>
      </c>
    </row>
    <row r="38" spans="1:10" ht="15" customHeight="1" x14ac:dyDescent="0.25">
      <c r="A38" s="9" t="s">
        <v>1028</v>
      </c>
      <c r="B38" s="9" t="s">
        <v>951</v>
      </c>
      <c r="C38" s="11">
        <f t="shared" ref="C38:J38" si="5">C$37/C$32</f>
        <v>3.8380513495720872E-2</v>
      </c>
      <c r="D38" s="11">
        <f t="shared" si="5"/>
        <v>3.4290637564618039E-2</v>
      </c>
      <c r="E38" s="11">
        <f t="shared" si="5"/>
        <v>3.057682491066871E-2</v>
      </c>
      <c r="F38" s="11">
        <f t="shared" si="5"/>
        <v>4.3337645536869342E-2</v>
      </c>
      <c r="G38" s="11">
        <f t="shared" si="5"/>
        <v>8.8612099644128112E-2</v>
      </c>
      <c r="H38" s="11">
        <f t="shared" si="5"/>
        <v>0.14473684210526316</v>
      </c>
      <c r="I38" s="11">
        <f t="shared" si="5"/>
        <v>0.14705052215636466</v>
      </c>
      <c r="J38" s="11">
        <f t="shared" si="5"/>
        <v>0.15699024616813748</v>
      </c>
    </row>
    <row r="39" spans="1:10" ht="15" customHeight="1" x14ac:dyDescent="0.25">
      <c r="A39" s="9" t="s">
        <v>1028</v>
      </c>
      <c r="B39" s="9" t="s">
        <v>428</v>
      </c>
      <c r="C39" s="10">
        <f>SUMIFS(Data!$L:$L,Data!$B:$B,"jomopay",Data!$K:$K,"native",Data!$J:$J,RIGHT(C$3,4)&amp;"-"&amp;LEFT(C$3,2),Data!$F:$F,"Number of Transactions",Data!$H:$H,"Cash In",Data!$I:$I,"")</f>
        <v>339000</v>
      </c>
      <c r="D39" s="10">
        <f>SUMIFS(Data!$L:$L,Data!$B:$B,"jomopay",Data!$K:$K,"native",Data!$J:$J,RIGHT(D$3,4)&amp;"-"&amp;LEFT(D$3,2),Data!$F:$F,"Number of Transactions",Data!$H:$H,"Cash In",Data!$I:$I,"")</f>
        <v>367000</v>
      </c>
      <c r="E39" s="10">
        <f>SUMIFS(Data!$L:$L,Data!$B:$B,"jomopay",Data!$K:$K,"native",Data!$J:$J,RIGHT(E$3,4)&amp;"-"&amp;LEFT(E$3,2),Data!$F:$F,"Number of Transactions",Data!$H:$H,"Cash In",Data!$I:$I,"")</f>
        <v>340000</v>
      </c>
      <c r="F39" s="10">
        <f>SUMIFS(Data!$L:$L,Data!$B:$B,"jomopay",Data!$K:$K,"native",Data!$J:$J,RIGHT(F$3,4)&amp;"-"&amp;LEFT(F$3,2),Data!$F:$F,"Number of Transactions",Data!$H:$H,"Cash In",Data!$I:$I,"")</f>
        <v>357000</v>
      </c>
      <c r="G39" s="10">
        <f>SUMIFS(Data!$L:$L,Data!$B:$B,"jomopay",Data!$K:$K,"native",Data!$J:$J,RIGHT(G$3,4)&amp;"-"&amp;LEFT(G$3,2),Data!$F:$F,"Number of Transactions",Data!$H:$H,"Cash In",Data!$I:$I,"")</f>
        <v>329000</v>
      </c>
      <c r="H39" s="10">
        <f>SUMIFS(Data!$L:$L,Data!$B:$B,"jomopay",Data!$K:$K,"native",Data!$J:$J,RIGHT(H$3,4)&amp;"-"&amp;LEFT(H$3,2),Data!$F:$F,"Number of Transactions",Data!$H:$H,"Cash In",Data!$I:$I,"")</f>
        <v>66000</v>
      </c>
      <c r="I39" s="10">
        <f>SUMIFS(Data!$L:$L,Data!$B:$B,"jomopay",Data!$K:$K,"native",Data!$J:$J,RIGHT(I$3,4)&amp;"-"&amp;LEFT(I$3,2),Data!$F:$F,"Number of Transactions",Data!$H:$H,"Cash In",Data!$I:$I,"")</f>
        <v>62000</v>
      </c>
      <c r="J39" s="10">
        <f>SUMIFS(Data!$L:$L,Data!$B:$B,"jomopay",Data!$K:$K,"native",Data!$J:$J,RIGHT(J$3,4)&amp;"-"&amp;LEFT(J$3,2),Data!$F:$F,"Number of Transactions",Data!$H:$H,"Cash In",Data!$I:$I,"")</f>
        <v>62000</v>
      </c>
    </row>
    <row r="40" spans="1:10" ht="15" customHeight="1" x14ac:dyDescent="0.25">
      <c r="A40" s="9" t="s">
        <v>1028</v>
      </c>
      <c r="B40" s="9" t="s">
        <v>973</v>
      </c>
      <c r="C40" s="11">
        <f t="shared" ref="C40:J40" si="6">C$39/C$32</f>
        <v>2.2317314022383145E-2</v>
      </c>
      <c r="D40" s="11">
        <f t="shared" si="6"/>
        <v>2.1079839172889143E-2</v>
      </c>
      <c r="E40" s="11">
        <f t="shared" si="6"/>
        <v>1.7355793772332824E-2</v>
      </c>
      <c r="F40" s="11">
        <f t="shared" si="6"/>
        <v>1.5394566623544631E-2</v>
      </c>
      <c r="G40" s="11">
        <f t="shared" si="6"/>
        <v>1.1708185053380784E-2</v>
      </c>
      <c r="H40" s="11">
        <f t="shared" si="6"/>
        <v>2.1181001283697046E-3</v>
      </c>
      <c r="I40" s="11">
        <f t="shared" si="6"/>
        <v>1.7499294383290997E-3</v>
      </c>
      <c r="J40" s="11">
        <f t="shared" si="6"/>
        <v>1.4398513701811425E-3</v>
      </c>
    </row>
    <row r="41" spans="1:10" ht="15" customHeight="1" x14ac:dyDescent="0.25">
      <c r="A41" s="9" t="s">
        <v>1028</v>
      </c>
      <c r="B41" s="9" t="s">
        <v>430</v>
      </c>
      <c r="C41" s="10">
        <f>SUMIFS(Data!$L:$L,Data!$B:$B,"jomopay",Data!$K:$K,"native",Data!$J:$J,RIGHT(C$3,4)&amp;"-"&amp;LEFT(C$3,2),Data!$F:$F,"Number of Transactions",Data!$H:$H,"Cash Out",Data!$I:$I,"")</f>
        <v>517000</v>
      </c>
      <c r="D41" s="10">
        <f>SUMIFS(Data!$L:$L,Data!$B:$B,"jomopay",Data!$K:$K,"native",Data!$J:$J,RIGHT(D$3,4)&amp;"-"&amp;LEFT(D$3,2),Data!$F:$F,"Number of Transactions",Data!$H:$H,"Cash Out",Data!$I:$I,"")</f>
        <v>551000</v>
      </c>
      <c r="E41" s="10">
        <f>SUMIFS(Data!$L:$L,Data!$B:$B,"jomopay",Data!$K:$K,"native",Data!$J:$J,RIGHT(E$3,4)&amp;"-"&amp;LEFT(E$3,2),Data!$F:$F,"Number of Transactions",Data!$H:$H,"Cash Out",Data!$I:$I,"")</f>
        <v>507000</v>
      </c>
      <c r="F41" s="10">
        <f>SUMIFS(Data!$L:$L,Data!$B:$B,"jomopay",Data!$K:$K,"native",Data!$J:$J,RIGHT(F$3,4)&amp;"-"&amp;LEFT(F$3,2),Data!$F:$F,"Number of Transactions",Data!$H:$H,"Cash Out",Data!$I:$I,"")</f>
        <v>498000</v>
      </c>
      <c r="G41" s="10">
        <f>SUMIFS(Data!$L:$L,Data!$B:$B,"jomopay",Data!$K:$K,"native",Data!$J:$J,RIGHT(G$3,4)&amp;"-"&amp;LEFT(G$3,2),Data!$F:$F,"Number of Transactions",Data!$H:$H,"Cash Out",Data!$I:$I,"")</f>
        <v>485000</v>
      </c>
      <c r="H41" s="10">
        <f>SUMIFS(Data!$L:$L,Data!$B:$B,"jomopay",Data!$K:$K,"native",Data!$J:$J,RIGHT(H$3,4)&amp;"-"&amp;LEFT(H$3,2),Data!$F:$F,"Number of Transactions",Data!$H:$H,"Cash Out",Data!$I:$I,"")</f>
        <v>227000</v>
      </c>
      <c r="I41" s="10">
        <f>SUMIFS(Data!$L:$L,Data!$B:$B,"jomopay",Data!$K:$K,"native",Data!$J:$J,RIGHT(I$3,4)&amp;"-"&amp;LEFT(I$3,2),Data!$F:$F,"Number of Transactions",Data!$H:$H,"Cash Out",Data!$I:$I,"")</f>
        <v>215000</v>
      </c>
      <c r="J41" s="10">
        <f>SUMIFS(Data!$L:$L,Data!$B:$B,"jomopay",Data!$K:$K,"native",Data!$J:$J,RIGHT(J$3,4)&amp;"-"&amp;LEFT(J$3,2),Data!$F:$F,"Number of Transactions",Data!$H:$H,"Cash Out",Data!$I:$I,"")</f>
        <v>189000</v>
      </c>
    </row>
    <row r="42" spans="1:10" ht="15" customHeight="1" x14ac:dyDescent="0.25">
      <c r="A42" s="9" t="s">
        <v>1028</v>
      </c>
      <c r="B42" s="9" t="s">
        <v>974</v>
      </c>
      <c r="C42" s="11">
        <f t="shared" ref="C42:J42" si="7">C$41/C$32</f>
        <v>3.4035549703752471E-2</v>
      </c>
      <c r="D42" s="11">
        <f t="shared" si="7"/>
        <v>3.1648477886272258E-2</v>
      </c>
      <c r="E42" s="11">
        <f t="shared" si="7"/>
        <v>2.5880551301684533E-2</v>
      </c>
      <c r="F42" s="11">
        <f t="shared" si="7"/>
        <v>2.1474773609314358E-2</v>
      </c>
      <c r="G42" s="11">
        <f t="shared" si="7"/>
        <v>1.7259786476868329E-2</v>
      </c>
      <c r="H42" s="11">
        <f t="shared" si="7"/>
        <v>7.2849807445442873E-3</v>
      </c>
      <c r="I42" s="11">
        <f t="shared" si="7"/>
        <v>6.0683036974315549E-3</v>
      </c>
      <c r="J42" s="11">
        <f t="shared" si="7"/>
        <v>4.3892243381328383E-3</v>
      </c>
    </row>
    <row r="43" spans="1:10" ht="15" customHeight="1" x14ac:dyDescent="0.25">
      <c r="A43" s="22" t="s">
        <v>954</v>
      </c>
      <c r="B43" s="22"/>
      <c r="C43" s="22"/>
      <c r="D43" s="22"/>
      <c r="E43" s="22"/>
      <c r="F43" s="22"/>
      <c r="G43" s="22"/>
      <c r="H43" s="22"/>
      <c r="I43" s="22"/>
      <c r="J43" s="22"/>
    </row>
    <row r="44" spans="1:10" ht="15" customHeight="1" x14ac:dyDescent="0.25">
      <c r="A44" s="9" t="s">
        <v>955</v>
      </c>
      <c r="B44" s="9" t="s">
        <v>956</v>
      </c>
      <c r="C44" s="10">
        <f>SUMIFS(Data!$L:$L,Data!$B:$B,"jomopay",Data!$K:$K,"native",Data!$J:$J,RIGHT(C$3,4)&amp;"-"&amp;LEFT(C$3,2),Data!$F:$F,"Value of Transactions",Data!$H:$H,"Money Transfer",Data!$I:$I,"")</f>
        <v>1190000000</v>
      </c>
      <c r="D44" s="10">
        <f>SUMIFS(Data!$L:$L,Data!$B:$B,"jomopay",Data!$K:$K,"native",Data!$J:$J,RIGHT(D$3,4)&amp;"-"&amp;LEFT(D$3,2),Data!$F:$F,"Value of Transactions",Data!$H:$H,"Money Transfer",Data!$I:$I,"")</f>
        <v>1210000000</v>
      </c>
      <c r="E44" s="10">
        <f>SUMIFS(Data!$L:$L,Data!$B:$B,"jomopay",Data!$K:$K,"native",Data!$J:$J,RIGHT(E$3,4)&amp;"-"&amp;LEFT(E$3,2),Data!$F:$F,"Value of Transactions",Data!$H:$H,"Money Transfer",Data!$I:$I,"")</f>
        <v>1290000000</v>
      </c>
      <c r="F44" s="10">
        <f>SUMIFS(Data!$L:$L,Data!$B:$B,"jomopay",Data!$K:$K,"native",Data!$J:$J,RIGHT(F$3,4)&amp;"-"&amp;LEFT(F$3,2),Data!$F:$F,"Value of Transactions",Data!$H:$H,"Money Transfer",Data!$I:$I,"")</f>
        <v>1370000000</v>
      </c>
      <c r="G44" s="10">
        <f>SUMIFS(Data!$L:$L,Data!$B:$B,"jomopay",Data!$K:$K,"native",Data!$J:$J,RIGHT(G$3,4)&amp;"-"&amp;LEFT(G$3,2),Data!$F:$F,"Value of Transactions",Data!$H:$H,"Money Transfer",Data!$I:$I,"")</f>
        <v>1460000000</v>
      </c>
      <c r="H44" s="10">
        <f>SUMIFS(Data!$L:$L,Data!$B:$B,"jomopay",Data!$K:$K,"native",Data!$J:$J,RIGHT(H$3,4)&amp;"-"&amp;LEFT(H$3,2),Data!$F:$F,"Value of Transactions",Data!$H:$H,"Money Transfer",Data!$I:$I,"")</f>
        <v>1320000000</v>
      </c>
      <c r="I44" s="10">
        <f>SUMIFS(Data!$L:$L,Data!$B:$B,"jomopay",Data!$K:$K,"native",Data!$J:$J,RIGHT(I$3,4)&amp;"-"&amp;LEFT(I$3,2),Data!$F:$F,"Value of Transactions",Data!$H:$H,"Money Transfer",Data!$I:$I,"")</f>
        <v>1400000000</v>
      </c>
      <c r="J44" s="10">
        <f>SUMIFS(Data!$L:$L,Data!$B:$B,"jomopay",Data!$K:$K,"native",Data!$J:$J,RIGHT(J$3,4)&amp;"-"&amp;LEFT(J$3,2),Data!$F:$F,"Value of Transactions",Data!$H:$H,"Money Transfer",Data!$I:$I,"")</f>
        <v>1520000000</v>
      </c>
    </row>
    <row r="45" spans="1:10" ht="15" customHeight="1" x14ac:dyDescent="0.25">
      <c r="A45" s="9" t="s">
        <v>955</v>
      </c>
      <c r="B45" s="9" t="s">
        <v>950</v>
      </c>
      <c r="C45" s="11">
        <f t="shared" ref="C45:J45" si="8">C$44/C$33</f>
        <v>0.8623188405797102</v>
      </c>
      <c r="D45" s="11">
        <f t="shared" si="8"/>
        <v>0.85815602836879434</v>
      </c>
      <c r="E45" s="11">
        <f t="shared" si="8"/>
        <v>0.89583333333333337</v>
      </c>
      <c r="F45" s="11">
        <f t="shared" si="8"/>
        <v>0.88961038961038963</v>
      </c>
      <c r="G45" s="11">
        <f t="shared" si="8"/>
        <v>0.84883720930232553</v>
      </c>
      <c r="H45" s="11">
        <f t="shared" si="8"/>
        <v>0.8</v>
      </c>
      <c r="I45" s="11">
        <f t="shared" si="8"/>
        <v>0.78212290502793291</v>
      </c>
      <c r="J45" s="11">
        <f t="shared" si="8"/>
        <v>0.77157360406091369</v>
      </c>
    </row>
    <row r="46" spans="1:10" ht="15" customHeight="1" x14ac:dyDescent="0.25">
      <c r="A46" s="9" t="s">
        <v>955</v>
      </c>
      <c r="B46" s="9" t="s">
        <v>957</v>
      </c>
      <c r="C46" s="10">
        <f>SUMIFS(Data!$L:$L,Data!$B:$B,"jomopay",Data!$K:$K,"native",Data!$J:$J,RIGHT(C$3,4)&amp;"-"&amp;LEFT(C$3,2),Data!$F:$F,"Value of Transactions",Data!$H:$H,"Purchases",Data!$I:$I,"")</f>
        <v>46000000</v>
      </c>
      <c r="D46" s="10">
        <f>SUMIFS(Data!$L:$L,Data!$B:$B,"jomopay",Data!$K:$K,"native",Data!$J:$J,RIGHT(D$3,4)&amp;"-"&amp;LEFT(D$3,2),Data!$F:$F,"Value of Transactions",Data!$H:$H,"Purchases",Data!$I:$I,"")</f>
        <v>45000000</v>
      </c>
      <c r="E46" s="10">
        <f>SUMIFS(Data!$L:$L,Data!$B:$B,"jomopay",Data!$K:$K,"native",Data!$J:$J,RIGHT(E$3,4)&amp;"-"&amp;LEFT(E$3,2),Data!$F:$F,"Value of Transactions",Data!$H:$H,"Purchases",Data!$I:$I,"")</f>
        <v>16000000</v>
      </c>
      <c r="F46" s="10">
        <f>SUMIFS(Data!$L:$L,Data!$B:$B,"jomopay",Data!$K:$K,"native",Data!$J:$J,RIGHT(F$3,4)&amp;"-"&amp;LEFT(F$3,2),Data!$F:$F,"Value of Transactions",Data!$H:$H,"Purchases",Data!$I:$I,"")</f>
        <v>38000000</v>
      </c>
      <c r="G46" s="10">
        <f>SUMIFS(Data!$L:$L,Data!$B:$B,"jomopay",Data!$K:$K,"native",Data!$J:$J,RIGHT(G$3,4)&amp;"-"&amp;LEFT(G$3,2),Data!$F:$F,"Value of Transactions",Data!$H:$H,"Purchases",Data!$I:$I,"")</f>
        <v>137000000</v>
      </c>
      <c r="H46" s="10">
        <f>SUMIFS(Data!$L:$L,Data!$B:$B,"jomopay",Data!$K:$K,"native",Data!$J:$J,RIGHT(H$3,4)&amp;"-"&amp;LEFT(H$3,2),Data!$F:$F,"Value of Transactions",Data!$H:$H,"Purchases",Data!$I:$I,"")</f>
        <v>287000000</v>
      </c>
      <c r="I46" s="10">
        <f>SUMIFS(Data!$L:$L,Data!$B:$B,"jomopay",Data!$K:$K,"native",Data!$J:$J,RIGHT(I$3,4)&amp;"-"&amp;LEFT(I$3,2),Data!$F:$F,"Value of Transactions",Data!$H:$H,"Purchases",Data!$I:$I,"")</f>
        <v>347000000</v>
      </c>
      <c r="J46" s="10">
        <f>SUMIFS(Data!$L:$L,Data!$B:$B,"jomopay",Data!$K:$K,"native",Data!$J:$J,RIGHT(J$3,4)&amp;"-"&amp;LEFT(J$3,2),Data!$F:$F,"Value of Transactions",Data!$H:$H,"Purchases",Data!$I:$I,"")</f>
        <v>414000000</v>
      </c>
    </row>
    <row r="47" spans="1:10" ht="15" customHeight="1" x14ac:dyDescent="0.25">
      <c r="A47" s="9" t="s">
        <v>955</v>
      </c>
      <c r="B47" s="9" t="s">
        <v>951</v>
      </c>
      <c r="C47" s="11">
        <f t="shared" ref="C47:J47" si="9">C$46/C$33</f>
        <v>3.3333333333333333E-2</v>
      </c>
      <c r="D47" s="11">
        <f t="shared" si="9"/>
        <v>3.1914893617021274E-2</v>
      </c>
      <c r="E47" s="11">
        <f t="shared" si="9"/>
        <v>1.1111111111111112E-2</v>
      </c>
      <c r="F47" s="11">
        <f t="shared" si="9"/>
        <v>2.4675324675324677E-2</v>
      </c>
      <c r="G47" s="11">
        <f t="shared" si="9"/>
        <v>7.9651162790697672E-2</v>
      </c>
      <c r="H47" s="11">
        <f t="shared" si="9"/>
        <v>0.17393939393939395</v>
      </c>
      <c r="I47" s="11">
        <f t="shared" si="9"/>
        <v>0.19385474860335195</v>
      </c>
      <c r="J47" s="11">
        <f t="shared" si="9"/>
        <v>0.2101522842639594</v>
      </c>
    </row>
    <row r="48" spans="1:10" ht="15" customHeight="1" x14ac:dyDescent="0.25">
      <c r="A48" s="9" t="s">
        <v>955</v>
      </c>
      <c r="B48" s="9" t="s">
        <v>975</v>
      </c>
      <c r="C48" s="10">
        <f>SUMIFS(Data!$L:$L,Data!$B:$B,"jomopay",Data!$K:$K,"native",Data!$J:$J,RIGHT(C$3,4)&amp;"-"&amp;LEFT(C$3,2),Data!$F:$F,"Value of Transactions",Data!$H:$H,"Cash In",Data!$I:$I,"")</f>
        <v>60000000</v>
      </c>
      <c r="D48" s="10">
        <f>SUMIFS(Data!$L:$L,Data!$B:$B,"jomopay",Data!$K:$K,"native",Data!$J:$J,RIGHT(D$3,4)&amp;"-"&amp;LEFT(D$3,2),Data!$F:$F,"Value of Transactions",Data!$H:$H,"Cash In",Data!$I:$I,"")</f>
        <v>57000000</v>
      </c>
      <c r="E48" s="10">
        <f>SUMIFS(Data!$L:$L,Data!$B:$B,"jomopay",Data!$K:$K,"native",Data!$J:$J,RIGHT(E$3,4)&amp;"-"&amp;LEFT(E$3,2),Data!$F:$F,"Value of Transactions",Data!$H:$H,"Cash In",Data!$I:$I,"")</f>
        <v>54000000</v>
      </c>
      <c r="F48" s="10">
        <f>SUMIFS(Data!$L:$L,Data!$B:$B,"jomopay",Data!$K:$K,"native",Data!$J:$J,RIGHT(F$3,4)&amp;"-"&amp;LEFT(F$3,2),Data!$F:$F,"Value of Transactions",Data!$H:$H,"Cash In",Data!$I:$I,"")</f>
        <v>56000000</v>
      </c>
      <c r="G48" s="10">
        <f>SUMIFS(Data!$L:$L,Data!$B:$B,"jomopay",Data!$K:$K,"native",Data!$J:$J,RIGHT(G$3,4)&amp;"-"&amp;LEFT(G$3,2),Data!$F:$F,"Value of Transactions",Data!$H:$H,"Cash In",Data!$I:$I,"")</f>
        <v>52000000</v>
      </c>
      <c r="H48" s="10">
        <f>SUMIFS(Data!$L:$L,Data!$B:$B,"jomopay",Data!$K:$K,"native",Data!$J:$J,RIGHT(H$3,4)&amp;"-"&amp;LEFT(H$3,2),Data!$F:$F,"Value of Transactions",Data!$H:$H,"Cash In",Data!$I:$I,"")</f>
        <v>10000000</v>
      </c>
      <c r="I48" s="10">
        <f>SUMIFS(Data!$L:$L,Data!$B:$B,"jomopay",Data!$K:$K,"native",Data!$J:$J,RIGHT(I$3,4)&amp;"-"&amp;LEFT(I$3,2),Data!$F:$F,"Value of Transactions",Data!$H:$H,"Cash In",Data!$I:$I,"")</f>
        <v>11000000</v>
      </c>
      <c r="J48" s="10">
        <f>SUMIFS(Data!$L:$L,Data!$B:$B,"jomopay",Data!$K:$K,"native",Data!$J:$J,RIGHT(J$3,4)&amp;"-"&amp;LEFT(J$3,2),Data!$F:$F,"Value of Transactions",Data!$H:$H,"Cash In",Data!$I:$I,"")</f>
        <v>11000000</v>
      </c>
    </row>
    <row r="49" spans="1:10" ht="15" customHeight="1" x14ac:dyDescent="0.25">
      <c r="A49" s="9" t="s">
        <v>955</v>
      </c>
      <c r="B49" s="9" t="s">
        <v>973</v>
      </c>
      <c r="C49" s="11">
        <f t="shared" ref="C49:J49" si="10">C$48/C$33</f>
        <v>4.3478260869565216E-2</v>
      </c>
      <c r="D49" s="11">
        <f t="shared" si="10"/>
        <v>4.042553191489362E-2</v>
      </c>
      <c r="E49" s="11">
        <f t="shared" si="10"/>
        <v>3.7499999999999999E-2</v>
      </c>
      <c r="F49" s="11">
        <f t="shared" si="10"/>
        <v>3.6363636363636362E-2</v>
      </c>
      <c r="G49" s="11">
        <f t="shared" si="10"/>
        <v>3.0232558139534883E-2</v>
      </c>
      <c r="H49" s="11">
        <f t="shared" si="10"/>
        <v>6.0606060606060606E-3</v>
      </c>
      <c r="I49" s="11">
        <f t="shared" si="10"/>
        <v>6.1452513966480443E-3</v>
      </c>
      <c r="J49" s="11">
        <f t="shared" si="10"/>
        <v>5.5837563451776647E-3</v>
      </c>
    </row>
    <row r="50" spans="1:10" ht="15" customHeight="1" x14ac:dyDescent="0.25">
      <c r="A50" s="9" t="s">
        <v>955</v>
      </c>
      <c r="B50" s="9" t="s">
        <v>976</v>
      </c>
      <c r="C50" s="10">
        <f>SUMIFS(Data!$L:$L,Data!$B:$B,"jomopay",Data!$K:$K,"native",Data!$J:$J,RIGHT(C$3,4)&amp;"-"&amp;LEFT(C$3,2),Data!$F:$F,"Value of Transactions",Data!$H:$H,"Cash Out",Data!$I:$I,"")</f>
        <v>90000000</v>
      </c>
      <c r="D50" s="10">
        <f>SUMIFS(Data!$L:$L,Data!$B:$B,"jomopay",Data!$K:$K,"native",Data!$J:$J,RIGHT(D$3,4)&amp;"-"&amp;LEFT(D$3,2),Data!$F:$F,"Value of Transactions",Data!$H:$H,"Cash Out",Data!$I:$I,"")</f>
        <v>88000000</v>
      </c>
      <c r="E50" s="10">
        <f>SUMIFS(Data!$L:$L,Data!$B:$B,"jomopay",Data!$K:$K,"native",Data!$J:$J,RIGHT(E$3,4)&amp;"-"&amp;LEFT(E$3,2),Data!$F:$F,"Value of Transactions",Data!$H:$H,"Cash Out",Data!$I:$I,"")</f>
        <v>80000000</v>
      </c>
      <c r="F50" s="10">
        <f>SUMIFS(Data!$L:$L,Data!$B:$B,"jomopay",Data!$K:$K,"native",Data!$J:$J,RIGHT(F$3,4)&amp;"-"&amp;LEFT(F$3,2),Data!$F:$F,"Value of Transactions",Data!$H:$H,"Cash Out",Data!$I:$I,"")</f>
        <v>74000000</v>
      </c>
      <c r="G50" s="10">
        <f>SUMIFS(Data!$L:$L,Data!$B:$B,"jomopay",Data!$K:$K,"native",Data!$J:$J,RIGHT(G$3,4)&amp;"-"&amp;LEFT(G$3,2),Data!$F:$F,"Value of Transactions",Data!$H:$H,"Cash Out",Data!$I:$I,"")</f>
        <v>74000000</v>
      </c>
      <c r="H50" s="10">
        <f>SUMIFS(Data!$L:$L,Data!$B:$B,"jomopay",Data!$K:$K,"native",Data!$J:$J,RIGHT(H$3,4)&amp;"-"&amp;LEFT(H$3,2),Data!$F:$F,"Value of Transactions",Data!$H:$H,"Cash Out",Data!$I:$I,"")</f>
        <v>32000000</v>
      </c>
      <c r="I50" s="10">
        <f>SUMIFS(Data!$L:$L,Data!$B:$B,"jomopay",Data!$K:$K,"native",Data!$J:$J,RIGHT(I$3,4)&amp;"-"&amp;LEFT(I$3,2),Data!$F:$F,"Value of Transactions",Data!$H:$H,"Cash Out",Data!$I:$I,"")</f>
        <v>30000000</v>
      </c>
      <c r="J50" s="10">
        <f>SUMIFS(Data!$L:$L,Data!$B:$B,"jomopay",Data!$K:$K,"native",Data!$J:$J,RIGHT(J$3,4)&amp;"-"&amp;LEFT(J$3,2),Data!$F:$F,"Value of Transactions",Data!$H:$H,"Cash Out",Data!$I:$I,"")</f>
        <v>28000000</v>
      </c>
    </row>
    <row r="51" spans="1:10" ht="15" customHeight="1" x14ac:dyDescent="0.25">
      <c r="A51" s="9" t="s">
        <v>955</v>
      </c>
      <c r="B51" s="9" t="s">
        <v>974</v>
      </c>
      <c r="C51" s="11">
        <f t="shared" ref="C51:J51" si="11">C$50/C$33</f>
        <v>6.5217391304347824E-2</v>
      </c>
      <c r="D51" s="11">
        <f t="shared" si="11"/>
        <v>6.2411347517730496E-2</v>
      </c>
      <c r="E51" s="11">
        <f t="shared" si="11"/>
        <v>5.5555555555555552E-2</v>
      </c>
      <c r="F51" s="11">
        <f t="shared" si="11"/>
        <v>4.8051948051948054E-2</v>
      </c>
      <c r="G51" s="11">
        <f t="shared" si="11"/>
        <v>4.3023255813953491E-2</v>
      </c>
      <c r="H51" s="11">
        <f t="shared" si="11"/>
        <v>1.9393939393939394E-2</v>
      </c>
      <c r="I51" s="11">
        <f t="shared" si="11"/>
        <v>1.6759776536312849E-2</v>
      </c>
      <c r="J51" s="11">
        <f t="shared" si="11"/>
        <v>1.4213197969543147E-2</v>
      </c>
    </row>
    <row r="52" spans="1:10" ht="15" customHeight="1" x14ac:dyDescent="0.25">
      <c r="A52" s="22" t="s">
        <v>959</v>
      </c>
      <c r="B52" s="22"/>
      <c r="C52" s="22"/>
      <c r="D52" s="22"/>
      <c r="E52" s="22"/>
      <c r="F52" s="22"/>
      <c r="G52" s="22"/>
      <c r="H52" s="22"/>
      <c r="I52" s="22"/>
      <c r="J52" s="22"/>
    </row>
    <row r="53" spans="1:10" ht="15" customHeight="1" x14ac:dyDescent="0.25">
      <c r="A53" s="9" t="s">
        <v>1023</v>
      </c>
      <c r="B53" s="9" t="s">
        <v>977</v>
      </c>
      <c r="C53" s="10">
        <f>SUMIFS(Data!$L:$L,Data!$B:$B,"jomopay",Data!$K:$K,"native",Data!$J:$J,RIGHT(C$3,4)&amp;"-"&amp;LEFT(C$3,2),Data!$F:$F,"Number of Transactions",Data!$H:$H,"Money Transfer",Data!$I:$I,"On Us")</f>
        <v>4900000</v>
      </c>
      <c r="D53" s="10">
        <f>SUMIFS(Data!$L:$L,Data!$B:$B,"jomopay",Data!$K:$K,"native",Data!$J:$J,RIGHT(D$3,4)&amp;"-"&amp;LEFT(D$3,2),Data!$F:$F,"Number of Transactions",Data!$H:$H,"Money Transfer",Data!$I:$I,"On Us")</f>
        <v>5600000</v>
      </c>
      <c r="E53" s="10">
        <f>SUMIFS(Data!$L:$L,Data!$B:$B,"jomopay",Data!$K:$K,"native",Data!$J:$J,RIGHT(E$3,4)&amp;"-"&amp;LEFT(E$3,2),Data!$F:$F,"Number of Transactions",Data!$H:$H,"Money Transfer",Data!$I:$I,"On Us")</f>
        <v>6700000</v>
      </c>
      <c r="F53" s="10">
        <f>SUMIFS(Data!$L:$L,Data!$B:$B,"jomopay",Data!$K:$K,"native",Data!$J:$J,RIGHT(F$3,4)&amp;"-"&amp;LEFT(F$3,2),Data!$F:$F,"Number of Transactions",Data!$H:$H,"Money Transfer",Data!$I:$I,"On Us")</f>
        <v>8100000</v>
      </c>
      <c r="G53" s="10">
        <f>SUMIFS(Data!$L:$L,Data!$B:$B,"jomopay",Data!$K:$K,"native",Data!$J:$J,RIGHT(G$3,4)&amp;"-"&amp;LEFT(G$3,2),Data!$F:$F,"Number of Transactions",Data!$H:$H,"Money Transfer",Data!$I:$I,"On Us")</f>
        <v>9900000</v>
      </c>
      <c r="H53" s="10">
        <f>SUMIFS(Data!$L:$L,Data!$B:$B,"jomopay",Data!$K:$K,"native",Data!$J:$J,RIGHT(H$3,4)&amp;"-"&amp;LEFT(H$3,2),Data!$F:$F,"Number of Transactions",Data!$H:$H,"Money Transfer",Data!$I:$I,"On Us")</f>
        <v>10700000</v>
      </c>
      <c r="I53" s="10">
        <f>SUMIFS(Data!$L:$L,Data!$B:$B,"jomopay",Data!$K:$K,"native",Data!$J:$J,RIGHT(I$3,4)&amp;"-"&amp;LEFT(I$3,2),Data!$F:$F,"Number of Transactions",Data!$H:$H,"Money Transfer",Data!$I:$I,"On Us")</f>
        <v>13500000</v>
      </c>
      <c r="J53" s="10">
        <f>SUMIFS(Data!$L:$L,Data!$B:$B,"jomopay",Data!$K:$K,"native",Data!$J:$J,RIGHT(J$3,4)&amp;"-"&amp;LEFT(J$3,2),Data!$F:$F,"Number of Transactions",Data!$H:$H,"Money Transfer",Data!$I:$I,"On Us")</f>
        <v>16700000</v>
      </c>
    </row>
    <row r="54" spans="1:10" ht="15" customHeight="1" x14ac:dyDescent="0.25">
      <c r="A54" s="9" t="s">
        <v>1023</v>
      </c>
      <c r="B54" s="9" t="s">
        <v>961</v>
      </c>
      <c r="C54" s="11">
        <f t="shared" ref="C54:J54" si="12">C$53/(C$53+C$55)</f>
        <v>0.52127659574468088</v>
      </c>
      <c r="D54" s="11">
        <f t="shared" si="12"/>
        <v>0.52830188679245282</v>
      </c>
      <c r="E54" s="11">
        <f t="shared" si="12"/>
        <v>0.55371900826446285</v>
      </c>
      <c r="F54" s="11">
        <f t="shared" si="12"/>
        <v>0.56643356643356646</v>
      </c>
      <c r="G54" s="11">
        <f t="shared" si="12"/>
        <v>0.59281437125748504</v>
      </c>
      <c r="H54" s="11">
        <f t="shared" si="12"/>
        <v>0.5977653631284916</v>
      </c>
      <c r="I54" s="11">
        <f t="shared" si="12"/>
        <v>0.6428571428571429</v>
      </c>
      <c r="J54" s="11">
        <f t="shared" si="12"/>
        <v>0.65490196078431373</v>
      </c>
    </row>
    <row r="55" spans="1:10" ht="15" customHeight="1" x14ac:dyDescent="0.25">
      <c r="A55" s="9" t="s">
        <v>1023</v>
      </c>
      <c r="B55" s="9" t="s">
        <v>978</v>
      </c>
      <c r="C55" s="10">
        <f>SUMIFS(Data!$L:$L,Data!$B:$B,"jomopay",Data!$K:$K,"native",Data!$J:$J,RIGHT(C$3,4)&amp;"-"&amp;LEFT(C$3,2),Data!$F:$F,"Number of Transactions",Data!$H:$H,"Money Transfer",Data!$I:$I,"Off Us")</f>
        <v>4500000</v>
      </c>
      <c r="D55" s="10">
        <f>SUMIFS(Data!$L:$L,Data!$B:$B,"jomopay",Data!$K:$K,"native",Data!$J:$J,RIGHT(D$3,4)&amp;"-"&amp;LEFT(D$3,2),Data!$F:$F,"Number of Transactions",Data!$H:$H,"Money Transfer",Data!$I:$I,"Off Us")</f>
        <v>5000000</v>
      </c>
      <c r="E55" s="10">
        <f>SUMIFS(Data!$L:$L,Data!$B:$B,"jomopay",Data!$K:$K,"native",Data!$J:$J,RIGHT(E$3,4)&amp;"-"&amp;LEFT(E$3,2),Data!$F:$F,"Number of Transactions",Data!$H:$H,"Money Transfer",Data!$I:$I,"Off Us")</f>
        <v>5400000</v>
      </c>
      <c r="F55" s="10">
        <f>SUMIFS(Data!$L:$L,Data!$B:$B,"jomopay",Data!$K:$K,"native",Data!$J:$J,RIGHT(F$3,4)&amp;"-"&amp;LEFT(F$3,2),Data!$F:$F,"Number of Transactions",Data!$H:$H,"Money Transfer",Data!$I:$I,"Off Us")</f>
        <v>6200000</v>
      </c>
      <c r="G55" s="10">
        <f>SUMIFS(Data!$L:$L,Data!$B:$B,"jomopay",Data!$K:$K,"native",Data!$J:$J,RIGHT(G$3,4)&amp;"-"&amp;LEFT(G$3,2),Data!$F:$F,"Number of Transactions",Data!$H:$H,"Money Transfer",Data!$I:$I,"Off Us")</f>
        <v>6800000</v>
      </c>
      <c r="H55" s="10">
        <f>SUMIFS(Data!$L:$L,Data!$B:$B,"jomopay",Data!$K:$K,"native",Data!$J:$J,RIGHT(H$3,4)&amp;"-"&amp;LEFT(H$3,2),Data!$F:$F,"Number of Transactions",Data!$H:$H,"Money Transfer",Data!$I:$I,"Off Us")</f>
        <v>7200000</v>
      </c>
      <c r="I55" s="10">
        <f>SUMIFS(Data!$L:$L,Data!$B:$B,"jomopay",Data!$K:$K,"native",Data!$J:$J,RIGHT(I$3,4)&amp;"-"&amp;LEFT(I$3,2),Data!$F:$F,"Number of Transactions",Data!$H:$H,"Money Transfer",Data!$I:$I,"Off Us")</f>
        <v>7500000</v>
      </c>
      <c r="J55" s="10">
        <f>SUMIFS(Data!$L:$L,Data!$B:$B,"jomopay",Data!$K:$K,"native",Data!$J:$J,RIGHT(J$3,4)&amp;"-"&amp;LEFT(J$3,2),Data!$F:$F,"Number of Transactions",Data!$H:$H,"Money Transfer",Data!$I:$I,"Off Us")</f>
        <v>8800000</v>
      </c>
    </row>
    <row r="56" spans="1:10" ht="15" customHeight="1" x14ac:dyDescent="0.25">
      <c r="A56" s="9" t="s">
        <v>1023</v>
      </c>
      <c r="B56" s="9" t="s">
        <v>963</v>
      </c>
      <c r="C56" s="11">
        <f t="shared" ref="C56:J56" si="13">C$55/(C$55+C$53)</f>
        <v>0.47872340425531917</v>
      </c>
      <c r="D56" s="11">
        <f t="shared" si="13"/>
        <v>0.47169811320754718</v>
      </c>
      <c r="E56" s="11">
        <f t="shared" si="13"/>
        <v>0.4462809917355372</v>
      </c>
      <c r="F56" s="11">
        <f t="shared" si="13"/>
        <v>0.43356643356643354</v>
      </c>
      <c r="G56" s="11">
        <f t="shared" si="13"/>
        <v>0.40718562874251496</v>
      </c>
      <c r="H56" s="11">
        <f t="shared" si="13"/>
        <v>0.4022346368715084</v>
      </c>
      <c r="I56" s="11">
        <f t="shared" si="13"/>
        <v>0.35714285714285715</v>
      </c>
      <c r="J56" s="11">
        <f t="shared" si="13"/>
        <v>0.34509803921568627</v>
      </c>
    </row>
    <row r="57" spans="1:10" ht="15" customHeight="1" x14ac:dyDescent="0.25">
      <c r="A57" s="22" t="s">
        <v>964</v>
      </c>
      <c r="B57" s="22"/>
      <c r="C57" s="22"/>
      <c r="D57" s="22"/>
      <c r="E57" s="22"/>
      <c r="F57" s="22"/>
      <c r="G57" s="22"/>
      <c r="H57" s="22"/>
      <c r="I57" s="22"/>
      <c r="J57" s="22"/>
    </row>
    <row r="58" spans="1:10" ht="15" customHeight="1" x14ac:dyDescent="0.25">
      <c r="A58" s="9" t="s">
        <v>965</v>
      </c>
      <c r="B58" s="9" t="s">
        <v>966</v>
      </c>
      <c r="C58" s="10">
        <f>SUMIFS(Data!$L:$L,Data!$B:$B,"jomopay",Data!$K:$K,"native",Data!$J:$J,RIGHT(C$3,4)&amp;"-"&amp;LEFT(C$3,2),Data!$F:$F,"Value of Transactions",Data!$H:$H,"Money Transfer",Data!$I:$I,"On Us")</f>
        <v>294000000</v>
      </c>
      <c r="D58" s="10">
        <f>SUMIFS(Data!$L:$L,Data!$B:$B,"jomopay",Data!$K:$K,"native",Data!$J:$J,RIGHT(D$3,4)&amp;"-"&amp;LEFT(D$3,2),Data!$F:$F,"Value of Transactions",Data!$H:$H,"Money Transfer",Data!$I:$I,"On Us")</f>
        <v>280000000</v>
      </c>
      <c r="E58" s="10">
        <f>SUMIFS(Data!$L:$L,Data!$B:$B,"jomopay",Data!$K:$K,"native",Data!$J:$J,RIGHT(E$3,4)&amp;"-"&amp;LEFT(E$3,2),Data!$F:$F,"Value of Transactions",Data!$H:$H,"Money Transfer",Data!$I:$I,"On Us")</f>
        <v>314000000</v>
      </c>
      <c r="F58" s="10">
        <f>SUMIFS(Data!$L:$L,Data!$B:$B,"jomopay",Data!$K:$K,"native",Data!$J:$J,RIGHT(F$3,4)&amp;"-"&amp;LEFT(F$3,2),Data!$F:$F,"Value of Transactions",Data!$H:$H,"Money Transfer",Data!$I:$I,"On Us")</f>
        <v>331000000</v>
      </c>
      <c r="G58" s="10">
        <f>SUMIFS(Data!$L:$L,Data!$B:$B,"jomopay",Data!$K:$K,"native",Data!$J:$J,RIGHT(G$3,4)&amp;"-"&amp;LEFT(G$3,2),Data!$F:$F,"Value of Transactions",Data!$H:$H,"Money Transfer",Data!$I:$I,"On Us")</f>
        <v>366000000</v>
      </c>
      <c r="H58" s="10">
        <f>SUMIFS(Data!$L:$L,Data!$B:$B,"jomopay",Data!$K:$K,"native",Data!$J:$J,RIGHT(H$3,4)&amp;"-"&amp;LEFT(H$3,2),Data!$F:$F,"Value of Transactions",Data!$H:$H,"Money Transfer",Data!$I:$I,"On Us")</f>
        <v>340000000</v>
      </c>
      <c r="I58" s="10">
        <f>SUMIFS(Data!$L:$L,Data!$B:$B,"jomopay",Data!$K:$K,"native",Data!$J:$J,RIGHT(I$3,4)&amp;"-"&amp;LEFT(I$3,2),Data!$F:$F,"Value of Transactions",Data!$H:$H,"Money Transfer",Data!$I:$I,"On Us")</f>
        <v>402000000</v>
      </c>
      <c r="J58" s="10">
        <f>SUMIFS(Data!$L:$L,Data!$B:$B,"jomopay",Data!$K:$K,"native",Data!$J:$J,RIGHT(J$3,4)&amp;"-"&amp;LEFT(J$3,2),Data!$F:$F,"Value of Transactions",Data!$H:$H,"Money Transfer",Data!$I:$I,"On Us")</f>
        <v>427000000</v>
      </c>
    </row>
    <row r="59" spans="1:10" ht="15" customHeight="1" x14ac:dyDescent="0.25">
      <c r="A59" s="9" t="s">
        <v>965</v>
      </c>
      <c r="B59" s="9" t="s">
        <v>961</v>
      </c>
      <c r="C59" s="11">
        <f t="shared" ref="C59:J59" si="14">C$58/(C$58+C$60)</f>
        <v>0.51308900523560208</v>
      </c>
      <c r="D59" s="11">
        <f t="shared" si="14"/>
        <v>0.50724637681159424</v>
      </c>
      <c r="E59" s="11">
        <f t="shared" si="14"/>
        <v>0.53401360544217691</v>
      </c>
      <c r="F59" s="11">
        <f t="shared" si="14"/>
        <v>0.54173486088379708</v>
      </c>
      <c r="G59" s="11">
        <f t="shared" si="14"/>
        <v>0.56134969325153372</v>
      </c>
      <c r="H59" s="11">
        <f t="shared" si="14"/>
        <v>0.56198347107438018</v>
      </c>
      <c r="I59" s="11">
        <f t="shared" si="14"/>
        <v>0.5911764705882353</v>
      </c>
      <c r="J59" s="11">
        <f t="shared" si="14"/>
        <v>0.59059474412171509</v>
      </c>
    </row>
    <row r="60" spans="1:10" ht="15" customHeight="1" x14ac:dyDescent="0.25">
      <c r="A60" s="9" t="s">
        <v>965</v>
      </c>
      <c r="B60" s="9" t="s">
        <v>967</v>
      </c>
      <c r="C60" s="10">
        <f>SUMIFS(Data!$L:$L,Data!$B:$B,"jomopay",Data!$K:$K,"native",Data!$J:$J,RIGHT(C$3,4)&amp;"-"&amp;LEFT(C$3,2),Data!$F:$F,"Value of Transactions",Data!$H:$H,"Money Transfer",Data!$I:$I,"Off Us")</f>
        <v>279000000</v>
      </c>
      <c r="D60" s="10">
        <f>SUMIFS(Data!$L:$L,Data!$B:$B,"jomopay",Data!$K:$K,"native",Data!$J:$J,RIGHT(D$3,4)&amp;"-"&amp;LEFT(D$3,2),Data!$F:$F,"Value of Transactions",Data!$H:$H,"Money Transfer",Data!$I:$I,"Off Us")</f>
        <v>272000000</v>
      </c>
      <c r="E60" s="10">
        <f>SUMIFS(Data!$L:$L,Data!$B:$B,"jomopay",Data!$K:$K,"native",Data!$J:$J,RIGHT(E$3,4)&amp;"-"&amp;LEFT(E$3,2),Data!$F:$F,"Value of Transactions",Data!$H:$H,"Money Transfer",Data!$I:$I,"Off Us")</f>
        <v>274000000</v>
      </c>
      <c r="F60" s="10">
        <f>SUMIFS(Data!$L:$L,Data!$B:$B,"jomopay",Data!$K:$K,"native",Data!$J:$J,RIGHT(F$3,4)&amp;"-"&amp;LEFT(F$3,2),Data!$F:$F,"Value of Transactions",Data!$H:$H,"Money Transfer",Data!$I:$I,"Off Us")</f>
        <v>280000000</v>
      </c>
      <c r="G60" s="10">
        <f>SUMIFS(Data!$L:$L,Data!$B:$B,"jomopay",Data!$K:$K,"native",Data!$J:$J,RIGHT(G$3,4)&amp;"-"&amp;LEFT(G$3,2),Data!$F:$F,"Value of Transactions",Data!$H:$H,"Money Transfer",Data!$I:$I,"Off Us")</f>
        <v>286000000</v>
      </c>
      <c r="H60" s="10">
        <f>SUMIFS(Data!$L:$L,Data!$B:$B,"jomopay",Data!$K:$K,"native",Data!$J:$J,RIGHT(H$3,4)&amp;"-"&amp;LEFT(H$3,2),Data!$F:$F,"Value of Transactions",Data!$H:$H,"Money Transfer",Data!$I:$I,"Off Us")</f>
        <v>265000000</v>
      </c>
      <c r="I60" s="10">
        <f>SUMIFS(Data!$L:$L,Data!$B:$B,"jomopay",Data!$K:$K,"native",Data!$J:$J,RIGHT(I$3,4)&amp;"-"&amp;LEFT(I$3,2),Data!$F:$F,"Value of Transactions",Data!$H:$H,"Money Transfer",Data!$I:$I,"Off Us")</f>
        <v>278000000</v>
      </c>
      <c r="J60" s="10">
        <f>SUMIFS(Data!$L:$L,Data!$B:$B,"jomopay",Data!$K:$K,"native",Data!$J:$J,RIGHT(J$3,4)&amp;"-"&amp;LEFT(J$3,2),Data!$F:$F,"Value of Transactions",Data!$H:$H,"Money Transfer",Data!$I:$I,"Off Us")</f>
        <v>296000000</v>
      </c>
    </row>
    <row r="61" spans="1:10" ht="15" customHeight="1" x14ac:dyDescent="0.25">
      <c r="A61" s="9" t="s">
        <v>965</v>
      </c>
      <c r="B61" s="9" t="s">
        <v>963</v>
      </c>
      <c r="C61" s="11">
        <f t="shared" ref="C61:J61" si="15">C$60/(C$60+C$58)</f>
        <v>0.48691099476439792</v>
      </c>
      <c r="D61" s="11">
        <f t="shared" si="15"/>
        <v>0.49275362318840582</v>
      </c>
      <c r="E61" s="11">
        <f t="shared" si="15"/>
        <v>0.46598639455782315</v>
      </c>
      <c r="F61" s="11">
        <f t="shared" si="15"/>
        <v>0.45826513911620292</v>
      </c>
      <c r="G61" s="11">
        <f t="shared" si="15"/>
        <v>0.43865030674846628</v>
      </c>
      <c r="H61" s="11">
        <f t="shared" si="15"/>
        <v>0.43801652892561982</v>
      </c>
      <c r="I61" s="11">
        <f t="shared" si="15"/>
        <v>0.4088235294117647</v>
      </c>
      <c r="J61" s="11">
        <f t="shared" si="15"/>
        <v>0.40940525587828491</v>
      </c>
    </row>
  </sheetData>
  <mergeCells count="11">
    <mergeCell ref="A57:J57"/>
    <mergeCell ref="A25:J25"/>
    <mergeCell ref="A31:J31"/>
    <mergeCell ref="A34:J34"/>
    <mergeCell ref="A43:J43"/>
    <mergeCell ref="A52:J52"/>
    <mergeCell ref="A1:J1"/>
    <mergeCell ref="A4:J4"/>
    <mergeCell ref="A6:J6"/>
    <mergeCell ref="A11:J11"/>
    <mergeCell ref="A16:J16"/>
  </mergeCells>
  <conditionalFormatting sqref="C5:J5">
    <cfRule type="colorScale" priority="32">
      <colorScale>
        <cfvo type="min"/>
        <cfvo type="percentile" val="50"/>
        <cfvo type="max"/>
        <color theme="2" tint="-0.499984740745262"/>
        <color theme="0"/>
        <color theme="7" tint="0.39997558519241921"/>
      </colorScale>
    </cfRule>
  </conditionalFormatting>
  <conditionalFormatting sqref="C7:J7">
    <cfRule type="colorScale" priority="31">
      <colorScale>
        <cfvo type="min"/>
        <cfvo type="percentile" val="50"/>
        <cfvo type="max"/>
        <color theme="2" tint="-0.499984740745262"/>
        <color theme="0"/>
        <color theme="7" tint="0.39997558519241921"/>
      </colorScale>
    </cfRule>
  </conditionalFormatting>
  <conditionalFormatting sqref="C9:J9">
    <cfRule type="colorScale" priority="30">
      <colorScale>
        <cfvo type="min"/>
        <cfvo type="percentile" val="50"/>
        <cfvo type="max"/>
        <color theme="2" tint="-0.499984740745262"/>
        <color theme="0"/>
        <color theme="7" tint="0.39997558519241921"/>
      </colorScale>
    </cfRule>
  </conditionalFormatting>
  <conditionalFormatting sqref="C12:J12">
    <cfRule type="colorScale" priority="29">
      <colorScale>
        <cfvo type="min"/>
        <cfvo type="percentile" val="50"/>
        <cfvo type="max"/>
        <color theme="2" tint="-0.499984740745262"/>
        <color theme="0"/>
        <color theme="7" tint="0.39997558519241921"/>
      </colorScale>
    </cfRule>
  </conditionalFormatting>
  <conditionalFormatting sqref="C14:J14">
    <cfRule type="colorScale" priority="28">
      <colorScale>
        <cfvo type="min"/>
        <cfvo type="percentile" val="50"/>
        <cfvo type="max"/>
        <color theme="2" tint="-0.499984740745262"/>
        <color theme="0"/>
        <color theme="7" tint="0.39997558519241921"/>
      </colorScale>
    </cfRule>
  </conditionalFormatting>
  <conditionalFormatting sqref="C17:J17">
    <cfRule type="colorScale" priority="27">
      <colorScale>
        <cfvo type="min"/>
        <cfvo type="percentile" val="50"/>
        <cfvo type="max"/>
        <color theme="2" tint="-0.499984740745262"/>
        <color theme="0"/>
        <color theme="7" tint="0.39997558519241921"/>
      </colorScale>
    </cfRule>
  </conditionalFormatting>
  <conditionalFormatting sqref="C18:J18">
    <cfRule type="colorScale" priority="26">
      <colorScale>
        <cfvo type="min"/>
        <cfvo type="percentile" val="50"/>
        <cfvo type="max"/>
        <color theme="2" tint="-0.499984740745262"/>
        <color theme="0"/>
        <color theme="7" tint="0.39997558519241921"/>
      </colorScale>
    </cfRule>
  </conditionalFormatting>
  <conditionalFormatting sqref="C19:J19">
    <cfRule type="colorScale" priority="25">
      <colorScale>
        <cfvo type="min"/>
        <cfvo type="percentile" val="50"/>
        <cfvo type="max"/>
        <color theme="2" tint="-0.499984740745262"/>
        <color theme="0"/>
        <color theme="7" tint="0.39997558519241921"/>
      </colorScale>
    </cfRule>
  </conditionalFormatting>
  <conditionalFormatting sqref="C20:J20">
    <cfRule type="colorScale" priority="24">
      <colorScale>
        <cfvo type="min"/>
        <cfvo type="percentile" val="50"/>
        <cfvo type="max"/>
        <color theme="2" tint="-0.499984740745262"/>
        <color theme="0"/>
        <color theme="7" tint="0.39997558519241921"/>
      </colorScale>
    </cfRule>
  </conditionalFormatting>
  <conditionalFormatting sqref="C21:J21">
    <cfRule type="colorScale" priority="23">
      <colorScale>
        <cfvo type="min"/>
        <cfvo type="percentile" val="50"/>
        <cfvo type="max"/>
        <color theme="2" tint="-0.499984740745262"/>
        <color theme="0"/>
        <color theme="7" tint="0.39997558519241921"/>
      </colorScale>
    </cfRule>
  </conditionalFormatting>
  <conditionalFormatting sqref="C22:J22">
    <cfRule type="colorScale" priority="22">
      <colorScale>
        <cfvo type="min"/>
        <cfvo type="percentile" val="50"/>
        <cfvo type="max"/>
        <color theme="2" tint="-0.499984740745262"/>
        <color theme="0"/>
        <color theme="7" tint="0.39997558519241921"/>
      </colorScale>
    </cfRule>
  </conditionalFormatting>
  <conditionalFormatting sqref="C23:J23">
    <cfRule type="colorScale" priority="21">
      <colorScale>
        <cfvo type="min"/>
        <cfvo type="percentile" val="50"/>
        <cfvo type="max"/>
        <color theme="2" tint="-0.499984740745262"/>
        <color theme="0"/>
        <color theme="7" tint="0.39997558519241921"/>
      </colorScale>
    </cfRule>
  </conditionalFormatting>
  <conditionalFormatting sqref="C24:J24">
    <cfRule type="colorScale" priority="20">
      <colorScale>
        <cfvo type="min"/>
        <cfvo type="percentile" val="50"/>
        <cfvo type="max"/>
        <color theme="2" tint="-0.499984740745262"/>
        <color theme="0"/>
        <color theme="7" tint="0.39997558519241921"/>
      </colorScale>
    </cfRule>
  </conditionalFormatting>
  <conditionalFormatting sqref="C26:J26">
    <cfRule type="colorScale" priority="19">
      <colorScale>
        <cfvo type="min"/>
        <cfvo type="percentile" val="50"/>
        <cfvo type="max"/>
        <color theme="2" tint="-0.499984740745262"/>
        <color theme="0"/>
        <color theme="7" tint="0.39997558519241921"/>
      </colorScale>
    </cfRule>
  </conditionalFormatting>
  <conditionalFormatting sqref="C27:J27">
    <cfRule type="colorScale" priority="18">
      <colorScale>
        <cfvo type="min"/>
        <cfvo type="percentile" val="50"/>
        <cfvo type="max"/>
        <color theme="2" tint="-0.499984740745262"/>
        <color theme="0"/>
        <color theme="7" tint="0.39997558519241921"/>
      </colorScale>
    </cfRule>
  </conditionalFormatting>
  <conditionalFormatting sqref="C28:J28">
    <cfRule type="colorScale" priority="17">
      <colorScale>
        <cfvo type="min"/>
        <cfvo type="percentile" val="50"/>
        <cfvo type="max"/>
        <color theme="2" tint="-0.499984740745262"/>
        <color theme="0"/>
        <color theme="7" tint="0.39997558519241921"/>
      </colorScale>
    </cfRule>
  </conditionalFormatting>
  <conditionalFormatting sqref="C29:J29">
    <cfRule type="colorScale" priority="16">
      <colorScale>
        <cfvo type="min"/>
        <cfvo type="percentile" val="50"/>
        <cfvo type="max"/>
        <color theme="2" tint="-0.499984740745262"/>
        <color theme="0"/>
        <color theme="7" tint="0.39997558519241921"/>
      </colorScale>
    </cfRule>
  </conditionalFormatting>
  <conditionalFormatting sqref="C30:J30">
    <cfRule type="colorScale" priority="15">
      <colorScale>
        <cfvo type="min"/>
        <cfvo type="percentile" val="50"/>
        <cfvo type="max"/>
        <color theme="2" tint="-0.499984740745262"/>
        <color theme="0"/>
        <color theme="7" tint="0.39997558519241921"/>
      </colorScale>
    </cfRule>
  </conditionalFormatting>
  <conditionalFormatting sqref="C32:J32">
    <cfRule type="colorScale" priority="14">
      <colorScale>
        <cfvo type="min"/>
        <cfvo type="percentile" val="50"/>
        <cfvo type="max"/>
        <color theme="2" tint="-0.499984740745262"/>
        <color theme="0"/>
        <color theme="7" tint="0.39997558519241921"/>
      </colorScale>
    </cfRule>
  </conditionalFormatting>
  <conditionalFormatting sqref="C33:J33">
    <cfRule type="colorScale" priority="13">
      <colorScale>
        <cfvo type="min"/>
        <cfvo type="percentile" val="50"/>
        <cfvo type="max"/>
        <color theme="2" tint="-0.499984740745262"/>
        <color theme="0"/>
        <color theme="7" tint="0.39997558519241921"/>
      </colorScale>
    </cfRule>
  </conditionalFormatting>
  <conditionalFormatting sqref="C35:J35">
    <cfRule type="colorScale" priority="12">
      <colorScale>
        <cfvo type="min"/>
        <cfvo type="percentile" val="50"/>
        <cfvo type="max"/>
        <color theme="2" tint="-0.499984740745262"/>
        <color theme="0"/>
        <color theme="7" tint="0.39997558519241921"/>
      </colorScale>
    </cfRule>
  </conditionalFormatting>
  <conditionalFormatting sqref="C37:J37">
    <cfRule type="colorScale" priority="11">
      <colorScale>
        <cfvo type="min"/>
        <cfvo type="percentile" val="50"/>
        <cfvo type="max"/>
        <color theme="2" tint="-0.499984740745262"/>
        <color theme="0"/>
        <color theme="7" tint="0.39997558519241921"/>
      </colorScale>
    </cfRule>
  </conditionalFormatting>
  <conditionalFormatting sqref="C39:J39">
    <cfRule type="colorScale" priority="10">
      <colorScale>
        <cfvo type="min"/>
        <cfvo type="percentile" val="50"/>
        <cfvo type="max"/>
        <color theme="2" tint="-0.499984740745262"/>
        <color theme="0"/>
        <color theme="7" tint="0.39997558519241921"/>
      </colorScale>
    </cfRule>
  </conditionalFormatting>
  <conditionalFormatting sqref="C41:J41">
    <cfRule type="colorScale" priority="9">
      <colorScale>
        <cfvo type="min"/>
        <cfvo type="percentile" val="50"/>
        <cfvo type="max"/>
        <color theme="2" tint="-0.499984740745262"/>
        <color theme="0"/>
        <color theme="7" tint="0.39997558519241921"/>
      </colorScale>
    </cfRule>
  </conditionalFormatting>
  <conditionalFormatting sqref="C44:J44">
    <cfRule type="colorScale" priority="8">
      <colorScale>
        <cfvo type="min"/>
        <cfvo type="percentile" val="50"/>
        <cfvo type="max"/>
        <color theme="2" tint="-0.499984740745262"/>
        <color theme="0"/>
        <color theme="7" tint="0.39997558519241921"/>
      </colorScale>
    </cfRule>
  </conditionalFormatting>
  <conditionalFormatting sqref="C46:J46">
    <cfRule type="colorScale" priority="7">
      <colorScale>
        <cfvo type="min"/>
        <cfvo type="percentile" val="50"/>
        <cfvo type="max"/>
        <color theme="2" tint="-0.499984740745262"/>
        <color theme="0"/>
        <color theme="7" tint="0.39997558519241921"/>
      </colorScale>
    </cfRule>
  </conditionalFormatting>
  <conditionalFormatting sqref="C48:J48">
    <cfRule type="colorScale" priority="6">
      <colorScale>
        <cfvo type="min"/>
        <cfvo type="percentile" val="50"/>
        <cfvo type="max"/>
        <color theme="2" tint="-0.499984740745262"/>
        <color theme="0"/>
        <color theme="7" tint="0.39997558519241921"/>
      </colorScale>
    </cfRule>
  </conditionalFormatting>
  <conditionalFormatting sqref="C50:J50">
    <cfRule type="colorScale" priority="5">
      <colorScale>
        <cfvo type="min"/>
        <cfvo type="percentile" val="50"/>
        <cfvo type="max"/>
        <color theme="2" tint="-0.499984740745262"/>
        <color theme="0"/>
        <color theme="7" tint="0.39997558519241921"/>
      </colorScale>
    </cfRule>
  </conditionalFormatting>
  <conditionalFormatting sqref="C53:J53">
    <cfRule type="colorScale" priority="4">
      <colorScale>
        <cfvo type="min"/>
        <cfvo type="percentile" val="50"/>
        <cfvo type="max"/>
        <color theme="2" tint="-0.499984740745262"/>
        <color theme="0"/>
        <color theme="7" tint="0.39997558519241921"/>
      </colorScale>
    </cfRule>
  </conditionalFormatting>
  <conditionalFormatting sqref="C55:J55">
    <cfRule type="colorScale" priority="3">
      <colorScale>
        <cfvo type="min"/>
        <cfvo type="percentile" val="50"/>
        <cfvo type="max"/>
        <color theme="2" tint="-0.499984740745262"/>
        <color theme="0"/>
        <color theme="7" tint="0.39997558519241921"/>
      </colorScale>
    </cfRule>
  </conditionalFormatting>
  <conditionalFormatting sqref="C58:J58">
    <cfRule type="colorScale" priority="2">
      <colorScale>
        <cfvo type="min"/>
        <cfvo type="percentile" val="50"/>
        <cfvo type="max"/>
        <color theme="2" tint="-0.499984740745262"/>
        <color theme="0"/>
        <color theme="7" tint="0.39997558519241921"/>
      </colorScale>
    </cfRule>
  </conditionalFormatting>
  <conditionalFormatting sqref="C60:J60">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J42"/>
  <sheetViews>
    <sheetView zoomScale="110" zoomScaleNormal="110" workbookViewId="0">
      <pane ySplit="3" topLeftCell="A34" activePane="bottomLeft" state="frozen"/>
      <selection activeCell="A3" sqref="A3"/>
      <selection pane="bottomLeft" activeCell="I39" sqref="I39"/>
    </sheetView>
  </sheetViews>
  <sheetFormatPr defaultColWidth="8.7109375" defaultRowHeight="15" x14ac:dyDescent="0.25"/>
  <cols>
    <col min="1" max="1" width="26" customWidth="1"/>
    <col min="2" max="2" width="33.28515625" bestFit="1" customWidth="1"/>
    <col min="3" max="4" width="13.42578125" bestFit="1" customWidth="1"/>
    <col min="5" max="5" width="13.5703125" bestFit="1" customWidth="1"/>
    <col min="6" max="9" width="13.42578125" bestFit="1" customWidth="1"/>
    <col min="10" max="10" width="13.5703125" bestFit="1" customWidth="1"/>
  </cols>
  <sheetData>
    <row r="1" spans="1:10" ht="25.5" customHeight="1" x14ac:dyDescent="0.25">
      <c r="A1" s="23" t="s">
        <v>979</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924</v>
      </c>
      <c r="B4" s="22"/>
      <c r="C4" s="22"/>
      <c r="D4" s="22"/>
      <c r="E4" s="22"/>
      <c r="F4" s="22"/>
      <c r="G4" s="22"/>
      <c r="H4" s="22"/>
      <c r="I4" s="22"/>
      <c r="J4" s="22"/>
    </row>
    <row r="5" spans="1:10" ht="15" customHeight="1" x14ac:dyDescent="0.25">
      <c r="A5" s="7" t="s">
        <v>43</v>
      </c>
      <c r="B5" s="7" t="s">
        <v>925</v>
      </c>
      <c r="C5" s="8">
        <f>SUMIFS(Data!$L:$L,Data!$B:$B,"efawateercom",Data!$K:$K,"native",Data!$J:$J,RIGHT(C$3,4)&amp;"-"&amp;LEFT(C$3,2),Data!$F:$F,"Number of Users",Data!$H:$H,"",Data!$I:$I,"")</f>
        <v>4430000</v>
      </c>
      <c r="D5" s="8">
        <f>SUMIFS(Data!$L:$L,Data!$B:$B,"efawateercom",Data!$K:$K,"native",Data!$J:$J,RIGHT(D$3,4)&amp;"-"&amp;LEFT(D$3,2),Data!$F:$F,"Number of Users",Data!$H:$H,"",Data!$I:$I,"")</f>
        <v>4540000</v>
      </c>
      <c r="E5" s="8">
        <f>SUMIFS(Data!$L:$L,Data!$B:$B,"efawateercom",Data!$K:$K,"native",Data!$J:$J,RIGHT(E$3,4)&amp;"-"&amp;LEFT(E$3,2),Data!$F:$F,"Number of Users",Data!$H:$H,"",Data!$I:$I,"")</f>
        <v>4650000</v>
      </c>
      <c r="F5" s="8">
        <f>SUMIFS(Data!$L:$L,Data!$B:$B,"efawateercom",Data!$K:$K,"native",Data!$J:$J,RIGHT(F$3,4)&amp;"-"&amp;LEFT(F$3,2),Data!$F:$F,"Number of Users",Data!$H:$H,"",Data!$I:$I,"")</f>
        <v>4760000</v>
      </c>
      <c r="G5" s="8">
        <f>SUMIFS(Data!$L:$L,Data!$B:$B,"efawateercom",Data!$K:$K,"native",Data!$J:$J,RIGHT(G$3,4)&amp;"-"&amp;LEFT(G$3,2),Data!$F:$F,"Number of Users",Data!$H:$H,"",Data!$I:$I,"")</f>
        <v>4900000</v>
      </c>
      <c r="H5" s="8">
        <f>SUMIFS(Data!$L:$L,Data!$B:$B,"efawateercom",Data!$K:$K,"native",Data!$J:$J,RIGHT(H$3,4)&amp;"-"&amp;LEFT(H$3,2),Data!$F:$F,"Number of Users",Data!$H:$H,"",Data!$I:$I,"")</f>
        <v>5040000</v>
      </c>
      <c r="I5" s="8">
        <f>SUMIFS(Data!$L:$L,Data!$B:$B,"efawateercom",Data!$K:$K,"native",Data!$J:$J,RIGHT(I$3,4)&amp;"-"&amp;LEFT(I$3,2),Data!$F:$F,"Number of Users",Data!$H:$H,"",Data!$I:$I,"")</f>
        <v>5170000</v>
      </c>
      <c r="J5" s="8">
        <f>SUMIFS(Data!$L:$L,Data!$B:$B,"efawateercom",Data!$K:$K,"native",Data!$J:$J,RIGHT(J$3,4)&amp;"-"&amp;LEFT(J$3,2),Data!$F:$F,"Number of Users",Data!$H:$H,"",Data!$I:$I,"")</f>
        <v>5290000</v>
      </c>
    </row>
    <row r="6" spans="1:10" ht="15" customHeight="1" x14ac:dyDescent="0.25">
      <c r="A6" s="22" t="s">
        <v>946</v>
      </c>
      <c r="B6" s="22"/>
      <c r="C6" s="22"/>
      <c r="D6" s="22"/>
      <c r="E6" s="22"/>
      <c r="F6" s="22"/>
      <c r="G6" s="22"/>
      <c r="H6" s="22"/>
      <c r="I6" s="22"/>
      <c r="J6" s="22"/>
    </row>
    <row r="7" spans="1:10" ht="15" customHeight="1" x14ac:dyDescent="0.25">
      <c r="A7" s="7" t="s">
        <v>199</v>
      </c>
      <c r="B7" s="7" t="s">
        <v>947</v>
      </c>
      <c r="C7" s="8">
        <f>SUMIFS(Data!$L:$L,Data!$B:$B,"efawateercom",Data!$K:$K,"native",Data!$J:$J,RIGHT(C$3,4)&amp;"-"&amp;LEFT(C$3,2),Data!$F:$F,"Number of Transactions",Data!$H:$H,"",Data!$I:$I,"")</f>
        <v>17430000</v>
      </c>
      <c r="D7" s="8">
        <f>SUMIFS(Data!$L:$L,Data!$B:$B,"efawateercom",Data!$K:$K,"native",Data!$J:$J,RIGHT(D$3,4)&amp;"-"&amp;LEFT(D$3,2),Data!$F:$F,"Number of Transactions",Data!$H:$H,"",Data!$I:$I,"")</f>
        <v>17610000</v>
      </c>
      <c r="E7" s="8">
        <f>SUMIFS(Data!$L:$L,Data!$B:$B,"efawateercom",Data!$K:$K,"native",Data!$J:$J,RIGHT(E$3,4)&amp;"-"&amp;LEFT(E$3,2),Data!$F:$F,"Number of Transactions",Data!$H:$H,"",Data!$I:$I,"")</f>
        <v>17090000</v>
      </c>
      <c r="F7" s="8">
        <f>SUMIFS(Data!$L:$L,Data!$B:$B,"efawateercom",Data!$K:$K,"native",Data!$J:$J,RIGHT(F$3,4)&amp;"-"&amp;LEFT(F$3,2),Data!$F:$F,"Number of Transactions",Data!$H:$H,"",Data!$I:$I,"")</f>
        <v>18420000</v>
      </c>
      <c r="G7" s="8">
        <f>SUMIFS(Data!$L:$L,Data!$B:$B,"efawateercom",Data!$K:$K,"native",Data!$J:$J,RIGHT(G$3,4)&amp;"-"&amp;LEFT(G$3,2),Data!$F:$F,"Number of Transactions",Data!$H:$H,"",Data!$I:$I,"")</f>
        <v>19670000</v>
      </c>
      <c r="H7" s="8">
        <f>SUMIFS(Data!$L:$L,Data!$B:$B,"efawateercom",Data!$K:$K,"native",Data!$J:$J,RIGHT(H$3,4)&amp;"-"&amp;LEFT(H$3,2),Data!$F:$F,"Number of Transactions",Data!$H:$H,"",Data!$I:$I,"")</f>
        <v>20240000</v>
      </c>
      <c r="I7" s="8">
        <f>SUMIFS(Data!$L:$L,Data!$B:$B,"efawateercom",Data!$K:$K,"native",Data!$J:$J,RIGHT(I$3,4)&amp;"-"&amp;LEFT(I$3,2),Data!$F:$F,"Number of Transactions",Data!$H:$H,"",Data!$I:$I,"")</f>
        <v>20470000</v>
      </c>
      <c r="J7" s="8">
        <f>SUMIFS(Data!$L:$L,Data!$B:$B,"efawateercom",Data!$K:$K,"native",Data!$J:$J,RIGHT(J$3,4)&amp;"-"&amp;LEFT(J$3,2),Data!$F:$F,"Number of Transactions",Data!$H:$H,"",Data!$I:$I,"")</f>
        <v>20520000</v>
      </c>
    </row>
    <row r="8" spans="1:10" ht="15" customHeight="1" x14ac:dyDescent="0.25">
      <c r="A8" s="7" t="s">
        <v>199</v>
      </c>
      <c r="B8" s="7" t="s">
        <v>948</v>
      </c>
      <c r="C8" s="8">
        <f>SUMIFS(Data!$L:$L,Data!$B:$B,"efawateercom",Data!$K:$K,"native",Data!$J:$J,RIGHT(C$3,4)&amp;"-"&amp;LEFT(C$3,2),Data!$F:$F,"Value of Transactions",Data!$H:$H,"",Data!$I:$I,"")</f>
        <v>3520000000</v>
      </c>
      <c r="D8" s="8">
        <f>SUMIFS(Data!$L:$L,Data!$B:$B,"efawateercom",Data!$K:$K,"native",Data!$J:$J,RIGHT(D$3,4)&amp;"-"&amp;LEFT(D$3,2),Data!$F:$F,"Value of Transactions",Data!$H:$H,"",Data!$I:$I,"")</f>
        <v>3420000000</v>
      </c>
      <c r="E8" s="8">
        <f>SUMIFS(Data!$L:$L,Data!$B:$B,"efawateercom",Data!$K:$K,"native",Data!$J:$J,RIGHT(E$3,4)&amp;"-"&amp;LEFT(E$3,2),Data!$F:$F,"Value of Transactions",Data!$H:$H,"",Data!$I:$I,"")</f>
        <v>3670000000</v>
      </c>
      <c r="F8" s="8">
        <f>SUMIFS(Data!$L:$L,Data!$B:$B,"efawateercom",Data!$K:$K,"native",Data!$J:$J,RIGHT(F$3,4)&amp;"-"&amp;LEFT(F$3,2),Data!$F:$F,"Value of Transactions",Data!$H:$H,"",Data!$I:$I,"")</f>
        <v>3830000000</v>
      </c>
      <c r="G8" s="8">
        <f>SUMIFS(Data!$L:$L,Data!$B:$B,"efawateercom",Data!$K:$K,"native",Data!$J:$J,RIGHT(G$3,4)&amp;"-"&amp;LEFT(G$3,2),Data!$F:$F,"Value of Transactions",Data!$H:$H,"",Data!$I:$I,"")</f>
        <v>4070000000</v>
      </c>
      <c r="H8" s="8">
        <f>SUMIFS(Data!$L:$L,Data!$B:$B,"efawateercom",Data!$K:$K,"native",Data!$J:$J,RIGHT(H$3,4)&amp;"-"&amp;LEFT(H$3,2),Data!$F:$F,"Value of Transactions",Data!$H:$H,"",Data!$I:$I,"")</f>
        <v>4420000000</v>
      </c>
      <c r="I8" s="8">
        <f>SUMIFS(Data!$L:$L,Data!$B:$B,"efawateercom",Data!$K:$K,"native",Data!$J:$J,RIGHT(I$3,4)&amp;"-"&amp;LEFT(I$3,2),Data!$F:$F,"Value of Transactions",Data!$H:$H,"",Data!$I:$I,"")</f>
        <v>3890000000</v>
      </c>
      <c r="J8" s="8">
        <f>SUMIFS(Data!$L:$L,Data!$B:$B,"efawateercom",Data!$K:$K,"native",Data!$J:$J,RIGHT(J$3,4)&amp;"-"&amp;LEFT(J$3,2),Data!$F:$F,"Value of Transactions",Data!$H:$H,"",Data!$I:$I,"")</f>
        <v>3890000000</v>
      </c>
    </row>
    <row r="9" spans="1:10" ht="15" customHeight="1" x14ac:dyDescent="0.25">
      <c r="A9" s="22" t="s">
        <v>980</v>
      </c>
      <c r="B9" s="22"/>
      <c r="C9" s="22"/>
      <c r="D9" s="22"/>
      <c r="E9" s="22"/>
      <c r="F9" s="22"/>
      <c r="G9" s="22"/>
      <c r="H9" s="22"/>
      <c r="I9" s="22"/>
      <c r="J9" s="22"/>
    </row>
    <row r="10" spans="1:10" ht="15" customHeight="1" x14ac:dyDescent="0.25">
      <c r="A10" s="9" t="s">
        <v>1026</v>
      </c>
      <c r="B10" s="9" t="s">
        <v>640</v>
      </c>
      <c r="C10" s="10">
        <f>SUMIFS(Data!$L:$L,Data!$B:$B,"efawateercom",Data!$K:$K,"native",Data!$J:$J,RIGHT(C$3,4)&amp;"-"&amp;LEFT(C$3,2),Data!$F:$F,"Number of Transactions",Data!$H:$H,"Telecommunication",Data!$I:$I,"")</f>
        <v>5680000</v>
      </c>
      <c r="D10" s="10">
        <f>SUMIFS(Data!$L:$L,Data!$B:$B,"efawateercom",Data!$K:$K,"native",Data!$J:$J,RIGHT(D$3,4)&amp;"-"&amp;LEFT(D$3,2),Data!$F:$F,"Number of Transactions",Data!$H:$H,"Telecommunication",Data!$I:$I,"")</f>
        <v>5740000</v>
      </c>
      <c r="E10" s="10">
        <f>SUMIFS(Data!$L:$L,Data!$B:$B,"efawateercom",Data!$K:$K,"native",Data!$J:$J,RIGHT(E$3,4)&amp;"-"&amp;LEFT(E$3,2),Data!$F:$F,"Number of Transactions",Data!$H:$H,"Telecommunication",Data!$I:$I,"")</f>
        <v>5460000</v>
      </c>
      <c r="F10" s="10">
        <f>SUMIFS(Data!$L:$L,Data!$B:$B,"efawateercom",Data!$K:$K,"native",Data!$J:$J,RIGHT(F$3,4)&amp;"-"&amp;LEFT(F$3,2),Data!$F:$F,"Number of Transactions",Data!$H:$H,"Telecommunication",Data!$I:$I,"")</f>
        <v>6280000</v>
      </c>
      <c r="G10" s="10">
        <f>SUMIFS(Data!$L:$L,Data!$B:$B,"efawateercom",Data!$K:$K,"native",Data!$J:$J,RIGHT(G$3,4)&amp;"-"&amp;LEFT(G$3,2),Data!$F:$F,"Number of Transactions",Data!$H:$H,"Telecommunication",Data!$I:$I,"")</f>
        <v>6250000</v>
      </c>
      <c r="H10" s="10">
        <f>SUMIFS(Data!$L:$L,Data!$B:$B,"efawateercom",Data!$K:$K,"native",Data!$J:$J,RIGHT(H$3,4)&amp;"-"&amp;LEFT(H$3,2),Data!$F:$F,"Number of Transactions",Data!$H:$H,"Telecommunication",Data!$I:$I,"")</f>
        <v>6320000</v>
      </c>
      <c r="I10" s="10">
        <f>SUMIFS(Data!$L:$L,Data!$B:$B,"efawateercom",Data!$K:$K,"native",Data!$J:$J,RIGHT(I$3,4)&amp;"-"&amp;LEFT(I$3,2),Data!$F:$F,"Number of Transactions",Data!$H:$H,"Telecommunication",Data!$I:$I,"")</f>
        <v>6310000</v>
      </c>
      <c r="J10" s="10">
        <f>SUMIFS(Data!$L:$L,Data!$B:$B,"efawateercom",Data!$K:$K,"native",Data!$J:$J,RIGHT(J$3,4)&amp;"-"&amp;LEFT(J$3,2),Data!$F:$F,"Number of Transactions",Data!$H:$H,"Telecommunication",Data!$I:$I,"")</f>
        <v>6530000</v>
      </c>
    </row>
    <row r="11" spans="1:10" ht="15" customHeight="1" x14ac:dyDescent="0.25">
      <c r="A11" s="9" t="s">
        <v>1026</v>
      </c>
      <c r="B11" s="9" t="s">
        <v>647</v>
      </c>
      <c r="C11" s="10">
        <f>SUMIFS(Data!$L:$L,Data!$B:$B,"efawateercom",Data!$K:$K,"native",Data!$J:$J,RIGHT(C$3,4)&amp;"-"&amp;LEFT(C$3,2),Data!$F:$F,"Number of Transactions",Data!$H:$H,"Water and Electricity",Data!$I:$I,"")</f>
        <v>4710000</v>
      </c>
      <c r="D11" s="10">
        <f>SUMIFS(Data!$L:$L,Data!$B:$B,"efawateercom",Data!$K:$K,"native",Data!$J:$J,RIGHT(D$3,4)&amp;"-"&amp;LEFT(D$3,2),Data!$F:$F,"Number of Transactions",Data!$H:$H,"Water and Electricity",Data!$I:$I,"")</f>
        <v>5040000</v>
      </c>
      <c r="E11" s="10">
        <f>SUMIFS(Data!$L:$L,Data!$B:$B,"efawateercom",Data!$K:$K,"native",Data!$J:$J,RIGHT(E$3,4)&amp;"-"&amp;LEFT(E$3,2),Data!$F:$F,"Number of Transactions",Data!$H:$H,"Water and Electricity",Data!$I:$I,"")</f>
        <v>4740000</v>
      </c>
      <c r="F11" s="10">
        <f>SUMIFS(Data!$L:$L,Data!$B:$B,"efawateercom",Data!$K:$K,"native",Data!$J:$J,RIGHT(F$3,4)&amp;"-"&amp;LEFT(F$3,2),Data!$F:$F,"Number of Transactions",Data!$H:$H,"Water and Electricity",Data!$I:$I,"")</f>
        <v>5280000</v>
      </c>
      <c r="G11" s="10">
        <f>SUMIFS(Data!$L:$L,Data!$B:$B,"efawateercom",Data!$K:$K,"native",Data!$J:$J,RIGHT(G$3,4)&amp;"-"&amp;LEFT(G$3,2),Data!$F:$F,"Number of Transactions",Data!$H:$H,"Water and Electricity",Data!$I:$I,"")</f>
        <v>5490000</v>
      </c>
      <c r="H11" s="10">
        <f>SUMIFS(Data!$L:$L,Data!$B:$B,"efawateercom",Data!$K:$K,"native",Data!$J:$J,RIGHT(H$3,4)&amp;"-"&amp;LEFT(H$3,2),Data!$F:$F,"Number of Transactions",Data!$H:$H,"Water and Electricity",Data!$I:$I,"")</f>
        <v>5650000</v>
      </c>
      <c r="I11" s="10">
        <f>SUMIFS(Data!$L:$L,Data!$B:$B,"efawateercom",Data!$K:$K,"native",Data!$J:$J,RIGHT(I$3,4)&amp;"-"&amp;LEFT(I$3,2),Data!$F:$F,"Number of Transactions",Data!$H:$H,"Water and Electricity",Data!$I:$I,"")</f>
        <v>5680000</v>
      </c>
      <c r="J11" s="10">
        <f>SUMIFS(Data!$L:$L,Data!$B:$B,"efawateercom",Data!$K:$K,"native",Data!$J:$J,RIGHT(J$3,4)&amp;"-"&amp;LEFT(J$3,2),Data!$F:$F,"Number of Transactions",Data!$H:$H,"Water and Electricity",Data!$I:$I,"")</f>
        <v>5820000</v>
      </c>
    </row>
    <row r="12" spans="1:10" ht="15" customHeight="1" x14ac:dyDescent="0.25">
      <c r="A12" s="9" t="s">
        <v>1026</v>
      </c>
      <c r="B12" s="9" t="s">
        <v>638</v>
      </c>
      <c r="C12" s="10">
        <f>SUMIFS(Data!$L:$L,Data!$B:$B,"efawateercom",Data!$K:$K,"native",Data!$J:$J,RIGHT(C$3,4)&amp;"-"&amp;LEFT(C$3,2),Data!$F:$F,"Number of Transactions",Data!$H:$H,"Government Service",Data!$I:$I,"")</f>
        <v>3460000</v>
      </c>
      <c r="D12" s="10">
        <f>SUMIFS(Data!$L:$L,Data!$B:$B,"efawateercom",Data!$K:$K,"native",Data!$J:$J,RIGHT(D$3,4)&amp;"-"&amp;LEFT(D$3,2),Data!$F:$F,"Number of Transactions",Data!$H:$H,"Government Service",Data!$I:$I,"")</f>
        <v>3370000</v>
      </c>
      <c r="E12" s="10">
        <f>SUMIFS(Data!$L:$L,Data!$B:$B,"efawateercom",Data!$K:$K,"native",Data!$J:$J,RIGHT(E$3,4)&amp;"-"&amp;LEFT(E$3,2),Data!$F:$F,"Number of Transactions",Data!$H:$H,"Government Service",Data!$I:$I,"")</f>
        <v>3460000</v>
      </c>
      <c r="F12" s="10">
        <f>SUMIFS(Data!$L:$L,Data!$B:$B,"efawateercom",Data!$K:$K,"native",Data!$J:$J,RIGHT(F$3,4)&amp;"-"&amp;LEFT(F$3,2),Data!$F:$F,"Number of Transactions",Data!$H:$H,"Government Service",Data!$I:$I,"")</f>
        <v>3210000</v>
      </c>
      <c r="G12" s="10">
        <f>SUMIFS(Data!$L:$L,Data!$B:$B,"efawateercom",Data!$K:$K,"native",Data!$J:$J,RIGHT(G$3,4)&amp;"-"&amp;LEFT(G$3,2),Data!$F:$F,"Number of Transactions",Data!$H:$H,"Government Service",Data!$I:$I,"")</f>
        <v>3920000</v>
      </c>
      <c r="H12" s="10">
        <f>SUMIFS(Data!$L:$L,Data!$B:$B,"efawateercom",Data!$K:$K,"native",Data!$J:$J,RIGHT(H$3,4)&amp;"-"&amp;LEFT(H$3,2),Data!$F:$F,"Number of Transactions",Data!$H:$H,"Government Service",Data!$I:$I,"")</f>
        <v>4410000</v>
      </c>
      <c r="I12" s="10">
        <f>SUMIFS(Data!$L:$L,Data!$B:$B,"efawateercom",Data!$K:$K,"native",Data!$J:$J,RIGHT(I$3,4)&amp;"-"&amp;LEFT(I$3,2),Data!$F:$F,"Number of Transactions",Data!$H:$H,"Government Service",Data!$I:$I,"")</f>
        <v>4590000</v>
      </c>
      <c r="J12" s="10">
        <f>SUMIFS(Data!$L:$L,Data!$B:$B,"efawateercom",Data!$K:$K,"native",Data!$J:$J,RIGHT(J$3,4)&amp;"-"&amp;LEFT(J$3,2),Data!$F:$F,"Number of Transactions",Data!$H:$H,"Government Service",Data!$I:$I,"")</f>
        <v>4430000</v>
      </c>
    </row>
    <row r="13" spans="1:10" ht="15" customHeight="1" x14ac:dyDescent="0.25">
      <c r="A13" s="9" t="s">
        <v>1026</v>
      </c>
      <c r="B13" s="9" t="s">
        <v>645</v>
      </c>
      <c r="C13" s="10">
        <f>SUMIFS(Data!$L:$L,Data!$B:$B,"efawateercom",Data!$K:$K,"native",Data!$J:$J,RIGHT(C$3,4)&amp;"-"&amp;LEFT(C$3,2),Data!$F:$F,"Number of Transactions",Data!$H:$H,"Wallets and PSPs",Data!$I:$I,"")</f>
        <v>1590000</v>
      </c>
      <c r="D13" s="10">
        <f>SUMIFS(Data!$L:$L,Data!$B:$B,"efawateercom",Data!$K:$K,"native",Data!$J:$J,RIGHT(D$3,4)&amp;"-"&amp;LEFT(D$3,2),Data!$F:$F,"Number of Transactions",Data!$H:$H,"Wallets and PSPs",Data!$I:$I,"")</f>
        <v>1580000</v>
      </c>
      <c r="E13" s="10">
        <f>SUMIFS(Data!$L:$L,Data!$B:$B,"efawateercom",Data!$K:$K,"native",Data!$J:$J,RIGHT(E$3,4)&amp;"-"&amp;LEFT(E$3,2),Data!$F:$F,"Number of Transactions",Data!$H:$H,"Wallets and PSPs",Data!$I:$I,"")</f>
        <v>1500000</v>
      </c>
      <c r="F13" s="10">
        <f>SUMIFS(Data!$L:$L,Data!$B:$B,"efawateercom",Data!$K:$K,"native",Data!$J:$J,RIGHT(F$3,4)&amp;"-"&amp;LEFT(F$3,2),Data!$F:$F,"Number of Transactions",Data!$H:$H,"Wallets and PSPs",Data!$I:$I,"")</f>
        <v>1660000</v>
      </c>
      <c r="G13" s="10">
        <f>SUMIFS(Data!$L:$L,Data!$B:$B,"efawateercom",Data!$K:$K,"native",Data!$J:$J,RIGHT(G$3,4)&amp;"-"&amp;LEFT(G$3,2),Data!$F:$F,"Number of Transactions",Data!$H:$H,"Wallets and PSPs",Data!$I:$I,"")</f>
        <v>1710000</v>
      </c>
      <c r="H13" s="10">
        <f>SUMIFS(Data!$L:$L,Data!$B:$B,"efawateercom",Data!$K:$K,"native",Data!$J:$J,RIGHT(H$3,4)&amp;"-"&amp;LEFT(H$3,2),Data!$F:$F,"Number of Transactions",Data!$H:$H,"Wallets and PSPs",Data!$I:$I,"")</f>
        <v>1740000</v>
      </c>
      <c r="I13" s="10">
        <f>SUMIFS(Data!$L:$L,Data!$B:$B,"efawateercom",Data!$K:$K,"native",Data!$J:$J,RIGHT(I$3,4)&amp;"-"&amp;LEFT(I$3,2),Data!$F:$F,"Number of Transactions",Data!$H:$H,"Wallets and PSPs",Data!$I:$I,"")</f>
        <v>1680000</v>
      </c>
      <c r="J13" s="10">
        <f>SUMIFS(Data!$L:$L,Data!$B:$B,"efawateercom",Data!$K:$K,"native",Data!$J:$J,RIGHT(J$3,4)&amp;"-"&amp;LEFT(J$3,2),Data!$F:$F,"Number of Transactions",Data!$H:$H,"Wallets and PSPs",Data!$I:$I,"")</f>
        <v>1690000</v>
      </c>
    </row>
    <row r="14" spans="1:10" ht="15" customHeight="1" x14ac:dyDescent="0.25">
      <c r="A14" s="9" t="s">
        <v>1026</v>
      </c>
      <c r="B14" s="9" t="s">
        <v>634</v>
      </c>
      <c r="C14" s="10">
        <f>SUMIFS(Data!$L:$L,Data!$B:$B,"efawateercom",Data!$K:$K,"native",Data!$J:$J,RIGHT(C$3,4)&amp;"-"&amp;LEFT(C$3,2),Data!$F:$F,"Number of Transactions",Data!$H:$H,"Financial Services",Data!$I:$I,"")</f>
        <v>900000</v>
      </c>
      <c r="D14" s="10">
        <f>SUMIFS(Data!$L:$L,Data!$B:$B,"efawateercom",Data!$K:$K,"native",Data!$J:$J,RIGHT(D$3,4)&amp;"-"&amp;LEFT(D$3,2),Data!$F:$F,"Number of Transactions",Data!$H:$H,"Financial Services",Data!$I:$I,"")</f>
        <v>920000</v>
      </c>
      <c r="E14" s="10">
        <f>SUMIFS(Data!$L:$L,Data!$B:$B,"efawateercom",Data!$K:$K,"native",Data!$J:$J,RIGHT(E$3,4)&amp;"-"&amp;LEFT(E$3,2),Data!$F:$F,"Number of Transactions",Data!$H:$H,"Financial Services",Data!$I:$I,"")</f>
        <v>870000</v>
      </c>
      <c r="F14" s="10">
        <f>SUMIFS(Data!$L:$L,Data!$B:$B,"efawateercom",Data!$K:$K,"native",Data!$J:$J,RIGHT(F$3,4)&amp;"-"&amp;LEFT(F$3,2),Data!$F:$F,"Number of Transactions",Data!$H:$H,"Financial Services",Data!$I:$I,"")</f>
        <v>990000</v>
      </c>
      <c r="G14" s="10">
        <f>SUMIFS(Data!$L:$L,Data!$B:$B,"efawateercom",Data!$K:$K,"native",Data!$J:$J,RIGHT(G$3,4)&amp;"-"&amp;LEFT(G$3,2),Data!$F:$F,"Number of Transactions",Data!$H:$H,"Financial Services",Data!$I:$I,"")</f>
        <v>920000</v>
      </c>
      <c r="H14" s="10">
        <f>SUMIFS(Data!$L:$L,Data!$B:$B,"efawateercom",Data!$K:$K,"native",Data!$J:$J,RIGHT(H$3,4)&amp;"-"&amp;LEFT(H$3,2),Data!$F:$F,"Number of Transactions",Data!$H:$H,"Financial Services",Data!$I:$I,"")</f>
        <v>970000</v>
      </c>
      <c r="I14" s="10">
        <f>SUMIFS(Data!$L:$L,Data!$B:$B,"efawateercom",Data!$K:$K,"native",Data!$J:$J,RIGHT(I$3,4)&amp;"-"&amp;LEFT(I$3,2),Data!$F:$F,"Number of Transactions",Data!$H:$H,"Financial Services",Data!$I:$I,"")</f>
        <v>950000</v>
      </c>
      <c r="J14" s="10">
        <f>SUMIFS(Data!$L:$L,Data!$B:$B,"efawateercom",Data!$K:$K,"native",Data!$J:$J,RIGHT(J$3,4)&amp;"-"&amp;LEFT(J$3,2),Data!$F:$F,"Number of Transactions",Data!$H:$H,"Financial Services",Data!$I:$I,"")</f>
        <v>940000</v>
      </c>
    </row>
    <row r="15" spans="1:10" ht="15" customHeight="1" x14ac:dyDescent="0.25">
      <c r="A15" s="9" t="s">
        <v>1026</v>
      </c>
      <c r="B15" s="9" t="s">
        <v>632</v>
      </c>
      <c r="C15" s="10">
        <f>SUMIFS(Data!$L:$L,Data!$B:$B,"efawateercom",Data!$K:$K,"native",Data!$J:$J,RIGHT(C$3,4)&amp;"-"&amp;LEFT(C$3,2),Data!$F:$F,"Number of Transactions",Data!$H:$H,"Education",Data!$I:$I,"")</f>
        <v>440000</v>
      </c>
      <c r="D15" s="10">
        <f>SUMIFS(Data!$L:$L,Data!$B:$B,"efawateercom",Data!$K:$K,"native",Data!$J:$J,RIGHT(D$3,4)&amp;"-"&amp;LEFT(D$3,2),Data!$F:$F,"Number of Transactions",Data!$H:$H,"Education",Data!$I:$I,"")</f>
        <v>290000</v>
      </c>
      <c r="E15" s="10">
        <f>SUMIFS(Data!$L:$L,Data!$B:$B,"efawateercom",Data!$K:$K,"native",Data!$J:$J,RIGHT(E$3,4)&amp;"-"&amp;LEFT(E$3,2),Data!$F:$F,"Number of Transactions",Data!$H:$H,"Education",Data!$I:$I,"")</f>
        <v>360000</v>
      </c>
      <c r="F15" s="10">
        <f>SUMIFS(Data!$L:$L,Data!$B:$B,"efawateercom",Data!$K:$K,"native",Data!$J:$J,RIGHT(F$3,4)&amp;"-"&amp;LEFT(F$3,2),Data!$F:$F,"Number of Transactions",Data!$H:$H,"Education",Data!$I:$I,"")</f>
        <v>270000</v>
      </c>
      <c r="G15" s="10">
        <f>SUMIFS(Data!$L:$L,Data!$B:$B,"efawateercom",Data!$K:$K,"native",Data!$J:$J,RIGHT(G$3,4)&amp;"-"&amp;LEFT(G$3,2),Data!$F:$F,"Number of Transactions",Data!$H:$H,"Education",Data!$I:$I,"")</f>
        <v>570000</v>
      </c>
      <c r="H15" s="10">
        <f>SUMIFS(Data!$L:$L,Data!$B:$B,"efawateercom",Data!$K:$K,"native",Data!$J:$J,RIGHT(H$3,4)&amp;"-"&amp;LEFT(H$3,2),Data!$F:$F,"Number of Transactions",Data!$H:$H,"Education",Data!$I:$I,"")</f>
        <v>360000</v>
      </c>
      <c r="I15" s="10">
        <f>SUMIFS(Data!$L:$L,Data!$B:$B,"efawateercom",Data!$K:$K,"native",Data!$J:$J,RIGHT(I$3,4)&amp;"-"&amp;LEFT(I$3,2),Data!$F:$F,"Number of Transactions",Data!$H:$H,"Education",Data!$I:$I,"")</f>
        <v>470000</v>
      </c>
      <c r="J15" s="10">
        <f>SUMIFS(Data!$L:$L,Data!$B:$B,"efawateercom",Data!$K:$K,"native",Data!$J:$J,RIGHT(J$3,4)&amp;"-"&amp;LEFT(J$3,2),Data!$F:$F,"Number of Transactions",Data!$H:$H,"Education",Data!$I:$I,"")</f>
        <v>340000</v>
      </c>
    </row>
    <row r="16" spans="1:10" ht="15" customHeight="1" x14ac:dyDescent="0.25">
      <c r="A16" s="9" t="s">
        <v>1026</v>
      </c>
      <c r="B16" s="9" t="s">
        <v>644</v>
      </c>
      <c r="C16" s="10">
        <f>SUMIFS(Data!$L:$L,Data!$B:$B,"efawateercom",Data!$K:$K,"native",Data!$J:$J,RIGHT(C$3,4)&amp;"-"&amp;LEFT(C$3,2),Data!$F:$F,"Number of Transactions",Data!$H:$H,"Travel &amp; Transportation",Data!$I:$I,"")</f>
        <v>120000</v>
      </c>
      <c r="D16" s="10">
        <f>SUMIFS(Data!$L:$L,Data!$B:$B,"efawateercom",Data!$K:$K,"native",Data!$J:$J,RIGHT(D$3,4)&amp;"-"&amp;LEFT(D$3,2),Data!$F:$F,"Number of Transactions",Data!$H:$H,"Travel &amp; Transportation",Data!$I:$I,"")</f>
        <v>130000</v>
      </c>
      <c r="E16" s="10">
        <f>SUMIFS(Data!$L:$L,Data!$B:$B,"efawateercom",Data!$K:$K,"native",Data!$J:$J,RIGHT(E$3,4)&amp;"-"&amp;LEFT(E$3,2),Data!$F:$F,"Number of Transactions",Data!$H:$H,"Travel &amp; Transportation",Data!$I:$I,"")</f>
        <v>120000</v>
      </c>
      <c r="F16" s="10">
        <f>SUMIFS(Data!$L:$L,Data!$B:$B,"efawateercom",Data!$K:$K,"native",Data!$J:$J,RIGHT(F$3,4)&amp;"-"&amp;LEFT(F$3,2),Data!$F:$F,"Number of Transactions",Data!$H:$H,"Travel &amp; Transportation",Data!$I:$I,"")</f>
        <v>160000</v>
      </c>
      <c r="G16" s="10">
        <f>SUMIFS(Data!$L:$L,Data!$B:$B,"efawateercom",Data!$K:$K,"native",Data!$J:$J,RIGHT(G$3,4)&amp;"-"&amp;LEFT(G$3,2),Data!$F:$F,"Number of Transactions",Data!$H:$H,"Travel &amp; Transportation",Data!$I:$I,"")</f>
        <v>190000</v>
      </c>
      <c r="H16" s="10">
        <f>SUMIFS(Data!$L:$L,Data!$B:$B,"efawateercom",Data!$K:$K,"native",Data!$J:$J,RIGHT(H$3,4)&amp;"-"&amp;LEFT(H$3,2),Data!$F:$F,"Number of Transactions",Data!$H:$H,"Travel &amp; Transportation",Data!$I:$I,"")</f>
        <v>180000</v>
      </c>
      <c r="I16" s="10">
        <f>SUMIFS(Data!$L:$L,Data!$B:$B,"efawateercom",Data!$K:$K,"native",Data!$J:$J,RIGHT(I$3,4)&amp;"-"&amp;LEFT(I$3,2),Data!$F:$F,"Number of Transactions",Data!$H:$H,"Travel &amp; Transportation",Data!$I:$I,"")</f>
        <v>160000</v>
      </c>
      <c r="J16" s="10">
        <f>SUMIFS(Data!$L:$L,Data!$B:$B,"efawateercom",Data!$K:$K,"native",Data!$J:$J,RIGHT(J$3,4)&amp;"-"&amp;LEFT(J$3,2),Data!$F:$F,"Number of Transactions",Data!$H:$H,"Travel &amp; Transportation",Data!$I:$I,"")</f>
        <v>170000</v>
      </c>
    </row>
    <row r="17" spans="1:10" ht="15" customHeight="1" x14ac:dyDescent="0.25">
      <c r="A17" s="9" t="s">
        <v>1026</v>
      </c>
      <c r="B17" s="9" t="s">
        <v>642</v>
      </c>
      <c r="C17" s="10">
        <f>SUMIFS(Data!$L:$L,Data!$B:$B,"efawateercom",Data!$K:$K,"native",Data!$J:$J,RIGHT(C$3,4)&amp;"-"&amp;LEFT(C$3,2),Data!$F:$F,"Number of Transactions",Data!$H:$H,"Trading and Services",Data!$I:$I,"")</f>
        <v>120000</v>
      </c>
      <c r="D17" s="10">
        <f>SUMIFS(Data!$L:$L,Data!$B:$B,"efawateercom",Data!$K:$K,"native",Data!$J:$J,RIGHT(D$3,4)&amp;"-"&amp;LEFT(D$3,2),Data!$F:$F,"Number of Transactions",Data!$H:$H,"Trading and Services",Data!$I:$I,"")</f>
        <v>110000</v>
      </c>
      <c r="E17" s="10">
        <f>SUMIFS(Data!$L:$L,Data!$B:$B,"efawateercom",Data!$K:$K,"native",Data!$J:$J,RIGHT(E$3,4)&amp;"-"&amp;LEFT(E$3,2),Data!$F:$F,"Number of Transactions",Data!$H:$H,"Trading and Services",Data!$I:$I,"")</f>
        <v>100000</v>
      </c>
      <c r="F17" s="10">
        <f>SUMIFS(Data!$L:$L,Data!$B:$B,"efawateercom",Data!$K:$K,"native",Data!$J:$J,RIGHT(F$3,4)&amp;"-"&amp;LEFT(F$3,2),Data!$F:$F,"Number of Transactions",Data!$H:$H,"Trading and Services",Data!$I:$I,"")</f>
        <v>110000</v>
      </c>
      <c r="G17" s="10">
        <f>SUMIFS(Data!$L:$L,Data!$B:$B,"efawateercom",Data!$K:$K,"native",Data!$J:$J,RIGHT(G$3,4)&amp;"-"&amp;LEFT(G$3,2),Data!$F:$F,"Number of Transactions",Data!$H:$H,"Trading and Services",Data!$I:$I,"")</f>
        <v>140000</v>
      </c>
      <c r="H17" s="10">
        <f>SUMIFS(Data!$L:$L,Data!$B:$B,"efawateercom",Data!$K:$K,"native",Data!$J:$J,RIGHT(H$3,4)&amp;"-"&amp;LEFT(H$3,2),Data!$F:$F,"Number of Transactions",Data!$H:$H,"Trading and Services",Data!$I:$I,"")</f>
        <v>140000</v>
      </c>
      <c r="I17" s="10">
        <f>SUMIFS(Data!$L:$L,Data!$B:$B,"efawateercom",Data!$K:$K,"native",Data!$J:$J,RIGHT(I$3,4)&amp;"-"&amp;LEFT(I$3,2),Data!$F:$F,"Number of Transactions",Data!$H:$H,"Trading and Services",Data!$I:$I,"")</f>
        <v>80000</v>
      </c>
      <c r="J17" s="10">
        <f>SUMIFS(Data!$L:$L,Data!$B:$B,"efawateercom",Data!$K:$K,"native",Data!$J:$J,RIGHT(J$3,4)&amp;"-"&amp;LEFT(J$3,2),Data!$F:$F,"Number of Transactions",Data!$H:$H,"Trading and Services",Data!$I:$I,"")</f>
        <v>90000</v>
      </c>
    </row>
    <row r="18" spans="1:10" ht="15" customHeight="1" x14ac:dyDescent="0.25">
      <c r="A18" s="9" t="s">
        <v>1026</v>
      </c>
      <c r="B18" s="9" t="s">
        <v>625</v>
      </c>
      <c r="C18" s="10">
        <f>SUMIFS(Data!$L:$L,Data!$B:$B,"efawateercom",Data!$K:$K,"native",Data!$J:$J,RIGHT(C$3,4)&amp;"-"&amp;LEFT(C$3,2),Data!$F:$F,"Number of Transactions",Data!$H:$H,"Associations and Organizations",Data!$I:$I,"")</f>
        <v>90000</v>
      </c>
      <c r="D18" s="10">
        <f>SUMIFS(Data!$L:$L,Data!$B:$B,"efawateercom",Data!$K:$K,"native",Data!$J:$J,RIGHT(D$3,4)&amp;"-"&amp;LEFT(D$3,2),Data!$F:$F,"Number of Transactions",Data!$H:$H,"Associations and Organizations",Data!$I:$I,"")</f>
        <v>100000</v>
      </c>
      <c r="E18" s="10">
        <f>SUMIFS(Data!$L:$L,Data!$B:$B,"efawateercom",Data!$K:$K,"native",Data!$J:$J,RIGHT(E$3,4)&amp;"-"&amp;LEFT(E$3,2),Data!$F:$F,"Number of Transactions",Data!$H:$H,"Associations and Organizations",Data!$I:$I,"")</f>
        <v>150000</v>
      </c>
      <c r="F18" s="10">
        <f>SUMIFS(Data!$L:$L,Data!$B:$B,"efawateercom",Data!$K:$K,"native",Data!$J:$J,RIGHT(F$3,4)&amp;"-"&amp;LEFT(F$3,2),Data!$F:$F,"Number of Transactions",Data!$H:$H,"Associations and Organizations",Data!$I:$I,"")</f>
        <v>100000</v>
      </c>
      <c r="G18" s="10">
        <f>SUMIFS(Data!$L:$L,Data!$B:$B,"efawateercom",Data!$K:$K,"native",Data!$J:$J,RIGHT(G$3,4)&amp;"-"&amp;LEFT(G$3,2),Data!$F:$F,"Number of Transactions",Data!$H:$H,"Associations and Organizations",Data!$I:$I,"")</f>
        <v>100000</v>
      </c>
      <c r="H18" s="10">
        <f>SUMIFS(Data!$L:$L,Data!$B:$B,"efawateercom",Data!$K:$K,"native",Data!$J:$J,RIGHT(H$3,4)&amp;"-"&amp;LEFT(H$3,2),Data!$F:$F,"Number of Transactions",Data!$H:$H,"Associations and Organizations",Data!$I:$I,"")</f>
        <v>110000</v>
      </c>
      <c r="I18" s="10">
        <f>SUMIFS(Data!$L:$L,Data!$B:$B,"efawateercom",Data!$K:$K,"native",Data!$J:$J,RIGHT(I$3,4)&amp;"-"&amp;LEFT(I$3,2),Data!$F:$F,"Number of Transactions",Data!$H:$H,"Associations and Organizations",Data!$I:$I,"")</f>
        <v>160000</v>
      </c>
      <c r="J18" s="10">
        <f>SUMIFS(Data!$L:$L,Data!$B:$B,"efawateercom",Data!$K:$K,"native",Data!$J:$J,RIGHT(J$3,4)&amp;"-"&amp;LEFT(J$3,2),Data!$F:$F,"Number of Transactions",Data!$H:$H,"Associations and Organizations",Data!$I:$I,"")</f>
        <v>110000</v>
      </c>
    </row>
    <row r="19" spans="1:10" ht="15" customHeight="1" x14ac:dyDescent="0.25">
      <c r="A19" s="9" t="s">
        <v>1026</v>
      </c>
      <c r="B19" s="9" t="s">
        <v>981</v>
      </c>
      <c r="C19" s="10">
        <f>SUMIFS(Data!$L:$L,Data!$B:$B,"efawateercom",Data!$K:$K,"native",Data!$J:$J,RIGHT(C$3,4)&amp;"-"&amp;LEFT(C$3,2),Data!$F:$F,"Number of Transactions",Data!$H:$H,"Gas And Energy",Data!$I:$I,"")</f>
        <v>70000</v>
      </c>
      <c r="D19" s="10">
        <f>SUMIFS(Data!$L:$L,Data!$B:$B,"efawateercom",Data!$K:$K,"native",Data!$J:$J,RIGHT(D$3,4)&amp;"-"&amp;LEFT(D$3,2),Data!$F:$F,"Number of Transactions",Data!$H:$H,"Gas And Energy",Data!$I:$I,"")</f>
        <v>80000</v>
      </c>
      <c r="E19" s="10">
        <f>SUMIFS(Data!$L:$L,Data!$B:$B,"efawateercom",Data!$K:$K,"native",Data!$J:$J,RIGHT(E$3,4)&amp;"-"&amp;LEFT(E$3,2),Data!$F:$F,"Number of Transactions",Data!$H:$H,"Gas And Energy",Data!$I:$I,"")</f>
        <v>80000</v>
      </c>
      <c r="F19" s="10">
        <f>SUMIFS(Data!$L:$L,Data!$B:$B,"efawateercom",Data!$K:$K,"native",Data!$J:$J,RIGHT(F$3,4)&amp;"-"&amp;LEFT(F$3,2),Data!$F:$F,"Number of Transactions",Data!$H:$H,"Gas And Energy",Data!$I:$I,"")</f>
        <v>90000</v>
      </c>
      <c r="G19" s="10">
        <f>SUMIFS(Data!$L:$L,Data!$B:$B,"efawateercom",Data!$K:$K,"native",Data!$J:$J,RIGHT(G$3,4)&amp;"-"&amp;LEFT(G$3,2),Data!$F:$F,"Number of Transactions",Data!$H:$H,"Gas And Energy",Data!$I:$I,"")</f>
        <v>100000</v>
      </c>
      <c r="H19" s="10">
        <f>SUMIFS(Data!$L:$L,Data!$B:$B,"efawateercom",Data!$K:$K,"native",Data!$J:$J,RIGHT(H$3,4)&amp;"-"&amp;LEFT(H$3,2),Data!$F:$F,"Number of Transactions",Data!$H:$H,"Gas And Energy",Data!$I:$I,"")</f>
        <v>110000</v>
      </c>
      <c r="I19" s="10">
        <f>SUMIFS(Data!$L:$L,Data!$B:$B,"efawateercom",Data!$K:$K,"native",Data!$J:$J,RIGHT(I$3,4)&amp;"-"&amp;LEFT(I$3,2),Data!$F:$F,"Number of Transactions",Data!$H:$H,"Gas And Energy",Data!$I:$I,"")</f>
        <v>110000</v>
      </c>
      <c r="J19" s="10">
        <f>SUMIFS(Data!$L:$L,Data!$B:$B,"efawateercom",Data!$K:$K,"native",Data!$J:$J,RIGHT(J$3,4)&amp;"-"&amp;LEFT(J$3,2),Data!$F:$F,"Number of Transactions",Data!$H:$H,"Gas And Energy",Data!$I:$I,"")</f>
        <v>110000</v>
      </c>
    </row>
    <row r="20" spans="1:10" ht="15" customHeight="1" x14ac:dyDescent="0.25">
      <c r="A20" s="22" t="s">
        <v>982</v>
      </c>
      <c r="B20" s="22"/>
      <c r="C20" s="22"/>
      <c r="D20" s="22"/>
      <c r="E20" s="22"/>
      <c r="F20" s="22"/>
      <c r="G20" s="22"/>
      <c r="H20" s="22"/>
      <c r="I20" s="22"/>
      <c r="J20" s="22"/>
    </row>
    <row r="21" spans="1:10" ht="15" customHeight="1" x14ac:dyDescent="0.25">
      <c r="A21" s="9" t="s">
        <v>1027</v>
      </c>
      <c r="B21" s="9" t="s">
        <v>630</v>
      </c>
      <c r="C21" s="10">
        <f>SUMIFS(Data!$L:$L,Data!$B:$B,"efawateercom",Data!$K:$K,"native",Data!$J:$J,RIGHT(C$3,4)&amp;"-"&amp;LEFT(C$3,2),Data!$F:$F,"Number of Transactions",Data!$H:$H,"Digital",Data!$I:$I,"")</f>
        <v>13800000</v>
      </c>
      <c r="D21" s="10">
        <f>SUMIFS(Data!$L:$L,Data!$B:$B,"efawateercom",Data!$K:$K,"native",Data!$J:$J,RIGHT(D$3,4)&amp;"-"&amp;LEFT(D$3,2),Data!$F:$F,"Number of Transactions",Data!$H:$H,"Digital",Data!$I:$I,"")</f>
        <v>14000000</v>
      </c>
      <c r="E21" s="10">
        <f>SUMIFS(Data!$L:$L,Data!$B:$B,"efawateercom",Data!$K:$K,"native",Data!$J:$J,RIGHT(E$3,4)&amp;"-"&amp;LEFT(E$3,2),Data!$F:$F,"Number of Transactions",Data!$H:$H,"Digital",Data!$I:$I,"")</f>
        <v>13800000</v>
      </c>
      <c r="F21" s="10">
        <f>SUMIFS(Data!$L:$L,Data!$B:$B,"efawateercom",Data!$K:$K,"native",Data!$J:$J,RIGHT(F$3,4)&amp;"-"&amp;LEFT(F$3,2),Data!$F:$F,"Number of Transactions",Data!$H:$H,"Digital",Data!$I:$I,"")</f>
        <v>15200000</v>
      </c>
      <c r="G21" s="10">
        <f>SUMIFS(Data!$L:$L,Data!$B:$B,"efawateercom",Data!$K:$K,"native",Data!$J:$J,RIGHT(G$3,4)&amp;"-"&amp;LEFT(G$3,2),Data!$F:$F,"Number of Transactions",Data!$H:$H,"Digital",Data!$I:$I,"")</f>
        <v>16000000</v>
      </c>
      <c r="H21" s="10">
        <f>SUMIFS(Data!$L:$L,Data!$B:$B,"efawateercom",Data!$K:$K,"native",Data!$J:$J,RIGHT(H$3,4)&amp;"-"&amp;LEFT(H$3,2),Data!$F:$F,"Number of Transactions",Data!$H:$H,"Digital",Data!$I:$I,"")</f>
        <v>16000000</v>
      </c>
      <c r="I21" s="10">
        <f>SUMIFS(Data!$L:$L,Data!$B:$B,"efawateercom",Data!$K:$K,"native",Data!$J:$J,RIGHT(I$3,4)&amp;"-"&amp;LEFT(I$3,2),Data!$F:$F,"Number of Transactions",Data!$H:$H,"Digital",Data!$I:$I,"")</f>
        <v>16700000</v>
      </c>
      <c r="J21" s="10">
        <f>SUMIFS(Data!$L:$L,Data!$B:$B,"efawateercom",Data!$K:$K,"native",Data!$J:$J,RIGHT(J$3,4)&amp;"-"&amp;LEFT(J$3,2),Data!$F:$F,"Number of Transactions",Data!$H:$H,"Digital",Data!$I:$I,"")</f>
        <v>16900000</v>
      </c>
    </row>
    <row r="22" spans="1:10" ht="15" customHeight="1" x14ac:dyDescent="0.25">
      <c r="A22" s="9" t="s">
        <v>1027</v>
      </c>
      <c r="B22" s="9" t="s">
        <v>983</v>
      </c>
      <c r="C22" s="11">
        <f t="shared" ref="C22:J22" si="0">C$21/C$7</f>
        <v>0.79173838209982783</v>
      </c>
      <c r="D22" s="11">
        <f t="shared" si="0"/>
        <v>0.79500283929585458</v>
      </c>
      <c r="E22" s="11">
        <f t="shared" si="0"/>
        <v>0.80748976009362206</v>
      </c>
      <c r="F22" s="11">
        <f t="shared" si="0"/>
        <v>0.82519001085776333</v>
      </c>
      <c r="G22" s="11">
        <f t="shared" si="0"/>
        <v>0.81342145399084897</v>
      </c>
      <c r="H22" s="11">
        <f t="shared" si="0"/>
        <v>0.79051383399209485</v>
      </c>
      <c r="I22" s="11">
        <f t="shared" si="0"/>
        <v>0.81582804103566198</v>
      </c>
      <c r="J22" s="11">
        <f t="shared" si="0"/>
        <v>0.8235867446393762</v>
      </c>
    </row>
    <row r="23" spans="1:10" ht="15" customHeight="1" x14ac:dyDescent="0.25">
      <c r="A23" s="9" t="s">
        <v>1027</v>
      </c>
      <c r="B23" s="9" t="s">
        <v>628</v>
      </c>
      <c r="C23" s="10">
        <f>SUMIFS(Data!$L:$L,Data!$B:$B,"efawateercom",Data!$K:$K,"native",Data!$J:$J,RIGHT(C$3,4)&amp;"-"&amp;LEFT(C$3,2),Data!$F:$F,"Number of Transactions",Data!$H:$H,"Cash",Data!$I:$I,"")</f>
        <v>3700000</v>
      </c>
      <c r="D23" s="10">
        <f>SUMIFS(Data!$L:$L,Data!$B:$B,"efawateercom",Data!$K:$K,"native",Data!$J:$J,RIGHT(D$3,4)&amp;"-"&amp;LEFT(D$3,2),Data!$F:$F,"Number of Transactions",Data!$H:$H,"Cash",Data!$I:$I,"")</f>
        <v>3600000</v>
      </c>
      <c r="E23" s="10">
        <f>SUMIFS(Data!$L:$L,Data!$B:$B,"efawateercom",Data!$K:$K,"native",Data!$J:$J,RIGHT(E$3,4)&amp;"-"&amp;LEFT(E$3,2),Data!$F:$F,"Number of Transactions",Data!$H:$H,"Cash",Data!$I:$I,"")</f>
        <v>3300000</v>
      </c>
      <c r="F23" s="10">
        <f>SUMIFS(Data!$L:$L,Data!$B:$B,"efawateercom",Data!$K:$K,"native",Data!$J:$J,RIGHT(F$3,4)&amp;"-"&amp;LEFT(F$3,2),Data!$F:$F,"Number of Transactions",Data!$H:$H,"Cash",Data!$I:$I,"")</f>
        <v>3200000</v>
      </c>
      <c r="G23" s="10">
        <f>SUMIFS(Data!$L:$L,Data!$B:$B,"efawateercom",Data!$K:$K,"native",Data!$J:$J,RIGHT(G$3,4)&amp;"-"&amp;LEFT(G$3,2),Data!$F:$F,"Number of Transactions",Data!$H:$H,"Cash",Data!$I:$I,"")</f>
        <v>3600000</v>
      </c>
      <c r="H23" s="10">
        <f>SUMIFS(Data!$L:$L,Data!$B:$B,"efawateercom",Data!$K:$K,"native",Data!$J:$J,RIGHT(H$3,4)&amp;"-"&amp;LEFT(H$3,2),Data!$F:$F,"Number of Transactions",Data!$H:$H,"Cash",Data!$I:$I,"")</f>
        <v>4000000</v>
      </c>
      <c r="I23" s="10">
        <f>SUMIFS(Data!$L:$L,Data!$B:$B,"efawateercom",Data!$K:$K,"native",Data!$J:$J,RIGHT(I$3,4)&amp;"-"&amp;LEFT(I$3,2),Data!$F:$F,"Number of Transactions",Data!$H:$H,"Cash",Data!$I:$I,"")</f>
        <v>3700000</v>
      </c>
      <c r="J23" s="10">
        <f>SUMIFS(Data!$L:$L,Data!$B:$B,"efawateercom",Data!$K:$K,"native",Data!$J:$J,RIGHT(J$3,4)&amp;"-"&amp;LEFT(J$3,2),Data!$F:$F,"Number of Transactions",Data!$H:$H,"Cash",Data!$I:$I,"")</f>
        <v>3600000</v>
      </c>
    </row>
    <row r="24" spans="1:10" ht="15" customHeight="1" x14ac:dyDescent="0.25">
      <c r="A24" s="9" t="s">
        <v>1027</v>
      </c>
      <c r="B24" s="9" t="s">
        <v>984</v>
      </c>
      <c r="C24" s="11">
        <f t="shared" ref="C24:J24" si="1">C$23/C$7</f>
        <v>0.21227768215720022</v>
      </c>
      <c r="D24" s="11">
        <f t="shared" si="1"/>
        <v>0.20442930153321975</v>
      </c>
      <c r="E24" s="11">
        <f t="shared" si="1"/>
        <v>0.1930953774136922</v>
      </c>
      <c r="F24" s="11">
        <f t="shared" si="1"/>
        <v>0.17372421281216069</v>
      </c>
      <c r="G24" s="11">
        <f t="shared" si="1"/>
        <v>0.18301982714794102</v>
      </c>
      <c r="H24" s="11">
        <f t="shared" si="1"/>
        <v>0.19762845849802371</v>
      </c>
      <c r="I24" s="11">
        <f t="shared" si="1"/>
        <v>0.18075232046897899</v>
      </c>
      <c r="J24" s="11">
        <f t="shared" si="1"/>
        <v>0.17543859649122806</v>
      </c>
    </row>
    <row r="25" spans="1:10" ht="15" customHeight="1" x14ac:dyDescent="0.25">
      <c r="A25" s="22" t="s">
        <v>985</v>
      </c>
      <c r="B25" s="22"/>
      <c r="C25" s="22"/>
      <c r="D25" s="22"/>
      <c r="E25" s="22"/>
      <c r="F25" s="22"/>
      <c r="G25" s="22"/>
      <c r="H25" s="22"/>
      <c r="I25" s="22"/>
      <c r="J25" s="22"/>
    </row>
    <row r="26" spans="1:10" ht="15" customHeight="1" x14ac:dyDescent="0.25">
      <c r="A26" s="9" t="s">
        <v>986</v>
      </c>
      <c r="B26" s="9" t="s">
        <v>987</v>
      </c>
      <c r="C26" s="10">
        <f>SUMIFS(Data!$L:$L,Data!$B:$B,"efawateercom",Data!$K:$K,"native",Data!$J:$J,RIGHT(C$3,4)&amp;"-"&amp;LEFT(C$3,2),Data!$F:$F,"Value of Transactions",Data!$H:$H,"Digital",Data!$I:$I,"")</f>
        <v>2800000000</v>
      </c>
      <c r="D26" s="10">
        <f>SUMIFS(Data!$L:$L,Data!$B:$B,"efawateercom",Data!$K:$K,"native",Data!$J:$J,RIGHT(D$3,4)&amp;"-"&amp;LEFT(D$3,2),Data!$F:$F,"Value of Transactions",Data!$H:$H,"Digital",Data!$I:$I,"")</f>
        <v>2800000000</v>
      </c>
      <c r="E26" s="10">
        <f>SUMIFS(Data!$L:$L,Data!$B:$B,"efawateercom",Data!$K:$K,"native",Data!$J:$J,RIGHT(E$3,4)&amp;"-"&amp;LEFT(E$3,2),Data!$F:$F,"Value of Transactions",Data!$H:$H,"Digital",Data!$I:$I,"")</f>
        <v>2900000000</v>
      </c>
      <c r="F26" s="10">
        <f>SUMIFS(Data!$L:$L,Data!$B:$B,"efawateercom",Data!$K:$K,"native",Data!$J:$J,RIGHT(F$3,4)&amp;"-"&amp;LEFT(F$3,2),Data!$F:$F,"Value of Transactions",Data!$H:$H,"Digital",Data!$I:$I,"")</f>
        <v>3100000000</v>
      </c>
      <c r="G26" s="10">
        <f>SUMIFS(Data!$L:$L,Data!$B:$B,"efawateercom",Data!$K:$K,"native",Data!$J:$J,RIGHT(G$3,4)&amp;"-"&amp;LEFT(G$3,2),Data!$F:$F,"Value of Transactions",Data!$H:$H,"Digital",Data!$I:$I,"")</f>
        <v>3200000000</v>
      </c>
      <c r="H26" s="10">
        <f>SUMIFS(Data!$L:$L,Data!$B:$B,"efawateercom",Data!$K:$K,"native",Data!$J:$J,RIGHT(H$3,4)&amp;"-"&amp;LEFT(H$3,2),Data!$F:$F,"Value of Transactions",Data!$H:$H,"Digital",Data!$I:$I,"")</f>
        <v>3300000000</v>
      </c>
      <c r="I26" s="10">
        <f>SUMIFS(Data!$L:$L,Data!$B:$B,"efawateercom",Data!$K:$K,"native",Data!$J:$J,RIGHT(I$3,4)&amp;"-"&amp;LEFT(I$3,2),Data!$F:$F,"Value of Transactions",Data!$H:$H,"Digital",Data!$I:$I,"")</f>
        <v>3300000000</v>
      </c>
      <c r="J26" s="10">
        <f>SUMIFS(Data!$L:$L,Data!$B:$B,"efawateercom",Data!$K:$K,"native",Data!$J:$J,RIGHT(J$3,4)&amp;"-"&amp;LEFT(J$3,2),Data!$F:$F,"Value of Transactions",Data!$H:$H,"Digital",Data!$I:$I,"")</f>
        <v>3400000000</v>
      </c>
    </row>
    <row r="27" spans="1:10" ht="15" customHeight="1" x14ac:dyDescent="0.25">
      <c r="A27" s="9" t="s">
        <v>986</v>
      </c>
      <c r="B27" s="9" t="s">
        <v>983</v>
      </c>
      <c r="C27" s="11">
        <f t="shared" ref="C27:J27" si="2">C$26/C$8</f>
        <v>0.79545454545454541</v>
      </c>
      <c r="D27" s="11">
        <f t="shared" si="2"/>
        <v>0.81871345029239762</v>
      </c>
      <c r="E27" s="11">
        <f t="shared" si="2"/>
        <v>0.7901907356948229</v>
      </c>
      <c r="F27" s="11">
        <f t="shared" si="2"/>
        <v>0.80939947780678856</v>
      </c>
      <c r="G27" s="11">
        <f t="shared" si="2"/>
        <v>0.78624078624078619</v>
      </c>
      <c r="H27" s="11">
        <f t="shared" si="2"/>
        <v>0.74660633484162897</v>
      </c>
      <c r="I27" s="11">
        <f t="shared" si="2"/>
        <v>0.84832904884318761</v>
      </c>
      <c r="J27" s="11">
        <f t="shared" si="2"/>
        <v>0.87403598971722363</v>
      </c>
    </row>
    <row r="28" spans="1:10" ht="15" customHeight="1" x14ac:dyDescent="0.25">
      <c r="A28" s="9" t="s">
        <v>986</v>
      </c>
      <c r="B28" s="9" t="s">
        <v>988</v>
      </c>
      <c r="C28" s="10">
        <f>SUMIFS(Data!$L:$L,Data!$B:$B,"efawateercom",Data!$K:$K,"native",Data!$J:$J,RIGHT(C$3,4)&amp;"-"&amp;LEFT(C$3,2),Data!$F:$F,"Value of Transactions",Data!$H:$H,"Cash",Data!$I:$I,"")</f>
        <v>709000000</v>
      </c>
      <c r="D28" s="10">
        <f>SUMIFS(Data!$L:$L,Data!$B:$B,"efawateercom",Data!$K:$K,"native",Data!$J:$J,RIGHT(D$3,4)&amp;"-"&amp;LEFT(D$3,2),Data!$F:$F,"Value of Transactions",Data!$H:$H,"Cash",Data!$I:$I,"")</f>
        <v>655000000</v>
      </c>
      <c r="E28" s="10">
        <f>SUMIFS(Data!$L:$L,Data!$B:$B,"efawateercom",Data!$K:$K,"native",Data!$J:$J,RIGHT(E$3,4)&amp;"-"&amp;LEFT(E$3,2),Data!$F:$F,"Value of Transactions",Data!$H:$H,"Cash",Data!$I:$I,"")</f>
        <v>772000000</v>
      </c>
      <c r="F28" s="10">
        <f>SUMIFS(Data!$L:$L,Data!$B:$B,"efawateercom",Data!$K:$K,"native",Data!$J:$J,RIGHT(F$3,4)&amp;"-"&amp;LEFT(F$3,2),Data!$F:$F,"Value of Transactions",Data!$H:$H,"Cash",Data!$I:$I,"")</f>
        <v>747000000</v>
      </c>
      <c r="G28" s="10">
        <f>SUMIFS(Data!$L:$L,Data!$B:$B,"efawateercom",Data!$K:$K,"native",Data!$J:$J,RIGHT(G$3,4)&amp;"-"&amp;LEFT(G$3,2),Data!$F:$F,"Value of Transactions",Data!$H:$H,"Cash",Data!$I:$I,"")</f>
        <v>875000000</v>
      </c>
      <c r="H28" s="10">
        <f>SUMIFS(Data!$L:$L,Data!$B:$B,"efawateercom",Data!$K:$K,"native",Data!$J:$J,RIGHT(H$3,4)&amp;"-"&amp;LEFT(H$3,2),Data!$F:$F,"Value of Transactions",Data!$H:$H,"Cash",Data!$I:$I,"")</f>
        <v>1100000000</v>
      </c>
      <c r="I28" s="10">
        <f>SUMIFS(Data!$L:$L,Data!$B:$B,"efawateercom",Data!$K:$K,"native",Data!$J:$J,RIGHT(I$3,4)&amp;"-"&amp;LEFT(I$3,2),Data!$F:$F,"Value of Transactions",Data!$H:$H,"Cash",Data!$I:$I,"")</f>
        <v>568000000</v>
      </c>
      <c r="J28" s="10">
        <f>SUMIFS(Data!$L:$L,Data!$B:$B,"efawateercom",Data!$K:$K,"native",Data!$J:$J,RIGHT(J$3,4)&amp;"-"&amp;LEFT(J$3,2),Data!$F:$F,"Value of Transactions",Data!$H:$H,"Cash",Data!$I:$I,"")</f>
        <v>459000000</v>
      </c>
    </row>
    <row r="29" spans="1:10" ht="15" customHeight="1" x14ac:dyDescent="0.25">
      <c r="A29" s="9" t="s">
        <v>986</v>
      </c>
      <c r="B29" s="9" t="s">
        <v>984</v>
      </c>
      <c r="C29" s="11">
        <f t="shared" ref="C29:J29" si="3">C$28/C$8</f>
        <v>0.20142045454545454</v>
      </c>
      <c r="D29" s="11">
        <f t="shared" si="3"/>
        <v>0.19152046783625731</v>
      </c>
      <c r="E29" s="11">
        <f t="shared" si="3"/>
        <v>0.2103542234332425</v>
      </c>
      <c r="F29" s="11">
        <f t="shared" si="3"/>
        <v>0.19503916449086162</v>
      </c>
      <c r="G29" s="11">
        <f t="shared" si="3"/>
        <v>0.21498771498771499</v>
      </c>
      <c r="H29" s="11">
        <f t="shared" si="3"/>
        <v>0.24886877828054299</v>
      </c>
      <c r="I29" s="11">
        <f t="shared" si="3"/>
        <v>0.14601542416452443</v>
      </c>
      <c r="J29" s="11">
        <f t="shared" si="3"/>
        <v>0.1179948586118252</v>
      </c>
    </row>
    <row r="30" spans="1:10" ht="15" customHeight="1" x14ac:dyDescent="0.25">
      <c r="A30" s="22" t="s">
        <v>1036</v>
      </c>
      <c r="B30" s="22"/>
      <c r="C30" s="22"/>
      <c r="D30" s="22"/>
      <c r="E30" s="22"/>
      <c r="F30" s="22"/>
      <c r="G30" s="22"/>
      <c r="H30" s="22"/>
      <c r="I30" s="22"/>
      <c r="J30" s="22"/>
    </row>
    <row r="31" spans="1:10" ht="15" customHeight="1" x14ac:dyDescent="0.25">
      <c r="A31" s="9" t="s">
        <v>1037</v>
      </c>
      <c r="B31" s="9" t="s">
        <v>640</v>
      </c>
      <c r="C31" s="10">
        <f>SUMIFS(Data!$L:$L,Data!$B:$B,"efawateercom",Data!$K:$K,"native",Data!$J:$J,RIGHT(C$3,4)&amp;"-"&amp;LEFT(C$3,2),Data!$F:$F,"Value of Transactions",Data!$H:$H,"Telecommunication",Data!$I:$I,"")</f>
        <v>90600000</v>
      </c>
      <c r="D31" s="10">
        <f>SUMIFS(Data!$L:$L,Data!$B:$B,"efawateercom",Data!$K:$K,"native",Data!$J:$J,RIGHT(D$3,4)&amp;"-"&amp;LEFT(D$3,2),Data!$F:$F,"Value of Transactions",Data!$H:$H,"Telecommunication",Data!$I:$I,"")</f>
        <v>92500000</v>
      </c>
      <c r="E31" s="10">
        <f>SUMIFS(Data!$L:$L,Data!$B:$B,"efawateercom",Data!$K:$K,"native",Data!$J:$J,RIGHT(E$3,4)&amp;"-"&amp;LEFT(E$3,2),Data!$F:$F,"Value of Transactions",Data!$H:$H,"Telecommunication",Data!$I:$I,"")</f>
        <v>90100000</v>
      </c>
      <c r="F31" s="10">
        <f>SUMIFS(Data!$L:$L,Data!$B:$B,"efawateercom",Data!$K:$K,"native",Data!$J:$J,RIGHT(F$3,4)&amp;"-"&amp;LEFT(F$3,2),Data!$F:$F,"Value of Transactions",Data!$H:$H,"Telecommunication",Data!$I:$I,"")</f>
        <v>100400000</v>
      </c>
      <c r="G31" s="10">
        <f>SUMIFS(Data!$L:$L,Data!$B:$B,"efawateercom",Data!$K:$K,"native",Data!$J:$J,RIGHT(G$3,4)&amp;"-"&amp;LEFT(G$3,2),Data!$F:$F,"Value of Transactions",Data!$H:$H,"Telecommunication",Data!$I:$I,"")</f>
        <v>100300000</v>
      </c>
      <c r="H31" s="10">
        <f>SUMIFS(Data!$L:$L,Data!$B:$B,"efawateercom",Data!$K:$K,"native",Data!$J:$J,RIGHT(H$3,4)&amp;"-"&amp;LEFT(H$3,2),Data!$F:$F,"Value of Transactions",Data!$H:$H,"Telecommunication",Data!$I:$I,"")</f>
        <v>103400000</v>
      </c>
      <c r="I31" s="10">
        <f>SUMIFS(Data!$L:$L,Data!$B:$B,"efawateercom",Data!$K:$K,"native",Data!$J:$J,RIGHT(I$3,4)&amp;"-"&amp;LEFT(I$3,2),Data!$F:$F,"Value of Transactions",Data!$H:$H,"Telecommunication",Data!$I:$I,"")</f>
        <v>103600000</v>
      </c>
      <c r="J31" s="10">
        <f>SUMIFS(Data!$L:$L,Data!$B:$B,"efawateercom",Data!$K:$K,"native",Data!$J:$J,RIGHT(J$3,4)&amp;"-"&amp;LEFT(J$3,2),Data!$F:$F,"Value of Transactions",Data!$H:$H,"Telecommunication",Data!$I:$I,"")</f>
        <v>106800000</v>
      </c>
    </row>
    <row r="32" spans="1:10" ht="15" customHeight="1" x14ac:dyDescent="0.25">
      <c r="A32" s="9" t="s">
        <v>1037</v>
      </c>
      <c r="B32" s="9" t="s">
        <v>647</v>
      </c>
      <c r="C32" s="10">
        <f>SUMIFS(Data!$L:$L,Data!$B:$B,"efawateercom",Data!$K:$K,"native",Data!$J:$J,RIGHT(C$3,4)&amp;"-"&amp;LEFT(C$3,2),Data!$F:$F,"Value of Transactions",Data!$H:$H,"Water and Electricity",Data!$I:$I,"")</f>
        <v>222200000</v>
      </c>
      <c r="D32" s="10">
        <f>SUMIFS(Data!$L:$L,Data!$B:$B,"efawateercom",Data!$K:$K,"native",Data!$J:$J,RIGHT(D$3,4)&amp;"-"&amp;LEFT(D$3,2),Data!$F:$F,"Value of Transactions",Data!$H:$H,"Water and Electricity",Data!$I:$I,"")</f>
        <v>201600000</v>
      </c>
      <c r="E32" s="10">
        <f>SUMIFS(Data!$L:$L,Data!$B:$B,"efawateercom",Data!$K:$K,"native",Data!$J:$J,RIGHT(E$3,4)&amp;"-"&amp;LEFT(E$3,2),Data!$F:$F,"Value of Transactions",Data!$H:$H,"Water and Electricity",Data!$I:$I,"")</f>
        <v>203900000</v>
      </c>
      <c r="F32" s="10">
        <f>SUMIFS(Data!$L:$L,Data!$B:$B,"efawateercom",Data!$K:$K,"native",Data!$J:$J,RIGHT(F$3,4)&amp;"-"&amp;LEFT(F$3,2),Data!$F:$F,"Value of Transactions",Data!$H:$H,"Water and Electricity",Data!$I:$I,"")</f>
        <v>207800000</v>
      </c>
      <c r="G32" s="10">
        <f>SUMIFS(Data!$L:$L,Data!$B:$B,"efawateercom",Data!$K:$K,"native",Data!$J:$J,RIGHT(G$3,4)&amp;"-"&amp;LEFT(G$3,2),Data!$F:$F,"Value of Transactions",Data!$H:$H,"Water and Electricity",Data!$I:$I,"")</f>
        <v>261300000</v>
      </c>
      <c r="H32" s="10">
        <f>SUMIFS(Data!$L:$L,Data!$B:$B,"efawateercom",Data!$K:$K,"native",Data!$J:$J,RIGHT(H$3,4)&amp;"-"&amp;LEFT(H$3,2),Data!$F:$F,"Value of Transactions",Data!$H:$H,"Water and Electricity",Data!$I:$I,"")</f>
        <v>231000000</v>
      </c>
      <c r="I32" s="10">
        <f>SUMIFS(Data!$L:$L,Data!$B:$B,"efawateercom",Data!$K:$K,"native",Data!$J:$J,RIGHT(I$3,4)&amp;"-"&amp;LEFT(I$3,2),Data!$F:$F,"Value of Transactions",Data!$H:$H,"Water and Electricity",Data!$I:$I,"")</f>
        <v>249300000</v>
      </c>
      <c r="J32" s="10">
        <f>SUMIFS(Data!$L:$L,Data!$B:$B,"efawateercom",Data!$K:$K,"native",Data!$J:$J,RIGHT(J$3,4)&amp;"-"&amp;LEFT(J$3,2),Data!$F:$F,"Value of Transactions",Data!$H:$H,"Water and Electricity",Data!$I:$I,"")</f>
        <v>233000000</v>
      </c>
    </row>
    <row r="33" spans="1:10" ht="15" customHeight="1" x14ac:dyDescent="0.25">
      <c r="A33" s="9" t="s">
        <v>1037</v>
      </c>
      <c r="B33" s="9" t="s">
        <v>638</v>
      </c>
      <c r="C33" s="10">
        <f>SUMIFS(Data!$L:$L,Data!$B:$B,"efawateercom",Data!$K:$K,"native",Data!$J:$J,RIGHT(C$3,4)&amp;"-"&amp;LEFT(C$3,2),Data!$F:$F,"Value of Transactions",Data!$H:$H,"Government Service",Data!$I:$I,"")</f>
        <v>2146400000</v>
      </c>
      <c r="D33" s="10">
        <f>SUMIFS(Data!$L:$L,Data!$B:$B,"efawateercom",Data!$K:$K,"native",Data!$J:$J,RIGHT(D$3,4)&amp;"-"&amp;LEFT(D$3,2),Data!$F:$F,"Value of Transactions",Data!$H:$H,"Government Service",Data!$I:$I,"")</f>
        <v>2093100000</v>
      </c>
      <c r="E33" s="10">
        <f>SUMIFS(Data!$L:$L,Data!$B:$B,"efawateercom",Data!$K:$K,"native",Data!$J:$J,RIGHT(E$3,4)&amp;"-"&amp;LEFT(E$3,2),Data!$F:$F,"Value of Transactions",Data!$H:$H,"Government Service",Data!$I:$I,"")</f>
        <v>2200000000</v>
      </c>
      <c r="F33" s="10">
        <f>SUMIFS(Data!$L:$L,Data!$B:$B,"efawateercom",Data!$K:$K,"native",Data!$J:$J,RIGHT(F$3,4)&amp;"-"&amp;LEFT(F$3,2),Data!$F:$F,"Value of Transactions",Data!$H:$H,"Government Service",Data!$I:$I,"")</f>
        <v>2400000000</v>
      </c>
      <c r="G33" s="10">
        <f>SUMIFS(Data!$L:$L,Data!$B:$B,"efawateercom",Data!$K:$K,"native",Data!$J:$J,RIGHT(G$3,4)&amp;"-"&amp;LEFT(G$3,2),Data!$F:$F,"Value of Transactions",Data!$H:$H,"Government Service",Data!$I:$I,"")</f>
        <v>2300000000</v>
      </c>
      <c r="H33" s="10">
        <f>SUMIFS(Data!$L:$L,Data!$B:$B,"efawateercom",Data!$K:$K,"native",Data!$J:$J,RIGHT(H$3,4)&amp;"-"&amp;LEFT(H$3,2),Data!$F:$F,"Value of Transactions",Data!$H:$H,"Government Service",Data!$I:$I,"")</f>
        <v>2500000000</v>
      </c>
      <c r="I33" s="10">
        <f>SUMIFS(Data!$L:$L,Data!$B:$B,"efawateercom",Data!$K:$K,"native",Data!$J:$J,RIGHT(I$3,4)&amp;"-"&amp;LEFT(I$3,2),Data!$F:$F,"Value of Transactions",Data!$H:$H,"Government Service",Data!$I:$I,"")</f>
        <v>2500000000</v>
      </c>
      <c r="J33" s="10">
        <f>SUMIFS(Data!$L:$L,Data!$B:$B,"efawateercom",Data!$K:$K,"native",Data!$J:$J,RIGHT(J$3,4)&amp;"-"&amp;LEFT(J$3,2),Data!$F:$F,"Value of Transactions",Data!$H:$H,"Government Service",Data!$I:$I,"")</f>
        <v>2600000000</v>
      </c>
    </row>
    <row r="34" spans="1:10" ht="15" customHeight="1" x14ac:dyDescent="0.25">
      <c r="A34" s="9" t="s">
        <v>1037</v>
      </c>
      <c r="B34" s="9" t="s">
        <v>645</v>
      </c>
      <c r="C34" s="10">
        <f>SUMIFS(Data!$L:$L,Data!$B:$B,"efawateercom",Data!$K:$K,"native",Data!$J:$J,RIGHT(C$3,4)&amp;"-"&amp;LEFT(C$3,2),Data!$F:$F,"Value of Transactions",Data!$H:$H,"Wallets and PSPs",Data!$I:$I,"")</f>
        <v>635400000</v>
      </c>
      <c r="D34" s="10">
        <f>SUMIFS(Data!$L:$L,Data!$B:$B,"efawateercom",Data!$K:$K,"native",Data!$J:$J,RIGHT(D$3,4)&amp;"-"&amp;LEFT(D$3,2),Data!$F:$F,"Value of Transactions",Data!$H:$H,"Wallets and PSPs",Data!$I:$I,"")</f>
        <v>646900000</v>
      </c>
      <c r="E34" s="10">
        <f>SUMIFS(Data!$L:$L,Data!$B:$B,"efawateercom",Data!$K:$K,"native",Data!$J:$J,RIGHT(E$3,4)&amp;"-"&amp;LEFT(E$3,2),Data!$F:$F,"Value of Transactions",Data!$H:$H,"Wallets and PSPs",Data!$I:$I,"")</f>
        <v>735500000</v>
      </c>
      <c r="F34" s="10">
        <f>SUMIFS(Data!$L:$L,Data!$B:$B,"efawateercom",Data!$K:$K,"native",Data!$J:$J,RIGHT(F$3,4)&amp;"-"&amp;LEFT(F$3,2),Data!$F:$F,"Value of Transactions",Data!$H:$H,"Wallets and PSPs",Data!$I:$I,"")</f>
        <v>738900000</v>
      </c>
      <c r="G34" s="10">
        <f>SUMIFS(Data!$L:$L,Data!$B:$B,"efawateercom",Data!$K:$K,"native",Data!$J:$J,RIGHT(G$3,4)&amp;"-"&amp;LEFT(G$3,2),Data!$F:$F,"Value of Transactions",Data!$H:$H,"Wallets and PSPs",Data!$I:$I,"")</f>
        <v>871300000</v>
      </c>
      <c r="H34" s="10">
        <f>SUMIFS(Data!$L:$L,Data!$B:$B,"efawateercom",Data!$K:$K,"native",Data!$J:$J,RIGHT(H$3,4)&amp;"-"&amp;LEFT(H$3,2),Data!$F:$F,"Value of Transactions",Data!$H:$H,"Wallets and PSPs",Data!$I:$I,"")</f>
        <v>1100000000</v>
      </c>
      <c r="I34" s="10">
        <f>SUMIFS(Data!$L:$L,Data!$B:$B,"efawateercom",Data!$K:$K,"native",Data!$J:$J,RIGHT(I$3,4)&amp;"-"&amp;LEFT(I$3,2),Data!$F:$F,"Value of Transactions",Data!$H:$H,"Wallets and PSPs",Data!$I:$I,"")</f>
        <v>566400000</v>
      </c>
      <c r="J34" s="10">
        <f>SUMIFS(Data!$L:$L,Data!$B:$B,"efawateercom",Data!$K:$K,"native",Data!$J:$J,RIGHT(J$3,4)&amp;"-"&amp;LEFT(J$3,2),Data!$F:$F,"Value of Transactions",Data!$H:$H,"Wallets and PSPs",Data!$I:$I,"")</f>
        <v>485600000</v>
      </c>
    </row>
    <row r="35" spans="1:10" ht="15" customHeight="1" x14ac:dyDescent="0.25">
      <c r="A35" s="9" t="s">
        <v>1037</v>
      </c>
      <c r="B35" s="9" t="s">
        <v>634</v>
      </c>
      <c r="C35" s="10">
        <f>SUMIFS(Data!$L:$L,Data!$B:$B,"efawateercom",Data!$K:$K,"native",Data!$J:$J,RIGHT(C$3,4)&amp;"-"&amp;LEFT(C$3,2),Data!$F:$F,"Value of Transactions",Data!$H:$H,"Financial Services",Data!$I:$I,"")</f>
        <v>126400000</v>
      </c>
      <c r="D35" s="10">
        <f>SUMIFS(Data!$L:$L,Data!$B:$B,"efawateercom",Data!$K:$K,"native",Data!$J:$J,RIGHT(D$3,4)&amp;"-"&amp;LEFT(D$3,2),Data!$F:$F,"Value of Transactions",Data!$H:$H,"Financial Services",Data!$I:$I,"")</f>
        <v>135100000</v>
      </c>
      <c r="E35" s="10">
        <f>SUMIFS(Data!$L:$L,Data!$B:$B,"efawateercom",Data!$K:$K,"native",Data!$J:$J,RIGHT(E$3,4)&amp;"-"&amp;LEFT(E$3,2),Data!$F:$F,"Value of Transactions",Data!$H:$H,"Financial Services",Data!$I:$I,"")</f>
        <v>129100000</v>
      </c>
      <c r="F35" s="10">
        <f>SUMIFS(Data!$L:$L,Data!$B:$B,"efawateercom",Data!$K:$K,"native",Data!$J:$J,RIGHT(F$3,4)&amp;"-"&amp;LEFT(F$3,2),Data!$F:$F,"Value of Transactions",Data!$H:$H,"Financial Services",Data!$I:$I,"")</f>
        <v>143600000</v>
      </c>
      <c r="G35" s="10">
        <f>SUMIFS(Data!$L:$L,Data!$B:$B,"efawateercom",Data!$K:$K,"native",Data!$J:$J,RIGHT(G$3,4)&amp;"-"&amp;LEFT(G$3,2),Data!$F:$F,"Value of Transactions",Data!$H:$H,"Financial Services",Data!$I:$I,"")</f>
        <v>143800000</v>
      </c>
      <c r="H35" s="10">
        <f>SUMIFS(Data!$L:$L,Data!$B:$B,"efawateercom",Data!$K:$K,"native",Data!$J:$J,RIGHT(H$3,4)&amp;"-"&amp;LEFT(H$3,2),Data!$F:$F,"Value of Transactions",Data!$H:$H,"Financial Services",Data!$I:$I,"")</f>
        <v>169600000</v>
      </c>
      <c r="I35" s="10">
        <f>SUMIFS(Data!$L:$L,Data!$B:$B,"efawateercom",Data!$K:$K,"native",Data!$J:$J,RIGHT(I$3,4)&amp;"-"&amp;LEFT(I$3,2),Data!$F:$F,"Value of Transactions",Data!$H:$H,"Financial Services",Data!$I:$I,"")</f>
        <v>187200000</v>
      </c>
      <c r="J35" s="10">
        <f>SUMIFS(Data!$L:$L,Data!$B:$B,"efawateercom",Data!$K:$K,"native",Data!$J:$J,RIGHT(J$3,4)&amp;"-"&amp;LEFT(J$3,2),Data!$F:$F,"Value of Transactions",Data!$H:$H,"Financial Services",Data!$I:$I,"")</f>
        <v>189400000</v>
      </c>
    </row>
    <row r="36" spans="1:10" ht="15" customHeight="1" x14ac:dyDescent="0.25">
      <c r="A36" s="9" t="s">
        <v>1037</v>
      </c>
      <c r="B36" s="9" t="s">
        <v>632</v>
      </c>
      <c r="C36" s="10">
        <f>SUMIFS(Data!$L:$L,Data!$B:$B,"efawateercom",Data!$K:$K,"native",Data!$J:$J,RIGHT(C$3,4)&amp;"-"&amp;LEFT(C$3,2),Data!$F:$F,"Value of Transactions",Data!$H:$H,"Education",Data!$I:$I,"")</f>
        <v>139700000</v>
      </c>
      <c r="D36" s="10">
        <f>SUMIFS(Data!$L:$L,Data!$B:$B,"efawateercom",Data!$K:$K,"native",Data!$J:$J,RIGHT(D$3,4)&amp;"-"&amp;LEFT(D$3,2),Data!$F:$F,"Value of Transactions",Data!$H:$H,"Education",Data!$I:$I,"")</f>
        <v>92800000</v>
      </c>
      <c r="E36" s="10">
        <f>SUMIFS(Data!$L:$L,Data!$B:$B,"efawateercom",Data!$K:$K,"native",Data!$J:$J,RIGHT(E$3,4)&amp;"-"&amp;LEFT(E$3,2),Data!$F:$F,"Value of Transactions",Data!$H:$H,"Education",Data!$I:$I,"")</f>
        <v>118200000</v>
      </c>
      <c r="F36" s="10">
        <f>SUMIFS(Data!$L:$L,Data!$B:$B,"efawateercom",Data!$K:$K,"native",Data!$J:$J,RIGHT(F$3,4)&amp;"-"&amp;LEFT(F$3,2),Data!$F:$F,"Value of Transactions",Data!$H:$H,"Education",Data!$I:$I,"")</f>
        <v>54000000</v>
      </c>
      <c r="G36" s="10">
        <f>SUMIFS(Data!$L:$L,Data!$B:$B,"efawateercom",Data!$K:$K,"native",Data!$J:$J,RIGHT(G$3,4)&amp;"-"&amp;LEFT(G$3,2),Data!$F:$F,"Value of Transactions",Data!$H:$H,"Education",Data!$I:$I,"")</f>
        <v>175400000</v>
      </c>
      <c r="H36" s="10">
        <f>SUMIFS(Data!$L:$L,Data!$B:$B,"efawateercom",Data!$K:$K,"native",Data!$J:$J,RIGHT(H$3,4)&amp;"-"&amp;LEFT(H$3,2),Data!$F:$F,"Value of Transactions",Data!$H:$H,"Education",Data!$I:$I,"")</f>
        <v>91500000</v>
      </c>
      <c r="I36" s="10">
        <f>SUMIFS(Data!$L:$L,Data!$B:$B,"efawateercom",Data!$K:$K,"native",Data!$J:$J,RIGHT(I$3,4)&amp;"-"&amp;LEFT(I$3,2),Data!$F:$F,"Value of Transactions",Data!$H:$H,"Education",Data!$I:$I,"")</f>
        <v>134500000</v>
      </c>
      <c r="J36" s="10">
        <f>SUMIFS(Data!$L:$L,Data!$B:$B,"efawateercom",Data!$K:$K,"native",Data!$J:$J,RIGHT(J$3,4)&amp;"-"&amp;LEFT(J$3,2),Data!$F:$F,"Value of Transactions",Data!$H:$H,"Education",Data!$I:$I,"")</f>
        <v>67300000</v>
      </c>
    </row>
    <row r="37" spans="1:10" ht="15" customHeight="1" x14ac:dyDescent="0.25">
      <c r="A37" s="9" t="s">
        <v>1037</v>
      </c>
      <c r="B37" s="9" t="s">
        <v>644</v>
      </c>
      <c r="C37" s="10">
        <f>SUMIFS(Data!$L:$L,Data!$B:$B,"efawateercom",Data!$K:$K,"native",Data!$J:$J,RIGHT(C$3,4)&amp;"-"&amp;LEFT(C$3,2),Data!$F:$F,"Value of Transactions",Data!$H:$H,"Travel &amp; Transportation",Data!$I:$I,"")</f>
        <v>20900000</v>
      </c>
      <c r="D37" s="10">
        <f>SUMIFS(Data!$L:$L,Data!$B:$B,"efawateercom",Data!$K:$K,"native",Data!$J:$J,RIGHT(D$3,4)&amp;"-"&amp;LEFT(D$3,2),Data!$F:$F,"Value of Transactions",Data!$H:$H,"Travel &amp; Transportation",Data!$I:$I,"")</f>
        <v>16200000</v>
      </c>
      <c r="E37" s="10">
        <f>SUMIFS(Data!$L:$L,Data!$B:$B,"efawateercom",Data!$K:$K,"native",Data!$J:$J,RIGHT(E$3,4)&amp;"-"&amp;LEFT(E$3,2),Data!$F:$F,"Value of Transactions",Data!$H:$H,"Travel &amp; Transportation",Data!$I:$I,"")</f>
        <v>15200000</v>
      </c>
      <c r="F37" s="10">
        <f>SUMIFS(Data!$L:$L,Data!$B:$B,"efawateercom",Data!$K:$K,"native",Data!$J:$J,RIGHT(F$3,4)&amp;"-"&amp;LEFT(F$3,2),Data!$F:$F,"Value of Transactions",Data!$H:$H,"Travel &amp; Transportation",Data!$I:$I,"")</f>
        <v>14700000</v>
      </c>
      <c r="G37" s="10">
        <f>SUMIFS(Data!$L:$L,Data!$B:$B,"efawateercom",Data!$K:$K,"native",Data!$J:$J,RIGHT(G$3,4)&amp;"-"&amp;LEFT(G$3,2),Data!$F:$F,"Value of Transactions",Data!$H:$H,"Travel &amp; Transportation",Data!$I:$I,"")</f>
        <v>21300000</v>
      </c>
      <c r="H37" s="10">
        <f>SUMIFS(Data!$L:$L,Data!$B:$B,"efawateercom",Data!$K:$K,"native",Data!$J:$J,RIGHT(H$3,4)&amp;"-"&amp;LEFT(H$3,2),Data!$F:$F,"Value of Transactions",Data!$H:$H,"Travel &amp; Transportation",Data!$I:$I,"")</f>
        <v>17800000</v>
      </c>
      <c r="I37" s="10">
        <f>SUMIFS(Data!$L:$L,Data!$B:$B,"efawateercom",Data!$K:$K,"native",Data!$J:$J,RIGHT(I$3,4)&amp;"-"&amp;LEFT(I$3,2),Data!$F:$F,"Value of Transactions",Data!$H:$H,"Travel &amp; Transportation",Data!$I:$I,"")</f>
        <v>18800000</v>
      </c>
      <c r="J37" s="10">
        <f>SUMIFS(Data!$L:$L,Data!$B:$B,"efawateercom",Data!$K:$K,"native",Data!$J:$J,RIGHT(J$3,4)&amp;"-"&amp;LEFT(J$3,2),Data!$F:$F,"Value of Transactions",Data!$H:$H,"Travel &amp; Transportation",Data!$I:$I,"")</f>
        <v>24400000</v>
      </c>
    </row>
    <row r="38" spans="1:10" ht="15" customHeight="1" x14ac:dyDescent="0.25">
      <c r="A38" s="9" t="s">
        <v>1037</v>
      </c>
      <c r="B38" s="9" t="s">
        <v>642</v>
      </c>
      <c r="C38" s="10">
        <f>SUMIFS(Data!$L:$L,Data!$B:$B,"efawateercom",Data!$K:$K,"native",Data!$J:$J,RIGHT(C$3,4)&amp;"-"&amp;LEFT(C$3,2),Data!$F:$F,"Value of Transactions",Data!$H:$H,"Trading and Services",Data!$I:$I,"")</f>
        <v>35300000</v>
      </c>
      <c r="D38" s="10">
        <f>SUMIFS(Data!$L:$L,Data!$B:$B,"efawateercom",Data!$K:$K,"native",Data!$J:$J,RIGHT(D$3,4)&amp;"-"&amp;LEFT(D$3,2),Data!$F:$F,"Value of Transactions",Data!$H:$H,"Trading and Services",Data!$I:$I,"")</f>
        <v>38900000</v>
      </c>
      <c r="E38" s="10">
        <f>SUMIFS(Data!$L:$L,Data!$B:$B,"efawateercom",Data!$K:$K,"native",Data!$J:$J,RIGHT(E$3,4)&amp;"-"&amp;LEFT(E$3,2),Data!$F:$F,"Value of Transactions",Data!$H:$H,"Trading and Services",Data!$I:$I,"")</f>
        <v>34300000</v>
      </c>
      <c r="F38" s="10">
        <f>SUMIFS(Data!$L:$L,Data!$B:$B,"efawateercom",Data!$K:$K,"native",Data!$J:$J,RIGHT(F$3,4)&amp;"-"&amp;LEFT(F$3,2),Data!$F:$F,"Value of Transactions",Data!$H:$H,"Trading and Services",Data!$I:$I,"")</f>
        <v>37500000</v>
      </c>
      <c r="G38" s="10">
        <f>SUMIFS(Data!$L:$L,Data!$B:$B,"efawateercom",Data!$K:$K,"native",Data!$J:$J,RIGHT(G$3,4)&amp;"-"&amp;LEFT(G$3,2),Data!$F:$F,"Value of Transactions",Data!$H:$H,"Trading and Services",Data!$I:$I,"")</f>
        <v>44000000</v>
      </c>
      <c r="H38" s="10">
        <f>SUMIFS(Data!$L:$L,Data!$B:$B,"efawateercom",Data!$K:$K,"native",Data!$J:$J,RIGHT(H$3,4)&amp;"-"&amp;LEFT(H$3,2),Data!$F:$F,"Value of Transactions",Data!$H:$H,"Trading and Services",Data!$I:$I,"")</f>
        <v>41000000</v>
      </c>
      <c r="I38" s="10">
        <f>SUMIFS(Data!$L:$L,Data!$B:$B,"efawateercom",Data!$K:$K,"native",Data!$J:$J,RIGHT(I$3,4)&amp;"-"&amp;LEFT(I$3,2),Data!$F:$F,"Value of Transactions",Data!$H:$H,"Trading and Services",Data!$I:$I,"")</f>
        <v>36000000</v>
      </c>
      <c r="J38" s="10">
        <f>SUMIFS(Data!$L:$L,Data!$B:$B,"efawateercom",Data!$K:$K,"native",Data!$J:$J,RIGHT(J$3,4)&amp;"-"&amp;LEFT(J$3,2),Data!$F:$F,"Value of Transactions",Data!$H:$H,"Trading and Services",Data!$I:$I,"")</f>
        <v>39400000</v>
      </c>
    </row>
    <row r="39" spans="1:10" ht="15" customHeight="1" x14ac:dyDescent="0.25">
      <c r="A39" s="9" t="s">
        <v>1037</v>
      </c>
      <c r="B39" s="9" t="s">
        <v>1038</v>
      </c>
      <c r="C39" s="10">
        <f>SUMIFS(Data!$L:$L,Data!$B:$B,"efawateercom",Data!$K:$K,"native",Data!$J:$J,RIGHT(C$3,4)&amp;"-"&amp;LEFT(C$3,2),Data!$F:$F,"Value of Transactions",Data!$H:$H,"Banks",Data!$I:$I,"")</f>
        <v>38600000</v>
      </c>
      <c r="D39" s="10">
        <f>SUMIFS(Data!$L:$L,Data!$B:$B,"efawateercom",Data!$K:$K,"native",Data!$J:$J,RIGHT(D$3,4)&amp;"-"&amp;LEFT(D$3,2),Data!$F:$F,"Value of Transactions",Data!$H:$H,"Banks",Data!$I:$I,"")</f>
        <v>37700000</v>
      </c>
      <c r="E39" s="10">
        <f>SUMIFS(Data!$L:$L,Data!$B:$B,"efawateercom",Data!$K:$K,"native",Data!$J:$J,RIGHT(E$3,4)&amp;"-"&amp;LEFT(E$3,2),Data!$F:$F,"Value of Transactions",Data!$H:$H,"Banks",Data!$I:$I,"")</f>
        <v>36000000</v>
      </c>
      <c r="F39" s="10">
        <f>SUMIFS(Data!$L:$L,Data!$B:$B,"efawateercom",Data!$K:$K,"native",Data!$J:$J,RIGHT(F$3,4)&amp;"-"&amp;LEFT(F$3,2),Data!$F:$F,"Value of Transactions",Data!$H:$H,"Banks",Data!$I:$I,"")</f>
        <v>43700000</v>
      </c>
      <c r="G39" s="10">
        <f>SUMIFS(Data!$L:$L,Data!$B:$B,"efawateercom",Data!$K:$K,"native",Data!$J:$J,RIGHT(G$3,4)&amp;"-"&amp;LEFT(G$3,2),Data!$F:$F,"Value of Transactions",Data!$H:$H,"Banks",Data!$I:$I,"")</f>
        <v>46000000</v>
      </c>
      <c r="H39" s="10">
        <f>SUMIFS(Data!$L:$L,Data!$B:$B,"efawateercom",Data!$K:$K,"native",Data!$J:$J,RIGHT(H$3,4)&amp;"-"&amp;LEFT(H$3,2),Data!$F:$F,"Value of Transactions",Data!$H:$H,"Banks",Data!$I:$I,"")</f>
        <v>53100000</v>
      </c>
      <c r="I39" s="10">
        <f>SUMIFS(Data!$L:$L,Data!$B:$B,"efawateercom",Data!$K:$K,"native",Data!$J:$J,RIGHT(I$3,4)&amp;"-"&amp;LEFT(I$3,2),Data!$F:$F,"Value of Transactions",Data!$H:$H,"Banks",Data!$I:$I,"")</f>
        <v>52200000</v>
      </c>
      <c r="J39" s="10">
        <f>SUMIFS(Data!$L:$L,Data!$B:$B,"efawateercom",Data!$K:$K,"native",Data!$J:$J,RIGHT(J$3,4)&amp;"-"&amp;LEFT(J$3,2),Data!$F:$F,"Value of Transactions",Data!$H:$H,"Banks",Data!$I:$I,"")</f>
        <v>51300000</v>
      </c>
    </row>
    <row r="40" spans="1:10" ht="15" customHeight="1" x14ac:dyDescent="0.25">
      <c r="A40" s="9" t="s">
        <v>1037</v>
      </c>
      <c r="B40" s="9" t="s">
        <v>981</v>
      </c>
      <c r="C40" s="10">
        <f>SUMIFS(Data!$L:$L,Data!$B:$B,"efawateercom",Data!$K:$K,"native",Data!$J:$J,RIGHT(C$3,4)&amp;"-"&amp;LEFT(C$3,2),Data!$F:$F,"Value of Transactions",Data!$H:$H,"Gas And Energy",Data!$I:$I,"")</f>
        <v>39200000</v>
      </c>
      <c r="D40" s="10">
        <f>SUMIFS(Data!$L:$L,Data!$B:$B,"efawateercom",Data!$K:$K,"native",Data!$J:$J,RIGHT(D$3,4)&amp;"-"&amp;LEFT(D$3,2),Data!$F:$F,"Value of Transactions",Data!$H:$H,"Gas And Energy",Data!$I:$I,"")</f>
        <v>45500000</v>
      </c>
      <c r="E40" s="10">
        <f>SUMIFS(Data!$L:$L,Data!$B:$B,"efawateercom",Data!$K:$K,"native",Data!$J:$J,RIGHT(E$3,4)&amp;"-"&amp;LEFT(E$3,2),Data!$F:$F,"Value of Transactions",Data!$H:$H,"Gas And Energy",Data!$I:$I,"")</f>
        <v>47600000</v>
      </c>
      <c r="F40" s="10">
        <f>SUMIFS(Data!$L:$L,Data!$B:$B,"efawateercom",Data!$K:$K,"native",Data!$J:$J,RIGHT(F$3,4)&amp;"-"&amp;LEFT(F$3,2),Data!$F:$F,"Value of Transactions",Data!$H:$H,"Gas And Energy",Data!$I:$I,"")</f>
        <v>42100000</v>
      </c>
      <c r="G40" s="10">
        <f>SUMIFS(Data!$L:$L,Data!$B:$B,"efawateercom",Data!$K:$K,"native",Data!$J:$J,RIGHT(G$3,4)&amp;"-"&amp;LEFT(G$3,2),Data!$F:$F,"Value of Transactions",Data!$H:$H,"Gas And Energy",Data!$I:$I,"")</f>
        <v>40400000</v>
      </c>
      <c r="H40" s="10">
        <f>SUMIFS(Data!$L:$L,Data!$B:$B,"efawateercom",Data!$K:$K,"native",Data!$J:$J,RIGHT(H$3,4)&amp;"-"&amp;LEFT(H$3,2),Data!$F:$F,"Value of Transactions",Data!$H:$H,"Gas And Energy",Data!$I:$I,"")</f>
        <v>45100000</v>
      </c>
      <c r="I40" s="10">
        <f>SUMIFS(Data!$L:$L,Data!$B:$B,"efawateercom",Data!$K:$K,"native",Data!$J:$J,RIGHT(I$3,4)&amp;"-"&amp;LEFT(I$3,2),Data!$F:$F,"Value of Transactions",Data!$H:$H,"Gas And Energy",Data!$I:$I,"")</f>
        <v>49200000</v>
      </c>
      <c r="J40" s="10">
        <f>SUMIFS(Data!$L:$L,Data!$B:$B,"efawateercom",Data!$K:$K,"native",Data!$J:$J,RIGHT(J$3,4)&amp;"-"&amp;LEFT(J$3,2),Data!$F:$F,"Value of Transactions",Data!$H:$H,"Gas And Energy",Data!$I:$I,"")</f>
        <v>38300000</v>
      </c>
    </row>
    <row r="42" spans="1:10" ht="15" customHeight="1" x14ac:dyDescent="0.25">
      <c r="A42" s="14" t="s">
        <v>1039</v>
      </c>
    </row>
  </sheetData>
  <mergeCells count="7">
    <mergeCell ref="A25:J25"/>
    <mergeCell ref="A30:J30"/>
    <mergeCell ref="A1:J1"/>
    <mergeCell ref="A4:J4"/>
    <mergeCell ref="A6:J6"/>
    <mergeCell ref="A9:J9"/>
    <mergeCell ref="A20:J20"/>
  </mergeCells>
  <conditionalFormatting sqref="C5:J5">
    <cfRule type="colorScale" priority="1">
      <colorScale>
        <cfvo type="min"/>
        <cfvo type="percentile" val="50"/>
        <cfvo type="max"/>
        <color theme="2" tint="-0.499984740745262"/>
        <color theme="0"/>
        <color theme="7" tint="0.39997558519241921"/>
      </colorScale>
    </cfRule>
  </conditionalFormatting>
  <conditionalFormatting sqref="C7:J7">
    <cfRule type="colorScale" priority="27">
      <colorScale>
        <cfvo type="min"/>
        <cfvo type="percentile" val="50"/>
        <cfvo type="max"/>
        <color theme="9" tint="-9.9978637043366805E-2"/>
        <color theme="0"/>
        <color theme="4" tint="0.59999389629810485"/>
      </colorScale>
    </cfRule>
  </conditionalFormatting>
  <conditionalFormatting sqref="C8:J8">
    <cfRule type="colorScale" priority="26">
      <colorScale>
        <cfvo type="min"/>
        <cfvo type="percentile" val="50"/>
        <cfvo type="max"/>
        <color theme="6" tint="-0.249977111117893"/>
        <color theme="0"/>
        <color theme="7" tint="0.39997558519241921"/>
      </colorScale>
    </cfRule>
  </conditionalFormatting>
  <conditionalFormatting sqref="C10:J10">
    <cfRule type="colorScale" priority="25">
      <colorScale>
        <cfvo type="min"/>
        <cfvo type="percentile" val="50"/>
        <cfvo type="max"/>
        <color theme="2" tint="-0.499984740745262"/>
        <color theme="0"/>
        <color theme="7" tint="0.39997558519241921"/>
      </colorScale>
    </cfRule>
  </conditionalFormatting>
  <conditionalFormatting sqref="C11:J11">
    <cfRule type="colorScale" priority="24">
      <colorScale>
        <cfvo type="min"/>
        <cfvo type="percentile" val="50"/>
        <cfvo type="max"/>
        <color theme="2" tint="-0.499984740745262"/>
        <color theme="0"/>
        <color theme="7" tint="0.39997558519241921"/>
      </colorScale>
    </cfRule>
  </conditionalFormatting>
  <conditionalFormatting sqref="C12:J12">
    <cfRule type="colorScale" priority="23">
      <colorScale>
        <cfvo type="min"/>
        <cfvo type="percentile" val="50"/>
        <cfvo type="max"/>
        <color theme="2" tint="-0.499984740745262"/>
        <color theme="0"/>
        <color theme="7" tint="0.39997558519241921"/>
      </colorScale>
    </cfRule>
  </conditionalFormatting>
  <conditionalFormatting sqref="C13:J13">
    <cfRule type="colorScale" priority="22">
      <colorScale>
        <cfvo type="min"/>
        <cfvo type="percentile" val="50"/>
        <cfvo type="max"/>
        <color theme="2" tint="-0.499984740745262"/>
        <color theme="0"/>
        <color theme="7" tint="0.39997558519241921"/>
      </colorScale>
    </cfRule>
  </conditionalFormatting>
  <conditionalFormatting sqref="C14:J14">
    <cfRule type="colorScale" priority="21">
      <colorScale>
        <cfvo type="min"/>
        <cfvo type="percentile" val="50"/>
        <cfvo type="max"/>
        <color theme="2" tint="-0.499984740745262"/>
        <color theme="0"/>
        <color theme="7" tint="0.39997558519241921"/>
      </colorScale>
    </cfRule>
  </conditionalFormatting>
  <conditionalFormatting sqref="C15:J15">
    <cfRule type="colorScale" priority="20">
      <colorScale>
        <cfvo type="min"/>
        <cfvo type="percentile" val="50"/>
        <cfvo type="max"/>
        <color theme="2" tint="-0.499984740745262"/>
        <color theme="0"/>
        <color theme="7" tint="0.39997558519241921"/>
      </colorScale>
    </cfRule>
  </conditionalFormatting>
  <conditionalFormatting sqref="C16:J16">
    <cfRule type="colorScale" priority="19">
      <colorScale>
        <cfvo type="min"/>
        <cfvo type="percentile" val="50"/>
        <cfvo type="max"/>
        <color theme="2" tint="-0.499984740745262"/>
        <color theme="0"/>
        <color theme="7" tint="0.39997558519241921"/>
      </colorScale>
    </cfRule>
  </conditionalFormatting>
  <conditionalFormatting sqref="C17:J17">
    <cfRule type="colorScale" priority="18">
      <colorScale>
        <cfvo type="min"/>
        <cfvo type="percentile" val="50"/>
        <cfvo type="max"/>
        <color theme="2" tint="-0.499984740745262"/>
        <color theme="0"/>
        <color theme="7" tint="0.39997558519241921"/>
      </colorScale>
    </cfRule>
  </conditionalFormatting>
  <conditionalFormatting sqref="C18:J18">
    <cfRule type="colorScale" priority="17">
      <colorScale>
        <cfvo type="min"/>
        <cfvo type="percentile" val="50"/>
        <cfvo type="max"/>
        <color theme="2" tint="-0.499984740745262"/>
        <color theme="0"/>
        <color theme="7" tint="0.39997558519241921"/>
      </colorScale>
    </cfRule>
  </conditionalFormatting>
  <conditionalFormatting sqref="C19:J19">
    <cfRule type="colorScale" priority="16">
      <colorScale>
        <cfvo type="min"/>
        <cfvo type="percentile" val="50"/>
        <cfvo type="max"/>
        <color theme="2" tint="-0.499984740745262"/>
        <color theme="0"/>
        <color theme="7" tint="0.39997558519241921"/>
      </colorScale>
    </cfRule>
  </conditionalFormatting>
  <conditionalFormatting sqref="C21:J21">
    <cfRule type="colorScale" priority="5">
      <colorScale>
        <cfvo type="min"/>
        <cfvo type="percentile" val="50"/>
        <cfvo type="max"/>
        <color theme="2" tint="-0.499984740745262"/>
        <color theme="0"/>
        <color theme="7" tint="0.39997558519241921"/>
      </colorScale>
    </cfRule>
  </conditionalFormatting>
  <conditionalFormatting sqref="C23:J23">
    <cfRule type="colorScale" priority="4">
      <colorScale>
        <cfvo type="min"/>
        <cfvo type="percentile" val="50"/>
        <cfvo type="max"/>
        <color theme="2" tint="-0.499984740745262"/>
        <color theme="0"/>
        <color theme="7" tint="0.39997558519241921"/>
      </colorScale>
    </cfRule>
  </conditionalFormatting>
  <conditionalFormatting sqref="C26:J26">
    <cfRule type="colorScale" priority="3">
      <colorScale>
        <cfvo type="min"/>
        <cfvo type="percentile" val="50"/>
        <cfvo type="max"/>
        <color theme="2" tint="-0.499984740745262"/>
        <color theme="0"/>
        <color theme="7" tint="0.39997558519241921"/>
      </colorScale>
    </cfRule>
  </conditionalFormatting>
  <conditionalFormatting sqref="C28:J28">
    <cfRule type="colorScale" priority="2">
      <colorScale>
        <cfvo type="min"/>
        <cfvo type="percentile" val="50"/>
        <cfvo type="max"/>
        <color theme="2" tint="-0.499984740745262"/>
        <color theme="0"/>
        <color theme="7" tint="0.39997558519241921"/>
      </colorScale>
    </cfRule>
  </conditionalFormatting>
  <conditionalFormatting sqref="C31:J31">
    <cfRule type="colorScale" priority="15">
      <colorScale>
        <cfvo type="min"/>
        <cfvo type="percentile" val="50"/>
        <cfvo type="max"/>
        <color theme="2" tint="-0.499984740745262"/>
        <color theme="0"/>
        <color theme="7" tint="0.39997558519241921"/>
      </colorScale>
    </cfRule>
  </conditionalFormatting>
  <conditionalFormatting sqref="C32:J32">
    <cfRule type="colorScale" priority="14">
      <colorScale>
        <cfvo type="min"/>
        <cfvo type="percentile" val="50"/>
        <cfvo type="max"/>
        <color theme="2" tint="-0.499984740745262"/>
        <color theme="0"/>
        <color theme="7" tint="0.39997558519241921"/>
      </colorScale>
    </cfRule>
  </conditionalFormatting>
  <conditionalFormatting sqref="C33:J33">
    <cfRule type="colorScale" priority="13">
      <colorScale>
        <cfvo type="min"/>
        <cfvo type="percentile" val="50"/>
        <cfvo type="max"/>
        <color theme="2" tint="-0.499984740745262"/>
        <color theme="0"/>
        <color theme="7" tint="0.39997558519241921"/>
      </colorScale>
    </cfRule>
  </conditionalFormatting>
  <conditionalFormatting sqref="C34:J34">
    <cfRule type="colorScale" priority="12">
      <colorScale>
        <cfvo type="min"/>
        <cfvo type="percentile" val="50"/>
        <cfvo type="max"/>
        <color theme="2" tint="-0.499984740745262"/>
        <color theme="0"/>
        <color theme="7" tint="0.39997558519241921"/>
      </colorScale>
    </cfRule>
  </conditionalFormatting>
  <conditionalFormatting sqref="C35:J35">
    <cfRule type="colorScale" priority="11">
      <colorScale>
        <cfvo type="min"/>
        <cfvo type="percentile" val="50"/>
        <cfvo type="max"/>
        <color theme="2" tint="-0.499984740745262"/>
        <color theme="0"/>
        <color theme="7" tint="0.39997558519241921"/>
      </colorScale>
    </cfRule>
  </conditionalFormatting>
  <conditionalFormatting sqref="C36:J36">
    <cfRule type="colorScale" priority="10">
      <colorScale>
        <cfvo type="min"/>
        <cfvo type="percentile" val="50"/>
        <cfvo type="max"/>
        <color theme="2" tint="-0.499984740745262"/>
        <color theme="0"/>
        <color theme="7" tint="0.39997558519241921"/>
      </colorScale>
    </cfRule>
  </conditionalFormatting>
  <conditionalFormatting sqref="C37:J37">
    <cfRule type="colorScale" priority="9">
      <colorScale>
        <cfvo type="min"/>
        <cfvo type="percentile" val="50"/>
        <cfvo type="max"/>
        <color theme="2" tint="-0.499984740745262"/>
        <color theme="0"/>
        <color theme="7" tint="0.39997558519241921"/>
      </colorScale>
    </cfRule>
  </conditionalFormatting>
  <conditionalFormatting sqref="C38:J38">
    <cfRule type="colorScale" priority="8">
      <colorScale>
        <cfvo type="min"/>
        <cfvo type="percentile" val="50"/>
        <cfvo type="max"/>
        <color theme="2" tint="-0.499984740745262"/>
        <color theme="0"/>
        <color theme="7" tint="0.39997558519241921"/>
      </colorScale>
    </cfRule>
  </conditionalFormatting>
  <conditionalFormatting sqref="C39:J39">
    <cfRule type="colorScale" priority="7">
      <colorScale>
        <cfvo type="min"/>
        <cfvo type="percentile" val="50"/>
        <cfvo type="max"/>
        <color theme="2" tint="-0.499984740745262"/>
        <color theme="0"/>
        <color theme="7" tint="0.39997558519241921"/>
      </colorScale>
    </cfRule>
  </conditionalFormatting>
  <conditionalFormatting sqref="C40:J40">
    <cfRule type="colorScale" priority="6">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J16"/>
  <sheetViews>
    <sheetView zoomScaleNormal="100" workbookViewId="0">
      <pane xSplit="2" ySplit="2" topLeftCell="C3" activePane="bottomRight" state="frozen"/>
      <selection pane="topRight" activeCell="C1" sqref="C1"/>
      <selection pane="bottomLeft" activeCell="A3" sqref="A3"/>
      <selection pane="bottomRight" activeCell="G18" sqref="G18"/>
    </sheetView>
  </sheetViews>
  <sheetFormatPr defaultColWidth="8.7109375" defaultRowHeight="15" x14ac:dyDescent="0.25"/>
  <cols>
    <col min="1" max="1" width="26" customWidth="1"/>
    <col min="2" max="2" width="37.5703125" bestFit="1" customWidth="1"/>
    <col min="3" max="10" width="13" customWidth="1"/>
  </cols>
  <sheetData>
    <row r="1" spans="1:10" ht="25.5" customHeight="1" x14ac:dyDescent="0.25">
      <c r="A1" s="23" t="s">
        <v>989</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990</v>
      </c>
      <c r="B4" s="22"/>
      <c r="C4" s="22"/>
      <c r="D4" s="22"/>
      <c r="E4" s="22"/>
      <c r="F4" s="22"/>
      <c r="G4" s="22"/>
      <c r="H4" s="22"/>
      <c r="I4" s="22"/>
      <c r="J4" s="22"/>
    </row>
    <row r="5" spans="1:10" ht="15" customHeight="1" x14ac:dyDescent="0.25">
      <c r="A5" s="7" t="s">
        <v>199</v>
      </c>
      <c r="B5" s="7" t="s">
        <v>991</v>
      </c>
      <c r="C5" s="8">
        <f>SUMIFS(Data!$L:$L,Data!$B:$B,"ach",Data!$K:$K,"native",Data!$J:$J,RIGHT(C$3,4)&amp;"-"&amp;LEFT(C$3,2),Data!$F:$F,"Number of JOD Transactions",Data!$H:$H,"",Data!$I:$I,"")</f>
        <v>2800000</v>
      </c>
      <c r="D5" s="8">
        <f>SUMIFS(Data!$L:$L,Data!$B:$B,"ach",Data!$K:$K,"native",Data!$J:$J,RIGHT(D$3,4)&amp;"-"&amp;LEFT(D$3,2),Data!$F:$F,"Number of JOD Transactions",Data!$H:$H,"",Data!$I:$I,"")</f>
        <v>2970000</v>
      </c>
      <c r="E5" s="8">
        <f>SUMIFS(Data!$L:$L,Data!$B:$B,"ach",Data!$K:$K,"native",Data!$J:$J,RIGHT(E$3,4)&amp;"-"&amp;LEFT(E$3,2),Data!$F:$F,"Number of JOD Transactions",Data!$H:$H,"",Data!$I:$I,"")</f>
        <v>2980000</v>
      </c>
      <c r="F5" s="8">
        <f>SUMIFS(Data!$L:$L,Data!$B:$B,"ach",Data!$K:$K,"native",Data!$J:$J,RIGHT(F$3,4)&amp;"-"&amp;LEFT(F$3,2),Data!$F:$F,"Number of JOD Transactions",Data!$H:$H,"",Data!$I:$I,"")</f>
        <v>2870000</v>
      </c>
      <c r="G5" s="8">
        <f>SUMIFS(Data!$L:$L,Data!$B:$B,"ach",Data!$K:$K,"native",Data!$J:$J,RIGHT(G$3,4)&amp;"-"&amp;LEFT(G$3,2),Data!$F:$F,"Number of JOD Transactions",Data!$H:$H,"",Data!$I:$I,"")</f>
        <v>3060000</v>
      </c>
      <c r="H5" s="8">
        <f>SUMIFS(Data!$L:$L,Data!$B:$B,"ach",Data!$K:$K,"native",Data!$J:$J,RIGHT(H$3,4)&amp;"-"&amp;LEFT(H$3,2),Data!$F:$F,"Number of JOD Transactions",Data!$H:$H,"",Data!$I:$I,"")</f>
        <v>3260000</v>
      </c>
      <c r="I5" s="8">
        <f>SUMIFS(Data!$L:$L,Data!$B:$B,"ach",Data!$K:$K,"native",Data!$J:$J,RIGHT(I$3,4)&amp;"-"&amp;LEFT(I$3,2),Data!$F:$F,"Number of JOD Transactions",Data!$H:$H,"",Data!$I:$I,"")</f>
        <v>3240000</v>
      </c>
      <c r="J5" s="8">
        <f>SUMIFS(Data!$L:$L,Data!$B:$B,"ach",Data!$K:$K,"native",Data!$J:$J,RIGHT(J$3,4)&amp;"-"&amp;LEFT(J$3,2),Data!$F:$F,"Number of JOD Transactions",Data!$H:$H,"",Data!$I:$I,"")</f>
        <v>3290000</v>
      </c>
    </row>
    <row r="6" spans="1:10" ht="15" customHeight="1" x14ac:dyDescent="0.25">
      <c r="A6" s="7" t="s">
        <v>199</v>
      </c>
      <c r="B6" s="7" t="s">
        <v>992</v>
      </c>
      <c r="C6" s="8">
        <f>SUMIFS(Data!$L:$L,Data!$B:$B,"ach",Data!$K:$K,"native",Data!$J:$J,RIGHT(C$3,4)&amp;"-"&amp;LEFT(C$3,2),Data!$F:$F,"Value of JOD Transactions",Data!$H:$H,"",Data!$I:$I,"")</f>
        <v>2360000000</v>
      </c>
      <c r="D6" s="8">
        <f>SUMIFS(Data!$L:$L,Data!$B:$B,"ach",Data!$K:$K,"native",Data!$J:$J,RIGHT(D$3,4)&amp;"-"&amp;LEFT(D$3,2),Data!$F:$F,"Value of JOD Transactions",Data!$H:$H,"",Data!$I:$I,"")</f>
        <v>2420000000</v>
      </c>
      <c r="E6" s="8">
        <f>SUMIFS(Data!$L:$L,Data!$B:$B,"ach",Data!$K:$K,"native",Data!$J:$J,RIGHT(E$3,4)&amp;"-"&amp;LEFT(E$3,2),Data!$F:$F,"Value of JOD Transactions",Data!$H:$H,"",Data!$I:$I,"")</f>
        <v>2410000000</v>
      </c>
      <c r="F6" s="8">
        <f>SUMIFS(Data!$L:$L,Data!$B:$B,"ach",Data!$K:$K,"native",Data!$J:$J,RIGHT(F$3,4)&amp;"-"&amp;LEFT(F$3,2),Data!$F:$F,"Value of JOD Transactions",Data!$H:$H,"",Data!$I:$I,"")</f>
        <v>2350000000</v>
      </c>
      <c r="G6" s="8">
        <f>SUMIFS(Data!$L:$L,Data!$B:$B,"ach",Data!$K:$K,"native",Data!$J:$J,RIGHT(G$3,4)&amp;"-"&amp;LEFT(G$3,2),Data!$F:$F,"Value of JOD Transactions",Data!$H:$H,"",Data!$I:$I,"")</f>
        <v>2610000000</v>
      </c>
      <c r="H6" s="8">
        <f>SUMIFS(Data!$L:$L,Data!$B:$B,"ach",Data!$K:$K,"native",Data!$J:$J,RIGHT(H$3,4)&amp;"-"&amp;LEFT(H$3,2),Data!$F:$F,"Value of JOD Transactions",Data!$H:$H,"",Data!$I:$I,"")</f>
        <v>2630000000</v>
      </c>
      <c r="I6" s="8">
        <f>SUMIFS(Data!$L:$L,Data!$B:$B,"ach",Data!$K:$K,"native",Data!$J:$J,RIGHT(I$3,4)&amp;"-"&amp;LEFT(I$3,2),Data!$F:$F,"Value of JOD Transactions",Data!$H:$H,"",Data!$I:$I,"")</f>
        <v>2690000000</v>
      </c>
      <c r="J6" s="8">
        <f>SUMIFS(Data!$L:$L,Data!$B:$B,"ach",Data!$K:$K,"native",Data!$J:$J,RIGHT(J$3,4)&amp;"-"&amp;LEFT(J$3,2),Data!$F:$F,"Value of JOD Transactions",Data!$H:$H,"",Data!$I:$I,"")</f>
        <v>2750000000</v>
      </c>
    </row>
    <row r="7" spans="1:10" ht="15" customHeight="1" x14ac:dyDescent="0.25">
      <c r="A7" s="22" t="s">
        <v>993</v>
      </c>
      <c r="B7" s="22"/>
      <c r="C7" s="22"/>
      <c r="D7" s="22"/>
      <c r="E7" s="22"/>
      <c r="F7" s="22"/>
      <c r="G7" s="22"/>
      <c r="H7" s="22"/>
      <c r="I7" s="22"/>
      <c r="J7" s="22"/>
    </row>
    <row r="8" spans="1:10" ht="15" customHeight="1" x14ac:dyDescent="0.25">
      <c r="A8" s="9" t="s">
        <v>1024</v>
      </c>
      <c r="B8" s="9" t="s">
        <v>819</v>
      </c>
      <c r="C8" s="10">
        <f>SUMIFS(Data!$L:$L,Data!$B:$B,"ach",Data!$K:$K,"native",Data!$J:$J,RIGHT(C$3,4)&amp;"-"&amp;LEFT(C$3,2),Data!$F:$F,"Number of Transactions",Data!$H:$H,"USD",Data!$I:$I,"")</f>
        <v>17056</v>
      </c>
      <c r="D8" s="10">
        <f>SUMIFS(Data!$L:$L,Data!$B:$B,"ach",Data!$K:$K,"native",Data!$J:$J,RIGHT(D$3,4)&amp;"-"&amp;LEFT(D$3,2),Data!$F:$F,"Number of Transactions",Data!$H:$H,"USD",Data!$I:$I,"")</f>
        <v>17543</v>
      </c>
      <c r="E8" s="10">
        <f>SUMIFS(Data!$L:$L,Data!$B:$B,"ach",Data!$K:$K,"native",Data!$J:$J,RIGHT(E$3,4)&amp;"-"&amp;LEFT(E$3,2),Data!$F:$F,"Number of Transactions",Data!$H:$H,"USD",Data!$I:$I,"")</f>
        <v>16918</v>
      </c>
      <c r="F8" s="10">
        <f>SUMIFS(Data!$L:$L,Data!$B:$B,"ach",Data!$K:$K,"native",Data!$J:$J,RIGHT(F$3,4)&amp;"-"&amp;LEFT(F$3,2),Data!$F:$F,"Number of Transactions",Data!$H:$H,"USD",Data!$I:$I,"")</f>
        <v>17236</v>
      </c>
      <c r="G8" s="10">
        <f>SUMIFS(Data!$L:$L,Data!$B:$B,"ach",Data!$K:$K,"native",Data!$J:$J,RIGHT(G$3,4)&amp;"-"&amp;LEFT(G$3,2),Data!$F:$F,"Number of Transactions",Data!$H:$H,"USD",Data!$I:$I,"")</f>
        <v>17556</v>
      </c>
      <c r="H8" s="10">
        <f>SUMIFS(Data!$L:$L,Data!$B:$B,"ach",Data!$K:$K,"native",Data!$J:$J,RIGHT(H$3,4)&amp;"-"&amp;LEFT(H$3,2),Data!$F:$F,"Number of Transactions",Data!$H:$H,"USD",Data!$I:$I,"")</f>
        <v>18897</v>
      </c>
      <c r="I8" s="10">
        <f>SUMIFS(Data!$L:$L,Data!$B:$B,"ach",Data!$K:$K,"native",Data!$J:$J,RIGHT(I$3,4)&amp;"-"&amp;LEFT(I$3,2),Data!$F:$F,"Number of Transactions",Data!$H:$H,"USD",Data!$I:$I,"")</f>
        <v>16863</v>
      </c>
      <c r="J8" s="10">
        <f>SUMIFS(Data!$L:$L,Data!$B:$B,"ach",Data!$K:$K,"native",Data!$J:$J,RIGHT(J$3,4)&amp;"-"&amp;LEFT(J$3,2),Data!$F:$F,"Number of Transactions",Data!$H:$H,"USD",Data!$I:$I,"")</f>
        <v>17329</v>
      </c>
    </row>
    <row r="9" spans="1:10" ht="15" customHeight="1" x14ac:dyDescent="0.25">
      <c r="A9" s="9" t="s">
        <v>1024</v>
      </c>
      <c r="B9" s="9" t="s">
        <v>815</v>
      </c>
      <c r="C9" s="10">
        <f>SUMIFS(Data!$L:$L,Data!$B:$B,"ach",Data!$K:$K,"native",Data!$J:$J,RIGHT(C$3,4)&amp;"-"&amp;LEFT(C$3,2),Data!$F:$F,"Number of Transactions",Data!$H:$H,"EUR",Data!$I:$I,"")</f>
        <v>901</v>
      </c>
      <c r="D9" s="10">
        <f>SUMIFS(Data!$L:$L,Data!$B:$B,"ach",Data!$K:$K,"native",Data!$J:$J,RIGHT(D$3,4)&amp;"-"&amp;LEFT(D$3,2),Data!$F:$F,"Number of Transactions",Data!$H:$H,"EUR",Data!$I:$I,"")</f>
        <v>941</v>
      </c>
      <c r="E9" s="10">
        <f>SUMIFS(Data!$L:$L,Data!$B:$B,"ach",Data!$K:$K,"native",Data!$J:$J,RIGHT(E$3,4)&amp;"-"&amp;LEFT(E$3,2),Data!$F:$F,"Number of Transactions",Data!$H:$H,"EUR",Data!$I:$I,"")</f>
        <v>1003</v>
      </c>
      <c r="F9" s="10">
        <f>SUMIFS(Data!$L:$L,Data!$B:$B,"ach",Data!$K:$K,"native",Data!$J:$J,RIGHT(F$3,4)&amp;"-"&amp;LEFT(F$3,2),Data!$F:$F,"Number of Transactions",Data!$H:$H,"EUR",Data!$I:$I,"")</f>
        <v>844</v>
      </c>
      <c r="G9" s="10">
        <f>SUMIFS(Data!$L:$L,Data!$B:$B,"ach",Data!$K:$K,"native",Data!$J:$J,RIGHT(G$3,4)&amp;"-"&amp;LEFT(G$3,2),Data!$F:$F,"Number of Transactions",Data!$H:$H,"EUR",Data!$I:$I,"")</f>
        <v>989</v>
      </c>
      <c r="H9" s="10">
        <f>SUMIFS(Data!$L:$L,Data!$B:$B,"ach",Data!$K:$K,"native",Data!$J:$J,RIGHT(H$3,4)&amp;"-"&amp;LEFT(H$3,2),Data!$F:$F,"Number of Transactions",Data!$H:$H,"EUR",Data!$I:$I,"")</f>
        <v>922</v>
      </c>
      <c r="I9" s="10">
        <f>SUMIFS(Data!$L:$L,Data!$B:$B,"ach",Data!$K:$K,"native",Data!$J:$J,RIGHT(I$3,4)&amp;"-"&amp;LEFT(I$3,2),Data!$F:$F,"Number of Transactions",Data!$H:$H,"EUR",Data!$I:$I,"")</f>
        <v>828</v>
      </c>
      <c r="J9" s="10">
        <f>SUMIFS(Data!$L:$L,Data!$B:$B,"ach",Data!$K:$K,"native",Data!$J:$J,RIGHT(J$3,4)&amp;"-"&amp;LEFT(J$3,2),Data!$F:$F,"Number of Transactions",Data!$H:$H,"EUR",Data!$I:$I,"")</f>
        <v>898</v>
      </c>
    </row>
    <row r="10" spans="1:10" ht="15" customHeight="1" x14ac:dyDescent="0.25">
      <c r="A10" s="9" t="s">
        <v>1024</v>
      </c>
      <c r="B10" s="9" t="s">
        <v>817</v>
      </c>
      <c r="C10" s="10">
        <f>SUMIFS(Data!$L:$L,Data!$B:$B,"ach",Data!$K:$K,"native",Data!$J:$J,RIGHT(C$3,4)&amp;"-"&amp;LEFT(C$3,2),Data!$F:$F,"Number of Transactions",Data!$H:$H,"GBP",Data!$I:$I,"")</f>
        <v>116</v>
      </c>
      <c r="D10" s="10">
        <f>SUMIFS(Data!$L:$L,Data!$B:$B,"ach",Data!$K:$K,"native",Data!$J:$J,RIGHT(D$3,4)&amp;"-"&amp;LEFT(D$3,2),Data!$F:$F,"Number of Transactions",Data!$H:$H,"GBP",Data!$I:$I,"")</f>
        <v>113</v>
      </c>
      <c r="E10" s="10">
        <f>SUMIFS(Data!$L:$L,Data!$B:$B,"ach",Data!$K:$K,"native",Data!$J:$J,RIGHT(E$3,4)&amp;"-"&amp;LEFT(E$3,2),Data!$F:$F,"Number of Transactions",Data!$H:$H,"GBP",Data!$I:$I,"")</f>
        <v>107</v>
      </c>
      <c r="F10" s="10">
        <f>SUMIFS(Data!$L:$L,Data!$B:$B,"ach",Data!$K:$K,"native",Data!$J:$J,RIGHT(F$3,4)&amp;"-"&amp;LEFT(F$3,2),Data!$F:$F,"Number of Transactions",Data!$H:$H,"GBP",Data!$I:$I,"")</f>
        <v>86</v>
      </c>
      <c r="G10" s="10">
        <f>SUMIFS(Data!$L:$L,Data!$B:$B,"ach",Data!$K:$K,"native",Data!$J:$J,RIGHT(G$3,4)&amp;"-"&amp;LEFT(G$3,2),Data!$F:$F,"Number of Transactions",Data!$H:$H,"GBP",Data!$I:$I,"")</f>
        <v>133</v>
      </c>
      <c r="H10" s="10">
        <f>SUMIFS(Data!$L:$L,Data!$B:$B,"ach",Data!$K:$K,"native",Data!$J:$J,RIGHT(H$3,4)&amp;"-"&amp;LEFT(H$3,2),Data!$F:$F,"Number of Transactions",Data!$H:$H,"GBP",Data!$I:$I,"")</f>
        <v>120</v>
      </c>
      <c r="I10" s="10">
        <f>SUMIFS(Data!$L:$L,Data!$B:$B,"ach",Data!$K:$K,"native",Data!$J:$J,RIGHT(I$3,4)&amp;"-"&amp;LEFT(I$3,2),Data!$F:$F,"Number of Transactions",Data!$H:$H,"GBP",Data!$I:$I,"")</f>
        <v>103</v>
      </c>
      <c r="J10" s="10">
        <f>SUMIFS(Data!$L:$L,Data!$B:$B,"ach",Data!$K:$K,"native",Data!$J:$J,RIGHT(J$3,4)&amp;"-"&amp;LEFT(J$3,2),Data!$F:$F,"Number of Transactions",Data!$H:$H,"GBP",Data!$I:$I,"")</f>
        <v>113</v>
      </c>
    </row>
    <row r="11" spans="1:10" ht="15" customHeight="1" x14ac:dyDescent="0.25">
      <c r="A11" s="22" t="s">
        <v>994</v>
      </c>
      <c r="B11" s="22"/>
      <c r="C11" s="22"/>
      <c r="D11" s="22"/>
      <c r="E11" s="22"/>
      <c r="F11" s="22"/>
      <c r="G11" s="22"/>
      <c r="H11" s="22"/>
      <c r="I11" s="22"/>
      <c r="J11" s="22"/>
    </row>
    <row r="12" spans="1:10" ht="15" customHeight="1" x14ac:dyDescent="0.25">
      <c r="A12" s="9" t="s">
        <v>995</v>
      </c>
      <c r="B12" s="9" t="s">
        <v>996</v>
      </c>
      <c r="C12" s="15">
        <f>(SUMIFS(Data!$L:$L,Data!$B:$B,"ach",Data!$K:$K,"native",Data!$J:$J,RIGHT(C$3,4)&amp;"-"&amp;LEFT(C$3,2),Data!$F:$F,"Value of Transactions",Data!$H:$H,"USD",Data!$I:$I,""))/1000000</f>
        <v>119.3</v>
      </c>
      <c r="D12" s="15">
        <f>(SUMIFS(Data!$L:$L,Data!$B:$B,"ach",Data!$K:$K,"native",Data!$J:$J,RIGHT(D$3,4)&amp;"-"&amp;LEFT(D$3,2),Data!$F:$F,"Value of Transactions",Data!$H:$H,"USD",Data!$I:$I,""))/1000000</f>
        <v>117.2</v>
      </c>
      <c r="E12" s="15">
        <f>(SUMIFS(Data!$L:$L,Data!$B:$B,"ach",Data!$K:$K,"native",Data!$J:$J,RIGHT(E$3,4)&amp;"-"&amp;LEFT(E$3,2),Data!$F:$F,"Value of Transactions",Data!$H:$H,"USD",Data!$I:$I,""))/1000000</f>
        <v>113</v>
      </c>
      <c r="F12" s="15">
        <f>(SUMIFS(Data!$L:$L,Data!$B:$B,"ach",Data!$K:$K,"native",Data!$J:$J,RIGHT(F$3,4)&amp;"-"&amp;LEFT(F$3,2),Data!$F:$F,"Value of Transactions",Data!$H:$H,"USD",Data!$I:$I,""))/1000000</f>
        <v>110</v>
      </c>
      <c r="G12" s="15">
        <f>(SUMIFS(Data!$L:$L,Data!$B:$B,"ach",Data!$K:$K,"native",Data!$J:$J,RIGHT(G$3,4)&amp;"-"&amp;LEFT(G$3,2),Data!$F:$F,"Value of Transactions",Data!$H:$H,"USD",Data!$I:$I,""))/1000000</f>
        <v>123</v>
      </c>
      <c r="H12" s="15">
        <f>(SUMIFS(Data!$L:$L,Data!$B:$B,"ach",Data!$K:$K,"native",Data!$J:$J,RIGHT(H$3,4)&amp;"-"&amp;LEFT(H$3,2),Data!$F:$F,"Value of Transactions",Data!$H:$H,"USD",Data!$I:$I,""))/1000000</f>
        <v>122</v>
      </c>
      <c r="I12" s="15">
        <f>(SUMIFS(Data!$L:$L,Data!$B:$B,"ach",Data!$K:$K,"native",Data!$J:$J,RIGHT(I$3,4)&amp;"-"&amp;LEFT(I$3,2),Data!$F:$F,"Value of Transactions",Data!$H:$H,"USD",Data!$I:$I,""))/1000000</f>
        <v>112</v>
      </c>
      <c r="J12" s="15">
        <f>(SUMIFS(Data!$L:$L,Data!$B:$B,"ach",Data!$K:$K,"native",Data!$J:$J,RIGHT(J$3,4)&amp;"-"&amp;LEFT(J$3,2),Data!$F:$F,"Value of Transactions",Data!$H:$H,"USD",Data!$I:$I,""))/1000000</f>
        <v>116</v>
      </c>
    </row>
    <row r="13" spans="1:10" ht="15" customHeight="1" x14ac:dyDescent="0.25">
      <c r="A13" s="9" t="s">
        <v>995</v>
      </c>
      <c r="B13" s="9" t="s">
        <v>997</v>
      </c>
      <c r="C13" s="15">
        <f>(SUMIFS(Data!$L:$L,Data!$B:$B,"ach",Data!$K:$K,"native",Data!$J:$J,RIGHT(C$3,4)&amp;"-"&amp;LEFT(C$3,2),Data!$F:$F,"Value of Transactions",Data!$H:$H,"EUR",Data!$I:$I,""))/1000000</f>
        <v>9.3000000000000007</v>
      </c>
      <c r="D13" s="15">
        <f>(SUMIFS(Data!$L:$L,Data!$B:$B,"ach",Data!$K:$K,"native",Data!$J:$J,RIGHT(D$3,4)&amp;"-"&amp;LEFT(D$3,2),Data!$F:$F,"Value of Transactions",Data!$H:$H,"EUR",Data!$I:$I,""))/1000000</f>
        <v>8.1999999999999993</v>
      </c>
      <c r="E13" s="15">
        <f>(SUMIFS(Data!$L:$L,Data!$B:$B,"ach",Data!$K:$K,"native",Data!$J:$J,RIGHT(E$3,4)&amp;"-"&amp;LEFT(E$3,2),Data!$F:$F,"Value of Transactions",Data!$H:$H,"EUR",Data!$I:$I,""))/1000000</f>
        <v>8.9</v>
      </c>
      <c r="F13" s="15">
        <f>(SUMIFS(Data!$L:$L,Data!$B:$B,"ach",Data!$K:$K,"native",Data!$J:$J,RIGHT(F$3,4)&amp;"-"&amp;LEFT(F$3,2),Data!$F:$F,"Value of Transactions",Data!$H:$H,"EUR",Data!$I:$I,""))/1000000</f>
        <v>7.9</v>
      </c>
      <c r="G13" s="15">
        <f>(SUMIFS(Data!$L:$L,Data!$B:$B,"ach",Data!$K:$K,"native",Data!$J:$J,RIGHT(G$3,4)&amp;"-"&amp;LEFT(G$3,2),Data!$F:$F,"Value of Transactions",Data!$H:$H,"EUR",Data!$I:$I,""))/1000000</f>
        <v>9.3000000000000007</v>
      </c>
      <c r="H13" s="15">
        <f>(SUMIFS(Data!$L:$L,Data!$B:$B,"ach",Data!$K:$K,"native",Data!$J:$J,RIGHT(H$3,4)&amp;"-"&amp;LEFT(H$3,2),Data!$F:$F,"Value of Transactions",Data!$H:$H,"EUR",Data!$I:$I,""))/1000000</f>
        <v>7.9</v>
      </c>
      <c r="I13" s="15">
        <f>(SUMIFS(Data!$L:$L,Data!$B:$B,"ach",Data!$K:$K,"native",Data!$J:$J,RIGHT(I$3,4)&amp;"-"&amp;LEFT(I$3,2),Data!$F:$F,"Value of Transactions",Data!$H:$H,"EUR",Data!$I:$I,""))/1000000</f>
        <v>7.8</v>
      </c>
      <c r="J13" s="15">
        <f>(SUMIFS(Data!$L:$L,Data!$B:$B,"ach",Data!$K:$K,"native",Data!$J:$J,RIGHT(J$3,4)&amp;"-"&amp;LEFT(J$3,2),Data!$F:$F,"Value of Transactions",Data!$H:$H,"EUR",Data!$I:$I,""))/1000000</f>
        <v>8.3000000000000007</v>
      </c>
    </row>
    <row r="14" spans="1:10" ht="15" customHeight="1" x14ac:dyDescent="0.25">
      <c r="A14" s="9" t="s">
        <v>995</v>
      </c>
      <c r="B14" s="9" t="s">
        <v>998</v>
      </c>
      <c r="C14" s="15">
        <f>(SUMIFS(Data!$L:$L,Data!$B:$B,"ach",Data!$K:$K,"native",Data!$J:$J,RIGHT(C$3,4)&amp;"-"&amp;LEFT(C$3,2),Data!$F:$F,"Value of Transactions",Data!$H:$H,"GBP",Data!$I:$I,""))/1000000</f>
        <v>1</v>
      </c>
      <c r="D14" s="15">
        <f>(SUMIFS(Data!$L:$L,Data!$B:$B,"ach",Data!$K:$K,"native",Data!$J:$J,RIGHT(D$3,4)&amp;"-"&amp;LEFT(D$3,2),Data!$F:$F,"Value of Transactions",Data!$H:$H,"GBP",Data!$I:$I,""))/1000000</f>
        <v>0.9</v>
      </c>
      <c r="E14" s="15">
        <f>(SUMIFS(Data!$L:$L,Data!$B:$B,"ach",Data!$K:$K,"native",Data!$J:$J,RIGHT(E$3,4)&amp;"-"&amp;LEFT(E$3,2),Data!$F:$F,"Value of Transactions",Data!$H:$H,"GBP",Data!$I:$I,""))/1000000</f>
        <v>1.1000000000000001</v>
      </c>
      <c r="F14" s="15">
        <f>(SUMIFS(Data!$L:$L,Data!$B:$B,"ach",Data!$K:$K,"native",Data!$J:$J,RIGHT(F$3,4)&amp;"-"&amp;LEFT(F$3,2),Data!$F:$F,"Value of Transactions",Data!$H:$H,"GBP",Data!$I:$I,""))/1000000</f>
        <v>0.9</v>
      </c>
      <c r="G14" s="15">
        <f>(SUMIFS(Data!$L:$L,Data!$B:$B,"ach",Data!$K:$K,"native",Data!$J:$J,RIGHT(G$3,4)&amp;"-"&amp;LEFT(G$3,2),Data!$F:$F,"Value of Transactions",Data!$H:$H,"GBP",Data!$I:$I,""))/1000000</f>
        <v>1.1000000000000001</v>
      </c>
      <c r="H14" s="15">
        <f>(SUMIFS(Data!$L:$L,Data!$B:$B,"ach",Data!$K:$K,"native",Data!$J:$J,RIGHT(H$3,4)&amp;"-"&amp;LEFT(H$3,2),Data!$F:$F,"Value of Transactions",Data!$H:$H,"GBP",Data!$I:$I,""))/1000000</f>
        <v>1</v>
      </c>
      <c r="I14" s="15">
        <f>(SUMIFS(Data!$L:$L,Data!$B:$B,"ach",Data!$K:$K,"native",Data!$J:$J,RIGHT(I$3,4)&amp;"-"&amp;LEFT(I$3,2),Data!$F:$F,"Value of Transactions",Data!$H:$H,"GBP",Data!$I:$I,""))/1000000</f>
        <v>1</v>
      </c>
      <c r="J14" s="15">
        <f>(SUMIFS(Data!$L:$L,Data!$B:$B,"ach",Data!$K:$K,"native",Data!$J:$J,RIGHT(J$3,4)&amp;"-"&amp;LEFT(J$3,2),Data!$F:$F,"Value of Transactions",Data!$H:$H,"GBP",Data!$I:$I,""))/1000000</f>
        <v>0.9</v>
      </c>
    </row>
    <row r="16" spans="1:10" ht="15" customHeight="1" x14ac:dyDescent="0.25">
      <c r="A16" s="14" t="s">
        <v>999</v>
      </c>
    </row>
  </sheetData>
  <mergeCells count="4">
    <mergeCell ref="A1:J1"/>
    <mergeCell ref="A4:J4"/>
    <mergeCell ref="A7:J7"/>
    <mergeCell ref="A11:J11"/>
  </mergeCells>
  <conditionalFormatting sqref="C5:J5">
    <cfRule type="colorScale" priority="8">
      <colorScale>
        <cfvo type="min"/>
        <cfvo type="percentile" val="50"/>
        <cfvo type="max"/>
        <color theme="2" tint="-0.499984740745262"/>
        <color theme="0"/>
        <color theme="7" tint="0.39997558519241921"/>
      </colorScale>
    </cfRule>
  </conditionalFormatting>
  <conditionalFormatting sqref="C6:J6">
    <cfRule type="colorScale" priority="7">
      <colorScale>
        <cfvo type="min"/>
        <cfvo type="percentile" val="50"/>
        <cfvo type="max"/>
        <color theme="2" tint="-0.499984740745262"/>
        <color theme="0"/>
        <color theme="7" tint="0.39997558519241921"/>
      </colorScale>
    </cfRule>
  </conditionalFormatting>
  <conditionalFormatting sqref="C8:J8">
    <cfRule type="colorScale" priority="6">
      <colorScale>
        <cfvo type="min"/>
        <cfvo type="percentile" val="50"/>
        <cfvo type="max"/>
        <color theme="2" tint="-0.499984740745262"/>
        <color theme="0"/>
        <color theme="7" tint="0.39997558519241921"/>
      </colorScale>
    </cfRule>
  </conditionalFormatting>
  <conditionalFormatting sqref="C9:J9">
    <cfRule type="colorScale" priority="5">
      <colorScale>
        <cfvo type="min"/>
        <cfvo type="percentile" val="50"/>
        <cfvo type="max"/>
        <color theme="2" tint="-0.499984740745262"/>
        <color theme="0"/>
        <color theme="7" tint="0.39997558519241921"/>
      </colorScale>
    </cfRule>
  </conditionalFormatting>
  <conditionalFormatting sqref="C10:J10">
    <cfRule type="colorScale" priority="4">
      <colorScale>
        <cfvo type="min"/>
        <cfvo type="percentile" val="50"/>
        <cfvo type="max"/>
        <color theme="2" tint="-0.499984740745262"/>
        <color theme="0"/>
        <color theme="7" tint="0.39997558519241921"/>
      </colorScale>
    </cfRule>
  </conditionalFormatting>
  <conditionalFormatting sqref="C12:J12">
    <cfRule type="colorScale" priority="3">
      <colorScale>
        <cfvo type="min"/>
        <cfvo type="percentile" val="50"/>
        <cfvo type="max"/>
        <color theme="2" tint="-0.499984740745262"/>
        <color theme="0"/>
        <color theme="7" tint="0.39997558519241921"/>
      </colorScale>
    </cfRule>
  </conditionalFormatting>
  <conditionalFormatting sqref="C13:J13">
    <cfRule type="colorScale" priority="2">
      <colorScale>
        <cfvo type="min"/>
        <cfvo type="percentile" val="50"/>
        <cfvo type="max"/>
        <color theme="2" tint="-0.499984740745262"/>
        <color theme="0"/>
        <color theme="7" tint="0.39997558519241921"/>
      </colorScale>
    </cfRule>
  </conditionalFormatting>
  <conditionalFormatting sqref="C14:J14">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J12"/>
  <sheetViews>
    <sheetView zoomScaleNormal="100" workbookViewId="0">
      <pane xSplit="2" ySplit="2" topLeftCell="C3" activePane="bottomRight" state="frozen"/>
      <selection pane="topRight" activeCell="C1" sqref="C1"/>
      <selection pane="bottomLeft" activeCell="A3" sqref="A3"/>
      <selection pane="bottomRight" activeCell="B17" sqref="B17"/>
    </sheetView>
  </sheetViews>
  <sheetFormatPr defaultColWidth="8.7109375" defaultRowHeight="15" x14ac:dyDescent="0.25"/>
  <cols>
    <col min="1" max="1" width="26" customWidth="1"/>
    <col min="2" max="2" width="32.42578125" bestFit="1" customWidth="1"/>
    <col min="3" max="4" width="14.42578125" bestFit="1" customWidth="1"/>
    <col min="5" max="6" width="13.5703125" bestFit="1" customWidth="1"/>
    <col min="7" max="8" width="14.42578125" bestFit="1" customWidth="1"/>
    <col min="9" max="9" width="13.5703125" bestFit="1" customWidth="1"/>
    <col min="10" max="10" width="13.28515625" customWidth="1"/>
  </cols>
  <sheetData>
    <row r="1" spans="1:10" ht="25.5" customHeight="1" x14ac:dyDescent="0.25">
      <c r="A1" s="23" t="s">
        <v>1000</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1001</v>
      </c>
      <c r="B4" s="22"/>
      <c r="C4" s="22"/>
      <c r="D4" s="22"/>
      <c r="E4" s="22"/>
      <c r="F4" s="22"/>
      <c r="G4" s="22"/>
      <c r="H4" s="22"/>
      <c r="I4" s="22"/>
      <c r="J4" s="22"/>
    </row>
    <row r="5" spans="1:10" ht="15" customHeight="1" x14ac:dyDescent="0.25">
      <c r="A5" s="7" t="s">
        <v>879</v>
      </c>
      <c r="B5" s="7" t="s">
        <v>1002</v>
      </c>
      <c r="C5" s="8">
        <f>SUMIFS(Data!$L:$L,Data!$B:$B,"eccu",Data!$K:$K,"native",Data!$J:$J,RIGHT(C$3,4)&amp;"-"&amp;LEFT(C$3,2),Data!$F:$F,"Number of Cheques",Data!$H:$H,"",Data!$I:$I,"")</f>
        <v>1670000</v>
      </c>
      <c r="D5" s="8">
        <f>SUMIFS(Data!$L:$L,Data!$B:$B,"eccu",Data!$K:$K,"native",Data!$J:$J,RIGHT(D$3,4)&amp;"-"&amp;LEFT(D$3,2),Data!$F:$F,"Number of Cheques",Data!$H:$H,"",Data!$I:$I,"")</f>
        <v>1700000</v>
      </c>
      <c r="E5" s="8">
        <f>SUMIFS(Data!$L:$L,Data!$B:$B,"eccu",Data!$K:$K,"native",Data!$J:$J,RIGHT(E$3,4)&amp;"-"&amp;LEFT(E$3,2),Data!$F:$F,"Number of Cheques",Data!$H:$H,"",Data!$I:$I,"")</f>
        <v>1430000</v>
      </c>
      <c r="F5" s="8">
        <f>SUMIFS(Data!$L:$L,Data!$B:$B,"eccu",Data!$K:$K,"native",Data!$J:$J,RIGHT(F$3,4)&amp;"-"&amp;LEFT(F$3,2),Data!$F:$F,"Number of Cheques",Data!$H:$H,"",Data!$I:$I,"")</f>
        <v>1590000</v>
      </c>
      <c r="G5" s="8">
        <f>SUMIFS(Data!$L:$L,Data!$B:$B,"eccu",Data!$K:$K,"native",Data!$J:$J,RIGHT(G$3,4)&amp;"-"&amp;LEFT(G$3,2),Data!$F:$F,"Number of Cheques",Data!$H:$H,"",Data!$I:$I,"")</f>
        <v>1610000</v>
      </c>
      <c r="H5" s="8">
        <f>SUMIFS(Data!$L:$L,Data!$B:$B,"eccu",Data!$K:$K,"native",Data!$J:$J,RIGHT(H$3,4)&amp;"-"&amp;LEFT(H$3,2),Data!$F:$F,"Number of Cheques",Data!$H:$H,"",Data!$I:$I,"")</f>
        <v>1650000</v>
      </c>
      <c r="I5" s="8">
        <f>SUMIFS(Data!$L:$L,Data!$B:$B,"eccu",Data!$K:$K,"native",Data!$J:$J,RIGHT(I$3,4)&amp;"-"&amp;LEFT(I$3,2),Data!$F:$F,"Number of Cheques",Data!$H:$H,"",Data!$I:$I,"")</f>
        <v>1450000</v>
      </c>
      <c r="J5" s="8">
        <f>SUMIFS(Data!$L:$L,Data!$B:$B,"eccu",Data!$K:$K,"native",Data!$J:$J,RIGHT(J$3,4)&amp;"-"&amp;LEFT(J$3,2),Data!$F:$F,"Number of Cheques",Data!$H:$H,"",Data!$I:$I,"")</f>
        <v>1500000</v>
      </c>
    </row>
    <row r="6" spans="1:10" ht="15" customHeight="1" x14ac:dyDescent="0.25">
      <c r="A6" s="7" t="s">
        <v>879</v>
      </c>
      <c r="B6" s="7" t="s">
        <v>1003</v>
      </c>
      <c r="C6" s="8">
        <f>SUMIFS(Data!$L:$L,Data!$B:$B,"eccu",Data!$K:$K,"native",Data!$J:$J,RIGHT(C$3,4)&amp;"-"&amp;LEFT(C$3,2),Data!$F:$F,"Value of Cheques",Data!$H:$H,"",Data!$I:$I,"")</f>
        <v>10410000000</v>
      </c>
      <c r="D6" s="8">
        <f>SUMIFS(Data!$L:$L,Data!$B:$B,"eccu",Data!$K:$K,"native",Data!$J:$J,RIGHT(D$3,4)&amp;"-"&amp;LEFT(D$3,2),Data!$F:$F,"Value of Cheques",Data!$H:$H,"",Data!$I:$I,"")</f>
        <v>10610000000</v>
      </c>
      <c r="E6" s="8">
        <f>SUMIFS(Data!$L:$L,Data!$B:$B,"eccu",Data!$K:$K,"native",Data!$J:$J,RIGHT(E$3,4)&amp;"-"&amp;LEFT(E$3,2),Data!$F:$F,"Value of Cheques",Data!$H:$H,"",Data!$I:$I,"")</f>
        <v>9670000000</v>
      </c>
      <c r="F6" s="8">
        <f>SUMIFS(Data!$L:$L,Data!$B:$B,"eccu",Data!$K:$K,"native",Data!$J:$J,RIGHT(F$3,4)&amp;"-"&amp;LEFT(F$3,2),Data!$F:$F,"Value of Cheques",Data!$H:$H,"",Data!$I:$I,"")</f>
        <v>9920000000</v>
      </c>
      <c r="G6" s="8">
        <f>SUMIFS(Data!$L:$L,Data!$B:$B,"eccu",Data!$K:$K,"native",Data!$J:$J,RIGHT(G$3,4)&amp;"-"&amp;LEFT(G$3,2),Data!$F:$F,"Value of Cheques",Data!$H:$H,"",Data!$I:$I,"")</f>
        <v>10560000000</v>
      </c>
      <c r="H6" s="8">
        <f>SUMIFS(Data!$L:$L,Data!$B:$B,"eccu",Data!$K:$K,"native",Data!$J:$J,RIGHT(H$3,4)&amp;"-"&amp;LEFT(H$3,2),Data!$F:$F,"Value of Cheques",Data!$H:$H,"",Data!$I:$I,"")</f>
        <v>10810000000</v>
      </c>
      <c r="I6" s="8">
        <f>SUMIFS(Data!$L:$L,Data!$B:$B,"eccu",Data!$K:$K,"native",Data!$J:$J,RIGHT(I$3,4)&amp;"-"&amp;LEFT(I$3,2),Data!$F:$F,"Value of Cheques",Data!$H:$H,"",Data!$I:$I,"")</f>
        <v>9740000000</v>
      </c>
      <c r="J6" s="8">
        <f>SUMIFS(Data!$L:$L,Data!$B:$B,"eccu",Data!$K:$K,"native",Data!$J:$J,RIGHT(J$3,4)&amp;"-"&amp;LEFT(J$3,2),Data!$F:$F,"Value of Cheques",Data!$H:$H,"",Data!$I:$I,"")</f>
        <v>9990000000</v>
      </c>
    </row>
    <row r="7" spans="1:10" ht="15" customHeight="1" x14ac:dyDescent="0.25">
      <c r="A7" s="22" t="s">
        <v>1004</v>
      </c>
      <c r="B7" s="22"/>
      <c r="C7" s="22"/>
      <c r="D7" s="22"/>
      <c r="E7" s="22"/>
      <c r="F7" s="22"/>
      <c r="G7" s="22"/>
      <c r="H7" s="22"/>
      <c r="I7" s="22"/>
      <c r="J7" s="22"/>
    </row>
    <row r="8" spans="1:10" ht="15" customHeight="1" x14ac:dyDescent="0.25">
      <c r="A8" s="9" t="s">
        <v>1005</v>
      </c>
      <c r="B8" s="9" t="s">
        <v>884</v>
      </c>
      <c r="C8" s="10">
        <f>SUMIFS(Data!$L:$L,Data!$B:$B,"eccu",Data!$K:$K,"native",Data!$J:$J,RIGHT(C$3,4)&amp;"-"&amp;LEFT(C$3,2),Data!$F:$F,"Number of Returned Cheques",Data!$H:$H,"",Data!$I:$I,"")</f>
        <v>53900</v>
      </c>
      <c r="D8" s="10">
        <f>SUMIFS(Data!$L:$L,Data!$B:$B,"eccu",Data!$K:$K,"native",Data!$J:$J,RIGHT(D$3,4)&amp;"-"&amp;LEFT(D$3,2),Data!$F:$F,"Number of Returned Cheques",Data!$H:$H,"",Data!$I:$I,"")</f>
        <v>55500</v>
      </c>
      <c r="E8" s="10">
        <f>SUMIFS(Data!$L:$L,Data!$B:$B,"eccu",Data!$K:$K,"native",Data!$J:$J,RIGHT(E$3,4)&amp;"-"&amp;LEFT(E$3,2),Data!$F:$F,"Number of Returned Cheques",Data!$H:$H,"",Data!$I:$I,"")</f>
        <v>46000</v>
      </c>
      <c r="F8" s="10">
        <f>SUMIFS(Data!$L:$L,Data!$B:$B,"eccu",Data!$K:$K,"native",Data!$J:$J,RIGHT(F$3,4)&amp;"-"&amp;LEFT(F$3,2),Data!$F:$F,"Number of Returned Cheques",Data!$H:$H,"",Data!$I:$I,"")</f>
        <v>57000</v>
      </c>
      <c r="G8" s="10">
        <f>SUMIFS(Data!$L:$L,Data!$B:$B,"eccu",Data!$K:$K,"native",Data!$J:$J,RIGHT(G$3,4)&amp;"-"&amp;LEFT(G$3,2),Data!$F:$F,"Number of Returned Cheques",Data!$H:$H,"",Data!$I:$I,"")</f>
        <v>49000</v>
      </c>
      <c r="H8" s="10">
        <f>SUMIFS(Data!$L:$L,Data!$B:$B,"eccu",Data!$K:$K,"native",Data!$J:$J,RIGHT(H$3,4)&amp;"-"&amp;LEFT(H$3,2),Data!$F:$F,"Number of Returned Cheques",Data!$H:$H,"",Data!$I:$I,"")</f>
        <v>51000</v>
      </c>
      <c r="I8" s="10">
        <f>SUMIFS(Data!$L:$L,Data!$B:$B,"eccu",Data!$K:$K,"native",Data!$J:$J,RIGHT(I$3,4)&amp;"-"&amp;LEFT(I$3,2),Data!$F:$F,"Number of Returned Cheques",Data!$H:$H,"",Data!$I:$I,"")</f>
        <v>45800</v>
      </c>
      <c r="J8" s="10">
        <f>SUMIFS(Data!$L:$L,Data!$B:$B,"eccu",Data!$K:$K,"native",Data!$J:$J,RIGHT(J$3,4)&amp;"-"&amp;LEFT(J$3,2),Data!$F:$F,"Number of Returned Cheques",Data!$H:$H,"",Data!$I:$I,"")</f>
        <v>47200</v>
      </c>
    </row>
    <row r="9" spans="1:10" ht="15" customHeight="1" x14ac:dyDescent="0.25">
      <c r="A9" s="9" t="s">
        <v>1005</v>
      </c>
      <c r="B9" s="9" t="s">
        <v>1006</v>
      </c>
      <c r="C9" s="10">
        <f>SUMIFS(Data!$L:$L,Data!$B:$B,"eccu",Data!$K:$K,"native",Data!$J:$J,RIGHT(C$3,4)&amp;"-"&amp;LEFT(C$3,2),Data!$F:$F,"Value of Returned Cheques",Data!$H:$H,"",Data!$I:$I,"")</f>
        <v>389300000</v>
      </c>
      <c r="D9" s="10">
        <f>SUMIFS(Data!$L:$L,Data!$B:$B,"eccu",Data!$K:$K,"native",Data!$J:$J,RIGHT(D$3,4)&amp;"-"&amp;LEFT(D$3,2),Data!$F:$F,"Value of Returned Cheques",Data!$H:$H,"",Data!$I:$I,"")</f>
        <v>367600000</v>
      </c>
      <c r="E9" s="10">
        <f>SUMIFS(Data!$L:$L,Data!$B:$B,"eccu",Data!$K:$K,"native",Data!$J:$J,RIGHT(E$3,4)&amp;"-"&amp;LEFT(E$3,2),Data!$F:$F,"Value of Returned Cheques",Data!$H:$H,"",Data!$I:$I,"")</f>
        <v>256700000</v>
      </c>
      <c r="F9" s="10">
        <f>SUMIFS(Data!$L:$L,Data!$B:$B,"eccu",Data!$K:$K,"native",Data!$J:$J,RIGHT(F$3,4)&amp;"-"&amp;LEFT(F$3,2),Data!$F:$F,"Value of Returned Cheques",Data!$H:$H,"",Data!$I:$I,"")</f>
        <v>324900000</v>
      </c>
      <c r="G9" s="10">
        <f>SUMIFS(Data!$L:$L,Data!$B:$B,"eccu",Data!$K:$K,"native",Data!$J:$J,RIGHT(G$3,4)&amp;"-"&amp;LEFT(G$3,2),Data!$F:$F,"Value of Returned Cheques",Data!$H:$H,"",Data!$I:$I,"")</f>
        <v>268600000</v>
      </c>
      <c r="H9" s="10">
        <f>SUMIFS(Data!$L:$L,Data!$B:$B,"eccu",Data!$K:$K,"native",Data!$J:$J,RIGHT(H$3,4)&amp;"-"&amp;LEFT(H$3,2),Data!$F:$F,"Value of Returned Cheques",Data!$H:$H,"",Data!$I:$I,"")</f>
        <v>265900000</v>
      </c>
      <c r="I9" s="10">
        <f>SUMIFS(Data!$L:$L,Data!$B:$B,"eccu",Data!$K:$K,"native",Data!$J:$J,RIGHT(I$3,4)&amp;"-"&amp;LEFT(I$3,2),Data!$F:$F,"Value of Returned Cheques",Data!$H:$H,"",Data!$I:$I,"")</f>
        <v>260700000</v>
      </c>
      <c r="J9" s="10">
        <f>SUMIFS(Data!$L:$L,Data!$B:$B,"eccu",Data!$K:$K,"native",Data!$J:$J,RIGHT(J$3,4)&amp;"-"&amp;LEFT(J$3,2),Data!$F:$F,"Value of Returned Cheques",Data!$H:$H,"",Data!$I:$I,"")</f>
        <v>275000000</v>
      </c>
    </row>
    <row r="10" spans="1:10" ht="15" customHeight="1" x14ac:dyDescent="0.25">
      <c r="A10" s="9" t="s">
        <v>1005</v>
      </c>
      <c r="B10" s="9" t="s">
        <v>1025</v>
      </c>
      <c r="C10" s="11">
        <f t="shared" ref="C10:J10" si="0">C$8/C$5</f>
        <v>3.2275449101796409E-2</v>
      </c>
      <c r="D10" s="11">
        <f t="shared" si="0"/>
        <v>3.2647058823529411E-2</v>
      </c>
      <c r="E10" s="11">
        <f t="shared" si="0"/>
        <v>3.2167832167832165E-2</v>
      </c>
      <c r="F10" s="11">
        <f t="shared" si="0"/>
        <v>3.5849056603773584E-2</v>
      </c>
      <c r="G10" s="11">
        <f t="shared" si="0"/>
        <v>3.0434782608695653E-2</v>
      </c>
      <c r="H10" s="11">
        <f t="shared" si="0"/>
        <v>3.090909090909091E-2</v>
      </c>
      <c r="I10" s="11">
        <f t="shared" si="0"/>
        <v>3.1586206896551727E-2</v>
      </c>
      <c r="J10" s="11">
        <f t="shared" si="0"/>
        <v>3.1466666666666664E-2</v>
      </c>
    </row>
    <row r="12" spans="1:10" ht="15" customHeight="1" x14ac:dyDescent="0.25">
      <c r="A12" s="14" t="s">
        <v>1007</v>
      </c>
    </row>
  </sheetData>
  <mergeCells count="3">
    <mergeCell ref="A1:J1"/>
    <mergeCell ref="A4:J4"/>
    <mergeCell ref="A7:J7"/>
  </mergeCells>
  <conditionalFormatting sqref="C5:J5">
    <cfRule type="colorScale" priority="4">
      <colorScale>
        <cfvo type="min"/>
        <cfvo type="percentile" val="50"/>
        <cfvo type="max"/>
        <color theme="2" tint="-0.499984740745262"/>
        <color theme="0"/>
        <color theme="7" tint="0.39997558519241921"/>
      </colorScale>
    </cfRule>
  </conditionalFormatting>
  <conditionalFormatting sqref="C6:J6">
    <cfRule type="colorScale" priority="3">
      <colorScale>
        <cfvo type="min"/>
        <cfvo type="percentile" val="50"/>
        <cfvo type="max"/>
        <color theme="2" tint="-0.499984740745262"/>
        <color theme="0"/>
        <color theme="7" tint="0.39997558519241921"/>
      </colorScale>
    </cfRule>
  </conditionalFormatting>
  <conditionalFormatting sqref="C8:J8">
    <cfRule type="colorScale" priority="2">
      <colorScale>
        <cfvo type="min"/>
        <cfvo type="percentile" val="50"/>
        <cfvo type="max"/>
        <color theme="2" tint="-0.499984740745262"/>
        <color theme="0"/>
        <color theme="7" tint="0.39997558519241921"/>
      </colorScale>
    </cfRule>
  </conditionalFormatting>
  <conditionalFormatting sqref="C9:J9">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Data</vt:lpstr>
      <vt:lpstr>pivot</vt:lpstr>
      <vt:lpstr>Charts</vt:lpstr>
      <vt:lpstr>IPS</vt:lpstr>
      <vt:lpstr>CliQ_JoMoPay_Interop</vt:lpstr>
      <vt:lpstr>CliQ</vt:lpstr>
      <vt:lpstr>JoMoPay</vt:lpstr>
      <vt:lpstr>eFAWATEERcom</vt:lpstr>
      <vt:lpstr>ACH</vt:lpstr>
      <vt:lpstr>ECCU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Karmah AbuHammad</cp:lastModifiedBy>
  <cp:revision>0</cp:revision>
  <dcterms:created xsi:type="dcterms:W3CDTF">2026-09-17T07:21:13Z</dcterms:created>
  <dcterms:modified xsi:type="dcterms:W3CDTF">2026-10-04T10:27:05Z</dcterms:modified>
  <dc:language>en-US</dc:language>
</cp:coreProperties>
</file>